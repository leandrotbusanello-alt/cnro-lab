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0E4455DD-62A5-4D5D-B71A-13FB3C7A9669}" xr6:coauthVersionLast="47" xr6:coauthVersionMax="47" xr10:uidLastSave="{00000000-0000-0000-0000-000000000000}"/>
  <bookViews>
    <workbookView xWindow="-28910" yWindow="-1730" windowWidth="29020" windowHeight="15820" xr2:uid="{00000000-000D-0000-FFFF-FFFF00000000}"/>
  </bookViews>
  <sheets>
    <sheet name="FR-IMOB-12_Rev00" sheetId="77" r:id="rId1"/>
    <sheet name="VERSO " sheetId="7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 localSheetId="0">#REF!</definedName>
    <definedName name="_bri1" localSheetId="1">#REF!</definedName>
    <definedName name="_bri1">#REF!</definedName>
    <definedName name="_bri2" localSheetId="0">#REF!</definedName>
    <definedName name="_bri2" localSheetId="1">#REF!</definedName>
    <definedName name="_bri2">#REF!</definedName>
    <definedName name="_drb1" localSheetId="0">#REF!</definedName>
    <definedName name="_drb1" localSheetId="1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 localSheetId="1">#REF!</definedName>
    <definedName name="amostra">#REF!</definedName>
    <definedName name="_xlnm.Print_Area" localSheetId="0">'FR-IMOB-12_Rev00'!$A$1:$N$57</definedName>
    <definedName name="_xlnm.Print_Area" localSheetId="1">'VERSO '!$A$1:$E$24</definedName>
    <definedName name="arei" localSheetId="0">#REF!</definedName>
    <definedName name="arei" localSheetId="1">#REF!</definedName>
    <definedName name="arei">#REF!</definedName>
    <definedName name="BI">[3]Teor!$A$3:$G$7</definedName>
    <definedName name="bica" localSheetId="0">#REF!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 localSheetId="0">#REF!</definedName>
    <definedName name="cbr" localSheetId="1">#REF!</definedName>
    <definedName name="cbr">#REF!</definedName>
    <definedName name="celltips_area" localSheetId="0">#REF!</definedName>
    <definedName name="celltips_area" localSheetId="1">#REF!</definedName>
    <definedName name="celltips_area">#REF!</definedName>
    <definedName name="cinco" localSheetId="0">#REF!</definedName>
    <definedName name="cinco" localSheetId="1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 localSheetId="0">#REF!</definedName>
    <definedName name="CODIGÓ" localSheetId="1">#REF!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 localSheetId="1">#REF!</definedName>
    <definedName name="h">#REF!</definedName>
    <definedName name="IP" localSheetId="0">[8]resumo!#REF!</definedName>
    <definedName name="IP" localSheetId="1">[8]resumo!#REF!</definedName>
    <definedName name="IP">[8]resumo!#REF!</definedName>
    <definedName name="kp" localSheetId="0">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0">[8]resumo!#REF!</definedName>
    <definedName name="LL" localSheetId="1">[8]resumo!#REF!</definedName>
    <definedName name="LL">[8]resumo!#REF!</definedName>
    <definedName name="marshall" localSheetId="0">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[8]resumo!#REF!</definedName>
    <definedName name="paraf" localSheetId="0">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0">#REF!</definedName>
    <definedName name="pope" localSheetId="1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0">#REF!</definedName>
    <definedName name="total" localSheetId="1">#REF!</definedName>
    <definedName name="total">#REF!</definedName>
    <definedName name="tres" localSheetId="0">#REF!</definedName>
    <definedName name="tres" localSheetId="1">#REF!</definedName>
    <definedName name="tres">#REF!</definedName>
    <definedName name="treze" localSheetId="0">#REF!</definedName>
    <definedName name="treze" localSheetId="1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 localSheetId="1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76" l="1"/>
  <c r="E20" i="77"/>
  <c r="F20" i="77" s="1"/>
  <c r="G20" i="77" s="1"/>
  <c r="I20" i="77"/>
  <c r="I21" i="77" s="1"/>
  <c r="I22" i="77" l="1"/>
  <c r="E21" i="77"/>
  <c r="F21" i="77" l="1"/>
  <c r="G21" i="77" s="1"/>
  <c r="E22" i="77"/>
  <c r="I23" i="77"/>
  <c r="E23" i="77" l="1"/>
  <c r="F22" i="77"/>
  <c r="G22" i="77" s="1"/>
  <c r="I24" i="77"/>
  <c r="J24" i="77" l="1"/>
  <c r="K24" i="77" s="1"/>
  <c r="I25" i="77"/>
  <c r="F23" i="77"/>
  <c r="G23" i="77" s="1"/>
  <c r="E24" i="77"/>
  <c r="I26" i="77" l="1"/>
  <c r="J25" i="77"/>
  <c r="K25" i="77" s="1"/>
  <c r="F24" i="77"/>
  <c r="G24" i="77" s="1"/>
  <c r="L24" i="77" s="1"/>
  <c r="E25" i="77"/>
  <c r="E26" i="77" l="1"/>
  <c r="F25" i="77"/>
  <c r="G25" i="77" s="1"/>
  <c r="L25" i="77" s="1"/>
  <c r="J26" i="77"/>
  <c r="K26" i="77" s="1"/>
  <c r="I27" i="77"/>
  <c r="E27" i="77" l="1"/>
  <c r="F26" i="77"/>
  <c r="G26" i="77" s="1"/>
  <c r="L26" i="77" s="1"/>
  <c r="J27" i="77"/>
  <c r="K27" i="77" s="1"/>
  <c r="I28" i="77"/>
  <c r="E28" i="77" l="1"/>
  <c r="F27" i="77"/>
  <c r="G27" i="77" s="1"/>
  <c r="L27" i="77" s="1"/>
  <c r="I29" i="77"/>
  <c r="J28" i="77"/>
  <c r="K28" i="77" s="1"/>
  <c r="F28" i="77" l="1"/>
  <c r="G28" i="77" s="1"/>
  <c r="L28" i="77" s="1"/>
  <c r="E29" i="77"/>
  <c r="I30" i="77"/>
  <c r="J30" i="77" s="1"/>
  <c r="J29" i="77"/>
  <c r="K29" i="77" s="1"/>
  <c r="F29" i="77" l="1"/>
  <c r="G29" i="77" s="1"/>
  <c r="L29" i="77" s="1"/>
  <c r="E30" i="77"/>
  <c r="F30" i="77" l="1"/>
  <c r="J20" i="77"/>
  <c r="K20" i="77" s="1"/>
  <c r="L20" i="77" s="1"/>
  <c r="J21" i="77"/>
  <c r="K21" i="77" s="1"/>
  <c r="L21" i="77" s="1"/>
  <c r="J22" i="77"/>
  <c r="K22" i="77" s="1"/>
  <c r="L22" i="77" s="1"/>
  <c r="J23" i="77"/>
  <c r="K23" i="77" s="1"/>
  <c r="L23" i="77" s="1"/>
</calcChain>
</file>

<file path=xl/sharedStrings.xml><?xml version="1.0" encoding="utf-8"?>
<sst xmlns="http://schemas.openxmlformats.org/spreadsheetml/2006/main" count="110" uniqueCount="69">
  <si>
    <t>Assinaturas</t>
  </si>
  <si>
    <t>-</t>
  </si>
  <si>
    <t>Documento de referência</t>
  </si>
  <si>
    <t>Informações complementar:</t>
  </si>
  <si>
    <t>Procedencia material:</t>
  </si>
  <si>
    <t>Registro da amostra:</t>
  </si>
  <si>
    <t>Material:</t>
  </si>
  <si>
    <t>Data do ensaio:</t>
  </si>
  <si>
    <t>Nº O.S:</t>
  </si>
  <si>
    <t>%</t>
  </si>
  <si>
    <t>Procedimentos do ensaio - Calculos e Resultados</t>
  </si>
  <si>
    <t>Peneiras</t>
  </si>
  <si>
    <t>1ª determinação</t>
  </si>
  <si>
    <t>2ª determinação</t>
  </si>
  <si>
    <t>massa</t>
  </si>
  <si>
    <t>passa</t>
  </si>
  <si>
    <t>retida</t>
  </si>
  <si>
    <t>individual</t>
  </si>
  <si>
    <t>acumul.</t>
  </si>
  <si>
    <t>nº</t>
  </si>
  <si>
    <t>mm</t>
  </si>
  <si>
    <t>(g)</t>
  </si>
  <si>
    <t>Médio</t>
  </si>
  <si>
    <t>3/4"</t>
  </si>
  <si>
    <t>1/2"</t>
  </si>
  <si>
    <t>3/8"</t>
  </si>
  <si>
    <t>4</t>
  </si>
  <si>
    <t>200</t>
  </si>
  <si>
    <t>Fundo (g)</t>
  </si>
  <si>
    <t>Gráfico</t>
  </si>
  <si>
    <t>Verificar se a massa da amostra está de acordo</t>
  </si>
  <si>
    <t>Verificar se o tempo de peneiramento foi suficiente</t>
  </si>
  <si>
    <t>Verificar se a balança está zerada, nivelada</t>
  </si>
  <si>
    <t>Verificar homogenidade da amostra</t>
  </si>
  <si>
    <t>Pontos de Verificação</t>
  </si>
  <si>
    <t>80</t>
  </si>
  <si>
    <t>40</t>
  </si>
  <si>
    <t>10</t>
  </si>
  <si>
    <t>1"</t>
  </si>
  <si>
    <t>1 1/2"</t>
  </si>
  <si>
    <t>2"</t>
  </si>
  <si>
    <t>Estufa</t>
  </si>
  <si>
    <t>Balança</t>
  </si>
  <si>
    <r>
      <t xml:space="preserve">Identificação </t>
    </r>
    <r>
      <rPr>
        <sz val="10"/>
        <rFont val="Tahoma"/>
        <family val="2"/>
      </rPr>
      <t>(nº patrimonial e/ou série)</t>
    </r>
  </si>
  <si>
    <t>Equipamento</t>
  </si>
  <si>
    <t>Equipamentos utilizados</t>
  </si>
  <si>
    <t>Responsável executor:</t>
  </si>
  <si>
    <t>Responsável calculista:</t>
  </si>
  <si>
    <t>1</t>
  </si>
  <si>
    <t>8</t>
  </si>
  <si>
    <t>16</t>
  </si>
  <si>
    <t>30</t>
  </si>
  <si>
    <t>50</t>
  </si>
  <si>
    <t>Massa final seca (g)</t>
  </si>
  <si>
    <t>Massa inicial seca (g)</t>
  </si>
  <si>
    <t>DNIT 412 - Pavimentação - Misturas asfálticas - Análise granulométrica de agregados graúdos e miúdos e misturas de agregados por peneiramento - Método de ensaio.</t>
  </si>
  <si>
    <t xml:space="preserve">Elaborado por: </t>
  </si>
  <si>
    <t xml:space="preserve">Revisado por: </t>
  </si>
  <si>
    <t>Aprovado por: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</si>
  <si>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Análise Granulométrica - SMA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</si>
  <si>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FR-IMOB-12 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</si>
  <si>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</si>
  <si>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</si>
  <si>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</si>
  <si>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t xml:space="preserve">Samara Rodrigues 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</si>
  <si>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</si>
  <si>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t>Thyago Biasin</t>
  </si>
  <si>
    <t>Rheno Tormin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</si>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</sst>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color rgb="FF0000FF"/>
      <name val="Tahoma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1"/>
      <color theme="1"/>
      <name val="Calibri"/>
      <family val="2"/>
      <scheme val="minor"/>
    </font>
    <font>
      <sz val="9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4" fillId="0" borderId="0" xfId="3" applyFont="1" applyAlignment="1">
      <alignment horizontal="left" vertical="center"/>
    </xf>
    <xf numFmtId="0" fontId="4" fillId="0" borderId="0" xfId="3" applyFont="1" applyAlignment="1" applyProtection="1">
      <alignment vertical="center"/>
      <protection hidden="1"/>
    </xf>
    <xf numFmtId="2" fontId="4" fillId="0" borderId="0" xfId="3" applyNumberFormat="1" applyFont="1" applyAlignment="1" applyProtection="1">
      <alignment vertical="center"/>
      <protection hidden="1"/>
    </xf>
    <xf numFmtId="0" fontId="4" fillId="0" borderId="0" xfId="3" applyFont="1" applyAlignment="1" applyProtection="1">
      <alignment horizontal="center" vertical="center"/>
      <protection hidden="1"/>
    </xf>
    <xf numFmtId="0" fontId="6" fillId="0" borderId="14" xfId="3" applyFont="1" applyBorder="1" applyAlignment="1" applyProtection="1">
      <alignment horizontal="center" vertical="center"/>
      <protection hidden="1"/>
    </xf>
    <xf numFmtId="0" fontId="6" fillId="0" borderId="15" xfId="3" applyFont="1" applyBorder="1" applyAlignment="1" applyProtection="1">
      <alignment horizontal="center" vertical="center"/>
      <protection hidden="1"/>
    </xf>
    <xf numFmtId="0" fontId="6" fillId="0" borderId="11" xfId="3" applyFont="1" applyBorder="1" applyAlignment="1" applyProtection="1">
      <alignment horizontal="center" vertical="center"/>
      <protection hidden="1"/>
    </xf>
    <xf numFmtId="0" fontId="6" fillId="0" borderId="8" xfId="3" applyFont="1" applyBorder="1" applyAlignment="1" applyProtection="1">
      <alignment horizontal="center" vertical="center"/>
      <protection hidden="1"/>
    </xf>
    <xf numFmtId="164" fontId="6" fillId="0" borderId="3" xfId="3" applyNumberFormat="1" applyFont="1" applyBorder="1" applyAlignment="1" applyProtection="1">
      <alignment horizontal="center" vertical="center"/>
      <protection hidden="1"/>
    </xf>
    <xf numFmtId="2" fontId="7" fillId="2" borderId="3" xfId="3" applyNumberFormat="1" applyFont="1" applyFill="1" applyBorder="1" applyAlignment="1" applyProtection="1">
      <alignment horizontal="center" vertical="center"/>
      <protection locked="0"/>
    </xf>
    <xf numFmtId="2" fontId="4" fillId="0" borderId="3" xfId="3" applyNumberFormat="1" applyFont="1" applyBorder="1" applyAlignment="1" applyProtection="1">
      <alignment horizontal="center" vertical="center"/>
      <protection hidden="1"/>
    </xf>
    <xf numFmtId="2" fontId="4" fillId="0" borderId="3" xfId="2" applyNumberFormat="1" applyFont="1" applyBorder="1" applyAlignment="1" applyProtection="1">
      <alignment horizontal="center" vertical="center"/>
      <protection hidden="1"/>
    </xf>
    <xf numFmtId="0" fontId="6" fillId="0" borderId="0" xfId="3" applyFont="1" applyAlignment="1" applyProtection="1">
      <alignment vertical="center"/>
      <protection hidden="1"/>
    </xf>
    <xf numFmtId="0" fontId="6" fillId="0" borderId="0" xfId="3" applyFont="1" applyAlignment="1" applyProtection="1">
      <alignment horizontal="center" vertical="center"/>
      <protection hidden="1"/>
    </xf>
    <xf numFmtId="2" fontId="6" fillId="0" borderId="3" xfId="3" applyNumberFormat="1" applyFont="1" applyBorder="1" applyAlignment="1" applyProtection="1">
      <alignment horizontal="center" vertical="center"/>
      <protection hidden="1"/>
    </xf>
    <xf numFmtId="2" fontId="4" fillId="0" borderId="3" xfId="3" applyNumberFormat="1" applyFont="1" applyBorder="1" applyAlignment="1" applyProtection="1">
      <alignment horizontal="center" vertical="center"/>
      <protection locked="0"/>
    </xf>
    <xf numFmtId="0" fontId="4" fillId="0" borderId="14" xfId="3" applyFont="1" applyBorder="1" applyAlignment="1" applyProtection="1">
      <alignment horizontal="left" vertical="center"/>
      <protection hidden="1"/>
    </xf>
    <xf numFmtId="0" fontId="3" fillId="0" borderId="1" xfId="1" applyFont="1" applyBorder="1" applyAlignment="1">
      <alignment vertical="center"/>
    </xf>
    <xf numFmtId="0" fontId="4" fillId="0" borderId="9" xfId="3" applyFont="1" applyBorder="1" applyAlignment="1" applyProtection="1">
      <alignment vertical="center"/>
      <protection locked="0"/>
    </xf>
    <xf numFmtId="0" fontId="4" fillId="0" borderId="0" xfId="3" applyFont="1"/>
    <xf numFmtId="0" fontId="6" fillId="0" borderId="3" xfId="3" applyFont="1" applyBorder="1" applyAlignment="1" applyProtection="1">
      <alignment horizontal="center" vertical="center"/>
      <protection hidden="1"/>
    </xf>
    <xf numFmtId="49" fontId="6" fillId="0" borderId="3" xfId="3" applyNumberFormat="1" applyFont="1" applyBorder="1" applyAlignment="1" applyProtection="1">
      <alignment horizontal="center" vertical="center"/>
      <protection hidden="1"/>
    </xf>
    <xf numFmtId="0" fontId="6" fillId="0" borderId="2" xfId="3" applyFont="1" applyBorder="1" applyAlignment="1" applyProtection="1">
      <alignment horizontal="center" vertical="center"/>
      <protection hidden="1"/>
    </xf>
    <xf numFmtId="0" fontId="6" fillId="0" borderId="15" xfId="3" applyFont="1" applyBorder="1" applyAlignment="1" applyProtection="1">
      <alignment vertical="center"/>
      <protection hidden="1"/>
    </xf>
    <xf numFmtId="0" fontId="6" fillId="0" borderId="7" xfId="3" applyFont="1" applyBorder="1" applyAlignment="1" applyProtection="1">
      <alignment vertical="center"/>
      <protection hidden="1"/>
    </xf>
    <xf numFmtId="0" fontId="6" fillId="3" borderId="3" xfId="1" applyFont="1" applyFill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4" fillId="0" borderId="0" xfId="3" applyFont="1" applyAlignment="1" applyProtection="1">
      <alignment horizontal="left" vertical="center"/>
      <protection hidden="1"/>
    </xf>
    <xf numFmtId="0" fontId="3" fillId="0" borderId="0" xfId="1" applyFont="1" applyAlignment="1">
      <alignment horizontal="left" vertical="center"/>
    </xf>
    <xf numFmtId="2" fontId="7" fillId="2" borderId="0" xfId="1" applyNumberFormat="1" applyFont="1" applyFill="1" applyAlignment="1">
      <alignment horizontal="center" vertical="center"/>
    </xf>
    <xf numFmtId="0" fontId="4" fillId="0" borderId="3" xfId="3" applyFont="1" applyBorder="1" applyAlignment="1" applyProtection="1">
      <alignment horizontal="center" vertical="center"/>
      <protection hidden="1"/>
    </xf>
    <xf numFmtId="49" fontId="4" fillId="0" borderId="3" xfId="3" applyNumberFormat="1" applyFont="1" applyBorder="1" applyAlignment="1" applyProtection="1">
      <alignment horizontal="center" vertical="center"/>
      <protection hidden="1"/>
    </xf>
    <xf numFmtId="164" fontId="4" fillId="0" borderId="3" xfId="3" applyNumberFormat="1" applyFont="1" applyBorder="1" applyAlignment="1" applyProtection="1">
      <alignment horizontal="center" vertical="center"/>
      <protection hidden="1"/>
    </xf>
    <xf numFmtId="2" fontId="7" fillId="4" borderId="10" xfId="1" applyNumberFormat="1" applyFont="1" applyFill="1" applyBorder="1" applyAlignment="1">
      <alignment horizontal="center" vertical="center"/>
    </xf>
    <xf numFmtId="2" fontId="7" fillId="4" borderId="3" xfId="1" applyNumberFormat="1" applyFont="1" applyFill="1" applyBorder="1" applyAlignment="1">
      <alignment horizontal="center" vertical="center"/>
    </xf>
    <xf numFmtId="0" fontId="4" fillId="4" borderId="6" xfId="3" applyFont="1" applyFill="1" applyBorder="1" applyAlignment="1" applyProtection="1">
      <alignment horizontal="left" vertical="center"/>
      <protection hidden="1"/>
    </xf>
    <xf numFmtId="0" fontId="4" fillId="0" borderId="13" xfId="3" applyFont="1" applyBorder="1" applyAlignment="1" applyProtection="1">
      <alignment horizontal="center" vertical="center"/>
      <protection hidden="1"/>
    </xf>
    <xf numFmtId="0" fontId="8" fillId="4" borderId="6" xfId="3" applyFont="1" applyFill="1" applyBorder="1" applyAlignment="1">
      <alignment horizontal="left" vertical="center"/>
    </xf>
    <xf numFmtId="0" fontId="8" fillId="4" borderId="5" xfId="3" applyFont="1" applyFill="1" applyBorder="1" applyAlignment="1">
      <alignment horizontal="left" vertical="center"/>
    </xf>
    <xf numFmtId="0" fontId="6" fillId="4" borderId="5" xfId="3" applyFont="1" applyFill="1" applyBorder="1" applyAlignment="1">
      <alignment horizontal="left" vertical="center"/>
    </xf>
    <xf numFmtId="0" fontId="6" fillId="4" borderId="10" xfId="3" applyFont="1" applyFill="1" applyBorder="1" applyAlignment="1">
      <alignment horizontal="left" vertical="center"/>
    </xf>
    <xf numFmtId="0" fontId="8" fillId="4" borderId="10" xfId="3" applyFont="1" applyFill="1" applyBorder="1" applyAlignment="1">
      <alignment horizontal="left" vertical="center"/>
    </xf>
    <xf numFmtId="0" fontId="16" fillId="0" borderId="5" xfId="3" applyFont="1" applyBorder="1" applyAlignment="1" applyProtection="1">
      <alignment horizontal="left" vertical="center"/>
      <protection locked="0"/>
    </xf>
    <xf numFmtId="49" fontId="6" fillId="0" borderId="3" xfId="3" applyNumberFormat="1" applyFont="1" applyBorder="1" applyAlignment="1" applyProtection="1">
      <alignment horizontal="center" vertical="center"/>
      <protection hidden="1"/>
    </xf>
    <xf numFmtId="0" fontId="6" fillId="0" borderId="7" xfId="3" applyFont="1" applyBorder="1" applyAlignment="1" applyProtection="1">
      <alignment horizontal="center" vertical="center"/>
      <protection hidden="1"/>
    </xf>
    <xf numFmtId="0" fontId="6" fillId="0" borderId="15" xfId="3" applyFont="1" applyBorder="1" applyAlignment="1" applyProtection="1">
      <alignment horizontal="center" vertical="center"/>
      <protection hidden="1"/>
    </xf>
    <xf numFmtId="0" fontId="6" fillId="0" borderId="3" xfId="3" applyFont="1" applyBorder="1" applyAlignment="1" applyProtection="1">
      <alignment horizontal="center" vertical="center"/>
      <protection hidden="1"/>
    </xf>
    <xf numFmtId="0" fontId="6" fillId="0" borderId="6" xfId="3" applyFont="1" applyBorder="1" applyAlignment="1" applyProtection="1">
      <alignment horizontal="center" vertical="center"/>
      <protection hidden="1"/>
    </xf>
    <xf numFmtId="0" fontId="6" fillId="0" borderId="5" xfId="3" applyFont="1" applyBorder="1" applyAlignment="1" applyProtection="1">
      <alignment horizontal="center" vertical="center"/>
      <protection hidden="1"/>
    </xf>
    <xf numFmtId="0" fontId="6" fillId="0" borderId="10" xfId="3" applyFont="1" applyBorder="1" applyAlignment="1" applyProtection="1">
      <alignment horizontal="center" vertical="center"/>
      <protection hidden="1"/>
    </xf>
    <xf numFmtId="2" fontId="4" fillId="0" borderId="3" xfId="3" applyNumberFormat="1" applyFont="1" applyBorder="1" applyAlignment="1" applyProtection="1">
      <alignment horizontal="center" vertical="center"/>
      <protection hidden="1"/>
    </xf>
    <xf numFmtId="0" fontId="12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4" fillId="0" borderId="5" xfId="3" applyFont="1" applyBorder="1" applyAlignment="1" applyProtection="1">
      <alignment horizontal="left" vertical="center" wrapText="1"/>
      <protection locked="0"/>
    </xf>
    <xf numFmtId="0" fontId="18" fillId="5" borderId="6" xfId="1" applyFont="1" applyFill="1" applyBorder="1" applyAlignment="1">
      <alignment horizontal="center" vertical="center"/>
    </xf>
    <xf numFmtId="0" fontId="18" fillId="5" borderId="5" xfId="1" applyFont="1" applyFill="1" applyBorder="1" applyAlignment="1">
      <alignment horizontal="center" vertical="center"/>
    </xf>
    <xf numFmtId="0" fontId="18" fillId="5" borderId="10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18" fillId="5" borderId="14" xfId="1" applyFont="1" applyFill="1" applyBorder="1" applyAlignment="1">
      <alignment horizontal="center" vertical="center"/>
    </xf>
    <xf numFmtId="0" fontId="18" fillId="5" borderId="0" xfId="1" applyFont="1" applyFill="1" applyAlignment="1">
      <alignment horizontal="center" vertical="center"/>
    </xf>
    <xf numFmtId="0" fontId="18" fillId="5" borderId="13" xfId="1" applyFont="1" applyFill="1" applyBorder="1" applyAlignment="1">
      <alignment horizontal="center" vertical="center"/>
    </xf>
    <xf numFmtId="0" fontId="6" fillId="0" borderId="12" xfId="3" applyFont="1" applyBorder="1" applyAlignment="1" applyProtection="1">
      <alignment horizontal="center" vertical="center"/>
      <protection hidden="1"/>
    </xf>
    <xf numFmtId="0" fontId="6" fillId="0" borderId="9" xfId="3" applyFont="1" applyBorder="1" applyAlignment="1" applyProtection="1">
      <alignment horizontal="center" vertical="center"/>
      <protection hidden="1"/>
    </xf>
    <xf numFmtId="0" fontId="6" fillId="0" borderId="14" xfId="3" applyFont="1" applyBorder="1" applyAlignment="1" applyProtection="1">
      <alignment horizontal="center" vertical="center"/>
      <protection hidden="1"/>
    </xf>
    <xf numFmtId="0" fontId="6" fillId="0" borderId="13" xfId="3" applyFont="1" applyBorder="1" applyAlignment="1" applyProtection="1">
      <alignment horizontal="center" vertical="center"/>
      <protection hidden="1"/>
    </xf>
    <xf numFmtId="2" fontId="4" fillId="0" borderId="3" xfId="2" applyNumberFormat="1" applyFont="1" applyBorder="1" applyAlignment="1" applyProtection="1">
      <alignment horizontal="center" vertical="center"/>
      <protection hidden="1"/>
    </xf>
    <xf numFmtId="0" fontId="15" fillId="4" borderId="1" xfId="3" applyFont="1" applyFill="1" applyBorder="1" applyAlignment="1" applyProtection="1">
      <alignment horizontal="center" vertical="center"/>
      <protection locked="0" hidden="1"/>
    </xf>
    <xf numFmtId="0" fontId="14" fillId="4" borderId="1" xfId="3" applyFont="1" applyFill="1" applyBorder="1" applyAlignment="1" applyProtection="1">
      <alignment horizontal="left" vertical="center"/>
      <protection locked="0" hidden="1"/>
    </xf>
    <xf numFmtId="0" fontId="15" fillId="4" borderId="5" xfId="3" applyFont="1" applyFill="1" applyBorder="1" applyAlignment="1" applyProtection="1">
      <alignment horizontal="center" vertical="center"/>
      <protection locked="0" hidden="1"/>
    </xf>
    <xf numFmtId="0" fontId="14" fillId="4" borderId="5" xfId="3" applyFont="1" applyFill="1" applyBorder="1" applyAlignment="1" applyProtection="1">
      <alignment horizontal="left" vertical="center"/>
      <protection locked="0" hidden="1"/>
    </xf>
    <xf numFmtId="0" fontId="5" fillId="0" borderId="6" xfId="1" applyFont="1" applyBorder="1" applyAlignment="1">
      <alignment horizontal="center" vertical="top"/>
    </xf>
    <xf numFmtId="0" fontId="5" fillId="0" borderId="5" xfId="1" applyFont="1" applyBorder="1" applyAlignment="1">
      <alignment horizontal="center" vertical="top"/>
    </xf>
    <xf numFmtId="0" fontId="8" fillId="4" borderId="12" xfId="3" applyFont="1" applyFill="1" applyBorder="1" applyAlignment="1">
      <alignment horizontal="left" vertical="top"/>
    </xf>
    <xf numFmtId="0" fontId="8" fillId="4" borderId="1" xfId="3" applyFont="1" applyFill="1" applyBorder="1" applyAlignment="1">
      <alignment horizontal="left" vertical="top"/>
    </xf>
    <xf numFmtId="0" fontId="8" fillId="4" borderId="9" xfId="3" applyFont="1" applyFill="1" applyBorder="1" applyAlignment="1">
      <alignment horizontal="left" vertical="top"/>
    </xf>
    <xf numFmtId="0" fontId="8" fillId="4" borderId="8" xfId="3" applyFont="1" applyFill="1" applyBorder="1" applyAlignment="1">
      <alignment horizontal="left" vertical="top"/>
    </xf>
    <xf numFmtId="0" fontId="8" fillId="4" borderId="2" xfId="3" applyFont="1" applyFill="1" applyBorder="1" applyAlignment="1">
      <alignment horizontal="left" vertical="top"/>
    </xf>
    <xf numFmtId="0" fontId="8" fillId="4" borderId="4" xfId="3" applyFont="1" applyFill="1" applyBorder="1" applyAlignment="1">
      <alignment horizontal="left" vertical="top"/>
    </xf>
    <xf numFmtId="0" fontId="3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49" fontId="15" fillId="4" borderId="1" xfId="3" applyNumberFormat="1" applyFont="1" applyFill="1" applyBorder="1" applyAlignment="1" applyProtection="1">
      <alignment horizontal="center" vertical="center"/>
      <protection locked="0" hidden="1"/>
    </xf>
    <xf numFmtId="2" fontId="12" fillId="4" borderId="1" xfId="3" applyNumberFormat="1" applyFont="1" applyFill="1" applyBorder="1" applyAlignment="1" applyProtection="1">
      <alignment horizontal="left" vertical="center"/>
      <protection locked="0"/>
    </xf>
    <xf numFmtId="0" fontId="6" fillId="3" borderId="3" xfId="1" applyFont="1" applyFill="1" applyBorder="1" applyAlignment="1">
      <alignment horizontal="center" vertical="center"/>
    </xf>
    <xf numFmtId="0" fontId="6" fillId="0" borderId="8" xfId="3" applyFont="1" applyBorder="1" applyAlignment="1" applyProtection="1">
      <alignment horizontal="center" vertical="center"/>
      <protection hidden="1"/>
    </xf>
    <xf numFmtId="0" fontId="6" fillId="0" borderId="4" xfId="3" applyFont="1" applyBorder="1" applyAlignment="1" applyProtection="1">
      <alignment horizontal="center" vertical="center"/>
      <protection hidden="1"/>
    </xf>
    <xf numFmtId="0" fontId="4" fillId="0" borderId="0" xfId="3" applyFont="1" applyAlignment="1" applyProtection="1">
      <alignment horizontal="center" vertical="center"/>
      <protection hidden="1"/>
    </xf>
    <xf numFmtId="0" fontId="11" fillId="0" borderId="5" xfId="3" applyFont="1" applyBorder="1" applyAlignment="1" applyProtection="1">
      <alignment horizontal="left" vertical="center" wrapText="1"/>
      <protection hidden="1"/>
    </xf>
    <xf numFmtId="0" fontId="11" fillId="0" borderId="10" xfId="3" applyFont="1" applyBorder="1" applyAlignment="1" applyProtection="1">
      <alignment horizontal="left" vertical="center" wrapText="1"/>
      <protection hidden="1"/>
    </xf>
    <xf numFmtId="0" fontId="4" fillId="0" borderId="12" xfId="3" applyFont="1" applyBorder="1" applyAlignment="1" applyProtection="1">
      <alignment horizontal="center" vertical="center"/>
      <protection hidden="1"/>
    </xf>
    <xf numFmtId="0" fontId="4" fillId="0" borderId="1" xfId="3" applyFont="1" applyBorder="1" applyAlignment="1" applyProtection="1">
      <alignment horizontal="center" vertical="center"/>
      <protection hidden="1"/>
    </xf>
    <xf numFmtId="0" fontId="4" fillId="0" borderId="9" xfId="3" applyFont="1" applyBorder="1" applyAlignment="1" applyProtection="1">
      <alignment horizontal="center" vertical="center"/>
      <protection hidden="1"/>
    </xf>
    <xf numFmtId="0" fontId="9" fillId="0" borderId="14" xfId="3" applyFont="1" applyBorder="1" applyAlignment="1" applyProtection="1">
      <alignment horizontal="center" vertical="center" wrapText="1"/>
      <protection hidden="1"/>
    </xf>
    <xf numFmtId="0" fontId="9" fillId="0" borderId="0" xfId="3" applyFont="1" applyAlignment="1" applyProtection="1">
      <alignment horizontal="center" vertical="center" wrapText="1"/>
      <protection hidden="1"/>
    </xf>
    <xf numFmtId="0" fontId="9" fillId="0" borderId="13" xfId="3" applyFont="1" applyBorder="1" applyAlignment="1" applyProtection="1">
      <alignment horizontal="center" vertical="center" wrapText="1"/>
      <protection hidden="1"/>
    </xf>
    <xf numFmtId="0" fontId="18" fillId="5" borderId="6" xfId="3" applyFont="1" applyFill="1" applyBorder="1" applyAlignment="1" applyProtection="1">
      <alignment horizontal="center" vertical="center"/>
      <protection hidden="1"/>
    </xf>
    <xf numFmtId="0" fontId="18" fillId="5" borderId="5" xfId="3" applyFont="1" applyFill="1" applyBorder="1" applyAlignment="1">
      <alignment vertical="center"/>
    </xf>
    <xf numFmtId="0" fontId="18" fillId="5" borderId="10" xfId="3" applyFont="1" applyFill="1" applyBorder="1" applyAlignment="1">
      <alignment vertical="center"/>
    </xf>
    <xf numFmtId="0" fontId="4" fillId="0" borderId="3" xfId="3" applyFont="1" applyBorder="1" applyAlignment="1" applyProtection="1">
      <alignment horizontal="center" vertical="center"/>
      <protection hidden="1"/>
    </xf>
    <xf numFmtId="0" fontId="18" fillId="5" borderId="5" xfId="3" applyFont="1" applyFill="1" applyBorder="1" applyAlignment="1" applyProtection="1">
      <alignment horizontal="center" vertical="center"/>
      <protection hidden="1"/>
    </xf>
    <xf numFmtId="0" fontId="18" fillId="5" borderId="10" xfId="3" applyFont="1" applyFill="1" applyBorder="1" applyAlignment="1" applyProtection="1">
      <alignment horizontal="center" vertical="center"/>
      <protection hidden="1"/>
    </xf>
    <xf numFmtId="0" fontId="2" fillId="0" borderId="0" xfId="1" applyFont="1" applyAlignment="1">
      <alignment vertical="center"/>
    </xf>
    <xf numFmtId="0" fontId="8" fillId="0" borderId="5" xfId="3" applyFont="1" applyBorder="1" applyAlignment="1">
      <alignment horizontal="center" vertical="center"/>
    </xf>
    <xf numFmtId="0" fontId="9" fillId="0" borderId="8" xfId="3" applyFont="1" applyBorder="1" applyAlignment="1" applyProtection="1">
      <alignment horizontal="center" vertical="center" wrapText="1"/>
      <protection hidden="1"/>
    </xf>
    <xf numFmtId="0" fontId="9" fillId="0" borderId="2" xfId="3" applyFont="1" applyBorder="1" applyAlignment="1" applyProtection="1">
      <alignment horizontal="center" vertical="center" wrapText="1"/>
      <protection hidden="1"/>
    </xf>
    <xf numFmtId="0" fontId="9" fillId="0" borderId="4" xfId="3" applyFont="1" applyBorder="1" applyAlignment="1" applyProtection="1">
      <alignment horizontal="center" vertical="center" wrapText="1"/>
      <protection hidden="1"/>
    </xf>
    <xf numFmtId="0" fontId="6" fillId="0" borderId="3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</cellXfs>
  <cellStyles count="7">
    <cellStyle name="Normal" xfId="0" builtinId="0"/>
    <cellStyle name="Normal 2 2" xfId="3" xr:uid="{0CC17339-1F5D-4008-AB1E-679BE691EB7B}"/>
    <cellStyle name="Normal 6" xfId="5" xr:uid="{8BBC34DC-4554-4BE1-8C45-159EC9F8FE82}"/>
    <cellStyle name="Normal 9 2" xfId="1" xr:uid="{79ACCD01-9EF4-46F7-8DA6-D7BD09C57C92}"/>
    <cellStyle name="Porcentagem 2" xfId="2" xr:uid="{B641A033-BBF9-4ADA-B650-6CE1B0FFFE31}"/>
    <cellStyle name="Porcentagem 2 2" xfId="4" xr:uid="{9CA42229-405C-4934-97BF-6B286B05C735}"/>
    <cellStyle name="Vírgula 2" xfId="6" xr:uid="{7EE8E8B9-5EA3-41F3-87AF-54A6032385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4090226787765"/>
          <c:y val="6.2045428282422155E-2"/>
          <c:w val="0.75734157650695522"/>
          <c:h val="0.83176039794624645"/>
        </c:manualLayout>
      </c:layout>
      <c:scatterChart>
        <c:scatterStyle val="lineMarker"/>
        <c:varyColors val="0"/>
        <c:ser>
          <c:idx val="0"/>
          <c:order val="0"/>
          <c:tx>
            <c:v>% passa acumulado médio</c:v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'FR-IMOB-12_Rev00'!$C$20:$C$29</c:f>
              <c:numCache>
                <c:formatCode>0.0</c:formatCode>
                <c:ptCount val="10"/>
                <c:pt idx="0">
                  <c:v>25.4</c:v>
                </c:pt>
                <c:pt idx="1">
                  <c:v>19.100000000000001</c:v>
                </c:pt>
                <c:pt idx="2">
                  <c:v>12.7</c:v>
                </c:pt>
                <c:pt idx="3">
                  <c:v>9.5</c:v>
                </c:pt>
                <c:pt idx="4">
                  <c:v>4.75</c:v>
                </c:pt>
                <c:pt idx="5">
                  <c:v>2.36</c:v>
                </c:pt>
                <c:pt idx="6" formatCode="0.00">
                  <c:v>1.18</c:v>
                </c:pt>
                <c:pt idx="7" formatCode="0.00">
                  <c:v>0.6</c:v>
                </c:pt>
                <c:pt idx="8" formatCode="0.00">
                  <c:v>0.33</c:v>
                </c:pt>
                <c:pt idx="9" formatCode="General">
                  <c:v>7.4999999999999997E-2</c:v>
                </c:pt>
              </c:numCache>
            </c:numRef>
          </c:xVal>
          <c:yVal>
            <c:numRef>
              <c:f>'FR-IMOB-12_Rev00'!$L$20:$L$29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3-4B71-A08A-894B9EAD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6.1823785788244358E-2"/>
              <c:y val="0.36236933797909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655982</xdr:colOff>
      <xdr:row>33</xdr:row>
      <xdr:rowOff>145774</xdr:rowOff>
    </xdr:from>
    <xdr:to>
      <xdr:col>10</xdr:col>
      <xdr:colOff>797339</xdr:colOff>
      <xdr:row>48</xdr:row>
      <xdr:rowOff>139148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362605</xdr:colOff>
      <xdr:row>0</xdr:row>
      <xdr:rowOff>56029</xdr:rowOff>
    </xdr:from>
    <xdr:to>
      <xdr:col>13</xdr:col>
      <xdr:colOff>15383</xdr:colOff>
      <xdr:row>0</xdr:row>
      <xdr:rowOff>807943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DECF77F-4ED0-4677-A61C-9BA3C587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8487" y="56029"/>
          <a:ext cx="1490542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19</xdr:row>
          <xdr:rowOff>31750</xdr:rowOff>
        </xdr:from>
        <xdr:to>
          <xdr:col>0</xdr:col>
          <xdr:colOff>647700</xdr:colOff>
          <xdr:row>19</xdr:row>
          <xdr:rowOff>247650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20</xdr:row>
          <xdr:rowOff>31750</xdr:rowOff>
        </xdr:from>
        <xdr:to>
          <xdr:col>0</xdr:col>
          <xdr:colOff>647700</xdr:colOff>
          <xdr:row>20</xdr:row>
          <xdr:rowOff>247650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21</xdr:row>
          <xdr:rowOff>31750</xdr:rowOff>
        </xdr:from>
        <xdr:to>
          <xdr:col>0</xdr:col>
          <xdr:colOff>647700</xdr:colOff>
          <xdr:row>21</xdr:row>
          <xdr:rowOff>247650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22</xdr:row>
          <xdr:rowOff>31750</xdr:rowOff>
        </xdr:from>
        <xdr:to>
          <xdr:col>0</xdr:col>
          <xdr:colOff>647700</xdr:colOff>
          <xdr:row>22</xdr:row>
          <xdr:rowOff>247650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4565-2FD6-403F-AC25-88283D156D89}">
  <sheetPr>
    <pageSetUpPr fitToPage="1"/>
  </sheetPr>
  <dimension ref="B1:AQ56"/>
  <sheetViews>
    <sheetView showGridLines="0" tabSelected="1" view="pageBreakPreview" zoomScaleNormal="85" zoomScaleSheetLayoutView="100" workbookViewId="0">
      <selection activeCell="AD5" sqref="AD5"/>
    </sheetView>
  </sheetViews>
  <sheetFormatPr defaultColWidth="2.7265625" defaultRowHeight="12.5" x14ac:dyDescent="0.35"/>
  <cols>
    <col min="1" max="1" width="2.7265625" style="2"/>
    <col min="2" max="12" width="11.7265625" style="2" customWidth="1"/>
    <col min="13" max="37" width="2.7265625" style="2"/>
    <col min="38" max="38" width="10.1796875" style="1" customWidth="1"/>
    <col min="39" max="40" width="26.81640625" style="1" customWidth="1"/>
    <col min="41" max="43" width="21.453125" style="1" customWidth="1"/>
    <col min="44" max="16384" width="2.7265625" style="2"/>
  </cols>
  <sheetData>
    <row r="1" spans="2:36" ht="66" customHeight="1" x14ac:dyDescent="0.3">
      <c r="B1" s="53" t="s">
        <v>59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2:36" ht="12.5" customHeight="1" x14ac:dyDescent="0.35"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2:36" ht="30" customHeight="1" x14ac:dyDescent="0.35">
      <c r="B3" s="54" t="s">
        <v>61</v>
      </c>
      <c r="C3" s="54"/>
      <c r="D3" s="54"/>
      <c r="E3" s="54"/>
      <c r="F3" s="54"/>
      <c r="G3" s="54"/>
      <c r="H3" s="54"/>
      <c r="I3" s="55" t="s">
        <v>60</v>
      </c>
      <c r="J3" s="55"/>
      <c r="K3" s="55"/>
      <c r="L3" s="55"/>
      <c r="M3" s="55"/>
    </row>
    <row r="4" spans="2:36" ht="30" customHeight="1" x14ac:dyDescent="0.35">
      <c r="B4" s="55" t="s">
        <v>68</v>
      </c>
      <c r="C4" s="55"/>
      <c r="D4" s="55"/>
      <c r="E4" s="55"/>
      <c r="F4" s="55"/>
      <c r="G4" s="55"/>
      <c r="H4" s="55"/>
      <c r="I4" s="55" t="s">
        <v>63</v>
      </c>
      <c r="J4" s="55"/>
      <c r="K4" s="55"/>
      <c r="L4" s="55"/>
      <c r="M4" s="55"/>
    </row>
    <row r="5" spans="2:36" s="1" customFormat="1" ht="31.5" customHeight="1" x14ac:dyDescent="0.35">
      <c r="B5" s="44" t="s">
        <v>62</v>
      </c>
      <c r="C5" s="44"/>
      <c r="D5" s="44"/>
      <c r="E5" s="44"/>
      <c r="F5" s="44"/>
      <c r="G5" s="44"/>
      <c r="H5" s="44"/>
      <c r="I5" s="44" t="s">
        <v>65</v>
      </c>
      <c r="J5" s="44"/>
      <c r="K5" s="44"/>
      <c r="L5" s="44"/>
      <c r="M5" s="44"/>
    </row>
    <row r="6" spans="2:36" s="1" customFormat="1" ht="15" customHeight="1" x14ac:dyDescent="0.35"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</row>
    <row r="7" spans="2:36" s="1" customFormat="1" ht="26.25" customHeight="1" x14ac:dyDescent="0.35">
      <c r="B7" s="39" t="s">
        <v>8</v>
      </c>
      <c r="C7" s="40"/>
      <c r="D7" s="40"/>
      <c r="E7" s="40"/>
      <c r="F7" s="40"/>
      <c r="G7" s="41" t="s">
        <v>7</v>
      </c>
      <c r="H7" s="41"/>
      <c r="I7" s="41"/>
      <c r="J7" s="41"/>
      <c r="K7" s="41"/>
      <c r="L7" s="41"/>
      <c r="M7" s="42"/>
    </row>
    <row r="8" spans="2:36" s="1" customFormat="1" ht="26.25" customHeight="1" x14ac:dyDescent="0.35">
      <c r="B8" s="39" t="s">
        <v>6</v>
      </c>
      <c r="C8" s="40"/>
      <c r="D8" s="40"/>
      <c r="E8" s="40"/>
      <c r="F8" s="40"/>
      <c r="G8" s="41" t="s">
        <v>5</v>
      </c>
      <c r="H8" s="41"/>
      <c r="I8" s="41"/>
      <c r="J8" s="41"/>
      <c r="K8" s="41"/>
      <c r="L8" s="41"/>
      <c r="M8" s="42"/>
    </row>
    <row r="9" spans="2:36" s="1" customFormat="1" ht="26.25" customHeight="1" x14ac:dyDescent="0.35">
      <c r="B9" s="39" t="s">
        <v>4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3"/>
    </row>
    <row r="10" spans="2:36" s="1" customFormat="1" ht="26.25" customHeight="1" x14ac:dyDescent="0.35">
      <c r="B10" s="76" t="s">
        <v>3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8"/>
    </row>
    <row r="11" spans="2:36" s="1" customFormat="1" ht="26.25" customHeight="1" x14ac:dyDescent="0.35"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1"/>
    </row>
    <row r="12" spans="2:36" s="1" customFormat="1" ht="22.5" customHeight="1" x14ac:dyDescent="0.35">
      <c r="B12" s="56" t="s">
        <v>2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/>
    </row>
    <row r="13" spans="2:36" s="1" customFormat="1" ht="31.5" customHeight="1" x14ac:dyDescent="0.35">
      <c r="B13" s="59" t="s">
        <v>55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</row>
    <row r="14" spans="2:36" s="1" customFormat="1" ht="22.5" customHeight="1" x14ac:dyDescent="0.35">
      <c r="B14" s="62" t="s">
        <v>10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4"/>
    </row>
    <row r="15" spans="2:36" ht="17.25" customHeight="1" x14ac:dyDescent="0.35">
      <c r="B15" s="46" t="s">
        <v>11</v>
      </c>
      <c r="C15" s="25"/>
      <c r="D15" s="48" t="s">
        <v>12</v>
      </c>
      <c r="E15" s="48"/>
      <c r="F15" s="48"/>
      <c r="G15" s="48"/>
      <c r="H15" s="49" t="s">
        <v>13</v>
      </c>
      <c r="I15" s="50"/>
      <c r="J15" s="50"/>
      <c r="K15" s="51"/>
      <c r="L15" s="65" t="s">
        <v>9</v>
      </c>
      <c r="M15" s="66"/>
      <c r="Q15" s="3"/>
      <c r="AJ15" s="4"/>
    </row>
    <row r="16" spans="2:36" ht="17.25" customHeight="1" x14ac:dyDescent="0.35">
      <c r="B16" s="47"/>
      <c r="C16" s="24"/>
      <c r="D16" s="14" t="s">
        <v>14</v>
      </c>
      <c r="E16" s="5" t="s">
        <v>14</v>
      </c>
      <c r="F16" s="5" t="s">
        <v>9</v>
      </c>
      <c r="G16" s="5" t="s">
        <v>9</v>
      </c>
      <c r="H16" s="5" t="s">
        <v>14</v>
      </c>
      <c r="I16" s="5" t="s">
        <v>14</v>
      </c>
      <c r="J16" s="5" t="s">
        <v>9</v>
      </c>
      <c r="K16" s="5" t="s">
        <v>9</v>
      </c>
      <c r="L16" s="67" t="s">
        <v>15</v>
      </c>
      <c r="M16" s="68"/>
    </row>
    <row r="17" spans="2:43" ht="17.25" customHeight="1" x14ac:dyDescent="0.35">
      <c r="B17" s="24"/>
      <c r="C17" s="24"/>
      <c r="D17" s="14" t="s">
        <v>16</v>
      </c>
      <c r="E17" s="5" t="s">
        <v>16</v>
      </c>
      <c r="F17" s="5" t="s">
        <v>16</v>
      </c>
      <c r="G17" s="5" t="s">
        <v>15</v>
      </c>
      <c r="H17" s="5" t="s">
        <v>16</v>
      </c>
      <c r="I17" s="5" t="s">
        <v>16</v>
      </c>
      <c r="J17" s="5" t="s">
        <v>16</v>
      </c>
      <c r="K17" s="5" t="s">
        <v>15</v>
      </c>
      <c r="L17" s="67"/>
      <c r="M17" s="68"/>
    </row>
    <row r="18" spans="2:43" ht="17.25" customHeight="1" x14ac:dyDescent="0.35">
      <c r="B18" s="6"/>
      <c r="C18" s="6"/>
      <c r="D18" s="14" t="s">
        <v>17</v>
      </c>
      <c r="E18" s="5" t="s">
        <v>18</v>
      </c>
      <c r="F18" s="5" t="s">
        <v>18</v>
      </c>
      <c r="G18" s="5"/>
      <c r="H18" s="5" t="s">
        <v>17</v>
      </c>
      <c r="I18" s="5" t="s">
        <v>18</v>
      </c>
      <c r="J18" s="5" t="s">
        <v>18</v>
      </c>
      <c r="K18" s="5"/>
      <c r="L18" s="67"/>
      <c r="M18" s="68"/>
    </row>
    <row r="19" spans="2:43" ht="17.25" customHeight="1" x14ac:dyDescent="0.35">
      <c r="B19" s="7" t="s">
        <v>19</v>
      </c>
      <c r="C19" s="7" t="s">
        <v>20</v>
      </c>
      <c r="D19" s="23" t="s">
        <v>21</v>
      </c>
      <c r="E19" s="8" t="s">
        <v>21</v>
      </c>
      <c r="F19" s="8"/>
      <c r="G19" s="8"/>
      <c r="H19" s="8" t="s">
        <v>21</v>
      </c>
      <c r="I19" s="8" t="s">
        <v>21</v>
      </c>
      <c r="J19" s="8"/>
      <c r="K19" s="8"/>
      <c r="L19" s="88" t="s">
        <v>22</v>
      </c>
      <c r="M19" s="89"/>
    </row>
    <row r="20" spans="2:43" s="13" customFormat="1" ht="17.25" customHeight="1" x14ac:dyDescent="0.35">
      <c r="B20" s="22" t="s">
        <v>48</v>
      </c>
      <c r="C20" s="9">
        <v>25.4</v>
      </c>
      <c r="D20" s="10"/>
      <c r="E20" s="11" t="str">
        <f>IF(D20="","",D20)</f>
        <v/>
      </c>
      <c r="F20" s="12" t="str">
        <f t="shared" ref="F20:F30" si="0">IF(D20="","",(E20/$D$32)*100)</f>
        <v/>
      </c>
      <c r="G20" s="12" t="str">
        <f t="shared" ref="G20:G29" si="1">IF(D20="","",100-F20)</f>
        <v/>
      </c>
      <c r="H20" s="10"/>
      <c r="I20" s="11" t="str">
        <f>IF(H20="","",H20)</f>
        <v/>
      </c>
      <c r="J20" s="12" t="str">
        <f>IF(H20="","",(I20/$E$30)*100)</f>
        <v/>
      </c>
      <c r="K20" s="12" t="str">
        <f t="shared" ref="K20:K29" si="2">IF(H20="","",100-J20)</f>
        <v/>
      </c>
      <c r="L20" s="69" t="str">
        <f t="shared" ref="L20:L29" si="3">IF(SUM(G20,K20)=0,"",AVERAGE(G20,K20))</f>
        <v/>
      </c>
      <c r="M20" s="69"/>
      <c r="AC20" s="14"/>
      <c r="AL20" s="1"/>
      <c r="AM20" s="1"/>
      <c r="AN20" s="1"/>
      <c r="AO20" s="1"/>
      <c r="AP20" s="1"/>
      <c r="AQ20" s="1"/>
    </row>
    <row r="21" spans="2:43" s="13" customFormat="1" ht="17.25" customHeight="1" x14ac:dyDescent="0.35">
      <c r="B21" s="22" t="s">
        <v>23</v>
      </c>
      <c r="C21" s="9">
        <v>19.100000000000001</v>
      </c>
      <c r="D21" s="10"/>
      <c r="E21" s="11" t="str">
        <f t="shared" ref="E21:E30" si="4">IF(D21="","",D21+E20)</f>
        <v/>
      </c>
      <c r="F21" s="12" t="str">
        <f t="shared" si="0"/>
        <v/>
      </c>
      <c r="G21" s="12" t="str">
        <f t="shared" si="1"/>
        <v/>
      </c>
      <c r="H21" s="10"/>
      <c r="I21" s="11" t="str">
        <f t="shared" ref="I21:I30" si="5">IF(H21="","",H21+I20)</f>
        <v/>
      </c>
      <c r="J21" s="12" t="str">
        <f>IF(H21="","",(I21/$E$30)*100)</f>
        <v/>
      </c>
      <c r="K21" s="12" t="str">
        <f t="shared" si="2"/>
        <v/>
      </c>
      <c r="L21" s="69" t="str">
        <f t="shared" si="3"/>
        <v/>
      </c>
      <c r="M21" s="69"/>
      <c r="AC21" s="14"/>
      <c r="AL21" s="1"/>
      <c r="AM21" s="1"/>
      <c r="AN21" s="1"/>
      <c r="AO21" s="1"/>
      <c r="AP21" s="1"/>
      <c r="AQ21" s="1"/>
    </row>
    <row r="22" spans="2:43" s="13" customFormat="1" ht="17.25" customHeight="1" x14ac:dyDescent="0.35">
      <c r="B22" s="22" t="s">
        <v>24</v>
      </c>
      <c r="C22" s="9">
        <v>12.7</v>
      </c>
      <c r="D22" s="10"/>
      <c r="E22" s="11" t="str">
        <f t="shared" si="4"/>
        <v/>
      </c>
      <c r="F22" s="12" t="str">
        <f t="shared" si="0"/>
        <v/>
      </c>
      <c r="G22" s="12" t="str">
        <f t="shared" si="1"/>
        <v/>
      </c>
      <c r="H22" s="10"/>
      <c r="I22" s="11" t="str">
        <f t="shared" si="5"/>
        <v/>
      </c>
      <c r="J22" s="12" t="str">
        <f>IF(H22="","",(I22/$E$30)*100)</f>
        <v/>
      </c>
      <c r="K22" s="12" t="str">
        <f t="shared" si="2"/>
        <v/>
      </c>
      <c r="L22" s="69" t="str">
        <f t="shared" si="3"/>
        <v/>
      </c>
      <c r="M22" s="69"/>
      <c r="AC22" s="14"/>
      <c r="AL22" s="1"/>
      <c r="AM22" s="1"/>
      <c r="AN22" s="1"/>
      <c r="AO22" s="1"/>
      <c r="AP22" s="1"/>
      <c r="AQ22" s="1"/>
    </row>
    <row r="23" spans="2:43" s="13" customFormat="1" ht="17.25" customHeight="1" x14ac:dyDescent="0.35">
      <c r="B23" s="22" t="s">
        <v>25</v>
      </c>
      <c r="C23" s="9">
        <v>9.5</v>
      </c>
      <c r="D23" s="10"/>
      <c r="E23" s="11" t="str">
        <f t="shared" si="4"/>
        <v/>
      </c>
      <c r="F23" s="12" t="str">
        <f t="shared" si="0"/>
        <v/>
      </c>
      <c r="G23" s="12" t="str">
        <f t="shared" si="1"/>
        <v/>
      </c>
      <c r="H23" s="10"/>
      <c r="I23" s="11" t="str">
        <f t="shared" si="5"/>
        <v/>
      </c>
      <c r="J23" s="12" t="str">
        <f>IF(H23="","",(I23/$E$30)*100)</f>
        <v/>
      </c>
      <c r="K23" s="12" t="str">
        <f t="shared" si="2"/>
        <v/>
      </c>
      <c r="L23" s="69" t="str">
        <f t="shared" si="3"/>
        <v/>
      </c>
      <c r="M23" s="69"/>
      <c r="AL23" s="1"/>
      <c r="AM23" s="1"/>
      <c r="AN23" s="1"/>
      <c r="AO23" s="1"/>
      <c r="AP23" s="1"/>
      <c r="AQ23" s="1"/>
    </row>
    <row r="24" spans="2:43" s="13" customFormat="1" ht="17.25" customHeight="1" x14ac:dyDescent="0.35">
      <c r="B24" s="22" t="s">
        <v>26</v>
      </c>
      <c r="C24" s="9">
        <v>4.75</v>
      </c>
      <c r="D24" s="10"/>
      <c r="E24" s="11" t="str">
        <f t="shared" si="4"/>
        <v/>
      </c>
      <c r="F24" s="12" t="str">
        <f t="shared" si="0"/>
        <v/>
      </c>
      <c r="G24" s="12" t="str">
        <f t="shared" si="1"/>
        <v/>
      </c>
      <c r="H24" s="10"/>
      <c r="I24" s="11" t="str">
        <f t="shared" si="5"/>
        <v/>
      </c>
      <c r="J24" s="12" t="str">
        <f t="shared" ref="J24:J30" si="6">IF(H24="","",(I24/$H$32)*100)</f>
        <v/>
      </c>
      <c r="K24" s="12" t="str">
        <f t="shared" si="2"/>
        <v/>
      </c>
      <c r="L24" s="69" t="str">
        <f t="shared" si="3"/>
        <v/>
      </c>
      <c r="M24" s="69"/>
      <c r="AL24" s="1"/>
      <c r="AM24" s="1"/>
      <c r="AN24" s="1"/>
      <c r="AO24" s="1"/>
      <c r="AP24" s="1"/>
      <c r="AQ24" s="1"/>
    </row>
    <row r="25" spans="2:43" s="13" customFormat="1" ht="17.25" customHeight="1" x14ac:dyDescent="0.35">
      <c r="B25" s="22" t="s">
        <v>49</v>
      </c>
      <c r="C25" s="9">
        <v>2.36</v>
      </c>
      <c r="D25" s="10"/>
      <c r="E25" s="11" t="str">
        <f t="shared" si="4"/>
        <v/>
      </c>
      <c r="F25" s="12" t="str">
        <f t="shared" si="0"/>
        <v/>
      </c>
      <c r="G25" s="12" t="str">
        <f t="shared" si="1"/>
        <v/>
      </c>
      <c r="H25" s="10"/>
      <c r="I25" s="11" t="str">
        <f t="shared" si="5"/>
        <v/>
      </c>
      <c r="J25" s="12" t="str">
        <f t="shared" si="6"/>
        <v/>
      </c>
      <c r="K25" s="12" t="str">
        <f t="shared" si="2"/>
        <v/>
      </c>
      <c r="L25" s="69" t="str">
        <f t="shared" si="3"/>
        <v/>
      </c>
      <c r="M25" s="69"/>
      <c r="AL25" s="1"/>
      <c r="AM25" s="1"/>
      <c r="AN25" s="1"/>
      <c r="AO25" s="1"/>
      <c r="AP25" s="1"/>
      <c r="AQ25" s="1"/>
    </row>
    <row r="26" spans="2:43" s="13" customFormat="1" ht="17.25" customHeight="1" x14ac:dyDescent="0.35">
      <c r="B26" s="22" t="s">
        <v>50</v>
      </c>
      <c r="C26" s="15">
        <v>1.18</v>
      </c>
      <c r="D26" s="10"/>
      <c r="E26" s="11" t="str">
        <f t="shared" si="4"/>
        <v/>
      </c>
      <c r="F26" s="12" t="str">
        <f t="shared" si="0"/>
        <v/>
      </c>
      <c r="G26" s="12" t="str">
        <f t="shared" si="1"/>
        <v/>
      </c>
      <c r="H26" s="10"/>
      <c r="I26" s="11" t="str">
        <f t="shared" si="5"/>
        <v/>
      </c>
      <c r="J26" s="12" t="str">
        <f t="shared" si="6"/>
        <v/>
      </c>
      <c r="K26" s="12" t="str">
        <f t="shared" si="2"/>
        <v/>
      </c>
      <c r="L26" s="69" t="str">
        <f t="shared" si="3"/>
        <v/>
      </c>
      <c r="M26" s="69"/>
      <c r="AL26" s="1"/>
      <c r="AM26" s="1"/>
      <c r="AN26" s="1"/>
      <c r="AO26" s="1"/>
      <c r="AP26" s="1"/>
      <c r="AQ26" s="1"/>
    </row>
    <row r="27" spans="2:43" s="13" customFormat="1" ht="17.25" customHeight="1" x14ac:dyDescent="0.35">
      <c r="B27" s="22" t="s">
        <v>51</v>
      </c>
      <c r="C27" s="15">
        <v>0.6</v>
      </c>
      <c r="D27" s="10"/>
      <c r="E27" s="11" t="str">
        <f t="shared" si="4"/>
        <v/>
      </c>
      <c r="F27" s="12" t="str">
        <f t="shared" si="0"/>
        <v/>
      </c>
      <c r="G27" s="12" t="str">
        <f t="shared" si="1"/>
        <v/>
      </c>
      <c r="H27" s="10"/>
      <c r="I27" s="11" t="str">
        <f t="shared" si="5"/>
        <v/>
      </c>
      <c r="J27" s="12" t="str">
        <f t="shared" si="6"/>
        <v/>
      </c>
      <c r="K27" s="12" t="str">
        <f t="shared" si="2"/>
        <v/>
      </c>
      <c r="L27" s="69" t="str">
        <f t="shared" si="3"/>
        <v/>
      </c>
      <c r="M27" s="69"/>
      <c r="AL27" s="1"/>
      <c r="AM27" s="1"/>
      <c r="AN27" s="1"/>
      <c r="AO27" s="1"/>
      <c r="AP27" s="1"/>
      <c r="AQ27" s="1"/>
    </row>
    <row r="28" spans="2:43" s="13" customFormat="1" ht="17.25" customHeight="1" x14ac:dyDescent="0.35">
      <c r="B28" s="22" t="s">
        <v>52</v>
      </c>
      <c r="C28" s="15">
        <v>0.33</v>
      </c>
      <c r="D28" s="10"/>
      <c r="E28" s="11" t="str">
        <f t="shared" si="4"/>
        <v/>
      </c>
      <c r="F28" s="12" t="str">
        <f t="shared" si="0"/>
        <v/>
      </c>
      <c r="G28" s="12" t="str">
        <f t="shared" si="1"/>
        <v/>
      </c>
      <c r="H28" s="10"/>
      <c r="I28" s="11" t="str">
        <f t="shared" si="5"/>
        <v/>
      </c>
      <c r="J28" s="12" t="str">
        <f t="shared" si="6"/>
        <v/>
      </c>
      <c r="K28" s="12" t="str">
        <f t="shared" si="2"/>
        <v/>
      </c>
      <c r="L28" s="69" t="str">
        <f t="shared" si="3"/>
        <v/>
      </c>
      <c r="M28" s="69"/>
      <c r="AL28" s="1"/>
      <c r="AM28" s="1"/>
      <c r="AN28" s="1"/>
      <c r="AO28" s="1"/>
      <c r="AP28" s="1"/>
      <c r="AQ28" s="1"/>
    </row>
    <row r="29" spans="2:43" s="13" customFormat="1" ht="17.25" customHeight="1" x14ac:dyDescent="0.35">
      <c r="B29" s="22" t="s">
        <v>27</v>
      </c>
      <c r="C29" s="21">
        <v>7.4999999999999997E-2</v>
      </c>
      <c r="D29" s="10"/>
      <c r="E29" s="11" t="str">
        <f t="shared" si="4"/>
        <v/>
      </c>
      <c r="F29" s="12" t="str">
        <f t="shared" si="0"/>
        <v/>
      </c>
      <c r="G29" s="12" t="str">
        <f t="shared" si="1"/>
        <v/>
      </c>
      <c r="H29" s="10"/>
      <c r="I29" s="11" t="str">
        <f t="shared" si="5"/>
        <v/>
      </c>
      <c r="J29" s="12" t="str">
        <f t="shared" si="6"/>
        <v/>
      </c>
      <c r="K29" s="12" t="str">
        <f t="shared" si="2"/>
        <v/>
      </c>
      <c r="L29" s="69" t="str">
        <f t="shared" si="3"/>
        <v/>
      </c>
      <c r="M29" s="69"/>
      <c r="AL29" s="1"/>
      <c r="AM29" s="1"/>
      <c r="AN29" s="1"/>
      <c r="AO29" s="1"/>
      <c r="AP29" s="1"/>
      <c r="AQ29" s="1"/>
    </row>
    <row r="30" spans="2:43" s="13" customFormat="1" ht="17.25" customHeight="1" x14ac:dyDescent="0.35">
      <c r="B30" s="45" t="s">
        <v>28</v>
      </c>
      <c r="C30" s="45"/>
      <c r="D30" s="10"/>
      <c r="E30" s="11" t="str">
        <f t="shared" si="4"/>
        <v/>
      </c>
      <c r="F30" s="12" t="str">
        <f t="shared" si="0"/>
        <v/>
      </c>
      <c r="G30" s="11" t="s">
        <v>1</v>
      </c>
      <c r="H30" s="10"/>
      <c r="I30" s="11" t="str">
        <f t="shared" si="5"/>
        <v/>
      </c>
      <c r="J30" s="12" t="str">
        <f t="shared" si="6"/>
        <v/>
      </c>
      <c r="K30" s="11" t="s">
        <v>1</v>
      </c>
      <c r="L30" s="52" t="s">
        <v>1</v>
      </c>
      <c r="M30" s="52"/>
      <c r="AL30" s="1"/>
      <c r="AM30" s="1"/>
      <c r="AN30" s="1"/>
      <c r="AO30" s="1"/>
      <c r="AP30" s="1"/>
      <c r="AQ30" s="1"/>
    </row>
    <row r="31" spans="2:43" s="13" customFormat="1" ht="17.25" customHeight="1" x14ac:dyDescent="0.35">
      <c r="B31" s="45" t="s">
        <v>54</v>
      </c>
      <c r="C31" s="45"/>
      <c r="D31" s="10"/>
      <c r="E31" s="11" t="s">
        <v>1</v>
      </c>
      <c r="F31" s="11" t="s">
        <v>1</v>
      </c>
      <c r="G31" s="11" t="s">
        <v>1</v>
      </c>
      <c r="H31" s="10"/>
      <c r="I31" s="11" t="s">
        <v>1</v>
      </c>
      <c r="J31" s="11" t="s">
        <v>1</v>
      </c>
      <c r="K31" s="11" t="s">
        <v>1</v>
      </c>
      <c r="L31" s="52" t="s">
        <v>1</v>
      </c>
      <c r="M31" s="52"/>
      <c r="AL31" s="1"/>
      <c r="AM31" s="1"/>
      <c r="AN31" s="1"/>
      <c r="AO31" s="1"/>
      <c r="AP31" s="1"/>
      <c r="AQ31" s="1"/>
    </row>
    <row r="32" spans="2:43" s="13" customFormat="1" ht="17.25" customHeight="1" x14ac:dyDescent="0.35">
      <c r="B32" s="45" t="s">
        <v>53</v>
      </c>
      <c r="C32" s="45"/>
      <c r="D32" s="16"/>
      <c r="E32" s="11" t="s">
        <v>1</v>
      </c>
      <c r="F32" s="10"/>
      <c r="G32" s="11" t="s">
        <v>1</v>
      </c>
      <c r="H32" s="10"/>
      <c r="I32" s="11" t="s">
        <v>1</v>
      </c>
      <c r="J32" s="15"/>
      <c r="K32" s="11" t="s">
        <v>1</v>
      </c>
      <c r="L32" s="52" t="s">
        <v>1</v>
      </c>
      <c r="M32" s="52"/>
      <c r="P32" s="14"/>
      <c r="AL32" s="1"/>
      <c r="AM32" s="1"/>
      <c r="AN32" s="1"/>
      <c r="AO32" s="1"/>
      <c r="AP32" s="1"/>
      <c r="AQ32" s="1"/>
    </row>
    <row r="33" spans="2:13" ht="17.25" customHeight="1" x14ac:dyDescent="0.35">
      <c r="B33" s="26" t="s">
        <v>29</v>
      </c>
      <c r="C33" s="26"/>
      <c r="D33" s="26"/>
      <c r="E33" s="26"/>
      <c r="F33" s="26"/>
      <c r="G33" s="26"/>
      <c r="H33" s="26"/>
      <c r="I33" s="26"/>
      <c r="J33" s="26"/>
      <c r="K33" s="26"/>
      <c r="L33" s="87"/>
      <c r="M33" s="87"/>
    </row>
    <row r="34" spans="2:13" ht="17.25" customHeight="1" x14ac:dyDescent="0.35">
      <c r="B34" s="17"/>
      <c r="C34" s="29"/>
      <c r="D34" s="29"/>
      <c r="E34" s="29"/>
      <c r="F34" s="29"/>
      <c r="G34" s="29"/>
      <c r="H34" s="29"/>
      <c r="I34" s="29"/>
      <c r="J34" s="29"/>
      <c r="K34" s="29"/>
      <c r="L34" s="90"/>
      <c r="M34" s="38"/>
    </row>
    <row r="35" spans="2:13" ht="17.25" customHeight="1" x14ac:dyDescent="0.35">
      <c r="B35" s="17"/>
      <c r="C35" s="29"/>
      <c r="D35" s="29"/>
      <c r="E35" s="29"/>
      <c r="F35" s="29"/>
      <c r="G35" s="29"/>
      <c r="H35" s="29"/>
      <c r="I35" s="29"/>
      <c r="J35" s="29"/>
      <c r="K35" s="29"/>
      <c r="L35" s="38"/>
      <c r="M35" s="38"/>
    </row>
    <row r="36" spans="2:13" ht="17.25" customHeight="1" x14ac:dyDescent="0.35">
      <c r="B36" s="17"/>
      <c r="C36" s="29"/>
      <c r="D36" s="29"/>
      <c r="E36" s="29"/>
      <c r="F36" s="29"/>
      <c r="G36" s="29"/>
      <c r="H36" s="29"/>
      <c r="I36" s="29"/>
      <c r="J36" s="29"/>
      <c r="K36" s="29"/>
      <c r="L36" s="38"/>
      <c r="M36" s="38"/>
    </row>
    <row r="37" spans="2:13" ht="17.25" customHeight="1" x14ac:dyDescent="0.35">
      <c r="B37" s="17"/>
      <c r="C37" s="29"/>
      <c r="D37" s="29"/>
      <c r="E37" s="29"/>
      <c r="F37" s="29"/>
      <c r="G37" s="29"/>
      <c r="H37" s="29"/>
      <c r="I37" s="29"/>
      <c r="J37" s="29"/>
      <c r="K37" s="29"/>
      <c r="L37" s="38"/>
      <c r="M37" s="38"/>
    </row>
    <row r="38" spans="2:13" ht="17.25" customHeight="1" x14ac:dyDescent="0.35">
      <c r="B38" s="17"/>
      <c r="C38" s="29"/>
      <c r="D38" s="29"/>
      <c r="E38" s="29"/>
      <c r="F38" s="29"/>
      <c r="G38" s="29"/>
      <c r="H38" s="29"/>
      <c r="I38" s="29"/>
      <c r="J38" s="29"/>
      <c r="K38" s="29"/>
      <c r="L38" s="38"/>
      <c r="M38" s="38"/>
    </row>
    <row r="39" spans="2:13" ht="17.25" customHeight="1" x14ac:dyDescent="0.35">
      <c r="B39" s="17"/>
      <c r="C39" s="29"/>
      <c r="D39" s="29"/>
      <c r="E39" s="29"/>
      <c r="F39" s="29"/>
      <c r="G39" s="29"/>
      <c r="H39" s="29"/>
      <c r="I39" s="29"/>
      <c r="J39" s="29"/>
      <c r="K39" s="29"/>
      <c r="L39" s="38"/>
      <c r="M39" s="38"/>
    </row>
    <row r="40" spans="2:13" ht="17.25" customHeight="1" x14ac:dyDescent="0.35">
      <c r="B40" s="17"/>
      <c r="C40" s="29"/>
      <c r="D40" s="29"/>
      <c r="E40" s="29"/>
      <c r="F40" s="29"/>
      <c r="G40" s="29"/>
      <c r="H40" s="29"/>
      <c r="I40" s="29"/>
      <c r="J40" s="29"/>
      <c r="K40" s="29"/>
      <c r="L40" s="38"/>
      <c r="M40" s="38"/>
    </row>
    <row r="41" spans="2:13" ht="17.25" customHeight="1" x14ac:dyDescent="0.35">
      <c r="B41" s="17"/>
      <c r="C41" s="29"/>
      <c r="D41" s="29"/>
      <c r="E41" s="29"/>
      <c r="F41" s="29"/>
      <c r="G41" s="29"/>
      <c r="H41" s="29"/>
      <c r="I41" s="29"/>
      <c r="J41" s="29"/>
      <c r="K41" s="29"/>
      <c r="L41" s="38"/>
      <c r="M41" s="38"/>
    </row>
    <row r="42" spans="2:13" ht="17.25" customHeight="1" x14ac:dyDescent="0.35">
      <c r="B42" s="17"/>
      <c r="C42" s="29"/>
      <c r="D42" s="29"/>
      <c r="E42" s="29"/>
      <c r="F42" s="29"/>
      <c r="G42" s="29"/>
      <c r="H42" s="29"/>
      <c r="I42" s="29"/>
      <c r="J42" s="29"/>
      <c r="K42" s="29"/>
      <c r="L42" s="38"/>
      <c r="M42" s="38"/>
    </row>
    <row r="43" spans="2:13" ht="17.25" customHeight="1" x14ac:dyDescent="0.35">
      <c r="B43" s="17"/>
      <c r="C43" s="29"/>
      <c r="D43" s="29"/>
      <c r="E43" s="29"/>
      <c r="F43" s="29"/>
      <c r="G43" s="29"/>
      <c r="H43" s="29"/>
      <c r="I43" s="29"/>
      <c r="J43" s="29"/>
      <c r="K43" s="29"/>
      <c r="L43" s="38"/>
      <c r="M43" s="38"/>
    </row>
    <row r="44" spans="2:13" ht="17.25" customHeight="1" x14ac:dyDescent="0.35">
      <c r="B44" s="17"/>
      <c r="C44" s="29"/>
      <c r="D44" s="29"/>
      <c r="E44" s="29"/>
      <c r="F44" s="29"/>
      <c r="G44" s="29"/>
      <c r="H44" s="29"/>
      <c r="I44" s="29"/>
      <c r="J44" s="29"/>
      <c r="K44" s="29"/>
      <c r="L44" s="38"/>
      <c r="M44" s="38"/>
    </row>
    <row r="45" spans="2:13" ht="17.25" customHeight="1" x14ac:dyDescent="0.35">
      <c r="B45" s="17"/>
      <c r="C45" s="29"/>
      <c r="D45" s="29"/>
      <c r="E45" s="29"/>
      <c r="F45" s="29"/>
      <c r="G45" s="29"/>
      <c r="H45" s="29"/>
      <c r="I45" s="29"/>
      <c r="J45" s="29"/>
      <c r="K45" s="29"/>
      <c r="L45" s="38"/>
      <c r="M45" s="38"/>
    </row>
    <row r="46" spans="2:13" ht="17.25" customHeight="1" x14ac:dyDescent="0.35">
      <c r="B46" s="17"/>
      <c r="C46" s="29"/>
      <c r="D46" s="29"/>
      <c r="E46" s="29"/>
      <c r="F46" s="29"/>
      <c r="G46" s="29"/>
      <c r="H46" s="29"/>
      <c r="I46" s="29"/>
      <c r="J46" s="29"/>
      <c r="K46" s="29"/>
      <c r="L46" s="38"/>
      <c r="M46" s="38"/>
    </row>
    <row r="47" spans="2:13" ht="17.25" customHeight="1" x14ac:dyDescent="0.35">
      <c r="B47" s="17"/>
      <c r="C47" s="29"/>
      <c r="D47" s="29"/>
      <c r="E47" s="29"/>
      <c r="F47" s="29"/>
      <c r="G47" s="29"/>
      <c r="H47" s="29"/>
      <c r="I47" s="29"/>
      <c r="J47" s="29"/>
      <c r="K47" s="29"/>
      <c r="L47" s="38"/>
      <c r="M47" s="38"/>
    </row>
    <row r="48" spans="2:13" ht="17.25" customHeight="1" x14ac:dyDescent="0.35">
      <c r="B48" s="17"/>
      <c r="C48" s="29"/>
      <c r="D48" s="29"/>
      <c r="E48" s="29"/>
      <c r="F48" s="29"/>
      <c r="G48" s="29"/>
      <c r="H48" s="29"/>
      <c r="I48" s="29"/>
      <c r="J48" s="29"/>
      <c r="K48" s="29"/>
      <c r="L48" s="38"/>
      <c r="M48" s="38"/>
    </row>
    <row r="49" spans="2:13" ht="17.25" customHeight="1" x14ac:dyDescent="0.35">
      <c r="B49" s="17"/>
      <c r="C49" s="29"/>
      <c r="D49" s="29"/>
      <c r="E49" s="29"/>
      <c r="F49" s="29"/>
      <c r="G49" s="29"/>
      <c r="H49" s="29"/>
      <c r="I49" s="29"/>
      <c r="J49" s="29"/>
      <c r="K49" s="29"/>
      <c r="L49" s="38"/>
      <c r="M49" s="38"/>
    </row>
    <row r="50" spans="2:13" ht="17.25" customHeight="1" x14ac:dyDescent="0.35">
      <c r="B50" s="56" t="s">
        <v>0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</row>
    <row r="51" spans="2:13" ht="60.75" customHeight="1" x14ac:dyDescent="0.35">
      <c r="B51" s="74"/>
      <c r="C51" s="75"/>
      <c r="D51" s="75"/>
      <c r="E51" s="75"/>
      <c r="F51" s="75"/>
      <c r="G51" s="18"/>
      <c r="H51" s="82"/>
      <c r="I51" s="82"/>
      <c r="J51" s="82"/>
      <c r="K51" s="82"/>
      <c r="L51" s="82"/>
      <c r="M51" s="19"/>
    </row>
    <row r="52" spans="2:13" ht="24.5" customHeight="1" x14ac:dyDescent="0.35">
      <c r="B52" s="84" t="s">
        <v>46</v>
      </c>
      <c r="C52" s="83"/>
      <c r="D52" s="83"/>
      <c r="E52" s="83"/>
      <c r="F52" s="83"/>
      <c r="G52" s="27"/>
      <c r="H52" s="83" t="s">
        <v>47</v>
      </c>
      <c r="I52" s="83"/>
      <c r="J52" s="83"/>
      <c r="K52" s="83"/>
      <c r="L52" s="83"/>
      <c r="M52" s="28"/>
    </row>
    <row r="53" spans="2:13" ht="15" customHeight="1" x14ac:dyDescent="0.35">
      <c r="B53" s="30"/>
      <c r="C53" s="30"/>
      <c r="D53" s="30"/>
      <c r="E53" s="30"/>
      <c r="F53" s="30"/>
      <c r="G53" s="30"/>
      <c r="J53" s="105"/>
      <c r="K53" s="105"/>
      <c r="L53" s="105"/>
    </row>
    <row r="54" spans="2:13" ht="30" customHeight="1" x14ac:dyDescent="0.35">
      <c r="B54" s="85" t="s">
        <v>56</v>
      </c>
      <c r="C54" s="85"/>
      <c r="D54" s="86" t="s">
        <v>66</v>
      </c>
      <c r="E54" s="86"/>
      <c r="F54" s="86"/>
      <c r="G54" s="86"/>
      <c r="H54" s="86"/>
      <c r="I54" s="86"/>
      <c r="J54" s="86"/>
      <c r="K54" s="86"/>
      <c r="L54" s="86"/>
      <c r="M54" s="86"/>
    </row>
    <row r="55" spans="2:13" ht="30" customHeight="1" x14ac:dyDescent="0.35">
      <c r="B55" s="70" t="s">
        <v>57</v>
      </c>
      <c r="C55" s="70"/>
      <c r="D55" s="71" t="s">
        <v>64</v>
      </c>
      <c r="E55" s="71"/>
      <c r="F55" s="71"/>
      <c r="G55" s="71"/>
      <c r="H55" s="71"/>
      <c r="I55" s="71"/>
      <c r="J55" s="71"/>
      <c r="K55" s="71"/>
      <c r="L55" s="71"/>
      <c r="M55" s="71"/>
    </row>
    <row r="56" spans="2:13" ht="30" customHeight="1" x14ac:dyDescent="0.35">
      <c r="B56" s="72" t="s">
        <v>58</v>
      </c>
      <c r="C56" s="72"/>
      <c r="D56" s="73" t="s">
        <v>67</v>
      </c>
      <c r="E56" s="73"/>
      <c r="F56" s="73"/>
      <c r="G56" s="73"/>
      <c r="H56" s="73"/>
      <c r="I56" s="73"/>
      <c r="J56" s="73"/>
      <c r="K56" s="73"/>
      <c r="L56" s="73"/>
      <c r="M56" s="73"/>
    </row>
  </sheetData>
  <protectedRanges>
    <protectedRange sqref="D7:F8 I7:L8 E9:L11 H20:H30 D20:D30" name="Intervalo1"/>
  </protectedRanges>
  <mergeCells count="70">
    <mergeCell ref="B6:M6"/>
    <mergeCell ref="B2:M2"/>
    <mergeCell ref="B10:M11"/>
    <mergeCell ref="H51:L51"/>
    <mergeCell ref="H52:L52"/>
    <mergeCell ref="B52:F52"/>
    <mergeCell ref="B54:C54"/>
    <mergeCell ref="D54:M54"/>
    <mergeCell ref="L33:M33"/>
    <mergeCell ref="L44:M44"/>
    <mergeCell ref="L45:M45"/>
    <mergeCell ref="L46:M46"/>
    <mergeCell ref="L47:M47"/>
    <mergeCell ref="L48:M48"/>
    <mergeCell ref="L17:M17"/>
    <mergeCell ref="L18:M18"/>
    <mergeCell ref="L19:M19"/>
    <mergeCell ref="L34:M34"/>
    <mergeCell ref="B55:C55"/>
    <mergeCell ref="D55:M55"/>
    <mergeCell ref="B56:C56"/>
    <mergeCell ref="D56:M56"/>
    <mergeCell ref="L49:M49"/>
    <mergeCell ref="B50:M50"/>
    <mergeCell ref="B51:F51"/>
    <mergeCell ref="L27:M27"/>
    <mergeCell ref="L28:M28"/>
    <mergeCell ref="L29:M29"/>
    <mergeCell ref="L20:M20"/>
    <mergeCell ref="L21:M21"/>
    <mergeCell ref="L22:M22"/>
    <mergeCell ref="L23:M23"/>
    <mergeCell ref="L24:M24"/>
    <mergeCell ref="B1:M1"/>
    <mergeCell ref="B3:H3"/>
    <mergeCell ref="I3:M3"/>
    <mergeCell ref="B4:H4"/>
    <mergeCell ref="I4:M4"/>
    <mergeCell ref="B5:H5"/>
    <mergeCell ref="I5:M5"/>
    <mergeCell ref="B32:C32"/>
    <mergeCell ref="B15:B16"/>
    <mergeCell ref="D15:G15"/>
    <mergeCell ref="H15:K15"/>
    <mergeCell ref="B30:C30"/>
    <mergeCell ref="B31:C31"/>
    <mergeCell ref="L32:M32"/>
    <mergeCell ref="L30:M30"/>
    <mergeCell ref="L31:M31"/>
    <mergeCell ref="B12:M12"/>
    <mergeCell ref="B13:M13"/>
    <mergeCell ref="B14:M14"/>
    <mergeCell ref="L15:M15"/>
    <mergeCell ref="L16:M16"/>
    <mergeCell ref="L40:M40"/>
    <mergeCell ref="L41:M41"/>
    <mergeCell ref="L42:M42"/>
    <mergeCell ref="L43:M43"/>
    <mergeCell ref="B7:F7"/>
    <mergeCell ref="G7:M7"/>
    <mergeCell ref="B8:F8"/>
    <mergeCell ref="G8:M8"/>
    <mergeCell ref="B9:M9"/>
    <mergeCell ref="L35:M35"/>
    <mergeCell ref="L36:M36"/>
    <mergeCell ref="L37:M37"/>
    <mergeCell ref="L38:M38"/>
    <mergeCell ref="L39:M39"/>
    <mergeCell ref="L25:M25"/>
    <mergeCell ref="L26:M26"/>
  </mergeCells>
  <printOptions horizontalCentered="1"/>
  <pageMargins left="0.59055118110236227" right="0.59055118110236227" top="0.78740157480314965" bottom="0.78740157480314965" header="0" footer="0"/>
  <pageSetup paperSize="9" scale="5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370E-A464-4A0A-A579-F51D249074A0}">
  <sheetPr>
    <pageSetUpPr fitToPage="1"/>
  </sheetPr>
  <dimension ref="A1:I24"/>
  <sheetViews>
    <sheetView view="pageBreakPreview" zoomScaleNormal="115" zoomScaleSheetLayoutView="100" workbookViewId="0">
      <selection activeCell="J5" sqref="J5"/>
    </sheetView>
  </sheetViews>
  <sheetFormatPr defaultColWidth="8.81640625" defaultRowHeight="12.5" x14ac:dyDescent="0.25"/>
  <cols>
    <col min="1" max="1" width="12.26953125" style="20" customWidth="1"/>
    <col min="2" max="3" width="7.54296875" style="20" customWidth="1"/>
    <col min="4" max="4" width="20" style="20" customWidth="1"/>
    <col min="5" max="5" width="53" style="20" customWidth="1"/>
    <col min="6" max="16384" width="8.81640625" style="20"/>
  </cols>
  <sheetData>
    <row r="1" spans="1:9" ht="57" customHeight="1" x14ac:dyDescent="0.25">
      <c r="A1" s="93"/>
      <c r="B1" s="94"/>
      <c r="C1" s="94"/>
      <c r="D1" s="94"/>
      <c r="E1" s="95"/>
    </row>
    <row r="2" spans="1:9" ht="25.5" customHeight="1" x14ac:dyDescent="0.25">
      <c r="A2" s="96">
        <f>'FR-IMOB-12_Rev00'!D5</f>
        <v>0</v>
      </c>
      <c r="B2" s="97"/>
      <c r="C2" s="97"/>
      <c r="D2" s="97"/>
      <c r="E2" s="98"/>
    </row>
    <row r="3" spans="1:9" ht="20.5" customHeight="1" x14ac:dyDescent="0.25">
      <c r="A3" s="107"/>
      <c r="B3" s="108"/>
      <c r="C3" s="108"/>
      <c r="D3" s="108"/>
      <c r="E3" s="109"/>
    </row>
    <row r="4" spans="1:9" ht="20.5" customHeight="1" x14ac:dyDescent="0.25">
      <c r="A4" s="99" t="s">
        <v>45</v>
      </c>
      <c r="B4" s="100"/>
      <c r="C4" s="100"/>
      <c r="D4" s="100"/>
      <c r="E4" s="101"/>
    </row>
    <row r="5" spans="1:9" ht="20.5" customHeight="1" x14ac:dyDescent="0.25">
      <c r="A5" s="110" t="s">
        <v>44</v>
      </c>
      <c r="B5" s="110"/>
      <c r="C5" s="110"/>
      <c r="D5" s="110"/>
      <c r="E5" s="111" t="s">
        <v>43</v>
      </c>
    </row>
    <row r="6" spans="1:9" ht="20.5" customHeight="1" x14ac:dyDescent="0.25">
      <c r="A6" s="102" t="s">
        <v>42</v>
      </c>
      <c r="B6" s="102"/>
      <c r="C6" s="102"/>
      <c r="D6" s="35"/>
      <c r="E6" s="36"/>
      <c r="H6" s="31"/>
      <c r="I6" s="31"/>
    </row>
    <row r="7" spans="1:9" ht="20.5" customHeight="1" x14ac:dyDescent="0.25">
      <c r="A7" s="102" t="s">
        <v>41</v>
      </c>
      <c r="B7" s="102"/>
      <c r="C7" s="102"/>
      <c r="D7" s="35"/>
      <c r="E7" s="36"/>
      <c r="H7" s="31"/>
      <c r="I7" s="31"/>
    </row>
    <row r="8" spans="1:9" ht="20.5" customHeight="1" x14ac:dyDescent="0.25">
      <c r="A8" s="102" t="s">
        <v>11</v>
      </c>
      <c r="B8" s="33" t="s">
        <v>40</v>
      </c>
      <c r="C8" s="34">
        <v>50.8</v>
      </c>
      <c r="D8" s="35"/>
      <c r="E8" s="36"/>
    </row>
    <row r="9" spans="1:9" ht="20.5" customHeight="1" x14ac:dyDescent="0.25">
      <c r="A9" s="102"/>
      <c r="B9" s="33" t="s">
        <v>39</v>
      </c>
      <c r="C9" s="34">
        <v>38.1</v>
      </c>
      <c r="D9" s="35"/>
      <c r="E9" s="36"/>
    </row>
    <row r="10" spans="1:9" ht="20.5" customHeight="1" x14ac:dyDescent="0.25">
      <c r="A10" s="102"/>
      <c r="B10" s="33" t="s">
        <v>38</v>
      </c>
      <c r="C10" s="34">
        <v>25.4</v>
      </c>
      <c r="D10" s="35"/>
      <c r="E10" s="36"/>
    </row>
    <row r="11" spans="1:9" ht="20.5" customHeight="1" x14ac:dyDescent="0.25">
      <c r="A11" s="102"/>
      <c r="B11" s="33" t="s">
        <v>23</v>
      </c>
      <c r="C11" s="34">
        <v>19.100000000000001</v>
      </c>
      <c r="D11" s="35"/>
      <c r="E11" s="36"/>
    </row>
    <row r="12" spans="1:9" ht="20.5" customHeight="1" x14ac:dyDescent="0.25">
      <c r="A12" s="102"/>
      <c r="B12" s="33" t="s">
        <v>24</v>
      </c>
      <c r="C12" s="34">
        <v>12.7</v>
      </c>
      <c r="D12" s="35"/>
      <c r="E12" s="36"/>
    </row>
    <row r="13" spans="1:9" ht="20.5" customHeight="1" x14ac:dyDescent="0.25">
      <c r="A13" s="102"/>
      <c r="B13" s="33" t="s">
        <v>25</v>
      </c>
      <c r="C13" s="34">
        <v>9.5</v>
      </c>
      <c r="D13" s="35"/>
      <c r="E13" s="36"/>
    </row>
    <row r="14" spans="1:9" ht="20.5" customHeight="1" x14ac:dyDescent="0.25">
      <c r="A14" s="102"/>
      <c r="B14" s="33" t="s">
        <v>26</v>
      </c>
      <c r="C14" s="11">
        <v>4.75</v>
      </c>
      <c r="D14" s="35"/>
      <c r="E14" s="36"/>
    </row>
    <row r="15" spans="1:9" ht="20.5" customHeight="1" x14ac:dyDescent="0.25">
      <c r="A15" s="102"/>
      <c r="B15" s="33" t="s">
        <v>37</v>
      </c>
      <c r="C15" s="11">
        <v>2</v>
      </c>
      <c r="D15" s="35"/>
      <c r="E15" s="36"/>
    </row>
    <row r="16" spans="1:9" ht="20.5" customHeight="1" x14ac:dyDescent="0.25">
      <c r="A16" s="102"/>
      <c r="B16" s="33" t="s">
        <v>36</v>
      </c>
      <c r="C16" s="11">
        <v>0.42</v>
      </c>
      <c r="D16" s="35"/>
      <c r="E16" s="36"/>
    </row>
    <row r="17" spans="1:5" ht="20.5" customHeight="1" x14ac:dyDescent="0.25">
      <c r="A17" s="102"/>
      <c r="B17" s="33" t="s">
        <v>35</v>
      </c>
      <c r="C17" s="11">
        <v>0.18</v>
      </c>
      <c r="D17" s="35"/>
      <c r="E17" s="36"/>
    </row>
    <row r="18" spans="1:5" ht="20.5" customHeight="1" x14ac:dyDescent="0.25">
      <c r="A18" s="102"/>
      <c r="B18" s="33" t="s">
        <v>27</v>
      </c>
      <c r="C18" s="32">
        <v>7.4999999999999997E-2</v>
      </c>
      <c r="D18" s="35"/>
      <c r="E18" s="36"/>
    </row>
    <row r="19" spans="1:5" ht="20.5" customHeight="1" x14ac:dyDescent="0.25">
      <c r="A19" s="99" t="s">
        <v>34</v>
      </c>
      <c r="B19" s="103"/>
      <c r="C19" s="103"/>
      <c r="D19" s="103"/>
      <c r="E19" s="104"/>
    </row>
    <row r="20" spans="1:5" ht="20.5" customHeight="1" x14ac:dyDescent="0.25">
      <c r="A20" s="37"/>
      <c r="B20" s="91" t="s">
        <v>33</v>
      </c>
      <c r="C20" s="91"/>
      <c r="D20" s="91"/>
      <c r="E20" s="92"/>
    </row>
    <row r="21" spans="1:5" ht="20.5" customHeight="1" x14ac:dyDescent="0.25">
      <c r="A21" s="37"/>
      <c r="B21" s="91" t="s">
        <v>32</v>
      </c>
      <c r="C21" s="91"/>
      <c r="D21" s="91"/>
      <c r="E21" s="92"/>
    </row>
    <row r="22" spans="1:5" ht="20.5" customHeight="1" x14ac:dyDescent="0.25">
      <c r="A22" s="37"/>
      <c r="B22" s="91" t="s">
        <v>31</v>
      </c>
      <c r="C22" s="91"/>
      <c r="D22" s="91"/>
      <c r="E22" s="92"/>
    </row>
    <row r="23" spans="1:5" ht="20.5" customHeight="1" x14ac:dyDescent="0.25">
      <c r="A23" s="37"/>
      <c r="B23" s="91" t="s">
        <v>30</v>
      </c>
      <c r="C23" s="91"/>
      <c r="D23" s="91"/>
      <c r="E23" s="92"/>
    </row>
    <row r="24" spans="1:5" x14ac:dyDescent="0.25">
      <c r="A24" s="112"/>
      <c r="B24" s="112"/>
      <c r="C24" s="112"/>
      <c r="D24" s="112"/>
      <c r="E24" s="112"/>
    </row>
  </sheetData>
  <protectedRanges>
    <protectedRange sqref="D6:E18 A20:A23" name="Intervalo2"/>
    <protectedRange sqref="D6:E18 A20:A23" name="Intervalo1"/>
  </protectedRanges>
  <mergeCells count="14">
    <mergeCell ref="A24:E24"/>
    <mergeCell ref="B21:E21"/>
    <mergeCell ref="B22:E22"/>
    <mergeCell ref="B23:E23"/>
    <mergeCell ref="A1:E1"/>
    <mergeCell ref="A2:E2"/>
    <mergeCell ref="A4:E4"/>
    <mergeCell ref="A5:D5"/>
    <mergeCell ref="A6:C6"/>
    <mergeCell ref="A7:C7"/>
    <mergeCell ref="A8:A18"/>
    <mergeCell ref="A19:E19"/>
    <mergeCell ref="B20:E20"/>
    <mergeCell ref="A3:E3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8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19</xdr:row>
                    <xdr:rowOff>31750</xdr:rowOff>
                  </from>
                  <to>
                    <xdr:col>0</xdr:col>
                    <xdr:colOff>647700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20</xdr:row>
                    <xdr:rowOff>31750</xdr:rowOff>
                  </from>
                  <to>
                    <xdr:col>0</xdr:col>
                    <xdr:colOff>647700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21</xdr:row>
                    <xdr:rowOff>31750</xdr:rowOff>
                  </from>
                  <to>
                    <xdr:col>0</xdr:col>
                    <xdr:colOff>647700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22</xdr:row>
                    <xdr:rowOff>31750</xdr:rowOff>
                  </from>
                  <to>
                    <xdr:col>0</xdr:col>
                    <xdr:colOff>647700</xdr:colOff>
                    <xdr:row>22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FR-IMOB-12_Rev00</vt:lpstr>
      <vt:lpstr>VERSO </vt:lpstr>
      <vt:lpstr>'FR-IMOB-12_Rev00'!Area_de_impressao</vt:lpstr>
      <vt:lpstr>'VERSO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2022-08-04T18:25:09Z</cp:lastPrinted>
  <dcterms:created xsi:type="dcterms:W3CDTF">2015-06-05T18:17:20Z</dcterms:created>
  <dcterms:modified xsi:type="dcterms:W3CDTF">2026-02-16T13:38:57Z</dcterms:modified>
</cp:coreProperties>
</file>