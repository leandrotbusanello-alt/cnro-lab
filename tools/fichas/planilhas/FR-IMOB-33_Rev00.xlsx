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onitoração\_ÁREA COMUM\04 Estudos\11 Laboratório de Pavimento Asfaltico\LABORATÓRIO 2026\10.0 LANÇAMENTOS A SEREM REVISADOS\092 - 2026.03.06.02.092 - EM ANDAMENTO\"/>
    </mc:Choice>
  </mc:AlternateContent>
  <xr:revisionPtr revIDLastSave="0" documentId="13_ncr:1_{A6CCD731-A036-4584-82FC-63642E487002}" xr6:coauthVersionLast="47" xr6:coauthVersionMax="47" xr10:uidLastSave="{00000000-0000-0000-0000-000000000000}"/>
  <bookViews>
    <workbookView xWindow="28680" yWindow="-120" windowWidth="29040" windowHeight="15720" xr2:uid="{6308C45E-A7AC-4E94-B2BE-8519DAEC13CD}"/>
  </bookViews>
  <sheets>
    <sheet name="FR-IMOB-33_Rev00" sheetId="1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'FR-IMOB-33_Rev00'!$A$1:$L$55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>#REF!</definedName>
    <definedName name="IP">[8]resumo!#REF!</definedName>
    <definedName name="kp">#REF!</definedName>
    <definedName name="lab">#REF!</definedName>
    <definedName name="LL">[8]resumo!#REF!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[8]resumo!#REF!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>#REF!</definedName>
    <definedName name="PRE">#N/A</definedName>
    <definedName name="Print_Area_MI">[10]ESTUDO.TRAÇO!$F$18:$U$55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10" l="1"/>
  <c r="J35" i="10" s="1"/>
  <c r="I36" i="10"/>
  <c r="J36" i="10" s="1"/>
  <c r="I37" i="10"/>
  <c r="J37" i="10" s="1"/>
  <c r="I34" i="10"/>
  <c r="J34" i="10" s="1"/>
  <c r="E36" i="10"/>
  <c r="E37" i="10" s="1"/>
  <c r="E34" i="10"/>
  <c r="E35" i="10" s="1"/>
  <c r="E26" i="10"/>
  <c r="E27" i="10" s="1"/>
  <c r="E28" i="10"/>
  <c r="E29" i="10" s="1"/>
  <c r="I27" i="10"/>
  <c r="J27" i="10" s="1"/>
  <c r="I28" i="10"/>
  <c r="J28" i="10" s="1"/>
  <c r="I29" i="10"/>
  <c r="J29" i="10" s="1"/>
  <c r="I26" i="10"/>
  <c r="J26" i="10" s="1"/>
  <c r="K28" i="10" l="1"/>
  <c r="K26" i="10"/>
  <c r="K34" i="10"/>
  <c r="K36" i="10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<sst xmlns="http://schemas.openxmlformats.org/spreadsheetml/2006/main" count="73" uniqueCount="62">
  <si>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</si>
  <si>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</si>
  <si>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</si>
  <si>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</si>
  <si>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</si>
  <si>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</si>
  <si>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</si>
  <si>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</t>
  </si>
  <si>
    <t xml:space="preserve">7 DIAS </t>
  </si>
  <si>
    <t xml:space="preserve">IDADE </t>
  </si>
  <si>
    <t>28 DIAS</t>
  </si>
  <si>
    <t>DATA RUPTURA</t>
  </si>
  <si>
    <t>TENSÃO (MPA)</t>
  </si>
  <si>
    <t>MÉDIA</t>
  </si>
  <si>
    <t xml:space="preserve">MÉDIA </t>
  </si>
  <si>
    <t>ALTURA (cm²)</t>
  </si>
  <si>
    <t>DATA DA MOLDAGEM</t>
  </si>
  <si>
    <t>Obra:</t>
  </si>
  <si>
    <t>Cimento(%):</t>
  </si>
  <si>
    <t xml:space="preserve">Marca/Classe do Cimento: </t>
  </si>
  <si>
    <t xml:space="preserve">Nº de corpos de prova moldados: </t>
  </si>
  <si>
    <t>Umidade ótima:</t>
  </si>
  <si>
    <t>Contratada:</t>
  </si>
  <si>
    <t>Lote:</t>
  </si>
  <si>
    <t>Hora da Moldagem:</t>
  </si>
  <si>
    <t xml:space="preserve">CARGA KN/m² </t>
  </si>
  <si>
    <t>CARGA KN/m²</t>
  </si>
  <si>
    <t>NÚMERO DO CORPO DE PROVA A SEREM ENSAIADOS</t>
  </si>
  <si>
    <t>DIÂMETRO  (cm²)</t>
  </si>
  <si>
    <t>Observações:</t>
  </si>
  <si>
    <t>Assinaturas:</t>
  </si>
  <si>
    <t xml:space="preserve">Dados da moldagem </t>
  </si>
  <si>
    <t>Ensaio Resistência a Compressão Axial</t>
  </si>
  <si>
    <t xml:space="preserve"> Ensaio Resistência a Compressão Diametral </t>
  </si>
  <si>
    <t>DNER-ME 201 - Solo-cimento - compressão axial de corpos-de-prova cilíndricos.</t>
  </si>
  <si>
    <t>DNER-ME 180 - Solos estabilizados com cinza volante e cal hidratada - determinação de resistência à compressão simples.</t>
  </si>
  <si>
    <t>DNER-ME 181 - Solos com cinza volante e cal hidratada - determinação da resistência à tração por compressão diametral.</t>
  </si>
  <si>
    <t>Responsável calculista</t>
  </si>
  <si>
    <t xml:space="preserve"> Responsável executor</t>
  </si>
  <si>
    <r>
      <t xml:space="preserve">AREA       </t>
    </r>
    <r>
      <rPr>
        <sz val="10"/>
        <color theme="1"/>
        <rFont val="Tahoma"/>
        <family val="2"/>
      </rPr>
      <t xml:space="preserve"> </t>
    </r>
    <r>
      <rPr>
        <b/>
        <sz val="10"/>
        <color theme="1"/>
        <rFont val="Tahoma"/>
        <family val="2"/>
      </rPr>
      <t>(cm²)</t>
    </r>
  </si>
  <si>
    <r>
      <t xml:space="preserve">AREA    </t>
    </r>
    <r>
      <rPr>
        <sz val="10"/>
        <color theme="1"/>
        <rFont val="Tahoma"/>
        <family val="2"/>
      </rPr>
      <t xml:space="preserve"> </t>
    </r>
    <r>
      <rPr>
        <b/>
        <sz val="10"/>
        <color theme="1"/>
        <rFont val="Tahoma"/>
        <family val="2"/>
      </rPr>
      <t>(cm²)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</si>
  <si>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</si>
  <si>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</si>
  <si>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</si>
  <si>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</si>
  <si>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 xml:space="preserve">COMPRESSÃO AXIAL DE CORPOS DE PROVA CILÍNDRICOS SOLO MELHORADO COM CIMENTO - AXIAL E DIAMETRAL 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</si>
  <si>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</si>
  <si>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</si>
  <si>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</si>
  <si>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FR-IMOB-33 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</si>
  <si>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</si>
  <si>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</si>
  <si>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</si>
  <si>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 Tormin</t>
  </si>
  <si>
    <t>2026.03.06.02.092</t>
  </si>
  <si>
    <t>092/2026</t>
  </si>
  <si>
    <t>CONSÓRCIO NOVA IMIGRANTES - VÁRZEA GRANDE / LOTE 02</t>
  </si>
  <si>
    <t>ENGEVVIA ENGENHARIA</t>
  </si>
  <si>
    <t>BR-163</t>
  </si>
  <si>
    <t>CPs DE SOLO (BASE) MELHORADO COM 4,5% DE CIMENTO</t>
  </si>
  <si>
    <t>COD 3021 / KM 499+300 A 499+460 / DATA DA MOLDAGEM: 02/03/2026.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</si>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</sst>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rgb="FF000000"/>
      <name val="Times New Roman"/>
      <family val="1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  <font>
      <b/>
      <sz val="10"/>
      <color rgb="FF0000FF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7" fillId="0" borderId="0"/>
  </cellStyleXfs>
  <cellXfs count="128">
    <xf numFmtId="0" fontId="0" fillId="0" borderId="0" xfId="0"/>
    <xf numFmtId="0" fontId="5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0" fillId="0" borderId="3" xfId="1" applyFont="1" applyBorder="1" applyAlignment="1" applyProtection="1">
      <alignment horizontal="left" vertical="center" wrapText="1"/>
      <protection locked="0"/>
    </xf>
    <xf numFmtId="0" fontId="12" fillId="0" borderId="3" xfId="1" applyFont="1" applyBorder="1" applyAlignment="1" applyProtection="1">
      <alignment horizontal="left" vertical="center"/>
      <protection locked="0"/>
    </xf>
    <xf numFmtId="0" fontId="8" fillId="0" borderId="0" xfId="0" applyFont="1" applyAlignment="1">
      <alignment wrapText="1"/>
    </xf>
    <xf numFmtId="0" fontId="10" fillId="0" borderId="0" xfId="1" applyFont="1" applyAlignment="1" applyProtection="1">
      <alignment vertical="center" wrapText="1"/>
      <protection locked="0"/>
    </xf>
    <xf numFmtId="0" fontId="12" fillId="0" borderId="0" xfId="1" applyFont="1" applyAlignment="1" applyProtection="1">
      <alignment vertical="center"/>
      <protection locked="0"/>
    </xf>
    <xf numFmtId="2" fontId="8" fillId="3" borderId="0" xfId="1" applyNumberFormat="1" applyFont="1" applyFill="1" applyAlignment="1" applyProtection="1">
      <alignment vertical="center"/>
      <protection locked="0"/>
    </xf>
    <xf numFmtId="0" fontId="10" fillId="3" borderId="0" xfId="1" applyFont="1" applyFill="1" applyAlignment="1" applyProtection="1">
      <alignment vertical="center"/>
      <protection locked="0" hidden="1"/>
    </xf>
    <xf numFmtId="0" fontId="2" fillId="0" borderId="13" xfId="0" applyFont="1" applyBorder="1" applyAlignment="1">
      <alignment horizontal="center" vertical="center" wrapText="1"/>
    </xf>
    <xf numFmtId="2" fontId="8" fillId="3" borderId="3" xfId="1" applyNumberFormat="1" applyFont="1" applyFill="1" applyBorder="1" applyAlignment="1" applyProtection="1">
      <alignment horizontal="left" vertical="center"/>
      <protection locked="0"/>
    </xf>
    <xf numFmtId="0" fontId="10" fillId="3" borderId="3" xfId="1" applyFont="1" applyFill="1" applyBorder="1" applyAlignment="1" applyProtection="1">
      <alignment horizontal="left" vertical="center"/>
      <protection locked="0" hidden="1"/>
    </xf>
    <xf numFmtId="0" fontId="8" fillId="0" borderId="4" xfId="0" applyFont="1" applyBorder="1" applyAlignment="1">
      <alignment horizontal="center" vertical="center" wrapText="1"/>
    </xf>
    <xf numFmtId="0" fontId="12" fillId="0" borderId="3" xfId="1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10" fillId="0" borderId="3" xfId="1" applyFont="1" applyBorder="1" applyAlignment="1" applyProtection="1">
      <alignment horizontal="left" vertical="center" wrapText="1"/>
      <protection locked="0"/>
    </xf>
    <xf numFmtId="0" fontId="5" fillId="0" borderId="3" xfId="2" applyFont="1" applyBorder="1" applyAlignment="1">
      <alignment horizontal="left" vertical="center" wrapText="1"/>
    </xf>
    <xf numFmtId="0" fontId="14" fillId="4" borderId="4" xfId="2" applyFont="1" applyFill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4" fillId="4" borderId="3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8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8" fillId="0" borderId="16" xfId="0" applyFont="1" applyBorder="1" applyAlignment="1">
      <alignment horizontal="left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10" fillId="0" borderId="13" xfId="1" applyFont="1" applyBorder="1" applyAlignment="1" applyProtection="1">
      <alignment horizontal="left" vertical="center" wrapText="1"/>
      <protection locked="0"/>
    </xf>
    <xf numFmtId="0" fontId="10" fillId="0" borderId="12" xfId="1" applyFont="1" applyBorder="1" applyAlignment="1" applyProtection="1">
      <alignment horizontal="left" vertical="center" wrapText="1"/>
      <protection locked="0"/>
    </xf>
    <xf numFmtId="0" fontId="12" fillId="0" borderId="12" xfId="1" applyFont="1" applyBorder="1" applyAlignment="1" applyProtection="1">
      <alignment horizontal="left" vertical="center"/>
      <protection locked="0"/>
    </xf>
    <xf numFmtId="0" fontId="12" fillId="0" borderId="13" xfId="1" applyFont="1" applyBorder="1" applyAlignment="1" applyProtection="1">
      <alignment horizontal="left" vertical="center"/>
      <protection locked="0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19" xfId="1" applyFont="1" applyBorder="1" applyAlignment="1">
      <alignment horizontal="left" vertical="center"/>
    </xf>
    <xf numFmtId="0" fontId="15" fillId="0" borderId="13" xfId="1" applyFont="1" applyBorder="1" applyAlignment="1">
      <alignment horizontal="center" vertical="center"/>
    </xf>
    <xf numFmtId="0" fontId="4" fillId="0" borderId="20" xfId="1" applyFont="1" applyBorder="1" applyAlignment="1">
      <alignment vertical="center"/>
    </xf>
    <xf numFmtId="0" fontId="4" fillId="0" borderId="20" xfId="1" applyFont="1" applyBorder="1" applyAlignment="1">
      <alignment horizontal="left" vertical="center"/>
    </xf>
    <xf numFmtId="0" fontId="15" fillId="0" borderId="21" xfId="1" applyFont="1" applyBorder="1" applyAlignment="1">
      <alignment horizontal="center" vertical="center"/>
    </xf>
    <xf numFmtId="0" fontId="4" fillId="0" borderId="22" xfId="1" applyFont="1" applyBorder="1" applyAlignment="1">
      <alignment horizontal="left" vertical="center"/>
    </xf>
    <xf numFmtId="0" fontId="15" fillId="0" borderId="18" xfId="1" applyFont="1" applyBorder="1" applyAlignment="1">
      <alignment horizontal="center" vertical="center"/>
    </xf>
    <xf numFmtId="0" fontId="14" fillId="4" borderId="17" xfId="2" applyFont="1" applyFill="1" applyBorder="1" applyAlignment="1">
      <alignment horizontal="center" vertical="center"/>
    </xf>
    <xf numFmtId="0" fontId="14" fillId="4" borderId="18" xfId="2" applyFont="1" applyFill="1" applyBorder="1" applyAlignment="1">
      <alignment horizontal="center" vertical="center"/>
    </xf>
    <xf numFmtId="0" fontId="5" fillId="0" borderId="12" xfId="2" applyFont="1" applyBorder="1" applyAlignment="1">
      <alignment horizontal="left" vertical="center" wrapText="1"/>
    </xf>
    <xf numFmtId="0" fontId="5" fillId="0" borderId="13" xfId="2" applyFont="1" applyBorder="1" applyAlignment="1">
      <alignment horizontal="left" vertical="center" wrapText="1"/>
    </xf>
    <xf numFmtId="0" fontId="14" fillId="4" borderId="12" xfId="2" applyFont="1" applyFill="1" applyBorder="1" applyAlignment="1">
      <alignment horizontal="center" vertical="center"/>
    </xf>
    <xf numFmtId="0" fontId="14" fillId="4" borderId="13" xfId="2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2" borderId="17" xfId="2" applyFont="1" applyFill="1" applyBorder="1" applyAlignment="1">
      <alignment horizontal="center" vertical="center"/>
    </xf>
    <xf numFmtId="0" fontId="2" fillId="2" borderId="18" xfId="2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2" borderId="12" xfId="2" applyFont="1" applyFill="1" applyBorder="1" applyAlignment="1">
      <alignment horizontal="center" vertical="center"/>
    </xf>
    <xf numFmtId="0" fontId="2" fillId="2" borderId="13" xfId="2" applyFont="1" applyFill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2" fillId="0" borderId="25" xfId="2" applyFont="1" applyBorder="1" applyAlignment="1">
      <alignment vertical="center" wrapText="1"/>
    </xf>
    <xf numFmtId="0" fontId="2" fillId="0" borderId="0" xfId="2" applyFont="1" applyBorder="1" applyAlignment="1">
      <alignment vertical="center" wrapText="1"/>
    </xf>
    <xf numFmtId="0" fontId="2" fillId="0" borderId="0" xfId="2" applyFont="1" applyBorder="1" applyAlignment="1">
      <alignment horizontal="center" vertical="center" wrapText="1"/>
    </xf>
    <xf numFmtId="0" fontId="0" fillId="0" borderId="0" xfId="0" applyBorder="1"/>
    <xf numFmtId="0" fontId="2" fillId="0" borderId="26" xfId="2" applyFont="1" applyBorder="1" applyAlignment="1">
      <alignment vertical="center" wrapText="1"/>
    </xf>
    <xf numFmtId="49" fontId="11" fillId="3" borderId="27" xfId="1" applyNumberFormat="1" applyFont="1" applyFill="1" applyBorder="1" applyAlignment="1" applyProtection="1">
      <alignment vertical="center"/>
      <protection locked="0" hidden="1"/>
    </xf>
    <xf numFmtId="2" fontId="8" fillId="3" borderId="13" xfId="1" applyNumberFormat="1" applyFont="1" applyFill="1" applyBorder="1" applyAlignment="1" applyProtection="1">
      <alignment horizontal="left" vertical="center"/>
      <protection locked="0"/>
    </xf>
    <xf numFmtId="0" fontId="11" fillId="3" borderId="27" xfId="1" applyFont="1" applyFill="1" applyBorder="1" applyAlignment="1" applyProtection="1">
      <alignment vertical="center"/>
      <protection locked="0" hidden="1"/>
    </xf>
    <xf numFmtId="0" fontId="10" fillId="3" borderId="13" xfId="1" applyFont="1" applyFill="1" applyBorder="1" applyAlignment="1" applyProtection="1">
      <alignment horizontal="left" vertical="center"/>
      <protection locked="0" hidden="1"/>
    </xf>
    <xf numFmtId="0" fontId="11" fillId="3" borderId="28" xfId="1" applyFont="1" applyFill="1" applyBorder="1" applyAlignment="1" applyProtection="1">
      <alignment vertical="center"/>
      <protection locked="0" hidden="1"/>
    </xf>
    <xf numFmtId="0" fontId="10" fillId="3" borderId="29" xfId="1" applyFont="1" applyFill="1" applyBorder="1" applyAlignment="1" applyProtection="1">
      <alignment horizontal="left" vertical="center"/>
      <protection locked="0" hidden="1"/>
    </xf>
    <xf numFmtId="0" fontId="10" fillId="3" borderId="30" xfId="1" applyFont="1" applyFill="1" applyBorder="1" applyAlignment="1" applyProtection="1">
      <alignment horizontal="left" vertical="center"/>
      <protection locked="0" hidden="1"/>
    </xf>
    <xf numFmtId="14" fontId="15" fillId="0" borderId="7" xfId="1" applyNumberFormat="1" applyFont="1" applyBorder="1" applyAlignment="1">
      <alignment horizontal="center" vertical="center"/>
    </xf>
  </cellXfs>
  <cellStyles count="6">
    <cellStyle name="Normal" xfId="0" builtinId="0"/>
    <cellStyle name="Normal 2" xfId="4" xr:uid="{2281A0AC-4BB6-4650-9083-FCD6EC4A7C08}"/>
    <cellStyle name="Normal 2 2" xfId="1" xr:uid="{29BAD2C2-E8FA-4549-9B19-F07F8409D7AF}"/>
    <cellStyle name="Normal 3" xfId="5" xr:uid="{DDF41345-C9CC-4F6F-8699-BCD4060DC1E3}"/>
    <cellStyle name="Normal 9 2" xfId="2" xr:uid="{9C893D4C-C997-4814-A586-398D158DB555}"/>
    <cellStyle name="Porcentagem 2 2" xfId="3" xr:uid="{3EC3942E-06DB-4853-8B9F-2F10B05B4DA4}"/>
  </cellStyles>
  <dxfs count="0"/>
  <tableStyles count="1" defaultTableStyle="TableStyleMedium2" defaultPivotStyle="PivotStyleLight16">
    <tableStyle name="Invisible" pivot="0" table="0" count="0" xr9:uid="{13442884-F2C0-47DC-81D9-587D250725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microsoft.com/office/2017/06/relationships/rdRichValueStructure" Target="richData/rdrichvaluestructure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1312863</xdr:colOff>
      <xdr:row>0</xdr:row>
      <xdr:rowOff>78441</xdr:rowOff>
    </xdr:from>
    <xdr:to>
      <xdr:col>10</xdr:col>
      <xdr:colOff>1285007</xdr:colOff>
      <xdr:row>0</xdr:row>
      <xdr:rowOff>830355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EBAAC0-3A65-4E05-9317-C56B0E7BB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05098" y="78441"/>
          <a:ext cx="1474480" cy="751914"/>
        </a:xfrm>
        <a:prstGeom prst="rect">
          <a:avLst/>
        </a:prstGeom>
      </xdr:spPr>
    </xdr:pic>
    <xdr:clientData/>
  </xdr:twoCellAnchor>
  <xdr:twoCellAnchor editAs="oneCell">
    <xdr:from>
      <xdr:col>2</xdr:col>
      <xdr:colOff>403412</xdr:colOff>
      <xdr:row>48</xdr:row>
      <xdr:rowOff>44824</xdr:rowOff>
    </xdr:from>
    <xdr:to>
      <xdr:col>4</xdr:col>
      <xdr:colOff>594705</xdr:colOff>
      <xdr:row>49</xdr:row>
      <xdr:rowOff>12619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11B6271-9322-C522-6280-DD4A165ED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0471" y="14847795"/>
          <a:ext cx="2365234" cy="36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  <sheetName val="eq"/>
      <sheetName val="mo"/>
      <sheetName val="Mat Asf"/>
      <sheetName val="Desmat 0,15"/>
      <sheetName val="alteração"/>
      <sheetName val="curvas_tratamento"/>
      <sheetName val="Defensas_necessidades"/>
      <sheetName val="sin_vertical_necessidades"/>
      <sheetName val="tachas_necessidades"/>
      <sheetName val="pro-08"/>
      <sheetName val="OAC_NPAV"/>
      <sheetName val="#REF"/>
      <sheetName val="RESUMO-DVOP"/>
      <sheetName val="planilha"/>
      <sheetName val="Tabela mês"/>
      <sheetName val="REAJU"/>
      <sheetName val="planilha do plano"/>
      <sheetName val="CUSTO HORÁRIO"/>
      <sheetName val="Material"/>
      <sheetName val="Mão de obra"/>
      <sheetName val="relatório"/>
      <sheetName val="A"/>
      <sheetName val="Pontes"/>
      <sheetName val="PROJETO"/>
      <sheetName val="DADOS"/>
      <sheetName val="mat"/>
      <sheetName val="Quadro Geral"/>
      <sheetName val="RELATORIO MENSAL ACOMP SERV CON"/>
      <sheetName val="DER janeiro98"/>
      <sheetName val="61M-CBMI"/>
      <sheetName val="P reaj x P atual"/>
      <sheetName val="PRANCHA"/>
      <sheetName val="SNV (2)"/>
      <sheetName val="f. mediçao"/>
      <sheetName val="fresagem de pista ago-98"/>
      <sheetName val="TPU-MARÇO_2002"/>
      <sheetName val="RESUMO"/>
      <sheetName val="ORÇAMENTO"/>
      <sheetName val="COMP"/>
      <sheetName val="CRONOGRAMA (8 MESES)"/>
      <sheetName val="CURVA ABC"/>
      <sheetName val="Mapa de Cotação"/>
      <sheetName val="BDI 21,35 NÃO DESONERADO "/>
      <sheetName val="Mobilização"/>
      <sheetName val="Página 15"/>
      <sheetName val="INVENTÁRIO"/>
      <sheetName val="medi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2">
          <cell r="A12">
            <v>1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  <sheetData sheetId="102" refreshError="1"/>
      <sheetData sheetId="103"/>
      <sheetData sheetId="104"/>
      <sheetData sheetId="105">
        <row r="3">
          <cell r="A3" t="str">
            <v>LOCAL: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DFE4-0BED-4F67-B5FA-1954194EF5AA}">
  <sheetPr>
    <pageSetUpPr fitToPage="1"/>
  </sheetPr>
  <dimension ref="B1:AO55"/>
  <sheetViews>
    <sheetView showGridLines="0" tabSelected="1" view="pageBreakPreview" zoomScale="85" zoomScaleNormal="85" zoomScaleSheetLayoutView="85" workbookViewId="0">
      <selection activeCell="H8" sqref="H8:K8"/>
    </sheetView>
  </sheetViews>
  <sheetFormatPr defaultRowHeight="12.75" x14ac:dyDescent="0.2"/>
  <cols>
    <col min="1" max="1" width="1.140625" customWidth="1"/>
    <col min="2" max="2" width="29" customWidth="1"/>
    <col min="3" max="3" width="17.42578125" customWidth="1"/>
    <col min="4" max="4" width="15.140625" customWidth="1"/>
    <col min="5" max="5" width="15.7109375" customWidth="1"/>
    <col min="6" max="6" width="13" customWidth="1"/>
    <col min="7" max="7" width="11.5703125" customWidth="1"/>
    <col min="8" max="8" width="15.85546875" customWidth="1"/>
    <col min="9" max="9" width="18.42578125" customWidth="1"/>
    <col min="10" max="10" width="21" customWidth="1"/>
    <col min="11" max="11" width="19.28515625" customWidth="1"/>
    <col min="12" max="12" width="1.42578125" customWidth="1"/>
    <col min="19" max="19" width="9.42578125" bestFit="1" customWidth="1"/>
    <col min="20" max="20" width="34.28515625" customWidth="1"/>
  </cols>
  <sheetData>
    <row r="1" spans="2:41" ht="66" customHeight="1" x14ac:dyDescent="0.2">
      <c r="B1" s="62" t="s">
        <v>45</v>
      </c>
      <c r="C1" s="63"/>
      <c r="D1" s="63"/>
      <c r="E1" s="63"/>
      <c r="F1" s="63"/>
      <c r="G1" s="63"/>
      <c r="H1" s="63"/>
      <c r="I1" s="63"/>
      <c r="J1" s="63"/>
      <c r="K1" s="64"/>
      <c r="L1" s="18"/>
      <c r="M1" s="18"/>
    </row>
    <row r="2" spans="2:41" s="2" customFormat="1" ht="12.6" customHeight="1" x14ac:dyDescent="0.2">
      <c r="B2" s="65"/>
      <c r="C2" s="26"/>
      <c r="D2" s="26"/>
      <c r="E2" s="26"/>
      <c r="F2" s="26"/>
      <c r="G2" s="26"/>
      <c r="H2" s="26"/>
      <c r="I2" s="26"/>
      <c r="J2" s="26"/>
      <c r="K2" s="66"/>
      <c r="L2" s="14"/>
      <c r="M2" s="14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s="12"/>
    </row>
    <row r="3" spans="2:41" s="2" customFormat="1" ht="30" customHeight="1" x14ac:dyDescent="0.2">
      <c r="B3" s="67" t="s">
        <v>46</v>
      </c>
      <c r="C3" s="33"/>
      <c r="D3" s="33"/>
      <c r="E3" s="33"/>
      <c r="F3" s="15"/>
      <c r="G3" s="34" t="s">
        <v>49</v>
      </c>
      <c r="H3" s="34"/>
      <c r="I3" s="34"/>
      <c r="J3" s="34"/>
      <c r="K3" s="68"/>
      <c r="L3" s="19"/>
      <c r="M3" s="19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2:41" s="2" customFormat="1" ht="30" customHeight="1" x14ac:dyDescent="0.2">
      <c r="B4" s="69" t="s">
        <v>51</v>
      </c>
      <c r="C4" s="34"/>
      <c r="D4" s="34"/>
      <c r="E4" s="34"/>
      <c r="F4" s="16"/>
      <c r="G4" s="34" t="s">
        <v>48</v>
      </c>
      <c r="H4" s="34"/>
      <c r="I4" s="34"/>
      <c r="J4" s="34"/>
      <c r="K4" s="68"/>
      <c r="L4" s="19"/>
      <c r="M4" s="19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2:41" s="2" customFormat="1" ht="31.5" customHeight="1" x14ac:dyDescent="0.2">
      <c r="B5" s="70" t="s">
        <v>50</v>
      </c>
      <c r="C5" s="27"/>
      <c r="D5" s="27"/>
      <c r="E5" s="27"/>
      <c r="F5" s="17"/>
      <c r="G5" s="27" t="s">
        <v>47</v>
      </c>
      <c r="H5" s="27"/>
      <c r="I5" s="27"/>
      <c r="J5" s="27"/>
      <c r="K5" s="71"/>
      <c r="L5" s="20"/>
      <c r="M5" s="20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2:41" s="2" customFormat="1" ht="15" customHeight="1" x14ac:dyDescent="0.2">
      <c r="B6" s="72"/>
      <c r="C6" s="28"/>
      <c r="D6" s="28"/>
      <c r="E6" s="28"/>
      <c r="F6" s="28"/>
      <c r="G6" s="28"/>
      <c r="H6" s="28"/>
      <c r="I6" s="28"/>
      <c r="J6" s="28"/>
      <c r="K6" s="73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2:41" s="1" customFormat="1" ht="26.25" customHeight="1" x14ac:dyDescent="0.2">
      <c r="B7" s="74" t="s">
        <v>0</v>
      </c>
      <c r="C7" s="50" t="s">
        <v>54</v>
      </c>
      <c r="D7" s="51"/>
      <c r="E7" s="52"/>
      <c r="F7" s="56" t="s">
        <v>1</v>
      </c>
      <c r="G7" s="57"/>
      <c r="H7" s="127">
        <v>46111</v>
      </c>
      <c r="I7" s="51"/>
      <c r="J7" s="51"/>
      <c r="K7" s="7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2:41" s="1" customFormat="1" ht="26.25" customHeight="1" x14ac:dyDescent="0.2">
      <c r="B8" s="74" t="s">
        <v>2</v>
      </c>
      <c r="C8" s="58" t="s">
        <v>59</v>
      </c>
      <c r="D8" s="59"/>
      <c r="E8" s="60"/>
      <c r="F8" s="56" t="s">
        <v>3</v>
      </c>
      <c r="G8" s="57"/>
      <c r="H8" s="50" t="s">
        <v>55</v>
      </c>
      <c r="I8" s="51"/>
      <c r="J8" s="51"/>
      <c r="K8" s="7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2:41" s="1" customFormat="1" ht="26.25" customHeight="1" x14ac:dyDescent="0.2">
      <c r="B9" s="76" t="s">
        <v>4</v>
      </c>
      <c r="C9" s="50" t="s">
        <v>56</v>
      </c>
      <c r="D9" s="51"/>
      <c r="E9" s="51"/>
      <c r="F9" s="51"/>
      <c r="G9" s="51"/>
      <c r="H9" s="51"/>
      <c r="I9" s="51"/>
      <c r="J9" s="51"/>
      <c r="K9" s="7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2:41" s="1" customFormat="1" ht="26.25" customHeight="1" x14ac:dyDescent="0.2">
      <c r="B10" s="77" t="s">
        <v>5</v>
      </c>
      <c r="C10" s="37" t="s">
        <v>60</v>
      </c>
      <c r="D10" s="38"/>
      <c r="E10" s="38"/>
      <c r="F10" s="38"/>
      <c r="G10" s="38"/>
      <c r="H10" s="38"/>
      <c r="I10" s="38"/>
      <c r="J10" s="38"/>
      <c r="K10" s="78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2:41" s="1" customFormat="1" ht="26.25" customHeight="1" x14ac:dyDescent="0.2">
      <c r="B11" s="79"/>
      <c r="C11" s="39"/>
      <c r="D11" s="40"/>
      <c r="E11" s="40"/>
      <c r="F11" s="40"/>
      <c r="G11" s="40"/>
      <c r="H11" s="40"/>
      <c r="I11" s="40"/>
      <c r="J11" s="40"/>
      <c r="K11" s="80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2:41" s="1" customFormat="1" ht="22.5" customHeight="1" x14ac:dyDescent="0.2">
      <c r="B12" s="81" t="s">
        <v>6</v>
      </c>
      <c r="C12" s="36"/>
      <c r="D12" s="36"/>
      <c r="E12" s="36"/>
      <c r="F12" s="36"/>
      <c r="G12" s="36"/>
      <c r="H12" s="36"/>
      <c r="I12" s="36"/>
      <c r="J12" s="36"/>
      <c r="K12" s="8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2:41" ht="21.95" customHeight="1" x14ac:dyDescent="0.2">
      <c r="B13" s="83" t="s">
        <v>34</v>
      </c>
      <c r="C13" s="35"/>
      <c r="D13" s="35"/>
      <c r="E13" s="35"/>
      <c r="F13" s="35"/>
      <c r="G13" s="35"/>
      <c r="H13" s="35"/>
      <c r="I13" s="35"/>
      <c r="J13" s="35"/>
      <c r="K13" s="84"/>
    </row>
    <row r="14" spans="2:41" ht="21.95" customHeight="1" x14ac:dyDescent="0.2">
      <c r="B14" s="83" t="s">
        <v>35</v>
      </c>
      <c r="C14" s="35"/>
      <c r="D14" s="35"/>
      <c r="E14" s="35"/>
      <c r="F14" s="35"/>
      <c r="G14" s="35"/>
      <c r="H14" s="35"/>
      <c r="I14" s="35"/>
      <c r="J14" s="35"/>
      <c r="K14" s="84"/>
    </row>
    <row r="15" spans="2:41" ht="21.95" customHeight="1" x14ac:dyDescent="0.2">
      <c r="B15" s="83" t="s">
        <v>36</v>
      </c>
      <c r="C15" s="35"/>
      <c r="D15" s="35"/>
      <c r="E15" s="35"/>
      <c r="F15" s="35"/>
      <c r="G15" s="35"/>
      <c r="H15" s="35"/>
      <c r="I15" s="35"/>
      <c r="J15" s="35"/>
      <c r="K15" s="84"/>
    </row>
    <row r="16" spans="2:41" ht="22.5" customHeight="1" x14ac:dyDescent="0.2">
      <c r="B16" s="85" t="s">
        <v>7</v>
      </c>
      <c r="C16" s="45"/>
      <c r="D16" s="45"/>
      <c r="E16" s="45"/>
      <c r="F16" s="45"/>
      <c r="G16" s="45"/>
      <c r="H16" s="45"/>
      <c r="I16" s="45"/>
      <c r="J16" s="45"/>
      <c r="K16" s="86"/>
    </row>
    <row r="17" spans="2:40" ht="22.5" customHeight="1" x14ac:dyDescent="0.2">
      <c r="B17" s="87" t="s">
        <v>31</v>
      </c>
      <c r="C17" s="44"/>
      <c r="D17" s="44"/>
      <c r="E17" s="44"/>
      <c r="F17" s="44"/>
      <c r="G17" s="44"/>
      <c r="H17" s="44"/>
      <c r="I17" s="44"/>
      <c r="J17" s="44"/>
      <c r="K17" s="48"/>
    </row>
    <row r="18" spans="2:40" ht="24" customHeight="1" x14ac:dyDescent="0.2">
      <c r="B18" s="88" t="s">
        <v>17</v>
      </c>
      <c r="C18" s="43" t="s">
        <v>58</v>
      </c>
      <c r="D18" s="44"/>
      <c r="E18" s="48"/>
      <c r="F18" s="41" t="s">
        <v>20</v>
      </c>
      <c r="G18" s="42"/>
      <c r="H18" s="43">
        <v>8</v>
      </c>
      <c r="I18" s="44"/>
      <c r="J18" s="44"/>
      <c r="K18" s="48"/>
    </row>
    <row r="19" spans="2:40" ht="19.5" customHeight="1" x14ac:dyDescent="0.2">
      <c r="B19" s="88" t="s">
        <v>22</v>
      </c>
      <c r="C19" s="43" t="s">
        <v>57</v>
      </c>
      <c r="D19" s="44"/>
      <c r="E19" s="48"/>
      <c r="F19" s="41" t="s">
        <v>21</v>
      </c>
      <c r="G19" s="42"/>
      <c r="H19" s="43" t="s">
        <v>61</v>
      </c>
      <c r="I19" s="44"/>
      <c r="J19" s="44"/>
      <c r="K19" s="48"/>
    </row>
    <row r="20" spans="2:40" ht="20.100000000000001" customHeight="1" x14ac:dyDescent="0.2">
      <c r="B20" s="88" t="s">
        <v>23</v>
      </c>
      <c r="C20" s="43">
        <v>2</v>
      </c>
      <c r="D20" s="44"/>
      <c r="E20" s="48"/>
      <c r="F20" s="41" t="s">
        <v>19</v>
      </c>
      <c r="G20" s="42"/>
      <c r="H20" s="43" t="s">
        <v>61</v>
      </c>
      <c r="I20" s="44"/>
      <c r="J20" s="44"/>
      <c r="K20" s="48"/>
    </row>
    <row r="21" spans="2:40" s="3" customFormat="1" ht="20.100000000000001" customHeight="1" x14ac:dyDescent="0.2">
      <c r="B21" s="88" t="s">
        <v>24</v>
      </c>
      <c r="C21" s="43" t="s">
        <v>61</v>
      </c>
      <c r="D21" s="44"/>
      <c r="E21" s="48"/>
      <c r="F21" s="41" t="s">
        <v>18</v>
      </c>
      <c r="G21" s="42"/>
      <c r="H21" s="53">
        <v>4.5</v>
      </c>
      <c r="I21" s="54"/>
      <c r="J21" s="54"/>
      <c r="K21" s="89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2:40" s="3" customFormat="1" ht="15" customHeight="1" x14ac:dyDescent="0.2">
      <c r="B22" s="87"/>
      <c r="C22" s="44"/>
      <c r="D22" s="44"/>
      <c r="E22" s="44"/>
      <c r="F22" s="44"/>
      <c r="G22" s="44"/>
      <c r="H22" s="44"/>
      <c r="I22" s="44"/>
      <c r="J22" s="44"/>
      <c r="K22" s="48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2:40" s="3" customFormat="1" ht="22.5" customHeight="1" x14ac:dyDescent="0.2">
      <c r="B23" s="87" t="s">
        <v>32</v>
      </c>
      <c r="C23" s="44"/>
      <c r="D23" s="44"/>
      <c r="E23" s="44"/>
      <c r="F23" s="44"/>
      <c r="G23" s="44"/>
      <c r="H23" s="44"/>
      <c r="I23" s="44"/>
      <c r="J23" s="44"/>
      <c r="K23" s="48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2:40" ht="20.100000000000001" customHeight="1" x14ac:dyDescent="0.2">
      <c r="B24" s="90" t="s">
        <v>27</v>
      </c>
      <c r="C24" s="29" t="s">
        <v>16</v>
      </c>
      <c r="D24" s="29" t="s">
        <v>9</v>
      </c>
      <c r="E24" s="29" t="s">
        <v>11</v>
      </c>
      <c r="F24" s="29" t="s">
        <v>25</v>
      </c>
      <c r="G24" s="29" t="s">
        <v>28</v>
      </c>
      <c r="H24" s="29" t="s">
        <v>15</v>
      </c>
      <c r="I24" s="29" t="s">
        <v>39</v>
      </c>
      <c r="J24" s="29" t="s">
        <v>12</v>
      </c>
      <c r="K24" s="91" t="s">
        <v>13</v>
      </c>
    </row>
    <row r="25" spans="2:40" ht="20.100000000000001" customHeight="1" x14ac:dyDescent="0.2">
      <c r="B25" s="92"/>
      <c r="C25" s="30"/>
      <c r="D25" s="30"/>
      <c r="E25" s="30"/>
      <c r="F25" s="30"/>
      <c r="G25" s="30"/>
      <c r="H25" s="30"/>
      <c r="I25" s="30"/>
      <c r="J25" s="30"/>
      <c r="K25" s="93"/>
    </row>
    <row r="26" spans="2:40" ht="24.95" customHeight="1" x14ac:dyDescent="0.2">
      <c r="B26" s="94">
        <v>1</v>
      </c>
      <c r="C26" s="31">
        <v>46083</v>
      </c>
      <c r="D26" s="29" t="s">
        <v>8</v>
      </c>
      <c r="E26" s="9">
        <f>IFERROR(C26+7,0)</f>
        <v>46090</v>
      </c>
      <c r="F26" s="6">
        <v>18443</v>
      </c>
      <c r="G26" s="6">
        <v>10</v>
      </c>
      <c r="H26" s="6">
        <v>20</v>
      </c>
      <c r="I26" s="6">
        <f>(G26*G26/4)*3.1416</f>
        <v>78.539999999999992</v>
      </c>
      <c r="J26" s="7">
        <f>F26/I26/100</f>
        <v>2.3482302011713778</v>
      </c>
      <c r="K26" s="95">
        <f>IFERROR((J26+J27)/2,0)</f>
        <v>2.4543544690603518</v>
      </c>
    </row>
    <row r="27" spans="2:40" ht="24.95" customHeight="1" x14ac:dyDescent="0.2">
      <c r="B27" s="94">
        <v>2</v>
      </c>
      <c r="C27" s="32"/>
      <c r="D27" s="30"/>
      <c r="E27" s="9">
        <f>E26</f>
        <v>46090</v>
      </c>
      <c r="F27" s="6">
        <v>20110</v>
      </c>
      <c r="G27" s="6">
        <v>10</v>
      </c>
      <c r="H27" s="6">
        <v>20</v>
      </c>
      <c r="I27" s="6">
        <f t="shared" ref="I27:I29" si="0">(G27*G27/4)*3.1416</f>
        <v>78.539999999999992</v>
      </c>
      <c r="J27" s="7">
        <f t="shared" ref="J27:J29" si="1">F27/I27/100</f>
        <v>2.5604787369493254</v>
      </c>
      <c r="K27" s="96"/>
    </row>
    <row r="28" spans="2:40" ht="24.95" customHeight="1" x14ac:dyDescent="0.2">
      <c r="B28" s="94">
        <v>3</v>
      </c>
      <c r="C28" s="31">
        <v>46083</v>
      </c>
      <c r="D28" s="29" t="s">
        <v>10</v>
      </c>
      <c r="E28" s="9">
        <f>IFERROR(C28+28,0)</f>
        <v>46111</v>
      </c>
      <c r="F28" s="6">
        <v>23446</v>
      </c>
      <c r="G28" s="6">
        <v>10</v>
      </c>
      <c r="H28" s="6">
        <v>20</v>
      </c>
      <c r="I28" s="6">
        <f t="shared" si="0"/>
        <v>78.539999999999992</v>
      </c>
      <c r="J28" s="7">
        <f t="shared" si="1"/>
        <v>2.9852304558186917</v>
      </c>
      <c r="K28" s="95">
        <f>IFERROR((J28+J29)/2,0)</f>
        <v>2.8365164247517192</v>
      </c>
    </row>
    <row r="29" spans="2:40" ht="24.95" customHeight="1" x14ac:dyDescent="0.2">
      <c r="B29" s="94">
        <v>4</v>
      </c>
      <c r="C29" s="32"/>
      <c r="D29" s="30"/>
      <c r="E29" s="9">
        <f>E28</f>
        <v>46111</v>
      </c>
      <c r="F29" s="6">
        <v>21110</v>
      </c>
      <c r="G29" s="6">
        <v>10</v>
      </c>
      <c r="H29" s="6">
        <v>20</v>
      </c>
      <c r="I29" s="6">
        <f t="shared" si="0"/>
        <v>78.539999999999992</v>
      </c>
      <c r="J29" s="7">
        <f t="shared" si="1"/>
        <v>2.6878023936847466</v>
      </c>
      <c r="K29" s="96"/>
    </row>
    <row r="30" spans="2:40" ht="15" customHeight="1" x14ac:dyDescent="0.2">
      <c r="B30" s="97"/>
      <c r="C30" s="4"/>
      <c r="D30" s="4"/>
      <c r="E30" s="8"/>
      <c r="F30" s="8"/>
      <c r="G30" s="8"/>
      <c r="H30" s="8"/>
      <c r="I30" s="8"/>
      <c r="J30" s="8"/>
      <c r="K30" s="23"/>
    </row>
    <row r="31" spans="2:40" s="3" customFormat="1" ht="22.5" customHeight="1" x14ac:dyDescent="0.2">
      <c r="B31" s="87" t="s">
        <v>33</v>
      </c>
      <c r="C31" s="44"/>
      <c r="D31" s="44"/>
      <c r="E31" s="44"/>
      <c r="F31" s="44"/>
      <c r="G31" s="44"/>
      <c r="H31" s="44"/>
      <c r="I31" s="44"/>
      <c r="J31" s="44"/>
      <c r="K31" s="48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</row>
    <row r="32" spans="2:40" ht="20.100000000000001" customHeight="1" x14ac:dyDescent="0.2">
      <c r="B32" s="90" t="s">
        <v>27</v>
      </c>
      <c r="C32" s="29" t="s">
        <v>16</v>
      </c>
      <c r="D32" s="29" t="s">
        <v>9</v>
      </c>
      <c r="E32" s="29" t="s">
        <v>11</v>
      </c>
      <c r="F32" s="29" t="s">
        <v>26</v>
      </c>
      <c r="G32" s="29" t="s">
        <v>28</v>
      </c>
      <c r="H32" s="29" t="s">
        <v>15</v>
      </c>
      <c r="I32" s="29" t="s">
        <v>40</v>
      </c>
      <c r="J32" s="29" t="s">
        <v>12</v>
      </c>
      <c r="K32" s="91" t="s">
        <v>14</v>
      </c>
    </row>
    <row r="33" spans="2:11" ht="20.100000000000001" customHeight="1" x14ac:dyDescent="0.2">
      <c r="B33" s="92"/>
      <c r="C33" s="30"/>
      <c r="D33" s="30"/>
      <c r="E33" s="30"/>
      <c r="F33" s="30"/>
      <c r="G33" s="30"/>
      <c r="H33" s="30"/>
      <c r="I33" s="30"/>
      <c r="J33" s="30"/>
      <c r="K33" s="93"/>
    </row>
    <row r="34" spans="2:11" ht="24.95" customHeight="1" x14ac:dyDescent="0.2">
      <c r="B34" s="94">
        <v>5</v>
      </c>
      <c r="C34" s="31">
        <v>46083</v>
      </c>
      <c r="D34" s="29" t="s">
        <v>8</v>
      </c>
      <c r="E34" s="9">
        <f>IFERROR(C34+7,0)</f>
        <v>46090</v>
      </c>
      <c r="F34" s="6">
        <v>11478</v>
      </c>
      <c r="G34" s="6">
        <v>10</v>
      </c>
      <c r="H34" s="6">
        <v>20</v>
      </c>
      <c r="I34" s="6">
        <f>100*3.1416*G34*H34</f>
        <v>62831.999999999985</v>
      </c>
      <c r="J34" s="7">
        <f>2*(F34/I34)</f>
        <v>0.36535523300229189</v>
      </c>
      <c r="K34" s="95">
        <f>IFERROR((J34+J35)/2,0)</f>
        <v>0.34192768016297437</v>
      </c>
    </row>
    <row r="35" spans="2:11" ht="24.95" customHeight="1" x14ac:dyDescent="0.2">
      <c r="B35" s="94">
        <v>6</v>
      </c>
      <c r="C35" s="32"/>
      <c r="D35" s="30"/>
      <c r="E35" s="9">
        <f>E34</f>
        <v>46090</v>
      </c>
      <c r="F35" s="6">
        <v>10006</v>
      </c>
      <c r="G35" s="6">
        <v>10</v>
      </c>
      <c r="H35" s="6">
        <v>20</v>
      </c>
      <c r="I35" s="6">
        <f t="shared" ref="I35:I37" si="2">100*3.1416*G35*H35</f>
        <v>62831.999999999985</v>
      </c>
      <c r="J35" s="7">
        <f t="shared" ref="J35:J37" si="3">2*(F35/I35)</f>
        <v>0.31850012732365679</v>
      </c>
      <c r="K35" s="96"/>
    </row>
    <row r="36" spans="2:11" ht="24.95" customHeight="1" x14ac:dyDescent="0.2">
      <c r="B36" s="94">
        <v>7</v>
      </c>
      <c r="C36" s="31">
        <v>46083</v>
      </c>
      <c r="D36" s="29" t="s">
        <v>10</v>
      </c>
      <c r="E36" s="9">
        <f>IFERROR(C36+28,0)</f>
        <v>46111</v>
      </c>
      <c r="F36" s="6">
        <v>13145</v>
      </c>
      <c r="G36" s="6">
        <v>10</v>
      </c>
      <c r="H36" s="6">
        <v>20</v>
      </c>
      <c r="I36" s="6">
        <f t="shared" si="2"/>
        <v>62831.999999999985</v>
      </c>
      <c r="J36" s="7">
        <f t="shared" si="3"/>
        <v>0.41841736694677883</v>
      </c>
      <c r="K36" s="95">
        <f>IFERROR((J36+J37)/2,0)</f>
        <v>0.39968487394957997</v>
      </c>
    </row>
    <row r="37" spans="2:11" ht="24.95" customHeight="1" x14ac:dyDescent="0.2">
      <c r="B37" s="98">
        <v>8</v>
      </c>
      <c r="C37" s="32"/>
      <c r="D37" s="47"/>
      <c r="E37" s="9">
        <f>E36</f>
        <v>46111</v>
      </c>
      <c r="F37" s="5">
        <v>11968</v>
      </c>
      <c r="G37" s="5">
        <v>10</v>
      </c>
      <c r="H37" s="5">
        <v>20</v>
      </c>
      <c r="I37" s="6">
        <f t="shared" si="2"/>
        <v>62831.999999999985</v>
      </c>
      <c r="J37" s="7">
        <f t="shared" si="3"/>
        <v>0.38095238095238104</v>
      </c>
      <c r="K37" s="96"/>
    </row>
    <row r="38" spans="2:11" ht="15" customHeight="1" x14ac:dyDescent="0.2">
      <c r="B38" s="97"/>
      <c r="C38" s="4"/>
      <c r="D38" s="4"/>
      <c r="E38" s="8"/>
      <c r="F38" s="8"/>
      <c r="G38" s="8"/>
      <c r="H38" s="8"/>
      <c r="I38" s="8"/>
      <c r="J38" s="8"/>
      <c r="K38" s="23"/>
    </row>
    <row r="39" spans="2:11" ht="20.100000000000001" customHeight="1" x14ac:dyDescent="0.2">
      <c r="B39" s="99" t="s">
        <v>29</v>
      </c>
      <c r="C39" s="49"/>
      <c r="D39" s="49"/>
      <c r="E39" s="49"/>
      <c r="F39" s="49"/>
      <c r="G39" s="49"/>
      <c r="H39" s="49"/>
      <c r="I39" s="49"/>
      <c r="J39" s="49"/>
      <c r="K39" s="100"/>
    </row>
    <row r="40" spans="2:11" ht="27" customHeight="1" x14ac:dyDescent="0.2">
      <c r="B40" s="101"/>
      <c r="C40" s="102"/>
      <c r="D40" s="102"/>
      <c r="E40" s="103"/>
      <c r="F40" s="103"/>
      <c r="G40" s="103"/>
      <c r="H40" s="103"/>
      <c r="I40" s="103"/>
      <c r="J40" s="103"/>
      <c r="K40" s="104"/>
    </row>
    <row r="41" spans="2:11" ht="27" customHeight="1" x14ac:dyDescent="0.2">
      <c r="B41" s="101"/>
      <c r="C41" s="102"/>
      <c r="D41" s="102"/>
      <c r="E41" s="103"/>
      <c r="F41" s="103"/>
      <c r="G41" s="103"/>
      <c r="H41" s="103"/>
      <c r="I41" s="103"/>
      <c r="J41" s="103"/>
      <c r="K41" s="104"/>
    </row>
    <row r="42" spans="2:11" ht="27" customHeight="1" x14ac:dyDescent="0.2">
      <c r="B42" s="101"/>
      <c r="C42" s="102"/>
      <c r="D42" s="102"/>
      <c r="E42" s="103"/>
      <c r="F42" s="103"/>
      <c r="G42" s="103"/>
      <c r="H42" s="103"/>
      <c r="I42" s="103"/>
      <c r="J42" s="103"/>
      <c r="K42" s="104"/>
    </row>
    <row r="43" spans="2:11" ht="27" customHeight="1" x14ac:dyDescent="0.2">
      <c r="B43" s="101"/>
      <c r="C43" s="102"/>
      <c r="D43" s="102"/>
      <c r="E43" s="103"/>
      <c r="F43" s="103"/>
      <c r="G43" s="103"/>
      <c r="H43" s="103"/>
      <c r="I43" s="103"/>
      <c r="J43" s="103"/>
      <c r="K43" s="104"/>
    </row>
    <row r="44" spans="2:11" ht="27" customHeight="1" x14ac:dyDescent="0.2">
      <c r="B44" s="101"/>
      <c r="C44" s="102"/>
      <c r="D44" s="102"/>
      <c r="E44" s="103"/>
      <c r="F44" s="103"/>
      <c r="G44" s="103"/>
      <c r="H44" s="103"/>
      <c r="I44" s="103"/>
      <c r="J44" s="103"/>
      <c r="K44" s="104"/>
    </row>
    <row r="45" spans="2:11" ht="27" customHeight="1" x14ac:dyDescent="0.2">
      <c r="B45" s="101"/>
      <c r="C45" s="102"/>
      <c r="D45" s="102"/>
      <c r="E45" s="103"/>
      <c r="F45" s="103"/>
      <c r="G45" s="103"/>
      <c r="H45" s="103"/>
      <c r="I45" s="103"/>
      <c r="J45" s="103"/>
      <c r="K45" s="104"/>
    </row>
    <row r="46" spans="2:11" ht="20.100000000000001" customHeight="1" x14ac:dyDescent="0.2">
      <c r="B46" s="105" t="s">
        <v>30</v>
      </c>
      <c r="C46" s="46"/>
      <c r="D46" s="46"/>
      <c r="E46" s="46"/>
      <c r="F46" s="46"/>
      <c r="G46" s="46"/>
      <c r="H46" s="46"/>
      <c r="I46" s="46"/>
      <c r="J46" s="46"/>
      <c r="K46" s="106"/>
    </row>
    <row r="47" spans="2:11" ht="30.95" customHeight="1" x14ac:dyDescent="0.2">
      <c r="B47" s="107"/>
      <c r="C47" s="11"/>
      <c r="D47" s="11"/>
      <c r="E47" s="11"/>
      <c r="F47" s="11"/>
      <c r="G47" s="11"/>
      <c r="H47" s="11"/>
      <c r="I47" s="11"/>
      <c r="J47" s="11"/>
      <c r="K47" s="108"/>
    </row>
    <row r="48" spans="2:11" ht="30.95" customHeight="1" x14ac:dyDescent="0.2">
      <c r="B48" s="109"/>
      <c r="C48" s="110"/>
      <c r="D48" s="110"/>
      <c r="E48" s="110"/>
      <c r="F48" s="110"/>
      <c r="G48" s="110"/>
      <c r="H48" s="110"/>
      <c r="I48" s="110"/>
      <c r="J48" s="110"/>
      <c r="K48" s="111"/>
    </row>
    <row r="49" spans="2:13" ht="30.95" customHeight="1" x14ac:dyDescent="0.2">
      <c r="B49" s="109"/>
      <c r="C49" s="55"/>
      <c r="D49" s="55"/>
      <c r="E49" s="55"/>
      <c r="F49" s="110"/>
      <c r="G49" s="110"/>
      <c r="H49" s="55" t="e" vm="1">
        <v>#VALUE!</v>
      </c>
      <c r="I49" s="55"/>
      <c r="J49" s="55"/>
      <c r="K49" s="111"/>
    </row>
    <row r="50" spans="2:13" ht="25.5" customHeight="1" x14ac:dyDescent="0.2">
      <c r="B50" s="109"/>
      <c r="C50" s="112" t="s">
        <v>38</v>
      </c>
      <c r="D50" s="112"/>
      <c r="E50" s="112"/>
      <c r="F50" s="110"/>
      <c r="G50" s="110"/>
      <c r="H50" s="61" t="s">
        <v>37</v>
      </c>
      <c r="I50" s="61"/>
      <c r="J50" s="61"/>
      <c r="K50" s="111"/>
    </row>
    <row r="51" spans="2:13" ht="11.1" customHeight="1" x14ac:dyDescent="0.2">
      <c r="B51" s="113"/>
      <c r="C51" s="13"/>
      <c r="D51" s="13"/>
      <c r="E51" s="13"/>
      <c r="F51" s="10"/>
      <c r="G51" s="13"/>
      <c r="H51" s="13"/>
      <c r="I51" s="13"/>
      <c r="J51" s="13"/>
      <c r="K51" s="114"/>
    </row>
    <row r="52" spans="2:13" ht="15" customHeight="1" x14ac:dyDescent="0.2">
      <c r="B52" s="115"/>
      <c r="C52" s="116"/>
      <c r="D52" s="116"/>
      <c r="E52" s="116"/>
      <c r="F52" s="117"/>
      <c r="G52" s="118"/>
      <c r="H52" s="116"/>
      <c r="I52" s="116"/>
      <c r="J52" s="116"/>
      <c r="K52" s="119"/>
    </row>
    <row r="53" spans="2:13" ht="30" customHeight="1" x14ac:dyDescent="0.2">
      <c r="B53" s="120" t="s">
        <v>41</v>
      </c>
      <c r="C53" s="24" t="s">
        <v>52</v>
      </c>
      <c r="D53" s="24"/>
      <c r="E53" s="24"/>
      <c r="F53" s="24"/>
      <c r="G53" s="24"/>
      <c r="H53" s="24"/>
      <c r="I53" s="24"/>
      <c r="J53" s="24"/>
      <c r="K53" s="121"/>
      <c r="L53" s="21"/>
      <c r="M53" s="21"/>
    </row>
    <row r="54" spans="2:13" ht="30" customHeight="1" x14ac:dyDescent="0.2">
      <c r="B54" s="122" t="s">
        <v>42</v>
      </c>
      <c r="C54" s="25" t="s">
        <v>44</v>
      </c>
      <c r="D54" s="25"/>
      <c r="E54" s="25"/>
      <c r="F54" s="25"/>
      <c r="G54" s="25"/>
      <c r="H54" s="25"/>
      <c r="I54" s="25"/>
      <c r="J54" s="25"/>
      <c r="K54" s="123"/>
      <c r="L54" s="22"/>
      <c r="M54" s="22"/>
    </row>
    <row r="55" spans="2:13" ht="30" customHeight="1" thickBot="1" x14ac:dyDescent="0.25">
      <c r="B55" s="124" t="s">
        <v>43</v>
      </c>
      <c r="C55" s="125" t="s">
        <v>53</v>
      </c>
      <c r="D55" s="125"/>
      <c r="E55" s="125"/>
      <c r="F55" s="125"/>
      <c r="G55" s="125"/>
      <c r="H55" s="125"/>
      <c r="I55" s="125"/>
      <c r="J55" s="125"/>
      <c r="K55" s="126"/>
      <c r="L55" s="22"/>
      <c r="M55" s="22"/>
    </row>
  </sheetData>
  <protectedRanges>
    <protectedRange sqref="G9:K11 K7:K8 E7:E8" name="Intervalo1"/>
  </protectedRanges>
  <mergeCells count="80">
    <mergeCell ref="H7:K7"/>
    <mergeCell ref="H18:K18"/>
    <mergeCell ref="H21:K21"/>
    <mergeCell ref="C50:E50"/>
    <mergeCell ref="C49:E49"/>
    <mergeCell ref="F7:G7"/>
    <mergeCell ref="F8:G8"/>
    <mergeCell ref="H8:K8"/>
    <mergeCell ref="C7:E7"/>
    <mergeCell ref="C8:E8"/>
    <mergeCell ref="C9:K9"/>
    <mergeCell ref="H49:J49"/>
    <mergeCell ref="H50:J50"/>
    <mergeCell ref="C18:E18"/>
    <mergeCell ref="C19:E19"/>
    <mergeCell ref="C20:E20"/>
    <mergeCell ref="C21:E21"/>
    <mergeCell ref="B17:K17"/>
    <mergeCell ref="B23:K23"/>
    <mergeCell ref="B39:K39"/>
    <mergeCell ref="C36:C37"/>
    <mergeCell ref="E24:E25"/>
    <mergeCell ref="F24:F25"/>
    <mergeCell ref="D26:D27"/>
    <mergeCell ref="B31:K31"/>
    <mergeCell ref="B32:B33"/>
    <mergeCell ref="D32:D33"/>
    <mergeCell ref="E32:E33"/>
    <mergeCell ref="F32:F33"/>
    <mergeCell ref="G32:G33"/>
    <mergeCell ref="H32:H33"/>
    <mergeCell ref="I32:I33"/>
    <mergeCell ref="B46:K46"/>
    <mergeCell ref="D36:D37"/>
    <mergeCell ref="K36:K37"/>
    <mergeCell ref="F18:G18"/>
    <mergeCell ref="B22:K22"/>
    <mergeCell ref="H20:K20"/>
    <mergeCell ref="F20:G20"/>
    <mergeCell ref="F21:G21"/>
    <mergeCell ref="G24:G25"/>
    <mergeCell ref="J24:J25"/>
    <mergeCell ref="I24:I25"/>
    <mergeCell ref="K24:K25"/>
    <mergeCell ref="H24:H25"/>
    <mergeCell ref="C34:C35"/>
    <mergeCell ref="D34:D35"/>
    <mergeCell ref="D24:D25"/>
    <mergeCell ref="K32:K33"/>
    <mergeCell ref="J32:J33"/>
    <mergeCell ref="B1:K1"/>
    <mergeCell ref="B3:E3"/>
    <mergeCell ref="G3:K3"/>
    <mergeCell ref="B4:E4"/>
    <mergeCell ref="G4:K4"/>
    <mergeCell ref="B13:K13"/>
    <mergeCell ref="B12:K12"/>
    <mergeCell ref="C10:K11"/>
    <mergeCell ref="B10:B11"/>
    <mergeCell ref="F19:G19"/>
    <mergeCell ref="H19:K19"/>
    <mergeCell ref="B14:K14"/>
    <mergeCell ref="B15:K15"/>
    <mergeCell ref="B16:K16"/>
    <mergeCell ref="C53:K53"/>
    <mergeCell ref="C54:K54"/>
    <mergeCell ref="C55:K55"/>
    <mergeCell ref="B2:K2"/>
    <mergeCell ref="B5:E5"/>
    <mergeCell ref="G5:K5"/>
    <mergeCell ref="B6:K6"/>
    <mergeCell ref="K26:K27"/>
    <mergeCell ref="K28:K29"/>
    <mergeCell ref="D28:D29"/>
    <mergeCell ref="B24:B25"/>
    <mergeCell ref="K34:K35"/>
    <mergeCell ref="C24:C25"/>
    <mergeCell ref="C32:C33"/>
    <mergeCell ref="C26:C27"/>
    <mergeCell ref="C28:C29"/>
  </mergeCells>
  <printOptions horizontalCentered="1"/>
  <pageMargins left="0.59055118110236227" right="0.39370078740157483" top="0.59055118110236227" bottom="0.59055118110236227" header="0.39370078740157483" footer="0.39370078740157483"/>
  <pageSetup paperSize="9" scale="5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FR-IMOB-33_Rev00</vt:lpstr>
      <vt:lpstr>'FR-IMOB-33_Rev00'!Area_de_impressao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jane</dc:creator>
  <cp:lastModifiedBy>Denizan Olivio Souza da Silva</cp:lastModifiedBy>
  <cp:lastPrinted>2026-04-01T12:09:18Z</cp:lastPrinted>
  <dcterms:created xsi:type="dcterms:W3CDTF">2022-07-24T00:22:05Z</dcterms:created>
  <dcterms:modified xsi:type="dcterms:W3CDTF">2026-04-01T12:09:22Z</dcterms:modified>
</cp:coreProperties>
</file>