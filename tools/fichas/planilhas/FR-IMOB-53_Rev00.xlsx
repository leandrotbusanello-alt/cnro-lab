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88ADC6E6-D60E-4C10-B706-45675432A20C}" xr6:coauthVersionLast="47" xr6:coauthVersionMax="47" xr10:uidLastSave="{00000000-0000-0000-0000-000000000000}"/>
  <bookViews>
    <workbookView xWindow="-28910" yWindow="-1730" windowWidth="29020" windowHeight="15820" xr2:uid="{C04F8151-E56C-44A6-B63B-2CB5244BA1E6}"/>
  </bookViews>
  <sheets>
    <sheet name="FR-IMOB-53_Rev00" sheetId="1" r:id="rId1"/>
  </sheets>
  <definedNames>
    <definedName name="_xlnm.Print_Area" localSheetId="0">'FR-IMOB-53_Rev00'!$A$1:$Q$69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8" i="1"/>
  <c r="D56" i="1"/>
  <c r="D55" i="1"/>
  <c r="D54" i="1"/>
  <c r="D53" i="1"/>
  <c r="D52" i="1"/>
  <c r="D51" i="1"/>
  <c r="D50" i="1"/>
  <c r="D49" i="1"/>
  <c r="D48" i="1"/>
  <c r="D47" i="1"/>
  <c r="N40" i="1" l="1"/>
  <c r="O40" i="1" s="1"/>
  <c r="N27" i="1"/>
  <c r="O27" i="1" s="1"/>
  <c r="N39" i="1"/>
  <c r="O39" i="1" s="1"/>
  <c r="N38" i="1"/>
  <c r="O38" i="1" s="1"/>
  <c r="N37" i="1"/>
  <c r="O37" i="1" s="1"/>
  <c r="N36" i="1"/>
  <c r="O36" i="1" s="1"/>
  <c r="N35" i="1"/>
  <c r="O35" i="1" s="1"/>
  <c r="N34" i="1"/>
  <c r="O34" i="1" s="1"/>
  <c r="N33" i="1"/>
  <c r="O33" i="1" s="1"/>
  <c r="N32" i="1"/>
  <c r="O32" i="1" s="1"/>
  <c r="N31" i="1"/>
  <c r="O31" i="1" s="1"/>
  <c r="N30" i="1"/>
  <c r="O30" i="1" s="1"/>
  <c r="N29" i="1"/>
  <c r="O29" i="1" s="1"/>
  <c r="N28" i="1"/>
  <c r="O28" i="1" s="1"/>
  <c r="E40" i="1"/>
  <c r="D41" i="1" s="1"/>
  <c r="E41" i="1" s="1"/>
  <c r="F41" i="1" s="1"/>
  <c r="E39" i="1"/>
  <c r="F39" i="1" s="1"/>
  <c r="E48" i="1" s="1"/>
  <c r="E38" i="1"/>
  <c r="F38" i="1" s="1"/>
  <c r="E49" i="1" s="1"/>
  <c r="E37" i="1"/>
  <c r="F37" i="1" s="1"/>
  <c r="E50" i="1" s="1"/>
  <c r="E36" i="1"/>
  <c r="F36" i="1" s="1"/>
  <c r="E51" i="1" s="1"/>
  <c r="E35" i="1"/>
  <c r="F35" i="1" s="1"/>
  <c r="E52" i="1" s="1"/>
  <c r="E34" i="1"/>
  <c r="F34" i="1" s="1"/>
  <c r="E53" i="1" s="1"/>
  <c r="E32" i="1"/>
  <c r="F32" i="1" s="1"/>
  <c r="E54" i="1" s="1"/>
  <c r="E31" i="1"/>
  <c r="F31" i="1" s="1"/>
  <c r="E55" i="1" s="1"/>
  <c r="E30" i="1"/>
  <c r="F30" i="1" s="1"/>
  <c r="E56" i="1" s="1"/>
  <c r="E29" i="1"/>
  <c r="F29" i="1" s="1"/>
  <c r="E57" i="1" s="1"/>
  <c r="E28" i="1"/>
  <c r="F28" i="1" s="1"/>
  <c r="E58" i="1" s="1"/>
  <c r="E27" i="1"/>
  <c r="F27" i="1" s="1"/>
  <c r="E59" i="1" s="1"/>
  <c r="M48" i="1"/>
  <c r="M49" i="1"/>
  <c r="M50" i="1"/>
  <c r="M60" i="1"/>
  <c r="M59" i="1"/>
  <c r="M58" i="1"/>
  <c r="M57" i="1"/>
  <c r="M56" i="1"/>
  <c r="M55" i="1"/>
  <c r="M54" i="1"/>
  <c r="M53" i="1"/>
  <c r="M52" i="1"/>
  <c r="M51" i="1"/>
  <c r="E33" i="1"/>
  <c r="F33" i="1" s="1"/>
  <c r="M41" i="1" l="1"/>
  <c r="N41" i="1" s="1"/>
  <c r="O41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47" i="1"/>
  <c r="F40" i="1"/>
  <c r="E47" i="1" s="1"/>
  <c r="I46" i="1"/>
  <c r="N48" i="1" l="1"/>
  <c r="N49" i="1"/>
  <c r="N59" i="1"/>
  <c r="N58" i="1"/>
  <c r="N56" i="1"/>
  <c r="N57" i="1"/>
  <c r="N50" i="1"/>
  <c r="N51" i="1"/>
  <c r="N55" i="1"/>
  <c r="N54" i="1"/>
  <c r="N53" i="1"/>
  <c r="N52" i="1"/>
  <c r="G47" i="1"/>
  <c r="N60" i="1" s="1"/>
</calcChain>
</file>

<file path=xl/sharedStrings.xml><?xml version="1.0" encoding="utf-8"?>
<sst xmlns="http://schemas.openxmlformats.org/spreadsheetml/2006/main" count="70" uniqueCount="52">
  <si>
    <t>Nº O.S:</t>
  </si>
  <si>
    <t>Data do ensaio:</t>
  </si>
  <si>
    <t>Material:</t>
  </si>
  <si>
    <t>Registro da amostra:</t>
  </si>
  <si>
    <t>Procedencia material:</t>
  </si>
  <si>
    <t xml:space="preserve">Informações complementar: </t>
  </si>
  <si>
    <t>Documento de referência</t>
  </si>
  <si>
    <t>DNIT 412 - Pavimentação - Misturas asfálticas - Análise granulométrica de agregados graúdos e miúdos e misturas de agregados por peneiramento - Método de ensaio.</t>
  </si>
  <si>
    <t>GRANULOMETRIA DE AGREGADOS</t>
  </si>
  <si>
    <t>AMOSTRA 01</t>
  </si>
  <si>
    <t>AMOSTRA 02</t>
  </si>
  <si>
    <t>Amostra total seca (g)</t>
  </si>
  <si>
    <t>Peneira</t>
  </si>
  <si>
    <t>Peso amostra seca</t>
  </si>
  <si>
    <t>% &lt;  f</t>
  </si>
  <si>
    <t xml:space="preserve">Nº </t>
  </si>
  <si>
    <t>mm</t>
  </si>
  <si>
    <t>retido</t>
  </si>
  <si>
    <t>passado</t>
  </si>
  <si>
    <t>1   1/2"</t>
  </si>
  <si>
    <t>1"</t>
  </si>
  <si>
    <t>3/4"</t>
  </si>
  <si>
    <t xml:space="preserve"> 1/2"</t>
  </si>
  <si>
    <t>3/8"</t>
  </si>
  <si>
    <t>1/4"</t>
  </si>
  <si>
    <t>5/8"</t>
  </si>
  <si>
    <t>Fundo</t>
  </si>
  <si>
    <t>Diâm. Máx. (mm):</t>
  </si>
  <si>
    <t>% MÉDIA PASSANTE</t>
  </si>
  <si>
    <r>
      <t xml:space="preserve">INFORMAÇÕES DO GRÁFICO - </t>
    </r>
    <r>
      <rPr>
        <b/>
        <sz val="8"/>
        <color indexed="10"/>
        <rFont val="Tahoma"/>
        <family val="2"/>
      </rPr>
      <t>NÃO DELETAR</t>
    </r>
  </si>
  <si>
    <t>PENEIRA</t>
  </si>
  <si>
    <t>% PASS.</t>
  </si>
  <si>
    <t>MÉDIA</t>
  </si>
  <si>
    <t>Assinaturas</t>
  </si>
  <si>
    <t>________________________________________
Responsável calculista</t>
  </si>
  <si>
    <t>DNIT 031 -  Pavimentação Concreto Asflatico - Especificação de Servico.</t>
  </si>
  <si>
    <t>ABNT NM 248 - Agregados - Determinação da composição granulométrica.</t>
  </si>
  <si>
    <t>DNER-ME 083 - Agregados - Análise Granulometrica.</t>
  </si>
  <si>
    <t>_______________________________________
                           Responsável executor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</si>
  <si>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</si>
  <si>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</si>
  <si>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</si>
  <si>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</si>
  <si>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FR-IMOB-53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</si>
  <si>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Análise Granulométrica de Agregados DNIT 031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</si>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</sst>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b/>
      <sz val="23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name val="Aptos Narrow"/>
      <family val="2"/>
      <scheme val="minor"/>
    </font>
    <font>
      <sz val="11"/>
      <color indexed="8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b/>
      <sz val="12"/>
      <color theme="0"/>
      <name val="Tahoma"/>
      <family val="2"/>
    </font>
    <font>
      <sz val="9"/>
      <name val="Tahoma"/>
      <family val="2"/>
    </font>
    <font>
      <sz val="7"/>
      <name val="Tahoma"/>
      <family val="2"/>
    </font>
    <font>
      <sz val="11"/>
      <name val="Tahoma"/>
      <family val="2"/>
    </font>
    <font>
      <b/>
      <sz val="8"/>
      <name val="Tahoma"/>
      <family val="2"/>
    </font>
    <font>
      <b/>
      <sz val="8"/>
      <color indexed="10"/>
      <name val="Tahoma"/>
      <family val="2"/>
    </font>
    <font>
      <b/>
      <sz val="10"/>
      <color theme="0"/>
      <name val="Tahoma"/>
      <family val="2"/>
    </font>
    <font>
      <sz val="11"/>
      <color theme="0"/>
      <name val="Tahoma"/>
      <family val="2"/>
    </font>
    <font>
      <sz val="9"/>
      <color theme="0"/>
      <name val="Tahoma"/>
      <family val="2"/>
    </font>
    <font>
      <b/>
      <sz val="10"/>
      <color rgb="FF0000FF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8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8" fillId="0" borderId="0"/>
    <xf numFmtId="0" fontId="8" fillId="0" borderId="0"/>
  </cellStyleXfs>
  <cellXfs count="182">
    <xf numFmtId="0" fontId="0" fillId="0" borderId="0" xfId="0"/>
    <xf numFmtId="0" fontId="1" fillId="2" borderId="0" xfId="0" applyFont="1" applyFill="1" applyAlignment="1" applyProtection="1">
      <alignment vertical="center" wrapText="1"/>
      <protection hidden="1"/>
    </xf>
    <xf numFmtId="0" fontId="3" fillId="2" borderId="0" xfId="0" applyFont="1" applyFill="1" applyProtection="1">
      <protection hidden="1"/>
    </xf>
    <xf numFmtId="0" fontId="3" fillId="3" borderId="0" xfId="0" applyFont="1" applyFill="1" applyProtection="1">
      <protection hidden="1"/>
    </xf>
    <xf numFmtId="3" fontId="3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3" borderId="0" xfId="0" applyFont="1" applyFill="1" applyAlignment="1" applyProtection="1">
      <alignment vertical="center"/>
      <protection hidden="1"/>
    </xf>
    <xf numFmtId="164" fontId="5" fillId="2" borderId="0" xfId="0" applyNumberFormat="1" applyFont="1" applyFill="1" applyAlignment="1" applyProtection="1">
      <alignment horizontal="center" vertical="center"/>
      <protection locked="0"/>
    </xf>
    <xf numFmtId="9" fontId="3" fillId="2" borderId="0" xfId="1" applyFont="1" applyFill="1" applyBorder="1" applyProtection="1">
      <protection hidden="1"/>
    </xf>
    <xf numFmtId="166" fontId="3" fillId="2" borderId="0" xfId="1" applyNumberFormat="1" applyFont="1" applyFill="1" applyBorder="1" applyProtection="1">
      <protection hidden="1"/>
    </xf>
    <xf numFmtId="2" fontId="3" fillId="2" borderId="0" xfId="0" applyNumberFormat="1" applyFont="1" applyFill="1" applyProtection="1">
      <protection hidden="1"/>
    </xf>
    <xf numFmtId="0" fontId="5" fillId="2" borderId="0" xfId="0" applyFont="1" applyFill="1" applyProtection="1">
      <protection hidden="1"/>
    </xf>
    <xf numFmtId="10" fontId="2" fillId="2" borderId="0" xfId="0" applyNumberFormat="1" applyFont="1" applyFill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7" fillId="2" borderId="0" xfId="0" applyFont="1" applyFill="1" applyProtection="1"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0" fontId="9" fillId="2" borderId="0" xfId="0" applyFont="1" applyFill="1" applyProtection="1">
      <protection hidden="1"/>
    </xf>
    <xf numFmtId="0" fontId="9" fillId="3" borderId="0" xfId="0" applyFont="1" applyFill="1" applyProtection="1">
      <protection hidden="1"/>
    </xf>
    <xf numFmtId="10" fontId="9" fillId="3" borderId="0" xfId="0" applyNumberFormat="1" applyFont="1" applyFill="1" applyProtection="1">
      <protection hidden="1"/>
    </xf>
    <xf numFmtId="164" fontId="15" fillId="2" borderId="4" xfId="0" applyNumberFormat="1" applyFont="1" applyFill="1" applyBorder="1" applyAlignment="1" applyProtection="1">
      <alignment horizontal="center" vertical="center"/>
      <protection locked="0"/>
    </xf>
    <xf numFmtId="165" fontId="9" fillId="3" borderId="0" xfId="0" applyNumberFormat="1" applyFont="1" applyFill="1" applyAlignment="1" applyProtection="1">
      <alignment vertical="center"/>
      <protection hidden="1"/>
    </xf>
    <xf numFmtId="10" fontId="9" fillId="3" borderId="0" xfId="1" applyNumberFormat="1" applyFont="1" applyFill="1" applyBorder="1" applyAlignment="1" applyProtection="1">
      <alignment vertical="center"/>
      <protection hidden="1"/>
    </xf>
    <xf numFmtId="10" fontId="9" fillId="3" borderId="0" xfId="1" applyNumberFormat="1" applyFont="1" applyFill="1" applyBorder="1" applyAlignment="1" applyProtection="1">
      <alignment vertical="center" wrapText="1"/>
      <protection hidden="1"/>
    </xf>
    <xf numFmtId="10" fontId="15" fillId="3" borderId="0" xfId="1" applyNumberFormat="1" applyFont="1" applyFill="1" applyBorder="1" applyAlignment="1" applyProtection="1">
      <protection hidden="1"/>
    </xf>
    <xf numFmtId="0" fontId="15" fillId="2" borderId="9" xfId="0" applyFont="1" applyFill="1" applyBorder="1" applyAlignment="1" applyProtection="1">
      <alignment horizontal="center" vertical="center"/>
      <protection hidden="1"/>
    </xf>
    <xf numFmtId="164" fontId="15" fillId="2" borderId="10" xfId="0" applyNumberFormat="1" applyFont="1" applyFill="1" applyBorder="1" applyAlignment="1" applyProtection="1">
      <alignment horizontal="center" vertical="center"/>
      <protection hidden="1"/>
    </xf>
    <xf numFmtId="164" fontId="15" fillId="2" borderId="9" xfId="0" applyNumberFormat="1" applyFont="1" applyFill="1" applyBorder="1" applyAlignment="1" applyProtection="1">
      <alignment horizontal="center" vertical="center"/>
      <protection hidden="1"/>
    </xf>
    <xf numFmtId="10" fontId="15" fillId="2" borderId="0" xfId="1" applyNumberFormat="1" applyFont="1" applyFill="1" applyBorder="1" applyAlignment="1" applyProtection="1">
      <alignment vertical="center"/>
      <protection hidden="1"/>
    </xf>
    <xf numFmtId="164" fontId="15" fillId="2" borderId="9" xfId="1" applyNumberFormat="1" applyFont="1" applyFill="1" applyBorder="1" applyAlignment="1" applyProtection="1">
      <alignment horizontal="center" vertical="center"/>
      <protection hidden="1"/>
    </xf>
    <xf numFmtId="164" fontId="9" fillId="2" borderId="0" xfId="0" applyNumberFormat="1" applyFont="1" applyFill="1" applyProtection="1">
      <protection hidden="1"/>
    </xf>
    <xf numFmtId="0" fontId="15" fillId="2" borderId="13" xfId="0" applyFont="1" applyFill="1" applyBorder="1" applyAlignment="1" applyProtection="1">
      <alignment horizontal="center" vertical="center"/>
      <protection hidden="1"/>
    </xf>
    <xf numFmtId="164" fontId="15" fillId="2" borderId="13" xfId="0" applyNumberFormat="1" applyFont="1" applyFill="1" applyBorder="1" applyAlignment="1" applyProtection="1">
      <alignment horizontal="center" vertical="center"/>
      <protection hidden="1"/>
    </xf>
    <xf numFmtId="10" fontId="9" fillId="3" borderId="0" xfId="1" applyNumberFormat="1" applyFont="1" applyFill="1" applyBorder="1" applyAlignment="1" applyProtection="1">
      <alignment horizontal="center"/>
      <protection hidden="1"/>
    </xf>
    <xf numFmtId="0" fontId="15" fillId="2" borderId="0" xfId="0" applyFont="1" applyFill="1" applyProtection="1">
      <protection hidden="1"/>
    </xf>
    <xf numFmtId="0" fontId="15" fillId="3" borderId="11" xfId="0" applyFont="1" applyFill="1" applyBorder="1" applyAlignment="1" applyProtection="1">
      <alignment horizontal="center" vertical="center"/>
      <protection hidden="1"/>
    </xf>
    <xf numFmtId="0" fontId="15" fillId="2" borderId="12" xfId="0" applyFont="1" applyFill="1" applyBorder="1" applyAlignment="1" applyProtection="1">
      <alignment horizontal="center" vertical="center"/>
      <protection hidden="1"/>
    </xf>
    <xf numFmtId="10" fontId="15" fillId="3" borderId="0" xfId="0" applyNumberFormat="1" applyFont="1" applyFill="1" applyAlignment="1" applyProtection="1">
      <alignment horizontal="center" vertical="center"/>
      <protection hidden="1"/>
    </xf>
    <xf numFmtId="10" fontId="15" fillId="2" borderId="12" xfId="0" applyNumberFormat="1" applyFont="1" applyFill="1" applyBorder="1" applyAlignment="1" applyProtection="1">
      <alignment horizontal="center" vertical="center"/>
      <protection hidden="1"/>
    </xf>
    <xf numFmtId="2" fontId="15" fillId="3" borderId="11" xfId="0" applyNumberFormat="1" applyFont="1" applyFill="1" applyBorder="1" applyAlignment="1" applyProtection="1">
      <alignment horizontal="center" vertical="center"/>
      <protection hidden="1"/>
    </xf>
    <xf numFmtId="164" fontId="15" fillId="3" borderId="11" xfId="0" applyNumberFormat="1" applyFont="1" applyFill="1" applyBorder="1" applyAlignment="1" applyProtection="1">
      <alignment horizontal="center" vertical="center"/>
      <protection hidden="1"/>
    </xf>
    <xf numFmtId="164" fontId="15" fillId="2" borderId="11" xfId="0" applyNumberFormat="1" applyFont="1" applyFill="1" applyBorder="1" applyAlignment="1" applyProtection="1">
      <alignment horizontal="center" vertical="center"/>
      <protection hidden="1"/>
    </xf>
    <xf numFmtId="10" fontId="15" fillId="2" borderId="0" xfId="0" applyNumberFormat="1" applyFont="1" applyFill="1" applyAlignment="1" applyProtection="1">
      <alignment horizontal="center" vertical="center"/>
      <protection hidden="1"/>
    </xf>
    <xf numFmtId="10" fontId="15" fillId="3" borderId="14" xfId="0" applyNumberFormat="1" applyFont="1" applyFill="1" applyBorder="1" applyAlignment="1" applyProtection="1">
      <alignment horizontal="center" vertical="center"/>
      <protection hidden="1"/>
    </xf>
    <xf numFmtId="10" fontId="15" fillId="2" borderId="8" xfId="0" applyNumberFormat="1" applyFont="1" applyFill="1" applyBorder="1" applyAlignment="1" applyProtection="1">
      <alignment horizontal="center" vertical="center"/>
      <protection hidden="1"/>
    </xf>
    <xf numFmtId="164" fontId="15" fillId="3" borderId="0" xfId="0" applyNumberFormat="1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center" vertical="center"/>
      <protection hidden="1"/>
    </xf>
    <xf numFmtId="10" fontId="10" fillId="2" borderId="0" xfId="0" applyNumberFormat="1" applyFont="1" applyFill="1" applyAlignment="1" applyProtection="1">
      <alignment horizontal="center" vertical="center"/>
      <protection hidden="1"/>
    </xf>
    <xf numFmtId="10" fontId="15" fillId="2" borderId="0" xfId="1" applyNumberFormat="1" applyFont="1" applyFill="1" applyBorder="1" applyAlignment="1" applyProtection="1">
      <alignment horizontal="center" vertical="center"/>
      <protection hidden="1"/>
    </xf>
    <xf numFmtId="10" fontId="15" fillId="4" borderId="0" xfId="1" applyNumberFormat="1" applyFont="1" applyFill="1" applyBorder="1" applyAlignment="1" applyProtection="1">
      <alignment horizontal="center" vertical="center"/>
      <protection hidden="1"/>
    </xf>
    <xf numFmtId="10" fontId="15" fillId="4" borderId="0" xfId="1" applyNumberFormat="1" applyFont="1" applyFill="1" applyBorder="1" applyAlignment="1" applyProtection="1">
      <alignment vertical="center"/>
      <protection hidden="1"/>
    </xf>
    <xf numFmtId="0" fontId="16" fillId="3" borderId="11" xfId="0" applyFont="1" applyFill="1" applyBorder="1" applyProtection="1">
      <protection hidden="1"/>
    </xf>
    <xf numFmtId="0" fontId="16" fillId="3" borderId="12" xfId="0" applyFont="1" applyFill="1" applyBorder="1" applyProtection="1">
      <protection hidden="1"/>
    </xf>
    <xf numFmtId="0" fontId="9" fillId="2" borderId="11" xfId="0" applyFont="1" applyFill="1" applyBorder="1" applyProtection="1">
      <protection hidden="1"/>
    </xf>
    <xf numFmtId="0" fontId="9" fillId="3" borderId="12" xfId="0" applyFont="1" applyFill="1" applyBorder="1" applyProtection="1">
      <protection hidden="1"/>
    </xf>
    <xf numFmtId="0" fontId="9" fillId="2" borderId="12" xfId="0" applyFont="1" applyFill="1" applyBorder="1" applyProtection="1">
      <protection hidden="1"/>
    </xf>
    <xf numFmtId="0" fontId="15" fillId="2" borderId="11" xfId="0" applyFont="1" applyFill="1" applyBorder="1" applyAlignment="1" applyProtection="1">
      <alignment horizontal="center" vertical="center"/>
      <protection hidden="1"/>
    </xf>
    <xf numFmtId="0" fontId="9" fillId="3" borderId="11" xfId="0" applyFont="1" applyFill="1" applyBorder="1" applyProtection="1">
      <protection hidden="1"/>
    </xf>
    <xf numFmtId="0" fontId="15" fillId="2" borderId="11" xfId="0" applyFont="1" applyFill="1" applyBorder="1" applyProtection="1">
      <protection hidden="1"/>
    </xf>
    <xf numFmtId="0" fontId="15" fillId="2" borderId="12" xfId="0" applyFont="1" applyFill="1" applyBorder="1" applyProtection="1">
      <protection hidden="1"/>
    </xf>
    <xf numFmtId="0" fontId="9" fillId="0" borderId="0" xfId="0" applyFont="1" applyAlignment="1">
      <alignment horizontal="left" vertical="center"/>
    </xf>
    <xf numFmtId="0" fontId="20" fillId="4" borderId="0" xfId="0" applyFont="1" applyFill="1" applyAlignment="1" applyProtection="1">
      <alignment horizontal="center" vertical="center"/>
      <protection hidden="1"/>
    </xf>
    <xf numFmtId="0" fontId="9" fillId="4" borderId="0" xfId="0" applyFont="1" applyFill="1" applyProtection="1">
      <protection hidden="1"/>
    </xf>
    <xf numFmtId="164" fontId="15" fillId="4" borderId="0" xfId="0" applyNumberFormat="1" applyFont="1" applyFill="1" applyAlignment="1" applyProtection="1">
      <alignment horizontal="center" vertical="center"/>
      <protection locked="0"/>
    </xf>
    <xf numFmtId="0" fontId="15" fillId="5" borderId="0" xfId="0" applyFont="1" applyFill="1" applyAlignment="1" applyProtection="1">
      <alignment horizontal="center" vertical="center"/>
      <protection hidden="1"/>
    </xf>
    <xf numFmtId="0" fontId="16" fillId="3" borderId="0" xfId="0" applyFont="1" applyFill="1" applyProtection="1">
      <protection hidden="1"/>
    </xf>
    <xf numFmtId="164" fontId="15" fillId="3" borderId="0" xfId="0" applyNumberFormat="1" applyFont="1" applyFill="1" applyProtection="1">
      <protection hidden="1"/>
    </xf>
    <xf numFmtId="2" fontId="15" fillId="3" borderId="0" xfId="0" applyNumberFormat="1" applyFont="1" applyFill="1" applyProtection="1">
      <protection hidden="1"/>
    </xf>
    <xf numFmtId="0" fontId="16" fillId="5" borderId="0" xfId="0" applyFont="1" applyFill="1" applyProtection="1">
      <protection hidden="1"/>
    </xf>
    <xf numFmtId="0" fontId="21" fillId="5" borderId="0" xfId="0" applyFont="1" applyFill="1" applyAlignment="1" applyProtection="1">
      <alignment horizontal="center" vertical="center"/>
      <protection hidden="1"/>
    </xf>
    <xf numFmtId="0" fontId="17" fillId="5" borderId="0" xfId="0" applyFont="1" applyFill="1" applyAlignment="1" applyProtection="1">
      <alignment vertical="center"/>
      <protection hidden="1"/>
    </xf>
    <xf numFmtId="164" fontId="15" fillId="2" borderId="0" xfId="0" applyNumberFormat="1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164" fontId="15" fillId="2" borderId="4" xfId="0" applyNumberFormat="1" applyFont="1" applyFill="1" applyBorder="1" applyAlignment="1" applyProtection="1">
      <alignment horizontal="center" vertical="center"/>
      <protection hidden="1"/>
    </xf>
    <xf numFmtId="2" fontId="13" fillId="6" borderId="4" xfId="2" applyNumberFormat="1" applyFont="1" applyFill="1" applyBorder="1" applyAlignment="1" applyProtection="1">
      <alignment horizontal="center" vertical="center"/>
      <protection locked="0"/>
    </xf>
    <xf numFmtId="16" fontId="15" fillId="2" borderId="11" xfId="0" applyNumberFormat="1" applyFont="1" applyFill="1" applyBorder="1" applyAlignment="1" applyProtection="1">
      <alignment horizontal="center" vertical="center"/>
      <protection hidden="1"/>
    </xf>
    <xf numFmtId="1" fontId="15" fillId="2" borderId="11" xfId="1" applyNumberFormat="1" applyFont="1" applyFill="1" applyBorder="1" applyAlignment="1" applyProtection="1">
      <alignment horizontal="center" vertical="center"/>
      <protection hidden="1"/>
    </xf>
    <xf numFmtId="0" fontId="15" fillId="2" borderId="7" xfId="0" applyFont="1" applyFill="1" applyBorder="1" applyAlignment="1" applyProtection="1">
      <alignment horizontal="center" vertical="center"/>
      <protection hidden="1"/>
    </xf>
    <xf numFmtId="2" fontId="13" fillId="6" borderId="3" xfId="2" applyNumberFormat="1" applyFont="1" applyFill="1" applyBorder="1" applyAlignment="1" applyProtection="1">
      <alignment horizontal="center" vertical="center"/>
      <protection locked="0"/>
    </xf>
    <xf numFmtId="164" fontId="10" fillId="2" borderId="5" xfId="0" applyNumberFormat="1" applyFont="1" applyFill="1" applyBorder="1" applyAlignment="1" applyProtection="1">
      <alignment horizontal="center" vertical="center"/>
      <protection hidden="1"/>
    </xf>
    <xf numFmtId="164" fontId="10" fillId="2" borderId="11" xfId="0" applyNumberFormat="1" applyFont="1" applyFill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center" vertical="center"/>
      <protection hidden="1"/>
    </xf>
    <xf numFmtId="2" fontId="10" fillId="2" borderId="11" xfId="0" applyNumberFormat="1" applyFont="1" applyFill="1" applyBorder="1" applyAlignment="1" applyProtection="1">
      <alignment horizontal="center" vertical="center"/>
      <protection hidden="1"/>
    </xf>
    <xf numFmtId="0" fontId="10" fillId="2" borderId="7" xfId="0" applyFont="1" applyFill="1" applyBorder="1" applyAlignment="1" applyProtection="1">
      <alignment horizontal="center" vertical="center"/>
      <protection hidden="1"/>
    </xf>
    <xf numFmtId="0" fontId="15" fillId="3" borderId="5" xfId="0" applyFont="1" applyFill="1" applyBorder="1" applyAlignment="1" applyProtection="1">
      <alignment horizontal="center" vertical="center"/>
      <protection hidden="1"/>
    </xf>
    <xf numFmtId="10" fontId="15" fillId="2" borderId="6" xfId="0" applyNumberFormat="1" applyFont="1" applyFill="1" applyBorder="1" applyAlignment="1" applyProtection="1">
      <alignment horizontal="center" vertical="center"/>
      <protection hidden="1"/>
    </xf>
    <xf numFmtId="10" fontId="15" fillId="3" borderId="11" xfId="0" applyNumberFormat="1" applyFont="1" applyFill="1" applyBorder="1" applyAlignment="1" applyProtection="1">
      <alignment horizontal="center" vertical="center"/>
      <protection hidden="1"/>
    </xf>
    <xf numFmtId="10" fontId="15" fillId="3" borderId="7" xfId="0" applyNumberFormat="1" applyFont="1" applyFill="1" applyBorder="1" applyAlignment="1" applyProtection="1">
      <alignment horizontal="center" vertical="center"/>
      <protection hidden="1"/>
    </xf>
    <xf numFmtId="10" fontId="15" fillId="3" borderId="5" xfId="0" applyNumberFormat="1" applyFont="1" applyFill="1" applyBorder="1" applyAlignment="1" applyProtection="1">
      <alignment horizontal="center" vertical="center"/>
      <protection hidden="1"/>
    </xf>
    <xf numFmtId="10" fontId="15" fillId="3" borderId="15" xfId="0" applyNumberFormat="1" applyFont="1" applyFill="1" applyBorder="1" applyAlignment="1" applyProtection="1">
      <alignment horizontal="center" vertical="center"/>
      <protection hidden="1"/>
    </xf>
    <xf numFmtId="164" fontId="15" fillId="2" borderId="7" xfId="0" applyNumberFormat="1" applyFont="1" applyFill="1" applyBorder="1" applyAlignment="1" applyProtection="1">
      <alignment horizontal="center" vertical="center"/>
      <protection hidden="1"/>
    </xf>
    <xf numFmtId="0" fontId="15" fillId="2" borderId="10" xfId="0" applyFont="1" applyFill="1" applyBorder="1" applyAlignment="1" applyProtection="1">
      <alignment horizontal="center" vertical="center"/>
      <protection hidden="1"/>
    </xf>
    <xf numFmtId="0" fontId="12" fillId="7" borderId="4" xfId="2" applyFont="1" applyFill="1" applyBorder="1" applyAlignment="1">
      <alignment horizontal="left" vertical="center"/>
    </xf>
    <xf numFmtId="0" fontId="22" fillId="9" borderId="4" xfId="0" applyFont="1" applyFill="1" applyBorder="1" applyAlignment="1" applyProtection="1">
      <alignment horizontal="center" vertical="center"/>
      <protection hidden="1"/>
    </xf>
    <xf numFmtId="0" fontId="22" fillId="9" borderId="10" xfId="0" applyFont="1" applyFill="1" applyBorder="1" applyAlignment="1" applyProtection="1">
      <alignment horizontal="center" vertical="center"/>
      <protection hidden="1"/>
    </xf>
    <xf numFmtId="10" fontId="10" fillId="2" borderId="11" xfId="0" applyNumberFormat="1" applyFont="1" applyFill="1" applyBorder="1" applyAlignment="1" applyProtection="1">
      <alignment horizontal="center" vertical="center"/>
      <protection hidden="1"/>
    </xf>
    <xf numFmtId="10" fontId="10" fillId="2" borderId="0" xfId="0" applyNumberFormat="1" applyFont="1" applyFill="1" applyAlignment="1" applyProtection="1">
      <alignment horizontal="center" vertical="center"/>
      <protection hidden="1"/>
    </xf>
    <xf numFmtId="10" fontId="10" fillId="2" borderId="12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>
      <alignment horizontal="left" vertical="center" wrapText="1"/>
    </xf>
    <xf numFmtId="0" fontId="13" fillId="0" borderId="1" xfId="2" applyFont="1" applyBorder="1" applyAlignment="1" applyProtection="1">
      <alignment horizontal="center" vertical="center" wrapText="1"/>
      <protection locked="0"/>
    </xf>
    <xf numFmtId="0" fontId="13" fillId="0" borderId="2" xfId="2" applyFont="1" applyBorder="1" applyAlignment="1" applyProtection="1">
      <alignment horizontal="center" vertical="center" wrapText="1"/>
      <protection locked="0"/>
    </xf>
    <xf numFmtId="0" fontId="13" fillId="0" borderId="3" xfId="2" applyFont="1" applyBorder="1" applyAlignment="1" applyProtection="1">
      <alignment horizontal="center" vertical="center" wrapText="1"/>
      <protection locked="0"/>
    </xf>
    <xf numFmtId="0" fontId="22" fillId="9" borderId="1" xfId="0" applyFont="1" applyFill="1" applyBorder="1" applyAlignment="1" applyProtection="1">
      <alignment horizontal="center" vertical="center"/>
      <protection hidden="1"/>
    </xf>
    <xf numFmtId="0" fontId="22" fillId="9" borderId="3" xfId="0" applyFont="1" applyFill="1" applyBorder="1" applyAlignment="1" applyProtection="1">
      <alignment horizontal="center" vertical="center"/>
      <protection hidden="1"/>
    </xf>
    <xf numFmtId="0" fontId="21" fillId="9" borderId="5" xfId="0" applyFont="1" applyFill="1" applyBorder="1" applyAlignment="1" applyProtection="1">
      <alignment horizontal="center" vertical="center"/>
      <protection hidden="1"/>
    </xf>
    <xf numFmtId="0" fontId="21" fillId="9" borderId="6" xfId="0" applyFont="1" applyFill="1" applyBorder="1" applyAlignment="1" applyProtection="1">
      <alignment horizontal="center" vertical="center"/>
      <protection hidden="1"/>
    </xf>
    <xf numFmtId="0" fontId="21" fillId="9" borderId="7" xfId="0" applyFont="1" applyFill="1" applyBorder="1" applyAlignment="1" applyProtection="1">
      <alignment horizontal="center" vertical="center"/>
      <protection hidden="1"/>
    </xf>
    <xf numFmtId="0" fontId="21" fillId="9" borderId="8" xfId="0" applyFont="1" applyFill="1" applyBorder="1" applyAlignment="1" applyProtection="1">
      <alignment horizontal="center" vertical="center"/>
      <protection hidden="1"/>
    </xf>
    <xf numFmtId="0" fontId="20" fillId="8" borderId="1" xfId="0" applyFont="1" applyFill="1" applyBorder="1" applyAlignment="1" applyProtection="1">
      <alignment horizontal="center" vertical="center"/>
      <protection hidden="1"/>
    </xf>
    <xf numFmtId="0" fontId="20" fillId="8" borderId="2" xfId="0" applyFont="1" applyFill="1" applyBorder="1" applyAlignment="1" applyProtection="1">
      <alignment horizontal="center" vertical="center"/>
      <protection hidden="1"/>
    </xf>
    <xf numFmtId="0" fontId="20" fillId="8" borderId="3" xfId="0" applyFont="1" applyFill="1" applyBorder="1" applyAlignment="1" applyProtection="1">
      <alignment horizontal="center" vertical="center"/>
      <protection hidden="1"/>
    </xf>
    <xf numFmtId="10" fontId="15" fillId="2" borderId="1" xfId="1" applyNumberFormat="1" applyFont="1" applyFill="1" applyBorder="1" applyAlignment="1" applyProtection="1">
      <alignment horizontal="center" vertical="center"/>
      <protection hidden="1"/>
    </xf>
    <xf numFmtId="10" fontId="15" fillId="2" borderId="3" xfId="1" applyNumberFormat="1" applyFont="1" applyFill="1" applyBorder="1" applyAlignment="1" applyProtection="1">
      <alignment horizontal="center" vertical="center"/>
      <protection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5" fillId="2" borderId="8" xfId="0" applyFont="1" applyFill="1" applyBorder="1" applyAlignment="1" applyProtection="1">
      <alignment horizontal="center" vertical="center"/>
      <protection hidden="1"/>
    </xf>
    <xf numFmtId="0" fontId="9" fillId="0" borderId="11" xfId="3" applyFont="1" applyBorder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0" fontId="9" fillId="0" borderId="12" xfId="3" applyFont="1" applyBorder="1" applyAlignment="1">
      <alignment horizontal="left" vertical="center" wrapText="1"/>
    </xf>
    <xf numFmtId="0" fontId="14" fillId="8" borderId="5" xfId="0" applyFont="1" applyFill="1" applyBorder="1" applyAlignment="1" applyProtection="1">
      <alignment horizontal="center" vertical="center" wrapText="1"/>
      <protection hidden="1"/>
    </xf>
    <xf numFmtId="0" fontId="14" fillId="8" borderId="15" xfId="0" applyFont="1" applyFill="1" applyBorder="1" applyAlignment="1" applyProtection="1">
      <alignment horizontal="center" vertical="center" wrapText="1"/>
      <protection hidden="1"/>
    </xf>
    <xf numFmtId="0" fontId="14" fillId="8" borderId="6" xfId="0" applyFont="1" applyFill="1" applyBorder="1" applyAlignment="1" applyProtection="1">
      <alignment horizontal="center" vertical="center" wrapText="1"/>
      <protection hidden="1"/>
    </xf>
    <xf numFmtId="10" fontId="10" fillId="2" borderId="7" xfId="0" applyNumberFormat="1" applyFont="1" applyFill="1" applyBorder="1" applyAlignment="1" applyProtection="1">
      <alignment horizontal="center" vertical="center"/>
      <protection hidden="1"/>
    </xf>
    <xf numFmtId="10" fontId="10" fillId="2" borderId="14" xfId="0" applyNumberFormat="1" applyFont="1" applyFill="1" applyBorder="1" applyAlignment="1" applyProtection="1">
      <alignment horizontal="center" vertical="center"/>
      <protection hidden="1"/>
    </xf>
    <xf numFmtId="10" fontId="10" fillId="2" borderId="8" xfId="0" applyNumberFormat="1" applyFont="1" applyFill="1" applyBorder="1" applyAlignment="1" applyProtection="1">
      <alignment horizontal="center" vertical="center"/>
      <protection hidden="1"/>
    </xf>
    <xf numFmtId="0" fontId="20" fillId="8" borderId="1" xfId="3" applyFont="1" applyFill="1" applyBorder="1" applyAlignment="1">
      <alignment horizontal="center" vertical="center"/>
    </xf>
    <xf numFmtId="0" fontId="20" fillId="8" borderId="2" xfId="3" applyFont="1" applyFill="1" applyBorder="1" applyAlignment="1">
      <alignment horizontal="center" vertical="center"/>
    </xf>
    <xf numFmtId="0" fontId="20" fillId="8" borderId="3" xfId="3" applyFont="1" applyFill="1" applyBorder="1" applyAlignment="1">
      <alignment horizontal="center" vertical="center"/>
    </xf>
    <xf numFmtId="0" fontId="11" fillId="0" borderId="5" xfId="3" applyFont="1" applyBorder="1" applyAlignment="1">
      <alignment horizontal="left" vertical="center" wrapText="1" indent="4"/>
    </xf>
    <xf numFmtId="0" fontId="11" fillId="0" borderId="15" xfId="3" applyFont="1" applyBorder="1" applyAlignment="1">
      <alignment horizontal="left" vertical="center" wrapText="1" indent="4"/>
    </xf>
    <xf numFmtId="0" fontId="11" fillId="0" borderId="7" xfId="3" applyFont="1" applyBorder="1" applyAlignment="1">
      <alignment horizontal="left" vertical="center" wrapText="1" indent="4"/>
    </xf>
    <xf numFmtId="0" fontId="11" fillId="0" borderId="14" xfId="3" applyFont="1" applyBorder="1" applyAlignment="1">
      <alignment horizontal="left" vertical="center" wrapText="1" indent="4"/>
    </xf>
    <xf numFmtId="0" fontId="11" fillId="0" borderId="15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14" xfId="3" applyFont="1" applyBorder="1" applyAlignment="1">
      <alignment horizontal="center" vertical="center" wrapText="1"/>
    </xf>
    <xf numFmtId="0" fontId="11" fillId="0" borderId="8" xfId="3" applyFont="1" applyBorder="1" applyAlignment="1">
      <alignment horizontal="center" vertical="center" wrapText="1"/>
    </xf>
    <xf numFmtId="0" fontId="23" fillId="0" borderId="2" xfId="2" applyFont="1" applyBorder="1" applyAlignment="1" applyProtection="1">
      <alignment horizontal="center" vertical="center"/>
      <protection locked="0"/>
    </xf>
    <xf numFmtId="0" fontId="23" fillId="0" borderId="3" xfId="2" applyFont="1" applyBorder="1" applyAlignment="1" applyProtection="1">
      <alignment horizontal="center" vertical="center"/>
      <protection locked="0"/>
    </xf>
    <xf numFmtId="0" fontId="10" fillId="7" borderId="1" xfId="2" applyFont="1" applyFill="1" applyBorder="1" applyAlignment="1">
      <alignment horizontal="left" vertical="center"/>
    </xf>
    <xf numFmtId="0" fontId="10" fillId="7" borderId="3" xfId="2" applyFont="1" applyFill="1" applyBorder="1" applyAlignment="1">
      <alignment horizontal="left" vertical="center"/>
    </xf>
    <xf numFmtId="14" fontId="23" fillId="0" borderId="2" xfId="2" applyNumberFormat="1" applyFont="1" applyBorder="1" applyAlignment="1" applyProtection="1">
      <alignment horizontal="left" vertical="center"/>
      <protection locked="0"/>
    </xf>
    <xf numFmtId="0" fontId="23" fillId="0" borderId="2" xfId="2" applyFont="1" applyBorder="1" applyAlignment="1" applyProtection="1">
      <alignment horizontal="left" vertical="center"/>
      <protection locked="0"/>
    </xf>
    <xf numFmtId="0" fontId="23" fillId="0" borderId="3" xfId="2" applyFont="1" applyBorder="1" applyAlignment="1" applyProtection="1">
      <alignment horizontal="left" vertical="center"/>
      <protection locked="0"/>
    </xf>
    <xf numFmtId="0" fontId="23" fillId="0" borderId="1" xfId="2" applyFont="1" applyBorder="1" applyAlignment="1" applyProtection="1">
      <alignment horizontal="center" vertical="center" wrapText="1"/>
      <protection locked="0"/>
    </xf>
    <xf numFmtId="0" fontId="23" fillId="0" borderId="2" xfId="2" applyFont="1" applyBorder="1" applyAlignment="1" applyProtection="1">
      <alignment horizontal="center" vertical="center" wrapText="1"/>
      <protection locked="0"/>
    </xf>
    <xf numFmtId="0" fontId="23" fillId="0" borderId="3" xfId="2" applyFont="1" applyBorder="1" applyAlignment="1" applyProtection="1">
      <alignment horizontal="center" vertical="center" wrapText="1"/>
      <protection locked="0"/>
    </xf>
    <xf numFmtId="0" fontId="12" fillId="7" borderId="1" xfId="2" applyFont="1" applyFill="1" applyBorder="1" applyAlignment="1">
      <alignment horizontal="left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3" xfId="2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 vertical="center"/>
      <protection hidden="1"/>
    </xf>
    <xf numFmtId="0" fontId="9" fillId="2" borderId="2" xfId="0" applyFont="1" applyFill="1" applyBorder="1" applyAlignment="1" applyProtection="1">
      <alignment horizontal="left" vertical="center"/>
      <protection hidden="1"/>
    </xf>
    <xf numFmtId="0" fontId="9" fillId="2" borderId="3" xfId="0" applyFont="1" applyFill="1" applyBorder="1" applyAlignment="1" applyProtection="1">
      <alignment horizontal="left" vertical="center"/>
      <protection hidden="1"/>
    </xf>
    <xf numFmtId="0" fontId="9" fillId="0" borderId="2" xfId="2" applyFont="1" applyBorder="1" applyAlignment="1">
      <alignment horizontal="center" vertical="center"/>
    </xf>
    <xf numFmtId="10" fontId="15" fillId="2" borderId="7" xfId="1" applyNumberFormat="1" applyFont="1" applyFill="1" applyBorder="1" applyAlignment="1" applyProtection="1">
      <alignment horizontal="center" vertical="center"/>
      <protection hidden="1"/>
    </xf>
    <xf numFmtId="10" fontId="15" fillId="2" borderId="8" xfId="1" applyNumberFormat="1" applyFont="1" applyFill="1" applyBorder="1" applyAlignment="1" applyProtection="1">
      <alignment horizontal="center" vertical="center"/>
      <protection hidden="1"/>
    </xf>
    <xf numFmtId="0" fontId="15" fillId="2" borderId="3" xfId="0" applyFont="1" applyFill="1" applyBorder="1" applyAlignment="1" applyProtection="1">
      <alignment horizontal="center" vertical="center"/>
      <protection hidden="1"/>
    </xf>
    <xf numFmtId="164" fontId="15" fillId="2" borderId="1" xfId="0" applyNumberFormat="1" applyFont="1" applyFill="1" applyBorder="1" applyAlignment="1" applyProtection="1">
      <alignment horizontal="center" vertical="center"/>
      <protection locked="0"/>
    </xf>
    <xf numFmtId="164" fontId="15" fillId="2" borderId="2" xfId="0" applyNumberFormat="1" applyFont="1" applyFill="1" applyBorder="1" applyAlignment="1" applyProtection="1">
      <alignment horizontal="center" vertical="center"/>
      <protection locked="0"/>
    </xf>
    <xf numFmtId="164" fontId="15" fillId="2" borderId="3" xfId="0" applyNumberFormat="1" applyFont="1" applyFill="1" applyBorder="1" applyAlignment="1" applyProtection="1">
      <alignment horizontal="center" vertical="center"/>
      <protection locked="0"/>
    </xf>
    <xf numFmtId="0" fontId="24" fillId="0" borderId="2" xfId="0" applyFont="1" applyBorder="1" applyAlignment="1">
      <alignment vertical="center" wrapText="1"/>
    </xf>
    <xf numFmtId="0" fontId="26" fillId="0" borderId="2" xfId="2" applyFont="1" applyBorder="1" applyAlignment="1" applyProtection="1">
      <alignment vertical="center" wrapText="1"/>
      <protection locked="0"/>
    </xf>
    <xf numFmtId="0" fontId="28" fillId="0" borderId="2" xfId="2" applyFont="1" applyBorder="1" applyAlignment="1" applyProtection="1">
      <alignment vertical="center"/>
      <protection locked="0"/>
    </xf>
    <xf numFmtId="0" fontId="24" fillId="0" borderId="0" xfId="0" applyFont="1" applyAlignment="1">
      <alignment horizontal="left" wrapText="1"/>
    </xf>
    <xf numFmtId="49" fontId="27" fillId="4" borderId="2" xfId="2" applyNumberFormat="1" applyFont="1" applyFill="1" applyBorder="1" applyAlignment="1" applyProtection="1">
      <alignment horizontal="center" vertical="center"/>
      <protection locked="0" hidden="1"/>
    </xf>
    <xf numFmtId="0" fontId="27" fillId="4" borderId="2" xfId="2" applyFont="1" applyFill="1" applyBorder="1" applyAlignment="1" applyProtection="1">
      <alignment horizontal="center" vertical="center"/>
      <protection locked="0" hidden="1"/>
    </xf>
    <xf numFmtId="2" fontId="24" fillId="4" borderId="2" xfId="2" applyNumberFormat="1" applyFont="1" applyFill="1" applyBorder="1" applyAlignment="1" applyProtection="1">
      <alignment horizontal="left" vertical="center"/>
      <protection locked="0"/>
    </xf>
    <xf numFmtId="0" fontId="26" fillId="4" borderId="2" xfId="2" applyFont="1" applyFill="1" applyBorder="1" applyAlignment="1" applyProtection="1">
      <alignment horizontal="left" vertical="center"/>
      <protection locked="0" hidden="1"/>
    </xf>
    <xf numFmtId="0" fontId="9" fillId="0" borderId="5" xfId="3" applyFont="1" applyBorder="1" applyAlignment="1">
      <alignment horizontal="left" vertical="center" wrapText="1"/>
    </xf>
    <xf numFmtId="0" fontId="9" fillId="0" borderId="15" xfId="3" applyFont="1" applyBorder="1" applyAlignment="1">
      <alignment horizontal="left" vertical="center" wrapText="1"/>
    </xf>
    <xf numFmtId="0" fontId="9" fillId="0" borderId="6" xfId="3" applyFont="1" applyBorder="1" applyAlignment="1">
      <alignment horizontal="left" vertical="center" wrapText="1"/>
    </xf>
    <xf numFmtId="0" fontId="20" fillId="8" borderId="15" xfId="0" applyFont="1" applyFill="1" applyBorder="1" applyAlignment="1" applyProtection="1">
      <alignment horizontal="center" vertical="center" wrapText="1"/>
      <protection hidden="1"/>
    </xf>
    <xf numFmtId="0" fontId="20" fillId="8" borderId="6" xfId="0" applyFont="1" applyFill="1" applyBorder="1" applyAlignment="1" applyProtection="1">
      <alignment horizontal="center" vertical="center" wrapText="1"/>
      <protection hidden="1"/>
    </xf>
    <xf numFmtId="0" fontId="20" fillId="8" borderId="0" xfId="0" applyFont="1" applyFill="1" applyAlignment="1" applyProtection="1">
      <alignment horizontal="center" vertical="center" wrapText="1"/>
      <protection hidden="1"/>
    </xf>
    <xf numFmtId="0" fontId="20" fillId="8" borderId="12" xfId="0" applyFont="1" applyFill="1" applyBorder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9" fillId="0" borderId="11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0" borderId="12" xfId="3" applyFont="1" applyBorder="1" applyAlignment="1">
      <alignment horizontal="left" vertical="center"/>
    </xf>
    <xf numFmtId="0" fontId="24" fillId="0" borderId="14" xfId="0" applyFont="1" applyBorder="1" applyAlignment="1">
      <alignment horizontal="center" vertical="center" wrapText="1"/>
    </xf>
  </cellXfs>
  <cellStyles count="4">
    <cellStyle name="Normal" xfId="0" builtinId="0"/>
    <cellStyle name="Normal 2 2" xfId="2" xr:uid="{82020DE6-E401-4D0B-81AB-0AFC80A6A493}"/>
    <cellStyle name="Normal 9 2" xfId="3" xr:uid="{E5FD0126-9E9A-4A6E-8AB9-E83F4C0E1D01}"/>
    <cellStyle name="Porcentagem" xfId="1" builtinId="5"/>
  </cellStyles>
  <dxfs count="0"/>
  <tableStyles count="0" defaultTableStyle="TableStyleMedium2" defaultPivotStyle="PivotStyleLight16"/>
  <colors>
    <mruColors>
      <color rgb="FF283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pt-BR" sz="1400">
                <a:latin typeface="+mn-lt"/>
              </a:rPr>
              <a:t>CURVA GRANULOMÉTRICA</a:t>
            </a:r>
          </a:p>
        </c:rich>
      </c:tx>
      <c:layout>
        <c:manualLayout>
          <c:xMode val="edge"/>
          <c:yMode val="edge"/>
          <c:x val="0.36499887775808937"/>
          <c:y val="1.54814760304494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5078652196002"/>
          <c:y val="0.12172103384165429"/>
          <c:w val="0.84960495259470992"/>
          <c:h val="0.7817886652228089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chemeClr val="tx1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2060"/>
              </a:solidFill>
              <a:ln w="12700">
                <a:solidFill>
                  <a:srgbClr val="00B0F0"/>
                </a:solidFill>
              </a:ln>
            </c:spPr>
          </c:marker>
          <c:xVal>
            <c:numRef>
              <c:f>'FR-IMOB-53_Rev00'!$D$47:$D$59</c:f>
              <c:numCache>
                <c:formatCode>General</c:formatCode>
                <c:ptCount val="13"/>
                <c:pt idx="0">
                  <c:v>7.4999999999999997E-2</c:v>
                </c:pt>
                <c:pt idx="1">
                  <c:v>0.15</c:v>
                </c:pt>
                <c:pt idx="2" formatCode="0.00">
                  <c:v>0.3</c:v>
                </c:pt>
                <c:pt idx="3" formatCode="0.00">
                  <c:v>0.6</c:v>
                </c:pt>
                <c:pt idx="4" formatCode="0.0">
                  <c:v>1.18</c:v>
                </c:pt>
                <c:pt idx="5">
                  <c:v>2.36</c:v>
                </c:pt>
                <c:pt idx="6">
                  <c:v>4.8</c:v>
                </c:pt>
                <c:pt idx="7" formatCode="0.0">
                  <c:v>6.3</c:v>
                </c:pt>
                <c:pt idx="8" formatCode="0.0">
                  <c:v>9.5</c:v>
                </c:pt>
                <c:pt idx="9" formatCode="0.0">
                  <c:v>12.7</c:v>
                </c:pt>
                <c:pt idx="10">
                  <c:v>19.399999999999999</c:v>
                </c:pt>
                <c:pt idx="11" formatCode="0.0">
                  <c:v>25.4</c:v>
                </c:pt>
                <c:pt idx="12" formatCode="0.0">
                  <c:v>38.1</c:v>
                </c:pt>
              </c:numCache>
            </c:numRef>
          </c:xVal>
          <c:yVal>
            <c:numRef>
              <c:f>'FR-IMOB-53_Rev00'!$G$47:$G$59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F-4549-AB38-ADA3A118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7200"/>
        <c:axId val="106742144"/>
      </c:scatterChart>
      <c:valAx>
        <c:axId val="106707200"/>
        <c:scaling>
          <c:logBase val="10"/>
          <c:orientation val="minMax"/>
          <c:max val="100"/>
          <c:min val="1.0000000000000002E-2"/>
        </c:scaling>
        <c:delete val="0"/>
        <c:axPos val="b"/>
        <c:majorGridlines>
          <c:spPr>
            <a:ln w="3175">
              <a:solidFill>
                <a:sysClr val="windowText" lastClr="000000"/>
              </a:solidFill>
              <a:prstDash val="solid"/>
            </a:ln>
          </c:spPr>
        </c:majorGridlines>
        <c:minorGridlines>
          <c:spPr>
            <a:ln w="3175">
              <a:solidFill>
                <a:sysClr val="windowText" lastClr="000000">
                  <a:alpha val="30000"/>
                </a:sysClr>
              </a:solidFill>
              <a:prstDash val="solid"/>
            </a:ln>
          </c:spPr>
        </c:minorGridlines>
        <c:numFmt formatCode="General" sourceLinked="1"/>
        <c:majorTickMark val="cross"/>
        <c:minorTickMark val="none"/>
        <c:tickLblPos val="low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06742144"/>
        <c:crosses val="autoZero"/>
        <c:crossBetween val="midCat"/>
        <c:majorUnit val="1"/>
      </c:valAx>
      <c:valAx>
        <c:axId val="106742144"/>
        <c:scaling>
          <c:orientation val="minMax"/>
          <c:max val="1"/>
          <c:min val="0"/>
        </c:scaling>
        <c:delete val="0"/>
        <c:axPos val="l"/>
        <c:majorGridlines>
          <c:spPr>
            <a:ln w="12700">
              <a:solidFill>
                <a:sysClr val="window" lastClr="FFFFFF">
                  <a:lumMod val="50000"/>
                </a:sysClr>
              </a:solidFill>
              <a:prstDash val="solid"/>
            </a:ln>
          </c:spPr>
        </c:majorGridlines>
        <c:minorGridlines>
          <c:spPr>
            <a:ln w="3175">
              <a:solidFill>
                <a:sysClr val="window" lastClr="FFFFFF">
                  <a:lumMod val="50000"/>
                  <a:alpha val="30000"/>
                </a:sys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r>
                  <a:rPr lang="pt-BR" sz="1100" b="1">
                    <a:latin typeface="+mn-lt"/>
                  </a:rPr>
                  <a:t>%</a:t>
                </a:r>
                <a:r>
                  <a:rPr lang="pt-BR" sz="1100" b="1" baseline="0">
                    <a:latin typeface="+mn-lt"/>
                  </a:rPr>
                  <a:t> Material Passante</a:t>
                </a:r>
              </a:p>
            </c:rich>
          </c:tx>
          <c:layout>
            <c:manualLayout>
              <c:xMode val="edge"/>
              <c:yMode val="edge"/>
              <c:x val="7.4954766779806994E-3"/>
              <c:y val="0.26514026868136809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out"/>
        <c:tickLblPos val="nextTo"/>
        <c:spPr>
          <a:ln w="3175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endParaRPr lang="pt-BR"/>
          </a:p>
        </c:txPr>
        <c:crossAx val="106707200"/>
        <c:crossesAt val="1.0000000000000202E-3"/>
        <c:crossBetween val="midCat"/>
        <c:majorUnit val="0.1"/>
        <c:minorUnit val="2.0000000000000011E-2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zero"/>
    <c:showDLblsOverMax val="0"/>
  </c:chart>
  <c:spPr>
    <a:solidFill>
      <a:schemeClr val="bg1"/>
    </a:solidFill>
    <a:ln w="19050" cap="rnd" cmpd="dbl">
      <a:solidFill>
        <a:schemeClr val="tx1"/>
      </a:solidFill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5" footer="0.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17368</xdr:colOff>
      <xdr:row>42</xdr:row>
      <xdr:rowOff>89647</xdr:rowOff>
    </xdr:from>
    <xdr:to>
      <xdr:col>11</xdr:col>
      <xdr:colOff>627529</xdr:colOff>
      <xdr:row>60</xdr:row>
      <xdr:rowOff>3922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A6B6D-215B-445C-9E42-8328309C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981688</xdr:colOff>
      <xdr:row>0</xdr:row>
      <xdr:rowOff>166789</xdr:rowOff>
    </xdr:from>
    <xdr:to>
      <xdr:col>16</xdr:col>
      <xdr:colOff>27026</xdr:colOff>
      <xdr:row>1</xdr:row>
      <xdr:rowOff>79399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9C17025-0260-45E5-B20A-4E35F2A99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1471" y="166789"/>
          <a:ext cx="1463859" cy="751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43E2-F962-472F-AFD0-6174040C7BC3}">
  <sheetPr>
    <tabColor rgb="FF00B050"/>
    <pageSetUpPr fitToPage="1"/>
  </sheetPr>
  <dimension ref="A1:AQ95"/>
  <sheetViews>
    <sheetView showGridLines="0" tabSelected="1" view="pageBreakPreview" zoomScale="85" zoomScaleNormal="70" zoomScaleSheetLayoutView="85" workbookViewId="0">
      <selection activeCell="R72" sqref="R72"/>
    </sheetView>
  </sheetViews>
  <sheetFormatPr defaultColWidth="9.1796875" defaultRowHeight="14.5" x14ac:dyDescent="0.35"/>
  <cols>
    <col min="1" max="1" width="1.7265625" style="14" customWidth="1"/>
    <col min="2" max="2" width="12.6328125" style="14" customWidth="1"/>
    <col min="3" max="3" width="11" style="14" customWidth="1"/>
    <col min="4" max="4" width="14.453125" style="14" customWidth="1"/>
    <col min="5" max="5" width="8.7265625" style="14" customWidth="1"/>
    <col min="6" max="7" width="8.26953125" style="14" customWidth="1"/>
    <col min="8" max="8" width="14.54296875" style="14" customWidth="1"/>
    <col min="9" max="9" width="7.7265625" style="14" customWidth="1"/>
    <col min="10" max="10" width="8.26953125" style="14" customWidth="1"/>
    <col min="11" max="11" width="8.7265625" style="14" customWidth="1"/>
    <col min="12" max="12" width="13" style="14" customWidth="1"/>
    <col min="13" max="13" width="14.453125" style="14" customWidth="1"/>
    <col min="14" max="14" width="9.26953125" style="14" bestFit="1" customWidth="1"/>
    <col min="15" max="15" width="1.7265625" style="14" customWidth="1"/>
    <col min="16" max="16" width="9.1796875" style="14" bestFit="1" customWidth="1"/>
    <col min="17" max="17" width="2.26953125" style="14" customWidth="1"/>
    <col min="18" max="16384" width="9.1796875" style="14"/>
  </cols>
  <sheetData>
    <row r="1" spans="1:43" s="2" customFormat="1" ht="66" customHeight="1" x14ac:dyDescent="0.3">
      <c r="A1" s="1"/>
      <c r="B1" s="163" t="s">
        <v>44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3"/>
    </row>
    <row r="2" spans="1:43" s="16" customFormat="1" ht="12.5" customHeight="1" x14ac:dyDescent="0.35"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AL2" s="17"/>
      <c r="AM2" s="17"/>
      <c r="AN2" s="17"/>
      <c r="AO2" s="17"/>
      <c r="AP2" s="17"/>
      <c r="AQ2" s="17"/>
    </row>
    <row r="3" spans="1:43" s="16" customFormat="1" ht="30" customHeight="1" x14ac:dyDescent="0.35">
      <c r="B3" s="160" t="s">
        <v>48</v>
      </c>
      <c r="C3" s="160"/>
      <c r="D3" s="160"/>
      <c r="E3" s="160"/>
      <c r="F3" s="160"/>
      <c r="G3" s="160"/>
      <c r="H3" s="160"/>
      <c r="I3" s="161" t="s">
        <v>43</v>
      </c>
      <c r="J3" s="161"/>
      <c r="K3" s="161"/>
      <c r="L3" s="161"/>
      <c r="M3" s="161"/>
      <c r="N3" s="161"/>
      <c r="O3" s="161"/>
      <c r="P3" s="161"/>
      <c r="AL3" s="17"/>
      <c r="AM3" s="17"/>
      <c r="AN3" s="17"/>
      <c r="AO3" s="17"/>
      <c r="AP3" s="17"/>
      <c r="AQ3" s="17"/>
    </row>
    <row r="4" spans="1:43" s="16" customFormat="1" ht="30" customHeight="1" x14ac:dyDescent="0.35">
      <c r="B4" s="161" t="s">
        <v>49</v>
      </c>
      <c r="C4" s="161"/>
      <c r="D4" s="161"/>
      <c r="E4" s="161"/>
      <c r="F4" s="161"/>
      <c r="G4" s="161"/>
      <c r="H4" s="161"/>
      <c r="I4" s="161" t="s">
        <v>45</v>
      </c>
      <c r="J4" s="161"/>
      <c r="K4" s="161"/>
      <c r="L4" s="161"/>
      <c r="M4" s="161"/>
      <c r="N4" s="161"/>
      <c r="O4" s="161"/>
      <c r="P4" s="161"/>
      <c r="AL4" s="17"/>
      <c r="AM4" s="17"/>
      <c r="AN4" s="17"/>
      <c r="AO4" s="17"/>
      <c r="AP4" s="17"/>
      <c r="AQ4" s="17"/>
    </row>
    <row r="5" spans="1:43" s="16" customFormat="1" ht="31.5" customHeight="1" x14ac:dyDescent="0.35">
      <c r="B5" s="162" t="s">
        <v>47</v>
      </c>
      <c r="C5" s="162"/>
      <c r="D5" s="162"/>
      <c r="E5" s="162"/>
      <c r="F5" s="162"/>
      <c r="G5" s="162"/>
      <c r="H5" s="162"/>
      <c r="I5" s="162" t="s">
        <v>46</v>
      </c>
      <c r="J5" s="162"/>
      <c r="K5" s="162"/>
      <c r="L5" s="162"/>
      <c r="M5" s="162"/>
      <c r="N5" s="162"/>
      <c r="O5" s="162"/>
      <c r="P5" s="162"/>
      <c r="AL5" s="17"/>
      <c r="AM5" s="17"/>
      <c r="AN5" s="17"/>
      <c r="AO5" s="17"/>
      <c r="AP5" s="17"/>
      <c r="AQ5" s="17"/>
    </row>
    <row r="6" spans="1:43" s="16" customFormat="1" ht="15" customHeight="1" x14ac:dyDescent="0.35">
      <c r="B6" s="153"/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AL6" s="17"/>
      <c r="AM6" s="17"/>
      <c r="AN6" s="17"/>
      <c r="AO6" s="17"/>
      <c r="AP6" s="17"/>
      <c r="AQ6" s="17"/>
    </row>
    <row r="7" spans="1:43" s="17" customFormat="1" ht="30" customHeight="1" x14ac:dyDescent="0.35">
      <c r="B7" s="94" t="s">
        <v>0</v>
      </c>
      <c r="C7" s="137"/>
      <c r="D7" s="137"/>
      <c r="E7" s="137"/>
      <c r="F7" s="138"/>
      <c r="G7" s="139" t="s">
        <v>1</v>
      </c>
      <c r="H7" s="140"/>
      <c r="I7" s="141"/>
      <c r="J7" s="142"/>
      <c r="K7" s="142"/>
      <c r="L7" s="142"/>
      <c r="M7" s="142"/>
      <c r="N7" s="142"/>
      <c r="O7" s="142"/>
      <c r="P7" s="143"/>
    </row>
    <row r="8" spans="1:43" s="17" customFormat="1" ht="30" customHeight="1" x14ac:dyDescent="0.35">
      <c r="B8" s="94" t="s">
        <v>2</v>
      </c>
      <c r="C8" s="137"/>
      <c r="D8" s="137"/>
      <c r="E8" s="137"/>
      <c r="F8" s="138"/>
      <c r="G8" s="139" t="s">
        <v>3</v>
      </c>
      <c r="H8" s="140"/>
      <c r="I8" s="137"/>
      <c r="J8" s="137"/>
      <c r="K8" s="137"/>
      <c r="L8" s="137"/>
      <c r="M8" s="137"/>
      <c r="N8" s="137"/>
      <c r="O8" s="137"/>
      <c r="P8" s="138"/>
    </row>
    <row r="9" spans="1:43" s="17" customFormat="1" ht="30" customHeight="1" x14ac:dyDescent="0.35">
      <c r="B9" s="147" t="s">
        <v>4</v>
      </c>
      <c r="C9" s="148"/>
      <c r="D9" s="149"/>
      <c r="E9" s="144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6"/>
    </row>
    <row r="10" spans="1:43" s="17" customFormat="1" ht="30" customHeight="1" x14ac:dyDescent="0.35">
      <c r="B10" s="147" t="s">
        <v>5</v>
      </c>
      <c r="C10" s="148"/>
      <c r="D10" s="149"/>
      <c r="E10" s="101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3"/>
    </row>
    <row r="11" spans="1:43" s="61" customFormat="1" ht="30" customHeight="1" x14ac:dyDescent="0.35">
      <c r="A11" s="17"/>
      <c r="B11" s="126" t="s">
        <v>6</v>
      </c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8"/>
    </row>
    <row r="12" spans="1:43" s="61" customFormat="1" ht="33" customHeight="1" x14ac:dyDescent="0.35">
      <c r="A12" s="17"/>
      <c r="B12" s="168" t="s">
        <v>7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70"/>
    </row>
    <row r="13" spans="1:43" s="61" customFormat="1" ht="21.75" customHeight="1" x14ac:dyDescent="0.35">
      <c r="A13" s="17"/>
      <c r="B13" s="117" t="s">
        <v>36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9"/>
    </row>
    <row r="14" spans="1:43" s="61" customFormat="1" ht="21.75" customHeight="1" x14ac:dyDescent="0.35">
      <c r="A14" s="17"/>
      <c r="B14" s="178" t="s">
        <v>35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80"/>
    </row>
    <row r="15" spans="1:43" s="17" customFormat="1" ht="30" customHeight="1" x14ac:dyDescent="0.35">
      <c r="B15" s="117" t="s">
        <v>37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9"/>
    </row>
    <row r="16" spans="1:43" s="2" customFormat="1" ht="30" customHeight="1" x14ac:dyDescent="0.3">
      <c r="A16" s="1"/>
      <c r="B16" s="120" t="s">
        <v>8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2"/>
      <c r="Q16" s="3"/>
    </row>
    <row r="17" spans="2:24" s="2" customFormat="1" ht="1.9" customHeight="1" x14ac:dyDescent="0.3">
      <c r="B17" s="54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5"/>
      <c r="Q17" s="3"/>
      <c r="R17" s="4"/>
    </row>
    <row r="18" spans="2:24" s="2" customFormat="1" ht="1.1499999999999999" hidden="1" customHeight="1" x14ac:dyDescent="0.3">
      <c r="B18" s="5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56"/>
      <c r="R18" s="4"/>
    </row>
    <row r="19" spans="2:24" s="2" customFormat="1" ht="12.65" hidden="1" customHeight="1" x14ac:dyDescent="0.3">
      <c r="B19" s="54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56"/>
    </row>
    <row r="20" spans="2:24" s="2" customFormat="1" ht="7" customHeight="1" x14ac:dyDescent="0.3">
      <c r="B20" s="54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56"/>
    </row>
    <row r="21" spans="2:24" s="2" customFormat="1" ht="3.5" customHeight="1" x14ac:dyDescent="0.3">
      <c r="B21" s="54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56"/>
    </row>
    <row r="22" spans="2:24" s="2" customFormat="1" ht="15" customHeight="1" x14ac:dyDescent="0.3">
      <c r="B22" s="110" t="s">
        <v>9</v>
      </c>
      <c r="C22" s="111"/>
      <c r="D22" s="111"/>
      <c r="E22" s="111"/>
      <c r="F22" s="111"/>
      <c r="G22" s="112"/>
      <c r="H22" s="62"/>
      <c r="I22" s="62"/>
      <c r="J22" s="63"/>
      <c r="K22" s="110" t="s">
        <v>10</v>
      </c>
      <c r="L22" s="111"/>
      <c r="M22" s="111"/>
      <c r="N22" s="111"/>
      <c r="O22" s="111"/>
      <c r="P22" s="112"/>
      <c r="Q22" s="20"/>
      <c r="R22" s="18"/>
    </row>
    <row r="23" spans="2:24" s="5" customFormat="1" ht="15" customHeight="1" x14ac:dyDescent="0.35">
      <c r="B23" s="150" t="s">
        <v>11</v>
      </c>
      <c r="C23" s="151"/>
      <c r="D23" s="151"/>
      <c r="E23" s="151"/>
      <c r="F23" s="152"/>
      <c r="G23" s="21"/>
      <c r="H23" s="64"/>
      <c r="I23" s="64"/>
      <c r="J23" s="65"/>
      <c r="K23" s="150" t="s">
        <v>11</v>
      </c>
      <c r="L23" s="151"/>
      <c r="M23" s="151"/>
      <c r="N23" s="151"/>
      <c r="O23" s="152"/>
      <c r="P23" s="21"/>
      <c r="Q23" s="22"/>
      <c r="R23" s="23"/>
      <c r="S23" s="6"/>
    </row>
    <row r="24" spans="2:24" s="2" customFormat="1" ht="5.15" customHeight="1" x14ac:dyDescent="0.3">
      <c r="B24" s="52"/>
      <c r="C24" s="66"/>
      <c r="D24" s="66"/>
      <c r="E24" s="67"/>
      <c r="F24" s="68"/>
      <c r="G24" s="53"/>
      <c r="H24" s="69"/>
      <c r="I24" s="69"/>
      <c r="J24" s="69"/>
      <c r="K24" s="66"/>
      <c r="L24" s="24"/>
      <c r="M24" s="24"/>
      <c r="N24" s="25"/>
      <c r="O24" s="25"/>
      <c r="P24" s="56"/>
      <c r="Q24" s="18"/>
      <c r="R24" s="18"/>
    </row>
    <row r="25" spans="2:24" s="2" customFormat="1" ht="15" customHeight="1" x14ac:dyDescent="0.3">
      <c r="B25" s="104" t="s">
        <v>12</v>
      </c>
      <c r="C25" s="105"/>
      <c r="D25" s="104" t="s">
        <v>13</v>
      </c>
      <c r="E25" s="105"/>
      <c r="F25" s="106" t="s">
        <v>14</v>
      </c>
      <c r="G25" s="107"/>
      <c r="H25" s="70"/>
      <c r="I25" s="70"/>
      <c r="J25" s="71"/>
      <c r="K25" s="104" t="s">
        <v>12</v>
      </c>
      <c r="L25" s="105"/>
      <c r="M25" s="104" t="s">
        <v>13</v>
      </c>
      <c r="N25" s="105"/>
      <c r="O25" s="106" t="s">
        <v>14</v>
      </c>
      <c r="P25" s="107"/>
      <c r="Q25" s="18"/>
      <c r="R25" s="18"/>
    </row>
    <row r="26" spans="2:24" s="2" customFormat="1" ht="15" customHeight="1" x14ac:dyDescent="0.3">
      <c r="B26" s="95" t="s">
        <v>15</v>
      </c>
      <c r="C26" s="96" t="s">
        <v>16</v>
      </c>
      <c r="D26" s="95" t="s">
        <v>17</v>
      </c>
      <c r="E26" s="95" t="s">
        <v>18</v>
      </c>
      <c r="F26" s="108"/>
      <c r="G26" s="109"/>
      <c r="H26" s="70"/>
      <c r="I26" s="70"/>
      <c r="J26" s="71"/>
      <c r="K26" s="95" t="s">
        <v>15</v>
      </c>
      <c r="L26" s="95" t="s">
        <v>16</v>
      </c>
      <c r="M26" s="95" t="s">
        <v>17</v>
      </c>
      <c r="N26" s="95" t="s">
        <v>18</v>
      </c>
      <c r="O26" s="108"/>
      <c r="P26" s="109"/>
      <c r="Q26" s="18"/>
      <c r="R26" s="18"/>
      <c r="X26" s="7"/>
    </row>
    <row r="27" spans="2:24" s="2" customFormat="1" ht="25.5" customHeight="1" x14ac:dyDescent="0.3">
      <c r="B27" s="57" t="s">
        <v>19</v>
      </c>
      <c r="C27" s="93">
        <v>38.1</v>
      </c>
      <c r="D27" s="80"/>
      <c r="E27" s="75" t="str">
        <f>IF(G23="","",IF(D27="","",G$23-SUM(D$27)))</f>
        <v/>
      </c>
      <c r="F27" s="113" t="str">
        <f t="shared" ref="F27:F29" si="0">IF($G$23="","",IF(E27="","",E27/$G$23))</f>
        <v/>
      </c>
      <c r="G27" s="114"/>
      <c r="H27" s="70"/>
      <c r="I27" s="70"/>
      <c r="J27" s="71"/>
      <c r="K27" s="57" t="s">
        <v>19</v>
      </c>
      <c r="L27" s="27">
        <v>38.1</v>
      </c>
      <c r="M27" s="80"/>
      <c r="N27" s="75" t="str">
        <f>IF(P23="","",IF(M27="","",P$23-SUM(M$27)))</f>
        <v/>
      </c>
      <c r="O27" s="113" t="str">
        <f t="shared" ref="O27:O32" si="1">IF($P$23="","",IF(N27="","",N27/$P$23))</f>
        <v/>
      </c>
      <c r="P27" s="114"/>
      <c r="Q27" s="18"/>
      <c r="R27" s="18"/>
      <c r="X27" s="7"/>
    </row>
    <row r="28" spans="2:24" s="2" customFormat="1" ht="27.75" customHeight="1" x14ac:dyDescent="0.3">
      <c r="B28" s="57" t="s">
        <v>20</v>
      </c>
      <c r="C28" s="26">
        <v>25.4</v>
      </c>
      <c r="D28" s="80"/>
      <c r="E28" s="75" t="str">
        <f>IF(G23="","",IF(D28="","",G$23-SUM(D$27,D28)))</f>
        <v/>
      </c>
      <c r="F28" s="113" t="str">
        <f t="shared" si="0"/>
        <v/>
      </c>
      <c r="G28" s="114"/>
      <c r="H28" s="70"/>
      <c r="I28" s="70"/>
      <c r="J28" s="71"/>
      <c r="K28" s="57" t="s">
        <v>20</v>
      </c>
      <c r="L28" s="28">
        <v>25.4</v>
      </c>
      <c r="M28" s="80"/>
      <c r="N28" s="75" t="str">
        <f>IF(P23="","",IF(M28="","",P$23-SUM(M$27,M28)))</f>
        <v/>
      </c>
      <c r="O28" s="113" t="str">
        <f t="shared" si="1"/>
        <v/>
      </c>
      <c r="P28" s="114"/>
      <c r="Q28" s="18"/>
      <c r="R28" s="18"/>
      <c r="X28" s="7"/>
    </row>
    <row r="29" spans="2:24" s="2" customFormat="1" ht="27.75" customHeight="1" x14ac:dyDescent="0.3">
      <c r="B29" s="77" t="s">
        <v>21</v>
      </c>
      <c r="C29" s="26">
        <v>19.100000000000001</v>
      </c>
      <c r="D29" s="80"/>
      <c r="E29" s="75" t="str">
        <f>IF(G23="","",IF(D29="","",G$23-SUM(D$27,D28,D29)))</f>
        <v/>
      </c>
      <c r="F29" s="113" t="str">
        <f t="shared" si="0"/>
        <v/>
      </c>
      <c r="G29" s="114"/>
      <c r="H29" s="70"/>
      <c r="I29" s="70"/>
      <c r="J29" s="71"/>
      <c r="K29" s="77" t="s">
        <v>21</v>
      </c>
      <c r="L29" s="28">
        <v>19.100000000000001</v>
      </c>
      <c r="M29" s="80"/>
      <c r="N29" s="75" t="str">
        <f>IF(P23="","",IF(M29="","",P$23-SUM(M$27,M28,M29)))</f>
        <v/>
      </c>
      <c r="O29" s="113" t="str">
        <f t="shared" si="1"/>
        <v/>
      </c>
      <c r="P29" s="114"/>
      <c r="Q29" s="18"/>
      <c r="R29" s="18"/>
      <c r="X29" s="7"/>
    </row>
    <row r="30" spans="2:24" s="2" customFormat="1" ht="30" customHeight="1" x14ac:dyDescent="0.3">
      <c r="B30" s="57" t="s">
        <v>22</v>
      </c>
      <c r="C30" s="26">
        <v>12.7</v>
      </c>
      <c r="D30" s="80"/>
      <c r="E30" s="75" t="str">
        <f>IF(G23="","",IF(D30="","",G$23-SUM(D$30:D30,D27,D28,D29)))</f>
        <v/>
      </c>
      <c r="F30" s="113" t="str">
        <f t="shared" ref="F30:F40" si="2">IF($G$23="","",IF(E30="","",E30/$G$23))</f>
        <v/>
      </c>
      <c r="G30" s="114"/>
      <c r="H30" s="50"/>
      <c r="I30" s="50"/>
      <c r="J30" s="51"/>
      <c r="K30" s="57" t="s">
        <v>22</v>
      </c>
      <c r="L30" s="28">
        <v>12.7</v>
      </c>
      <c r="M30" s="80"/>
      <c r="N30" s="75" t="str">
        <f>IF(P23="","",IF(M30="","",P$23-SUM(M$30:M30,M27,M28,M29)))</f>
        <v/>
      </c>
      <c r="O30" s="113" t="str">
        <f t="shared" si="1"/>
        <v/>
      </c>
      <c r="P30" s="114"/>
      <c r="Q30" s="18"/>
      <c r="R30" s="18"/>
    </row>
    <row r="31" spans="2:24" s="2" customFormat="1" ht="30" customHeight="1" x14ac:dyDescent="0.3">
      <c r="B31" s="77" t="s">
        <v>23</v>
      </c>
      <c r="C31" s="26">
        <v>9.5</v>
      </c>
      <c r="D31" s="80"/>
      <c r="E31" s="75" t="str">
        <f>IF(G23="","",IF(D31="","",G$23-SUM(D$30:D31,D29,D28,D27)))</f>
        <v/>
      </c>
      <c r="F31" s="113" t="str">
        <f t="shared" si="2"/>
        <v/>
      </c>
      <c r="G31" s="114"/>
      <c r="H31" s="49"/>
      <c r="I31" s="49"/>
      <c r="J31" s="29"/>
      <c r="K31" s="77" t="s">
        <v>23</v>
      </c>
      <c r="L31" s="28">
        <v>9.5</v>
      </c>
      <c r="M31" s="80"/>
      <c r="N31" s="75" t="str">
        <f>IF(P23="","",IF(M31="","",P$23-SUM(M$30:M31,M29,M28,M27)))</f>
        <v/>
      </c>
      <c r="O31" s="113" t="str">
        <f t="shared" si="1"/>
        <v/>
      </c>
      <c r="P31" s="114"/>
      <c r="Q31" s="18"/>
      <c r="R31" s="18"/>
      <c r="V31" s="8"/>
    </row>
    <row r="32" spans="2:24" s="2" customFormat="1" ht="30" customHeight="1" x14ac:dyDescent="0.3">
      <c r="B32" s="77" t="s">
        <v>24</v>
      </c>
      <c r="C32" s="26">
        <v>6.3</v>
      </c>
      <c r="D32" s="80"/>
      <c r="E32" s="75" t="str">
        <f>IF(G23="","",IF(D32="","",G$23-SUM(D$30:D32,D27,D28,D29)))</f>
        <v/>
      </c>
      <c r="F32" s="113" t="str">
        <f t="shared" si="2"/>
        <v/>
      </c>
      <c r="G32" s="114"/>
      <c r="H32" s="49"/>
      <c r="I32" s="49"/>
      <c r="J32" s="29"/>
      <c r="K32" s="77" t="s">
        <v>24</v>
      </c>
      <c r="L32" s="28">
        <v>6.3</v>
      </c>
      <c r="M32" s="80"/>
      <c r="N32" s="75" t="str">
        <f>IF(P23="","",IF(M32="","",P$23-SUM(M$30:M32,M27,M28,M29)))</f>
        <v/>
      </c>
      <c r="O32" s="113" t="str">
        <f t="shared" si="1"/>
        <v/>
      </c>
      <c r="P32" s="114"/>
      <c r="Q32" s="18"/>
      <c r="R32" s="18"/>
      <c r="U32" s="9"/>
      <c r="V32" s="9"/>
      <c r="X32" s="10"/>
    </row>
    <row r="33" spans="2:24" s="2" customFormat="1" ht="30" hidden="1" customHeight="1" x14ac:dyDescent="0.3">
      <c r="B33" s="57" t="s">
        <v>25</v>
      </c>
      <c r="C33" s="28">
        <v>16</v>
      </c>
      <c r="D33" s="80"/>
      <c r="E33" s="75" t="str">
        <f>IF(G23="","",IF(D33="","",G$23-SUM(D$30:D33)))</f>
        <v/>
      </c>
      <c r="F33" s="113" t="str">
        <f t="shared" si="2"/>
        <v/>
      </c>
      <c r="G33" s="114"/>
      <c r="H33" s="49"/>
      <c r="I33" s="49"/>
      <c r="J33" s="29"/>
      <c r="K33" s="57" t="s">
        <v>25</v>
      </c>
      <c r="L33" s="28">
        <v>16</v>
      </c>
      <c r="M33" s="80"/>
      <c r="N33" s="75" t="str">
        <f>IF(P23="","",IF(M33="","",P$23-SUM(M$30:M33)))</f>
        <v/>
      </c>
      <c r="O33" s="113" t="str">
        <f>IF($G$23="","",IF(N33="","",N33/$G$23))</f>
        <v/>
      </c>
      <c r="P33" s="114"/>
      <c r="Q33" s="19"/>
      <c r="R33" s="18"/>
      <c r="U33" s="9"/>
      <c r="V33" s="9"/>
      <c r="X33" s="10"/>
    </row>
    <row r="34" spans="2:24" s="2" customFormat="1" ht="30" customHeight="1" x14ac:dyDescent="0.3">
      <c r="B34" s="57">
        <v>4</v>
      </c>
      <c r="C34" s="26">
        <v>4.8</v>
      </c>
      <c r="D34" s="80"/>
      <c r="E34" s="75" t="str">
        <f>IF(G23="","",IF(D34="","",G$23-SUM(D$30:D34,D27,D28,D29)))</f>
        <v/>
      </c>
      <c r="F34" s="113" t="str">
        <f t="shared" si="2"/>
        <v/>
      </c>
      <c r="G34" s="114"/>
      <c r="H34" s="49"/>
      <c r="I34" s="49"/>
      <c r="J34" s="29"/>
      <c r="K34" s="57">
        <v>4</v>
      </c>
      <c r="L34" s="26">
        <v>4.8</v>
      </c>
      <c r="M34" s="80"/>
      <c r="N34" s="75" t="str">
        <f>IF(P23="","",IF(M34="","",P$23-SUM(M$30:M34,M27,M28,M29)))</f>
        <v/>
      </c>
      <c r="O34" s="113" t="str">
        <f t="shared" ref="O34:O40" si="3">IF($P$23="","",IF(N34="","",N34/$P$23))</f>
        <v/>
      </c>
      <c r="P34" s="114"/>
      <c r="Q34" s="19"/>
      <c r="R34" s="18"/>
      <c r="U34" s="9"/>
      <c r="V34" s="9"/>
      <c r="X34" s="10"/>
    </row>
    <row r="35" spans="2:24" s="2" customFormat="1" ht="30" customHeight="1" x14ac:dyDescent="0.3">
      <c r="B35" s="57">
        <v>8</v>
      </c>
      <c r="C35" s="26">
        <v>2.36</v>
      </c>
      <c r="D35" s="80"/>
      <c r="E35" s="75" t="str">
        <f>IF(G23="","",IF(D35="","",G$23-SUM(D$30:D35,D27,D28,D29)))</f>
        <v/>
      </c>
      <c r="F35" s="113" t="str">
        <f t="shared" si="2"/>
        <v/>
      </c>
      <c r="G35" s="114"/>
      <c r="H35" s="49"/>
      <c r="I35" s="49"/>
      <c r="J35" s="29"/>
      <c r="K35" s="57">
        <v>8</v>
      </c>
      <c r="L35" s="26">
        <v>2.36</v>
      </c>
      <c r="M35" s="80"/>
      <c r="N35" s="75" t="str">
        <f>IF(P23="","",IF(M35="","",P$23-SUM(M$30:M35,M27,M28,M29)))</f>
        <v/>
      </c>
      <c r="O35" s="113" t="str">
        <f t="shared" si="3"/>
        <v/>
      </c>
      <c r="P35" s="114"/>
      <c r="Q35" s="19"/>
      <c r="R35" s="18"/>
      <c r="U35" s="9"/>
      <c r="V35" s="9"/>
      <c r="X35" s="10"/>
    </row>
    <row r="36" spans="2:24" s="2" customFormat="1" ht="30" customHeight="1" x14ac:dyDescent="0.3">
      <c r="B36" s="57">
        <v>16</v>
      </c>
      <c r="C36" s="26">
        <v>1.18</v>
      </c>
      <c r="D36" s="80"/>
      <c r="E36" s="75" t="str">
        <f>IF(G23="","",IF(D36="","",G$23-SUM(D$30:D36,D27,D28,D29)))</f>
        <v/>
      </c>
      <c r="F36" s="113" t="str">
        <f t="shared" si="2"/>
        <v/>
      </c>
      <c r="G36" s="114"/>
      <c r="H36" s="49"/>
      <c r="I36" s="49"/>
      <c r="J36" s="29"/>
      <c r="K36" s="57">
        <v>16</v>
      </c>
      <c r="L36" s="26">
        <v>1.18</v>
      </c>
      <c r="M36" s="80"/>
      <c r="N36" s="75" t="str">
        <f>IF(P23="","",IF(M36="","",P$23-SUM(M$30:M36,M27,M28,M29)))</f>
        <v/>
      </c>
      <c r="O36" s="113" t="str">
        <f t="shared" si="3"/>
        <v/>
      </c>
      <c r="P36" s="114"/>
      <c r="Q36" s="19"/>
      <c r="R36" s="18"/>
      <c r="U36" s="9"/>
      <c r="V36" s="9"/>
      <c r="X36" s="10"/>
    </row>
    <row r="37" spans="2:24" s="2" customFormat="1" ht="30" customHeight="1" x14ac:dyDescent="0.3">
      <c r="B37" s="78">
        <v>30</v>
      </c>
      <c r="C37" s="30">
        <v>0.6</v>
      </c>
      <c r="D37" s="80"/>
      <c r="E37" s="75" t="str">
        <f>IF(G23="","",IF(D37="","",G$23-SUM(D$30:D37,D27,D28,D29)))</f>
        <v/>
      </c>
      <c r="F37" s="113" t="str">
        <f t="shared" si="2"/>
        <v/>
      </c>
      <c r="G37" s="114"/>
      <c r="H37" s="49"/>
      <c r="I37" s="49"/>
      <c r="J37" s="29"/>
      <c r="K37" s="78">
        <v>30</v>
      </c>
      <c r="L37" s="30">
        <v>0.6</v>
      </c>
      <c r="M37" s="80"/>
      <c r="N37" s="75" t="str">
        <f>IF(P23="","",IF(M37="","",P$23-SUM(M$30:M37,M27,M28,M29)))</f>
        <v/>
      </c>
      <c r="O37" s="113" t="str">
        <f t="shared" si="3"/>
        <v/>
      </c>
      <c r="P37" s="114"/>
      <c r="Q37" s="19"/>
      <c r="R37" s="31"/>
      <c r="U37" s="9"/>
      <c r="V37" s="9"/>
      <c r="X37" s="10"/>
    </row>
    <row r="38" spans="2:24" s="2" customFormat="1" ht="30" customHeight="1" x14ac:dyDescent="0.3">
      <c r="B38" s="57">
        <v>50</v>
      </c>
      <c r="C38" s="26">
        <v>0.3</v>
      </c>
      <c r="D38" s="80"/>
      <c r="E38" s="75" t="str">
        <f>IF(G23="","",IF(D38="","",G$23-SUM(D$30:D38,D27,D28,D29)))</f>
        <v/>
      </c>
      <c r="F38" s="113" t="str">
        <f t="shared" si="2"/>
        <v/>
      </c>
      <c r="G38" s="114"/>
      <c r="H38" s="49"/>
      <c r="I38" s="49"/>
      <c r="J38" s="18"/>
      <c r="K38" s="57">
        <v>50</v>
      </c>
      <c r="L38" s="26">
        <v>0.3</v>
      </c>
      <c r="M38" s="80"/>
      <c r="N38" s="75" t="str">
        <f>IF(P23="","",IF(M38="","",P$23-SUM(M$30:M38,M27,M28,M29)))</f>
        <v/>
      </c>
      <c r="O38" s="113" t="str">
        <f t="shared" si="3"/>
        <v/>
      </c>
      <c r="P38" s="114"/>
      <c r="Q38" s="19"/>
      <c r="R38" s="18"/>
      <c r="U38" s="9"/>
      <c r="V38" s="9"/>
      <c r="X38" s="10"/>
    </row>
    <row r="39" spans="2:24" s="2" customFormat="1" ht="30" customHeight="1" x14ac:dyDescent="0.3">
      <c r="B39" s="57">
        <v>100</v>
      </c>
      <c r="C39" s="26">
        <v>0.15</v>
      </c>
      <c r="D39" s="80"/>
      <c r="E39" s="75" t="str">
        <f>IF(G23="","",IF(D39="","",G$23-SUM(D$30:D39,D27,D28,D29)))</f>
        <v/>
      </c>
      <c r="F39" s="113" t="str">
        <f t="shared" si="2"/>
        <v/>
      </c>
      <c r="G39" s="114"/>
      <c r="H39" s="49"/>
      <c r="I39" s="49"/>
      <c r="J39" s="18"/>
      <c r="K39" s="57">
        <v>100</v>
      </c>
      <c r="L39" s="26">
        <v>0.15</v>
      </c>
      <c r="M39" s="80"/>
      <c r="N39" s="75" t="str">
        <f>IF(P23="","",IF(M39="","",P$23-SUM(M$30:M39,M27,M28,M29)))</f>
        <v/>
      </c>
      <c r="O39" s="113" t="str">
        <f t="shared" si="3"/>
        <v/>
      </c>
      <c r="P39" s="114"/>
      <c r="Q39" s="19"/>
      <c r="R39" s="18"/>
      <c r="U39" s="9"/>
      <c r="V39" s="9"/>
    </row>
    <row r="40" spans="2:24" s="2" customFormat="1" ht="30" customHeight="1" x14ac:dyDescent="0.3">
      <c r="B40" s="79">
        <v>200</v>
      </c>
      <c r="C40" s="32">
        <v>7.4999999999999997E-2</v>
      </c>
      <c r="D40" s="80"/>
      <c r="E40" s="75" t="str">
        <f>IF(G23="","",IF(D40="","",G$23-SUM(D$30:D40,D27,D28,D29)))</f>
        <v/>
      </c>
      <c r="F40" s="113" t="str">
        <f t="shared" si="2"/>
        <v/>
      </c>
      <c r="G40" s="114"/>
      <c r="H40" s="49"/>
      <c r="I40" s="49"/>
      <c r="J40" s="18"/>
      <c r="K40" s="79">
        <v>200</v>
      </c>
      <c r="L40" s="32">
        <v>7.4999999999999997E-2</v>
      </c>
      <c r="M40" s="80"/>
      <c r="N40" s="75" t="str">
        <f>IF(P23="","",IF(M40="","",P$23-SUM(M$30:M40,M27,M28,M29)))</f>
        <v/>
      </c>
      <c r="O40" s="113" t="str">
        <f t="shared" si="3"/>
        <v/>
      </c>
      <c r="P40" s="114"/>
      <c r="Q40" s="19"/>
      <c r="R40" s="18"/>
    </row>
    <row r="41" spans="2:24" s="2" customFormat="1" ht="30" customHeight="1" x14ac:dyDescent="0.3">
      <c r="B41" s="115" t="s">
        <v>26</v>
      </c>
      <c r="C41" s="116"/>
      <c r="D41" s="76" t="str">
        <f>IF(G23="","",IF(E40="","",E40))</f>
        <v/>
      </c>
      <c r="E41" s="33" t="str">
        <f>IF(G23="","",IF(D41="","",G$23-SUM(D$30:D41,D29,D28,D27)))</f>
        <v/>
      </c>
      <c r="F41" s="154" t="str">
        <f t="shared" ref="F41" si="4">IF($P$23="","",IF(E41="","",E41/$P$23))</f>
        <v/>
      </c>
      <c r="G41" s="155"/>
      <c r="H41" s="49"/>
      <c r="I41" s="49"/>
      <c r="J41" s="18"/>
      <c r="K41" s="115" t="s">
        <v>26</v>
      </c>
      <c r="L41" s="116"/>
      <c r="M41" s="76" t="str">
        <f>IF(P23="","",IF(N40="","",N40))</f>
        <v/>
      </c>
      <c r="N41" s="33" t="str">
        <f>IF(P23="","",IF(M41="","",P$23-SUM(M$30:M41,M29,M28,M27)))</f>
        <v/>
      </c>
      <c r="O41" s="154" t="str">
        <f t="shared" ref="O41" si="5">IF($P$23="","",IF(N41="","",N41/$P$23))</f>
        <v/>
      </c>
      <c r="P41" s="155"/>
      <c r="Q41" s="19"/>
      <c r="R41" s="18"/>
    </row>
    <row r="42" spans="2:24" s="2" customFormat="1" ht="26.25" customHeight="1" x14ac:dyDescent="0.3">
      <c r="B42" s="115" t="s">
        <v>27</v>
      </c>
      <c r="C42" s="156"/>
      <c r="D42" s="157"/>
      <c r="E42" s="158"/>
      <c r="F42" s="158"/>
      <c r="G42" s="159"/>
      <c r="H42" s="72"/>
      <c r="I42" s="72"/>
      <c r="J42" s="18"/>
      <c r="K42" s="115" t="s">
        <v>27</v>
      </c>
      <c r="L42" s="156"/>
      <c r="M42" s="157"/>
      <c r="N42" s="158"/>
      <c r="O42" s="158"/>
      <c r="P42" s="159"/>
      <c r="Q42" s="19"/>
      <c r="R42" s="18"/>
    </row>
    <row r="43" spans="2:24" s="2" customFormat="1" ht="24.75" customHeight="1" x14ac:dyDescent="0.3">
      <c r="B43" s="57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19"/>
      <c r="P43" s="56"/>
    </row>
    <row r="44" spans="2:24" s="2" customFormat="1" ht="12.65" customHeight="1" x14ac:dyDescent="0.3">
      <c r="B44" s="58"/>
      <c r="C44" s="19"/>
      <c r="D44" s="18"/>
      <c r="E44" s="18"/>
      <c r="F44" s="18"/>
      <c r="G44" s="18"/>
      <c r="H44" s="19"/>
      <c r="I44" s="19"/>
      <c r="J44" s="19"/>
      <c r="K44" s="34"/>
      <c r="L44" s="19"/>
      <c r="M44" s="171" t="s">
        <v>28</v>
      </c>
      <c r="N44" s="171"/>
      <c r="O44" s="171"/>
      <c r="P44" s="172"/>
    </row>
    <row r="45" spans="2:24" s="2" customFormat="1" ht="12.65" customHeight="1" x14ac:dyDescent="0.3">
      <c r="B45" s="58"/>
      <c r="C45" s="19"/>
      <c r="D45" s="175" t="s">
        <v>29</v>
      </c>
      <c r="E45" s="176"/>
      <c r="F45" s="176"/>
      <c r="G45" s="177"/>
      <c r="H45" s="19"/>
      <c r="I45" s="18"/>
      <c r="J45" s="19"/>
      <c r="K45" s="34"/>
      <c r="L45" s="19"/>
      <c r="M45" s="173"/>
      <c r="N45" s="173"/>
      <c r="O45" s="173"/>
      <c r="P45" s="174"/>
    </row>
    <row r="46" spans="2:24" s="11" customFormat="1" ht="18" customHeight="1" x14ac:dyDescent="0.3">
      <c r="B46" s="59"/>
      <c r="C46" s="35"/>
      <c r="D46" s="36" t="s">
        <v>30</v>
      </c>
      <c r="E46" s="74" t="s">
        <v>31</v>
      </c>
      <c r="F46" s="74" t="s">
        <v>31</v>
      </c>
      <c r="G46" s="37" t="s">
        <v>32</v>
      </c>
      <c r="H46" s="35"/>
      <c r="I46" s="35" t="e">
        <f>IF(#REF!="","",#REF!)</f>
        <v>#REF!</v>
      </c>
      <c r="J46" s="35"/>
      <c r="K46" s="35"/>
      <c r="L46" s="35"/>
      <c r="M46" s="173"/>
      <c r="N46" s="173"/>
      <c r="O46" s="173"/>
      <c r="P46" s="174"/>
    </row>
    <row r="47" spans="2:24" s="11" customFormat="1" ht="18" customHeight="1" x14ac:dyDescent="0.3">
      <c r="B47" s="59"/>
      <c r="C47" s="35"/>
      <c r="D47" s="86">
        <f>C40</f>
        <v>7.4999999999999997E-2</v>
      </c>
      <c r="E47" s="90" t="str">
        <f>IF(F40="","",F40)</f>
        <v/>
      </c>
      <c r="F47" s="91" t="str">
        <f>IF(O40="","",O40)</f>
        <v/>
      </c>
      <c r="G47" s="87" t="e">
        <f t="shared" ref="G47:G52" si="6">AVERAGE(E47:F47)</f>
        <v>#DIV/0!</v>
      </c>
      <c r="H47" s="35"/>
      <c r="I47" s="35"/>
      <c r="J47" s="35"/>
      <c r="K47" s="35"/>
      <c r="L47" s="35"/>
      <c r="M47" s="173"/>
      <c r="N47" s="173"/>
      <c r="O47" s="173"/>
      <c r="P47" s="174"/>
    </row>
    <row r="48" spans="2:24" s="11" customFormat="1" ht="18" customHeight="1" x14ac:dyDescent="0.3">
      <c r="B48" s="59"/>
      <c r="C48" s="35"/>
      <c r="D48" s="36">
        <f>C39</f>
        <v>0.15</v>
      </c>
      <c r="E48" s="88" t="str">
        <f>IF(F39="","",F39)</f>
        <v/>
      </c>
      <c r="F48" s="38" t="str">
        <f>IF(O39="","",O39)</f>
        <v/>
      </c>
      <c r="G48" s="39" t="e">
        <f t="shared" si="6"/>
        <v>#DIV/0!</v>
      </c>
      <c r="H48" s="35"/>
      <c r="I48" s="35"/>
      <c r="J48" s="35"/>
      <c r="K48" s="35"/>
      <c r="L48" s="35"/>
      <c r="M48" s="81">
        <f t="shared" ref="M48:M53" si="7">C27</f>
        <v>38.1</v>
      </c>
      <c r="N48" s="97" t="str">
        <f>IF(F40="","",IF(G59="","",G59))</f>
        <v/>
      </c>
      <c r="O48" s="98"/>
      <c r="P48" s="99"/>
    </row>
    <row r="49" spans="2:43" s="11" customFormat="1" ht="18" customHeight="1" x14ac:dyDescent="0.3">
      <c r="B49" s="59"/>
      <c r="C49" s="35"/>
      <c r="D49" s="40">
        <f>C38</f>
        <v>0.3</v>
      </c>
      <c r="E49" s="88" t="str">
        <f>IF(F38="","",F38)</f>
        <v/>
      </c>
      <c r="F49" s="38" t="str">
        <f>IF(O38="","",O38)</f>
        <v/>
      </c>
      <c r="G49" s="39" t="e">
        <f t="shared" si="6"/>
        <v>#DIV/0!</v>
      </c>
      <c r="H49" s="35"/>
      <c r="I49" s="35"/>
      <c r="J49" s="35"/>
      <c r="K49" s="35"/>
      <c r="L49" s="35"/>
      <c r="M49" s="82">
        <f t="shared" si="7"/>
        <v>25.4</v>
      </c>
      <c r="N49" s="97" t="str">
        <f>IF(F40="","",IF(G58="","",G58))</f>
        <v/>
      </c>
      <c r="O49" s="98"/>
      <c r="P49" s="99"/>
    </row>
    <row r="50" spans="2:43" s="11" customFormat="1" ht="18" customHeight="1" x14ac:dyDescent="0.3">
      <c r="B50" s="59"/>
      <c r="C50" s="35"/>
      <c r="D50" s="40">
        <f>C37</f>
        <v>0.6</v>
      </c>
      <c r="E50" s="88" t="str">
        <f>IF(F37="","",F37)</f>
        <v/>
      </c>
      <c r="F50" s="38" t="str">
        <f>IF(O37="","",O37)</f>
        <v/>
      </c>
      <c r="G50" s="39" t="e">
        <f t="shared" si="6"/>
        <v>#DIV/0!</v>
      </c>
      <c r="H50" s="35"/>
      <c r="I50" s="35"/>
      <c r="J50" s="35"/>
      <c r="K50" s="35"/>
      <c r="L50" s="35"/>
      <c r="M50" s="82">
        <f t="shared" si="7"/>
        <v>19.100000000000001</v>
      </c>
      <c r="N50" s="97" t="str">
        <f>IF(F40="","",IF(G57="","",G57))</f>
        <v/>
      </c>
      <c r="O50" s="98"/>
      <c r="P50" s="99"/>
      <c r="Q50" s="12"/>
    </row>
    <row r="51" spans="2:43" s="11" customFormat="1" ht="18" customHeight="1" x14ac:dyDescent="0.3">
      <c r="B51" s="59"/>
      <c r="C51" s="35"/>
      <c r="D51" s="41">
        <f>C36</f>
        <v>1.18</v>
      </c>
      <c r="E51" s="88" t="str">
        <f>IF(F36="","",F36)</f>
        <v/>
      </c>
      <c r="F51" s="38" t="str">
        <f>IF(O36="","",O36)</f>
        <v/>
      </c>
      <c r="G51" s="39" t="e">
        <f t="shared" si="6"/>
        <v>#DIV/0!</v>
      </c>
      <c r="I51" s="35"/>
      <c r="J51" s="35"/>
      <c r="K51" s="35"/>
      <c r="L51" s="35"/>
      <c r="M51" s="82">
        <f t="shared" si="7"/>
        <v>12.7</v>
      </c>
      <c r="N51" s="97" t="str">
        <f>IF(F40="","",IF(G56="","",G56))</f>
        <v/>
      </c>
      <c r="O51" s="98"/>
      <c r="P51" s="99"/>
      <c r="Q51" s="12"/>
      <c r="R51" s="13"/>
      <c r="S51" s="13"/>
      <c r="T51" s="13"/>
    </row>
    <row r="52" spans="2:43" s="11" customFormat="1" ht="18" customHeight="1" x14ac:dyDescent="0.3">
      <c r="B52" s="59"/>
      <c r="C52" s="35"/>
      <c r="D52" s="36">
        <f>C35</f>
        <v>2.36</v>
      </c>
      <c r="E52" s="88" t="str">
        <f>IF(F35="","",F35)</f>
        <v/>
      </c>
      <c r="F52" s="38" t="str">
        <f>IF(O35="","",O35)</f>
        <v/>
      </c>
      <c r="G52" s="39" t="e">
        <f t="shared" si="6"/>
        <v>#DIV/0!</v>
      </c>
      <c r="H52" s="35"/>
      <c r="I52" s="35"/>
      <c r="J52" s="35"/>
      <c r="K52" s="35"/>
      <c r="L52" s="35"/>
      <c r="M52" s="82">
        <f t="shared" si="7"/>
        <v>9.5</v>
      </c>
      <c r="N52" s="97" t="str">
        <f>IF(F40="","",IF(G55="","",G55))</f>
        <v/>
      </c>
      <c r="O52" s="98"/>
      <c r="P52" s="99"/>
      <c r="Q52" s="12"/>
    </row>
    <row r="53" spans="2:43" s="11" customFormat="1" ht="18" customHeight="1" x14ac:dyDescent="0.3">
      <c r="B53" s="59"/>
      <c r="C53" s="35"/>
      <c r="D53" s="36">
        <f>C34</f>
        <v>4.8</v>
      </c>
      <c r="E53" s="88" t="str">
        <f>IF(F34="","",F34)</f>
        <v/>
      </c>
      <c r="F53" s="38" t="str">
        <f>IF(O34="","",O34)</f>
        <v/>
      </c>
      <c r="G53" s="39" t="e">
        <f t="shared" ref="G53:G59" si="8">AVERAGE(E53:F53)</f>
        <v>#DIV/0!</v>
      </c>
      <c r="H53" s="35"/>
      <c r="I53" s="35"/>
      <c r="J53" s="35"/>
      <c r="K53" s="35"/>
      <c r="L53" s="35"/>
      <c r="M53" s="82">
        <f t="shared" si="7"/>
        <v>6.3</v>
      </c>
      <c r="N53" s="97" t="str">
        <f>IF(F40="","",IF(G54="","",G54))</f>
        <v/>
      </c>
      <c r="O53" s="98"/>
      <c r="P53" s="99"/>
      <c r="Q53" s="12"/>
    </row>
    <row r="54" spans="2:43" s="11" customFormat="1" ht="18" customHeight="1" x14ac:dyDescent="0.3">
      <c r="B54" s="59"/>
      <c r="C54" s="35"/>
      <c r="D54" s="41">
        <f>C32</f>
        <v>6.3</v>
      </c>
      <c r="E54" s="88" t="str">
        <f>IF(F32="","",F32)</f>
        <v/>
      </c>
      <c r="F54" s="38" t="str">
        <f>IF(O32="","",O32)</f>
        <v/>
      </c>
      <c r="G54" s="39" t="e">
        <f t="shared" si="8"/>
        <v>#DIV/0!</v>
      </c>
      <c r="H54" s="35"/>
      <c r="I54" s="35"/>
      <c r="J54" s="35"/>
      <c r="K54" s="35"/>
      <c r="L54" s="35"/>
      <c r="M54" s="82">
        <f t="shared" ref="M54:M60" si="9">C34</f>
        <v>4.8</v>
      </c>
      <c r="N54" s="97" t="str">
        <f>IF(F40="","",IF(G53="","",G53))</f>
        <v/>
      </c>
      <c r="O54" s="98"/>
      <c r="P54" s="99"/>
      <c r="Q54" s="12"/>
    </row>
    <row r="55" spans="2:43" s="11" customFormat="1" ht="18" customHeight="1" x14ac:dyDescent="0.3">
      <c r="B55" s="59"/>
      <c r="C55" s="35"/>
      <c r="D55" s="41">
        <f>C31</f>
        <v>9.5</v>
      </c>
      <c r="E55" s="88" t="str">
        <f>IF(F31="","",F31)</f>
        <v/>
      </c>
      <c r="F55" s="38" t="str">
        <f>IF(O31="","",O31)</f>
        <v/>
      </c>
      <c r="G55" s="39" t="e">
        <f t="shared" si="8"/>
        <v>#DIV/0!</v>
      </c>
      <c r="H55" s="35"/>
      <c r="I55" s="35"/>
      <c r="J55" s="35"/>
      <c r="K55" s="35"/>
      <c r="L55" s="35"/>
      <c r="M55" s="83">
        <f t="shared" si="9"/>
        <v>2.36</v>
      </c>
      <c r="N55" s="97" t="str">
        <f>IF(F40="","",IF(G52="","",G52))</f>
        <v/>
      </c>
      <c r="O55" s="98"/>
      <c r="P55" s="99"/>
      <c r="Q55" s="12"/>
    </row>
    <row r="56" spans="2:43" s="11" customFormat="1" ht="18" customHeight="1" x14ac:dyDescent="0.3">
      <c r="B56" s="59"/>
      <c r="C56" s="35"/>
      <c r="D56" s="41">
        <f>C30</f>
        <v>12.7</v>
      </c>
      <c r="E56" s="88" t="str">
        <f>IF(F30="","",F30)</f>
        <v/>
      </c>
      <c r="F56" s="38" t="str">
        <f>IF(O30="","",O30)</f>
        <v/>
      </c>
      <c r="G56" s="39" t="e">
        <f t="shared" si="8"/>
        <v>#DIV/0!</v>
      </c>
      <c r="H56" s="35"/>
      <c r="I56" s="35"/>
      <c r="J56" s="35"/>
      <c r="K56" s="35"/>
      <c r="L56" s="35"/>
      <c r="M56" s="83">
        <f t="shared" si="9"/>
        <v>1.18</v>
      </c>
      <c r="N56" s="97" t="str">
        <f>IF(F40="","",IF(G51="","",G51))</f>
        <v/>
      </c>
      <c r="O56" s="98"/>
      <c r="P56" s="99"/>
      <c r="Q56" s="12"/>
    </row>
    <row r="57" spans="2:43" s="11" customFormat="1" ht="18" customHeight="1" x14ac:dyDescent="0.3">
      <c r="B57" s="59"/>
      <c r="C57" s="35"/>
      <c r="D57" s="57">
        <v>19.399999999999999</v>
      </c>
      <c r="E57" s="88" t="str">
        <f>IF(F29="","",F29)</f>
        <v/>
      </c>
      <c r="F57" s="38" t="str">
        <f>IF(O29="","",O29)</f>
        <v/>
      </c>
      <c r="G57" s="39" t="e">
        <f t="shared" si="8"/>
        <v>#DIV/0!</v>
      </c>
      <c r="H57" s="35"/>
      <c r="I57" s="35"/>
      <c r="J57" s="35"/>
      <c r="K57" s="35"/>
      <c r="L57" s="35"/>
      <c r="M57" s="84">
        <f t="shared" si="9"/>
        <v>0.6</v>
      </c>
      <c r="N57" s="97" t="str">
        <f>IF(F40="","",IF(G50="","",G50))</f>
        <v/>
      </c>
      <c r="O57" s="98"/>
      <c r="P57" s="99"/>
      <c r="Q57" s="12"/>
    </row>
    <row r="58" spans="2:43" s="11" customFormat="1" ht="18" customHeight="1" x14ac:dyDescent="0.3">
      <c r="B58" s="59"/>
      <c r="D58" s="42">
        <f>C28</f>
        <v>25.4</v>
      </c>
      <c r="E58" s="88" t="str">
        <f>IF(F28="","",F28)</f>
        <v/>
      </c>
      <c r="F58" s="38" t="str">
        <f>IF(O28="","",O28)</f>
        <v/>
      </c>
      <c r="G58" s="39" t="e">
        <f t="shared" si="8"/>
        <v>#DIV/0!</v>
      </c>
      <c r="H58" s="35"/>
      <c r="I58" s="35"/>
      <c r="J58" s="35"/>
      <c r="K58" s="35"/>
      <c r="L58" s="35"/>
      <c r="M58" s="83">
        <f t="shared" si="9"/>
        <v>0.3</v>
      </c>
      <c r="N58" s="97" t="str">
        <f>IF(F40="","",IF(G49="","",G49))</f>
        <v/>
      </c>
      <c r="O58" s="98"/>
      <c r="P58" s="99"/>
      <c r="Q58" s="12"/>
    </row>
    <row r="59" spans="2:43" s="11" customFormat="1" ht="18" customHeight="1" x14ac:dyDescent="0.3">
      <c r="B59" s="59"/>
      <c r="D59" s="92">
        <f>C27</f>
        <v>38.1</v>
      </c>
      <c r="E59" s="89" t="str">
        <f>IF(F27="","",F27)</f>
        <v/>
      </c>
      <c r="F59" s="44" t="str">
        <f>IF(O27="","",O27)</f>
        <v/>
      </c>
      <c r="G59" s="45" t="e">
        <f t="shared" si="8"/>
        <v>#DIV/0!</v>
      </c>
      <c r="H59" s="35"/>
      <c r="I59" s="35"/>
      <c r="J59" s="35"/>
      <c r="K59" s="35"/>
      <c r="L59" s="35"/>
      <c r="M59" s="83">
        <f t="shared" si="9"/>
        <v>0.15</v>
      </c>
      <c r="N59" s="97" t="str">
        <f>IF(F40="","",IF(G48="","",G48))</f>
        <v/>
      </c>
      <c r="O59" s="98"/>
      <c r="P59" s="99"/>
      <c r="Q59" s="12"/>
    </row>
    <row r="60" spans="2:43" s="11" customFormat="1" ht="18" customHeight="1" x14ac:dyDescent="0.3">
      <c r="B60" s="59"/>
      <c r="G60" s="43"/>
      <c r="H60" s="35"/>
      <c r="I60" s="35"/>
      <c r="J60" s="35"/>
      <c r="K60" s="35"/>
      <c r="L60" s="35"/>
      <c r="M60" s="85">
        <f t="shared" si="9"/>
        <v>7.4999999999999997E-2</v>
      </c>
      <c r="N60" s="123" t="str">
        <f>IF(F40="","",IF(G47="","",G47))</f>
        <v/>
      </c>
      <c r="O60" s="124"/>
      <c r="P60" s="125"/>
      <c r="Q60" s="12"/>
    </row>
    <row r="61" spans="2:43" s="11" customFormat="1" ht="18" customHeight="1" x14ac:dyDescent="0.3">
      <c r="B61" s="59"/>
      <c r="C61" s="35"/>
      <c r="D61" s="46"/>
      <c r="E61" s="38"/>
      <c r="F61" s="38"/>
      <c r="G61" s="43"/>
      <c r="H61" s="35"/>
      <c r="I61" s="35"/>
      <c r="J61" s="35"/>
      <c r="K61" s="35"/>
      <c r="L61" s="35"/>
      <c r="M61" s="47"/>
      <c r="N61" s="48"/>
      <c r="O61" s="35"/>
      <c r="P61" s="60"/>
      <c r="Q61" s="12"/>
    </row>
    <row r="62" spans="2:43" s="16" customFormat="1" ht="23.25" customHeight="1" x14ac:dyDescent="0.35">
      <c r="B62" s="126" t="s">
        <v>33</v>
      </c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8"/>
      <c r="AL62" s="17"/>
      <c r="AM62" s="17"/>
      <c r="AN62" s="17"/>
      <c r="AO62" s="17"/>
      <c r="AP62" s="17"/>
      <c r="AQ62" s="17"/>
    </row>
    <row r="63" spans="2:43" s="16" customFormat="1" ht="60.75" customHeight="1" x14ac:dyDescent="0.35">
      <c r="B63" s="129" t="s">
        <v>38</v>
      </c>
      <c r="C63" s="130"/>
      <c r="D63" s="130"/>
      <c r="E63" s="130"/>
      <c r="F63" s="130"/>
      <c r="G63" s="130"/>
      <c r="H63" s="130"/>
      <c r="I63" s="133" t="s">
        <v>34</v>
      </c>
      <c r="J63" s="133"/>
      <c r="K63" s="133"/>
      <c r="L63" s="133"/>
      <c r="M63" s="133"/>
      <c r="N63" s="133"/>
      <c r="O63" s="133"/>
      <c r="P63" s="134"/>
      <c r="AL63" s="17"/>
      <c r="AM63" s="17"/>
      <c r="AN63" s="17"/>
      <c r="AO63" s="17"/>
      <c r="AP63" s="17"/>
      <c r="AQ63" s="17"/>
    </row>
    <row r="64" spans="2:43" s="16" customFormat="1" ht="12.5" x14ac:dyDescent="0.35">
      <c r="B64" s="131"/>
      <c r="C64" s="132"/>
      <c r="D64" s="132"/>
      <c r="E64" s="132"/>
      <c r="F64" s="132"/>
      <c r="G64" s="132"/>
      <c r="H64" s="132"/>
      <c r="I64" s="135"/>
      <c r="J64" s="135"/>
      <c r="K64" s="135"/>
      <c r="L64" s="135"/>
      <c r="M64" s="135"/>
      <c r="N64" s="135"/>
      <c r="O64" s="135"/>
      <c r="P64" s="136"/>
      <c r="AL64" s="17"/>
      <c r="AM64" s="17"/>
      <c r="AN64" s="17"/>
      <c r="AO64" s="17"/>
      <c r="AP64" s="17"/>
      <c r="AQ64" s="17"/>
    </row>
    <row r="65" spans="2:43" s="17" customFormat="1" ht="15" customHeight="1" x14ac:dyDescent="0.35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</row>
    <row r="66" spans="2:43" s="16" customFormat="1" ht="30" customHeight="1" x14ac:dyDescent="0.35">
      <c r="B66" s="164" t="s">
        <v>39</v>
      </c>
      <c r="C66" s="164"/>
      <c r="D66" s="166" t="s">
        <v>50</v>
      </c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AL66" s="17"/>
      <c r="AM66" s="17"/>
      <c r="AN66" s="17"/>
      <c r="AO66" s="17"/>
      <c r="AP66" s="17"/>
      <c r="AQ66" s="17"/>
    </row>
    <row r="67" spans="2:43" s="16" customFormat="1" ht="30" customHeight="1" x14ac:dyDescent="0.35">
      <c r="B67" s="165" t="s">
        <v>40</v>
      </c>
      <c r="C67" s="165"/>
      <c r="D67" s="167" t="s">
        <v>42</v>
      </c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AL67" s="17"/>
      <c r="AM67" s="17"/>
      <c r="AN67" s="17"/>
      <c r="AO67" s="17"/>
      <c r="AP67" s="17"/>
      <c r="AQ67" s="17"/>
    </row>
    <row r="68" spans="2:43" s="16" customFormat="1" ht="30" customHeight="1" x14ac:dyDescent="0.35">
      <c r="B68" s="165" t="s">
        <v>41</v>
      </c>
      <c r="C68" s="165"/>
      <c r="D68" s="167" t="s">
        <v>51</v>
      </c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AL68" s="17"/>
      <c r="AM68" s="17"/>
      <c r="AN68" s="17"/>
      <c r="AO68" s="17"/>
      <c r="AP68" s="17"/>
      <c r="AQ68" s="17"/>
    </row>
    <row r="69" spans="2:43" s="11" customFormat="1" ht="15" customHeight="1" x14ac:dyDescent="0.3">
      <c r="B69" s="35"/>
      <c r="C69" s="35"/>
      <c r="D69" s="46"/>
      <c r="E69" s="38"/>
      <c r="F69" s="38"/>
      <c r="G69" s="43"/>
      <c r="H69" s="35"/>
      <c r="I69" s="35"/>
      <c r="J69" s="35"/>
      <c r="K69" s="35"/>
      <c r="L69" s="35"/>
      <c r="M69" s="47"/>
      <c r="N69" s="48"/>
      <c r="O69" s="35"/>
      <c r="P69" s="35"/>
      <c r="Q69" s="12"/>
    </row>
    <row r="70" spans="2:43" s="11" customFormat="1" ht="18" customHeight="1" x14ac:dyDescent="0.3">
      <c r="B70" s="12"/>
    </row>
    <row r="71" spans="2:43" s="11" customFormat="1" ht="18" customHeight="1" x14ac:dyDescent="0.3">
      <c r="B71" s="12"/>
    </row>
    <row r="72" spans="2:43" s="11" customFormat="1" ht="8.15" customHeight="1" x14ac:dyDescent="0.3"/>
    <row r="73" spans="2:43" s="11" customFormat="1" ht="7" customHeight="1" x14ac:dyDescent="0.3"/>
    <row r="74" spans="2:43" ht="17.5" customHeight="1" x14ac:dyDescent="0.35"/>
    <row r="75" spans="2:43" ht="17.25" customHeight="1" x14ac:dyDescent="0.35">
      <c r="E75" s="15"/>
    </row>
    <row r="76" spans="2:43" ht="17.5" customHeight="1" x14ac:dyDescent="0.35">
      <c r="E76" s="15"/>
    </row>
    <row r="77" spans="2:43" ht="5.15" customHeight="1" x14ac:dyDescent="0.35">
      <c r="C77" s="2"/>
      <c r="D77" s="2"/>
      <c r="E77" s="2"/>
    </row>
    <row r="78" spans="2:43" x14ac:dyDescent="0.35">
      <c r="E78" s="15"/>
    </row>
    <row r="79" spans="2:43" x14ac:dyDescent="0.35">
      <c r="E79" s="15"/>
    </row>
    <row r="80" spans="2:43" x14ac:dyDescent="0.35">
      <c r="E80" s="15"/>
    </row>
    <row r="81" spans="1:5" x14ac:dyDescent="0.35">
      <c r="E81" s="15"/>
    </row>
    <row r="82" spans="1:5" x14ac:dyDescent="0.35">
      <c r="E82" s="15"/>
    </row>
    <row r="83" spans="1:5" x14ac:dyDescent="0.35">
      <c r="E83" s="15"/>
    </row>
    <row r="84" spans="1:5" x14ac:dyDescent="0.35">
      <c r="E84" s="15"/>
    </row>
    <row r="85" spans="1:5" x14ac:dyDescent="0.35">
      <c r="E85" s="15"/>
    </row>
    <row r="86" spans="1:5" x14ac:dyDescent="0.35">
      <c r="E86" s="15"/>
    </row>
    <row r="87" spans="1:5" ht="30" x14ac:dyDescent="0.35">
      <c r="A87" s="1"/>
    </row>
    <row r="88" spans="1:5" ht="30" x14ac:dyDescent="0.35">
      <c r="A88" s="1"/>
    </row>
    <row r="89" spans="1:5" ht="30" x14ac:dyDescent="0.35">
      <c r="A89" s="1"/>
    </row>
    <row r="90" spans="1:5" x14ac:dyDescent="0.35">
      <c r="A90" s="2"/>
    </row>
    <row r="91" spans="1:5" x14ac:dyDescent="0.35">
      <c r="A91" s="2"/>
    </row>
    <row r="93" spans="1:5" ht="15" customHeight="1" x14ac:dyDescent="0.35"/>
    <row r="94" spans="1:5" ht="15" customHeight="1" x14ac:dyDescent="0.35"/>
    <row r="95" spans="1:5" ht="15" customHeight="1" x14ac:dyDescent="0.35"/>
  </sheetData>
  <sheetProtection selectLockedCells="1"/>
  <protectedRanges>
    <protectedRange sqref="D7:F8 N7:P8" name="Intervalo1_2"/>
    <protectedRange sqref="E9:P9" name="Intervalo1_2_1"/>
  </protectedRanges>
  <mergeCells count="96">
    <mergeCell ref="B9:D9"/>
    <mergeCell ref="B66:C66"/>
    <mergeCell ref="B67:C67"/>
    <mergeCell ref="B68:C68"/>
    <mergeCell ref="D66:P66"/>
    <mergeCell ref="D67:P67"/>
    <mergeCell ref="D68:P68"/>
    <mergeCell ref="B11:P11"/>
    <mergeCell ref="B12:P12"/>
    <mergeCell ref="N54:P54"/>
    <mergeCell ref="N48:P48"/>
    <mergeCell ref="N49:P49"/>
    <mergeCell ref="M44:P47"/>
    <mergeCell ref="D45:G45"/>
    <mergeCell ref="B14:P14"/>
    <mergeCell ref="F28:G28"/>
    <mergeCell ref="B3:H3"/>
    <mergeCell ref="B4:H4"/>
    <mergeCell ref="B5:H5"/>
    <mergeCell ref="B1:P1"/>
    <mergeCell ref="I3:P3"/>
    <mergeCell ref="I4:P4"/>
    <mergeCell ref="I5:P5"/>
    <mergeCell ref="B2:P2"/>
    <mergeCell ref="F29:G29"/>
    <mergeCell ref="F27:G27"/>
    <mergeCell ref="O27:P27"/>
    <mergeCell ref="O28:P28"/>
    <mergeCell ref="O29:P29"/>
    <mergeCell ref="B42:C42"/>
    <mergeCell ref="D42:G42"/>
    <mergeCell ref="K42:L42"/>
    <mergeCell ref="M42:P42"/>
    <mergeCell ref="F36:G36"/>
    <mergeCell ref="O36:P36"/>
    <mergeCell ref="F37:G37"/>
    <mergeCell ref="F39:G39"/>
    <mergeCell ref="O39:P39"/>
    <mergeCell ref="O37:P37"/>
    <mergeCell ref="F38:G38"/>
    <mergeCell ref="F41:G41"/>
    <mergeCell ref="K41:L41"/>
    <mergeCell ref="B6:P6"/>
    <mergeCell ref="O41:P41"/>
    <mergeCell ref="F30:G30"/>
    <mergeCell ref="O30:P30"/>
    <mergeCell ref="F31:G31"/>
    <mergeCell ref="O31:P31"/>
    <mergeCell ref="F32:G32"/>
    <mergeCell ref="O32:P32"/>
    <mergeCell ref="F33:G33"/>
    <mergeCell ref="O35:P35"/>
    <mergeCell ref="F40:G40"/>
    <mergeCell ref="O33:P33"/>
    <mergeCell ref="F34:G34"/>
    <mergeCell ref="O34:P34"/>
    <mergeCell ref="F35:G35"/>
    <mergeCell ref="O38:P38"/>
    <mergeCell ref="I63:P64"/>
    <mergeCell ref="C7:F7"/>
    <mergeCell ref="G7:H7"/>
    <mergeCell ref="I7:P7"/>
    <mergeCell ref="C8:F8"/>
    <mergeCell ref="G8:H8"/>
    <mergeCell ref="I8:P8"/>
    <mergeCell ref="E9:P9"/>
    <mergeCell ref="B10:D10"/>
    <mergeCell ref="B23:F23"/>
    <mergeCell ref="K23:O23"/>
    <mergeCell ref="B25:C25"/>
    <mergeCell ref="D25:E25"/>
    <mergeCell ref="F25:G26"/>
    <mergeCell ref="N56:P56"/>
    <mergeCell ref="N57:P57"/>
    <mergeCell ref="B65:P65"/>
    <mergeCell ref="E10:P10"/>
    <mergeCell ref="K25:L25"/>
    <mergeCell ref="M25:N25"/>
    <mergeCell ref="O25:P26"/>
    <mergeCell ref="B22:G22"/>
    <mergeCell ref="K22:P22"/>
    <mergeCell ref="O40:P40"/>
    <mergeCell ref="B41:C41"/>
    <mergeCell ref="B13:P13"/>
    <mergeCell ref="B15:P15"/>
    <mergeCell ref="B16:P16"/>
    <mergeCell ref="N60:P60"/>
    <mergeCell ref="B62:P62"/>
    <mergeCell ref="B63:H64"/>
    <mergeCell ref="N55:P55"/>
    <mergeCell ref="N58:P58"/>
    <mergeCell ref="N59:P59"/>
    <mergeCell ref="N50:P50"/>
    <mergeCell ref="N51:P51"/>
    <mergeCell ref="N52:P52"/>
    <mergeCell ref="N53:P53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48" fitToWidth="0" orientation="portrait" r:id="rId1"/>
  <rowBreaks count="1" manualBreakCount="1">
    <brk id="6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FR-IMOB-53_Rev00</vt:lpstr>
      <vt:lpstr>'FR-IMOB-53_Rev00'!Area_de_impressao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Rodrigues Pereira</dc:creator>
  <cp:keywords/>
  <dc:description/>
  <cp:lastModifiedBy>Samara Rodrigues Dos Santos</cp:lastModifiedBy>
  <cp:revision/>
  <dcterms:created xsi:type="dcterms:W3CDTF">2024-06-10T12:41:56Z</dcterms:created>
  <dcterms:modified xsi:type="dcterms:W3CDTF">2026-02-16T16:14:01Z</dcterms:modified>
  <cp:category/>
  <cp:contentStatus/>
</cp:coreProperties>
</file>