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F700831D-BF42-444A-84C3-DBFB47AFE2D0}" xr6:coauthVersionLast="47" xr6:coauthVersionMax="47" xr10:uidLastSave="{00000000-0000-0000-0000-000000000000}"/>
  <bookViews>
    <workbookView xWindow="-28910" yWindow="-1730" windowWidth="29020" windowHeight="15820" xr2:uid="{A3D7CD27-5B83-4085-932C-0006E2F1CCDD}"/>
  </bookViews>
  <sheets>
    <sheet name="FR-IMOB-47_Rev00" sheetId="5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 localSheetId="0">#REF!</definedName>
    <definedName name="_bri1">#REF!</definedName>
    <definedName name="_bri2" localSheetId="0">#REF!</definedName>
    <definedName name="_bri2">#REF!</definedName>
    <definedName name="_drb1" localSheetId="0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 localSheetId="0">#REF!</definedName>
    <definedName name="amostra">#REF!</definedName>
    <definedName name="_xlnm.Print_Area" localSheetId="0">'FR-IMOB-47_Rev00'!$A$1:$Q$56</definedName>
    <definedName name="arei" localSheetId="0">#REF!</definedName>
    <definedName name="arei">#REF!</definedName>
    <definedName name="BI">[3]Teor!$A$3:$G$7</definedName>
    <definedName name="bica" localSheetId="0">#REF!</definedName>
    <definedName name="bica">#REF!</definedName>
    <definedName name="btt">#REF!</definedName>
    <definedName name="button_area_1">#REF!</definedName>
    <definedName name="CAN">#N/A</definedName>
    <definedName name="cbr" localSheetId="0">#REF!</definedName>
    <definedName name="cbr">#REF!</definedName>
    <definedName name="celltips_area" localSheetId="0">#REF!</definedName>
    <definedName name="celltips_area">#REF!</definedName>
    <definedName name="cinco" localSheetId="0">#REF!</definedName>
    <definedName name="cinco">#REF!</definedName>
    <definedName name="Cod">INDIRECT('[4]FR-FP-01 Solicitação de Placas'!$C$11)</definedName>
    <definedName name="Cod_1">INDIRECT('[4]FR-FP-01 Solicitação de Placas'!$G$11)</definedName>
    <definedName name="Cod_10">INDIRECT('[4]FR-FP-01 Solicitação de Placas'!$G$47)</definedName>
    <definedName name="Cod_11">INDIRECT('[4]FR-FP-01 Solicitação de Placas'!$K$47)</definedName>
    <definedName name="Cod_12">INDIRECT('[4]FR-FP-01 Solicitação de Placas'!$C$59)</definedName>
    <definedName name="Cod_13">INDIRECT('[4]FR-FP-01 Solicitação de Placas'!$G$59)</definedName>
    <definedName name="Cod_14">INDIRECT('[4]FR-FP-01 Solicitação de Placas'!$K$59)</definedName>
    <definedName name="Cod_15">INDIRECT('[4]FR-FP-01 Solicitação de Placas'!$C$71)</definedName>
    <definedName name="Cod_16">INDIRECT('[4]FR-FP-01 Solicitação de Placas'!$G$71)</definedName>
    <definedName name="Cod_17">INDIRECT('[4]FR-FP-01 Solicitação de Placas'!$K$71)</definedName>
    <definedName name="Cod_18">INDIRECT('[4]FR-FP-01 Solicitação de Placas'!$C$83)</definedName>
    <definedName name="Cod_19">INDIRECT('[4]FR-FP-01 Solicitação de Placas'!$G$83)</definedName>
    <definedName name="Cod_2">INDIRECT('[4]FR-FP-01 Solicitação de Placas'!$K$11)</definedName>
    <definedName name="Cod_20">INDIRECT('[4]FR-FP-01 Solicitação de Placas'!$K$83)</definedName>
    <definedName name="Cod_3">INDIRECT('[4]FR-FP-01 Solicitação de Placas'!$C$23)</definedName>
    <definedName name="Cod_4">INDIRECT('[4]FR-FP-01 Solicitação de Placas'!$G$23)</definedName>
    <definedName name="Cod_5">INDIRECT('[4]FR-FP-01 Solicitação de Placas'!$K$23)</definedName>
    <definedName name="Cod_6">INDIRECT('[4]FR-FP-01 Solicitação de Placas'!$C$35)</definedName>
    <definedName name="Cod_7">INDIRECT('[4]FR-FP-01 Solicitação de Placas'!$G$35)</definedName>
    <definedName name="Cod_8">INDIRECT('[4]FR-FP-01 Solicitação de Placas'!$K$35)</definedName>
    <definedName name="Cod_9">INDIRECT('[4]FR-FP-01 Solicitação de Placas'!$C$47)</definedName>
    <definedName name="CODIGÓ">#REF!</definedName>
    <definedName name="CÓDIGO">#N/A</definedName>
    <definedName name="comple">[5]Macro1!$B$1:$B$65536</definedName>
    <definedName name="correção" localSheetId="0">#REF!</definedName>
    <definedName name="correção">#REF!</definedName>
    <definedName name="d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">#REF!</definedName>
    <definedName name="fill">#REF!</definedName>
    <definedName name="gac">#REF!</definedName>
    <definedName name="gag">#REF!</definedName>
    <definedName name="GAUS">[6]TABLA!$N$10:$P$409</definedName>
    <definedName name="_xlnm.Recorder">[7]Macro1!$B$1:$B$65536</definedName>
    <definedName name="h" localSheetId="0">#REF!</definedName>
    <definedName name="h">#REF!</definedName>
    <definedName name="IP" localSheetId="0">[8]resumo!#REF!</definedName>
    <definedName name="IP">[8]resumo!#REF!</definedName>
    <definedName name="kp" localSheetId="0">#REF!</definedName>
    <definedName name="kp">#REF!</definedName>
    <definedName name="lab">#REF!</definedName>
    <definedName name="LL" localSheetId="0">[8]resumo!#REF!</definedName>
    <definedName name="LL">[8]resumo!#REF!</definedName>
    <definedName name="marshall" localSheetId="0">#REF!</definedName>
    <definedName name="marshall">#REF!</definedName>
    <definedName name="nove">#REF!</definedName>
    <definedName name="oito">#REF!</definedName>
    <definedName name="onze">#REF!</definedName>
    <definedName name="outr">#REF!</definedName>
    <definedName name="P" localSheetId="0">[8]resumo!#REF!</definedName>
    <definedName name="P">[8]resumo!#REF!</definedName>
    <definedName name="paraf" localSheetId="0">#REF!</definedName>
    <definedName name="paraf">#REF!</definedName>
    <definedName name="parcial">#REF!</definedName>
    <definedName name="pedr">#REF!</definedName>
    <definedName name="perc">#REF!</definedName>
    <definedName name="pesquisa">[9]Teor!$B$11:$H$15</definedName>
    <definedName name="pesquisa1">'[2]Página 16'!$A$3:$G$7</definedName>
    <definedName name="pope" localSheetId="0">#REF!</definedName>
    <definedName name="pope">#REF!</definedName>
    <definedName name="PRE">#N/A</definedName>
    <definedName name="Print_Area_MI">[10]ESTUDO.TRAÇO!$F$18:$U$55</definedName>
    <definedName name="ptp" localSheetId="0">#REF!</definedName>
    <definedName name="ptp">#REF!</definedName>
    <definedName name="ptt">#REF!</definedName>
    <definedName name="quatro">#REF!</definedName>
    <definedName name="RBV">[9]Teor!$D$11:$D$15</definedName>
    <definedName name="rodinei">[11]DOSAGEM!$D$11</definedName>
    <definedName name="s" localSheetId="0">#REF!</definedName>
    <definedName name="s">#REF!</definedName>
    <definedName name="seis">#REF!</definedName>
    <definedName name="sete">#REF!</definedName>
    <definedName name="siloquente">#REF!</definedName>
    <definedName name="sim">#REF!</definedName>
    <definedName name="Teor">[9]Teor!$B$11:$B$15</definedName>
    <definedName name="Teor1">'[2]Página 16'!$A$3:$A$7</definedName>
    <definedName name="total" localSheetId="0">#REF!</definedName>
    <definedName name="total">#REF!</definedName>
    <definedName name="tres" localSheetId="0">#REF!</definedName>
    <definedName name="tres">#REF!</definedName>
    <definedName name="treze" localSheetId="0">#REF!</definedName>
    <definedName name="treze">#REF!</definedName>
    <definedName name="ttt">#REF!</definedName>
    <definedName name="um">#REF!</definedName>
    <definedName name="Vazio1">'[2]Página 16'!$B$3:$B$7</definedName>
    <definedName name="Vazios">[9]Teor!$C$11:$C$15</definedName>
    <definedName name="visc" localSheetId="0">#REF!</definedName>
    <definedName name="vis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1" i="5" l="1"/>
  <c r="I21" i="5"/>
  <c r="L28" i="5"/>
  <c r="D29" i="5"/>
  <c r="H29" i="5"/>
  <c r="F21" i="5" l="1"/>
  <c r="G21" i="5" s="1"/>
  <c r="L21" i="5" s="1"/>
  <c r="J21" i="5"/>
  <c r="K21" i="5" s="1"/>
  <c r="E22" i="5"/>
  <c r="N24" i="5"/>
  <c r="N26" i="5"/>
  <c r="N25" i="5"/>
  <c r="N22" i="5"/>
  <c r="N23" i="5"/>
  <c r="N27" i="5"/>
  <c r="N21" i="5"/>
  <c r="M26" i="5"/>
  <c r="M21" i="5"/>
  <c r="M27" i="5"/>
  <c r="M25" i="5"/>
  <c r="M24" i="5"/>
  <c r="M23" i="5"/>
  <c r="M22" i="5"/>
  <c r="I22" i="5"/>
  <c r="E23" i="5" l="1"/>
  <c r="F22" i="5"/>
  <c r="G22" i="5" s="1"/>
  <c r="L22" i="5" s="1"/>
  <c r="J22" i="5"/>
  <c r="K22" i="5" s="1"/>
  <c r="I23" i="5"/>
  <c r="E24" i="5" l="1"/>
  <c r="F23" i="5"/>
  <c r="G23" i="5" s="1"/>
  <c r="L23" i="5" s="1"/>
  <c r="J23" i="5"/>
  <c r="K23" i="5" s="1"/>
  <c r="I24" i="5"/>
  <c r="F24" i="5" l="1"/>
  <c r="G24" i="5" s="1"/>
  <c r="L24" i="5" s="1"/>
  <c r="E25" i="5"/>
  <c r="J24" i="5"/>
  <c r="K24" i="5" s="1"/>
  <c r="I25" i="5"/>
  <c r="F25" i="5" l="1"/>
  <c r="G25" i="5" s="1"/>
  <c r="L25" i="5" s="1"/>
  <c r="E26" i="5"/>
  <c r="J25" i="5"/>
  <c r="K25" i="5" s="1"/>
  <c r="I26" i="5"/>
  <c r="F26" i="5" l="1"/>
  <c r="G26" i="5" s="1"/>
  <c r="L26" i="5" s="1"/>
  <c r="E27" i="5"/>
  <c r="J26" i="5"/>
  <c r="K26" i="5" s="1"/>
  <c r="I27" i="5"/>
  <c r="E28" i="5" l="1"/>
  <c r="F28" i="5" s="1"/>
  <c r="F27" i="5"/>
  <c r="G27" i="5" s="1"/>
  <c r="L27" i="5" s="1"/>
  <c r="J27" i="5"/>
  <c r="K27" i="5" s="1"/>
  <c r="I28" i="5"/>
  <c r="J28" i="5" s="1"/>
</calcChain>
</file>

<file path=xl/sharedStrings.xml><?xml version="1.0" encoding="utf-8"?>
<sst xmlns="http://schemas.openxmlformats.org/spreadsheetml/2006/main" count="88" uniqueCount="52">
  <si>
    <t>Nº O.S:</t>
  </si>
  <si>
    <t>Data do ensaio:</t>
  </si>
  <si>
    <t>Material:</t>
  </si>
  <si>
    <t>Registro da amostra:</t>
  </si>
  <si>
    <t>Procedencia material:</t>
  </si>
  <si>
    <t>Informações complementar:</t>
  </si>
  <si>
    <t>Documento de referência</t>
  </si>
  <si>
    <t>Procedimentos do ensaio - Calculos e Resultados</t>
  </si>
  <si>
    <t>Peneiras</t>
  </si>
  <si>
    <t>massa</t>
  </si>
  <si>
    <t>%</t>
  </si>
  <si>
    <t>% passa</t>
  </si>
  <si>
    <t>retida</t>
  </si>
  <si>
    <t>passa</t>
  </si>
  <si>
    <t>acumul.</t>
  </si>
  <si>
    <t>nº</t>
  </si>
  <si>
    <t>mm</t>
  </si>
  <si>
    <t>(g)</t>
  </si>
  <si>
    <t>Fundo (g)</t>
  </si>
  <si>
    <t>-</t>
  </si>
  <si>
    <t>Massa total (g)</t>
  </si>
  <si>
    <t>Gráfico</t>
  </si>
  <si>
    <t>Massa inicial (g)</t>
  </si>
  <si>
    <t>3/8</t>
  </si>
  <si>
    <t>Nº4</t>
  </si>
  <si>
    <t>TOLERANCIA FAIXA DE TRABALHO MISTURA</t>
  </si>
  <si>
    <t>Amostra 01</t>
  </si>
  <si>
    <t>Amostra 02</t>
  </si>
  <si>
    <t>Projeto</t>
  </si>
  <si>
    <t>FAIXA "C"</t>
  </si>
  <si>
    <t>1</t>
  </si>
  <si>
    <t>3/4</t>
  </si>
  <si>
    <t>1/2</t>
  </si>
  <si>
    <t>Nº10</t>
  </si>
  <si>
    <t>Nº200</t>
  </si>
  <si>
    <t xml:space="preserve">DNIT 153 ES - Paviementação Asfáltica - Pré-misturado a frio com emulsão catiônica convencional </t>
  </si>
  <si>
    <t>Assinatura do responsável executor</t>
  </si>
  <si>
    <t>Assinatura do resposável calculista</t>
  </si>
  <si>
    <t>___________________________________________________</t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</si>
  <si>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Pavimentação Asfáltica-Pré Misturado a Frio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</si>
  <si>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</si>
  <si>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 xml:space="preserve">: FR-IMOB-47 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</si>
  <si>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</si>
  <si>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</si>
  <si>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</si>
  <si>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t xml:space="preserve">Elaborado por: </t>
  </si>
  <si>
    <t xml:space="preserve">Revisado por: </t>
  </si>
  <si>
    <t>Aprovado por:</t>
  </si>
  <si>
    <t>Samara Rodrigues</t>
  </si>
  <si>
    <t xml:space="preserve">Thyago Biasin </t>
  </si>
  <si>
    <t>Rheno Tormin</t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</si>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</sst>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0"/>
      <name val="Arial"/>
    </font>
    <font>
      <b/>
      <sz val="10"/>
      <color indexed="8"/>
      <name val="Tahoma"/>
      <family val="2"/>
    </font>
    <font>
      <sz val="10"/>
      <name val="Tahoma"/>
      <family val="2"/>
    </font>
    <font>
      <sz val="10"/>
      <color rgb="FF0000FF"/>
      <name val="Tahoma"/>
      <family val="2"/>
    </font>
    <font>
      <b/>
      <sz val="10"/>
      <name val="Tahoma"/>
      <family val="2"/>
    </font>
    <font>
      <sz val="10"/>
      <name val="Arial"/>
      <family val="2"/>
    </font>
    <font>
      <sz val="10"/>
      <color theme="1"/>
      <name val="Tahoma"/>
      <family val="2"/>
    </font>
    <font>
      <b/>
      <i/>
      <sz val="10"/>
      <color theme="1"/>
      <name val="Tahoma"/>
      <family val="2"/>
    </font>
    <font>
      <sz val="8"/>
      <name val="Arial"/>
      <family val="2"/>
    </font>
    <font>
      <sz val="10"/>
      <color rgb="FFFF0000"/>
      <name val="Tahoma"/>
      <family val="2"/>
    </font>
    <font>
      <b/>
      <sz val="16"/>
      <color theme="0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  <font>
      <b/>
      <sz val="10"/>
      <color theme="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</cellStyleXfs>
  <cellXfs count="80">
    <xf numFmtId="0" fontId="0" fillId="0" borderId="0" xfId="0"/>
    <xf numFmtId="2" fontId="3" fillId="2" borderId="11" xfId="4" applyNumberFormat="1" applyFont="1" applyFill="1" applyBorder="1" applyAlignment="1" applyProtection="1">
      <alignment horizontal="center" vertical="center"/>
      <protection locked="0"/>
    </xf>
    <xf numFmtId="2" fontId="2" fillId="0" borderId="11" xfId="4" applyNumberFormat="1" applyFont="1" applyBorder="1" applyAlignment="1" applyProtection="1">
      <alignment horizontal="center" vertical="center"/>
      <protection locked="0"/>
    </xf>
    <xf numFmtId="49" fontId="4" fillId="0" borderId="11" xfId="4" applyNumberFormat="1" applyFont="1" applyBorder="1" applyAlignment="1" applyProtection="1">
      <alignment horizontal="center" vertical="center"/>
      <protection locked="0" hidden="1"/>
    </xf>
    <xf numFmtId="164" fontId="4" fillId="0" borderId="11" xfId="4" applyNumberFormat="1" applyFont="1" applyBorder="1" applyAlignment="1" applyProtection="1">
      <alignment horizontal="center" vertical="center"/>
      <protection locked="0" hidden="1"/>
    </xf>
    <xf numFmtId="2" fontId="2" fillId="0" borderId="11" xfId="4" applyNumberFormat="1" applyFont="1" applyBorder="1" applyAlignment="1" applyProtection="1">
      <alignment horizontal="center" vertical="center"/>
      <protection locked="0" hidden="1"/>
    </xf>
    <xf numFmtId="2" fontId="2" fillId="0" borderId="11" xfId="1" applyNumberFormat="1" applyFont="1" applyBorder="1" applyAlignment="1" applyProtection="1">
      <alignment horizontal="center" vertical="center"/>
      <protection locked="0" hidden="1"/>
    </xf>
    <xf numFmtId="2" fontId="2" fillId="0" borderId="11" xfId="5" applyNumberFormat="1" applyFont="1" applyBorder="1" applyAlignment="1" applyProtection="1">
      <alignment horizontal="center" vertical="center"/>
      <protection locked="0" hidden="1"/>
    </xf>
    <xf numFmtId="2" fontId="9" fillId="0" borderId="11" xfId="5" applyNumberFormat="1" applyFont="1" applyBorder="1" applyAlignment="1" applyProtection="1">
      <alignment horizontal="center" vertical="center"/>
      <protection locked="0" hidden="1"/>
    </xf>
    <xf numFmtId="2" fontId="4" fillId="0" borderId="11" xfId="4" applyNumberFormat="1" applyFont="1" applyBorder="1" applyAlignment="1" applyProtection="1">
      <alignment horizontal="center" vertical="center"/>
      <protection locked="0" hidden="1"/>
    </xf>
    <xf numFmtId="0" fontId="4" fillId="0" borderId="11" xfId="4" applyFont="1" applyBorder="1" applyAlignment="1" applyProtection="1">
      <alignment horizontal="center" vertical="center"/>
      <protection locked="0" hidden="1"/>
    </xf>
    <xf numFmtId="0" fontId="4" fillId="0" borderId="0" xfId="4" applyFont="1" applyAlignment="1" applyProtection="1">
      <alignment vertical="center"/>
      <protection locked="0" hidden="1"/>
    </xf>
    <xf numFmtId="0" fontId="2" fillId="0" borderId="0" xfId="4" applyFont="1" applyAlignment="1" applyProtection="1">
      <alignment horizontal="left" vertical="center"/>
      <protection locked="0"/>
    </xf>
    <xf numFmtId="164" fontId="2" fillId="0" borderId="0" xfId="4" applyNumberFormat="1" applyFont="1" applyAlignment="1" applyProtection="1">
      <alignment vertical="center"/>
      <protection locked="0"/>
    </xf>
    <xf numFmtId="164" fontId="2" fillId="0" borderId="0" xfId="4" applyNumberFormat="1" applyFont="1" applyAlignment="1" applyProtection="1">
      <alignment horizontal="left" vertical="center"/>
      <protection locked="0"/>
    </xf>
    <xf numFmtId="2" fontId="2" fillId="0" borderId="0" xfId="4" applyNumberFormat="1" applyFont="1" applyAlignment="1" applyProtection="1">
      <alignment horizontal="left" vertical="center"/>
      <protection locked="0"/>
    </xf>
    <xf numFmtId="0" fontId="2" fillId="0" borderId="0" xfId="4" applyFont="1" applyAlignment="1" applyProtection="1">
      <alignment vertical="center"/>
      <protection locked="0" hidden="1"/>
    </xf>
    <xf numFmtId="164" fontId="2" fillId="0" borderId="0" xfId="4" applyNumberFormat="1" applyFont="1" applyAlignment="1" applyProtection="1">
      <alignment vertical="center"/>
      <protection locked="0" hidden="1"/>
    </xf>
    <xf numFmtId="0" fontId="2" fillId="0" borderId="7" xfId="4" applyFont="1" applyBorder="1" applyAlignment="1" applyProtection="1">
      <alignment horizontal="left" vertical="center"/>
      <protection locked="0" hidden="1"/>
    </xf>
    <xf numFmtId="0" fontId="2" fillId="0" borderId="0" xfId="4" applyFont="1" applyAlignment="1" applyProtection="1">
      <alignment horizontal="left" vertical="center"/>
      <protection locked="0" hidden="1"/>
    </xf>
    <xf numFmtId="0" fontId="2" fillId="0" borderId="12" xfId="4" applyFont="1" applyBorder="1" applyAlignment="1" applyProtection="1">
      <alignment horizontal="left" vertical="center"/>
      <protection locked="0" hidden="1"/>
    </xf>
    <xf numFmtId="0" fontId="4" fillId="0" borderId="8" xfId="4" applyFont="1" applyBorder="1" applyAlignment="1" applyProtection="1">
      <alignment vertical="center"/>
      <protection locked="0" hidden="1"/>
    </xf>
    <xf numFmtId="0" fontId="4" fillId="0" borderId="9" xfId="4" applyFont="1" applyBorder="1" applyAlignment="1" applyProtection="1">
      <alignment vertical="center"/>
      <protection locked="0" hidden="1"/>
    </xf>
    <xf numFmtId="0" fontId="4" fillId="0" borderId="10" xfId="4" applyFont="1" applyBorder="1" applyAlignment="1" applyProtection="1">
      <alignment vertical="center"/>
      <protection locked="0" hidden="1"/>
    </xf>
    <xf numFmtId="0" fontId="4" fillId="0" borderId="14" xfId="4" applyFont="1" applyBorder="1" applyAlignment="1" applyProtection="1">
      <alignment horizontal="center" vertical="center"/>
      <protection locked="0" hidden="1"/>
    </xf>
    <xf numFmtId="0" fontId="2" fillId="0" borderId="0" xfId="3" applyFont="1" applyAlignment="1" applyProtection="1">
      <alignment vertical="center"/>
      <protection locked="0" hidden="1"/>
    </xf>
    <xf numFmtId="0" fontId="2" fillId="0" borderId="0" xfId="3" applyFont="1" applyAlignment="1" applyProtection="1">
      <alignment horizontal="center" vertical="center"/>
      <protection locked="0" hidden="1"/>
    </xf>
    <xf numFmtId="0" fontId="2" fillId="0" borderId="0" xfId="4" applyFont="1" applyAlignment="1" applyProtection="1">
      <alignment horizontal="left"/>
      <protection locked="0" hidden="1"/>
    </xf>
    <xf numFmtId="0" fontId="4" fillId="0" borderId="15" xfId="2" applyFont="1" applyBorder="1" applyAlignment="1" applyProtection="1">
      <alignment horizontal="center" vertical="center"/>
      <protection locked="0"/>
    </xf>
    <xf numFmtId="0" fontId="10" fillId="3" borderId="0" xfId="0" applyFont="1" applyFill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2" fillId="0" borderId="0" xfId="4" applyFont="1" applyAlignment="1" applyProtection="1">
      <alignment horizontal="center" vertical="top"/>
      <protection locked="0" hidden="1"/>
    </xf>
    <xf numFmtId="0" fontId="6" fillId="0" borderId="0" xfId="2" applyFont="1" applyAlignment="1" applyProtection="1">
      <alignment horizontal="left" vertical="center"/>
      <protection locked="0"/>
    </xf>
    <xf numFmtId="0" fontId="7" fillId="0" borderId="0" xfId="2" applyFont="1" applyAlignment="1" applyProtection="1">
      <alignment horizontal="right" vertical="center"/>
      <protection locked="0"/>
    </xf>
    <xf numFmtId="0" fontId="4" fillId="0" borderId="8" xfId="4" applyFont="1" applyBorder="1" applyAlignment="1" applyProtection="1">
      <alignment horizontal="center" vertical="center"/>
      <protection locked="0" hidden="1"/>
    </xf>
    <xf numFmtId="0" fontId="4" fillId="0" borderId="10" xfId="4" applyFont="1" applyBorder="1" applyAlignment="1" applyProtection="1">
      <alignment horizontal="center" vertical="center"/>
      <protection locked="0" hidden="1"/>
    </xf>
    <xf numFmtId="49" fontId="4" fillId="0" borderId="4" xfId="4" applyNumberFormat="1" applyFont="1" applyBorder="1" applyAlignment="1" applyProtection="1">
      <alignment horizontal="center" vertical="center"/>
      <protection locked="0" hidden="1"/>
    </xf>
    <xf numFmtId="49" fontId="4" fillId="0" borderId="6" xfId="4" applyNumberFormat="1" applyFont="1" applyBorder="1" applyAlignment="1" applyProtection="1">
      <alignment horizontal="center" vertical="center"/>
      <protection locked="0" hidden="1"/>
    </xf>
    <xf numFmtId="0" fontId="17" fillId="4" borderId="4" xfId="2" applyFont="1" applyFill="1" applyBorder="1" applyAlignment="1" applyProtection="1">
      <alignment horizontal="center" vertical="center"/>
      <protection locked="0"/>
    </xf>
    <xf numFmtId="0" fontId="17" fillId="4" borderId="5" xfId="2" applyFont="1" applyFill="1" applyBorder="1" applyAlignment="1" applyProtection="1">
      <alignment horizontal="center" vertical="center"/>
      <protection locked="0"/>
    </xf>
    <xf numFmtId="0" fontId="17" fillId="4" borderId="6" xfId="2" applyFont="1" applyFill="1" applyBorder="1" applyAlignment="1" applyProtection="1">
      <alignment horizontal="center" vertical="center"/>
      <protection locked="0"/>
    </xf>
    <xf numFmtId="0" fontId="2" fillId="0" borderId="0" xfId="4" applyFont="1" applyAlignment="1" applyProtection="1">
      <alignment horizontal="center"/>
      <protection locked="0" hidden="1"/>
    </xf>
    <xf numFmtId="0" fontId="2" fillId="0" borderId="0" xfId="4" applyFont="1" applyAlignment="1" applyProtection="1">
      <alignment horizontal="center" vertical="center"/>
      <protection locked="0" hidden="1"/>
    </xf>
    <xf numFmtId="0" fontId="2" fillId="0" borderId="4" xfId="2" applyFont="1" applyBorder="1" applyAlignment="1">
      <alignment horizontal="left" vertical="center" wrapText="1"/>
    </xf>
    <xf numFmtId="0" fontId="2" fillId="0" borderId="5" xfId="2" applyFont="1" applyBorder="1" applyAlignment="1">
      <alignment horizontal="left" vertical="center" wrapText="1"/>
    </xf>
    <xf numFmtId="0" fontId="2" fillId="0" borderId="6" xfId="2" applyFont="1" applyBorder="1" applyAlignment="1">
      <alignment horizontal="left" vertical="center" wrapText="1"/>
    </xf>
    <xf numFmtId="0" fontId="17" fillId="4" borderId="18" xfId="2" applyFont="1" applyFill="1" applyBorder="1" applyAlignment="1" applyProtection="1">
      <alignment horizontal="center" vertical="center"/>
      <protection locked="0"/>
    </xf>
    <xf numFmtId="0" fontId="17" fillId="4" borderId="11" xfId="2" applyFont="1" applyFill="1" applyBorder="1" applyAlignment="1" applyProtection="1">
      <alignment horizontal="center" vertical="center"/>
      <protection locked="0"/>
    </xf>
    <xf numFmtId="0" fontId="4" fillId="0" borderId="15" xfId="4" applyFont="1" applyBorder="1" applyAlignment="1" applyProtection="1">
      <alignment horizontal="center" vertical="center"/>
      <protection locked="0" hidden="1"/>
    </xf>
    <xf numFmtId="0" fontId="4" fillId="0" borderId="14" xfId="4" applyFont="1" applyBorder="1" applyAlignment="1" applyProtection="1">
      <alignment horizontal="center" vertical="center"/>
      <protection locked="0" hidden="1"/>
    </xf>
    <xf numFmtId="0" fontId="4" fillId="0" borderId="15" xfId="2" applyFont="1" applyBorder="1" applyAlignment="1" applyProtection="1">
      <alignment horizontal="center" vertical="center"/>
      <protection locked="0"/>
    </xf>
    <xf numFmtId="0" fontId="4" fillId="2" borderId="14" xfId="3" applyFont="1" applyFill="1" applyBorder="1" applyAlignment="1" applyProtection="1">
      <alignment horizontal="center" vertical="center"/>
      <protection locked="0" hidden="1"/>
    </xf>
    <xf numFmtId="0" fontId="4" fillId="0" borderId="14" xfId="3" applyFont="1" applyBorder="1" applyAlignment="1" applyProtection="1">
      <alignment horizontal="center" vertical="center" wrapText="1"/>
      <protection locked="0" hidden="1"/>
    </xf>
    <xf numFmtId="0" fontId="4" fillId="3" borderId="16" xfId="4" applyFont="1" applyFill="1" applyBorder="1" applyAlignment="1" applyProtection="1">
      <alignment horizontal="left" vertical="center"/>
      <protection locked="0"/>
    </xf>
    <xf numFmtId="0" fontId="4" fillId="3" borderId="17" xfId="4" applyFont="1" applyFill="1" applyBorder="1" applyAlignment="1" applyProtection="1">
      <alignment horizontal="left" vertical="center"/>
      <protection locked="0"/>
    </xf>
    <xf numFmtId="0" fontId="1" fillId="3" borderId="4" xfId="4" applyFont="1" applyFill="1" applyBorder="1" applyAlignment="1" applyProtection="1">
      <alignment horizontal="left" vertical="center"/>
      <protection locked="0"/>
    </xf>
    <xf numFmtId="0" fontId="1" fillId="3" borderId="5" xfId="4" applyFont="1" applyFill="1" applyBorder="1" applyAlignment="1" applyProtection="1">
      <alignment horizontal="left" vertical="center"/>
      <protection locked="0"/>
    </xf>
    <xf numFmtId="0" fontId="4" fillId="3" borderId="5" xfId="4" applyFont="1" applyFill="1" applyBorder="1" applyAlignment="1" applyProtection="1">
      <alignment horizontal="left" vertical="center"/>
      <protection locked="0"/>
    </xf>
    <xf numFmtId="0" fontId="4" fillId="3" borderId="6" xfId="4" applyFont="1" applyFill="1" applyBorder="1" applyAlignment="1" applyProtection="1">
      <alignment horizontal="left" vertical="center"/>
      <protection locked="0"/>
    </xf>
    <xf numFmtId="0" fontId="2" fillId="0" borderId="9" xfId="4" applyFont="1" applyBorder="1" applyAlignment="1" applyProtection="1">
      <alignment horizontal="center" vertical="top"/>
      <protection locked="0" hidden="1"/>
    </xf>
    <xf numFmtId="0" fontId="2" fillId="0" borderId="10" xfId="4" applyFont="1" applyBorder="1" applyAlignment="1" applyProtection="1">
      <alignment horizontal="center" vertical="top"/>
      <protection locked="0" hidden="1"/>
    </xf>
    <xf numFmtId="0" fontId="1" fillId="0" borderId="13" xfId="4" applyFont="1" applyBorder="1" applyAlignment="1" applyProtection="1">
      <alignment horizontal="center" vertical="center"/>
      <protection locked="0"/>
    </xf>
    <xf numFmtId="0" fontId="1" fillId="3" borderId="19" xfId="4" applyFont="1" applyFill="1" applyBorder="1" applyAlignment="1" applyProtection="1">
      <alignment horizontal="left" vertical="center"/>
      <protection locked="0"/>
    </xf>
    <xf numFmtId="0" fontId="1" fillId="3" borderId="16" xfId="4" applyFont="1" applyFill="1" applyBorder="1" applyAlignment="1" applyProtection="1">
      <alignment horizontal="left" vertical="center"/>
      <protection locked="0"/>
    </xf>
    <xf numFmtId="0" fontId="1" fillId="3" borderId="1" xfId="4" applyFont="1" applyFill="1" applyBorder="1" applyAlignment="1" applyProtection="1">
      <alignment horizontal="left" vertical="top"/>
      <protection locked="0"/>
    </xf>
    <xf numFmtId="0" fontId="1" fillId="3" borderId="2" xfId="4" applyFont="1" applyFill="1" applyBorder="1" applyAlignment="1" applyProtection="1">
      <alignment horizontal="left" vertical="top"/>
      <protection locked="0"/>
    </xf>
    <xf numFmtId="0" fontId="1" fillId="3" borderId="3" xfId="4" applyFont="1" applyFill="1" applyBorder="1" applyAlignment="1" applyProtection="1">
      <alignment horizontal="left" vertical="top"/>
      <protection locked="0"/>
    </xf>
    <xf numFmtId="0" fontId="1" fillId="3" borderId="8" xfId="4" applyFont="1" applyFill="1" applyBorder="1" applyAlignment="1" applyProtection="1">
      <alignment horizontal="left" vertical="top"/>
      <protection locked="0"/>
    </xf>
    <xf numFmtId="0" fontId="1" fillId="3" borderId="9" xfId="4" applyFont="1" applyFill="1" applyBorder="1" applyAlignment="1" applyProtection="1">
      <alignment horizontal="left" vertical="top"/>
      <protection locked="0"/>
    </xf>
    <xf numFmtId="0" fontId="1" fillId="3" borderId="10" xfId="4" applyFont="1" applyFill="1" applyBorder="1" applyAlignment="1" applyProtection="1">
      <alignment horizontal="left" vertical="top"/>
      <protection locked="0"/>
    </xf>
    <xf numFmtId="0" fontId="2" fillId="0" borderId="8" xfId="4" applyFont="1" applyBorder="1" applyAlignment="1" applyProtection="1">
      <alignment horizontal="center" vertical="top"/>
      <protection locked="0" hidden="1"/>
    </xf>
    <xf numFmtId="0" fontId="1" fillId="3" borderId="6" xfId="4" applyFont="1" applyFill="1" applyBorder="1" applyAlignment="1" applyProtection="1">
      <alignment horizontal="left" vertical="center"/>
      <protection locked="0"/>
    </xf>
    <xf numFmtId="0" fontId="15" fillId="0" borderId="5" xfId="4" applyFont="1" applyBorder="1" applyAlignment="1" applyProtection="1">
      <alignment horizontal="left" vertical="center"/>
      <protection locked="0"/>
    </xf>
    <xf numFmtId="0" fontId="11" fillId="0" borderId="0" xfId="0" applyFont="1" applyAlignment="1">
      <alignment horizontal="left" wrapText="1"/>
    </xf>
    <xf numFmtId="0" fontId="13" fillId="0" borderId="5" xfId="4" applyFont="1" applyBorder="1" applyAlignment="1" applyProtection="1">
      <alignment horizontal="left" vertical="center" wrapText="1"/>
      <protection locked="0"/>
    </xf>
    <xf numFmtId="0" fontId="11" fillId="0" borderId="5" xfId="0" applyFont="1" applyBorder="1" applyAlignment="1">
      <alignment horizontal="left" vertical="center" wrapText="1"/>
    </xf>
    <xf numFmtId="49" fontId="14" fillId="3" borderId="5" xfId="4" applyNumberFormat="1" applyFont="1" applyFill="1" applyBorder="1" applyAlignment="1" applyProtection="1">
      <alignment horizontal="center" vertical="center"/>
      <protection locked="0" hidden="1"/>
    </xf>
    <xf numFmtId="0" fontId="14" fillId="3" borderId="5" xfId="4" applyFont="1" applyFill="1" applyBorder="1" applyAlignment="1" applyProtection="1">
      <alignment horizontal="center" vertical="center"/>
      <protection locked="0" hidden="1"/>
    </xf>
    <xf numFmtId="2" fontId="11" fillId="3" borderId="5" xfId="4" applyNumberFormat="1" applyFont="1" applyFill="1" applyBorder="1" applyAlignment="1" applyProtection="1">
      <alignment horizontal="left" vertical="center"/>
      <protection locked="0"/>
    </xf>
    <xf numFmtId="0" fontId="13" fillId="3" borderId="5" xfId="4" applyFont="1" applyFill="1" applyBorder="1" applyAlignment="1" applyProtection="1">
      <alignment horizontal="left" vertical="center"/>
      <protection locked="0" hidden="1"/>
    </xf>
  </cellXfs>
  <cellStyles count="6">
    <cellStyle name="Normal" xfId="0" builtinId="0"/>
    <cellStyle name="Normal 2 2" xfId="4" xr:uid="{D0BA3E9A-742E-4838-833F-2FF31E841156}"/>
    <cellStyle name="Normal 9 2" xfId="2" xr:uid="{9B6A65A3-8E5E-4026-8DB0-CBBCF5E2E5B4}"/>
    <cellStyle name="Normal_TENTATIVAS~1" xfId="3" xr:uid="{EE1B7734-70BF-4416-8649-4D97FA2C27EE}"/>
    <cellStyle name="Porcentagem" xfId="1" builtinId="5"/>
    <cellStyle name="Porcentagem 2 2" xfId="5" xr:uid="{BBDC5EA5-414F-476B-83B7-6A2BC629BE95}"/>
  </cellStyles>
  <dxfs count="1">
    <dxf>
      <font>
        <color theme="0"/>
      </font>
    </dxf>
  </dxfs>
  <tableStyles count="0" defaultTableStyle="TableStyleMedium2" defaultPivotStyle="PivotStyleLight16"/>
  <colors>
    <mruColors>
      <color rgb="FF233272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46240595504395"/>
          <c:y val="5.9207811379022895E-2"/>
          <c:w val="0.75734157650695522"/>
          <c:h val="0.74177611612467431"/>
        </c:manualLayout>
      </c:layout>
      <c:scatterChart>
        <c:scatterStyle val="lineMarker"/>
        <c:varyColors val="0"/>
        <c:ser>
          <c:idx val="6"/>
          <c:order val="0"/>
          <c:tx>
            <c:strRef>
              <c:f>'FR-IMOB-47_Rev00'!$L$15</c:f>
              <c:strCache>
                <c:ptCount val="1"/>
                <c:pt idx="0">
                  <c:v>Projeto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'FR-IMOB-47_Rev00'!$C$21:$C$27</c:f>
              <c:numCache>
                <c:formatCode>0.0</c:formatCode>
                <c:ptCount val="7"/>
                <c:pt idx="0">
                  <c:v>25.4</c:v>
                </c:pt>
                <c:pt idx="1">
                  <c:v>19.100000000000001</c:v>
                </c:pt>
                <c:pt idx="2">
                  <c:v>12.5</c:v>
                </c:pt>
                <c:pt idx="3" formatCode="0.00">
                  <c:v>9.5</c:v>
                </c:pt>
                <c:pt idx="4" formatCode="0.00">
                  <c:v>4.8</c:v>
                </c:pt>
                <c:pt idx="5" formatCode="0.00">
                  <c:v>2</c:v>
                </c:pt>
                <c:pt idx="6" formatCode="General">
                  <c:v>7.4999999999999997E-2</c:v>
                </c:pt>
              </c:numCache>
            </c:numRef>
          </c:xVal>
          <c:yVal>
            <c:numRef>
              <c:f>'FR-IMOB-47_Rev00'!$L$21:$L$27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ED-4FE1-83C0-9839369BDFB4}"/>
            </c:ext>
          </c:extLst>
        </c:ser>
        <c:ser>
          <c:idx val="7"/>
          <c:order val="1"/>
          <c:tx>
            <c:strRef>
              <c:f>'FR-IMOB-47_Rev00'!$M$18</c:f>
              <c:strCache>
                <c:ptCount val="1"/>
                <c:pt idx="0">
                  <c:v>FAIXA "C"</c:v>
                </c:pt>
              </c:strCache>
            </c:strRef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'FR-IMOB-47_Rev00'!$C$21:$C$27</c:f>
              <c:numCache>
                <c:formatCode>0.0</c:formatCode>
                <c:ptCount val="7"/>
                <c:pt idx="0">
                  <c:v>25.4</c:v>
                </c:pt>
                <c:pt idx="1">
                  <c:v>19.100000000000001</c:v>
                </c:pt>
                <c:pt idx="2">
                  <c:v>12.5</c:v>
                </c:pt>
                <c:pt idx="3" formatCode="0.00">
                  <c:v>9.5</c:v>
                </c:pt>
                <c:pt idx="4" formatCode="0.00">
                  <c:v>4.8</c:v>
                </c:pt>
                <c:pt idx="5" formatCode="0.00">
                  <c:v>2</c:v>
                </c:pt>
                <c:pt idx="6" formatCode="General">
                  <c:v>7.4999999999999997E-2</c:v>
                </c:pt>
              </c:numCache>
            </c:numRef>
          </c:xVal>
          <c:yVal>
            <c:numRef>
              <c:f>'FR-IMOB-47_Rev00'!$M$21:$M$27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ED-4FE1-83C0-9839369BDFB4}"/>
            </c:ext>
          </c:extLst>
        </c:ser>
        <c:ser>
          <c:idx val="8"/>
          <c:order val="2"/>
          <c:tx>
            <c:strRef>
              <c:f>'FR-IMOB-47_Rev00'!$M$18</c:f>
              <c:strCache>
                <c:ptCount val="1"/>
                <c:pt idx="0">
                  <c:v>FAIXA "C"</c:v>
                </c:pt>
              </c:strCache>
            </c:strRef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'FR-IMOB-47_Rev00'!$C$21:$C$27</c:f>
              <c:numCache>
                <c:formatCode>0.0</c:formatCode>
                <c:ptCount val="7"/>
                <c:pt idx="0">
                  <c:v>25.4</c:v>
                </c:pt>
                <c:pt idx="1">
                  <c:v>19.100000000000001</c:v>
                </c:pt>
                <c:pt idx="2">
                  <c:v>12.5</c:v>
                </c:pt>
                <c:pt idx="3" formatCode="0.00">
                  <c:v>9.5</c:v>
                </c:pt>
                <c:pt idx="4" formatCode="0.00">
                  <c:v>4.8</c:v>
                </c:pt>
                <c:pt idx="5" formatCode="0.00">
                  <c:v>2</c:v>
                </c:pt>
                <c:pt idx="6" formatCode="General">
                  <c:v>7.4999999999999997E-2</c:v>
                </c:pt>
              </c:numCache>
            </c:numRef>
          </c:xVal>
          <c:yVal>
            <c:numRef>
              <c:f>'FR-IMOB-47_Rev00'!$N$21:$N$27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ED-4FE1-83C0-9839369BD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285775"/>
        <c:axId val="1"/>
      </c:scatterChart>
      <c:valAx>
        <c:axId val="1860285775"/>
        <c:scaling>
          <c:logBase val="10"/>
          <c:orientation val="minMax"/>
          <c:max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.0" sourceLinked="1"/>
        <c:majorTickMark val="out"/>
        <c:minorTickMark val="none"/>
        <c:tickLblPos val="nextTo"/>
        <c:crossAx val="1"/>
        <c:crossesAt val="0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>
                    <a:solidFill>
                      <a:sysClr val="windowText" lastClr="000000"/>
                    </a:solidFill>
                  </a:rPr>
                  <a:t>% PASSANDO</a:t>
                </a:r>
              </a:p>
            </c:rich>
          </c:tx>
          <c:layout>
            <c:manualLayout>
              <c:xMode val="edge"/>
              <c:yMode val="edge"/>
              <c:x val="6.1823785788244358E-2"/>
              <c:y val="0.362369337979094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60285775"/>
        <c:crossesAt val="0.01"/>
        <c:crossBetween val="midCat"/>
        <c:majorUnit val="10"/>
        <c:minorUnit val="2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legendEntry>
        <c:idx val="2"/>
        <c:delete val="1"/>
      </c:legendEntry>
      <c:layout>
        <c:manualLayout>
          <c:xMode val="edge"/>
          <c:yMode val="edge"/>
          <c:x val="0.12279194562649179"/>
          <c:y val="0.87282496510449759"/>
          <c:w val="0.84379507546893873"/>
          <c:h val="4.7542655050704437E-2"/>
        </c:manualLayout>
      </c:layout>
      <c:overlay val="0"/>
    </c:legend>
    <c:plotVisOnly val="0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74803149606299213" l="0.78740157480314965" r="0.78740157480314965" t="1.1417322834645669" header="0.51181102362204722" footer="0.51181102362204722"/>
    <c:pageSetup paperSize="9" orientation="landscape" horizontalDpi="180" verticalDpi="18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73302</xdr:colOff>
      <xdr:row>30</xdr:row>
      <xdr:rowOff>45140</xdr:rowOff>
    </xdr:from>
    <xdr:to>
      <xdr:col>15</xdr:col>
      <xdr:colOff>276225</xdr:colOff>
      <xdr:row>48</xdr:row>
      <xdr:rowOff>295275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526958</xdr:colOff>
      <xdr:row>0</xdr:row>
      <xdr:rowOff>145676</xdr:rowOff>
    </xdr:from>
    <xdr:to>
      <xdr:col>15</xdr:col>
      <xdr:colOff>658972</xdr:colOff>
      <xdr:row>1</xdr:row>
      <xdr:rowOff>60884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4BC3C83-2CAB-43EC-B546-C58824889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7134" y="145676"/>
          <a:ext cx="1461779" cy="7519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heno\Manual%20da%20Fabrica%20de%20Placa\FR-FP-01%20e%20FR-FP-02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-FP-01 Solicitação de Placas"/>
      <sheetName val="FR-FP-02 OS e CR"/>
      <sheetName val="Banco de Dados"/>
      <sheetName val="Composição de placas"/>
      <sheetName val="Composição de custos - Placas"/>
      <sheetName val="Placas coringas"/>
      <sheetName val="Placas coringas (2)"/>
    </sheetNames>
    <sheetDataSet>
      <sheetData sheetId="0">
        <row r="11">
          <cell r="C11" t="str">
            <v>VAZIO</v>
          </cell>
          <cell r="G11" t="str">
            <v>VAZIO</v>
          </cell>
          <cell r="K11" t="str">
            <v>VAZIO</v>
          </cell>
        </row>
        <row r="23">
          <cell r="C23" t="str">
            <v>VAZIO</v>
          </cell>
          <cell r="G23" t="str">
            <v>VAZIO</v>
          </cell>
          <cell r="K23" t="str">
            <v>VAZIO</v>
          </cell>
        </row>
        <row r="35">
          <cell r="C35" t="str">
            <v>VAZIO</v>
          </cell>
          <cell r="G35" t="str">
            <v>VAZIO</v>
          </cell>
          <cell r="K35" t="str">
            <v>VAZIO</v>
          </cell>
        </row>
        <row r="47">
          <cell r="C47" t="str">
            <v>VAZIO</v>
          </cell>
          <cell r="G47" t="str">
            <v>VAZIO</v>
          </cell>
          <cell r="K47" t="str">
            <v>VAZIO</v>
          </cell>
        </row>
        <row r="59">
          <cell r="C59" t="str">
            <v>VAZIO</v>
          </cell>
          <cell r="G59" t="str">
            <v>VAZIO</v>
          </cell>
          <cell r="K59" t="str">
            <v>VAZIO</v>
          </cell>
        </row>
        <row r="71">
          <cell r="C71" t="str">
            <v>VAZIO</v>
          </cell>
          <cell r="G71" t="str">
            <v>VAZIO</v>
          </cell>
          <cell r="K71" t="str">
            <v>VAZIO</v>
          </cell>
        </row>
        <row r="83">
          <cell r="C83" t="str">
            <v>VAZIO</v>
          </cell>
          <cell r="G83" t="str">
            <v>VAZIO</v>
          </cell>
          <cell r="K83" t="str">
            <v>VAZIO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108FC-B5DF-456B-82CF-AB3425CF5DD4}">
  <sheetPr>
    <tabColor theme="4"/>
    <pageSetUpPr fitToPage="1"/>
  </sheetPr>
  <dimension ref="B1:AG56"/>
  <sheetViews>
    <sheetView showGridLines="0" tabSelected="1" view="pageBreakPreview" zoomScale="85" zoomScaleNormal="85" zoomScaleSheetLayoutView="85" workbookViewId="0">
      <selection activeCell="B4" sqref="B4:H4"/>
    </sheetView>
  </sheetViews>
  <sheetFormatPr defaultColWidth="11.81640625" defaultRowHeight="12.5" x14ac:dyDescent="0.25"/>
  <cols>
    <col min="1" max="1" width="3.36328125" style="16" customWidth="1"/>
    <col min="2" max="16" width="9.54296875" style="16" customWidth="1"/>
    <col min="17" max="17" width="2.90625" style="16" customWidth="1"/>
    <col min="18" max="18" width="8.54296875" style="16" customWidth="1"/>
    <col min="19" max="19" width="9.7265625" style="16" customWidth="1"/>
    <col min="20" max="20" width="13.7265625" style="16" customWidth="1"/>
    <col min="21" max="21" width="11.81640625" style="16"/>
    <col min="22" max="22" width="14.1796875" style="16" bestFit="1" customWidth="1"/>
    <col min="23" max="25" width="11.81640625" style="16"/>
    <col min="26" max="31" width="11.81640625" style="12"/>
    <col min="32" max="16384" width="11.81640625" style="16"/>
  </cols>
  <sheetData>
    <row r="1" spans="2:33" s="12" customFormat="1" ht="66" customHeight="1" x14ac:dyDescent="0.3">
      <c r="B1" s="73" t="s">
        <v>39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2:33" s="12" customFormat="1" ht="12.5" customHeight="1" x14ac:dyDescent="0.25"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29"/>
      <c r="O2" s="29"/>
      <c r="P2" s="29"/>
    </row>
    <row r="3" spans="2:33" s="12" customFormat="1" ht="30" customHeight="1" x14ac:dyDescent="0.25">
      <c r="B3" s="75" t="s">
        <v>40</v>
      </c>
      <c r="C3" s="75"/>
      <c r="D3" s="75"/>
      <c r="E3" s="75"/>
      <c r="F3" s="75"/>
      <c r="G3" s="75"/>
      <c r="H3" s="75"/>
      <c r="I3" s="74" t="s">
        <v>41</v>
      </c>
      <c r="J3" s="74"/>
      <c r="K3" s="74"/>
      <c r="L3" s="74"/>
      <c r="M3" s="74"/>
      <c r="N3" s="74"/>
      <c r="O3" s="74"/>
      <c r="P3" s="74"/>
    </row>
    <row r="4" spans="2:33" s="12" customFormat="1" ht="30" customHeight="1" x14ac:dyDescent="0.25">
      <c r="B4" s="74" t="s">
        <v>51</v>
      </c>
      <c r="C4" s="74"/>
      <c r="D4" s="74"/>
      <c r="E4" s="74"/>
      <c r="F4" s="74"/>
      <c r="G4" s="74"/>
      <c r="H4" s="74"/>
      <c r="I4" s="74" t="s">
        <v>42</v>
      </c>
      <c r="J4" s="74"/>
      <c r="K4" s="74"/>
      <c r="L4" s="74"/>
      <c r="M4" s="74"/>
      <c r="N4" s="74"/>
      <c r="O4" s="74"/>
      <c r="P4" s="74"/>
    </row>
    <row r="5" spans="2:33" s="12" customFormat="1" ht="31.5" customHeight="1" x14ac:dyDescent="0.25">
      <c r="B5" s="72" t="s">
        <v>44</v>
      </c>
      <c r="C5" s="72"/>
      <c r="D5" s="72"/>
      <c r="E5" s="72"/>
      <c r="F5" s="72"/>
      <c r="G5" s="72"/>
      <c r="H5" s="72"/>
      <c r="I5" s="72" t="s">
        <v>43</v>
      </c>
      <c r="J5" s="72"/>
      <c r="K5" s="72"/>
      <c r="L5" s="72"/>
      <c r="M5" s="72"/>
      <c r="N5" s="72"/>
      <c r="O5" s="72"/>
      <c r="P5" s="72"/>
    </row>
    <row r="6" spans="2:33" s="12" customFormat="1" ht="15" customHeight="1" x14ac:dyDescent="0.25"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</row>
    <row r="7" spans="2:33" s="12" customFormat="1" ht="26.25" customHeight="1" x14ac:dyDescent="0.25">
      <c r="B7" s="62" t="s">
        <v>0</v>
      </c>
      <c r="C7" s="63"/>
      <c r="D7" s="63"/>
      <c r="E7" s="63"/>
      <c r="F7" s="63"/>
      <c r="G7" s="53" t="s">
        <v>1</v>
      </c>
      <c r="H7" s="53"/>
      <c r="I7" s="53"/>
      <c r="J7" s="53"/>
      <c r="K7" s="53"/>
      <c r="L7" s="53"/>
      <c r="M7" s="53"/>
      <c r="N7" s="53"/>
      <c r="O7" s="53"/>
      <c r="P7" s="54"/>
    </row>
    <row r="8" spans="2:33" s="12" customFormat="1" ht="26.25" customHeight="1" x14ac:dyDescent="0.25">
      <c r="B8" s="55" t="s">
        <v>2</v>
      </c>
      <c r="C8" s="56"/>
      <c r="D8" s="56"/>
      <c r="E8" s="56"/>
      <c r="F8" s="56"/>
      <c r="G8" s="57" t="s">
        <v>3</v>
      </c>
      <c r="H8" s="57"/>
      <c r="I8" s="57"/>
      <c r="J8" s="57"/>
      <c r="K8" s="57"/>
      <c r="L8" s="57"/>
      <c r="M8" s="57"/>
      <c r="N8" s="57"/>
      <c r="O8" s="57"/>
      <c r="P8" s="58"/>
    </row>
    <row r="9" spans="2:33" s="12" customFormat="1" ht="26.25" customHeight="1" x14ac:dyDescent="0.25">
      <c r="B9" s="55" t="s">
        <v>4</v>
      </c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71"/>
    </row>
    <row r="10" spans="2:33" s="12" customFormat="1" ht="26.25" customHeight="1" x14ac:dyDescent="0.25">
      <c r="B10" s="64" t="s">
        <v>5</v>
      </c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6"/>
    </row>
    <row r="11" spans="2:33" s="12" customFormat="1" ht="26.25" customHeight="1" x14ac:dyDescent="0.25">
      <c r="B11" s="67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9"/>
    </row>
    <row r="12" spans="2:33" s="12" customFormat="1" ht="22.5" customHeight="1" x14ac:dyDescent="0.25">
      <c r="B12" s="47" t="s">
        <v>6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S12" s="13"/>
      <c r="T12" s="13"/>
      <c r="U12" s="14"/>
      <c r="V12" s="15"/>
    </row>
    <row r="13" spans="2:33" s="12" customFormat="1" ht="31.5" customHeight="1" x14ac:dyDescent="0.25">
      <c r="B13" s="43" t="s">
        <v>35</v>
      </c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5"/>
      <c r="S13" s="13"/>
      <c r="T13" s="13"/>
      <c r="U13" s="14"/>
      <c r="V13" s="15"/>
    </row>
    <row r="14" spans="2:33" s="12" customFormat="1" ht="22.5" customHeight="1" x14ac:dyDescent="0.25">
      <c r="B14" s="46" t="s">
        <v>7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U14" s="13"/>
      <c r="V14" s="13"/>
      <c r="W14" s="14"/>
      <c r="X14" s="15"/>
    </row>
    <row r="15" spans="2:33" s="12" customFormat="1" ht="22.5" customHeight="1" x14ac:dyDescent="0.25">
      <c r="B15" s="48" t="s">
        <v>8</v>
      </c>
      <c r="C15" s="48"/>
      <c r="D15" s="50" t="s">
        <v>26</v>
      </c>
      <c r="E15" s="50"/>
      <c r="F15" s="50"/>
      <c r="G15" s="50"/>
      <c r="H15" s="50" t="s">
        <v>27</v>
      </c>
      <c r="I15" s="50"/>
      <c r="J15" s="50"/>
      <c r="K15" s="50"/>
      <c r="L15" s="28" t="s">
        <v>28</v>
      </c>
      <c r="M15" s="48" t="s">
        <v>11</v>
      </c>
      <c r="N15" s="48"/>
      <c r="O15" s="48"/>
      <c r="P15" s="48"/>
      <c r="U15" s="13"/>
      <c r="V15" s="13"/>
      <c r="W15" s="14"/>
      <c r="X15" s="15"/>
    </row>
    <row r="16" spans="2:33" ht="17.25" customHeight="1" x14ac:dyDescent="0.25">
      <c r="B16" s="49"/>
      <c r="C16" s="49"/>
      <c r="D16" s="24" t="s">
        <v>9</v>
      </c>
      <c r="E16" s="24" t="s">
        <v>9</v>
      </c>
      <c r="F16" s="24" t="s">
        <v>10</v>
      </c>
      <c r="G16" s="24" t="s">
        <v>10</v>
      </c>
      <c r="H16" s="24" t="s">
        <v>9</v>
      </c>
      <c r="I16" s="24" t="s">
        <v>9</v>
      </c>
      <c r="J16" s="24" t="s">
        <v>10</v>
      </c>
      <c r="K16" s="24" t="s">
        <v>10</v>
      </c>
      <c r="L16" s="24" t="s">
        <v>10</v>
      </c>
      <c r="M16" s="49"/>
      <c r="N16" s="49"/>
      <c r="O16" s="49"/>
      <c r="P16" s="49"/>
      <c r="U16" s="17"/>
      <c r="V16" s="17"/>
      <c r="W16" s="14"/>
      <c r="X16" s="15"/>
      <c r="Z16" s="16"/>
      <c r="AA16" s="16"/>
      <c r="AF16" s="12"/>
      <c r="AG16" s="12"/>
    </row>
    <row r="17" spans="2:33" ht="17.25" customHeight="1" x14ac:dyDescent="0.25">
      <c r="B17" s="49"/>
      <c r="C17" s="49"/>
      <c r="D17" s="24" t="s">
        <v>12</v>
      </c>
      <c r="E17" s="24" t="s">
        <v>12</v>
      </c>
      <c r="F17" s="24" t="s">
        <v>12</v>
      </c>
      <c r="G17" s="24" t="s">
        <v>13</v>
      </c>
      <c r="H17" s="24" t="s">
        <v>12</v>
      </c>
      <c r="I17" s="24" t="s">
        <v>12</v>
      </c>
      <c r="J17" s="24" t="s">
        <v>12</v>
      </c>
      <c r="K17" s="24" t="s">
        <v>13</v>
      </c>
      <c r="L17" s="24" t="s">
        <v>13</v>
      </c>
      <c r="M17" s="49"/>
      <c r="N17" s="49"/>
      <c r="O17" s="49"/>
      <c r="P17" s="49"/>
      <c r="U17" s="17"/>
      <c r="V17" s="17"/>
      <c r="W17" s="14"/>
      <c r="X17" s="15"/>
      <c r="Z17" s="16"/>
      <c r="AA17" s="16"/>
      <c r="AF17" s="12"/>
      <c r="AG17" s="12"/>
    </row>
    <row r="18" spans="2:33" ht="17.25" customHeight="1" x14ac:dyDescent="0.25">
      <c r="B18" s="49"/>
      <c r="C18" s="49"/>
      <c r="D18" s="24"/>
      <c r="E18" s="24" t="s">
        <v>14</v>
      </c>
      <c r="F18" s="24" t="s">
        <v>14</v>
      </c>
      <c r="G18" s="24"/>
      <c r="H18" s="24"/>
      <c r="I18" s="24" t="s">
        <v>14</v>
      </c>
      <c r="J18" s="24" t="s">
        <v>14</v>
      </c>
      <c r="K18" s="24"/>
      <c r="L18" s="24"/>
      <c r="M18" s="51" t="s">
        <v>29</v>
      </c>
      <c r="N18" s="51"/>
      <c r="O18" s="52" t="s">
        <v>25</v>
      </c>
      <c r="P18" s="52"/>
      <c r="U18" s="17"/>
      <c r="V18" s="17"/>
      <c r="W18" s="14"/>
      <c r="X18" s="15"/>
      <c r="Z18" s="16"/>
      <c r="AA18" s="16"/>
      <c r="AF18" s="12"/>
      <c r="AG18" s="12"/>
    </row>
    <row r="19" spans="2:33" ht="17.25" customHeight="1" x14ac:dyDescent="0.25">
      <c r="B19" s="24" t="s">
        <v>15</v>
      </c>
      <c r="C19" s="24" t="s">
        <v>16</v>
      </c>
      <c r="D19" s="24" t="s">
        <v>17</v>
      </c>
      <c r="E19" s="24" t="s">
        <v>17</v>
      </c>
      <c r="F19" s="24"/>
      <c r="G19" s="24"/>
      <c r="H19" s="24" t="s">
        <v>17</v>
      </c>
      <c r="I19" s="24" t="s">
        <v>17</v>
      </c>
      <c r="J19" s="24"/>
      <c r="K19" s="24"/>
      <c r="L19" s="24"/>
      <c r="M19" s="51"/>
      <c r="N19" s="51"/>
      <c r="O19" s="52"/>
      <c r="P19" s="52"/>
      <c r="S19" s="17"/>
      <c r="T19" s="17"/>
      <c r="U19" s="14"/>
      <c r="V19" s="15"/>
    </row>
    <row r="20" spans="2:33" ht="17.25" customHeight="1" x14ac:dyDescent="0.25">
      <c r="B20" s="34" t="s">
        <v>22</v>
      </c>
      <c r="C20" s="35"/>
      <c r="D20" s="34">
        <v>213</v>
      </c>
      <c r="E20" s="35"/>
      <c r="F20" s="21"/>
      <c r="G20" s="22"/>
      <c r="H20" s="34">
        <v>213</v>
      </c>
      <c r="I20" s="35"/>
      <c r="J20" s="21"/>
      <c r="K20" s="22"/>
      <c r="L20" s="22"/>
      <c r="M20" s="22"/>
      <c r="N20" s="22"/>
      <c r="O20" s="22"/>
      <c r="P20" s="23"/>
      <c r="U20" s="14"/>
      <c r="V20" s="15"/>
    </row>
    <row r="21" spans="2:33" s="11" customFormat="1" ht="17.25" customHeight="1" x14ac:dyDescent="0.25">
      <c r="B21" s="3" t="s">
        <v>30</v>
      </c>
      <c r="C21" s="4">
        <v>25.4</v>
      </c>
      <c r="D21" s="1">
        <v>0</v>
      </c>
      <c r="E21" s="5">
        <f>IF(D21="","",D21+E20)</f>
        <v>0</v>
      </c>
      <c r="F21" s="6" t="e">
        <f>IF(D21="","",(E21/$D$29)*100)</f>
        <v>#DIV/0!</v>
      </c>
      <c r="G21" s="7" t="e">
        <f>IF(D21="","",100-F21)</f>
        <v>#DIV/0!</v>
      </c>
      <c r="H21" s="1">
        <v>0</v>
      </c>
      <c r="I21" s="5">
        <f>IF(H21="","",H21)</f>
        <v>0</v>
      </c>
      <c r="J21" s="6" t="e">
        <f t="shared" ref="J21:J28" si="0">IF(H21="","",(I21/$H$29)*100)</f>
        <v>#VALUE!</v>
      </c>
      <c r="K21" s="7" t="e">
        <f>IF(H21="","",100-J21)</f>
        <v>#VALUE!</v>
      </c>
      <c r="L21" s="7" t="str">
        <f>IFERROR(AVERAGE(G21,K21),"")</f>
        <v/>
      </c>
      <c r="M21" s="1" t="e">
        <f>IF($M$18="","",HLOOKUP(#REF!,#REF!,3))</f>
        <v>#REF!</v>
      </c>
      <c r="N21" s="1" t="e">
        <f>IF($M$18="","",HLOOKUP(#REF!,#REF!,3))</f>
        <v>#REF!</v>
      </c>
      <c r="O21" s="8">
        <v>100</v>
      </c>
      <c r="P21" s="8">
        <v>100</v>
      </c>
      <c r="T21" s="16"/>
      <c r="U21" s="42"/>
      <c r="V21" s="42"/>
      <c r="W21" s="14"/>
      <c r="X21" s="15"/>
      <c r="AB21" s="12"/>
      <c r="AC21" s="12"/>
      <c r="AD21" s="12"/>
      <c r="AE21" s="12"/>
      <c r="AF21" s="12"/>
      <c r="AG21" s="12"/>
    </row>
    <row r="22" spans="2:33" s="11" customFormat="1" ht="17.25" customHeight="1" x14ac:dyDescent="0.25">
      <c r="B22" s="3" t="s">
        <v>31</v>
      </c>
      <c r="C22" s="4">
        <v>19.100000000000001</v>
      </c>
      <c r="D22" s="1">
        <v>0</v>
      </c>
      <c r="E22" s="5">
        <f>IF(D22="","",D22+E21)</f>
        <v>0</v>
      </c>
      <c r="F22" s="6" t="e">
        <f t="shared" ref="F22:F28" si="1">IF(D22="","",(E22/$D$29)*100)</f>
        <v>#DIV/0!</v>
      </c>
      <c r="G22" s="7" t="e">
        <f t="shared" ref="G22:G26" si="2">IF(D22="","",100-F22)</f>
        <v>#DIV/0!</v>
      </c>
      <c r="H22" s="1">
        <v>0</v>
      </c>
      <c r="I22" s="5">
        <f>IF(H22="","",H22+I21)</f>
        <v>0</v>
      </c>
      <c r="J22" s="6" t="e">
        <f t="shared" si="0"/>
        <v>#VALUE!</v>
      </c>
      <c r="K22" s="7" t="e">
        <f t="shared" ref="K22:K27" si="3">IF(H22="","",100-J22)</f>
        <v>#VALUE!</v>
      </c>
      <c r="L22" s="7" t="str">
        <f t="shared" ref="L22:L27" si="4">IFERROR(AVERAGE(G22,K22),"")</f>
        <v/>
      </c>
      <c r="M22" s="1" t="e">
        <f>IF($M$18="","",HLOOKUP(#REF!,#REF!,4))</f>
        <v>#REF!</v>
      </c>
      <c r="N22" s="1" t="e">
        <f>IF($M$18="","",HLOOKUP(#REF!,#REF!,4))</f>
        <v>#REF!</v>
      </c>
      <c r="O22" s="8">
        <v>75.400000000000006</v>
      </c>
      <c r="P22" s="8">
        <v>85.4</v>
      </c>
      <c r="T22" s="16"/>
      <c r="U22" s="25"/>
      <c r="V22" s="26"/>
      <c r="AA22" s="12"/>
      <c r="AB22" s="12"/>
      <c r="AC22" s="12"/>
      <c r="AD22" s="12"/>
      <c r="AE22" s="12"/>
      <c r="AF22" s="12"/>
    </row>
    <row r="23" spans="2:33" s="11" customFormat="1" ht="17.25" customHeight="1" x14ac:dyDescent="0.25">
      <c r="B23" s="3" t="s">
        <v>32</v>
      </c>
      <c r="C23" s="4">
        <v>12.5</v>
      </c>
      <c r="D23" s="1">
        <v>0</v>
      </c>
      <c r="E23" s="5">
        <f t="shared" ref="E23:E26" si="5">IF(D23="","",D23+E22)</f>
        <v>0</v>
      </c>
      <c r="F23" s="6" t="e">
        <f t="shared" si="1"/>
        <v>#DIV/0!</v>
      </c>
      <c r="G23" s="7" t="e">
        <f t="shared" si="2"/>
        <v>#DIV/0!</v>
      </c>
      <c r="H23" s="1">
        <v>0</v>
      </c>
      <c r="I23" s="5">
        <f t="shared" ref="I23:I28" si="6">IF(H23="","",H23+I22)</f>
        <v>0</v>
      </c>
      <c r="J23" s="6" t="e">
        <f t="shared" si="0"/>
        <v>#VALUE!</v>
      </c>
      <c r="K23" s="7" t="e">
        <f t="shared" si="3"/>
        <v>#VALUE!</v>
      </c>
      <c r="L23" s="7" t="str">
        <f>IFERROR(AVERAGE(G23,K23),"")</f>
        <v/>
      </c>
      <c r="M23" s="1" t="e">
        <f>IF($M$18="","",HLOOKUP(#REF!,#REF!,5))</f>
        <v>#REF!</v>
      </c>
      <c r="N23" s="1" t="e">
        <f>IF($M$18="","",HLOOKUP(#REF!,#REF!,5))</f>
        <v>#REF!</v>
      </c>
      <c r="O23" s="8">
        <v>53.6</v>
      </c>
      <c r="P23" s="8">
        <v>63.6</v>
      </c>
      <c r="T23" s="16"/>
      <c r="U23" s="25"/>
      <c r="V23" s="26"/>
      <c r="AA23" s="12"/>
      <c r="AB23" s="12"/>
      <c r="AC23" s="12"/>
      <c r="AD23" s="12"/>
      <c r="AE23" s="12"/>
      <c r="AF23" s="12"/>
    </row>
    <row r="24" spans="2:33" s="11" customFormat="1" ht="17.25" customHeight="1" x14ac:dyDescent="0.25">
      <c r="B24" s="3" t="s">
        <v>23</v>
      </c>
      <c r="C24" s="9">
        <v>9.5</v>
      </c>
      <c r="D24" s="1">
        <v>0</v>
      </c>
      <c r="E24" s="5">
        <f t="shared" si="5"/>
        <v>0</v>
      </c>
      <c r="F24" s="6" t="e">
        <f t="shared" si="1"/>
        <v>#DIV/0!</v>
      </c>
      <c r="G24" s="7" t="e">
        <f t="shared" si="2"/>
        <v>#DIV/0!</v>
      </c>
      <c r="H24" s="1">
        <v>0</v>
      </c>
      <c r="I24" s="5">
        <f t="shared" si="6"/>
        <v>0</v>
      </c>
      <c r="J24" s="6" t="e">
        <f t="shared" si="0"/>
        <v>#VALUE!</v>
      </c>
      <c r="K24" s="7" t="e">
        <f t="shared" si="3"/>
        <v>#VALUE!</v>
      </c>
      <c r="L24" s="7" t="str">
        <f t="shared" si="4"/>
        <v/>
      </c>
      <c r="M24" s="1" t="e">
        <f>IF($M$18="","",HLOOKUP(#REF!,#REF!,6))</f>
        <v>#REF!</v>
      </c>
      <c r="N24" s="1" t="e">
        <f>IF($M$18="","",HLOOKUP(#REF!,#REF!,6))</f>
        <v>#REF!</v>
      </c>
      <c r="O24" s="8">
        <v>31.9</v>
      </c>
      <c r="P24" s="8">
        <v>41.9</v>
      </c>
      <c r="T24" s="16"/>
      <c r="U24" s="25"/>
      <c r="V24" s="26"/>
      <c r="AA24" s="12"/>
      <c r="AB24" s="12"/>
      <c r="AC24" s="12"/>
      <c r="AD24" s="12"/>
      <c r="AE24" s="12"/>
      <c r="AF24" s="12"/>
    </row>
    <row r="25" spans="2:33" s="11" customFormat="1" ht="17.25" customHeight="1" x14ac:dyDescent="0.25">
      <c r="B25" s="3" t="s">
        <v>24</v>
      </c>
      <c r="C25" s="9">
        <v>4.8</v>
      </c>
      <c r="D25" s="1">
        <v>0</v>
      </c>
      <c r="E25" s="5">
        <f t="shared" si="5"/>
        <v>0</v>
      </c>
      <c r="F25" s="6" t="e">
        <f t="shared" si="1"/>
        <v>#DIV/0!</v>
      </c>
      <c r="G25" s="7" t="e">
        <f t="shared" si="2"/>
        <v>#DIV/0!</v>
      </c>
      <c r="H25" s="1">
        <v>0</v>
      </c>
      <c r="I25" s="5">
        <f t="shared" si="6"/>
        <v>0</v>
      </c>
      <c r="J25" s="6" t="e">
        <f t="shared" si="0"/>
        <v>#VALUE!</v>
      </c>
      <c r="K25" s="7" t="e">
        <f t="shared" si="3"/>
        <v>#VALUE!</v>
      </c>
      <c r="L25" s="7" t="str">
        <f t="shared" si="4"/>
        <v/>
      </c>
      <c r="M25" s="1" t="e">
        <f>IF($M$18="","",HLOOKUP(#REF!,#REF!,7))</f>
        <v>#REF!</v>
      </c>
      <c r="N25" s="1" t="e">
        <f>IF($M$18="","",HLOOKUP(#REF!,#REF!,7))</f>
        <v>#REF!</v>
      </c>
      <c r="O25" s="8">
        <v>19.5</v>
      </c>
      <c r="P25" s="8">
        <v>29.5</v>
      </c>
      <c r="T25" s="16"/>
      <c r="U25" s="16"/>
      <c r="V25" s="26"/>
      <c r="AA25" s="12"/>
      <c r="AB25" s="12"/>
      <c r="AC25" s="12"/>
      <c r="AD25" s="12"/>
      <c r="AE25" s="12"/>
      <c r="AF25" s="12"/>
    </row>
    <row r="26" spans="2:33" s="11" customFormat="1" ht="17.25" customHeight="1" x14ac:dyDescent="0.25">
      <c r="B26" s="3" t="s">
        <v>33</v>
      </c>
      <c r="C26" s="9">
        <v>2</v>
      </c>
      <c r="D26" s="1">
        <v>0</v>
      </c>
      <c r="E26" s="5">
        <f t="shared" si="5"/>
        <v>0</v>
      </c>
      <c r="F26" s="6" t="e">
        <f t="shared" si="1"/>
        <v>#DIV/0!</v>
      </c>
      <c r="G26" s="7" t="e">
        <f t="shared" si="2"/>
        <v>#DIV/0!</v>
      </c>
      <c r="H26" s="1">
        <v>0</v>
      </c>
      <c r="I26" s="5">
        <f t="shared" si="6"/>
        <v>0</v>
      </c>
      <c r="J26" s="6" t="e">
        <f t="shared" si="0"/>
        <v>#VALUE!</v>
      </c>
      <c r="K26" s="7" t="e">
        <f t="shared" si="3"/>
        <v>#VALUE!</v>
      </c>
      <c r="L26" s="7" t="str">
        <f>IFERROR(AVERAGE(G26,K26),"")</f>
        <v/>
      </c>
      <c r="M26" s="1" t="e">
        <f>IF($M$18="","",HLOOKUP(#REF!,#REF!,8))</f>
        <v>#REF!</v>
      </c>
      <c r="N26" s="1" t="e">
        <f>IF($M$18="","",HLOOKUP(#REF!,#REF!,8))</f>
        <v>#REF!</v>
      </c>
      <c r="O26" s="8">
        <v>13.3</v>
      </c>
      <c r="P26" s="8">
        <v>23.3</v>
      </c>
      <c r="T26" s="16"/>
      <c r="U26" s="25"/>
      <c r="V26" s="26"/>
      <c r="AA26" s="12"/>
      <c r="AB26" s="12"/>
      <c r="AC26" s="12"/>
      <c r="AD26" s="12"/>
      <c r="AE26" s="12"/>
      <c r="AF26" s="12"/>
    </row>
    <row r="27" spans="2:33" s="11" customFormat="1" ht="17.25" customHeight="1" x14ac:dyDescent="0.25">
      <c r="B27" s="3" t="s">
        <v>34</v>
      </c>
      <c r="C27" s="10">
        <v>7.4999999999999997E-2</v>
      </c>
      <c r="D27" s="1">
        <v>0</v>
      </c>
      <c r="E27" s="5">
        <f>IF(D27="","",D27+E26)</f>
        <v>0</v>
      </c>
      <c r="F27" s="6" t="e">
        <f t="shared" si="1"/>
        <v>#DIV/0!</v>
      </c>
      <c r="G27" s="7" t="e">
        <f>IF(D27="","",100-F27)</f>
        <v>#DIV/0!</v>
      </c>
      <c r="H27" s="1">
        <v>0</v>
      </c>
      <c r="I27" s="5">
        <f t="shared" si="6"/>
        <v>0</v>
      </c>
      <c r="J27" s="6" t="e">
        <f t="shared" si="0"/>
        <v>#VALUE!</v>
      </c>
      <c r="K27" s="7" t="e">
        <f t="shared" si="3"/>
        <v>#VALUE!</v>
      </c>
      <c r="L27" s="7" t="str">
        <f t="shared" si="4"/>
        <v/>
      </c>
      <c r="M27" s="1" t="e">
        <f>IF($M$18="","",HLOOKUP(#REF!,#REF!,9))</f>
        <v>#REF!</v>
      </c>
      <c r="N27" s="1" t="e">
        <f>IF($M$18="","",HLOOKUP(#REF!,#REF!,9))</f>
        <v>#REF!</v>
      </c>
      <c r="O27" s="8">
        <v>9.3000000000000007</v>
      </c>
      <c r="P27" s="8">
        <v>18</v>
      </c>
      <c r="R27" s="16"/>
      <c r="S27" s="16"/>
      <c r="T27" s="16"/>
      <c r="AA27" s="12"/>
      <c r="AB27" s="12"/>
      <c r="AC27" s="12"/>
      <c r="AD27" s="12"/>
      <c r="AE27" s="12"/>
      <c r="AF27" s="12"/>
    </row>
    <row r="28" spans="2:33" s="11" customFormat="1" ht="17.25" customHeight="1" x14ac:dyDescent="0.25">
      <c r="B28" s="36" t="s">
        <v>18</v>
      </c>
      <c r="C28" s="37"/>
      <c r="D28" s="1">
        <v>0</v>
      </c>
      <c r="E28" s="5">
        <f>IF(D28="","",D28+E27)</f>
        <v>0</v>
      </c>
      <c r="F28" s="6" t="e">
        <f t="shared" si="1"/>
        <v>#DIV/0!</v>
      </c>
      <c r="G28" s="7" t="s">
        <v>19</v>
      </c>
      <c r="H28" s="1">
        <v>0</v>
      </c>
      <c r="I28" s="5">
        <f t="shared" si="6"/>
        <v>0</v>
      </c>
      <c r="J28" s="6" t="e">
        <f t="shared" si="0"/>
        <v>#VALUE!</v>
      </c>
      <c r="K28" s="7" t="s">
        <v>19</v>
      </c>
      <c r="L28" s="7" t="str">
        <f>IFERROR(AVERAGE(G28,K28),"")</f>
        <v/>
      </c>
      <c r="M28" s="2" t="s">
        <v>19</v>
      </c>
      <c r="N28" s="2" t="s">
        <v>19</v>
      </c>
      <c r="O28" s="2" t="s">
        <v>19</v>
      </c>
      <c r="P28" s="2" t="s">
        <v>19</v>
      </c>
      <c r="R28" s="16"/>
      <c r="Z28" s="12"/>
      <c r="AA28" s="12"/>
      <c r="AB28" s="12"/>
      <c r="AC28" s="12"/>
      <c r="AD28" s="12"/>
      <c r="AE28" s="12"/>
    </row>
    <row r="29" spans="2:33" s="11" customFormat="1" ht="17.25" customHeight="1" x14ac:dyDescent="0.25">
      <c r="B29" s="36" t="s">
        <v>20</v>
      </c>
      <c r="C29" s="37"/>
      <c r="D29" s="2">
        <f>SUM(D21:D28)</f>
        <v>0</v>
      </c>
      <c r="E29" s="2" t="s">
        <v>19</v>
      </c>
      <c r="F29" s="2" t="s">
        <v>19</v>
      </c>
      <c r="G29" s="2" t="s">
        <v>19</v>
      </c>
      <c r="H29" s="2" t="str">
        <f>IF(SUM(H21:H28)=0,"",SUM(H21:H28))</f>
        <v/>
      </c>
      <c r="I29" s="2" t="s">
        <v>19</v>
      </c>
      <c r="J29" s="2" t="s">
        <v>19</v>
      </c>
      <c r="K29" s="2" t="s">
        <v>19</v>
      </c>
      <c r="L29" s="2"/>
      <c r="M29" s="2" t="s">
        <v>19</v>
      </c>
      <c r="N29" s="2" t="s">
        <v>19</v>
      </c>
      <c r="O29" s="2" t="s">
        <v>19</v>
      </c>
      <c r="P29" s="2" t="s">
        <v>19</v>
      </c>
      <c r="R29" s="16"/>
      <c r="Z29" s="12"/>
      <c r="AA29" s="12"/>
      <c r="AB29" s="12"/>
      <c r="AC29" s="12"/>
      <c r="AD29" s="12"/>
      <c r="AE29" s="12"/>
    </row>
    <row r="30" spans="2:33" ht="17.25" customHeight="1" x14ac:dyDescent="0.25">
      <c r="B30" s="38" t="s">
        <v>21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40"/>
    </row>
    <row r="31" spans="2:33" ht="17.25" customHeight="1" x14ac:dyDescent="0.25">
      <c r="B31" s="18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20"/>
    </row>
    <row r="32" spans="2:33" ht="17.25" customHeight="1" x14ac:dyDescent="0.25">
      <c r="B32" s="18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20"/>
    </row>
    <row r="33" spans="2:16" ht="17.25" customHeight="1" x14ac:dyDescent="0.25">
      <c r="B33" s="18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20"/>
    </row>
    <row r="34" spans="2:16" ht="17.25" customHeight="1" x14ac:dyDescent="0.25">
      <c r="B34" s="18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20"/>
    </row>
    <row r="35" spans="2:16" ht="17.25" customHeight="1" x14ac:dyDescent="0.25">
      <c r="B35" s="18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20"/>
    </row>
    <row r="36" spans="2:16" ht="17.25" customHeight="1" x14ac:dyDescent="0.25">
      <c r="B36" s="18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20"/>
    </row>
    <row r="37" spans="2:16" ht="17.25" customHeight="1" x14ac:dyDescent="0.25">
      <c r="B37" s="18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20"/>
    </row>
    <row r="38" spans="2:16" ht="17.25" customHeight="1" x14ac:dyDescent="0.25">
      <c r="B38" s="18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20"/>
    </row>
    <row r="39" spans="2:16" ht="17.25" customHeight="1" x14ac:dyDescent="0.25"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20"/>
    </row>
    <row r="40" spans="2:16" ht="17.25" customHeight="1" x14ac:dyDescent="0.25">
      <c r="B40" s="18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20"/>
    </row>
    <row r="41" spans="2:16" ht="17.25" customHeight="1" x14ac:dyDescent="0.25">
      <c r="B41" s="18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20"/>
    </row>
    <row r="42" spans="2:16" ht="17.25" customHeight="1" x14ac:dyDescent="0.25">
      <c r="B42" s="18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20"/>
    </row>
    <row r="43" spans="2:16" ht="17.25" customHeight="1" x14ac:dyDescent="0.25">
      <c r="B43" s="18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20"/>
    </row>
    <row r="44" spans="2:16" ht="17.25" customHeight="1" x14ac:dyDescent="0.25">
      <c r="B44" s="18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20"/>
    </row>
    <row r="45" spans="2:16" ht="17.25" customHeight="1" x14ac:dyDescent="0.25">
      <c r="B45" s="18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20"/>
    </row>
    <row r="46" spans="2:16" ht="17.25" customHeight="1" x14ac:dyDescent="0.25">
      <c r="B46" s="18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20"/>
    </row>
    <row r="47" spans="2:16" ht="17.25" customHeight="1" x14ac:dyDescent="0.25"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20"/>
    </row>
    <row r="48" spans="2:16" ht="17.25" customHeight="1" x14ac:dyDescent="0.25">
      <c r="B48" s="18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20"/>
    </row>
    <row r="49" spans="2:16" ht="18" customHeight="1" x14ac:dyDescent="0.25"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20"/>
    </row>
    <row r="50" spans="2:16" ht="42.75" customHeight="1" x14ac:dyDescent="0.25">
      <c r="B50" s="18"/>
      <c r="C50" s="41" t="s">
        <v>38</v>
      </c>
      <c r="D50" s="41"/>
      <c r="E50" s="41"/>
      <c r="F50" s="41"/>
      <c r="G50" s="41"/>
      <c r="H50" s="27"/>
      <c r="I50" s="27"/>
      <c r="J50" s="41" t="s">
        <v>38</v>
      </c>
      <c r="K50" s="41"/>
      <c r="L50" s="41"/>
      <c r="M50" s="41"/>
      <c r="N50" s="41"/>
      <c r="O50" s="41"/>
      <c r="P50" s="20"/>
    </row>
    <row r="51" spans="2:16" ht="30.75" customHeight="1" x14ac:dyDescent="0.25">
      <c r="B51" s="70" t="s">
        <v>36</v>
      </c>
      <c r="C51" s="59"/>
      <c r="D51" s="59"/>
      <c r="E51" s="59"/>
      <c r="F51" s="59"/>
      <c r="G51" s="59"/>
      <c r="H51" s="59"/>
      <c r="I51" s="59" t="s">
        <v>37</v>
      </c>
      <c r="J51" s="59"/>
      <c r="K51" s="59"/>
      <c r="L51" s="59"/>
      <c r="M51" s="59"/>
      <c r="N51" s="59"/>
      <c r="O51" s="59"/>
      <c r="P51" s="60"/>
    </row>
    <row r="52" spans="2:16" ht="15" customHeight="1" x14ac:dyDescent="0.25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</row>
    <row r="53" spans="2:16" ht="30" customHeight="1" x14ac:dyDescent="0.25">
      <c r="B53" s="76" t="s">
        <v>45</v>
      </c>
      <c r="C53" s="76"/>
      <c r="D53" s="78" t="s">
        <v>49</v>
      </c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</row>
    <row r="54" spans="2:16" ht="30" customHeight="1" x14ac:dyDescent="0.25">
      <c r="B54" s="77" t="s">
        <v>46</v>
      </c>
      <c r="C54" s="77"/>
      <c r="D54" s="79" t="s">
        <v>48</v>
      </c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</row>
    <row r="55" spans="2:16" ht="30" customHeight="1" x14ac:dyDescent="0.25">
      <c r="B55" s="77" t="s">
        <v>47</v>
      </c>
      <c r="C55" s="77"/>
      <c r="D55" s="79" t="s">
        <v>50</v>
      </c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</row>
    <row r="56" spans="2:16" ht="8.25" customHeight="1" x14ac:dyDescent="0.25"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N56" s="33"/>
      <c r="O56" s="33"/>
      <c r="P56" s="33"/>
    </row>
  </sheetData>
  <sheetProtection selectLockedCells="1" selectUnlockedCells="1"/>
  <protectedRanges>
    <protectedRange sqref="D7:F8 N7:P8 E9:P9" name="Intervalo1_2"/>
    <protectedRange sqref="E10:P11" name="Intervalo1_2_1_1_1"/>
  </protectedRanges>
  <mergeCells count="41">
    <mergeCell ref="B5:H5"/>
    <mergeCell ref="B1:P1"/>
    <mergeCell ref="I3:P3"/>
    <mergeCell ref="I4:P4"/>
    <mergeCell ref="I5:P5"/>
    <mergeCell ref="B3:H3"/>
    <mergeCell ref="B4:H4"/>
    <mergeCell ref="G7:P7"/>
    <mergeCell ref="B8:F8"/>
    <mergeCell ref="G8:P8"/>
    <mergeCell ref="I51:P51"/>
    <mergeCell ref="B6:P6"/>
    <mergeCell ref="B7:F7"/>
    <mergeCell ref="B10:P11"/>
    <mergeCell ref="B51:H51"/>
    <mergeCell ref="B9:P9"/>
    <mergeCell ref="U21:V21"/>
    <mergeCell ref="B13:P13"/>
    <mergeCell ref="B14:P14"/>
    <mergeCell ref="B12:P12"/>
    <mergeCell ref="B15:C18"/>
    <mergeCell ref="D15:G15"/>
    <mergeCell ref="H15:K15"/>
    <mergeCell ref="M15:P17"/>
    <mergeCell ref="M18:N19"/>
    <mergeCell ref="O18:P19"/>
    <mergeCell ref="B20:C20"/>
    <mergeCell ref="D20:E20"/>
    <mergeCell ref="N56:P56"/>
    <mergeCell ref="H20:I20"/>
    <mergeCell ref="B29:C29"/>
    <mergeCell ref="B30:P30"/>
    <mergeCell ref="B28:C28"/>
    <mergeCell ref="C50:G50"/>
    <mergeCell ref="J50:O50"/>
    <mergeCell ref="B53:C53"/>
    <mergeCell ref="B54:C54"/>
    <mergeCell ref="B55:C55"/>
    <mergeCell ref="D53:P53"/>
    <mergeCell ref="D54:P54"/>
    <mergeCell ref="D55:P55"/>
  </mergeCells>
  <phoneticPr fontId="8" type="noConversion"/>
  <conditionalFormatting sqref="M22:N29">
    <cfRule type="containsErrors" dxfId="0" priority="1">
      <formula>ISERROR(M22)</formula>
    </cfRule>
  </conditionalFormatting>
  <dataValidations disablePrompts="1" count="1">
    <dataValidation type="list" allowBlank="1" showInputMessage="1" showErrorMessage="1" sqref="M18:N19" xr:uid="{D4BCCAD4-5230-4225-A69E-1B955C9C6B2A}">
      <formula1>$U$22:$U$25</formula1>
    </dataValidation>
  </dataValidations>
  <printOptions horizontalCentered="1"/>
  <pageMargins left="0.59055118110236227" right="0.59055118110236227" top="0.78740157480314965" bottom="0.78740157480314965" header="0" footer="0"/>
  <pageSetup paperSize="9" scale="6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FR-IMOB-47_Rev00</vt:lpstr>
      <vt:lpstr>'FR-IMOB-47_Rev00'!Area_de_impressao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Cesar Salvatori Treter</dc:creator>
  <cp:lastModifiedBy>Samara Rodrigues Dos Santos</cp:lastModifiedBy>
  <cp:lastPrinted>2023-05-04T19:52:49Z</cp:lastPrinted>
  <dcterms:created xsi:type="dcterms:W3CDTF">2021-11-09T19:14:46Z</dcterms:created>
  <dcterms:modified xsi:type="dcterms:W3CDTF">2026-02-16T16:03:39Z</dcterms:modified>
</cp:coreProperties>
</file>