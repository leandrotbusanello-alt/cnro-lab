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D0DCB096-FF41-4F53-8909-CC49C4FB9589}" xr6:coauthVersionLast="47" xr6:coauthVersionMax="47" xr10:uidLastSave="{00000000-0000-0000-0000-000000000000}"/>
  <bookViews>
    <workbookView xWindow="-28910" yWindow="-1730" windowWidth="29020" windowHeight="15820" xr2:uid="{C04F8151-E56C-44A6-B63B-2CB5244BA1E6}"/>
  </bookViews>
  <sheets>
    <sheet name="FR-IMOB-11_Rev00" sheetId="1" r:id="rId1"/>
  </sheets>
  <definedNames>
    <definedName name="_xlnm.Print_Area" localSheetId="0">'FR-IMOB-11_Rev00'!$B$1:$T$68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O57" i="1"/>
  <c r="F57" i="1"/>
  <c r="O56" i="1"/>
  <c r="F56" i="1"/>
  <c r="O55" i="1"/>
  <c r="F55" i="1"/>
  <c r="O54" i="1"/>
  <c r="F54" i="1"/>
  <c r="O53" i="1"/>
  <c r="F53" i="1"/>
  <c r="O52" i="1"/>
  <c r="F52" i="1"/>
  <c r="O51" i="1"/>
  <c r="F51" i="1"/>
  <c r="O50" i="1"/>
  <c r="F50" i="1"/>
  <c r="O49" i="1"/>
  <c r="F49" i="1"/>
  <c r="O48" i="1"/>
  <c r="F48" i="1"/>
  <c r="O47" i="1"/>
  <c r="F47" i="1"/>
  <c r="P39" i="1"/>
  <c r="Q39" i="1" s="1"/>
  <c r="H47" i="1" s="1"/>
  <c r="G39" i="1"/>
  <c r="H39" i="1" s="1"/>
  <c r="P38" i="1"/>
  <c r="Q38" i="1" s="1"/>
  <c r="H48" i="1" s="1"/>
  <c r="G38" i="1"/>
  <c r="H38" i="1" s="1"/>
  <c r="G48" i="1" s="1"/>
  <c r="P37" i="1"/>
  <c r="Q37" i="1" s="1"/>
  <c r="H49" i="1" s="1"/>
  <c r="G37" i="1"/>
  <c r="H37" i="1" s="1"/>
  <c r="G49" i="1" s="1"/>
  <c r="P36" i="1"/>
  <c r="Q36" i="1" s="1"/>
  <c r="H50" i="1" s="1"/>
  <c r="G36" i="1"/>
  <c r="H36" i="1" s="1"/>
  <c r="G50" i="1" s="1"/>
  <c r="P35" i="1"/>
  <c r="Q35" i="1" s="1"/>
  <c r="H51" i="1" s="1"/>
  <c r="G35" i="1"/>
  <c r="H35" i="1" s="1"/>
  <c r="G51" i="1" s="1"/>
  <c r="P34" i="1"/>
  <c r="Q34" i="1" s="1"/>
  <c r="H52" i="1" s="1"/>
  <c r="H34" i="1"/>
  <c r="G52" i="1" s="1"/>
  <c r="P33" i="1"/>
  <c r="Q33" i="1" s="1"/>
  <c r="H53" i="1" s="1"/>
  <c r="G33" i="1"/>
  <c r="H33" i="1" s="1"/>
  <c r="G53" i="1" s="1"/>
  <c r="P32" i="1"/>
  <c r="Q32" i="1" s="1"/>
  <c r="H54" i="1" s="1"/>
  <c r="G32" i="1"/>
  <c r="H32" i="1" s="1"/>
  <c r="G54" i="1" s="1"/>
  <c r="P31" i="1"/>
  <c r="Q31" i="1" s="1"/>
  <c r="H55" i="1" s="1"/>
  <c r="G31" i="1"/>
  <c r="H31" i="1" s="1"/>
  <c r="G55" i="1" s="1"/>
  <c r="P30" i="1"/>
  <c r="Q30" i="1" s="1"/>
  <c r="H56" i="1" s="1"/>
  <c r="G30" i="1"/>
  <c r="H30" i="1" s="1"/>
  <c r="G56" i="1" s="1"/>
  <c r="P29" i="1"/>
  <c r="Q29" i="1" s="1"/>
  <c r="H57" i="1" s="1"/>
  <c r="G29" i="1"/>
  <c r="H29" i="1" s="1"/>
  <c r="G57" i="1" s="1"/>
  <c r="I50" i="1" l="1"/>
  <c r="P54" i="1" s="1"/>
  <c r="I51" i="1"/>
  <c r="P53" i="1" s="1"/>
  <c r="G40" i="1"/>
  <c r="H40" i="1" s="1"/>
  <c r="I49" i="1"/>
  <c r="P55" i="1" s="1"/>
  <c r="O40" i="1"/>
  <c r="P40" i="1" s="1"/>
  <c r="Q40" i="1" s="1"/>
  <c r="I48" i="1"/>
  <c r="P56" i="1" s="1"/>
  <c r="K46" i="1"/>
  <c r="I55" i="1"/>
  <c r="P49" i="1" s="1"/>
  <c r="I54" i="1"/>
  <c r="P50" i="1" s="1"/>
  <c r="I53" i="1"/>
  <c r="P51" i="1" s="1"/>
  <c r="I52" i="1"/>
  <c r="P52" i="1" s="1"/>
  <c r="I57" i="1"/>
  <c r="P47" i="1" s="1"/>
  <c r="I56" i="1"/>
  <c r="P48" i="1" s="1"/>
  <c r="G47" i="1"/>
  <c r="I47" i="1" l="1"/>
  <c r="P57" i="1" s="1"/>
</calcChain>
</file>

<file path=xl/sharedStrings.xml><?xml version="1.0" encoding="utf-8"?>
<sst xmlns="http://schemas.openxmlformats.org/spreadsheetml/2006/main" count="67" uniqueCount="49">
  <si>
    <t>AMOSTRA 01</t>
  </si>
  <si>
    <t>AMOSTRA 02</t>
  </si>
  <si>
    <t>Amostra total seca (g)</t>
  </si>
  <si>
    <t>Peneira</t>
  </si>
  <si>
    <t>Peso amostra seca</t>
  </si>
  <si>
    <t>% &lt;  f</t>
  </si>
  <si>
    <t xml:space="preserve">Nº </t>
  </si>
  <si>
    <t>mm</t>
  </si>
  <si>
    <t>retido</t>
  </si>
  <si>
    <t>passado</t>
  </si>
  <si>
    <t>1 1/2"</t>
  </si>
  <si>
    <t>1"</t>
  </si>
  <si>
    <t>3/4"</t>
  </si>
  <si>
    <t>5/8"</t>
  </si>
  <si>
    <t>1/2"</t>
  </si>
  <si>
    <t>3/8"</t>
  </si>
  <si>
    <t>Fundo</t>
  </si>
  <si>
    <t>Diâm. Máx. (mm):</t>
  </si>
  <si>
    <t>% MÉDIA PASSANTE</t>
  </si>
  <si>
    <t>PENEIRA</t>
  </si>
  <si>
    <t>% PASS.</t>
  </si>
  <si>
    <t>MÉDIA</t>
  </si>
  <si>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</si>
  <si>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</si>
  <si>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</si>
  <si>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</si>
  <si>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</si>
  <si>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</si>
  <si>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</si>
  <si>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DNIT 412 - Pavimentação - Misturas asfálticas - Análise granulométrica de agregados graúdos e miúdos e misturas de agregados por peneiramento - Método de ensaio.</t>
  </si>
  <si>
    <t>GRANULOMETRIA DE AGREGADOS</t>
  </si>
  <si>
    <r>
      <t xml:space="preserve">INFORMAÇÕES DO GRÁFICO - </t>
    </r>
    <r>
      <rPr>
        <b/>
        <sz val="10"/>
        <color indexed="10"/>
        <rFont val="Tahoma"/>
        <family val="2"/>
      </rPr>
      <t>NÃO DELETAR</t>
    </r>
  </si>
  <si>
    <t>ABNT NM 248 - Agregados - Determinação da composição granulométrica.</t>
  </si>
  <si>
    <t>Assinaturas:</t>
  </si>
  <si>
    <t>DNER-ME 083 - Agregados - Análise Granulometrica.</t>
  </si>
  <si>
    <t>Responsável calculista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</si>
  <si>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ANÁLISE GRANULOMETRICA DE AGREGADOS</t>
    </r>
  </si>
  <si>
    <t xml:space="preserve">Elaborado por: </t>
  </si>
  <si>
    <t xml:space="preserve">Revisado por: </t>
  </si>
  <si>
    <t>Aprovado por:</t>
  </si>
  <si>
    <t xml:space="preserve">Samara Rodrigues </t>
  </si>
  <si>
    <r>
      <rPr>
        <sz val="12"/>
        <rFont val="Tahoma"/>
        <family val="2"/>
      </rPr>
      <t xml:space="preserve">Codificação: </t>
    </r>
    <r>
      <rPr>
        <b/>
        <sz val="12"/>
        <rFont val="Tahoma"/>
        <family val="2"/>
      </rPr>
      <t xml:space="preserve">FR-IMOB-11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</si>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</sst>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 x14ac:knownFonts="1">
    <font>
      <sz val="11"/>
      <color theme="1"/>
      <name val="Aptos Narrow"/>
      <family val="2"/>
      <scheme val="minor"/>
    </font>
    <font>
      <b/>
      <sz val="23"/>
      <name val="Aptos Narrow"/>
      <family val="2"/>
      <scheme val="minor"/>
    </font>
    <font>
      <b/>
      <sz val="9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name val="Aptos Narrow"/>
      <family val="2"/>
      <scheme val="minor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10"/>
      <color theme="0"/>
      <name val="Tahoma"/>
      <family val="2"/>
    </font>
    <font>
      <b/>
      <i/>
      <sz val="10"/>
      <color theme="1"/>
      <name val="Tahoma"/>
      <family val="2"/>
    </font>
    <font>
      <sz val="10"/>
      <color theme="0"/>
      <name val="Tahoma"/>
      <family val="2"/>
    </font>
    <font>
      <b/>
      <sz val="10"/>
      <color indexed="10"/>
      <name val="Tahoma"/>
      <family val="2"/>
    </font>
    <font>
      <i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8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8" fillId="0" borderId="0"/>
    <xf numFmtId="0" fontId="8" fillId="0" borderId="0"/>
  </cellStyleXfs>
  <cellXfs count="188">
    <xf numFmtId="0" fontId="0" fillId="0" borderId="0" xfId="0"/>
    <xf numFmtId="0" fontId="1" fillId="2" borderId="0" xfId="0" applyFont="1" applyFill="1" applyAlignment="1" applyProtection="1">
      <alignment vertical="center" wrapText="1"/>
      <protection hidden="1"/>
    </xf>
    <xf numFmtId="0" fontId="3" fillId="2" borderId="0" xfId="0" applyFont="1" applyFill="1" applyProtection="1">
      <protection hidden="1"/>
    </xf>
    <xf numFmtId="3" fontId="3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5" fillId="2" borderId="0" xfId="0" applyFont="1" applyFill="1" applyProtection="1">
      <protection hidden="1"/>
    </xf>
    <xf numFmtId="10" fontId="2" fillId="2" borderId="0" xfId="0" applyNumberFormat="1" applyFont="1" applyFill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7" fillId="2" borderId="0" xfId="0" applyFont="1" applyFill="1" applyProtection="1">
      <protection hidden="1"/>
    </xf>
    <xf numFmtId="0" fontId="4" fillId="3" borderId="0" xfId="0" applyFont="1" applyFill="1" applyAlignment="1" applyProtection="1">
      <alignment vertical="center"/>
      <protection hidden="1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0" fontId="9" fillId="2" borderId="0" xfId="0" applyFont="1" applyFill="1" applyProtection="1">
      <protection hidden="1"/>
    </xf>
    <xf numFmtId="10" fontId="9" fillId="3" borderId="0" xfId="1" applyNumberFormat="1" applyFont="1" applyFill="1" applyBorder="1" applyAlignment="1" applyProtection="1">
      <alignment vertical="center"/>
      <protection hidden="1"/>
    </xf>
    <xf numFmtId="10" fontId="9" fillId="3" borderId="0" xfId="1" applyNumberFormat="1" applyFont="1" applyFill="1" applyBorder="1" applyAlignment="1" applyProtection="1">
      <alignment vertical="center" wrapText="1"/>
      <protection hidden="1"/>
    </xf>
    <xf numFmtId="164" fontId="9" fillId="2" borderId="0" xfId="0" applyNumberFormat="1" applyFont="1" applyFill="1" applyProtection="1">
      <protection hidden="1"/>
    </xf>
    <xf numFmtId="10" fontId="9" fillId="3" borderId="0" xfId="1" applyNumberFormat="1" applyFont="1" applyFill="1" applyBorder="1" applyAlignment="1" applyProtection="1">
      <alignment horizontal="center"/>
      <protection hidden="1"/>
    </xf>
    <xf numFmtId="0" fontId="13" fillId="2" borderId="0" xfId="0" applyFont="1" applyFill="1" applyProtection="1">
      <protection hidden="1"/>
    </xf>
    <xf numFmtId="10" fontId="13" fillId="3" borderId="0" xfId="0" applyNumberFormat="1" applyFont="1" applyFill="1" applyAlignment="1" applyProtection="1">
      <alignment horizontal="center" vertical="center"/>
      <protection hidden="1"/>
    </xf>
    <xf numFmtId="164" fontId="10" fillId="2" borderId="10" xfId="0" applyNumberFormat="1" applyFont="1" applyFill="1" applyBorder="1" applyAlignment="1" applyProtection="1">
      <alignment horizontal="center" vertical="center"/>
      <protection hidden="1"/>
    </xf>
    <xf numFmtId="164" fontId="10" fillId="2" borderId="9" xfId="0" applyNumberFormat="1" applyFont="1" applyFill="1" applyBorder="1" applyAlignment="1" applyProtection="1">
      <alignment horizontal="center" vertical="center"/>
      <protection hidden="1"/>
    </xf>
    <xf numFmtId="0" fontId="10" fillId="2" borderId="9" xfId="0" applyFont="1" applyFill="1" applyBorder="1" applyAlignment="1" applyProtection="1">
      <alignment horizontal="center" vertical="center"/>
      <protection hidden="1"/>
    </xf>
    <xf numFmtId="10" fontId="13" fillId="2" borderId="0" xfId="0" applyNumberFormat="1" applyFont="1" applyFill="1" applyAlignment="1" applyProtection="1">
      <alignment horizontal="center" vertical="center"/>
      <protection hidden="1"/>
    </xf>
    <xf numFmtId="2" fontId="10" fillId="2" borderId="9" xfId="0" applyNumberFormat="1" applyFont="1" applyFill="1" applyBorder="1" applyAlignment="1" applyProtection="1">
      <alignment horizontal="center" vertical="center"/>
      <protection hidden="1"/>
    </xf>
    <xf numFmtId="0" fontId="10" fillId="2" borderId="13" xfId="0" applyFont="1" applyFill="1" applyBorder="1" applyAlignment="1" applyProtection="1">
      <alignment horizontal="center" vertical="center"/>
      <protection hidden="1"/>
    </xf>
    <xf numFmtId="164" fontId="13" fillId="3" borderId="0" xfId="0" applyNumberFormat="1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10" fontId="10" fillId="2" borderId="0" xfId="0" applyNumberFormat="1" applyFont="1" applyFill="1" applyAlignment="1" applyProtection="1">
      <alignment horizontal="center" vertical="center"/>
      <protection hidden="1"/>
    </xf>
    <xf numFmtId="0" fontId="9" fillId="3" borderId="12" xfId="0" applyFont="1" applyFill="1" applyBorder="1" applyProtection="1">
      <protection hidden="1"/>
    </xf>
    <xf numFmtId="0" fontId="9" fillId="2" borderId="12" xfId="0" applyFont="1" applyFill="1" applyBorder="1" applyProtection="1">
      <protection hidden="1"/>
    </xf>
    <xf numFmtId="0" fontId="9" fillId="3" borderId="11" xfId="0" applyFont="1" applyFill="1" applyBorder="1" applyProtection="1">
      <protection hidden="1"/>
    </xf>
    <xf numFmtId="0" fontId="9" fillId="0" borderId="0" xfId="0" applyFont="1" applyAlignment="1">
      <alignment horizontal="left" vertical="center"/>
    </xf>
    <xf numFmtId="164" fontId="9" fillId="2" borderId="3" xfId="0" applyNumberFormat="1" applyFont="1" applyFill="1" applyBorder="1" applyAlignment="1" applyProtection="1">
      <alignment horizontal="center" vertical="center"/>
      <protection locked="0"/>
    </xf>
    <xf numFmtId="10" fontId="9" fillId="3" borderId="0" xfId="1" applyNumberFormat="1" applyFont="1" applyFill="1" applyBorder="1" applyAlignment="1" applyProtection="1">
      <protection hidden="1"/>
    </xf>
    <xf numFmtId="0" fontId="9" fillId="2" borderId="9" xfId="0" applyFont="1" applyFill="1" applyBorder="1" applyAlignment="1" applyProtection="1">
      <alignment horizontal="center" vertical="center"/>
      <protection hidden="1"/>
    </xf>
    <xf numFmtId="164" fontId="9" fillId="2" borderId="10" xfId="0" applyNumberFormat="1" applyFont="1" applyFill="1" applyBorder="1" applyAlignment="1" applyProtection="1">
      <alignment horizontal="center" vertical="center"/>
      <protection hidden="1"/>
    </xf>
    <xf numFmtId="164" fontId="9" fillId="2" borderId="10" xfId="0" applyNumberFormat="1" applyFont="1" applyFill="1" applyBorder="1" applyAlignment="1" applyProtection="1">
      <alignment horizontal="center" vertical="center"/>
      <protection locked="0"/>
    </xf>
    <xf numFmtId="164" fontId="9" fillId="2" borderId="9" xfId="0" applyNumberFormat="1" applyFont="1" applyFill="1" applyBorder="1" applyAlignment="1" applyProtection="1">
      <alignment horizontal="center" vertical="center"/>
      <protection hidden="1"/>
    </xf>
    <xf numFmtId="10" fontId="9" fillId="4" borderId="0" xfId="1" applyNumberFormat="1" applyFont="1" applyFill="1" applyBorder="1" applyAlignment="1" applyProtection="1">
      <alignment horizontal="center" vertical="center"/>
      <protection hidden="1"/>
    </xf>
    <xf numFmtId="10" fontId="9" fillId="4" borderId="0" xfId="1" applyNumberFormat="1" applyFont="1" applyFill="1" applyBorder="1" applyAlignment="1" applyProtection="1">
      <alignment vertical="center"/>
      <protection hidden="1"/>
    </xf>
    <xf numFmtId="164" fontId="9" fillId="2" borderId="9" xfId="0" applyNumberFormat="1" applyFont="1" applyFill="1" applyBorder="1" applyAlignment="1" applyProtection="1">
      <alignment horizontal="center" vertical="center"/>
      <protection locked="0"/>
    </xf>
    <xf numFmtId="10" fontId="9" fillId="2" borderId="0" xfId="1" applyNumberFormat="1" applyFont="1" applyFill="1" applyBorder="1" applyAlignment="1" applyProtection="1">
      <alignment horizontal="center" vertical="center"/>
      <protection hidden="1"/>
    </xf>
    <xf numFmtId="10" fontId="9" fillId="2" borderId="0" xfId="1" applyNumberFormat="1" applyFont="1" applyFill="1" applyBorder="1" applyAlignment="1" applyProtection="1">
      <alignment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164" fontId="9" fillId="2" borderId="9" xfId="1" applyNumberFormat="1" applyFont="1" applyFill="1" applyBorder="1" applyAlignment="1" applyProtection="1">
      <alignment horizontal="center" vertical="center"/>
      <protection hidden="1"/>
    </xf>
    <xf numFmtId="2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3" xfId="0" applyFont="1" applyFill="1" applyBorder="1" applyAlignment="1" applyProtection="1">
      <alignment horizontal="center" vertical="center"/>
      <protection hidden="1"/>
    </xf>
    <xf numFmtId="164" fontId="9" fillId="2" borderId="13" xfId="0" applyNumberFormat="1" applyFont="1" applyFill="1" applyBorder="1" applyAlignment="1" applyProtection="1">
      <alignment horizontal="center" vertical="center"/>
      <protection locked="0"/>
    </xf>
    <xf numFmtId="164" fontId="9" fillId="2" borderId="13" xfId="0" applyNumberFormat="1" applyFont="1" applyFill="1" applyBorder="1" applyAlignment="1" applyProtection="1">
      <alignment horizontal="center" vertical="center"/>
      <protection hidden="1"/>
    </xf>
    <xf numFmtId="10" fontId="9" fillId="3" borderId="14" xfId="0" applyNumberFormat="1" applyFont="1" applyFill="1" applyBorder="1" applyAlignment="1" applyProtection="1">
      <alignment horizontal="center" vertical="center"/>
      <protection hidden="1"/>
    </xf>
    <xf numFmtId="10" fontId="10" fillId="2" borderId="14" xfId="0" applyNumberFormat="1" applyFont="1" applyFill="1" applyBorder="1" applyAlignment="1" applyProtection="1">
      <alignment horizontal="center" vertical="center"/>
      <protection hidden="1"/>
    </xf>
    <xf numFmtId="0" fontId="11" fillId="0" borderId="16" xfId="3" applyFont="1" applyBorder="1" applyAlignment="1">
      <alignment vertical="center" wrapText="1"/>
    </xf>
    <xf numFmtId="0" fontId="11" fillId="0" borderId="17" xfId="3" applyFont="1" applyBorder="1" applyAlignment="1">
      <alignment vertical="center" wrapText="1"/>
    </xf>
    <xf numFmtId="0" fontId="11" fillId="0" borderId="24" xfId="3" applyFont="1" applyBorder="1" applyAlignment="1">
      <alignment vertical="center" wrapText="1"/>
    </xf>
    <xf numFmtId="164" fontId="9" fillId="2" borderId="15" xfId="0" applyNumberFormat="1" applyFont="1" applyFill="1" applyBorder="1" applyAlignment="1" applyProtection="1">
      <alignment horizontal="center" vertical="center"/>
      <protection locked="0"/>
    </xf>
    <xf numFmtId="0" fontId="9" fillId="2" borderId="15" xfId="0" applyFont="1" applyFill="1" applyBorder="1" applyAlignment="1" applyProtection="1">
      <alignment horizontal="center" vertical="center"/>
      <protection hidden="1"/>
    </xf>
    <xf numFmtId="0" fontId="9" fillId="3" borderId="15" xfId="0" applyFont="1" applyFill="1" applyBorder="1" applyProtection="1">
      <protection hidden="1"/>
    </xf>
    <xf numFmtId="0" fontId="9" fillId="2" borderId="15" xfId="0" applyFont="1" applyFill="1" applyBorder="1" applyProtection="1">
      <protection hidden="1"/>
    </xf>
    <xf numFmtId="0" fontId="3" fillId="2" borderId="6" xfId="0" applyFont="1" applyFill="1" applyBorder="1" applyProtection="1">
      <protection hidden="1"/>
    </xf>
    <xf numFmtId="0" fontId="3" fillId="2" borderId="12" xfId="0" applyFont="1" applyFill="1" applyBorder="1" applyProtection="1">
      <protection hidden="1"/>
    </xf>
    <xf numFmtId="0" fontId="5" fillId="2" borderId="12" xfId="0" applyFont="1" applyFill="1" applyBorder="1" applyProtection="1">
      <protection hidden="1"/>
    </xf>
    <xf numFmtId="10" fontId="2" fillId="2" borderId="12" xfId="0" applyNumberFormat="1" applyFont="1" applyFill="1" applyBorder="1" applyAlignment="1" applyProtection="1">
      <alignment horizontal="center" vertical="center"/>
      <protection hidden="1"/>
    </xf>
    <xf numFmtId="0" fontId="9" fillId="2" borderId="14" xfId="0" applyFont="1" applyFill="1" applyBorder="1" applyProtection="1">
      <protection hidden="1"/>
    </xf>
    <xf numFmtId="164" fontId="9" fillId="3" borderId="14" xfId="0" applyNumberFormat="1" applyFont="1" applyFill="1" applyBorder="1" applyAlignment="1" applyProtection="1">
      <alignment horizontal="center" vertical="center"/>
      <protection hidden="1"/>
    </xf>
    <xf numFmtId="10" fontId="9" fillId="2" borderId="14" xfId="0" applyNumberFormat="1" applyFont="1" applyFill="1" applyBorder="1" applyAlignment="1" applyProtection="1">
      <alignment horizontal="center" vertical="center"/>
      <protection hidden="1"/>
    </xf>
    <xf numFmtId="0" fontId="10" fillId="2" borderId="14" xfId="0" applyFont="1" applyFill="1" applyBorder="1" applyAlignment="1" applyProtection="1">
      <alignment horizontal="center" vertical="center"/>
      <protection hidden="1"/>
    </xf>
    <xf numFmtId="10" fontId="2" fillId="2" borderId="8" xfId="0" applyNumberFormat="1" applyFont="1" applyFill="1" applyBorder="1" applyAlignment="1" applyProtection="1">
      <alignment horizontal="center" vertical="center"/>
      <protection hidden="1"/>
    </xf>
    <xf numFmtId="0" fontId="9" fillId="0" borderId="20" xfId="2" applyFont="1" applyBorder="1" applyAlignment="1">
      <alignment vertical="center"/>
    </xf>
    <xf numFmtId="0" fontId="9" fillId="0" borderId="22" xfId="2" applyFont="1" applyBorder="1" applyAlignment="1">
      <alignment vertical="center"/>
    </xf>
    <xf numFmtId="0" fontId="9" fillId="0" borderId="25" xfId="2" applyFont="1" applyBorder="1" applyAlignment="1">
      <alignment vertical="center"/>
    </xf>
    <xf numFmtId="0" fontId="3" fillId="2" borderId="5" xfId="0" applyFont="1" applyFill="1" applyBorder="1" applyProtection="1">
      <protection hidden="1"/>
    </xf>
    <xf numFmtId="0" fontId="3" fillId="2" borderId="11" xfId="0" applyFont="1" applyFill="1" applyBorder="1" applyProtection="1">
      <protection hidden="1"/>
    </xf>
    <xf numFmtId="0" fontId="5" fillId="2" borderId="11" xfId="0" applyFont="1" applyFill="1" applyBorder="1" applyProtection="1">
      <protection hidden="1"/>
    </xf>
    <xf numFmtId="0" fontId="5" fillId="2" borderId="7" xfId="0" applyFont="1" applyFill="1" applyBorder="1" applyProtection="1">
      <protection hidden="1"/>
    </xf>
    <xf numFmtId="0" fontId="9" fillId="0" borderId="19" xfId="2" applyFont="1" applyBorder="1" applyAlignment="1">
      <alignment vertical="center"/>
    </xf>
    <xf numFmtId="0" fontId="9" fillId="0" borderId="21" xfId="2" applyFont="1" applyBorder="1" applyAlignment="1">
      <alignment vertical="center"/>
    </xf>
    <xf numFmtId="0" fontId="9" fillId="0" borderId="23" xfId="2" applyFont="1" applyBorder="1" applyAlignment="1">
      <alignment vertical="center"/>
    </xf>
    <xf numFmtId="10" fontId="9" fillId="3" borderId="12" xfId="0" applyNumberFormat="1" applyFont="1" applyFill="1" applyBorder="1" applyProtection="1">
      <protection hidden="1"/>
    </xf>
    <xf numFmtId="0" fontId="3" fillId="2" borderId="11" xfId="0" applyFont="1" applyFill="1" applyBorder="1" applyAlignment="1" applyProtection="1">
      <alignment vertical="center"/>
      <protection hidden="1"/>
    </xf>
    <xf numFmtId="165" fontId="9" fillId="3" borderId="12" xfId="0" applyNumberFormat="1" applyFont="1" applyFill="1" applyBorder="1" applyAlignment="1" applyProtection="1">
      <alignment vertical="center"/>
      <protection hidden="1"/>
    </xf>
    <xf numFmtId="0" fontId="14" fillId="4" borderId="0" xfId="0" applyFont="1" applyFill="1" applyAlignment="1" applyProtection="1">
      <alignment horizontal="center" vertical="center"/>
      <protection hidden="1"/>
    </xf>
    <xf numFmtId="0" fontId="9" fillId="4" borderId="0" xfId="0" applyFont="1" applyFill="1" applyProtection="1">
      <protection hidden="1"/>
    </xf>
    <xf numFmtId="0" fontId="10" fillId="4" borderId="0" xfId="0" applyFont="1" applyFill="1" applyAlignment="1" applyProtection="1">
      <alignment horizontal="center" vertical="center"/>
      <protection hidden="1"/>
    </xf>
    <xf numFmtId="164" fontId="9" fillId="4" borderId="0" xfId="0" applyNumberFormat="1" applyFont="1" applyFill="1" applyAlignment="1" applyProtection="1">
      <alignment horizontal="center" vertical="center"/>
      <protection locked="0"/>
    </xf>
    <xf numFmtId="0" fontId="9" fillId="5" borderId="0" xfId="0" applyFont="1" applyFill="1" applyAlignment="1" applyProtection="1">
      <alignment horizontal="center" vertical="center"/>
      <protection hidden="1"/>
    </xf>
    <xf numFmtId="0" fontId="9" fillId="3" borderId="0" xfId="0" applyFont="1" applyFill="1" applyProtection="1">
      <protection hidden="1"/>
    </xf>
    <xf numFmtId="164" fontId="9" fillId="3" borderId="0" xfId="0" applyNumberFormat="1" applyFont="1" applyFill="1" applyProtection="1">
      <protection hidden="1"/>
    </xf>
    <xf numFmtId="2" fontId="9" fillId="3" borderId="0" xfId="0" applyNumberFormat="1" applyFont="1" applyFill="1" applyProtection="1">
      <protection hidden="1"/>
    </xf>
    <xf numFmtId="0" fontId="9" fillId="5" borderId="0" xfId="0" applyFont="1" applyFill="1" applyProtection="1">
      <protection hidden="1"/>
    </xf>
    <xf numFmtId="0" fontId="16" fillId="5" borderId="0" xfId="0" applyFont="1" applyFill="1" applyAlignment="1" applyProtection="1">
      <alignment horizontal="center" vertical="center"/>
      <protection hidden="1"/>
    </xf>
    <xf numFmtId="0" fontId="9" fillId="5" borderId="0" xfId="0" applyFont="1" applyFill="1" applyAlignment="1" applyProtection="1">
      <alignment vertical="center"/>
      <protection hidden="1"/>
    </xf>
    <xf numFmtId="164" fontId="9" fillId="2" borderId="0" xfId="0" applyNumberFormat="1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10" fontId="9" fillId="3" borderId="0" xfId="0" applyNumberFormat="1" applyFont="1" applyFill="1" applyAlignment="1" applyProtection="1">
      <alignment horizontal="center" vertical="center"/>
      <protection hidden="1"/>
    </xf>
    <xf numFmtId="10" fontId="9" fillId="2" borderId="0" xfId="0" applyNumberFormat="1" applyFont="1" applyFill="1" applyAlignment="1" applyProtection="1">
      <alignment horizontal="center" vertical="center"/>
      <protection hidden="1"/>
    </xf>
    <xf numFmtId="2" fontId="9" fillId="3" borderId="0" xfId="0" applyNumberFormat="1" applyFont="1" applyFill="1" applyAlignment="1" applyProtection="1">
      <alignment horizontal="center" vertical="center"/>
      <protection hidden="1"/>
    </xf>
    <xf numFmtId="164" fontId="9" fillId="3" borderId="0" xfId="0" applyNumberFormat="1" applyFont="1" applyFill="1" applyAlignment="1" applyProtection="1">
      <alignment horizontal="center" vertical="center"/>
      <protection hidden="1"/>
    </xf>
    <xf numFmtId="164" fontId="9" fillId="2" borderId="0" xfId="0" applyNumberFormat="1" applyFont="1" applyFill="1" applyAlignment="1" applyProtection="1">
      <alignment horizontal="center" vertical="center"/>
      <protection hidden="1"/>
    </xf>
    <xf numFmtId="0" fontId="21" fillId="0" borderId="0" xfId="2" applyFont="1" applyAlignment="1" applyProtection="1">
      <alignment vertical="center" wrapText="1"/>
      <protection locked="0"/>
    </xf>
    <xf numFmtId="0" fontId="14" fillId="4" borderId="2" xfId="0" applyFont="1" applyFill="1" applyBorder="1" applyAlignment="1">
      <alignment vertical="center" wrapText="1"/>
    </xf>
    <xf numFmtId="0" fontId="18" fillId="4" borderId="2" xfId="3" applyFont="1" applyFill="1" applyBorder="1" applyAlignment="1">
      <alignment vertical="center"/>
    </xf>
    <xf numFmtId="0" fontId="15" fillId="4" borderId="2" xfId="3" applyFont="1" applyFill="1" applyBorder="1" applyAlignment="1">
      <alignment vertical="center"/>
    </xf>
    <xf numFmtId="0" fontId="16" fillId="7" borderId="4" xfId="0" applyFont="1" applyFill="1" applyBorder="1" applyAlignment="1" applyProtection="1">
      <alignment horizontal="center" vertical="center"/>
      <protection hidden="1"/>
    </xf>
    <xf numFmtId="49" fontId="22" fillId="4" borderId="2" xfId="2" applyNumberFormat="1" applyFont="1" applyFill="1" applyBorder="1" applyAlignment="1" applyProtection="1">
      <alignment horizontal="center" vertical="center"/>
      <protection locked="0" hidden="1"/>
    </xf>
    <xf numFmtId="0" fontId="22" fillId="4" borderId="2" xfId="2" applyFont="1" applyFill="1" applyBorder="1" applyAlignment="1" applyProtection="1">
      <alignment horizontal="center" vertical="center"/>
      <protection locked="0" hidden="1"/>
    </xf>
    <xf numFmtId="2" fontId="19" fillId="4" borderId="2" xfId="2" applyNumberFormat="1" applyFont="1" applyFill="1" applyBorder="1" applyAlignment="1" applyProtection="1">
      <alignment horizontal="left" vertical="center"/>
      <protection locked="0"/>
    </xf>
    <xf numFmtId="0" fontId="21" fillId="4" borderId="2" xfId="2" applyFont="1" applyFill="1" applyBorder="1" applyAlignment="1" applyProtection="1">
      <alignment horizontal="left" vertical="center"/>
      <protection locked="0" hidden="1"/>
    </xf>
    <xf numFmtId="10" fontId="10" fillId="2" borderId="11" xfId="0" applyNumberFormat="1" applyFont="1" applyFill="1" applyBorder="1" applyAlignment="1" applyProtection="1">
      <alignment horizontal="center" vertical="center"/>
      <protection hidden="1"/>
    </xf>
    <xf numFmtId="10" fontId="10" fillId="2" borderId="0" xfId="0" applyNumberFormat="1" applyFont="1" applyFill="1" applyAlignment="1" applyProtection="1">
      <alignment horizontal="center" vertical="center"/>
      <protection hidden="1"/>
    </xf>
    <xf numFmtId="10" fontId="10" fillId="2" borderId="12" xfId="0" applyNumberFormat="1" applyFont="1" applyFill="1" applyBorder="1" applyAlignment="1" applyProtection="1">
      <alignment horizontal="center" vertical="center"/>
      <protection hidden="1"/>
    </xf>
    <xf numFmtId="10" fontId="10" fillId="2" borderId="7" xfId="0" applyNumberFormat="1" applyFont="1" applyFill="1" applyBorder="1" applyAlignment="1" applyProtection="1">
      <alignment horizontal="center" vertical="center"/>
      <protection hidden="1"/>
    </xf>
    <xf numFmtId="10" fontId="10" fillId="2" borderId="14" xfId="0" applyNumberFormat="1" applyFont="1" applyFill="1" applyBorder="1" applyAlignment="1" applyProtection="1">
      <alignment horizontal="center" vertical="center"/>
      <protection hidden="1"/>
    </xf>
    <xf numFmtId="10" fontId="10" fillId="2" borderId="8" xfId="0" applyNumberFormat="1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10" fontId="10" fillId="2" borderId="5" xfId="0" applyNumberFormat="1" applyFont="1" applyFill="1" applyBorder="1" applyAlignment="1" applyProtection="1">
      <alignment horizontal="center" vertical="center"/>
      <protection hidden="1"/>
    </xf>
    <xf numFmtId="10" fontId="10" fillId="2" borderId="15" xfId="0" applyNumberFormat="1" applyFont="1" applyFill="1" applyBorder="1" applyAlignment="1" applyProtection="1">
      <alignment horizontal="center" vertical="center"/>
      <protection hidden="1"/>
    </xf>
    <xf numFmtId="10" fontId="10" fillId="2" borderId="6" xfId="0" applyNumberFormat="1" applyFont="1" applyFill="1" applyBorder="1" applyAlignment="1" applyProtection="1">
      <alignment horizontal="center" vertical="center"/>
      <protection hidden="1"/>
    </xf>
    <xf numFmtId="0" fontId="9" fillId="2" borderId="5" xfId="0" applyFont="1" applyFill="1" applyBorder="1" applyAlignment="1" applyProtection="1">
      <alignment horizontal="center" vertical="center"/>
      <protection hidden="1"/>
    </xf>
    <xf numFmtId="0" fontId="9" fillId="2" borderId="6" xfId="0" applyFont="1" applyFill="1" applyBorder="1" applyAlignment="1" applyProtection="1">
      <alignment horizontal="center" vertical="center"/>
      <protection hidden="1"/>
    </xf>
    <xf numFmtId="0" fontId="9" fillId="0" borderId="0" xfId="2" applyFont="1" applyAlignment="1">
      <alignment horizontal="center" vertical="center"/>
    </xf>
    <xf numFmtId="0" fontId="9" fillId="2" borderId="1" xfId="0" applyFont="1" applyFill="1" applyBorder="1" applyAlignment="1" applyProtection="1">
      <alignment horizontal="left" vertical="center"/>
      <protection hidden="1"/>
    </xf>
    <xf numFmtId="0" fontId="9" fillId="2" borderId="2" xfId="0" applyFont="1" applyFill="1" applyBorder="1" applyAlignment="1" applyProtection="1">
      <alignment horizontal="left" vertical="center"/>
      <protection hidden="1"/>
    </xf>
    <xf numFmtId="0" fontId="16" fillId="7" borderId="1" xfId="0" applyFont="1" applyFill="1" applyBorder="1" applyAlignment="1" applyProtection="1">
      <alignment horizontal="center" vertical="center"/>
      <protection hidden="1"/>
    </xf>
    <xf numFmtId="0" fontId="16" fillId="7" borderId="3" xfId="0" applyFont="1" applyFill="1" applyBorder="1" applyAlignment="1" applyProtection="1">
      <alignment horizontal="center" vertical="center"/>
      <protection hidden="1"/>
    </xf>
    <xf numFmtId="0" fontId="16" fillId="7" borderId="5" xfId="0" applyFont="1" applyFill="1" applyBorder="1" applyAlignment="1" applyProtection="1">
      <alignment horizontal="center" vertical="center"/>
      <protection hidden="1"/>
    </xf>
    <xf numFmtId="0" fontId="16" fillId="7" borderId="6" xfId="0" applyFont="1" applyFill="1" applyBorder="1" applyAlignment="1" applyProtection="1">
      <alignment horizontal="center" vertical="center"/>
      <protection hidden="1"/>
    </xf>
    <xf numFmtId="0" fontId="16" fillId="7" borderId="7" xfId="0" applyFont="1" applyFill="1" applyBorder="1" applyAlignment="1" applyProtection="1">
      <alignment horizontal="center" vertical="center"/>
      <protection hidden="1"/>
    </xf>
    <xf numFmtId="0" fontId="16" fillId="7" borderId="8" xfId="0" applyFont="1" applyFill="1" applyBorder="1" applyAlignment="1" applyProtection="1">
      <alignment horizontal="center" vertical="center"/>
      <protection hidden="1"/>
    </xf>
    <xf numFmtId="10" fontId="9" fillId="2" borderId="11" xfId="1" applyNumberFormat="1" applyFont="1" applyFill="1" applyBorder="1" applyAlignment="1" applyProtection="1">
      <alignment horizontal="center" vertical="center"/>
      <protection hidden="1"/>
    </xf>
    <xf numFmtId="10" fontId="9" fillId="2" borderId="12" xfId="1" applyNumberFormat="1" applyFont="1" applyFill="1" applyBorder="1" applyAlignment="1" applyProtection="1">
      <alignment horizontal="center" vertical="center"/>
      <protection hidden="1"/>
    </xf>
    <xf numFmtId="0" fontId="14" fillId="6" borderId="5" xfId="3" applyFont="1" applyFill="1" applyBorder="1" applyAlignment="1">
      <alignment horizontal="center" vertical="center"/>
    </xf>
    <xf numFmtId="0" fontId="14" fillId="6" borderId="15" xfId="3" applyFont="1" applyFill="1" applyBorder="1" applyAlignment="1">
      <alignment horizontal="center" vertical="center"/>
    </xf>
    <xf numFmtId="0" fontId="14" fillId="6" borderId="6" xfId="3" applyFont="1" applyFill="1" applyBorder="1" applyAlignment="1">
      <alignment horizontal="center" vertical="center"/>
    </xf>
    <xf numFmtId="0" fontId="11" fillId="0" borderId="18" xfId="3" applyFont="1" applyBorder="1" applyAlignment="1">
      <alignment horizontal="center" vertical="top" wrapText="1"/>
    </xf>
    <xf numFmtId="0" fontId="11" fillId="0" borderId="24" xfId="3" applyFont="1" applyBorder="1" applyAlignment="1">
      <alignment horizontal="center" wrapText="1"/>
    </xf>
    <xf numFmtId="0" fontId="9" fillId="0" borderId="1" xfId="3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9" fillId="0" borderId="3" xfId="3" applyFont="1" applyBorder="1" applyAlignment="1">
      <alignment horizontal="left" vertical="center" wrapText="1"/>
    </xf>
    <xf numFmtId="0" fontId="14" fillId="6" borderId="1" xfId="3" applyFont="1" applyFill="1" applyBorder="1" applyAlignment="1">
      <alignment horizontal="center" vertical="center"/>
    </xf>
    <xf numFmtId="0" fontId="14" fillId="6" borderId="2" xfId="3" applyFont="1" applyFill="1" applyBorder="1" applyAlignment="1">
      <alignment horizontal="center" vertical="center"/>
    </xf>
    <xf numFmtId="0" fontId="14" fillId="6" borderId="3" xfId="3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10" fontId="9" fillId="2" borderId="7" xfId="1" applyNumberFormat="1" applyFont="1" applyFill="1" applyBorder="1" applyAlignment="1" applyProtection="1">
      <alignment horizontal="center" vertical="center"/>
      <protection hidden="1"/>
    </xf>
    <xf numFmtId="10" fontId="9" fillId="2" borderId="8" xfId="1" applyNumberFormat="1" applyFont="1" applyFill="1" applyBorder="1" applyAlignment="1" applyProtection="1">
      <alignment horizontal="center" vertical="center"/>
      <protection hidden="1"/>
    </xf>
    <xf numFmtId="0" fontId="9" fillId="0" borderId="15" xfId="2" applyFont="1" applyBorder="1" applyAlignment="1">
      <alignment horizontal="center" vertical="center"/>
    </xf>
    <xf numFmtId="164" fontId="9" fillId="2" borderId="5" xfId="0" applyNumberFormat="1" applyFont="1" applyFill="1" applyBorder="1" applyAlignment="1" applyProtection="1">
      <alignment horizontal="center" vertical="center"/>
      <protection locked="0"/>
    </xf>
    <xf numFmtId="164" fontId="9" fillId="2" borderId="15" xfId="0" applyNumberFormat="1" applyFont="1" applyFill="1" applyBorder="1" applyAlignment="1" applyProtection="1">
      <alignment horizontal="center" vertical="center"/>
      <protection locked="0"/>
    </xf>
    <xf numFmtId="164" fontId="9" fillId="2" borderId="6" xfId="0" applyNumberFormat="1" applyFont="1" applyFill="1" applyBorder="1" applyAlignment="1" applyProtection="1">
      <alignment horizontal="center" vertical="center"/>
      <protection locked="0"/>
    </xf>
    <xf numFmtId="0" fontId="14" fillId="6" borderId="5" xfId="0" applyFont="1" applyFill="1" applyBorder="1" applyAlignment="1" applyProtection="1">
      <alignment horizontal="center" vertical="center" wrapText="1"/>
      <protection hidden="1"/>
    </xf>
    <xf numFmtId="0" fontId="14" fillId="6" borderId="15" xfId="0" applyFont="1" applyFill="1" applyBorder="1" applyAlignment="1" applyProtection="1">
      <alignment horizontal="center" vertical="center" wrapText="1"/>
      <protection hidden="1"/>
    </xf>
    <xf numFmtId="0" fontId="14" fillId="6" borderId="6" xfId="0" applyFont="1" applyFill="1" applyBorder="1" applyAlignment="1" applyProtection="1">
      <alignment horizontal="center" vertical="center" wrapText="1"/>
      <protection hidden="1"/>
    </xf>
    <xf numFmtId="0" fontId="14" fillId="6" borderId="11" xfId="0" applyFont="1" applyFill="1" applyBorder="1" applyAlignment="1" applyProtection="1">
      <alignment horizontal="center" vertical="center" wrapText="1"/>
      <protection hidden="1"/>
    </xf>
    <xf numFmtId="0" fontId="14" fillId="6" borderId="0" xfId="0" applyFont="1" applyFill="1" applyAlignment="1" applyProtection="1">
      <alignment horizontal="center" vertical="center" wrapText="1"/>
      <protection hidden="1"/>
    </xf>
    <xf numFmtId="0" fontId="14" fillId="6" borderId="12" xfId="0" applyFont="1" applyFill="1" applyBorder="1" applyAlignment="1" applyProtection="1">
      <alignment horizontal="center" vertical="center" wrapText="1"/>
      <protection hidden="1"/>
    </xf>
    <xf numFmtId="0" fontId="14" fillId="6" borderId="7" xfId="0" applyFont="1" applyFill="1" applyBorder="1" applyAlignment="1" applyProtection="1">
      <alignment horizontal="center" vertical="center" wrapText="1"/>
      <protection hidden="1"/>
    </xf>
    <xf numFmtId="0" fontId="14" fillId="6" borderId="14" xfId="0" applyFont="1" applyFill="1" applyBorder="1" applyAlignment="1" applyProtection="1">
      <alignment horizontal="center" vertical="center" wrapText="1"/>
      <protection hidden="1"/>
    </xf>
    <xf numFmtId="0" fontId="14" fillId="6" borderId="8" xfId="0" applyFont="1" applyFill="1" applyBorder="1" applyAlignment="1" applyProtection="1">
      <alignment horizontal="center" vertical="center" wrapText="1"/>
      <protection hidden="1"/>
    </xf>
    <xf numFmtId="0" fontId="12" fillId="2" borderId="5" xfId="2" applyFont="1" applyFill="1" applyBorder="1" applyAlignment="1">
      <alignment horizontal="left" vertical="top"/>
    </xf>
    <xf numFmtId="0" fontId="12" fillId="2" borderId="15" xfId="2" applyFont="1" applyFill="1" applyBorder="1" applyAlignment="1">
      <alignment horizontal="left" vertical="top"/>
    </xf>
    <xf numFmtId="0" fontId="12" fillId="2" borderId="6" xfId="2" applyFont="1" applyFill="1" applyBorder="1" applyAlignment="1">
      <alignment horizontal="left" vertical="top"/>
    </xf>
    <xf numFmtId="0" fontId="12" fillId="2" borderId="11" xfId="2" applyFont="1" applyFill="1" applyBorder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12" xfId="2" applyFont="1" applyFill="1" applyBorder="1" applyAlignment="1">
      <alignment horizontal="left" vertical="top"/>
    </xf>
    <xf numFmtId="0" fontId="12" fillId="2" borderId="7" xfId="2" applyFont="1" applyFill="1" applyBorder="1" applyAlignment="1">
      <alignment horizontal="left" vertical="top"/>
    </xf>
    <xf numFmtId="0" fontId="12" fillId="2" borderId="14" xfId="2" applyFont="1" applyFill="1" applyBorder="1" applyAlignment="1">
      <alignment horizontal="left" vertical="top"/>
    </xf>
    <xf numFmtId="0" fontId="12" fillId="2" borderId="8" xfId="2" applyFont="1" applyFill="1" applyBorder="1" applyAlignment="1">
      <alignment horizontal="left" vertical="top"/>
    </xf>
    <xf numFmtId="0" fontId="14" fillId="6" borderId="1" xfId="0" applyFont="1" applyFill="1" applyBorder="1" applyAlignment="1" applyProtection="1">
      <alignment horizontal="center" vertical="center"/>
      <protection hidden="1"/>
    </xf>
    <xf numFmtId="0" fontId="14" fillId="6" borderId="2" xfId="0" applyFont="1" applyFill="1" applyBorder="1" applyAlignment="1" applyProtection="1">
      <alignment horizontal="center" vertical="center"/>
      <protection hidden="1"/>
    </xf>
    <xf numFmtId="0" fontId="14" fillId="6" borderId="3" xfId="0" applyFont="1" applyFill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10" fillId="2" borderId="2" xfId="0" applyFont="1" applyFill="1" applyBorder="1" applyAlignment="1" applyProtection="1">
      <alignment horizontal="center" vertical="center"/>
      <protection hidden="1"/>
    </xf>
    <xf numFmtId="10" fontId="9" fillId="2" borderId="5" xfId="1" applyNumberFormat="1" applyFont="1" applyFill="1" applyBorder="1" applyAlignment="1" applyProtection="1">
      <alignment horizontal="center" vertical="center"/>
      <protection hidden="1"/>
    </xf>
    <xf numFmtId="10" fontId="9" fillId="2" borderId="6" xfId="1" applyNumberFormat="1" applyFont="1" applyFill="1" applyBorder="1" applyAlignment="1" applyProtection="1">
      <alignment horizontal="center" vertical="center"/>
      <protection hidden="1"/>
    </xf>
    <xf numFmtId="0" fontId="21" fillId="4" borderId="2" xfId="2" applyFont="1" applyFill="1" applyBorder="1" applyAlignment="1" applyProtection="1">
      <alignment horizontal="left" vertical="center" wrapText="1"/>
      <protection locked="0"/>
    </xf>
    <xf numFmtId="0" fontId="23" fillId="4" borderId="2" xfId="2" applyFont="1" applyFill="1" applyBorder="1" applyAlignment="1" applyProtection="1">
      <alignment horizontal="left" vertical="center"/>
      <protection locked="0"/>
    </xf>
    <xf numFmtId="0" fontId="19" fillId="0" borderId="0" xfId="0" applyFont="1" applyAlignment="1">
      <alignment horizontal="left" wrapText="1"/>
    </xf>
    <xf numFmtId="0" fontId="19" fillId="4" borderId="0" xfId="0" applyFont="1" applyFill="1" applyAlignment="1">
      <alignment horizontal="center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3" xfId="2" applyFont="1" applyFill="1" applyBorder="1" applyAlignment="1">
      <alignment horizontal="left" vertical="top"/>
    </xf>
    <xf numFmtId="0" fontId="10" fillId="0" borderId="1" xfId="2" applyFont="1" applyBorder="1" applyAlignment="1">
      <alignment horizontal="left" vertical="top"/>
    </xf>
    <xf numFmtId="0" fontId="10" fillId="0" borderId="2" xfId="2" applyFont="1" applyBorder="1" applyAlignment="1">
      <alignment horizontal="left" vertical="top"/>
    </xf>
    <xf numFmtId="0" fontId="10" fillId="0" borderId="3" xfId="2" applyFont="1" applyBorder="1" applyAlignment="1">
      <alignment horizontal="left" vertical="top"/>
    </xf>
  </cellXfs>
  <cellStyles count="4">
    <cellStyle name="Normal" xfId="0" builtinId="0"/>
    <cellStyle name="Normal 2 2" xfId="2" xr:uid="{82020DE6-E401-4D0B-81AB-0AFC80A6A493}"/>
    <cellStyle name="Normal 9 2" xfId="3" xr:uid="{E5FD0126-9E9A-4A6E-8AB9-E83F4C0E1D01}"/>
    <cellStyle name="Porcentagem" xfId="1" builtinId="5"/>
  </cellStyles>
  <dxfs count="0"/>
  <tableStyles count="0" defaultTableStyle="TableStyleMedium2" defaultPivotStyle="PivotStyleLight16"/>
  <colors>
    <mruColors>
      <color rgb="FF283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r>
              <a:rPr lang="pt-BR" sz="1400">
                <a:latin typeface="+mn-lt"/>
              </a:rPr>
              <a:t>CURVA GRANULOMÉTRICA</a:t>
            </a:r>
          </a:p>
        </c:rich>
      </c:tx>
      <c:layout>
        <c:manualLayout>
          <c:xMode val="edge"/>
          <c:yMode val="edge"/>
          <c:x val="0.36499887775808937"/>
          <c:y val="1.54814760304494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05078652196002"/>
          <c:y val="0.12172103384165429"/>
          <c:w val="0.84960495259470992"/>
          <c:h val="0.78178866522280899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2060"/>
              </a:solidFill>
              <a:ln w="12700">
                <a:solidFill>
                  <a:srgbClr val="00B0F0"/>
                </a:solidFill>
              </a:ln>
            </c:spPr>
          </c:marker>
          <c:xVal>
            <c:numRef>
              <c:f>'FR-IMOB-11_Rev00'!$F$47:$F$57</c:f>
              <c:numCache>
                <c:formatCode>General</c:formatCode>
                <c:ptCount val="11"/>
                <c:pt idx="0">
                  <c:v>7.4999999999999997E-2</c:v>
                </c:pt>
                <c:pt idx="1">
                  <c:v>0.18</c:v>
                </c:pt>
                <c:pt idx="2" formatCode="0.00">
                  <c:v>0.42</c:v>
                </c:pt>
                <c:pt idx="3" formatCode="0.00">
                  <c:v>2</c:v>
                </c:pt>
                <c:pt idx="4" formatCode="0.0">
                  <c:v>4.8</c:v>
                </c:pt>
                <c:pt idx="5">
                  <c:v>9.5</c:v>
                </c:pt>
                <c:pt idx="6">
                  <c:v>12.7</c:v>
                </c:pt>
                <c:pt idx="7" formatCode="0.0">
                  <c:v>16</c:v>
                </c:pt>
                <c:pt idx="8" formatCode="0.0">
                  <c:v>19.100000000000001</c:v>
                </c:pt>
                <c:pt idx="9" formatCode="0.0">
                  <c:v>25.4</c:v>
                </c:pt>
                <c:pt idx="10" formatCode="0.0">
                  <c:v>38.1</c:v>
                </c:pt>
              </c:numCache>
            </c:numRef>
          </c:xVal>
          <c:yVal>
            <c:numRef>
              <c:f>'FR-IMOB-11_Rev00'!$I$47:$I$57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F-4549-AB38-ADA3A118B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07200"/>
        <c:axId val="106742144"/>
      </c:scatterChart>
      <c:valAx>
        <c:axId val="106707200"/>
        <c:scaling>
          <c:logBase val="10"/>
          <c:orientation val="minMax"/>
          <c:max val="100"/>
          <c:min val="1.0000000000000005E-2"/>
        </c:scaling>
        <c:delete val="0"/>
        <c:axPos val="b"/>
        <c:majorGridlines>
          <c:spPr>
            <a:ln w="3175">
              <a:solidFill>
                <a:sysClr val="windowText" lastClr="000000"/>
              </a:solidFill>
              <a:prstDash val="solid"/>
            </a:ln>
          </c:spPr>
        </c:majorGridlines>
        <c:minorGridlines>
          <c:spPr>
            <a:ln w="3175">
              <a:solidFill>
                <a:sysClr val="windowText" lastClr="000000">
                  <a:alpha val="30000"/>
                </a:sysClr>
              </a:solidFill>
              <a:prstDash val="solid"/>
            </a:ln>
          </c:spPr>
        </c:minorGridlines>
        <c:numFmt formatCode="General" sourceLinked="1"/>
        <c:majorTickMark val="cross"/>
        <c:minorTickMark val="none"/>
        <c:tickLblPos val="low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06742144"/>
        <c:crosses val="autoZero"/>
        <c:crossBetween val="midCat"/>
        <c:majorUnit val="1"/>
      </c:valAx>
      <c:valAx>
        <c:axId val="106742144"/>
        <c:scaling>
          <c:orientation val="minMax"/>
          <c:max val="1"/>
          <c:min val="0"/>
        </c:scaling>
        <c:delete val="0"/>
        <c:axPos val="l"/>
        <c:majorGridlines>
          <c:spPr>
            <a:ln w="12700">
              <a:solidFill>
                <a:sysClr val="window" lastClr="FFFFFF">
                  <a:lumMod val="50000"/>
                </a:sysClr>
              </a:solidFill>
              <a:prstDash val="solid"/>
            </a:ln>
          </c:spPr>
        </c:majorGridlines>
        <c:minorGridlines>
          <c:spPr>
            <a:ln w="3175">
              <a:solidFill>
                <a:sysClr val="window" lastClr="FFFFFF">
                  <a:lumMod val="50000"/>
                  <a:alpha val="30000"/>
                </a:sys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r>
                  <a:rPr lang="pt-BR" sz="1100" b="1">
                    <a:latin typeface="+mn-lt"/>
                  </a:rPr>
                  <a:t>%</a:t>
                </a:r>
                <a:r>
                  <a:rPr lang="pt-BR" sz="1100" b="1" baseline="0">
                    <a:latin typeface="+mn-lt"/>
                  </a:rPr>
                  <a:t> Material Passante</a:t>
                </a:r>
              </a:p>
            </c:rich>
          </c:tx>
          <c:layout>
            <c:manualLayout>
              <c:xMode val="edge"/>
              <c:yMode val="edge"/>
              <c:x val="7.4954766779806994E-3"/>
              <c:y val="0.2651402686813680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out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pt-BR"/>
          </a:p>
        </c:txPr>
        <c:crossAx val="106707200"/>
        <c:crossesAt val="1.000000000000022E-4"/>
        <c:crossBetween val="midCat"/>
        <c:majorUnit val="0.1"/>
        <c:minorUnit val="2.0000000000000011E-2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zero"/>
    <c:showDLblsOverMax val="0"/>
  </c:chart>
  <c:spPr>
    <a:solidFill>
      <a:schemeClr val="bg1"/>
    </a:solidFill>
    <a:ln w="19050" cap="rnd" cmpd="dbl">
      <a:solidFill>
        <a:schemeClr val="tx1"/>
      </a:solidFill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42</xdr:row>
      <xdr:rowOff>190500</xdr:rowOff>
    </xdr:from>
    <xdr:to>
      <xdr:col>13</xdr:col>
      <xdr:colOff>466725</xdr:colOff>
      <xdr:row>57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A6B6D-215B-445C-9E42-8328309C0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39128</xdr:colOff>
      <xdr:row>0</xdr:row>
      <xdr:rowOff>103841</xdr:rowOff>
    </xdr:from>
    <xdr:to>
      <xdr:col>19</xdr:col>
      <xdr:colOff>37793</xdr:colOff>
      <xdr:row>1</xdr:row>
      <xdr:rowOff>17555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A2945FE-4F08-4CEF-B9B4-5C9AE0123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2028" y="103841"/>
          <a:ext cx="1465515" cy="751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43E2-F962-472F-AFD0-6174040C7BC3}">
  <sheetPr>
    <tabColor rgb="FF00B050"/>
    <pageSetUpPr fitToPage="1"/>
  </sheetPr>
  <dimension ref="B1:AL95"/>
  <sheetViews>
    <sheetView tabSelected="1" view="pageBreakPreview" zoomScaleNormal="70" zoomScaleSheetLayoutView="100" workbookViewId="0">
      <selection activeCell="W8" sqref="W8"/>
    </sheetView>
  </sheetViews>
  <sheetFormatPr defaultColWidth="9.1796875" defaultRowHeight="14.5" x14ac:dyDescent="0.35"/>
  <cols>
    <col min="1" max="1" width="3.26953125" style="8" customWidth="1"/>
    <col min="2" max="2" width="0.90625" style="8" customWidth="1"/>
    <col min="3" max="3" width="1.7265625" style="8" customWidth="1"/>
    <col min="4" max="4" width="9.54296875" style="8" customWidth="1"/>
    <col min="5" max="5" width="10.36328125" style="8" customWidth="1"/>
    <col min="6" max="6" width="9.6328125" style="8" customWidth="1"/>
    <col min="7" max="7" width="15.1796875" style="8" customWidth="1"/>
    <col min="8" max="8" width="12.6328125" style="8" customWidth="1"/>
    <col min="9" max="9" width="9" style="8" customWidth="1"/>
    <col min="10" max="10" width="14.54296875" style="8" customWidth="1"/>
    <col min="11" max="11" width="7.7265625" style="8" customWidth="1"/>
    <col min="12" max="12" width="4.54296875" style="8" customWidth="1"/>
    <col min="13" max="13" width="11.90625" style="8" customWidth="1"/>
    <col min="14" max="14" width="13.81640625" style="8" customWidth="1"/>
    <col min="15" max="15" width="16.08984375" style="8" customWidth="1"/>
    <col min="16" max="16" width="12.7265625" style="8" customWidth="1"/>
    <col min="17" max="17" width="7.7265625" style="8" customWidth="1"/>
    <col min="18" max="18" width="10.08984375" style="8" customWidth="1"/>
    <col min="19" max="19" width="3.1796875" style="8" customWidth="1"/>
    <col min="20" max="20" width="1.54296875" style="8" customWidth="1"/>
    <col min="21" max="16384" width="9.1796875" style="8"/>
  </cols>
  <sheetData>
    <row r="1" spans="2:38" ht="66" customHeight="1" x14ac:dyDescent="0.35">
      <c r="C1" s="179" t="s">
        <v>36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</row>
    <row r="2" spans="2:38" s="10" customFormat="1" ht="12.5" customHeight="1" x14ac:dyDescent="0.25">
      <c r="B2" s="12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2"/>
      <c r="AG2" s="11"/>
      <c r="AH2" s="11"/>
      <c r="AI2" s="11"/>
      <c r="AJ2" s="11"/>
      <c r="AK2" s="11"/>
      <c r="AL2" s="11"/>
    </row>
    <row r="3" spans="2:38" s="10" customFormat="1" ht="30" customHeight="1" x14ac:dyDescent="0.25">
      <c r="B3" s="12"/>
      <c r="C3" s="181" t="s">
        <v>44</v>
      </c>
      <c r="D3" s="181"/>
      <c r="E3" s="181"/>
      <c r="F3" s="181"/>
      <c r="G3" s="181"/>
      <c r="H3" s="181"/>
      <c r="I3" s="181"/>
      <c r="J3" s="181"/>
      <c r="K3" s="177" t="s">
        <v>41</v>
      </c>
      <c r="L3" s="177"/>
      <c r="M3" s="177"/>
      <c r="N3" s="177"/>
      <c r="O3" s="177"/>
      <c r="P3" s="177"/>
      <c r="Q3" s="177"/>
      <c r="R3" s="177"/>
      <c r="S3" s="177"/>
      <c r="T3" s="99"/>
      <c r="AG3" s="11"/>
      <c r="AH3" s="11"/>
      <c r="AI3" s="11"/>
      <c r="AJ3" s="11"/>
      <c r="AK3" s="11"/>
      <c r="AL3" s="11"/>
    </row>
    <row r="4" spans="2:38" s="10" customFormat="1" ht="30" customHeight="1" x14ac:dyDescent="0.25">
      <c r="B4" s="12"/>
      <c r="C4" s="177" t="s">
        <v>46</v>
      </c>
      <c r="D4" s="177"/>
      <c r="E4" s="177"/>
      <c r="F4" s="177"/>
      <c r="G4" s="177"/>
      <c r="H4" s="177"/>
      <c r="I4" s="177"/>
      <c r="J4" s="177"/>
      <c r="K4" s="177" t="s">
        <v>42</v>
      </c>
      <c r="L4" s="177"/>
      <c r="M4" s="177"/>
      <c r="N4" s="177"/>
      <c r="O4" s="177"/>
      <c r="P4" s="177"/>
      <c r="Q4" s="177"/>
      <c r="R4" s="177"/>
      <c r="S4" s="177"/>
      <c r="T4" s="12"/>
      <c r="AG4" s="11"/>
      <c r="AH4" s="11"/>
      <c r="AI4" s="11"/>
      <c r="AJ4" s="11"/>
      <c r="AK4" s="11"/>
      <c r="AL4" s="11"/>
    </row>
    <row r="5" spans="2:38" s="10" customFormat="1" ht="31.5" customHeight="1" x14ac:dyDescent="0.25">
      <c r="B5" s="12"/>
      <c r="C5" s="178" t="s">
        <v>43</v>
      </c>
      <c r="D5" s="178"/>
      <c r="E5" s="178"/>
      <c r="F5" s="178"/>
      <c r="G5" s="178"/>
      <c r="H5" s="178"/>
      <c r="I5" s="178"/>
      <c r="J5" s="178"/>
      <c r="K5" s="178" t="s">
        <v>45</v>
      </c>
      <c r="L5" s="178"/>
      <c r="M5" s="178"/>
      <c r="N5" s="178"/>
      <c r="O5" s="178"/>
      <c r="P5" s="178"/>
      <c r="Q5" s="178"/>
      <c r="R5" s="178"/>
      <c r="S5" s="178"/>
      <c r="T5" s="12"/>
      <c r="AG5" s="11"/>
      <c r="AH5" s="11"/>
      <c r="AI5" s="11"/>
      <c r="AJ5" s="11"/>
      <c r="AK5" s="11"/>
      <c r="AL5" s="11"/>
    </row>
    <row r="6" spans="2:38" s="10" customFormat="1" ht="15" customHeight="1" x14ac:dyDescent="0.25">
      <c r="B6" s="12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"/>
      <c r="AG6" s="11"/>
      <c r="AH6" s="11"/>
      <c r="AI6" s="11"/>
      <c r="AJ6" s="11"/>
      <c r="AK6" s="11"/>
      <c r="AL6" s="11"/>
    </row>
    <row r="7" spans="2:38" s="11" customFormat="1" ht="30" customHeight="1" x14ac:dyDescent="0.25">
      <c r="B7" s="12"/>
      <c r="C7" s="182" t="s">
        <v>22</v>
      </c>
      <c r="D7" s="183"/>
      <c r="E7" s="183"/>
      <c r="F7" s="183"/>
      <c r="G7" s="183"/>
      <c r="H7" s="184"/>
      <c r="I7" s="185" t="s">
        <v>23</v>
      </c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12"/>
    </row>
    <row r="8" spans="2:38" s="11" customFormat="1" ht="30" customHeight="1" x14ac:dyDescent="0.25">
      <c r="B8" s="12"/>
      <c r="C8" s="182" t="s">
        <v>24</v>
      </c>
      <c r="D8" s="183"/>
      <c r="E8" s="183"/>
      <c r="F8" s="183"/>
      <c r="G8" s="183"/>
      <c r="H8" s="184"/>
      <c r="I8" s="185" t="s">
        <v>25</v>
      </c>
      <c r="J8" s="186"/>
      <c r="K8" s="186"/>
      <c r="L8" s="186"/>
      <c r="M8" s="186"/>
      <c r="N8" s="186"/>
      <c r="O8" s="186"/>
      <c r="P8" s="186"/>
      <c r="Q8" s="186"/>
      <c r="R8" s="186"/>
      <c r="S8" s="187"/>
      <c r="T8" s="12"/>
    </row>
    <row r="9" spans="2:38" s="11" customFormat="1" ht="30" customHeight="1" x14ac:dyDescent="0.25">
      <c r="B9" s="12"/>
      <c r="C9" s="182" t="s">
        <v>26</v>
      </c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4"/>
      <c r="T9" s="12"/>
    </row>
    <row r="10" spans="2:38" s="11" customFormat="1" ht="30" customHeight="1" x14ac:dyDescent="0.25">
      <c r="B10" s="12"/>
      <c r="C10" s="159" t="s">
        <v>27</v>
      </c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1"/>
      <c r="T10" s="12"/>
    </row>
    <row r="11" spans="2:38" s="11" customFormat="1" ht="30" customHeight="1" x14ac:dyDescent="0.25">
      <c r="B11" s="12"/>
      <c r="C11" s="162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4"/>
      <c r="T11" s="12"/>
    </row>
    <row r="12" spans="2:38" s="11" customFormat="1" ht="30" customHeight="1" x14ac:dyDescent="0.25">
      <c r="B12" s="12"/>
      <c r="C12" s="165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7"/>
      <c r="T12" s="12"/>
    </row>
    <row r="13" spans="2:38" s="31" customFormat="1" ht="22.5" customHeight="1" x14ac:dyDescent="0.25">
      <c r="B13" s="12"/>
      <c r="C13" s="131" t="s">
        <v>28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3"/>
      <c r="T13" s="12"/>
    </row>
    <row r="14" spans="2:38" s="31" customFormat="1" ht="33" customHeight="1" x14ac:dyDescent="0.25">
      <c r="B14" s="12"/>
      <c r="C14" s="136" t="s">
        <v>29</v>
      </c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8"/>
      <c r="T14" s="12"/>
    </row>
    <row r="15" spans="2:38" s="31" customFormat="1" ht="21.75" customHeight="1" x14ac:dyDescent="0.25">
      <c r="B15" s="12"/>
      <c r="C15" s="136" t="s">
        <v>32</v>
      </c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8"/>
      <c r="T15" s="12"/>
    </row>
    <row r="16" spans="2:38" s="11" customFormat="1" ht="30" customHeight="1" x14ac:dyDescent="0.25">
      <c r="B16" s="12"/>
      <c r="C16" s="136" t="s">
        <v>34</v>
      </c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8"/>
      <c r="T16" s="12"/>
    </row>
    <row r="17" spans="2:20" s="2" customFormat="1" ht="39.65" customHeight="1" x14ac:dyDescent="0.3">
      <c r="B17" s="12"/>
      <c r="C17" s="150" t="s">
        <v>30</v>
      </c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2"/>
      <c r="T17" s="12"/>
    </row>
    <row r="18" spans="2:20" s="2" customFormat="1" ht="1.9" customHeight="1" x14ac:dyDescent="0.3">
      <c r="C18" s="71"/>
      <c r="S18" s="59"/>
      <c r="T18" s="3"/>
    </row>
    <row r="19" spans="2:20" s="2" customFormat="1" ht="1.1499999999999999" hidden="1" customHeight="1" x14ac:dyDescent="0.3">
      <c r="C19" s="71"/>
      <c r="S19" s="59"/>
      <c r="T19" s="3"/>
    </row>
    <row r="20" spans="2:20" s="2" customFormat="1" ht="12.65" hidden="1" customHeight="1" x14ac:dyDescent="0.3">
      <c r="C20" s="71"/>
      <c r="S20" s="59"/>
    </row>
    <row r="21" spans="2:20" s="2" customFormat="1" ht="12.65" hidden="1" customHeight="1" x14ac:dyDescent="0.3">
      <c r="C21" s="71"/>
      <c r="S21" s="59"/>
    </row>
    <row r="22" spans="2:20" s="2" customFormat="1" ht="3.65" customHeight="1" x14ac:dyDescent="0.3">
      <c r="C22" s="71"/>
      <c r="S22" s="59"/>
    </row>
    <row r="23" spans="2:20" s="2" customFormat="1" ht="15" customHeight="1" x14ac:dyDescent="0.3">
      <c r="C23" s="71"/>
      <c r="D23" s="168" t="s">
        <v>0</v>
      </c>
      <c r="E23" s="169"/>
      <c r="F23" s="169"/>
      <c r="G23" s="169"/>
      <c r="H23" s="169"/>
      <c r="I23" s="170"/>
      <c r="J23" s="80"/>
      <c r="K23" s="80"/>
      <c r="L23" s="81"/>
      <c r="M23" s="168" t="s">
        <v>1</v>
      </c>
      <c r="N23" s="169"/>
      <c r="O23" s="169"/>
      <c r="P23" s="169"/>
      <c r="Q23" s="169"/>
      <c r="R23" s="170"/>
      <c r="S23" s="77"/>
      <c r="T23" s="12"/>
    </row>
    <row r="24" spans="2:20" s="2" customFormat="1" ht="5.15" customHeight="1" x14ac:dyDescent="0.3">
      <c r="C24" s="71"/>
      <c r="D24" s="171"/>
      <c r="E24" s="172"/>
      <c r="F24" s="172"/>
      <c r="G24" s="172"/>
      <c r="H24" s="172"/>
      <c r="I24" s="173"/>
      <c r="J24" s="82"/>
      <c r="K24" s="82"/>
      <c r="L24" s="81"/>
      <c r="M24" s="174"/>
      <c r="N24" s="174"/>
      <c r="O24" s="174"/>
      <c r="P24" s="174"/>
      <c r="Q24" s="174"/>
      <c r="R24" s="29"/>
      <c r="S24" s="77"/>
      <c r="T24" s="12"/>
    </row>
    <row r="25" spans="2:20" s="4" customFormat="1" ht="18" customHeight="1" x14ac:dyDescent="0.35">
      <c r="C25" s="78"/>
      <c r="D25" s="121" t="s">
        <v>2</v>
      </c>
      <c r="E25" s="122"/>
      <c r="F25" s="122"/>
      <c r="G25" s="122"/>
      <c r="H25" s="122"/>
      <c r="I25" s="32"/>
      <c r="J25" s="83"/>
      <c r="K25" s="83"/>
      <c r="L25" s="84"/>
      <c r="M25" s="121" t="s">
        <v>2</v>
      </c>
      <c r="N25" s="122"/>
      <c r="O25" s="122"/>
      <c r="P25" s="122"/>
      <c r="Q25" s="122"/>
      <c r="R25" s="32"/>
      <c r="S25" s="79"/>
      <c r="T25" s="13"/>
    </row>
    <row r="26" spans="2:20" s="2" customFormat="1" ht="5.15" customHeight="1" x14ac:dyDescent="0.3">
      <c r="C26" s="71"/>
      <c r="D26" s="30"/>
      <c r="E26" s="85"/>
      <c r="F26" s="85"/>
      <c r="G26" s="86"/>
      <c r="H26" s="87"/>
      <c r="I26" s="28"/>
      <c r="J26" s="88"/>
      <c r="K26" s="88"/>
      <c r="L26" s="88"/>
      <c r="M26" s="85"/>
      <c r="N26" s="14"/>
      <c r="O26" s="14"/>
      <c r="P26" s="33"/>
      <c r="Q26" s="33"/>
      <c r="R26" s="29"/>
      <c r="S26" s="29"/>
      <c r="T26" s="12"/>
    </row>
    <row r="27" spans="2:20" s="2" customFormat="1" ht="12.75" customHeight="1" x14ac:dyDescent="0.3">
      <c r="C27" s="71"/>
      <c r="D27" s="123" t="s">
        <v>3</v>
      </c>
      <c r="E27" s="124"/>
      <c r="F27" s="123" t="s">
        <v>4</v>
      </c>
      <c r="G27" s="124"/>
      <c r="H27" s="125" t="s">
        <v>5</v>
      </c>
      <c r="I27" s="126"/>
      <c r="J27" s="89"/>
      <c r="K27" s="89"/>
      <c r="L27" s="90"/>
      <c r="M27" s="123" t="s">
        <v>3</v>
      </c>
      <c r="N27" s="124"/>
      <c r="O27" s="123" t="s">
        <v>4</v>
      </c>
      <c r="P27" s="124"/>
      <c r="Q27" s="125" t="s">
        <v>5</v>
      </c>
      <c r="R27" s="126"/>
      <c r="S27" s="29"/>
      <c r="T27" s="12"/>
    </row>
    <row r="28" spans="2:20" s="2" customFormat="1" ht="12.75" customHeight="1" x14ac:dyDescent="0.3">
      <c r="C28" s="71"/>
      <c r="D28" s="103" t="s">
        <v>6</v>
      </c>
      <c r="E28" s="103" t="s">
        <v>7</v>
      </c>
      <c r="F28" s="103" t="s">
        <v>8</v>
      </c>
      <c r="G28" s="103" t="s">
        <v>9</v>
      </c>
      <c r="H28" s="127"/>
      <c r="I28" s="128"/>
      <c r="J28" s="89"/>
      <c r="K28" s="89"/>
      <c r="L28" s="90"/>
      <c r="M28" s="103" t="s">
        <v>6</v>
      </c>
      <c r="N28" s="103" t="s">
        <v>7</v>
      </c>
      <c r="O28" s="103" t="s">
        <v>8</v>
      </c>
      <c r="P28" s="103" t="s">
        <v>9</v>
      </c>
      <c r="Q28" s="127"/>
      <c r="R28" s="128"/>
      <c r="S28" s="29"/>
      <c r="T28" s="12"/>
    </row>
    <row r="29" spans="2:20" s="2" customFormat="1" ht="30" customHeight="1" x14ac:dyDescent="0.3">
      <c r="C29" s="71"/>
      <c r="D29" s="34" t="s">
        <v>10</v>
      </c>
      <c r="E29" s="35">
        <v>38.1</v>
      </c>
      <c r="F29" s="36">
        <v>0</v>
      </c>
      <c r="G29" s="37" t="str">
        <f>IF(I25="","",IF(F29="","",I$25-SUM(F$29:F29)))</f>
        <v/>
      </c>
      <c r="H29" s="129" t="str">
        <f t="shared" ref="H29:H40" si="0">IF($I$25="","",IF(G29="","",G29/$I$25))</f>
        <v/>
      </c>
      <c r="I29" s="130"/>
      <c r="J29" s="38"/>
      <c r="K29" s="38"/>
      <c r="L29" s="39"/>
      <c r="M29" s="34" t="s">
        <v>10</v>
      </c>
      <c r="N29" s="35">
        <v>38.1</v>
      </c>
      <c r="O29" s="36">
        <v>0</v>
      </c>
      <c r="P29" s="37" t="str">
        <f>IF(R25="","",IF(O29="","",R$25-SUM(O$29:O29)))</f>
        <v/>
      </c>
      <c r="Q29" s="175" t="str">
        <f t="shared" ref="Q29:Q40" si="1">IF($R$25="","",IF(P29="","",P29/$R$25))</f>
        <v/>
      </c>
      <c r="R29" s="176"/>
      <c r="S29" s="29"/>
      <c r="T29" s="12"/>
    </row>
    <row r="30" spans="2:20" s="2" customFormat="1" ht="30" customHeight="1" x14ac:dyDescent="0.3">
      <c r="C30" s="71"/>
      <c r="D30" s="34" t="s">
        <v>11</v>
      </c>
      <c r="E30" s="37">
        <v>25.4</v>
      </c>
      <c r="F30" s="40">
        <v>0</v>
      </c>
      <c r="G30" s="37" t="str">
        <f>IF(I25="","",IF(F30="","",I$25-SUM(F$29:F30)))</f>
        <v/>
      </c>
      <c r="H30" s="129" t="str">
        <f t="shared" si="0"/>
        <v/>
      </c>
      <c r="I30" s="130"/>
      <c r="J30" s="41"/>
      <c r="K30" s="41"/>
      <c r="L30" s="42"/>
      <c r="M30" s="34" t="s">
        <v>11</v>
      </c>
      <c r="N30" s="37">
        <v>25.4</v>
      </c>
      <c r="O30" s="40">
        <v>0</v>
      </c>
      <c r="P30" s="37" t="str">
        <f>IF(R25="","",IF(O30="","",R$25-SUM(O$29:O30)))</f>
        <v/>
      </c>
      <c r="Q30" s="129" t="str">
        <f t="shared" si="1"/>
        <v/>
      </c>
      <c r="R30" s="130"/>
      <c r="S30" s="29"/>
      <c r="T30" s="12"/>
    </row>
    <row r="31" spans="2:20" s="2" customFormat="1" ht="30" customHeight="1" x14ac:dyDescent="0.3">
      <c r="C31" s="71"/>
      <c r="D31" s="34" t="s">
        <v>12</v>
      </c>
      <c r="E31" s="37">
        <v>19.100000000000001</v>
      </c>
      <c r="F31" s="40">
        <v>0</v>
      </c>
      <c r="G31" s="37" t="str">
        <f>IF(I25="","",IF(F31="","",I$25-SUM(F$29:F31)))</f>
        <v/>
      </c>
      <c r="H31" s="129" t="str">
        <f t="shared" si="0"/>
        <v/>
      </c>
      <c r="I31" s="130"/>
      <c r="J31" s="41"/>
      <c r="K31" s="41"/>
      <c r="L31" s="42"/>
      <c r="M31" s="34" t="s">
        <v>12</v>
      </c>
      <c r="N31" s="37">
        <v>19.100000000000001</v>
      </c>
      <c r="O31" s="40">
        <v>0</v>
      </c>
      <c r="P31" s="37" t="str">
        <f>IF(R25="","",IF(O31="","",R$25-SUM(O$29:O31)))</f>
        <v/>
      </c>
      <c r="Q31" s="129" t="str">
        <f t="shared" si="1"/>
        <v/>
      </c>
      <c r="R31" s="130"/>
      <c r="S31" s="29"/>
      <c r="T31" s="12"/>
    </row>
    <row r="32" spans="2:20" s="2" customFormat="1" ht="30" customHeight="1" x14ac:dyDescent="0.3">
      <c r="C32" s="71"/>
      <c r="D32" s="34" t="s">
        <v>13</v>
      </c>
      <c r="E32" s="37">
        <v>16</v>
      </c>
      <c r="F32" s="40">
        <v>0</v>
      </c>
      <c r="G32" s="37" t="str">
        <f>IF(I25="","",IF(F32="","",I$25-SUM(F$29:F32)))</f>
        <v/>
      </c>
      <c r="H32" s="129" t="str">
        <f t="shared" si="0"/>
        <v/>
      </c>
      <c r="I32" s="130"/>
      <c r="J32" s="41"/>
      <c r="K32" s="41"/>
      <c r="L32" s="42"/>
      <c r="M32" s="34" t="s">
        <v>13</v>
      </c>
      <c r="N32" s="37">
        <v>16</v>
      </c>
      <c r="O32" s="40">
        <v>0</v>
      </c>
      <c r="P32" s="37" t="str">
        <f>IF(R25="","",IF(O32="","",R$25-SUM(O$29:O32)))</f>
        <v/>
      </c>
      <c r="Q32" s="129" t="str">
        <f t="shared" si="1"/>
        <v/>
      </c>
      <c r="R32" s="130"/>
      <c r="S32" s="28"/>
      <c r="T32" s="12"/>
    </row>
    <row r="33" spans="3:20" s="2" customFormat="1" ht="30" customHeight="1" x14ac:dyDescent="0.3">
      <c r="C33" s="71"/>
      <c r="D33" s="34" t="s">
        <v>14</v>
      </c>
      <c r="E33" s="34">
        <v>12.7</v>
      </c>
      <c r="F33" s="40">
        <v>0</v>
      </c>
      <c r="G33" s="37" t="str">
        <f>IF(I25="","",IF(F33="","",I$25-SUM(F$29:F33)))</f>
        <v/>
      </c>
      <c r="H33" s="129" t="str">
        <f t="shared" si="0"/>
        <v/>
      </c>
      <c r="I33" s="130"/>
      <c r="J33" s="41"/>
      <c r="K33" s="41"/>
      <c r="L33" s="42"/>
      <c r="M33" s="34" t="s">
        <v>14</v>
      </c>
      <c r="N33" s="34">
        <v>12.7</v>
      </c>
      <c r="O33" s="40">
        <v>0</v>
      </c>
      <c r="P33" s="37" t="str">
        <f>IF(R25="","",IF(O33="","",R$25-SUM(O$29:O33)))</f>
        <v/>
      </c>
      <c r="Q33" s="129" t="str">
        <f t="shared" si="1"/>
        <v/>
      </c>
      <c r="R33" s="130"/>
      <c r="S33" s="28"/>
      <c r="T33" s="12"/>
    </row>
    <row r="34" spans="3:20" s="2" customFormat="1" ht="30" customHeight="1" x14ac:dyDescent="0.3">
      <c r="C34" s="71"/>
      <c r="D34" s="34" t="s">
        <v>15</v>
      </c>
      <c r="E34" s="34">
        <v>9.5</v>
      </c>
      <c r="F34" s="40"/>
      <c r="G34" s="37" t="str">
        <f>IF(I25="","",IF(F34="","",I$25-SUM(F$29:F34)))</f>
        <v/>
      </c>
      <c r="H34" s="129" t="str">
        <f t="shared" si="0"/>
        <v/>
      </c>
      <c r="I34" s="130"/>
      <c r="J34" s="41"/>
      <c r="K34" s="41"/>
      <c r="L34" s="42"/>
      <c r="M34" s="34" t="s">
        <v>15</v>
      </c>
      <c r="N34" s="34">
        <v>9.5</v>
      </c>
      <c r="O34" s="40"/>
      <c r="P34" s="37" t="str">
        <f>IF(R25="","",IF(O34="","",R$25-SUM(O$29:O34)))</f>
        <v/>
      </c>
      <c r="Q34" s="129" t="str">
        <f t="shared" si="1"/>
        <v/>
      </c>
      <c r="R34" s="130"/>
      <c r="S34" s="28"/>
      <c r="T34" s="12"/>
    </row>
    <row r="35" spans="3:20" s="2" customFormat="1" ht="30" customHeight="1" x14ac:dyDescent="0.3">
      <c r="C35" s="71"/>
      <c r="D35" s="34">
        <v>4</v>
      </c>
      <c r="E35" s="34">
        <v>4.8</v>
      </c>
      <c r="F35" s="40"/>
      <c r="G35" s="37" t="str">
        <f>IF(I25="","",IF(F35="","",I$25-SUM(F$29:F35)))</f>
        <v/>
      </c>
      <c r="H35" s="129" t="str">
        <f t="shared" si="0"/>
        <v/>
      </c>
      <c r="I35" s="130"/>
      <c r="J35" s="41"/>
      <c r="K35" s="41"/>
      <c r="L35" s="42"/>
      <c r="M35" s="34">
        <v>4</v>
      </c>
      <c r="N35" s="34">
        <v>4.8</v>
      </c>
      <c r="O35" s="40"/>
      <c r="P35" s="37" t="str">
        <f>IF(R25="","",IF(O35="","",R$25-SUM(O$29:O35)))</f>
        <v/>
      </c>
      <c r="Q35" s="129" t="str">
        <f t="shared" si="1"/>
        <v/>
      </c>
      <c r="R35" s="130"/>
      <c r="S35" s="28"/>
      <c r="T35" s="12"/>
    </row>
    <row r="36" spans="3:20" s="2" customFormat="1" ht="30" customHeight="1" x14ac:dyDescent="0.3">
      <c r="C36" s="71"/>
      <c r="D36" s="43">
        <v>10</v>
      </c>
      <c r="E36" s="44">
        <v>2</v>
      </c>
      <c r="F36" s="40"/>
      <c r="G36" s="37" t="str">
        <f>IF(I25="","",IF(F36="","",I$25-SUM(F$29:F36)))</f>
        <v/>
      </c>
      <c r="H36" s="129" t="str">
        <f t="shared" si="0"/>
        <v/>
      </c>
      <c r="I36" s="130"/>
      <c r="J36" s="41"/>
      <c r="K36" s="41"/>
      <c r="L36" s="42"/>
      <c r="M36" s="43">
        <v>10</v>
      </c>
      <c r="N36" s="44">
        <v>2</v>
      </c>
      <c r="O36" s="40"/>
      <c r="P36" s="37" t="str">
        <f>IF(R25="","",IF(O36="","",R$25-SUM(O$29:O36)))</f>
        <v/>
      </c>
      <c r="Q36" s="129" t="str">
        <f t="shared" si="1"/>
        <v/>
      </c>
      <c r="R36" s="130"/>
      <c r="S36" s="28"/>
      <c r="T36" s="15"/>
    </row>
    <row r="37" spans="3:20" s="2" customFormat="1" ht="30" customHeight="1" x14ac:dyDescent="0.3">
      <c r="C37" s="71"/>
      <c r="D37" s="34">
        <v>40</v>
      </c>
      <c r="E37" s="34">
        <v>0.42</v>
      </c>
      <c r="F37" s="45"/>
      <c r="G37" s="37" t="str">
        <f>IF(I25="","",IF(F37="","",I$25-SUM(F$29:F37)))</f>
        <v/>
      </c>
      <c r="H37" s="129" t="str">
        <f t="shared" si="0"/>
        <v/>
      </c>
      <c r="I37" s="130"/>
      <c r="J37" s="41"/>
      <c r="K37" s="41"/>
      <c r="L37" s="12"/>
      <c r="M37" s="34">
        <v>40</v>
      </c>
      <c r="N37" s="34">
        <v>0.42</v>
      </c>
      <c r="O37" s="40"/>
      <c r="P37" s="37" t="str">
        <f>IF(R25="","",IF(O37="","",R$25-SUM(O$29:O37)))</f>
        <v/>
      </c>
      <c r="Q37" s="129" t="str">
        <f t="shared" si="1"/>
        <v/>
      </c>
      <c r="R37" s="130"/>
      <c r="S37" s="28"/>
      <c r="T37" s="12"/>
    </row>
    <row r="38" spans="3:20" s="2" customFormat="1" ht="30" customHeight="1" x14ac:dyDescent="0.3">
      <c r="C38" s="71"/>
      <c r="D38" s="34">
        <v>80</v>
      </c>
      <c r="E38" s="34">
        <v>0.18</v>
      </c>
      <c r="F38" s="45"/>
      <c r="G38" s="37" t="str">
        <f>IF(I25="","",IF(F38="","",I$25-SUM(F$29:F38)))</f>
        <v/>
      </c>
      <c r="H38" s="129" t="str">
        <f t="shared" si="0"/>
        <v/>
      </c>
      <c r="I38" s="130"/>
      <c r="J38" s="41"/>
      <c r="K38" s="41"/>
      <c r="L38" s="12"/>
      <c r="M38" s="34">
        <v>80</v>
      </c>
      <c r="N38" s="34">
        <v>0.18</v>
      </c>
      <c r="O38" s="45"/>
      <c r="P38" s="37" t="str">
        <f>IF(R25="","",IF(O38="","",R$25-SUM(O$29:O38)))</f>
        <v/>
      </c>
      <c r="Q38" s="129" t="str">
        <f t="shared" si="1"/>
        <v/>
      </c>
      <c r="R38" s="130"/>
      <c r="S38" s="28"/>
      <c r="T38" s="12"/>
    </row>
    <row r="39" spans="3:20" s="2" customFormat="1" ht="30" customHeight="1" x14ac:dyDescent="0.3">
      <c r="C39" s="71"/>
      <c r="D39" s="46">
        <v>200</v>
      </c>
      <c r="E39" s="46">
        <v>7.4999999999999997E-2</v>
      </c>
      <c r="F39" s="45"/>
      <c r="G39" s="37" t="str">
        <f>IF(I25="","",IF(F39="","",I$25-SUM(F$29:F39)))</f>
        <v/>
      </c>
      <c r="H39" s="129" t="str">
        <f t="shared" si="0"/>
        <v/>
      </c>
      <c r="I39" s="130"/>
      <c r="J39" s="41"/>
      <c r="K39" s="41"/>
      <c r="L39" s="12"/>
      <c r="M39" s="46">
        <v>200</v>
      </c>
      <c r="N39" s="46">
        <v>7.4999999999999997E-2</v>
      </c>
      <c r="O39" s="45"/>
      <c r="P39" s="37" t="str">
        <f>IF(R25="","",IF(O39="","",R$25-SUM(O$29:O39)))</f>
        <v/>
      </c>
      <c r="Q39" s="129" t="str">
        <f t="shared" si="1"/>
        <v/>
      </c>
      <c r="R39" s="130"/>
      <c r="S39" s="28"/>
      <c r="T39" s="12"/>
    </row>
    <row r="40" spans="3:20" s="2" customFormat="1" ht="30" customHeight="1" x14ac:dyDescent="0.3">
      <c r="C40" s="71"/>
      <c r="D40" s="142" t="s">
        <v>16</v>
      </c>
      <c r="E40" s="143"/>
      <c r="F40" s="47"/>
      <c r="G40" s="48" t="str">
        <f>IF(I25="","",IF(F40="","",I$25-SUM(F$29:F40)))</f>
        <v/>
      </c>
      <c r="H40" s="144" t="str">
        <f t="shared" si="0"/>
        <v/>
      </c>
      <c r="I40" s="145"/>
      <c r="J40" s="41"/>
      <c r="K40" s="41"/>
      <c r="L40" s="12"/>
      <c r="M40" s="142" t="s">
        <v>16</v>
      </c>
      <c r="N40" s="143"/>
      <c r="O40" s="45" t="str">
        <f>P39</f>
        <v/>
      </c>
      <c r="P40" s="48" t="str">
        <f>IF(R25="","",IF(O40="","",R$25-SUM(O$29:O40)))</f>
        <v/>
      </c>
      <c r="Q40" s="144" t="str">
        <f t="shared" si="1"/>
        <v/>
      </c>
      <c r="R40" s="145"/>
      <c r="S40" s="28"/>
      <c r="T40" s="12"/>
    </row>
    <row r="41" spans="3:20" s="2" customFormat="1" ht="26.25" customHeight="1" x14ac:dyDescent="0.3">
      <c r="C41" s="71"/>
      <c r="D41" s="118" t="s">
        <v>17</v>
      </c>
      <c r="E41" s="119"/>
      <c r="F41" s="147">
        <v>9.5</v>
      </c>
      <c r="G41" s="148"/>
      <c r="H41" s="148"/>
      <c r="I41" s="149"/>
      <c r="J41" s="91"/>
      <c r="K41" s="91"/>
      <c r="L41" s="12"/>
      <c r="M41" s="118" t="s">
        <v>17</v>
      </c>
      <c r="N41" s="119"/>
      <c r="O41" s="147">
        <v>9.5</v>
      </c>
      <c r="P41" s="148"/>
      <c r="Q41" s="148"/>
      <c r="R41" s="149"/>
      <c r="S41" s="28"/>
      <c r="T41" s="12"/>
    </row>
    <row r="42" spans="3:20" s="2" customFormat="1" ht="8" customHeight="1" x14ac:dyDescent="0.3">
      <c r="C42" s="71"/>
      <c r="D42" s="55"/>
      <c r="E42" s="55"/>
      <c r="F42" s="54"/>
      <c r="G42" s="54"/>
      <c r="H42" s="54"/>
      <c r="I42" s="54"/>
      <c r="J42" s="91"/>
      <c r="K42" s="91"/>
      <c r="L42" s="12"/>
      <c r="M42" s="55"/>
      <c r="N42" s="55"/>
      <c r="O42" s="54"/>
      <c r="P42" s="54"/>
      <c r="Q42" s="54"/>
      <c r="R42" s="54"/>
      <c r="S42" s="28"/>
      <c r="T42" s="12"/>
    </row>
    <row r="43" spans="3:20" s="2" customFormat="1" ht="24.75" customHeight="1" x14ac:dyDescent="0.3">
      <c r="C43" s="70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6"/>
      <c r="R43" s="57"/>
      <c r="S43" s="58"/>
    </row>
    <row r="44" spans="3:20" s="2" customFormat="1" ht="12.65" customHeight="1" x14ac:dyDescent="0.3">
      <c r="C44" s="71"/>
      <c r="D44" s="85"/>
      <c r="E44" s="85"/>
      <c r="F44" s="12"/>
      <c r="G44" s="12"/>
      <c r="H44" s="12"/>
      <c r="I44" s="12"/>
      <c r="J44" s="85"/>
      <c r="K44" s="85"/>
      <c r="L44" s="85"/>
      <c r="M44" s="16"/>
      <c r="N44" s="85"/>
      <c r="O44" s="150" t="s">
        <v>18</v>
      </c>
      <c r="P44" s="151"/>
      <c r="Q44" s="151"/>
      <c r="R44" s="152"/>
      <c r="S44" s="59"/>
    </row>
    <row r="45" spans="3:20" s="2" customFormat="1" ht="12.65" customHeight="1" x14ac:dyDescent="0.3">
      <c r="C45" s="71"/>
      <c r="D45" s="85"/>
      <c r="E45" s="85"/>
      <c r="F45" s="114" t="s">
        <v>31</v>
      </c>
      <c r="G45" s="114"/>
      <c r="H45" s="114"/>
      <c r="I45" s="114"/>
      <c r="J45" s="85"/>
      <c r="K45" s="12"/>
      <c r="L45" s="85"/>
      <c r="M45" s="16"/>
      <c r="N45" s="85"/>
      <c r="O45" s="153"/>
      <c r="P45" s="154"/>
      <c r="Q45" s="154"/>
      <c r="R45" s="155"/>
      <c r="S45" s="59"/>
    </row>
    <row r="46" spans="3:20" s="5" customFormat="1" ht="18" customHeight="1" x14ac:dyDescent="0.3">
      <c r="C46" s="72"/>
      <c r="D46" s="12"/>
      <c r="E46" s="12"/>
      <c r="F46" s="92" t="s">
        <v>19</v>
      </c>
      <c r="G46" s="92" t="s">
        <v>20</v>
      </c>
      <c r="H46" s="92" t="s">
        <v>20</v>
      </c>
      <c r="I46" s="93" t="s">
        <v>21</v>
      </c>
      <c r="J46" s="12"/>
      <c r="K46" s="12" t="e">
        <f>IF(#REF!="","",#REF!)</f>
        <v>#REF!</v>
      </c>
      <c r="L46" s="12"/>
      <c r="M46" s="12"/>
      <c r="N46" s="12"/>
      <c r="O46" s="156"/>
      <c r="P46" s="157"/>
      <c r="Q46" s="157"/>
      <c r="R46" s="158"/>
      <c r="S46" s="60"/>
    </row>
    <row r="47" spans="3:20" s="5" customFormat="1" ht="18" customHeight="1" x14ac:dyDescent="0.3">
      <c r="C47" s="72"/>
      <c r="D47" s="12"/>
      <c r="E47" s="12"/>
      <c r="F47" s="92">
        <f>E39</f>
        <v>7.4999999999999997E-2</v>
      </c>
      <c r="G47" s="94" t="str">
        <f>IF(H39="","",H39)</f>
        <v/>
      </c>
      <c r="H47" s="94" t="str">
        <f>IF(Q39="","",Q39)</f>
        <v/>
      </c>
      <c r="I47" s="95" t="e">
        <f>AVERAGE(G47:H47)</f>
        <v>#DIV/0!</v>
      </c>
      <c r="J47" s="12"/>
      <c r="K47" s="12"/>
      <c r="L47" s="12"/>
      <c r="M47" s="12"/>
      <c r="N47" s="12"/>
      <c r="O47" s="19">
        <f t="shared" ref="O47:O57" si="2">E29</f>
        <v>38.1</v>
      </c>
      <c r="P47" s="115" t="str">
        <f>IF(H39="","",IF(I57="","",I57))</f>
        <v/>
      </c>
      <c r="Q47" s="116"/>
      <c r="R47" s="117"/>
      <c r="S47" s="61"/>
    </row>
    <row r="48" spans="3:20" s="5" customFormat="1" ht="18" customHeight="1" x14ac:dyDescent="0.3">
      <c r="C48" s="72"/>
      <c r="D48" s="12"/>
      <c r="E48" s="12"/>
      <c r="F48" s="92">
        <f>E38</f>
        <v>0.18</v>
      </c>
      <c r="G48" s="94" t="str">
        <f>IF(H38="","",H38)</f>
        <v/>
      </c>
      <c r="H48" s="94" t="str">
        <f>IF(Q38="","",Q38)</f>
        <v/>
      </c>
      <c r="I48" s="95" t="e">
        <f t="shared" ref="I48:I57" si="3">AVERAGE(G48:H48)</f>
        <v>#DIV/0!</v>
      </c>
      <c r="J48" s="12"/>
      <c r="K48" s="12"/>
      <c r="L48" s="12"/>
      <c r="M48" s="12"/>
      <c r="N48" s="12"/>
      <c r="O48" s="20">
        <f t="shared" si="2"/>
        <v>25.4</v>
      </c>
      <c r="P48" s="108" t="str">
        <f>IF(H39="","",IF(I56="","",I56))</f>
        <v/>
      </c>
      <c r="Q48" s="109"/>
      <c r="R48" s="110"/>
      <c r="S48" s="61"/>
      <c r="T48" s="7"/>
    </row>
    <row r="49" spans="2:38" s="5" customFormat="1" ht="18" customHeight="1" x14ac:dyDescent="0.3">
      <c r="C49" s="72"/>
      <c r="D49" s="12"/>
      <c r="E49" s="12"/>
      <c r="F49" s="96">
        <f>E37</f>
        <v>0.42</v>
      </c>
      <c r="G49" s="94" t="str">
        <f>IF(H37="","",H37)</f>
        <v/>
      </c>
      <c r="H49" s="94" t="str">
        <f>IF(Q37="","",Q37)</f>
        <v/>
      </c>
      <c r="I49" s="95" t="e">
        <f t="shared" si="3"/>
        <v>#DIV/0!</v>
      </c>
      <c r="J49" s="12"/>
      <c r="K49" s="12"/>
      <c r="L49" s="12"/>
      <c r="M49" s="12"/>
      <c r="N49" s="12"/>
      <c r="O49" s="20">
        <f t="shared" si="2"/>
        <v>19.100000000000001</v>
      </c>
      <c r="P49" s="108" t="str">
        <f>IF(H39="","",IF(I55="","",I55))</f>
        <v/>
      </c>
      <c r="Q49" s="109"/>
      <c r="R49" s="110"/>
      <c r="S49" s="61"/>
    </row>
    <row r="50" spans="2:38" s="5" customFormat="1" ht="18" customHeight="1" x14ac:dyDescent="0.3">
      <c r="C50" s="72"/>
      <c r="D50" s="12"/>
      <c r="E50" s="12"/>
      <c r="F50" s="96">
        <f>E36</f>
        <v>2</v>
      </c>
      <c r="G50" s="94" t="str">
        <f>IF(H36="","",H36)</f>
        <v/>
      </c>
      <c r="H50" s="94" t="str">
        <f>IF(Q36="","",Q36)</f>
        <v/>
      </c>
      <c r="I50" s="95" t="e">
        <f t="shared" si="3"/>
        <v>#DIV/0!</v>
      </c>
      <c r="J50" s="12"/>
      <c r="K50" s="12"/>
      <c r="L50" s="12"/>
      <c r="M50" s="12"/>
      <c r="N50" s="12"/>
      <c r="O50" s="20">
        <f t="shared" si="2"/>
        <v>16</v>
      </c>
      <c r="P50" s="108" t="str">
        <f>IF(H39="","",IF(I54="","",I54))</f>
        <v/>
      </c>
      <c r="Q50" s="109"/>
      <c r="R50" s="110"/>
      <c r="S50" s="61"/>
    </row>
    <row r="51" spans="2:38" s="5" customFormat="1" ht="18" customHeight="1" x14ac:dyDescent="0.3">
      <c r="C51" s="72"/>
      <c r="D51" s="12"/>
      <c r="E51" s="12"/>
      <c r="F51" s="97">
        <f>E35</f>
        <v>4.8</v>
      </c>
      <c r="G51" s="94" t="str">
        <f>IF(H35="","",H35)</f>
        <v/>
      </c>
      <c r="H51" s="94" t="str">
        <f>IF(Q35="","",Q35)</f>
        <v/>
      </c>
      <c r="I51" s="95" t="e">
        <f t="shared" si="3"/>
        <v>#DIV/0!</v>
      </c>
      <c r="J51" s="12"/>
      <c r="K51" s="12"/>
      <c r="L51" s="12"/>
      <c r="M51" s="12"/>
      <c r="N51" s="12"/>
      <c r="O51" s="20">
        <f t="shared" si="2"/>
        <v>12.7</v>
      </c>
      <c r="P51" s="108" t="str">
        <f>IF(H39="","",IF(I53="","",I53))</f>
        <v/>
      </c>
      <c r="Q51" s="109"/>
      <c r="R51" s="110"/>
      <c r="S51" s="61"/>
    </row>
    <row r="52" spans="2:38" s="5" customFormat="1" ht="18" customHeight="1" x14ac:dyDescent="0.3">
      <c r="C52" s="72"/>
      <c r="D52" s="12"/>
      <c r="E52" s="12"/>
      <c r="F52" s="92">
        <f>E34</f>
        <v>9.5</v>
      </c>
      <c r="G52" s="94" t="str">
        <f>IF(H34="","",H34)</f>
        <v/>
      </c>
      <c r="H52" s="94" t="str">
        <f>IF(Q34="","",Q34)</f>
        <v/>
      </c>
      <c r="I52" s="95" t="e">
        <f t="shared" si="3"/>
        <v>#DIV/0!</v>
      </c>
      <c r="J52" s="12"/>
      <c r="K52" s="12"/>
      <c r="L52" s="12"/>
      <c r="M52" s="12"/>
      <c r="N52" s="12"/>
      <c r="O52" s="21">
        <f t="shared" si="2"/>
        <v>9.5</v>
      </c>
      <c r="P52" s="108" t="str">
        <f>IF(H39="","",IF(I52="","",I52))</f>
        <v/>
      </c>
      <c r="Q52" s="109"/>
      <c r="R52" s="110"/>
      <c r="S52" s="61"/>
    </row>
    <row r="53" spans="2:38" s="5" customFormat="1" ht="18" customHeight="1" x14ac:dyDescent="0.3">
      <c r="C53" s="72"/>
      <c r="D53" s="12"/>
      <c r="E53" s="12"/>
      <c r="F53" s="92">
        <f>E33</f>
        <v>12.7</v>
      </c>
      <c r="G53" s="94" t="str">
        <f>IF(H33="","",H33)</f>
        <v/>
      </c>
      <c r="H53" s="94" t="str">
        <f>IF(Q33="","",Q33)</f>
        <v/>
      </c>
      <c r="I53" s="95" t="e">
        <f t="shared" si="3"/>
        <v>#DIV/0!</v>
      </c>
      <c r="J53" s="12"/>
      <c r="K53" s="12"/>
      <c r="L53" s="12"/>
      <c r="M53" s="12"/>
      <c r="N53" s="12"/>
      <c r="O53" s="21">
        <f t="shared" si="2"/>
        <v>4.8</v>
      </c>
      <c r="P53" s="108" t="str">
        <f>IF(H39="","",IF(I51="","",I51))</f>
        <v/>
      </c>
      <c r="Q53" s="109"/>
      <c r="R53" s="110"/>
      <c r="S53" s="61"/>
    </row>
    <row r="54" spans="2:38" s="5" customFormat="1" ht="18" customHeight="1" x14ac:dyDescent="0.3">
      <c r="C54" s="72"/>
      <c r="D54" s="12"/>
      <c r="E54" s="12"/>
      <c r="F54" s="98">
        <f>E32</f>
        <v>16</v>
      </c>
      <c r="G54" s="95" t="str">
        <f>IF(H32="","",H32)</f>
        <v/>
      </c>
      <c r="H54" s="95" t="str">
        <f>IF(Q32="","",Q32)</f>
        <v/>
      </c>
      <c r="I54" s="95" t="e">
        <f t="shared" si="3"/>
        <v>#DIV/0!</v>
      </c>
      <c r="J54" s="12"/>
      <c r="K54" s="12"/>
      <c r="L54" s="12"/>
      <c r="M54" s="12"/>
      <c r="N54" s="12"/>
      <c r="O54" s="23">
        <f t="shared" si="2"/>
        <v>2</v>
      </c>
      <c r="P54" s="108" t="str">
        <f>IF(H39="","",IF(I50="","",I50))</f>
        <v/>
      </c>
      <c r="Q54" s="109"/>
      <c r="R54" s="110"/>
      <c r="S54" s="61"/>
    </row>
    <row r="55" spans="2:38" s="5" customFormat="1" ht="18" customHeight="1" x14ac:dyDescent="0.3">
      <c r="C55" s="72"/>
      <c r="D55" s="12"/>
      <c r="E55" s="12"/>
      <c r="F55" s="97">
        <f>E31</f>
        <v>19.100000000000001</v>
      </c>
      <c r="G55" s="94" t="str">
        <f>IF(H31="","",H31)</f>
        <v/>
      </c>
      <c r="H55" s="94" t="str">
        <f>IF(Q31="","",Q31)</f>
        <v/>
      </c>
      <c r="I55" s="95" t="e">
        <f t="shared" si="3"/>
        <v>#DIV/0!</v>
      </c>
      <c r="J55" s="12"/>
      <c r="K55" s="12"/>
      <c r="L55" s="12"/>
      <c r="M55" s="12"/>
      <c r="N55" s="12"/>
      <c r="O55" s="21">
        <f t="shared" si="2"/>
        <v>0.42</v>
      </c>
      <c r="P55" s="108" t="str">
        <f>IF(H39="","",IF(I49="","",I49))</f>
        <v/>
      </c>
      <c r="Q55" s="109"/>
      <c r="R55" s="110"/>
      <c r="S55" s="61"/>
    </row>
    <row r="56" spans="2:38" s="5" customFormat="1" ht="18" customHeight="1" x14ac:dyDescent="0.3">
      <c r="C56" s="72"/>
      <c r="D56" s="12"/>
      <c r="E56" s="12"/>
      <c r="F56" s="97">
        <f>E30</f>
        <v>25.4</v>
      </c>
      <c r="G56" s="94" t="str">
        <f>IF(H30="","",H30)</f>
        <v/>
      </c>
      <c r="H56" s="94" t="str">
        <f>IF(Q30="","",Q30)</f>
        <v/>
      </c>
      <c r="I56" s="95" t="e">
        <f t="shared" si="3"/>
        <v>#DIV/0!</v>
      </c>
      <c r="J56" s="12"/>
      <c r="K56" s="12"/>
      <c r="L56" s="12"/>
      <c r="M56" s="12"/>
      <c r="N56" s="12"/>
      <c r="O56" s="21">
        <f t="shared" si="2"/>
        <v>0.18</v>
      </c>
      <c r="P56" s="108" t="str">
        <f>IF(H39="","",IF(I48="","",I48))</f>
        <v/>
      </c>
      <c r="Q56" s="109"/>
      <c r="R56" s="110"/>
      <c r="S56" s="61"/>
    </row>
    <row r="57" spans="2:38" s="5" customFormat="1" ht="18" customHeight="1" x14ac:dyDescent="0.3">
      <c r="C57" s="72"/>
      <c r="D57" s="12"/>
      <c r="E57" s="12"/>
      <c r="F57" s="97">
        <f>E29</f>
        <v>38.1</v>
      </c>
      <c r="G57" s="94" t="str">
        <f>IF(H29="","",H29)</f>
        <v/>
      </c>
      <c r="H57" s="94" t="str">
        <f>IF(Q29="","",Q29)</f>
        <v/>
      </c>
      <c r="I57" s="95" t="e">
        <f t="shared" si="3"/>
        <v>#DIV/0!</v>
      </c>
      <c r="J57" s="12"/>
      <c r="K57" s="12"/>
      <c r="L57" s="12"/>
      <c r="M57" s="12"/>
      <c r="N57" s="12"/>
      <c r="O57" s="24">
        <f t="shared" si="2"/>
        <v>7.4999999999999997E-2</v>
      </c>
      <c r="P57" s="111" t="str">
        <f>IF(H39="","",IF(I47="","",I47))</f>
        <v/>
      </c>
      <c r="Q57" s="112"/>
      <c r="R57" s="113"/>
      <c r="S57" s="61"/>
    </row>
    <row r="58" spans="2:38" s="5" customFormat="1" ht="18" customHeight="1" x14ac:dyDescent="0.3">
      <c r="B58" s="12"/>
      <c r="C58" s="73"/>
      <c r="D58" s="62"/>
      <c r="E58" s="62"/>
      <c r="F58" s="63"/>
      <c r="G58" s="49"/>
      <c r="H58" s="49"/>
      <c r="I58" s="64"/>
      <c r="J58" s="62"/>
      <c r="K58" s="62"/>
      <c r="L58" s="62"/>
      <c r="M58" s="62"/>
      <c r="N58" s="62"/>
      <c r="O58" s="65"/>
      <c r="P58" s="50"/>
      <c r="Q58" s="62"/>
      <c r="R58" s="62"/>
      <c r="S58" s="66"/>
    </row>
    <row r="59" spans="2:38" s="10" customFormat="1" ht="23.25" customHeight="1" x14ac:dyDescent="0.25">
      <c r="B59" s="12"/>
      <c r="C59" s="139" t="s">
        <v>33</v>
      </c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1"/>
      <c r="T59" s="12"/>
      <c r="AG59" s="11"/>
      <c r="AH59" s="11"/>
      <c r="AI59" s="11"/>
      <c r="AJ59" s="11"/>
      <c r="AK59" s="11"/>
      <c r="AL59" s="11"/>
    </row>
    <row r="60" spans="2:38" s="10" customFormat="1" ht="60.75" customHeight="1" x14ac:dyDescent="0.25">
      <c r="B60" s="12"/>
      <c r="C60" s="74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67"/>
      <c r="T60" s="12"/>
      <c r="AG60" s="11"/>
      <c r="AH60" s="11"/>
      <c r="AI60" s="11"/>
      <c r="AJ60" s="11"/>
      <c r="AK60" s="11"/>
      <c r="AL60" s="11"/>
    </row>
    <row r="61" spans="2:38" s="10" customFormat="1" ht="60.75" customHeight="1" x14ac:dyDescent="0.25">
      <c r="B61" s="12"/>
      <c r="C61" s="75"/>
      <c r="D61" s="51"/>
      <c r="E61" s="135"/>
      <c r="F61" s="135"/>
      <c r="G61" s="135"/>
      <c r="H61" s="135"/>
      <c r="I61" s="135"/>
      <c r="J61" s="51"/>
      <c r="K61" s="51"/>
      <c r="L61" s="51"/>
      <c r="M61" s="135"/>
      <c r="N61" s="135"/>
      <c r="O61" s="135"/>
      <c r="P61" s="135"/>
      <c r="Q61" s="135"/>
      <c r="R61" s="51"/>
      <c r="S61" s="68"/>
      <c r="T61" s="12"/>
      <c r="AG61" s="11"/>
      <c r="AH61" s="11"/>
      <c r="AI61" s="11"/>
      <c r="AJ61" s="11"/>
      <c r="AK61" s="11"/>
      <c r="AL61" s="11"/>
    </row>
    <row r="62" spans="2:38" s="10" customFormat="1" ht="24.5" customHeight="1" x14ac:dyDescent="0.25">
      <c r="B62" s="12"/>
      <c r="C62" s="75"/>
      <c r="D62" s="51"/>
      <c r="E62" s="134" t="s">
        <v>35</v>
      </c>
      <c r="F62" s="134"/>
      <c r="G62" s="134"/>
      <c r="H62" s="134"/>
      <c r="I62" s="134"/>
      <c r="J62" s="51"/>
      <c r="K62" s="51"/>
      <c r="L62" s="51"/>
      <c r="M62" s="134" t="s">
        <v>35</v>
      </c>
      <c r="N62" s="134"/>
      <c r="O62" s="134"/>
      <c r="P62" s="134"/>
      <c r="Q62" s="134"/>
      <c r="R62" s="51"/>
      <c r="S62" s="68"/>
      <c r="T62" s="12"/>
      <c r="AG62" s="11"/>
      <c r="AH62" s="11"/>
      <c r="AI62" s="11"/>
      <c r="AJ62" s="11"/>
      <c r="AK62" s="11"/>
      <c r="AL62" s="11"/>
    </row>
    <row r="63" spans="2:38" s="10" customFormat="1" ht="6.5" customHeight="1" x14ac:dyDescent="0.25">
      <c r="B63" s="12"/>
      <c r="C63" s="76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69"/>
      <c r="T63" s="12"/>
      <c r="AG63" s="11"/>
      <c r="AH63" s="11"/>
      <c r="AI63" s="11"/>
      <c r="AJ63" s="11"/>
      <c r="AK63" s="11"/>
      <c r="AL63" s="11"/>
    </row>
    <row r="64" spans="2:38" s="10" customFormat="1" ht="15" customHeight="1" x14ac:dyDescent="0.25">
      <c r="B64" s="12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2"/>
      <c r="AG64" s="11"/>
      <c r="AH64" s="11"/>
      <c r="AI64" s="11"/>
      <c r="AJ64" s="11"/>
      <c r="AK64" s="11"/>
      <c r="AL64" s="11"/>
    </row>
    <row r="65" spans="2:38" s="10" customFormat="1" ht="30" customHeight="1" x14ac:dyDescent="0.25">
      <c r="B65" s="12"/>
      <c r="C65" s="100"/>
      <c r="D65" s="104" t="s">
        <v>37</v>
      </c>
      <c r="E65" s="104"/>
      <c r="F65" s="106" t="s">
        <v>47</v>
      </c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2"/>
      <c r="AG65" s="11"/>
      <c r="AH65" s="11"/>
      <c r="AI65" s="11"/>
      <c r="AJ65" s="11"/>
      <c r="AK65" s="11"/>
      <c r="AL65" s="11"/>
    </row>
    <row r="66" spans="2:38" s="10" customFormat="1" ht="30" customHeight="1" x14ac:dyDescent="0.25">
      <c r="B66" s="12"/>
      <c r="C66" s="101"/>
      <c r="D66" s="105" t="s">
        <v>38</v>
      </c>
      <c r="E66" s="105"/>
      <c r="F66" s="107" t="s">
        <v>40</v>
      </c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2"/>
      <c r="AG66" s="11"/>
      <c r="AH66" s="11"/>
      <c r="AI66" s="11"/>
      <c r="AJ66" s="11"/>
      <c r="AK66" s="11"/>
      <c r="AL66" s="11"/>
    </row>
    <row r="67" spans="2:38" s="10" customFormat="1" ht="30" customHeight="1" x14ac:dyDescent="0.25">
      <c r="B67" s="12"/>
      <c r="C67" s="102"/>
      <c r="D67" s="105" t="s">
        <v>39</v>
      </c>
      <c r="E67" s="105"/>
      <c r="F67" s="107" t="s">
        <v>48</v>
      </c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2"/>
      <c r="AG67" s="11"/>
      <c r="AH67" s="11"/>
      <c r="AI67" s="11"/>
      <c r="AJ67" s="11"/>
      <c r="AK67" s="11"/>
      <c r="AL67" s="11"/>
    </row>
    <row r="68" spans="2:38" s="10" customFormat="1" ht="8.25" customHeight="1" x14ac:dyDescent="0.25">
      <c r="B68" s="12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"/>
      <c r="AG68" s="11"/>
      <c r="AH68" s="11"/>
      <c r="AI68" s="11"/>
      <c r="AJ68" s="11"/>
      <c r="AK68" s="11"/>
      <c r="AL68" s="11"/>
    </row>
    <row r="69" spans="2:38" s="5" customFormat="1" ht="18" customHeight="1" x14ac:dyDescent="0.3">
      <c r="D69" s="17"/>
      <c r="E69" s="17"/>
      <c r="F69" s="25"/>
      <c r="G69" s="18"/>
      <c r="H69" s="18"/>
      <c r="I69" s="22"/>
      <c r="J69" s="17"/>
      <c r="K69" s="17"/>
      <c r="L69" s="17"/>
      <c r="M69" s="17"/>
      <c r="N69" s="17"/>
      <c r="O69" s="26"/>
      <c r="P69" s="27"/>
      <c r="Q69" s="17"/>
      <c r="R69" s="17"/>
      <c r="S69" s="6"/>
    </row>
    <row r="70" spans="2:38" s="5" customFormat="1" ht="18" customHeight="1" x14ac:dyDescent="0.3">
      <c r="D70" s="6"/>
    </row>
    <row r="71" spans="2:38" s="5" customFormat="1" ht="18" customHeight="1" x14ac:dyDescent="0.3">
      <c r="D71" s="6"/>
    </row>
    <row r="72" spans="2:38" s="5" customFormat="1" ht="8.15" customHeight="1" x14ac:dyDescent="0.3"/>
    <row r="73" spans="2:38" s="5" customFormat="1" ht="7" customHeight="1" x14ac:dyDescent="0.3"/>
    <row r="74" spans="2:38" ht="17.5" customHeight="1" x14ac:dyDescent="0.35"/>
    <row r="75" spans="2:38" ht="17.25" customHeight="1" x14ac:dyDescent="0.35">
      <c r="G75" s="9"/>
    </row>
    <row r="76" spans="2:38" ht="17.5" customHeight="1" x14ac:dyDescent="0.35">
      <c r="G76" s="9"/>
    </row>
    <row r="77" spans="2:38" ht="5.15" customHeight="1" x14ac:dyDescent="0.35">
      <c r="E77" s="2"/>
      <c r="F77" s="2"/>
      <c r="G77" s="2"/>
    </row>
    <row r="78" spans="2:38" x14ac:dyDescent="0.35">
      <c r="G78" s="9"/>
    </row>
    <row r="79" spans="2:38" x14ac:dyDescent="0.35">
      <c r="G79" s="9"/>
    </row>
    <row r="80" spans="2:38" x14ac:dyDescent="0.35">
      <c r="G80" s="9"/>
    </row>
    <row r="81" spans="3:7" x14ac:dyDescent="0.35">
      <c r="G81" s="9"/>
    </row>
    <row r="82" spans="3:7" x14ac:dyDescent="0.35">
      <c r="G82" s="9"/>
    </row>
    <row r="83" spans="3:7" x14ac:dyDescent="0.35">
      <c r="G83" s="9"/>
    </row>
    <row r="84" spans="3:7" x14ac:dyDescent="0.35">
      <c r="G84" s="9"/>
    </row>
    <row r="85" spans="3:7" x14ac:dyDescent="0.35">
      <c r="G85" s="9"/>
    </row>
    <row r="86" spans="3:7" x14ac:dyDescent="0.35">
      <c r="G86" s="9"/>
    </row>
    <row r="87" spans="3:7" ht="30" x14ac:dyDescent="0.35">
      <c r="C87" s="1"/>
    </row>
    <row r="88" spans="3:7" ht="30" x14ac:dyDescent="0.35">
      <c r="C88" s="1"/>
    </row>
    <row r="89" spans="3:7" ht="30" x14ac:dyDescent="0.35">
      <c r="C89" s="1"/>
    </row>
    <row r="90" spans="3:7" x14ac:dyDescent="0.35">
      <c r="C90" s="2"/>
    </row>
    <row r="91" spans="3:7" x14ac:dyDescent="0.35">
      <c r="C91" s="2"/>
    </row>
    <row r="93" spans="3:7" ht="15" customHeight="1" x14ac:dyDescent="0.35"/>
    <row r="94" spans="3:7" ht="15" customHeight="1" x14ac:dyDescent="0.35"/>
    <row r="95" spans="3:7" ht="15" customHeight="1" x14ac:dyDescent="0.35"/>
  </sheetData>
  <sheetProtection selectLockedCells="1"/>
  <protectedRanges>
    <protectedRange sqref="F7:H8 P7:R8 G9:R9" name="Intervalo1_2"/>
  </protectedRanges>
  <mergeCells count="88">
    <mergeCell ref="C9:S9"/>
    <mergeCell ref="C4:J4"/>
    <mergeCell ref="K4:S4"/>
    <mergeCell ref="C5:J5"/>
    <mergeCell ref="K5:S5"/>
    <mergeCell ref="C1:S1"/>
    <mergeCell ref="C2:S2"/>
    <mergeCell ref="C3:J3"/>
    <mergeCell ref="K3:S3"/>
    <mergeCell ref="C64:S64"/>
    <mergeCell ref="M41:N41"/>
    <mergeCell ref="O41:R41"/>
    <mergeCell ref="O44:R46"/>
    <mergeCell ref="C10:S12"/>
    <mergeCell ref="C17:S17"/>
    <mergeCell ref="F41:I41"/>
    <mergeCell ref="D23:I23"/>
    <mergeCell ref="M23:R23"/>
    <mergeCell ref="D24:I24"/>
    <mergeCell ref="M24:Q24"/>
    <mergeCell ref="Q34:R34"/>
    <mergeCell ref="H29:I29"/>
    <mergeCell ref="Q29:R29"/>
    <mergeCell ref="Q40:R40"/>
    <mergeCell ref="Q39:R39"/>
    <mergeCell ref="C13:S13"/>
    <mergeCell ref="M62:Q62"/>
    <mergeCell ref="E62:I62"/>
    <mergeCell ref="E61:I61"/>
    <mergeCell ref="M61:Q61"/>
    <mergeCell ref="C14:S14"/>
    <mergeCell ref="C15:S15"/>
    <mergeCell ref="C16:S16"/>
    <mergeCell ref="C59:S59"/>
    <mergeCell ref="H30:I30"/>
    <mergeCell ref="Q30:R30"/>
    <mergeCell ref="D40:E40"/>
    <mergeCell ref="H40:I40"/>
    <mergeCell ref="M40:N40"/>
    <mergeCell ref="C6:S6"/>
    <mergeCell ref="C7:H7"/>
    <mergeCell ref="I7:S7"/>
    <mergeCell ref="C8:H8"/>
    <mergeCell ref="I8:S8"/>
    <mergeCell ref="H31:I31"/>
    <mergeCell ref="Q31:R31"/>
    <mergeCell ref="H38:I38"/>
    <mergeCell ref="Q38:R38"/>
    <mergeCell ref="H35:I35"/>
    <mergeCell ref="Q35:R35"/>
    <mergeCell ref="H36:I36"/>
    <mergeCell ref="Q36:R36"/>
    <mergeCell ref="H37:I37"/>
    <mergeCell ref="Q37:R37"/>
    <mergeCell ref="D41:E41"/>
    <mergeCell ref="C68:S68"/>
    <mergeCell ref="M25:Q25"/>
    <mergeCell ref="D27:E27"/>
    <mergeCell ref="F27:G27"/>
    <mergeCell ref="H27:I28"/>
    <mergeCell ref="M27:N27"/>
    <mergeCell ref="O27:P27"/>
    <mergeCell ref="Q27:R28"/>
    <mergeCell ref="D25:H25"/>
    <mergeCell ref="H32:I32"/>
    <mergeCell ref="Q32:R32"/>
    <mergeCell ref="H33:I33"/>
    <mergeCell ref="Q33:R33"/>
    <mergeCell ref="H34:I34"/>
    <mergeCell ref="H39:I39"/>
    <mergeCell ref="F45:I45"/>
    <mergeCell ref="P47:R47"/>
    <mergeCell ref="P48:R48"/>
    <mergeCell ref="P49:R49"/>
    <mergeCell ref="P50:R50"/>
    <mergeCell ref="P51:R51"/>
    <mergeCell ref="P57:R57"/>
    <mergeCell ref="P52:R52"/>
    <mergeCell ref="P53:R53"/>
    <mergeCell ref="P54:R54"/>
    <mergeCell ref="P55:R55"/>
    <mergeCell ref="P56:R56"/>
    <mergeCell ref="D65:E65"/>
    <mergeCell ref="D66:E66"/>
    <mergeCell ref="D67:E67"/>
    <mergeCell ref="F65:S65"/>
    <mergeCell ref="F66:S66"/>
    <mergeCell ref="F67:S67"/>
  </mergeCells>
  <printOptions horizontalCentered="1"/>
  <pageMargins left="3.937007874015748E-2" right="3.937007874015748E-2" top="0.94488188976377963" bottom="0.35433070866141736" header="0.31496062992125984" footer="0.31496062992125984"/>
  <pageSetup paperSize="9" scale="4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FR-IMOB-11_Rev00</vt:lpstr>
      <vt:lpstr>'FR-IMOB-11_Rev00'!Area_de_impressao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Rodrigues Pereira</dc:creator>
  <cp:lastModifiedBy>Samara Rodrigues Dos Santos</cp:lastModifiedBy>
  <cp:lastPrinted>2024-08-02T18:50:01Z</cp:lastPrinted>
  <dcterms:created xsi:type="dcterms:W3CDTF">2024-06-10T12:41:56Z</dcterms:created>
  <dcterms:modified xsi:type="dcterms:W3CDTF">2026-02-16T13:36:34Z</dcterms:modified>
</cp:coreProperties>
</file>