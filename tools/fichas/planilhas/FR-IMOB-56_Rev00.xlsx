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ocumentos Corporativos\Documentos de Sustentabilidade\Laboratorio de Controle Tecnológico\02. Formulários\"/>
    </mc:Choice>
  </mc:AlternateContent>
  <xr:revisionPtr revIDLastSave="0" documentId="8_{BB3DA277-85E6-485B-A4C4-576DA2B4C0BA}" xr6:coauthVersionLast="47" xr6:coauthVersionMax="47" xr10:uidLastSave="{00000000-0000-0000-0000-000000000000}"/>
  <bookViews>
    <workbookView xWindow="-28910" yWindow="-1730" windowWidth="29020" windowHeight="15820" xr2:uid="{26B553B3-037A-4728-8300-C1A4FF54E212}"/>
  </bookViews>
  <sheets>
    <sheet name="FR-IMOB-56_Rev.00" sheetId="3" r:id="rId1"/>
    <sheet name="Planilha2" sheetId="4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'FR-IMOB-56_Rev.00'!$A$1:$K$38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>#REF!</definedName>
    <definedName name="IP">[7]resumo!#REF!</definedName>
    <definedName name="kp">#REF!</definedName>
    <definedName name="lab">#REF!</definedName>
    <definedName name="LL">[7]resumo!#REF!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[7]resumo!#REF!</definedName>
    <definedName name="paraf">#REF!</definedName>
    <definedName name="parcial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>#REF!</definedName>
    <definedName name="ptt">#REF!</definedName>
    <definedName name="quatro">#REF!</definedName>
    <definedName name="RBV">[8]Teor!$D$11:$D$15</definedName>
    <definedName name="rodinei">[10]DOSAGEM!$D$11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>#REF!</definedName>
    <definedName name="Z_136B3143_28E4_4C45_A9BE_4FA02ED69EBB_.wvu.PrintArea" localSheetId="0" hidden="1">'FR-IMOB-56_Rev.00'!$C$7:$J$28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3" l="1"/>
  <c r="H19" i="3" s="1"/>
  <c r="I18" i="3"/>
  <c r="I19" i="3" s="1"/>
  <c r="J18" i="3"/>
  <c r="J19" i="3" s="1"/>
  <c r="J28" i="3" l="1"/>
  <c r="J21" i="3" l="1"/>
  <c r="J23" i="3" l="1"/>
  <c r="J27" i="3" s="1"/>
  <c r="J22" i="3"/>
  <c r="J26" i="3" s="1"/>
  <c r="J25" i="3" l="1"/>
  <c r="J24" i="3"/>
</calcChain>
</file>

<file path=xl/sharedStrings.xml><?xml version="1.0" encoding="utf-8"?>
<sst xmlns="http://schemas.openxmlformats.org/spreadsheetml/2006/main" count="54" uniqueCount="50">
  <si>
    <t>Nº O.S:</t>
  </si>
  <si>
    <t>Data do ensaio:</t>
  </si>
  <si>
    <t>Material:</t>
  </si>
  <si>
    <t>Registro da amostra:</t>
  </si>
  <si>
    <t>Informações complementar:</t>
  </si>
  <si>
    <t>Documento de referência</t>
  </si>
  <si>
    <t>Procedimentos do ensaio</t>
  </si>
  <si>
    <t>1 º  Ensaio</t>
  </si>
  <si>
    <t>2 º  Ensaio</t>
  </si>
  <si>
    <t>3 º  Ensaio</t>
  </si>
  <si>
    <t>( A )</t>
  </si>
  <si>
    <t>( B )</t>
  </si>
  <si>
    <t>( C )</t>
  </si>
  <si>
    <t>Calculos e Resultados</t>
  </si>
  <si>
    <t>1º Ensaio =</t>
  </si>
  <si>
    <r>
      <t xml:space="preserve">G </t>
    </r>
    <r>
      <rPr>
        <vertAlign val="subscript"/>
        <sz val="10"/>
        <rFont val="Tahoma"/>
        <family val="2"/>
      </rPr>
      <t>mm</t>
    </r>
    <r>
      <rPr>
        <sz val="10"/>
        <rFont val="Tahoma"/>
        <family val="2"/>
      </rPr>
      <t xml:space="preserve"> =</t>
    </r>
  </si>
  <si>
    <t>A</t>
  </si>
  <si>
    <t>2º Ensaio =</t>
  </si>
  <si>
    <t>A + B - C</t>
  </si>
  <si>
    <t>3º Ensaio =</t>
  </si>
  <si>
    <t>Média =</t>
  </si>
  <si>
    <r>
      <t xml:space="preserve">ME </t>
    </r>
    <r>
      <rPr>
        <vertAlign val="subscript"/>
        <sz val="10"/>
        <rFont val="Tahoma"/>
        <family val="2"/>
      </rPr>
      <t>mm</t>
    </r>
    <r>
      <rPr>
        <sz val="10"/>
        <rFont val="Tahoma"/>
        <family val="2"/>
      </rPr>
      <t xml:space="preserve"> =</t>
    </r>
  </si>
  <si>
    <r>
      <t xml:space="preserve">0,9971 x G </t>
    </r>
    <r>
      <rPr>
        <vertAlign val="subscript"/>
        <sz val="10"/>
        <rFont val="Tahoma"/>
        <family val="2"/>
      </rPr>
      <t>mm</t>
    </r>
  </si>
  <si>
    <t>Assinaturas:</t>
  </si>
  <si>
    <t>Procedência material:</t>
  </si>
  <si>
    <t>1. Densidade relativa máxima medida da mistura asfáltica:</t>
  </si>
  <si>
    <t>2.  Massa específica máxima medida da mistura asffáltica:</t>
  </si>
  <si>
    <t>Responsável executor</t>
  </si>
  <si>
    <t>Responsável calculista</t>
  </si>
  <si>
    <t xml:space="preserve"> DNIT 458/2025 – ME Solos – Determinação da massa específica 
aparente in situ com emprego do frasco de 
areia – Método de ensaio</t>
  </si>
  <si>
    <t>Massa do recipiente (g).</t>
  </si>
  <si>
    <t>Massa do recipiente com volume completo de areia (g).</t>
  </si>
  <si>
    <t xml:space="preserve">Volume do recipiente </t>
  </si>
  <si>
    <t>( D )</t>
  </si>
  <si>
    <t>( E )</t>
  </si>
  <si>
    <t>Peso da areia (g)</t>
  </si>
  <si>
    <t>Densidade da areia (g/cm³)</t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</si>
  <si>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FR-IMOB-56 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</si>
  <si>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</si>
  <si>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29/01/2026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</si>
  <si>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</si>
  <si>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</si>
  <si>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</si>
  <si>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DETERMINAÇÃO DA MASSA ESPECÍFICA APARENTE DA AREIA - CALIBRAÇÃO EM LABORATÓRIO</t>
    </r>
  </si>
  <si>
    <t xml:space="preserve">Elaborado por: </t>
  </si>
  <si>
    <t xml:space="preserve">Revisado por: </t>
  </si>
  <si>
    <t>Aprovado por:</t>
  </si>
  <si>
    <t>Samara Rodrigues</t>
  </si>
  <si>
    <t>Denizan Olivio Souza da Silva</t>
  </si>
  <si>
    <t xml:space="preserve">
Thyago Biasin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</si>
</sst>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Black]0.000"/>
    <numFmt numFmtId="165" formatCode="0.000"/>
  </numFmts>
  <fonts count="20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vertAlign val="subscript"/>
      <sz val="10"/>
      <name val="Tahoma"/>
      <family val="2"/>
    </font>
    <font>
      <b/>
      <i/>
      <sz val="10"/>
      <color theme="1"/>
      <name val="Tahoma"/>
      <family val="2"/>
    </font>
    <font>
      <b/>
      <sz val="10"/>
      <color theme="0"/>
      <name val="Tahoma"/>
      <family val="2"/>
    </font>
    <font>
      <b/>
      <sz val="8"/>
      <color theme="1"/>
      <name val="Tahoma"/>
      <family val="2"/>
    </font>
    <font>
      <i/>
      <sz val="10"/>
      <color theme="1"/>
      <name val="Tahoma"/>
      <family val="2"/>
    </font>
    <font>
      <sz val="8"/>
      <name val="Arial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23327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6">
    <xf numFmtId="0" fontId="0" fillId="0" borderId="0" xfId="0"/>
    <xf numFmtId="0" fontId="3" fillId="0" borderId="0" xfId="0" applyFont="1" applyAlignment="1">
      <alignment horizontal="left"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8" xfId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164" fontId="3" fillId="0" borderId="12" xfId="1" applyNumberFormat="1" applyFont="1" applyBorder="1" applyAlignment="1">
      <alignment horizontal="center" vertical="center"/>
    </xf>
    <xf numFmtId="164" fontId="5" fillId="0" borderId="12" xfId="1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0" xfId="2" applyFont="1" applyAlignment="1" applyProtection="1">
      <alignment vertical="center"/>
      <protection locked="0" hidden="1"/>
    </xf>
    <xf numFmtId="0" fontId="3" fillId="0" borderId="0" xfId="2" applyFont="1" applyAlignment="1" applyProtection="1">
      <alignment horizontal="left" vertical="center"/>
      <protection locked="0"/>
    </xf>
    <xf numFmtId="0" fontId="3" fillId="0" borderId="11" xfId="0" applyFont="1" applyBorder="1" applyAlignment="1">
      <alignment vertical="center"/>
    </xf>
    <xf numFmtId="0" fontId="5" fillId="0" borderId="10" xfId="0" applyFont="1" applyBorder="1" applyAlignment="1">
      <alignment horizontal="left" vertical="center"/>
    </xf>
    <xf numFmtId="0" fontId="5" fillId="3" borderId="13" xfId="1" applyFont="1" applyFill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12" xfId="1" applyFont="1" applyBorder="1" applyAlignment="1">
      <alignment vertical="center"/>
    </xf>
    <xf numFmtId="0" fontId="7" fillId="0" borderId="7" xfId="1" applyFont="1" applyBorder="1" applyAlignment="1">
      <alignment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164" fontId="5" fillId="0" borderId="9" xfId="1" applyNumberFormat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12" xfId="1" applyFont="1" applyBorder="1" applyAlignment="1">
      <alignment vertical="center"/>
    </xf>
    <xf numFmtId="0" fontId="3" fillId="0" borderId="0" xfId="0" applyFont="1" applyAlignment="1">
      <alignment vertical="center"/>
    </xf>
    <xf numFmtId="2" fontId="6" fillId="6" borderId="10" xfId="1" applyNumberFormat="1" applyFont="1" applyFill="1" applyBorder="1" applyAlignment="1">
      <alignment horizontal="center" vertical="center"/>
    </xf>
    <xf numFmtId="165" fontId="6" fillId="6" borderId="10" xfId="1" applyNumberFormat="1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left" vertical="center" wrapText="1"/>
    </xf>
    <xf numFmtId="14" fontId="11" fillId="0" borderId="0" xfId="0" applyNumberFormat="1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wrapText="1"/>
    </xf>
    <xf numFmtId="0" fontId="16" fillId="0" borderId="0" xfId="2" applyFont="1" applyAlignment="1" applyProtection="1">
      <alignment vertical="center" wrapText="1"/>
      <protection locked="0"/>
    </xf>
    <xf numFmtId="0" fontId="18" fillId="0" borderId="0" xfId="2" applyFont="1" applyAlignment="1" applyProtection="1">
      <alignment vertical="center"/>
      <protection locked="0"/>
    </xf>
    <xf numFmtId="0" fontId="3" fillId="0" borderId="8" xfId="0" applyFont="1" applyBorder="1" applyAlignment="1">
      <alignment vertical="center"/>
    </xf>
    <xf numFmtId="2" fontId="14" fillId="6" borderId="0" xfId="2" applyNumberFormat="1" applyFont="1" applyFill="1" applyAlignment="1" applyProtection="1">
      <alignment vertical="center"/>
      <protection locked="0"/>
    </xf>
    <xf numFmtId="0" fontId="16" fillId="6" borderId="0" xfId="2" applyFont="1" applyFill="1" applyAlignment="1" applyProtection="1">
      <alignment vertical="center"/>
      <protection locked="0" hidden="1"/>
    </xf>
    <xf numFmtId="2" fontId="4" fillId="0" borderId="10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7" fillId="3" borderId="4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18" fillId="0" borderId="5" xfId="2" applyFont="1" applyBorder="1" applyAlignment="1" applyProtection="1">
      <alignment vertical="center"/>
      <protection locked="0"/>
    </xf>
    <xf numFmtId="14" fontId="5" fillId="0" borderId="4" xfId="0" applyNumberFormat="1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14" fontId="5" fillId="0" borderId="6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5" xfId="0" applyFont="1" applyBorder="1" applyAlignment="1">
      <alignment vertical="center" wrapText="1"/>
    </xf>
    <xf numFmtId="0" fontId="16" fillId="0" borderId="5" xfId="2" applyFont="1" applyBorder="1" applyAlignment="1" applyProtection="1">
      <alignment horizontal="left" vertical="center" wrapText="1"/>
      <protection locked="0"/>
    </xf>
    <xf numFmtId="0" fontId="16" fillId="0" borderId="5" xfId="2" applyFont="1" applyBorder="1" applyAlignment="1" applyProtection="1">
      <alignment vertical="center" wrapText="1"/>
      <protection locked="0"/>
    </xf>
    <xf numFmtId="0" fontId="18" fillId="0" borderId="5" xfId="2" applyFont="1" applyBorder="1" applyAlignment="1" applyProtection="1">
      <alignment horizontal="left" vertical="center"/>
      <protection locked="0"/>
    </xf>
    <xf numFmtId="0" fontId="10" fillId="5" borderId="0" xfId="1" applyFont="1" applyFill="1" applyAlignment="1" applyProtection="1">
      <alignment horizontal="left" vertical="center"/>
      <protection locked="0"/>
    </xf>
    <xf numFmtId="0" fontId="12" fillId="4" borderId="0" xfId="1" applyFont="1" applyFill="1" applyAlignment="1">
      <alignment horizontal="center"/>
    </xf>
    <xf numFmtId="0" fontId="6" fillId="0" borderId="8" xfId="1" applyFont="1" applyBorder="1" applyAlignment="1">
      <alignment horizontal="center"/>
    </xf>
    <xf numFmtId="0" fontId="9" fillId="4" borderId="0" xfId="1" applyFont="1" applyFill="1" applyAlignment="1">
      <alignment horizontal="center"/>
    </xf>
    <xf numFmtId="0" fontId="7" fillId="0" borderId="5" xfId="1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center"/>
    </xf>
    <xf numFmtId="49" fontId="17" fillId="6" borderId="2" xfId="2" applyNumberFormat="1" applyFont="1" applyFill="1" applyBorder="1" applyAlignment="1" applyProtection="1">
      <alignment horizontal="center" vertical="center"/>
      <protection locked="0" hidden="1"/>
    </xf>
    <xf numFmtId="0" fontId="17" fillId="6" borderId="2" xfId="2" applyFont="1" applyFill="1" applyBorder="1" applyAlignment="1" applyProtection="1">
      <alignment horizontal="center" vertical="center"/>
      <protection locked="0" hidden="1"/>
    </xf>
    <xf numFmtId="0" fontId="17" fillId="6" borderId="5" xfId="2" applyFont="1" applyFill="1" applyBorder="1" applyAlignment="1" applyProtection="1">
      <alignment horizontal="center" vertical="center"/>
      <protection locked="0" hidden="1"/>
    </xf>
    <xf numFmtId="2" fontId="14" fillId="6" borderId="5" xfId="2" applyNumberFormat="1" applyFont="1" applyFill="1" applyBorder="1" applyAlignment="1" applyProtection="1">
      <alignment horizontal="left" vertical="center"/>
      <protection locked="0"/>
    </xf>
    <xf numFmtId="0" fontId="16" fillId="6" borderId="5" xfId="2" applyFont="1" applyFill="1" applyBorder="1" applyAlignment="1" applyProtection="1">
      <alignment horizontal="left" vertical="center"/>
      <protection locked="0" hidden="1"/>
    </xf>
  </cellXfs>
  <cellStyles count="3">
    <cellStyle name="Normal" xfId="0" builtinId="0"/>
    <cellStyle name="Normal 2 2" xfId="2" xr:uid="{011B607F-A20F-4D01-84D8-E12E738C547C}"/>
    <cellStyle name="Normal 9 2" xfId="1" xr:uid="{80E7AC62-3412-4932-ABA9-E46352880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1207528</xdr:colOff>
      <xdr:row>0</xdr:row>
      <xdr:rowOff>97491</xdr:rowOff>
    </xdr:from>
    <xdr:to>
      <xdr:col>10</xdr:col>
      <xdr:colOff>56843</xdr:colOff>
      <xdr:row>1</xdr:row>
      <xdr:rowOff>11205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DF3D667-4586-422A-8BB3-6EB6AD011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4828" y="97491"/>
          <a:ext cx="1465515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Documents%20and%20Settings/Cliente/Meus%20documentos/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WINDOWS/Desktop/Estudo%20Binder/Camadas%20Finais/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arquivos/EDSON%20=%20DIVERSOS/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DNIT/Laborat&#243;rio%20de%20ensaios/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DNIT/Nova%20lcd/ensaios/Documents%20and%20Settings/sotepa/Configura&#231;&#245;es%20locais/Temp/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DNIT/Laborat&#243;rio%20de%20ensaios/Pojetos%202008/Ensaios%20da%20Cavalca%202006/Edson/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ildo%20Silva/AppData/Local/Temp/Temp1_PLANILHAS.zip/Nova%20pasta/Lab.%20der%202010%20%20ssfg/Documents%20and%20Settings/Cliente/Meus%20documentos/Pojetos%202008/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1BCC-04B0-473D-9146-24A89F6DF551}">
  <sheetPr>
    <pageSetUpPr fitToPage="1"/>
  </sheetPr>
  <dimension ref="B1:AG51"/>
  <sheetViews>
    <sheetView showGridLines="0" tabSelected="1" view="pageBreakPreview" zoomScaleNormal="100" zoomScaleSheetLayoutView="100" workbookViewId="0">
      <selection activeCell="D36" sqref="D36:J36"/>
    </sheetView>
  </sheetViews>
  <sheetFormatPr defaultColWidth="11.453125" defaultRowHeight="12.5" x14ac:dyDescent="0.25"/>
  <cols>
    <col min="1" max="1" width="1" style="1" customWidth="1"/>
    <col min="2" max="2" width="12.81640625" style="1" customWidth="1"/>
    <col min="3" max="3" width="13.1796875" style="1" customWidth="1"/>
    <col min="4" max="4" width="29.1796875" style="1" customWidth="1"/>
    <col min="5" max="5" width="16.453125" style="1" customWidth="1"/>
    <col min="6" max="6" width="15.1796875" style="1" customWidth="1"/>
    <col min="7" max="7" width="19.81640625" style="1" customWidth="1"/>
    <col min="8" max="9" width="19.453125" style="1" customWidth="1"/>
    <col min="10" max="10" width="18" style="1" customWidth="1"/>
    <col min="11" max="11" width="3.1796875" style="1" customWidth="1"/>
    <col min="12" max="16384" width="11.453125" style="1"/>
  </cols>
  <sheetData>
    <row r="1" spans="2:13" ht="66" customHeight="1" x14ac:dyDescent="0.3">
      <c r="B1" s="100" t="s">
        <v>43</v>
      </c>
      <c r="C1" s="100"/>
      <c r="D1" s="100"/>
      <c r="E1" s="100"/>
      <c r="F1" s="100"/>
      <c r="G1" s="100"/>
      <c r="H1" s="100"/>
      <c r="I1" s="100"/>
      <c r="J1" s="100"/>
      <c r="K1" s="35"/>
      <c r="L1" s="35"/>
      <c r="M1" s="35"/>
    </row>
    <row r="2" spans="2:13" ht="12.65" customHeight="1" x14ac:dyDescent="0.25"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2:13" ht="30" customHeight="1" x14ac:dyDescent="0.25">
      <c r="B3" s="101" t="s">
        <v>40</v>
      </c>
      <c r="C3" s="101"/>
      <c r="D3" s="101"/>
      <c r="E3" s="101"/>
      <c r="F3" s="102" t="s">
        <v>37</v>
      </c>
      <c r="G3" s="102"/>
      <c r="H3" s="102"/>
      <c r="I3" s="102"/>
      <c r="J3" s="102"/>
      <c r="K3" s="36"/>
      <c r="L3" s="36"/>
      <c r="M3" s="36"/>
    </row>
    <row r="4" spans="2:13" ht="30" customHeight="1" x14ac:dyDescent="0.25">
      <c r="B4" s="103" t="s">
        <v>39</v>
      </c>
      <c r="C4" s="103"/>
      <c r="D4" s="103"/>
      <c r="E4" s="103"/>
      <c r="F4" s="102" t="s">
        <v>42</v>
      </c>
      <c r="G4" s="102"/>
      <c r="H4" s="102"/>
      <c r="I4" s="102"/>
      <c r="J4" s="102"/>
      <c r="K4" s="36"/>
      <c r="L4" s="36"/>
      <c r="M4" s="36"/>
    </row>
    <row r="5" spans="2:13" ht="31.5" customHeight="1" x14ac:dyDescent="0.25">
      <c r="B5" s="57" t="s">
        <v>38</v>
      </c>
      <c r="C5" s="57"/>
      <c r="D5" s="57"/>
      <c r="E5" s="57"/>
      <c r="F5" s="104" t="s">
        <v>41</v>
      </c>
      <c r="G5" s="104"/>
      <c r="H5" s="104"/>
      <c r="I5" s="104"/>
      <c r="J5" s="104"/>
      <c r="K5" s="37"/>
      <c r="L5" s="37"/>
      <c r="M5" s="37"/>
    </row>
    <row r="6" spans="2:13" ht="15" customHeight="1" x14ac:dyDescent="0.25">
      <c r="B6" s="29"/>
      <c r="C6" s="29"/>
      <c r="D6" s="32"/>
      <c r="E6" s="33"/>
      <c r="F6" s="33"/>
      <c r="G6" s="33"/>
      <c r="H6" s="33"/>
      <c r="I6" s="33"/>
      <c r="J6" s="33"/>
    </row>
    <row r="7" spans="2:13" ht="26.25" customHeight="1" x14ac:dyDescent="0.25">
      <c r="B7" s="87" t="s">
        <v>0</v>
      </c>
      <c r="C7" s="88"/>
      <c r="D7" s="84"/>
      <c r="E7" s="85"/>
      <c r="F7" s="86"/>
      <c r="G7" s="16" t="s">
        <v>1</v>
      </c>
      <c r="H7" s="58"/>
      <c r="I7" s="59"/>
      <c r="J7" s="60"/>
    </row>
    <row r="8" spans="2:13" ht="26.25" customHeight="1" x14ac:dyDescent="0.25">
      <c r="B8" s="87" t="s">
        <v>2</v>
      </c>
      <c r="C8" s="88"/>
      <c r="D8" s="84"/>
      <c r="E8" s="85"/>
      <c r="F8" s="86"/>
      <c r="G8" s="16" t="s">
        <v>3</v>
      </c>
      <c r="H8" s="61"/>
      <c r="I8" s="62"/>
      <c r="J8" s="63"/>
    </row>
    <row r="9" spans="2:13" ht="26.25" customHeight="1" x14ac:dyDescent="0.25">
      <c r="B9" s="87" t="s">
        <v>24</v>
      </c>
      <c r="C9" s="88"/>
      <c r="D9" s="84"/>
      <c r="E9" s="85"/>
      <c r="F9" s="85"/>
      <c r="G9" s="85"/>
      <c r="H9" s="85"/>
      <c r="I9" s="85"/>
      <c r="J9" s="86"/>
    </row>
    <row r="10" spans="2:13" ht="26.25" customHeight="1" x14ac:dyDescent="0.25">
      <c r="B10" s="71" t="s">
        <v>4</v>
      </c>
      <c r="C10" s="72"/>
      <c r="D10" s="75"/>
      <c r="E10" s="76"/>
      <c r="F10" s="76"/>
      <c r="G10" s="76"/>
      <c r="H10" s="76"/>
      <c r="I10" s="76"/>
      <c r="J10" s="77"/>
    </row>
    <row r="11" spans="2:13" ht="26.25" customHeight="1" x14ac:dyDescent="0.25">
      <c r="B11" s="73"/>
      <c r="C11" s="74"/>
      <c r="D11" s="78"/>
      <c r="E11" s="79"/>
      <c r="F11" s="79"/>
      <c r="G11" s="79"/>
      <c r="H11" s="79"/>
      <c r="I11" s="79"/>
      <c r="J11" s="80"/>
    </row>
    <row r="12" spans="2:13" ht="22.5" customHeight="1" x14ac:dyDescent="0.25">
      <c r="B12" s="68" t="s">
        <v>5</v>
      </c>
      <c r="C12" s="69"/>
      <c r="D12" s="69"/>
      <c r="E12" s="69"/>
      <c r="F12" s="69"/>
      <c r="G12" s="69"/>
      <c r="H12" s="69"/>
      <c r="I12" s="69"/>
      <c r="J12" s="70"/>
    </row>
    <row r="13" spans="2:13" ht="42.75" customHeight="1" x14ac:dyDescent="0.25">
      <c r="B13" s="89" t="s">
        <v>29</v>
      </c>
      <c r="C13" s="90"/>
      <c r="D13" s="90"/>
      <c r="E13" s="90"/>
      <c r="F13" s="90"/>
      <c r="G13" s="90"/>
      <c r="H13" s="90"/>
      <c r="I13" s="90"/>
      <c r="J13" s="91"/>
    </row>
    <row r="14" spans="2:13" ht="22.5" customHeight="1" x14ac:dyDescent="0.25">
      <c r="B14" s="95" t="s">
        <v>6</v>
      </c>
      <c r="C14" s="96"/>
      <c r="D14" s="96"/>
      <c r="E14" s="96"/>
      <c r="F14" s="96"/>
      <c r="G14" s="97"/>
      <c r="H14" s="17" t="s">
        <v>7</v>
      </c>
      <c r="I14" s="17" t="s">
        <v>8</v>
      </c>
      <c r="J14" s="17" t="s">
        <v>9</v>
      </c>
    </row>
    <row r="15" spans="2:13" ht="22.5" customHeight="1" x14ac:dyDescent="0.25">
      <c r="B15" s="49" t="s">
        <v>10</v>
      </c>
      <c r="C15" s="50"/>
      <c r="D15" s="51" t="s">
        <v>30</v>
      </c>
      <c r="E15" s="52"/>
      <c r="F15" s="52"/>
      <c r="G15" s="53"/>
      <c r="H15" s="41">
        <v>2206</v>
      </c>
      <c r="I15" s="41">
        <v>2206</v>
      </c>
      <c r="J15" s="41">
        <v>2206</v>
      </c>
    </row>
    <row r="16" spans="2:13" ht="22.5" customHeight="1" x14ac:dyDescent="0.25">
      <c r="B16" s="49" t="s">
        <v>11</v>
      </c>
      <c r="C16" s="50"/>
      <c r="D16" s="54" t="s">
        <v>32</v>
      </c>
      <c r="E16" s="55"/>
      <c r="F16" s="55"/>
      <c r="G16" s="56"/>
      <c r="H16" s="41">
        <v>2000</v>
      </c>
      <c r="I16" s="41">
        <v>2000</v>
      </c>
      <c r="J16" s="41">
        <v>2000</v>
      </c>
    </row>
    <row r="17" spans="2:11" ht="23.25" customHeight="1" x14ac:dyDescent="0.25">
      <c r="B17" s="49" t="s">
        <v>12</v>
      </c>
      <c r="C17" s="50"/>
      <c r="D17" s="46" t="s">
        <v>31</v>
      </c>
      <c r="E17" s="47"/>
      <c r="F17" s="47"/>
      <c r="G17" s="48"/>
      <c r="H17" s="41">
        <v>5202</v>
      </c>
      <c r="I17" s="41">
        <v>5232</v>
      </c>
      <c r="J17" s="41">
        <v>5228</v>
      </c>
    </row>
    <row r="18" spans="2:11" ht="23.25" customHeight="1" x14ac:dyDescent="0.25">
      <c r="B18" s="49" t="s">
        <v>33</v>
      </c>
      <c r="C18" s="50"/>
      <c r="D18" s="46" t="s">
        <v>35</v>
      </c>
      <c r="E18" s="47"/>
      <c r="F18" s="47"/>
      <c r="G18" s="48"/>
      <c r="H18" s="30">
        <f>IF(H17="","",H17-H15)</f>
        <v>2996</v>
      </c>
      <c r="I18" s="30">
        <f>IF(I17="","",I17-I15)</f>
        <v>3026</v>
      </c>
      <c r="J18" s="30">
        <f>IF(J17="","",J17-J15)</f>
        <v>3022</v>
      </c>
    </row>
    <row r="19" spans="2:11" ht="22.5" customHeight="1" x14ac:dyDescent="0.25">
      <c r="B19" s="49" t="s">
        <v>34</v>
      </c>
      <c r="C19" s="50"/>
      <c r="D19" s="54" t="s">
        <v>36</v>
      </c>
      <c r="E19" s="55"/>
      <c r="F19" s="55"/>
      <c r="G19" s="56"/>
      <c r="H19" s="31">
        <f>IF(H17="","",H18/H16)</f>
        <v>1.498</v>
      </c>
      <c r="I19" s="31">
        <f t="shared" ref="I19:J19" si="0">IF(I17="","",I18/I16)</f>
        <v>1.5129999999999999</v>
      </c>
      <c r="J19" s="31">
        <f t="shared" si="0"/>
        <v>1.5109999999999999</v>
      </c>
    </row>
    <row r="20" spans="2:11" ht="22.5" hidden="1" customHeight="1" x14ac:dyDescent="0.25">
      <c r="B20" s="43" t="s">
        <v>13</v>
      </c>
      <c r="C20" s="44"/>
      <c r="D20" s="44"/>
      <c r="E20" s="44"/>
      <c r="F20" s="44"/>
      <c r="G20" s="44"/>
      <c r="H20" s="44"/>
      <c r="I20" s="44"/>
      <c r="J20" s="45"/>
    </row>
    <row r="21" spans="2:11" ht="22.5" hidden="1" customHeight="1" x14ac:dyDescent="0.25">
      <c r="B21" s="81" t="s">
        <v>25</v>
      </c>
      <c r="C21" s="82"/>
      <c r="D21" s="82"/>
      <c r="E21" s="82"/>
      <c r="F21" s="82"/>
      <c r="G21" s="83"/>
      <c r="H21" s="64" t="s">
        <v>14</v>
      </c>
      <c r="I21" s="65"/>
      <c r="J21" s="2">
        <f>IF(H15="","",IF(H16="","",IF(H18="","",IF(H15="","",H15/(H15+H16-H18)))))</f>
        <v>1.8231404958677686</v>
      </c>
    </row>
    <row r="22" spans="2:11" ht="22.5" hidden="1" customHeight="1" x14ac:dyDescent="0.25">
      <c r="B22" s="3"/>
      <c r="D22" s="21"/>
      <c r="E22" s="19" t="s">
        <v>15</v>
      </c>
      <c r="F22" s="4" t="s">
        <v>16</v>
      </c>
      <c r="G22" s="5"/>
      <c r="H22" s="66" t="s">
        <v>17</v>
      </c>
      <c r="I22" s="67"/>
      <c r="J22" s="6">
        <f>IF(I15="","",IF(I16="","",IF(I18="","",IF(I15="","",I15/(I15+I16-I18)))))</f>
        <v>1.8694915254237288</v>
      </c>
    </row>
    <row r="23" spans="2:11" ht="22.5" hidden="1" customHeight="1" x14ac:dyDescent="0.25">
      <c r="B23" s="3"/>
      <c r="C23" s="18"/>
      <c r="D23" s="18"/>
      <c r="E23" s="18"/>
      <c r="F23" s="19" t="s">
        <v>18</v>
      </c>
      <c r="G23" s="5"/>
      <c r="H23" s="66" t="s">
        <v>19</v>
      </c>
      <c r="I23" s="67"/>
      <c r="J23" s="6">
        <f>IF(J15="","",IF(J16="","",IF(J18="","",IF(J15="","",J15/(J15+J16-J18)))))</f>
        <v>1.8631756756756757</v>
      </c>
    </row>
    <row r="24" spans="2:11" ht="22.5" hidden="1" customHeight="1" x14ac:dyDescent="0.25">
      <c r="B24" s="3"/>
      <c r="C24" s="18"/>
      <c r="D24" s="18"/>
      <c r="E24" s="18"/>
      <c r="F24" s="19"/>
      <c r="G24" s="5"/>
      <c r="H24" s="98" t="s">
        <v>20</v>
      </c>
      <c r="I24" s="99"/>
      <c r="J24" s="26">
        <f>IF(SUM(J21:J23)=0,"",AVERAGE(J21:J23))</f>
        <v>1.8519358989890575</v>
      </c>
    </row>
    <row r="25" spans="2:11" ht="22.5" hidden="1" customHeight="1" x14ac:dyDescent="0.25">
      <c r="B25" s="92" t="s">
        <v>26</v>
      </c>
      <c r="C25" s="93"/>
      <c r="D25" s="93"/>
      <c r="E25" s="93"/>
      <c r="F25" s="93"/>
      <c r="G25" s="94"/>
      <c r="H25" s="64" t="s">
        <v>14</v>
      </c>
      <c r="I25" s="65"/>
      <c r="J25" s="6">
        <f>IF(J21="","",J21*0.9971)</f>
        <v>1.8178533884297521</v>
      </c>
    </row>
    <row r="26" spans="2:11" ht="22.5" hidden="1" customHeight="1" x14ac:dyDescent="0.25">
      <c r="B26" s="3"/>
      <c r="G26" s="22"/>
      <c r="H26" s="66" t="s">
        <v>17</v>
      </c>
      <c r="I26" s="67"/>
      <c r="J26" s="6">
        <f>IF(J22="","",J22*0.9971)</f>
        <v>1.8640699999999999</v>
      </c>
    </row>
    <row r="27" spans="2:11" ht="22.5" hidden="1" customHeight="1" x14ac:dyDescent="0.25">
      <c r="B27" s="3"/>
      <c r="D27" s="21"/>
      <c r="E27" s="19" t="s">
        <v>21</v>
      </c>
      <c r="F27" s="19" t="s">
        <v>22</v>
      </c>
      <c r="G27" s="8"/>
      <c r="H27" s="66" t="s">
        <v>19</v>
      </c>
      <c r="I27" s="67"/>
      <c r="J27" s="6">
        <f>IF(J23="","",J23*0.9971)</f>
        <v>1.8577724662162163</v>
      </c>
    </row>
    <row r="28" spans="2:11" ht="22.5" customHeight="1" x14ac:dyDescent="0.25">
      <c r="B28" s="20"/>
      <c r="C28" s="9"/>
      <c r="D28" s="9"/>
      <c r="E28" s="9"/>
      <c r="F28" s="4"/>
      <c r="G28" s="10"/>
      <c r="H28" s="98" t="s">
        <v>20</v>
      </c>
      <c r="I28" s="99"/>
      <c r="J28" s="7">
        <f>IF(SUM(H19:J19)=0,"",AVERAGE(H19:J19))</f>
        <v>1.5073333333333334</v>
      </c>
    </row>
    <row r="29" spans="2:11" ht="22.5" customHeight="1" x14ac:dyDescent="0.25">
      <c r="B29" s="43" t="s">
        <v>23</v>
      </c>
      <c r="C29" s="44"/>
      <c r="D29" s="44"/>
      <c r="E29" s="44"/>
      <c r="F29" s="44"/>
      <c r="G29" s="44"/>
      <c r="H29" s="44"/>
      <c r="I29" s="44"/>
      <c r="J29" s="45"/>
      <c r="K29" s="11"/>
    </row>
    <row r="30" spans="2:11" ht="60" hidden="1" customHeight="1" x14ac:dyDescent="0.25">
      <c r="B30" s="15"/>
      <c r="C30" s="29"/>
      <c r="D30" s="29"/>
      <c r="E30" s="29"/>
      <c r="F30" s="27"/>
      <c r="G30" s="27"/>
      <c r="H30" s="27"/>
      <c r="I30" s="27"/>
      <c r="J30" s="28"/>
      <c r="K30" s="12"/>
    </row>
    <row r="31" spans="2:11" ht="60" customHeight="1" x14ac:dyDescent="0.25">
      <c r="B31" s="15"/>
      <c r="C31" s="29"/>
      <c r="D31" s="29"/>
      <c r="E31" s="29"/>
      <c r="F31" s="27"/>
      <c r="G31" s="27"/>
      <c r="H31" s="27"/>
      <c r="I31" s="27"/>
      <c r="J31" s="28"/>
      <c r="K31" s="12"/>
    </row>
    <row r="32" spans="2:11" ht="60" customHeight="1" x14ac:dyDescent="0.25">
      <c r="B32" s="15"/>
      <c r="C32" s="42"/>
      <c r="D32" s="42"/>
      <c r="E32" s="42"/>
      <c r="F32" s="27"/>
      <c r="G32" s="107"/>
      <c r="H32" s="107"/>
      <c r="I32" s="107"/>
      <c r="J32" s="28"/>
      <c r="K32" s="12"/>
    </row>
    <row r="33" spans="2:33" ht="28" customHeight="1" x14ac:dyDescent="0.25">
      <c r="B33" s="23"/>
      <c r="C33" s="109" t="s">
        <v>27</v>
      </c>
      <c r="D33" s="109"/>
      <c r="E33" s="109"/>
      <c r="F33" s="24"/>
      <c r="G33" s="110" t="s">
        <v>28</v>
      </c>
      <c r="H33" s="110"/>
      <c r="I33" s="110"/>
      <c r="J33" s="25"/>
      <c r="K33" s="12"/>
    </row>
    <row r="34" spans="2:33" ht="15" customHeight="1" x14ac:dyDescent="0.25"/>
    <row r="35" spans="2:33" s="13" customFormat="1" ht="30" customHeight="1" x14ac:dyDescent="0.25">
      <c r="B35" s="111" t="s">
        <v>44</v>
      </c>
      <c r="C35" s="111"/>
      <c r="D35" s="114" t="s">
        <v>48</v>
      </c>
      <c r="E35" s="114"/>
      <c r="F35" s="114"/>
      <c r="G35" s="114"/>
      <c r="H35" s="114"/>
      <c r="I35" s="114"/>
      <c r="J35" s="114"/>
      <c r="K35" s="39"/>
      <c r="L35" s="39"/>
      <c r="M35" s="39"/>
      <c r="N35" s="1"/>
      <c r="O35" s="1"/>
      <c r="P35" s="1"/>
      <c r="Q35" s="1"/>
      <c r="R35" s="1"/>
      <c r="S35" s="1"/>
      <c r="AB35" s="14"/>
      <c r="AC35" s="14"/>
      <c r="AD35" s="14"/>
      <c r="AE35" s="14"/>
      <c r="AF35" s="14"/>
      <c r="AG35" s="14"/>
    </row>
    <row r="36" spans="2:33" ht="30" customHeight="1" x14ac:dyDescent="0.25">
      <c r="B36" s="112" t="s">
        <v>45</v>
      </c>
      <c r="C36" s="112"/>
      <c r="D36" s="115" t="s">
        <v>47</v>
      </c>
      <c r="E36" s="115"/>
      <c r="F36" s="115"/>
      <c r="G36" s="115"/>
      <c r="H36" s="115"/>
      <c r="I36" s="115"/>
      <c r="J36" s="115"/>
      <c r="K36" s="40"/>
      <c r="L36" s="40"/>
      <c r="M36" s="40"/>
      <c r="Q36" s="105"/>
      <c r="R36" s="105"/>
      <c r="S36" s="105"/>
      <c r="T36" s="105"/>
      <c r="U36" s="105"/>
      <c r="V36" s="105"/>
      <c r="W36" s="105"/>
      <c r="X36" s="105"/>
      <c r="Y36" s="105"/>
    </row>
    <row r="37" spans="2:33" ht="30" customHeight="1" x14ac:dyDescent="0.25">
      <c r="B37" s="113" t="s">
        <v>46</v>
      </c>
      <c r="C37" s="113"/>
      <c r="D37" s="114" t="s">
        <v>49</v>
      </c>
      <c r="E37" s="114"/>
      <c r="F37" s="114"/>
      <c r="G37" s="114"/>
      <c r="H37" s="114"/>
      <c r="I37" s="114"/>
      <c r="J37" s="114"/>
      <c r="K37" s="40"/>
      <c r="L37" s="40"/>
      <c r="M37" s="40"/>
      <c r="Q37" s="106"/>
      <c r="R37" s="106"/>
      <c r="S37" s="106"/>
      <c r="T37" s="106"/>
      <c r="U37" s="106"/>
      <c r="V37" s="106"/>
      <c r="W37" s="106"/>
      <c r="X37" s="106"/>
      <c r="Y37" s="106"/>
    </row>
    <row r="38" spans="2:33" ht="7.5" customHeight="1" x14ac:dyDescent="0.25">
      <c r="C38" s="38"/>
      <c r="D38" s="38"/>
      <c r="E38" s="38"/>
      <c r="F38" s="38"/>
      <c r="G38" s="38"/>
      <c r="H38" s="38"/>
      <c r="I38" s="38"/>
      <c r="L38" s="11"/>
      <c r="Q38" s="108"/>
      <c r="R38" s="108"/>
      <c r="S38" s="108"/>
      <c r="T38" s="108"/>
      <c r="U38" s="108"/>
      <c r="V38" s="108"/>
      <c r="W38" s="108"/>
      <c r="X38" s="108"/>
      <c r="Y38" s="108"/>
    </row>
    <row r="39" spans="2:33" ht="22.5" customHeight="1" x14ac:dyDescent="0.25"/>
    <row r="40" spans="2:33" ht="22.5" customHeight="1" x14ac:dyDescent="0.25"/>
    <row r="41" spans="2:33" ht="22.5" customHeight="1" x14ac:dyDescent="0.25"/>
    <row r="42" spans="2:33" ht="22.5" customHeight="1" x14ac:dyDescent="0.25"/>
    <row r="43" spans="2:33" ht="22.5" customHeight="1" x14ac:dyDescent="0.25"/>
    <row r="44" spans="2:33" ht="22.5" customHeight="1" x14ac:dyDescent="0.25"/>
    <row r="45" spans="2:33" ht="22.5" customHeight="1" x14ac:dyDescent="0.25"/>
    <row r="46" spans="2:33" ht="22.5" customHeight="1" x14ac:dyDescent="0.25"/>
    <row r="47" spans="2:33" ht="22.5" customHeight="1" x14ac:dyDescent="0.25"/>
    <row r="48" spans="2:33" ht="22.5" customHeight="1" x14ac:dyDescent="0.25"/>
    <row r="49" ht="51.75" customHeight="1" x14ac:dyDescent="0.25"/>
    <row r="50" ht="24.75" customHeight="1" x14ac:dyDescent="0.25"/>
    <row r="51" ht="22.5" customHeight="1" x14ac:dyDescent="0.25"/>
  </sheetData>
  <protectedRanges>
    <protectedRange sqref="E7:F8 F9:J11 I7:J8 H15:J19" name="Intervalo1"/>
  </protectedRanges>
  <mergeCells count="59">
    <mergeCell ref="Q38:S38"/>
    <mergeCell ref="T38:V38"/>
    <mergeCell ref="W38:Y38"/>
    <mergeCell ref="C33:E33"/>
    <mergeCell ref="G33:I33"/>
    <mergeCell ref="B35:C35"/>
    <mergeCell ref="B36:C36"/>
    <mergeCell ref="B37:C37"/>
    <mergeCell ref="D35:J35"/>
    <mergeCell ref="D36:J36"/>
    <mergeCell ref="D37:J37"/>
    <mergeCell ref="F5:J5"/>
    <mergeCell ref="Q36:Y36"/>
    <mergeCell ref="Q37:S37"/>
    <mergeCell ref="T37:V37"/>
    <mergeCell ref="W37:Y37"/>
    <mergeCell ref="G32:I32"/>
    <mergeCell ref="B1:J1"/>
    <mergeCell ref="B3:E3"/>
    <mergeCell ref="F3:J3"/>
    <mergeCell ref="B4:E4"/>
    <mergeCell ref="F4:J4"/>
    <mergeCell ref="B14:G14"/>
    <mergeCell ref="H23:I23"/>
    <mergeCell ref="H24:I24"/>
    <mergeCell ref="H25:I25"/>
    <mergeCell ref="H27:I27"/>
    <mergeCell ref="H26:I26"/>
    <mergeCell ref="B5:E5"/>
    <mergeCell ref="H7:J7"/>
    <mergeCell ref="H8:J8"/>
    <mergeCell ref="H21:I21"/>
    <mergeCell ref="H22:I22"/>
    <mergeCell ref="B12:J12"/>
    <mergeCell ref="B10:C11"/>
    <mergeCell ref="D10:J11"/>
    <mergeCell ref="B21:G21"/>
    <mergeCell ref="D9:J9"/>
    <mergeCell ref="D8:F8"/>
    <mergeCell ref="D7:F7"/>
    <mergeCell ref="B9:C9"/>
    <mergeCell ref="B13:J13"/>
    <mergeCell ref="B7:C7"/>
    <mergeCell ref="B8:C8"/>
    <mergeCell ref="C32:E32"/>
    <mergeCell ref="B20:J20"/>
    <mergeCell ref="D18:G18"/>
    <mergeCell ref="B16:C16"/>
    <mergeCell ref="D15:G15"/>
    <mergeCell ref="D16:G16"/>
    <mergeCell ref="B15:C15"/>
    <mergeCell ref="B18:C18"/>
    <mergeCell ref="B25:G25"/>
    <mergeCell ref="B29:J29"/>
    <mergeCell ref="B17:C17"/>
    <mergeCell ref="D17:G17"/>
    <mergeCell ref="D19:G19"/>
    <mergeCell ref="B19:C19"/>
    <mergeCell ref="H28:I28"/>
  </mergeCells>
  <phoneticPr fontId="13" type="noConversion"/>
  <printOptions horizontalCentered="1"/>
  <pageMargins left="0.59055118110236227" right="0.59055118110236227" top="0.98425196850393704" bottom="0.78740157480314965" header="0.51181102362204722" footer="0.55118110236220474"/>
  <pageSetup paperSize="9" scale="54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0729-1B4D-417B-B0AA-F79417F2EBEF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FR-IMOB-56_Rev.00</vt:lpstr>
      <vt:lpstr>Planilha2</vt:lpstr>
      <vt:lpstr>'FR-IMOB-56_Rev.00'!Area_de_impressao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2026-01-29T15:38:21Z</cp:lastPrinted>
  <dcterms:created xsi:type="dcterms:W3CDTF">2021-11-09T17:57:41Z</dcterms:created>
  <dcterms:modified xsi:type="dcterms:W3CDTF">2026-01-29T18:18:42Z</dcterms:modified>
</cp:coreProperties>
</file>