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rotadooestebr-my.sharepoint.com/personal/maykolsantos_rotadooeste_com_br/Documents/Área de Trabalho/"/>
    </mc:Choice>
  </mc:AlternateContent>
  <xr:revisionPtr revIDLastSave="64" documentId="13_ncr:1_{2B040990-B468-4E9F-B367-A2557B025A45}" xr6:coauthVersionLast="47" xr6:coauthVersionMax="47" xr10:uidLastSave="{CF1CBD6A-8218-4204-B62E-E648F51BD275}"/>
  <bookViews>
    <workbookView xWindow="28680" yWindow="-120" windowWidth="29040" windowHeight="15720" xr2:uid="{00000000-000D-0000-FFFF-FFFF00000000}"/>
  </bookViews>
  <sheets>
    <sheet name="FR-LAB-49 Concreto de cimento " sheetId="74" r:id="rId1"/>
    <sheet name="Plan2" sheetId="2" state="hidden" r:id="rId2"/>
  </sheets>
  <definedNames>
    <definedName name="_xlnm.Print_Area" localSheetId="0">'FR-LAB-49 Concreto de cimento '!$A$1:$V$53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1" i="74" l="1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5" i="74"/>
  <c r="R36" i="74"/>
  <c r="R37" i="74"/>
  <c r="R38" i="74"/>
  <c r="R39" i="74"/>
  <c r="R40" i="74"/>
  <c r="R41" i="74"/>
  <c r="R42" i="74"/>
  <c r="R43" i="74"/>
  <c r="R44" i="74"/>
  <c r="R45" i="74"/>
  <c r="P21" i="74"/>
  <c r="P22" i="74"/>
  <c r="P23" i="74"/>
  <c r="P24" i="74"/>
  <c r="P25" i="74"/>
  <c r="P26" i="74"/>
  <c r="P27" i="74"/>
  <c r="P28" i="74"/>
  <c r="P29" i="74"/>
  <c r="P30" i="74"/>
  <c r="P31" i="74"/>
  <c r="P32" i="74"/>
  <c r="P33" i="74"/>
  <c r="P34" i="74"/>
  <c r="P35" i="74"/>
  <c r="P36" i="74"/>
  <c r="P37" i="74"/>
  <c r="P38" i="74"/>
  <c r="P39" i="74"/>
  <c r="P40" i="74"/>
  <c r="P41" i="74"/>
  <c r="P42" i="74"/>
  <c r="P43" i="74"/>
  <c r="P44" i="74"/>
  <c r="P45" i="74"/>
  <c r="N22" i="74"/>
  <c r="N23" i="74"/>
  <c r="N24" i="74"/>
  <c r="N25" i="74"/>
  <c r="N26" i="74"/>
  <c r="N27" i="74"/>
  <c r="N28" i="74"/>
  <c r="N29" i="74"/>
  <c r="N30" i="74"/>
  <c r="N31" i="74"/>
  <c r="N32" i="74"/>
  <c r="N33" i="74"/>
  <c r="N34" i="74"/>
  <c r="N35" i="74"/>
  <c r="N36" i="74"/>
  <c r="N37" i="74"/>
  <c r="N38" i="74"/>
  <c r="N39" i="74"/>
  <c r="N40" i="74"/>
  <c r="N41" i="74"/>
  <c r="N42" i="74"/>
  <c r="N43" i="74"/>
  <c r="N44" i="74"/>
  <c r="N45" i="74"/>
  <c r="R20" i="74"/>
  <c r="P20" i="74"/>
  <c r="N21" i="74"/>
  <c r="N20" i="74"/>
  <c r="M20" i="74"/>
  <c r="Q20" i="74" l="1"/>
  <c r="O20" i="74"/>
</calcChain>
</file>

<file path=xl/sharedStrings.xml><?xml version="1.0" encoding="utf-8"?>
<sst xmlns="http://schemas.openxmlformats.org/spreadsheetml/2006/main" count="79" uniqueCount="68">
  <si>
    <t>NOME</t>
  </si>
  <si>
    <t>FIGURA</t>
  </si>
  <si>
    <t>mm</t>
  </si>
  <si>
    <t>Nº O.S:</t>
  </si>
  <si>
    <t>Data do ensaio:</t>
  </si>
  <si>
    <t>Material:</t>
  </si>
  <si>
    <t>Registro da amostra:</t>
  </si>
  <si>
    <t>Procedencia material:</t>
  </si>
  <si>
    <t>Informações complementar:</t>
  </si>
  <si>
    <t>Documentos de referência</t>
  </si>
  <si>
    <t>ABNT NBR 12655 - Concreto de cimento Portland - Preparo, controle, recebimento e aceitação - Procedimento</t>
  </si>
  <si>
    <t>ABNT NBR 5739 - Concreto - Ensaio de compressão de corpos de prova cilíndricos</t>
  </si>
  <si>
    <t>Procedimentos do ensaio - Resumo dos Resultados</t>
  </si>
  <si>
    <t>Data moldagem</t>
  </si>
  <si>
    <t xml:space="preserve">Nota fiscal                    </t>
  </si>
  <si>
    <t xml:space="preserve">Volume           </t>
  </si>
  <si>
    <t xml:space="preserve">Slump test  </t>
  </si>
  <si>
    <t>nº</t>
  </si>
  <si>
    <t>m³</t>
  </si>
  <si>
    <t>Lançamento</t>
  </si>
  <si>
    <t>Bomb.</t>
  </si>
  <si>
    <t>Conv.</t>
  </si>
  <si>
    <t>Água adicionada</t>
  </si>
  <si>
    <t>L</t>
  </si>
  <si>
    <t>Saída usina</t>
  </si>
  <si>
    <t>Chegada na obra</t>
  </si>
  <si>
    <t>Final da descarga</t>
  </si>
  <si>
    <t>Horário</t>
  </si>
  <si>
    <t>CP Moldados</t>
  </si>
  <si>
    <t>28 dias</t>
  </si>
  <si>
    <t>Resistência à compressão</t>
  </si>
  <si>
    <t>Peça concretada</t>
  </si>
  <si>
    <t>Fck especificado (28 dias)</t>
  </si>
  <si>
    <t>Slump Test especificado (mm)</t>
  </si>
  <si>
    <t>Assinatura do responsável executor</t>
  </si>
  <si>
    <t xml:space="preserve"> Assinatura do responsável calculista</t>
  </si>
  <si>
    <t>(MPa)</t>
  </si>
  <si>
    <t>7 dias</t>
  </si>
  <si>
    <t>14 dias</t>
  </si>
  <si>
    <t>Mpa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</si>
  <si>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Concreto de Cimento Portland - Determinação da Resistência à Compressão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</si>
  <si>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 </t>
    </r>
  </si>
  <si>
    <r>
      <rPr>
        <sz val="12"/>
        <rFont val="Tahoma"/>
        <family val="2"/>
      </rPr>
      <t>Codificação:</t>
    </r>
    <r>
      <rPr>
        <b/>
        <sz val="12"/>
        <rFont val="Tahoma"/>
        <family val="2"/>
      </rPr>
      <t xml:space="preserve"> FR-IMOB-50 </t>
    </r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</si>
  <si>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</si>
  <si>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</si>
  <si>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</si>
  <si>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t xml:space="preserve">Elaborado por: </t>
  </si>
  <si>
    <t xml:space="preserve">Thyago Biasin </t>
  </si>
  <si>
    <t xml:space="preserve">Revisado por: </t>
  </si>
  <si>
    <t>Samara Rodrigues</t>
  </si>
  <si>
    <t>Aprovado por:</t>
  </si>
  <si>
    <t>Rheno Tormin</t>
  </si>
  <si>
    <t>-</t>
  </si>
  <si>
    <t>Carga Ton.</t>
  </si>
  <si>
    <t>X</t>
  </si>
  <si>
    <t>CONSÓRCIO BR-163 (RIVOLI) - VÁRZEA GRANDE A JANGADA / LOTE 02</t>
  </si>
  <si>
    <t xml:space="preserve"> ± 0</t>
  </si>
  <si>
    <t>CORPOS DE PROVA DE ARGAMASSA (DIÂMETRO 5 x 10 cm)</t>
  </si>
  <si>
    <t>2026.08.18.02.477</t>
  </si>
  <si>
    <t>CPs 2479 A 2484 | FUNDAÇÃO DAS ESTACAS P02 - PONTE RIBEIRÃO ESPINHEIRO KM 469.</t>
  </si>
  <si>
    <t>477/2026</t>
  </si>
  <si>
    <t>FUNDAÇÃO DAS ESTACAS P02</t>
  </si>
  <si>
    <t>CONCRETO</t>
  </si>
  <si>
    <t>ARGAMASSA</t>
  </si>
  <si>
    <t>constantes</t>
  </si>
  <si>
    <t>Concreto 10x20</t>
  </si>
  <si>
    <t>Tipo de Corpo de Prova (cm)</t>
  </si>
  <si>
    <r>
      <rPr>
        <sz val="12"/>
        <rFont val="Tahoma"/>
        <family val="2"/>
      </rPr>
      <t xml:space="preserve">Versão: </t>
    </r>
    <r>
      <rPr>
        <b/>
        <sz val="12"/>
        <rFont val="Tahoma"/>
        <family val="2"/>
      </rPr>
      <t>01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</si>
</sst>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#"/>
    <numFmt numFmtId="165" formatCode="dd/mm/yy;@"/>
    <numFmt numFmtId="166" formatCode="h:mm;@"/>
    <numFmt numFmtId="167" formatCode="0#.0"/>
    <numFmt numFmtId="168" formatCode="0#.00"/>
    <numFmt numFmtId="169" formatCode="0.0"/>
  </numFmts>
  <fonts count="22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sz val="10"/>
      <color rgb="FF283272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sz val="10"/>
      <color rgb="FF0000FF"/>
      <name val="Tahoma"/>
      <family val="2"/>
    </font>
    <font>
      <sz val="8"/>
      <name val="Arial"/>
      <family val="2"/>
    </font>
    <font>
      <b/>
      <sz val="10"/>
      <color theme="0"/>
      <name val="Tahoma"/>
      <family val="2"/>
    </font>
    <font>
      <i/>
      <sz val="10"/>
      <name val="Tahoma"/>
      <family val="2"/>
    </font>
    <font>
      <sz val="10"/>
      <color rgb="FF0000CC"/>
      <name val="Tahoma"/>
      <family val="2"/>
    </font>
    <font>
      <b/>
      <sz val="10"/>
      <color rgb="FFFF0000"/>
      <name val="Tahoma"/>
      <family val="2"/>
    </font>
    <font>
      <b/>
      <sz val="10"/>
      <color rgb="FF0000FF"/>
      <name val="Tahoma"/>
      <family val="2"/>
    </font>
    <font>
      <sz val="10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43" fontId="15" fillId="0" borderId="0" applyFont="0" applyFill="0" applyBorder="0" applyAlignment="0" applyProtection="0"/>
  </cellStyleXfs>
  <cellXfs count="168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4" fillId="0" borderId="0" xfId="0" applyFont="1"/>
    <xf numFmtId="0" fontId="4" fillId="0" borderId="0" xfId="1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2" borderId="0" xfId="2" applyFont="1" applyFill="1" applyAlignment="1">
      <alignment horizontal="center" vertical="top" wrapText="1"/>
    </xf>
    <xf numFmtId="0" fontId="6" fillId="2" borderId="8" xfId="2" applyFont="1" applyFill="1" applyBorder="1" applyAlignment="1">
      <alignment horizontal="center" vertical="top"/>
    </xf>
    <xf numFmtId="0" fontId="4" fillId="0" borderId="0" xfId="0" applyFont="1" applyProtection="1">
      <protection locked="0"/>
    </xf>
    <xf numFmtId="1" fontId="4" fillId="2" borderId="3" xfId="0" applyNumberFormat="1" applyFont="1" applyFill="1" applyBorder="1" applyAlignment="1">
      <alignment horizontal="center" wrapText="1"/>
    </xf>
    <xf numFmtId="168" fontId="12" fillId="2" borderId="3" xfId="0" applyNumberFormat="1" applyFont="1" applyFill="1" applyBorder="1" applyAlignment="1">
      <alignment horizontal="center" vertical="center" wrapText="1"/>
    </xf>
    <xf numFmtId="167" fontId="4" fillId="2" borderId="10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wrapText="1"/>
    </xf>
    <xf numFmtId="165" fontId="4" fillId="2" borderId="4" xfId="0" applyNumberFormat="1" applyFont="1" applyFill="1" applyBorder="1" applyAlignment="1">
      <alignment horizontal="center" wrapText="1"/>
    </xf>
    <xf numFmtId="167" fontId="4" fillId="2" borderId="12" xfId="0" applyNumberFormat="1" applyFont="1" applyFill="1" applyBorder="1" applyAlignment="1">
      <alignment horizontal="center" vertical="center" wrapText="1"/>
    </xf>
    <xf numFmtId="0" fontId="4" fillId="2" borderId="15" xfId="0" applyFont="1" applyFill="1" applyBorder="1" applyProtection="1">
      <protection locked="0"/>
    </xf>
    <xf numFmtId="0" fontId="4" fillId="0" borderId="3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68" fontId="12" fillId="2" borderId="4" xfId="0" applyNumberFormat="1" applyFont="1" applyFill="1" applyBorder="1" applyAlignment="1">
      <alignment horizontal="center" vertical="center" wrapText="1"/>
    </xf>
    <xf numFmtId="2" fontId="8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 applyProtection="1">
      <alignment vertical="center"/>
      <protection locked="0"/>
    </xf>
    <xf numFmtId="0" fontId="6" fillId="2" borderId="0" xfId="2" applyFont="1" applyFill="1" applyAlignment="1">
      <alignment vertical="top"/>
    </xf>
    <xf numFmtId="0" fontId="6" fillId="2" borderId="0" xfId="2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6" fillId="2" borderId="2" xfId="2" applyFont="1" applyFill="1" applyBorder="1" applyAlignment="1">
      <alignment horizontal="center" vertical="top"/>
    </xf>
    <xf numFmtId="0" fontId="6" fillId="2" borderId="2" xfId="2" applyFont="1" applyFill="1" applyBorder="1" applyAlignment="1">
      <alignment vertical="top"/>
    </xf>
    <xf numFmtId="0" fontId="6" fillId="2" borderId="18" xfId="2" applyFont="1" applyFill="1" applyBorder="1" applyAlignment="1">
      <alignment vertical="top"/>
    </xf>
    <xf numFmtId="2" fontId="16" fillId="2" borderId="6" xfId="3" applyNumberFormat="1" applyFont="1" applyFill="1" applyBorder="1" applyAlignment="1" applyProtection="1">
      <alignment vertical="center"/>
      <protection locked="0"/>
    </xf>
    <xf numFmtId="0" fontId="18" fillId="2" borderId="6" xfId="3" applyFont="1" applyFill="1" applyBorder="1" applyAlignment="1" applyProtection="1">
      <alignment vertical="center"/>
      <protection locked="0" hidden="1"/>
    </xf>
    <xf numFmtId="0" fontId="18" fillId="2" borderId="2" xfId="3" applyFont="1" applyFill="1" applyBorder="1" applyAlignment="1" applyProtection="1">
      <alignment vertical="center"/>
      <protection locked="0" hidden="1"/>
    </xf>
    <xf numFmtId="0" fontId="4" fillId="0" borderId="6" xfId="0" applyFont="1" applyBorder="1"/>
    <xf numFmtId="0" fontId="7" fillId="2" borderId="26" xfId="3" applyFont="1" applyFill="1" applyBorder="1" applyAlignment="1">
      <alignment horizontal="left" vertical="center"/>
    </xf>
    <xf numFmtId="0" fontId="7" fillId="2" borderId="24" xfId="3" applyFont="1" applyFill="1" applyBorder="1" applyAlignment="1">
      <alignment horizontal="left" vertical="center"/>
    </xf>
    <xf numFmtId="0" fontId="11" fillId="2" borderId="29" xfId="0" applyFont="1" applyFill="1" applyBorder="1" applyAlignment="1">
      <alignment horizontal="left" wrapText="1"/>
    </xf>
    <xf numFmtId="0" fontId="11" fillId="2" borderId="0" xfId="0" applyFont="1" applyFill="1" applyAlignment="1">
      <alignment horizontal="left" wrapText="1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>
      <alignment vertical="center"/>
    </xf>
    <xf numFmtId="0" fontId="3" fillId="2" borderId="8" xfId="0" applyFont="1" applyFill="1" applyBorder="1" applyAlignment="1">
      <alignment vertical="center"/>
    </xf>
    <xf numFmtId="0" fontId="4" fillId="3" borderId="0" xfId="0" applyFont="1" applyFill="1" applyAlignment="1">
      <alignment horizontal="center" vertical="center" wrapText="1"/>
    </xf>
    <xf numFmtId="0" fontId="6" fillId="2" borderId="29" xfId="2" applyFont="1" applyFill="1" applyBorder="1" applyAlignment="1">
      <alignment vertical="top"/>
    </xf>
    <xf numFmtId="0" fontId="6" fillId="2" borderId="30" xfId="2" applyFont="1" applyFill="1" applyBorder="1" applyAlignment="1">
      <alignment vertical="top"/>
    </xf>
    <xf numFmtId="0" fontId="6" fillId="2" borderId="29" xfId="2" applyFont="1" applyFill="1" applyBorder="1" applyAlignment="1">
      <alignment horizontal="center" vertical="top" wrapText="1"/>
    </xf>
    <xf numFmtId="0" fontId="6" fillId="2" borderId="8" xfId="2" applyFont="1" applyFill="1" applyBorder="1" applyAlignment="1">
      <alignment horizontal="center" vertical="top" wrapText="1"/>
    </xf>
    <xf numFmtId="0" fontId="4" fillId="0" borderId="27" xfId="0" applyFont="1" applyBorder="1"/>
    <xf numFmtId="0" fontId="4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8" fontId="12" fillId="2" borderId="17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65" fontId="4" fillId="2" borderId="3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9" xfId="0" applyFont="1" applyBorder="1"/>
    <xf numFmtId="0" fontId="4" fillId="3" borderId="16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167" fontId="4" fillId="2" borderId="17" xfId="0" applyNumberFormat="1" applyFont="1" applyFill="1" applyBorder="1" applyAlignment="1">
      <alignment horizontal="center" vertical="center" wrapText="1"/>
    </xf>
    <xf numFmtId="167" fontId="13" fillId="2" borderId="12" xfId="0" applyNumberFormat="1" applyFont="1" applyFill="1" applyBorder="1" applyAlignment="1">
      <alignment horizontal="center" vertical="center" wrapText="1"/>
    </xf>
    <xf numFmtId="167" fontId="13" fillId="2" borderId="10" xfId="0" applyNumberFormat="1" applyFont="1" applyFill="1" applyBorder="1" applyAlignment="1">
      <alignment horizontal="center" vertical="center" wrapText="1"/>
    </xf>
    <xf numFmtId="14" fontId="14" fillId="2" borderId="6" xfId="3" applyNumberFormat="1" applyFont="1" applyFill="1" applyBorder="1" applyAlignment="1">
      <alignment horizontal="center" vertical="center"/>
    </xf>
    <xf numFmtId="0" fontId="14" fillId="2" borderId="6" xfId="3" applyFont="1" applyFill="1" applyBorder="1" applyAlignment="1">
      <alignment horizontal="center" vertical="center"/>
    </xf>
    <xf numFmtId="0" fontId="14" fillId="2" borderId="27" xfId="3" applyFont="1" applyFill="1" applyBorder="1" applyAlignment="1">
      <alignment horizontal="center" vertical="center"/>
    </xf>
    <xf numFmtId="0" fontId="20" fillId="0" borderId="3" xfId="3" applyFont="1" applyBorder="1" applyAlignment="1" applyProtection="1">
      <alignment horizontal="left" vertical="center"/>
      <protection locked="0"/>
    </xf>
    <xf numFmtId="0" fontId="20" fillId="0" borderId="23" xfId="3" applyFont="1" applyBorder="1" applyAlignment="1" applyProtection="1">
      <alignment horizontal="left" vertical="center"/>
      <protection locked="0"/>
    </xf>
    <xf numFmtId="0" fontId="18" fillId="0" borderId="3" xfId="3" applyFont="1" applyBorder="1" applyAlignment="1" applyProtection="1">
      <alignment horizontal="left" vertical="center" wrapText="1"/>
      <protection locked="0"/>
    </xf>
    <xf numFmtId="0" fontId="18" fillId="0" borderId="23" xfId="3" applyFont="1" applyBorder="1" applyAlignment="1" applyProtection="1">
      <alignment horizontal="left" vertical="center" wrapText="1"/>
      <protection locked="0"/>
    </xf>
    <xf numFmtId="0" fontId="3" fillId="0" borderId="2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16" fillId="0" borderId="19" xfId="0" applyFont="1" applyBorder="1" applyAlignment="1">
      <alignment horizontal="left" vertical="center" wrapText="1"/>
    </xf>
    <xf numFmtId="0" fontId="16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4" fillId="3" borderId="26" xfId="1" applyFont="1" applyFill="1" applyBorder="1" applyAlignment="1" applyProtection="1">
      <alignment horizontal="right" vertical="center"/>
      <protection locked="0" hidden="1"/>
    </xf>
    <xf numFmtId="0" fontId="14" fillId="3" borderId="6" xfId="1" applyFont="1" applyFill="1" applyBorder="1" applyAlignment="1" applyProtection="1">
      <alignment horizontal="right" vertical="center"/>
      <protection locked="0" hidden="1"/>
    </xf>
    <xf numFmtId="0" fontId="14" fillId="3" borderId="6" xfId="1" applyFont="1" applyFill="1" applyBorder="1" applyAlignment="1" applyProtection="1">
      <alignment horizontal="left" vertical="center"/>
      <protection locked="0" hidden="1"/>
    </xf>
    <xf numFmtId="0" fontId="14" fillId="3" borderId="7" xfId="1" applyFont="1" applyFill="1" applyBorder="1" applyAlignment="1" applyProtection="1">
      <alignment horizontal="left" vertical="center"/>
      <protection locked="0" hidden="1"/>
    </xf>
    <xf numFmtId="0" fontId="14" fillId="3" borderId="5" xfId="1" applyFont="1" applyFill="1" applyBorder="1" applyAlignment="1" applyProtection="1">
      <alignment horizontal="right" vertical="center"/>
      <protection locked="0" hidden="1"/>
    </xf>
    <xf numFmtId="0" fontId="10" fillId="4" borderId="30" xfId="2" applyFont="1" applyFill="1" applyBorder="1" applyAlignment="1">
      <alignment horizontal="center" vertical="center"/>
    </xf>
    <xf numFmtId="0" fontId="10" fillId="4" borderId="2" xfId="2" applyFont="1" applyFill="1" applyBorder="1" applyAlignment="1">
      <alignment horizontal="center" vertical="center"/>
    </xf>
    <xf numFmtId="0" fontId="10" fillId="4" borderId="18" xfId="2" applyFont="1" applyFill="1" applyBorder="1" applyAlignment="1">
      <alignment horizontal="center" vertical="center"/>
    </xf>
    <xf numFmtId="0" fontId="10" fillId="4" borderId="29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4" fillId="0" borderId="29" xfId="2" applyFont="1" applyBorder="1" applyAlignment="1">
      <alignment horizontal="left" vertical="center" wrapText="1"/>
    </xf>
    <xf numFmtId="0" fontId="4" fillId="0" borderId="0" xfId="2" applyFont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14" fillId="2" borderId="0" xfId="3" applyFont="1" applyFill="1" applyAlignment="1">
      <alignment horizontal="center" vertical="center"/>
    </xf>
    <xf numFmtId="0" fontId="14" fillId="2" borderId="8" xfId="3" applyFont="1" applyFill="1" applyBorder="1" applyAlignment="1">
      <alignment horizontal="center" vertical="center"/>
    </xf>
    <xf numFmtId="0" fontId="7" fillId="2" borderId="22" xfId="3" applyFont="1" applyFill="1" applyBorder="1" applyAlignment="1">
      <alignment horizontal="left" vertical="center"/>
    </xf>
    <xf numFmtId="0" fontId="7" fillId="2" borderId="17" xfId="3" applyFont="1" applyFill="1" applyBorder="1" applyAlignment="1">
      <alignment horizontal="left" vertical="center"/>
    </xf>
    <xf numFmtId="0" fontId="7" fillId="2" borderId="13" xfId="3" applyFont="1" applyFill="1" applyBorder="1" applyAlignment="1">
      <alignment horizontal="left" vertical="center"/>
    </xf>
    <xf numFmtId="0" fontId="16" fillId="0" borderId="22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8" fillId="0" borderId="22" xfId="3" applyFont="1" applyBorder="1" applyAlignment="1" applyProtection="1">
      <alignment horizontal="left" vertical="center" wrapText="1"/>
      <protection locked="0"/>
    </xf>
    <xf numFmtId="0" fontId="20" fillId="0" borderId="22" xfId="3" applyFont="1" applyBorder="1" applyAlignment="1" applyProtection="1">
      <alignment horizontal="left" vertical="center"/>
      <protection locked="0"/>
    </xf>
    <xf numFmtId="0" fontId="14" fillId="2" borderId="1" xfId="3" applyFont="1" applyFill="1" applyBorder="1" applyAlignment="1">
      <alignment horizontal="center" vertical="center"/>
    </xf>
    <xf numFmtId="0" fontId="5" fillId="2" borderId="3" xfId="1" applyFont="1" applyFill="1" applyBorder="1" applyAlignment="1" applyProtection="1">
      <alignment horizontal="center"/>
      <protection locked="0" hidden="1"/>
    </xf>
    <xf numFmtId="0" fontId="5" fillId="2" borderId="22" xfId="1" applyFont="1" applyFill="1" applyBorder="1" applyAlignment="1" applyProtection="1">
      <alignment horizontal="center"/>
      <protection locked="0" hidden="1"/>
    </xf>
    <xf numFmtId="0" fontId="6" fillId="2" borderId="6" xfId="2" applyFont="1" applyFill="1" applyBorder="1" applyAlignment="1">
      <alignment horizontal="center" vertical="top"/>
    </xf>
    <xf numFmtId="164" fontId="4" fillId="3" borderId="11" xfId="0" applyNumberFormat="1" applyFont="1" applyFill="1" applyBorder="1" applyAlignment="1">
      <alignment horizontal="center" vertical="center" wrapText="1"/>
    </xf>
    <xf numFmtId="164" fontId="4" fillId="3" borderId="9" xfId="0" applyNumberFormat="1" applyFont="1" applyFill="1" applyBorder="1" applyAlignment="1">
      <alignment horizontal="center" vertical="center" wrapText="1"/>
    </xf>
    <xf numFmtId="166" fontId="4" fillId="3" borderId="11" xfId="0" applyNumberFormat="1" applyFont="1" applyFill="1" applyBorder="1" applyAlignment="1">
      <alignment horizontal="center" vertical="center" wrapText="1"/>
    </xf>
    <xf numFmtId="166" fontId="4" fillId="3" borderId="9" xfId="0" applyNumberFormat="1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4" fontId="4" fillId="3" borderId="33" xfId="0" applyNumberFormat="1" applyFont="1" applyFill="1" applyBorder="1" applyAlignment="1">
      <alignment horizontal="center" vertical="center" wrapText="1"/>
    </xf>
    <xf numFmtId="14" fontId="4" fillId="3" borderId="36" xfId="0" applyNumberFormat="1" applyFont="1" applyFill="1" applyBorder="1" applyAlignment="1">
      <alignment horizontal="center" vertical="center" wrapText="1"/>
    </xf>
    <xf numFmtId="1" fontId="4" fillId="2" borderId="3" xfId="0" applyNumberFormat="1" applyFont="1" applyFill="1" applyBorder="1" applyAlignment="1">
      <alignment horizontal="center" wrapText="1"/>
    </xf>
    <xf numFmtId="1" fontId="4" fillId="2" borderId="4" xfId="0" applyNumberFormat="1" applyFont="1" applyFill="1" applyBorder="1" applyAlignment="1">
      <alignment horizontal="center" wrapText="1"/>
    </xf>
    <xf numFmtId="164" fontId="4" fillId="3" borderId="16" xfId="0" applyNumberFormat="1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14" fontId="4" fillId="3" borderId="42" xfId="0" applyNumberFormat="1" applyFont="1" applyFill="1" applyBorder="1" applyAlignment="1">
      <alignment horizontal="center" vertical="center" wrapText="1"/>
    </xf>
    <xf numFmtId="14" fontId="4" fillId="3" borderId="43" xfId="0" applyNumberFormat="1" applyFont="1" applyFill="1" applyBorder="1" applyAlignment="1">
      <alignment horizontal="center" vertical="center" wrapText="1"/>
    </xf>
    <xf numFmtId="169" fontId="4" fillId="3" borderId="12" xfId="0" applyNumberFormat="1" applyFont="1" applyFill="1" applyBorder="1" applyAlignment="1">
      <alignment horizontal="center" vertical="center" wrapText="1"/>
    </xf>
    <xf numFmtId="169" fontId="4" fillId="3" borderId="10" xfId="0" applyNumberFormat="1" applyFont="1" applyFill="1" applyBorder="1" applyAlignment="1">
      <alignment horizontal="center" vertical="center" wrapText="1"/>
    </xf>
    <xf numFmtId="164" fontId="4" fillId="3" borderId="12" xfId="0" applyNumberFormat="1" applyFont="1" applyFill="1" applyBorder="1" applyAlignment="1">
      <alignment horizontal="center" vertical="center" wrapText="1"/>
    </xf>
    <xf numFmtId="164" fontId="4" fillId="3" borderId="35" xfId="0" applyNumberFormat="1" applyFont="1" applyFill="1" applyBorder="1" applyAlignment="1">
      <alignment horizontal="center" vertical="center" wrapText="1"/>
    </xf>
    <xf numFmtId="164" fontId="4" fillId="3" borderId="10" xfId="0" applyNumberFormat="1" applyFont="1" applyFill="1" applyBorder="1" applyAlignment="1">
      <alignment horizontal="center" vertical="center" wrapText="1"/>
    </xf>
    <xf numFmtId="164" fontId="4" fillId="3" borderId="37" xfId="0" applyNumberFormat="1" applyFont="1" applyFill="1" applyBorder="1" applyAlignment="1">
      <alignment horizontal="center" vertical="center" wrapText="1"/>
    </xf>
    <xf numFmtId="166" fontId="4" fillId="3" borderId="12" xfId="0" applyNumberFormat="1" applyFont="1" applyFill="1" applyBorder="1" applyAlignment="1">
      <alignment horizontal="center" vertical="center" wrapText="1"/>
    </xf>
    <xf numFmtId="166" fontId="4" fillId="3" borderId="10" xfId="0" applyNumberFormat="1" applyFont="1" applyFill="1" applyBorder="1" applyAlignment="1">
      <alignment horizontal="center" vertical="center" wrapText="1"/>
    </xf>
    <xf numFmtId="1" fontId="4" fillId="3" borderId="12" xfId="0" applyNumberFormat="1" applyFont="1" applyFill="1" applyBorder="1" applyAlignment="1">
      <alignment horizontal="center" vertical="center" wrapText="1"/>
    </xf>
    <xf numFmtId="1" fontId="4" fillId="3" borderId="10" xfId="0" applyNumberFormat="1" applyFont="1" applyFill="1" applyBorder="1" applyAlignment="1">
      <alignment horizontal="center" vertical="center" wrapText="1"/>
    </xf>
    <xf numFmtId="169" fontId="4" fillId="3" borderId="12" xfId="4" applyNumberFormat="1" applyFont="1" applyFill="1" applyBorder="1" applyAlignment="1">
      <alignment horizontal="center" vertical="center" wrapText="1"/>
    </xf>
    <xf numFmtId="169" fontId="4" fillId="3" borderId="10" xfId="4" applyNumberFormat="1" applyFont="1" applyFill="1" applyBorder="1" applyAlignment="1">
      <alignment horizontal="center" vertical="center" wrapText="1"/>
    </xf>
    <xf numFmtId="14" fontId="4" fillId="3" borderId="34" xfId="0" applyNumberFormat="1" applyFont="1" applyFill="1" applyBorder="1" applyAlignment="1">
      <alignment horizontal="center" vertical="center" wrapText="1"/>
    </xf>
    <xf numFmtId="164" fontId="4" fillId="2" borderId="22" xfId="0" applyNumberFormat="1" applyFont="1" applyFill="1" applyBorder="1" applyAlignment="1">
      <alignment horizontal="center" wrapText="1"/>
    </xf>
    <xf numFmtId="164" fontId="4" fillId="2" borderId="31" xfId="0" applyNumberFormat="1" applyFont="1" applyFill="1" applyBorder="1" applyAlignment="1">
      <alignment horizontal="center" wrapText="1"/>
    </xf>
    <xf numFmtId="0" fontId="7" fillId="2" borderId="28" xfId="3" applyFont="1" applyFill="1" applyBorder="1" applyAlignment="1">
      <alignment horizontal="left" vertical="center"/>
    </xf>
    <xf numFmtId="0" fontId="14" fillId="2" borderId="2" xfId="3" applyFont="1" applyFill="1" applyBorder="1" applyAlignment="1">
      <alignment horizontal="center" vertical="center"/>
    </xf>
    <xf numFmtId="0" fontId="5" fillId="2" borderId="15" xfId="3" applyFont="1" applyFill="1" applyBorder="1" applyAlignment="1">
      <alignment horizontal="left" vertical="center"/>
    </xf>
    <xf numFmtId="0" fontId="5" fillId="2" borderId="16" xfId="3" applyFont="1" applyFill="1" applyBorder="1" applyAlignment="1">
      <alignment horizontal="left" vertical="center"/>
    </xf>
    <xf numFmtId="0" fontId="5" fillId="2" borderId="14" xfId="3" applyFont="1" applyFill="1" applyBorder="1" applyAlignment="1">
      <alignment horizontal="left" vertical="center"/>
    </xf>
    <xf numFmtId="0" fontId="5" fillId="2" borderId="7" xfId="3" applyFont="1" applyFill="1" applyBorder="1" applyAlignment="1">
      <alignment horizontal="left" vertical="center"/>
    </xf>
    <xf numFmtId="0" fontId="5" fillId="2" borderId="5" xfId="3" applyFont="1" applyFill="1" applyBorder="1" applyAlignment="1">
      <alignment horizontal="left" vertical="center"/>
    </xf>
    <xf numFmtId="1" fontId="4" fillId="2" borderId="3" xfId="0" applyNumberFormat="1" applyFont="1" applyFill="1" applyBorder="1" applyAlignment="1">
      <alignment horizontal="center" vertical="center" wrapText="1"/>
    </xf>
    <xf numFmtId="1" fontId="4" fillId="2" borderId="23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1" fontId="4" fillId="2" borderId="32" xfId="0" applyNumberFormat="1" applyFont="1" applyFill="1" applyBorder="1" applyAlignment="1">
      <alignment horizontal="center" vertical="center" wrapText="1"/>
    </xf>
    <xf numFmtId="14" fontId="4" fillId="2" borderId="17" xfId="0" applyNumberFormat="1" applyFont="1" applyFill="1" applyBorder="1" applyAlignment="1">
      <alignment horizontal="center" vertical="center" wrapText="1"/>
    </xf>
    <xf numFmtId="14" fontId="4" fillId="2" borderId="10" xfId="0" applyNumberFormat="1" applyFont="1" applyFill="1" applyBorder="1" applyAlignment="1">
      <alignment horizontal="center" vertical="center" wrapText="1"/>
    </xf>
    <xf numFmtId="166" fontId="4" fillId="3" borderId="16" xfId="0" applyNumberFormat="1" applyFont="1" applyFill="1" applyBorder="1" applyAlignment="1">
      <alignment horizontal="center" vertical="center" wrapText="1"/>
    </xf>
    <xf numFmtId="14" fontId="4" fillId="2" borderId="12" xfId="0" applyNumberFormat="1" applyFont="1" applyFill="1" applyBorder="1" applyAlignment="1">
      <alignment horizontal="center" vertical="center" wrapText="1"/>
    </xf>
    <xf numFmtId="1" fontId="4" fillId="2" borderId="5" xfId="0" applyNumberFormat="1" applyFont="1" applyFill="1" applyBorder="1" applyAlignment="1">
      <alignment horizontal="center" vertical="center" wrapText="1"/>
    </xf>
    <xf numFmtId="1" fontId="4" fillId="2" borderId="6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5" fontId="4" fillId="3" borderId="12" xfId="0" applyNumberFormat="1" applyFont="1" applyFill="1" applyBorder="1" applyAlignment="1">
      <alignment horizontal="center" vertical="center" wrapText="1"/>
    </xf>
    <xf numFmtId="165" fontId="4" fillId="3" borderId="10" xfId="0" applyNumberFormat="1" applyFont="1" applyFill="1" applyBorder="1" applyAlignment="1">
      <alignment horizontal="center" vertical="center" wrapText="1"/>
    </xf>
    <xf numFmtId="0" fontId="5" fillId="2" borderId="5" xfId="1" applyFont="1" applyFill="1" applyBorder="1" applyAlignment="1" applyProtection="1">
      <alignment horizontal="center"/>
      <protection locked="0" hidden="1"/>
    </xf>
    <xf numFmtId="0" fontId="5" fillId="2" borderId="6" xfId="1" applyFont="1" applyFill="1" applyBorder="1" applyAlignment="1" applyProtection="1">
      <alignment horizontal="center"/>
      <protection locked="0" hidden="1"/>
    </xf>
    <xf numFmtId="0" fontId="5" fillId="2" borderId="27" xfId="1" applyFont="1" applyFill="1" applyBorder="1" applyAlignment="1" applyProtection="1">
      <alignment horizontal="center"/>
      <protection locked="0" hidden="1"/>
    </xf>
    <xf numFmtId="0" fontId="14" fillId="3" borderId="5" xfId="1" applyFont="1" applyFill="1" applyBorder="1" applyAlignment="1" applyProtection="1">
      <alignment horizontal="center" vertical="center"/>
      <protection locked="0" hidden="1"/>
    </xf>
    <xf numFmtId="0" fontId="14" fillId="3" borderId="6" xfId="1" applyFont="1" applyFill="1" applyBorder="1" applyAlignment="1" applyProtection="1">
      <alignment horizontal="center" vertical="center"/>
      <protection locked="0" hidden="1"/>
    </xf>
    <xf numFmtId="0" fontId="14" fillId="3" borderId="27" xfId="1" applyFont="1" applyFill="1" applyBorder="1" applyAlignment="1" applyProtection="1">
      <alignment horizontal="center" vertical="center"/>
      <protection locked="0" hidden="1"/>
    </xf>
    <xf numFmtId="0" fontId="4" fillId="0" borderId="0" xfId="0" applyFont="1" applyAlignment="1" applyProtection="1">
      <alignment horizontal="center"/>
      <protection locked="0"/>
    </xf>
    <xf numFmtId="0" fontId="19" fillId="2" borderId="26" xfId="3" applyFont="1" applyFill="1" applyBorder="1" applyAlignment="1" applyProtection="1">
      <alignment horizontal="center" vertical="center"/>
      <protection locked="0" hidden="1"/>
    </xf>
    <xf numFmtId="0" fontId="19" fillId="2" borderId="6" xfId="3" applyFont="1" applyFill="1" applyBorder="1" applyAlignment="1" applyProtection="1">
      <alignment horizontal="center" vertical="center"/>
      <protection locked="0" hidden="1"/>
    </xf>
    <xf numFmtId="49" fontId="19" fillId="2" borderId="26" xfId="3" applyNumberFormat="1" applyFont="1" applyFill="1" applyBorder="1" applyAlignment="1" applyProtection="1">
      <alignment horizontal="center" vertical="center"/>
      <protection locked="0" hidden="1"/>
    </xf>
    <xf numFmtId="49" fontId="19" fillId="2" borderId="6" xfId="3" applyNumberFormat="1" applyFont="1" applyFill="1" applyBorder="1" applyAlignment="1" applyProtection="1">
      <alignment horizontal="center" vertical="center"/>
      <protection locked="0" hidden="1"/>
    </xf>
    <xf numFmtId="164" fontId="4" fillId="3" borderId="17" xfId="0" applyNumberFormat="1" applyFont="1" applyFill="1" applyBorder="1" applyAlignment="1">
      <alignment horizontal="center" vertical="center" wrapText="1"/>
    </xf>
    <xf numFmtId="164" fontId="4" fillId="3" borderId="41" xfId="0" applyNumberFormat="1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3" xr:uid="{84EF3F86-3383-4759-BC98-8A03A8BE8BD5}"/>
    <cellStyle name="Normal 9 2" xfId="2" xr:uid="{F003A0EA-2FCB-40A4-99CA-604E1953D7A7}"/>
    <cellStyle name="Vírgula" xfId="4" builtin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477278</xdr:colOff>
      <xdr:row>1</xdr:row>
      <xdr:rowOff>24466</xdr:rowOff>
    </xdr:from>
    <xdr:to>
      <xdr:col>21</xdr:col>
      <xdr:colOff>474673</xdr:colOff>
      <xdr:row>2</xdr:row>
      <xdr:rowOff>2950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D4968AC0-EC59-4430-8FF0-54251EF3A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3228" y="186391"/>
          <a:ext cx="1395665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238125</xdr:colOff>
      <xdr:row>1</xdr:row>
      <xdr:rowOff>28575</xdr:rowOff>
    </xdr:from>
    <xdr:to>
      <xdr:col>1</xdr:col>
      <xdr:colOff>342900</xdr:colOff>
      <xdr:row>1</xdr:row>
      <xdr:rowOff>180975</xdr:rowOff>
    </xdr:to>
    <xdr:grpSp>
      <xdr:nvGrpSpPr>
        <xdr:cNvPr id="99025" name="Group 2">
          <a:extLst>
            <a:ext uri="{FF2B5EF4-FFF2-40B4-BE49-F238E27FC236}">
              <a16:creationId xmlns:a16="http://schemas.microsoft.com/office/drawing/2014/main" id="{00000000-0008-0000-0100-0000D1820100}"/>
            </a:ext>
          </a:extLst>
        </xdr:cNvPr>
        <xdr:cNvGrpSpPr>
          <a:grpSpLocks/>
        </xdr:cNvGrpSpPr>
      </xdr:nvGrpSpPr>
      <xdr:grpSpPr bwMode="auto">
        <a:xfrm>
          <a:off x="849630" y="198120"/>
          <a:ext cx="102870" cy="152400"/>
          <a:chOff x="2160" y="1791"/>
          <a:chExt cx="711" cy="1440"/>
        </a:xfrm>
      </xdr:grpSpPr>
      <xdr:sp macro="" textlink="">
        <xdr:nvSpPr>
          <xdr:cNvPr id="99042" name="Rectangle 3">
            <a:extLst>
              <a:ext uri="{FF2B5EF4-FFF2-40B4-BE49-F238E27FC236}">
                <a16:creationId xmlns:a16="http://schemas.microsoft.com/office/drawing/2014/main" id="{00000000-0008-0000-0100-0000E2820100}"/>
              </a:ext>
            </a:extLst>
          </xdr:cNvPr>
          <xdr:cNvSpPr>
            <a:spLocks noChangeArrowheads="1"/>
          </xdr:cNvSpPr>
        </xdr:nvSpPr>
        <xdr:spPr bwMode="auto">
          <a:xfrm>
            <a:off x="2160" y="1791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43" name="AutoShape 4">
            <a:extLst>
              <a:ext uri="{FF2B5EF4-FFF2-40B4-BE49-F238E27FC236}">
                <a16:creationId xmlns:a16="http://schemas.microsoft.com/office/drawing/2014/main" id="{00000000-0008-0000-0100-0000E3820100}"/>
              </a:ext>
            </a:extLst>
          </xdr:cNvPr>
          <xdr:cNvCxnSpPr>
            <a:cxnSpLocks noChangeShapeType="1"/>
          </xdr:cNvCxnSpPr>
        </xdr:nvCxnSpPr>
        <xdr:spPr bwMode="auto">
          <a:xfrm>
            <a:off x="2160" y="1791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4" name="AutoShape 5">
            <a:extLst>
              <a:ext uri="{FF2B5EF4-FFF2-40B4-BE49-F238E27FC236}">
                <a16:creationId xmlns:a16="http://schemas.microsoft.com/office/drawing/2014/main" id="{00000000-0008-0000-0100-0000E4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2160" y="1791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238125</xdr:colOff>
      <xdr:row>2</xdr:row>
      <xdr:rowOff>28575</xdr:rowOff>
    </xdr:from>
    <xdr:to>
      <xdr:col>1</xdr:col>
      <xdr:colOff>342900</xdr:colOff>
      <xdr:row>2</xdr:row>
      <xdr:rowOff>180975</xdr:rowOff>
    </xdr:to>
    <xdr:grpSp>
      <xdr:nvGrpSpPr>
        <xdr:cNvPr id="99026" name="Group 6">
          <a:extLst>
            <a:ext uri="{FF2B5EF4-FFF2-40B4-BE49-F238E27FC236}">
              <a16:creationId xmlns:a16="http://schemas.microsoft.com/office/drawing/2014/main" id="{00000000-0008-0000-0100-0000D2820100}"/>
            </a:ext>
          </a:extLst>
        </xdr:cNvPr>
        <xdr:cNvGrpSpPr>
          <a:grpSpLocks/>
        </xdr:cNvGrpSpPr>
      </xdr:nvGrpSpPr>
      <xdr:grpSpPr bwMode="auto">
        <a:xfrm>
          <a:off x="849630" y="407670"/>
          <a:ext cx="102870" cy="152400"/>
          <a:chOff x="3342" y="1791"/>
          <a:chExt cx="711" cy="1440"/>
        </a:xfrm>
      </xdr:grpSpPr>
      <xdr:sp macro="" textlink="">
        <xdr:nvSpPr>
          <xdr:cNvPr id="99038" name="Rectangle 7">
            <a:extLst>
              <a:ext uri="{FF2B5EF4-FFF2-40B4-BE49-F238E27FC236}">
                <a16:creationId xmlns:a16="http://schemas.microsoft.com/office/drawing/2014/main" id="{00000000-0008-0000-0100-0000DE820100}"/>
              </a:ext>
            </a:extLst>
          </xdr:cNvPr>
          <xdr:cNvSpPr>
            <a:spLocks noChangeArrowheads="1"/>
          </xdr:cNvSpPr>
        </xdr:nvSpPr>
        <xdr:spPr bwMode="auto">
          <a:xfrm>
            <a:off x="3342" y="1791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9" name="AutoShape 8">
            <a:extLst>
              <a:ext uri="{FF2B5EF4-FFF2-40B4-BE49-F238E27FC236}">
                <a16:creationId xmlns:a16="http://schemas.microsoft.com/office/drawing/2014/main" id="{00000000-0008-0000-0100-0000DF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702" y="1791"/>
            <a:ext cx="0" cy="812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0" name="AutoShape 9">
            <a:extLst>
              <a:ext uri="{FF2B5EF4-FFF2-40B4-BE49-F238E27FC236}">
                <a16:creationId xmlns:a16="http://schemas.microsoft.com/office/drawing/2014/main" id="{00000000-0008-0000-0100-0000E0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3342" y="2603"/>
            <a:ext cx="359" cy="628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41" name="AutoShape 10">
            <a:extLst>
              <a:ext uri="{FF2B5EF4-FFF2-40B4-BE49-F238E27FC236}">
                <a16:creationId xmlns:a16="http://schemas.microsoft.com/office/drawing/2014/main" id="{00000000-0008-0000-0100-0000E18201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3701" y="2603"/>
            <a:ext cx="352" cy="628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3</xdr:row>
      <xdr:rowOff>28575</xdr:rowOff>
    </xdr:from>
    <xdr:to>
      <xdr:col>1</xdr:col>
      <xdr:colOff>352425</xdr:colOff>
      <xdr:row>3</xdr:row>
      <xdr:rowOff>180975</xdr:rowOff>
    </xdr:to>
    <xdr:grpSp>
      <xdr:nvGrpSpPr>
        <xdr:cNvPr id="99027" name="Group 11">
          <a:extLst>
            <a:ext uri="{FF2B5EF4-FFF2-40B4-BE49-F238E27FC236}">
              <a16:creationId xmlns:a16="http://schemas.microsoft.com/office/drawing/2014/main" id="{00000000-0008-0000-0100-0000D3820100}"/>
            </a:ext>
          </a:extLst>
        </xdr:cNvPr>
        <xdr:cNvGrpSpPr>
          <a:grpSpLocks/>
        </xdr:cNvGrpSpPr>
      </xdr:nvGrpSpPr>
      <xdr:grpSpPr bwMode="auto">
        <a:xfrm>
          <a:off x="853440" y="617220"/>
          <a:ext cx="110490" cy="152400"/>
          <a:chOff x="4505" y="1745"/>
          <a:chExt cx="711" cy="1440"/>
        </a:xfrm>
      </xdr:grpSpPr>
      <xdr:sp macro="" textlink="">
        <xdr:nvSpPr>
          <xdr:cNvPr id="99035" name="Rectangle 12">
            <a:extLst>
              <a:ext uri="{FF2B5EF4-FFF2-40B4-BE49-F238E27FC236}">
                <a16:creationId xmlns:a16="http://schemas.microsoft.com/office/drawing/2014/main" id="{00000000-0008-0000-0100-0000DB820100}"/>
              </a:ext>
            </a:extLst>
          </xdr:cNvPr>
          <xdr:cNvSpPr>
            <a:spLocks noChangeArrowheads="1"/>
          </xdr:cNvSpPr>
        </xdr:nvSpPr>
        <xdr:spPr bwMode="auto">
          <a:xfrm>
            <a:off x="4505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6" name="AutoShape 13">
            <a:extLst>
              <a:ext uri="{FF2B5EF4-FFF2-40B4-BE49-F238E27FC236}">
                <a16:creationId xmlns:a16="http://schemas.microsoft.com/office/drawing/2014/main" id="{00000000-0008-0000-0100-0000DC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4505" y="1745"/>
            <a:ext cx="711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37" name="AutoShape 14">
            <a:extLst>
              <a:ext uri="{FF2B5EF4-FFF2-40B4-BE49-F238E27FC236}">
                <a16:creationId xmlns:a16="http://schemas.microsoft.com/office/drawing/2014/main" id="{00000000-0008-0000-0100-0000DD820100}"/>
              </a:ext>
            </a:extLst>
          </xdr:cNvPr>
          <xdr:cNvCxnSpPr>
            <a:cxnSpLocks noChangeShapeType="1"/>
          </xdr:cNvCxnSpPr>
        </xdr:nvCxnSpPr>
        <xdr:spPr bwMode="auto">
          <a:xfrm flipH="1" flipV="1">
            <a:off x="4911" y="2382"/>
            <a:ext cx="305" cy="803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4</xdr:row>
      <xdr:rowOff>28575</xdr:rowOff>
    </xdr:from>
    <xdr:to>
      <xdr:col>1</xdr:col>
      <xdr:colOff>352425</xdr:colOff>
      <xdr:row>4</xdr:row>
      <xdr:rowOff>180975</xdr:rowOff>
    </xdr:to>
    <xdr:grpSp>
      <xdr:nvGrpSpPr>
        <xdr:cNvPr id="99028" name="Group 15">
          <a:extLst>
            <a:ext uri="{FF2B5EF4-FFF2-40B4-BE49-F238E27FC236}">
              <a16:creationId xmlns:a16="http://schemas.microsoft.com/office/drawing/2014/main" id="{00000000-0008-0000-0100-0000D4820100}"/>
            </a:ext>
          </a:extLst>
        </xdr:cNvPr>
        <xdr:cNvGrpSpPr>
          <a:grpSpLocks/>
        </xdr:cNvGrpSpPr>
      </xdr:nvGrpSpPr>
      <xdr:grpSpPr bwMode="auto">
        <a:xfrm>
          <a:off x="853440" y="826770"/>
          <a:ext cx="110490" cy="152400"/>
          <a:chOff x="5724" y="1745"/>
          <a:chExt cx="711" cy="1440"/>
        </a:xfrm>
      </xdr:grpSpPr>
      <xdr:sp macro="" textlink="">
        <xdr:nvSpPr>
          <xdr:cNvPr id="99033" name="Rectangle 16">
            <a:extLst>
              <a:ext uri="{FF2B5EF4-FFF2-40B4-BE49-F238E27FC236}">
                <a16:creationId xmlns:a16="http://schemas.microsoft.com/office/drawing/2014/main" id="{00000000-0008-0000-0100-0000D9820100}"/>
              </a:ext>
            </a:extLst>
          </xdr:cNvPr>
          <xdr:cNvSpPr>
            <a:spLocks noChangeArrowheads="1"/>
          </xdr:cNvSpPr>
        </xdr:nvSpPr>
        <xdr:spPr bwMode="auto">
          <a:xfrm>
            <a:off x="5724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4" name="AutoShape 17">
            <a:extLst>
              <a:ext uri="{FF2B5EF4-FFF2-40B4-BE49-F238E27FC236}">
                <a16:creationId xmlns:a16="http://schemas.microsoft.com/office/drawing/2014/main" id="{00000000-0008-0000-0100-0000DA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5724" y="1745"/>
            <a:ext cx="664" cy="1172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  <xdr:twoCellAnchor>
    <xdr:from>
      <xdr:col>1</xdr:col>
      <xdr:colOff>247650</xdr:colOff>
      <xdr:row>5</xdr:row>
      <xdr:rowOff>28575</xdr:rowOff>
    </xdr:from>
    <xdr:to>
      <xdr:col>1</xdr:col>
      <xdr:colOff>352425</xdr:colOff>
      <xdr:row>5</xdr:row>
      <xdr:rowOff>180975</xdr:rowOff>
    </xdr:to>
    <xdr:grpSp>
      <xdr:nvGrpSpPr>
        <xdr:cNvPr id="99029" name="Group 18">
          <a:extLst>
            <a:ext uri="{FF2B5EF4-FFF2-40B4-BE49-F238E27FC236}">
              <a16:creationId xmlns:a16="http://schemas.microsoft.com/office/drawing/2014/main" id="{00000000-0008-0000-0100-0000D5820100}"/>
            </a:ext>
          </a:extLst>
        </xdr:cNvPr>
        <xdr:cNvGrpSpPr>
          <a:grpSpLocks/>
        </xdr:cNvGrpSpPr>
      </xdr:nvGrpSpPr>
      <xdr:grpSpPr bwMode="auto">
        <a:xfrm>
          <a:off x="853440" y="1036320"/>
          <a:ext cx="110490" cy="152400"/>
          <a:chOff x="6767" y="1745"/>
          <a:chExt cx="711" cy="1440"/>
        </a:xfrm>
      </xdr:grpSpPr>
      <xdr:sp macro="" textlink="">
        <xdr:nvSpPr>
          <xdr:cNvPr id="99030" name="Rectangle 19">
            <a:extLst>
              <a:ext uri="{FF2B5EF4-FFF2-40B4-BE49-F238E27FC236}">
                <a16:creationId xmlns:a16="http://schemas.microsoft.com/office/drawing/2014/main" id="{00000000-0008-0000-0100-0000D6820100}"/>
              </a:ext>
            </a:extLst>
          </xdr:cNvPr>
          <xdr:cNvSpPr>
            <a:spLocks noChangeArrowheads="1"/>
          </xdr:cNvSpPr>
        </xdr:nvSpPr>
        <xdr:spPr bwMode="auto">
          <a:xfrm>
            <a:off x="6767" y="1745"/>
            <a:ext cx="711" cy="1440"/>
          </a:xfrm>
          <a:prstGeom prst="rect">
            <a:avLst/>
          </a:prstGeom>
          <a:solidFill>
            <a:srgbClr val="FFFFFF"/>
          </a:solidFill>
          <a:ln w="0">
            <a:solidFill>
              <a:srgbClr val="000000"/>
            </a:solidFill>
            <a:miter lim="800000"/>
            <a:headEnd/>
            <a:tailEnd/>
          </a:ln>
        </xdr:spPr>
      </xdr:sp>
      <xdr:cxnSp macro="">
        <xdr:nvCxnSpPr>
          <xdr:cNvPr id="99031" name="AutoShape 20">
            <a:extLst>
              <a:ext uri="{FF2B5EF4-FFF2-40B4-BE49-F238E27FC236}">
                <a16:creationId xmlns:a16="http://schemas.microsoft.com/office/drawing/2014/main" id="{00000000-0008-0000-0100-0000D7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7153" y="1745"/>
            <a:ext cx="0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  <xdr:cxnSp macro="">
        <xdr:nvCxnSpPr>
          <xdr:cNvPr id="99032" name="AutoShape 21">
            <a:extLst>
              <a:ext uri="{FF2B5EF4-FFF2-40B4-BE49-F238E27FC236}">
                <a16:creationId xmlns:a16="http://schemas.microsoft.com/office/drawing/2014/main" id="{00000000-0008-0000-0100-0000D8820100}"/>
              </a:ext>
            </a:extLst>
          </xdr:cNvPr>
          <xdr:cNvCxnSpPr>
            <a:cxnSpLocks noChangeShapeType="1"/>
          </xdr:cNvCxnSpPr>
        </xdr:nvCxnSpPr>
        <xdr:spPr bwMode="auto">
          <a:xfrm flipV="1">
            <a:off x="7286" y="1745"/>
            <a:ext cx="0" cy="1440"/>
          </a:xfrm>
          <a:prstGeom prst="straightConnector1">
            <a:avLst/>
          </a:prstGeom>
          <a:noFill/>
          <a:ln w="0">
            <a:solidFill>
              <a:srgbClr val="000000"/>
            </a:solidFill>
            <a:prstDash val="dash"/>
            <a:round/>
            <a:headEnd/>
            <a:tailEnd/>
          </a:ln>
        </xdr:spPr>
      </xdr:cxn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54"/>
  <sheetViews>
    <sheetView showGridLines="0" tabSelected="1" view="pageBreakPreview" zoomScaleNormal="100" zoomScaleSheetLayoutView="100" workbookViewId="0">
      <selection activeCell="K5" sqref="K5:V5"/>
    </sheetView>
  </sheetViews>
  <sheetFormatPr defaultColWidth="11.44140625" defaultRowHeight="15" customHeight="1" x14ac:dyDescent="0.25"/>
  <cols>
    <col min="1" max="1" width="1.109375" style="4" customWidth="1"/>
    <col min="2" max="2" width="10.44140625" style="4" bestFit="1" customWidth="1"/>
    <col min="3" max="3" width="7.5546875" style="4" bestFit="1" customWidth="1"/>
    <col min="4" max="4" width="7.109375" style="4" customWidth="1"/>
    <col min="5" max="5" width="6.109375" style="4" bestFit="1" customWidth="1"/>
    <col min="6" max="6" width="9.88671875" style="4" bestFit="1" customWidth="1"/>
    <col min="7" max="7" width="6.5546875" style="4" customWidth="1"/>
    <col min="8" max="8" width="5.6640625" style="4" customWidth="1"/>
    <col min="9" max="9" width="9" style="4" customWidth="1"/>
    <col min="10" max="11" width="10.44140625" style="4" customWidth="1"/>
    <col min="12" max="14" width="8.88671875" style="4" customWidth="1"/>
    <col min="15" max="18" width="10.6640625" style="4" customWidth="1"/>
    <col min="19" max="19" width="10.109375" style="4" hidden="1" customWidth="1"/>
    <col min="20" max="20" width="8.88671875" style="4" hidden="1" customWidth="1"/>
    <col min="21" max="21" width="10.109375" style="4" bestFit="1" customWidth="1"/>
    <col min="22" max="22" width="8.88671875" style="4" customWidth="1"/>
    <col min="23" max="23" width="1" style="4" customWidth="1"/>
    <col min="24" max="24" width="11.44140625" style="4"/>
    <col min="25" max="25" width="11.44140625" style="4" customWidth="1"/>
    <col min="26" max="16384" width="11.44140625" style="4"/>
  </cols>
  <sheetData>
    <row r="1" spans="2:25" ht="13.8" thickBot="1" x14ac:dyDescent="0.3"/>
    <row r="2" spans="2:25" ht="61.5" customHeight="1" x14ac:dyDescent="0.25">
      <c r="B2" s="74" t="s">
        <v>40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6"/>
    </row>
    <row r="3" spans="2:25" s="5" customFormat="1" ht="28.5" customHeight="1" x14ac:dyDescent="0.25">
      <c r="B3" s="96" t="s">
        <v>41</v>
      </c>
      <c r="C3" s="97"/>
      <c r="D3" s="97"/>
      <c r="E3" s="97"/>
      <c r="F3" s="97"/>
      <c r="G3" s="97"/>
      <c r="H3" s="97"/>
      <c r="I3" s="97"/>
      <c r="J3" s="97"/>
      <c r="K3" s="69" t="s">
        <v>42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70"/>
      <c r="W3" s="4"/>
    </row>
    <row r="4" spans="2:25" s="5" customFormat="1" ht="29.25" customHeight="1" x14ac:dyDescent="0.25">
      <c r="B4" s="98" t="s">
        <v>43</v>
      </c>
      <c r="C4" s="69"/>
      <c r="D4" s="69"/>
      <c r="E4" s="69"/>
      <c r="F4" s="69"/>
      <c r="G4" s="69"/>
      <c r="H4" s="69"/>
      <c r="I4" s="69"/>
      <c r="J4" s="69"/>
      <c r="K4" s="69" t="s">
        <v>67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70"/>
      <c r="W4" s="4"/>
    </row>
    <row r="5" spans="2:25" s="5" customFormat="1" ht="30.75" customHeight="1" x14ac:dyDescent="0.25">
      <c r="B5" s="99" t="s">
        <v>44</v>
      </c>
      <c r="C5" s="67"/>
      <c r="D5" s="67"/>
      <c r="E5" s="67"/>
      <c r="F5" s="67"/>
      <c r="G5" s="67"/>
      <c r="H5" s="67"/>
      <c r="I5" s="67"/>
      <c r="J5" s="67"/>
      <c r="K5" s="67" t="s">
        <v>45</v>
      </c>
      <c r="L5" s="67"/>
      <c r="M5" s="67"/>
      <c r="N5" s="67"/>
      <c r="O5" s="67"/>
      <c r="P5" s="67"/>
      <c r="Q5" s="67"/>
      <c r="R5" s="67"/>
      <c r="S5" s="67"/>
      <c r="T5" s="67"/>
      <c r="U5" s="67"/>
      <c r="V5" s="68"/>
      <c r="W5" s="4"/>
    </row>
    <row r="6" spans="2:25" s="10" customFormat="1" ht="12" customHeight="1" x14ac:dyDescent="0.25">
      <c r="B6" s="71"/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3"/>
      <c r="W6" s="4"/>
    </row>
    <row r="7" spans="2:25" s="5" customFormat="1" ht="30" customHeight="1" x14ac:dyDescent="0.25">
      <c r="B7" s="35" t="s">
        <v>3</v>
      </c>
      <c r="C7" s="100" t="s">
        <v>58</v>
      </c>
      <c r="D7" s="100"/>
      <c r="E7" s="100"/>
      <c r="F7" s="100"/>
      <c r="G7" s="100"/>
      <c r="H7" s="100"/>
      <c r="I7" s="100"/>
      <c r="J7" s="100"/>
      <c r="K7" s="100"/>
      <c r="L7" s="140" t="s">
        <v>4</v>
      </c>
      <c r="M7" s="141"/>
      <c r="N7" s="64"/>
      <c r="O7" s="65"/>
      <c r="P7" s="65"/>
      <c r="Q7" s="65"/>
      <c r="R7" s="65"/>
      <c r="S7" s="65"/>
      <c r="T7" s="65"/>
      <c r="U7" s="65"/>
      <c r="V7" s="66"/>
      <c r="W7" s="4"/>
    </row>
    <row r="8" spans="2:25" s="5" customFormat="1" ht="30" customHeight="1" x14ac:dyDescent="0.25">
      <c r="B8" s="36" t="s">
        <v>5</v>
      </c>
      <c r="C8" s="65" t="s">
        <v>57</v>
      </c>
      <c r="D8" s="65"/>
      <c r="E8" s="65"/>
      <c r="F8" s="65"/>
      <c r="G8" s="65"/>
      <c r="H8" s="65"/>
      <c r="I8" s="65"/>
      <c r="J8" s="65"/>
      <c r="K8" s="65"/>
      <c r="L8" s="137" t="s">
        <v>6</v>
      </c>
      <c r="M8" s="138"/>
      <c r="N8" s="139"/>
      <c r="O8" s="91" t="s">
        <v>60</v>
      </c>
      <c r="P8" s="91"/>
      <c r="Q8" s="91"/>
      <c r="R8" s="91"/>
      <c r="S8" s="91"/>
      <c r="T8" s="91"/>
      <c r="U8" s="91"/>
      <c r="V8" s="92"/>
      <c r="W8" s="4"/>
    </row>
    <row r="9" spans="2:25" s="5" customFormat="1" ht="30" customHeight="1" x14ac:dyDescent="0.25">
      <c r="B9" s="93" t="s">
        <v>7</v>
      </c>
      <c r="C9" s="94"/>
      <c r="D9" s="95"/>
      <c r="E9" s="136" t="s">
        <v>55</v>
      </c>
      <c r="F9" s="136"/>
      <c r="G9" s="136"/>
      <c r="H9" s="136"/>
      <c r="I9" s="136"/>
      <c r="J9" s="136"/>
      <c r="K9" s="136"/>
      <c r="L9" s="65"/>
      <c r="M9" s="65"/>
      <c r="N9" s="65"/>
      <c r="O9" s="65"/>
      <c r="P9" s="65"/>
      <c r="Q9" s="65"/>
      <c r="R9" s="65"/>
      <c r="S9" s="65"/>
      <c r="T9" s="65"/>
      <c r="U9" s="65"/>
      <c r="V9" s="66"/>
      <c r="W9" s="4"/>
    </row>
    <row r="10" spans="2:25" s="5" customFormat="1" ht="24.75" customHeight="1" x14ac:dyDescent="0.25">
      <c r="B10" s="135" t="s">
        <v>8</v>
      </c>
      <c r="C10" s="94"/>
      <c r="D10" s="94"/>
      <c r="E10" s="95"/>
      <c r="F10" s="91" t="s">
        <v>59</v>
      </c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2"/>
      <c r="W10" s="4"/>
    </row>
    <row r="11" spans="2:25" s="6" customFormat="1" ht="30" customHeight="1" x14ac:dyDescent="0.25">
      <c r="B11" s="85" t="s">
        <v>9</v>
      </c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7"/>
      <c r="W11" s="4"/>
    </row>
    <row r="12" spans="2:25" s="6" customFormat="1" ht="30" customHeight="1" x14ac:dyDescent="0.25">
      <c r="B12" s="88" t="s">
        <v>10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90"/>
      <c r="W12" s="4"/>
    </row>
    <row r="13" spans="2:25" s="6" customFormat="1" ht="30" customHeight="1" x14ac:dyDescent="0.25">
      <c r="B13" s="88" t="s">
        <v>11</v>
      </c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90"/>
      <c r="W13" s="4"/>
    </row>
    <row r="14" spans="2:25" s="10" customFormat="1" ht="9" customHeight="1" x14ac:dyDescent="0.25">
      <c r="B14" s="37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9"/>
      <c r="R14" s="39"/>
      <c r="S14" s="39"/>
      <c r="T14" s="17"/>
      <c r="U14" s="40"/>
      <c r="V14" s="41"/>
      <c r="W14" s="4"/>
    </row>
    <row r="15" spans="2:25" ht="30" customHeight="1" x14ac:dyDescent="0.25">
      <c r="B15" s="82" t="s">
        <v>12</v>
      </c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4"/>
    </row>
    <row r="16" spans="2:25" s="10" customFormat="1" ht="13.2" x14ac:dyDescent="0.25">
      <c r="B16" s="102" t="s">
        <v>32</v>
      </c>
      <c r="C16" s="101"/>
      <c r="D16" s="101"/>
      <c r="E16" s="101"/>
      <c r="F16" s="101"/>
      <c r="G16" s="101" t="s">
        <v>33</v>
      </c>
      <c r="H16" s="101"/>
      <c r="I16" s="101"/>
      <c r="J16" s="101"/>
      <c r="K16" s="101"/>
      <c r="L16" s="101"/>
      <c r="M16" s="155" t="s">
        <v>66</v>
      </c>
      <c r="N16" s="156"/>
      <c r="O16" s="156"/>
      <c r="P16" s="156"/>
      <c r="Q16" s="156"/>
      <c r="R16" s="156"/>
      <c r="S16" s="156"/>
      <c r="T16" s="156"/>
      <c r="U16" s="156"/>
      <c r="V16" s="157"/>
      <c r="W16" s="4"/>
      <c r="X16" s="161" t="s">
        <v>64</v>
      </c>
      <c r="Y16" s="161"/>
    </row>
    <row r="17" spans="2:26" s="24" customFormat="1" ht="18" customHeight="1" x14ac:dyDescent="0.25">
      <c r="B17" s="77">
        <v>20</v>
      </c>
      <c r="C17" s="78"/>
      <c r="D17" s="79" t="s">
        <v>39</v>
      </c>
      <c r="E17" s="79"/>
      <c r="F17" s="80"/>
      <c r="G17" s="81">
        <v>300</v>
      </c>
      <c r="H17" s="78"/>
      <c r="I17" s="78"/>
      <c r="J17" s="79" t="s">
        <v>56</v>
      </c>
      <c r="K17" s="79"/>
      <c r="L17" s="80"/>
      <c r="M17" s="158" t="s">
        <v>65</v>
      </c>
      <c r="N17" s="159"/>
      <c r="O17" s="159"/>
      <c r="P17" s="159"/>
      <c r="Q17" s="159"/>
      <c r="R17" s="159"/>
      <c r="S17" s="159"/>
      <c r="T17" s="159"/>
      <c r="U17" s="159"/>
      <c r="V17" s="160"/>
      <c r="W17" s="23"/>
      <c r="X17" s="60" t="s">
        <v>62</v>
      </c>
      <c r="Y17" s="60" t="s">
        <v>63</v>
      </c>
    </row>
    <row r="18" spans="2:26" ht="25.5" customHeight="1" x14ac:dyDescent="0.25">
      <c r="B18" s="133" t="s">
        <v>13</v>
      </c>
      <c r="C18" s="11" t="s">
        <v>14</v>
      </c>
      <c r="D18" s="11" t="s">
        <v>15</v>
      </c>
      <c r="E18" s="11" t="s">
        <v>16</v>
      </c>
      <c r="F18" s="11" t="s">
        <v>22</v>
      </c>
      <c r="G18" s="112" t="s">
        <v>19</v>
      </c>
      <c r="H18" s="112"/>
      <c r="I18" s="112" t="s">
        <v>27</v>
      </c>
      <c r="J18" s="112"/>
      <c r="K18" s="112"/>
      <c r="L18" s="112" t="s">
        <v>28</v>
      </c>
      <c r="M18" s="150" t="s">
        <v>30</v>
      </c>
      <c r="N18" s="151"/>
      <c r="O18" s="151"/>
      <c r="P18" s="151"/>
      <c r="Q18" s="151"/>
      <c r="R18" s="152"/>
      <c r="S18" s="112" t="s">
        <v>30</v>
      </c>
      <c r="T18" s="112"/>
      <c r="U18" s="142" t="s">
        <v>31</v>
      </c>
      <c r="V18" s="143"/>
      <c r="X18" s="59">
        <v>1.2485999999999999</v>
      </c>
      <c r="Y18" s="56">
        <v>4.9943999999999997</v>
      </c>
      <c r="Z18" s="56" t="s">
        <v>53</v>
      </c>
    </row>
    <row r="19" spans="2:26" ht="27" thickBot="1" x14ac:dyDescent="0.3">
      <c r="B19" s="134"/>
      <c r="C19" s="14" t="s">
        <v>17</v>
      </c>
      <c r="D19" s="14" t="s">
        <v>18</v>
      </c>
      <c r="E19" s="14" t="s">
        <v>2</v>
      </c>
      <c r="F19" s="14" t="s">
        <v>23</v>
      </c>
      <c r="G19" s="14" t="s">
        <v>20</v>
      </c>
      <c r="H19" s="14" t="s">
        <v>21</v>
      </c>
      <c r="I19" s="15" t="s">
        <v>24</v>
      </c>
      <c r="J19" s="14" t="s">
        <v>25</v>
      </c>
      <c r="K19" s="14" t="s">
        <v>26</v>
      </c>
      <c r="L19" s="113"/>
      <c r="M19" s="15" t="s">
        <v>37</v>
      </c>
      <c r="N19" s="14" t="s">
        <v>36</v>
      </c>
      <c r="O19" s="15" t="s">
        <v>38</v>
      </c>
      <c r="P19" s="15" t="s">
        <v>36</v>
      </c>
      <c r="Q19" s="15" t="s">
        <v>29</v>
      </c>
      <c r="R19" s="15" t="s">
        <v>36</v>
      </c>
      <c r="S19" s="15" t="s">
        <v>37</v>
      </c>
      <c r="T19" s="15" t="s">
        <v>36</v>
      </c>
      <c r="U19" s="144"/>
      <c r="V19" s="145"/>
      <c r="X19" s="54" t="s">
        <v>37</v>
      </c>
      <c r="Y19" s="55" t="s">
        <v>38</v>
      </c>
      <c r="Z19" s="55" t="s">
        <v>29</v>
      </c>
    </row>
    <row r="20" spans="2:26" ht="21" customHeight="1" x14ac:dyDescent="0.25">
      <c r="B20" s="118">
        <v>46247</v>
      </c>
      <c r="C20" s="128" t="s">
        <v>52</v>
      </c>
      <c r="D20" s="120" t="s">
        <v>52</v>
      </c>
      <c r="E20" s="130">
        <v>260</v>
      </c>
      <c r="F20" s="122" t="s">
        <v>52</v>
      </c>
      <c r="G20" s="122" t="s">
        <v>54</v>
      </c>
      <c r="H20" s="122"/>
      <c r="I20" s="126" t="s">
        <v>52</v>
      </c>
      <c r="J20" s="126">
        <v>0.56805555555555554</v>
      </c>
      <c r="K20" s="126">
        <v>0.62430555555555556</v>
      </c>
      <c r="L20" s="116">
        <v>6</v>
      </c>
      <c r="M20" s="153">
        <f>B20+7</f>
        <v>46254</v>
      </c>
      <c r="N20" s="62" t="str">
        <f>IF(X20&lt;&gt;"", IF($M$17="Argamassa 5x10", X20*$Y$18, IF($M$17="Concreto 10x20", X20*$X$18, "")), "")</f>
        <v/>
      </c>
      <c r="O20" s="149">
        <f>B20+14</f>
        <v>46261</v>
      </c>
      <c r="P20" s="62" t="str">
        <f>IF(Y20&lt;&gt;"", IF($M$17="Argamassa 5x10", Y20*$Y$18, IF($M$17="Concreto 10x20", Y20*$X$18, "")), "")</f>
        <v/>
      </c>
      <c r="Q20" s="149">
        <f>B20+28</f>
        <v>46275</v>
      </c>
      <c r="R20" s="62" t="str">
        <f>IF(Z20&lt;&gt;"", IF($M$17="Argamassa 5x10", Z20*$Y$18, IF($M$17="Concreto 10x20", Z20*$X$18, "")), "")</f>
        <v/>
      </c>
      <c r="S20" s="149"/>
      <c r="T20" s="16"/>
      <c r="U20" s="122" t="s">
        <v>61</v>
      </c>
      <c r="V20" s="123"/>
      <c r="X20" s="22"/>
      <c r="Y20" s="22"/>
      <c r="Z20" s="22"/>
    </row>
    <row r="21" spans="2:26" ht="21" customHeight="1" thickBot="1" x14ac:dyDescent="0.3">
      <c r="B21" s="119"/>
      <c r="C21" s="129"/>
      <c r="D21" s="121"/>
      <c r="E21" s="131"/>
      <c r="F21" s="124"/>
      <c r="G21" s="124"/>
      <c r="H21" s="124"/>
      <c r="I21" s="127"/>
      <c r="J21" s="127"/>
      <c r="K21" s="127"/>
      <c r="L21" s="117"/>
      <c r="M21" s="154"/>
      <c r="N21" s="63" t="str">
        <f>IF(X21&lt;&gt;"", IF($M$17="Argamassa 5x10", X21*$Y$18, IF($M$17="Concreto 10x20", X21*$X$18, "")), "")</f>
        <v/>
      </c>
      <c r="O21" s="147"/>
      <c r="P21" s="63" t="str">
        <f t="shared" ref="P21:P45" si="0">IF(Y21&lt;&gt;"", IF($M$17="Argamassa 5x10", Y21*$Y$18, IF($M$17="Concreto 10x20", Y21*$X$18, "")), "")</f>
        <v/>
      </c>
      <c r="Q21" s="147"/>
      <c r="R21" s="63" t="str">
        <f t="shared" ref="R21:R45" si="1">IF(Z21&lt;&gt;"", IF($M$17="Argamassa 5x10", Z21*$Y$18, IF($M$17="Concreto 10x20", Z21*$X$18, "")), "")</f>
        <v/>
      </c>
      <c r="S21" s="147"/>
      <c r="T21" s="13"/>
      <c r="U21" s="124"/>
      <c r="V21" s="125"/>
      <c r="X21" s="22"/>
      <c r="Y21" s="12"/>
      <c r="Z21" s="21"/>
    </row>
    <row r="22" spans="2:26" ht="21" customHeight="1" x14ac:dyDescent="0.25">
      <c r="B22" s="132"/>
      <c r="C22" s="114"/>
      <c r="D22" s="115"/>
      <c r="E22" s="114"/>
      <c r="F22" s="114"/>
      <c r="G22" s="114"/>
      <c r="H22" s="114"/>
      <c r="I22" s="148"/>
      <c r="J22" s="148"/>
      <c r="K22" s="148"/>
      <c r="L22" s="115"/>
      <c r="M22" s="58"/>
      <c r="N22" s="62" t="str">
        <f t="shared" ref="N22:N45" si="2">IF(X22&lt;&gt;"", IF($M$17="Argamassa 5x10", X22*$Y$18, IF($M$17="Concreto 10x20", X22*$X$18, "")), "")</f>
        <v/>
      </c>
      <c r="O22" s="146"/>
      <c r="P22" s="61" t="str">
        <f t="shared" si="0"/>
        <v/>
      </c>
      <c r="Q22" s="146"/>
      <c r="R22" s="61" t="str">
        <f t="shared" si="1"/>
        <v/>
      </c>
      <c r="S22" s="146"/>
      <c r="T22" s="61"/>
      <c r="U22" s="166"/>
      <c r="V22" s="167"/>
      <c r="X22" s="18"/>
      <c r="Y22" s="21"/>
      <c r="Z22" s="12"/>
    </row>
    <row r="23" spans="2:26" ht="21" customHeight="1" thickBot="1" x14ac:dyDescent="0.3">
      <c r="B23" s="111"/>
      <c r="C23" s="105"/>
      <c r="D23" s="109"/>
      <c r="E23" s="105"/>
      <c r="F23" s="105"/>
      <c r="G23" s="105"/>
      <c r="H23" s="105"/>
      <c r="I23" s="107"/>
      <c r="J23" s="107"/>
      <c r="K23" s="107"/>
      <c r="L23" s="109"/>
      <c r="M23" s="20"/>
      <c r="N23" s="63" t="str">
        <f t="shared" si="2"/>
        <v/>
      </c>
      <c r="O23" s="147"/>
      <c r="P23" s="13" t="str">
        <f t="shared" si="0"/>
        <v/>
      </c>
      <c r="Q23" s="147"/>
      <c r="R23" s="13" t="str">
        <f t="shared" si="1"/>
        <v/>
      </c>
      <c r="S23" s="147"/>
      <c r="T23" s="13"/>
      <c r="U23" s="124"/>
      <c r="V23" s="125"/>
      <c r="X23" s="18"/>
      <c r="Y23" s="12"/>
      <c r="Z23" s="21"/>
    </row>
    <row r="24" spans="2:26" ht="21" customHeight="1" x14ac:dyDescent="0.25">
      <c r="B24" s="110"/>
      <c r="C24" s="104"/>
      <c r="D24" s="108"/>
      <c r="E24" s="104"/>
      <c r="F24" s="104"/>
      <c r="G24" s="104"/>
      <c r="H24" s="104"/>
      <c r="I24" s="106"/>
      <c r="J24" s="106"/>
      <c r="K24" s="106"/>
      <c r="L24" s="108"/>
      <c r="M24" s="42"/>
      <c r="N24" s="62" t="str">
        <f t="shared" si="2"/>
        <v/>
      </c>
      <c r="P24" s="16" t="str">
        <f t="shared" si="0"/>
        <v/>
      </c>
      <c r="Q24" s="149"/>
      <c r="R24" s="16" t="str">
        <f t="shared" si="1"/>
        <v/>
      </c>
      <c r="S24" s="149"/>
      <c r="T24" s="16"/>
      <c r="U24" s="122"/>
      <c r="V24" s="123"/>
      <c r="X24" s="18"/>
      <c r="Y24" s="21"/>
      <c r="Z24" s="12"/>
    </row>
    <row r="25" spans="2:26" ht="21" customHeight="1" thickBot="1" x14ac:dyDescent="0.3">
      <c r="B25" s="111"/>
      <c r="C25" s="105"/>
      <c r="D25" s="109"/>
      <c r="E25" s="105"/>
      <c r="F25" s="105"/>
      <c r="G25" s="105"/>
      <c r="H25" s="105"/>
      <c r="I25" s="107"/>
      <c r="J25" s="107"/>
      <c r="K25" s="107"/>
      <c r="L25" s="109"/>
      <c r="M25" s="42"/>
      <c r="N25" s="63" t="str">
        <f t="shared" si="2"/>
        <v/>
      </c>
      <c r="O25" s="57"/>
      <c r="P25" s="13" t="str">
        <f t="shared" si="0"/>
        <v/>
      </c>
      <c r="Q25" s="147"/>
      <c r="R25" s="13" t="str">
        <f t="shared" si="1"/>
        <v/>
      </c>
      <c r="S25" s="147"/>
      <c r="T25" s="13"/>
      <c r="U25" s="124"/>
      <c r="V25" s="125"/>
      <c r="X25" s="18"/>
      <c r="Y25" s="12"/>
      <c r="Z25" s="12"/>
    </row>
    <row r="26" spans="2:26" ht="21" customHeight="1" x14ac:dyDescent="0.25">
      <c r="B26" s="110"/>
      <c r="C26" s="104"/>
      <c r="D26" s="108"/>
      <c r="E26" s="104"/>
      <c r="F26" s="104"/>
      <c r="G26" s="104"/>
      <c r="H26" s="104"/>
      <c r="I26" s="106"/>
      <c r="J26" s="106"/>
      <c r="K26" s="106"/>
      <c r="L26" s="108"/>
      <c r="M26" s="19"/>
      <c r="N26" s="62" t="str">
        <f t="shared" si="2"/>
        <v/>
      </c>
      <c r="O26" s="149"/>
      <c r="P26" s="16" t="str">
        <f t="shared" si="0"/>
        <v/>
      </c>
      <c r="Q26" s="149"/>
      <c r="R26" s="16" t="str">
        <f t="shared" si="1"/>
        <v/>
      </c>
      <c r="S26" s="149"/>
      <c r="T26" s="16"/>
      <c r="U26" s="122"/>
      <c r="V26" s="123"/>
      <c r="X26" s="18"/>
      <c r="Y26" s="21"/>
      <c r="Z26" s="53"/>
    </row>
    <row r="27" spans="2:26" ht="21" customHeight="1" thickBot="1" x14ac:dyDescent="0.3">
      <c r="B27" s="111"/>
      <c r="C27" s="105"/>
      <c r="D27" s="109"/>
      <c r="E27" s="105"/>
      <c r="F27" s="105"/>
      <c r="G27" s="105"/>
      <c r="H27" s="105"/>
      <c r="I27" s="107"/>
      <c r="J27" s="107"/>
      <c r="K27" s="107"/>
      <c r="L27" s="109"/>
      <c r="M27" s="20"/>
      <c r="N27" s="63" t="str">
        <f t="shared" si="2"/>
        <v/>
      </c>
      <c r="O27" s="147"/>
      <c r="P27" s="13" t="str">
        <f t="shared" si="0"/>
        <v/>
      </c>
      <c r="Q27" s="147"/>
      <c r="R27" s="13" t="str">
        <f t="shared" si="1"/>
        <v/>
      </c>
      <c r="S27" s="147"/>
      <c r="T27" s="13"/>
      <c r="U27" s="124"/>
      <c r="V27" s="125"/>
      <c r="X27" s="18"/>
      <c r="Y27" s="12"/>
      <c r="Z27" s="21"/>
    </row>
    <row r="28" spans="2:26" ht="21" customHeight="1" x14ac:dyDescent="0.25">
      <c r="B28" s="110"/>
      <c r="C28" s="104"/>
      <c r="D28" s="108"/>
      <c r="E28" s="104"/>
      <c r="F28" s="104"/>
      <c r="G28" s="104"/>
      <c r="H28" s="104"/>
      <c r="I28" s="106"/>
      <c r="J28" s="106"/>
      <c r="K28" s="106"/>
      <c r="L28" s="108"/>
      <c r="M28" s="19"/>
      <c r="N28" s="62" t="str">
        <f t="shared" si="2"/>
        <v/>
      </c>
      <c r="O28" s="149"/>
      <c r="P28" s="16" t="str">
        <f t="shared" si="0"/>
        <v/>
      </c>
      <c r="Q28" s="149"/>
      <c r="R28" s="16" t="str">
        <f t="shared" si="1"/>
        <v/>
      </c>
      <c r="S28" s="149"/>
      <c r="T28" s="16"/>
      <c r="U28" s="122"/>
      <c r="V28" s="123"/>
      <c r="X28" s="18"/>
      <c r="Y28" s="12"/>
      <c r="Z28" s="12"/>
    </row>
    <row r="29" spans="2:26" ht="21" customHeight="1" thickBot="1" x14ac:dyDescent="0.3">
      <c r="B29" s="111"/>
      <c r="C29" s="105"/>
      <c r="D29" s="109"/>
      <c r="E29" s="105"/>
      <c r="F29" s="105"/>
      <c r="G29" s="105"/>
      <c r="H29" s="105"/>
      <c r="I29" s="107"/>
      <c r="J29" s="107"/>
      <c r="K29" s="107"/>
      <c r="L29" s="109"/>
      <c r="M29" s="20"/>
      <c r="N29" s="63" t="str">
        <f t="shared" si="2"/>
        <v/>
      </c>
      <c r="O29" s="147"/>
      <c r="P29" s="13" t="str">
        <f t="shared" si="0"/>
        <v/>
      </c>
      <c r="Q29" s="147"/>
      <c r="R29" s="13" t="str">
        <f t="shared" si="1"/>
        <v/>
      </c>
      <c r="S29" s="147"/>
      <c r="T29" s="13"/>
      <c r="U29" s="124"/>
      <c r="V29" s="125"/>
      <c r="X29" s="18"/>
      <c r="Y29" s="53"/>
      <c r="Z29" s="12"/>
    </row>
    <row r="30" spans="2:26" ht="21" customHeight="1" x14ac:dyDescent="0.25">
      <c r="B30" s="110"/>
      <c r="C30" s="104"/>
      <c r="D30" s="108"/>
      <c r="E30" s="104"/>
      <c r="F30" s="104"/>
      <c r="G30" s="104"/>
      <c r="H30" s="104"/>
      <c r="I30" s="106"/>
      <c r="J30" s="106"/>
      <c r="K30" s="106"/>
      <c r="L30" s="108"/>
      <c r="M30" s="19"/>
      <c r="N30" s="62" t="str">
        <f t="shared" si="2"/>
        <v/>
      </c>
      <c r="O30" s="149"/>
      <c r="P30" s="16" t="str">
        <f t="shared" si="0"/>
        <v/>
      </c>
      <c r="Q30" s="149"/>
      <c r="R30" s="16" t="str">
        <f t="shared" si="1"/>
        <v/>
      </c>
      <c r="S30" s="149"/>
      <c r="T30" s="16"/>
      <c r="U30" s="122"/>
      <c r="V30" s="123"/>
      <c r="X30" s="18"/>
      <c r="Y30" s="21"/>
      <c r="Z30" s="53"/>
    </row>
    <row r="31" spans="2:26" ht="21" customHeight="1" thickBot="1" x14ac:dyDescent="0.3">
      <c r="B31" s="111"/>
      <c r="C31" s="105"/>
      <c r="D31" s="109"/>
      <c r="E31" s="105"/>
      <c r="F31" s="105"/>
      <c r="G31" s="105"/>
      <c r="H31" s="105"/>
      <c r="I31" s="107"/>
      <c r="J31" s="107"/>
      <c r="K31" s="107"/>
      <c r="L31" s="109"/>
      <c r="M31" s="20"/>
      <c r="N31" s="63" t="str">
        <f t="shared" si="2"/>
        <v/>
      </c>
      <c r="O31" s="147"/>
      <c r="P31" s="13" t="str">
        <f t="shared" si="0"/>
        <v/>
      </c>
      <c r="Q31" s="147"/>
      <c r="R31" s="13" t="str">
        <f t="shared" si="1"/>
        <v/>
      </c>
      <c r="S31" s="147"/>
      <c r="T31" s="13"/>
      <c r="U31" s="124"/>
      <c r="V31" s="125"/>
      <c r="X31" s="18"/>
      <c r="Y31" s="12"/>
      <c r="Z31" s="12"/>
    </row>
    <row r="32" spans="2:26" ht="21" customHeight="1" x14ac:dyDescent="0.25">
      <c r="B32" s="110"/>
      <c r="C32" s="104"/>
      <c r="D32" s="108"/>
      <c r="E32" s="104"/>
      <c r="F32" s="104"/>
      <c r="G32" s="104"/>
      <c r="H32" s="104"/>
      <c r="I32" s="106"/>
      <c r="J32" s="106"/>
      <c r="K32" s="106"/>
      <c r="L32" s="108"/>
      <c r="M32" s="19"/>
      <c r="N32" s="62" t="str">
        <f t="shared" si="2"/>
        <v/>
      </c>
      <c r="O32" s="149"/>
      <c r="P32" s="16" t="str">
        <f t="shared" si="0"/>
        <v/>
      </c>
      <c r="Q32" s="149"/>
      <c r="R32" s="16" t="str">
        <f t="shared" si="1"/>
        <v/>
      </c>
      <c r="S32" s="149"/>
      <c r="T32" s="16"/>
      <c r="U32" s="122"/>
      <c r="V32" s="123"/>
      <c r="X32" s="18"/>
      <c r="Y32" s="21"/>
      <c r="Z32" s="53"/>
    </row>
    <row r="33" spans="2:26" ht="21" customHeight="1" thickBot="1" x14ac:dyDescent="0.3">
      <c r="B33" s="111"/>
      <c r="C33" s="105"/>
      <c r="D33" s="109"/>
      <c r="E33" s="105"/>
      <c r="F33" s="105"/>
      <c r="G33" s="105"/>
      <c r="H33" s="105"/>
      <c r="I33" s="107"/>
      <c r="J33" s="107"/>
      <c r="K33" s="107"/>
      <c r="L33" s="109"/>
      <c r="M33" s="20"/>
      <c r="N33" s="63" t="str">
        <f t="shared" si="2"/>
        <v/>
      </c>
      <c r="O33" s="147"/>
      <c r="P33" s="13" t="str">
        <f t="shared" si="0"/>
        <v/>
      </c>
      <c r="Q33" s="147"/>
      <c r="R33" s="13" t="str">
        <f t="shared" si="1"/>
        <v/>
      </c>
      <c r="S33" s="147"/>
      <c r="T33" s="13"/>
      <c r="U33" s="124"/>
      <c r="V33" s="125"/>
      <c r="X33" s="18"/>
      <c r="Y33" s="12"/>
      <c r="Z33" s="21"/>
    </row>
    <row r="34" spans="2:26" ht="21" customHeight="1" x14ac:dyDescent="0.25">
      <c r="B34" s="110"/>
      <c r="C34" s="104"/>
      <c r="D34" s="108"/>
      <c r="E34" s="104"/>
      <c r="F34" s="104"/>
      <c r="G34" s="104"/>
      <c r="H34" s="104"/>
      <c r="I34" s="106"/>
      <c r="J34" s="106"/>
      <c r="K34" s="106"/>
      <c r="L34" s="108"/>
      <c r="M34" s="19"/>
      <c r="N34" s="62" t="str">
        <f t="shared" si="2"/>
        <v/>
      </c>
      <c r="O34" s="149"/>
      <c r="P34" s="16" t="str">
        <f t="shared" si="0"/>
        <v/>
      </c>
      <c r="Q34" s="149"/>
      <c r="R34" s="16" t="str">
        <f t="shared" si="1"/>
        <v/>
      </c>
      <c r="S34" s="149"/>
      <c r="T34" s="16"/>
      <c r="U34" s="122"/>
      <c r="V34" s="123"/>
      <c r="X34" s="18"/>
      <c r="Y34" s="12"/>
      <c r="Z34" s="12"/>
    </row>
    <row r="35" spans="2:26" ht="21" customHeight="1" thickBot="1" x14ac:dyDescent="0.3">
      <c r="B35" s="111"/>
      <c r="C35" s="105"/>
      <c r="D35" s="109"/>
      <c r="E35" s="105"/>
      <c r="F35" s="105"/>
      <c r="G35" s="105"/>
      <c r="H35" s="105"/>
      <c r="I35" s="107"/>
      <c r="J35" s="107"/>
      <c r="K35" s="107"/>
      <c r="L35" s="109"/>
      <c r="M35" s="20"/>
      <c r="N35" s="63" t="str">
        <f t="shared" si="2"/>
        <v/>
      </c>
      <c r="O35" s="147"/>
      <c r="P35" s="13" t="str">
        <f t="shared" si="0"/>
        <v/>
      </c>
      <c r="Q35" s="147"/>
      <c r="R35" s="13" t="str">
        <f t="shared" si="1"/>
        <v/>
      </c>
      <c r="S35" s="147"/>
      <c r="T35" s="13"/>
      <c r="U35" s="124"/>
      <c r="V35" s="125"/>
      <c r="X35" s="18"/>
      <c r="Y35" s="53"/>
      <c r="Z35" s="21"/>
    </row>
    <row r="36" spans="2:26" ht="21" customHeight="1" x14ac:dyDescent="0.25">
      <c r="B36" s="110"/>
      <c r="C36" s="104"/>
      <c r="D36" s="108"/>
      <c r="E36" s="104"/>
      <c r="F36" s="104"/>
      <c r="G36" s="104"/>
      <c r="H36" s="104"/>
      <c r="I36" s="106"/>
      <c r="J36" s="106"/>
      <c r="K36" s="106"/>
      <c r="L36" s="108"/>
      <c r="M36" s="19"/>
      <c r="N36" s="62" t="str">
        <f t="shared" si="2"/>
        <v/>
      </c>
      <c r="O36" s="149"/>
      <c r="P36" s="16" t="str">
        <f t="shared" si="0"/>
        <v/>
      </c>
      <c r="Q36" s="149"/>
      <c r="R36" s="16" t="str">
        <f t="shared" si="1"/>
        <v/>
      </c>
      <c r="S36" s="149"/>
      <c r="T36" s="16"/>
      <c r="U36" s="122"/>
      <c r="V36" s="123"/>
      <c r="X36" s="18"/>
      <c r="Y36" s="21"/>
      <c r="Z36" s="12"/>
    </row>
    <row r="37" spans="2:26" ht="21" customHeight="1" thickBot="1" x14ac:dyDescent="0.3">
      <c r="B37" s="111"/>
      <c r="C37" s="105"/>
      <c r="D37" s="109"/>
      <c r="E37" s="105"/>
      <c r="F37" s="105"/>
      <c r="G37" s="105"/>
      <c r="H37" s="105"/>
      <c r="I37" s="107"/>
      <c r="J37" s="107"/>
      <c r="K37" s="107"/>
      <c r="L37" s="109"/>
      <c r="M37" s="20"/>
      <c r="N37" s="63" t="str">
        <f t="shared" si="2"/>
        <v/>
      </c>
      <c r="O37" s="147"/>
      <c r="P37" s="13" t="str">
        <f t="shared" si="0"/>
        <v/>
      </c>
      <c r="Q37" s="147"/>
      <c r="R37" s="13" t="str">
        <f t="shared" si="1"/>
        <v/>
      </c>
      <c r="S37" s="147"/>
      <c r="T37" s="13"/>
      <c r="U37" s="124"/>
      <c r="V37" s="125"/>
      <c r="X37" s="18"/>
      <c r="Y37" s="12"/>
      <c r="Z37" s="21"/>
    </row>
    <row r="38" spans="2:26" ht="21" customHeight="1" x14ac:dyDescent="0.25">
      <c r="B38" s="110"/>
      <c r="C38" s="104"/>
      <c r="D38" s="108"/>
      <c r="E38" s="104"/>
      <c r="F38" s="104"/>
      <c r="G38" s="104"/>
      <c r="H38" s="104"/>
      <c r="I38" s="106"/>
      <c r="J38" s="106"/>
      <c r="K38" s="106"/>
      <c r="L38" s="108"/>
      <c r="M38" s="19"/>
      <c r="N38" s="62" t="str">
        <f t="shared" si="2"/>
        <v/>
      </c>
      <c r="O38" s="149"/>
      <c r="P38" s="16" t="str">
        <f t="shared" si="0"/>
        <v/>
      </c>
      <c r="Q38" s="149"/>
      <c r="R38" s="16" t="str">
        <f t="shared" si="1"/>
        <v/>
      </c>
      <c r="S38" s="149"/>
      <c r="T38" s="16"/>
      <c r="U38" s="122"/>
      <c r="V38" s="123"/>
      <c r="X38" s="18"/>
      <c r="Y38" s="21"/>
      <c r="Z38" s="12"/>
    </row>
    <row r="39" spans="2:26" ht="21" customHeight="1" thickBot="1" x14ac:dyDescent="0.3">
      <c r="B39" s="111"/>
      <c r="C39" s="105"/>
      <c r="D39" s="109"/>
      <c r="E39" s="105"/>
      <c r="F39" s="105"/>
      <c r="G39" s="105"/>
      <c r="H39" s="105"/>
      <c r="I39" s="107"/>
      <c r="J39" s="107"/>
      <c r="K39" s="107"/>
      <c r="L39" s="109"/>
      <c r="M39" s="20"/>
      <c r="N39" s="63" t="str">
        <f t="shared" si="2"/>
        <v/>
      </c>
      <c r="O39" s="147"/>
      <c r="P39" s="13" t="str">
        <f t="shared" si="0"/>
        <v/>
      </c>
      <c r="Q39" s="147"/>
      <c r="R39" s="13" t="str">
        <f t="shared" si="1"/>
        <v/>
      </c>
      <c r="S39" s="147"/>
      <c r="T39" s="13"/>
      <c r="U39" s="124"/>
      <c r="V39" s="125"/>
      <c r="X39" s="18"/>
      <c r="Y39" s="12"/>
      <c r="Z39" s="21"/>
    </row>
    <row r="40" spans="2:26" ht="21" customHeight="1" x14ac:dyDescent="0.25">
      <c r="B40" s="110"/>
      <c r="C40" s="104"/>
      <c r="D40" s="108"/>
      <c r="E40" s="104"/>
      <c r="F40" s="104"/>
      <c r="G40" s="104"/>
      <c r="H40" s="104"/>
      <c r="I40" s="106"/>
      <c r="J40" s="106"/>
      <c r="K40" s="106"/>
      <c r="L40" s="108"/>
      <c r="M40" s="19"/>
      <c r="N40" s="62" t="str">
        <f t="shared" si="2"/>
        <v/>
      </c>
      <c r="O40" s="149"/>
      <c r="P40" s="16" t="str">
        <f t="shared" si="0"/>
        <v/>
      </c>
      <c r="Q40" s="149"/>
      <c r="R40" s="16" t="str">
        <f t="shared" si="1"/>
        <v/>
      </c>
      <c r="S40" s="149"/>
      <c r="T40" s="16"/>
      <c r="U40" s="122"/>
      <c r="V40" s="123"/>
      <c r="X40" s="18"/>
      <c r="Y40" s="21"/>
      <c r="Z40" s="12"/>
    </row>
    <row r="41" spans="2:26" ht="21" customHeight="1" thickBot="1" x14ac:dyDescent="0.3">
      <c r="B41" s="111"/>
      <c r="C41" s="105"/>
      <c r="D41" s="109"/>
      <c r="E41" s="105"/>
      <c r="F41" s="105"/>
      <c r="G41" s="105"/>
      <c r="H41" s="105"/>
      <c r="I41" s="107"/>
      <c r="J41" s="107"/>
      <c r="K41" s="107"/>
      <c r="L41" s="109"/>
      <c r="M41" s="20"/>
      <c r="N41" s="63" t="str">
        <f t="shared" si="2"/>
        <v/>
      </c>
      <c r="O41" s="147"/>
      <c r="P41" s="13" t="str">
        <f t="shared" si="0"/>
        <v/>
      </c>
      <c r="Q41" s="147"/>
      <c r="R41" s="13" t="str">
        <f t="shared" si="1"/>
        <v/>
      </c>
      <c r="S41" s="147"/>
      <c r="T41" s="13"/>
      <c r="U41" s="124"/>
      <c r="V41" s="125"/>
      <c r="X41" s="18"/>
      <c r="Y41" s="12"/>
      <c r="Z41" s="21"/>
    </row>
    <row r="42" spans="2:26" ht="21" customHeight="1" x14ac:dyDescent="0.25">
      <c r="B42" s="110"/>
      <c r="C42" s="104"/>
      <c r="D42" s="108"/>
      <c r="E42" s="104"/>
      <c r="F42" s="104"/>
      <c r="G42" s="104"/>
      <c r="H42" s="104"/>
      <c r="I42" s="106"/>
      <c r="J42" s="106"/>
      <c r="K42" s="106"/>
      <c r="L42" s="108"/>
      <c r="M42" s="19"/>
      <c r="N42" s="62" t="str">
        <f t="shared" si="2"/>
        <v/>
      </c>
      <c r="O42" s="149"/>
      <c r="P42" s="16" t="str">
        <f t="shared" si="0"/>
        <v/>
      </c>
      <c r="Q42" s="149"/>
      <c r="R42" s="16" t="str">
        <f t="shared" si="1"/>
        <v/>
      </c>
      <c r="S42" s="149"/>
      <c r="T42" s="16"/>
      <c r="U42" s="122"/>
      <c r="V42" s="123"/>
      <c r="X42" s="18"/>
      <c r="Y42" s="21"/>
      <c r="Z42" s="12"/>
    </row>
    <row r="43" spans="2:26" ht="21" customHeight="1" thickBot="1" x14ac:dyDescent="0.3">
      <c r="B43" s="111"/>
      <c r="C43" s="105"/>
      <c r="D43" s="109"/>
      <c r="E43" s="105"/>
      <c r="F43" s="105"/>
      <c r="G43" s="105"/>
      <c r="H43" s="105"/>
      <c r="I43" s="107"/>
      <c r="J43" s="107"/>
      <c r="K43" s="107"/>
      <c r="L43" s="109"/>
      <c r="M43" s="20"/>
      <c r="N43" s="63" t="str">
        <f t="shared" si="2"/>
        <v/>
      </c>
      <c r="O43" s="147"/>
      <c r="P43" s="13" t="str">
        <f t="shared" si="0"/>
        <v/>
      </c>
      <c r="Q43" s="147"/>
      <c r="R43" s="13" t="str">
        <f t="shared" si="1"/>
        <v/>
      </c>
      <c r="S43" s="147"/>
      <c r="T43" s="13"/>
      <c r="U43" s="124"/>
      <c r="V43" s="125"/>
      <c r="X43" s="18"/>
      <c r="Y43" s="12"/>
      <c r="Z43" s="21"/>
    </row>
    <row r="44" spans="2:26" ht="21" customHeight="1" x14ac:dyDescent="0.25">
      <c r="B44" s="110"/>
      <c r="C44" s="104"/>
      <c r="D44" s="108"/>
      <c r="E44" s="104"/>
      <c r="F44" s="104"/>
      <c r="G44" s="104"/>
      <c r="H44" s="104"/>
      <c r="I44" s="106"/>
      <c r="J44" s="106"/>
      <c r="K44" s="106"/>
      <c r="L44" s="108"/>
      <c r="M44" s="19"/>
      <c r="N44" s="62" t="str">
        <f t="shared" si="2"/>
        <v/>
      </c>
      <c r="O44" s="149"/>
      <c r="P44" s="16" t="str">
        <f t="shared" si="0"/>
        <v/>
      </c>
      <c r="Q44" s="149"/>
      <c r="R44" s="16" t="str">
        <f t="shared" si="1"/>
        <v/>
      </c>
      <c r="S44" s="149"/>
      <c r="T44" s="16"/>
      <c r="U44" s="122"/>
      <c r="V44" s="123"/>
      <c r="X44" s="18"/>
      <c r="Y44" s="21"/>
      <c r="Z44" s="12"/>
    </row>
    <row r="45" spans="2:26" ht="21" customHeight="1" thickBot="1" x14ac:dyDescent="0.3">
      <c r="B45" s="111"/>
      <c r="C45" s="105"/>
      <c r="D45" s="109"/>
      <c r="E45" s="105"/>
      <c r="F45" s="105"/>
      <c r="G45" s="105"/>
      <c r="H45" s="105"/>
      <c r="I45" s="107"/>
      <c r="J45" s="107"/>
      <c r="K45" s="107"/>
      <c r="L45" s="109"/>
      <c r="M45" s="20"/>
      <c r="N45" s="63" t="str">
        <f t="shared" si="2"/>
        <v/>
      </c>
      <c r="O45" s="147"/>
      <c r="P45" s="13" t="str">
        <f t="shared" si="0"/>
        <v/>
      </c>
      <c r="Q45" s="147"/>
      <c r="R45" s="13" t="str">
        <f t="shared" si="1"/>
        <v/>
      </c>
      <c r="S45" s="147"/>
      <c r="T45" s="13"/>
      <c r="U45" s="124"/>
      <c r="V45" s="125"/>
      <c r="X45" s="18"/>
      <c r="Y45" s="52"/>
      <c r="Z45" s="21"/>
    </row>
    <row r="46" spans="2:26" s="7" customFormat="1" ht="9.9" customHeight="1" x14ac:dyDescent="0.25">
      <c r="B46" s="43"/>
      <c r="C46" s="25"/>
      <c r="D46" s="25"/>
      <c r="E46" s="25"/>
      <c r="F46" s="25"/>
      <c r="G46" s="25"/>
      <c r="H46" s="25"/>
      <c r="I46" s="25"/>
      <c r="J46" s="26"/>
      <c r="K46" s="26"/>
      <c r="L46" s="27"/>
      <c r="M46" s="27"/>
      <c r="N46" s="27"/>
      <c r="O46" s="27"/>
      <c r="P46" s="27"/>
      <c r="Q46" s="27"/>
      <c r="R46" s="26"/>
      <c r="S46" s="26"/>
      <c r="T46" s="9"/>
      <c r="U46" s="26"/>
      <c r="V46" s="9"/>
      <c r="W46" s="4"/>
      <c r="Z46" s="51"/>
    </row>
    <row r="47" spans="2:26" s="7" customFormat="1" ht="67.5" customHeight="1" x14ac:dyDescent="0.25">
      <c r="B47" s="43"/>
      <c r="C47" s="25"/>
      <c r="D47" s="25"/>
      <c r="E47" s="25"/>
      <c r="F47" s="25"/>
      <c r="G47" s="25"/>
      <c r="H47" s="25"/>
      <c r="I47" s="25"/>
      <c r="J47" s="26"/>
      <c r="K47" s="26"/>
      <c r="L47" s="27"/>
      <c r="M47" s="27"/>
      <c r="N47" s="27"/>
      <c r="O47" s="27"/>
      <c r="P47" s="27"/>
      <c r="Q47" s="27"/>
      <c r="R47" s="26"/>
      <c r="S47" s="26"/>
      <c r="T47" s="9"/>
      <c r="U47" s="26"/>
      <c r="V47" s="9"/>
      <c r="W47" s="4"/>
    </row>
    <row r="48" spans="2:26" s="7" customFormat="1" ht="22.5" customHeight="1" x14ac:dyDescent="0.25">
      <c r="B48" s="44"/>
      <c r="C48" s="103" t="s">
        <v>34</v>
      </c>
      <c r="D48" s="103"/>
      <c r="E48" s="103"/>
      <c r="F48" s="103"/>
      <c r="G48" s="103"/>
      <c r="H48" s="103"/>
      <c r="I48" s="103"/>
      <c r="J48" s="28"/>
      <c r="K48" s="28"/>
      <c r="L48" s="103" t="s">
        <v>35</v>
      </c>
      <c r="M48" s="103"/>
      <c r="N48" s="103"/>
      <c r="O48" s="103"/>
      <c r="P48" s="103"/>
      <c r="Q48" s="103"/>
      <c r="R48" s="103"/>
      <c r="S48" s="29"/>
      <c r="T48" s="30"/>
      <c r="U48" s="29"/>
      <c r="V48" s="30"/>
      <c r="W48" s="4"/>
    </row>
    <row r="49" spans="2:25" s="7" customFormat="1" ht="13.2" x14ac:dyDescent="0.25">
      <c r="B49" s="45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46"/>
      <c r="W49" s="8"/>
      <c r="Y49" s="4"/>
    </row>
    <row r="50" spans="2:25" ht="32.25" customHeight="1" x14ac:dyDescent="0.25">
      <c r="B50" s="164" t="s">
        <v>46</v>
      </c>
      <c r="C50" s="165"/>
      <c r="D50" s="31" t="s">
        <v>47</v>
      </c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4"/>
      <c r="V50" s="47"/>
    </row>
    <row r="51" spans="2:25" ht="32.25" customHeight="1" x14ac:dyDescent="0.25">
      <c r="B51" s="162" t="s">
        <v>48</v>
      </c>
      <c r="C51" s="163"/>
      <c r="D51" s="32" t="s">
        <v>49</v>
      </c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4"/>
      <c r="V51" s="47"/>
    </row>
    <row r="52" spans="2:25" ht="38.25" customHeight="1" x14ac:dyDescent="0.25">
      <c r="B52" s="162" t="s">
        <v>50</v>
      </c>
      <c r="C52" s="163"/>
      <c r="D52" s="33" t="s">
        <v>51</v>
      </c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2"/>
      <c r="Q52" s="32"/>
      <c r="R52" s="32"/>
      <c r="S52" s="32"/>
      <c r="T52" s="32"/>
      <c r="U52" s="34"/>
      <c r="V52" s="47"/>
    </row>
    <row r="53" spans="2:25" ht="16.2" customHeight="1" thickBot="1" x14ac:dyDescent="0.3">
      <c r="B53" s="48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50"/>
    </row>
    <row r="54" spans="2:25" ht="16.2" customHeight="1" x14ac:dyDescent="0.25"/>
  </sheetData>
  <protectedRanges>
    <protectedRange sqref="U9:V10" name="Intervalo1_4"/>
    <protectedRange sqref="D7:F8 G9:I10 L9:T10" name="Intervalo1_4_2"/>
  </protectedRanges>
  <mergeCells count="238">
    <mergeCell ref="M16:V16"/>
    <mergeCell ref="M17:V17"/>
    <mergeCell ref="X16:Y16"/>
    <mergeCell ref="B51:C51"/>
    <mergeCell ref="B52:C52"/>
    <mergeCell ref="L42:L43"/>
    <mergeCell ref="L40:L41"/>
    <mergeCell ref="B50:C50"/>
    <mergeCell ref="U22:V23"/>
    <mergeCell ref="Q24:Q25"/>
    <mergeCell ref="S20:S21"/>
    <mergeCell ref="U24:V25"/>
    <mergeCell ref="S32:S33"/>
    <mergeCell ref="O38:O39"/>
    <mergeCell ref="Q38:Q39"/>
    <mergeCell ref="O40:O41"/>
    <mergeCell ref="Q40:Q41"/>
    <mergeCell ref="O26:O27"/>
    <mergeCell ref="S34:S35"/>
    <mergeCell ref="S38:S39"/>
    <mergeCell ref="S40:S41"/>
    <mergeCell ref="O36:O37"/>
    <mergeCell ref="Q36:Q37"/>
    <mergeCell ref="S36:S37"/>
    <mergeCell ref="U26:V27"/>
    <mergeCell ref="U28:V29"/>
    <mergeCell ref="U30:V31"/>
    <mergeCell ref="U32:V33"/>
    <mergeCell ref="U34:V35"/>
    <mergeCell ref="U36:V37"/>
    <mergeCell ref="U38:V39"/>
    <mergeCell ref="U40:V41"/>
    <mergeCell ref="O42:O43"/>
    <mergeCell ref="Q42:Q43"/>
    <mergeCell ref="U42:V43"/>
    <mergeCell ref="S28:S29"/>
    <mergeCell ref="S30:S31"/>
    <mergeCell ref="O44:O45"/>
    <mergeCell ref="Q44:Q45"/>
    <mergeCell ref="U44:V45"/>
    <mergeCell ref="S42:S43"/>
    <mergeCell ref="S44:S45"/>
    <mergeCell ref="L34:L35"/>
    <mergeCell ref="L36:L37"/>
    <mergeCell ref="L38:L39"/>
    <mergeCell ref="L44:L45"/>
    <mergeCell ref="S18:T18"/>
    <mergeCell ref="O32:O33"/>
    <mergeCell ref="Q32:Q33"/>
    <mergeCell ref="O34:O35"/>
    <mergeCell ref="Q34:Q35"/>
    <mergeCell ref="S22:S23"/>
    <mergeCell ref="S24:S25"/>
    <mergeCell ref="O30:O31"/>
    <mergeCell ref="Q30:Q31"/>
    <mergeCell ref="Q26:Q27"/>
    <mergeCell ref="O28:O29"/>
    <mergeCell ref="Q28:Q29"/>
    <mergeCell ref="M18:R18"/>
    <mergeCell ref="S26:S27"/>
    <mergeCell ref="M20:M21"/>
    <mergeCell ref="O20:O21"/>
    <mergeCell ref="Q20:Q21"/>
    <mergeCell ref="O22:O23"/>
    <mergeCell ref="G26:G27"/>
    <mergeCell ref="L28:L29"/>
    <mergeCell ref="L26:L27"/>
    <mergeCell ref="Q22:Q23"/>
    <mergeCell ref="L24:L25"/>
    <mergeCell ref="K28:K29"/>
    <mergeCell ref="K26:K27"/>
    <mergeCell ref="G22:G23"/>
    <mergeCell ref="H22:H23"/>
    <mergeCell ref="I22:I23"/>
    <mergeCell ref="J22:J23"/>
    <mergeCell ref="K22:K23"/>
    <mergeCell ref="K24:K25"/>
    <mergeCell ref="E9:V9"/>
    <mergeCell ref="L8:N8"/>
    <mergeCell ref="O8:V8"/>
    <mergeCell ref="L7:M7"/>
    <mergeCell ref="C32:C33"/>
    <mergeCell ref="D32:D33"/>
    <mergeCell ref="B30:B31"/>
    <mergeCell ref="D30:D31"/>
    <mergeCell ref="D26:D27"/>
    <mergeCell ref="J28:J29"/>
    <mergeCell ref="G28:G29"/>
    <mergeCell ref="E30:E31"/>
    <mergeCell ref="F30:F31"/>
    <mergeCell ref="G30:G31"/>
    <mergeCell ref="H26:H27"/>
    <mergeCell ref="I26:I27"/>
    <mergeCell ref="J26:J27"/>
    <mergeCell ref="H28:H29"/>
    <mergeCell ref="I30:I31"/>
    <mergeCell ref="L22:L23"/>
    <mergeCell ref="K30:K31"/>
    <mergeCell ref="L30:L31"/>
    <mergeCell ref="U18:V19"/>
    <mergeCell ref="J32:J33"/>
    <mergeCell ref="D42:D43"/>
    <mergeCell ref="B18:B19"/>
    <mergeCell ref="G18:H18"/>
    <mergeCell ref="I18:K18"/>
    <mergeCell ref="F24:F25"/>
    <mergeCell ref="H24:H25"/>
    <mergeCell ref="I24:I25"/>
    <mergeCell ref="J20:J21"/>
    <mergeCell ref="J24:J25"/>
    <mergeCell ref="F20:F21"/>
    <mergeCell ref="K20:K21"/>
    <mergeCell ref="J30:J31"/>
    <mergeCell ref="B40:B41"/>
    <mergeCell ref="E28:E29"/>
    <mergeCell ref="F28:F29"/>
    <mergeCell ref="E26:E27"/>
    <mergeCell ref="F26:F27"/>
    <mergeCell ref="B28:B29"/>
    <mergeCell ref="C28:C29"/>
    <mergeCell ref="D28:D29"/>
    <mergeCell ref="J40:J41"/>
    <mergeCell ref="I40:I41"/>
    <mergeCell ref="B42:B43"/>
    <mergeCell ref="H30:H31"/>
    <mergeCell ref="L20:L21"/>
    <mergeCell ref="B20:B21"/>
    <mergeCell ref="D20:D21"/>
    <mergeCell ref="U20:V21"/>
    <mergeCell ref="G20:G21"/>
    <mergeCell ref="H20:H21"/>
    <mergeCell ref="I20:I21"/>
    <mergeCell ref="E24:E25"/>
    <mergeCell ref="C20:C21"/>
    <mergeCell ref="E20:E21"/>
    <mergeCell ref="E22:E23"/>
    <mergeCell ref="G24:G25"/>
    <mergeCell ref="F22:F23"/>
    <mergeCell ref="D24:D25"/>
    <mergeCell ref="C24:C25"/>
    <mergeCell ref="B24:B25"/>
    <mergeCell ref="B22:B23"/>
    <mergeCell ref="L18:L19"/>
    <mergeCell ref="C30:C31"/>
    <mergeCell ref="B26:B27"/>
    <mergeCell ref="C26:C27"/>
    <mergeCell ref="D40:D41"/>
    <mergeCell ref="E36:E37"/>
    <mergeCell ref="F36:F37"/>
    <mergeCell ref="B38:B39"/>
    <mergeCell ref="C38:C39"/>
    <mergeCell ref="D38:D39"/>
    <mergeCell ref="E38:E39"/>
    <mergeCell ref="F38:F39"/>
    <mergeCell ref="B32:B33"/>
    <mergeCell ref="D34:D35"/>
    <mergeCell ref="E34:E35"/>
    <mergeCell ref="F34:F35"/>
    <mergeCell ref="B36:B37"/>
    <mergeCell ref="C36:C37"/>
    <mergeCell ref="D36:D37"/>
    <mergeCell ref="C22:C23"/>
    <mergeCell ref="D22:D23"/>
    <mergeCell ref="I28:I29"/>
    <mergeCell ref="E32:E33"/>
    <mergeCell ref="F32:F33"/>
    <mergeCell ref="B44:B45"/>
    <mergeCell ref="C44:C45"/>
    <mergeCell ref="D44:D45"/>
    <mergeCell ref="C42:C43"/>
    <mergeCell ref="B34:B35"/>
    <mergeCell ref="C34:C35"/>
    <mergeCell ref="E42:E43"/>
    <mergeCell ref="K44:K45"/>
    <mergeCell ref="G40:G41"/>
    <mergeCell ref="H40:H41"/>
    <mergeCell ref="E44:E45"/>
    <mergeCell ref="F44:F45"/>
    <mergeCell ref="G44:G45"/>
    <mergeCell ref="H44:H45"/>
    <mergeCell ref="J42:J43"/>
    <mergeCell ref="K42:K43"/>
    <mergeCell ref="K40:K41"/>
    <mergeCell ref="F42:F43"/>
    <mergeCell ref="G42:G43"/>
    <mergeCell ref="H42:H43"/>
    <mergeCell ref="K38:K39"/>
    <mergeCell ref="I36:I37"/>
    <mergeCell ref="J36:J37"/>
    <mergeCell ref="G38:G39"/>
    <mergeCell ref="C48:I48"/>
    <mergeCell ref="G36:G37"/>
    <mergeCell ref="H36:H37"/>
    <mergeCell ref="L48:R48"/>
    <mergeCell ref="G32:G33"/>
    <mergeCell ref="J34:J35"/>
    <mergeCell ref="K34:K35"/>
    <mergeCell ref="H38:H39"/>
    <mergeCell ref="K36:K37"/>
    <mergeCell ref="I38:I39"/>
    <mergeCell ref="J38:J39"/>
    <mergeCell ref="H32:H33"/>
    <mergeCell ref="I32:I33"/>
    <mergeCell ref="K32:K33"/>
    <mergeCell ref="L32:L33"/>
    <mergeCell ref="G34:G35"/>
    <mergeCell ref="H34:H35"/>
    <mergeCell ref="I34:I35"/>
    <mergeCell ref="I44:I45"/>
    <mergeCell ref="J44:J45"/>
    <mergeCell ref="C40:C41"/>
    <mergeCell ref="I42:I43"/>
    <mergeCell ref="E40:E41"/>
    <mergeCell ref="F40:F41"/>
    <mergeCell ref="N7:V7"/>
    <mergeCell ref="K5:V5"/>
    <mergeCell ref="K4:V4"/>
    <mergeCell ref="K3:V3"/>
    <mergeCell ref="B6:V6"/>
    <mergeCell ref="C8:K8"/>
    <mergeCell ref="B2:V2"/>
    <mergeCell ref="B17:C17"/>
    <mergeCell ref="D17:F17"/>
    <mergeCell ref="G17:I17"/>
    <mergeCell ref="B15:V15"/>
    <mergeCell ref="B11:V11"/>
    <mergeCell ref="B12:V12"/>
    <mergeCell ref="B13:V13"/>
    <mergeCell ref="F10:V10"/>
    <mergeCell ref="B9:D9"/>
    <mergeCell ref="J17:L17"/>
    <mergeCell ref="B3:J3"/>
    <mergeCell ref="B4:J4"/>
    <mergeCell ref="B5:J5"/>
    <mergeCell ref="C7:K7"/>
    <mergeCell ref="G16:L16"/>
    <mergeCell ref="B16:F16"/>
    <mergeCell ref="B10:E10"/>
  </mergeCells>
  <phoneticPr fontId="9" type="noConversion"/>
  <dataValidations count="1">
    <dataValidation type="list" allowBlank="1" showInputMessage="1" showErrorMessage="1" sqref="M17:V17" xr:uid="{BDBA2D22-8B47-45BF-B44B-068D6D63DBA2}">
      <formula1>"Concreto 10x20, Argamassa 5x10"</formula1>
    </dataValidation>
  </dataValidations>
  <printOptions horizontalCentered="1" verticalCentered="1"/>
  <pageMargins left="0.35433070866141736" right="0.23622047244094491" top="0.23622047244094491" bottom="0.47244094488188981" header="0.19685039370078741" footer="7.874015748031496E-2"/>
  <pageSetup paperSize="9" scale="57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D11" sqref="D11"/>
    </sheetView>
  </sheetViews>
  <sheetFormatPr defaultRowHeight="13.2" x14ac:dyDescent="0.25"/>
  <sheetData>
    <row r="1" spans="1:2" x14ac:dyDescent="0.25">
      <c r="A1" s="1" t="s">
        <v>0</v>
      </c>
      <c r="B1" s="1" t="s">
        <v>1</v>
      </c>
    </row>
    <row r="2" spans="1:2" ht="16.2" customHeight="1" x14ac:dyDescent="0.25">
      <c r="A2" s="2">
        <v>1</v>
      </c>
      <c r="B2" s="3"/>
    </row>
    <row r="3" spans="1:2" ht="16.2" customHeight="1" x14ac:dyDescent="0.25">
      <c r="A3" s="2">
        <v>2</v>
      </c>
      <c r="B3" s="3"/>
    </row>
    <row r="4" spans="1:2" ht="16.2" customHeight="1" x14ac:dyDescent="0.25">
      <c r="A4" s="2">
        <v>3</v>
      </c>
      <c r="B4" s="3"/>
    </row>
    <row r="5" spans="1:2" ht="16.2" customHeight="1" x14ac:dyDescent="0.25">
      <c r="A5" s="2">
        <v>4</v>
      </c>
      <c r="B5" s="3"/>
    </row>
    <row r="6" spans="1:2" ht="16.2" customHeight="1" x14ac:dyDescent="0.25">
      <c r="A6" s="2">
        <v>5</v>
      </c>
      <c r="B6" s="3"/>
    </row>
    <row r="7" spans="1:2" ht="16.2" customHeight="1" x14ac:dyDescent="0.25"/>
  </sheetData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FR-LAB-49 Concreto de cimento </vt:lpstr>
      <vt:lpstr>Plan2</vt:lpstr>
      <vt:lpstr>'FR-LAB-49 Concreto de cimento 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</dc:creator>
  <cp:lastModifiedBy>Maykol Mazer Dos Santos</cp:lastModifiedBy>
  <cp:lastPrinted>2026-06-29T19:47:23Z</cp:lastPrinted>
  <dcterms:created xsi:type="dcterms:W3CDTF">1998-02-17T09:24:00Z</dcterms:created>
  <dcterms:modified xsi:type="dcterms:W3CDTF">2026-09-11T19:15:05Z</dcterms:modified>
</cp:coreProperties>
</file>