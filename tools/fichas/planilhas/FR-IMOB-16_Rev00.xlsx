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7C3D2551-F50D-4DF7-97B0-6D6A27FABCAB}" xr6:coauthVersionLast="47" xr6:coauthVersionMax="47" xr10:uidLastSave="{00000000-0000-0000-0000-000000000000}"/>
  <bookViews>
    <workbookView xWindow="-28910" yWindow="-1730" windowWidth="29020" windowHeight="15820" xr2:uid="{1A980340-1FC2-40EA-88FE-C7253FBF64BC}"/>
  </bookViews>
  <sheets>
    <sheet name="FR-IMOB-16 _Rev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'FR-IMOB-16 _Rev00'!$A$1:$I$66</definedName>
    <definedName name="_xlnm.Print_Area" localSheetId="1">VERSO!$A$1:$C$13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  <definedName name="Z_136B3143_28E4_4C45_A9BE_4FA02ED69EBB_.wvu.PrintArea" localSheetId="0" hidden="1">'FR-IMOB-16 _Rev00'!$B$6:$H$53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G52" i="1" l="1"/>
  <c r="F52" i="1"/>
  <c r="E52" i="1"/>
  <c r="D52" i="1"/>
  <c r="G49" i="1"/>
  <c r="F49" i="1"/>
  <c r="E49" i="1"/>
  <c r="D49" i="1"/>
  <c r="H47" i="1"/>
  <c r="G43" i="1"/>
  <c r="G45" i="1" s="1"/>
  <c r="G42" i="1"/>
  <c r="F42" i="1"/>
  <c r="E42" i="1"/>
  <c r="D42" i="1"/>
  <c r="H38" i="1"/>
  <c r="G34" i="1"/>
  <c r="G44" i="1" s="1"/>
  <c r="F34" i="1"/>
  <c r="F44" i="1" s="1"/>
  <c r="E34" i="1"/>
  <c r="E43" i="1" s="1"/>
  <c r="D34" i="1"/>
  <c r="D44" i="1" s="1"/>
  <c r="G28" i="1"/>
  <c r="F28" i="1"/>
  <c r="E28" i="1"/>
  <c r="D28" i="1"/>
  <c r="G23" i="1"/>
  <c r="G29" i="1" s="1"/>
  <c r="F23" i="1"/>
  <c r="F29" i="1" s="1"/>
  <c r="E23" i="1"/>
  <c r="E29" i="1" s="1"/>
  <c r="D23" i="1"/>
  <c r="D29" i="1" s="1"/>
  <c r="H42" i="1" l="1"/>
  <c r="F43" i="1"/>
  <c r="F45" i="1" s="1"/>
  <c r="E50" i="1"/>
  <c r="E53" i="1"/>
  <c r="D50" i="1"/>
  <c r="F46" i="1"/>
  <c r="F50" i="1"/>
  <c r="F53" i="1"/>
  <c r="D53" i="1"/>
  <c r="G46" i="1"/>
  <c r="G50" i="1"/>
  <c r="G53" i="1"/>
  <c r="E35" i="1"/>
  <c r="F35" i="1"/>
  <c r="F37" i="1"/>
  <c r="E44" i="1"/>
  <c r="E45" i="1" s="1"/>
  <c r="G35" i="1"/>
  <c r="G37" i="1"/>
  <c r="D43" i="1"/>
  <c r="E37" i="1"/>
  <c r="D35" i="1"/>
  <c r="D37" i="1"/>
  <c r="H53" i="1" l="1"/>
  <c r="H37" i="1"/>
  <c r="D45" i="1"/>
  <c r="H43" i="1"/>
  <c r="H50" i="1"/>
  <c r="E46" i="1"/>
  <c r="H45" i="1" l="1"/>
  <c r="D46" i="1"/>
  <c r="H46" i="1" s="1"/>
</calcChain>
</file>

<file path=xl/sharedStrings.xml><?xml version="1.0" encoding="utf-8"?>
<sst xmlns="http://schemas.openxmlformats.org/spreadsheetml/2006/main" count="120" uniqueCount="82">
  <si>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</si>
  <si>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</si>
  <si>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</si>
  <si>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</si>
  <si>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</si>
  <si>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</si>
  <si>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</si>
  <si>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DNER-ME 043 - Misturas betuminosas a quente - Ensaio Marshall</t>
  </si>
  <si>
    <t>DNIT 428 - ME - Pavimentação – Misturas asfálticas – Determinação da densidade relativa aparente e da massa específica aparente de corpos de prova compactados – Método de ensaio</t>
  </si>
  <si>
    <t>DNIT 178 - PRO - Pavimentação asfáltica - Preparação de corpos de prova para ensaios mecânicos usando o compactador giratório Superpave ou o Marshall – Procedimento</t>
  </si>
  <si>
    <t xml:space="preserve">DNIT 031 - Pavimentos flexíveis - Concreto asfáltico - Especificação de serviço </t>
  </si>
  <si>
    <t>Procedimentos do ensaio</t>
  </si>
  <si>
    <t>Nº CP</t>
  </si>
  <si>
    <t>Média</t>
  </si>
  <si>
    <t>Espessura (mm)</t>
  </si>
  <si>
    <t>I</t>
  </si>
  <si>
    <t>-</t>
  </si>
  <si>
    <t>II</t>
  </si>
  <si>
    <t>III</t>
  </si>
  <si>
    <t>IV</t>
  </si>
  <si>
    <t>Diametro (mm)</t>
  </si>
  <si>
    <t>Fator de correção</t>
  </si>
  <si>
    <t>Massa do CP seco ao ar (g)</t>
  </si>
  <si>
    <t>Massa do CP revestido filme PVC seco ao ar (g)</t>
  </si>
  <si>
    <t>Massa do CP revestido filme PVC imerso (g)</t>
  </si>
  <si>
    <t>Densidade do filme PVC</t>
  </si>
  <si>
    <r>
      <t xml:space="preserve">Densidade aparente - G </t>
    </r>
    <r>
      <rPr>
        <vertAlign val="subscript"/>
        <sz val="10"/>
        <rFont val="Tahoma"/>
        <family val="2"/>
      </rPr>
      <t>mb</t>
    </r>
    <r>
      <rPr>
        <sz val="10"/>
        <rFont val="Tahoma"/>
        <family val="2"/>
      </rPr>
      <t xml:space="preserve"> (g/cm³)</t>
    </r>
  </si>
  <si>
    <r>
      <t xml:space="preserve">Massa especifica aparente - ME </t>
    </r>
    <r>
      <rPr>
        <vertAlign val="subscript"/>
        <sz val="10"/>
        <rFont val="Tahoma"/>
        <family val="2"/>
      </rPr>
      <t>a</t>
    </r>
  </si>
  <si>
    <r>
      <t xml:space="preserve">Densidade máxima medida - G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(g/cm³)</t>
    </r>
  </si>
  <si>
    <t>Grau de compactação (%)</t>
  </si>
  <si>
    <t>Água absorvida pelo CP</t>
  </si>
  <si>
    <t>Teor de CAP</t>
  </si>
  <si>
    <t>Densidade do CAP</t>
  </si>
  <si>
    <t>Filer (material passante #200) (%)</t>
  </si>
  <si>
    <t>Relação Filer / Betume</t>
  </si>
  <si>
    <t>Vazios (%)</t>
  </si>
  <si>
    <t>VCB (%)</t>
  </si>
  <si>
    <t>VAM (%)</t>
  </si>
  <si>
    <t>RBV (%)</t>
  </si>
  <si>
    <t>Deslocamento - Fluencia (mm)</t>
  </si>
  <si>
    <t>Estabilidade - Leitura prensa (kgf)</t>
  </si>
  <si>
    <t>Estabilidade encontrada (kgf)</t>
  </si>
  <si>
    <t>Etabilidade corrigida (kgf)</t>
  </si>
  <si>
    <t>Tração Diametral - Leitura prensa (kgf)</t>
  </si>
  <si>
    <t>Tração Diametral econtrada (kgf)</t>
  </si>
  <si>
    <t>Tração Diametral corrigida (kgf)</t>
  </si>
  <si>
    <t>Fator de correção da prensa</t>
  </si>
  <si>
    <t>Conforme ultima calibração: y = 0,9905x + 4,7547</t>
  </si>
  <si>
    <t>Ensaios especiais</t>
  </si>
  <si>
    <t>Módulo de resiliência</t>
  </si>
  <si>
    <t>Sim</t>
  </si>
  <si>
    <t>Não</t>
  </si>
  <si>
    <t xml:space="preserve">Anexar ficha de ensaio da prensa </t>
  </si>
  <si>
    <t>Vida a Fadiga</t>
  </si>
  <si>
    <t>Deformação Permanente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</si>
  <si>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</si>
  <si>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</si>
  <si>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</si>
  <si>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</si>
  <si>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</si>
  <si>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Peneira</t>
  </si>
  <si>
    <t>Pontos de Verificação</t>
  </si>
  <si>
    <t>Verificar homogenidade da amostra</t>
  </si>
  <si>
    <t>Verificar se a balança está zerada, nivelada</t>
  </si>
  <si>
    <t>Verificar se as peneiras estão calibradas</t>
  </si>
  <si>
    <t>Verificar se o tempo de peneiramento foi suficiente</t>
  </si>
  <si>
    <t>Verificar se a massa da amostra está de acordo</t>
  </si>
  <si>
    <t>Responsável executor:</t>
  </si>
  <si>
    <t>Responsável calculista: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</si>
  <si>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</si>
  <si>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</si>
  <si>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</si>
  <si>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</si>
  <si>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Ensaio Marshall - VV &lt; 10% e Abs &gt;2%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</si>
  <si>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</si>
  <si>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t xml:space="preserve">Fase: </t>
    </r>
    <r>
      <rPr>
        <b/>
        <sz val="12"/>
        <color rgb="FF000000"/>
        <rFont val="Tahoma"/>
        <family val="2"/>
      </rPr>
      <t>Vigente</t>
    </r>
  </si>
  <si>
    <r>
      <rPr>
        <sz val="12"/>
        <color theme="1"/>
        <rFont val="Tahoma"/>
        <family val="2"/>
      </rPr>
      <t xml:space="preserve">Tipo de Documento: </t>
    </r>
    <r>
      <rPr>
        <b/>
        <sz val="12"/>
        <color theme="1"/>
        <rFont val="Tahoma"/>
        <family val="2"/>
      </rPr>
      <t>Formulário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</si>
  <si>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FR-IMOB-16 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</si>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</sst>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vertAlign val="subscript"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name val="Tahoma"/>
      <family val="2"/>
    </font>
    <font>
      <sz val="10"/>
      <name val="Calibri"/>
      <family val="2"/>
      <scheme val="minor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4" fillId="0" borderId="0" xfId="0" applyFont="1" applyAlignment="1">
      <alignment horizontal="left" vertical="center"/>
    </xf>
    <xf numFmtId="49" fontId="5" fillId="2" borderId="10" xfId="3" applyNumberFormat="1" applyFont="1" applyFill="1" applyBorder="1" applyAlignment="1">
      <alignment horizontal="center" vertical="center"/>
    </xf>
    <xf numFmtId="49" fontId="6" fillId="0" borderId="10" xfId="3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2" fontId="5" fillId="2" borderId="10" xfId="3" applyNumberFormat="1" applyFont="1" applyFill="1" applyBorder="1" applyAlignment="1">
      <alignment horizontal="center" vertical="center"/>
    </xf>
    <xf numFmtId="2" fontId="4" fillId="0" borderId="10" xfId="3" applyNumberFormat="1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2" fontId="4" fillId="0" borderId="10" xfId="3" applyNumberFormat="1" applyFont="1" applyBorder="1" applyAlignment="1" applyProtection="1">
      <alignment horizontal="center" vertical="center"/>
      <protection locked="0"/>
    </xf>
    <xf numFmtId="2" fontId="6" fillId="0" borderId="10" xfId="3" applyNumberFormat="1" applyFont="1" applyBorder="1" applyAlignment="1" applyProtection="1">
      <alignment horizontal="center" vertical="center"/>
      <protection locked="0"/>
    </xf>
    <xf numFmtId="2" fontId="5" fillId="2" borderId="10" xfId="3" applyNumberFormat="1" applyFont="1" applyFill="1" applyBorder="1" applyAlignment="1" applyProtection="1">
      <alignment horizontal="center" vertical="center"/>
      <protection locked="0"/>
    </xf>
    <xf numFmtId="164" fontId="4" fillId="0" borderId="10" xfId="3" applyNumberFormat="1" applyFont="1" applyBorder="1" applyAlignment="1">
      <alignment horizontal="center" vertical="center"/>
    </xf>
    <xf numFmtId="164" fontId="5" fillId="2" borderId="10" xfId="3" applyNumberFormat="1" applyFont="1" applyFill="1" applyBorder="1" applyAlignment="1">
      <alignment horizontal="center" vertical="center"/>
    </xf>
    <xf numFmtId="9" fontId="4" fillId="0" borderId="10" xfId="1" applyFont="1" applyBorder="1" applyAlignment="1">
      <alignment horizontal="center" vertical="center"/>
    </xf>
    <xf numFmtId="9" fontId="6" fillId="0" borderId="10" xfId="1" applyFont="1" applyBorder="1" applyAlignment="1">
      <alignment horizontal="center" vertical="center"/>
    </xf>
    <xf numFmtId="2" fontId="6" fillId="0" borderId="10" xfId="3" applyNumberFormat="1" applyFont="1" applyBorder="1" applyAlignment="1">
      <alignment horizontal="center" vertical="center"/>
    </xf>
    <xf numFmtId="164" fontId="6" fillId="0" borderId="10" xfId="3" applyNumberFormat="1" applyFont="1" applyBorder="1" applyAlignment="1">
      <alignment horizontal="center" vertical="center"/>
    </xf>
    <xf numFmtId="1" fontId="5" fillId="2" borderId="10" xfId="3" applyNumberFormat="1" applyFont="1" applyFill="1" applyBorder="1" applyAlignment="1" applyProtection="1">
      <alignment horizontal="center" vertical="center"/>
      <protection locked="0"/>
    </xf>
    <xf numFmtId="1" fontId="4" fillId="0" borderId="10" xfId="3" applyNumberFormat="1" applyFont="1" applyBorder="1" applyAlignment="1">
      <alignment horizontal="center" vertical="center"/>
    </xf>
    <xf numFmtId="1" fontId="6" fillId="0" borderId="10" xfId="3" applyNumberFormat="1" applyFont="1" applyBorder="1" applyAlignment="1">
      <alignment horizontal="center" vertical="center"/>
    </xf>
    <xf numFmtId="1" fontId="4" fillId="0" borderId="10" xfId="3" applyNumberFormat="1" applyFont="1" applyBorder="1" applyAlignment="1" applyProtection="1">
      <alignment horizontal="center" vertical="center"/>
      <protection locked="0"/>
    </xf>
    <xf numFmtId="1" fontId="4" fillId="2" borderId="10" xfId="3" applyNumberFormat="1" applyFont="1" applyFill="1" applyBorder="1" applyAlignment="1" applyProtection="1">
      <alignment horizontal="center" vertical="center"/>
      <protection locked="0"/>
    </xf>
    <xf numFmtId="164" fontId="4" fillId="2" borderId="10" xfId="3" applyNumberFormat="1" applyFont="1" applyFill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4" applyFont="1" applyAlignment="1" applyProtection="1">
      <alignment horizontal="center" vertical="center"/>
      <protection hidden="1"/>
    </xf>
    <xf numFmtId="0" fontId="4" fillId="0" borderId="0" xfId="5" applyFont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15" fillId="0" borderId="0" xfId="5" applyFont="1" applyAlignment="1" applyProtection="1">
      <alignment vertical="center" wrapText="1"/>
      <protection locked="0"/>
    </xf>
    <xf numFmtId="0" fontId="17" fillId="0" borderId="0" xfId="5" applyFont="1" applyAlignment="1" applyProtection="1">
      <alignment vertical="center"/>
      <protection locked="0"/>
    </xf>
    <xf numFmtId="0" fontId="9" fillId="0" borderId="0" xfId="2" applyFont="1" applyAlignment="1">
      <alignment horizontal="left" vertical="center"/>
    </xf>
    <xf numFmtId="49" fontId="16" fillId="3" borderId="2" xfId="5" applyNumberFormat="1" applyFont="1" applyFill="1" applyBorder="1" applyAlignment="1" applyProtection="1">
      <alignment vertical="center"/>
      <protection locked="0" hidden="1"/>
    </xf>
    <xf numFmtId="0" fontId="16" fillId="3" borderId="2" xfId="5" applyFont="1" applyFill="1" applyBorder="1" applyAlignment="1" applyProtection="1">
      <alignment vertical="center"/>
      <protection locked="0" hidden="1"/>
    </xf>
    <xf numFmtId="0" fontId="16" fillId="3" borderId="5" xfId="5" applyFont="1" applyFill="1" applyBorder="1" applyAlignment="1" applyProtection="1">
      <alignment vertical="center"/>
      <protection locked="0" hidden="1"/>
    </xf>
    <xf numFmtId="2" fontId="13" fillId="3" borderId="0" xfId="5" applyNumberFormat="1" applyFont="1" applyFill="1" applyAlignment="1" applyProtection="1">
      <alignment vertical="center"/>
      <protection locked="0"/>
    </xf>
    <xf numFmtId="0" fontId="15" fillId="3" borderId="0" xfId="5" applyFont="1" applyFill="1" applyAlignment="1" applyProtection="1">
      <alignment vertical="center"/>
      <protection locked="0" hidden="1"/>
    </xf>
    <xf numFmtId="2" fontId="5" fillId="0" borderId="10" xfId="2" applyNumberFormat="1" applyFont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13" fillId="0" borderId="0" xfId="0" applyFont="1" applyAlignment="1">
      <alignment horizontal="left" wrapText="1"/>
    </xf>
    <xf numFmtId="0" fontId="13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20" fillId="4" borderId="4" xfId="2" applyFont="1" applyFill="1" applyBorder="1" applyAlignment="1">
      <alignment horizontal="center" vertical="center"/>
    </xf>
    <xf numFmtId="0" fontId="20" fillId="4" borderId="5" xfId="2" applyFont="1" applyFill="1" applyBorder="1" applyAlignment="1">
      <alignment horizontal="center" vertical="center"/>
    </xf>
    <xf numFmtId="0" fontId="20" fillId="4" borderId="6" xfId="2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 wrapText="1"/>
    </xf>
    <xf numFmtId="0" fontId="4" fillId="0" borderId="8" xfId="2" applyFont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4" fillId="0" borderId="4" xfId="2" applyFont="1" applyBorder="1" applyAlignment="1">
      <alignment vertical="center" wrapText="1"/>
    </xf>
    <xf numFmtId="0" fontId="4" fillId="0" borderId="5" xfId="2" applyFont="1" applyBorder="1" applyAlignment="1">
      <alignment vertical="center" wrapText="1"/>
    </xf>
    <xf numFmtId="0" fontId="4" fillId="0" borderId="6" xfId="2" applyFont="1" applyBorder="1" applyAlignment="1">
      <alignment vertical="center" wrapText="1"/>
    </xf>
    <xf numFmtId="0" fontId="4" fillId="0" borderId="4" xfId="3" applyFont="1" applyBorder="1" applyAlignment="1">
      <alignment horizontal="left" vertical="center"/>
    </xf>
    <xf numFmtId="0" fontId="4" fillId="0" borderId="6" xfId="3" applyFont="1" applyBorder="1" applyAlignment="1">
      <alignment horizontal="left" vertical="center"/>
    </xf>
    <xf numFmtId="0" fontId="4" fillId="0" borderId="13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15" fillId="0" borderId="5" xfId="5" applyFont="1" applyBorder="1" applyAlignment="1" applyProtection="1">
      <alignment horizontal="left" vertical="center" wrapText="1"/>
      <protection locked="0"/>
    </xf>
    <xf numFmtId="0" fontId="10" fillId="0" borderId="0" xfId="2" applyFont="1" applyAlignment="1">
      <alignment horizontal="right" vertical="center"/>
    </xf>
    <xf numFmtId="0" fontId="4" fillId="0" borderId="5" xfId="3" applyFont="1" applyBorder="1" applyAlignment="1">
      <alignment horizontal="left" vertical="center"/>
    </xf>
    <xf numFmtId="1" fontId="4" fillId="0" borderId="4" xfId="3" applyNumberFormat="1" applyFont="1" applyBorder="1" applyAlignment="1" applyProtection="1">
      <alignment horizontal="center" vertical="center"/>
      <protection locked="0"/>
    </xf>
    <xf numFmtId="1" fontId="4" fillId="0" borderId="5" xfId="3" applyNumberFormat="1" applyFont="1" applyBorder="1" applyAlignment="1" applyProtection="1">
      <alignment horizontal="center" vertical="center"/>
      <protection locked="0"/>
    </xf>
    <xf numFmtId="1" fontId="4" fillId="0" borderId="6" xfId="3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13" fillId="3" borderId="5" xfId="5" applyNumberFormat="1" applyFont="1" applyFill="1" applyBorder="1" applyAlignment="1" applyProtection="1">
      <alignment horizontal="left" vertical="center"/>
      <protection locked="0"/>
    </xf>
    <xf numFmtId="0" fontId="15" fillId="3" borderId="5" xfId="5" applyFont="1" applyFill="1" applyBorder="1" applyAlignment="1" applyProtection="1">
      <alignment horizontal="left" vertical="center"/>
      <protection locked="0" hidden="1"/>
    </xf>
    <xf numFmtId="0" fontId="18" fillId="0" borderId="5" xfId="5" applyFont="1" applyBorder="1" applyAlignment="1" applyProtection="1">
      <alignment horizontal="left" vertical="center"/>
      <protection locked="0"/>
    </xf>
    <xf numFmtId="0" fontId="17" fillId="0" borderId="5" xfId="5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top"/>
    </xf>
    <xf numFmtId="0" fontId="8" fillId="0" borderId="8" xfId="2" applyFont="1" applyBorder="1" applyAlignment="1">
      <alignment horizontal="center" vertical="top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top"/>
    </xf>
    <xf numFmtId="0" fontId="4" fillId="0" borderId="1" xfId="5" applyFont="1" applyBorder="1" applyAlignment="1" applyProtection="1">
      <alignment horizontal="center" vertical="center"/>
      <protection hidden="1"/>
    </xf>
    <xf numFmtId="0" fontId="4" fillId="0" borderId="2" xfId="5" applyFont="1" applyBorder="1" applyAlignment="1" applyProtection="1">
      <alignment horizontal="center" vertical="center"/>
      <protection hidden="1"/>
    </xf>
    <xf numFmtId="0" fontId="4" fillId="0" borderId="3" xfId="5" applyFont="1" applyBorder="1" applyAlignment="1" applyProtection="1">
      <alignment horizontal="center" vertical="center"/>
      <protection hidden="1"/>
    </xf>
    <xf numFmtId="0" fontId="3" fillId="0" borderId="11" xfId="5" applyFont="1" applyBorder="1" applyAlignment="1" applyProtection="1">
      <alignment horizontal="center" vertical="center" wrapText="1"/>
      <protection hidden="1"/>
    </xf>
    <xf numFmtId="0" fontId="3" fillId="0" borderId="0" xfId="5" applyFont="1" applyAlignment="1" applyProtection="1">
      <alignment horizontal="center" vertical="center" wrapText="1"/>
      <protection hidden="1"/>
    </xf>
    <xf numFmtId="0" fontId="3" fillId="0" borderId="12" xfId="5" applyFont="1" applyBorder="1" applyAlignment="1" applyProtection="1">
      <alignment horizontal="center" vertical="center" wrapText="1"/>
      <protection hidden="1"/>
    </xf>
    <xf numFmtId="0" fontId="12" fillId="0" borderId="5" xfId="5" applyFont="1" applyBorder="1" applyAlignment="1" applyProtection="1">
      <alignment horizontal="left" vertical="center" wrapText="1"/>
      <protection hidden="1"/>
    </xf>
    <xf numFmtId="0" fontId="12" fillId="0" borderId="6" xfId="5" applyFont="1" applyBorder="1" applyAlignment="1" applyProtection="1">
      <alignment horizontal="left" vertical="center" wrapText="1"/>
      <protection hidden="1"/>
    </xf>
    <xf numFmtId="0" fontId="20" fillId="4" borderId="4" xfId="5" applyFont="1" applyFill="1" applyBorder="1" applyAlignment="1" applyProtection="1">
      <alignment horizontal="center" vertical="center"/>
      <protection hidden="1"/>
    </xf>
    <xf numFmtId="0" fontId="20" fillId="4" borderId="5" xfId="5" applyFont="1" applyFill="1" applyBorder="1" applyAlignment="1">
      <alignment vertical="center"/>
    </xf>
    <xf numFmtId="0" fontId="20" fillId="4" borderId="6" xfId="5" applyFont="1" applyFill="1" applyBorder="1" applyAlignment="1">
      <alignment vertical="center"/>
    </xf>
    <xf numFmtId="0" fontId="20" fillId="4" borderId="5" xfId="5" applyFont="1" applyFill="1" applyBorder="1" applyAlignment="1" applyProtection="1">
      <alignment horizontal="center" vertical="center"/>
      <protection hidden="1"/>
    </xf>
    <xf numFmtId="0" fontId="20" fillId="4" borderId="6" xfId="5" applyFont="1" applyFill="1" applyBorder="1" applyAlignment="1" applyProtection="1">
      <alignment horizontal="center" vertical="center"/>
      <protection hidden="1"/>
    </xf>
    <xf numFmtId="0" fontId="13" fillId="0" borderId="8" xfId="0" applyFont="1" applyBorder="1" applyAlignment="1">
      <alignment horizontal="center" vertical="center" wrapText="1"/>
    </xf>
    <xf numFmtId="0" fontId="3" fillId="0" borderId="7" xfId="5" applyFont="1" applyBorder="1" applyAlignment="1" applyProtection="1">
      <alignment horizontal="center" vertical="center" wrapText="1"/>
      <protection hidden="1"/>
    </xf>
    <xf numFmtId="0" fontId="3" fillId="0" borderId="8" xfId="5" applyFont="1" applyBorder="1" applyAlignment="1" applyProtection="1">
      <alignment horizontal="center" vertical="center" wrapText="1"/>
      <protection hidden="1"/>
    </xf>
    <xf numFmtId="0" fontId="3" fillId="0" borderId="9" xfId="5" applyFont="1" applyBorder="1" applyAlignment="1" applyProtection="1">
      <alignment horizontal="center" vertical="center" wrapText="1"/>
      <protection hidden="1"/>
    </xf>
    <xf numFmtId="0" fontId="4" fillId="0" borderId="4" xfId="5" applyFont="1" applyBorder="1" applyAlignment="1" applyProtection="1">
      <alignment horizontal="left" vertical="center"/>
      <protection hidden="1"/>
    </xf>
    <xf numFmtId="0" fontId="4" fillId="0" borderId="6" xfId="5" applyFont="1" applyBorder="1" applyAlignment="1" applyProtection="1">
      <alignment horizontal="left" vertical="center"/>
      <protection hidden="1"/>
    </xf>
    <xf numFmtId="0" fontId="6" fillId="0" borderId="10" xfId="5" applyFont="1" applyBorder="1" applyAlignment="1">
      <alignment horizontal="center" vertical="center"/>
    </xf>
    <xf numFmtId="0" fontId="6" fillId="0" borderId="10" xfId="5" applyFont="1" applyBorder="1" applyAlignment="1">
      <alignment horizontal="center" vertical="center"/>
    </xf>
  </cellXfs>
  <cellStyles count="6">
    <cellStyle name="Normal" xfId="0" builtinId="0"/>
    <cellStyle name="Normal 2 2" xfId="5" xr:uid="{47323ECE-0277-4328-89E2-3120C38B9A77}"/>
    <cellStyle name="Normal 9 2" xfId="2" xr:uid="{6334CC9A-7F14-4415-8314-409CE7D167F2}"/>
    <cellStyle name="Normal_contrle clientes e copazeiro2" xfId="3" xr:uid="{F4B78B29-29DD-49C6-8BA6-8183DEA4D981}"/>
    <cellStyle name="Normal_PREPARAÇÃO DE AMOSTRA" xfId="4" xr:uid="{85AC489E-B66F-485D-A922-288B7FB6DD38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55</xdr:row>
          <xdr:rowOff>0</xdr:rowOff>
        </xdr:from>
        <xdr:to>
          <xdr:col>3</xdr:col>
          <xdr:colOff>336550</xdr:colOff>
          <xdr:row>55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55</xdr:row>
          <xdr:rowOff>0</xdr:rowOff>
        </xdr:from>
        <xdr:to>
          <xdr:col>4</xdr:col>
          <xdr:colOff>304800</xdr:colOff>
          <xdr:row>55</xdr:row>
          <xdr:rowOff>209550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56</xdr:row>
          <xdr:rowOff>0</xdr:rowOff>
        </xdr:from>
        <xdr:to>
          <xdr:col>3</xdr:col>
          <xdr:colOff>336550</xdr:colOff>
          <xdr:row>56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56</xdr:row>
          <xdr:rowOff>0</xdr:rowOff>
        </xdr:from>
        <xdr:to>
          <xdr:col>4</xdr:col>
          <xdr:colOff>304800</xdr:colOff>
          <xdr:row>56</xdr:row>
          <xdr:rowOff>209550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57</xdr:row>
          <xdr:rowOff>0</xdr:rowOff>
        </xdr:from>
        <xdr:to>
          <xdr:col>3</xdr:col>
          <xdr:colOff>336550</xdr:colOff>
          <xdr:row>57</xdr:row>
          <xdr:rowOff>209550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57</xdr:row>
          <xdr:rowOff>0</xdr:rowOff>
        </xdr:from>
        <xdr:to>
          <xdr:col>4</xdr:col>
          <xdr:colOff>304800</xdr:colOff>
          <xdr:row>57</xdr:row>
          <xdr:rowOff>209550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705878</xdr:colOff>
      <xdr:row>0</xdr:row>
      <xdr:rowOff>65741</xdr:rowOff>
    </xdr:from>
    <xdr:to>
      <xdr:col>7</xdr:col>
      <xdr:colOff>1072843</xdr:colOff>
      <xdr:row>0</xdr:row>
      <xdr:rowOff>817655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F2D7A3-BA97-4BFC-B5B3-AA101014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1728" y="657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8</xdr:row>
          <xdr:rowOff>31750</xdr:rowOff>
        </xdr:from>
        <xdr:to>
          <xdr:col>0</xdr:col>
          <xdr:colOff>647700</xdr:colOff>
          <xdr:row>8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097D-3D4A-446F-8B83-DB0C261C8A87}">
  <sheetPr>
    <pageSetUpPr fitToPage="1"/>
  </sheetPr>
  <dimension ref="B1:M72"/>
  <sheetViews>
    <sheetView showGridLines="0" tabSelected="1" view="pageBreakPreview" zoomScale="85" zoomScaleNormal="100" zoomScaleSheetLayoutView="85" workbookViewId="0">
      <selection activeCell="L66" sqref="L66"/>
    </sheetView>
  </sheetViews>
  <sheetFormatPr defaultColWidth="11.453125" defaultRowHeight="12.5" x14ac:dyDescent="0.25"/>
  <cols>
    <col min="1" max="1" width="1.54296875" style="1" customWidth="1"/>
    <col min="2" max="2" width="19.81640625" style="1" customWidth="1"/>
    <col min="3" max="3" width="21.26953125" style="1" customWidth="1"/>
    <col min="4" max="8" width="15.7265625" style="1" customWidth="1"/>
    <col min="9" max="9" width="2.36328125" style="1" customWidth="1"/>
    <col min="10" max="16384" width="11.453125" style="1"/>
  </cols>
  <sheetData>
    <row r="1" spans="2:13" ht="66" customHeight="1" x14ac:dyDescent="0.3">
      <c r="B1" s="39" t="s">
        <v>73</v>
      </c>
      <c r="C1" s="39"/>
      <c r="D1" s="39"/>
      <c r="E1" s="39"/>
      <c r="F1" s="39"/>
      <c r="G1" s="39"/>
      <c r="H1" s="39"/>
      <c r="I1" s="28"/>
      <c r="J1" s="28"/>
      <c r="K1" s="28"/>
      <c r="L1" s="28"/>
      <c r="M1" s="28"/>
    </row>
    <row r="2" spans="2:13" ht="12.5" customHeight="1" x14ac:dyDescent="0.25">
      <c r="B2" s="107"/>
      <c r="C2" s="107"/>
      <c r="D2" s="107"/>
      <c r="E2" s="107"/>
      <c r="F2" s="107"/>
      <c r="G2" s="107"/>
      <c r="H2" s="107"/>
      <c r="I2" s="27"/>
      <c r="J2" s="27"/>
      <c r="K2" s="27"/>
      <c r="L2" s="27"/>
      <c r="M2" s="27"/>
    </row>
    <row r="3" spans="2:13" ht="30" customHeight="1" x14ac:dyDescent="0.25">
      <c r="B3" s="40" t="s">
        <v>76</v>
      </c>
      <c r="C3" s="40"/>
      <c r="D3" s="40"/>
      <c r="E3" s="72" t="s">
        <v>77</v>
      </c>
      <c r="F3" s="72"/>
      <c r="G3" s="72"/>
      <c r="H3" s="72"/>
      <c r="I3" s="29"/>
      <c r="J3" s="29"/>
      <c r="K3" s="29"/>
      <c r="L3" s="29"/>
      <c r="M3" s="29"/>
    </row>
    <row r="4" spans="2:13" ht="30" customHeight="1" x14ac:dyDescent="0.25">
      <c r="B4" s="72" t="s">
        <v>79</v>
      </c>
      <c r="C4" s="72"/>
      <c r="D4" s="72"/>
      <c r="E4" s="72" t="s">
        <v>74</v>
      </c>
      <c r="F4" s="72"/>
      <c r="G4" s="72"/>
      <c r="H4" s="72"/>
      <c r="I4" s="29"/>
      <c r="J4" s="29"/>
      <c r="K4" s="29"/>
      <c r="L4" s="29"/>
      <c r="M4" s="29"/>
    </row>
    <row r="5" spans="2:13" ht="31.5" customHeight="1" x14ac:dyDescent="0.25">
      <c r="B5" s="83" t="s">
        <v>75</v>
      </c>
      <c r="C5" s="84"/>
      <c r="D5" s="84"/>
      <c r="E5" s="84" t="s">
        <v>78</v>
      </c>
      <c r="F5" s="84"/>
      <c r="G5" s="84"/>
      <c r="H5" s="84"/>
      <c r="I5" s="30"/>
      <c r="J5" s="30"/>
      <c r="K5" s="30"/>
      <c r="L5" s="30"/>
      <c r="M5" s="30"/>
    </row>
    <row r="6" spans="2:13" ht="15" customHeight="1" x14ac:dyDescent="0.25">
      <c r="B6" s="85"/>
      <c r="C6" s="85"/>
      <c r="D6" s="85"/>
      <c r="E6" s="85"/>
      <c r="F6" s="85"/>
      <c r="G6" s="85"/>
      <c r="H6" s="85"/>
    </row>
    <row r="7" spans="2:13" ht="26.25" customHeight="1" x14ac:dyDescent="0.25">
      <c r="B7" s="47" t="s">
        <v>0</v>
      </c>
      <c r="C7" s="48"/>
      <c r="D7" s="48"/>
      <c r="E7" s="49" t="s">
        <v>1</v>
      </c>
      <c r="F7" s="49"/>
      <c r="G7" s="49"/>
      <c r="H7" s="50"/>
    </row>
    <row r="8" spans="2:13" ht="26.25" customHeight="1" x14ac:dyDescent="0.25">
      <c r="B8" s="47" t="s">
        <v>2</v>
      </c>
      <c r="C8" s="48"/>
      <c r="D8" s="48"/>
      <c r="E8" s="49" t="s">
        <v>3</v>
      </c>
      <c r="F8" s="49"/>
      <c r="G8" s="49"/>
      <c r="H8" s="50"/>
    </row>
    <row r="9" spans="2:13" ht="26.25" customHeight="1" x14ac:dyDescent="0.25">
      <c r="B9" s="51" t="s">
        <v>4</v>
      </c>
      <c r="C9" s="52"/>
      <c r="D9" s="52"/>
      <c r="E9" s="52"/>
      <c r="F9" s="52"/>
      <c r="G9" s="52"/>
      <c r="H9" s="53"/>
    </row>
    <row r="10" spans="2:13" ht="26.25" customHeight="1" x14ac:dyDescent="0.25">
      <c r="B10" s="41" t="s">
        <v>5</v>
      </c>
      <c r="C10" s="42"/>
      <c r="D10" s="42"/>
      <c r="E10" s="42"/>
      <c r="F10" s="42"/>
      <c r="G10" s="42"/>
      <c r="H10" s="43"/>
    </row>
    <row r="11" spans="2:13" ht="26.25" customHeight="1" x14ac:dyDescent="0.25">
      <c r="B11" s="44"/>
      <c r="C11" s="45"/>
      <c r="D11" s="45"/>
      <c r="E11" s="45"/>
      <c r="F11" s="45"/>
      <c r="G11" s="45"/>
      <c r="H11" s="46"/>
    </row>
    <row r="12" spans="2:13" ht="22.5" customHeight="1" x14ac:dyDescent="0.25">
      <c r="B12" s="55" t="s">
        <v>6</v>
      </c>
      <c r="C12" s="56"/>
      <c r="D12" s="56"/>
      <c r="E12" s="56"/>
      <c r="F12" s="56"/>
      <c r="G12" s="56"/>
      <c r="H12" s="57"/>
    </row>
    <row r="13" spans="2:13" ht="30" customHeight="1" x14ac:dyDescent="0.25">
      <c r="B13" s="58" t="s">
        <v>7</v>
      </c>
      <c r="C13" s="59"/>
      <c r="D13" s="59"/>
      <c r="E13" s="59"/>
      <c r="F13" s="59"/>
      <c r="G13" s="59"/>
      <c r="H13" s="60"/>
    </row>
    <row r="14" spans="2:13" ht="30" customHeight="1" x14ac:dyDescent="0.25">
      <c r="B14" s="61" t="s">
        <v>8</v>
      </c>
      <c r="C14" s="62"/>
      <c r="D14" s="62"/>
      <c r="E14" s="62"/>
      <c r="F14" s="62"/>
      <c r="G14" s="62"/>
      <c r="H14" s="63"/>
    </row>
    <row r="15" spans="2:13" ht="30" customHeight="1" x14ac:dyDescent="0.25">
      <c r="B15" s="61" t="s">
        <v>9</v>
      </c>
      <c r="C15" s="62"/>
      <c r="D15" s="62"/>
      <c r="E15" s="62"/>
      <c r="F15" s="62"/>
      <c r="G15" s="62"/>
      <c r="H15" s="63"/>
    </row>
    <row r="16" spans="2:13" ht="30" customHeight="1" x14ac:dyDescent="0.25">
      <c r="B16" s="61" t="s">
        <v>10</v>
      </c>
      <c r="C16" s="62"/>
      <c r="D16" s="62"/>
      <c r="E16" s="62"/>
      <c r="F16" s="62"/>
      <c r="G16" s="62"/>
      <c r="H16" s="63"/>
    </row>
    <row r="17" spans="2:8" ht="17.5" customHeight="1" x14ac:dyDescent="0.25">
      <c r="B17" s="55" t="s">
        <v>11</v>
      </c>
      <c r="C17" s="56"/>
      <c r="D17" s="56"/>
      <c r="E17" s="56"/>
      <c r="F17" s="56"/>
      <c r="G17" s="56"/>
      <c r="H17" s="57"/>
    </row>
    <row r="18" spans="2:8" s="4" customFormat="1" ht="17.5" customHeight="1" x14ac:dyDescent="0.25">
      <c r="B18" s="64" t="s">
        <v>12</v>
      </c>
      <c r="C18" s="65"/>
      <c r="D18" s="2"/>
      <c r="E18" s="2"/>
      <c r="F18" s="2"/>
      <c r="G18" s="2"/>
      <c r="H18" s="3" t="s">
        <v>13</v>
      </c>
    </row>
    <row r="19" spans="2:8" s="4" customFormat="1" ht="17.5" customHeight="1" x14ac:dyDescent="0.25">
      <c r="B19" s="66" t="s">
        <v>14</v>
      </c>
      <c r="C19" s="5" t="s">
        <v>15</v>
      </c>
      <c r="D19" s="6"/>
      <c r="E19" s="6"/>
      <c r="F19" s="6"/>
      <c r="G19" s="6"/>
      <c r="H19" s="3" t="s">
        <v>16</v>
      </c>
    </row>
    <row r="20" spans="2:8" s="4" customFormat="1" ht="17.5" customHeight="1" x14ac:dyDescent="0.25">
      <c r="B20" s="67"/>
      <c r="C20" s="5" t="s">
        <v>17</v>
      </c>
      <c r="D20" s="6"/>
      <c r="E20" s="6"/>
      <c r="F20" s="6"/>
      <c r="G20" s="6"/>
      <c r="H20" s="3" t="s">
        <v>16</v>
      </c>
    </row>
    <row r="21" spans="2:8" s="4" customFormat="1" ht="17.5" customHeight="1" x14ac:dyDescent="0.25">
      <c r="B21" s="67"/>
      <c r="C21" s="5" t="s">
        <v>18</v>
      </c>
      <c r="D21" s="6"/>
      <c r="E21" s="6"/>
      <c r="F21" s="6"/>
      <c r="G21" s="6"/>
      <c r="H21" s="3" t="s">
        <v>16</v>
      </c>
    </row>
    <row r="22" spans="2:8" s="4" customFormat="1" ht="17.5" customHeight="1" x14ac:dyDescent="0.25">
      <c r="B22" s="67"/>
      <c r="C22" s="5" t="s">
        <v>19</v>
      </c>
      <c r="D22" s="6"/>
      <c r="E22" s="6"/>
      <c r="F22" s="6"/>
      <c r="G22" s="6"/>
      <c r="H22" s="3" t="s">
        <v>16</v>
      </c>
    </row>
    <row r="23" spans="2:8" s="4" customFormat="1" ht="17.5" customHeight="1" x14ac:dyDescent="0.25">
      <c r="B23" s="68"/>
      <c r="C23" s="5" t="s">
        <v>13</v>
      </c>
      <c r="D23" s="7" t="str">
        <f>IF(D19="","",AVERAGE(D19:D22))</f>
        <v/>
      </c>
      <c r="E23" s="7" t="str">
        <f t="shared" ref="E23:G23" si="0">IF(E19="","",AVERAGE(E19:E22))</f>
        <v/>
      </c>
      <c r="F23" s="7" t="str">
        <f t="shared" si="0"/>
        <v/>
      </c>
      <c r="G23" s="7" t="str">
        <f t="shared" si="0"/>
        <v/>
      </c>
      <c r="H23" s="3" t="s">
        <v>16</v>
      </c>
    </row>
    <row r="24" spans="2:8" s="4" customFormat="1" ht="17.5" customHeight="1" x14ac:dyDescent="0.25">
      <c r="B24" s="69" t="s">
        <v>20</v>
      </c>
      <c r="C24" s="5" t="s">
        <v>15</v>
      </c>
      <c r="D24" s="6"/>
      <c r="E24" s="6"/>
      <c r="F24" s="6"/>
      <c r="G24" s="6"/>
      <c r="H24" s="3" t="s">
        <v>16</v>
      </c>
    </row>
    <row r="25" spans="2:8" s="4" customFormat="1" ht="17.5" customHeight="1" x14ac:dyDescent="0.25">
      <c r="B25" s="70"/>
      <c r="C25" s="5" t="s">
        <v>17</v>
      </c>
      <c r="D25" s="6"/>
      <c r="E25" s="6"/>
      <c r="F25" s="6"/>
      <c r="G25" s="6"/>
      <c r="H25" s="3" t="s">
        <v>16</v>
      </c>
    </row>
    <row r="26" spans="2:8" s="4" customFormat="1" ht="17.5" customHeight="1" x14ac:dyDescent="0.25">
      <c r="B26" s="70"/>
      <c r="C26" s="5" t="s">
        <v>18</v>
      </c>
      <c r="D26" s="6"/>
      <c r="E26" s="6"/>
      <c r="F26" s="6"/>
      <c r="G26" s="6"/>
      <c r="H26" s="3" t="s">
        <v>16</v>
      </c>
    </row>
    <row r="27" spans="2:8" s="4" customFormat="1" ht="17.5" customHeight="1" x14ac:dyDescent="0.25">
      <c r="B27" s="70"/>
      <c r="C27" s="5" t="s">
        <v>19</v>
      </c>
      <c r="D27" s="6"/>
      <c r="E27" s="6"/>
      <c r="F27" s="6"/>
      <c r="G27" s="6"/>
      <c r="H27" s="3" t="s">
        <v>16</v>
      </c>
    </row>
    <row r="28" spans="2:8" s="4" customFormat="1" ht="17.5" customHeight="1" x14ac:dyDescent="0.25">
      <c r="B28" s="71"/>
      <c r="C28" s="5" t="s">
        <v>13</v>
      </c>
      <c r="D28" s="8" t="str">
        <f t="shared" ref="D28:G28" si="1">IF(D24="","",AVERAGE(D24:D27))</f>
        <v/>
      </c>
      <c r="E28" s="8" t="str">
        <f t="shared" si="1"/>
        <v/>
      </c>
      <c r="F28" s="8" t="str">
        <f t="shared" si="1"/>
        <v/>
      </c>
      <c r="G28" s="8" t="str">
        <f t="shared" si="1"/>
        <v/>
      </c>
      <c r="H28" s="3" t="s">
        <v>16</v>
      </c>
    </row>
    <row r="29" spans="2:8" s="4" customFormat="1" ht="17.5" customHeight="1" x14ac:dyDescent="0.25">
      <c r="B29" s="64" t="s">
        <v>21</v>
      </c>
      <c r="C29" s="65"/>
      <c r="D29" s="9" t="str">
        <f>IF(D23="","",(927.23*(D23^-1.644)))</f>
        <v/>
      </c>
      <c r="E29" s="9" t="str">
        <f t="shared" ref="E29:G29" si="2">IF(E23="","",(927.23*(E23^-1.644)))</f>
        <v/>
      </c>
      <c r="F29" s="9" t="str">
        <f t="shared" si="2"/>
        <v/>
      </c>
      <c r="G29" s="9" t="str">
        <f t="shared" si="2"/>
        <v/>
      </c>
      <c r="H29" s="10" t="s">
        <v>16</v>
      </c>
    </row>
    <row r="30" spans="2:8" s="4" customFormat="1" ht="17.5" customHeight="1" x14ac:dyDescent="0.25">
      <c r="B30" s="54" t="s">
        <v>22</v>
      </c>
      <c r="C30" s="54"/>
      <c r="D30" s="11"/>
      <c r="E30" s="11"/>
      <c r="F30" s="11"/>
      <c r="G30" s="11"/>
      <c r="H30" s="10" t="s">
        <v>16</v>
      </c>
    </row>
    <row r="31" spans="2:8" s="4" customFormat="1" ht="17.5" customHeight="1" x14ac:dyDescent="0.25">
      <c r="B31" s="54" t="s">
        <v>23</v>
      </c>
      <c r="C31" s="54"/>
      <c r="D31" s="11"/>
      <c r="E31" s="11"/>
      <c r="F31" s="11"/>
      <c r="G31" s="11"/>
      <c r="H31" s="10" t="s">
        <v>16</v>
      </c>
    </row>
    <row r="32" spans="2:8" s="4" customFormat="1" ht="17.5" customHeight="1" x14ac:dyDescent="0.25">
      <c r="B32" s="54" t="s">
        <v>24</v>
      </c>
      <c r="C32" s="54"/>
      <c r="D32" s="11"/>
      <c r="E32" s="11"/>
      <c r="F32" s="11"/>
      <c r="G32" s="11"/>
      <c r="H32" s="10" t="s">
        <v>16</v>
      </c>
    </row>
    <row r="33" spans="2:8" s="4" customFormat="1" ht="17.5" customHeight="1" x14ac:dyDescent="0.25">
      <c r="B33" s="54" t="s">
        <v>25</v>
      </c>
      <c r="C33" s="54"/>
      <c r="D33" s="11"/>
      <c r="E33" s="11"/>
      <c r="F33" s="11"/>
      <c r="G33" s="11"/>
      <c r="H33" s="10" t="s">
        <v>16</v>
      </c>
    </row>
    <row r="34" spans="2:8" s="4" customFormat="1" ht="17.5" customHeight="1" x14ac:dyDescent="0.25">
      <c r="B34" s="54" t="s">
        <v>26</v>
      </c>
      <c r="C34" s="54"/>
      <c r="D34" s="12" t="str">
        <f>IF(D30="","",IF(D31="","",IF(D32="","",IF(D33="","",D30/(D31-D32-((D31-D30)/D33))))))</f>
        <v/>
      </c>
      <c r="E34" s="12" t="str">
        <f t="shared" ref="E34:G34" si="3">IF(E30="","",IF(E31="","",IF(E32="","",IF(E33="","",E30/(E31-E32-((E31-E30)/E33))))))</f>
        <v/>
      </c>
      <c r="F34" s="12" t="str">
        <f t="shared" si="3"/>
        <v/>
      </c>
      <c r="G34" s="12" t="str">
        <f t="shared" si="3"/>
        <v/>
      </c>
      <c r="H34" s="10" t="s">
        <v>16</v>
      </c>
    </row>
    <row r="35" spans="2:8" s="4" customFormat="1" ht="17.5" customHeight="1" x14ac:dyDescent="0.25">
      <c r="B35" s="54" t="s">
        <v>27</v>
      </c>
      <c r="C35" s="54"/>
      <c r="D35" s="12" t="str">
        <f>IF(D34="","",0.9971*D34)</f>
        <v/>
      </c>
      <c r="E35" s="12" t="str">
        <f t="shared" ref="E35:G35" si="4">IF(E34="","",0.9971*E34)</f>
        <v/>
      </c>
      <c r="F35" s="12" t="str">
        <f t="shared" si="4"/>
        <v/>
      </c>
      <c r="G35" s="12" t="str">
        <f t="shared" si="4"/>
        <v/>
      </c>
      <c r="H35" s="10" t="s">
        <v>16</v>
      </c>
    </row>
    <row r="36" spans="2:8" s="4" customFormat="1" ht="17.5" customHeight="1" x14ac:dyDescent="0.25">
      <c r="B36" s="54" t="s">
        <v>28</v>
      </c>
      <c r="C36" s="54"/>
      <c r="D36" s="13"/>
      <c r="E36" s="13"/>
      <c r="F36" s="13"/>
      <c r="G36" s="13"/>
      <c r="H36" s="10" t="s">
        <v>16</v>
      </c>
    </row>
    <row r="37" spans="2:8" s="4" customFormat="1" ht="17.5" customHeight="1" x14ac:dyDescent="0.25">
      <c r="B37" s="54" t="s">
        <v>29</v>
      </c>
      <c r="C37" s="54"/>
      <c r="D37" s="14" t="str">
        <f>IF(D34="","",IF(D36="","",D34/D36))</f>
        <v/>
      </c>
      <c r="E37" s="14" t="str">
        <f t="shared" ref="E37:G37" si="5">IF(E34="","",IF(E36="","",E34/E36))</f>
        <v/>
      </c>
      <c r="F37" s="14" t="str">
        <f t="shared" si="5"/>
        <v/>
      </c>
      <c r="G37" s="14" t="str">
        <f t="shared" si="5"/>
        <v/>
      </c>
      <c r="H37" s="15" t="str">
        <f>IF(SUM(D37:G37)=0,"",AVERAGE(D37:G37))</f>
        <v/>
      </c>
    </row>
    <row r="38" spans="2:8" s="4" customFormat="1" ht="17.5" customHeight="1" x14ac:dyDescent="0.25">
      <c r="B38" s="54" t="s">
        <v>30</v>
      </c>
      <c r="C38" s="54"/>
      <c r="D38" s="6"/>
      <c r="E38" s="6"/>
      <c r="F38" s="6"/>
      <c r="G38" s="6"/>
      <c r="H38" s="16" t="str">
        <f>IF(SUM(D38:G38)=0,"",AVERAGE(D38:G38))</f>
        <v/>
      </c>
    </row>
    <row r="39" spans="2:8" s="4" customFormat="1" ht="17.5" customHeight="1" x14ac:dyDescent="0.25">
      <c r="B39" s="54" t="s">
        <v>31</v>
      </c>
      <c r="C39" s="54"/>
      <c r="D39" s="6"/>
      <c r="E39" s="6"/>
      <c r="F39" s="6"/>
      <c r="G39" s="6"/>
      <c r="H39" s="10" t="s">
        <v>16</v>
      </c>
    </row>
    <row r="40" spans="2:8" s="4" customFormat="1" ht="17.5" customHeight="1" x14ac:dyDescent="0.25">
      <c r="B40" s="54" t="s">
        <v>32</v>
      </c>
      <c r="C40" s="54"/>
      <c r="D40" s="13"/>
      <c r="E40" s="13"/>
      <c r="F40" s="13"/>
      <c r="G40" s="13"/>
      <c r="H40" s="10" t="s">
        <v>16</v>
      </c>
    </row>
    <row r="41" spans="2:8" s="4" customFormat="1" ht="17.5" customHeight="1" x14ac:dyDescent="0.25">
      <c r="B41" s="54" t="s">
        <v>33</v>
      </c>
      <c r="C41" s="54"/>
      <c r="D41" s="6"/>
      <c r="E41" s="6"/>
      <c r="F41" s="6"/>
      <c r="G41" s="6"/>
      <c r="H41" s="10" t="s">
        <v>16</v>
      </c>
    </row>
    <row r="42" spans="2:8" s="4" customFormat="1" ht="17.5" customHeight="1" x14ac:dyDescent="0.25">
      <c r="B42" s="54" t="s">
        <v>34</v>
      </c>
      <c r="C42" s="54"/>
      <c r="D42" s="7" t="str">
        <f>IF(D41="","",IF(D39="","",D41/D39))</f>
        <v/>
      </c>
      <c r="E42" s="7" t="str">
        <f t="shared" ref="E42:G42" si="6">IF(E41="","",IF(E39="","",E41/E39))</f>
        <v/>
      </c>
      <c r="F42" s="7" t="str">
        <f t="shared" si="6"/>
        <v/>
      </c>
      <c r="G42" s="7" t="str">
        <f t="shared" si="6"/>
        <v/>
      </c>
      <c r="H42" s="17" t="str">
        <f>IF(SUM(D42:G42)=0,"",AVERAGE(D42:G42))</f>
        <v/>
      </c>
    </row>
    <row r="43" spans="2:8" s="4" customFormat="1" ht="17.5" customHeight="1" x14ac:dyDescent="0.25">
      <c r="B43" s="54" t="s">
        <v>35</v>
      </c>
      <c r="C43" s="54"/>
      <c r="D43" s="7" t="str">
        <f>IF(D36="","",IF(D34="","",(1-D34/D36)*100))</f>
        <v/>
      </c>
      <c r="E43" s="7" t="str">
        <f t="shared" ref="E43:G43" si="7">IF(E36="","",IF(E34="","",(1-E34/E36)*100))</f>
        <v/>
      </c>
      <c r="F43" s="7" t="str">
        <f t="shared" si="7"/>
        <v/>
      </c>
      <c r="G43" s="7" t="str">
        <f t="shared" si="7"/>
        <v/>
      </c>
      <c r="H43" s="16" t="str">
        <f>IF(SUM(D43:G43)=0,"",AVERAGE(D43:G43))</f>
        <v/>
      </c>
    </row>
    <row r="44" spans="2:8" s="4" customFormat="1" ht="17.5" customHeight="1" x14ac:dyDescent="0.25">
      <c r="B44" s="54" t="s">
        <v>36</v>
      </c>
      <c r="C44" s="54"/>
      <c r="D44" s="7" t="str">
        <f>IF(D34="","",IF(D39="","",IF(D40="","",D39*D34/D40)))</f>
        <v/>
      </c>
      <c r="E44" s="7" t="str">
        <f t="shared" ref="E44:G44" si="8">IF(E34="","",IF(E39="","",IF(E40="","",E39*E34/E40)))</f>
        <v/>
      </c>
      <c r="F44" s="7" t="str">
        <f t="shared" si="8"/>
        <v/>
      </c>
      <c r="G44" s="7" t="str">
        <f t="shared" si="8"/>
        <v/>
      </c>
      <c r="H44" s="10" t="s">
        <v>16</v>
      </c>
    </row>
    <row r="45" spans="2:8" s="4" customFormat="1" ht="17.5" customHeight="1" x14ac:dyDescent="0.25">
      <c r="B45" s="54" t="s">
        <v>37</v>
      </c>
      <c r="C45" s="54"/>
      <c r="D45" s="7" t="str">
        <f>IF(D43="","",IF(D44="","",D43+D44))</f>
        <v/>
      </c>
      <c r="E45" s="7" t="str">
        <f t="shared" ref="E45:G45" si="9">IF(E43="","",IF(E44="","",E43+E44))</f>
        <v/>
      </c>
      <c r="F45" s="7" t="str">
        <f t="shared" si="9"/>
        <v/>
      </c>
      <c r="G45" s="7" t="str">
        <f t="shared" si="9"/>
        <v/>
      </c>
      <c r="H45" s="16" t="str">
        <f>IF(SUM(D45:G45)=0,"",AVERAGE(D45:G45))</f>
        <v/>
      </c>
    </row>
    <row r="46" spans="2:8" s="4" customFormat="1" ht="17.5" customHeight="1" x14ac:dyDescent="0.25">
      <c r="B46" s="54" t="s">
        <v>38</v>
      </c>
      <c r="C46" s="54"/>
      <c r="D46" s="7" t="str">
        <f>IF(D44="","",IF(D45="","",D44/D45*100))</f>
        <v/>
      </c>
      <c r="E46" s="7" t="str">
        <f t="shared" ref="E46:G46" si="10">IF(E44="","",IF(E45="","",E44/E45*100))</f>
        <v/>
      </c>
      <c r="F46" s="7" t="str">
        <f t="shared" si="10"/>
        <v/>
      </c>
      <c r="G46" s="7" t="str">
        <f t="shared" si="10"/>
        <v/>
      </c>
      <c r="H46" s="16" t="str">
        <f>IF(SUM(D46:G46)=0,"",AVERAGE(D46:G46))</f>
        <v/>
      </c>
    </row>
    <row r="47" spans="2:8" s="4" customFormat="1" ht="17.5" customHeight="1" x14ac:dyDescent="0.25">
      <c r="B47" s="54" t="s">
        <v>39</v>
      </c>
      <c r="C47" s="54"/>
      <c r="D47" s="6"/>
      <c r="E47" s="6"/>
      <c r="F47" s="6"/>
      <c r="G47" s="6"/>
      <c r="H47" s="16" t="str">
        <f>IF(SUM(D47:G47)=0,"",AVERAGE(D47:G47))</f>
        <v/>
      </c>
    </row>
    <row r="48" spans="2:8" s="4" customFormat="1" ht="17.5" customHeight="1" x14ac:dyDescent="0.25">
      <c r="B48" s="54" t="s">
        <v>40</v>
      </c>
      <c r="C48" s="54"/>
      <c r="D48" s="18"/>
      <c r="E48" s="18"/>
      <c r="F48" s="18"/>
      <c r="G48" s="18"/>
      <c r="H48" s="17" t="s">
        <v>16</v>
      </c>
    </row>
    <row r="49" spans="2:13" s="4" customFormat="1" ht="17.5" customHeight="1" x14ac:dyDescent="0.25">
      <c r="B49" s="54" t="s">
        <v>41</v>
      </c>
      <c r="C49" s="54"/>
      <c r="D49" s="19" t="str">
        <f>IF(D48="","",(0.9905*D48)+4.7547)</f>
        <v/>
      </c>
      <c r="E49" s="19" t="str">
        <f t="shared" ref="E49:G49" si="11">IF(E48="","",(0.9905*E48)+4.7547)</f>
        <v/>
      </c>
      <c r="F49" s="19" t="str">
        <f t="shared" si="11"/>
        <v/>
      </c>
      <c r="G49" s="19" t="str">
        <f t="shared" si="11"/>
        <v/>
      </c>
      <c r="H49" s="17" t="s">
        <v>16</v>
      </c>
    </row>
    <row r="50" spans="2:13" s="4" customFormat="1" ht="17.5" customHeight="1" x14ac:dyDescent="0.25">
      <c r="B50" s="54" t="s">
        <v>42</v>
      </c>
      <c r="C50" s="54"/>
      <c r="D50" s="19" t="str">
        <f>IF(D49="","",IF(D29="","",D49*D29))</f>
        <v/>
      </c>
      <c r="E50" s="19" t="str">
        <f t="shared" ref="E50:G50" si="12">IF(E49="","",IF(E29="","",E49*E29))</f>
        <v/>
      </c>
      <c r="F50" s="19" t="str">
        <f t="shared" si="12"/>
        <v/>
      </c>
      <c r="G50" s="19" t="str">
        <f t="shared" si="12"/>
        <v/>
      </c>
      <c r="H50" s="20" t="str">
        <f>IF(SUM(D50:G50)=0,"",AVERAGE(D50:G50))</f>
        <v/>
      </c>
    </row>
    <row r="51" spans="2:13" s="4" customFormat="1" ht="17.5" customHeight="1" x14ac:dyDescent="0.25">
      <c r="B51" s="54" t="s">
        <v>43</v>
      </c>
      <c r="C51" s="54"/>
      <c r="D51" s="18"/>
      <c r="E51" s="18"/>
      <c r="F51" s="18"/>
      <c r="G51" s="18"/>
      <c r="H51" s="17" t="s">
        <v>16</v>
      </c>
    </row>
    <row r="52" spans="2:13" s="4" customFormat="1" ht="17.5" customHeight="1" x14ac:dyDescent="0.25">
      <c r="B52" s="54" t="s">
        <v>44</v>
      </c>
      <c r="C52" s="54"/>
      <c r="D52" s="21" t="str">
        <f>IF(D51="","",(0.9905*D51)+4.7547)</f>
        <v/>
      </c>
      <c r="E52" s="21" t="str">
        <f t="shared" ref="E52:G52" si="13">IF(E51="","",(0.9905*E51)+4.7547)</f>
        <v/>
      </c>
      <c r="F52" s="21" t="str">
        <f t="shared" si="13"/>
        <v/>
      </c>
      <c r="G52" s="21" t="str">
        <f t="shared" si="13"/>
        <v/>
      </c>
      <c r="H52" s="17" t="s">
        <v>16</v>
      </c>
    </row>
    <row r="53" spans="2:13" s="4" customFormat="1" ht="17.5" customHeight="1" x14ac:dyDescent="0.25">
      <c r="B53" s="64" t="s">
        <v>45</v>
      </c>
      <c r="C53" s="65"/>
      <c r="D53" s="21" t="str">
        <f>IF(D52="","",IF(D29="","",D52*D29))</f>
        <v/>
      </c>
      <c r="E53" s="21" t="str">
        <f t="shared" ref="E53:G53" si="14">IF(E52="","",IF(E29="","",E52*E29))</f>
        <v/>
      </c>
      <c r="F53" s="21" t="str">
        <f t="shared" si="14"/>
        <v/>
      </c>
      <c r="G53" s="21" t="str">
        <f t="shared" si="14"/>
        <v/>
      </c>
      <c r="H53" s="20" t="str">
        <f>IF(SUM(D53:G53)=0,"",AVERAGE(D53:G53))</f>
        <v/>
      </c>
    </row>
    <row r="54" spans="2:13" s="4" customFormat="1" ht="17.5" customHeight="1" x14ac:dyDescent="0.25">
      <c r="B54" s="64" t="s">
        <v>46</v>
      </c>
      <c r="C54" s="65"/>
      <c r="D54" s="78" t="s">
        <v>47</v>
      </c>
      <c r="E54" s="79"/>
      <c r="F54" s="79"/>
      <c r="G54" s="80"/>
      <c r="H54" s="17" t="s">
        <v>16</v>
      </c>
    </row>
    <row r="55" spans="2:13" ht="17.5" customHeight="1" x14ac:dyDescent="0.25">
      <c r="B55" s="55" t="s">
        <v>48</v>
      </c>
      <c r="C55" s="56"/>
      <c r="D55" s="56"/>
      <c r="E55" s="56"/>
      <c r="F55" s="56"/>
      <c r="G55" s="56"/>
      <c r="H55" s="57"/>
    </row>
    <row r="56" spans="2:13" s="4" customFormat="1" ht="17.5" customHeight="1" x14ac:dyDescent="0.25">
      <c r="B56" s="64" t="s">
        <v>49</v>
      </c>
      <c r="C56" s="74"/>
      <c r="D56" s="22" t="s">
        <v>50</v>
      </c>
      <c r="E56" s="23" t="s">
        <v>51</v>
      </c>
      <c r="F56" s="75" t="s">
        <v>52</v>
      </c>
      <c r="G56" s="76"/>
      <c r="H56" s="77"/>
    </row>
    <row r="57" spans="2:13" s="4" customFormat="1" ht="17.5" customHeight="1" x14ac:dyDescent="0.25">
      <c r="B57" s="64" t="s">
        <v>53</v>
      </c>
      <c r="C57" s="74"/>
      <c r="D57" s="22" t="s">
        <v>50</v>
      </c>
      <c r="E57" s="23" t="s">
        <v>51</v>
      </c>
      <c r="F57" s="75" t="s">
        <v>52</v>
      </c>
      <c r="G57" s="76"/>
      <c r="H57" s="77"/>
    </row>
    <row r="58" spans="2:13" s="4" customFormat="1" ht="17.5" customHeight="1" x14ac:dyDescent="0.25">
      <c r="B58" s="64" t="s">
        <v>54</v>
      </c>
      <c r="C58" s="74"/>
      <c r="D58" s="22" t="s">
        <v>50</v>
      </c>
      <c r="E58" s="23" t="s">
        <v>51</v>
      </c>
      <c r="F58" s="75" t="s">
        <v>52</v>
      </c>
      <c r="G58" s="76"/>
      <c r="H58" s="77"/>
    </row>
    <row r="59" spans="2:13" ht="17.5" customHeight="1" x14ac:dyDescent="0.25">
      <c r="B59" s="55" t="s">
        <v>55</v>
      </c>
      <c r="C59" s="56"/>
      <c r="D59" s="56"/>
      <c r="E59" s="56"/>
      <c r="F59" s="56"/>
      <c r="G59" s="56"/>
      <c r="H59" s="57"/>
      <c r="J59" s="4"/>
    </row>
    <row r="60" spans="2:13" ht="51" customHeight="1" x14ac:dyDescent="0.25">
      <c r="B60" s="88"/>
      <c r="C60" s="89"/>
      <c r="D60" s="93"/>
      <c r="E60" s="93"/>
      <c r="F60" s="90"/>
      <c r="G60" s="90"/>
      <c r="H60" s="91"/>
      <c r="J60" s="4"/>
    </row>
    <row r="61" spans="2:13" ht="22.5" customHeight="1" x14ac:dyDescent="0.25">
      <c r="B61" s="86" t="s">
        <v>67</v>
      </c>
      <c r="C61" s="87"/>
      <c r="D61" s="89"/>
      <c r="E61" s="89"/>
      <c r="F61" s="87" t="s">
        <v>68</v>
      </c>
      <c r="G61" s="87"/>
      <c r="H61" s="92"/>
    </row>
    <row r="62" spans="2:13" ht="15" customHeight="1" x14ac:dyDescent="0.25">
      <c r="B62" s="31"/>
      <c r="C62" s="31"/>
      <c r="D62" s="31"/>
      <c r="E62" s="31"/>
      <c r="F62" s="31"/>
      <c r="G62" s="73"/>
      <c r="H62" s="73"/>
    </row>
    <row r="63" spans="2:13" ht="22.5" customHeight="1" x14ac:dyDescent="0.25">
      <c r="B63" s="32" t="s">
        <v>69</v>
      </c>
      <c r="C63" s="81" t="s">
        <v>80</v>
      </c>
      <c r="D63" s="81"/>
      <c r="E63" s="81"/>
      <c r="F63" s="81"/>
      <c r="G63" s="81"/>
      <c r="H63" s="81"/>
      <c r="I63" s="35"/>
      <c r="J63" s="35"/>
      <c r="K63" s="35"/>
      <c r="L63" s="35"/>
      <c r="M63" s="35"/>
    </row>
    <row r="64" spans="2:13" ht="22.5" customHeight="1" x14ac:dyDescent="0.25">
      <c r="B64" s="33" t="s">
        <v>70</v>
      </c>
      <c r="C64" s="82" t="s">
        <v>72</v>
      </c>
      <c r="D64" s="82"/>
      <c r="E64" s="82"/>
      <c r="F64" s="82"/>
      <c r="G64" s="82"/>
      <c r="H64" s="82"/>
      <c r="I64" s="36"/>
      <c r="J64" s="36"/>
      <c r="K64" s="36"/>
      <c r="L64" s="36"/>
      <c r="M64" s="36"/>
    </row>
    <row r="65" spans="2:13" ht="22.5" customHeight="1" x14ac:dyDescent="0.25">
      <c r="B65" s="34" t="s">
        <v>71</v>
      </c>
      <c r="C65" s="82" t="s">
        <v>81</v>
      </c>
      <c r="D65" s="82"/>
      <c r="E65" s="82"/>
      <c r="F65" s="82"/>
      <c r="G65" s="82"/>
      <c r="H65" s="82"/>
      <c r="I65" s="36"/>
      <c r="J65" s="36"/>
      <c r="K65" s="36"/>
      <c r="L65" s="36"/>
      <c r="M65" s="36"/>
    </row>
    <row r="66" spans="2:13" ht="22.5" customHeight="1" x14ac:dyDescent="0.25"/>
    <row r="67" spans="2:13" ht="22.5" customHeight="1" x14ac:dyDescent="0.25"/>
    <row r="68" spans="2:13" ht="22.5" customHeight="1" x14ac:dyDescent="0.25"/>
    <row r="69" spans="2:13" ht="51.75" customHeight="1" x14ac:dyDescent="0.25"/>
    <row r="70" spans="2:13" ht="24.75" customHeight="1" x14ac:dyDescent="0.25"/>
    <row r="71" spans="2:13" ht="22.5" customHeight="1" x14ac:dyDescent="0.25"/>
    <row r="72" spans="2:13" ht="13" x14ac:dyDescent="0.25">
      <c r="C72" s="24"/>
      <c r="D72" s="24"/>
      <c r="E72" s="24"/>
      <c r="F72" s="24"/>
      <c r="G72" s="24"/>
      <c r="H72" s="24"/>
      <c r="I72" s="24"/>
      <c r="J72" s="24"/>
      <c r="K72" s="25"/>
    </row>
  </sheetData>
  <protectedRanges>
    <protectedRange sqref="C7:D8 G7:H8 D9:H11 D18:G22 D24:G27 D30:G33 D36:G36 D38:G41 D47:G48 D51:G51 D56:E57 D58:F58" name="Intervalo1"/>
  </protectedRanges>
  <mergeCells count="68">
    <mergeCell ref="C64:H64"/>
    <mergeCell ref="C65:H65"/>
    <mergeCell ref="B5:D5"/>
    <mergeCell ref="E5:H5"/>
    <mergeCell ref="B6:H6"/>
    <mergeCell ref="B61:C61"/>
    <mergeCell ref="B60:C60"/>
    <mergeCell ref="F60:H60"/>
    <mergeCell ref="F61:H61"/>
    <mergeCell ref="D60:E61"/>
    <mergeCell ref="B47:C47"/>
    <mergeCell ref="B48:C48"/>
    <mergeCell ref="B49:C49"/>
    <mergeCell ref="B50:C50"/>
    <mergeCell ref="B51:C51"/>
    <mergeCell ref="D54:G54"/>
    <mergeCell ref="B44:C44"/>
    <mergeCell ref="B45:C45"/>
    <mergeCell ref="B46:C46"/>
    <mergeCell ref="C63:H63"/>
    <mergeCell ref="G62:H62"/>
    <mergeCell ref="B55:H55"/>
    <mergeCell ref="B56:C56"/>
    <mergeCell ref="F56:H56"/>
    <mergeCell ref="B57:C57"/>
    <mergeCell ref="F57:H57"/>
    <mergeCell ref="B58:C58"/>
    <mergeCell ref="F58:H58"/>
    <mergeCell ref="B59:H59"/>
    <mergeCell ref="B52:C52"/>
    <mergeCell ref="B53:C53"/>
    <mergeCell ref="B54:C54"/>
    <mergeCell ref="B43:C43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31:C31"/>
    <mergeCell ref="B12:H12"/>
    <mergeCell ref="B13:H13"/>
    <mergeCell ref="B14:H14"/>
    <mergeCell ref="B15:H15"/>
    <mergeCell ref="B16:H16"/>
    <mergeCell ref="B17:H17"/>
    <mergeCell ref="B18:C18"/>
    <mergeCell ref="B19:B23"/>
    <mergeCell ref="B24:B28"/>
    <mergeCell ref="B29:C29"/>
    <mergeCell ref="B30:C30"/>
    <mergeCell ref="B1:H1"/>
    <mergeCell ref="B3:D3"/>
    <mergeCell ref="B10:H11"/>
    <mergeCell ref="B7:D7"/>
    <mergeCell ref="E7:H7"/>
    <mergeCell ref="B8:D8"/>
    <mergeCell ref="E8:H8"/>
    <mergeCell ref="B9:H9"/>
    <mergeCell ref="E3:H3"/>
    <mergeCell ref="B4:D4"/>
    <mergeCell ref="E4:H4"/>
    <mergeCell ref="B2:H2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5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76200</xdr:colOff>
                    <xdr:row>55</xdr:row>
                    <xdr:rowOff>0</xdr:rowOff>
                  </from>
                  <to>
                    <xdr:col>3</xdr:col>
                    <xdr:colOff>336550</xdr:colOff>
                    <xdr:row>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50800</xdr:colOff>
                    <xdr:row>55</xdr:row>
                    <xdr:rowOff>0</xdr:rowOff>
                  </from>
                  <to>
                    <xdr:col>4</xdr:col>
                    <xdr:colOff>304800</xdr:colOff>
                    <xdr:row>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76200</xdr:colOff>
                    <xdr:row>56</xdr:row>
                    <xdr:rowOff>0</xdr:rowOff>
                  </from>
                  <to>
                    <xdr:col>3</xdr:col>
                    <xdr:colOff>336550</xdr:colOff>
                    <xdr:row>56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50800</xdr:colOff>
                    <xdr:row>56</xdr:row>
                    <xdr:rowOff>0</xdr:rowOff>
                  </from>
                  <to>
                    <xdr:col>4</xdr:col>
                    <xdr:colOff>304800</xdr:colOff>
                    <xdr:row>56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76200</xdr:colOff>
                    <xdr:row>57</xdr:row>
                    <xdr:rowOff>0</xdr:rowOff>
                  </from>
                  <to>
                    <xdr:col>3</xdr:col>
                    <xdr:colOff>336550</xdr:colOff>
                    <xdr:row>57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4</xdr:col>
                    <xdr:colOff>50800</xdr:colOff>
                    <xdr:row>57</xdr:row>
                    <xdr:rowOff>0</xdr:rowOff>
                  </from>
                  <to>
                    <xdr:col>4</xdr:col>
                    <xdr:colOff>304800</xdr:colOff>
                    <xdr:row>57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B34F-E912-47FD-B8C3-498F88723B51}">
  <sheetPr>
    <pageSetUpPr fitToPage="1"/>
  </sheetPr>
  <dimension ref="A1:C13"/>
  <sheetViews>
    <sheetView view="pageBreakPreview" zoomScale="115" zoomScaleNormal="115" zoomScaleSheetLayoutView="115" workbookViewId="0">
      <selection activeCell="F57" sqref="F57"/>
    </sheetView>
  </sheetViews>
  <sheetFormatPr defaultColWidth="8.81640625" defaultRowHeight="12.5" x14ac:dyDescent="0.25"/>
  <cols>
    <col min="1" max="1" width="13.453125" style="26" customWidth="1"/>
    <col min="2" max="2" width="33.1796875" style="26" customWidth="1"/>
    <col min="3" max="3" width="53" style="26" customWidth="1"/>
    <col min="4" max="16384" width="8.81640625" style="26"/>
  </cols>
  <sheetData>
    <row r="1" spans="1:3" ht="52.5" customHeight="1" x14ac:dyDescent="0.25">
      <c r="A1" s="94"/>
      <c r="B1" s="95"/>
      <c r="C1" s="96"/>
    </row>
    <row r="2" spans="1:3" ht="21.75" customHeight="1" x14ac:dyDescent="0.25">
      <c r="A2" s="97">
        <f>'FR-IMOB-16 _Rev00'!D6</f>
        <v>0</v>
      </c>
      <c r="B2" s="98"/>
      <c r="C2" s="99"/>
    </row>
    <row r="3" spans="1:3" ht="13.5" customHeight="1" x14ac:dyDescent="0.25">
      <c r="A3" s="108"/>
      <c r="B3" s="109"/>
      <c r="C3" s="110"/>
    </row>
    <row r="4" spans="1:3" ht="20.5" customHeight="1" x14ac:dyDescent="0.25">
      <c r="A4" s="102" t="s">
        <v>56</v>
      </c>
      <c r="B4" s="103"/>
      <c r="C4" s="104"/>
    </row>
    <row r="5" spans="1:3" ht="20.5" customHeight="1" x14ac:dyDescent="0.25">
      <c r="A5" s="113" t="s">
        <v>57</v>
      </c>
      <c r="B5" s="113"/>
      <c r="C5" s="114" t="s">
        <v>58</v>
      </c>
    </row>
    <row r="6" spans="1:3" ht="20.5" customHeight="1" x14ac:dyDescent="0.25">
      <c r="A6" s="111" t="s">
        <v>59</v>
      </c>
      <c r="B6" s="112"/>
      <c r="C6" s="37"/>
    </row>
    <row r="7" spans="1:3" ht="20.5" customHeight="1" x14ac:dyDescent="0.25">
      <c r="A7" s="111" t="s">
        <v>60</v>
      </c>
      <c r="B7" s="112"/>
      <c r="C7" s="37"/>
    </row>
    <row r="8" spans="1:3" ht="20.5" customHeight="1" x14ac:dyDescent="0.25">
      <c r="A8" s="102" t="s">
        <v>61</v>
      </c>
      <c r="B8" s="105"/>
      <c r="C8" s="106"/>
    </row>
    <row r="9" spans="1:3" ht="20.5" customHeight="1" x14ac:dyDescent="0.25">
      <c r="A9" s="38"/>
      <c r="B9" s="100" t="s">
        <v>62</v>
      </c>
      <c r="C9" s="101"/>
    </row>
    <row r="10" spans="1:3" ht="20.5" customHeight="1" x14ac:dyDescent="0.25">
      <c r="A10" s="38"/>
      <c r="B10" s="100" t="s">
        <v>63</v>
      </c>
      <c r="C10" s="101"/>
    </row>
    <row r="11" spans="1:3" ht="20.5" customHeight="1" x14ac:dyDescent="0.25">
      <c r="A11" s="38"/>
      <c r="B11" s="100" t="s">
        <v>64</v>
      </c>
      <c r="C11" s="101"/>
    </row>
    <row r="12" spans="1:3" ht="20.5" customHeight="1" x14ac:dyDescent="0.25">
      <c r="A12" s="38"/>
      <c r="B12" s="100" t="s">
        <v>65</v>
      </c>
      <c r="C12" s="101"/>
    </row>
    <row r="13" spans="1:3" ht="20.5" customHeight="1" x14ac:dyDescent="0.25">
      <c r="A13" s="38"/>
      <c r="B13" s="100" t="s">
        <v>66</v>
      </c>
      <c r="C13" s="101"/>
    </row>
  </sheetData>
  <mergeCells count="13">
    <mergeCell ref="A1:C1"/>
    <mergeCell ref="A2:C2"/>
    <mergeCell ref="B11:C11"/>
    <mergeCell ref="B12:C12"/>
    <mergeCell ref="B13:C13"/>
    <mergeCell ref="A4:C4"/>
    <mergeCell ref="A5:B5"/>
    <mergeCell ref="A8:C8"/>
    <mergeCell ref="B9:C9"/>
    <mergeCell ref="B10:C10"/>
    <mergeCell ref="A3:C3"/>
    <mergeCell ref="A7:B7"/>
    <mergeCell ref="A6:B6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8</xdr:row>
                    <xdr:rowOff>31750</xdr:rowOff>
                  </from>
                  <to>
                    <xdr:col>0</xdr:col>
                    <xdr:colOff>647700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FR-IMOB-16 _Rev00</vt:lpstr>
      <vt:lpstr>VERSO</vt:lpstr>
      <vt:lpstr>'FR-IMOB-16 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2022-05-25T18:51:42Z</cp:lastPrinted>
  <dcterms:created xsi:type="dcterms:W3CDTF">2021-11-09T18:29:14Z</dcterms:created>
  <dcterms:modified xsi:type="dcterms:W3CDTF">2026-02-16T14:04:26Z</dcterms:modified>
</cp:coreProperties>
</file>