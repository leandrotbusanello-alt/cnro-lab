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02. Formulários\Formulários - Em revisão\Revisão mel\"/>
    </mc:Choice>
  </mc:AlternateContent>
  <xr:revisionPtr revIDLastSave="0" documentId="13_ncr:1_{AFA860C7-FAF4-4B65-888C-F622D74FE10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FR-IMOB-06 FRENTE" sheetId="7" r:id="rId1"/>
    <sheet name="FR-IMOB-06 VERSO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 localSheetId="1">#REF!</definedName>
    <definedName name="_bri1">#REF!</definedName>
    <definedName name="_bri2" localSheetId="0">#REF!</definedName>
    <definedName name="_bri2" localSheetId="1">#REF!</definedName>
    <definedName name="_bri2">#REF!</definedName>
    <definedName name="_drb1" localSheetId="0">#REF!</definedName>
    <definedName name="_drb1" localSheetId="1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 localSheetId="1">#REF!</definedName>
    <definedName name="amostra">#REF!</definedName>
    <definedName name="_xlnm.Print_Area" localSheetId="0">'FR-IMOB-06 FRENTE'!$A$1:$J$42</definedName>
    <definedName name="_xlnm.Print_Area" localSheetId="1">'FR-IMOB-06 VERSO'!$A$1:$J$17</definedName>
    <definedName name="arei" localSheetId="0">#REF!</definedName>
    <definedName name="arei" localSheetId="1">#REF!</definedName>
    <definedName name="arei">#REF!</definedName>
    <definedName name="BI">[3]Teor!$A$3:$G$7</definedName>
    <definedName name="bica" localSheetId="0">#REF!</definedName>
    <definedName name="bica" localSheetId="1">#REF!</definedName>
    <definedName name="bica">#REF!</definedName>
    <definedName name="btt">#REF!</definedName>
    <definedName name="button_area_1">#REF!</definedName>
    <definedName name="CAN">#N/A</definedName>
    <definedName name="cbr" localSheetId="0">#REF!</definedName>
    <definedName name="cbr" localSheetId="1">#REF!</definedName>
    <definedName name="cbr">#REF!</definedName>
    <definedName name="celltips_area" localSheetId="0">#REF!</definedName>
    <definedName name="celltips_area" localSheetId="1">#REF!</definedName>
    <definedName name="celltips_area">#REF!</definedName>
    <definedName name="cinco" localSheetId="0">#REF!</definedName>
    <definedName name="cinco" localSheetId="1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 localSheetId="1">#REF!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h" localSheetId="0">#REF!</definedName>
    <definedName name="h" localSheetId="1">#REF!</definedName>
    <definedName name="h">#REF!</definedName>
    <definedName name="IP" localSheetId="0">[7]resumo!#REF!</definedName>
    <definedName name="IP" localSheetId="1">[7]resumo!#REF!</definedName>
    <definedName name="IP">[7]resumo!#REF!</definedName>
    <definedName name="kp" localSheetId="0">#REF!</definedName>
    <definedName name="kp" localSheetId="1">#REF!</definedName>
    <definedName name="kp">#REF!</definedName>
    <definedName name="lab">#REF!</definedName>
    <definedName name="LL" localSheetId="0">[7]resumo!#REF!</definedName>
    <definedName name="LL" localSheetId="1">[7]resumo!#REF!</definedName>
    <definedName name="LL">[7]resumo!#REF!</definedName>
    <definedName name="marshall" localSheetId="0">#REF!</definedName>
    <definedName name="marshall" localSheetId="1">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 localSheetId="0">[7]resumo!#REF!</definedName>
    <definedName name="P" localSheetId="1">[7]resumo!#REF!</definedName>
    <definedName name="P">[7]resumo!#REF!</definedName>
    <definedName name="paraf" localSheetId="0">#REF!</definedName>
    <definedName name="paraf" localSheetId="1">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 localSheetId="0">#REF!</definedName>
    <definedName name="pope" localSheetId="1">#REF!</definedName>
    <definedName name="pope">#REF!</definedName>
    <definedName name="PRE">#N/A</definedName>
    <definedName name="Print_Area_MI">[9]ESTUDO.TRAÇO!$F$18:$U$55</definedName>
    <definedName name="ptp" localSheetId="0">#REF!</definedName>
    <definedName name="ptp" localSheetId="1">#REF!</definedName>
    <definedName name="ptp">#REF!</definedName>
    <definedName name="ptt">#REF!</definedName>
    <definedName name="quatro">#REF!</definedName>
    <definedName name="RBV">[8]Teor!$D$11:$D$15</definedName>
    <definedName name="Recorder">[10]Macro1!$B$1:$B$65536</definedName>
    <definedName name="rodinei">[11]DOSAGEM!$D$11</definedName>
    <definedName name="s" localSheetId="0">#REF!</definedName>
    <definedName name="s" localSheetId="1">#REF!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 localSheetId="0">#REF!</definedName>
    <definedName name="total" localSheetId="1">#REF!</definedName>
    <definedName name="total">#REF!</definedName>
    <definedName name="tres" localSheetId="0">#REF!</definedName>
    <definedName name="tres" localSheetId="1">#REF!</definedName>
    <definedName name="tres">#REF!</definedName>
    <definedName name="treze" localSheetId="0">#REF!</definedName>
    <definedName name="treze" localSheetId="1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0">#REF!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7" l="1"/>
  <c r="I27" i="7" l="1"/>
  <c r="I21" i="7"/>
  <c r="I28" i="7" s="1"/>
  <c r="I35" i="7"/>
  <c r="I34" i="7"/>
  <c r="I24" i="7"/>
  <c r="I31" i="7" s="1"/>
  <c r="I23" i="7"/>
  <c r="I25" i="7" l="1"/>
  <c r="I36" i="7"/>
  <c r="I22" i="7"/>
  <c r="I29" i="7"/>
  <c r="I30" i="7"/>
  <c r="I32" i="7" s="1"/>
</calcChain>
</file>

<file path=xl/sharedStrings.xml><?xml version="1.0" encoding="utf-8"?>
<sst xmlns="http://schemas.openxmlformats.org/spreadsheetml/2006/main" count="82" uniqueCount="64">
  <si>
    <t xml:space="preserve">Aprovado por: </t>
  </si>
  <si>
    <t>Rheno Batista Tormin Filho</t>
  </si>
  <si>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</si>
  <si>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</si>
  <si>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</si>
  <si>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</si>
  <si>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</si>
  <si>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</si>
  <si>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</si>
  <si>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DNIT ME 413 Pavimentação - Misturas asfálticas – Massa específica, densidade relativa e absorção de agregado graúdo para misturas asfálticas. ABNT NBR 16917 - Agregado graúdo - Determinação da densidade e da absorção de água.</t>
  </si>
  <si>
    <t>Procedimentos do ensaio</t>
  </si>
  <si>
    <t>1 º  Ensaio</t>
  </si>
  <si>
    <t>2 º  Ensaio</t>
  </si>
  <si>
    <t>( A )</t>
  </si>
  <si>
    <t>Massa da cesta vazia (g)</t>
  </si>
  <si>
    <t>( B )</t>
  </si>
  <si>
    <t>Massa da cesta + Amostra seca (g)</t>
  </si>
  <si>
    <t>( C )</t>
  </si>
  <si>
    <t>Massa da cesta imersa (g)</t>
  </si>
  <si>
    <t>( D )</t>
  </si>
  <si>
    <t>Massa da cesta imersa + Amostra (g)</t>
  </si>
  <si>
    <t>( E )</t>
  </si>
  <si>
    <t>Massa da cesta + Amostra saturada (g)</t>
  </si>
  <si>
    <t>Calculos e Resultados</t>
  </si>
  <si>
    <t>1. Densidade relativa (g/cm³)</t>
  </si>
  <si>
    <t>1.1. Densidade relativa real do agregado graúdo</t>
  </si>
  <si>
    <t>1º Ensaio =</t>
  </si>
  <si>
    <r>
      <t xml:space="preserve">G </t>
    </r>
    <r>
      <rPr>
        <vertAlign val="subscript"/>
        <sz val="10"/>
        <rFont val="Tahoma"/>
        <family val="2"/>
      </rPr>
      <t xml:space="preserve">as  </t>
    </r>
    <r>
      <rPr>
        <sz val="10"/>
        <rFont val="Tahoma"/>
        <family val="2"/>
      </rPr>
      <t>=</t>
    </r>
  </si>
  <si>
    <t>( B - A )</t>
  </si>
  <si>
    <t>2º Ensaio =</t>
  </si>
  <si>
    <t>( B - A ) - ( D - C )</t>
  </si>
  <si>
    <t>Média =</t>
  </si>
  <si>
    <t>1.2. Densidade relativa aparente do agregado graúdo</t>
  </si>
  <si>
    <r>
      <t xml:space="preserve">G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</si>
  <si>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t>( E - A ) - ( D - C )</t>
  </si>
  <si>
    <t>2. Massa especifica  (g/cm³)</t>
  </si>
  <si>
    <t>2.1. Massa especifica real do agregado graúdo</t>
  </si>
  <si>
    <r>
      <t xml:space="preserve">ME </t>
    </r>
    <r>
      <rPr>
        <vertAlign val="subscript"/>
        <sz val="10"/>
        <rFont val="Tahoma"/>
        <family val="2"/>
      </rPr>
      <t>sa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</si>
  <si>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as</t>
    </r>
  </si>
  <si>
    <t>2.1. Massa específica aparente do agregado graúdo</t>
  </si>
  <si>
    <r>
      <t xml:space="preserve">ME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</si>
  <si>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sb</t>
    </r>
  </si>
  <si>
    <t>3. Porcentagem de absorção (%)</t>
  </si>
  <si>
    <t>Absorção (%). =</t>
  </si>
  <si>
    <t xml:space="preserve">   (E - A) - (B - A)</t>
  </si>
  <si>
    <t>x 100</t>
  </si>
  <si>
    <t>(B - A)</t>
  </si>
  <si>
    <t>Assinaturas</t>
  </si>
  <si>
    <t>Responsável executor:</t>
  </si>
  <si>
    <t xml:space="preserve"> Responsável calculista: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</si>
  <si>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MASSA ESPECÍFICA, DENSIDADE RELATIVA E ABSORÇÃO DE AGREGADO GRAÚDO PARA MISTURAS ASFÁLTICAS</t>
    </r>
  </si>
  <si>
    <r>
      <rPr>
        <sz val="12"/>
        <color theme="1"/>
        <rFont val="Tahoma"/>
        <family val="2"/>
      </rPr>
      <t xml:space="preserve">Codificação: </t>
    </r>
    <r>
      <rPr>
        <b/>
        <sz val="12"/>
        <color theme="1"/>
        <rFont val="Tahoma"/>
        <family val="2"/>
      </rPr>
      <t>FR-IMOB-06</t>
    </r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</si>
  <si>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</t>
    </r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</si>
  <si>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</si>
  <si>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</si>
  <si>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</si>
  <si>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Estufa</t>
  </si>
  <si>
    <t>Pontos de Verificação</t>
  </si>
  <si>
    <t>Verificar a homogeneidade da amostra</t>
  </si>
  <si>
    <t>Verificar se a massa mínima da amostra é suficiente para realizar o ensaio, e está de acordo com o tamanho nominal do grão</t>
  </si>
  <si>
    <t>Verificar se a balança está zerada, nivelada</t>
  </si>
  <si>
    <t>Remover todo o ar retido antes de determinar a massa, agitando a cesta enquanto imersa.</t>
  </si>
  <si>
    <t>A cesta deve ser imersa a uma profundidade suficiente para cobrir toda ela e a amostra durante a determinação da massa específica real.</t>
  </si>
  <si>
    <t>Equipamentos Utilizados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</si>
</sst>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i/>
      <sz val="9.5"/>
      <color theme="1"/>
      <name val="Tahoma"/>
      <family val="2"/>
    </font>
    <font>
      <b/>
      <i/>
      <sz val="9.5"/>
      <color rgb="FF000000"/>
      <name val="Tahoma"/>
      <family val="2"/>
    </font>
    <font>
      <i/>
      <sz val="9.5"/>
      <color theme="1"/>
      <name val="Tahoma"/>
      <family val="2"/>
    </font>
    <font>
      <b/>
      <sz val="9.5"/>
      <name val="Tahoma"/>
      <family val="2"/>
    </font>
    <font>
      <b/>
      <sz val="9.5"/>
      <color indexed="8"/>
      <name val="Tahoma"/>
      <family val="2"/>
    </font>
    <font>
      <sz val="9.5"/>
      <color rgb="FF0000FF"/>
      <name val="Tahoma"/>
      <family val="2"/>
    </font>
    <font>
      <sz val="9.5"/>
      <name val="Tahoma"/>
      <family val="2"/>
    </font>
    <font>
      <sz val="10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0000FF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vertAlign val="subscript"/>
      <sz val="10"/>
      <name val="Tahoma"/>
      <family val="2"/>
    </font>
    <font>
      <sz val="9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2" applyFont="1" applyAlignment="1" applyProtection="1">
      <alignment vertical="center"/>
      <protection locked="0" hidden="1"/>
    </xf>
    <xf numFmtId="0" fontId="2" fillId="0" borderId="0" xfId="2" applyFont="1" applyAlignment="1" applyProtection="1">
      <alignment horizontal="left" vertical="center"/>
      <protection locked="0"/>
    </xf>
    <xf numFmtId="0" fontId="2" fillId="0" borderId="0" xfId="2" applyFont="1" applyAlignment="1" applyProtection="1">
      <alignment vertical="center"/>
      <protection locked="0" hidden="1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3" borderId="0" xfId="2" applyFont="1" applyFill="1" applyAlignment="1" applyProtection="1">
      <alignment horizontal="left" vertical="center"/>
      <protection locked="0"/>
    </xf>
    <xf numFmtId="0" fontId="3" fillId="6" borderId="10" xfId="1" applyFont="1" applyFill="1" applyBorder="1" applyAlignment="1">
      <alignment horizontal="center" vertical="center"/>
    </xf>
    <xf numFmtId="2" fontId="16" fillId="5" borderId="10" xfId="1" applyNumberFormat="1" applyFont="1" applyFill="1" applyBorder="1" applyAlignment="1">
      <alignment horizontal="center" vertical="center"/>
    </xf>
    <xf numFmtId="2" fontId="16" fillId="5" borderId="3" xfId="1" applyNumberFormat="1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  <protection hidden="1"/>
    </xf>
    <xf numFmtId="0" fontId="2" fillId="5" borderId="2" xfId="0" applyFont="1" applyFill="1" applyBorder="1" applyAlignment="1" applyProtection="1">
      <alignment horizontal="left" vertical="center"/>
      <protection hidden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4" fillId="0" borderId="1" xfId="2" applyFont="1" applyBorder="1" applyAlignment="1">
      <alignment horizontal="left" vertical="center" wrapText="1"/>
    </xf>
    <xf numFmtId="0" fontId="1" fillId="4" borderId="2" xfId="2" applyFont="1" applyFill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17" fillId="0" borderId="7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2" fontId="16" fillId="0" borderId="6" xfId="1" applyNumberFormat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/>
    </xf>
    <xf numFmtId="2" fontId="16" fillId="0" borderId="12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2" fontId="2" fillId="0" borderId="9" xfId="1" applyNumberFormat="1" applyFont="1" applyBorder="1" applyAlignment="1">
      <alignment horizontal="center" vertical="center"/>
    </xf>
    <xf numFmtId="0" fontId="17" fillId="0" borderId="12" xfId="1" applyFont="1" applyBorder="1" applyAlignment="1">
      <alignment horizontal="left" vertical="center"/>
    </xf>
    <xf numFmtId="0" fontId="17" fillId="0" borderId="7" xfId="1" applyFont="1" applyBorder="1" applyAlignment="1">
      <alignment horizontal="left"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2" fontId="16" fillId="0" borderId="9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8" fillId="0" borderId="5" xfId="1" applyFont="1" applyBorder="1" applyAlignment="1">
      <alignment horizontal="left" vertical="top"/>
    </xf>
    <xf numFmtId="0" fontId="18" fillId="0" borderId="8" xfId="1" applyFont="1" applyBorder="1" applyAlignment="1">
      <alignment vertical="center"/>
    </xf>
    <xf numFmtId="49" fontId="7" fillId="3" borderId="0" xfId="2" applyNumberFormat="1" applyFont="1" applyFill="1" applyAlignment="1" applyProtection="1">
      <alignment horizontal="center" vertical="center"/>
      <protection hidden="1"/>
    </xf>
    <xf numFmtId="0" fontId="7" fillId="3" borderId="0" xfId="2" applyFont="1" applyFill="1" applyAlignment="1" applyProtection="1">
      <alignment horizontal="center" vertical="center"/>
      <protection hidden="1"/>
    </xf>
    <xf numFmtId="2" fontId="9" fillId="3" borderId="0" xfId="2" applyNumberFormat="1" applyFont="1" applyFill="1" applyAlignment="1">
      <alignment horizontal="center" vertical="center"/>
    </xf>
    <xf numFmtId="2" fontId="10" fillId="3" borderId="0" xfId="2" applyNumberFormat="1" applyFont="1" applyFill="1" applyAlignment="1" applyProtection="1">
      <alignment horizontal="center" vertical="center"/>
      <protection hidden="1"/>
    </xf>
    <xf numFmtId="2" fontId="10" fillId="3" borderId="0" xfId="3" applyNumberFormat="1" applyFont="1" applyFill="1" applyBorder="1" applyAlignment="1" applyProtection="1">
      <alignment horizontal="center" vertical="center"/>
      <protection hidden="1"/>
    </xf>
    <xf numFmtId="0" fontId="8" fillId="3" borderId="0" xfId="2" applyFont="1" applyFill="1" applyAlignment="1" applyProtection="1">
      <alignment horizontal="left" vertical="center"/>
      <protection locked="0"/>
    </xf>
    <xf numFmtId="0" fontId="9" fillId="3" borderId="0" xfId="2" applyFont="1" applyFill="1" applyAlignment="1" applyProtection="1">
      <alignment horizontal="left" vertical="center" wrapText="1"/>
      <protection locked="0"/>
    </xf>
    <xf numFmtId="49" fontId="15" fillId="3" borderId="1" xfId="2" applyNumberFormat="1" applyFont="1" applyFill="1" applyBorder="1" applyAlignment="1" applyProtection="1">
      <alignment horizontal="center" vertical="center"/>
      <protection hidden="1"/>
    </xf>
    <xf numFmtId="2" fontId="12" fillId="3" borderId="1" xfId="2" applyNumberFormat="1" applyFont="1" applyFill="1" applyBorder="1" applyAlignment="1">
      <alignment horizontal="left" vertical="center" wrapText="1"/>
    </xf>
    <xf numFmtId="2" fontId="16" fillId="0" borderId="8" xfId="1" applyNumberFormat="1" applyFont="1" applyBorder="1" applyAlignment="1" applyProtection="1">
      <alignment horizontal="center" vertical="center"/>
      <protection locked="0"/>
    </xf>
    <xf numFmtId="2" fontId="16" fillId="0" borderId="9" xfId="1" applyNumberFormat="1" applyFont="1" applyBorder="1" applyAlignment="1" applyProtection="1">
      <alignment horizontal="center" vertical="center"/>
      <protection locked="0"/>
    </xf>
    <xf numFmtId="0" fontId="18" fillId="0" borderId="7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18" fillId="6" borderId="2" xfId="1" applyFont="1" applyFill="1" applyBorder="1" applyAlignment="1">
      <alignment horizontal="center" vertical="center"/>
    </xf>
    <xf numFmtId="0" fontId="18" fillId="6" borderId="1" xfId="1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0" borderId="4" xfId="1" applyFont="1" applyBorder="1" applyAlignment="1">
      <alignment horizontal="left" vertical="top"/>
    </xf>
    <xf numFmtId="0" fontId="18" fillId="0" borderId="5" xfId="1" applyFont="1" applyBorder="1" applyAlignment="1">
      <alignment horizontal="left" vertical="top"/>
    </xf>
    <xf numFmtId="0" fontId="17" fillId="0" borderId="5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4" xfId="1" applyFont="1" applyBorder="1" applyAlignment="1">
      <alignment horizontal="left" vertical="center"/>
    </xf>
    <xf numFmtId="0" fontId="17" fillId="0" borderId="5" xfId="1" applyFont="1" applyBorder="1" applyAlignment="1">
      <alignment horizontal="left" vertical="center"/>
    </xf>
    <xf numFmtId="0" fontId="17" fillId="0" borderId="6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18" fillId="0" borderId="1" xfId="1" applyFont="1" applyBorder="1" applyAlignment="1">
      <alignment horizontal="left" vertical="center"/>
    </xf>
    <xf numFmtId="0" fontId="18" fillId="0" borderId="3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17" fillId="0" borderId="1" xfId="1" applyFont="1" applyBorder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0" fontId="18" fillId="0" borderId="4" xfId="1" applyFont="1" applyBorder="1" applyAlignment="1">
      <alignment horizontal="left" vertical="center"/>
    </xf>
    <xf numFmtId="0" fontId="18" fillId="0" borderId="5" xfId="1" applyFont="1" applyBorder="1" applyAlignment="1">
      <alignment horizontal="left" vertical="center"/>
    </xf>
    <xf numFmtId="0" fontId="18" fillId="0" borderId="6" xfId="1" applyFont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1" fillId="4" borderId="2" xfId="2" applyFont="1" applyFill="1" applyBorder="1" applyAlignment="1">
      <alignment horizontal="left" vertical="center"/>
    </xf>
    <xf numFmtId="0" fontId="1" fillId="4" borderId="1" xfId="2" applyFont="1" applyFill="1" applyBorder="1" applyAlignment="1">
      <alignment horizontal="left" vertical="center"/>
    </xf>
    <xf numFmtId="0" fontId="16" fillId="5" borderId="1" xfId="2" applyFont="1" applyFill="1" applyBorder="1" applyAlignment="1">
      <alignment horizontal="left" vertical="center"/>
    </xf>
    <xf numFmtId="0" fontId="16" fillId="5" borderId="3" xfId="2" applyFont="1" applyFill="1" applyBorder="1" applyAlignment="1">
      <alignment horizontal="left" vertical="center"/>
    </xf>
    <xf numFmtId="0" fontId="1" fillId="4" borderId="4" xfId="2" applyFont="1" applyFill="1" applyBorder="1" applyAlignment="1">
      <alignment horizontal="left" vertical="center"/>
    </xf>
    <xf numFmtId="0" fontId="1" fillId="4" borderId="5" xfId="2" applyFont="1" applyFill="1" applyBorder="1" applyAlignment="1">
      <alignment horizontal="left" vertical="center"/>
    </xf>
    <xf numFmtId="0" fontId="16" fillId="5" borderId="5" xfId="2" applyFont="1" applyFill="1" applyBorder="1" applyAlignment="1">
      <alignment horizontal="left" vertical="center"/>
    </xf>
    <xf numFmtId="0" fontId="16" fillId="5" borderId="6" xfId="2" applyFont="1" applyFill="1" applyBorder="1" applyAlignment="1">
      <alignment horizontal="left" vertical="center"/>
    </xf>
    <xf numFmtId="0" fontId="1" fillId="4" borderId="7" xfId="2" applyFont="1" applyFill="1" applyBorder="1" applyAlignment="1">
      <alignment horizontal="left" vertical="center"/>
    </xf>
    <xf numFmtId="0" fontId="1" fillId="4" borderId="8" xfId="2" applyFont="1" applyFill="1" applyBorder="1" applyAlignment="1">
      <alignment horizontal="left" vertical="center"/>
    </xf>
    <xf numFmtId="0" fontId="16" fillId="5" borderId="8" xfId="2" applyFont="1" applyFill="1" applyBorder="1" applyAlignment="1">
      <alignment horizontal="left" vertical="center"/>
    </xf>
    <xf numFmtId="0" fontId="16" fillId="5" borderId="9" xfId="2" applyFont="1" applyFill="1" applyBorder="1" applyAlignment="1">
      <alignment horizontal="left" vertical="center"/>
    </xf>
    <xf numFmtId="0" fontId="12" fillId="0" borderId="0" xfId="0" applyFont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4" fillId="0" borderId="5" xfId="2" applyFont="1" applyBorder="1" applyAlignment="1" applyProtection="1">
      <alignment horizontal="center" vertical="center" wrapText="1"/>
      <protection locked="0"/>
    </xf>
    <xf numFmtId="0" fontId="16" fillId="5" borderId="1" xfId="2" applyFont="1" applyFill="1" applyBorder="1" applyAlignment="1">
      <alignment horizontal="center" vertical="center"/>
    </xf>
    <xf numFmtId="14" fontId="16" fillId="5" borderId="1" xfId="2" applyNumberFormat="1" applyFont="1" applyFill="1" applyBorder="1" applyAlignment="1">
      <alignment horizontal="center" vertical="center"/>
    </xf>
    <xf numFmtId="14" fontId="16" fillId="5" borderId="3" xfId="2" applyNumberFormat="1" applyFont="1" applyFill="1" applyBorder="1" applyAlignment="1">
      <alignment horizontal="center" vertical="center"/>
    </xf>
    <xf numFmtId="0" fontId="16" fillId="5" borderId="3" xfId="2" applyFont="1" applyFill="1" applyBorder="1" applyAlignment="1">
      <alignment horizontal="center" vertical="center"/>
    </xf>
    <xf numFmtId="2" fontId="16" fillId="5" borderId="2" xfId="1" applyNumberFormat="1" applyFont="1" applyFill="1" applyBorder="1" applyAlignment="1">
      <alignment horizontal="center" vertical="center"/>
    </xf>
    <xf numFmtId="2" fontId="16" fillId="5" borderId="1" xfId="1" applyNumberFormat="1" applyFont="1" applyFill="1" applyBorder="1" applyAlignment="1">
      <alignment horizontal="center" vertical="center"/>
    </xf>
    <xf numFmtId="2" fontId="16" fillId="5" borderId="3" xfId="1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 applyProtection="1">
      <alignment horizontal="center" vertical="center"/>
      <protection hidden="1"/>
    </xf>
    <xf numFmtId="0" fontId="3" fillId="7" borderId="1" xfId="0" applyFont="1" applyFill="1" applyBorder="1" applyAlignment="1" applyProtection="1">
      <alignment horizontal="center" vertical="center"/>
      <protection hidden="1"/>
    </xf>
    <xf numFmtId="0" fontId="3" fillId="7" borderId="3" xfId="0" applyFont="1" applyFill="1" applyBorder="1" applyAlignment="1" applyProtection="1">
      <alignment horizontal="center" vertical="center"/>
      <protection hidden="1"/>
    </xf>
    <xf numFmtId="0" fontId="20" fillId="0" borderId="3" xfId="0" quotePrefix="1" applyFont="1" applyBorder="1" applyAlignment="1" applyProtection="1">
      <alignment horizontal="left" vertical="center" wrapText="1"/>
      <protection hidden="1"/>
    </xf>
    <xf numFmtId="0" fontId="20" fillId="0" borderId="10" xfId="0" quotePrefix="1" applyFont="1" applyBorder="1" applyAlignment="1" applyProtection="1">
      <alignment horizontal="left" vertical="center" wrapText="1"/>
      <protection hidden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0" fillId="0" borderId="3" xfId="0" applyFont="1" applyBorder="1" applyAlignment="1" applyProtection="1">
      <alignment horizontal="left" vertical="center" wrapText="1"/>
      <protection hidden="1"/>
    </xf>
    <xf numFmtId="0" fontId="20" fillId="0" borderId="10" xfId="0" applyFont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4" fillId="0" borderId="1" xfId="2" applyFont="1" applyBorder="1" applyAlignment="1">
      <alignment horizontal="left" vertical="center" wrapText="1"/>
    </xf>
  </cellXfs>
  <cellStyles count="4">
    <cellStyle name="Normal" xfId="0" builtinId="0"/>
    <cellStyle name="Normal 2 2" xfId="2" xr:uid="{00000000-0005-0000-0000-000008000000}"/>
    <cellStyle name="Normal 9 2" xfId="1" xr:uid="{00000000-0005-0000-0000-000006000000}"/>
    <cellStyle name="Porcentagem 2 2" xfId="3" xr:uid="{00000000-0005-0000-0000-000009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876300</xdr:colOff>
      <xdr:row>0</xdr:row>
      <xdr:rowOff>27641</xdr:rowOff>
    </xdr:from>
    <xdr:to>
      <xdr:col>9</xdr:col>
      <xdr:colOff>151065</xdr:colOff>
      <xdr:row>0</xdr:row>
      <xdr:rowOff>779555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2F21A9-37AF-42BC-BF85-56E0566C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4175" y="2764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11206</xdr:rowOff>
    </xdr:from>
    <xdr:to>
      <xdr:col>7</xdr:col>
      <xdr:colOff>1459166</xdr:colOff>
      <xdr:row>0</xdr:row>
      <xdr:rowOff>759945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163" y="11206"/>
          <a:ext cx="1468317" cy="74873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393700</xdr:colOff>
          <xdr:row>9</xdr:row>
          <xdr:rowOff>31750</xdr:rowOff>
        </xdr:from>
        <xdr:to>
          <xdr:col>1</xdr:col>
          <xdr:colOff>647700</xdr:colOff>
          <xdr:row>9</xdr:row>
          <xdr:rowOff>247650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393700</xdr:colOff>
          <xdr:row>10</xdr:row>
          <xdr:rowOff>31750</xdr:rowOff>
        </xdr:from>
        <xdr:to>
          <xdr:col>1</xdr:col>
          <xdr:colOff>647700</xdr:colOff>
          <xdr:row>10</xdr:row>
          <xdr:rowOff>247650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393700</xdr:colOff>
          <xdr:row>13</xdr:row>
          <xdr:rowOff>31750</xdr:rowOff>
        </xdr:from>
        <xdr:to>
          <xdr:col>1</xdr:col>
          <xdr:colOff>647700</xdr:colOff>
          <xdr:row>13</xdr:row>
          <xdr:rowOff>247650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393700</xdr:colOff>
          <xdr:row>11</xdr:row>
          <xdr:rowOff>31750</xdr:rowOff>
        </xdr:from>
        <xdr:to>
          <xdr:col>1</xdr:col>
          <xdr:colOff>647700</xdr:colOff>
          <xdr:row>11</xdr:row>
          <xdr:rowOff>247650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393700</xdr:colOff>
          <xdr:row>12</xdr:row>
          <xdr:rowOff>31750</xdr:rowOff>
        </xdr:from>
        <xdr:to>
          <xdr:col>1</xdr:col>
          <xdr:colOff>647700</xdr:colOff>
          <xdr:row>12</xdr:row>
          <xdr:rowOff>247650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A01F-9CD2-4A87-93B3-BF99B8F3C49C}">
  <sheetPr>
    <tabColor theme="4"/>
    <pageSetUpPr fitToPage="1"/>
  </sheetPr>
  <dimension ref="B1:X52"/>
  <sheetViews>
    <sheetView showGridLines="0" tabSelected="1" view="pageBreakPreview" zoomScaleNormal="85" zoomScaleSheetLayoutView="100" workbookViewId="0">
      <selection activeCell="L2" sqref="L2"/>
    </sheetView>
  </sheetViews>
  <sheetFormatPr defaultColWidth="11.81640625" defaultRowHeight="12.5" x14ac:dyDescent="0.25"/>
  <cols>
    <col min="1" max="1" width="3.6328125" style="3" customWidth="1"/>
    <col min="2" max="2" width="10.81640625" style="3" customWidth="1"/>
    <col min="3" max="3" width="15" style="3" customWidth="1"/>
    <col min="4" max="6" width="10.81640625" style="3" customWidth="1"/>
    <col min="7" max="7" width="22.08984375" style="3" customWidth="1"/>
    <col min="8" max="9" width="15.6328125" style="3" customWidth="1"/>
    <col min="10" max="10" width="3.6328125" style="3" customWidth="1"/>
    <col min="11" max="11" width="8.54296875" style="3" customWidth="1"/>
    <col min="12" max="12" width="9.81640625" style="3" customWidth="1"/>
    <col min="13" max="13" width="13.81640625" style="3" customWidth="1"/>
    <col min="14" max="14" width="11.81640625" style="3"/>
    <col min="15" max="15" width="14.1796875" style="3" bestFit="1" customWidth="1"/>
    <col min="16" max="18" width="11.81640625" style="3"/>
    <col min="19" max="24" width="11.81640625" style="2"/>
    <col min="25" max="16384" width="11.81640625" style="3"/>
  </cols>
  <sheetData>
    <row r="1" spans="2:9" s="2" customFormat="1" ht="90.5" customHeight="1" x14ac:dyDescent="0.3">
      <c r="B1" s="102" t="s">
        <v>50</v>
      </c>
      <c r="C1" s="102"/>
      <c r="D1" s="102"/>
      <c r="E1" s="102"/>
      <c r="F1" s="102"/>
      <c r="G1" s="102"/>
      <c r="H1" s="102"/>
      <c r="I1" s="102"/>
    </row>
    <row r="2" spans="2:9" s="2" customFormat="1" ht="12.5" customHeight="1" x14ac:dyDescent="0.25">
      <c r="B2" s="13"/>
      <c r="C2" s="13"/>
      <c r="D2" s="13"/>
      <c r="E2" s="13"/>
      <c r="F2" s="13"/>
      <c r="G2" s="13"/>
      <c r="H2" s="13"/>
      <c r="I2" s="13"/>
    </row>
    <row r="3" spans="2:9" s="2" customFormat="1" ht="30" customHeight="1" x14ac:dyDescent="0.25">
      <c r="B3" s="103" t="s">
        <v>51</v>
      </c>
      <c r="C3" s="103"/>
      <c r="D3" s="103"/>
      <c r="E3" s="14"/>
      <c r="F3" s="14"/>
      <c r="G3" s="14"/>
      <c r="H3" s="15" t="s">
        <v>52</v>
      </c>
      <c r="I3" s="14"/>
    </row>
    <row r="4" spans="2:9" s="2" customFormat="1" ht="10" customHeight="1" x14ac:dyDescent="0.25">
      <c r="B4" s="104"/>
      <c r="C4" s="104"/>
      <c r="D4" s="104"/>
      <c r="E4" s="104"/>
      <c r="F4" s="104"/>
      <c r="G4" s="104"/>
      <c r="H4" s="104"/>
      <c r="I4" s="104"/>
    </row>
    <row r="5" spans="2:9" s="2" customFormat="1" ht="20" customHeight="1" x14ac:dyDescent="0.25">
      <c r="B5" s="16" t="s">
        <v>2</v>
      </c>
      <c r="C5" s="105"/>
      <c r="D5" s="105"/>
      <c r="E5" s="105"/>
      <c r="F5" s="105"/>
      <c r="G5" s="17" t="s">
        <v>3</v>
      </c>
      <c r="H5" s="106"/>
      <c r="I5" s="107"/>
    </row>
    <row r="6" spans="2:9" s="2" customFormat="1" ht="20" customHeight="1" x14ac:dyDescent="0.25">
      <c r="B6" s="16" t="s">
        <v>4</v>
      </c>
      <c r="C6" s="105"/>
      <c r="D6" s="105"/>
      <c r="E6" s="105"/>
      <c r="F6" s="105"/>
      <c r="G6" s="17" t="s">
        <v>5</v>
      </c>
      <c r="H6" s="105"/>
      <c r="I6" s="108"/>
    </row>
    <row r="7" spans="2:9" s="2" customFormat="1" ht="20" customHeight="1" x14ac:dyDescent="0.25">
      <c r="B7" s="90" t="s">
        <v>6</v>
      </c>
      <c r="C7" s="91"/>
      <c r="D7" s="92"/>
      <c r="E7" s="92"/>
      <c r="F7" s="92"/>
      <c r="G7" s="92"/>
      <c r="H7" s="92"/>
      <c r="I7" s="93"/>
    </row>
    <row r="8" spans="2:9" s="2" customFormat="1" ht="20" customHeight="1" x14ac:dyDescent="0.25">
      <c r="B8" s="94" t="s">
        <v>7</v>
      </c>
      <c r="C8" s="95"/>
      <c r="D8" s="96"/>
      <c r="E8" s="96"/>
      <c r="F8" s="96"/>
      <c r="G8" s="96"/>
      <c r="H8" s="96"/>
      <c r="I8" s="97"/>
    </row>
    <row r="9" spans="2:9" s="2" customFormat="1" ht="20" customHeight="1" x14ac:dyDescent="0.25">
      <c r="B9" s="98"/>
      <c r="C9" s="99"/>
      <c r="D9" s="100"/>
      <c r="E9" s="100"/>
      <c r="F9" s="100"/>
      <c r="G9" s="100"/>
      <c r="H9" s="100"/>
      <c r="I9" s="101"/>
    </row>
    <row r="10" spans="2:9" s="2" customFormat="1" ht="20" customHeight="1" x14ac:dyDescent="0.25">
      <c r="B10" s="84" t="s">
        <v>8</v>
      </c>
      <c r="C10" s="85"/>
      <c r="D10" s="85"/>
      <c r="E10" s="85"/>
      <c r="F10" s="85"/>
      <c r="G10" s="85"/>
      <c r="H10" s="85"/>
      <c r="I10" s="86"/>
    </row>
    <row r="11" spans="2:9" s="2" customFormat="1" ht="46.5" customHeight="1" x14ac:dyDescent="0.25">
      <c r="B11" s="87" t="s">
        <v>9</v>
      </c>
      <c r="C11" s="88"/>
      <c r="D11" s="88"/>
      <c r="E11" s="88"/>
      <c r="F11" s="88"/>
      <c r="G11" s="88"/>
      <c r="H11" s="88"/>
      <c r="I11" s="89"/>
    </row>
    <row r="12" spans="2:9" s="2" customFormat="1" ht="20" customHeight="1" x14ac:dyDescent="0.25">
      <c r="B12" s="84" t="s">
        <v>10</v>
      </c>
      <c r="C12" s="85"/>
      <c r="D12" s="85"/>
      <c r="E12" s="85"/>
      <c r="F12" s="85"/>
      <c r="G12" s="86"/>
      <c r="H12" s="8" t="s">
        <v>11</v>
      </c>
      <c r="I12" s="8" t="s">
        <v>12</v>
      </c>
    </row>
    <row r="13" spans="2:9" s="2" customFormat="1" ht="20" customHeight="1" x14ac:dyDescent="0.25">
      <c r="B13" s="19" t="s">
        <v>13</v>
      </c>
      <c r="C13" s="79" t="s">
        <v>14</v>
      </c>
      <c r="D13" s="79"/>
      <c r="E13" s="79"/>
      <c r="F13" s="79"/>
      <c r="G13" s="80"/>
      <c r="H13" s="9"/>
      <c r="I13" s="9"/>
    </row>
    <row r="14" spans="2:9" s="2" customFormat="1" ht="20" customHeight="1" x14ac:dyDescent="0.25">
      <c r="B14" s="18" t="s">
        <v>15</v>
      </c>
      <c r="C14" s="79" t="s">
        <v>16</v>
      </c>
      <c r="D14" s="79"/>
      <c r="E14" s="79"/>
      <c r="F14" s="79"/>
      <c r="G14" s="80"/>
      <c r="H14" s="9"/>
      <c r="I14" s="9"/>
    </row>
    <row r="15" spans="2:9" s="2" customFormat="1" ht="20" customHeight="1" x14ac:dyDescent="0.25">
      <c r="B15" s="18" t="s">
        <v>17</v>
      </c>
      <c r="C15" s="79" t="s">
        <v>18</v>
      </c>
      <c r="D15" s="79"/>
      <c r="E15" s="79"/>
      <c r="F15" s="79"/>
      <c r="G15" s="80"/>
      <c r="H15" s="9"/>
      <c r="I15" s="9"/>
    </row>
    <row r="16" spans="2:9" s="2" customFormat="1" ht="20" customHeight="1" x14ac:dyDescent="0.25">
      <c r="B16" s="18" t="s">
        <v>19</v>
      </c>
      <c r="C16" s="79" t="s">
        <v>20</v>
      </c>
      <c r="D16" s="79"/>
      <c r="E16" s="79"/>
      <c r="F16" s="79"/>
      <c r="G16" s="80"/>
      <c r="H16" s="9"/>
      <c r="I16" s="9"/>
    </row>
    <row r="17" spans="2:9" s="2" customFormat="1" ht="20" customHeight="1" x14ac:dyDescent="0.25">
      <c r="B17" s="18" t="s">
        <v>21</v>
      </c>
      <c r="C17" s="79" t="s">
        <v>22</v>
      </c>
      <c r="D17" s="79"/>
      <c r="E17" s="79"/>
      <c r="F17" s="79"/>
      <c r="G17" s="80"/>
      <c r="H17" s="9"/>
      <c r="I17" s="10"/>
    </row>
    <row r="18" spans="2:9" s="2" customFormat="1" ht="20" customHeight="1" x14ac:dyDescent="0.25">
      <c r="B18" s="60" t="s">
        <v>23</v>
      </c>
      <c r="C18" s="61"/>
      <c r="D18" s="61"/>
      <c r="E18" s="61"/>
      <c r="F18" s="61"/>
      <c r="G18" s="61"/>
      <c r="H18" s="61"/>
      <c r="I18" s="62"/>
    </row>
    <row r="19" spans="2:9" s="2" customFormat="1" ht="20" customHeight="1" x14ac:dyDescent="0.25">
      <c r="B19" s="81" t="s">
        <v>24</v>
      </c>
      <c r="C19" s="82"/>
      <c r="D19" s="82"/>
      <c r="E19" s="82"/>
      <c r="F19" s="82"/>
      <c r="G19" s="82"/>
      <c r="H19" s="82"/>
      <c r="I19" s="83"/>
    </row>
    <row r="20" spans="2:9" s="2" customFormat="1" ht="20" customHeight="1" x14ac:dyDescent="0.25">
      <c r="B20" s="67" t="s">
        <v>25</v>
      </c>
      <c r="C20" s="68"/>
      <c r="D20" s="68"/>
      <c r="E20" s="68"/>
      <c r="F20" s="68"/>
      <c r="G20" s="69"/>
      <c r="H20" s="20" t="s">
        <v>26</v>
      </c>
      <c r="I20" s="21" t="str">
        <f>IF(H13="","",IF(H14="","",IF(H15="","",IF(H16="","",(H14-H13)/((H14-H13)-(H16-H15))))))</f>
        <v/>
      </c>
    </row>
    <row r="21" spans="2:9" s="2" customFormat="1" ht="20" customHeight="1" x14ac:dyDescent="0.25">
      <c r="B21" s="55" t="s">
        <v>27</v>
      </c>
      <c r="C21" s="56"/>
      <c r="D21" s="24" t="s">
        <v>28</v>
      </c>
      <c r="E21" s="23"/>
      <c r="F21" s="23"/>
      <c r="G21" s="25"/>
      <c r="H21" s="22" t="s">
        <v>29</v>
      </c>
      <c r="I21" s="26" t="str">
        <f>IF(I13="","",IF(I14="","",IF(I15="","",IF(I16="","",(I14-I13)/((I14-I13)-(I16-I15))))))</f>
        <v/>
      </c>
    </row>
    <row r="22" spans="2:9" s="2" customFormat="1" ht="20" customHeight="1" x14ac:dyDescent="0.25">
      <c r="B22" s="27"/>
      <c r="C22" s="28"/>
      <c r="D22" s="24" t="s">
        <v>30</v>
      </c>
      <c r="E22" s="24"/>
      <c r="F22" s="24"/>
      <c r="G22" s="29"/>
      <c r="H22" s="30" t="s">
        <v>31</v>
      </c>
      <c r="I22" s="31" t="str">
        <f>IF(SUM(I20:I21)=0,"",AVERAGE(I20:I21))</f>
        <v/>
      </c>
    </row>
    <row r="23" spans="2:9" s="2" customFormat="1" ht="20" customHeight="1" x14ac:dyDescent="0.25">
      <c r="B23" s="67" t="s">
        <v>32</v>
      </c>
      <c r="C23" s="68"/>
      <c r="D23" s="68"/>
      <c r="E23" s="68"/>
      <c r="F23" s="68"/>
      <c r="G23" s="69"/>
      <c r="H23" s="20" t="s">
        <v>26</v>
      </c>
      <c r="I23" s="26" t="str">
        <f>IF(H13="","",IF(H14="","",IF(H15="","",IF(H16="","",IF(H17="","",(H14-H13)/((H17-H13)-(H16-H15)))))))</f>
        <v/>
      </c>
    </row>
    <row r="24" spans="2:9" s="2" customFormat="1" ht="20" customHeight="1" x14ac:dyDescent="0.25">
      <c r="B24" s="55" t="s">
        <v>33</v>
      </c>
      <c r="C24" s="56"/>
      <c r="D24" s="24" t="s">
        <v>28</v>
      </c>
      <c r="E24" s="23"/>
      <c r="F24" s="23"/>
      <c r="G24" s="32"/>
      <c r="H24" s="22" t="s">
        <v>29</v>
      </c>
      <c r="I24" s="26" t="str">
        <f>IF(I13="","",IF(I14="","",IF(I15="","",IF(I16="","",IF(I17="","",(I14-I13)/((I17-I13)-(I16-I15)))))))</f>
        <v/>
      </c>
    </row>
    <row r="25" spans="2:9" s="2" customFormat="1" ht="20" customHeight="1" x14ac:dyDescent="0.25">
      <c r="B25" s="33"/>
      <c r="C25" s="34"/>
      <c r="D25" s="24" t="s">
        <v>34</v>
      </c>
      <c r="E25" s="24"/>
      <c r="F25" s="24"/>
      <c r="G25" s="35"/>
      <c r="H25" s="30" t="s">
        <v>31</v>
      </c>
      <c r="I25" s="36" t="str">
        <f>IF(SUM(I23:I24)=0,"",AVERAGE(I23:I24))</f>
        <v/>
      </c>
    </row>
    <row r="26" spans="2:9" s="2" customFormat="1" ht="20" customHeight="1" x14ac:dyDescent="0.25">
      <c r="B26" s="70" t="s">
        <v>35</v>
      </c>
      <c r="C26" s="71"/>
      <c r="D26" s="71"/>
      <c r="E26" s="71"/>
      <c r="F26" s="71"/>
      <c r="G26" s="71"/>
      <c r="H26" s="71"/>
      <c r="I26" s="72"/>
    </row>
    <row r="27" spans="2:9" s="2" customFormat="1" ht="20" customHeight="1" x14ac:dyDescent="0.25">
      <c r="B27" s="73" t="s">
        <v>36</v>
      </c>
      <c r="C27" s="74"/>
      <c r="D27" s="74"/>
      <c r="E27" s="74"/>
      <c r="F27" s="74"/>
      <c r="G27" s="75"/>
      <c r="H27" s="22" t="s">
        <v>26</v>
      </c>
      <c r="I27" s="26" t="str">
        <f>IF(I20="","",0.9971*I20)</f>
        <v/>
      </c>
    </row>
    <row r="28" spans="2:9" s="2" customFormat="1" ht="20" customHeight="1" x14ac:dyDescent="0.25">
      <c r="B28" s="55" t="s">
        <v>37</v>
      </c>
      <c r="C28" s="56"/>
      <c r="D28" s="23" t="s">
        <v>38</v>
      </c>
      <c r="E28" s="23"/>
      <c r="F28" s="23"/>
      <c r="G28" s="25"/>
      <c r="H28" s="22" t="s">
        <v>29</v>
      </c>
      <c r="I28" s="26" t="str">
        <f>IF(I21="","",0.9971*I21)</f>
        <v/>
      </c>
    </row>
    <row r="29" spans="2:9" s="2" customFormat="1" ht="20" customHeight="1" x14ac:dyDescent="0.25">
      <c r="B29" s="27"/>
      <c r="C29" s="28"/>
      <c r="D29" s="24"/>
      <c r="E29" s="24"/>
      <c r="F29" s="24"/>
      <c r="G29" s="29"/>
      <c r="H29" s="30" t="s">
        <v>31</v>
      </c>
      <c r="I29" s="36" t="str">
        <f>IF(SUM(I27:I28)=0,"",AVERAGE(I27:I28))</f>
        <v/>
      </c>
    </row>
    <row r="30" spans="2:9" s="2" customFormat="1" ht="20" customHeight="1" x14ac:dyDescent="0.25">
      <c r="B30" s="76" t="s">
        <v>39</v>
      </c>
      <c r="C30" s="77"/>
      <c r="D30" s="77"/>
      <c r="E30" s="77"/>
      <c r="F30" s="77"/>
      <c r="G30" s="78"/>
      <c r="H30" s="20" t="s">
        <v>26</v>
      </c>
      <c r="I30" s="26" t="str">
        <f>IF(I23="","",0.9971*I23)</f>
        <v/>
      </c>
    </row>
    <row r="31" spans="2:9" s="2" customFormat="1" ht="20" customHeight="1" x14ac:dyDescent="0.25">
      <c r="B31" s="55" t="s">
        <v>40</v>
      </c>
      <c r="C31" s="56"/>
      <c r="D31" s="23" t="s">
        <v>41</v>
      </c>
      <c r="E31" s="23"/>
      <c r="F31" s="23"/>
      <c r="G31" s="25"/>
      <c r="H31" s="22" t="s">
        <v>29</v>
      </c>
      <c r="I31" s="26" t="str">
        <f>IF(I24="","",0.9971*I24)</f>
        <v/>
      </c>
    </row>
    <row r="32" spans="2:9" s="2" customFormat="1" ht="20" customHeight="1" x14ac:dyDescent="0.25">
      <c r="B32" s="27"/>
      <c r="C32" s="28"/>
      <c r="D32" s="24"/>
      <c r="E32" s="24"/>
      <c r="F32" s="24"/>
      <c r="G32" s="29"/>
      <c r="H32" s="30" t="s">
        <v>31</v>
      </c>
      <c r="I32" s="36" t="str">
        <f>IF(SUM(I30:I31)=0,"",AVERAGE(I30:I31))</f>
        <v/>
      </c>
    </row>
    <row r="33" spans="2:24" s="2" customFormat="1" ht="20" customHeight="1" x14ac:dyDescent="0.25">
      <c r="B33" s="57" t="s">
        <v>42</v>
      </c>
      <c r="C33" s="58"/>
      <c r="D33" s="58"/>
      <c r="E33" s="58"/>
      <c r="F33" s="58"/>
      <c r="G33" s="58"/>
      <c r="H33" s="58"/>
      <c r="I33" s="59"/>
    </row>
    <row r="34" spans="2:24" s="2" customFormat="1" ht="20" customHeight="1" x14ac:dyDescent="0.25">
      <c r="B34" s="38"/>
      <c r="C34" s="39"/>
      <c r="D34" s="37"/>
      <c r="E34" s="37"/>
      <c r="F34" s="37"/>
      <c r="G34" s="37"/>
      <c r="H34" s="22" t="s">
        <v>26</v>
      </c>
      <c r="I34" s="26" t="str">
        <f>IF(H13="","",IF(H14="","",IF(H17="","",100*((H17-H13)-(H14-H13))/(H14-H13))))</f>
        <v/>
      </c>
    </row>
    <row r="35" spans="2:24" s="2" customFormat="1" ht="20" customHeight="1" x14ac:dyDescent="0.25">
      <c r="B35" s="55" t="s">
        <v>43</v>
      </c>
      <c r="C35" s="56"/>
      <c r="D35" s="24" t="s">
        <v>44</v>
      </c>
      <c r="E35" s="23"/>
      <c r="F35" s="23"/>
      <c r="G35" s="37" t="s">
        <v>45</v>
      </c>
      <c r="H35" s="22" t="s">
        <v>29</v>
      </c>
      <c r="I35" s="26" t="str">
        <f>IF(I13="","",IF(I14="","",IF(I17="","",100*((I17-I13)-(I14-I13))/(I14-I13))))</f>
        <v/>
      </c>
    </row>
    <row r="36" spans="2:24" s="2" customFormat="1" ht="20" customHeight="1" x14ac:dyDescent="0.25">
      <c r="B36" s="27"/>
      <c r="C36" s="28"/>
      <c r="D36" s="24" t="s">
        <v>46</v>
      </c>
      <c r="E36" s="24"/>
      <c r="F36" s="24"/>
      <c r="G36" s="28"/>
      <c r="H36" s="30" t="s">
        <v>31</v>
      </c>
      <c r="I36" s="26" t="str">
        <f>IF(SUM(I34:I35)=0,"",AVERAGE(I34:I35))</f>
        <v/>
      </c>
    </row>
    <row r="37" spans="2:24" s="2" customFormat="1" ht="20" customHeight="1" x14ac:dyDescent="0.25">
      <c r="B37" s="60" t="s">
        <v>47</v>
      </c>
      <c r="C37" s="61"/>
      <c r="D37" s="61"/>
      <c r="E37" s="61"/>
      <c r="F37" s="61"/>
      <c r="G37" s="61"/>
      <c r="H37" s="61"/>
      <c r="I37" s="62"/>
    </row>
    <row r="38" spans="2:24" s="2" customFormat="1" ht="20" customHeight="1" x14ac:dyDescent="0.25">
      <c r="B38" s="63"/>
      <c r="C38" s="64"/>
      <c r="D38" s="64"/>
      <c r="E38" s="40"/>
      <c r="F38" s="40"/>
      <c r="G38" s="65"/>
      <c r="H38" s="65"/>
      <c r="I38" s="66"/>
    </row>
    <row r="39" spans="2:24" s="2" customFormat="1" ht="20" customHeight="1" x14ac:dyDescent="0.25">
      <c r="B39" s="53" t="s">
        <v>48</v>
      </c>
      <c r="C39" s="54"/>
      <c r="D39" s="51"/>
      <c r="E39" s="51"/>
      <c r="F39" s="51"/>
      <c r="G39" s="41" t="s">
        <v>49</v>
      </c>
      <c r="H39" s="51"/>
      <c r="I39" s="52"/>
    </row>
    <row r="40" spans="2:24" s="2" customFormat="1" ht="20" customHeight="1" x14ac:dyDescent="0.25">
      <c r="B40" s="47"/>
      <c r="C40" s="47"/>
      <c r="D40" s="47"/>
      <c r="E40" s="7"/>
      <c r="F40" s="7"/>
      <c r="G40" s="48"/>
      <c r="H40" s="48"/>
      <c r="I40" s="48"/>
    </row>
    <row r="41" spans="2:24" s="1" customFormat="1" ht="39.65" customHeight="1" x14ac:dyDescent="0.25">
      <c r="B41" s="49" t="s">
        <v>0</v>
      </c>
      <c r="C41" s="49"/>
      <c r="D41" s="50" t="s">
        <v>1</v>
      </c>
      <c r="E41" s="50"/>
      <c r="F41" s="50"/>
      <c r="G41" s="50"/>
      <c r="H41" s="50"/>
      <c r="I41" s="50"/>
      <c r="K41" s="3"/>
      <c r="S41" s="2"/>
      <c r="T41" s="2"/>
      <c r="U41" s="2"/>
      <c r="V41" s="2"/>
      <c r="W41" s="2"/>
      <c r="X41" s="2"/>
    </row>
    <row r="46" spans="2:24" x14ac:dyDescent="0.25">
      <c r="B46" s="4"/>
      <c r="C46"/>
      <c r="D46"/>
      <c r="E46"/>
      <c r="F46"/>
      <c r="G46"/>
    </row>
    <row r="47" spans="2:24" x14ac:dyDescent="0.25">
      <c r="B47" s="4"/>
      <c r="C47"/>
      <c r="D47"/>
      <c r="E47"/>
      <c r="F47"/>
      <c r="G47"/>
    </row>
    <row r="48" spans="2:24" x14ac:dyDescent="0.25">
      <c r="B48" s="4"/>
      <c r="C48" s="5"/>
      <c r="D48"/>
      <c r="E48"/>
      <c r="F48"/>
      <c r="G48"/>
    </row>
    <row r="49" spans="2:7" x14ac:dyDescent="0.25">
      <c r="B49" s="4"/>
      <c r="C49" s="6"/>
      <c r="D49"/>
      <c r="E49"/>
      <c r="F49"/>
      <c r="G49"/>
    </row>
    <row r="50" spans="2:7" x14ac:dyDescent="0.25">
      <c r="B50" s="4"/>
      <c r="C50" s="6"/>
      <c r="D50"/>
      <c r="E50"/>
      <c r="F50"/>
      <c r="G50"/>
    </row>
    <row r="51" spans="2:7" x14ac:dyDescent="0.25">
      <c r="B51" s="4"/>
      <c r="C51" s="5"/>
      <c r="D51"/>
      <c r="E51"/>
      <c r="F51"/>
      <c r="G51"/>
    </row>
    <row r="52" spans="2:7" x14ac:dyDescent="0.25">
      <c r="B52" s="5"/>
      <c r="C52" s="5"/>
      <c r="D52"/>
      <c r="E52"/>
      <c r="F52"/>
      <c r="G52"/>
    </row>
  </sheetData>
  <sheetProtection algorithmName="SHA-512" hashValue="k6S5t0OMIXngxWNxrukjlHCx3cIWlAttv4FpMPyqlez9bHOCT9c0AnE/LC5ku94cB+fuH15TGU363ELVgbKxfg==" saltValue="NTvh1boFuL1SLQMMw3bwRA==" spinCount="100000" sheet="1"/>
  <protectedRanges>
    <protectedRange sqref="G40:I40" name="Intervalo1_2"/>
    <protectedRange sqref="C5:F6 H5:I6 D7:I9 H13:I17" name="Intervalo1"/>
  </protectedRanges>
  <mergeCells count="44">
    <mergeCell ref="C6:F6"/>
    <mergeCell ref="H6:I6"/>
    <mergeCell ref="B1:I1"/>
    <mergeCell ref="B3:D3"/>
    <mergeCell ref="B4:I4"/>
    <mergeCell ref="C5:F5"/>
    <mergeCell ref="H5:I5"/>
    <mergeCell ref="C15:G15"/>
    <mergeCell ref="B7:C7"/>
    <mergeCell ref="D7:I7"/>
    <mergeCell ref="B8:C8"/>
    <mergeCell ref="D8:I8"/>
    <mergeCell ref="B9:C9"/>
    <mergeCell ref="D9:I9"/>
    <mergeCell ref="B10:I10"/>
    <mergeCell ref="B11:I11"/>
    <mergeCell ref="B12:G12"/>
    <mergeCell ref="C13:G13"/>
    <mergeCell ref="C14:G14"/>
    <mergeCell ref="B30:G30"/>
    <mergeCell ref="C16:G16"/>
    <mergeCell ref="C17:G17"/>
    <mergeCell ref="B18:I18"/>
    <mergeCell ref="B19:I19"/>
    <mergeCell ref="B20:G20"/>
    <mergeCell ref="B21:C21"/>
    <mergeCell ref="B23:G23"/>
    <mergeCell ref="B24:C24"/>
    <mergeCell ref="B26:I26"/>
    <mergeCell ref="B27:G27"/>
    <mergeCell ref="B28:C28"/>
    <mergeCell ref="B31:C31"/>
    <mergeCell ref="B33:I33"/>
    <mergeCell ref="B35:C35"/>
    <mergeCell ref="B37:I37"/>
    <mergeCell ref="B38:D38"/>
    <mergeCell ref="G38:I38"/>
    <mergeCell ref="B40:D40"/>
    <mergeCell ref="G40:I40"/>
    <mergeCell ref="B41:C41"/>
    <mergeCell ref="D41:I41"/>
    <mergeCell ref="H39:I39"/>
    <mergeCell ref="D39:F39"/>
    <mergeCell ref="B39:C39"/>
  </mergeCells>
  <printOptions horizontalCentered="1"/>
  <pageMargins left="0.59055118110236227" right="0.59055118110236227" top="0.78740157480314965" bottom="0.78740157480314965" header="0" footer="0"/>
  <pageSetup paperSize="9" scale="77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8FC-B5DF-456B-82CF-AB3425CF5DD4}">
  <sheetPr>
    <tabColor theme="4"/>
    <pageSetUpPr fitToPage="1"/>
  </sheetPr>
  <dimension ref="B1:Y27"/>
  <sheetViews>
    <sheetView showGridLines="0" view="pageBreakPreview" zoomScaleNormal="85" zoomScaleSheetLayoutView="100" workbookViewId="0">
      <selection activeCell="D16" sqref="D16:I16"/>
    </sheetView>
  </sheetViews>
  <sheetFormatPr defaultColWidth="11.81640625" defaultRowHeight="12.5" x14ac:dyDescent="0.25"/>
  <cols>
    <col min="1" max="1" width="3" style="3" customWidth="1"/>
    <col min="2" max="2" width="13.6328125" style="3" customWidth="1"/>
    <col min="3" max="3" width="15.36328125" style="3" customWidth="1"/>
    <col min="4" max="4" width="16.1796875" style="3" customWidth="1"/>
    <col min="5" max="5" width="19.81640625" style="3" customWidth="1"/>
    <col min="6" max="6" width="19.453125" style="3" customWidth="1"/>
    <col min="7" max="7" width="17.54296875" style="3" customWidth="1"/>
    <col min="8" max="8" width="22.1796875" style="3" customWidth="1"/>
    <col min="9" max="9" width="2.54296875" style="3" customWidth="1"/>
    <col min="10" max="10" width="2.7265625" style="3" customWidth="1"/>
    <col min="11" max="11" width="8.54296875" style="3" customWidth="1"/>
    <col min="12" max="12" width="9.81640625" style="3" customWidth="1"/>
    <col min="13" max="13" width="13.81640625" style="3" customWidth="1"/>
    <col min="14" max="14" width="11.81640625" style="3"/>
    <col min="15" max="15" width="14.1796875" style="3" bestFit="1" customWidth="1"/>
    <col min="16" max="18" width="11.81640625" style="3"/>
    <col min="19" max="24" width="11.81640625" style="2"/>
    <col min="25" max="16384" width="11.81640625" style="3"/>
  </cols>
  <sheetData>
    <row r="1" spans="2:25" s="2" customFormat="1" ht="95" customHeight="1" x14ac:dyDescent="0.3">
      <c r="B1" s="102" t="s">
        <v>50</v>
      </c>
      <c r="C1" s="102"/>
      <c r="D1" s="102"/>
      <c r="E1" s="102"/>
      <c r="F1" s="102"/>
      <c r="G1" s="102"/>
      <c r="H1" s="102"/>
      <c r="I1" s="102"/>
    </row>
    <row r="2" spans="2:25" s="2" customFormat="1" ht="12.5" customHeight="1" x14ac:dyDescent="0.25">
      <c r="B2" s="13"/>
      <c r="C2" s="13"/>
      <c r="D2" s="13"/>
      <c r="E2" s="13"/>
      <c r="F2" s="13"/>
      <c r="G2" s="13"/>
      <c r="H2" s="13"/>
      <c r="I2" s="13"/>
    </row>
    <row r="3" spans="2:25" s="2" customFormat="1" ht="30" customHeight="1" x14ac:dyDescent="0.25">
      <c r="B3" s="124" t="s">
        <v>51</v>
      </c>
      <c r="C3" s="124"/>
      <c r="D3" s="124"/>
      <c r="E3" s="124"/>
      <c r="F3" s="124"/>
      <c r="G3" s="126" t="s">
        <v>52</v>
      </c>
      <c r="H3" s="126"/>
      <c r="I3" s="126"/>
    </row>
    <row r="4" spans="2:25" s="2" customFormat="1" ht="18.5" customHeight="1" x14ac:dyDescent="0.25">
      <c r="B4" s="125"/>
      <c r="C4" s="125"/>
      <c r="D4" s="125"/>
      <c r="E4" s="125"/>
      <c r="F4" s="125"/>
      <c r="G4" s="125"/>
      <c r="H4" s="125"/>
      <c r="I4" s="125"/>
    </row>
    <row r="5" spans="2:25" customFormat="1" ht="31.5" customHeight="1" x14ac:dyDescent="0.25">
      <c r="B5" s="112" t="s">
        <v>63</v>
      </c>
      <c r="C5" s="113"/>
      <c r="D5" s="113"/>
      <c r="E5" s="113"/>
      <c r="F5" s="113"/>
      <c r="G5" s="113"/>
      <c r="H5" s="113"/>
      <c r="I5" s="114"/>
    </row>
    <row r="6" spans="2:25" customFormat="1" ht="26" customHeight="1" x14ac:dyDescent="0.25">
      <c r="B6" s="117" t="s">
        <v>53</v>
      </c>
      <c r="C6" s="118"/>
      <c r="D6" s="118"/>
      <c r="E6" s="118"/>
      <c r="F6" s="119" t="s">
        <v>54</v>
      </c>
      <c r="G6" s="120"/>
      <c r="H6" s="120"/>
      <c r="I6" s="121"/>
    </row>
    <row r="7" spans="2:25" customFormat="1" ht="26" customHeight="1" x14ac:dyDescent="0.25">
      <c r="B7" s="11" t="s">
        <v>55</v>
      </c>
      <c r="C7" s="110"/>
      <c r="D7" s="110"/>
      <c r="E7" s="110"/>
      <c r="F7" s="109"/>
      <c r="G7" s="110"/>
      <c r="H7" s="110"/>
      <c r="I7" s="111"/>
    </row>
    <row r="8" spans="2:25" customFormat="1" ht="26" customHeight="1" x14ac:dyDescent="0.25">
      <c r="B8" s="11" t="s">
        <v>56</v>
      </c>
      <c r="C8" s="110"/>
      <c r="D8" s="110"/>
      <c r="E8" s="110"/>
      <c r="F8" s="109"/>
      <c r="G8" s="110"/>
      <c r="H8" s="110"/>
      <c r="I8" s="111"/>
    </row>
    <row r="9" spans="2:25" customFormat="1" ht="26" customHeight="1" x14ac:dyDescent="0.25">
      <c r="B9" s="112" t="s">
        <v>57</v>
      </c>
      <c r="C9" s="113"/>
      <c r="D9" s="113"/>
      <c r="E9" s="113"/>
      <c r="F9" s="113"/>
      <c r="G9" s="113"/>
      <c r="H9" s="113"/>
      <c r="I9" s="114"/>
    </row>
    <row r="10" spans="2:25" customFormat="1" ht="26" customHeight="1" x14ac:dyDescent="0.25">
      <c r="B10" s="12"/>
      <c r="C10" s="115" t="s">
        <v>58</v>
      </c>
      <c r="D10" s="116"/>
      <c r="E10" s="116"/>
      <c r="F10" s="116"/>
      <c r="G10" s="116"/>
      <c r="H10" s="116"/>
      <c r="I10" s="116"/>
    </row>
    <row r="11" spans="2:25" customFormat="1" ht="26" customHeight="1" x14ac:dyDescent="0.25">
      <c r="B11" s="12"/>
      <c r="C11" s="122" t="s">
        <v>59</v>
      </c>
      <c r="D11" s="123"/>
      <c r="E11" s="123"/>
      <c r="F11" s="123"/>
      <c r="G11" s="123"/>
      <c r="H11" s="123"/>
      <c r="I11" s="123"/>
    </row>
    <row r="12" spans="2:25" customFormat="1" ht="26" customHeight="1" x14ac:dyDescent="0.25">
      <c r="B12" s="12"/>
      <c r="C12" s="122" t="s">
        <v>60</v>
      </c>
      <c r="D12" s="123"/>
      <c r="E12" s="123"/>
      <c r="F12" s="123"/>
      <c r="G12" s="123"/>
      <c r="H12" s="123"/>
      <c r="I12" s="123"/>
    </row>
    <row r="13" spans="2:25" customFormat="1" ht="26" customHeight="1" x14ac:dyDescent="0.25">
      <c r="B13" s="12"/>
      <c r="C13" s="122" t="s">
        <v>61</v>
      </c>
      <c r="D13" s="123"/>
      <c r="E13" s="123"/>
      <c r="F13" s="123"/>
      <c r="G13" s="123"/>
      <c r="H13" s="123"/>
      <c r="I13" s="123"/>
    </row>
    <row r="14" spans="2:25" customFormat="1" ht="26" customHeight="1" x14ac:dyDescent="0.25">
      <c r="B14" s="12"/>
      <c r="C14" s="122" t="s">
        <v>62</v>
      </c>
      <c r="D14" s="123"/>
      <c r="E14" s="123"/>
      <c r="F14" s="123"/>
      <c r="G14" s="123"/>
      <c r="H14" s="123"/>
      <c r="I14" s="123"/>
    </row>
    <row r="15" spans="2:25" s="1" customFormat="1" ht="20" customHeight="1" x14ac:dyDescent="0.25">
      <c r="B15" s="42"/>
      <c r="C15" s="43"/>
      <c r="D15" s="44"/>
      <c r="E15" s="45"/>
      <c r="F15" s="44"/>
      <c r="G15" s="45"/>
      <c r="H15" s="46"/>
      <c r="I15" s="44"/>
      <c r="K15" s="3"/>
      <c r="L15" s="3"/>
      <c r="M15" s="3"/>
      <c r="T15" s="2"/>
      <c r="U15" s="2"/>
      <c r="V15" s="2"/>
      <c r="W15" s="2"/>
      <c r="X15" s="2"/>
      <c r="Y15" s="2"/>
    </row>
    <row r="16" spans="2:25" s="1" customFormat="1" ht="39.65" customHeight="1" x14ac:dyDescent="0.25">
      <c r="B16" s="49" t="s">
        <v>0</v>
      </c>
      <c r="C16" s="49"/>
      <c r="D16" s="50" t="s">
        <v>1</v>
      </c>
      <c r="E16" s="50"/>
      <c r="F16" s="50"/>
      <c r="G16" s="50"/>
      <c r="H16" s="50"/>
      <c r="I16" s="50"/>
      <c r="K16" s="3"/>
      <c r="S16" s="2"/>
      <c r="T16" s="2"/>
      <c r="U16" s="2"/>
      <c r="V16" s="2"/>
      <c r="W16" s="2"/>
      <c r="X16" s="2"/>
    </row>
    <row r="21" spans="2:5" x14ac:dyDescent="0.25">
      <c r="B21" s="4"/>
      <c r="C21"/>
      <c r="D21"/>
      <c r="E21"/>
    </row>
    <row r="22" spans="2:5" x14ac:dyDescent="0.25">
      <c r="B22" s="4"/>
      <c r="C22"/>
      <c r="D22"/>
      <c r="E22"/>
    </row>
    <row r="23" spans="2:5" x14ac:dyDescent="0.25">
      <c r="B23" s="4"/>
      <c r="C23" s="5"/>
      <c r="D23"/>
      <c r="E23"/>
    </row>
    <row r="24" spans="2:5" x14ac:dyDescent="0.25">
      <c r="B24" s="4"/>
      <c r="C24" s="6"/>
      <c r="D24"/>
      <c r="E24"/>
    </row>
    <row r="25" spans="2:5" x14ac:dyDescent="0.25">
      <c r="B25" s="4"/>
      <c r="C25" s="6"/>
      <c r="D25"/>
      <c r="E25"/>
    </row>
    <row r="26" spans="2:5" x14ac:dyDescent="0.25">
      <c r="B26" s="4"/>
      <c r="C26" s="5"/>
      <c r="D26"/>
      <c r="E26"/>
    </row>
    <row r="27" spans="2:5" x14ac:dyDescent="0.25">
      <c r="B27" s="5"/>
      <c r="C27" s="5"/>
      <c r="D27"/>
      <c r="E27"/>
    </row>
  </sheetData>
  <sheetProtection algorithmName="SHA-512" hashValue="N3jt+ngfcXiQsJ8VVGyQV2z5Q64gL97fiatyf31MZBqztV4jMrGQonwkXqLXtI5nVpfZZEeB/MgFnSJ31xB8WA==" saltValue="O0JbobzhQzttqa6A8XCYqQ==" spinCount="100000" sheet="1"/>
  <protectedRanges>
    <protectedRange sqref="E9:E10" name="Intervalo1"/>
    <protectedRange sqref="B10:B14 H7:I8 C7:E8 F7:G8" name="Intervalo2"/>
    <protectedRange sqref="H7:I8 C7:E8 F7:G8" name="Intervalo1_1"/>
  </protectedRanges>
  <mergeCells count="20">
    <mergeCell ref="C12:I12"/>
    <mergeCell ref="C13:I13"/>
    <mergeCell ref="C14:I14"/>
    <mergeCell ref="D16:I16"/>
    <mergeCell ref="B1:I1"/>
    <mergeCell ref="B3:F3"/>
    <mergeCell ref="B4:F4"/>
    <mergeCell ref="G3:I3"/>
    <mergeCell ref="G4:I4"/>
    <mergeCell ref="B16:C16"/>
    <mergeCell ref="B5:I5"/>
    <mergeCell ref="B6:E6"/>
    <mergeCell ref="F6:I6"/>
    <mergeCell ref="C8:E8"/>
    <mergeCell ref="C11:I11"/>
    <mergeCell ref="F8:I8"/>
    <mergeCell ref="F7:I7"/>
    <mergeCell ref="C7:E7"/>
    <mergeCell ref="B9:I9"/>
    <mergeCell ref="C10:I10"/>
  </mergeCells>
  <conditionalFormatting sqref="I15">
    <cfRule type="containsErrors" dxfId="0" priority="1">
      <formula>ISERROR(I15)</formula>
    </cfRule>
  </conditionalFormatting>
  <printOptions horizontalCentered="1"/>
  <pageMargins left="0.59055118110236227" right="0.59055118110236227" top="0.78740157480314965" bottom="0.78740157480314965" header="0" footer="0"/>
  <pageSetup paperSize="9" scale="69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 sizeWithCells="1">
                  <from>
                    <xdr:col>1</xdr:col>
                    <xdr:colOff>393700</xdr:colOff>
                    <xdr:row>9</xdr:row>
                    <xdr:rowOff>31750</xdr:rowOff>
                  </from>
                  <to>
                    <xdr:col>1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 sizeWithCells="1">
                  <from>
                    <xdr:col>1</xdr:col>
                    <xdr:colOff>393700</xdr:colOff>
                    <xdr:row>10</xdr:row>
                    <xdr:rowOff>31750</xdr:rowOff>
                  </from>
                  <to>
                    <xdr:col>1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 sizeWithCells="1">
                  <from>
                    <xdr:col>1</xdr:col>
                    <xdr:colOff>393700</xdr:colOff>
                    <xdr:row>13</xdr:row>
                    <xdr:rowOff>31750</xdr:rowOff>
                  </from>
                  <to>
                    <xdr:col>1</xdr:col>
                    <xdr:colOff>647700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 sizeWithCells="1">
                  <from>
                    <xdr:col>1</xdr:col>
                    <xdr:colOff>393700</xdr:colOff>
                    <xdr:row>11</xdr:row>
                    <xdr:rowOff>31750</xdr:rowOff>
                  </from>
                  <to>
                    <xdr:col>1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 sizeWithCells="1">
                  <from>
                    <xdr:col>1</xdr:col>
                    <xdr:colOff>393700</xdr:colOff>
                    <xdr:row>12</xdr:row>
                    <xdr:rowOff>31750</xdr:rowOff>
                  </from>
                  <to>
                    <xdr:col>1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FR-IMOB-06 FRENTE</vt:lpstr>
      <vt:lpstr>FR-IMOB-06 VERSO</vt:lpstr>
      <vt:lpstr>'FR-IMOB-06 FRENTE'!Area_de_impressao</vt:lpstr>
      <vt:lpstr>'FR-IMOB-06 VERSO'!Area_de_impressao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Clícia Figueiredo</dc:creator>
  <cp:keywords/>
  <dc:description/>
  <cp:lastModifiedBy>Melyssa Luiza Silva Afonso</cp:lastModifiedBy>
  <cp:lastPrinted>2026-07-16T18:22:16Z</cp:lastPrinted>
  <dcterms:created xsi:type="dcterms:W3CDTF">2021-11-09T19:14:46Z</dcterms:created>
  <dcterms:modified xsi:type="dcterms:W3CDTF">2026-07-16T19:18:28Z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">
    <vt:lpwstr>4eca9189-90b8-4d99-a68b-e29060de0e10</vt:lpwstr>
  </property>
</Properties>
</file>