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02. Formulários\Formulários - Em revisão\"/>
    </mc:Choice>
  </mc:AlternateContent>
  <xr:revisionPtr revIDLastSave="0" documentId="13_ncr:1_{E960CFD8-C7BE-4ED5-AA27-A6BAD1A23252}" xr6:coauthVersionLast="47" xr6:coauthVersionMax="47" xr10:uidLastSave="{00000000-0000-0000-0000-000000000000}"/>
  <bookViews>
    <workbookView xWindow="-28920" yWindow="-120" windowWidth="29040" windowHeight="16440" xr2:uid="{F07DC6BA-E8A8-4909-A11C-5BFD8A920716}"/>
  </bookViews>
  <sheets>
    <sheet name="FR-IMOB-30_Rev00" sheetId="1" r:id="rId1"/>
  </sheets>
  <definedNames>
    <definedName name="_xlnm.Print_Area" localSheetId="0">'FR-IMOB-30_Rev00'!$A$1:$O$40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N22" i="1" s="1"/>
  <c r="M23" i="1"/>
  <c r="N23" i="1" s="1"/>
  <c r="M24" i="1"/>
  <c r="N24" i="1" s="1"/>
  <c r="M19" i="1"/>
  <c r="N19" i="1" s="1"/>
  <c r="M20" i="1"/>
  <c r="N20" i="1" s="1"/>
  <c r="M21" i="1"/>
  <c r="N21" i="1" s="1"/>
  <c r="M15" i="1"/>
  <c r="N15" i="1" s="1"/>
  <c r="M16" i="1"/>
  <c r="N16" i="1" s="1"/>
  <c r="M17" i="1"/>
  <c r="N17" i="1" s="1"/>
  <c r="M18" i="1"/>
  <c r="N18" i="1" s="1"/>
  <c r="M14" i="1"/>
  <c r="N1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 l="1"/>
  <c r="N34" i="1" s="1"/>
</calcChain>
</file>

<file path=xl/sharedStrings.xml><?xml version="1.0" encoding="utf-8"?>
<sst xmlns="http://schemas.openxmlformats.org/spreadsheetml/2006/main" count="34" uniqueCount="33">
  <si>
    <t>Nº O.S:</t>
  </si>
  <si>
    <t>Data do ensaio:</t>
  </si>
  <si>
    <t>Material:</t>
  </si>
  <si>
    <t>Registro da amostra:</t>
  </si>
  <si>
    <t>Procedencia material:</t>
  </si>
  <si>
    <t>Documento de referência</t>
  </si>
  <si>
    <t>Procedimentos do ensaio - Calculos e Resultados</t>
  </si>
  <si>
    <t>BR</t>
  </si>
  <si>
    <t>Pista</t>
  </si>
  <si>
    <t>Sentido</t>
  </si>
  <si>
    <t>Trilha</t>
  </si>
  <si>
    <t>Posição (km/est)</t>
  </si>
  <si>
    <t>Local</t>
  </si>
  <si>
    <t>___________________________________________________</t>
  </si>
  <si>
    <t>Leituras</t>
  </si>
  <si>
    <t>Responsável executor</t>
  </si>
  <si>
    <t>Faixa</t>
  </si>
  <si>
    <t>Responsável calculista</t>
  </si>
  <si>
    <t>Aprovado por:</t>
  </si>
  <si>
    <t xml:space="preserve">RESULTADO MÉDIO OBTIDO </t>
  </si>
  <si>
    <t>Longitude</t>
  </si>
  <si>
    <t>Gmb</t>
  </si>
  <si>
    <t>Gmm</t>
  </si>
  <si>
    <t>GC %</t>
  </si>
  <si>
    <t>Situação</t>
  </si>
  <si>
    <t>Latitude</t>
  </si>
  <si>
    <t>Temp.</t>
  </si>
  <si>
    <t>NORMA DNIT 431/2020 - ME / Pavimentação – Misturas asfálticas – Densidade in 
situ usando densímetro não nuclear – Método de 
ensaio</t>
  </si>
  <si>
    <r>
      <rPr>
        <sz val="12"/>
        <color theme="1"/>
        <rFont val="Tahoma"/>
        <family val="2"/>
      </rPr>
      <t xml:space="preserve">Codificação: </t>
    </r>
    <r>
      <rPr>
        <b/>
        <sz val="12"/>
        <color theme="1"/>
        <rFont val="Tahoma"/>
        <family val="2"/>
      </rPr>
      <t>FR-IMOB-57</t>
    </r>
  </si>
  <si>
    <r>
      <t xml:space="preserve"> Título: </t>
    </r>
    <r>
      <rPr>
        <b/>
        <sz val="12"/>
        <color theme="1"/>
        <rFont val="Tahoma"/>
        <family val="2"/>
      </rPr>
      <t>MISTURAS ASFÁLTICAS - DENSIDADE IN SITU USANDO DENSÍMETRO NÃO NUCLEAR</t>
    </r>
  </si>
  <si>
    <t>Rheno Batista Tormin Filho</t>
  </si>
  <si>
    <r>
      <t xml:space="preserve">Versão: </t>
    </r>
    <r>
      <rPr>
        <b/>
        <sz val="12"/>
        <rFont val="Tahoma"/>
        <family val="2"/>
      </rPr>
      <t>0</t>
    </r>
  </si>
  <si>
    <t>Informações complementares: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</si>
</sst>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sz val="10"/>
      <color rgb="FF0000FF"/>
      <name val="Tahoma"/>
      <family val="2"/>
    </font>
    <font>
      <b/>
      <sz val="10"/>
      <color theme="1"/>
      <name val="Tahoma"/>
      <family val="2"/>
    </font>
    <font>
      <sz val="11"/>
      <color rgb="FF0000FF"/>
      <name val="Calibri"/>
      <family val="2"/>
      <scheme val="minor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0"/>
      <color rgb="FF0000FF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70">
    <xf numFmtId="0" fontId="0" fillId="0" borderId="0" xfId="0"/>
    <xf numFmtId="0" fontId="3" fillId="0" borderId="0" xfId="1" applyFont="1" applyAlignment="1" applyProtection="1">
      <alignment horizontal="left" vertical="center"/>
      <protection locked="0"/>
    </xf>
    <xf numFmtId="0" fontId="4" fillId="3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0" xfId="1" applyFont="1" applyAlignment="1" applyProtection="1">
      <alignment vertical="center"/>
      <protection locked="0" hidden="1"/>
    </xf>
    <xf numFmtId="2" fontId="6" fillId="0" borderId="6" xfId="0" applyNumberFormat="1" applyFont="1" applyBorder="1" applyAlignment="1">
      <alignment horizontal="center" vertical="center"/>
    </xf>
    <xf numFmtId="0" fontId="3" fillId="3" borderId="0" xfId="1" applyFont="1" applyFill="1" applyAlignment="1" applyProtection="1">
      <alignment horizontal="left" vertical="center"/>
      <protection locked="0"/>
    </xf>
    <xf numFmtId="0" fontId="0" fillId="3" borderId="0" xfId="0" applyFill="1"/>
    <xf numFmtId="0" fontId="3" fillId="3" borderId="0" xfId="1" applyFont="1" applyFill="1" applyAlignment="1" applyProtection="1">
      <alignment vertical="center"/>
      <protection locked="0" hidden="1"/>
    </xf>
    <xf numFmtId="2" fontId="9" fillId="0" borderId="6" xfId="0" applyNumberFormat="1" applyFont="1" applyBorder="1" applyAlignment="1">
      <alignment horizontal="center" vertical="center"/>
    </xf>
    <xf numFmtId="0" fontId="1" fillId="0" borderId="0" xfId="0" applyFont="1"/>
    <xf numFmtId="2" fontId="7" fillId="0" borderId="6" xfId="0" applyNumberFormat="1" applyFont="1" applyBorder="1" applyAlignment="1">
      <alignment horizontal="center" vertical="center"/>
    </xf>
    <xf numFmtId="0" fontId="4" fillId="0" borderId="2" xfId="1" applyFont="1" applyBorder="1" applyAlignment="1" applyProtection="1">
      <alignment vertical="center"/>
      <protection locked="0"/>
    </xf>
    <xf numFmtId="0" fontId="4" fillId="0" borderId="3" xfId="1" applyFont="1" applyBorder="1" applyAlignment="1" applyProtection="1">
      <alignment vertical="center"/>
      <protection locked="0"/>
    </xf>
    <xf numFmtId="0" fontId="0" fillId="0" borderId="6" xfId="0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3" fillId="0" borderId="3" xfId="1" applyFont="1" applyBorder="1" applyAlignment="1" applyProtection="1">
      <alignment horizontal="left" vertical="center"/>
      <protection locked="0"/>
    </xf>
    <xf numFmtId="0" fontId="5" fillId="2" borderId="2" xfId="1" applyFont="1" applyFill="1" applyBorder="1" applyAlignment="1" applyProtection="1">
      <alignment vertical="center"/>
      <protection locked="0"/>
    </xf>
    <xf numFmtId="0" fontId="11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3" xfId="0" applyFont="1" applyBorder="1" applyAlignment="1">
      <alignment horizontal="left" vertical="center" wrapText="1"/>
    </xf>
    <xf numFmtId="0" fontId="13" fillId="0" borderId="3" xfId="1" applyFont="1" applyBorder="1" applyAlignment="1" applyProtection="1">
      <alignment horizontal="left" vertical="center" wrapText="1"/>
      <protection locked="0"/>
    </xf>
    <xf numFmtId="0" fontId="12" fillId="0" borderId="3" xfId="1" applyFont="1" applyBorder="1" applyAlignment="1" applyProtection="1">
      <alignment horizontal="left" vertical="center" wrapText="1"/>
      <protection locked="0"/>
    </xf>
    <xf numFmtId="0" fontId="5" fillId="2" borderId="2" xfId="1" applyFont="1" applyFill="1" applyBorder="1" applyAlignment="1" applyProtection="1">
      <alignment horizontal="left" vertical="center"/>
      <protection locked="0"/>
    </xf>
    <xf numFmtId="0" fontId="5" fillId="2" borderId="3" xfId="1" applyFont="1" applyFill="1" applyBorder="1" applyAlignment="1" applyProtection="1">
      <alignment horizontal="left" vertical="center"/>
      <protection locked="0"/>
    </xf>
    <xf numFmtId="0" fontId="5" fillId="2" borderId="3" xfId="1" applyFont="1" applyFill="1" applyBorder="1" applyAlignment="1" applyProtection="1">
      <alignment horizontal="justify" vertical="top"/>
      <protection locked="0"/>
    </xf>
    <xf numFmtId="0" fontId="5" fillId="2" borderId="4" xfId="1" applyFont="1" applyFill="1" applyBorder="1" applyAlignment="1" applyProtection="1">
      <alignment horizontal="justify" vertical="top"/>
      <protection locked="0"/>
    </xf>
    <xf numFmtId="0" fontId="9" fillId="0" borderId="1" xfId="2" applyFont="1" applyBorder="1" applyAlignment="1" applyProtection="1">
      <alignment horizontal="center" vertical="center"/>
      <protection locked="0"/>
    </xf>
    <xf numFmtId="14" fontId="14" fillId="0" borderId="3" xfId="1" applyNumberFormat="1" applyFont="1" applyBorder="1" applyAlignment="1" applyProtection="1">
      <alignment horizontal="center" vertical="center"/>
      <protection locked="0"/>
    </xf>
    <xf numFmtId="0" fontId="14" fillId="0" borderId="3" xfId="1" applyFont="1" applyBorder="1" applyAlignment="1" applyProtection="1">
      <alignment horizontal="center" vertical="center"/>
      <protection locked="0"/>
    </xf>
    <xf numFmtId="0" fontId="14" fillId="0" borderId="4" xfId="1" applyFont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 applyProtection="1">
      <alignment horizontal="center" vertical="center"/>
      <protection locked="0"/>
    </xf>
    <xf numFmtId="0" fontId="14" fillId="2" borderId="4" xfId="1" applyFont="1" applyFill="1" applyBorder="1" applyAlignment="1" applyProtection="1">
      <alignment horizontal="center" vertical="center"/>
      <protection locked="0"/>
    </xf>
    <xf numFmtId="0" fontId="4" fillId="4" borderId="6" xfId="2" applyFont="1" applyFill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top"/>
      <protection locked="0" hidden="1"/>
    </xf>
    <xf numFmtId="0" fontId="4" fillId="0" borderId="13" xfId="1" applyFont="1" applyBorder="1" applyAlignment="1" applyProtection="1">
      <alignment horizontal="center" vertical="top"/>
      <protection locked="0" hidden="1"/>
    </xf>
    <xf numFmtId="0" fontId="4" fillId="0" borderId="14" xfId="1" applyFont="1" applyBorder="1" applyAlignment="1" applyProtection="1">
      <alignment horizontal="center" vertical="top"/>
      <protection locked="0" hidden="1"/>
    </xf>
    <xf numFmtId="0" fontId="7" fillId="0" borderId="1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17" xfId="2" applyFont="1" applyFill="1" applyBorder="1" applyAlignment="1" applyProtection="1">
      <alignment horizontal="center" vertical="center"/>
      <protection locked="0"/>
    </xf>
    <xf numFmtId="0" fontId="4" fillId="4" borderId="7" xfId="2" applyFont="1" applyFill="1" applyBorder="1" applyAlignment="1" applyProtection="1">
      <alignment horizontal="center" vertical="center"/>
      <protection locked="0"/>
    </xf>
    <xf numFmtId="0" fontId="4" fillId="4" borderId="19" xfId="2" applyFont="1" applyFill="1" applyBorder="1" applyAlignment="1" applyProtection="1">
      <alignment horizontal="center" vertical="center"/>
      <protection locked="0"/>
    </xf>
    <xf numFmtId="0" fontId="3" fillId="0" borderId="10" xfId="1" applyFont="1" applyBorder="1" applyAlignment="1" applyProtection="1">
      <alignment horizontal="center"/>
      <protection locked="0" hidden="1"/>
    </xf>
    <xf numFmtId="0" fontId="3" fillId="0" borderId="5" xfId="1" applyFont="1" applyBorder="1" applyAlignment="1" applyProtection="1">
      <alignment horizontal="center"/>
      <protection locked="0" hidden="1"/>
    </xf>
    <xf numFmtId="0" fontId="3" fillId="0" borderId="11" xfId="1" applyFont="1" applyBorder="1" applyAlignment="1" applyProtection="1">
      <alignment horizontal="center"/>
      <protection locked="0" hidden="1"/>
    </xf>
    <xf numFmtId="0" fontId="3" fillId="0" borderId="3" xfId="1" applyFont="1" applyBorder="1" applyAlignment="1" applyProtection="1">
      <alignment horizontal="center" vertical="top"/>
      <protection locked="0" hidden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3" borderId="0" xfId="1" applyFont="1" applyFill="1" applyAlignment="1" applyProtection="1">
      <alignment horizontal="center" vertical="center"/>
      <protection locked="0"/>
    </xf>
    <xf numFmtId="0" fontId="3" fillId="0" borderId="10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/>
    </xf>
    <xf numFmtId="0" fontId="13" fillId="3" borderId="3" xfId="1" applyFont="1" applyFill="1" applyBorder="1" applyAlignment="1" applyProtection="1">
      <alignment horizontal="center" vertical="center"/>
      <protection locked="0" hidden="1"/>
    </xf>
    <xf numFmtId="0" fontId="12" fillId="3" borderId="3" xfId="1" applyFont="1" applyFill="1" applyBorder="1" applyAlignment="1" applyProtection="1">
      <alignment horizontal="left" vertical="center"/>
      <protection locked="0" hidden="1"/>
    </xf>
  </cellXfs>
  <cellStyles count="3">
    <cellStyle name="Normal" xfId="0" builtinId="0"/>
    <cellStyle name="Normal 2 2" xfId="1" xr:uid="{2E8577CF-82EE-4269-95CF-82179B62F394}"/>
    <cellStyle name="Normal 9 2" xfId="2" xr:uid="{25575EFC-6E13-4314-8D26-910B760FE6A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209549</xdr:colOff>
      <xdr:row>0</xdr:row>
      <xdr:rowOff>76200</xdr:rowOff>
    </xdr:from>
    <xdr:to>
      <xdr:col>13</xdr:col>
      <xdr:colOff>698499</xdr:colOff>
      <xdr:row>0</xdr:row>
      <xdr:rowOff>962025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9CA5B2-2FB3-4A49-8D26-3C16F64A7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0574" y="76200"/>
          <a:ext cx="1470025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8169-B076-4041-8CEB-670DC59943B4}">
  <dimension ref="A1:R40"/>
  <sheetViews>
    <sheetView showGridLines="0" tabSelected="1" view="pageBreakPreview" topLeftCell="A4" zoomScaleNormal="100" zoomScaleSheetLayoutView="100" workbookViewId="0">
      <selection activeCell="B14" sqref="B14"/>
    </sheetView>
  </sheetViews>
  <sheetFormatPr defaultColWidth="11.81640625" defaultRowHeight="14.5" x14ac:dyDescent="0.35"/>
  <cols>
    <col min="1" max="1" width="1.81640625" style="9" customWidth="1"/>
    <col min="2" max="2" width="9.54296875" customWidth="1"/>
    <col min="3" max="3" width="11.54296875" customWidth="1"/>
    <col min="4" max="4" width="13.7265625" bestFit="1" customWidth="1"/>
    <col min="5" max="7" width="9.54296875" customWidth="1"/>
    <col min="8" max="8" width="11.1796875" customWidth="1"/>
    <col min="9" max="9" width="12.26953125" bestFit="1" customWidth="1"/>
    <col min="10" max="12" width="9.54296875" customWidth="1"/>
    <col min="13" max="14" width="14" customWidth="1"/>
    <col min="15" max="15" width="3.6328125" style="9" customWidth="1"/>
    <col min="16" max="16" width="3.6328125" customWidth="1"/>
  </cols>
  <sheetData>
    <row r="1" spans="1:15" s="1" customFormat="1" ht="78" customHeight="1" x14ac:dyDescent="0.3">
      <c r="B1" s="22" t="s">
        <v>29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5" s="1" customFormat="1" ht="8" customHeight="1" x14ac:dyDescent="0.35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5" s="1" customFormat="1" ht="30" customHeight="1" x14ac:dyDescent="0.35">
      <c r="B3" s="24" t="s">
        <v>28</v>
      </c>
      <c r="C3" s="24"/>
      <c r="D3" s="24"/>
      <c r="E3" s="24"/>
      <c r="F3" s="24"/>
      <c r="G3" s="24"/>
      <c r="H3" s="24"/>
      <c r="I3" s="25" t="s">
        <v>31</v>
      </c>
      <c r="J3" s="26"/>
      <c r="K3" s="26"/>
      <c r="L3" s="26"/>
      <c r="M3" s="26"/>
      <c r="N3" s="20"/>
    </row>
    <row r="4" spans="1:15" s="1" customFormat="1" ht="15" customHeight="1" x14ac:dyDescent="0.35">
      <c r="A4" s="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9"/>
    </row>
    <row r="5" spans="1:15" s="1" customFormat="1" ht="30" customHeight="1" x14ac:dyDescent="0.35">
      <c r="A5" s="8"/>
      <c r="B5" s="21" t="s">
        <v>0</v>
      </c>
      <c r="C5" s="35"/>
      <c r="D5" s="35"/>
      <c r="E5" s="35"/>
      <c r="F5" s="36"/>
      <c r="G5" s="14" t="s">
        <v>1</v>
      </c>
      <c r="H5" s="15"/>
      <c r="I5" s="32"/>
      <c r="J5" s="33"/>
      <c r="K5" s="33"/>
      <c r="L5" s="33"/>
      <c r="M5" s="33"/>
      <c r="N5" s="34"/>
      <c r="O5" s="9"/>
    </row>
    <row r="6" spans="1:15" s="1" customFormat="1" ht="30" customHeight="1" x14ac:dyDescent="0.35">
      <c r="A6" s="8"/>
      <c r="B6" s="21" t="s">
        <v>2</v>
      </c>
      <c r="C6" s="35"/>
      <c r="D6" s="35"/>
      <c r="E6" s="35"/>
      <c r="F6" s="36"/>
      <c r="G6" s="14" t="s">
        <v>3</v>
      </c>
      <c r="H6" s="15"/>
      <c r="I6" s="33"/>
      <c r="J6" s="33"/>
      <c r="K6" s="33"/>
      <c r="L6" s="33"/>
      <c r="M6" s="33"/>
      <c r="N6" s="34"/>
      <c r="O6" s="9"/>
    </row>
    <row r="7" spans="1:15" s="1" customFormat="1" ht="30" customHeight="1" x14ac:dyDescent="0.35">
      <c r="A7" s="8"/>
      <c r="B7" s="63" t="s">
        <v>4</v>
      </c>
      <c r="C7" s="64"/>
      <c r="D7" s="35"/>
      <c r="E7" s="35"/>
      <c r="F7" s="35"/>
      <c r="G7" s="35"/>
      <c r="H7" s="35"/>
      <c r="I7" s="35"/>
      <c r="J7" s="35"/>
      <c r="K7" s="35"/>
      <c r="L7" s="35"/>
      <c r="M7" s="35"/>
      <c r="N7" s="36"/>
      <c r="O7" s="9"/>
    </row>
    <row r="8" spans="1:15" s="1" customFormat="1" ht="45" customHeight="1" x14ac:dyDescent="0.35">
      <c r="A8" s="8"/>
      <c r="B8" s="27" t="s">
        <v>32</v>
      </c>
      <c r="C8" s="28"/>
      <c r="D8" s="28"/>
      <c r="E8" s="29"/>
      <c r="F8" s="29"/>
      <c r="G8" s="29"/>
      <c r="H8" s="29"/>
      <c r="I8" s="29"/>
      <c r="J8" s="29"/>
      <c r="K8" s="29"/>
      <c r="L8" s="29"/>
      <c r="M8" s="29"/>
      <c r="N8" s="30"/>
      <c r="O8" s="9"/>
    </row>
    <row r="9" spans="1:15" s="1" customFormat="1" ht="30" customHeight="1" x14ac:dyDescent="0.35">
      <c r="A9" s="8"/>
      <c r="B9" s="37" t="s">
        <v>5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9"/>
    </row>
    <row r="10" spans="1:15" s="1" customFormat="1" ht="31.5" customHeight="1" x14ac:dyDescent="0.35">
      <c r="A10" s="8"/>
      <c r="B10" s="60" t="s">
        <v>27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2"/>
      <c r="O10" s="9"/>
    </row>
    <row r="11" spans="1:15" s="1" customFormat="1" ht="30" customHeight="1" x14ac:dyDescent="0.35">
      <c r="A11" s="8"/>
      <c r="B11" s="49" t="s">
        <v>6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1"/>
      <c r="O11" s="9"/>
    </row>
    <row r="12" spans="1:15" ht="22.5" customHeight="1" x14ac:dyDescent="0.35">
      <c r="B12" s="41" t="s">
        <v>12</v>
      </c>
      <c r="C12" s="42"/>
      <c r="D12" s="42"/>
      <c r="E12" s="42"/>
      <c r="F12" s="42"/>
      <c r="G12" s="43"/>
      <c r="H12" s="46" t="s">
        <v>14</v>
      </c>
      <c r="I12" s="47"/>
      <c r="J12" s="47"/>
      <c r="K12" s="47"/>
      <c r="L12" s="48"/>
      <c r="M12" s="44" t="s">
        <v>23</v>
      </c>
      <c r="N12" s="44" t="s">
        <v>24</v>
      </c>
    </row>
    <row r="13" spans="1:15" ht="30" customHeight="1" x14ac:dyDescent="0.35">
      <c r="B13" s="2" t="s">
        <v>7</v>
      </c>
      <c r="C13" s="2" t="s">
        <v>8</v>
      </c>
      <c r="D13" s="2" t="s">
        <v>9</v>
      </c>
      <c r="E13" s="2" t="s">
        <v>16</v>
      </c>
      <c r="F13" s="2" t="s">
        <v>10</v>
      </c>
      <c r="G13" s="2" t="s">
        <v>11</v>
      </c>
      <c r="H13" s="2" t="s">
        <v>25</v>
      </c>
      <c r="I13" s="2" t="s">
        <v>20</v>
      </c>
      <c r="J13" s="2" t="s">
        <v>26</v>
      </c>
      <c r="K13" s="2" t="s">
        <v>21</v>
      </c>
      <c r="L13" s="2" t="s">
        <v>22</v>
      </c>
      <c r="M13" s="45"/>
      <c r="N13" s="45"/>
    </row>
    <row r="14" spans="1:15" ht="30" customHeight="1" x14ac:dyDescent="0.35">
      <c r="B14" s="3"/>
      <c r="C14" s="3"/>
      <c r="D14" s="3"/>
      <c r="E14" s="3"/>
      <c r="F14" s="4"/>
      <c r="G14" s="4"/>
      <c r="H14" s="16"/>
      <c r="I14" s="16"/>
      <c r="J14" s="18"/>
      <c r="K14" s="18"/>
      <c r="L14" s="18"/>
      <c r="M14" s="11" t="str">
        <f>IF(OR(K14="",L14=""),"",K14/L14*100)</f>
        <v/>
      </c>
      <c r="N14" s="11" t="str">
        <f>IF(M14="","",IF(M14&gt;=92,"APROVADO","REPROVADO"))</f>
        <v/>
      </c>
      <c r="O14"/>
    </row>
    <row r="15" spans="1:15" ht="30" customHeight="1" x14ac:dyDescent="0.35">
      <c r="B15" s="3"/>
      <c r="C15" s="3"/>
      <c r="D15" s="3"/>
      <c r="E15" s="3"/>
      <c r="F15" s="4"/>
      <c r="G15" s="4"/>
      <c r="H15" s="17"/>
      <c r="I15" s="17"/>
      <c r="J15" s="17"/>
      <c r="K15" s="17"/>
      <c r="L15" s="18"/>
      <c r="M15" s="11" t="str">
        <f t="shared" ref="M15:M24" si="0">IF(OR(K15="",L15=""),"",K15/L15*100)</f>
        <v/>
      </c>
      <c r="N15" s="11" t="str">
        <f t="shared" ref="N15:N34" si="1">IF(M15="","",IF(M15&gt;=92,"APROVADO","REPROVADO"))</f>
        <v/>
      </c>
      <c r="O15"/>
    </row>
    <row r="16" spans="1:15" ht="30" customHeight="1" x14ac:dyDescent="0.35">
      <c r="B16" s="3"/>
      <c r="C16" s="3"/>
      <c r="D16" s="3"/>
      <c r="E16" s="3"/>
      <c r="F16" s="4"/>
      <c r="G16" s="4"/>
      <c r="H16" s="17"/>
      <c r="I16" s="17"/>
      <c r="J16" s="17"/>
      <c r="K16" s="17"/>
      <c r="L16" s="18"/>
      <c r="M16" s="11" t="str">
        <f t="shared" si="0"/>
        <v/>
      </c>
      <c r="N16" s="11" t="str">
        <f t="shared" si="1"/>
        <v/>
      </c>
      <c r="O16"/>
    </row>
    <row r="17" spans="2:18" ht="30" customHeight="1" x14ac:dyDescent="0.35">
      <c r="B17" s="3"/>
      <c r="C17" s="3"/>
      <c r="D17" s="3"/>
      <c r="E17" s="3"/>
      <c r="F17" s="4"/>
      <c r="G17" s="4"/>
      <c r="H17" s="17"/>
      <c r="I17" s="17"/>
      <c r="J17" s="17"/>
      <c r="K17" s="17"/>
      <c r="L17" s="18"/>
      <c r="M17" s="11" t="str">
        <f t="shared" si="0"/>
        <v/>
      </c>
      <c r="N17" s="11" t="str">
        <f t="shared" si="1"/>
        <v/>
      </c>
      <c r="O17"/>
    </row>
    <row r="18" spans="2:18" ht="30" customHeight="1" x14ac:dyDescent="0.35">
      <c r="B18" s="3"/>
      <c r="C18" s="3"/>
      <c r="D18" s="3"/>
      <c r="E18" s="3"/>
      <c r="F18" s="4"/>
      <c r="G18" s="4"/>
      <c r="H18" s="17"/>
      <c r="I18" s="17"/>
      <c r="J18" s="17"/>
      <c r="K18" s="17"/>
      <c r="L18" s="18"/>
      <c r="M18" s="11" t="str">
        <f t="shared" si="0"/>
        <v/>
      </c>
      <c r="N18" s="11" t="str">
        <f t="shared" si="1"/>
        <v/>
      </c>
      <c r="O18"/>
    </row>
    <row r="19" spans="2:18" ht="30" customHeight="1" x14ac:dyDescent="0.35">
      <c r="B19" s="3"/>
      <c r="C19" s="3"/>
      <c r="D19" s="3"/>
      <c r="E19" s="3"/>
      <c r="F19" s="4"/>
      <c r="G19" s="4"/>
      <c r="H19" s="17"/>
      <c r="I19" s="17"/>
      <c r="J19" s="17"/>
      <c r="K19" s="17"/>
      <c r="L19" s="18"/>
      <c r="M19" s="11" t="str">
        <f t="shared" si="0"/>
        <v/>
      </c>
      <c r="N19" s="11" t="str">
        <f t="shared" si="1"/>
        <v/>
      </c>
      <c r="O19"/>
    </row>
    <row r="20" spans="2:18" ht="30" customHeight="1" x14ac:dyDescent="0.35">
      <c r="B20" s="3"/>
      <c r="C20" s="3"/>
      <c r="D20" s="3"/>
      <c r="E20" s="3"/>
      <c r="F20" s="4"/>
      <c r="G20" s="4"/>
      <c r="H20" s="17"/>
      <c r="I20" s="17"/>
      <c r="J20" s="17"/>
      <c r="K20" s="17"/>
      <c r="L20" s="18"/>
      <c r="M20" s="11" t="str">
        <f t="shared" si="0"/>
        <v/>
      </c>
      <c r="N20" s="11" t="str">
        <f t="shared" si="1"/>
        <v/>
      </c>
      <c r="O20"/>
    </row>
    <row r="21" spans="2:18" ht="30" customHeight="1" x14ac:dyDescent="0.35">
      <c r="B21" s="3"/>
      <c r="C21" s="3"/>
      <c r="D21" s="3"/>
      <c r="E21" s="3"/>
      <c r="F21" s="4"/>
      <c r="G21" s="4"/>
      <c r="H21" s="17"/>
      <c r="I21" s="17"/>
      <c r="J21" s="17"/>
      <c r="K21" s="17"/>
      <c r="L21" s="18"/>
      <c r="M21" s="11" t="str">
        <f t="shared" si="0"/>
        <v/>
      </c>
      <c r="N21" s="11" t="str">
        <f t="shared" si="1"/>
        <v/>
      </c>
      <c r="O21"/>
    </row>
    <row r="22" spans="2:18" ht="30" customHeight="1" x14ac:dyDescent="0.35">
      <c r="B22" s="3"/>
      <c r="C22" s="3"/>
      <c r="D22" s="3"/>
      <c r="E22" s="3"/>
      <c r="F22" s="4"/>
      <c r="G22" s="4"/>
      <c r="H22" s="17"/>
      <c r="I22" s="17"/>
      <c r="J22" s="17"/>
      <c r="K22" s="17"/>
      <c r="L22" s="18"/>
      <c r="M22" s="11" t="str">
        <f t="shared" si="0"/>
        <v/>
      </c>
      <c r="N22" s="11" t="str">
        <f t="shared" si="1"/>
        <v/>
      </c>
      <c r="O22"/>
    </row>
    <row r="23" spans="2:18" ht="30" customHeight="1" x14ac:dyDescent="0.35">
      <c r="B23" s="3"/>
      <c r="C23" s="3"/>
      <c r="D23" s="3"/>
      <c r="E23" s="3"/>
      <c r="F23" s="4"/>
      <c r="G23" s="4"/>
      <c r="H23" s="17"/>
      <c r="I23" s="17"/>
      <c r="J23" s="17"/>
      <c r="K23" s="17"/>
      <c r="L23" s="18"/>
      <c r="M23" s="11" t="str">
        <f t="shared" si="0"/>
        <v/>
      </c>
      <c r="N23" s="11" t="str">
        <f t="shared" si="1"/>
        <v/>
      </c>
      <c r="O23"/>
    </row>
    <row r="24" spans="2:18" ht="30" customHeight="1" x14ac:dyDescent="0.35">
      <c r="B24" s="3"/>
      <c r="C24" s="3"/>
      <c r="D24" s="3"/>
      <c r="E24" s="3"/>
      <c r="F24" s="4"/>
      <c r="G24" s="4"/>
      <c r="H24" s="17"/>
      <c r="I24" s="17"/>
      <c r="J24" s="17"/>
      <c r="K24" s="17"/>
      <c r="L24" s="18"/>
      <c r="M24" s="11" t="str">
        <f t="shared" si="0"/>
        <v/>
      </c>
      <c r="N24" s="11" t="str">
        <f t="shared" si="1"/>
        <v/>
      </c>
      <c r="O24"/>
    </row>
    <row r="25" spans="2:18" ht="30" customHeight="1" x14ac:dyDescent="0.35">
      <c r="B25" s="3"/>
      <c r="C25" s="3"/>
      <c r="D25" s="3"/>
      <c r="E25" s="3"/>
      <c r="F25" s="4"/>
      <c r="G25" s="4"/>
      <c r="H25" s="5"/>
      <c r="I25" s="5"/>
      <c r="J25" s="5"/>
      <c r="K25" s="5"/>
      <c r="L25" s="7"/>
      <c r="M25" s="11" t="str">
        <f t="shared" ref="M25:M33" si="2">IF(L25="","",(25000*4)/(($L25^2*PI()*100)))</f>
        <v/>
      </c>
      <c r="N25" s="11" t="str">
        <f t="shared" si="1"/>
        <v/>
      </c>
      <c r="O25"/>
    </row>
    <row r="26" spans="2:18" ht="30" customHeight="1" x14ac:dyDescent="0.35">
      <c r="B26" s="3"/>
      <c r="C26" s="3"/>
      <c r="D26" s="3"/>
      <c r="E26" s="3"/>
      <c r="F26" s="4"/>
      <c r="G26" s="4"/>
      <c r="H26" s="5"/>
      <c r="I26" s="5"/>
      <c r="J26" s="5"/>
      <c r="K26" s="5"/>
      <c r="L26" s="7"/>
      <c r="M26" s="11" t="str">
        <f t="shared" si="2"/>
        <v/>
      </c>
      <c r="N26" s="11" t="str">
        <f t="shared" si="1"/>
        <v/>
      </c>
      <c r="O26"/>
    </row>
    <row r="27" spans="2:18" ht="30" customHeight="1" x14ac:dyDescent="0.35">
      <c r="B27" s="3"/>
      <c r="C27" s="3"/>
      <c r="D27" s="3"/>
      <c r="E27" s="3"/>
      <c r="F27" s="4"/>
      <c r="G27" s="4"/>
      <c r="H27" s="5"/>
      <c r="I27" s="5"/>
      <c r="J27" s="5"/>
      <c r="K27" s="5"/>
      <c r="L27" s="7"/>
      <c r="M27" s="11" t="str">
        <f t="shared" si="2"/>
        <v/>
      </c>
      <c r="N27" s="11" t="str">
        <f t="shared" si="1"/>
        <v/>
      </c>
      <c r="O27"/>
    </row>
    <row r="28" spans="2:18" ht="30" customHeight="1" x14ac:dyDescent="0.35">
      <c r="B28" s="3"/>
      <c r="C28" s="3"/>
      <c r="D28" s="3"/>
      <c r="E28" s="3"/>
      <c r="F28" s="4"/>
      <c r="G28" s="4"/>
      <c r="H28" s="5"/>
      <c r="I28" s="5"/>
      <c r="J28" s="5"/>
      <c r="K28" s="5"/>
      <c r="L28" s="7"/>
      <c r="M28" s="11" t="str">
        <f t="shared" si="2"/>
        <v/>
      </c>
      <c r="N28" s="11" t="str">
        <f t="shared" si="1"/>
        <v/>
      </c>
      <c r="O28"/>
    </row>
    <row r="29" spans="2:18" ht="30" customHeight="1" x14ac:dyDescent="0.35">
      <c r="B29" s="3"/>
      <c r="C29" s="3"/>
      <c r="D29" s="3"/>
      <c r="E29" s="3"/>
      <c r="F29" s="4"/>
      <c r="G29" s="4"/>
      <c r="H29" s="5"/>
      <c r="I29" s="5"/>
      <c r="J29" s="5"/>
      <c r="K29" s="5"/>
      <c r="L29" s="7"/>
      <c r="M29" s="11" t="str">
        <f t="shared" si="2"/>
        <v/>
      </c>
      <c r="N29" s="11" t="str">
        <f t="shared" si="1"/>
        <v/>
      </c>
      <c r="O29"/>
      <c r="R29" s="12"/>
    </row>
    <row r="30" spans="2:18" ht="30" customHeight="1" x14ac:dyDescent="0.35">
      <c r="B30" s="3"/>
      <c r="C30" s="3"/>
      <c r="D30" s="3"/>
      <c r="E30" s="3"/>
      <c r="F30" s="4"/>
      <c r="G30" s="4"/>
      <c r="H30" s="5"/>
      <c r="I30" s="5"/>
      <c r="J30" s="5"/>
      <c r="K30" s="5"/>
      <c r="L30" s="7"/>
      <c r="M30" s="11" t="str">
        <f t="shared" si="2"/>
        <v/>
      </c>
      <c r="N30" s="11" t="str">
        <f t="shared" si="1"/>
        <v/>
      </c>
      <c r="O30"/>
      <c r="R30" s="12"/>
    </row>
    <row r="31" spans="2:18" ht="30" customHeight="1" x14ac:dyDescent="0.35">
      <c r="B31" s="3"/>
      <c r="C31" s="3"/>
      <c r="D31" s="3"/>
      <c r="E31" s="3"/>
      <c r="F31" s="4"/>
      <c r="G31" s="4"/>
      <c r="H31" s="5"/>
      <c r="I31" s="5"/>
      <c r="J31" s="5"/>
      <c r="K31" s="5"/>
      <c r="L31" s="7"/>
      <c r="M31" s="11" t="str">
        <f t="shared" si="2"/>
        <v/>
      </c>
      <c r="N31" s="11" t="str">
        <f t="shared" si="1"/>
        <v/>
      </c>
      <c r="O31"/>
      <c r="R31" s="12"/>
    </row>
    <row r="32" spans="2:18" ht="30" customHeight="1" x14ac:dyDescent="0.35">
      <c r="B32" s="3"/>
      <c r="C32" s="3"/>
      <c r="D32" s="3"/>
      <c r="E32" s="3"/>
      <c r="F32" s="4"/>
      <c r="G32" s="4"/>
      <c r="H32" s="5"/>
      <c r="I32" s="5"/>
      <c r="J32" s="5"/>
      <c r="K32" s="5"/>
      <c r="L32" s="7"/>
      <c r="M32" s="11" t="str">
        <f t="shared" si="2"/>
        <v/>
      </c>
      <c r="N32" s="11" t="str">
        <f t="shared" si="1"/>
        <v/>
      </c>
      <c r="O32"/>
      <c r="R32" s="12"/>
    </row>
    <row r="33" spans="1:18" ht="30" customHeight="1" x14ac:dyDescent="0.35">
      <c r="B33" s="3"/>
      <c r="C33" s="3"/>
      <c r="D33" s="3"/>
      <c r="E33" s="3"/>
      <c r="F33" s="4"/>
      <c r="G33" s="4"/>
      <c r="H33" s="5"/>
      <c r="I33" s="5"/>
      <c r="J33" s="5"/>
      <c r="K33" s="5"/>
      <c r="L33" s="7"/>
      <c r="M33" s="11" t="str">
        <f t="shared" si="2"/>
        <v/>
      </c>
      <c r="N33" s="11" t="str">
        <f t="shared" si="1"/>
        <v/>
      </c>
      <c r="O33"/>
      <c r="R33" s="12"/>
    </row>
    <row r="34" spans="1:18" ht="30" customHeight="1" x14ac:dyDescent="0.35">
      <c r="B34" s="65" t="s">
        <v>19</v>
      </c>
      <c r="C34" s="66"/>
      <c r="D34" s="66"/>
      <c r="E34" s="66"/>
      <c r="F34" s="66"/>
      <c r="G34" s="66"/>
      <c r="H34" s="66"/>
      <c r="I34" s="66"/>
      <c r="J34" s="66"/>
      <c r="K34" s="66"/>
      <c r="L34" s="67"/>
      <c r="M34" s="13" t="e">
        <f>AVERAGE(M14:M33)</f>
        <v>#DIV/0!</v>
      </c>
      <c r="N34" s="11" t="e">
        <f t="shared" si="1"/>
        <v>#DIV/0!</v>
      </c>
      <c r="O34"/>
    </row>
    <row r="35" spans="1:18" ht="20.149999999999999" customHeight="1" x14ac:dyDescent="0.35">
      <c r="B35" s="56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8"/>
    </row>
    <row r="36" spans="1:18" s="6" customFormat="1" ht="42.75" customHeight="1" x14ac:dyDescent="0.35">
      <c r="A36" s="10"/>
      <c r="B36" s="52" t="s">
        <v>13</v>
      </c>
      <c r="C36" s="53"/>
      <c r="D36" s="53"/>
      <c r="E36" s="53"/>
      <c r="F36" s="53"/>
      <c r="G36" s="53"/>
      <c r="H36" s="54"/>
      <c r="I36" s="52" t="s">
        <v>13</v>
      </c>
      <c r="J36" s="53"/>
      <c r="K36" s="53"/>
      <c r="L36" s="53"/>
      <c r="M36" s="53"/>
      <c r="N36" s="54"/>
      <c r="O36" s="9"/>
      <c r="P36" s="1"/>
      <c r="Q36" s="1"/>
    </row>
    <row r="37" spans="1:18" s="6" customFormat="1" ht="30.75" customHeight="1" x14ac:dyDescent="0.35">
      <c r="A37" s="10"/>
      <c r="B37" s="38" t="s">
        <v>15</v>
      </c>
      <c r="C37" s="39"/>
      <c r="D37" s="39"/>
      <c r="E37" s="39"/>
      <c r="F37" s="39"/>
      <c r="G37" s="39"/>
      <c r="H37" s="40"/>
      <c r="I37" s="38" t="s">
        <v>17</v>
      </c>
      <c r="J37" s="39"/>
      <c r="K37" s="39"/>
      <c r="L37" s="39"/>
      <c r="M37" s="39"/>
      <c r="N37" s="40"/>
      <c r="O37" s="9"/>
      <c r="P37" s="1"/>
      <c r="Q37" s="1"/>
    </row>
    <row r="38" spans="1:18" s="6" customFormat="1" ht="15" customHeight="1" x14ac:dyDescent="0.35">
      <c r="A38" s="10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9"/>
      <c r="P38" s="1"/>
      <c r="Q38" s="1"/>
    </row>
    <row r="39" spans="1:18" s="6" customFormat="1" ht="30" customHeight="1" x14ac:dyDescent="0.35">
      <c r="A39" s="10"/>
      <c r="B39" s="68" t="s">
        <v>18</v>
      </c>
      <c r="C39" s="68"/>
      <c r="D39" s="69" t="s">
        <v>30</v>
      </c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9"/>
      <c r="P39" s="1"/>
      <c r="Q39" s="1"/>
    </row>
    <row r="40" spans="1:18" s="6" customFormat="1" ht="6.65" customHeight="1" x14ac:dyDescent="0.35">
      <c r="A40" s="1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9"/>
      <c r="P40" s="1"/>
      <c r="Q40" s="1"/>
    </row>
  </sheetData>
  <protectedRanges>
    <protectedRange sqref="D5:F6 M5:N6 E7:N7" name="Intervalo1_2_9_1"/>
    <protectedRange sqref="E8:N8" name="Intervalo1_2_1_1_1_9_1"/>
  </protectedRanges>
  <mergeCells count="29">
    <mergeCell ref="B39:C39"/>
    <mergeCell ref="D39:N39"/>
    <mergeCell ref="B10:N10"/>
    <mergeCell ref="B7:C7"/>
    <mergeCell ref="D7:N7"/>
    <mergeCell ref="N12:N13"/>
    <mergeCell ref="B34:L34"/>
    <mergeCell ref="B40:N40"/>
    <mergeCell ref="I5:N5"/>
    <mergeCell ref="C6:F6"/>
    <mergeCell ref="B9:N9"/>
    <mergeCell ref="B37:H37"/>
    <mergeCell ref="I37:N37"/>
    <mergeCell ref="B12:G12"/>
    <mergeCell ref="M12:M13"/>
    <mergeCell ref="H12:L12"/>
    <mergeCell ref="B11:N11"/>
    <mergeCell ref="I36:N36"/>
    <mergeCell ref="B36:H36"/>
    <mergeCell ref="B38:N38"/>
    <mergeCell ref="B35:N35"/>
    <mergeCell ref="I6:N6"/>
    <mergeCell ref="C5:F5"/>
    <mergeCell ref="B1:M1"/>
    <mergeCell ref="B3:H3"/>
    <mergeCell ref="I3:M3"/>
    <mergeCell ref="B8:D8"/>
    <mergeCell ref="E8:N8"/>
    <mergeCell ref="B4:N4"/>
  </mergeCells>
  <phoneticPr fontId="15" type="noConversion"/>
  <dataValidations count="1">
    <dataValidation type="list" allowBlank="1" showInputMessage="1" showErrorMessage="1" sqref="B14:B33" xr:uid="{22BD25D8-9F30-42C1-A7CD-81197ED6E3CD}">
      <formula1>"070,163,364"</formula1>
    </dataValidation>
  </dataValidations>
  <pageMargins left="0.51181102362204722" right="0.51181102362204722" top="0.78740157480314965" bottom="0.78740157480314965" header="0.31496062992125984" footer="0.31496062992125984"/>
  <pageSetup paperSize="9" scale="5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FR-IMOB-30_Rev00</vt:lpstr>
      <vt:lpstr>'FR-IMOB-30_Rev00'!Area_de_impressao</vt:lpstr>
    </vt:vector>
  </TitlesOfParts>
  <Company>Rota do Oeste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Thyago Biasin Ferreira</dc:creator>
  <cp:lastModifiedBy>Melyssa Luiza Silva Afonso</cp:lastModifiedBy>
  <cp:lastPrinted>2026-07-17T14:54:51Z</cp:lastPrinted>
  <dcterms:created xsi:type="dcterms:W3CDTF">2023-12-27T19:32:24Z</dcterms:created>
  <dcterms:modified xsi:type="dcterms:W3CDTF">2026-07-17T14:56:46Z</dcterms:modified>
</cp:coreProperties>
</file>