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6602525E-91E8-4412-BF71-E79502E8D623}" xr6:coauthVersionLast="47" xr6:coauthVersionMax="47" xr10:uidLastSave="{00000000-0000-0000-0000-000000000000}"/>
  <bookViews>
    <workbookView xWindow="-28910" yWindow="-1730" windowWidth="29020" windowHeight="15820" xr2:uid="{BA4F006C-39B9-415E-A7DD-654E5E3D7E2B}"/>
  </bookViews>
  <sheets>
    <sheet name="FR-IMOB-19_Rev0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>#REF!</definedName>
    <definedName name="_bri2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>#REF!</definedName>
    <definedName name="_xlnm.Print_Area" localSheetId="0">'FR-IMOB-19_Rev00'!$A$1:$T$61</definedName>
    <definedName name="arei" localSheetId="0">#REF!</definedName>
    <definedName name="arei">#REF!</definedName>
    <definedName name="BI">[3]Teor!$A$3:$G$7</definedName>
    <definedName name="bica" localSheetId="0">#REF!</definedName>
    <definedName name="bica">#REF!</definedName>
    <definedName name="btt" localSheetId="0">#REF!</definedName>
    <definedName name="btt">#REF!</definedName>
    <definedName name="button_area_1" localSheetId="0">#REF!</definedName>
    <definedName name="button_area_1">#REF!</definedName>
    <definedName name="CAN">#N/A</definedName>
    <definedName name="cbr">#REF!</definedName>
    <definedName name="celltips_area">#REF!</definedName>
    <definedName name="cinco">#REF!</definedName>
    <definedName name="CODIGÓ">#REF!</definedName>
    <definedName name="CÓDIGO">#N/A</definedName>
    <definedName name="comple">[4]Macro1!$B$1:$B$65536</definedName>
    <definedName name="correção" localSheetId="0">#REF!</definedName>
    <definedName name="correção">#REF!</definedName>
    <definedName name="d" localSheetId="0">#REF!</definedName>
    <definedName name="d">#REF!</definedName>
    <definedName name="dez" localSheetId="0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ill">#REF!</definedName>
    <definedName name="gac">#REF!</definedName>
    <definedName name="gag">#REF!</definedName>
    <definedName name="GAUS">[5]TABLA!$N$10:$P$409</definedName>
    <definedName name="_xlnm.Recorder">[6]Macro1!$B$1:$B$65536</definedName>
    <definedName name="h" localSheetId="0">#REF!</definedName>
    <definedName name="h">#REF!</definedName>
    <definedName name="IP">[7]resumo!#REF!</definedName>
    <definedName name="kp" localSheetId="0">#REF!</definedName>
    <definedName name="kp">#REF!</definedName>
    <definedName name="lab" localSheetId="0">#REF!</definedName>
    <definedName name="lab">#REF!</definedName>
    <definedName name="LL" localSheetId="0">[7]resumo!#REF!</definedName>
    <definedName name="LL">[7]resumo!#REF!</definedName>
    <definedName name="marshall" localSheetId="0">#REF!</definedName>
    <definedName name="marshall">#REF!</definedName>
    <definedName name="nove" localSheetId="0">#REF!</definedName>
    <definedName name="nove">#REF!</definedName>
    <definedName name="oito" localSheetId="0">#REF!</definedName>
    <definedName name="oito">#REF!</definedName>
    <definedName name="onze">#REF!</definedName>
    <definedName name="outr">#REF!</definedName>
    <definedName name="P">[7]resumo!#REF!</definedName>
    <definedName name="paraf" localSheetId="0">#REF!</definedName>
    <definedName name="paraf">#REF!</definedName>
    <definedName name="parcial" localSheetId="0">#REF!</definedName>
    <definedName name="parcial">#REF!</definedName>
    <definedName name="pedr" localSheetId="0">#REF!</definedName>
    <definedName name="pedr">#REF!</definedName>
    <definedName name="perc">#REF!</definedName>
    <definedName name="pesquisa">[8]Teor!$B$11:$H$15</definedName>
    <definedName name="pesquisa1">'[2]Página 16'!$A$3:$G$7</definedName>
    <definedName name="pope">#REF!</definedName>
    <definedName name="PRE">#N/A</definedName>
    <definedName name="Print_Area_MI">[9]ESTUDO.TRAÇO!$F$18:$U$55</definedName>
    <definedName name="ptp" localSheetId="0">#REF!</definedName>
    <definedName name="ptp">#REF!</definedName>
    <definedName name="ptt" localSheetId="0">#REF!</definedName>
    <definedName name="ptt">#REF!</definedName>
    <definedName name="quatro" localSheetId="0">#REF!</definedName>
    <definedName name="quatro">#REF!</definedName>
    <definedName name="RBV">[8]Teor!$D$11:$D$15</definedName>
    <definedName name="rodinei">[10]DOSAGEM!$D$11</definedName>
    <definedName name="s" localSheetId="0">#REF!</definedName>
    <definedName name="s">#REF!</definedName>
    <definedName name="seis" localSheetId="0">#REF!</definedName>
    <definedName name="seis">#REF!</definedName>
    <definedName name="sete" localSheetId="0">#REF!</definedName>
    <definedName name="sete">#REF!</definedName>
    <definedName name="siloquente">#REF!</definedName>
    <definedName name="sim">#REF!</definedName>
    <definedName name="Teor">[8]Teor!$B$11:$B$15</definedName>
    <definedName name="Teor1">'[2]Página 16'!$A$3:$A$7</definedName>
    <definedName name="total">#REF!</definedName>
    <definedName name="tres">#REF!</definedName>
    <definedName name="treze">#REF!</definedName>
    <definedName name="ttt">#REF!</definedName>
    <definedName name="um">#REF!</definedName>
    <definedName name="Vazio1">'[2]Página 16'!$B$3:$B$7</definedName>
    <definedName name="Vazios">[8]Teor!$C$11:$C$15</definedName>
    <definedName name="visc" localSheetId="0">#REF!</definedName>
    <definedName name="vis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K28" i="1" l="1"/>
  <c r="O28" i="1"/>
  <c r="M28" i="1"/>
  <c r="K28" i="1"/>
  <c r="I28" i="1"/>
  <c r="G28" i="1"/>
  <c r="E28" i="1"/>
  <c r="AK27" i="1"/>
  <c r="O27" i="1"/>
  <c r="M27" i="1"/>
  <c r="K27" i="1"/>
  <c r="I27" i="1"/>
  <c r="G27" i="1"/>
  <c r="E27" i="1"/>
  <c r="AK26" i="1"/>
  <c r="O26" i="1"/>
  <c r="M26" i="1"/>
  <c r="K26" i="1"/>
  <c r="I26" i="1"/>
  <c r="G26" i="1"/>
  <c r="E26" i="1"/>
  <c r="AN25" i="1"/>
  <c r="AK25" i="1"/>
  <c r="O25" i="1"/>
  <c r="M25" i="1"/>
  <c r="K25" i="1"/>
  <c r="I25" i="1"/>
  <c r="G25" i="1"/>
  <c r="E25" i="1"/>
  <c r="AN24" i="1"/>
  <c r="AK24" i="1"/>
  <c r="O24" i="1"/>
  <c r="M24" i="1"/>
  <c r="K24" i="1"/>
  <c r="I24" i="1"/>
  <c r="G24" i="1"/>
  <c r="E24" i="1"/>
  <c r="AN23" i="1"/>
  <c r="AK23" i="1"/>
  <c r="O23" i="1"/>
  <c r="M23" i="1"/>
  <c r="K23" i="1"/>
  <c r="I23" i="1"/>
  <c r="G23" i="1"/>
  <c r="E23" i="1"/>
  <c r="AN22" i="1"/>
  <c r="AK22" i="1"/>
  <c r="O22" i="1"/>
  <c r="M22" i="1"/>
  <c r="K22" i="1"/>
  <c r="I22" i="1"/>
  <c r="G22" i="1"/>
  <c r="E22" i="1"/>
  <c r="AN21" i="1"/>
  <c r="AK21" i="1"/>
  <c r="O21" i="1"/>
  <c r="M21" i="1"/>
  <c r="K21" i="1"/>
  <c r="I21" i="1"/>
  <c r="G21" i="1"/>
  <c r="E21" i="1"/>
  <c r="AN20" i="1"/>
  <c r="AK20" i="1"/>
  <c r="O20" i="1"/>
  <c r="M20" i="1"/>
  <c r="K20" i="1"/>
  <c r="I20" i="1"/>
  <c r="G20" i="1"/>
  <c r="E20" i="1"/>
  <c r="AK19" i="1"/>
  <c r="O19" i="1"/>
  <c r="M19" i="1"/>
  <c r="K19" i="1"/>
  <c r="I19" i="1"/>
  <c r="G19" i="1"/>
  <c r="E19" i="1"/>
  <c r="AK18" i="1"/>
  <c r="O18" i="1"/>
  <c r="M18" i="1"/>
  <c r="K18" i="1"/>
  <c r="I18" i="1"/>
  <c r="G18" i="1"/>
  <c r="E18" i="1"/>
  <c r="P15" i="1"/>
  <c r="V15" i="1" l="1"/>
  <c r="Q28" i="1" s="1"/>
  <c r="P21" i="1"/>
  <c r="P24" i="1"/>
  <c r="P27" i="1"/>
  <c r="P18" i="1"/>
  <c r="T18" i="1" s="1"/>
  <c r="P19" i="1"/>
  <c r="T19" i="1" s="1"/>
  <c r="P26" i="1"/>
  <c r="T26" i="1" s="1"/>
  <c r="P20" i="1"/>
  <c r="P23" i="1"/>
  <c r="P25" i="1"/>
  <c r="P28" i="1"/>
  <c r="T28" i="1" s="1"/>
  <c r="P22" i="1"/>
  <c r="Q27" i="1"/>
  <c r="S24" i="1" l="1"/>
  <c r="T23" i="1"/>
  <c r="S19" i="1"/>
  <c r="Q26" i="1"/>
  <c r="Q25" i="1"/>
  <c r="Q24" i="1"/>
  <c r="Q20" i="1"/>
  <c r="Q19" i="1"/>
  <c r="Q18" i="1"/>
  <c r="V16" i="1"/>
  <c r="R24" i="1" s="1"/>
  <c r="Q23" i="1"/>
  <c r="S18" i="1"/>
  <c r="Q22" i="1"/>
  <c r="Q21" i="1"/>
  <c r="T21" i="1"/>
  <c r="T20" i="1"/>
  <c r="S21" i="1"/>
  <c r="S20" i="1"/>
  <c r="T27" i="1"/>
  <c r="S27" i="1"/>
  <c r="S26" i="1"/>
  <c r="T25" i="1"/>
  <c r="S25" i="1"/>
  <c r="T24" i="1"/>
  <c r="T22" i="1"/>
  <c r="S23" i="1"/>
  <c r="S22" i="1"/>
  <c r="S28" i="1"/>
  <c r="R19" i="1" l="1"/>
  <c r="R18" i="1"/>
  <c r="R27" i="1"/>
  <c r="R21" i="1"/>
  <c r="R25" i="1"/>
  <c r="R20" i="1"/>
  <c r="R22" i="1"/>
  <c r="R26" i="1"/>
  <c r="R28" i="1"/>
  <c r="R23" i="1"/>
</calcChain>
</file>

<file path=xl/sharedStrings.xml><?xml version="1.0" encoding="utf-8"?>
<sst xmlns="http://schemas.openxmlformats.org/spreadsheetml/2006/main" count="94" uniqueCount="69">
  <si>
    <t>Estudo Composição Granulometrica</t>
  </si>
  <si>
    <t>Nº O.S:</t>
  </si>
  <si>
    <t>xxxxxxx</t>
  </si>
  <si>
    <t>Data do estudo</t>
  </si>
  <si>
    <t>xxxxxxxx</t>
  </si>
  <si>
    <t>Informações complementar:</t>
  </si>
  <si>
    <t>Documento de referência</t>
  </si>
  <si>
    <t xml:space="preserve">DNIT 031 - Pavimentos flexíveis - Concreto asfáltico - Especificação de serviço </t>
  </si>
  <si>
    <t>Procedimentos do ensaio - Calculos e Resultados</t>
  </si>
  <si>
    <t>Material</t>
  </si>
  <si>
    <t>Brita 3/4"</t>
  </si>
  <si>
    <t xml:space="preserve">Brita 3/8" </t>
  </si>
  <si>
    <t>RAP</t>
  </si>
  <si>
    <t>Pó de Pedra</t>
  </si>
  <si>
    <t>Filer</t>
  </si>
  <si>
    <t>Mistura</t>
  </si>
  <si>
    <t>Parametros de projeto - Faixas granulometricas</t>
  </si>
  <si>
    <t>Registro Amostra</t>
  </si>
  <si>
    <t>xxxxxx</t>
  </si>
  <si>
    <t>FAIXAS NORMATIVAS</t>
  </si>
  <si>
    <t>TOLERANCIA FAIXA DE TRABALHO</t>
  </si>
  <si>
    <t>Procedencia Amostra</t>
  </si>
  <si>
    <t>CBUQ Convencional</t>
  </si>
  <si>
    <t>Faixa Descontinuas</t>
  </si>
  <si>
    <t>CBUQ Convencional ou Polimero</t>
  </si>
  <si>
    <t>CBUQ Polimero</t>
  </si>
  <si>
    <t>Composição (%)</t>
  </si>
  <si>
    <t>FAIXA C - DNIT-032</t>
  </si>
  <si>
    <t>TOLERANCIA FAIXA DE TRABALHO MISTURA</t>
  </si>
  <si>
    <t>FAIXA D - DNIT-031</t>
  </si>
  <si>
    <t>DNIT 112/2009</t>
  </si>
  <si>
    <t>FAIXA III - DER/SP</t>
  </si>
  <si>
    <t>FAIXA IV - DER/SP</t>
  </si>
  <si>
    <t>FAIXA C - DNER-ES-385</t>
  </si>
  <si>
    <t>Peneiras</t>
  </si>
  <si>
    <t>% passa</t>
  </si>
  <si>
    <t>nº</t>
  </si>
  <si>
    <t>mm</t>
  </si>
  <si>
    <t>2"</t>
  </si>
  <si>
    <t>Lista Suspensa</t>
  </si>
  <si>
    <t>1 1/2"</t>
  </si>
  <si>
    <t>1"</t>
  </si>
  <si>
    <t>3/4"</t>
  </si>
  <si>
    <t>1/2"</t>
  </si>
  <si>
    <t>Areia Natural</t>
  </si>
  <si>
    <t>3/8"</t>
  </si>
  <si>
    <t>4</t>
  </si>
  <si>
    <t>10</t>
  </si>
  <si>
    <t>Cal</t>
  </si>
  <si>
    <t>40</t>
  </si>
  <si>
    <t>80</t>
  </si>
  <si>
    <t>200</t>
  </si>
  <si>
    <t>Gráfico</t>
  </si>
  <si>
    <t>Assinaturas</t>
  </si>
  <si>
    <t>Responsável executor:</t>
  </si>
  <si>
    <t>Responsável calculista:</t>
  </si>
  <si>
    <t xml:space="preserve">Elaborado por: </t>
  </si>
  <si>
    <t xml:space="preserve">Revisado por: </t>
  </si>
  <si>
    <t>Aprovado por:</t>
  </si>
  <si>
    <t>Samara Rodrigues</t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</si>
  <si>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 xml:space="preserve">: FR-IMOB-19 </t>
    </r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</si>
  <si>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Estudo Composição Granulometrica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</si>
  <si>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</si>
  <si>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</si>
  <si>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</si>
  <si>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</si>
  <si>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</si>
  <si>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 xml:space="preserve">Thyago Biasin </t>
  </si>
  <si>
    <t>Rheno Tormin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</si>
</sst>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0"/>
      <name val="Arial"/>
    </font>
    <font>
      <b/>
      <sz val="10"/>
      <color indexed="8"/>
      <name val="Tahoma"/>
      <family val="2"/>
    </font>
    <font>
      <sz val="10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sz val="10"/>
      <name val="Arial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i/>
      <sz val="10"/>
      <color theme="1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  <font>
      <b/>
      <sz val="10"/>
      <color theme="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</cellStyleXfs>
  <cellXfs count="118">
    <xf numFmtId="0" fontId="0" fillId="0" borderId="0" xfId="0"/>
    <xf numFmtId="0" fontId="2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0" borderId="0" xfId="2" applyFont="1" applyAlignment="1" applyProtection="1">
      <alignment vertical="center"/>
      <protection hidden="1"/>
    </xf>
    <xf numFmtId="1" fontId="4" fillId="0" borderId="0" xfId="4" applyNumberFormat="1" applyFont="1" applyFill="1" applyBorder="1" applyAlignment="1" applyProtection="1">
      <alignment horizontal="center" vertical="center"/>
      <protection hidden="1"/>
    </xf>
    <xf numFmtId="0" fontId="2" fillId="0" borderId="0" xfId="2" applyFont="1" applyAlignment="1" applyProtection="1">
      <alignment horizontal="center" vertical="center"/>
      <protection hidden="1"/>
    </xf>
    <xf numFmtId="0" fontId="4" fillId="0" borderId="9" xfId="2" applyFont="1" applyBorder="1" applyAlignment="1" applyProtection="1">
      <alignment horizontal="center" vertical="center"/>
      <protection hidden="1"/>
    </xf>
    <xf numFmtId="49" fontId="4" fillId="0" borderId="9" xfId="2" applyNumberFormat="1" applyFont="1" applyBorder="1" applyAlignment="1" applyProtection="1">
      <alignment horizontal="center" vertical="center"/>
      <protection hidden="1"/>
    </xf>
    <xf numFmtId="164" fontId="4" fillId="0" borderId="9" xfId="2" applyNumberFormat="1" applyFont="1" applyBorder="1" applyAlignment="1" applyProtection="1">
      <alignment horizontal="center" vertical="center"/>
      <protection hidden="1"/>
    </xf>
    <xf numFmtId="2" fontId="3" fillId="3" borderId="9" xfId="2" applyNumberFormat="1" applyFont="1" applyFill="1" applyBorder="1" applyAlignment="1" applyProtection="1">
      <alignment horizontal="center" vertical="center"/>
      <protection locked="0"/>
    </xf>
    <xf numFmtId="2" fontId="2" fillId="0" borderId="9" xfId="4" applyNumberFormat="1" applyFont="1" applyFill="1" applyBorder="1" applyAlignment="1" applyProtection="1">
      <alignment horizontal="center" vertical="center"/>
    </xf>
    <xf numFmtId="2" fontId="2" fillId="0" borderId="9" xfId="2" applyNumberFormat="1" applyFont="1" applyBorder="1" applyAlignment="1">
      <alignment horizontal="center" vertical="center"/>
    </xf>
    <xf numFmtId="2" fontId="2" fillId="0" borderId="9" xfId="4" applyNumberFormat="1" applyFont="1" applyBorder="1" applyAlignment="1" applyProtection="1">
      <alignment horizontal="center" vertical="center"/>
      <protection hidden="1"/>
    </xf>
    <xf numFmtId="0" fontId="4" fillId="0" borderId="0" xfId="2" applyFont="1" applyAlignment="1" applyProtection="1">
      <alignment vertical="center"/>
      <protection hidden="1"/>
    </xf>
    <xf numFmtId="164" fontId="2" fillId="0" borderId="9" xfId="2" applyNumberFormat="1" applyFont="1" applyBorder="1" applyAlignment="1" applyProtection="1">
      <alignment horizontal="center" vertical="center"/>
      <protection hidden="1"/>
    </xf>
    <xf numFmtId="0" fontId="2" fillId="0" borderId="9" xfId="2" applyFont="1" applyBorder="1" applyAlignment="1" applyProtection="1">
      <alignment vertical="center"/>
      <protection hidden="1"/>
    </xf>
    <xf numFmtId="0" fontId="2" fillId="3" borderId="9" xfId="3" applyFont="1" applyFill="1" applyBorder="1" applyAlignment="1" applyProtection="1">
      <alignment horizontal="center" vertical="center"/>
      <protection hidden="1"/>
    </xf>
    <xf numFmtId="2" fontId="2" fillId="0" borderId="9" xfId="3" applyNumberFormat="1" applyFont="1" applyBorder="1" applyAlignment="1" applyProtection="1">
      <alignment horizontal="center" vertical="center"/>
      <protection hidden="1"/>
    </xf>
    <xf numFmtId="0" fontId="2" fillId="0" borderId="9" xfId="3" applyFont="1" applyBorder="1" applyAlignment="1" applyProtection="1">
      <alignment vertical="center"/>
      <protection hidden="1"/>
    </xf>
    <xf numFmtId="0" fontId="2" fillId="0" borderId="9" xfId="3" applyFont="1" applyBorder="1" applyAlignment="1" applyProtection="1">
      <alignment horizontal="center" vertical="center"/>
      <protection hidden="1"/>
    </xf>
    <xf numFmtId="0" fontId="2" fillId="0" borderId="11" xfId="2" applyFont="1" applyBorder="1" applyAlignment="1" applyProtection="1">
      <alignment vertical="center"/>
      <protection hidden="1"/>
    </xf>
    <xf numFmtId="2" fontId="4" fillId="0" borderId="9" xfId="2" applyNumberFormat="1" applyFont="1" applyBorder="1" applyAlignment="1" applyProtection="1">
      <alignment horizontal="center" vertical="center"/>
      <protection hidden="1"/>
    </xf>
    <xf numFmtId="2" fontId="2" fillId="0" borderId="9" xfId="2" applyNumberFormat="1" applyFont="1" applyBorder="1" applyAlignment="1" applyProtection="1">
      <alignment horizontal="center" vertical="center"/>
      <protection hidden="1"/>
    </xf>
    <xf numFmtId="0" fontId="2" fillId="0" borderId="12" xfId="2" applyFont="1" applyBorder="1" applyAlignment="1" applyProtection="1">
      <alignment vertical="center"/>
      <protection hidden="1"/>
    </xf>
    <xf numFmtId="0" fontId="2" fillId="0" borderId="9" xfId="2" applyFont="1" applyBorder="1" applyAlignment="1" applyProtection="1">
      <alignment horizontal="center" vertical="center"/>
      <protection hidden="1"/>
    </xf>
    <xf numFmtId="0" fontId="2" fillId="0" borderId="7" xfId="2" applyFont="1" applyBorder="1" applyAlignment="1" applyProtection="1">
      <alignment horizontal="left" vertical="center"/>
      <protection hidden="1"/>
    </xf>
    <xf numFmtId="0" fontId="2" fillId="0" borderId="0" xfId="2" applyFont="1" applyAlignment="1" applyProtection="1">
      <alignment horizontal="left" vertical="center"/>
      <protection hidden="1"/>
    </xf>
    <xf numFmtId="0" fontId="2" fillId="0" borderId="8" xfId="2" applyFont="1" applyBorder="1" applyAlignment="1" applyProtection="1">
      <alignment vertical="center"/>
      <protection hidden="1"/>
    </xf>
    <xf numFmtId="0" fontId="2" fillId="0" borderId="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vertical="center"/>
    </xf>
    <xf numFmtId="0" fontId="4" fillId="0" borderId="4" xfId="2" applyFont="1" applyBorder="1" applyAlignment="1" applyProtection="1">
      <alignment horizontal="center" vertical="center"/>
      <protection hidden="1"/>
    </xf>
    <xf numFmtId="0" fontId="4" fillId="0" borderId="13" xfId="2" applyFont="1" applyBorder="1" applyAlignment="1" applyProtection="1">
      <alignment horizontal="center" vertical="center"/>
      <protection hidden="1"/>
    </xf>
    <xf numFmtId="0" fontId="2" fillId="0" borderId="9" xfId="2" applyFont="1" applyBorder="1" applyAlignment="1" applyProtection="1">
      <alignment horizontal="center" vertical="center"/>
      <protection hidden="1"/>
    </xf>
    <xf numFmtId="0" fontId="4" fillId="4" borderId="1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15" fillId="6" borderId="1" xfId="1" applyFont="1" applyFill="1" applyBorder="1" applyAlignment="1">
      <alignment horizontal="center" vertical="center"/>
    </xf>
    <xf numFmtId="0" fontId="15" fillId="6" borderId="2" xfId="1" applyFont="1" applyFill="1" applyBorder="1" applyAlignment="1">
      <alignment horizontal="center" vertical="center"/>
    </xf>
    <xf numFmtId="0" fontId="15" fillId="6" borderId="3" xfId="1" applyFont="1" applyFill="1" applyBorder="1" applyAlignment="1">
      <alignment horizontal="center" vertical="center"/>
    </xf>
    <xf numFmtId="0" fontId="2" fillId="0" borderId="4" xfId="3" applyFont="1" applyBorder="1" applyAlignment="1" applyProtection="1">
      <alignment horizontal="center" vertical="center"/>
      <protection hidden="1"/>
    </xf>
    <xf numFmtId="0" fontId="2" fillId="0" borderId="5" xfId="3" applyFont="1" applyBorder="1" applyAlignment="1" applyProtection="1">
      <alignment horizontal="center" vertical="center"/>
      <protection hidden="1"/>
    </xf>
    <xf numFmtId="0" fontId="2" fillId="0" borderId="13" xfId="3" applyFont="1" applyBorder="1" applyAlignment="1" applyProtection="1">
      <alignment horizontal="center" vertical="center"/>
      <protection hidden="1"/>
    </xf>
    <xf numFmtId="0" fontId="2" fillId="0" borderId="14" xfId="3" applyFont="1" applyBorder="1" applyAlignment="1" applyProtection="1">
      <alignment horizontal="center" vertical="center"/>
      <protection hidden="1"/>
    </xf>
    <xf numFmtId="0" fontId="4" fillId="0" borderId="9" xfId="2" applyFont="1" applyBorder="1" applyAlignment="1" applyProtection="1">
      <alignment horizontal="center" vertical="center"/>
      <protection hidden="1"/>
    </xf>
    <xf numFmtId="0" fontId="4" fillId="0" borderId="6" xfId="2" applyFont="1" applyBorder="1" applyAlignment="1" applyProtection="1">
      <alignment horizontal="center" vertical="center"/>
      <protection hidden="1"/>
    </xf>
    <xf numFmtId="0" fontId="4" fillId="0" borderId="15" xfId="2" applyFont="1" applyBorder="1" applyAlignment="1" applyProtection="1">
      <alignment horizontal="center" vertical="center"/>
      <protection hidden="1"/>
    </xf>
    <xf numFmtId="0" fontId="3" fillId="3" borderId="4" xfId="3" applyFont="1" applyFill="1" applyBorder="1" applyAlignment="1" applyProtection="1">
      <alignment horizontal="center" vertical="center"/>
      <protection hidden="1"/>
    </xf>
    <xf numFmtId="0" fontId="3" fillId="3" borderId="6" xfId="3" applyFont="1" applyFill="1" applyBorder="1" applyAlignment="1" applyProtection="1">
      <alignment horizontal="center" vertical="center"/>
      <protection hidden="1"/>
    </xf>
    <xf numFmtId="0" fontId="3" fillId="3" borderId="7" xfId="3" applyFont="1" applyFill="1" applyBorder="1" applyAlignment="1" applyProtection="1">
      <alignment horizontal="center" vertical="center"/>
      <protection hidden="1"/>
    </xf>
    <xf numFmtId="0" fontId="3" fillId="3" borderId="8" xfId="3" applyFont="1" applyFill="1" applyBorder="1" applyAlignment="1" applyProtection="1">
      <alignment horizontal="center" vertical="center"/>
      <protection hidden="1"/>
    </xf>
    <xf numFmtId="0" fontId="3" fillId="3" borderId="13" xfId="3" applyFont="1" applyFill="1" applyBorder="1" applyAlignment="1" applyProtection="1">
      <alignment horizontal="center" vertical="center"/>
      <protection hidden="1"/>
    </xf>
    <xf numFmtId="0" fontId="3" fillId="3" borderId="15" xfId="3" applyFont="1" applyFill="1" applyBorder="1" applyAlignment="1" applyProtection="1">
      <alignment horizontal="center" vertical="center"/>
      <protection hidden="1"/>
    </xf>
    <xf numFmtId="0" fontId="2" fillId="0" borderId="6" xfId="3" applyFont="1" applyBorder="1" applyAlignment="1" applyProtection="1">
      <alignment horizontal="center" vertical="center"/>
      <protection hidden="1"/>
    </xf>
    <xf numFmtId="0" fontId="2" fillId="0" borderId="15" xfId="3" applyFont="1" applyBorder="1" applyAlignment="1" applyProtection="1">
      <alignment horizontal="center" vertical="center"/>
      <protection hidden="1"/>
    </xf>
    <xf numFmtId="0" fontId="2" fillId="0" borderId="1" xfId="3" applyFont="1" applyBorder="1" applyAlignment="1" applyProtection="1">
      <alignment horizontal="center" vertical="center"/>
      <protection hidden="1"/>
    </xf>
    <xf numFmtId="0" fontId="2" fillId="0" borderId="3" xfId="3" applyFont="1" applyBorder="1" applyAlignment="1" applyProtection="1">
      <alignment horizontal="center" vertical="center"/>
      <protection hidden="1"/>
    </xf>
    <xf numFmtId="1" fontId="3" fillId="3" borderId="1" xfId="4" applyNumberFormat="1" applyFont="1" applyFill="1" applyBorder="1" applyAlignment="1" applyProtection="1">
      <alignment horizontal="center" vertical="center"/>
      <protection hidden="1"/>
    </xf>
    <xf numFmtId="1" fontId="3" fillId="3" borderId="3" xfId="4" applyNumberFormat="1" applyFont="1" applyFill="1" applyBorder="1" applyAlignment="1" applyProtection="1">
      <alignment horizontal="center" vertical="center"/>
      <protection hidden="1"/>
    </xf>
    <xf numFmtId="0" fontId="2" fillId="0" borderId="2" xfId="3" applyFont="1" applyBorder="1" applyAlignment="1" applyProtection="1">
      <alignment horizontal="center" vertical="center"/>
      <protection hidden="1"/>
    </xf>
    <xf numFmtId="0" fontId="2" fillId="0" borderId="9" xfId="3" applyFont="1" applyBorder="1" applyAlignment="1" applyProtection="1">
      <alignment horizontal="center" vertical="center" wrapText="1"/>
      <protection hidden="1"/>
    </xf>
    <xf numFmtId="0" fontId="3" fillId="3" borderId="1" xfId="2" applyFont="1" applyFill="1" applyBorder="1" applyAlignment="1" applyProtection="1">
      <alignment horizontal="center" vertical="center"/>
      <protection hidden="1"/>
    </xf>
    <xf numFmtId="0" fontId="3" fillId="3" borderId="3" xfId="2" applyFont="1" applyFill="1" applyBorder="1" applyAlignment="1" applyProtection="1">
      <alignment horizontal="center" vertical="center"/>
      <protection hidden="1"/>
    </xf>
    <xf numFmtId="0" fontId="4" fillId="0" borderId="10" xfId="2" applyFont="1" applyBorder="1" applyAlignment="1" applyProtection="1">
      <alignment horizontal="center" vertical="center"/>
      <protection hidden="1"/>
    </xf>
    <xf numFmtId="0" fontId="4" fillId="0" borderId="11" xfId="2" applyFont="1" applyBorder="1" applyAlignment="1" applyProtection="1">
      <alignment horizontal="center" vertical="center"/>
      <protection hidden="1"/>
    </xf>
    <xf numFmtId="0" fontId="4" fillId="0" borderId="12" xfId="2" applyFont="1" applyBorder="1" applyAlignment="1" applyProtection="1">
      <alignment horizontal="center" vertical="center"/>
      <protection hidden="1"/>
    </xf>
    <xf numFmtId="0" fontId="2" fillId="0" borderId="4" xfId="2" applyFont="1" applyBorder="1" applyAlignment="1" applyProtection="1">
      <alignment horizontal="center" vertical="center"/>
      <protection hidden="1"/>
    </xf>
    <xf numFmtId="0" fontId="2" fillId="0" borderId="5" xfId="2" applyFont="1" applyBorder="1" applyAlignment="1" applyProtection="1">
      <alignment horizontal="center" vertical="center"/>
      <protection hidden="1"/>
    </xf>
    <xf numFmtId="0" fontId="2" fillId="0" borderId="6" xfId="2" applyFont="1" applyBorder="1" applyAlignment="1" applyProtection="1">
      <alignment horizontal="center" vertical="center"/>
      <protection hidden="1"/>
    </xf>
    <xf numFmtId="0" fontId="2" fillId="0" borderId="7" xfId="2" applyFont="1" applyBorder="1" applyAlignment="1" applyProtection="1">
      <alignment horizontal="center" vertical="center"/>
      <protection hidden="1"/>
    </xf>
    <xf numFmtId="0" fontId="2" fillId="0" borderId="0" xfId="2" applyFont="1" applyAlignment="1" applyProtection="1">
      <alignment horizontal="center" vertical="center"/>
      <protection hidden="1"/>
    </xf>
    <xf numFmtId="0" fontId="2" fillId="0" borderId="8" xfId="2" applyFont="1" applyBorder="1" applyAlignment="1" applyProtection="1">
      <alignment horizontal="center" vertical="center"/>
      <protection hidden="1"/>
    </xf>
    <xf numFmtId="0" fontId="2" fillId="0" borderId="13" xfId="2" applyFont="1" applyBorder="1" applyAlignment="1" applyProtection="1">
      <alignment horizontal="center" vertical="center"/>
      <protection hidden="1"/>
    </xf>
    <xf numFmtId="0" fontId="2" fillId="0" borderId="14" xfId="2" applyFont="1" applyBorder="1" applyAlignment="1" applyProtection="1">
      <alignment horizontal="center" vertical="center"/>
      <protection hidden="1"/>
    </xf>
    <xf numFmtId="0" fontId="2" fillId="0" borderId="15" xfId="2" applyFont="1" applyBorder="1" applyAlignment="1" applyProtection="1">
      <alignment horizontal="center" vertical="center"/>
      <protection hidden="1"/>
    </xf>
    <xf numFmtId="0" fontId="2" fillId="0" borderId="4" xfId="3" applyFont="1" applyBorder="1" applyAlignment="1" applyProtection="1">
      <alignment horizontal="center" vertical="center" wrapText="1"/>
      <protection hidden="1"/>
    </xf>
    <xf numFmtId="0" fontId="2" fillId="0" borderId="6" xfId="3" applyFont="1" applyBorder="1" applyAlignment="1" applyProtection="1">
      <alignment horizontal="center" vertical="center" wrapText="1"/>
      <protection hidden="1"/>
    </xf>
    <xf numFmtId="0" fontId="2" fillId="0" borderId="7" xfId="3" applyFont="1" applyBorder="1" applyAlignment="1" applyProtection="1">
      <alignment horizontal="center" vertical="center" wrapText="1"/>
      <protection hidden="1"/>
    </xf>
    <xf numFmtId="0" fontId="2" fillId="0" borderId="8" xfId="3" applyFont="1" applyBorder="1" applyAlignment="1" applyProtection="1">
      <alignment horizontal="center" vertical="center" wrapText="1"/>
      <protection hidden="1"/>
    </xf>
    <xf numFmtId="0" fontId="2" fillId="0" borderId="13" xfId="3" applyFont="1" applyBorder="1" applyAlignment="1" applyProtection="1">
      <alignment horizontal="center" vertical="center" wrapText="1"/>
      <protection hidden="1"/>
    </xf>
    <xf numFmtId="0" fontId="2" fillId="0" borderId="15" xfId="3" applyFont="1" applyBorder="1" applyAlignment="1" applyProtection="1">
      <alignment horizontal="center" vertical="center" wrapText="1"/>
      <protection hidden="1"/>
    </xf>
    <xf numFmtId="0" fontId="3" fillId="3" borderId="4" xfId="2" applyFont="1" applyFill="1" applyBorder="1" applyAlignment="1" applyProtection="1">
      <alignment horizontal="center" vertical="center"/>
      <protection hidden="1"/>
    </xf>
    <xf numFmtId="0" fontId="3" fillId="3" borderId="6" xfId="2" applyFont="1" applyFill="1" applyBorder="1" applyAlignment="1" applyProtection="1">
      <alignment horizontal="center" vertical="center"/>
      <protection hidden="1"/>
    </xf>
    <xf numFmtId="0" fontId="9" fillId="0" borderId="0" xfId="0" applyFont="1" applyAlignment="1">
      <alignment horizontal="left" wrapText="1"/>
    </xf>
    <xf numFmtId="0" fontId="9" fillId="0" borderId="2" xfId="0" applyFont="1" applyBorder="1" applyAlignment="1">
      <alignment horizontal="left" vertical="center" wrapText="1"/>
    </xf>
    <xf numFmtId="0" fontId="11" fillId="0" borderId="2" xfId="2" applyFont="1" applyBorder="1" applyAlignment="1" applyProtection="1">
      <alignment horizontal="left" vertical="center" wrapText="1"/>
      <protection locked="0"/>
    </xf>
    <xf numFmtId="0" fontId="12" fillId="5" borderId="5" xfId="2" applyFont="1" applyFill="1" applyBorder="1" applyAlignment="1" applyProtection="1">
      <alignment horizontal="center" vertical="center"/>
      <protection locked="0" hidden="1"/>
    </xf>
    <xf numFmtId="0" fontId="11" fillId="5" borderId="5" xfId="2" applyFont="1" applyFill="1" applyBorder="1" applyAlignment="1" applyProtection="1">
      <alignment horizontal="left" vertical="center"/>
      <protection locked="0" hidden="1"/>
    </xf>
    <xf numFmtId="0" fontId="12" fillId="5" borderId="2" xfId="2" applyFont="1" applyFill="1" applyBorder="1" applyAlignment="1" applyProtection="1">
      <alignment horizontal="center" vertical="center"/>
      <protection locked="0" hidden="1"/>
    </xf>
    <xf numFmtId="0" fontId="11" fillId="5" borderId="2" xfId="2" applyFont="1" applyFill="1" applyBorder="1" applyAlignment="1" applyProtection="1">
      <alignment horizontal="left" vertical="center"/>
      <protection locked="0" hidden="1"/>
    </xf>
    <xf numFmtId="0" fontId="13" fillId="0" borderId="2" xfId="2" applyFont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5" fillId="6" borderId="4" xfId="1" applyFont="1" applyFill="1" applyBorder="1" applyAlignment="1">
      <alignment horizontal="center" vertical="center"/>
    </xf>
    <xf numFmtId="0" fontId="15" fillId="6" borderId="5" xfId="1" applyFont="1" applyFill="1" applyBorder="1" applyAlignment="1">
      <alignment horizontal="center" vertical="center"/>
    </xf>
    <xf numFmtId="0" fontId="15" fillId="6" borderId="6" xfId="1" applyFont="1" applyFill="1" applyBorder="1" applyAlignment="1">
      <alignment horizontal="center" vertical="center"/>
    </xf>
    <xf numFmtId="0" fontId="2" fillId="0" borderId="7" xfId="1" applyFont="1" applyBorder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8" xfId="1" applyFont="1" applyBorder="1" applyAlignment="1">
      <alignment horizontal="left" vertical="center" wrapText="1"/>
    </xf>
    <xf numFmtId="0" fontId="15" fillId="6" borderId="7" xfId="1" applyFont="1" applyFill="1" applyBorder="1" applyAlignment="1">
      <alignment horizontal="center" vertical="center"/>
    </xf>
    <xf numFmtId="0" fontId="15" fillId="6" borderId="0" xfId="1" applyFont="1" applyFill="1" applyAlignment="1">
      <alignment horizontal="center" vertical="center"/>
    </xf>
    <xf numFmtId="0" fontId="15" fillId="6" borderId="8" xfId="1" applyFont="1" applyFill="1" applyBorder="1" applyAlignment="1">
      <alignment horizontal="center" vertical="center"/>
    </xf>
    <xf numFmtId="0" fontId="6" fillId="0" borderId="2" xfId="1" applyFont="1" applyBorder="1" applyAlignment="1">
      <alignment horizontal="center" vertical="top"/>
    </xf>
    <xf numFmtId="0" fontId="6" fillId="0" borderId="3" xfId="1" applyFont="1" applyBorder="1" applyAlignment="1">
      <alignment horizontal="center" vertical="top"/>
    </xf>
    <xf numFmtId="0" fontId="6" fillId="0" borderId="14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12" fillId="5" borderId="2" xfId="2" applyNumberFormat="1" applyFont="1" applyFill="1" applyBorder="1" applyAlignment="1" applyProtection="1">
      <alignment horizontal="center" vertical="center"/>
      <protection locked="0" hidden="1"/>
    </xf>
    <xf numFmtId="2" fontId="9" fillId="5" borderId="2" xfId="2" applyNumberFormat="1" applyFont="1" applyFill="1" applyBorder="1" applyAlignment="1" applyProtection="1">
      <alignment horizontal="left" vertical="center"/>
      <protection locked="0"/>
    </xf>
  </cellXfs>
  <cellStyles count="5">
    <cellStyle name="Normal" xfId="0" builtinId="0"/>
    <cellStyle name="Normal 2 2" xfId="2" xr:uid="{D4356E92-D5B9-43CD-BEE4-416B3D6DB7A4}"/>
    <cellStyle name="Normal 9 2" xfId="1" xr:uid="{52FC07CA-A277-43C3-8745-DA7FCC839641}"/>
    <cellStyle name="Normal_TENTATIVAS~1" xfId="3" xr:uid="{054D3D5C-19D5-4FDB-9596-8AE92A1DC6EE}"/>
    <cellStyle name="Porcentagem 2 2" xfId="4" xr:uid="{67491CF7-7D31-4F67-83AB-80135F687E7B}"/>
  </cellStyles>
  <dxfs count="3">
    <dxf>
      <font>
        <color theme="0"/>
      </font>
    </dxf>
    <dxf>
      <font>
        <color auto="1"/>
      </font>
      <fill>
        <patternFill>
          <bgColor rgb="FF92D05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pt-BR" sz="12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Granulometria da mistura</a:t>
            </a:r>
          </a:p>
        </c:rich>
      </c:tx>
      <c:layout>
        <c:manualLayout>
          <c:xMode val="edge"/>
          <c:yMode val="edge"/>
          <c:x val="0.40616966989879039"/>
          <c:y val="2.612398980382734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2806048506351218E-2"/>
          <c:y val="0.10645628695413203"/>
          <c:w val="0.87989422102050752"/>
          <c:h val="0.7208768938864103"/>
        </c:manualLayout>
      </c:layout>
      <c:scatterChart>
        <c:scatterStyle val="lineMarker"/>
        <c:varyColors val="0"/>
        <c:ser>
          <c:idx val="6"/>
          <c:order val="0"/>
          <c:tx>
            <c:strRef>
              <c:f>'FR-IMOB-19_Rev00'!$P$12:$P$14</c:f>
              <c:strCache>
                <c:ptCount val="3"/>
                <c:pt idx="0">
                  <c:v>Mistura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'FR-IMOB-19_Rev00'!$C$18:$C$28</c:f>
              <c:numCache>
                <c:formatCode>0.0</c:formatCode>
                <c:ptCount val="11"/>
                <c:pt idx="0">
                  <c:v>50.8</c:v>
                </c:pt>
                <c:pt idx="1">
                  <c:v>38.1</c:v>
                </c:pt>
                <c:pt idx="2">
                  <c:v>25.4</c:v>
                </c:pt>
                <c:pt idx="3">
                  <c:v>19.100000000000001</c:v>
                </c:pt>
                <c:pt idx="4">
                  <c:v>12.7</c:v>
                </c:pt>
                <c:pt idx="5">
                  <c:v>9.5</c:v>
                </c:pt>
                <c:pt idx="6" formatCode="0.00">
                  <c:v>4.75</c:v>
                </c:pt>
                <c:pt idx="7" formatCode="0.00">
                  <c:v>2</c:v>
                </c:pt>
                <c:pt idx="8" formatCode="0.00">
                  <c:v>0.42</c:v>
                </c:pt>
                <c:pt idx="9" formatCode="0.00">
                  <c:v>0.18</c:v>
                </c:pt>
                <c:pt idx="10" formatCode="General">
                  <c:v>7.4999999999999997E-2</c:v>
                </c:pt>
              </c:numCache>
            </c:numRef>
          </c:xVal>
          <c:yVal>
            <c:numRef>
              <c:f>'FR-IMOB-19_Rev00'!$P$18:$P$28</c:f>
              <c:numCache>
                <c:formatCode>0.00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99.910159041578083</c:v>
                </c:pt>
                <c:pt idx="4">
                  <c:v>90.725998393160722</c:v>
                </c:pt>
                <c:pt idx="5">
                  <c:v>84.272688563605158</c:v>
                </c:pt>
                <c:pt idx="6">
                  <c:v>60.433586534822481</c:v>
                </c:pt>
                <c:pt idx="7">
                  <c:v>44.510055421849763</c:v>
                </c:pt>
                <c:pt idx="8">
                  <c:v>19.356462119110972</c:v>
                </c:pt>
                <c:pt idx="9">
                  <c:v>13.098354562846504</c:v>
                </c:pt>
                <c:pt idx="10">
                  <c:v>9.1155362385813934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64-4B0F-871F-153A5FEEC7F2}"/>
            </c:ext>
          </c:extLst>
        </c:ser>
        <c:ser>
          <c:idx val="7"/>
          <c:order val="1"/>
          <c:tx>
            <c:strRef>
              <c:f>'FR-IMOB-19_Rev00'!$Q$15</c:f>
              <c:strCache>
                <c:ptCount val="1"/>
                <c:pt idx="0">
                  <c:v>FAIXA C - DNIT-032</c:v>
                </c:pt>
              </c:strCache>
            </c:strRef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'FR-IMOB-19_Rev00'!$C$18:$C$28</c:f>
              <c:numCache>
                <c:formatCode>0.0</c:formatCode>
                <c:ptCount val="11"/>
                <c:pt idx="0">
                  <c:v>50.8</c:v>
                </c:pt>
                <c:pt idx="1">
                  <c:v>38.1</c:v>
                </c:pt>
                <c:pt idx="2">
                  <c:v>25.4</c:v>
                </c:pt>
                <c:pt idx="3">
                  <c:v>19.100000000000001</c:v>
                </c:pt>
                <c:pt idx="4">
                  <c:v>12.7</c:v>
                </c:pt>
                <c:pt idx="5">
                  <c:v>9.5</c:v>
                </c:pt>
                <c:pt idx="6" formatCode="0.00">
                  <c:v>4.75</c:v>
                </c:pt>
                <c:pt idx="7" formatCode="0.00">
                  <c:v>2</c:v>
                </c:pt>
                <c:pt idx="8" formatCode="0.00">
                  <c:v>0.42</c:v>
                </c:pt>
                <c:pt idx="9" formatCode="0.00">
                  <c:v>0.18</c:v>
                </c:pt>
                <c:pt idx="10" formatCode="General">
                  <c:v>7.4999999999999997E-2</c:v>
                </c:pt>
              </c:numCache>
            </c:numRef>
          </c:xVal>
          <c:yVal>
            <c:numRef>
              <c:f>'FR-IMOB-19_Rev00'!$Q$18:$Q$28</c:f>
              <c:numCache>
                <c:formatCode>0.00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100</c:v>
                </c:pt>
                <c:pt idx="4">
                  <c:v>80</c:v>
                </c:pt>
                <c:pt idx="5">
                  <c:v>70</c:v>
                </c:pt>
                <c:pt idx="6">
                  <c:v>44</c:v>
                </c:pt>
                <c:pt idx="7">
                  <c:v>22</c:v>
                </c:pt>
                <c:pt idx="8">
                  <c:v>8</c:v>
                </c:pt>
                <c:pt idx="9">
                  <c:v>4</c:v>
                </c:pt>
                <c:pt idx="1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64-4B0F-871F-153A5FEEC7F2}"/>
            </c:ext>
          </c:extLst>
        </c:ser>
        <c:ser>
          <c:idx val="8"/>
          <c:order val="2"/>
          <c:tx>
            <c:strRef>
              <c:f>'FR-IMOB-19_Rev00'!$Q$15</c:f>
              <c:strCache>
                <c:ptCount val="1"/>
                <c:pt idx="0">
                  <c:v>FAIXA C - DNIT-032</c:v>
                </c:pt>
              </c:strCache>
            </c:strRef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'FR-IMOB-19_Rev00'!$C$18:$C$28</c:f>
              <c:numCache>
                <c:formatCode>0.0</c:formatCode>
                <c:ptCount val="11"/>
                <c:pt idx="0">
                  <c:v>50.8</c:v>
                </c:pt>
                <c:pt idx="1">
                  <c:v>38.1</c:v>
                </c:pt>
                <c:pt idx="2">
                  <c:v>25.4</c:v>
                </c:pt>
                <c:pt idx="3">
                  <c:v>19.100000000000001</c:v>
                </c:pt>
                <c:pt idx="4">
                  <c:v>12.7</c:v>
                </c:pt>
                <c:pt idx="5">
                  <c:v>9.5</c:v>
                </c:pt>
                <c:pt idx="6" formatCode="0.00">
                  <c:v>4.75</c:v>
                </c:pt>
                <c:pt idx="7" formatCode="0.00">
                  <c:v>2</c:v>
                </c:pt>
                <c:pt idx="8" formatCode="0.00">
                  <c:v>0.42</c:v>
                </c:pt>
                <c:pt idx="9" formatCode="0.00">
                  <c:v>0.18</c:v>
                </c:pt>
                <c:pt idx="10" formatCode="General">
                  <c:v>7.4999999999999997E-2</c:v>
                </c:pt>
              </c:numCache>
            </c:numRef>
          </c:xVal>
          <c:yVal>
            <c:numRef>
              <c:f>'FR-IMOB-19_Rev00'!$R$18:$R$28</c:f>
              <c:numCache>
                <c:formatCode>0.00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100</c:v>
                </c:pt>
                <c:pt idx="4">
                  <c:v>100</c:v>
                </c:pt>
                <c:pt idx="5">
                  <c:v>90</c:v>
                </c:pt>
                <c:pt idx="6">
                  <c:v>72</c:v>
                </c:pt>
                <c:pt idx="7">
                  <c:v>50</c:v>
                </c:pt>
                <c:pt idx="8">
                  <c:v>26</c:v>
                </c:pt>
                <c:pt idx="9">
                  <c:v>16</c:v>
                </c:pt>
                <c:pt idx="1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64-4B0F-871F-153A5FEEC7F2}"/>
            </c:ext>
          </c:extLst>
        </c:ser>
        <c:ser>
          <c:idx val="9"/>
          <c:order val="3"/>
          <c:tx>
            <c:strRef>
              <c:f>'FR-IMOB-19_Rev00'!$S$15</c:f>
              <c:strCache>
                <c:ptCount val="1"/>
                <c:pt idx="0">
                  <c:v>TOLERANCIA FAIXA DE TRABALHO MISTURA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ysDot"/>
            </a:ln>
          </c:spPr>
          <c:marker>
            <c:symbol val="none"/>
          </c:marker>
          <c:xVal>
            <c:numRef>
              <c:f>'FR-IMOB-19_Rev00'!$C$18:$C$28</c:f>
              <c:numCache>
                <c:formatCode>0.0</c:formatCode>
                <c:ptCount val="11"/>
                <c:pt idx="0">
                  <c:v>50.8</c:v>
                </c:pt>
                <c:pt idx="1">
                  <c:v>38.1</c:v>
                </c:pt>
                <c:pt idx="2">
                  <c:v>25.4</c:v>
                </c:pt>
                <c:pt idx="3">
                  <c:v>19.100000000000001</c:v>
                </c:pt>
                <c:pt idx="4">
                  <c:v>12.7</c:v>
                </c:pt>
                <c:pt idx="5">
                  <c:v>9.5</c:v>
                </c:pt>
                <c:pt idx="6" formatCode="0.00">
                  <c:v>4.75</c:v>
                </c:pt>
                <c:pt idx="7" formatCode="0.00">
                  <c:v>2</c:v>
                </c:pt>
                <c:pt idx="8" formatCode="0.00">
                  <c:v>0.42</c:v>
                </c:pt>
                <c:pt idx="9" formatCode="0.00">
                  <c:v>0.18</c:v>
                </c:pt>
                <c:pt idx="10" formatCode="General">
                  <c:v>7.4999999999999997E-2</c:v>
                </c:pt>
              </c:numCache>
            </c:numRef>
          </c:xVal>
          <c:yVal>
            <c:numRef>
              <c:f>'FR-IMOB-19_Rev00'!$S$18:$S$28</c:f>
              <c:numCache>
                <c:formatCode>0.00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93</c:v>
                </c:pt>
                <c:pt idx="3">
                  <c:v>92.910159041578083</c:v>
                </c:pt>
                <c:pt idx="4">
                  <c:v>83.725998393160722</c:v>
                </c:pt>
                <c:pt idx="5">
                  <c:v>77.272688563605158</c:v>
                </c:pt>
                <c:pt idx="6">
                  <c:v>55.433586534822481</c:v>
                </c:pt>
                <c:pt idx="7">
                  <c:v>39.510055421849763</c:v>
                </c:pt>
                <c:pt idx="8">
                  <c:v>14.356462119110972</c:v>
                </c:pt>
                <c:pt idx="9">
                  <c:v>10.098354562846504</c:v>
                </c:pt>
                <c:pt idx="10">
                  <c:v>7.1155362385813934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964-4B0F-871F-153A5FEEC7F2}"/>
            </c:ext>
          </c:extLst>
        </c:ser>
        <c:ser>
          <c:idx val="3"/>
          <c:order val="4"/>
          <c:tx>
            <c:strRef>
              <c:f>'FR-IMOB-19_Rev00'!$S$15</c:f>
              <c:strCache>
                <c:ptCount val="1"/>
                <c:pt idx="0">
                  <c:v>TOLERANCIA FAIXA DE TRABALHO MISTURA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ysDot"/>
            </a:ln>
          </c:spPr>
          <c:marker>
            <c:symbol val="none"/>
          </c:marker>
          <c:xVal>
            <c:numRef>
              <c:f>'FR-IMOB-19_Rev00'!$C$18:$C$28</c:f>
              <c:numCache>
                <c:formatCode>0.0</c:formatCode>
                <c:ptCount val="11"/>
                <c:pt idx="0">
                  <c:v>50.8</c:v>
                </c:pt>
                <c:pt idx="1">
                  <c:v>38.1</c:v>
                </c:pt>
                <c:pt idx="2">
                  <c:v>25.4</c:v>
                </c:pt>
                <c:pt idx="3">
                  <c:v>19.100000000000001</c:v>
                </c:pt>
                <c:pt idx="4">
                  <c:v>12.7</c:v>
                </c:pt>
                <c:pt idx="5">
                  <c:v>9.5</c:v>
                </c:pt>
                <c:pt idx="6" formatCode="0.00">
                  <c:v>4.75</c:v>
                </c:pt>
                <c:pt idx="7" formatCode="0.00">
                  <c:v>2</c:v>
                </c:pt>
                <c:pt idx="8" formatCode="0.00">
                  <c:v>0.42</c:v>
                </c:pt>
                <c:pt idx="9" formatCode="0.00">
                  <c:v>0.18</c:v>
                </c:pt>
                <c:pt idx="10" formatCode="General">
                  <c:v>7.4999999999999997E-2</c:v>
                </c:pt>
              </c:numCache>
            </c:numRef>
          </c:xVal>
          <c:yVal>
            <c:numRef>
              <c:f>'FR-IMOB-19_Rev00'!$T$18:$T$28</c:f>
              <c:numCache>
                <c:formatCode>0.00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97.725998393160722</c:v>
                </c:pt>
                <c:pt idx="5">
                  <c:v>91.272688563605158</c:v>
                </c:pt>
                <c:pt idx="6">
                  <c:v>65.433586534822481</c:v>
                </c:pt>
                <c:pt idx="7">
                  <c:v>49.510055421849763</c:v>
                </c:pt>
                <c:pt idx="8">
                  <c:v>24.356462119110972</c:v>
                </c:pt>
                <c:pt idx="9">
                  <c:v>16.098354562846502</c:v>
                </c:pt>
                <c:pt idx="10">
                  <c:v>11.115536238581393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964-4B0F-871F-153A5FEEC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285775"/>
        <c:axId val="1"/>
      </c:scatterChart>
      <c:valAx>
        <c:axId val="1860285775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.0" sourceLinked="1"/>
        <c:majorTickMark val="out"/>
        <c:minorTickMark val="none"/>
        <c:tickLblPos val="nextTo"/>
        <c:crossAx val="1"/>
        <c:crossesAt val="0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ysClr val="windowText" lastClr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solidFill>
                      <a:sysClr val="windowText" lastClr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% PASSANDO</a:t>
                </a:r>
              </a:p>
            </c:rich>
          </c:tx>
          <c:layout>
            <c:manualLayout>
              <c:xMode val="edge"/>
              <c:yMode val="edge"/>
              <c:x val="2.4115215017578049E-2"/>
              <c:y val="0.364981758461292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60285775"/>
        <c:crossesAt val="0.01"/>
        <c:crossBetween val="midCat"/>
        <c:majorUnit val="10"/>
        <c:minorUnit val="2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legendEntry>
        <c:idx val="2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10797786564886175"/>
          <c:y val="0.89372411256600959"/>
          <c:w val="0.84379507546893873"/>
          <c:h val="4.7542655050704437E-2"/>
        </c:manualLayout>
      </c:layout>
      <c:overlay val="0"/>
      <c:txPr>
        <a:bodyPr/>
        <a:lstStyle/>
        <a:p>
          <a:pPr>
            <a:defRPr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legend>
    <c:plotVisOnly val="0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74803149606299213" l="0.78740157480314965" r="0.78740157480314965" t="1.1417322834645669" header="0.51181102362204722" footer="0.51181102362204722"/>
    <c:pageSetup paperSize="9" orientation="landscape" horizontalDpi="180" verticalDpi="18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pt-BR" sz="12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Granulometrias individuais dos insumos</a:t>
            </a:r>
          </a:p>
        </c:rich>
      </c:tx>
      <c:layout>
        <c:manualLayout>
          <c:xMode val="edge"/>
          <c:yMode val="edge"/>
          <c:x val="0.31522130220734679"/>
          <c:y val="2.588532921450866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3480087519540164E-2"/>
          <c:y val="0.1065616968913199"/>
          <c:w val="0.86394647163477756"/>
          <c:h val="0.7217788228385551"/>
        </c:manualLayout>
      </c:layout>
      <c:scatterChart>
        <c:scatterStyle val="lineMarker"/>
        <c:varyColors val="0"/>
        <c:ser>
          <c:idx val="5"/>
          <c:order val="0"/>
          <c:tx>
            <c:strRef>
              <c:f>'FR-IMOB-19_Rev00'!$N$12:$O$12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'FR-IMOB-19_Rev00'!$C$18:$C$28</c:f>
              <c:numCache>
                <c:formatCode>0.0</c:formatCode>
                <c:ptCount val="11"/>
                <c:pt idx="0">
                  <c:v>50.8</c:v>
                </c:pt>
                <c:pt idx="1">
                  <c:v>38.1</c:v>
                </c:pt>
                <c:pt idx="2">
                  <c:v>25.4</c:v>
                </c:pt>
                <c:pt idx="3">
                  <c:v>19.100000000000001</c:v>
                </c:pt>
                <c:pt idx="4">
                  <c:v>12.7</c:v>
                </c:pt>
                <c:pt idx="5">
                  <c:v>9.5</c:v>
                </c:pt>
                <c:pt idx="6" formatCode="0.00">
                  <c:v>4.75</c:v>
                </c:pt>
                <c:pt idx="7" formatCode="0.00">
                  <c:v>2</c:v>
                </c:pt>
                <c:pt idx="8" formatCode="0.00">
                  <c:v>0.42</c:v>
                </c:pt>
                <c:pt idx="9" formatCode="0.00">
                  <c:v>0.18</c:v>
                </c:pt>
                <c:pt idx="10" formatCode="General">
                  <c:v>7.4999999999999997E-2</c:v>
                </c:pt>
              </c:numCache>
            </c:numRef>
          </c:xVal>
          <c:yVal>
            <c:numRef>
              <c:f>'FR-IMOB-19_Rev00'!$N$18:$N$28</c:f>
              <c:numCache>
                <c:formatCode>0.00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78-4A52-B5BA-F28CE452FD50}"/>
            </c:ext>
          </c:extLst>
        </c:ser>
        <c:ser>
          <c:idx val="4"/>
          <c:order val="1"/>
          <c:tx>
            <c:strRef>
              <c:f>'FR-IMOB-19_Rev00'!$L$12:$M$12</c:f>
              <c:strCache>
                <c:ptCount val="1"/>
                <c:pt idx="0">
                  <c:v>Filer</c:v>
                </c:pt>
              </c:strCache>
            </c:strRef>
          </c:tx>
          <c:marker>
            <c:symbol val="none"/>
          </c:marker>
          <c:xVal>
            <c:numRef>
              <c:f>'FR-IMOB-19_Rev00'!$C$18:$C$28</c:f>
              <c:numCache>
                <c:formatCode>0.0</c:formatCode>
                <c:ptCount val="11"/>
                <c:pt idx="0">
                  <c:v>50.8</c:v>
                </c:pt>
                <c:pt idx="1">
                  <c:v>38.1</c:v>
                </c:pt>
                <c:pt idx="2">
                  <c:v>25.4</c:v>
                </c:pt>
                <c:pt idx="3">
                  <c:v>19.100000000000001</c:v>
                </c:pt>
                <c:pt idx="4">
                  <c:v>12.7</c:v>
                </c:pt>
                <c:pt idx="5">
                  <c:v>9.5</c:v>
                </c:pt>
                <c:pt idx="6" formatCode="0.00">
                  <c:v>4.75</c:v>
                </c:pt>
                <c:pt idx="7" formatCode="0.00">
                  <c:v>2</c:v>
                </c:pt>
                <c:pt idx="8" formatCode="0.00">
                  <c:v>0.42</c:v>
                </c:pt>
                <c:pt idx="9" formatCode="0.00">
                  <c:v>0.18</c:v>
                </c:pt>
                <c:pt idx="10" formatCode="General">
                  <c:v>7.4999999999999997E-2</c:v>
                </c:pt>
              </c:numCache>
            </c:numRef>
          </c:xVal>
          <c:yVal>
            <c:numRef>
              <c:f>'FR-IMOB-19_Rev00'!$L$18:$L$28</c:f>
              <c:numCache>
                <c:formatCode>0.00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89.462582098854213</c:v>
                </c:pt>
                <c:pt idx="9">
                  <c:v>66.820077664317566</c:v>
                </c:pt>
                <c:pt idx="10">
                  <c:v>6.3521741214823351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78-4A52-B5BA-F28CE452FD50}"/>
            </c:ext>
          </c:extLst>
        </c:ser>
        <c:ser>
          <c:idx val="3"/>
          <c:order val="2"/>
          <c:tx>
            <c:strRef>
              <c:f>'FR-IMOB-19_Rev00'!$J$12:$K$12</c:f>
              <c:strCache>
                <c:ptCount val="1"/>
                <c:pt idx="0">
                  <c:v>Pó de Pedra</c:v>
                </c:pt>
              </c:strCache>
            </c:strRef>
          </c:tx>
          <c:marker>
            <c:symbol val="none"/>
          </c:marker>
          <c:xVal>
            <c:numRef>
              <c:f>'FR-IMOB-19_Rev00'!$C$18:$C$28</c:f>
              <c:numCache>
                <c:formatCode>0.0</c:formatCode>
                <c:ptCount val="11"/>
                <c:pt idx="0">
                  <c:v>50.8</c:v>
                </c:pt>
                <c:pt idx="1">
                  <c:v>38.1</c:v>
                </c:pt>
                <c:pt idx="2">
                  <c:v>25.4</c:v>
                </c:pt>
                <c:pt idx="3">
                  <c:v>19.100000000000001</c:v>
                </c:pt>
                <c:pt idx="4">
                  <c:v>12.7</c:v>
                </c:pt>
                <c:pt idx="5">
                  <c:v>9.5</c:v>
                </c:pt>
                <c:pt idx="6" formatCode="0.00">
                  <c:v>4.75</c:v>
                </c:pt>
                <c:pt idx="7" formatCode="0.00">
                  <c:v>2</c:v>
                </c:pt>
                <c:pt idx="8" formatCode="0.00">
                  <c:v>0.42</c:v>
                </c:pt>
                <c:pt idx="9" formatCode="0.00">
                  <c:v>0.18</c:v>
                </c:pt>
                <c:pt idx="10" formatCode="General">
                  <c:v>7.4999999999999997E-2</c:v>
                </c:pt>
              </c:numCache>
            </c:numRef>
          </c:xVal>
          <c:yVal>
            <c:numRef>
              <c:f>'FR-IMOB-19_Rev00'!$J$18:$J$28</c:f>
              <c:numCache>
                <c:formatCode>0.00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99.833487126473457</c:v>
                </c:pt>
                <c:pt idx="7">
                  <c:v>88.14775242310921</c:v>
                </c:pt>
                <c:pt idx="8">
                  <c:v>37.22950330597434</c:v>
                </c:pt>
                <c:pt idx="9">
                  <c:v>24.831232264644459</c:v>
                </c:pt>
                <c:pt idx="10">
                  <c:v>18.124232479723588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78-4A52-B5BA-F28CE452FD50}"/>
            </c:ext>
          </c:extLst>
        </c:ser>
        <c:ser>
          <c:idx val="2"/>
          <c:order val="3"/>
          <c:tx>
            <c:strRef>
              <c:f>'FR-IMOB-19_Rev00'!$H$12:$I$12</c:f>
              <c:strCache>
                <c:ptCount val="1"/>
                <c:pt idx="0">
                  <c:v>RAP</c:v>
                </c:pt>
              </c:strCache>
            </c:strRef>
          </c:tx>
          <c:marker>
            <c:symbol val="none"/>
          </c:marker>
          <c:xVal>
            <c:numRef>
              <c:f>'FR-IMOB-19_Rev00'!$C$18:$C$28</c:f>
              <c:numCache>
                <c:formatCode>0.0</c:formatCode>
                <c:ptCount val="11"/>
                <c:pt idx="0">
                  <c:v>50.8</c:v>
                </c:pt>
                <c:pt idx="1">
                  <c:v>38.1</c:v>
                </c:pt>
                <c:pt idx="2">
                  <c:v>25.4</c:v>
                </c:pt>
                <c:pt idx="3">
                  <c:v>19.100000000000001</c:v>
                </c:pt>
                <c:pt idx="4">
                  <c:v>12.7</c:v>
                </c:pt>
                <c:pt idx="5">
                  <c:v>9.5</c:v>
                </c:pt>
                <c:pt idx="6" formatCode="0.00">
                  <c:v>4.75</c:v>
                </c:pt>
                <c:pt idx="7" formatCode="0.00">
                  <c:v>2</c:v>
                </c:pt>
                <c:pt idx="8" formatCode="0.00">
                  <c:v>0.42</c:v>
                </c:pt>
                <c:pt idx="9" formatCode="0.00">
                  <c:v>0.18</c:v>
                </c:pt>
                <c:pt idx="10" formatCode="General">
                  <c:v>7.4999999999999997E-2</c:v>
                </c:pt>
              </c:numCache>
            </c:numRef>
          </c:xVal>
          <c:yVal>
            <c:numRef>
              <c:f>'FR-IMOB-19_Rev00'!$H$18:$H$28</c:f>
              <c:numCache>
                <c:formatCode>0.00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95.689838261721931</c:v>
                </c:pt>
                <c:pt idx="5">
                  <c:v>87.08544355497466</c:v>
                </c:pt>
                <c:pt idx="6">
                  <c:v>50.872814899526198</c:v>
                </c:pt>
                <c:pt idx="7">
                  <c:v>17.649893808201249</c:v>
                </c:pt>
                <c:pt idx="8">
                  <c:v>0.76662310080049434</c:v>
                </c:pt>
                <c:pt idx="9">
                  <c:v>0.21524260741706014</c:v>
                </c:pt>
                <c:pt idx="10">
                  <c:v>9.2713608887408094E-2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78-4A52-B5BA-F28CE452FD50}"/>
            </c:ext>
          </c:extLst>
        </c:ser>
        <c:ser>
          <c:idx val="1"/>
          <c:order val="4"/>
          <c:tx>
            <c:strRef>
              <c:f>'FR-IMOB-19_Rev00'!$F$12:$G$12</c:f>
              <c:strCache>
                <c:ptCount val="1"/>
                <c:pt idx="0">
                  <c:v>Brita 3/8" </c:v>
                </c:pt>
              </c:strCache>
            </c:strRef>
          </c:tx>
          <c:marker>
            <c:symbol val="none"/>
          </c:marker>
          <c:xVal>
            <c:numRef>
              <c:f>'FR-IMOB-19_Rev00'!$C$18:$C$28</c:f>
              <c:numCache>
                <c:formatCode>0.0</c:formatCode>
                <c:ptCount val="11"/>
                <c:pt idx="0">
                  <c:v>50.8</c:v>
                </c:pt>
                <c:pt idx="1">
                  <c:v>38.1</c:v>
                </c:pt>
                <c:pt idx="2">
                  <c:v>25.4</c:v>
                </c:pt>
                <c:pt idx="3">
                  <c:v>19.100000000000001</c:v>
                </c:pt>
                <c:pt idx="4">
                  <c:v>12.7</c:v>
                </c:pt>
                <c:pt idx="5">
                  <c:v>9.5</c:v>
                </c:pt>
                <c:pt idx="6" formatCode="0.00">
                  <c:v>4.75</c:v>
                </c:pt>
                <c:pt idx="7" formatCode="0.00">
                  <c:v>2</c:v>
                </c:pt>
                <c:pt idx="8" formatCode="0.00">
                  <c:v>0.42</c:v>
                </c:pt>
                <c:pt idx="9" formatCode="0.00">
                  <c:v>0.18</c:v>
                </c:pt>
                <c:pt idx="10" formatCode="General">
                  <c:v>7.4999999999999997E-2</c:v>
                </c:pt>
              </c:numCache>
            </c:numRef>
          </c:xVal>
          <c:yVal>
            <c:numRef>
              <c:f>'FR-IMOB-19_Rev00'!$F$18:$F$28</c:f>
              <c:numCache>
                <c:formatCode>0.00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96.631511785017253</c:v>
                </c:pt>
                <c:pt idx="6">
                  <c:v>32.758782465095329</c:v>
                </c:pt>
                <c:pt idx="7">
                  <c:v>3.3337712055247035</c:v>
                </c:pt>
                <c:pt idx="8">
                  <c:v>1.607303708151937</c:v>
                </c:pt>
                <c:pt idx="9">
                  <c:v>1.3792974027923814</c:v>
                </c:pt>
                <c:pt idx="10">
                  <c:v>0.9317294700495502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F78-4A52-B5BA-F28CE452FD50}"/>
            </c:ext>
          </c:extLst>
        </c:ser>
        <c:ser>
          <c:idx val="0"/>
          <c:order val="5"/>
          <c:tx>
            <c:strRef>
              <c:f>'FR-IMOB-19_Rev00'!$D$12:$E$12</c:f>
              <c:strCache>
                <c:ptCount val="1"/>
                <c:pt idx="0">
                  <c:v>Brita 3/4"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'FR-IMOB-19_Rev00'!$C$18:$C$28</c:f>
              <c:numCache>
                <c:formatCode>0.0</c:formatCode>
                <c:ptCount val="11"/>
                <c:pt idx="0">
                  <c:v>50.8</c:v>
                </c:pt>
                <c:pt idx="1">
                  <c:v>38.1</c:v>
                </c:pt>
                <c:pt idx="2">
                  <c:v>25.4</c:v>
                </c:pt>
                <c:pt idx="3">
                  <c:v>19.100000000000001</c:v>
                </c:pt>
                <c:pt idx="4">
                  <c:v>12.7</c:v>
                </c:pt>
                <c:pt idx="5">
                  <c:v>9.5</c:v>
                </c:pt>
                <c:pt idx="6" formatCode="0.00">
                  <c:v>4.75</c:v>
                </c:pt>
                <c:pt idx="7" formatCode="0.00">
                  <c:v>2</c:v>
                </c:pt>
                <c:pt idx="8" formatCode="0.00">
                  <c:v>0.42</c:v>
                </c:pt>
                <c:pt idx="9" formatCode="0.00">
                  <c:v>0.18</c:v>
                </c:pt>
                <c:pt idx="10" formatCode="General">
                  <c:v>7.4999999999999997E-2</c:v>
                </c:pt>
              </c:numCache>
            </c:numRef>
          </c:xVal>
          <c:yVal>
            <c:numRef>
              <c:f>'FR-IMOB-19_Rev00'!$D$18:$D$28</c:f>
              <c:numCache>
                <c:formatCode>0.00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99.438494009862964</c:v>
                </c:pt>
                <c:pt idx="4">
                  <c:v>42.037489957254515</c:v>
                </c:pt>
                <c:pt idx="5">
                  <c:v>9.0728714928069429</c:v>
                </c:pt>
                <c:pt idx="6">
                  <c:v>0.299617820824093</c:v>
                </c:pt>
                <c:pt idx="7">
                  <c:v>0.20196460514808864</c:v>
                </c:pt>
                <c:pt idx="8">
                  <c:v>0.18199008375981499</c:v>
                </c:pt>
                <c:pt idx="9">
                  <c:v>0.17755130122908752</c:v>
                </c:pt>
                <c:pt idx="10">
                  <c:v>0.1642349536369051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F78-4A52-B5BA-F28CE452F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285775"/>
        <c:axId val="1"/>
      </c:scatterChart>
      <c:valAx>
        <c:axId val="1860285775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.0" sourceLinked="1"/>
        <c:majorTickMark val="out"/>
        <c:minorTickMark val="none"/>
        <c:tickLblPos val="nextTo"/>
        <c:crossAx val="1"/>
        <c:crossesAt val="0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ysClr val="windowText" lastClr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solidFill>
                      <a:sysClr val="windowText" lastClr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% PASSANDO</a:t>
                </a:r>
              </a:p>
            </c:rich>
          </c:tx>
          <c:layout>
            <c:manualLayout>
              <c:xMode val="edge"/>
              <c:yMode val="edge"/>
              <c:x val="2.9437434494225291E-2"/>
              <c:y val="0.36760665778126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60285775"/>
        <c:crossesAt val="0.01"/>
        <c:crossBetween val="midCat"/>
        <c:majorUnit val="10"/>
        <c:minorUnit val="2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7390913333579553"/>
          <c:y val="0.90062504329982618"/>
          <c:w val="0.56699580964541429"/>
          <c:h val="4.6462535368124031E-2"/>
        </c:manualLayout>
      </c:layout>
      <c:overlay val="0"/>
      <c:txPr>
        <a:bodyPr/>
        <a:lstStyle/>
        <a:p>
          <a:pPr>
            <a:defRPr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legend>
    <c:plotVisOnly val="0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74803149606299213" l="0.78740157480314965" r="0.78740157480314965" t="1.1417322834645669" header="0.51181102362204722" footer="0.51181102362204722"/>
    <c:pageSetup paperSize="9" orientation="landscape" horizontalDpi="180" verticalDpi="18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541084</xdr:colOff>
      <xdr:row>29</xdr:row>
      <xdr:rowOff>69798</xdr:rowOff>
    </xdr:from>
    <xdr:to>
      <xdr:col>19</xdr:col>
      <xdr:colOff>1393370</xdr:colOff>
      <xdr:row>51</xdr:row>
      <xdr:rowOff>141515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09A1B3E-83DD-468C-8F62-0E44ECEF4F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73276</xdr:colOff>
      <xdr:row>29</xdr:row>
      <xdr:rowOff>53789</xdr:rowOff>
    </xdr:from>
    <xdr:to>
      <xdr:col>12</xdr:col>
      <xdr:colOff>430307</xdr:colOff>
      <xdr:row>51</xdr:row>
      <xdr:rowOff>170328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404EB685-8C20-454D-BCF9-0307820F6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235605</xdr:colOff>
      <xdr:row>0</xdr:row>
      <xdr:rowOff>115794</xdr:rowOff>
    </xdr:from>
    <xdr:to>
      <xdr:col>13</xdr:col>
      <xdr:colOff>24719</xdr:colOff>
      <xdr:row>1</xdr:row>
      <xdr:rowOff>31002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7968BDD-3120-498A-B36F-CFDDEF016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4605" y="115794"/>
          <a:ext cx="1462526" cy="7519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2B8F0-74C8-48C1-8799-A3B3CE1A9D96}">
  <sheetPr>
    <pageSetUpPr fitToPage="1"/>
  </sheetPr>
  <dimension ref="B1:AW71"/>
  <sheetViews>
    <sheetView showGridLines="0" tabSelected="1" view="pageBreakPreview" zoomScale="85" zoomScaleNormal="85" zoomScaleSheetLayoutView="85" workbookViewId="0">
      <selection activeCell="Q58" sqref="Q58"/>
    </sheetView>
  </sheetViews>
  <sheetFormatPr defaultColWidth="11.81640625" defaultRowHeight="12.5" x14ac:dyDescent="0.25"/>
  <cols>
    <col min="1" max="1" width="2.26953125" style="3" customWidth="1"/>
    <col min="2" max="3" width="11.81640625" style="3"/>
    <col min="4" max="15" width="12" style="3" customWidth="1"/>
    <col min="16" max="20" width="22.26953125" style="3" customWidth="1"/>
    <col min="21" max="21" width="17.81640625" style="3" customWidth="1"/>
    <col min="22" max="22" width="11.81640625" style="3" hidden="1" customWidth="1"/>
    <col min="23" max="24" width="6.26953125" style="3" hidden="1" customWidth="1"/>
    <col min="25" max="38" width="11.54296875" style="3" hidden="1" customWidth="1"/>
    <col min="39" max="39" width="0" style="3" hidden="1" customWidth="1"/>
    <col min="40" max="40" width="21" style="3" hidden="1" customWidth="1"/>
    <col min="41" max="42" width="0" style="3" hidden="1" customWidth="1"/>
    <col min="43" max="43" width="21" style="3" hidden="1" customWidth="1"/>
    <col min="44" max="49" width="11.81640625" style="1"/>
    <col min="50" max="16384" width="11.81640625" style="3"/>
  </cols>
  <sheetData>
    <row r="1" spans="2:49" ht="66" customHeight="1" x14ac:dyDescent="0.3">
      <c r="B1" s="86" t="s">
        <v>61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73"/>
      <c r="O1" s="73"/>
      <c r="P1" s="73"/>
      <c r="Q1" s="73"/>
      <c r="R1" s="73"/>
      <c r="S1" s="73"/>
      <c r="T1" s="73"/>
    </row>
    <row r="2" spans="2:49" ht="12.5" customHeight="1" x14ac:dyDescent="0.25"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73"/>
      <c r="O2" s="73"/>
      <c r="P2" s="73"/>
      <c r="Q2" s="73"/>
      <c r="R2" s="73"/>
      <c r="S2" s="73"/>
      <c r="T2" s="73"/>
    </row>
    <row r="3" spans="2:49" ht="30" customHeight="1" x14ac:dyDescent="0.25">
      <c r="B3" s="87" t="s">
        <v>62</v>
      </c>
      <c r="C3" s="87"/>
      <c r="D3" s="87"/>
      <c r="E3" s="87"/>
      <c r="F3" s="87"/>
      <c r="G3" s="87"/>
      <c r="H3" s="87"/>
      <c r="I3" s="88" t="s">
        <v>60</v>
      </c>
      <c r="J3" s="88"/>
      <c r="K3" s="88"/>
      <c r="L3" s="88"/>
      <c r="M3" s="88"/>
      <c r="N3" s="73"/>
      <c r="O3" s="73"/>
      <c r="P3" s="73"/>
      <c r="Q3" s="73"/>
      <c r="R3" s="73"/>
      <c r="S3" s="73"/>
      <c r="T3" s="73"/>
    </row>
    <row r="4" spans="2:49" ht="30" customHeight="1" x14ac:dyDescent="0.25">
      <c r="B4" s="88" t="s">
        <v>66</v>
      </c>
      <c r="C4" s="88"/>
      <c r="D4" s="88"/>
      <c r="E4" s="88"/>
      <c r="F4" s="88"/>
      <c r="G4" s="88"/>
      <c r="H4" s="88"/>
      <c r="I4" s="88" t="s">
        <v>64</v>
      </c>
      <c r="J4" s="88"/>
      <c r="K4" s="88"/>
      <c r="L4" s="88"/>
      <c r="M4" s="88"/>
      <c r="N4" s="73"/>
      <c r="O4" s="73"/>
      <c r="P4" s="73"/>
      <c r="Q4" s="73"/>
      <c r="R4" s="73"/>
      <c r="S4" s="73"/>
      <c r="T4" s="73"/>
    </row>
    <row r="5" spans="2:49" ht="31.5" customHeight="1" x14ac:dyDescent="0.25">
      <c r="B5" s="93" t="s">
        <v>63</v>
      </c>
      <c r="C5" s="93"/>
      <c r="D5" s="93"/>
      <c r="E5" s="93"/>
      <c r="F5" s="93"/>
      <c r="G5" s="93"/>
      <c r="H5" s="93"/>
      <c r="I5" s="93" t="s">
        <v>65</v>
      </c>
      <c r="J5" s="93"/>
      <c r="K5" s="93"/>
      <c r="L5" s="93"/>
      <c r="M5" s="93"/>
      <c r="N5" s="73"/>
      <c r="O5" s="73"/>
      <c r="P5" s="73"/>
      <c r="Q5" s="73"/>
      <c r="R5" s="73"/>
      <c r="S5" s="73"/>
      <c r="T5" s="73"/>
    </row>
    <row r="6" spans="2:49" s="1" customFormat="1" ht="15" customHeight="1" x14ac:dyDescent="0.25"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AS6" s="1" t="s">
        <v>0</v>
      </c>
    </row>
    <row r="7" spans="2:49" s="1" customFormat="1" ht="26.25" customHeight="1" x14ac:dyDescent="0.25">
      <c r="B7" s="94" t="s">
        <v>1</v>
      </c>
      <c r="C7" s="95"/>
      <c r="D7" s="95"/>
      <c r="E7" s="2"/>
      <c r="F7" s="96" t="s">
        <v>2</v>
      </c>
      <c r="G7" s="96"/>
      <c r="H7" s="96"/>
      <c r="I7" s="96"/>
      <c r="J7" s="96"/>
      <c r="K7" s="31"/>
      <c r="L7" s="31"/>
      <c r="M7" s="31"/>
      <c r="N7" s="98" t="s">
        <v>3</v>
      </c>
      <c r="O7" s="98"/>
      <c r="P7" s="98"/>
      <c r="Q7" s="96" t="s">
        <v>4</v>
      </c>
      <c r="R7" s="96"/>
      <c r="S7" s="96"/>
      <c r="T7" s="97"/>
    </row>
    <row r="8" spans="2:49" s="1" customFormat="1" ht="26.25" customHeight="1" x14ac:dyDescent="0.25">
      <c r="B8" s="94" t="s">
        <v>5</v>
      </c>
      <c r="C8" s="95"/>
      <c r="D8" s="95"/>
      <c r="E8" s="2"/>
      <c r="F8" s="96" t="s">
        <v>2</v>
      </c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7"/>
    </row>
    <row r="9" spans="2:49" s="1" customFormat="1" ht="22.5" customHeight="1" x14ac:dyDescent="0.25">
      <c r="B9" s="100" t="s">
        <v>6</v>
      </c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</row>
    <row r="10" spans="2:49" s="1" customFormat="1" ht="23.5" customHeight="1" x14ac:dyDescent="0.25">
      <c r="B10" s="103" t="s">
        <v>7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5"/>
    </row>
    <row r="11" spans="2:49" s="1" customFormat="1" ht="22.5" customHeight="1" x14ac:dyDescent="0.25">
      <c r="B11" s="106" t="s">
        <v>8</v>
      </c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8"/>
    </row>
    <row r="12" spans="2:49" ht="17.25" customHeight="1" x14ac:dyDescent="0.25">
      <c r="B12" s="47" t="s">
        <v>9</v>
      </c>
      <c r="C12" s="47"/>
      <c r="D12" s="64" t="s">
        <v>10</v>
      </c>
      <c r="E12" s="65"/>
      <c r="F12" s="64" t="s">
        <v>11</v>
      </c>
      <c r="G12" s="65"/>
      <c r="H12" s="64" t="s">
        <v>12</v>
      </c>
      <c r="I12" s="65"/>
      <c r="J12" s="64" t="s">
        <v>13</v>
      </c>
      <c r="K12" s="65"/>
      <c r="L12" s="84" t="s">
        <v>14</v>
      </c>
      <c r="M12" s="85"/>
      <c r="N12" s="84"/>
      <c r="O12" s="85"/>
      <c r="P12" s="66" t="s">
        <v>15</v>
      </c>
      <c r="Q12" s="69" t="s">
        <v>16</v>
      </c>
      <c r="R12" s="70"/>
      <c r="S12" s="70"/>
      <c r="T12" s="71"/>
      <c r="AO12" s="1"/>
      <c r="AP12" s="1"/>
      <c r="AQ12" s="1"/>
      <c r="AU12" s="3"/>
      <c r="AV12" s="3"/>
      <c r="AW12" s="3"/>
    </row>
    <row r="13" spans="2:49" ht="17.25" customHeight="1" x14ac:dyDescent="0.25">
      <c r="B13" s="47" t="s">
        <v>17</v>
      </c>
      <c r="C13" s="47"/>
      <c r="D13" s="64" t="s">
        <v>18</v>
      </c>
      <c r="E13" s="65"/>
      <c r="F13" s="64" t="s">
        <v>18</v>
      </c>
      <c r="G13" s="65"/>
      <c r="H13" s="64" t="s">
        <v>18</v>
      </c>
      <c r="I13" s="65"/>
      <c r="J13" s="64" t="s">
        <v>18</v>
      </c>
      <c r="K13" s="65"/>
      <c r="L13" s="64" t="s">
        <v>18</v>
      </c>
      <c r="M13" s="65"/>
      <c r="N13" s="64" t="s">
        <v>18</v>
      </c>
      <c r="O13" s="65"/>
      <c r="P13" s="67"/>
      <c r="Q13" s="72"/>
      <c r="R13" s="73"/>
      <c r="S13" s="73"/>
      <c r="T13" s="74"/>
      <c r="V13" s="1"/>
      <c r="W13" s="58" t="s">
        <v>19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3" t="s">
        <v>20</v>
      </c>
      <c r="AL13" s="63"/>
      <c r="AM13" s="1"/>
      <c r="AN13" s="1"/>
      <c r="AO13" s="1"/>
      <c r="AP13" s="1"/>
      <c r="AQ13" s="1"/>
      <c r="AU13" s="3"/>
      <c r="AV13" s="3"/>
      <c r="AW13" s="3"/>
    </row>
    <row r="14" spans="2:49" ht="17.25" customHeight="1" x14ac:dyDescent="0.25">
      <c r="B14" s="47" t="s">
        <v>21</v>
      </c>
      <c r="C14" s="47"/>
      <c r="D14" s="64" t="s">
        <v>18</v>
      </c>
      <c r="E14" s="65"/>
      <c r="F14" s="64" t="s">
        <v>18</v>
      </c>
      <c r="G14" s="65"/>
      <c r="H14" s="64" t="s">
        <v>18</v>
      </c>
      <c r="I14" s="65"/>
      <c r="J14" s="64" t="s">
        <v>18</v>
      </c>
      <c r="K14" s="65"/>
      <c r="L14" s="64" t="s">
        <v>18</v>
      </c>
      <c r="M14" s="65"/>
      <c r="N14" s="64" t="s">
        <v>18</v>
      </c>
      <c r="O14" s="65"/>
      <c r="P14" s="68"/>
      <c r="Q14" s="75"/>
      <c r="R14" s="76"/>
      <c r="S14" s="76"/>
      <c r="T14" s="77"/>
      <c r="W14" s="58" t="s">
        <v>22</v>
      </c>
      <c r="X14" s="62"/>
      <c r="Y14" s="62"/>
      <c r="Z14" s="62"/>
      <c r="AA14" s="62"/>
      <c r="AB14" s="59"/>
      <c r="AC14" s="58" t="s">
        <v>23</v>
      </c>
      <c r="AD14" s="59"/>
      <c r="AE14" s="58" t="s">
        <v>24</v>
      </c>
      <c r="AF14" s="62"/>
      <c r="AG14" s="62"/>
      <c r="AH14" s="59"/>
      <c r="AI14" s="58" t="s">
        <v>25</v>
      </c>
      <c r="AJ14" s="62"/>
      <c r="AK14" s="63"/>
      <c r="AL14" s="63"/>
      <c r="AP14" s="1"/>
      <c r="AQ14" s="1"/>
      <c r="AU14" s="3"/>
      <c r="AV14" s="3"/>
      <c r="AW14" s="3"/>
    </row>
    <row r="15" spans="2:49" ht="17.25" customHeight="1" x14ac:dyDescent="0.25">
      <c r="B15" s="47" t="s">
        <v>26</v>
      </c>
      <c r="C15" s="47"/>
      <c r="D15" s="60">
        <v>16</v>
      </c>
      <c r="E15" s="61"/>
      <c r="F15" s="60">
        <v>35</v>
      </c>
      <c r="G15" s="61"/>
      <c r="H15" s="60">
        <v>0</v>
      </c>
      <c r="I15" s="61"/>
      <c r="J15" s="60">
        <v>48</v>
      </c>
      <c r="K15" s="61"/>
      <c r="L15" s="60">
        <v>1</v>
      </c>
      <c r="M15" s="61"/>
      <c r="N15" s="60"/>
      <c r="O15" s="61"/>
      <c r="P15" s="4">
        <f>SUM(D15:O15)</f>
        <v>100</v>
      </c>
      <c r="Q15" s="50" t="s">
        <v>27</v>
      </c>
      <c r="R15" s="51"/>
      <c r="S15" s="78" t="s">
        <v>28</v>
      </c>
      <c r="T15" s="79"/>
      <c r="V15" s="5">
        <f>VLOOKUP(Q15,AN19:AO26,2,0)</f>
        <v>5</v>
      </c>
      <c r="W15" s="43"/>
      <c r="X15" s="56"/>
      <c r="Y15" s="43" t="s">
        <v>29</v>
      </c>
      <c r="Z15" s="56"/>
      <c r="AA15" s="43" t="s">
        <v>27</v>
      </c>
      <c r="AB15" s="56"/>
      <c r="AC15" s="43" t="s">
        <v>30</v>
      </c>
      <c r="AD15" s="56"/>
      <c r="AE15" s="43" t="s">
        <v>31</v>
      </c>
      <c r="AF15" s="44"/>
      <c r="AG15" s="43" t="s">
        <v>32</v>
      </c>
      <c r="AH15" s="44"/>
      <c r="AI15" s="43" t="s">
        <v>33</v>
      </c>
      <c r="AJ15" s="44"/>
      <c r="AK15" s="63"/>
      <c r="AL15" s="63"/>
      <c r="AP15" s="1"/>
      <c r="AQ15" s="1"/>
      <c r="AU15" s="3"/>
      <c r="AV15" s="3"/>
      <c r="AW15" s="3"/>
    </row>
    <row r="16" spans="2:49" ht="17.25" customHeight="1" x14ac:dyDescent="0.25">
      <c r="B16" s="47" t="s">
        <v>34</v>
      </c>
      <c r="C16" s="47"/>
      <c r="D16" s="34" t="s">
        <v>35</v>
      </c>
      <c r="E16" s="48"/>
      <c r="F16" s="34" t="s">
        <v>35</v>
      </c>
      <c r="G16" s="48"/>
      <c r="H16" s="34" t="s">
        <v>35</v>
      </c>
      <c r="I16" s="48"/>
      <c r="J16" s="34" t="s">
        <v>35</v>
      </c>
      <c r="K16" s="48"/>
      <c r="L16" s="34" t="s">
        <v>35</v>
      </c>
      <c r="M16" s="48"/>
      <c r="N16" s="34" t="s">
        <v>35</v>
      </c>
      <c r="O16" s="48"/>
      <c r="P16" s="34" t="s">
        <v>35</v>
      </c>
      <c r="Q16" s="52"/>
      <c r="R16" s="53"/>
      <c r="S16" s="80"/>
      <c r="T16" s="81"/>
      <c r="V16" s="5">
        <f>V15+1</f>
        <v>6</v>
      </c>
      <c r="W16" s="45"/>
      <c r="X16" s="57"/>
      <c r="Y16" s="45"/>
      <c r="Z16" s="57"/>
      <c r="AA16" s="45"/>
      <c r="AB16" s="57"/>
      <c r="AC16" s="45"/>
      <c r="AD16" s="57"/>
      <c r="AE16" s="45"/>
      <c r="AF16" s="46"/>
      <c r="AG16" s="45"/>
      <c r="AH16" s="46"/>
      <c r="AI16" s="45"/>
      <c r="AJ16" s="46"/>
      <c r="AK16" s="63"/>
      <c r="AL16" s="63"/>
      <c r="AP16" s="1"/>
      <c r="AQ16" s="1"/>
      <c r="AU16" s="3"/>
      <c r="AV16" s="3"/>
      <c r="AW16" s="3"/>
    </row>
    <row r="17" spans="2:49" ht="17.25" customHeight="1" x14ac:dyDescent="0.25">
      <c r="B17" s="6" t="s">
        <v>36</v>
      </c>
      <c r="C17" s="6" t="s">
        <v>37</v>
      </c>
      <c r="D17" s="35"/>
      <c r="E17" s="49"/>
      <c r="F17" s="35"/>
      <c r="G17" s="49"/>
      <c r="H17" s="35"/>
      <c r="I17" s="49"/>
      <c r="J17" s="35"/>
      <c r="K17" s="49"/>
      <c r="L17" s="35"/>
      <c r="M17" s="49"/>
      <c r="N17" s="35"/>
      <c r="O17" s="49"/>
      <c r="P17" s="35"/>
      <c r="Q17" s="54"/>
      <c r="R17" s="55"/>
      <c r="S17" s="82"/>
      <c r="T17" s="83"/>
      <c r="W17" s="5">
        <v>1</v>
      </c>
      <c r="X17" s="5">
        <v>2</v>
      </c>
      <c r="Y17" s="5">
        <v>3</v>
      </c>
      <c r="Z17" s="5">
        <v>4</v>
      </c>
      <c r="AA17" s="5">
        <v>5</v>
      </c>
      <c r="AB17" s="5">
        <v>6</v>
      </c>
      <c r="AC17" s="5">
        <v>7</v>
      </c>
      <c r="AD17" s="5">
        <v>8</v>
      </c>
      <c r="AE17" s="5">
        <v>9</v>
      </c>
      <c r="AF17" s="5">
        <v>10</v>
      </c>
      <c r="AG17" s="5">
        <v>11</v>
      </c>
      <c r="AH17" s="5">
        <v>12</v>
      </c>
      <c r="AI17" s="5">
        <v>13</v>
      </c>
      <c r="AJ17" s="5">
        <v>14</v>
      </c>
      <c r="AP17" s="1"/>
      <c r="AQ17" s="1"/>
      <c r="AU17" s="3"/>
      <c r="AV17" s="3"/>
      <c r="AW17" s="3"/>
    </row>
    <row r="18" spans="2:49" s="13" customFormat="1" ht="17.25" customHeight="1" x14ac:dyDescent="0.25">
      <c r="B18" s="7" t="s">
        <v>38</v>
      </c>
      <c r="C18" s="8">
        <v>50.8</v>
      </c>
      <c r="D18" s="9">
        <v>100</v>
      </c>
      <c r="E18" s="10">
        <f>D18*$D$15/100</f>
        <v>16</v>
      </c>
      <c r="F18" s="9">
        <v>100</v>
      </c>
      <c r="G18" s="10">
        <f>F18*$F$15/100</f>
        <v>35</v>
      </c>
      <c r="H18" s="9">
        <v>100</v>
      </c>
      <c r="I18" s="10">
        <f>H18*$H$15/100</f>
        <v>0</v>
      </c>
      <c r="J18" s="9">
        <v>100</v>
      </c>
      <c r="K18" s="10">
        <f>J18*$J$15/100</f>
        <v>48</v>
      </c>
      <c r="L18" s="9">
        <v>100</v>
      </c>
      <c r="M18" s="10">
        <f>L18*$L$15/100</f>
        <v>1</v>
      </c>
      <c r="N18" s="9"/>
      <c r="O18" s="10">
        <f>N18*$N$15/100</f>
        <v>0</v>
      </c>
      <c r="P18" s="10">
        <f>SUM(E18,G18,I18,K18,M18,O18)</f>
        <v>100</v>
      </c>
      <c r="Q18" s="11" t="e">
        <f>IF($Q$15="","",HLOOKUP($V$15,$W$17:$AJ$28,2))</f>
        <v>#N/A</v>
      </c>
      <c r="R18" s="11" t="e">
        <f>IF($Q$15="","",HLOOKUP($V$16,$W$17:$AJ$28,2))</f>
        <v>#N/A</v>
      </c>
      <c r="S18" s="12">
        <f>IF(P18="","",IF(AND(P18=100,P19=100),100,IF(P18+AK18&lt;0,0,P18+AK18)))</f>
        <v>100</v>
      </c>
      <c r="T18" s="12">
        <f t="shared" ref="T18:T28" si="0">IF(P18="","",IF(AND(P18=100,P19=100),100,IF(P18+AL18&gt;100,100,P18+AL18)))</f>
        <v>100</v>
      </c>
      <c r="V18" s="14">
        <v>50.8</v>
      </c>
      <c r="W18" s="15"/>
      <c r="X18" s="15"/>
      <c r="Y18" s="15" t="e">
        <v>#N/A</v>
      </c>
      <c r="Z18" s="15" t="e">
        <v>#N/A</v>
      </c>
      <c r="AA18" s="15" t="e">
        <v>#N/A</v>
      </c>
      <c r="AB18" s="15" t="e">
        <v>#N/A</v>
      </c>
      <c r="AC18" s="15" t="e">
        <v>#N/A</v>
      </c>
      <c r="AD18" s="15" t="e">
        <v>#N/A</v>
      </c>
      <c r="AE18" s="15" t="e">
        <v>#N/A</v>
      </c>
      <c r="AF18" s="15" t="e">
        <v>#N/A</v>
      </c>
      <c r="AG18" s="15" t="e">
        <v>#N/A</v>
      </c>
      <c r="AH18" s="15" t="e">
        <v>#N/A</v>
      </c>
      <c r="AI18" s="15" t="e">
        <v>#N/A</v>
      </c>
      <c r="AJ18" s="15" t="e">
        <v>#N/A</v>
      </c>
      <c r="AK18" s="16">
        <f t="shared" ref="AK18:AK20" si="1">AL18*-1</f>
        <v>-7</v>
      </c>
      <c r="AL18" s="16">
        <v>7</v>
      </c>
      <c r="AN18" s="36" t="s">
        <v>39</v>
      </c>
      <c r="AO18" s="36"/>
      <c r="AP18" s="1"/>
      <c r="AQ18" s="15" t="s">
        <v>39</v>
      </c>
      <c r="AR18" s="1"/>
      <c r="AS18" s="1"/>
      <c r="AT18" s="1"/>
    </row>
    <row r="19" spans="2:49" s="13" customFormat="1" ht="17.25" customHeight="1" x14ac:dyDescent="0.25">
      <c r="B19" s="7" t="s">
        <v>40</v>
      </c>
      <c r="C19" s="8">
        <v>38.1</v>
      </c>
      <c r="D19" s="9">
        <v>100</v>
      </c>
      <c r="E19" s="10">
        <f t="shared" ref="E19:E28" si="2">D19*$D$15/100</f>
        <v>16</v>
      </c>
      <c r="F19" s="9">
        <v>100</v>
      </c>
      <c r="G19" s="10">
        <f t="shared" ref="G19:G28" si="3">F19*$F$15/100</f>
        <v>35</v>
      </c>
      <c r="H19" s="9">
        <v>100</v>
      </c>
      <c r="I19" s="10">
        <f t="shared" ref="I19:I28" si="4">H19*$H$15/100</f>
        <v>0</v>
      </c>
      <c r="J19" s="9">
        <v>100</v>
      </c>
      <c r="K19" s="10">
        <f t="shared" ref="K19:K28" si="5">J19*$J$15/100</f>
        <v>48</v>
      </c>
      <c r="L19" s="9">
        <v>100</v>
      </c>
      <c r="M19" s="10">
        <f t="shared" ref="M19:M28" si="6">L19*$L$15/100</f>
        <v>1</v>
      </c>
      <c r="N19" s="9"/>
      <c r="O19" s="10">
        <f t="shared" ref="O19:O28" si="7">N19*$N$15/100</f>
        <v>0</v>
      </c>
      <c r="P19" s="10">
        <f t="shared" ref="P19:P28" si="8">SUM(E19,G19,I19,K19,M19,O19)</f>
        <v>100</v>
      </c>
      <c r="Q19" s="11" t="e">
        <f>IF($Q$15="","",HLOOKUP($V$15,$W$17:$AJ$28,3))</f>
        <v>#N/A</v>
      </c>
      <c r="R19" s="11" t="e">
        <f>IF($Q$15="","",HLOOKUP($V$16,$W$17:$AJ$28,3))</f>
        <v>#N/A</v>
      </c>
      <c r="S19" s="12">
        <f>IF(P19="","",IF(AND(P19=100,P20=100),100,IF(P19+AK19&lt;0,0,P19+AK19)))</f>
        <v>100</v>
      </c>
      <c r="T19" s="12">
        <f t="shared" si="0"/>
        <v>100</v>
      </c>
      <c r="V19" s="14">
        <v>38.1</v>
      </c>
      <c r="W19" s="17"/>
      <c r="X19" s="17"/>
      <c r="Y19" s="17">
        <v>100</v>
      </c>
      <c r="Z19" s="17">
        <v>100</v>
      </c>
      <c r="AA19" s="15" t="e">
        <v>#N/A</v>
      </c>
      <c r="AB19" s="15" t="e">
        <v>#N/A</v>
      </c>
      <c r="AC19" s="15" t="e">
        <v>#N/A</v>
      </c>
      <c r="AD19" s="15" t="e">
        <v>#N/A</v>
      </c>
      <c r="AE19" s="15" t="e">
        <v>#N/A</v>
      </c>
      <c r="AF19" s="15" t="e">
        <v>#N/A</v>
      </c>
      <c r="AG19" s="15" t="e">
        <v>#N/A</v>
      </c>
      <c r="AH19" s="15" t="e">
        <v>#N/A</v>
      </c>
      <c r="AI19" s="15" t="e">
        <v>#N/A</v>
      </c>
      <c r="AJ19" s="15" t="e">
        <v>#N/A</v>
      </c>
      <c r="AK19" s="16">
        <f t="shared" si="1"/>
        <v>-7</v>
      </c>
      <c r="AL19" s="16">
        <v>7</v>
      </c>
      <c r="AN19" s="18"/>
      <c r="AO19" s="19">
        <v>1</v>
      </c>
      <c r="AP19" s="1"/>
      <c r="AQ19" s="20" t="s">
        <v>10</v>
      </c>
      <c r="AR19" s="1"/>
      <c r="AS19" s="1"/>
      <c r="AT19" s="1"/>
    </row>
    <row r="20" spans="2:49" s="13" customFormat="1" ht="17.25" customHeight="1" x14ac:dyDescent="0.25">
      <c r="B20" s="7" t="s">
        <v>41</v>
      </c>
      <c r="C20" s="8">
        <v>25.4</v>
      </c>
      <c r="D20" s="9">
        <v>100</v>
      </c>
      <c r="E20" s="10">
        <f t="shared" si="2"/>
        <v>16</v>
      </c>
      <c r="F20" s="9">
        <v>100</v>
      </c>
      <c r="G20" s="10">
        <f t="shared" si="3"/>
        <v>35</v>
      </c>
      <c r="H20" s="9">
        <v>100</v>
      </c>
      <c r="I20" s="10">
        <f t="shared" si="4"/>
        <v>0</v>
      </c>
      <c r="J20" s="9">
        <v>100</v>
      </c>
      <c r="K20" s="10">
        <f t="shared" si="5"/>
        <v>48</v>
      </c>
      <c r="L20" s="9">
        <v>100</v>
      </c>
      <c r="M20" s="10">
        <f t="shared" si="6"/>
        <v>1</v>
      </c>
      <c r="N20" s="9"/>
      <c r="O20" s="10">
        <f t="shared" si="7"/>
        <v>0</v>
      </c>
      <c r="P20" s="10">
        <f t="shared" si="8"/>
        <v>100</v>
      </c>
      <c r="Q20" s="11" t="e">
        <f>IF($Q$15="","",HLOOKUP($V$15,$W$17:$AJ$28,4))</f>
        <v>#N/A</v>
      </c>
      <c r="R20" s="11" t="e">
        <f>IF($Q$15="","",HLOOKUP($V$16,$W$17:$AJ$28,4))</f>
        <v>#N/A</v>
      </c>
      <c r="S20" s="12">
        <f>IF(P20="","",IF(AND(P20=100,P21=100),100,IF(P20+AK20&lt;0,0,P20+AK20)))</f>
        <v>93</v>
      </c>
      <c r="T20" s="12">
        <f t="shared" si="0"/>
        <v>100</v>
      </c>
      <c r="V20" s="14">
        <v>25.4</v>
      </c>
      <c r="W20" s="17"/>
      <c r="X20" s="17"/>
      <c r="Y20" s="17">
        <v>95</v>
      </c>
      <c r="Z20" s="17">
        <v>100</v>
      </c>
      <c r="AA20" s="15" t="e">
        <v>#N/A</v>
      </c>
      <c r="AB20" s="15" t="e">
        <v>#N/A</v>
      </c>
      <c r="AC20" s="15" t="e">
        <v>#N/A</v>
      </c>
      <c r="AD20" s="15" t="e">
        <v>#N/A</v>
      </c>
      <c r="AE20" s="15" t="e">
        <v>#N/A</v>
      </c>
      <c r="AF20" s="15" t="e">
        <v>#N/A</v>
      </c>
      <c r="AG20" s="15" t="e">
        <v>#N/A</v>
      </c>
      <c r="AH20" s="15" t="e">
        <v>#N/A</v>
      </c>
      <c r="AI20" s="15" t="e">
        <v>#N/A</v>
      </c>
      <c r="AJ20" s="15" t="e">
        <v>#N/A</v>
      </c>
      <c r="AK20" s="16">
        <f t="shared" si="1"/>
        <v>-7</v>
      </c>
      <c r="AL20" s="16">
        <v>7</v>
      </c>
      <c r="AN20" s="18" t="str">
        <f>Y15</f>
        <v>FAIXA D - DNIT-031</v>
      </c>
      <c r="AO20" s="19">
        <v>3</v>
      </c>
      <c r="AP20" s="1"/>
      <c r="AQ20" s="20" t="s">
        <v>11</v>
      </c>
      <c r="AR20" s="1"/>
      <c r="AS20" s="1"/>
      <c r="AT20" s="1"/>
    </row>
    <row r="21" spans="2:49" s="13" customFormat="1" ht="17.25" customHeight="1" x14ac:dyDescent="0.25">
      <c r="B21" s="7" t="s">
        <v>42</v>
      </c>
      <c r="C21" s="8">
        <v>19.100000000000001</v>
      </c>
      <c r="D21" s="9">
        <v>99.438494009862964</v>
      </c>
      <c r="E21" s="10">
        <f t="shared" si="2"/>
        <v>15.910159041578074</v>
      </c>
      <c r="F21" s="9">
        <v>100</v>
      </c>
      <c r="G21" s="10">
        <f t="shared" si="3"/>
        <v>35</v>
      </c>
      <c r="H21" s="9">
        <v>100</v>
      </c>
      <c r="I21" s="10">
        <f t="shared" si="4"/>
        <v>0</v>
      </c>
      <c r="J21" s="9">
        <v>100</v>
      </c>
      <c r="K21" s="10">
        <f t="shared" si="5"/>
        <v>48</v>
      </c>
      <c r="L21" s="9">
        <v>100</v>
      </c>
      <c r="M21" s="10">
        <f t="shared" si="6"/>
        <v>1</v>
      </c>
      <c r="N21" s="9"/>
      <c r="O21" s="10">
        <f t="shared" si="7"/>
        <v>0</v>
      </c>
      <c r="P21" s="10">
        <f t="shared" si="8"/>
        <v>99.910159041578083</v>
      </c>
      <c r="Q21" s="11">
        <f>IF($Q$15="","",HLOOKUP($V$15,$W$17:$AJ$28,5))</f>
        <v>100</v>
      </c>
      <c r="R21" s="11">
        <f>IF($Q$15="","",HLOOKUP($V$16,$W$17:$AJ$28,5))</f>
        <v>100</v>
      </c>
      <c r="S21" s="12">
        <f t="shared" ref="S21:S28" si="9">IF(P21="","",IF(AND(P21=100,P22=100),100,IF(P21+AK21&lt;0,0,P21+AK21)))</f>
        <v>92.910159041578083</v>
      </c>
      <c r="T21" s="12">
        <f t="shared" si="0"/>
        <v>100</v>
      </c>
      <c r="V21" s="14">
        <v>19.100000000000001</v>
      </c>
      <c r="W21" s="17"/>
      <c r="X21" s="17"/>
      <c r="Y21" s="17">
        <v>80</v>
      </c>
      <c r="Z21" s="17">
        <v>100</v>
      </c>
      <c r="AA21" s="17">
        <v>100</v>
      </c>
      <c r="AB21" s="17">
        <v>100</v>
      </c>
      <c r="AC21" s="17">
        <v>100</v>
      </c>
      <c r="AD21" s="17">
        <v>100</v>
      </c>
      <c r="AE21" s="17">
        <v>100</v>
      </c>
      <c r="AF21" s="15" t="e">
        <v>#N/A</v>
      </c>
      <c r="AG21" s="15" t="e">
        <v>#N/A</v>
      </c>
      <c r="AH21" s="15" t="e">
        <v>#N/A</v>
      </c>
      <c r="AI21" s="17">
        <v>100</v>
      </c>
      <c r="AJ21" s="17">
        <v>100</v>
      </c>
      <c r="AK21" s="16">
        <f>AL21*-1</f>
        <v>-7</v>
      </c>
      <c r="AL21" s="16">
        <v>7</v>
      </c>
      <c r="AN21" s="18" t="str">
        <f>AA15</f>
        <v>FAIXA C - DNIT-032</v>
      </c>
      <c r="AO21" s="19">
        <v>5</v>
      </c>
      <c r="AP21" s="1"/>
      <c r="AQ21" s="20" t="s">
        <v>12</v>
      </c>
      <c r="AR21" s="1"/>
      <c r="AS21" s="1"/>
      <c r="AT21" s="1"/>
    </row>
    <row r="22" spans="2:49" s="13" customFormat="1" ht="17.25" customHeight="1" x14ac:dyDescent="0.25">
      <c r="B22" s="7" t="s">
        <v>43</v>
      </c>
      <c r="C22" s="8">
        <v>12.7</v>
      </c>
      <c r="D22" s="9">
        <v>42.037489957254515</v>
      </c>
      <c r="E22" s="10">
        <f t="shared" si="2"/>
        <v>6.7259983931607223</v>
      </c>
      <c r="F22" s="9">
        <v>100</v>
      </c>
      <c r="G22" s="10">
        <f t="shared" si="3"/>
        <v>35</v>
      </c>
      <c r="H22" s="9">
        <v>95.689838261721931</v>
      </c>
      <c r="I22" s="10">
        <f t="shared" si="4"/>
        <v>0</v>
      </c>
      <c r="J22" s="9">
        <v>100</v>
      </c>
      <c r="K22" s="10">
        <f t="shared" si="5"/>
        <v>48</v>
      </c>
      <c r="L22" s="9">
        <v>100</v>
      </c>
      <c r="M22" s="10">
        <f t="shared" si="6"/>
        <v>1</v>
      </c>
      <c r="N22" s="9"/>
      <c r="O22" s="10">
        <f t="shared" si="7"/>
        <v>0</v>
      </c>
      <c r="P22" s="10">
        <f t="shared" si="8"/>
        <v>90.725998393160722</v>
      </c>
      <c r="Q22" s="11">
        <f>IF($Q$15="","",HLOOKUP($V$15,$W$17:$AJ$28,6))</f>
        <v>80</v>
      </c>
      <c r="R22" s="11">
        <f>IF($Q$15="","",HLOOKUP($V$16,$W$17:$AJ$28,6))</f>
        <v>100</v>
      </c>
      <c r="S22" s="12">
        <f t="shared" si="9"/>
        <v>83.725998393160722</v>
      </c>
      <c r="T22" s="12">
        <f t="shared" si="0"/>
        <v>97.725998393160722</v>
      </c>
      <c r="V22" s="14">
        <v>12.7</v>
      </c>
      <c r="W22" s="15"/>
      <c r="X22" s="15"/>
      <c r="Y22" s="15" t="e">
        <v>#N/A</v>
      </c>
      <c r="Z22" s="15" t="e">
        <v>#N/A</v>
      </c>
      <c r="AA22" s="17">
        <v>80</v>
      </c>
      <c r="AB22" s="17">
        <v>100</v>
      </c>
      <c r="AC22" s="17">
        <v>90</v>
      </c>
      <c r="AD22" s="17">
        <v>100</v>
      </c>
      <c r="AE22" s="17">
        <v>90</v>
      </c>
      <c r="AF22" s="17">
        <v>100</v>
      </c>
      <c r="AG22" s="15" t="e">
        <v>#N/A</v>
      </c>
      <c r="AH22" s="15" t="e">
        <v>#N/A</v>
      </c>
      <c r="AI22" s="17">
        <v>85</v>
      </c>
      <c r="AJ22" s="17">
        <v>100</v>
      </c>
      <c r="AK22" s="16">
        <f t="shared" ref="AK22:AK28" si="10">AL22*-1</f>
        <v>-7</v>
      </c>
      <c r="AL22" s="16">
        <v>7</v>
      </c>
      <c r="AN22" s="18" t="str">
        <f>AC15</f>
        <v>DNIT 112/2009</v>
      </c>
      <c r="AO22" s="19">
        <v>7</v>
      </c>
      <c r="AP22" s="1"/>
      <c r="AQ22" s="20" t="s">
        <v>44</v>
      </c>
      <c r="AR22" s="1"/>
      <c r="AS22" s="1"/>
      <c r="AT22" s="1"/>
    </row>
    <row r="23" spans="2:49" s="13" customFormat="1" ht="17.25" customHeight="1" x14ac:dyDescent="0.25">
      <c r="B23" s="7" t="s">
        <v>45</v>
      </c>
      <c r="C23" s="8">
        <v>9.5</v>
      </c>
      <c r="D23" s="9">
        <v>9.0728714928069429</v>
      </c>
      <c r="E23" s="10">
        <f t="shared" si="2"/>
        <v>1.4516594388491109</v>
      </c>
      <c r="F23" s="9">
        <v>96.631511785017253</v>
      </c>
      <c r="G23" s="10">
        <f t="shared" si="3"/>
        <v>33.821029124756038</v>
      </c>
      <c r="H23" s="9">
        <v>87.08544355497466</v>
      </c>
      <c r="I23" s="10">
        <f t="shared" si="4"/>
        <v>0</v>
      </c>
      <c r="J23" s="9">
        <v>100</v>
      </c>
      <c r="K23" s="10">
        <f t="shared" si="5"/>
        <v>48</v>
      </c>
      <c r="L23" s="9">
        <v>100</v>
      </c>
      <c r="M23" s="10">
        <f t="shared" si="6"/>
        <v>1</v>
      </c>
      <c r="N23" s="9"/>
      <c r="O23" s="10">
        <f t="shared" si="7"/>
        <v>0</v>
      </c>
      <c r="P23" s="10">
        <f t="shared" si="8"/>
        <v>84.272688563605158</v>
      </c>
      <c r="Q23" s="11">
        <f>IF($Q$15="","",HLOOKUP($V$15,$W$17:$AJ$28,7))</f>
        <v>70</v>
      </c>
      <c r="R23" s="11">
        <f>IF($Q$15="","",HLOOKUP($V$16,$W$17:$AJ$28,7))</f>
        <v>90</v>
      </c>
      <c r="S23" s="12">
        <f t="shared" si="9"/>
        <v>77.272688563605158</v>
      </c>
      <c r="T23" s="12">
        <f t="shared" si="0"/>
        <v>91.272688563605158</v>
      </c>
      <c r="V23" s="14">
        <v>9.5</v>
      </c>
      <c r="W23" s="17"/>
      <c r="X23" s="17"/>
      <c r="Y23" s="17">
        <v>45</v>
      </c>
      <c r="Z23" s="17">
        <v>80</v>
      </c>
      <c r="AA23" s="17">
        <v>70</v>
      </c>
      <c r="AB23" s="17">
        <v>90</v>
      </c>
      <c r="AC23" s="17">
        <v>78</v>
      </c>
      <c r="AD23" s="17">
        <v>92</v>
      </c>
      <c r="AE23" s="17">
        <v>70</v>
      </c>
      <c r="AF23" s="17">
        <v>90</v>
      </c>
      <c r="AG23" s="17">
        <v>100</v>
      </c>
      <c r="AH23" s="15" t="e">
        <v>#N/A</v>
      </c>
      <c r="AI23" s="17">
        <v>75</v>
      </c>
      <c r="AJ23" s="17">
        <v>100</v>
      </c>
      <c r="AK23" s="16">
        <f t="shared" si="10"/>
        <v>-7</v>
      </c>
      <c r="AL23" s="16">
        <v>7</v>
      </c>
      <c r="AN23" s="18" t="str">
        <f>AE15</f>
        <v>FAIXA III - DER/SP</v>
      </c>
      <c r="AO23" s="19">
        <v>9</v>
      </c>
      <c r="AP23" s="1"/>
      <c r="AQ23" s="20" t="s">
        <v>13</v>
      </c>
      <c r="AR23" s="1"/>
      <c r="AS23" s="1"/>
      <c r="AT23" s="1"/>
    </row>
    <row r="24" spans="2:49" s="13" customFormat="1" ht="17.25" customHeight="1" x14ac:dyDescent="0.25">
      <c r="B24" s="7" t="s">
        <v>46</v>
      </c>
      <c r="C24" s="21">
        <v>4.75</v>
      </c>
      <c r="D24" s="9">
        <v>0.299617820824093</v>
      </c>
      <c r="E24" s="10">
        <f t="shared" si="2"/>
        <v>4.7938851331854881E-2</v>
      </c>
      <c r="F24" s="9">
        <v>32.758782465095329</v>
      </c>
      <c r="G24" s="10">
        <f t="shared" si="3"/>
        <v>11.465573862783366</v>
      </c>
      <c r="H24" s="9">
        <v>50.872814899526198</v>
      </c>
      <c r="I24" s="10">
        <f t="shared" si="4"/>
        <v>0</v>
      </c>
      <c r="J24" s="9">
        <v>99.833487126473457</v>
      </c>
      <c r="K24" s="10">
        <f t="shared" si="5"/>
        <v>47.920073820707259</v>
      </c>
      <c r="L24" s="9">
        <v>100</v>
      </c>
      <c r="M24" s="10">
        <f t="shared" si="6"/>
        <v>1</v>
      </c>
      <c r="N24" s="9"/>
      <c r="O24" s="10">
        <f t="shared" si="7"/>
        <v>0</v>
      </c>
      <c r="P24" s="10">
        <f t="shared" si="8"/>
        <v>60.433586534822481</v>
      </c>
      <c r="Q24" s="11">
        <f>IF($Q$15="","",HLOOKUP($V$15,$W$17:$AJ$28,8))</f>
        <v>44</v>
      </c>
      <c r="R24" s="11">
        <f>IF($Q$15="","",HLOOKUP($V$16,$W$17:$AJ$28,8))</f>
        <v>72</v>
      </c>
      <c r="S24" s="12">
        <f t="shared" si="9"/>
        <v>55.433586534822481</v>
      </c>
      <c r="T24" s="12">
        <f t="shared" si="0"/>
        <v>65.433586534822481</v>
      </c>
      <c r="V24" s="22">
        <v>4.75</v>
      </c>
      <c r="W24" s="17"/>
      <c r="X24" s="17"/>
      <c r="Y24" s="17">
        <v>28</v>
      </c>
      <c r="Z24" s="17">
        <v>60</v>
      </c>
      <c r="AA24" s="17">
        <v>44</v>
      </c>
      <c r="AB24" s="17">
        <v>72</v>
      </c>
      <c r="AC24" s="17">
        <v>28</v>
      </c>
      <c r="AD24" s="17">
        <v>42</v>
      </c>
      <c r="AE24" s="17">
        <v>44</v>
      </c>
      <c r="AF24" s="17">
        <v>72</v>
      </c>
      <c r="AG24" s="17">
        <v>80</v>
      </c>
      <c r="AH24" s="17">
        <v>100</v>
      </c>
      <c r="AI24" s="17">
        <v>50</v>
      </c>
      <c r="AJ24" s="17">
        <v>85</v>
      </c>
      <c r="AK24" s="16">
        <f t="shared" si="10"/>
        <v>-5</v>
      </c>
      <c r="AL24" s="16">
        <v>5</v>
      </c>
      <c r="AN24" s="18" t="str">
        <f>AG15</f>
        <v>FAIXA IV - DER/SP</v>
      </c>
      <c r="AO24" s="19">
        <v>11</v>
      </c>
      <c r="AP24" s="1"/>
      <c r="AQ24" s="20" t="s">
        <v>14</v>
      </c>
      <c r="AR24" s="1"/>
      <c r="AS24" s="1"/>
      <c r="AT24" s="1"/>
    </row>
    <row r="25" spans="2:49" s="13" customFormat="1" ht="17.25" customHeight="1" x14ac:dyDescent="0.25">
      <c r="B25" s="7" t="s">
        <v>47</v>
      </c>
      <c r="C25" s="21">
        <v>2</v>
      </c>
      <c r="D25" s="9">
        <v>0.20196460514808864</v>
      </c>
      <c r="E25" s="10">
        <f t="shared" si="2"/>
        <v>3.2314336823694181E-2</v>
      </c>
      <c r="F25" s="9">
        <v>3.3337712055247035</v>
      </c>
      <c r="G25" s="10">
        <f t="shared" si="3"/>
        <v>1.1668199219336461</v>
      </c>
      <c r="H25" s="9">
        <v>17.649893808201249</v>
      </c>
      <c r="I25" s="10">
        <f t="shared" si="4"/>
        <v>0</v>
      </c>
      <c r="J25" s="9">
        <v>88.14775242310921</v>
      </c>
      <c r="K25" s="10">
        <f t="shared" si="5"/>
        <v>42.310921163092424</v>
      </c>
      <c r="L25" s="9">
        <v>100</v>
      </c>
      <c r="M25" s="10">
        <f t="shared" si="6"/>
        <v>1</v>
      </c>
      <c r="N25" s="9"/>
      <c r="O25" s="10">
        <f t="shared" si="7"/>
        <v>0</v>
      </c>
      <c r="P25" s="10">
        <f t="shared" si="8"/>
        <v>44.510055421849763</v>
      </c>
      <c r="Q25" s="11">
        <f>IF($Q$15="","",HLOOKUP($V$15,$W$17:$AJ$28,9))</f>
        <v>22</v>
      </c>
      <c r="R25" s="11">
        <f>IF($Q$15="","",HLOOKUP($V$16,$W$17:$AJ$28,9))</f>
        <v>50</v>
      </c>
      <c r="S25" s="12">
        <f t="shared" si="9"/>
        <v>39.510055421849763</v>
      </c>
      <c r="T25" s="12">
        <f t="shared" si="0"/>
        <v>49.510055421849763</v>
      </c>
      <c r="V25" s="22">
        <v>2</v>
      </c>
      <c r="W25" s="17"/>
      <c r="X25" s="17"/>
      <c r="Y25" s="17">
        <v>20</v>
      </c>
      <c r="Z25" s="17">
        <v>45</v>
      </c>
      <c r="AA25" s="17">
        <v>22</v>
      </c>
      <c r="AB25" s="17">
        <v>50</v>
      </c>
      <c r="AC25" s="17">
        <v>14</v>
      </c>
      <c r="AD25" s="17">
        <v>24</v>
      </c>
      <c r="AE25" s="17">
        <v>22</v>
      </c>
      <c r="AF25" s="17">
        <v>50</v>
      </c>
      <c r="AG25" s="17">
        <v>50</v>
      </c>
      <c r="AH25" s="17">
        <v>90</v>
      </c>
      <c r="AI25" s="17">
        <v>30</v>
      </c>
      <c r="AJ25" s="17">
        <v>75</v>
      </c>
      <c r="AK25" s="16">
        <f>AL25*-1</f>
        <v>-5</v>
      </c>
      <c r="AL25" s="16">
        <v>5</v>
      </c>
      <c r="AM25" s="3"/>
      <c r="AN25" s="15" t="str">
        <f>AI15</f>
        <v>FAIXA C - DNER-ES-385</v>
      </c>
      <c r="AO25" s="19">
        <v>13</v>
      </c>
      <c r="AP25" s="1"/>
      <c r="AQ25" s="20" t="s">
        <v>48</v>
      </c>
      <c r="AR25" s="1"/>
      <c r="AS25" s="1"/>
      <c r="AT25" s="1"/>
    </row>
    <row r="26" spans="2:49" s="13" customFormat="1" ht="17.25" customHeight="1" x14ac:dyDescent="0.25">
      <c r="B26" s="7" t="s">
        <v>49</v>
      </c>
      <c r="C26" s="21">
        <v>0.42</v>
      </c>
      <c r="D26" s="9">
        <v>0.18199008375981499</v>
      </c>
      <c r="E26" s="10">
        <f t="shared" si="2"/>
        <v>2.9118413401570398E-2</v>
      </c>
      <c r="F26" s="9">
        <v>1.607303708151937</v>
      </c>
      <c r="G26" s="10">
        <f t="shared" si="3"/>
        <v>0.56255629785317796</v>
      </c>
      <c r="H26" s="9">
        <v>0.76662310080049434</v>
      </c>
      <c r="I26" s="10">
        <f t="shared" si="4"/>
        <v>0</v>
      </c>
      <c r="J26" s="9">
        <v>37.22950330597434</v>
      </c>
      <c r="K26" s="10">
        <f t="shared" si="5"/>
        <v>17.870161586867685</v>
      </c>
      <c r="L26" s="9">
        <v>89.462582098854213</v>
      </c>
      <c r="M26" s="10">
        <f t="shared" si="6"/>
        <v>0.89462582098854215</v>
      </c>
      <c r="N26" s="9"/>
      <c r="O26" s="10">
        <f t="shared" si="7"/>
        <v>0</v>
      </c>
      <c r="P26" s="10">
        <f t="shared" si="8"/>
        <v>19.356462119110972</v>
      </c>
      <c r="Q26" s="11">
        <f>IF($Q$15="","",HLOOKUP($V$15,$W$17:$AJ$28,10))</f>
        <v>8</v>
      </c>
      <c r="R26" s="11">
        <f>IF($Q$15="","",HLOOKUP($V$16,$W$17:$AJ$28,10))</f>
        <v>26</v>
      </c>
      <c r="S26" s="12">
        <f t="shared" si="9"/>
        <v>14.356462119110972</v>
      </c>
      <c r="T26" s="12">
        <f t="shared" si="0"/>
        <v>24.356462119110972</v>
      </c>
      <c r="V26" s="22">
        <v>0.42</v>
      </c>
      <c r="W26" s="17"/>
      <c r="X26" s="17"/>
      <c r="Y26" s="17">
        <v>10</v>
      </c>
      <c r="Z26" s="17">
        <v>32</v>
      </c>
      <c r="AA26" s="17">
        <v>8</v>
      </c>
      <c r="AB26" s="17">
        <v>26</v>
      </c>
      <c r="AC26" s="17">
        <v>8</v>
      </c>
      <c r="AD26" s="17">
        <v>17</v>
      </c>
      <c r="AE26" s="17">
        <v>8</v>
      </c>
      <c r="AF26" s="17">
        <v>26</v>
      </c>
      <c r="AG26" s="17">
        <v>20</v>
      </c>
      <c r="AH26" s="17">
        <v>50</v>
      </c>
      <c r="AI26" s="17">
        <v>15</v>
      </c>
      <c r="AJ26" s="17">
        <v>40</v>
      </c>
      <c r="AK26" s="16">
        <f t="shared" si="10"/>
        <v>-5</v>
      </c>
      <c r="AL26" s="16">
        <v>5</v>
      </c>
      <c r="AM26" s="3"/>
      <c r="AN26" s="18"/>
      <c r="AO26" s="19"/>
      <c r="AP26" s="1"/>
      <c r="AQ26" s="23"/>
      <c r="AR26" s="1"/>
      <c r="AS26" s="1"/>
      <c r="AT26" s="1"/>
    </row>
    <row r="27" spans="2:49" s="13" customFormat="1" ht="17.25" customHeight="1" x14ac:dyDescent="0.25">
      <c r="B27" s="7" t="s">
        <v>50</v>
      </c>
      <c r="C27" s="21">
        <v>0.18</v>
      </c>
      <c r="D27" s="9">
        <v>0.17755130122908752</v>
      </c>
      <c r="E27" s="10">
        <f t="shared" si="2"/>
        <v>2.8408208196654003E-2</v>
      </c>
      <c r="F27" s="9">
        <v>1.3792974027923814</v>
      </c>
      <c r="G27" s="10">
        <f t="shared" si="3"/>
        <v>0.48275409097733352</v>
      </c>
      <c r="H27" s="9">
        <v>0.21524260741706014</v>
      </c>
      <c r="I27" s="10">
        <f t="shared" si="4"/>
        <v>0</v>
      </c>
      <c r="J27" s="9">
        <v>24.831232264644459</v>
      </c>
      <c r="K27" s="10">
        <f t="shared" si="5"/>
        <v>11.918991487029341</v>
      </c>
      <c r="L27" s="9">
        <v>66.820077664317566</v>
      </c>
      <c r="M27" s="10">
        <f t="shared" si="6"/>
        <v>0.66820077664317568</v>
      </c>
      <c r="N27" s="9"/>
      <c r="O27" s="10">
        <f t="shared" si="7"/>
        <v>0</v>
      </c>
      <c r="P27" s="10">
        <f t="shared" si="8"/>
        <v>13.098354562846504</v>
      </c>
      <c r="Q27" s="11">
        <f>IF($Q$15="","",HLOOKUP($V$15,$W$17:$AJ$28,11))</f>
        <v>4</v>
      </c>
      <c r="R27" s="11">
        <f>IF($Q$15="","",HLOOKUP($V$16,$W$17:$AJ$28,11))</f>
        <v>16</v>
      </c>
      <c r="S27" s="12">
        <f t="shared" si="9"/>
        <v>10.098354562846504</v>
      </c>
      <c r="T27" s="12">
        <f t="shared" si="0"/>
        <v>16.098354562846502</v>
      </c>
      <c r="V27" s="22">
        <v>0.18</v>
      </c>
      <c r="W27" s="17"/>
      <c r="X27" s="17"/>
      <c r="Y27" s="17">
        <v>8</v>
      </c>
      <c r="Z27" s="17">
        <v>20</v>
      </c>
      <c r="AA27" s="17">
        <v>4</v>
      </c>
      <c r="AB27" s="17">
        <v>16</v>
      </c>
      <c r="AC27" s="17">
        <v>5</v>
      </c>
      <c r="AD27" s="17">
        <v>11</v>
      </c>
      <c r="AE27" s="17">
        <v>4</v>
      </c>
      <c r="AF27" s="17">
        <v>16</v>
      </c>
      <c r="AG27" s="17">
        <v>7</v>
      </c>
      <c r="AH27" s="17">
        <v>28</v>
      </c>
      <c r="AI27" s="17">
        <v>8</v>
      </c>
      <c r="AJ27" s="17">
        <v>30</v>
      </c>
      <c r="AK27" s="16">
        <f t="shared" si="10"/>
        <v>-3</v>
      </c>
      <c r="AL27" s="16">
        <v>3</v>
      </c>
      <c r="AM27" s="3"/>
      <c r="AN27" s="3"/>
      <c r="AO27" s="3"/>
      <c r="AP27" s="1"/>
      <c r="AQ27" s="1"/>
      <c r="AR27" s="1"/>
      <c r="AS27" s="1"/>
      <c r="AT27" s="1"/>
    </row>
    <row r="28" spans="2:49" s="13" customFormat="1" ht="17.25" customHeight="1" x14ac:dyDescent="0.25">
      <c r="B28" s="7" t="s">
        <v>51</v>
      </c>
      <c r="C28" s="6">
        <v>7.4999999999999997E-2</v>
      </c>
      <c r="D28" s="9">
        <v>0.1642349536369051</v>
      </c>
      <c r="E28" s="10">
        <f t="shared" si="2"/>
        <v>2.6277592581904815E-2</v>
      </c>
      <c r="F28" s="9">
        <v>0.9317294700495502</v>
      </c>
      <c r="G28" s="10">
        <f t="shared" si="3"/>
        <v>0.32610531451734259</v>
      </c>
      <c r="H28" s="9">
        <v>9.2713608887408094E-2</v>
      </c>
      <c r="I28" s="10">
        <f t="shared" si="4"/>
        <v>0</v>
      </c>
      <c r="J28" s="9">
        <v>18.124232479723588</v>
      </c>
      <c r="K28" s="10">
        <f t="shared" si="5"/>
        <v>8.6996315902673231</v>
      </c>
      <c r="L28" s="9">
        <v>6.3521741214823351</v>
      </c>
      <c r="M28" s="10">
        <f t="shared" si="6"/>
        <v>6.3521741214823346E-2</v>
      </c>
      <c r="N28" s="9"/>
      <c r="O28" s="10">
        <f t="shared" si="7"/>
        <v>0</v>
      </c>
      <c r="P28" s="10">
        <f t="shared" si="8"/>
        <v>9.1155362385813934</v>
      </c>
      <c r="Q28" s="11">
        <f>IF($Q$15="","",HLOOKUP($V$15,$W$17:$AJ$28,12))</f>
        <v>2</v>
      </c>
      <c r="R28" s="11">
        <f>IF($Q$15="","",HLOOKUP($V$16,$W$17:$AJ$28,12))</f>
        <v>10</v>
      </c>
      <c r="S28" s="12">
        <f t="shared" si="9"/>
        <v>7.1155362385813934</v>
      </c>
      <c r="T28" s="12">
        <f t="shared" si="0"/>
        <v>11.115536238581393</v>
      </c>
      <c r="V28" s="24">
        <v>7.4999999999999997E-2</v>
      </c>
      <c r="W28" s="17"/>
      <c r="X28" s="17"/>
      <c r="Y28" s="17">
        <v>3</v>
      </c>
      <c r="Z28" s="17">
        <v>8</v>
      </c>
      <c r="AA28" s="17">
        <v>2</v>
      </c>
      <c r="AB28" s="17">
        <v>10</v>
      </c>
      <c r="AC28" s="17">
        <v>5</v>
      </c>
      <c r="AD28" s="17">
        <v>7</v>
      </c>
      <c r="AE28" s="17">
        <v>2</v>
      </c>
      <c r="AF28" s="17">
        <v>10</v>
      </c>
      <c r="AG28" s="17">
        <v>3</v>
      </c>
      <c r="AH28" s="17">
        <v>10</v>
      </c>
      <c r="AI28" s="17">
        <v>5</v>
      </c>
      <c r="AJ28" s="17">
        <v>10</v>
      </c>
      <c r="AK28" s="16">
        <f t="shared" si="10"/>
        <v>-2</v>
      </c>
      <c r="AL28" s="16">
        <v>2</v>
      </c>
      <c r="AM28" s="3"/>
      <c r="AO28" s="3"/>
      <c r="AP28" s="1"/>
      <c r="AQ28" s="1"/>
      <c r="AR28" s="1"/>
      <c r="AS28" s="1"/>
      <c r="AT28" s="1"/>
    </row>
    <row r="29" spans="2:49" ht="19.899999999999999" customHeight="1" x14ac:dyDescent="0.25">
      <c r="B29" s="37" t="s">
        <v>52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9"/>
      <c r="AO29" s="1"/>
      <c r="AP29" s="1"/>
      <c r="AQ29" s="1"/>
      <c r="AU29" s="3"/>
      <c r="AV29" s="3"/>
      <c r="AW29" s="3"/>
    </row>
    <row r="30" spans="2:49" ht="17.25" customHeight="1" x14ac:dyDescent="0.25">
      <c r="B30" s="25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T30" s="27"/>
      <c r="AO30" s="1"/>
      <c r="AP30" s="1"/>
      <c r="AQ30" s="1"/>
      <c r="AU30" s="3"/>
      <c r="AV30" s="3"/>
      <c r="AW30" s="3"/>
    </row>
    <row r="31" spans="2:49" ht="17.25" customHeight="1" x14ac:dyDescent="0.25">
      <c r="B31" s="25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T31" s="27"/>
      <c r="AO31" s="1"/>
      <c r="AP31" s="1"/>
      <c r="AQ31" s="1"/>
      <c r="AU31" s="3"/>
      <c r="AV31" s="3"/>
      <c r="AW31" s="3"/>
    </row>
    <row r="32" spans="2:49" ht="17.25" customHeight="1" x14ac:dyDescent="0.25">
      <c r="B32" s="25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T32" s="27"/>
      <c r="AO32" s="1"/>
      <c r="AP32" s="1"/>
      <c r="AQ32" s="1"/>
      <c r="AU32" s="3"/>
      <c r="AV32" s="3"/>
      <c r="AW32" s="3"/>
    </row>
    <row r="33" spans="2:49" ht="17.25" customHeight="1" x14ac:dyDescent="0.25">
      <c r="B33" s="25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T33" s="27"/>
      <c r="AO33" s="1"/>
      <c r="AP33" s="1"/>
      <c r="AQ33" s="1"/>
      <c r="AU33" s="3"/>
      <c r="AV33" s="3"/>
      <c r="AW33" s="3"/>
    </row>
    <row r="34" spans="2:49" ht="17.25" customHeight="1" x14ac:dyDescent="0.25">
      <c r="B34" s="25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T34" s="27"/>
      <c r="AO34" s="1"/>
      <c r="AP34" s="1"/>
      <c r="AQ34" s="1"/>
      <c r="AU34" s="3"/>
      <c r="AV34" s="3"/>
      <c r="AW34" s="3"/>
    </row>
    <row r="35" spans="2:49" ht="17.25" customHeight="1" x14ac:dyDescent="0.25">
      <c r="B35" s="25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T35" s="27"/>
      <c r="AO35" s="1"/>
      <c r="AP35" s="1"/>
      <c r="AQ35" s="1"/>
      <c r="AU35" s="3"/>
      <c r="AV35" s="3"/>
      <c r="AW35" s="3"/>
    </row>
    <row r="36" spans="2:49" ht="17.25" customHeight="1" x14ac:dyDescent="0.25">
      <c r="B36" s="25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T36" s="27"/>
      <c r="AO36" s="1"/>
      <c r="AP36" s="1"/>
      <c r="AQ36" s="1"/>
      <c r="AU36" s="3"/>
      <c r="AV36" s="3"/>
      <c r="AW36" s="3"/>
    </row>
    <row r="37" spans="2:49" ht="17.25" customHeight="1" x14ac:dyDescent="0.25">
      <c r="B37" s="25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T37" s="27"/>
      <c r="AO37" s="1"/>
      <c r="AP37" s="1"/>
      <c r="AQ37" s="1"/>
      <c r="AU37" s="3"/>
      <c r="AV37" s="3"/>
      <c r="AW37" s="3"/>
    </row>
    <row r="38" spans="2:49" ht="17.25" customHeight="1" x14ac:dyDescent="0.25">
      <c r="B38" s="25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T38" s="27"/>
      <c r="AO38" s="1"/>
      <c r="AP38" s="1"/>
      <c r="AQ38" s="1"/>
      <c r="AU38" s="3"/>
      <c r="AV38" s="3"/>
      <c r="AW38" s="3"/>
    </row>
    <row r="39" spans="2:49" ht="17.25" customHeight="1" x14ac:dyDescent="0.25">
      <c r="B39" s="25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T39" s="27"/>
      <c r="AO39" s="1"/>
      <c r="AP39" s="1"/>
      <c r="AQ39" s="1"/>
      <c r="AU39" s="3"/>
      <c r="AV39" s="3"/>
      <c r="AW39" s="3"/>
    </row>
    <row r="40" spans="2:49" ht="17.25" customHeight="1" x14ac:dyDescent="0.25"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T40" s="27"/>
      <c r="AO40" s="1"/>
      <c r="AP40" s="1"/>
      <c r="AQ40" s="1"/>
      <c r="AU40" s="3"/>
      <c r="AV40" s="3"/>
      <c r="AW40" s="3"/>
    </row>
    <row r="41" spans="2:49" ht="17.25" customHeight="1" x14ac:dyDescent="0.25"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T41" s="27"/>
      <c r="AO41" s="1"/>
      <c r="AP41" s="1"/>
      <c r="AQ41" s="1"/>
      <c r="AU41" s="3"/>
      <c r="AV41" s="3"/>
      <c r="AW41" s="3"/>
    </row>
    <row r="42" spans="2:49" ht="17.25" customHeight="1" x14ac:dyDescent="0.25"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T42" s="27"/>
      <c r="AO42" s="1"/>
      <c r="AP42" s="1"/>
      <c r="AQ42" s="1"/>
      <c r="AU42" s="3"/>
      <c r="AV42" s="3"/>
      <c r="AW42" s="3"/>
    </row>
    <row r="43" spans="2:49" ht="17.25" customHeight="1" x14ac:dyDescent="0.25"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T43" s="27"/>
      <c r="AO43" s="1"/>
      <c r="AP43" s="1"/>
      <c r="AQ43" s="1"/>
      <c r="AU43" s="3"/>
      <c r="AV43" s="3"/>
      <c r="AW43" s="3"/>
    </row>
    <row r="44" spans="2:49" ht="17.25" customHeight="1" x14ac:dyDescent="0.25"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T44" s="27"/>
      <c r="AO44" s="1"/>
      <c r="AP44" s="1"/>
      <c r="AQ44" s="1"/>
      <c r="AU44" s="3"/>
      <c r="AV44" s="3"/>
      <c r="AW44" s="3"/>
    </row>
    <row r="45" spans="2:49" ht="17.25" customHeight="1" x14ac:dyDescent="0.25">
      <c r="B45" s="25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T45" s="27"/>
      <c r="AO45" s="1"/>
      <c r="AP45" s="1"/>
      <c r="AQ45" s="1"/>
      <c r="AU45" s="3"/>
      <c r="AV45" s="3"/>
      <c r="AW45" s="3"/>
    </row>
    <row r="46" spans="2:49" ht="17.25" customHeight="1" x14ac:dyDescent="0.25"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T46" s="27"/>
      <c r="AO46" s="1"/>
      <c r="AP46" s="1"/>
      <c r="AQ46" s="1"/>
      <c r="AU46" s="3"/>
      <c r="AV46" s="3"/>
      <c r="AW46" s="3"/>
    </row>
    <row r="47" spans="2:49" ht="17.25" customHeight="1" x14ac:dyDescent="0.25"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T47" s="27"/>
      <c r="AO47" s="1"/>
      <c r="AP47" s="1"/>
      <c r="AQ47" s="1"/>
      <c r="AU47" s="3"/>
      <c r="AV47" s="3"/>
      <c r="AW47" s="3"/>
    </row>
    <row r="48" spans="2:49" ht="17.25" customHeight="1" x14ac:dyDescent="0.25"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T48" s="27"/>
      <c r="AO48" s="1"/>
      <c r="AP48" s="1"/>
      <c r="AQ48" s="1"/>
      <c r="AU48" s="3"/>
      <c r="AV48" s="3"/>
      <c r="AW48" s="3"/>
    </row>
    <row r="49" spans="2:49" ht="17.25" customHeight="1" x14ac:dyDescent="0.25">
      <c r="B49" s="25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T49" s="27"/>
      <c r="AO49" s="1"/>
      <c r="AP49" s="1"/>
      <c r="AQ49" s="1"/>
      <c r="AU49" s="3"/>
      <c r="AV49" s="3"/>
      <c r="AW49" s="3"/>
    </row>
    <row r="50" spans="2:49" ht="17.25" customHeight="1" x14ac:dyDescent="0.25"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T50" s="27"/>
      <c r="AO50" s="1"/>
      <c r="AP50" s="1"/>
      <c r="AQ50" s="1"/>
      <c r="AU50" s="3"/>
      <c r="AV50" s="3"/>
      <c r="AW50" s="3"/>
    </row>
    <row r="51" spans="2:49" ht="17.25" customHeight="1" x14ac:dyDescent="0.25"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T51" s="27"/>
      <c r="AO51" s="1"/>
      <c r="AP51" s="1"/>
      <c r="AQ51" s="1"/>
      <c r="AU51" s="3"/>
      <c r="AV51" s="3"/>
      <c r="AW51" s="3"/>
    </row>
    <row r="52" spans="2:49" ht="17.25" customHeight="1" x14ac:dyDescent="0.25"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T52" s="27"/>
      <c r="AO52" s="1"/>
      <c r="AP52" s="1"/>
      <c r="AQ52" s="1"/>
      <c r="AU52" s="3"/>
      <c r="AV52" s="3"/>
      <c r="AW52" s="3"/>
    </row>
    <row r="53" spans="2:49" s="1" customFormat="1" ht="22.5" customHeight="1" x14ac:dyDescent="0.25">
      <c r="B53" s="40" t="s">
        <v>53</v>
      </c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2"/>
    </row>
    <row r="54" spans="2:49" s="1" customFormat="1" ht="51.75" customHeight="1" x14ac:dyDescent="0.25">
      <c r="B54" s="114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28"/>
      <c r="N54" s="109"/>
      <c r="O54" s="109"/>
      <c r="P54" s="109"/>
      <c r="Q54" s="109"/>
      <c r="R54" s="109"/>
      <c r="S54" s="109"/>
      <c r="T54" s="110"/>
    </row>
    <row r="55" spans="2:49" s="1" customFormat="1" ht="24.75" customHeight="1" x14ac:dyDescent="0.25">
      <c r="B55" s="113" t="s">
        <v>54</v>
      </c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29"/>
      <c r="N55" s="111" t="s">
        <v>55</v>
      </c>
      <c r="O55" s="111"/>
      <c r="P55" s="111"/>
      <c r="Q55" s="111"/>
      <c r="R55" s="111"/>
      <c r="S55" s="111"/>
      <c r="T55" s="112"/>
    </row>
    <row r="56" spans="2:49" s="1" customFormat="1" ht="15" customHeight="1" x14ac:dyDescent="0.25"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3"/>
      <c r="T56" s="33"/>
    </row>
    <row r="57" spans="2:49" ht="30" customHeight="1" x14ac:dyDescent="0.25">
      <c r="B57" s="116" t="s">
        <v>56</v>
      </c>
      <c r="C57" s="116"/>
      <c r="D57" s="117" t="s">
        <v>67</v>
      </c>
      <c r="E57" s="117"/>
      <c r="F57" s="117"/>
      <c r="G57" s="117"/>
      <c r="H57" s="117"/>
      <c r="I57" s="117"/>
      <c r="J57" s="117"/>
      <c r="K57" s="117"/>
      <c r="L57" s="117"/>
      <c r="M57" s="117"/>
      <c r="N57" s="26"/>
      <c r="O57" s="26"/>
      <c r="P57" s="26"/>
      <c r="Q57" s="26"/>
    </row>
    <row r="58" spans="2:49" ht="30" customHeight="1" x14ac:dyDescent="0.25">
      <c r="B58" s="89" t="s">
        <v>57</v>
      </c>
      <c r="C58" s="89"/>
      <c r="D58" s="90" t="s">
        <v>59</v>
      </c>
      <c r="E58" s="90"/>
      <c r="F58" s="90"/>
      <c r="G58" s="90"/>
      <c r="H58" s="90"/>
      <c r="I58" s="90"/>
      <c r="J58" s="90"/>
      <c r="K58" s="90"/>
      <c r="L58" s="90"/>
      <c r="M58" s="90"/>
      <c r="N58" s="26"/>
      <c r="O58" s="26"/>
      <c r="P58" s="26"/>
    </row>
    <row r="59" spans="2:49" ht="30" customHeight="1" x14ac:dyDescent="0.25">
      <c r="B59" s="91" t="s">
        <v>58</v>
      </c>
      <c r="C59" s="91"/>
      <c r="D59" s="92" t="s">
        <v>68</v>
      </c>
      <c r="E59" s="92"/>
      <c r="F59" s="92"/>
      <c r="G59" s="92"/>
      <c r="H59" s="92"/>
      <c r="I59" s="92"/>
      <c r="J59" s="92"/>
      <c r="K59" s="92"/>
      <c r="L59" s="92"/>
      <c r="M59" s="92"/>
      <c r="N59" s="26"/>
      <c r="O59" s="26"/>
      <c r="P59" s="26"/>
      <c r="Q59" s="26"/>
    </row>
    <row r="60" spans="2:49" ht="30" customHeight="1" x14ac:dyDescent="0.25"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</row>
    <row r="61" spans="2:49" ht="17.25" customHeight="1" x14ac:dyDescent="0.25"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</row>
    <row r="62" spans="2:49" ht="17.25" customHeight="1" x14ac:dyDescent="0.25"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</row>
    <row r="63" spans="2:49" ht="17.25" customHeight="1" x14ac:dyDescent="0.25"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</row>
    <row r="64" spans="2:49" ht="17.25" customHeight="1" x14ac:dyDescent="0.25"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</row>
    <row r="65" spans="2:17" ht="17.25" customHeight="1" x14ac:dyDescent="0.25"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</row>
    <row r="66" spans="2:17" ht="17.25" customHeight="1" x14ac:dyDescent="0.25"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</row>
    <row r="67" spans="2:17" ht="17.25" customHeight="1" x14ac:dyDescent="0.25"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</row>
    <row r="68" spans="2:17" ht="17.25" customHeight="1" x14ac:dyDescent="0.25"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</row>
    <row r="69" spans="2:17" ht="17.25" customHeight="1" x14ac:dyDescent="0.25"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</row>
    <row r="70" spans="2:17" ht="17.25" customHeight="1" x14ac:dyDescent="0.25"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</row>
    <row r="71" spans="2:17" ht="17.25" customHeight="1" x14ac:dyDescent="0.25"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</row>
  </sheetData>
  <protectedRanges>
    <protectedRange sqref="F7:M7 F8 Q7 D12:O15 D18:D28 F18:F28 H18:H28 J18:J28 L18:L28 N18:N28 Q15" name="Intervalo1"/>
  </protectedRanges>
  <mergeCells count="85">
    <mergeCell ref="N54:T54"/>
    <mergeCell ref="N55:T55"/>
    <mergeCell ref="B55:L55"/>
    <mergeCell ref="B54:L54"/>
    <mergeCell ref="B57:C57"/>
    <mergeCell ref="D57:M57"/>
    <mergeCell ref="B58:C58"/>
    <mergeCell ref="D58:M58"/>
    <mergeCell ref="B59:C59"/>
    <mergeCell ref="D59:M59"/>
    <mergeCell ref="B5:H5"/>
    <mergeCell ref="I5:M5"/>
    <mergeCell ref="B8:D8"/>
    <mergeCell ref="F8:T8"/>
    <mergeCell ref="B7:D7"/>
    <mergeCell ref="F7:J7"/>
    <mergeCell ref="N7:P7"/>
    <mergeCell ref="Q7:T7"/>
    <mergeCell ref="B6:T6"/>
    <mergeCell ref="B9:T9"/>
    <mergeCell ref="B10:T10"/>
    <mergeCell ref="B11:T11"/>
    <mergeCell ref="O1:T5"/>
    <mergeCell ref="N1:N5"/>
    <mergeCell ref="B1:M1"/>
    <mergeCell ref="B3:H3"/>
    <mergeCell ref="I3:M3"/>
    <mergeCell ref="B4:H4"/>
    <mergeCell ref="I4:M4"/>
    <mergeCell ref="B12:C12"/>
    <mergeCell ref="D12:E12"/>
    <mergeCell ref="F12:G12"/>
    <mergeCell ref="H12:I12"/>
    <mergeCell ref="J12:K12"/>
    <mergeCell ref="B13:C13"/>
    <mergeCell ref="D13:E13"/>
    <mergeCell ref="F13:G13"/>
    <mergeCell ref="H13:I13"/>
    <mergeCell ref="J13:K13"/>
    <mergeCell ref="W13:AJ13"/>
    <mergeCell ref="AK13:AL16"/>
    <mergeCell ref="L14:M14"/>
    <mergeCell ref="N14:O14"/>
    <mergeCell ref="W14:AB14"/>
    <mergeCell ref="P12:P14"/>
    <mergeCell ref="Q12:T14"/>
    <mergeCell ref="L13:M13"/>
    <mergeCell ref="N13:O13"/>
    <mergeCell ref="S15:T17"/>
    <mergeCell ref="AE14:AH14"/>
    <mergeCell ref="AI14:AJ14"/>
    <mergeCell ref="L15:M15"/>
    <mergeCell ref="N15:O15"/>
    <mergeCell ref="L12:M12"/>
    <mergeCell ref="N12:O12"/>
    <mergeCell ref="AC15:AD16"/>
    <mergeCell ref="AC14:AD14"/>
    <mergeCell ref="B15:C15"/>
    <mergeCell ref="D15:E15"/>
    <mergeCell ref="F15:G15"/>
    <mergeCell ref="H15:I15"/>
    <mergeCell ref="J15:K15"/>
    <mergeCell ref="J16:K17"/>
    <mergeCell ref="L16:M17"/>
    <mergeCell ref="B14:C14"/>
    <mergeCell ref="D14:E14"/>
    <mergeCell ref="F14:G14"/>
    <mergeCell ref="H14:I14"/>
    <mergeCell ref="J14:K14"/>
    <mergeCell ref="P16:P17"/>
    <mergeCell ref="AN18:AO18"/>
    <mergeCell ref="B29:T29"/>
    <mergeCell ref="B53:T53"/>
    <mergeCell ref="AE15:AF16"/>
    <mergeCell ref="AG15:AH16"/>
    <mergeCell ref="AI15:AJ16"/>
    <mergeCell ref="B16:C16"/>
    <mergeCell ref="D16:E17"/>
    <mergeCell ref="F16:G17"/>
    <mergeCell ref="H16:I17"/>
    <mergeCell ref="N16:O17"/>
    <mergeCell ref="Q15:R17"/>
    <mergeCell ref="W15:X16"/>
    <mergeCell ref="Y15:Z16"/>
    <mergeCell ref="AA15:AB16"/>
  </mergeCells>
  <conditionalFormatting sqref="P15">
    <cfRule type="cellIs" dxfId="2" priority="2" operator="notEqual">
      <formula>100</formula>
    </cfRule>
    <cfRule type="cellIs" dxfId="1" priority="3" operator="equal">
      <formula>100</formula>
    </cfRule>
  </conditionalFormatting>
  <conditionalFormatting sqref="Q18:R28">
    <cfRule type="containsErrors" dxfId="0" priority="1">
      <formula>ISERROR(Q18)</formula>
    </cfRule>
  </conditionalFormatting>
  <dataValidations count="2">
    <dataValidation type="list" allowBlank="1" showInputMessage="1" showErrorMessage="1" sqref="D12 L12 N12 J12 F12 H12" xr:uid="{0F452EFC-ECA7-4F08-80C9-8619E6B7C9B9}">
      <formula1>$AQ$19:$AQ$26</formula1>
    </dataValidation>
    <dataValidation type="list" allowBlank="1" showInputMessage="1" showErrorMessage="1" sqref="Q15" xr:uid="{2AD0F6D6-2028-42A8-8909-598D30C64C2E}">
      <formula1>$AN$19:$AN$26</formula1>
    </dataValidation>
  </dataValidations>
  <printOptions horizontalCentered="1"/>
  <pageMargins left="0.59055118110236227" right="0.59055118110236227" top="0.78740157480314965" bottom="0.78740157480314965" header="0" footer="0"/>
  <pageSetup paperSize="9" scale="38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FR-IMOB-19_Rev00</vt:lpstr>
      <vt:lpstr>'FR-IMOB-19_Rev00'!Area_de_impressao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Cesar Salvatori Treter</dc:creator>
  <cp:lastModifiedBy>Samara Rodrigues Dos Santos</cp:lastModifiedBy>
  <cp:lastPrinted>2022-01-07T18:12:12Z</cp:lastPrinted>
  <dcterms:created xsi:type="dcterms:W3CDTF">2021-11-09T19:30:42Z</dcterms:created>
  <dcterms:modified xsi:type="dcterms:W3CDTF">2026-02-16T14:10:39Z</dcterms:modified>
</cp:coreProperties>
</file>