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F98B8766-812A-44D3-AF2F-E0123BBF9916}" xr6:coauthVersionLast="47" xr6:coauthVersionMax="47" xr10:uidLastSave="{00000000-0000-0000-0000-000000000000}"/>
  <bookViews>
    <workbookView xWindow="-28910" yWindow="-1730" windowWidth="29020" windowHeight="15820" xr2:uid="{6308C45E-A7AC-4E94-B2BE-8519DAEC13CD}"/>
  </bookViews>
  <sheets>
    <sheet name="FR-IMOB-29_Rev00" sheetId="8" r:id="rId1"/>
    <sheet name="Deflexõe-Viga Benkelman VERSO" sheetId="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1">'Deflexõe-Viga Benkelman VERSO'!$A$1:$C$11</definedName>
    <definedName name="_xlnm.Print_Area" localSheetId="0">'FR-IMOB-29_Rev00'!$A$1:$K$75</definedName>
    <definedName name="arei">#REF!</definedName>
    <definedName name="BI">[3]Teor!$A$3:$G$7</definedName>
    <definedName name="bica">#REF!</definedName>
    <definedName name="btt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">INDIRECT('[4]FR-FP-01 Solicitação de Placas'!$C$11)</definedName>
    <definedName name="Cod_1">INDIRECT('[4]FR-FP-01 Solicitação de Placas'!$G$11)</definedName>
    <definedName name="Cod_10">INDIRECT('[4]FR-FP-01 Solicitação de Placas'!$G$47)</definedName>
    <definedName name="Cod_11">INDIRECT('[4]FR-FP-01 Solicitação de Placas'!$K$47)</definedName>
    <definedName name="Cod_12">INDIRECT('[4]FR-FP-01 Solicitação de Placas'!$C$59)</definedName>
    <definedName name="Cod_13">INDIRECT('[4]FR-FP-01 Solicitação de Placas'!$G$59)</definedName>
    <definedName name="Cod_14">INDIRECT('[4]FR-FP-01 Solicitação de Placas'!$K$59)</definedName>
    <definedName name="Cod_15">INDIRECT('[4]FR-FP-01 Solicitação de Placas'!$C$71)</definedName>
    <definedName name="Cod_16">INDIRECT('[4]FR-FP-01 Solicitação de Placas'!$G$71)</definedName>
    <definedName name="Cod_17">INDIRECT('[4]FR-FP-01 Solicitação de Placas'!$K$71)</definedName>
    <definedName name="Cod_18">INDIRECT('[4]FR-FP-01 Solicitação de Placas'!$C$83)</definedName>
    <definedName name="Cod_19">INDIRECT('[4]FR-FP-01 Solicitação de Placas'!$G$83)</definedName>
    <definedName name="Cod_2">INDIRECT('[4]FR-FP-01 Solicitação de Placas'!$K$11)</definedName>
    <definedName name="Cod_20">INDIRECT('[4]FR-FP-01 Solicitação de Placas'!$K$83)</definedName>
    <definedName name="Cod_3">INDIRECT('[4]FR-FP-01 Solicitação de Placas'!$C$23)</definedName>
    <definedName name="Cod_4">INDIRECT('[4]FR-FP-01 Solicitação de Placas'!$G$23)</definedName>
    <definedName name="Cod_5">INDIRECT('[4]FR-FP-01 Solicitação de Placas'!$K$23)</definedName>
    <definedName name="Cod_6">INDIRECT('[4]FR-FP-01 Solicitação de Placas'!$C$35)</definedName>
    <definedName name="Cod_7">INDIRECT('[4]FR-FP-01 Solicitação de Placas'!$G$35)</definedName>
    <definedName name="Cod_8">INDIRECT('[4]FR-FP-01 Solicitação de Placas'!$K$35)</definedName>
    <definedName name="Cod_9">INDIRECT('[4]FR-FP-01 Solicitação de Placas'!$C$47)</definedName>
    <definedName name="CODIGÓ">#REF!</definedName>
    <definedName name="CÓDIGO">#N/A</definedName>
    <definedName name="comple">[5]Macro1!$B$1:$B$65536</definedName>
    <definedName name="correção">#REF!</definedName>
    <definedName name="d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[6]TABLA!$N$10:$P$409</definedName>
    <definedName name="_xlnm.Recorder">[7]Macro1!$B$1:$B$65536</definedName>
    <definedName name="h">#REF!</definedName>
    <definedName name="IP">[8]resumo!#REF!</definedName>
    <definedName name="kp">#REF!</definedName>
    <definedName name="lab">#REF!</definedName>
    <definedName name="LL">[8]resumo!#REF!</definedName>
    <definedName name="marshall">#REF!</definedName>
    <definedName name="nove">#REF!</definedName>
    <definedName name="oito">#REF!</definedName>
    <definedName name="onze">#REF!</definedName>
    <definedName name="outr">#REF!</definedName>
    <definedName name="P">[8]resumo!#REF!</definedName>
    <definedName name="paraf">#REF!</definedName>
    <definedName name="parcial">#REF!</definedName>
    <definedName name="pedr">#REF!</definedName>
    <definedName name="perc">#REF!</definedName>
    <definedName name="pesquisa">[9]Teor!$B$11:$H$15</definedName>
    <definedName name="pesquisa1">'[2]Página 16'!$A$3:$G$7</definedName>
    <definedName name="pope">#REF!</definedName>
    <definedName name="PRE">#N/A</definedName>
    <definedName name="Print_Area_MI">[10]ESTUDO.TRAÇO!$F$18:$U$55</definedName>
    <definedName name="ptp">#REF!</definedName>
    <definedName name="ptt">#REF!</definedName>
    <definedName name="quatro">#REF!</definedName>
    <definedName name="RBV">[9]Teor!$D$11:$D$15</definedName>
    <definedName name="rodinei">[11]DOSAGEM!$D$11</definedName>
    <definedName name="s">#REF!</definedName>
    <definedName name="seis">#REF!</definedName>
    <definedName name="sete">#REF!</definedName>
    <definedName name="siloquente">#REF!</definedName>
    <definedName name="sim">#REF!</definedName>
    <definedName name="Teor">[9]Teor!$B$11:$B$15</definedName>
    <definedName name="Teor1">'[2]Página 16'!$A$3:$A$7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[9]Teor!$C$11:$C$15</definedName>
    <definedName name="vis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8" l="1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I21" i="8"/>
  <c r="I22" i="8"/>
  <c r="J22" i="8" s="1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20" i="8"/>
  <c r="H38" i="8"/>
  <c r="H39" i="8"/>
  <c r="H40" i="8"/>
  <c r="J20" i="8" l="1"/>
  <c r="J37" i="8"/>
  <c r="J24" i="8"/>
  <c r="J39" i="8"/>
  <c r="J32" i="8"/>
  <c r="J38" i="8"/>
  <c r="J40" i="8"/>
  <c r="J34" i="8"/>
  <c r="J30" i="8"/>
  <c r="J26" i="8"/>
  <c r="J33" i="8"/>
  <c r="J25" i="8"/>
  <c r="J35" i="8"/>
  <c r="J31" i="8"/>
  <c r="J27" i="8"/>
  <c r="J23" i="8"/>
  <c r="J36" i="8"/>
  <c r="J28" i="8"/>
  <c r="J29" i="8"/>
  <c r="J21" i="8"/>
  <c r="A2" i="5" l="1"/>
</calcChain>
</file>

<file path=xl/sharedStrings.xml><?xml version="1.0" encoding="utf-8"?>
<sst xmlns="http://schemas.openxmlformats.org/spreadsheetml/2006/main" count="65" uniqueCount="62">
  <si>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</si>
  <si>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</si>
  <si>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</si>
  <si>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</si>
  <si>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</si>
  <si>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</si>
  <si>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 de referência</t>
  </si>
  <si>
    <t>Procedimentos do ensaio</t>
  </si>
  <si>
    <t>Assinaturas</t>
  </si>
  <si>
    <t>Responsável executor:</t>
  </si>
  <si>
    <t>Responsável calculista:</t>
  </si>
  <si>
    <t>Pontos de Verificação</t>
  </si>
  <si>
    <t>Estufa</t>
  </si>
  <si>
    <t>Balança</t>
  </si>
  <si>
    <r>
      <t xml:space="preserve">Identificação </t>
    </r>
    <r>
      <rPr>
        <sz val="10"/>
        <rFont val="Tahoma"/>
        <family val="2"/>
      </rPr>
      <t>(nº patrimonial e/ou série)</t>
    </r>
  </si>
  <si>
    <t>Equipamento</t>
  </si>
  <si>
    <t>Equipamentos utilizados</t>
  </si>
  <si>
    <t>Média</t>
  </si>
  <si>
    <t xml:space="preserve">Verificar se calibração da areia </t>
  </si>
  <si>
    <t xml:space="preserve">Verificar se a umidade determinada em campo está correspondente </t>
  </si>
  <si>
    <t>Varificar se o conjunto frasco + funil estão em condição de uso</t>
  </si>
  <si>
    <t>NORMA DNIT 133 - ME - Pavimentação asfáltica – Delineamento da linha de influência longitudinal da bacia de deformação por intermédio da Viga Benkelman – Método de ensaio</t>
  </si>
  <si>
    <t>Km</t>
  </si>
  <si>
    <t>Trilha de roda</t>
  </si>
  <si>
    <t xml:space="preserve">DEFLEXÃO </t>
  </si>
  <si>
    <t>T.R.I</t>
  </si>
  <si>
    <t>T.R.E</t>
  </si>
  <si>
    <t>(L0)  (mm)</t>
  </si>
  <si>
    <t>(L25)  (mm)</t>
  </si>
  <si>
    <t>(LF) (mm)</t>
  </si>
  <si>
    <t>RAIO DE CURVATURA</t>
  </si>
  <si>
    <t>Deflexão de projeto</t>
  </si>
  <si>
    <t>Raio de curvatura do projeto</t>
  </si>
  <si>
    <t>Leituras ( 0,01mm )</t>
  </si>
  <si>
    <t>Inicial</t>
  </si>
  <si>
    <t>Intermediária</t>
  </si>
  <si>
    <t xml:space="preserve">Final </t>
  </si>
  <si>
    <t>Deflexão</t>
  </si>
  <si>
    <t>Raio</t>
  </si>
  <si>
    <t>Nº de amostras</t>
  </si>
  <si>
    <t>Estatística das deflexões recuperáveis  MÍN.</t>
  </si>
  <si>
    <t>Coeficiente de variação</t>
  </si>
  <si>
    <t>Constante da vida benkelman (k)</t>
  </si>
  <si>
    <t>Raio de curvatura (Rz)</t>
  </si>
  <si>
    <t>D0</t>
  </si>
  <si>
    <t>(mm)</t>
  </si>
  <si>
    <t>D25</t>
  </si>
  <si>
    <t>R.C. (mm)</t>
  </si>
  <si>
    <r>
      <t>Ơ</t>
    </r>
    <r>
      <rPr>
        <b/>
        <sz val="10"/>
        <rFont val="Tohama"/>
      </rPr>
      <t>x</t>
    </r>
    <r>
      <rPr>
        <b/>
        <sz val="12"/>
        <rFont val="Tohama"/>
      </rPr>
      <t xml:space="preserve">  =  Desvio padrão</t>
    </r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</si>
  <si>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 xml:space="preserve">Deflexões - Viga Benkelman 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</si>
  <si>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 FR-IMOB-29 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</si>
  <si>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</si>
  <si>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</si>
  <si>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</si>
  <si>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t xml:space="preserve">Elaborado por: </t>
  </si>
  <si>
    <t xml:space="preserve">Revisado por: </t>
  </si>
  <si>
    <t>Aprovado por:</t>
  </si>
  <si>
    <t>Samara Rodrigues</t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</si>
  <si>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</si>
  <si>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</si>
  <si>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>Thyago Biasin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</si>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</sst>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8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name val="Arial"/>
      <family val="2"/>
    </font>
    <font>
      <b/>
      <sz val="10"/>
      <color indexed="8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b/>
      <i/>
      <sz val="10"/>
      <name val="Tahoma"/>
      <family val="2"/>
    </font>
    <font>
      <sz val="10"/>
      <name val="Tohama"/>
    </font>
    <font>
      <sz val="9"/>
      <name val="Tahoma"/>
      <family val="2"/>
    </font>
    <font>
      <b/>
      <sz val="14"/>
      <name val="Tahoma"/>
      <family val="2"/>
    </font>
    <font>
      <b/>
      <sz val="12"/>
      <name val="Tohama"/>
    </font>
    <font>
      <sz val="12"/>
      <name val="Tohama"/>
    </font>
    <font>
      <b/>
      <i/>
      <sz val="14"/>
      <color indexed="17"/>
      <name val="Calibri Light"/>
      <family val="1"/>
      <scheme val="major"/>
    </font>
    <font>
      <b/>
      <sz val="10"/>
      <name val="Tohama"/>
    </font>
    <font>
      <b/>
      <sz val="10"/>
      <name val="Arial"/>
      <family val="2"/>
    </font>
    <font>
      <sz val="14"/>
      <name val="Arial"/>
      <family val="2"/>
    </font>
    <font>
      <sz val="10"/>
      <color rgb="FF000000"/>
      <name val="Times New Roman"/>
      <family val="1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0"/>
      <color theme="0"/>
      <name val="Tahoma"/>
      <family val="2"/>
    </font>
    <font>
      <b/>
      <sz val="10"/>
      <color theme="0"/>
      <name val="Tohama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1" fillId="0" borderId="0"/>
    <xf numFmtId="0" fontId="19" fillId="0" borderId="0"/>
  </cellStyleXfs>
  <cellXfs count="148">
    <xf numFmtId="0" fontId="0" fillId="0" borderId="0" xfId="0"/>
    <xf numFmtId="0" fontId="6" fillId="0" borderId="0" xfId="1" applyFont="1"/>
    <xf numFmtId="0" fontId="6" fillId="0" borderId="12" xfId="1" applyFont="1" applyBorder="1" applyAlignment="1" applyProtection="1">
      <alignment vertical="center"/>
      <protection hidden="1"/>
    </xf>
    <xf numFmtId="2" fontId="7" fillId="3" borderId="30" xfId="3" applyNumberFormat="1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/>
    </xf>
    <xf numFmtId="2" fontId="6" fillId="0" borderId="30" xfId="3" applyNumberFormat="1" applyFont="1" applyBorder="1" applyAlignment="1">
      <alignment horizontal="center" vertical="center"/>
    </xf>
    <xf numFmtId="0" fontId="14" fillId="2" borderId="3" xfId="0" applyFont="1" applyFill="1" applyBorder="1" applyAlignment="1">
      <alignment horizontal="center"/>
    </xf>
    <xf numFmtId="2" fontId="7" fillId="3" borderId="3" xfId="3" applyNumberFormat="1" applyFont="1" applyFill="1" applyBorder="1" applyAlignment="1">
      <alignment horizontal="center" vertical="center"/>
    </xf>
    <xf numFmtId="0" fontId="6" fillId="0" borderId="6" xfId="2" applyFont="1" applyBorder="1" applyAlignment="1">
      <alignment vertical="center"/>
    </xf>
    <xf numFmtId="0" fontId="6" fillId="0" borderId="12" xfId="2" applyFont="1" applyBorder="1" applyAlignment="1">
      <alignment vertical="center"/>
    </xf>
    <xf numFmtId="2" fontId="7" fillId="3" borderId="23" xfId="3" applyNumberFormat="1" applyFont="1" applyFill="1" applyBorder="1" applyAlignment="1">
      <alignment horizontal="center" vertical="center"/>
    </xf>
    <xf numFmtId="2" fontId="6" fillId="0" borderId="32" xfId="3" applyNumberFormat="1" applyFont="1" applyBorder="1" applyAlignment="1">
      <alignment horizontal="center" vertical="center"/>
    </xf>
    <xf numFmtId="0" fontId="10" fillId="2" borderId="18" xfId="0" applyFont="1" applyFill="1" applyBorder="1"/>
    <xf numFmtId="0" fontId="10" fillId="2" borderId="0" xfId="0" applyFont="1" applyFill="1"/>
    <xf numFmtId="0" fontId="10" fillId="2" borderId="19" xfId="0" applyFont="1" applyFill="1" applyBorder="1"/>
    <xf numFmtId="2" fontId="7" fillId="3" borderId="21" xfId="3" applyNumberFormat="1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15" fillId="2" borderId="19" xfId="0" applyFont="1" applyFill="1" applyBorder="1" applyAlignment="1">
      <alignment vertical="center"/>
    </xf>
    <xf numFmtId="0" fontId="17" fillId="2" borderId="18" xfId="0" applyFont="1" applyFill="1" applyBorder="1"/>
    <xf numFmtId="0" fontId="17" fillId="2" borderId="0" xfId="0" applyFont="1" applyFill="1"/>
    <xf numFmtId="0" fontId="17" fillId="2" borderId="19" xfId="0" applyFont="1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18" fillId="2" borderId="18" xfId="0" applyFont="1" applyFill="1" applyBorder="1"/>
    <xf numFmtId="0" fontId="18" fillId="2" borderId="0" xfId="0" applyFont="1" applyFill="1"/>
    <xf numFmtId="0" fontId="18" fillId="2" borderId="19" xfId="0" applyFont="1" applyFill="1" applyBorder="1"/>
    <xf numFmtId="0" fontId="6" fillId="0" borderId="3" xfId="2" applyFont="1" applyBorder="1" applyAlignment="1">
      <alignment horizontal="left" vertical="center" wrapText="1"/>
    </xf>
    <xf numFmtId="0" fontId="6" fillId="0" borderId="5" xfId="2" applyFont="1" applyBorder="1" applyAlignment="1">
      <alignment horizontal="center" vertical="center"/>
    </xf>
    <xf numFmtId="2" fontId="6" fillId="0" borderId="5" xfId="2" applyNumberFormat="1" applyFont="1" applyBorder="1" applyAlignment="1">
      <alignment horizontal="center" vertical="center"/>
    </xf>
    <xf numFmtId="0" fontId="20" fillId="0" borderId="0" xfId="0" applyFont="1" applyAlignment="1">
      <alignment wrapText="1"/>
    </xf>
    <xf numFmtId="0" fontId="20" fillId="0" borderId="0" xfId="0" applyFont="1" applyAlignment="1">
      <alignment horizontal="left" vertical="center" wrapText="1"/>
    </xf>
    <xf numFmtId="0" fontId="22" fillId="0" borderId="0" xfId="1" applyFont="1" applyAlignment="1" applyProtection="1">
      <alignment vertical="center" wrapText="1"/>
      <protection locked="0"/>
    </xf>
    <xf numFmtId="0" fontId="24" fillId="0" borderId="0" xfId="1" applyFont="1" applyAlignment="1" applyProtection="1">
      <alignment vertical="center"/>
      <protection locked="0"/>
    </xf>
    <xf numFmtId="0" fontId="20" fillId="4" borderId="5" xfId="0" applyFont="1" applyFill="1" applyBorder="1" applyAlignment="1">
      <alignment vertical="center" wrapText="1"/>
    </xf>
    <xf numFmtId="0" fontId="22" fillId="4" borderId="5" xfId="1" applyFont="1" applyFill="1" applyBorder="1" applyAlignment="1" applyProtection="1">
      <alignment vertical="center" wrapText="1"/>
      <protection locked="0"/>
    </xf>
    <xf numFmtId="0" fontId="24" fillId="4" borderId="5" xfId="1" applyFont="1" applyFill="1" applyBorder="1" applyAlignment="1" applyProtection="1">
      <alignment vertical="center"/>
      <protection locked="0"/>
    </xf>
    <xf numFmtId="0" fontId="2" fillId="4" borderId="2" xfId="2" applyFont="1" applyFill="1" applyBorder="1" applyAlignment="1">
      <alignment vertical="center"/>
    </xf>
    <xf numFmtId="0" fontId="3" fillId="4" borderId="8" xfId="2" applyFont="1" applyFill="1" applyBorder="1" applyAlignment="1">
      <alignment vertical="center"/>
    </xf>
    <xf numFmtId="49" fontId="23" fillId="4" borderId="2" xfId="1" applyNumberFormat="1" applyFont="1" applyFill="1" applyBorder="1" applyAlignment="1" applyProtection="1">
      <alignment vertical="center"/>
      <protection locked="0" hidden="1"/>
    </xf>
    <xf numFmtId="0" fontId="23" fillId="4" borderId="2" xfId="1" applyFont="1" applyFill="1" applyBorder="1" applyAlignment="1" applyProtection="1">
      <alignment vertical="center"/>
      <protection locked="0" hidden="1"/>
    </xf>
    <xf numFmtId="0" fontId="23" fillId="4" borderId="5" xfId="1" applyFont="1" applyFill="1" applyBorder="1" applyAlignment="1" applyProtection="1">
      <alignment vertical="center"/>
      <protection locked="0" hidden="1"/>
    </xf>
    <xf numFmtId="2" fontId="20" fillId="4" borderId="0" xfId="1" applyNumberFormat="1" applyFont="1" applyFill="1" applyAlignment="1" applyProtection="1">
      <alignment vertical="center"/>
      <protection locked="0"/>
    </xf>
    <xf numFmtId="0" fontId="22" fillId="4" borderId="0" xfId="1" applyFont="1" applyFill="1" applyAlignment="1" applyProtection="1">
      <alignment vertical="center"/>
      <protection locked="0" hidden="1"/>
    </xf>
    <xf numFmtId="0" fontId="0" fillId="4" borderId="0" xfId="0" applyFill="1"/>
    <xf numFmtId="0" fontId="27" fillId="5" borderId="30" xfId="0" applyFont="1" applyFill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left" vertical="center" indent="3"/>
    </xf>
    <xf numFmtId="0" fontId="27" fillId="5" borderId="32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7" fillId="5" borderId="31" xfId="0" applyFont="1" applyFill="1" applyBorder="1" applyAlignment="1">
      <alignment horizontal="center" vertical="center"/>
    </xf>
    <xf numFmtId="0" fontId="27" fillId="5" borderId="6" xfId="0" applyFont="1" applyFill="1" applyBorder="1" applyAlignment="1">
      <alignment horizontal="center" vertical="center"/>
    </xf>
    <xf numFmtId="1" fontId="27" fillId="5" borderId="4" xfId="0" applyNumberFormat="1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center" vertical="center"/>
    </xf>
    <xf numFmtId="1" fontId="27" fillId="5" borderId="3" xfId="0" applyNumberFormat="1" applyFont="1" applyFill="1" applyBorder="1" applyAlignment="1">
      <alignment horizontal="center" vertical="center"/>
    </xf>
    <xf numFmtId="0" fontId="27" fillId="5" borderId="21" xfId="0" quotePrefix="1" applyFont="1" applyFill="1" applyBorder="1" applyAlignment="1">
      <alignment horizontal="left" vertical="center" indent="1"/>
    </xf>
    <xf numFmtId="0" fontId="27" fillId="5" borderId="7" xfId="0" applyFont="1" applyFill="1" applyBorder="1" applyAlignment="1">
      <alignment horizontal="center" vertical="center"/>
    </xf>
    <xf numFmtId="0" fontId="27" fillId="5" borderId="3" xfId="0" applyFont="1" applyFill="1" applyBorder="1" applyAlignment="1">
      <alignment horizontal="center" vertical="center"/>
    </xf>
    <xf numFmtId="0" fontId="27" fillId="5" borderId="21" xfId="0" applyFont="1" applyFill="1" applyBorder="1" applyAlignment="1">
      <alignment horizontal="center" vertical="center"/>
    </xf>
    <xf numFmtId="0" fontId="9" fillId="4" borderId="0" xfId="2" applyFont="1" applyFill="1" applyAlignment="1">
      <alignment horizontal="right" vertical="center"/>
    </xf>
    <xf numFmtId="0" fontId="3" fillId="4" borderId="7" xfId="2" applyFont="1" applyFill="1" applyBorder="1" applyAlignment="1">
      <alignment horizontal="center" vertical="center"/>
    </xf>
    <xf numFmtId="0" fontId="3" fillId="4" borderId="8" xfId="2" applyFont="1" applyFill="1" applyBorder="1" applyAlignment="1">
      <alignment horizontal="center" vertical="center"/>
    </xf>
    <xf numFmtId="0" fontId="26" fillId="5" borderId="1" xfId="2" applyFont="1" applyFill="1" applyBorder="1" applyAlignment="1">
      <alignment horizontal="center" vertical="center"/>
    </xf>
    <xf numFmtId="0" fontId="26" fillId="5" borderId="2" xfId="2" applyFont="1" applyFill="1" applyBorder="1" applyAlignment="1">
      <alignment horizontal="center" vertical="center"/>
    </xf>
    <xf numFmtId="0" fontId="26" fillId="5" borderId="33" xfId="2" applyFont="1" applyFill="1" applyBorder="1" applyAlignment="1">
      <alignment horizontal="center" vertical="center"/>
    </xf>
    <xf numFmtId="0" fontId="3" fillId="4" borderId="4" xfId="2" applyFont="1" applyFill="1" applyBorder="1" applyAlignment="1">
      <alignment horizontal="center" vertical="top"/>
    </xf>
    <xf numFmtId="0" fontId="3" fillId="4" borderId="5" xfId="2" applyFont="1" applyFill="1" applyBorder="1" applyAlignment="1">
      <alignment horizontal="center" vertical="top"/>
    </xf>
    <xf numFmtId="0" fontId="2" fillId="4" borderId="5" xfId="2" applyFont="1" applyFill="1" applyBorder="1" applyAlignment="1">
      <alignment horizontal="center" vertical="center"/>
    </xf>
    <xf numFmtId="0" fontId="2" fillId="4" borderId="6" xfId="2" applyFont="1" applyFill="1" applyBorder="1" applyAlignment="1">
      <alignment horizontal="center" vertical="center"/>
    </xf>
    <xf numFmtId="0" fontId="3" fillId="4" borderId="9" xfId="2" applyFont="1" applyFill="1" applyBorder="1" applyAlignment="1">
      <alignment horizontal="center" vertical="center"/>
    </xf>
    <xf numFmtId="0" fontId="27" fillId="5" borderId="12" xfId="0" applyFont="1" applyFill="1" applyBorder="1" applyAlignment="1">
      <alignment horizontal="center" vertical="center"/>
    </xf>
    <xf numFmtId="0" fontId="27" fillId="5" borderId="5" xfId="0" applyFont="1" applyFill="1" applyBorder="1" applyAlignment="1">
      <alignment horizontal="center" vertical="center"/>
    </xf>
    <xf numFmtId="0" fontId="27" fillId="5" borderId="13" xfId="0" applyFont="1" applyFill="1" applyBorder="1" applyAlignment="1">
      <alignment horizontal="center" vertical="center"/>
    </xf>
    <xf numFmtId="0" fontId="7" fillId="4" borderId="5" xfId="1" applyFont="1" applyFill="1" applyBorder="1" applyAlignment="1">
      <alignment horizontal="center" vertical="center"/>
    </xf>
    <xf numFmtId="0" fontId="7" fillId="4" borderId="13" xfId="1" applyFont="1" applyFill="1" applyBorder="1" applyAlignment="1">
      <alignment horizontal="center" vertical="center"/>
    </xf>
    <xf numFmtId="0" fontId="26" fillId="5" borderId="12" xfId="2" applyFont="1" applyFill="1" applyBorder="1" applyAlignment="1">
      <alignment horizontal="center" vertical="center"/>
    </xf>
    <xf numFmtId="0" fontId="26" fillId="5" borderId="5" xfId="2" applyFont="1" applyFill="1" applyBorder="1" applyAlignment="1">
      <alignment horizontal="center" vertical="center"/>
    </xf>
    <xf numFmtId="0" fontId="26" fillId="5" borderId="13" xfId="2" applyFont="1" applyFill="1" applyBorder="1" applyAlignment="1">
      <alignment horizontal="center" vertical="center"/>
    </xf>
    <xf numFmtId="0" fontId="8" fillId="0" borderId="20" xfId="2" applyFont="1" applyBorder="1" applyAlignment="1">
      <alignment horizontal="right" vertical="center" wrapText="1"/>
    </xf>
    <xf numFmtId="0" fontId="8" fillId="0" borderId="3" xfId="2" applyFont="1" applyBorder="1" applyAlignment="1">
      <alignment horizontal="right" vertical="center" wrapText="1"/>
    </xf>
    <xf numFmtId="0" fontId="6" fillId="0" borderId="12" xfId="2" applyFont="1" applyBorder="1" applyAlignment="1">
      <alignment horizontal="left" vertical="center" wrapText="1"/>
    </xf>
    <xf numFmtId="0" fontId="6" fillId="0" borderId="5" xfId="2" applyFont="1" applyBorder="1" applyAlignment="1">
      <alignment horizontal="left" vertical="center" wrapText="1"/>
    </xf>
    <xf numFmtId="0" fontId="6" fillId="0" borderId="13" xfId="2" applyFont="1" applyBorder="1" applyAlignment="1">
      <alignment horizontal="left" vertical="center" wrapText="1"/>
    </xf>
    <xf numFmtId="0" fontId="26" fillId="5" borderId="15" xfId="2" applyFont="1" applyFill="1" applyBorder="1" applyAlignment="1">
      <alignment horizontal="center" vertical="center"/>
    </xf>
    <xf numFmtId="0" fontId="27" fillId="5" borderId="22" xfId="0" applyFont="1" applyFill="1" applyBorder="1" applyAlignment="1">
      <alignment horizontal="center" vertical="center"/>
    </xf>
    <xf numFmtId="0" fontId="27" fillId="5" borderId="23" xfId="0" applyFont="1" applyFill="1" applyBorder="1" applyAlignment="1">
      <alignment horizontal="center" vertical="center"/>
    </xf>
    <xf numFmtId="0" fontId="27" fillId="5" borderId="10" xfId="0" applyFont="1" applyFill="1" applyBorder="1" applyAlignment="1">
      <alignment horizontal="center"/>
    </xf>
    <xf numFmtId="0" fontId="27" fillId="5" borderId="11" xfId="0" applyFont="1" applyFill="1" applyBorder="1" applyAlignment="1">
      <alignment horizontal="center"/>
    </xf>
    <xf numFmtId="0" fontId="27" fillId="5" borderId="9" xfId="0" applyFont="1" applyFill="1" applyBorder="1" applyAlignment="1">
      <alignment horizontal="center" vertical="center"/>
    </xf>
    <xf numFmtId="0" fontId="27" fillId="5" borderId="30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left" wrapText="1"/>
    </xf>
    <xf numFmtId="0" fontId="20" fillId="4" borderId="8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left" vertical="center" wrapText="1"/>
    </xf>
    <xf numFmtId="0" fontId="22" fillId="4" borderId="5" xfId="1" applyFont="1" applyFill="1" applyBorder="1" applyAlignment="1" applyProtection="1">
      <alignment horizontal="left" vertical="center" wrapText="1"/>
      <protection locked="0"/>
    </xf>
    <xf numFmtId="2" fontId="20" fillId="4" borderId="5" xfId="1" applyNumberFormat="1" applyFont="1" applyFill="1" applyBorder="1" applyAlignment="1" applyProtection="1">
      <alignment horizontal="left" vertical="center"/>
      <protection locked="0"/>
    </xf>
    <xf numFmtId="0" fontId="22" fillId="4" borderId="5" xfId="1" applyFont="1" applyFill="1" applyBorder="1" applyAlignment="1" applyProtection="1">
      <alignment horizontal="left" vertical="center"/>
      <protection locked="0" hidden="1"/>
    </xf>
    <xf numFmtId="0" fontId="24" fillId="4" borderId="5" xfId="1" applyFont="1" applyFill="1" applyBorder="1" applyAlignment="1" applyProtection="1">
      <alignment horizontal="left" vertical="center"/>
      <protection locked="0"/>
    </xf>
    <xf numFmtId="0" fontId="6" fillId="0" borderId="4" xfId="2" applyFont="1" applyBorder="1" applyAlignment="1">
      <alignment horizontal="left" vertical="center"/>
    </xf>
    <xf numFmtId="0" fontId="6" fillId="0" borderId="5" xfId="2" applyFont="1" applyBorder="1" applyAlignment="1">
      <alignment horizontal="left" vertical="center"/>
    </xf>
    <xf numFmtId="0" fontId="6" fillId="0" borderId="13" xfId="2" applyFont="1" applyBorder="1" applyAlignment="1">
      <alignment horizontal="left" vertical="center"/>
    </xf>
    <xf numFmtId="0" fontId="5" fillId="0" borderId="8" xfId="1" applyFont="1" applyBorder="1" applyAlignment="1">
      <alignment horizontal="center" vertical="center"/>
    </xf>
    <xf numFmtId="0" fontId="8" fillId="4" borderId="5" xfId="1" applyFont="1" applyFill="1" applyBorder="1" applyAlignment="1">
      <alignment horizontal="left" vertical="center"/>
    </xf>
    <xf numFmtId="0" fontId="8" fillId="4" borderId="6" xfId="1" applyFont="1" applyFill="1" applyBorder="1" applyAlignment="1">
      <alignment horizontal="left" vertical="center"/>
    </xf>
    <xf numFmtId="0" fontId="5" fillId="4" borderId="4" xfId="1" applyFont="1" applyFill="1" applyBorder="1" applyAlignment="1">
      <alignment horizontal="left" vertical="center"/>
    </xf>
    <xf numFmtId="0" fontId="5" fillId="4" borderId="5" xfId="1" applyFont="1" applyFill="1" applyBorder="1" applyAlignment="1">
      <alignment horizontal="left" vertical="center"/>
    </xf>
    <xf numFmtId="0" fontId="5" fillId="4" borderId="12" xfId="1" applyFont="1" applyFill="1" applyBorder="1" applyAlignment="1">
      <alignment horizontal="left" vertical="center"/>
    </xf>
    <xf numFmtId="0" fontId="5" fillId="4" borderId="13" xfId="1" applyFont="1" applyFill="1" applyBorder="1" applyAlignment="1">
      <alignment horizontal="left" vertical="center"/>
    </xf>
    <xf numFmtId="0" fontId="5" fillId="4" borderId="14" xfId="1" applyFont="1" applyFill="1" applyBorder="1" applyAlignment="1">
      <alignment horizontal="left" vertical="top"/>
    </xf>
    <xf numFmtId="0" fontId="5" fillId="4" borderId="2" xfId="1" applyFont="1" applyFill="1" applyBorder="1" applyAlignment="1">
      <alignment horizontal="left" vertical="top"/>
    </xf>
    <xf numFmtId="0" fontId="5" fillId="4" borderId="15" xfId="1" applyFont="1" applyFill="1" applyBorder="1" applyAlignment="1">
      <alignment horizontal="left" vertical="top"/>
    </xf>
    <xf numFmtId="0" fontId="5" fillId="4" borderId="16" xfId="1" applyFont="1" applyFill="1" applyBorder="1" applyAlignment="1">
      <alignment horizontal="left" vertical="top"/>
    </xf>
    <xf numFmtId="0" fontId="5" fillId="4" borderId="8" xfId="1" applyFont="1" applyFill="1" applyBorder="1" applyAlignment="1">
      <alignment horizontal="left" vertical="top"/>
    </xf>
    <xf numFmtId="0" fontId="5" fillId="4" borderId="17" xfId="1" applyFont="1" applyFill="1" applyBorder="1" applyAlignment="1">
      <alignment horizontal="left" vertical="top"/>
    </xf>
    <xf numFmtId="0" fontId="16" fillId="0" borderId="1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26" fillId="5" borderId="12" xfId="1" applyFont="1" applyFill="1" applyBorder="1" applyAlignment="1" applyProtection="1">
      <alignment horizontal="center" vertical="center"/>
      <protection hidden="1"/>
    </xf>
    <xf numFmtId="0" fontId="26" fillId="5" borderId="5" xfId="1" applyFont="1" applyFill="1" applyBorder="1" applyAlignment="1">
      <alignment vertical="center"/>
    </xf>
    <xf numFmtId="0" fontId="26" fillId="5" borderId="13" xfId="1" applyFont="1" applyFill="1" applyBorder="1" applyAlignment="1">
      <alignment vertical="center"/>
    </xf>
    <xf numFmtId="0" fontId="11" fillId="0" borderId="24" xfId="1" applyFont="1" applyBorder="1" applyAlignment="1" applyProtection="1">
      <alignment horizontal="left" vertical="center" wrapText="1"/>
      <protection hidden="1"/>
    </xf>
    <xf numFmtId="0" fontId="11" fillId="0" borderId="25" xfId="1" applyFont="1" applyBorder="1" applyAlignment="1" applyProtection="1">
      <alignment horizontal="left" vertical="center" wrapText="1"/>
      <protection hidden="1"/>
    </xf>
    <xf numFmtId="0" fontId="6" fillId="0" borderId="26" xfId="1" applyFont="1" applyBorder="1" applyAlignment="1" applyProtection="1">
      <alignment horizontal="center" vertical="center"/>
      <protection hidden="1"/>
    </xf>
    <xf numFmtId="0" fontId="6" fillId="0" borderId="27" xfId="1" applyFont="1" applyBorder="1" applyAlignment="1" applyProtection="1">
      <alignment horizontal="center" vertical="center"/>
      <protection hidden="1"/>
    </xf>
    <xf numFmtId="0" fontId="6" fillId="0" borderId="28" xfId="1" applyFont="1" applyBorder="1" applyAlignment="1" applyProtection="1">
      <alignment horizontal="center" vertical="center"/>
      <protection hidden="1"/>
    </xf>
    <xf numFmtId="0" fontId="12" fillId="0" borderId="18" xfId="1" applyFont="1" applyBorder="1" applyAlignment="1" applyProtection="1">
      <alignment horizontal="center" vertical="center" wrapText="1"/>
      <protection hidden="1"/>
    </xf>
    <xf numFmtId="0" fontId="12" fillId="0" borderId="0" xfId="1" applyFont="1" applyAlignment="1" applyProtection="1">
      <alignment horizontal="center" vertical="center" wrapText="1"/>
      <protection hidden="1"/>
    </xf>
    <xf numFmtId="0" fontId="12" fillId="0" borderId="19" xfId="1" applyFont="1" applyBorder="1" applyAlignment="1" applyProtection="1">
      <alignment horizontal="center" vertical="center" wrapText="1"/>
      <protection hidden="1"/>
    </xf>
    <xf numFmtId="0" fontId="26" fillId="5" borderId="5" xfId="1" applyFont="1" applyFill="1" applyBorder="1" applyAlignment="1" applyProtection="1">
      <alignment horizontal="center" vertical="center"/>
      <protection hidden="1"/>
    </xf>
    <xf numFmtId="0" fontId="26" fillId="5" borderId="13" xfId="1" applyFont="1" applyFill="1" applyBorder="1" applyAlignment="1" applyProtection="1">
      <alignment horizontal="center" vertical="center"/>
      <protection hidden="1"/>
    </xf>
    <xf numFmtId="0" fontId="11" fillId="0" borderId="2" xfId="1" quotePrefix="1" applyFont="1" applyBorder="1" applyAlignment="1" applyProtection="1">
      <alignment horizontal="left" vertical="center" wrapText="1"/>
      <protection hidden="1"/>
    </xf>
    <xf numFmtId="0" fontId="11" fillId="0" borderId="15" xfId="1" applyFont="1" applyBorder="1" applyAlignment="1" applyProtection="1">
      <alignment horizontal="left" vertical="center" wrapText="1"/>
      <protection hidden="1"/>
    </xf>
    <xf numFmtId="0" fontId="11" fillId="0" borderId="2" xfId="1" applyFont="1" applyBorder="1" applyAlignment="1" applyProtection="1">
      <alignment horizontal="left" vertical="center" wrapText="1"/>
      <protection hidden="1"/>
    </xf>
    <xf numFmtId="0" fontId="20" fillId="0" borderId="0" xfId="0" applyFont="1" applyAlignment="1">
      <alignment horizontal="center" wrapText="1"/>
    </xf>
    <xf numFmtId="0" fontId="12" fillId="0" borderId="16" xfId="1" applyFont="1" applyBorder="1" applyAlignment="1" applyProtection="1">
      <alignment horizontal="center" vertical="center" wrapText="1"/>
      <protection hidden="1"/>
    </xf>
    <xf numFmtId="0" fontId="12" fillId="0" borderId="8" xfId="1" applyFont="1" applyBorder="1" applyAlignment="1" applyProtection="1">
      <alignment horizontal="center" vertical="center" wrapText="1"/>
      <protection hidden="1"/>
    </xf>
    <xf numFmtId="0" fontId="12" fillId="0" borderId="17" xfId="1" applyFont="1" applyBorder="1" applyAlignment="1" applyProtection="1">
      <alignment horizontal="center" vertical="center" wrapText="1"/>
      <protection hidden="1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2" fontId="7" fillId="4" borderId="6" xfId="2" applyNumberFormat="1" applyFont="1" applyFill="1" applyBorder="1" applyAlignment="1">
      <alignment horizontal="center" vertical="center"/>
    </xf>
    <xf numFmtId="0" fontId="8" fillId="4" borderId="17" xfId="1" applyFont="1" applyFill="1" applyBorder="1" applyAlignment="1">
      <alignment horizontal="center" vertical="center"/>
    </xf>
    <xf numFmtId="0" fontId="6" fillId="4" borderId="12" xfId="1" applyFont="1" applyFill="1" applyBorder="1" applyAlignment="1" applyProtection="1">
      <alignment horizontal="left" vertical="center"/>
      <protection hidden="1"/>
    </xf>
    <xf numFmtId="0" fontId="6" fillId="4" borderId="29" xfId="1" applyFont="1" applyFill="1" applyBorder="1" applyAlignment="1" applyProtection="1">
      <alignment horizontal="left" vertical="center"/>
      <protection hidden="1"/>
    </xf>
  </cellXfs>
  <cellStyles count="7">
    <cellStyle name="Normal" xfId="0" builtinId="0"/>
    <cellStyle name="Normal 2" xfId="5" xr:uid="{2281A0AC-4BB6-4650-9083-FCD6EC4A7C08}"/>
    <cellStyle name="Normal 2 2" xfId="1" xr:uid="{29BAD2C2-E8FA-4549-9B19-F07F8409D7AF}"/>
    <cellStyle name="Normal 3" xfId="6" xr:uid="{DDF41345-C9CC-4F6F-8699-BCD4060DC1E3}"/>
    <cellStyle name="Normal 9 2" xfId="2" xr:uid="{9C893D4C-C997-4814-A586-398D158DB555}"/>
    <cellStyle name="Normal_contrle clientes e copazeiro2" xfId="3" xr:uid="{08F163A4-8A8F-4A85-9080-A10F793B5DEB}"/>
    <cellStyle name="Porcentagem 2 2" xfId="4" xr:uid="{3EC3942E-06DB-4853-8B9F-2F10B05B4DA4}"/>
  </cellStyles>
  <dxfs count="1">
    <dxf>
      <fill>
        <patternFill>
          <bgColor rgb="FFFF0000"/>
        </patternFill>
      </fill>
    </dxf>
  </dxfs>
  <tableStyles count="1" defaultTableStyle="TableStyleMedium2" defaultPivotStyle="PivotStyleLight16">
    <tableStyle name="Invisible" pivot="0" table="0" count="0" xr9:uid="{13442884-F2C0-47DC-81D9-587D250725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953528</xdr:colOff>
      <xdr:row>0</xdr:row>
      <xdr:rowOff>33991</xdr:rowOff>
    </xdr:from>
    <xdr:to>
      <xdr:col>9</xdr:col>
      <xdr:colOff>812493</xdr:colOff>
      <xdr:row>0</xdr:row>
      <xdr:rowOff>785905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2BADB8C-E5FC-4E15-A9C9-DF3AFBF3B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1728" y="33991"/>
          <a:ext cx="1465515" cy="7519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8</xdr:row>
          <xdr:rowOff>31750</xdr:rowOff>
        </xdr:from>
        <xdr:to>
          <xdr:col>0</xdr:col>
          <xdr:colOff>647700</xdr:colOff>
          <xdr:row>8</xdr:row>
          <xdr:rowOff>247650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9</xdr:row>
          <xdr:rowOff>31750</xdr:rowOff>
        </xdr:from>
        <xdr:to>
          <xdr:col>0</xdr:col>
          <xdr:colOff>647700</xdr:colOff>
          <xdr:row>9</xdr:row>
          <xdr:rowOff>247650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10</xdr:row>
          <xdr:rowOff>31750</xdr:rowOff>
        </xdr:from>
        <xdr:to>
          <xdr:col>0</xdr:col>
          <xdr:colOff>647700</xdr:colOff>
          <xdr:row>10</xdr:row>
          <xdr:rowOff>247650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heno\Manual%20da%20Fabrica%20de%20Placa\FR-FP-01%20e%20FR-FP-02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FP-01 Solicitação de Placas"/>
      <sheetName val="FR-FP-02 OS e CR"/>
      <sheetName val="Banco de Dados"/>
      <sheetName val="Composição de placas"/>
      <sheetName val="Composição de custos - Placas"/>
      <sheetName val="Placas coringas"/>
      <sheetName val="Placas coringas (2)"/>
    </sheetNames>
    <sheetDataSet>
      <sheetData sheetId="0">
        <row r="11">
          <cell r="C11" t="str">
            <v>VAZIO</v>
          </cell>
          <cell r="G11" t="str">
            <v>VAZIO</v>
          </cell>
          <cell r="K11" t="str">
            <v>VAZIO</v>
          </cell>
        </row>
        <row r="23">
          <cell r="C23" t="str">
            <v>VAZIO</v>
          </cell>
          <cell r="G23" t="str">
            <v>VAZIO</v>
          </cell>
          <cell r="K23" t="str">
            <v>VAZIO</v>
          </cell>
        </row>
        <row r="35">
          <cell r="C35" t="str">
            <v>VAZIO</v>
          </cell>
          <cell r="G35" t="str">
            <v>VAZIO</v>
          </cell>
          <cell r="K35" t="str">
            <v>VAZIO</v>
          </cell>
        </row>
        <row r="47">
          <cell r="C47" t="str">
            <v>VAZIO</v>
          </cell>
          <cell r="G47" t="str">
            <v>VAZIO</v>
          </cell>
          <cell r="K47" t="str">
            <v>VAZIO</v>
          </cell>
        </row>
        <row r="59">
          <cell r="C59" t="str">
            <v>VAZIO</v>
          </cell>
          <cell r="G59" t="str">
            <v>VAZIO</v>
          </cell>
          <cell r="K59" t="str">
            <v>VAZIO</v>
          </cell>
        </row>
        <row r="71">
          <cell r="C71" t="str">
            <v>VAZIO</v>
          </cell>
          <cell r="G71" t="str">
            <v>VAZIO</v>
          </cell>
          <cell r="K71" t="str">
            <v>VAZIO</v>
          </cell>
        </row>
        <row r="83">
          <cell r="C83" t="str">
            <v>VAZIO</v>
          </cell>
          <cell r="G83" t="str">
            <v>VAZIO</v>
          </cell>
          <cell r="K83" t="str">
            <v>VAZIO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11C4-45B3-4815-8B9C-FD4BC8B3BC96}">
  <sheetPr>
    <pageSetUpPr fitToPage="1"/>
  </sheetPr>
  <dimension ref="B1:M80"/>
  <sheetViews>
    <sheetView tabSelected="1" view="pageBreakPreview" zoomScale="85" zoomScaleNormal="100" zoomScaleSheetLayoutView="85" workbookViewId="0">
      <selection activeCell="M23" sqref="M23"/>
    </sheetView>
  </sheetViews>
  <sheetFormatPr defaultRowHeight="12.5"/>
  <cols>
    <col min="1" max="1" width="2.1796875" customWidth="1"/>
    <col min="2" max="2" width="20.453125" customWidth="1"/>
    <col min="3" max="5" width="12.7265625" customWidth="1"/>
    <col min="6" max="6" width="16.26953125" bestFit="1" customWidth="1"/>
    <col min="7" max="7" width="12.7265625" customWidth="1"/>
    <col min="8" max="8" width="21" bestFit="1" customWidth="1"/>
    <col min="9" max="9" width="23" bestFit="1" customWidth="1"/>
    <col min="10" max="10" width="13.1796875" bestFit="1" customWidth="1"/>
    <col min="11" max="11" width="2.26953125" customWidth="1"/>
  </cols>
  <sheetData>
    <row r="1" spans="2:13" ht="66" customHeight="1">
      <c r="B1" s="90" t="s">
        <v>49</v>
      </c>
      <c r="C1" s="90"/>
      <c r="D1" s="90"/>
      <c r="E1" s="90"/>
      <c r="F1" s="90"/>
      <c r="G1" s="90"/>
      <c r="H1" s="90"/>
      <c r="I1" s="90"/>
      <c r="J1" s="90"/>
      <c r="K1" s="138"/>
      <c r="L1" s="31"/>
      <c r="M1" s="31"/>
    </row>
    <row r="2" spans="2:13" ht="12.5" customHeight="1">
      <c r="B2" s="91"/>
      <c r="C2" s="91"/>
      <c r="D2" s="91"/>
      <c r="E2" s="91"/>
      <c r="F2" s="91"/>
      <c r="G2" s="91"/>
      <c r="H2" s="91"/>
      <c r="I2" s="91"/>
      <c r="J2" s="91"/>
      <c r="K2" s="138"/>
      <c r="L2" s="32"/>
      <c r="M2" s="32"/>
    </row>
    <row r="3" spans="2:13" ht="30" customHeight="1">
      <c r="B3" s="92" t="s">
        <v>53</v>
      </c>
      <c r="C3" s="92"/>
      <c r="D3" s="92"/>
      <c r="E3" s="92"/>
      <c r="F3" s="35"/>
      <c r="G3" s="93" t="s">
        <v>50</v>
      </c>
      <c r="H3" s="93"/>
      <c r="I3" s="93"/>
      <c r="J3" s="93"/>
      <c r="K3" s="138"/>
      <c r="L3" s="33"/>
      <c r="M3" s="33"/>
    </row>
    <row r="4" spans="2:13" ht="30" customHeight="1">
      <c r="B4" s="93" t="s">
        <v>59</v>
      </c>
      <c r="C4" s="93"/>
      <c r="D4" s="93"/>
      <c r="E4" s="93"/>
      <c r="F4" s="36"/>
      <c r="G4" s="93" t="s">
        <v>51</v>
      </c>
      <c r="H4" s="93"/>
      <c r="I4" s="93"/>
      <c r="J4" s="93"/>
      <c r="K4" s="138"/>
      <c r="L4" s="33"/>
      <c r="M4" s="33"/>
    </row>
    <row r="5" spans="2:13" ht="31.5" customHeight="1">
      <c r="B5" s="96" t="s">
        <v>52</v>
      </c>
      <c r="C5" s="96"/>
      <c r="D5" s="96"/>
      <c r="E5" s="96"/>
      <c r="F5" s="37"/>
      <c r="G5" s="96" t="s">
        <v>58</v>
      </c>
      <c r="H5" s="96"/>
      <c r="I5" s="96"/>
      <c r="J5" s="96"/>
      <c r="K5" s="138"/>
      <c r="L5" s="34"/>
      <c r="M5" s="34"/>
    </row>
    <row r="6" spans="2:13" ht="15" customHeight="1">
      <c r="B6" s="100"/>
      <c r="C6" s="100"/>
      <c r="D6" s="100"/>
      <c r="E6" s="100"/>
      <c r="F6" s="100"/>
      <c r="G6" s="100"/>
      <c r="H6" s="100"/>
      <c r="I6" s="100"/>
      <c r="J6" s="100"/>
      <c r="K6" s="138"/>
    </row>
    <row r="7" spans="2:13" ht="20.149999999999999" customHeight="1">
      <c r="B7" s="103" t="s">
        <v>0</v>
      </c>
      <c r="C7" s="104"/>
      <c r="D7" s="104"/>
      <c r="E7" s="101" t="s">
        <v>1</v>
      </c>
      <c r="F7" s="101"/>
      <c r="G7" s="101"/>
      <c r="H7" s="101"/>
      <c r="I7" s="101"/>
      <c r="J7" s="102"/>
      <c r="K7" s="138"/>
    </row>
    <row r="8" spans="2:13" ht="20.149999999999999" customHeight="1">
      <c r="B8" s="105" t="s">
        <v>2</v>
      </c>
      <c r="C8" s="104"/>
      <c r="D8" s="104"/>
      <c r="E8" s="101" t="s">
        <v>3</v>
      </c>
      <c r="F8" s="101"/>
      <c r="G8" s="73"/>
      <c r="H8" s="73"/>
      <c r="I8" s="73"/>
      <c r="J8" s="74"/>
      <c r="K8" s="138"/>
    </row>
    <row r="9" spans="2:13" ht="20.149999999999999" customHeight="1">
      <c r="B9" s="105" t="s">
        <v>4</v>
      </c>
      <c r="C9" s="104"/>
      <c r="D9" s="104"/>
      <c r="E9" s="104"/>
      <c r="F9" s="104"/>
      <c r="G9" s="104"/>
      <c r="H9" s="104"/>
      <c r="I9" s="104"/>
      <c r="J9" s="106"/>
      <c r="K9" s="138"/>
    </row>
    <row r="10" spans="2:13" ht="20.149999999999999" customHeight="1">
      <c r="B10" s="107" t="s">
        <v>5</v>
      </c>
      <c r="C10" s="108"/>
      <c r="D10" s="108"/>
      <c r="E10" s="108"/>
      <c r="F10" s="108"/>
      <c r="G10" s="108"/>
      <c r="H10" s="108"/>
      <c r="I10" s="108"/>
      <c r="J10" s="109"/>
      <c r="K10" s="138"/>
    </row>
    <row r="11" spans="2:13" ht="20.149999999999999" customHeight="1">
      <c r="B11" s="110"/>
      <c r="C11" s="111"/>
      <c r="D11" s="111"/>
      <c r="E11" s="111"/>
      <c r="F11" s="111"/>
      <c r="G11" s="111"/>
      <c r="H11" s="111"/>
      <c r="I11" s="111"/>
      <c r="J11" s="112"/>
      <c r="K11" s="138"/>
    </row>
    <row r="12" spans="2:13" ht="15" customHeight="1">
      <c r="B12" s="75" t="s">
        <v>6</v>
      </c>
      <c r="C12" s="76"/>
      <c r="D12" s="76"/>
      <c r="E12" s="76"/>
      <c r="F12" s="76"/>
      <c r="G12" s="76"/>
      <c r="H12" s="76"/>
      <c r="I12" s="76"/>
      <c r="J12" s="77"/>
      <c r="K12" s="138"/>
    </row>
    <row r="13" spans="2:13" ht="28.5" customHeight="1">
      <c r="B13" s="80" t="s">
        <v>21</v>
      </c>
      <c r="C13" s="81"/>
      <c r="D13" s="81"/>
      <c r="E13" s="81"/>
      <c r="F13" s="81"/>
      <c r="G13" s="81"/>
      <c r="H13" s="81"/>
      <c r="I13" s="81"/>
      <c r="J13" s="82"/>
      <c r="K13" s="138"/>
    </row>
    <row r="14" spans="2:13" ht="15" customHeight="1">
      <c r="B14" s="75" t="s">
        <v>7</v>
      </c>
      <c r="C14" s="76"/>
      <c r="D14" s="76"/>
      <c r="E14" s="63"/>
      <c r="F14" s="63"/>
      <c r="G14" s="63"/>
      <c r="H14" s="63"/>
      <c r="I14" s="63"/>
      <c r="J14" s="83"/>
      <c r="K14" s="138"/>
    </row>
    <row r="15" spans="2:13">
      <c r="B15" s="9" t="s">
        <v>42</v>
      </c>
      <c r="C15" s="30">
        <v>4</v>
      </c>
      <c r="D15" s="8"/>
      <c r="E15" s="97" t="s">
        <v>31</v>
      </c>
      <c r="F15" s="98"/>
      <c r="G15" s="98"/>
      <c r="H15" s="98"/>
      <c r="I15" s="98"/>
      <c r="J15" s="99"/>
      <c r="K15" s="138"/>
    </row>
    <row r="16" spans="2:13">
      <c r="B16" s="9" t="s">
        <v>43</v>
      </c>
      <c r="C16" s="29">
        <v>6250</v>
      </c>
      <c r="D16" s="8"/>
      <c r="E16" s="97" t="s">
        <v>32</v>
      </c>
      <c r="F16" s="98"/>
      <c r="G16" s="98"/>
      <c r="H16" s="98"/>
      <c r="I16" s="98"/>
      <c r="J16" s="99"/>
      <c r="K16" s="138"/>
    </row>
    <row r="17" spans="2:11" ht="13">
      <c r="B17" s="84" t="s">
        <v>22</v>
      </c>
      <c r="C17" s="86" t="s">
        <v>23</v>
      </c>
      <c r="D17" s="87"/>
      <c r="E17" s="88" t="s">
        <v>33</v>
      </c>
      <c r="F17" s="89"/>
      <c r="G17" s="89"/>
      <c r="H17" s="47" t="s">
        <v>37</v>
      </c>
      <c r="I17" s="47" t="s">
        <v>37</v>
      </c>
      <c r="J17" s="48" t="s">
        <v>38</v>
      </c>
      <c r="K17" s="138"/>
    </row>
    <row r="18" spans="2:11" ht="13">
      <c r="B18" s="84"/>
      <c r="C18" s="49" t="s">
        <v>25</v>
      </c>
      <c r="D18" s="50" t="s">
        <v>26</v>
      </c>
      <c r="E18" s="51" t="s">
        <v>34</v>
      </c>
      <c r="F18" s="52" t="s">
        <v>35</v>
      </c>
      <c r="G18" s="53" t="s">
        <v>36</v>
      </c>
      <c r="H18" s="54" t="s">
        <v>44</v>
      </c>
      <c r="I18" s="54" t="s">
        <v>46</v>
      </c>
      <c r="J18" s="55"/>
      <c r="K18" s="138"/>
    </row>
    <row r="19" spans="2:11" ht="13">
      <c r="B19" s="85"/>
      <c r="C19" s="56"/>
      <c r="D19" s="46"/>
      <c r="E19" s="51" t="s">
        <v>27</v>
      </c>
      <c r="F19" s="57" t="s">
        <v>28</v>
      </c>
      <c r="G19" s="57" t="s">
        <v>29</v>
      </c>
      <c r="H19" s="54" t="s">
        <v>45</v>
      </c>
      <c r="I19" s="54" t="s">
        <v>45</v>
      </c>
      <c r="J19" s="58" t="s">
        <v>47</v>
      </c>
      <c r="K19" s="138"/>
    </row>
    <row r="20" spans="2:11" ht="20.149999999999999" customHeight="1">
      <c r="B20" s="10"/>
      <c r="C20" s="4"/>
      <c r="D20" s="4"/>
      <c r="E20" s="3"/>
      <c r="F20" s="3"/>
      <c r="G20" s="3"/>
      <c r="H20" s="5" t="str">
        <f>IF(AND(E20="",F20="",G20=""),"",(G20-E20)*$C$15)</f>
        <v/>
      </c>
      <c r="I20" s="5" t="str">
        <f>IF(AND(E20="",F20="",G20=""),"",(F20-E20)*$C$15)</f>
        <v/>
      </c>
      <c r="J20" s="11" t="str">
        <f>IF(AND(H20="",I20=""),"",(6250)/(2*(H20-I20)))</f>
        <v/>
      </c>
      <c r="K20" s="138"/>
    </row>
    <row r="21" spans="2:11" ht="20.149999999999999" customHeight="1">
      <c r="B21" s="10"/>
      <c r="C21" s="6"/>
      <c r="D21" s="6"/>
      <c r="E21" s="3"/>
      <c r="F21" s="3"/>
      <c r="G21" s="3"/>
      <c r="H21" s="5" t="str">
        <f t="shared" ref="H21:H40" si="0">IF(AND(E21="",F21="",G21=""),"",(G21-E21)*$C$15)</f>
        <v/>
      </c>
      <c r="I21" s="5" t="str">
        <f t="shared" ref="I21:I40" si="1">IF(AND(E21="",F21="",G21=""),"",(F21-E21)*$C$15)</f>
        <v/>
      </c>
      <c r="J21" s="11" t="str">
        <f t="shared" ref="J21:J40" si="2">IF(AND(H21="",I21=""),"",(6250)/(2*(H21-I21)))</f>
        <v/>
      </c>
      <c r="K21" s="138"/>
    </row>
    <row r="22" spans="2:11" ht="20.149999999999999" customHeight="1">
      <c r="B22" s="10"/>
      <c r="C22" s="6"/>
      <c r="D22" s="6"/>
      <c r="E22" s="3"/>
      <c r="F22" s="3"/>
      <c r="G22" s="3"/>
      <c r="H22" s="5" t="str">
        <f t="shared" si="0"/>
        <v/>
      </c>
      <c r="I22" s="5" t="str">
        <f t="shared" si="1"/>
        <v/>
      </c>
      <c r="J22" s="11" t="str">
        <f t="shared" si="2"/>
        <v/>
      </c>
      <c r="K22" s="138"/>
    </row>
    <row r="23" spans="2:11" ht="20.149999999999999" customHeight="1">
      <c r="B23" s="10"/>
      <c r="C23" s="6"/>
      <c r="D23" s="6"/>
      <c r="E23" s="3"/>
      <c r="F23" s="3"/>
      <c r="G23" s="3"/>
      <c r="H23" s="5" t="str">
        <f t="shared" si="0"/>
        <v/>
      </c>
      <c r="I23" s="5" t="str">
        <f t="shared" si="1"/>
        <v/>
      </c>
      <c r="J23" s="11" t="str">
        <f t="shared" si="2"/>
        <v/>
      </c>
      <c r="K23" s="138"/>
    </row>
    <row r="24" spans="2:11" ht="20.149999999999999" customHeight="1">
      <c r="B24" s="10"/>
      <c r="C24" s="6"/>
      <c r="D24" s="6"/>
      <c r="E24" s="3"/>
      <c r="F24" s="3"/>
      <c r="G24" s="3"/>
      <c r="H24" s="5" t="str">
        <f t="shared" si="0"/>
        <v/>
      </c>
      <c r="I24" s="5" t="str">
        <f t="shared" si="1"/>
        <v/>
      </c>
      <c r="J24" s="11" t="str">
        <f>IF(AND(H24="",I24=""),"",(6250)/(2*(H24-I24)))</f>
        <v/>
      </c>
      <c r="K24" s="138"/>
    </row>
    <row r="25" spans="2:11" ht="20.149999999999999" customHeight="1">
      <c r="B25" s="10"/>
      <c r="C25" s="6"/>
      <c r="D25" s="6"/>
      <c r="E25" s="3"/>
      <c r="F25" s="3"/>
      <c r="G25" s="3"/>
      <c r="H25" s="5" t="str">
        <f t="shared" si="0"/>
        <v/>
      </c>
      <c r="I25" s="5" t="str">
        <f t="shared" si="1"/>
        <v/>
      </c>
      <c r="J25" s="11" t="str">
        <f t="shared" si="2"/>
        <v/>
      </c>
      <c r="K25" s="138"/>
    </row>
    <row r="26" spans="2:11" ht="20.149999999999999" customHeight="1">
      <c r="B26" s="10"/>
      <c r="C26" s="6"/>
      <c r="D26" s="6"/>
      <c r="E26" s="3"/>
      <c r="F26" s="3"/>
      <c r="G26" s="3"/>
      <c r="H26" s="5" t="str">
        <f t="shared" si="0"/>
        <v/>
      </c>
      <c r="I26" s="5" t="str">
        <f t="shared" si="1"/>
        <v/>
      </c>
      <c r="J26" s="11" t="str">
        <f t="shared" si="2"/>
        <v/>
      </c>
      <c r="K26" s="138"/>
    </row>
    <row r="27" spans="2:11" ht="20.149999999999999" customHeight="1">
      <c r="B27" s="10"/>
      <c r="C27" s="6"/>
      <c r="D27" s="6"/>
      <c r="E27" s="3"/>
      <c r="F27" s="3"/>
      <c r="G27" s="3"/>
      <c r="H27" s="5" t="str">
        <f t="shared" si="0"/>
        <v/>
      </c>
      <c r="I27" s="5" t="str">
        <f t="shared" si="1"/>
        <v/>
      </c>
      <c r="J27" s="11" t="str">
        <f t="shared" si="2"/>
        <v/>
      </c>
      <c r="K27" s="138"/>
    </row>
    <row r="28" spans="2:11" ht="20.149999999999999" customHeight="1">
      <c r="B28" s="10"/>
      <c r="C28" s="6"/>
      <c r="D28" s="6"/>
      <c r="E28" s="3"/>
      <c r="F28" s="3"/>
      <c r="G28" s="3"/>
      <c r="H28" s="5" t="str">
        <f t="shared" si="0"/>
        <v/>
      </c>
      <c r="I28" s="5" t="str">
        <f t="shared" si="1"/>
        <v/>
      </c>
      <c r="J28" s="11" t="str">
        <f t="shared" si="2"/>
        <v/>
      </c>
      <c r="K28" s="138"/>
    </row>
    <row r="29" spans="2:11" ht="20.149999999999999" customHeight="1">
      <c r="B29" s="10"/>
      <c r="C29" s="6"/>
      <c r="D29" s="6"/>
      <c r="E29" s="3"/>
      <c r="F29" s="3"/>
      <c r="G29" s="3"/>
      <c r="H29" s="5" t="str">
        <f t="shared" si="0"/>
        <v/>
      </c>
      <c r="I29" s="5" t="str">
        <f t="shared" si="1"/>
        <v/>
      </c>
      <c r="J29" s="11" t="str">
        <f t="shared" si="2"/>
        <v/>
      </c>
      <c r="K29" s="138"/>
    </row>
    <row r="30" spans="2:11" ht="20.149999999999999" customHeight="1">
      <c r="B30" s="10"/>
      <c r="C30" s="6"/>
      <c r="D30" s="6"/>
      <c r="E30" s="3"/>
      <c r="F30" s="3"/>
      <c r="G30" s="3"/>
      <c r="H30" s="5" t="str">
        <f t="shared" si="0"/>
        <v/>
      </c>
      <c r="I30" s="5" t="str">
        <f t="shared" si="1"/>
        <v/>
      </c>
      <c r="J30" s="11" t="str">
        <f t="shared" si="2"/>
        <v/>
      </c>
      <c r="K30" s="138"/>
    </row>
    <row r="31" spans="2:11" ht="20.149999999999999" customHeight="1">
      <c r="B31" s="10"/>
      <c r="C31" s="6"/>
      <c r="D31" s="6"/>
      <c r="E31" s="3"/>
      <c r="F31" s="3"/>
      <c r="G31" s="3"/>
      <c r="H31" s="5" t="str">
        <f t="shared" si="0"/>
        <v/>
      </c>
      <c r="I31" s="5" t="str">
        <f t="shared" si="1"/>
        <v/>
      </c>
      <c r="J31" s="11" t="str">
        <f t="shared" si="2"/>
        <v/>
      </c>
      <c r="K31" s="138"/>
    </row>
    <row r="32" spans="2:11" ht="20.149999999999999" customHeight="1">
      <c r="B32" s="10"/>
      <c r="C32" s="6"/>
      <c r="D32" s="6"/>
      <c r="E32" s="3"/>
      <c r="F32" s="3"/>
      <c r="G32" s="3"/>
      <c r="H32" s="5" t="str">
        <f t="shared" si="0"/>
        <v/>
      </c>
      <c r="I32" s="5" t="str">
        <f t="shared" si="1"/>
        <v/>
      </c>
      <c r="J32" s="11" t="str">
        <f t="shared" si="2"/>
        <v/>
      </c>
      <c r="K32" s="138"/>
    </row>
    <row r="33" spans="2:11" ht="20.149999999999999" customHeight="1">
      <c r="B33" s="10"/>
      <c r="C33" s="6"/>
      <c r="D33" s="6"/>
      <c r="E33" s="3"/>
      <c r="F33" s="3"/>
      <c r="G33" s="3"/>
      <c r="H33" s="5" t="str">
        <f t="shared" si="0"/>
        <v/>
      </c>
      <c r="I33" s="5" t="str">
        <f t="shared" si="1"/>
        <v/>
      </c>
      <c r="J33" s="11" t="str">
        <f t="shared" si="2"/>
        <v/>
      </c>
      <c r="K33" s="138"/>
    </row>
    <row r="34" spans="2:11" ht="20.149999999999999" customHeight="1">
      <c r="B34" s="10"/>
      <c r="C34" s="6"/>
      <c r="D34" s="6"/>
      <c r="E34" s="3"/>
      <c r="F34" s="3"/>
      <c r="G34" s="3"/>
      <c r="H34" s="5" t="str">
        <f t="shared" si="0"/>
        <v/>
      </c>
      <c r="I34" s="5" t="str">
        <f t="shared" si="1"/>
        <v/>
      </c>
      <c r="J34" s="11" t="str">
        <f t="shared" si="2"/>
        <v/>
      </c>
      <c r="K34" s="138"/>
    </row>
    <row r="35" spans="2:11" ht="20.149999999999999" customHeight="1">
      <c r="B35" s="10"/>
      <c r="C35" s="6"/>
      <c r="D35" s="6"/>
      <c r="E35" s="3"/>
      <c r="F35" s="3"/>
      <c r="G35" s="3"/>
      <c r="H35" s="5" t="str">
        <f t="shared" si="0"/>
        <v/>
      </c>
      <c r="I35" s="5" t="str">
        <f t="shared" si="1"/>
        <v/>
      </c>
      <c r="J35" s="11" t="str">
        <f t="shared" si="2"/>
        <v/>
      </c>
      <c r="K35" s="138"/>
    </row>
    <row r="36" spans="2:11" ht="20.149999999999999" customHeight="1">
      <c r="B36" s="10"/>
      <c r="C36" s="6"/>
      <c r="D36" s="6"/>
      <c r="E36" s="3"/>
      <c r="F36" s="3"/>
      <c r="G36" s="3"/>
      <c r="H36" s="5" t="str">
        <f t="shared" si="0"/>
        <v/>
      </c>
      <c r="I36" s="5" t="str">
        <f t="shared" si="1"/>
        <v/>
      </c>
      <c r="J36" s="11" t="str">
        <f t="shared" si="2"/>
        <v/>
      </c>
      <c r="K36" s="138"/>
    </row>
    <row r="37" spans="2:11" ht="20.149999999999999" customHeight="1">
      <c r="B37" s="10"/>
      <c r="C37" s="6"/>
      <c r="D37" s="6"/>
      <c r="E37" s="3"/>
      <c r="F37" s="3"/>
      <c r="G37" s="3"/>
      <c r="H37" s="5" t="str">
        <f t="shared" si="0"/>
        <v/>
      </c>
      <c r="I37" s="5" t="str">
        <f t="shared" si="1"/>
        <v/>
      </c>
      <c r="J37" s="11" t="str">
        <f t="shared" si="2"/>
        <v/>
      </c>
      <c r="K37" s="138"/>
    </row>
    <row r="38" spans="2:11" ht="20.149999999999999" customHeight="1">
      <c r="B38" s="10"/>
      <c r="C38" s="6"/>
      <c r="D38" s="6"/>
      <c r="E38" s="3"/>
      <c r="F38" s="3"/>
      <c r="G38" s="3"/>
      <c r="H38" s="5" t="str">
        <f t="shared" si="0"/>
        <v/>
      </c>
      <c r="I38" s="5" t="str">
        <f t="shared" si="1"/>
        <v/>
      </c>
      <c r="J38" s="11" t="str">
        <f t="shared" si="2"/>
        <v/>
      </c>
      <c r="K38" s="138"/>
    </row>
    <row r="39" spans="2:11" ht="20.149999999999999" customHeight="1">
      <c r="B39" s="10"/>
      <c r="C39" s="6"/>
      <c r="D39" s="6"/>
      <c r="E39" s="3"/>
      <c r="F39" s="3"/>
      <c r="G39" s="3"/>
      <c r="H39" s="5" t="str">
        <f t="shared" si="0"/>
        <v/>
      </c>
      <c r="I39" s="5" t="str">
        <f t="shared" si="1"/>
        <v/>
      </c>
      <c r="J39" s="11" t="str">
        <f t="shared" si="2"/>
        <v/>
      </c>
      <c r="K39" s="138"/>
    </row>
    <row r="40" spans="2:11" ht="20.149999999999999" customHeight="1">
      <c r="B40" s="10"/>
      <c r="C40" s="6"/>
      <c r="D40" s="6"/>
      <c r="E40" s="3"/>
      <c r="F40" s="3"/>
      <c r="G40" s="3"/>
      <c r="H40" s="5" t="str">
        <f t="shared" si="0"/>
        <v/>
      </c>
      <c r="I40" s="5" t="str">
        <f t="shared" si="1"/>
        <v/>
      </c>
      <c r="J40" s="11" t="str">
        <f t="shared" si="2"/>
        <v/>
      </c>
      <c r="K40" s="138"/>
    </row>
    <row r="41" spans="2:11" ht="20.149999999999999" customHeight="1">
      <c r="B41" s="12"/>
      <c r="C41" s="13"/>
      <c r="D41" s="13"/>
      <c r="E41" s="13"/>
      <c r="F41" s="13"/>
      <c r="G41" s="13"/>
      <c r="H41" s="13"/>
      <c r="I41" s="13"/>
      <c r="J41" s="14"/>
      <c r="K41" s="138"/>
    </row>
    <row r="42" spans="2:11" ht="20.149999999999999" customHeight="1">
      <c r="B42" s="78" t="s">
        <v>39</v>
      </c>
      <c r="C42" s="79"/>
      <c r="D42" s="79"/>
      <c r="E42" s="79"/>
      <c r="F42" s="79"/>
      <c r="G42" s="79"/>
      <c r="H42" s="28"/>
      <c r="I42" s="7"/>
      <c r="J42" s="15"/>
      <c r="K42" s="138"/>
    </row>
    <row r="43" spans="2:11" ht="20.149999999999999" customHeight="1">
      <c r="B43" s="78" t="s">
        <v>17</v>
      </c>
      <c r="C43" s="79"/>
      <c r="D43" s="79"/>
      <c r="E43" s="79"/>
      <c r="F43" s="79"/>
      <c r="G43" s="79"/>
      <c r="H43" s="28"/>
      <c r="I43" s="7"/>
      <c r="J43" s="15"/>
      <c r="K43" s="138"/>
    </row>
    <row r="44" spans="2:11" ht="20.149999999999999" customHeight="1">
      <c r="B44" s="78" t="s">
        <v>48</v>
      </c>
      <c r="C44" s="79"/>
      <c r="D44" s="79"/>
      <c r="E44" s="79"/>
      <c r="F44" s="79"/>
      <c r="G44" s="79"/>
      <c r="H44" s="28"/>
      <c r="I44" s="7"/>
      <c r="J44" s="15"/>
      <c r="K44" s="138"/>
    </row>
    <row r="45" spans="2:11" ht="20.149999999999999" customHeight="1">
      <c r="B45" s="78" t="s">
        <v>40</v>
      </c>
      <c r="C45" s="79"/>
      <c r="D45" s="79"/>
      <c r="E45" s="79"/>
      <c r="F45" s="79"/>
      <c r="G45" s="79"/>
      <c r="H45" s="28"/>
      <c r="I45" s="7"/>
      <c r="J45" s="15"/>
      <c r="K45" s="138"/>
    </row>
    <row r="46" spans="2:11" ht="20.149999999999999" customHeight="1">
      <c r="B46" s="78" t="s">
        <v>40</v>
      </c>
      <c r="C46" s="79"/>
      <c r="D46" s="79"/>
      <c r="E46" s="79"/>
      <c r="F46" s="79"/>
      <c r="G46" s="79"/>
      <c r="H46" s="28"/>
      <c r="I46" s="7"/>
      <c r="J46" s="15"/>
      <c r="K46" s="138"/>
    </row>
    <row r="47" spans="2:11" ht="20.149999999999999" customHeight="1">
      <c r="B47" s="78" t="s">
        <v>41</v>
      </c>
      <c r="C47" s="79"/>
      <c r="D47" s="79"/>
      <c r="E47" s="79"/>
      <c r="F47" s="79"/>
      <c r="G47" s="79"/>
      <c r="H47" s="28"/>
      <c r="I47" s="7"/>
      <c r="J47" s="15"/>
      <c r="K47" s="138"/>
    </row>
    <row r="48" spans="2:11" ht="20.149999999999999" customHeight="1">
      <c r="B48" s="16"/>
      <c r="C48" s="17"/>
      <c r="D48" s="17"/>
      <c r="E48" s="17"/>
      <c r="F48" s="17"/>
      <c r="G48" s="17"/>
      <c r="H48" s="17"/>
      <c r="I48" s="17"/>
      <c r="J48" s="18"/>
      <c r="K48" s="138"/>
    </row>
    <row r="49" spans="2:11" ht="13">
      <c r="B49" s="70" t="s">
        <v>24</v>
      </c>
      <c r="C49" s="71"/>
      <c r="D49" s="71"/>
      <c r="E49" s="71"/>
      <c r="F49" s="71"/>
      <c r="G49" s="71"/>
      <c r="H49" s="71"/>
      <c r="I49" s="71"/>
      <c r="J49" s="72"/>
      <c r="K49" s="138"/>
    </row>
    <row r="50" spans="2:11" ht="13">
      <c r="B50" s="19"/>
      <c r="C50" s="20"/>
      <c r="D50" s="20"/>
      <c r="E50" s="20"/>
      <c r="F50" s="20"/>
      <c r="G50" s="20"/>
      <c r="H50" s="20"/>
      <c r="I50" s="20"/>
      <c r="J50" s="21"/>
      <c r="K50" s="138"/>
    </row>
    <row r="51" spans="2:11" ht="20.149999999999999" customHeight="1">
      <c r="B51" s="19"/>
      <c r="C51" s="20"/>
      <c r="D51" s="20"/>
      <c r="E51" s="20"/>
      <c r="F51" s="20"/>
      <c r="G51" s="20"/>
      <c r="H51" s="20"/>
      <c r="I51" s="20"/>
      <c r="J51" s="21"/>
      <c r="K51" s="138"/>
    </row>
    <row r="52" spans="2:11" ht="20.149999999999999" customHeight="1">
      <c r="B52" s="19"/>
      <c r="C52" s="20"/>
      <c r="D52" s="20"/>
      <c r="E52" s="20"/>
      <c r="F52" s="20"/>
      <c r="G52" s="20"/>
      <c r="H52" s="20"/>
      <c r="I52" s="20"/>
      <c r="J52" s="21"/>
      <c r="K52" s="138"/>
    </row>
    <row r="53" spans="2:11" ht="20.149999999999999" customHeight="1">
      <c r="B53" s="19"/>
      <c r="C53" s="20"/>
      <c r="D53" s="20"/>
      <c r="E53" s="20"/>
      <c r="F53" s="20"/>
      <c r="G53" s="20"/>
      <c r="H53" s="20"/>
      <c r="I53" s="20"/>
      <c r="J53" s="21"/>
      <c r="K53" s="138"/>
    </row>
    <row r="54" spans="2:11" ht="20.149999999999999" customHeight="1">
      <c r="B54" s="19"/>
      <c r="C54" s="20"/>
      <c r="D54" s="20"/>
      <c r="E54" s="20"/>
      <c r="F54" s="20"/>
      <c r="G54" s="20"/>
      <c r="H54" s="20"/>
      <c r="I54" s="20"/>
      <c r="J54" s="21"/>
      <c r="K54" s="138"/>
    </row>
    <row r="55" spans="2:11" ht="20.149999999999999" customHeight="1">
      <c r="B55" s="22"/>
      <c r="C55" s="23"/>
      <c r="D55" s="23"/>
      <c r="E55" s="23"/>
      <c r="F55" s="23"/>
      <c r="G55" s="23"/>
      <c r="H55" s="23"/>
      <c r="I55" s="23"/>
      <c r="J55" s="24"/>
      <c r="K55" s="138"/>
    </row>
    <row r="56" spans="2:11" ht="20.149999999999999" customHeight="1">
      <c r="B56" s="22"/>
      <c r="C56" s="23"/>
      <c r="D56" s="23"/>
      <c r="E56" s="23"/>
      <c r="F56" s="23"/>
      <c r="G56" s="23"/>
      <c r="H56" s="23"/>
      <c r="I56" s="23"/>
      <c r="J56" s="24"/>
      <c r="K56" s="138"/>
    </row>
    <row r="57" spans="2:11" ht="20.149999999999999" customHeight="1">
      <c r="B57" s="22"/>
      <c r="C57" s="23"/>
      <c r="D57" s="23"/>
      <c r="E57" s="23"/>
      <c r="F57" s="23"/>
      <c r="G57" s="23"/>
      <c r="H57" s="23"/>
      <c r="I57" s="23"/>
      <c r="J57" s="24"/>
      <c r="K57" s="138"/>
    </row>
    <row r="58" spans="2:11" ht="17.5">
      <c r="B58" s="25"/>
      <c r="C58" s="26"/>
      <c r="D58" s="26"/>
      <c r="E58" s="26"/>
      <c r="F58" s="26"/>
      <c r="G58" s="26"/>
      <c r="H58" s="26"/>
      <c r="I58" s="26"/>
      <c r="J58" s="27"/>
      <c r="K58" s="138"/>
    </row>
    <row r="59" spans="2:11" ht="13">
      <c r="B59" s="70" t="s">
        <v>30</v>
      </c>
      <c r="C59" s="71"/>
      <c r="D59" s="71"/>
      <c r="E59" s="71"/>
      <c r="F59" s="71"/>
      <c r="G59" s="71"/>
      <c r="H59" s="71"/>
      <c r="I59" s="71"/>
      <c r="J59" s="72"/>
      <c r="K59" s="138"/>
    </row>
    <row r="60" spans="2:11" ht="20.149999999999999" customHeight="1">
      <c r="B60" s="113"/>
      <c r="C60" s="114"/>
      <c r="D60" s="114"/>
      <c r="E60" s="114"/>
      <c r="F60" s="114"/>
      <c r="G60" s="114"/>
      <c r="H60" s="114"/>
      <c r="I60" s="114"/>
      <c r="J60" s="115"/>
      <c r="K60" s="138"/>
    </row>
    <row r="61" spans="2:11" ht="20.149999999999999" customHeight="1">
      <c r="B61" s="116"/>
      <c r="C61" s="117"/>
      <c r="D61" s="117"/>
      <c r="E61" s="117"/>
      <c r="F61" s="117"/>
      <c r="G61" s="117"/>
      <c r="H61" s="117"/>
      <c r="I61" s="117"/>
      <c r="J61" s="118"/>
      <c r="K61" s="138"/>
    </row>
    <row r="62" spans="2:11" ht="20.149999999999999" customHeight="1">
      <c r="B62" s="116"/>
      <c r="C62" s="117"/>
      <c r="D62" s="117"/>
      <c r="E62" s="117"/>
      <c r="F62" s="117"/>
      <c r="G62" s="117"/>
      <c r="H62" s="117"/>
      <c r="I62" s="117"/>
      <c r="J62" s="118"/>
      <c r="K62" s="138"/>
    </row>
    <row r="63" spans="2:11" ht="20.149999999999999" customHeight="1">
      <c r="B63" s="116"/>
      <c r="C63" s="117"/>
      <c r="D63" s="117"/>
      <c r="E63" s="117"/>
      <c r="F63" s="117"/>
      <c r="G63" s="117"/>
      <c r="H63" s="117"/>
      <c r="I63" s="117"/>
      <c r="J63" s="118"/>
      <c r="K63" s="138"/>
    </row>
    <row r="64" spans="2:11" ht="20.149999999999999" customHeight="1">
      <c r="B64" s="116"/>
      <c r="C64" s="117"/>
      <c r="D64" s="117"/>
      <c r="E64" s="117"/>
      <c r="F64" s="117"/>
      <c r="G64" s="117"/>
      <c r="H64" s="117"/>
      <c r="I64" s="117"/>
      <c r="J64" s="118"/>
      <c r="K64" s="138"/>
    </row>
    <row r="65" spans="2:13" ht="20.149999999999999" customHeight="1">
      <c r="B65" s="116"/>
      <c r="C65" s="117"/>
      <c r="D65" s="117"/>
      <c r="E65" s="117"/>
      <c r="F65" s="117"/>
      <c r="G65" s="117"/>
      <c r="H65" s="117"/>
      <c r="I65" s="117"/>
      <c r="J65" s="118"/>
      <c r="K65" s="138"/>
    </row>
    <row r="66" spans="2:13" ht="20.149999999999999" customHeight="1">
      <c r="B66" s="116"/>
      <c r="C66" s="117"/>
      <c r="D66" s="117"/>
      <c r="E66" s="117"/>
      <c r="F66" s="117"/>
      <c r="G66" s="117"/>
      <c r="H66" s="117"/>
      <c r="I66" s="117"/>
      <c r="J66" s="118"/>
      <c r="K66" s="138"/>
    </row>
    <row r="67" spans="2:13" ht="20.149999999999999" customHeight="1">
      <c r="B67" s="119"/>
      <c r="C67" s="120"/>
      <c r="D67" s="120"/>
      <c r="E67" s="120"/>
      <c r="F67" s="120"/>
      <c r="G67" s="120"/>
      <c r="H67" s="120"/>
      <c r="I67" s="120"/>
      <c r="J67" s="121"/>
      <c r="K67" s="138"/>
    </row>
    <row r="68" spans="2:13" ht="15" customHeight="1">
      <c r="B68" s="62" t="s">
        <v>8</v>
      </c>
      <c r="C68" s="63"/>
      <c r="D68" s="63"/>
      <c r="E68" s="63"/>
      <c r="F68" s="63"/>
      <c r="G68" s="63"/>
      <c r="H68" s="63"/>
      <c r="I68" s="63"/>
      <c r="J68" s="64"/>
      <c r="K68" s="138"/>
    </row>
    <row r="69" spans="2:13" ht="51" customHeight="1">
      <c r="B69" s="65"/>
      <c r="C69" s="66"/>
      <c r="D69" s="66"/>
      <c r="E69" s="66"/>
      <c r="F69" s="38"/>
      <c r="G69" s="67"/>
      <c r="H69" s="67"/>
      <c r="I69" s="67"/>
      <c r="J69" s="68"/>
      <c r="K69" s="138"/>
    </row>
    <row r="70" spans="2:13" ht="22" customHeight="1">
      <c r="B70" s="60" t="s">
        <v>9</v>
      </c>
      <c r="C70" s="61"/>
      <c r="D70" s="61"/>
      <c r="E70" s="39"/>
      <c r="F70" s="39"/>
      <c r="G70" s="61" t="s">
        <v>10</v>
      </c>
      <c r="H70" s="61"/>
      <c r="I70" s="61"/>
      <c r="J70" s="69"/>
      <c r="K70" s="138"/>
    </row>
    <row r="71" spans="2:13" ht="15" customHeight="1">
      <c r="B71" s="59"/>
      <c r="C71" s="59"/>
      <c r="D71" s="59"/>
      <c r="E71" s="59"/>
      <c r="F71" s="59"/>
      <c r="G71" s="59"/>
      <c r="H71" s="59"/>
      <c r="I71" s="59"/>
      <c r="J71" s="59"/>
      <c r="K71" s="138"/>
    </row>
    <row r="72" spans="2:13" ht="30" customHeight="1">
      <c r="B72" s="40" t="s">
        <v>54</v>
      </c>
      <c r="C72" s="94" t="s">
        <v>60</v>
      </c>
      <c r="D72" s="94"/>
      <c r="E72" s="94"/>
      <c r="F72" s="94"/>
      <c r="G72" s="94"/>
      <c r="H72" s="94"/>
      <c r="I72" s="94"/>
      <c r="J72" s="94"/>
      <c r="K72" s="138"/>
      <c r="L72" s="43"/>
      <c r="M72" s="43"/>
    </row>
    <row r="73" spans="2:13" ht="30" customHeight="1">
      <c r="B73" s="41" t="s">
        <v>55</v>
      </c>
      <c r="C73" s="95" t="s">
        <v>57</v>
      </c>
      <c r="D73" s="95"/>
      <c r="E73" s="95"/>
      <c r="F73" s="95"/>
      <c r="G73" s="95"/>
      <c r="H73" s="95"/>
      <c r="I73" s="95"/>
      <c r="J73" s="95"/>
      <c r="K73" s="138"/>
      <c r="L73" s="44"/>
      <c r="M73" s="44"/>
    </row>
    <row r="74" spans="2:13" ht="30" customHeight="1">
      <c r="B74" s="42" t="s">
        <v>56</v>
      </c>
      <c r="C74" s="95" t="s">
        <v>61</v>
      </c>
      <c r="D74" s="95"/>
      <c r="E74" s="95"/>
      <c r="F74" s="95"/>
      <c r="G74" s="95"/>
      <c r="H74" s="95"/>
      <c r="I74" s="95"/>
      <c r="J74" s="95"/>
      <c r="K74" s="138"/>
      <c r="L74" s="44"/>
      <c r="M74" s="44"/>
    </row>
    <row r="75" spans="2:13">
      <c r="B75" s="45"/>
      <c r="C75" s="45"/>
      <c r="D75" s="45"/>
      <c r="E75" s="45"/>
      <c r="F75" s="45"/>
      <c r="G75" s="45"/>
      <c r="H75" s="45"/>
      <c r="I75" s="45"/>
      <c r="J75" s="45"/>
      <c r="K75" s="138"/>
    </row>
    <row r="76" spans="2:13">
      <c r="B76" s="45"/>
      <c r="C76" s="45"/>
      <c r="D76" s="45"/>
      <c r="E76" s="45"/>
      <c r="F76" s="45"/>
      <c r="G76" s="45"/>
      <c r="H76" s="45"/>
      <c r="I76" s="45"/>
      <c r="J76" s="45"/>
    </row>
    <row r="77" spans="2:13">
      <c r="B77" s="45"/>
      <c r="C77" s="45"/>
      <c r="D77" s="45"/>
      <c r="E77" s="45"/>
      <c r="F77" s="45"/>
      <c r="G77" s="45"/>
      <c r="H77" s="45"/>
      <c r="I77" s="45"/>
      <c r="J77" s="45"/>
    </row>
    <row r="78" spans="2:13">
      <c r="B78" s="45"/>
      <c r="C78" s="45"/>
      <c r="D78" s="45"/>
      <c r="E78" s="45"/>
      <c r="F78" s="45"/>
      <c r="G78" s="45"/>
      <c r="H78" s="45"/>
      <c r="I78" s="45"/>
      <c r="J78" s="45"/>
    </row>
    <row r="79" spans="2:13">
      <c r="B79" s="45"/>
      <c r="C79" s="45"/>
      <c r="D79" s="45"/>
      <c r="E79" s="45"/>
      <c r="F79" s="45"/>
      <c r="G79" s="45"/>
      <c r="H79" s="45"/>
      <c r="I79" s="45"/>
      <c r="J79" s="45"/>
    </row>
    <row r="80" spans="2:13">
      <c r="B80" s="45"/>
      <c r="C80" s="45"/>
      <c r="D80" s="45"/>
      <c r="E80" s="45"/>
      <c r="F80" s="45"/>
      <c r="G80" s="45"/>
      <c r="H80" s="45"/>
      <c r="I80" s="45"/>
      <c r="J80" s="45"/>
    </row>
  </sheetData>
  <protectedRanges>
    <protectedRange sqref="C7:D8 G7:I8 D9:I11" name="Intervalo1"/>
  </protectedRanges>
  <mergeCells count="43">
    <mergeCell ref="K1:K75"/>
    <mergeCell ref="C72:J72"/>
    <mergeCell ref="C73:J73"/>
    <mergeCell ref="C74:J74"/>
    <mergeCell ref="G4:J4"/>
    <mergeCell ref="B5:E5"/>
    <mergeCell ref="G5:J5"/>
    <mergeCell ref="E15:J15"/>
    <mergeCell ref="E16:J16"/>
    <mergeCell ref="B6:J6"/>
    <mergeCell ref="E7:J7"/>
    <mergeCell ref="B7:D7"/>
    <mergeCell ref="B8:D8"/>
    <mergeCell ref="B9:J9"/>
    <mergeCell ref="B10:J11"/>
    <mergeCell ref="E8:F8"/>
    <mergeCell ref="B60:J67"/>
    <mergeCell ref="B1:J1"/>
    <mergeCell ref="B2:J2"/>
    <mergeCell ref="B3:E3"/>
    <mergeCell ref="G3:J3"/>
    <mergeCell ref="B4:E4"/>
    <mergeCell ref="B49:J49"/>
    <mergeCell ref="B59:J59"/>
    <mergeCell ref="G8:J8"/>
    <mergeCell ref="B12:J12"/>
    <mergeCell ref="B42:G42"/>
    <mergeCell ref="B43:G43"/>
    <mergeCell ref="B44:G44"/>
    <mergeCell ref="B45:G45"/>
    <mergeCell ref="B46:G46"/>
    <mergeCell ref="B47:G47"/>
    <mergeCell ref="B13:J13"/>
    <mergeCell ref="B14:J14"/>
    <mergeCell ref="B17:B19"/>
    <mergeCell ref="C17:D17"/>
    <mergeCell ref="E17:G17"/>
    <mergeCell ref="B71:J71"/>
    <mergeCell ref="B70:D70"/>
    <mergeCell ref="B68:J68"/>
    <mergeCell ref="B69:E69"/>
    <mergeCell ref="G69:J69"/>
    <mergeCell ref="G70:J70"/>
  </mergeCells>
  <conditionalFormatting sqref="H20:J40">
    <cfRule type="cellIs" dxfId="0" priority="1" stopIfTrue="1" operator="greaterThan">
      <formula>#REF!</formula>
    </cfRule>
  </conditionalFormatting>
  <printOptions horizontalCentered="1"/>
  <pageMargins left="0.51181102362204722" right="0.51181102362204722" top="0.78740157480314965" bottom="0.78740157480314965" header="0.31496062992125984" footer="0.31496062992125984"/>
  <pageSetup paperSize="9" scale="4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C21F7-B2A0-4C9A-8F73-CFEA1C53E70F}">
  <sheetPr>
    <pageSetUpPr fitToPage="1"/>
  </sheetPr>
  <dimension ref="A1:C11"/>
  <sheetViews>
    <sheetView zoomScale="115" zoomScaleNormal="115" zoomScaleSheetLayoutView="115" workbookViewId="0">
      <selection sqref="A1:C1"/>
    </sheetView>
  </sheetViews>
  <sheetFormatPr defaultColWidth="8.81640625" defaultRowHeight="12.5"/>
  <cols>
    <col min="1" max="1" width="10.36328125" style="1" customWidth="1"/>
    <col min="2" max="2" width="33.1796875" style="1" customWidth="1"/>
    <col min="3" max="3" width="53" style="1" customWidth="1"/>
    <col min="4" max="16384" width="8.81640625" style="1"/>
  </cols>
  <sheetData>
    <row r="1" spans="1:3" ht="63.75" customHeight="1">
      <c r="A1" s="127"/>
      <c r="B1" s="128"/>
      <c r="C1" s="129"/>
    </row>
    <row r="2" spans="1:3" ht="48.75" customHeight="1">
      <c r="A2" s="130">
        <f>'FR-IMOB-29_Rev00'!C6</f>
        <v>0</v>
      </c>
      <c r="B2" s="131"/>
      <c r="C2" s="132"/>
    </row>
    <row r="3" spans="1:3" ht="11.25" customHeight="1">
      <c r="A3" s="139"/>
      <c r="B3" s="140"/>
      <c r="C3" s="141"/>
    </row>
    <row r="4" spans="1:3" ht="20.5" customHeight="1">
      <c r="A4" s="122" t="s">
        <v>16</v>
      </c>
      <c r="B4" s="123"/>
      <c r="C4" s="124"/>
    </row>
    <row r="5" spans="1:3" ht="20.5" customHeight="1">
      <c r="A5" s="142" t="s">
        <v>15</v>
      </c>
      <c r="B5" s="142"/>
      <c r="C5" s="143" t="s">
        <v>14</v>
      </c>
    </row>
    <row r="6" spans="1:3" ht="20.5" customHeight="1">
      <c r="A6" s="2" t="s">
        <v>13</v>
      </c>
      <c r="B6" s="144"/>
      <c r="C6" s="145"/>
    </row>
    <row r="7" spans="1:3" ht="20.5" customHeight="1">
      <c r="A7" s="2" t="s">
        <v>12</v>
      </c>
      <c r="B7" s="144"/>
      <c r="C7" s="145"/>
    </row>
    <row r="8" spans="1:3" ht="20.5" customHeight="1">
      <c r="A8" s="122" t="s">
        <v>11</v>
      </c>
      <c r="B8" s="133"/>
      <c r="C8" s="134"/>
    </row>
    <row r="9" spans="1:3" ht="26.5" customHeight="1">
      <c r="A9" s="146"/>
      <c r="B9" s="135" t="s">
        <v>18</v>
      </c>
      <c r="C9" s="136"/>
    </row>
    <row r="10" spans="1:3" ht="26.5" customHeight="1">
      <c r="A10" s="146"/>
      <c r="B10" s="137" t="s">
        <v>19</v>
      </c>
      <c r="C10" s="136"/>
    </row>
    <row r="11" spans="1:3" ht="26.5" customHeight="1" thickBot="1">
      <c r="A11" s="147"/>
      <c r="B11" s="125" t="s">
        <v>20</v>
      </c>
      <c r="C11" s="126"/>
    </row>
  </sheetData>
  <protectedRanges>
    <protectedRange sqref="B6:B7 A9:A11" name="Intervalo2"/>
    <protectedRange sqref="B6:B7" name="Intervalo1"/>
  </protectedRanges>
  <mergeCells count="9">
    <mergeCell ref="A4:C4"/>
    <mergeCell ref="A5:B5"/>
    <mergeCell ref="B11:C11"/>
    <mergeCell ref="A1:C1"/>
    <mergeCell ref="A2:C2"/>
    <mergeCell ref="A8:C8"/>
    <mergeCell ref="B9:C9"/>
    <mergeCell ref="B10:C10"/>
    <mergeCell ref="A3:C3"/>
  </mergeCells>
  <printOptions horizontalCentered="1"/>
  <pageMargins left="0.59055118110236227" right="0.59055118110236227" top="0.78740157480314965" bottom="0.78740157480314965" header="0.31496062992125984" footer="0.31496062992125984"/>
  <pageSetup paperSize="9" scale="94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8</xdr:row>
                    <xdr:rowOff>31750</xdr:rowOff>
                  </from>
                  <to>
                    <xdr:col>0</xdr:col>
                    <xdr:colOff>647700</xdr:colOff>
                    <xdr:row>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9</xdr:row>
                    <xdr:rowOff>31750</xdr:rowOff>
                  </from>
                  <to>
                    <xdr:col>0</xdr:col>
                    <xdr:colOff>647700</xdr:colOff>
                    <xdr:row>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6" name="Check Box 4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10</xdr:row>
                    <xdr:rowOff>31750</xdr:rowOff>
                  </from>
                  <to>
                    <xdr:col>0</xdr:col>
                    <xdr:colOff>647700</xdr:colOff>
                    <xdr:row>10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FR-IMOB-29_Rev00</vt:lpstr>
      <vt:lpstr>Deflexõe-Viga Benkelman VERSO</vt:lpstr>
      <vt:lpstr>'Deflexõe-Viga Benkelman VERSO'!Area_de_impressao</vt:lpstr>
      <vt:lpstr>'FR-IMOB-29_Rev00'!Area_de_impressao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jane</dc:creator>
  <cp:lastModifiedBy>Samara Rodrigues Dos Santos</cp:lastModifiedBy>
  <cp:lastPrinted>2022-07-27T20:30:21Z</cp:lastPrinted>
  <dcterms:created xsi:type="dcterms:W3CDTF">2022-07-24T00:22:05Z</dcterms:created>
  <dcterms:modified xsi:type="dcterms:W3CDTF">2026-02-16T14:57:45Z</dcterms:modified>
</cp:coreProperties>
</file>