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806A4A39-D3B9-4861-A952-B4719C7AA531}" xr6:coauthVersionLast="47" xr6:coauthVersionMax="47" xr10:uidLastSave="{00000000-0000-0000-0000-000000000000}"/>
  <bookViews>
    <workbookView xWindow="-28910" yWindow="-1730" windowWidth="29020" windowHeight="15820" xr2:uid="{07287C56-11A1-4018-A3F5-CB0D2EDD966D}"/>
  </bookViews>
  <sheets>
    <sheet name="FR-IMOB-20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'FR-IMOB-20_Rev00'!$A$1:$S$35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 localSheetId="0">#REF!</definedName>
    <definedName name="btt">#REF!</definedName>
    <definedName name="button_area_1" localSheetId="0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0">#REF!</definedName>
    <definedName name="correção">#REF!</definedName>
    <definedName name="d" localSheetId="0">#REF!</definedName>
    <definedName name="d">#REF!</definedName>
    <definedName name="dez" localSheetId="0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0">#REF!</definedName>
    <definedName name="h">#REF!</definedName>
    <definedName name="IP" localSheetId="0">[7]resumo!#REF!</definedName>
    <definedName name="IP">[7]resumo!#REF!</definedName>
    <definedName name="kp" localSheetId="0">#REF!</definedName>
    <definedName name="kp">#REF!</definedName>
    <definedName name="lab" localSheetId="0">#REF!</definedName>
    <definedName name="lab">#REF!</definedName>
    <definedName name="LL" localSheetId="0">[7]resumo!#REF!</definedName>
    <definedName name="LL">[7]resumo!#REF!</definedName>
    <definedName name="marshall" localSheetId="0">#REF!</definedName>
    <definedName name="marshall">#REF!</definedName>
    <definedName name="nove" localSheetId="0">#REF!</definedName>
    <definedName name="nove">#REF!</definedName>
    <definedName name="oito" localSheetId="0">#REF!</definedName>
    <definedName name="oito">#REF!</definedName>
    <definedName name="onze">#REF!</definedName>
    <definedName name="outr">#REF!</definedName>
    <definedName name="P">[7]resumo!#REF!</definedName>
    <definedName name="paraf" localSheetId="0">#REF!</definedName>
    <definedName name="paraf">#REF!</definedName>
    <definedName name="parcial" localSheetId="0">#REF!</definedName>
    <definedName name="parcial">#REF!</definedName>
    <definedName name="pedr" localSheetId="0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0">#REF!</definedName>
    <definedName name="ptp">#REF!</definedName>
    <definedName name="ptt" localSheetId="0">#REF!</definedName>
    <definedName name="ptt">#REF!</definedName>
    <definedName name="quatro" localSheetId="0">#REF!</definedName>
    <definedName name="quatro">#REF!</definedName>
    <definedName name="RBV">[8]Teor!$D$11:$D$15</definedName>
    <definedName name="rodinei">[10]DOSAGEM!$D$11</definedName>
    <definedName name="s" localSheetId="0">#REF!</definedName>
    <definedName name="s">#REF!</definedName>
    <definedName name="seis" localSheetId="0">#REF!</definedName>
    <definedName name="seis">#REF!</definedName>
    <definedName name="sete" localSheetId="0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6" i="1" l="1"/>
  <c r="E24" i="1" s="1"/>
  <c r="F24" i="1" s="1"/>
  <c r="S16" i="1"/>
  <c r="E19" i="1" l="1"/>
  <c r="F19" i="1" s="1"/>
  <c r="E18" i="1"/>
  <c r="F18" i="1" s="1"/>
  <c r="E20" i="1"/>
  <c r="F20" i="1" s="1"/>
  <c r="I20" i="1" s="1"/>
  <c r="J20" i="1" s="1"/>
  <c r="E21" i="1"/>
  <c r="F21" i="1" s="1"/>
  <c r="E22" i="1"/>
  <c r="F22" i="1" s="1"/>
  <c r="Q22" i="1" s="1"/>
  <c r="R22" i="1" s="1"/>
  <c r="E23" i="1"/>
  <c r="F23" i="1" s="1"/>
  <c r="O23" i="1" s="1"/>
  <c r="P23" i="1" s="1"/>
  <c r="E17" i="1"/>
  <c r="F17" i="1" s="1"/>
  <c r="Q20" i="1"/>
  <c r="R20" i="1" s="1"/>
  <c r="G20" i="1"/>
  <c r="H20" i="1" s="1"/>
  <c r="O24" i="1"/>
  <c r="P24" i="1" s="1"/>
  <c r="K24" i="1"/>
  <c r="L24" i="1" s="1"/>
  <c r="G24" i="1"/>
  <c r="H24" i="1" s="1"/>
  <c r="Q24" i="1"/>
  <c r="R24" i="1" s="1"/>
  <c r="M24" i="1"/>
  <c r="N24" i="1" s="1"/>
  <c r="I24" i="1"/>
  <c r="J24" i="1" s="1"/>
  <c r="O18" i="1"/>
  <c r="P18" i="1" s="1"/>
  <c r="G18" i="1"/>
  <c r="H18" i="1" s="1"/>
  <c r="Q18" i="1"/>
  <c r="R18" i="1" s="1"/>
  <c r="M18" i="1"/>
  <c r="N18" i="1" s="1"/>
  <c r="I18" i="1"/>
  <c r="J18" i="1" s="1"/>
  <c r="K18" i="1"/>
  <c r="L18" i="1" s="1"/>
  <c r="M22" i="1"/>
  <c r="N22" i="1" s="1"/>
  <c r="K22" i="1"/>
  <c r="L22" i="1" s="1"/>
  <c r="Q21" i="1" l="1"/>
  <c r="R21" i="1" s="1"/>
  <c r="K21" i="1"/>
  <c r="L21" i="1" s="1"/>
  <c r="O21" i="1"/>
  <c r="P21" i="1" s="1"/>
  <c r="G21" i="1"/>
  <c r="H21" i="1" s="1"/>
  <c r="I21" i="1"/>
  <c r="J21" i="1" s="1"/>
  <c r="M21" i="1"/>
  <c r="N21" i="1" s="1"/>
  <c r="Q23" i="1"/>
  <c r="R23" i="1" s="1"/>
  <c r="O22" i="1"/>
  <c r="P22" i="1" s="1"/>
  <c r="I22" i="1"/>
  <c r="J22" i="1" s="1"/>
  <c r="Q17" i="1"/>
  <c r="R17" i="1" s="1"/>
  <c r="K17" i="1"/>
  <c r="L17" i="1" s="1"/>
  <c r="M17" i="1"/>
  <c r="N17" i="1" s="1"/>
  <c r="O17" i="1"/>
  <c r="P17" i="1" s="1"/>
  <c r="I17" i="1"/>
  <c r="J17" i="1" s="1"/>
  <c r="G17" i="1"/>
  <c r="H17" i="1" s="1"/>
  <c r="O19" i="1"/>
  <c r="P19" i="1" s="1"/>
  <c r="G19" i="1"/>
  <c r="H19" i="1" s="1"/>
  <c r="Q19" i="1"/>
  <c r="R19" i="1" s="1"/>
  <c r="I19" i="1"/>
  <c r="J19" i="1" s="1"/>
  <c r="K19" i="1"/>
  <c r="L19" i="1" s="1"/>
  <c r="M19" i="1"/>
  <c r="N19" i="1" s="1"/>
  <c r="M20" i="1"/>
  <c r="N20" i="1" s="1"/>
  <c r="G22" i="1"/>
  <c r="H22" i="1" s="1"/>
  <c r="S22" i="1" s="1"/>
  <c r="K23" i="1"/>
  <c r="L23" i="1" s="1"/>
  <c r="K20" i="1"/>
  <c r="L20" i="1" s="1"/>
  <c r="O20" i="1"/>
  <c r="P20" i="1" s="1"/>
  <c r="M23" i="1"/>
  <c r="N23" i="1" s="1"/>
  <c r="I23" i="1"/>
  <c r="J23" i="1" s="1"/>
  <c r="G23" i="1"/>
  <c r="H23" i="1" s="1"/>
  <c r="S18" i="1"/>
  <c r="S24" i="1"/>
  <c r="S21" i="1" l="1"/>
  <c r="S19" i="1"/>
  <c r="S17" i="1"/>
  <c r="S23" i="1"/>
  <c r="S20" i="1"/>
</calcChain>
</file>

<file path=xl/sharedStrings.xml><?xml version="1.0" encoding="utf-8"?>
<sst xmlns="http://schemas.openxmlformats.org/spreadsheetml/2006/main" count="65" uniqueCount="48">
  <si>
    <t>Nº O.S:</t>
  </si>
  <si>
    <t>xxxxxxx</t>
  </si>
  <si>
    <t>Data do estudo:</t>
  </si>
  <si>
    <t>xxxxxxxx</t>
  </si>
  <si>
    <t>Informações complementar:</t>
  </si>
  <si>
    <t>Documento de referência</t>
  </si>
  <si>
    <t xml:space="preserve">DNIT 031 - Pavimentos flexíveis - Concreto asfáltico - Especificação de serviço </t>
  </si>
  <si>
    <t>CÁLCULOS E RESULTADOS - AJUSTE DO PERCENTUAL EM MASSA DOS AGREGADOS EM FUNÇÃO DO TEOR DE ASFALTO</t>
  </si>
  <si>
    <t>Material</t>
  </si>
  <si>
    <t>Asfalto</t>
  </si>
  <si>
    <t>Agregados
Totais</t>
  </si>
  <si>
    <t>Agregados</t>
  </si>
  <si>
    <t>CAP-30/45</t>
  </si>
  <si>
    <t>Brita 3/4"</t>
  </si>
  <si>
    <t xml:space="preserve">Brita 3/8" </t>
  </si>
  <si>
    <t>RAP</t>
  </si>
  <si>
    <t>Pó de Pedra</t>
  </si>
  <si>
    <t>Cal</t>
  </si>
  <si>
    <t>Verificação</t>
  </si>
  <si>
    <t>Lista Suspensa</t>
  </si>
  <si>
    <t>Registro Amostra</t>
  </si>
  <si>
    <t>xxxxxx</t>
  </si>
  <si>
    <t>Procedencia Amostra</t>
  </si>
  <si>
    <t>Composição (%)</t>
  </si>
  <si>
    <t>Conforme indicado</t>
  </si>
  <si>
    <t>Pontos</t>
  </si>
  <si>
    <t>Areia Natural</t>
  </si>
  <si>
    <t>Filer</t>
  </si>
  <si>
    <t>Ótimo</t>
  </si>
  <si>
    <t>Quantidade de material que deseja produzir a mistura</t>
  </si>
  <si>
    <t>kg</t>
  </si>
  <si>
    <t>g</t>
  </si>
  <si>
    <t>Assinaturas</t>
  </si>
  <si>
    <t>Responsável executor:</t>
  </si>
  <si>
    <t>Responsável calculista: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</si>
  <si>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FR-IMOB-20 </t>
    </r>
  </si>
  <si>
    <r>
      <t xml:space="preserve"> Título: </t>
    </r>
    <r>
      <rPr>
        <b/>
        <sz val="12"/>
        <color theme="1"/>
        <rFont val="Tahoma"/>
        <family val="2"/>
      </rPr>
      <t>ESTUDO DE DOSAGEM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</si>
  <si>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</si>
  <si>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</si>
  <si>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</si>
  <si>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</si>
  <si>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</si>
  <si>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</si>
  <si>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</si>
  <si>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Operacional 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</si>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</sst>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rgb="FF0000FF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2" applyFont="1" applyAlignment="1" applyProtection="1">
      <alignment vertical="center"/>
      <protection hidden="1"/>
    </xf>
    <xf numFmtId="0" fontId="3" fillId="0" borderId="9" xfId="2" applyFont="1" applyBorder="1" applyAlignment="1" applyProtection="1">
      <alignment vertical="center"/>
      <protection hidden="1"/>
    </xf>
    <xf numFmtId="0" fontId="3" fillId="0" borderId="14" xfId="2" applyFont="1" applyBorder="1" applyAlignment="1" applyProtection="1">
      <alignment vertical="center"/>
      <protection hidden="1"/>
    </xf>
    <xf numFmtId="1" fontId="3" fillId="0" borderId="0" xfId="3" applyNumberFormat="1" applyFont="1" applyFill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center" vertical="center" wrapText="1"/>
      <protection hidden="1"/>
    </xf>
    <xf numFmtId="2" fontId="6" fillId="2" borderId="9" xfId="4" applyNumberFormat="1" applyFont="1" applyFill="1" applyBorder="1" applyAlignment="1" applyProtection="1">
      <alignment horizontal="center" vertical="center"/>
      <protection hidden="1"/>
    </xf>
    <xf numFmtId="0" fontId="7" fillId="0" borderId="9" xfId="4" applyFont="1" applyBorder="1" applyAlignment="1">
      <alignment horizontal="center" vertical="center"/>
    </xf>
    <xf numFmtId="1" fontId="8" fillId="0" borderId="9" xfId="4" applyNumberFormat="1" applyFont="1" applyBorder="1" applyAlignment="1">
      <alignment horizontal="center" vertical="center"/>
    </xf>
    <xf numFmtId="164" fontId="7" fillId="0" borderId="9" xfId="4" applyNumberFormat="1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15" xfId="2" applyFont="1" applyBorder="1" applyAlignment="1" applyProtection="1">
      <alignment vertical="center"/>
      <protection hidden="1"/>
    </xf>
    <xf numFmtId="0" fontId="3" fillId="0" borderId="4" xfId="2" applyFont="1" applyBorder="1" applyAlignment="1" applyProtection="1">
      <alignment horizontal="left" vertical="center"/>
      <protection hidden="1"/>
    </xf>
    <xf numFmtId="0" fontId="3" fillId="0" borderId="5" xfId="2" applyFont="1" applyBorder="1" applyAlignment="1" applyProtection="1">
      <alignment horizontal="left" vertical="center"/>
      <protection hidden="1"/>
    </xf>
    <xf numFmtId="0" fontId="3" fillId="0" borderId="0" xfId="2" applyFont="1" applyAlignment="1" applyProtection="1">
      <alignment horizontal="left" vertical="center"/>
      <protection hidden="1"/>
    </xf>
    <xf numFmtId="0" fontId="3" fillId="0" borderId="8" xfId="2" applyFont="1" applyBorder="1" applyAlignment="1" applyProtection="1">
      <alignment horizontal="left" vertical="center"/>
      <protection hidden="1"/>
    </xf>
    <xf numFmtId="0" fontId="3" fillId="0" borderId="7" xfId="2" applyFont="1" applyBorder="1" applyAlignment="1" applyProtection="1">
      <alignment vertical="center"/>
      <protection hidden="1"/>
    </xf>
    <xf numFmtId="0" fontId="8" fillId="0" borderId="0" xfId="4" applyFont="1" applyAlignment="1" applyProtection="1">
      <alignment vertical="center"/>
      <protection hidden="1"/>
    </xf>
    <xf numFmtId="0" fontId="8" fillId="2" borderId="2" xfId="5" applyNumberFormat="1" applyFont="1" applyFill="1" applyBorder="1" applyAlignment="1" applyProtection="1">
      <alignment horizontal="center" vertical="center"/>
      <protection hidden="1"/>
    </xf>
    <xf numFmtId="0" fontId="8" fillId="2" borderId="3" xfId="4" applyFont="1" applyFill="1" applyBorder="1" applyAlignment="1" applyProtection="1">
      <alignment horizontal="center" vertical="center"/>
      <protection hidden="1"/>
    </xf>
    <xf numFmtId="0" fontId="8" fillId="0" borderId="2" xfId="5" applyNumberFormat="1" applyFont="1" applyFill="1" applyBorder="1" applyAlignment="1" applyProtection="1">
      <alignment horizontal="center" vertical="center"/>
      <protection hidden="1"/>
    </xf>
    <xf numFmtId="0" fontId="8" fillId="0" borderId="3" xfId="4" applyFont="1" applyBorder="1" applyAlignment="1" applyProtection="1">
      <alignment horizontal="center" vertical="center"/>
      <protection hidden="1"/>
    </xf>
    <xf numFmtId="0" fontId="3" fillId="0" borderId="10" xfId="2" applyFont="1" applyBorder="1" applyAlignment="1" applyProtection="1">
      <alignment horizontal="left" vertical="center"/>
      <protection hidden="1"/>
    </xf>
    <xf numFmtId="0" fontId="3" fillId="0" borderId="13" xfId="2" applyFont="1" applyBorder="1" applyAlignment="1" applyProtection="1">
      <alignment horizontal="left" vertical="center"/>
      <protection hidden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5" xfId="1" applyFont="1" applyBorder="1" applyAlignment="1">
      <alignment horizontal="center" vertical="top"/>
    </xf>
    <xf numFmtId="0" fontId="10" fillId="0" borderId="6" xfId="1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9" fillId="0" borderId="13" xfId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7" xfId="2" applyFont="1" applyBorder="1" applyAlignment="1" applyProtection="1">
      <alignment horizontal="left" vertical="center"/>
      <protection hidden="1"/>
    </xf>
    <xf numFmtId="0" fontId="12" fillId="0" borderId="0" xfId="0" applyFont="1" applyAlignment="1">
      <alignment horizontal="left" vertical="center" wrapText="1"/>
    </xf>
    <xf numFmtId="0" fontId="10" fillId="0" borderId="4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1" fillId="0" borderId="5" xfId="1" applyFont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18" fillId="4" borderId="1" xfId="1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5" fillId="0" borderId="9" xfId="2" applyFont="1" applyBorder="1" applyAlignment="1" applyProtection="1">
      <alignment horizontal="center" vertical="center"/>
      <protection hidden="1"/>
    </xf>
    <xf numFmtId="1" fontId="3" fillId="3" borderId="1" xfId="3" applyNumberFormat="1" applyFont="1" applyFill="1" applyBorder="1" applyAlignment="1" applyProtection="1">
      <alignment horizontal="center" vertical="center"/>
      <protection hidden="1"/>
    </xf>
    <xf numFmtId="1" fontId="3" fillId="3" borderId="3" xfId="3" applyNumberFormat="1" applyFont="1" applyFill="1" applyBorder="1" applyAlignment="1" applyProtection="1">
      <alignment horizontal="center" vertical="center"/>
      <protection hidden="1"/>
    </xf>
    <xf numFmtId="1" fontId="4" fillId="2" borderId="1" xfId="3" applyNumberFormat="1" applyFont="1" applyFill="1" applyBorder="1" applyAlignment="1" applyProtection="1">
      <alignment horizontal="center" vertical="center"/>
      <protection hidden="1"/>
    </xf>
    <xf numFmtId="1" fontId="4" fillId="2" borderId="3" xfId="3" applyNumberFormat="1" applyFont="1" applyFill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center" vertical="center" wrapText="1"/>
      <protection hidden="1"/>
    </xf>
    <xf numFmtId="0" fontId="8" fillId="0" borderId="1" xfId="4" applyFont="1" applyBorder="1" applyAlignment="1" applyProtection="1">
      <alignment horizontal="center" vertical="center"/>
      <protection hidden="1"/>
    </xf>
    <xf numFmtId="0" fontId="8" fillId="0" borderId="2" xfId="4" applyFont="1" applyBorder="1" applyAlignment="1" applyProtection="1">
      <alignment horizontal="center" vertical="center"/>
      <protection hidden="1"/>
    </xf>
    <xf numFmtId="0" fontId="8" fillId="0" borderId="3" xfId="4" applyFont="1" applyBorder="1" applyAlignment="1" applyProtection="1">
      <alignment horizontal="center" vertical="center"/>
      <protection hidden="1"/>
    </xf>
    <xf numFmtId="0" fontId="4" fillId="2" borderId="1" xfId="2" applyFont="1" applyFill="1" applyBorder="1" applyAlignment="1" applyProtection="1">
      <alignment horizontal="center" vertical="center"/>
      <protection hidden="1"/>
    </xf>
    <xf numFmtId="0" fontId="4" fillId="2" borderId="3" xfId="2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18" fillId="4" borderId="9" xfId="1" applyFont="1" applyFill="1" applyBorder="1" applyAlignment="1">
      <alignment horizontal="center" vertical="center"/>
    </xf>
    <xf numFmtId="0" fontId="5" fillId="0" borderId="7" xfId="2" applyFont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/>
      <protection hidden="1"/>
    </xf>
    <xf numFmtId="0" fontId="5" fillId="0" borderId="10" xfId="2" applyFont="1" applyBorder="1" applyAlignment="1" applyProtection="1">
      <alignment horizontal="center" vertical="center"/>
      <protection hidden="1"/>
    </xf>
    <xf numFmtId="0" fontId="5" fillId="0" borderId="13" xfId="2" applyFont="1" applyBorder="1" applyAlignment="1" applyProtection="1">
      <alignment horizontal="center" vertical="center"/>
      <protection hidden="1"/>
    </xf>
    <xf numFmtId="0" fontId="5" fillId="0" borderId="11" xfId="2" applyFont="1" applyBorder="1" applyAlignment="1" applyProtection="1">
      <alignment horizontal="center" vertical="center"/>
      <protection hidden="1"/>
    </xf>
    <xf numFmtId="0" fontId="3" fillId="0" borderId="10" xfId="2" applyFont="1" applyBorder="1" applyAlignment="1" applyProtection="1">
      <alignment horizontal="center" vertical="center"/>
      <protection hidden="1"/>
    </xf>
    <xf numFmtId="0" fontId="3" fillId="0" borderId="11" xfId="2" applyFont="1" applyBorder="1" applyAlignment="1" applyProtection="1">
      <alignment horizontal="center" vertical="center"/>
      <protection hidden="1"/>
    </xf>
    <xf numFmtId="0" fontId="3" fillId="0" borderId="12" xfId="2" applyFont="1" applyBorder="1" applyAlignment="1" applyProtection="1">
      <alignment horizontal="center" vertical="center" wrapText="1"/>
      <protection hidden="1"/>
    </xf>
    <xf numFmtId="0" fontId="3" fillId="0" borderId="14" xfId="2" applyFont="1" applyBorder="1" applyAlignment="1" applyProtection="1">
      <alignment horizontal="center" vertical="center"/>
      <protection hidden="1"/>
    </xf>
    <xf numFmtId="0" fontId="3" fillId="0" borderId="15" xfId="2" applyFont="1" applyBorder="1" applyAlignment="1" applyProtection="1">
      <alignment horizontal="center" vertical="center"/>
      <protection hidden="1"/>
    </xf>
    <xf numFmtId="0" fontId="3" fillId="0" borderId="10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0" borderId="2" xfId="2" applyFont="1" applyBorder="1" applyAlignment="1" applyProtection="1">
      <alignment horizontal="left" vertical="center"/>
      <protection locked="0"/>
    </xf>
    <xf numFmtId="0" fontId="3" fillId="0" borderId="0" xfId="2" applyFont="1" applyAlignment="1" applyProtection="1">
      <alignment horizontal="center" vertical="center"/>
      <protection hidden="1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15" fillId="3" borderId="5" xfId="2" applyNumberFormat="1" applyFont="1" applyFill="1" applyBorder="1" applyAlignment="1" applyProtection="1">
      <alignment horizontal="center" vertical="center"/>
      <protection locked="0" hidden="1"/>
    </xf>
    <xf numFmtId="2" fontId="12" fillId="3" borderId="5" xfId="2" applyNumberFormat="1" applyFont="1" applyFill="1" applyBorder="1" applyAlignment="1" applyProtection="1">
      <alignment horizontal="left" vertical="center"/>
      <protection locked="0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2" xfId="0" applyFont="1" applyBorder="1" applyAlignment="1">
      <alignment horizontal="left" vertical="center" wrapText="1"/>
    </xf>
    <xf numFmtId="0" fontId="14" fillId="0" borderId="2" xfId="2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5" fillId="3" borderId="5" xfId="2" applyFont="1" applyFill="1" applyBorder="1" applyAlignment="1" applyProtection="1">
      <alignment horizontal="center" vertical="center"/>
      <protection locked="0" hidden="1"/>
    </xf>
    <xf numFmtId="0" fontId="14" fillId="3" borderId="5" xfId="2" applyFont="1" applyFill="1" applyBorder="1" applyAlignment="1" applyProtection="1">
      <alignment horizontal="left" vertical="center"/>
      <protection locked="0" hidden="1"/>
    </xf>
    <xf numFmtId="0" fontId="15" fillId="3" borderId="2" xfId="2" applyFont="1" applyFill="1" applyBorder="1" applyAlignment="1" applyProtection="1">
      <alignment horizontal="center" vertical="center"/>
      <protection locked="0" hidden="1"/>
    </xf>
    <xf numFmtId="0" fontId="14" fillId="3" borderId="2" xfId="2" applyFont="1" applyFill="1" applyBorder="1" applyAlignment="1" applyProtection="1">
      <alignment horizontal="left" vertical="center"/>
      <protection locked="0" hidden="1"/>
    </xf>
    <xf numFmtId="0" fontId="3" fillId="0" borderId="2" xfId="0" applyFont="1" applyBorder="1" applyAlignment="1">
      <alignment horizontal="center" vertical="center"/>
    </xf>
  </cellXfs>
  <cellStyles count="6">
    <cellStyle name="Normal" xfId="0" builtinId="0"/>
    <cellStyle name="Normal 2 2" xfId="2" xr:uid="{C0E9246F-FDF5-490A-B4D0-0645510227CB}"/>
    <cellStyle name="Normal 9 2" xfId="1" xr:uid="{917C3BB5-9028-49A6-8C5D-2176E794D801}"/>
    <cellStyle name="Normal_PREPARAÇÃO DE AMOSTRA" xfId="4" xr:uid="{0EF68FDE-BB72-42FB-A50C-804BB03D0085}"/>
    <cellStyle name="Porcentagem 2 2" xfId="3" xr:uid="{65A19195-B0B0-4BFD-9B7B-1D0C57FA239B}"/>
    <cellStyle name="Vírgula 4" xfId="5" xr:uid="{8BACF8B5-698C-4386-85B5-6EE36A78BE9E}"/>
  </cellStyles>
  <dxfs count="4">
    <dxf>
      <font>
        <color auto="1"/>
      </font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99FF99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534428</xdr:colOff>
      <xdr:row>0</xdr:row>
      <xdr:rowOff>78441</xdr:rowOff>
    </xdr:from>
    <xdr:to>
      <xdr:col>12</xdr:col>
      <xdr:colOff>44143</xdr:colOff>
      <xdr:row>0</xdr:row>
      <xdr:rowOff>830355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2D77A1-6703-491A-9C90-E4A2DDE9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278" y="78441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3D7E-EBC9-4F32-8571-C1107A1EB058}">
  <sheetPr>
    <pageSetUpPr fitToPage="1"/>
  </sheetPr>
  <dimension ref="A1:Y42"/>
  <sheetViews>
    <sheetView showGridLines="0" tabSelected="1" view="pageBreakPreview" zoomScale="85" zoomScaleNormal="85" zoomScaleSheetLayoutView="85" workbookViewId="0">
      <selection sqref="A1:L1"/>
    </sheetView>
  </sheetViews>
  <sheetFormatPr defaultColWidth="11.81640625" defaultRowHeight="12.5" x14ac:dyDescent="0.25"/>
  <cols>
    <col min="1" max="5" width="14" style="2" customWidth="1"/>
    <col min="6" max="6" width="14.81640625" style="2" customWidth="1"/>
    <col min="7" max="19" width="14" style="2" customWidth="1"/>
    <col min="20" max="20" width="16" style="1" customWidth="1"/>
    <col min="21" max="21" width="25.26953125" style="1" customWidth="1"/>
    <col min="22" max="25" width="11.81640625" style="1"/>
    <col min="26" max="16384" width="11.81640625" style="2"/>
  </cols>
  <sheetData>
    <row r="1" spans="1:25" ht="66" customHeight="1" x14ac:dyDescent="0.3">
      <c r="A1" s="86" t="s">
        <v>36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0"/>
      <c r="N1" s="80"/>
      <c r="O1" s="80"/>
      <c r="P1" s="80"/>
      <c r="Q1" s="80"/>
      <c r="R1" s="80"/>
      <c r="S1" s="80"/>
    </row>
    <row r="2" spans="1:25" ht="12.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80"/>
      <c r="N2" s="80"/>
      <c r="O2" s="80"/>
      <c r="P2" s="80"/>
      <c r="Q2" s="80"/>
      <c r="R2" s="80"/>
      <c r="S2" s="80"/>
    </row>
    <row r="3" spans="1:25" ht="30" customHeight="1" x14ac:dyDescent="0.25">
      <c r="A3" s="88" t="s">
        <v>37</v>
      </c>
      <c r="B3" s="88"/>
      <c r="C3" s="88"/>
      <c r="D3" s="88"/>
      <c r="E3" s="88"/>
      <c r="F3" s="88"/>
      <c r="G3" s="88"/>
      <c r="H3" s="89" t="s">
        <v>35</v>
      </c>
      <c r="I3" s="89"/>
      <c r="J3" s="89"/>
      <c r="K3" s="89"/>
      <c r="L3" s="89"/>
      <c r="M3" s="80"/>
      <c r="N3" s="80"/>
      <c r="O3" s="80"/>
      <c r="P3" s="80"/>
      <c r="Q3" s="80"/>
      <c r="R3" s="80"/>
      <c r="S3" s="80"/>
    </row>
    <row r="4" spans="1:25" ht="30" customHeight="1" x14ac:dyDescent="0.25">
      <c r="A4" s="89" t="s">
        <v>45</v>
      </c>
      <c r="B4" s="89"/>
      <c r="C4" s="89"/>
      <c r="D4" s="89"/>
      <c r="E4" s="89"/>
      <c r="F4" s="89"/>
      <c r="G4" s="89"/>
      <c r="H4" s="89" t="s">
        <v>39</v>
      </c>
      <c r="I4" s="89"/>
      <c r="J4" s="89"/>
      <c r="K4" s="89"/>
      <c r="L4" s="89"/>
      <c r="M4" s="80"/>
      <c r="N4" s="80"/>
      <c r="O4" s="80"/>
      <c r="P4" s="80"/>
      <c r="Q4" s="80"/>
      <c r="R4" s="80"/>
      <c r="S4" s="80"/>
    </row>
    <row r="5" spans="1:25" ht="31.5" customHeight="1" x14ac:dyDescent="0.25">
      <c r="A5" s="79" t="s">
        <v>38</v>
      </c>
      <c r="B5" s="79"/>
      <c r="C5" s="79"/>
      <c r="D5" s="79"/>
      <c r="E5" s="79"/>
      <c r="F5" s="79"/>
      <c r="G5" s="79"/>
      <c r="H5" s="79" t="s">
        <v>44</v>
      </c>
      <c r="I5" s="79"/>
      <c r="J5" s="79"/>
      <c r="K5" s="79"/>
      <c r="L5" s="79"/>
      <c r="M5" s="80"/>
      <c r="N5" s="80"/>
      <c r="O5" s="80"/>
      <c r="P5" s="80"/>
      <c r="Q5" s="80"/>
      <c r="R5" s="80"/>
      <c r="S5" s="80"/>
    </row>
    <row r="6" spans="1:25" s="1" customFormat="1" ht="15" customHeight="1" x14ac:dyDescent="0.25">
      <c r="A6" s="81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3"/>
    </row>
    <row r="7" spans="1:25" s="1" customFormat="1" ht="26.25" customHeight="1" x14ac:dyDescent="0.25">
      <c r="A7" s="90" t="s">
        <v>0</v>
      </c>
      <c r="B7" s="91"/>
      <c r="C7" s="91"/>
      <c r="D7" s="56" t="s">
        <v>1</v>
      </c>
      <c r="E7" s="56"/>
      <c r="F7" s="56"/>
      <c r="G7" s="56"/>
      <c r="H7" s="56"/>
      <c r="I7" s="56"/>
      <c r="J7" s="56"/>
      <c r="K7" s="92" t="s">
        <v>2</v>
      </c>
      <c r="L7" s="92"/>
      <c r="M7" s="92"/>
      <c r="N7" s="56" t="s">
        <v>3</v>
      </c>
      <c r="O7" s="56"/>
      <c r="P7" s="56"/>
      <c r="Q7" s="56"/>
      <c r="R7" s="56"/>
      <c r="S7" s="57"/>
    </row>
    <row r="8" spans="1:25" s="1" customFormat="1" ht="26.25" customHeight="1" x14ac:dyDescent="0.25">
      <c r="A8" s="90" t="s">
        <v>4</v>
      </c>
      <c r="B8" s="91"/>
      <c r="C8" s="91"/>
      <c r="D8" s="56" t="s">
        <v>1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7"/>
    </row>
    <row r="9" spans="1:25" s="1" customFormat="1" ht="22.5" customHeight="1" x14ac:dyDescent="0.25">
      <c r="A9" s="40" t="s">
        <v>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2"/>
    </row>
    <row r="10" spans="1:25" s="1" customFormat="1" ht="23.5" customHeight="1" x14ac:dyDescent="0.25">
      <c r="A10" s="58" t="s">
        <v>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60"/>
    </row>
    <row r="11" spans="1:25" s="1" customFormat="1" ht="26.5" customHeight="1" x14ac:dyDescent="0.25">
      <c r="A11" s="61" t="s">
        <v>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</row>
    <row r="12" spans="1:25" s="1" customFormat="1" ht="26.5" customHeight="1" x14ac:dyDescent="0.25">
      <c r="A12" s="62" t="s">
        <v>8</v>
      </c>
      <c r="B12" s="63"/>
      <c r="C12" s="64"/>
      <c r="D12" s="68" t="s">
        <v>9</v>
      </c>
      <c r="E12" s="69"/>
      <c r="F12" s="70" t="s">
        <v>10</v>
      </c>
      <c r="G12" s="73" t="s">
        <v>11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5"/>
    </row>
    <row r="13" spans="1:25" ht="26.5" customHeight="1" x14ac:dyDescent="0.25">
      <c r="A13" s="65"/>
      <c r="B13" s="66"/>
      <c r="C13" s="67"/>
      <c r="D13" s="54" t="s">
        <v>12</v>
      </c>
      <c r="E13" s="55"/>
      <c r="F13" s="71"/>
      <c r="G13" s="54" t="s">
        <v>13</v>
      </c>
      <c r="H13" s="55"/>
      <c r="I13" s="54" t="s">
        <v>14</v>
      </c>
      <c r="J13" s="55"/>
      <c r="K13" s="54" t="s">
        <v>15</v>
      </c>
      <c r="L13" s="55"/>
      <c r="M13" s="54" t="s">
        <v>16</v>
      </c>
      <c r="N13" s="55"/>
      <c r="O13" s="54" t="s">
        <v>17</v>
      </c>
      <c r="P13" s="55"/>
      <c r="Q13" s="54"/>
      <c r="R13" s="55"/>
      <c r="S13" s="76" t="s">
        <v>18</v>
      </c>
      <c r="T13" s="2"/>
      <c r="U13" s="3" t="s">
        <v>19</v>
      </c>
      <c r="W13" s="2"/>
      <c r="X13" s="2"/>
      <c r="Y13" s="2"/>
    </row>
    <row r="14" spans="1:25" ht="26.5" customHeight="1" x14ac:dyDescent="0.25">
      <c r="A14" s="45" t="s">
        <v>20</v>
      </c>
      <c r="B14" s="45"/>
      <c r="C14" s="45"/>
      <c r="D14" s="54" t="s">
        <v>21</v>
      </c>
      <c r="E14" s="55"/>
      <c r="F14" s="71"/>
      <c r="G14" s="54" t="s">
        <v>21</v>
      </c>
      <c r="H14" s="55"/>
      <c r="I14" s="54" t="s">
        <v>21</v>
      </c>
      <c r="J14" s="55"/>
      <c r="K14" s="54" t="s">
        <v>21</v>
      </c>
      <c r="L14" s="55"/>
      <c r="M14" s="54" t="s">
        <v>21</v>
      </c>
      <c r="N14" s="55"/>
      <c r="O14" s="54" t="s">
        <v>21</v>
      </c>
      <c r="P14" s="55"/>
      <c r="Q14" s="54"/>
      <c r="R14" s="55"/>
      <c r="S14" s="77"/>
      <c r="T14" s="2"/>
      <c r="U14" s="4" t="s">
        <v>13</v>
      </c>
      <c r="W14" s="2"/>
      <c r="X14" s="2"/>
      <c r="Y14" s="2"/>
    </row>
    <row r="15" spans="1:25" ht="26.5" customHeight="1" x14ac:dyDescent="0.25">
      <c r="A15" s="45" t="s">
        <v>22</v>
      </c>
      <c r="B15" s="45"/>
      <c r="C15" s="45"/>
      <c r="D15" s="54" t="s">
        <v>21</v>
      </c>
      <c r="E15" s="55"/>
      <c r="F15" s="71"/>
      <c r="G15" s="54" t="s">
        <v>21</v>
      </c>
      <c r="H15" s="55"/>
      <c r="I15" s="54" t="s">
        <v>21</v>
      </c>
      <c r="J15" s="55"/>
      <c r="K15" s="54" t="s">
        <v>21</v>
      </c>
      <c r="L15" s="55"/>
      <c r="M15" s="54" t="s">
        <v>21</v>
      </c>
      <c r="N15" s="55"/>
      <c r="O15" s="54" t="s">
        <v>21</v>
      </c>
      <c r="P15" s="55"/>
      <c r="Q15" s="54"/>
      <c r="R15" s="55"/>
      <c r="S15" s="78"/>
      <c r="T15" s="2"/>
      <c r="U15" s="4" t="s">
        <v>14</v>
      </c>
      <c r="W15" s="2"/>
      <c r="X15" s="2"/>
      <c r="Y15" s="2"/>
    </row>
    <row r="16" spans="1:25" ht="26.5" customHeight="1" x14ac:dyDescent="0.25">
      <c r="A16" s="45" t="s">
        <v>23</v>
      </c>
      <c r="B16" s="45"/>
      <c r="C16" s="45"/>
      <c r="D16" s="46" t="s">
        <v>24</v>
      </c>
      <c r="E16" s="47"/>
      <c r="F16" s="72"/>
      <c r="G16" s="48">
        <v>16</v>
      </c>
      <c r="H16" s="49"/>
      <c r="I16" s="48">
        <v>35</v>
      </c>
      <c r="J16" s="49"/>
      <c r="K16" s="48">
        <v>0</v>
      </c>
      <c r="L16" s="49"/>
      <c r="M16" s="48">
        <v>48</v>
      </c>
      <c r="N16" s="49"/>
      <c r="O16" s="48">
        <v>1</v>
      </c>
      <c r="P16" s="49"/>
      <c r="Q16" s="48"/>
      <c r="R16" s="49"/>
      <c r="S16" s="5">
        <f>SUM(G16:R16)</f>
        <v>100</v>
      </c>
      <c r="T16" s="2"/>
      <c r="U16" s="4" t="s">
        <v>15</v>
      </c>
      <c r="W16" s="2"/>
      <c r="X16" s="2"/>
      <c r="Y16" s="2"/>
    </row>
    <row r="17" spans="1:25" ht="26.5" customHeight="1" x14ac:dyDescent="0.25">
      <c r="A17" s="50" t="s">
        <v>25</v>
      </c>
      <c r="B17" s="50"/>
      <c r="C17" s="6">
        <v>1</v>
      </c>
      <c r="D17" s="7">
        <v>4</v>
      </c>
      <c r="E17" s="8">
        <f t="shared" ref="E17:E24" si="0">D17*$K$26/100</f>
        <v>800</v>
      </c>
      <c r="F17" s="9">
        <f t="shared" ref="F17:F24" si="1">$K$26-E17</f>
        <v>19200</v>
      </c>
      <c r="G17" s="10">
        <f>$G$16*F17/100</f>
        <v>3072</v>
      </c>
      <c r="H17" s="11">
        <f>G17/$K$26*100</f>
        <v>15.36</v>
      </c>
      <c r="I17" s="10">
        <f>$I$16*F17/100</f>
        <v>6720</v>
      </c>
      <c r="J17" s="11">
        <f>I17/$K$26*100</f>
        <v>33.6</v>
      </c>
      <c r="K17" s="10">
        <f>$K$16*F17/100</f>
        <v>0</v>
      </c>
      <c r="L17" s="11">
        <f>K17/$K$26*100</f>
        <v>0</v>
      </c>
      <c r="M17" s="10">
        <f>$M$16*F17/100</f>
        <v>9216</v>
      </c>
      <c r="N17" s="11">
        <f>M17/$K$26*100</f>
        <v>46.08</v>
      </c>
      <c r="O17" s="10">
        <f>$O$16*F17/100</f>
        <v>192</v>
      </c>
      <c r="P17" s="11">
        <f>O17/$K$26*100</f>
        <v>0.96</v>
      </c>
      <c r="Q17" s="10">
        <f>$Q$16*F17/100</f>
        <v>0</v>
      </c>
      <c r="R17" s="11">
        <f t="shared" ref="R17:R24" si="2">Q17/$K$26*100</f>
        <v>0</v>
      </c>
      <c r="S17" s="12">
        <f t="shared" ref="S17:S24" si="3">SUM(D17,H17,J17,L17,N17,P17,R17)</f>
        <v>99.999999999999986</v>
      </c>
      <c r="T17" s="2"/>
      <c r="U17" s="4" t="s">
        <v>26</v>
      </c>
      <c r="V17" s="2"/>
      <c r="W17" s="2"/>
      <c r="X17" s="2"/>
      <c r="Y17" s="2"/>
    </row>
    <row r="18" spans="1:25" ht="26.5" customHeight="1" x14ac:dyDescent="0.25">
      <c r="A18" s="50"/>
      <c r="B18" s="50"/>
      <c r="C18" s="6">
        <v>2</v>
      </c>
      <c r="D18" s="7">
        <v>4.5</v>
      </c>
      <c r="E18" s="8">
        <f t="shared" si="0"/>
        <v>900</v>
      </c>
      <c r="F18" s="9">
        <f t="shared" si="1"/>
        <v>19100</v>
      </c>
      <c r="G18" s="10">
        <f t="shared" ref="G18:G24" si="4">$G$16*F18/100</f>
        <v>3056</v>
      </c>
      <c r="H18" s="11">
        <f t="shared" ref="H18:H24" si="5">G18/$K$26*100</f>
        <v>15.28</v>
      </c>
      <c r="I18" s="10">
        <f t="shared" ref="I18:I24" si="6">$I$16*F18/100</f>
        <v>6685</v>
      </c>
      <c r="J18" s="11">
        <f t="shared" ref="J18:J24" si="7">I18/$K$26*100</f>
        <v>33.424999999999997</v>
      </c>
      <c r="K18" s="10">
        <f t="shared" ref="K18:K24" si="8">$K$16*F18/100</f>
        <v>0</v>
      </c>
      <c r="L18" s="11">
        <f t="shared" ref="L18:L24" si="9">K18/$K$26*100</f>
        <v>0</v>
      </c>
      <c r="M18" s="10">
        <f t="shared" ref="M18:M24" si="10">$M$16*F18/100</f>
        <v>9168</v>
      </c>
      <c r="N18" s="11">
        <f t="shared" ref="N18:N24" si="11">M18/$K$26*100</f>
        <v>45.839999999999996</v>
      </c>
      <c r="O18" s="10">
        <f t="shared" ref="O18:O24" si="12">$O$16*F18/100</f>
        <v>191</v>
      </c>
      <c r="P18" s="11">
        <f t="shared" ref="P18:P24" si="13">O18/$K$26*100</f>
        <v>0.95499999999999996</v>
      </c>
      <c r="Q18" s="10">
        <f t="shared" ref="Q18:Q24" si="14">$Q$16*F18/100</f>
        <v>0</v>
      </c>
      <c r="R18" s="11">
        <f t="shared" si="2"/>
        <v>0</v>
      </c>
      <c r="S18" s="12">
        <f t="shared" si="3"/>
        <v>99.999999999999986</v>
      </c>
      <c r="T18" s="2"/>
      <c r="U18" s="4" t="s">
        <v>16</v>
      </c>
      <c r="V18" s="2"/>
      <c r="W18" s="2"/>
      <c r="X18" s="2"/>
      <c r="Y18" s="2"/>
    </row>
    <row r="19" spans="1:25" ht="26.5" customHeight="1" x14ac:dyDescent="0.25">
      <c r="A19" s="50"/>
      <c r="B19" s="50"/>
      <c r="C19" s="6">
        <v>3</v>
      </c>
      <c r="D19" s="7">
        <v>5</v>
      </c>
      <c r="E19" s="8">
        <f t="shared" si="0"/>
        <v>1000</v>
      </c>
      <c r="F19" s="9">
        <f t="shared" si="1"/>
        <v>19000</v>
      </c>
      <c r="G19" s="10">
        <f t="shared" si="4"/>
        <v>3040</v>
      </c>
      <c r="H19" s="11">
        <f t="shared" si="5"/>
        <v>15.2</v>
      </c>
      <c r="I19" s="10">
        <f t="shared" si="6"/>
        <v>6650</v>
      </c>
      <c r="J19" s="11">
        <f t="shared" si="7"/>
        <v>33.25</v>
      </c>
      <c r="K19" s="10">
        <f t="shared" si="8"/>
        <v>0</v>
      </c>
      <c r="L19" s="11">
        <f t="shared" si="9"/>
        <v>0</v>
      </c>
      <c r="M19" s="10">
        <f t="shared" si="10"/>
        <v>9120</v>
      </c>
      <c r="N19" s="11">
        <f t="shared" si="11"/>
        <v>45.6</v>
      </c>
      <c r="O19" s="10">
        <f t="shared" si="12"/>
        <v>190</v>
      </c>
      <c r="P19" s="11">
        <f t="shared" si="13"/>
        <v>0.95</v>
      </c>
      <c r="Q19" s="10">
        <f t="shared" si="14"/>
        <v>0</v>
      </c>
      <c r="R19" s="11">
        <f t="shared" si="2"/>
        <v>0</v>
      </c>
      <c r="S19" s="12">
        <f t="shared" si="3"/>
        <v>100.00000000000001</v>
      </c>
      <c r="T19" s="2"/>
      <c r="U19" s="4" t="s">
        <v>27</v>
      </c>
      <c r="V19" s="2"/>
      <c r="W19" s="2"/>
      <c r="X19" s="2"/>
      <c r="Y19" s="2"/>
    </row>
    <row r="20" spans="1:25" ht="26.5" customHeight="1" x14ac:dyDescent="0.25">
      <c r="A20" s="50"/>
      <c r="B20" s="50"/>
      <c r="C20" s="6">
        <v>4</v>
      </c>
      <c r="D20" s="7">
        <v>5.5</v>
      </c>
      <c r="E20" s="8">
        <f t="shared" si="0"/>
        <v>1100</v>
      </c>
      <c r="F20" s="9">
        <f t="shared" si="1"/>
        <v>18900</v>
      </c>
      <c r="G20" s="10">
        <f t="shared" si="4"/>
        <v>3024</v>
      </c>
      <c r="H20" s="11">
        <f t="shared" si="5"/>
        <v>15.120000000000001</v>
      </c>
      <c r="I20" s="10">
        <f t="shared" si="6"/>
        <v>6615</v>
      </c>
      <c r="J20" s="11">
        <f t="shared" si="7"/>
        <v>33.074999999999996</v>
      </c>
      <c r="K20" s="10">
        <f t="shared" si="8"/>
        <v>0</v>
      </c>
      <c r="L20" s="11">
        <f t="shared" si="9"/>
        <v>0</v>
      </c>
      <c r="M20" s="10">
        <f t="shared" si="10"/>
        <v>9072</v>
      </c>
      <c r="N20" s="11">
        <f t="shared" si="11"/>
        <v>45.36</v>
      </c>
      <c r="O20" s="10">
        <f t="shared" si="12"/>
        <v>189</v>
      </c>
      <c r="P20" s="11">
        <f t="shared" si="13"/>
        <v>0.94500000000000006</v>
      </c>
      <c r="Q20" s="10">
        <f t="shared" si="14"/>
        <v>0</v>
      </c>
      <c r="R20" s="11">
        <f t="shared" si="2"/>
        <v>0</v>
      </c>
      <c r="S20" s="12">
        <f t="shared" si="3"/>
        <v>99.999999999999986</v>
      </c>
      <c r="T20" s="2"/>
      <c r="U20" s="4" t="s">
        <v>17</v>
      </c>
      <c r="V20" s="2"/>
      <c r="W20" s="2"/>
      <c r="X20" s="2"/>
      <c r="Y20" s="2"/>
    </row>
    <row r="21" spans="1:25" ht="26.5" customHeight="1" x14ac:dyDescent="0.25">
      <c r="A21" s="50"/>
      <c r="B21" s="50"/>
      <c r="C21" s="6">
        <v>5</v>
      </c>
      <c r="D21" s="7">
        <v>6</v>
      </c>
      <c r="E21" s="8">
        <f t="shared" si="0"/>
        <v>1200</v>
      </c>
      <c r="F21" s="9">
        <f t="shared" si="1"/>
        <v>18800</v>
      </c>
      <c r="G21" s="10">
        <f t="shared" si="4"/>
        <v>3008</v>
      </c>
      <c r="H21" s="11">
        <f t="shared" si="5"/>
        <v>15.040000000000001</v>
      </c>
      <c r="I21" s="10">
        <f t="shared" si="6"/>
        <v>6580</v>
      </c>
      <c r="J21" s="11">
        <f t="shared" si="7"/>
        <v>32.9</v>
      </c>
      <c r="K21" s="10">
        <f t="shared" si="8"/>
        <v>0</v>
      </c>
      <c r="L21" s="11">
        <f t="shared" si="9"/>
        <v>0</v>
      </c>
      <c r="M21" s="10">
        <f t="shared" si="10"/>
        <v>9024</v>
      </c>
      <c r="N21" s="11">
        <f t="shared" si="11"/>
        <v>45.12</v>
      </c>
      <c r="O21" s="10">
        <f t="shared" si="12"/>
        <v>188</v>
      </c>
      <c r="P21" s="11">
        <f t="shared" si="13"/>
        <v>0.94000000000000006</v>
      </c>
      <c r="Q21" s="10">
        <f t="shared" si="14"/>
        <v>0</v>
      </c>
      <c r="R21" s="11">
        <f t="shared" si="2"/>
        <v>0</v>
      </c>
      <c r="S21" s="12">
        <f t="shared" si="3"/>
        <v>100</v>
      </c>
      <c r="T21" s="2"/>
      <c r="U21" s="13"/>
      <c r="V21" s="2"/>
      <c r="W21" s="2"/>
      <c r="X21" s="2"/>
      <c r="Y21" s="2"/>
    </row>
    <row r="22" spans="1:25" ht="26.5" customHeight="1" x14ac:dyDescent="0.25">
      <c r="A22" s="50"/>
      <c r="B22" s="50"/>
      <c r="C22" s="6">
        <v>6</v>
      </c>
      <c r="D22" s="7">
        <v>6.5</v>
      </c>
      <c r="E22" s="8">
        <f t="shared" si="0"/>
        <v>1300</v>
      </c>
      <c r="F22" s="9">
        <f t="shared" si="1"/>
        <v>18700</v>
      </c>
      <c r="G22" s="10">
        <f t="shared" si="4"/>
        <v>2992</v>
      </c>
      <c r="H22" s="11">
        <f t="shared" si="5"/>
        <v>14.96</v>
      </c>
      <c r="I22" s="10">
        <f t="shared" si="6"/>
        <v>6545</v>
      </c>
      <c r="J22" s="11">
        <f t="shared" si="7"/>
        <v>32.725000000000001</v>
      </c>
      <c r="K22" s="10">
        <f t="shared" si="8"/>
        <v>0</v>
      </c>
      <c r="L22" s="11">
        <f t="shared" si="9"/>
        <v>0</v>
      </c>
      <c r="M22" s="10">
        <f t="shared" si="10"/>
        <v>8976</v>
      </c>
      <c r="N22" s="11">
        <f t="shared" si="11"/>
        <v>44.879999999999995</v>
      </c>
      <c r="O22" s="10">
        <f t="shared" si="12"/>
        <v>187</v>
      </c>
      <c r="P22" s="11">
        <f t="shared" si="13"/>
        <v>0.93500000000000005</v>
      </c>
      <c r="Q22" s="10">
        <f t="shared" si="14"/>
        <v>0</v>
      </c>
      <c r="R22" s="11">
        <f t="shared" si="2"/>
        <v>0</v>
      </c>
      <c r="S22" s="12">
        <f t="shared" si="3"/>
        <v>100</v>
      </c>
      <c r="V22" s="2"/>
      <c r="W22" s="2"/>
      <c r="X22" s="2"/>
      <c r="Y22" s="2"/>
    </row>
    <row r="23" spans="1:25" ht="26.5" customHeight="1" x14ac:dyDescent="0.25">
      <c r="A23" s="50"/>
      <c r="B23" s="50"/>
      <c r="C23" s="6">
        <v>7</v>
      </c>
      <c r="D23" s="7">
        <v>7</v>
      </c>
      <c r="E23" s="8">
        <f t="shared" si="0"/>
        <v>1400</v>
      </c>
      <c r="F23" s="9">
        <f t="shared" si="1"/>
        <v>18600</v>
      </c>
      <c r="G23" s="10">
        <f t="shared" si="4"/>
        <v>2976</v>
      </c>
      <c r="H23" s="11">
        <f t="shared" si="5"/>
        <v>14.879999999999999</v>
      </c>
      <c r="I23" s="10">
        <f t="shared" si="6"/>
        <v>6510</v>
      </c>
      <c r="J23" s="11">
        <f t="shared" si="7"/>
        <v>32.550000000000004</v>
      </c>
      <c r="K23" s="10">
        <f t="shared" si="8"/>
        <v>0</v>
      </c>
      <c r="L23" s="11">
        <f t="shared" si="9"/>
        <v>0</v>
      </c>
      <c r="M23" s="10">
        <f t="shared" si="10"/>
        <v>8928</v>
      </c>
      <c r="N23" s="11">
        <f t="shared" si="11"/>
        <v>44.64</v>
      </c>
      <c r="O23" s="10">
        <f t="shared" si="12"/>
        <v>186</v>
      </c>
      <c r="P23" s="11">
        <f t="shared" si="13"/>
        <v>0.92999999999999994</v>
      </c>
      <c r="Q23" s="10">
        <f t="shared" si="14"/>
        <v>0</v>
      </c>
      <c r="R23" s="11">
        <f t="shared" si="2"/>
        <v>0</v>
      </c>
      <c r="S23" s="12">
        <f t="shared" si="3"/>
        <v>100.00000000000001</v>
      </c>
      <c r="V23" s="2"/>
      <c r="W23" s="2"/>
      <c r="X23" s="2"/>
      <c r="Y23" s="2"/>
    </row>
    <row r="24" spans="1:25" ht="26.5" customHeight="1" x14ac:dyDescent="0.25">
      <c r="A24" s="50"/>
      <c r="B24" s="50"/>
      <c r="C24" s="6" t="s">
        <v>28</v>
      </c>
      <c r="D24" s="7">
        <v>4.75</v>
      </c>
      <c r="E24" s="8">
        <f t="shared" si="0"/>
        <v>950</v>
      </c>
      <c r="F24" s="9">
        <f t="shared" si="1"/>
        <v>19050</v>
      </c>
      <c r="G24" s="10">
        <f t="shared" si="4"/>
        <v>3048</v>
      </c>
      <c r="H24" s="11">
        <f t="shared" si="5"/>
        <v>15.24</v>
      </c>
      <c r="I24" s="10">
        <f t="shared" si="6"/>
        <v>6667.5</v>
      </c>
      <c r="J24" s="11">
        <f t="shared" si="7"/>
        <v>33.337499999999999</v>
      </c>
      <c r="K24" s="10">
        <f t="shared" si="8"/>
        <v>0</v>
      </c>
      <c r="L24" s="11">
        <f t="shared" si="9"/>
        <v>0</v>
      </c>
      <c r="M24" s="10">
        <f t="shared" si="10"/>
        <v>9144</v>
      </c>
      <c r="N24" s="11">
        <f t="shared" si="11"/>
        <v>45.72</v>
      </c>
      <c r="O24" s="10">
        <f t="shared" si="12"/>
        <v>190.5</v>
      </c>
      <c r="P24" s="11">
        <f t="shared" si="13"/>
        <v>0.95250000000000001</v>
      </c>
      <c r="Q24" s="10">
        <f t="shared" si="14"/>
        <v>0</v>
      </c>
      <c r="R24" s="11">
        <f t="shared" si="2"/>
        <v>0</v>
      </c>
      <c r="S24" s="12">
        <f t="shared" si="3"/>
        <v>100</v>
      </c>
      <c r="V24" s="2"/>
      <c r="W24" s="2"/>
      <c r="X24" s="2"/>
      <c r="Y24" s="2"/>
    </row>
    <row r="25" spans="1:25" ht="26.5" customHeight="1" x14ac:dyDescent="0.25">
      <c r="A25" s="14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W25" s="2"/>
      <c r="X25" s="2"/>
      <c r="Y25" s="2"/>
    </row>
    <row r="26" spans="1:25" ht="26.5" customHeight="1" x14ac:dyDescent="0.25">
      <c r="A26" s="18"/>
      <c r="B26" s="19"/>
      <c r="C26" s="51" t="s">
        <v>29</v>
      </c>
      <c r="D26" s="52"/>
      <c r="E26" s="52"/>
      <c r="F26" s="52"/>
      <c r="G26" s="52"/>
      <c r="H26" s="53"/>
      <c r="I26" s="20">
        <v>20</v>
      </c>
      <c r="J26" s="21" t="s">
        <v>30</v>
      </c>
      <c r="K26" s="22">
        <f>I26*1000</f>
        <v>20000</v>
      </c>
      <c r="L26" s="23" t="s">
        <v>31</v>
      </c>
      <c r="M26" s="16"/>
      <c r="N26" s="16"/>
      <c r="O26" s="16"/>
      <c r="P26" s="16"/>
      <c r="Q26" s="16"/>
      <c r="R26" s="16"/>
      <c r="S26" s="17"/>
      <c r="W26" s="2"/>
      <c r="X26" s="2"/>
      <c r="Y26" s="2"/>
    </row>
    <row r="27" spans="1:25" ht="26.5" customHeight="1" x14ac:dyDescent="0.25">
      <c r="A27" s="24"/>
      <c r="B27" s="2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W27" s="2"/>
      <c r="X27" s="2"/>
      <c r="Y27" s="2"/>
    </row>
    <row r="28" spans="1:25" s="1" customFormat="1" ht="26.5" customHeight="1" x14ac:dyDescent="0.25">
      <c r="A28" s="40" t="s">
        <v>32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2"/>
    </row>
    <row r="29" spans="1:25" s="1" customFormat="1" ht="51.75" customHeight="1" x14ac:dyDescent="0.25">
      <c r="A29" s="26"/>
      <c r="B29" s="27"/>
      <c r="C29" s="97"/>
      <c r="D29" s="97"/>
      <c r="E29" s="97"/>
      <c r="F29" s="97"/>
      <c r="G29" s="97"/>
      <c r="H29" s="27"/>
      <c r="I29" s="27"/>
      <c r="J29" s="27"/>
      <c r="K29" s="27"/>
      <c r="L29" s="27"/>
      <c r="M29" s="43"/>
      <c r="N29" s="43"/>
      <c r="O29" s="43"/>
      <c r="P29" s="43"/>
      <c r="Q29" s="43"/>
      <c r="R29" s="28"/>
      <c r="S29" s="29"/>
    </row>
    <row r="30" spans="1:25" s="1" customFormat="1" ht="24.75" customHeight="1" x14ac:dyDescent="0.25">
      <c r="A30" s="30"/>
      <c r="B30" s="31"/>
      <c r="C30" s="44" t="s">
        <v>33</v>
      </c>
      <c r="D30" s="44"/>
      <c r="E30" s="44"/>
      <c r="F30" s="44"/>
      <c r="G30" s="44"/>
      <c r="H30" s="32"/>
      <c r="I30" s="31"/>
      <c r="J30" s="31"/>
      <c r="K30" s="31"/>
      <c r="L30" s="31"/>
      <c r="M30" s="44" t="s">
        <v>34</v>
      </c>
      <c r="N30" s="44"/>
      <c r="O30" s="44"/>
      <c r="P30" s="44"/>
      <c r="Q30" s="44"/>
      <c r="R30" s="32"/>
      <c r="S30" s="33"/>
    </row>
    <row r="31" spans="1:25" s="1" customFormat="1" ht="1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8"/>
      <c r="R31" s="38"/>
      <c r="S31" s="39"/>
    </row>
    <row r="32" spans="1:25" ht="30" customHeight="1" x14ac:dyDescent="0.25">
      <c r="A32" s="84" t="s">
        <v>40</v>
      </c>
      <c r="B32" s="84"/>
      <c r="C32" s="85" t="s">
        <v>46</v>
      </c>
      <c r="D32" s="85"/>
      <c r="E32" s="85"/>
      <c r="F32" s="85"/>
      <c r="G32" s="85"/>
      <c r="H32" s="85"/>
      <c r="I32" s="85"/>
      <c r="J32" s="85"/>
      <c r="K32" s="85"/>
      <c r="L32" s="85"/>
      <c r="M32" s="16"/>
      <c r="N32" s="16"/>
      <c r="O32" s="16"/>
      <c r="P32" s="16"/>
      <c r="Q32" s="16"/>
      <c r="R32" s="16"/>
    </row>
    <row r="33" spans="1:19" ht="30" customHeight="1" x14ac:dyDescent="0.25">
      <c r="A33" s="93" t="s">
        <v>41</v>
      </c>
      <c r="B33" s="93"/>
      <c r="C33" s="94" t="s">
        <v>43</v>
      </c>
      <c r="D33" s="94"/>
      <c r="E33" s="94"/>
      <c r="F33" s="94"/>
      <c r="G33" s="94"/>
      <c r="H33" s="94"/>
      <c r="I33" s="94"/>
      <c r="J33" s="94"/>
      <c r="K33" s="94"/>
      <c r="L33" s="94"/>
      <c r="M33" s="16"/>
      <c r="N33" s="16"/>
      <c r="O33" s="16"/>
      <c r="P33" s="16"/>
      <c r="Q33" s="16"/>
      <c r="R33" s="16"/>
      <c r="S33" s="16"/>
    </row>
    <row r="34" spans="1:19" ht="30" customHeight="1" x14ac:dyDescent="0.25">
      <c r="A34" s="95" t="s">
        <v>42</v>
      </c>
      <c r="B34" s="95"/>
      <c r="C34" s="96" t="s">
        <v>47</v>
      </c>
      <c r="D34" s="96"/>
      <c r="E34" s="96"/>
      <c r="F34" s="96"/>
      <c r="G34" s="96"/>
      <c r="H34" s="96"/>
      <c r="I34" s="96"/>
      <c r="J34" s="96"/>
      <c r="K34" s="96"/>
      <c r="L34" s="96"/>
      <c r="M34" s="16"/>
      <c r="N34" s="16"/>
    </row>
    <row r="35" spans="1:19" ht="17.25" customHeight="1" x14ac:dyDescent="0.25">
      <c r="A35" s="3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 spans="1:19" ht="17.25" customHeight="1" x14ac:dyDescent="0.25">
      <c r="A36" s="34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ht="17.25" customHeight="1" x14ac:dyDescent="0.25">
      <c r="A37" s="34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7.25" customHeight="1" x14ac:dyDescent="0.25">
      <c r="A38" s="3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7.25" customHeight="1" x14ac:dyDescent="0.25">
      <c r="A39" s="34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7.25" customHeight="1" x14ac:dyDescent="0.25">
      <c r="A40" s="3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ht="17.25" customHeight="1" x14ac:dyDescent="0.25">
      <c r="A41" s="3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ht="17.25" customHeight="1" x14ac:dyDescent="0.25">
      <c r="A42" s="3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</sheetData>
  <protectedRanges>
    <protectedRange sqref="D7:D8 N7 D13:E15 G13:R15 I26:J26 D17:D24" name="Intervalo1"/>
  </protectedRanges>
  <mergeCells count="67">
    <mergeCell ref="A33:B33"/>
    <mergeCell ref="C33:L33"/>
    <mergeCell ref="A34:B34"/>
    <mergeCell ref="C34:L34"/>
    <mergeCell ref="C29:G29"/>
    <mergeCell ref="A5:G5"/>
    <mergeCell ref="H5:L5"/>
    <mergeCell ref="M1:S5"/>
    <mergeCell ref="A6:S6"/>
    <mergeCell ref="A32:B32"/>
    <mergeCell ref="C32:L32"/>
    <mergeCell ref="A1:L1"/>
    <mergeCell ref="A3:G3"/>
    <mergeCell ref="H3:L3"/>
    <mergeCell ref="A4:G4"/>
    <mergeCell ref="H4:L4"/>
    <mergeCell ref="A8:C8"/>
    <mergeCell ref="D8:S8"/>
    <mergeCell ref="A7:C7"/>
    <mergeCell ref="D7:J7"/>
    <mergeCell ref="K7:M7"/>
    <mergeCell ref="N7:S7"/>
    <mergeCell ref="A9:S9"/>
    <mergeCell ref="A10:S10"/>
    <mergeCell ref="A11:S11"/>
    <mergeCell ref="A12:C13"/>
    <mergeCell ref="D12:E12"/>
    <mergeCell ref="F12:F16"/>
    <mergeCell ref="G12:S12"/>
    <mergeCell ref="D13:E13"/>
    <mergeCell ref="G13:H13"/>
    <mergeCell ref="I13:J13"/>
    <mergeCell ref="K13:L13"/>
    <mergeCell ref="M13:N13"/>
    <mergeCell ref="O13:P13"/>
    <mergeCell ref="Q13:R13"/>
    <mergeCell ref="S13:S15"/>
    <mergeCell ref="K14:L14"/>
    <mergeCell ref="M14:N14"/>
    <mergeCell ref="O14:P14"/>
    <mergeCell ref="Q14:R14"/>
    <mergeCell ref="A15:C15"/>
    <mergeCell ref="D15:E15"/>
    <mergeCell ref="G15:H15"/>
    <mergeCell ref="I15:J15"/>
    <mergeCell ref="K15:L15"/>
    <mergeCell ref="M15:N15"/>
    <mergeCell ref="O15:P15"/>
    <mergeCell ref="A14:C14"/>
    <mergeCell ref="D14:E14"/>
    <mergeCell ref="G14:H14"/>
    <mergeCell ref="I14:J14"/>
    <mergeCell ref="Q15:R15"/>
    <mergeCell ref="A28:S28"/>
    <mergeCell ref="M29:Q29"/>
    <mergeCell ref="C30:G30"/>
    <mergeCell ref="M30:Q30"/>
    <mergeCell ref="A16:C16"/>
    <mergeCell ref="D16:E16"/>
    <mergeCell ref="G16:H16"/>
    <mergeCell ref="I16:J16"/>
    <mergeCell ref="K16:L16"/>
    <mergeCell ref="M16:N16"/>
    <mergeCell ref="O16:P16"/>
    <mergeCell ref="Q16:R16"/>
    <mergeCell ref="A17:B24"/>
    <mergeCell ref="C26:H26"/>
  </mergeCells>
  <conditionalFormatting sqref="G16:R16">
    <cfRule type="expression" dxfId="3" priority="1">
      <formula>$S$16&lt;&gt;100</formula>
    </cfRule>
    <cfRule type="expression" dxfId="2" priority="2">
      <formula>$S$16=100</formula>
    </cfRule>
  </conditionalFormatting>
  <conditionalFormatting sqref="S16">
    <cfRule type="cellIs" dxfId="1" priority="3" operator="notEqual">
      <formula>100</formula>
    </cfRule>
    <cfRule type="cellIs" dxfId="0" priority="4" operator="equal">
      <formula>100</formula>
    </cfRule>
  </conditionalFormatting>
  <dataValidations count="1">
    <dataValidation type="list" allowBlank="1" showInputMessage="1" showErrorMessage="1" sqref="G13:R13" xr:uid="{BE38DD14-6832-4203-85CE-B86D4CF56551}">
      <formula1>$U$14:$U$21</formula1>
    </dataValidation>
  </dataValidations>
  <printOptions horizontalCentered="1"/>
  <pageMargins left="0.59055118110236227" right="0.59055118110236227" top="0.78740157480314965" bottom="0.78740157480314965" header="0" footer="0"/>
  <pageSetup paperSize="9" scale="5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FR-IMOB-20_Rev00</vt:lpstr>
      <vt:lpstr>'FR-IMOB-20_Rev00'!Area_de_impressao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dcterms:created xsi:type="dcterms:W3CDTF">2021-11-09T21:15:15Z</dcterms:created>
  <dcterms:modified xsi:type="dcterms:W3CDTF">2026-02-16T14:11:39Z</dcterms:modified>
</cp:coreProperties>
</file>