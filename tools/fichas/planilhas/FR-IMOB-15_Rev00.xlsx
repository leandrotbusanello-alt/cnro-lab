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9194181B-D6E2-4567-99AC-E112D57E1AB3}" xr6:coauthVersionLast="47" xr6:coauthVersionMax="47" xr10:uidLastSave="{00000000-0000-0000-0000-000000000000}"/>
  <bookViews>
    <workbookView xWindow="-28910" yWindow="-1730" windowWidth="29020" windowHeight="15820" xr2:uid="{A3D7CD27-5B83-4085-932C-0006E2F1CCDD}"/>
  </bookViews>
  <sheets>
    <sheet name="FR-IMOB-15_Rev00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localSheetId="0" hidden="1">[1]MARSHALL1!#REF!</definedName>
    <definedName name="_1__123Graph_FCHART_1" hidden="1">[1]MARSHALL1!#REF!</definedName>
    <definedName name="_2__123Graph_XCHART_1" localSheetId="0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>#REF!</definedName>
    <definedName name="_xlnm.Print_Area" localSheetId="0">'FR-IMOB-15_Rev00'!$A$1:$AC$73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>#REF!</definedName>
    <definedName name="button_area_1">#REF!</definedName>
    <definedName name="CAN">#N/A</definedName>
    <definedName name="cbr" localSheetId="0">#REF!</definedName>
    <definedName name="cbr">#REF!</definedName>
    <definedName name="celltips_area" localSheetId="0">#REF!</definedName>
    <definedName name="celltips_area">#REF!</definedName>
    <definedName name="cinco" localSheetId="0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>#REF!</definedName>
    <definedName name="IP" localSheetId="0">[8]resumo!#REF!</definedName>
    <definedName name="IP">[8]resumo!#REF!</definedName>
    <definedName name="kp" localSheetId="0">#REF!</definedName>
    <definedName name="kp">#REF!</definedName>
    <definedName name="lab">#REF!</definedName>
    <definedName name="LL" localSheetId="0">[8]resumo!#REF!</definedName>
    <definedName name="LL">[8]resumo!#REF!</definedName>
    <definedName name="marshall" localSheetId="0">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 localSheetId="0">[8]resumo!#REF!</definedName>
    <definedName name="P">[8]resumo!#REF!</definedName>
    <definedName name="paraf" localSheetId="0">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>#REF!</definedName>
    <definedName name="tres" localSheetId="0">#REF!</definedName>
    <definedName name="tres">#REF!</definedName>
    <definedName name="treze" localSheetId="0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2" i="6" l="1"/>
  <c r="G61" i="6"/>
  <c r="G60" i="6"/>
  <c r="G59" i="6"/>
  <c r="L55" i="6"/>
  <c r="K55" i="6"/>
  <c r="L54" i="6"/>
  <c r="K54" i="6"/>
  <c r="L53" i="6"/>
  <c r="K53" i="6"/>
  <c r="G51" i="6"/>
  <c r="AZ42" i="6"/>
  <c r="AZ41" i="6"/>
  <c r="I41" i="6"/>
  <c r="AZ40" i="6"/>
  <c r="O37" i="6"/>
  <c r="L37" i="6"/>
  <c r="I37" i="6"/>
  <c r="S34" i="6"/>
  <c r="S35" i="6" s="1"/>
  <c r="I33" i="6"/>
  <c r="I29" i="6"/>
  <c r="O25" i="6"/>
  <c r="L25" i="6"/>
  <c r="I25" i="6"/>
  <c r="S22" i="6"/>
  <c r="S23" i="6" s="1"/>
  <c r="I21" i="6"/>
  <c r="G50" i="6" s="1"/>
  <c r="X18" i="6"/>
  <c r="V18" i="6"/>
  <c r="T18" i="6"/>
  <c r="I26" i="6" l="1"/>
  <c r="G57" i="6" s="1"/>
  <c r="M55" i="6"/>
  <c r="BA51" i="6" s="1"/>
  <c r="M54" i="6"/>
  <c r="BA52" i="6" s="1"/>
  <c r="I38" i="6"/>
  <c r="M53" i="6"/>
  <c r="BB61" i="6" l="1"/>
  <c r="P62" i="6" s="1"/>
  <c r="BA61" i="6"/>
  <c r="AZ60" i="6"/>
  <c r="M62" i="6" s="1"/>
  <c r="BA60" i="6"/>
  <c r="BB60" i="6"/>
  <c r="L62" i="6" s="1"/>
  <c r="AZ61" i="6"/>
  <c r="Q62" i="6" s="1"/>
</calcChain>
</file>

<file path=xl/sharedStrings.xml><?xml version="1.0" encoding="utf-8"?>
<sst xmlns="http://schemas.openxmlformats.org/spreadsheetml/2006/main" count="135" uniqueCount="97">
  <si>
    <t>Nº O.S:</t>
  </si>
  <si>
    <t>Data do ensaio:</t>
  </si>
  <si>
    <t>Material:</t>
  </si>
  <si>
    <t>Registro da amostra:</t>
  </si>
  <si>
    <t>Informações complementar:</t>
  </si>
  <si>
    <t>TOLERANCIA FAIXA DE TRABALHO</t>
  </si>
  <si>
    <t>-</t>
  </si>
  <si>
    <t>Procedência material:</t>
  </si>
  <si>
    <t>Procedimentos do Ensaio - Calculos e Resultados</t>
  </si>
  <si>
    <t>Documento de Referência</t>
  </si>
  <si>
    <t xml:space="preserve">ABNT NBR 15184 - Materiais betuminosos - Determinação da viscosidade em temperaturas elevadas usando um viscosímetro rotacional. </t>
  </si>
  <si>
    <t>ABNT NBR 6576 - Materiais asfálticos - Determinação da penetração. DNIT ME 155 - Materiais asfálticos - Determinação de penetração.</t>
  </si>
  <si>
    <t>ABNT NBR 6560 - Ligantes asfálticos - Determinação do ponto de amolecimento - Método do anel e bola. DNIT ME - 131 Materiais asfálticos - Determinação do ponto de amolecimento - Método anel e bola.</t>
  </si>
  <si>
    <t xml:space="preserve">ABNT NBR 15086 - Materiais betuminosos - Determinação da recuperação elástica pelo ductilômetro. </t>
  </si>
  <si>
    <t>Penetração (100g, 5s, 25ºC) (0,1mm)</t>
  </si>
  <si>
    <t>Comprimento inicial (cm)</t>
  </si>
  <si>
    <t>Comprimento final (cm)</t>
  </si>
  <si>
    <t>Variação de massa (%)</t>
  </si>
  <si>
    <t>Recipiente 1</t>
  </si>
  <si>
    <t>Recipiente 2</t>
  </si>
  <si>
    <t>Recipiente 3</t>
  </si>
  <si>
    <t>Temperatura 1ª esfera</t>
  </si>
  <si>
    <t>Recuperação elástica a 25ºC, 10cm (%)</t>
  </si>
  <si>
    <t>Antes do envelhecimento</t>
  </si>
  <si>
    <t>Ponto de amolecimento (°C)</t>
  </si>
  <si>
    <t>1ª Leitura (mm)</t>
  </si>
  <si>
    <t>2ª Leitura (mm)</t>
  </si>
  <si>
    <t>3ª Leitura (mm)</t>
  </si>
  <si>
    <t>1° Molde (cm)</t>
  </si>
  <si>
    <t>2° Molde (cm)</t>
  </si>
  <si>
    <t>3° Molde (cm)</t>
  </si>
  <si>
    <t>Temperatura 2ª esfera</t>
  </si>
  <si>
    <t>Média (°C)</t>
  </si>
  <si>
    <t>Após o envelhecimento</t>
  </si>
  <si>
    <t>Massa (g)</t>
  </si>
  <si>
    <t>Penetração (100g, 5s, 25ºC)</t>
  </si>
  <si>
    <t>0,1mm</t>
  </si>
  <si>
    <t>NBR 6576</t>
  </si>
  <si>
    <t>Ponto de amolecimento</t>
  </si>
  <si>
    <t>ºC</t>
  </si>
  <si>
    <t>NBR 6560</t>
  </si>
  <si>
    <t>Viscosidade Brookfield</t>
  </si>
  <si>
    <t>NBR 15184</t>
  </si>
  <si>
    <t>cP</t>
  </si>
  <si>
    <t>Ensaio de separação de fase</t>
  </si>
  <si>
    <t>NBR 15166</t>
  </si>
  <si>
    <t>%</t>
  </si>
  <si>
    <t>NBR 15086</t>
  </si>
  <si>
    <t>Efeito do calor e do ar (RTFOT) a 163ºC, 5 min</t>
  </si>
  <si>
    <t>Variação de massa</t>
  </si>
  <si>
    <t>NBR 15235</t>
  </si>
  <si>
    <t>Porcentagem de penetração original</t>
  </si>
  <si>
    <t>Variação do ponto de amolecimento</t>
  </si>
  <si>
    <t>Porcentagem de recuperação elastica original a 25º</t>
  </si>
  <si>
    <t>BASE</t>
  </si>
  <si>
    <t>POTÊNCIA</t>
  </si>
  <si>
    <t>VISCOSIDADE (cP)</t>
  </si>
  <si>
    <t>TANQUE DE CAP (V)</t>
  </si>
  <si>
    <t>MISTURA (V)</t>
  </si>
  <si>
    <t>COMPACTAÇÃO (V)</t>
  </si>
  <si>
    <t>TEMPERATURA (°C)</t>
  </si>
  <si>
    <t>TANQUE DE CAP (t)</t>
  </si>
  <si>
    <t>MISTURA  (t)</t>
  </si>
  <si>
    <t>COMPACTAÇÃO (t)</t>
  </si>
  <si>
    <t>20rpm</t>
  </si>
  <si>
    <t>SP 21</t>
  </si>
  <si>
    <t>50 rpm</t>
  </si>
  <si>
    <t>100 rpm</t>
  </si>
  <si>
    <t>Variação                                                    em                                                    massa</t>
  </si>
  <si>
    <t>Viscosidade (cp) X Temperatura (°C)</t>
  </si>
  <si>
    <t>MISTURA</t>
  </si>
  <si>
    <t>COMPACTAÇÃO</t>
  </si>
  <si>
    <t xml:space="preserve">Temperaturas ótimas </t>
  </si>
  <si>
    <t>Min. °C</t>
  </si>
  <si>
    <t>Máx. °C</t>
  </si>
  <si>
    <t>°C</t>
  </si>
  <si>
    <t>Média (mm)</t>
  </si>
  <si>
    <t>Média (%)</t>
  </si>
  <si>
    <t>Recuperação elástica a 25ºC, 10cm</t>
  </si>
  <si>
    <t>Assinaturas:</t>
  </si>
  <si>
    <t>ABNT NBR 15166 - Asfalto modificado - Ensaio de separação de fase.</t>
  </si>
  <si>
    <t>ABNT NBR 15235 - Materiais asfálticos - Determinação do efeito do calor e do ar em uma película delgada rotacional.</t>
  </si>
  <si>
    <t>Responsável calculista</t>
  </si>
  <si>
    <t>Responsável executor</t>
  </si>
  <si>
    <t xml:space="preserve">Elaborado por: </t>
  </si>
  <si>
    <t xml:space="preserve">Revisado por: </t>
  </si>
  <si>
    <t>Aprovado por:</t>
  </si>
  <si>
    <t xml:space="preserve">Samara Rodrigues 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</si>
  <si>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FR-IMOB-15 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</si>
  <si>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</si>
  <si>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</si>
  <si>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 xml:space="preserve">CARACTERIZAÇÃO DO LIGANTE ASFÁLTICO CAP MODIFICADO COM BORRACHA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</si>
  <si>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</si>
  <si>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</si>
  <si>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</si>
  <si>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Rheno Tormin</t>
  </si>
  <si>
    <t xml:space="preserve">Thyago Biasin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</si>
</sst>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00;[Black]0.000"/>
  </numFmts>
  <fonts count="19" x14ac:knownFonts="1">
    <font>
      <sz val="10"/>
      <name val="Arial"/>
    </font>
    <font>
      <b/>
      <sz val="10"/>
      <color indexed="8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theme="1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FF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3" applyFont="1" applyAlignment="1">
      <alignment vertical="center"/>
    </xf>
    <xf numFmtId="0" fontId="2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/>
    </xf>
    <xf numFmtId="164" fontId="2" fillId="0" borderId="0" xfId="3" applyNumberFormat="1" applyFont="1" applyAlignment="1">
      <alignment vertical="center"/>
    </xf>
    <xf numFmtId="164" fontId="2" fillId="0" borderId="0" xfId="3" applyNumberFormat="1" applyFont="1" applyAlignment="1">
      <alignment horizontal="left" vertical="center"/>
    </xf>
    <xf numFmtId="2" fontId="2" fillId="0" borderId="0" xfId="3" applyNumberFormat="1" applyFont="1" applyAlignment="1">
      <alignment horizontal="left" vertical="center"/>
    </xf>
    <xf numFmtId="0" fontId="2" fillId="0" borderId="12" xfId="3" applyFont="1" applyBorder="1" applyAlignment="1">
      <alignment horizontal="left"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65" fontId="2" fillId="0" borderId="11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2" fillId="0" borderId="7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0" fillId="0" borderId="11" xfId="0" applyBorder="1"/>
    <xf numFmtId="0" fontId="2" fillId="0" borderId="6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164" fontId="0" fillId="0" borderId="11" xfId="0" applyNumberFormat="1" applyBorder="1"/>
    <xf numFmtId="164" fontId="3" fillId="0" borderId="4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10" fillId="0" borderId="4" xfId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2" fillId="4" borderId="1" xfId="3" applyFont="1" applyFill="1" applyBorder="1" applyAlignment="1">
      <alignment horizontal="center" vertical="center" wrapText="1"/>
    </xf>
    <xf numFmtId="0" fontId="2" fillId="4" borderId="2" xfId="3" applyFont="1" applyFill="1" applyBorder="1" applyAlignment="1">
      <alignment horizontal="center" vertical="center" wrapText="1"/>
    </xf>
    <xf numFmtId="0" fontId="2" fillId="4" borderId="5" xfId="3" applyFont="1" applyFill="1" applyBorder="1" applyAlignment="1">
      <alignment horizontal="center" vertical="center" wrapText="1"/>
    </xf>
    <xf numFmtId="0" fontId="2" fillId="4" borderId="6" xfId="3" applyFont="1" applyFill="1" applyBorder="1" applyAlignment="1">
      <alignment horizontal="center" vertical="center" wrapText="1"/>
    </xf>
    <xf numFmtId="0" fontId="6" fillId="5" borderId="0" xfId="1" applyFont="1" applyFill="1" applyAlignment="1">
      <alignment horizontal="center" vertical="center"/>
    </xf>
    <xf numFmtId="0" fontId="6" fillId="0" borderId="8" xfId="1" applyFont="1" applyBorder="1" applyAlignment="1">
      <alignment vertical="center" wrapText="1"/>
    </xf>
    <xf numFmtId="0" fontId="6" fillId="0" borderId="9" xfId="1" applyFont="1" applyBorder="1" applyAlignment="1">
      <alignment vertical="center" wrapText="1"/>
    </xf>
    <xf numFmtId="0" fontId="6" fillId="0" borderId="10" xfId="1" applyFont="1" applyBorder="1" applyAlignment="1">
      <alignment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2" fillId="0" borderId="11" xfId="2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10" xfId="3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17" fillId="6" borderId="11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6" xfId="3" applyFont="1" applyBorder="1" applyAlignment="1">
      <alignment horizontal="center" vertical="center"/>
    </xf>
    <xf numFmtId="0" fontId="2" fillId="3" borderId="4" xfId="3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9" fillId="3" borderId="4" xfId="3" applyFont="1" applyFill="1" applyBorder="1" applyAlignment="1">
      <alignment horizontal="left" vertical="center" indent="26"/>
    </xf>
    <xf numFmtId="0" fontId="9" fillId="3" borderId="5" xfId="3" applyFont="1" applyFill="1" applyBorder="1" applyAlignment="1">
      <alignment horizontal="left" vertical="center" indent="26"/>
    </xf>
    <xf numFmtId="0" fontId="9" fillId="3" borderId="6" xfId="3" applyFont="1" applyFill="1" applyBorder="1" applyAlignment="1">
      <alignment horizontal="left" vertical="center" indent="26"/>
    </xf>
    <xf numFmtId="9" fontId="2" fillId="3" borderId="4" xfId="6" applyFont="1" applyFill="1" applyBorder="1" applyAlignment="1">
      <alignment horizontal="center" vertical="center"/>
    </xf>
    <xf numFmtId="9" fontId="2" fillId="3" borderId="5" xfId="6" applyFont="1" applyFill="1" applyBorder="1" applyAlignment="1">
      <alignment horizontal="center" vertical="center"/>
    </xf>
    <xf numFmtId="9" fontId="2" fillId="3" borderId="6" xfId="6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2" fillId="5" borderId="4" xfId="3" applyFont="1" applyFill="1" applyBorder="1" applyAlignment="1">
      <alignment horizontal="center" vertical="center"/>
    </xf>
    <xf numFmtId="0" fontId="2" fillId="5" borderId="5" xfId="3" applyFont="1" applyFill="1" applyBorder="1" applyAlignment="1">
      <alignment horizontal="center" vertical="center"/>
    </xf>
    <xf numFmtId="0" fontId="2" fillId="5" borderId="6" xfId="3" applyFont="1" applyFill="1" applyBorder="1" applyAlignment="1">
      <alignment horizontal="center" vertical="center"/>
    </xf>
    <xf numFmtId="164" fontId="2" fillId="3" borderId="4" xfId="3" applyNumberFormat="1" applyFont="1" applyFill="1" applyBorder="1" applyAlignment="1">
      <alignment horizontal="center" vertical="center"/>
    </xf>
    <xf numFmtId="164" fontId="2" fillId="3" borderId="5" xfId="3" applyNumberFormat="1" applyFont="1" applyFill="1" applyBorder="1" applyAlignment="1">
      <alignment horizontal="center" vertical="center"/>
    </xf>
    <xf numFmtId="164" fontId="2" fillId="3" borderId="6" xfId="3" applyNumberFormat="1" applyFont="1" applyFill="1" applyBorder="1" applyAlignment="1">
      <alignment horizontal="center" vertical="center"/>
    </xf>
    <xf numFmtId="9" fontId="9" fillId="3" borderId="4" xfId="6" applyFont="1" applyFill="1" applyBorder="1" applyAlignment="1">
      <alignment horizontal="left" vertical="center" indent="26"/>
    </xf>
    <xf numFmtId="9" fontId="9" fillId="3" borderId="5" xfId="6" applyFont="1" applyFill="1" applyBorder="1" applyAlignment="1">
      <alignment horizontal="left" vertical="center" indent="26"/>
    </xf>
    <xf numFmtId="9" fontId="9" fillId="3" borderId="6" xfId="6" applyFont="1" applyFill="1" applyBorder="1" applyAlignment="1">
      <alignment horizontal="left" vertical="center" indent="26"/>
    </xf>
    <xf numFmtId="0" fontId="10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9" fillId="3" borderId="4" xfId="3" applyFont="1" applyFill="1" applyBorder="1" applyAlignment="1">
      <alignment horizontal="left" vertical="center" indent="18"/>
    </xf>
    <xf numFmtId="0" fontId="9" fillId="3" borderId="5" xfId="3" applyFont="1" applyFill="1" applyBorder="1" applyAlignment="1">
      <alignment horizontal="left" vertical="center" indent="18"/>
    </xf>
    <xf numFmtId="0" fontId="9" fillId="3" borderId="6" xfId="3" applyFont="1" applyFill="1" applyBorder="1" applyAlignment="1">
      <alignment horizontal="left" vertical="center" indent="18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18" fillId="6" borderId="4" xfId="3" applyFont="1" applyFill="1" applyBorder="1" applyAlignment="1">
      <alignment horizontal="center" vertical="center"/>
    </xf>
    <xf numFmtId="0" fontId="18" fillId="6" borderId="5" xfId="3" applyFont="1" applyFill="1" applyBorder="1" applyAlignment="1">
      <alignment horizontal="center" vertical="center"/>
    </xf>
    <xf numFmtId="0" fontId="18" fillId="6" borderId="6" xfId="3" applyFont="1" applyFill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9" fontId="3" fillId="0" borderId="4" xfId="6" applyFont="1" applyBorder="1" applyAlignment="1">
      <alignment horizontal="center" vertical="center"/>
    </xf>
    <xf numFmtId="9" fontId="3" fillId="0" borderId="6" xfId="6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 vertical="center"/>
    </xf>
    <xf numFmtId="165" fontId="2" fillId="0" borderId="15" xfId="1" applyNumberFormat="1" applyFont="1" applyBorder="1" applyAlignment="1">
      <alignment horizontal="center" vertical="center"/>
    </xf>
    <xf numFmtId="165" fontId="2" fillId="0" borderId="16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17" fillId="6" borderId="4" xfId="1" applyFont="1" applyFill="1" applyBorder="1" applyAlignment="1">
      <alignment horizontal="center" vertical="center"/>
    </xf>
    <xf numFmtId="0" fontId="17" fillId="6" borderId="5" xfId="1" applyFont="1" applyFill="1" applyBorder="1" applyAlignment="1">
      <alignment horizontal="center" vertical="center"/>
    </xf>
    <xf numFmtId="0" fontId="17" fillId="6" borderId="6" xfId="1" applyFont="1" applyFill="1" applyBorder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49" fontId="14" fillId="5" borderId="5" xfId="3" applyNumberFormat="1" applyFont="1" applyFill="1" applyBorder="1" applyAlignment="1" applyProtection="1">
      <alignment horizontal="left" vertical="center"/>
      <protection locked="0" hidden="1"/>
    </xf>
    <xf numFmtId="0" fontId="14" fillId="5" borderId="5" xfId="3" applyFont="1" applyFill="1" applyBorder="1" applyAlignment="1" applyProtection="1">
      <alignment horizontal="left" vertical="center"/>
      <protection locked="0" hidden="1"/>
    </xf>
    <xf numFmtId="2" fontId="10" fillId="0" borderId="4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2" fontId="10" fillId="0" borderId="6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" vertical="center"/>
    </xf>
    <xf numFmtId="2" fontId="10" fillId="0" borderId="8" xfId="1" applyNumberFormat="1" applyFont="1" applyBorder="1" applyAlignment="1">
      <alignment horizontal="center" vertical="center"/>
    </xf>
    <xf numFmtId="2" fontId="10" fillId="0" borderId="9" xfId="1" applyNumberFormat="1" applyFont="1" applyBorder="1" applyAlignment="1">
      <alignment horizontal="center" vertical="center"/>
    </xf>
    <xf numFmtId="2" fontId="10" fillId="0" borderId="10" xfId="1" applyNumberFormat="1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164" fontId="9" fillId="3" borderId="4" xfId="3" applyNumberFormat="1" applyFont="1" applyFill="1" applyBorder="1" applyAlignment="1">
      <alignment horizontal="left" vertical="center" indent="26"/>
    </xf>
    <xf numFmtId="164" fontId="9" fillId="3" borderId="5" xfId="3" applyNumberFormat="1" applyFont="1" applyFill="1" applyBorder="1" applyAlignment="1">
      <alignment horizontal="left" vertical="center" indent="26"/>
    </xf>
    <xf numFmtId="164" fontId="9" fillId="3" borderId="6" xfId="3" applyNumberFormat="1" applyFont="1" applyFill="1" applyBorder="1" applyAlignment="1">
      <alignment horizontal="left" vertical="center" indent="26"/>
    </xf>
    <xf numFmtId="49" fontId="13" fillId="5" borderId="5" xfId="3" applyNumberFormat="1" applyFont="1" applyFill="1" applyBorder="1" applyAlignment="1" applyProtection="1">
      <alignment horizontal="left" vertical="center"/>
      <protection locked="0" hidden="1"/>
    </xf>
    <xf numFmtId="0" fontId="13" fillId="5" borderId="5" xfId="3" applyFont="1" applyFill="1" applyBorder="1" applyAlignment="1" applyProtection="1">
      <alignment horizontal="left" vertical="center"/>
      <protection locked="0" hidden="1"/>
    </xf>
    <xf numFmtId="0" fontId="11" fillId="0" borderId="5" xfId="0" applyFont="1" applyBorder="1" applyAlignment="1">
      <alignment horizontal="left" vertical="center" wrapText="1"/>
    </xf>
    <xf numFmtId="0" fontId="13" fillId="0" borderId="5" xfId="3" applyFont="1" applyBorder="1" applyAlignment="1" applyProtection="1">
      <alignment horizontal="left" vertical="center" wrapText="1"/>
      <protection locked="0"/>
    </xf>
    <xf numFmtId="0" fontId="15" fillId="0" borderId="5" xfId="3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 wrapText="1"/>
    </xf>
    <xf numFmtId="0" fontId="11" fillId="0" borderId="9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1" fillId="2" borderId="4" xfId="3" applyFont="1" applyFill="1" applyBorder="1" applyAlignment="1">
      <alignment horizontal="left" vertical="top"/>
    </xf>
    <xf numFmtId="0" fontId="1" fillId="2" borderId="5" xfId="3" applyFont="1" applyFill="1" applyBorder="1" applyAlignment="1">
      <alignment horizontal="left" vertical="top"/>
    </xf>
    <xf numFmtId="0" fontId="1" fillId="2" borderId="6" xfId="3" applyFont="1" applyFill="1" applyBorder="1" applyAlignment="1">
      <alignment horizontal="left" vertical="top"/>
    </xf>
    <xf numFmtId="0" fontId="4" fillId="0" borderId="4" xfId="3" applyFont="1" applyBorder="1" applyAlignment="1">
      <alignment horizontal="left" vertical="top"/>
    </xf>
    <xf numFmtId="0" fontId="4" fillId="0" borderId="5" xfId="3" applyFont="1" applyBorder="1" applyAlignment="1">
      <alignment horizontal="left" vertical="top"/>
    </xf>
    <xf numFmtId="0" fontId="4" fillId="0" borderId="6" xfId="3" applyFont="1" applyBorder="1" applyAlignment="1">
      <alignment horizontal="left" vertical="top"/>
    </xf>
  </cellXfs>
  <cellStyles count="7">
    <cellStyle name="Normal" xfId="0" builtinId="0"/>
    <cellStyle name="Normal 2 2" xfId="3" xr:uid="{D0BA3E9A-742E-4838-833F-2FF31E841156}"/>
    <cellStyle name="Normal 9 2" xfId="1" xr:uid="{9B6A65A3-8E5E-4026-8DB0-CBBCF5E2E5B4}"/>
    <cellStyle name="Normal_TENTATIVAS~1" xfId="2" xr:uid="{EE1B7734-70BF-4416-8649-4D97FA2C27EE}"/>
    <cellStyle name="Porcentagem" xfId="6" builtinId="5"/>
    <cellStyle name="Porcentagem 2 2" xfId="4" xr:uid="{BBDC5EA5-414F-476B-83B7-6A2BC629BE95}"/>
    <cellStyle name="Vírgula 2" xfId="5" xr:uid="{1A1F3516-BBB4-4179-A98E-A2A1271D2349}"/>
  </cellStyles>
  <dxfs count="0"/>
  <tableStyles count="0" defaultTableStyle="TableStyleMedium2" defaultPivotStyle="PivotStyleLight16"/>
  <colors>
    <mruColors>
      <color rgb="FF0000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66571448314927E-2"/>
          <c:y val="4.6899213355499396E-2"/>
          <c:w val="0.89604375048055263"/>
          <c:h val="0.87551129206829226"/>
        </c:manualLayout>
      </c:layout>
      <c:scatterChart>
        <c:scatterStyle val="lineMarker"/>
        <c:varyColors val="0"/>
        <c:ser>
          <c:idx val="0"/>
          <c:order val="0"/>
          <c:tx>
            <c:v>Viscosidade x Temperatura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0445016395111274"/>
                  <c:y val="-0.50977962300167023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bg1">
                      <a:lumMod val="8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'FR-IMOB-15_Rev00'!$AZ$40:$AZ$42</c:f>
              <c:numCache>
                <c:formatCode>0.0</c:formatCode>
                <c:ptCount val="3"/>
                <c:pt idx="0">
                  <c:v>300</c:v>
                </c:pt>
                <c:pt idx="1">
                  <c:v>450</c:v>
                </c:pt>
                <c:pt idx="2">
                  <c:v>1000</c:v>
                </c:pt>
              </c:numCache>
            </c:numRef>
          </c:xVal>
          <c:yVal>
            <c:numRef>
              <c:f>'FR-IMOB-15_Rev00'!$AY$40:$AY$42</c:f>
              <c:numCache>
                <c:formatCode>0.0</c:formatCode>
                <c:ptCount val="3"/>
                <c:pt idx="0">
                  <c:v>135</c:v>
                </c:pt>
                <c:pt idx="1">
                  <c:v>150</c:v>
                </c:pt>
                <c:pt idx="2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4-4726-AD21-F590699F6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67264"/>
        <c:axId val="90681728"/>
      </c:scatterChart>
      <c:valAx>
        <c:axId val="90667264"/>
        <c:scaling>
          <c:logBase val="10"/>
          <c:orientation val="minMax"/>
          <c:max val="2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81728"/>
        <c:crosses val="autoZero"/>
        <c:crossBetween val="midCat"/>
      </c:valAx>
      <c:valAx>
        <c:axId val="90681728"/>
        <c:scaling>
          <c:orientation val="minMax"/>
          <c:max val="2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6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123263</xdr:colOff>
      <xdr:row>50</xdr:row>
      <xdr:rowOff>54428</xdr:rowOff>
    </xdr:from>
    <xdr:to>
      <xdr:col>16</xdr:col>
      <xdr:colOff>588819</xdr:colOff>
      <xdr:row>58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83063A-6FFE-4608-A0E8-AC956F8B9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131017</xdr:colOff>
      <xdr:row>0</xdr:row>
      <xdr:rowOff>85912</xdr:rowOff>
    </xdr:from>
    <xdr:to>
      <xdr:col>16</xdr:col>
      <xdr:colOff>451664</xdr:colOff>
      <xdr:row>1</xdr:row>
      <xdr:rowOff>1120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DFFF6DD-2675-494C-B163-6FC6D9F9C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4252" y="85912"/>
          <a:ext cx="1463647" cy="7519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4F28-FEEA-4021-8FC9-85EDB3C27DD8}">
  <sheetPr>
    <tabColor rgb="FF00B050"/>
    <pageSetUpPr fitToPage="1"/>
  </sheetPr>
  <dimension ref="A1:BJ73"/>
  <sheetViews>
    <sheetView showGridLines="0" tabSelected="1" view="pageBreakPreview" zoomScale="85" zoomScaleNormal="55" zoomScaleSheetLayoutView="85" workbookViewId="0">
      <selection activeCell="E80" sqref="E80"/>
    </sheetView>
  </sheetViews>
  <sheetFormatPr defaultColWidth="11.81640625" defaultRowHeight="12.5" x14ac:dyDescent="0.25"/>
  <cols>
    <col min="1" max="1" width="0.81640625" style="1" customWidth="1"/>
    <col min="2" max="2" width="4" style="1" customWidth="1"/>
    <col min="3" max="3" width="14.453125" style="1" customWidth="1"/>
    <col min="4" max="4" width="10.7265625" style="1" customWidth="1"/>
    <col min="5" max="5" width="14.36328125" style="1" customWidth="1"/>
    <col min="6" max="7" width="9.54296875" style="1" customWidth="1"/>
    <col min="8" max="8" width="7.36328125" style="1" customWidth="1"/>
    <col min="9" max="9" width="12.54296875" style="1" customWidth="1"/>
    <col min="10" max="10" width="9.54296875" style="1" customWidth="1"/>
    <col min="11" max="11" width="10.453125" style="1" customWidth="1"/>
    <col min="12" max="13" width="9.54296875" style="1" customWidth="1"/>
    <col min="14" max="15" width="6.81640625" style="1" customWidth="1"/>
    <col min="16" max="16" width="9.54296875" style="1" customWidth="1"/>
    <col min="17" max="17" width="9.7265625" style="1" customWidth="1"/>
    <col min="18" max="18" width="1.26953125" style="1" customWidth="1"/>
    <col min="19" max="19" width="6" style="1" hidden="1" customWidth="1"/>
    <col min="20" max="25" width="6.54296875" style="1" hidden="1" customWidth="1"/>
    <col min="26" max="26" width="2.7265625" style="1" hidden="1" customWidth="1"/>
    <col min="27" max="27" width="2" style="1" hidden="1" customWidth="1"/>
    <col min="28" max="28" width="10" style="1" hidden="1" customWidth="1"/>
    <col min="29" max="29" width="20.26953125" style="1" hidden="1" customWidth="1"/>
    <col min="30" max="30" width="9.26953125" style="1" hidden="1" customWidth="1"/>
    <col min="31" max="31" width="0.7265625" style="1" customWidth="1"/>
    <col min="32" max="49" width="7.81640625" style="1" customWidth="1"/>
    <col min="50" max="50" width="9.7265625" style="1" customWidth="1"/>
    <col min="51" max="51" width="20.26953125" style="1" bestFit="1" customWidth="1"/>
    <col min="52" max="52" width="11.1796875" style="1" bestFit="1" customWidth="1"/>
    <col min="53" max="53" width="14.1796875" style="1" bestFit="1" customWidth="1"/>
    <col min="54" max="54" width="12.54296875" style="1" bestFit="1" customWidth="1"/>
    <col min="55" max="56" width="11.81640625" style="1"/>
    <col min="57" max="62" width="11.81640625" style="2"/>
    <col min="63" max="16384" width="11.81640625" style="1"/>
  </cols>
  <sheetData>
    <row r="1" spans="2:53" ht="66" customHeight="1" x14ac:dyDescent="0.3">
      <c r="B1" s="164" t="s">
        <v>91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</row>
    <row r="2" spans="2:53" ht="12.5" customHeight="1" x14ac:dyDescent="0.25"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</row>
    <row r="3" spans="2:53" ht="30" customHeight="1" x14ac:dyDescent="0.25">
      <c r="B3" s="161" t="s">
        <v>89</v>
      </c>
      <c r="C3" s="161"/>
      <c r="D3" s="161"/>
      <c r="E3" s="161"/>
      <c r="F3" s="161"/>
      <c r="G3" s="161"/>
      <c r="H3" s="161"/>
      <c r="I3" s="162" t="s">
        <v>88</v>
      </c>
      <c r="J3" s="162"/>
      <c r="K3" s="162"/>
      <c r="L3" s="162"/>
      <c r="M3" s="162"/>
      <c r="N3" s="162"/>
      <c r="O3" s="162"/>
      <c r="P3" s="162"/>
      <c r="Q3" s="162"/>
    </row>
    <row r="4" spans="2:53" ht="30" customHeight="1" x14ac:dyDescent="0.25">
      <c r="B4" s="162" t="s">
        <v>94</v>
      </c>
      <c r="C4" s="162"/>
      <c r="D4" s="162"/>
      <c r="E4" s="162"/>
      <c r="F4" s="162"/>
      <c r="G4" s="162"/>
      <c r="H4" s="162"/>
      <c r="I4" s="162" t="s">
        <v>92</v>
      </c>
      <c r="J4" s="162"/>
      <c r="K4" s="162"/>
      <c r="L4" s="162"/>
      <c r="M4" s="162"/>
      <c r="N4" s="162"/>
      <c r="O4" s="162"/>
      <c r="P4" s="162"/>
      <c r="Q4" s="162"/>
    </row>
    <row r="5" spans="2:53" ht="31.5" customHeight="1" x14ac:dyDescent="0.25">
      <c r="B5" s="163" t="s">
        <v>90</v>
      </c>
      <c r="C5" s="163"/>
      <c r="D5" s="163"/>
      <c r="E5" s="163"/>
      <c r="F5" s="163"/>
      <c r="G5" s="163"/>
      <c r="H5" s="163"/>
      <c r="I5" s="163" t="s">
        <v>93</v>
      </c>
      <c r="J5" s="163"/>
      <c r="K5" s="163"/>
      <c r="L5" s="163"/>
      <c r="M5" s="163"/>
      <c r="N5" s="163"/>
      <c r="O5" s="163"/>
      <c r="P5" s="163"/>
      <c r="Q5" s="163"/>
    </row>
    <row r="6" spans="2:53" ht="15" customHeight="1" x14ac:dyDescent="0.25"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</row>
    <row r="7" spans="2:53" s="2" customFormat="1" ht="30" customHeight="1" x14ac:dyDescent="0.25">
      <c r="B7" s="174" t="s">
        <v>0</v>
      </c>
      <c r="C7" s="175"/>
      <c r="D7" s="175"/>
      <c r="E7" s="175"/>
      <c r="F7" s="175"/>
      <c r="G7" s="175"/>
      <c r="H7" s="175"/>
      <c r="I7" s="176"/>
      <c r="J7" s="177" t="s">
        <v>1</v>
      </c>
      <c r="K7" s="178"/>
      <c r="L7" s="178"/>
      <c r="M7" s="178"/>
      <c r="N7" s="178"/>
      <c r="O7" s="178"/>
      <c r="P7" s="178"/>
      <c r="Q7" s="179"/>
    </row>
    <row r="8" spans="2:53" s="2" customFormat="1" ht="30" customHeight="1" x14ac:dyDescent="0.25">
      <c r="B8" s="174" t="s">
        <v>2</v>
      </c>
      <c r="C8" s="175"/>
      <c r="D8" s="175"/>
      <c r="E8" s="175"/>
      <c r="F8" s="175"/>
      <c r="G8" s="175"/>
      <c r="H8" s="175"/>
      <c r="I8" s="176"/>
      <c r="J8" s="177" t="s">
        <v>3</v>
      </c>
      <c r="K8" s="178"/>
      <c r="L8" s="178"/>
      <c r="M8" s="178"/>
      <c r="N8" s="178"/>
      <c r="O8" s="178"/>
      <c r="P8" s="178"/>
      <c r="Q8" s="179"/>
    </row>
    <row r="9" spans="2:53" s="2" customFormat="1" ht="30" customHeight="1" x14ac:dyDescent="0.25">
      <c r="B9" s="174" t="s">
        <v>7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6"/>
    </row>
    <row r="10" spans="2:53" s="2" customFormat="1" ht="30" customHeight="1" x14ac:dyDescent="0.25">
      <c r="B10" s="174" t="s">
        <v>4</v>
      </c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6"/>
    </row>
    <row r="11" spans="2:53" s="2" customFormat="1" ht="30" customHeight="1" x14ac:dyDescent="0.25">
      <c r="B11" s="67" t="s">
        <v>9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AX11" s="4"/>
      <c r="AY11" s="4"/>
      <c r="AZ11" s="5"/>
      <c r="BA11" s="6"/>
    </row>
    <row r="12" spans="2:53" s="2" customFormat="1" ht="30" customHeight="1" x14ac:dyDescent="0.25">
      <c r="B12" s="68" t="s">
        <v>11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AX12" s="4"/>
      <c r="AY12" s="4"/>
      <c r="AZ12" s="5"/>
      <c r="BA12" s="6"/>
    </row>
    <row r="13" spans="2:53" s="2" customFormat="1" ht="30" customHeight="1" x14ac:dyDescent="0.25">
      <c r="B13" s="69" t="s">
        <v>12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1"/>
      <c r="AX13" s="4"/>
      <c r="AY13" s="4"/>
      <c r="AZ13" s="5"/>
      <c r="BA13" s="6"/>
    </row>
    <row r="14" spans="2:53" s="2" customFormat="1" ht="30" customHeight="1" x14ac:dyDescent="0.25">
      <c r="B14" s="69" t="s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1"/>
      <c r="AX14" s="4"/>
      <c r="AY14" s="4"/>
      <c r="AZ14" s="5"/>
      <c r="BA14" s="6"/>
    </row>
    <row r="15" spans="2:53" s="2" customFormat="1" ht="30" customHeight="1" x14ac:dyDescent="0.25">
      <c r="B15" s="69" t="s">
        <v>80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1"/>
      <c r="AX15" s="4"/>
      <c r="AY15" s="4"/>
      <c r="AZ15" s="5"/>
      <c r="BA15" s="6"/>
    </row>
    <row r="16" spans="2:53" s="2" customFormat="1" ht="30" customHeight="1" x14ac:dyDescent="0.25">
      <c r="B16" s="69" t="s">
        <v>13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1"/>
      <c r="AX16" s="4"/>
      <c r="AY16" s="4"/>
      <c r="AZ16" s="5"/>
      <c r="BA16" s="6"/>
    </row>
    <row r="17" spans="2:53" s="2" customFormat="1" ht="30" customHeight="1" x14ac:dyDescent="0.25">
      <c r="B17" s="69" t="s">
        <v>81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1"/>
      <c r="AX17" s="4"/>
      <c r="AY17" s="4"/>
      <c r="AZ17" s="5"/>
      <c r="BA17" s="6"/>
    </row>
    <row r="18" spans="2:53" s="2" customFormat="1" ht="30" customHeight="1" x14ac:dyDescent="0.25">
      <c r="B18" s="67" t="s">
        <v>8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T18" s="49" t="e">
        <f>#REF!</f>
        <v>#REF!</v>
      </c>
      <c r="U18" s="49"/>
      <c r="V18" s="49" t="e">
        <f>#REF!</f>
        <v>#REF!</v>
      </c>
      <c r="W18" s="49"/>
      <c r="X18" s="49" t="e">
        <f>#REF!</f>
        <v>#REF!</v>
      </c>
      <c r="Y18" s="49"/>
      <c r="Z18" s="49" t="s">
        <v>5</v>
      </c>
      <c r="AA18" s="49"/>
      <c r="AX18" s="4"/>
      <c r="AY18" s="4"/>
      <c r="AZ18" s="5"/>
      <c r="BA18" s="6"/>
    </row>
    <row r="19" spans="2:53" s="2" customFormat="1" ht="16.5" customHeight="1" x14ac:dyDescent="0.25">
      <c r="B19" s="50" t="s">
        <v>23</v>
      </c>
      <c r="C19" s="51"/>
      <c r="D19" s="52"/>
      <c r="E19" s="59" t="s">
        <v>14</v>
      </c>
      <c r="F19" s="60"/>
      <c r="G19" s="60"/>
      <c r="H19" s="61"/>
      <c r="I19" s="65" t="s">
        <v>25</v>
      </c>
      <c r="J19" s="66"/>
      <c r="K19" s="66"/>
      <c r="L19" s="65" t="s">
        <v>26</v>
      </c>
      <c r="M19" s="66"/>
      <c r="N19" s="66"/>
      <c r="O19" s="65" t="s">
        <v>27</v>
      </c>
      <c r="P19" s="66"/>
      <c r="Q19" s="72"/>
      <c r="T19" s="49"/>
      <c r="U19" s="49"/>
      <c r="V19" s="49"/>
      <c r="W19" s="49"/>
      <c r="X19" s="49"/>
      <c r="Y19" s="49"/>
      <c r="Z19" s="49"/>
      <c r="AA19" s="49"/>
      <c r="AX19" s="4"/>
      <c r="AY19" s="4"/>
      <c r="AZ19" s="5"/>
      <c r="BA19" s="6"/>
    </row>
    <row r="20" spans="2:53" ht="16.5" customHeight="1" x14ac:dyDescent="0.25">
      <c r="B20" s="53"/>
      <c r="C20" s="54"/>
      <c r="D20" s="55"/>
      <c r="E20" s="62"/>
      <c r="F20" s="63"/>
      <c r="G20" s="63"/>
      <c r="H20" s="64"/>
      <c r="I20" s="73">
        <v>50</v>
      </c>
      <c r="J20" s="74"/>
      <c r="K20" s="74"/>
      <c r="L20" s="73">
        <v>51</v>
      </c>
      <c r="M20" s="74"/>
      <c r="N20" s="74"/>
      <c r="O20" s="73">
        <v>50.5</v>
      </c>
      <c r="P20" s="74"/>
      <c r="Q20" s="75"/>
      <c r="T20" s="49"/>
      <c r="U20" s="49"/>
      <c r="V20" s="49"/>
      <c r="W20" s="49"/>
      <c r="X20" s="49"/>
      <c r="Y20" s="49"/>
      <c r="Z20" s="49"/>
      <c r="AA20" s="49"/>
      <c r="AX20" s="4"/>
      <c r="AY20" s="4"/>
      <c r="AZ20" s="5"/>
      <c r="BA20" s="6"/>
    </row>
    <row r="21" spans="2:53" ht="16.5" customHeight="1" x14ac:dyDescent="0.25">
      <c r="B21" s="53"/>
      <c r="C21" s="54"/>
      <c r="D21" s="55"/>
      <c r="E21" s="76" t="s">
        <v>76</v>
      </c>
      <c r="F21" s="77"/>
      <c r="G21" s="77"/>
      <c r="H21" s="78"/>
      <c r="I21" s="79">
        <f>AVERAGE(I20:Q20)</f>
        <v>50.5</v>
      </c>
      <c r="J21" s="80"/>
      <c r="K21" s="80"/>
      <c r="L21" s="80"/>
      <c r="M21" s="80"/>
      <c r="N21" s="80"/>
      <c r="O21" s="80"/>
      <c r="P21" s="80"/>
      <c r="Q21" s="81"/>
      <c r="T21" s="49"/>
      <c r="U21" s="49"/>
      <c r="V21" s="49"/>
      <c r="W21" s="49"/>
      <c r="X21" s="49"/>
      <c r="Y21" s="49"/>
      <c r="Z21" s="49"/>
      <c r="AA21" s="49"/>
      <c r="AX21" s="4"/>
      <c r="AY21" s="4"/>
      <c r="AZ21" s="5"/>
      <c r="BA21" s="6"/>
    </row>
    <row r="22" spans="2:53" ht="16.5" customHeight="1" x14ac:dyDescent="0.25">
      <c r="B22" s="53"/>
      <c r="C22" s="54"/>
      <c r="D22" s="55"/>
      <c r="E22" s="85"/>
      <c r="F22" s="86"/>
      <c r="G22" s="86"/>
      <c r="H22" s="87"/>
      <c r="I22" s="88" t="s">
        <v>28</v>
      </c>
      <c r="J22" s="89"/>
      <c r="K22" s="89"/>
      <c r="L22" s="88" t="s">
        <v>29</v>
      </c>
      <c r="M22" s="89"/>
      <c r="N22" s="89"/>
      <c r="O22" s="88" t="s">
        <v>30</v>
      </c>
      <c r="P22" s="89"/>
      <c r="Q22" s="90"/>
      <c r="S22" s="3" t="e">
        <f>VLOOKUP(N23,#REF!,2,0)</f>
        <v>#REF!</v>
      </c>
      <c r="T22" s="49"/>
      <c r="U22" s="49"/>
      <c r="V22" s="49"/>
      <c r="W22" s="49"/>
      <c r="X22" s="49"/>
      <c r="Y22" s="49"/>
      <c r="Z22" s="49"/>
      <c r="AA22" s="49"/>
      <c r="AX22" s="4"/>
      <c r="AY22" s="4"/>
      <c r="AZ22" s="5"/>
      <c r="BA22" s="6"/>
    </row>
    <row r="23" spans="2:53" ht="16.5" customHeight="1" x14ac:dyDescent="0.25">
      <c r="B23" s="53"/>
      <c r="C23" s="54"/>
      <c r="D23" s="55"/>
      <c r="E23" s="31" t="s">
        <v>15</v>
      </c>
      <c r="F23" s="32"/>
      <c r="G23" s="32"/>
      <c r="H23" s="33"/>
      <c r="I23" s="91">
        <v>10</v>
      </c>
      <c r="J23" s="92"/>
      <c r="K23" s="92"/>
      <c r="L23" s="91">
        <v>10</v>
      </c>
      <c r="M23" s="92"/>
      <c r="N23" s="92"/>
      <c r="O23" s="91">
        <v>10</v>
      </c>
      <c r="P23" s="92"/>
      <c r="Q23" s="93"/>
      <c r="S23" s="3" t="e">
        <f>S22+1</f>
        <v>#REF!</v>
      </c>
      <c r="T23" s="49"/>
      <c r="U23" s="49"/>
      <c r="V23" s="49"/>
      <c r="W23" s="49"/>
      <c r="X23" s="49"/>
      <c r="Y23" s="49"/>
      <c r="Z23" s="49"/>
      <c r="AA23" s="49"/>
      <c r="AX23" s="4"/>
      <c r="AY23" s="4"/>
      <c r="AZ23" s="5"/>
      <c r="BA23" s="6"/>
    </row>
    <row r="24" spans="2:53" ht="16.5" customHeight="1" x14ac:dyDescent="0.25">
      <c r="B24" s="53"/>
      <c r="C24" s="54"/>
      <c r="D24" s="55"/>
      <c r="E24" s="31" t="s">
        <v>16</v>
      </c>
      <c r="F24" s="32"/>
      <c r="G24" s="32"/>
      <c r="H24" s="33"/>
      <c r="I24" s="73">
        <v>2.8</v>
      </c>
      <c r="J24" s="74"/>
      <c r="K24" s="74"/>
      <c r="L24" s="73">
        <v>2.7</v>
      </c>
      <c r="M24" s="74"/>
      <c r="N24" s="74"/>
      <c r="O24" s="73">
        <v>2.7</v>
      </c>
      <c r="P24" s="74"/>
      <c r="Q24" s="75"/>
      <c r="T24" s="3">
        <v>1</v>
      </c>
      <c r="U24" s="3">
        <v>2</v>
      </c>
      <c r="V24" s="3">
        <v>3</v>
      </c>
      <c r="W24" s="3">
        <v>4</v>
      </c>
      <c r="X24" s="3">
        <v>5</v>
      </c>
      <c r="Y24" s="3">
        <v>6</v>
      </c>
      <c r="AX24" s="4"/>
      <c r="AY24" s="4"/>
      <c r="AZ24" s="5"/>
      <c r="BA24" s="6"/>
    </row>
    <row r="25" spans="2:53" ht="16.5" customHeight="1" x14ac:dyDescent="0.25">
      <c r="B25" s="53"/>
      <c r="C25" s="54"/>
      <c r="D25" s="55"/>
      <c r="E25" s="31" t="s">
        <v>22</v>
      </c>
      <c r="F25" s="32"/>
      <c r="G25" s="32"/>
      <c r="H25" s="33"/>
      <c r="I25" s="82">
        <f>(10-I24)/10</f>
        <v>0.72</v>
      </c>
      <c r="J25" s="83"/>
      <c r="K25" s="83"/>
      <c r="L25" s="82">
        <f t="shared" ref="L25" si="0">(10-L24)/10</f>
        <v>0.73</v>
      </c>
      <c r="M25" s="83"/>
      <c r="N25" s="83"/>
      <c r="O25" s="82">
        <f t="shared" ref="O25" si="1">(10-O24)/10</f>
        <v>0.73</v>
      </c>
      <c r="P25" s="83"/>
      <c r="Q25" s="84"/>
      <c r="T25" s="3"/>
      <c r="U25" s="3"/>
      <c r="V25" s="3"/>
      <c r="W25" s="3"/>
      <c r="X25" s="3"/>
      <c r="Y25" s="3"/>
      <c r="AX25" s="4"/>
      <c r="AY25" s="4"/>
      <c r="AZ25" s="5"/>
      <c r="BA25" s="6"/>
    </row>
    <row r="26" spans="2:53" ht="16.5" customHeight="1" x14ac:dyDescent="0.25">
      <c r="B26" s="53"/>
      <c r="C26" s="54"/>
      <c r="D26" s="55"/>
      <c r="E26" s="76" t="s">
        <v>77</v>
      </c>
      <c r="F26" s="77"/>
      <c r="G26" s="77"/>
      <c r="H26" s="78"/>
      <c r="I26" s="94">
        <f>AVERAGE(I25:Q25)</f>
        <v>0.72666666666666657</v>
      </c>
      <c r="J26" s="95"/>
      <c r="K26" s="95"/>
      <c r="L26" s="95"/>
      <c r="M26" s="95"/>
      <c r="N26" s="95"/>
      <c r="O26" s="95"/>
      <c r="P26" s="95"/>
      <c r="Q26" s="96"/>
      <c r="T26" s="3"/>
      <c r="U26" s="3"/>
      <c r="V26" s="3"/>
      <c r="W26" s="3"/>
      <c r="X26" s="3"/>
      <c r="Y26" s="3"/>
      <c r="AX26" s="4"/>
      <c r="AY26" s="4"/>
      <c r="AZ26" s="5"/>
      <c r="BA26" s="6"/>
    </row>
    <row r="27" spans="2:53" ht="16.5" customHeight="1" x14ac:dyDescent="0.25">
      <c r="B27" s="53"/>
      <c r="C27" s="54"/>
      <c r="D27" s="55"/>
      <c r="E27" s="97" t="s">
        <v>24</v>
      </c>
      <c r="F27" s="98"/>
      <c r="G27" s="98"/>
      <c r="H27" s="99"/>
      <c r="I27" s="88" t="s">
        <v>21</v>
      </c>
      <c r="J27" s="89"/>
      <c r="K27" s="90"/>
      <c r="L27" s="88" t="s">
        <v>31</v>
      </c>
      <c r="M27" s="89"/>
      <c r="N27" s="90"/>
      <c r="O27" s="88" t="s">
        <v>6</v>
      </c>
      <c r="P27" s="89"/>
      <c r="Q27" s="90"/>
      <c r="T27" s="3"/>
      <c r="U27" s="3"/>
      <c r="V27" s="3"/>
      <c r="W27" s="3"/>
      <c r="X27" s="3"/>
      <c r="Y27" s="3"/>
      <c r="AX27" s="4"/>
      <c r="AY27" s="4"/>
      <c r="AZ27" s="5"/>
      <c r="BA27" s="6"/>
    </row>
    <row r="28" spans="2:53" ht="16.5" customHeight="1" x14ac:dyDescent="0.25">
      <c r="B28" s="53"/>
      <c r="C28" s="54"/>
      <c r="D28" s="55"/>
      <c r="E28" s="100"/>
      <c r="F28" s="101"/>
      <c r="G28" s="101"/>
      <c r="H28" s="102"/>
      <c r="I28" s="73">
        <v>60</v>
      </c>
      <c r="J28" s="74"/>
      <c r="K28" s="75"/>
      <c r="L28" s="73">
        <v>60</v>
      </c>
      <c r="M28" s="74"/>
      <c r="N28" s="75"/>
      <c r="O28" s="73" t="s">
        <v>6</v>
      </c>
      <c r="P28" s="74"/>
      <c r="Q28" s="75"/>
      <c r="T28" s="3"/>
      <c r="U28" s="3"/>
      <c r="V28" s="3"/>
      <c r="W28" s="3"/>
      <c r="X28" s="3"/>
      <c r="Y28" s="3"/>
      <c r="AX28" s="4"/>
      <c r="AY28" s="4"/>
      <c r="AZ28" s="5"/>
      <c r="BA28" s="6"/>
    </row>
    <row r="29" spans="2:53" ht="16.5" customHeight="1" x14ac:dyDescent="0.25">
      <c r="B29" s="56"/>
      <c r="C29" s="57"/>
      <c r="D29" s="58"/>
      <c r="E29" s="103" t="s">
        <v>32</v>
      </c>
      <c r="F29" s="104"/>
      <c r="G29" s="104"/>
      <c r="H29" s="105"/>
      <c r="I29" s="106">
        <f>AVERAGE(I28:N28)</f>
        <v>60</v>
      </c>
      <c r="J29" s="107"/>
      <c r="K29" s="107"/>
      <c r="L29" s="107"/>
      <c r="M29" s="107"/>
      <c r="N29" s="108"/>
      <c r="O29" s="73" t="s">
        <v>6</v>
      </c>
      <c r="P29" s="74"/>
      <c r="Q29" s="75"/>
      <c r="T29" s="3"/>
      <c r="U29" s="3"/>
      <c r="V29" s="3"/>
      <c r="W29" s="3"/>
      <c r="X29" s="3"/>
      <c r="Y29" s="3"/>
      <c r="AX29" s="4"/>
      <c r="AY29" s="4"/>
      <c r="AZ29" s="5"/>
      <c r="BA29" s="6"/>
    </row>
    <row r="30" spans="2:53" ht="16.5" customHeight="1" x14ac:dyDescent="0.25">
      <c r="B30" s="34"/>
      <c r="C30" s="35"/>
      <c r="D30" s="35"/>
      <c r="E30" s="35"/>
      <c r="F30" s="35"/>
      <c r="G30" s="35"/>
      <c r="H30" s="35"/>
      <c r="I30" s="36"/>
      <c r="J30" s="36"/>
      <c r="K30" s="36"/>
      <c r="L30" s="36"/>
      <c r="M30" s="36"/>
      <c r="N30" s="36"/>
      <c r="O30" s="36"/>
      <c r="P30" s="36"/>
      <c r="Q30" s="37"/>
      <c r="T30" s="3"/>
      <c r="U30" s="3"/>
      <c r="V30" s="3"/>
      <c r="W30" s="3"/>
      <c r="X30" s="3"/>
      <c r="Y30" s="3"/>
      <c r="AX30" s="4"/>
      <c r="AY30" s="4"/>
      <c r="AZ30" s="5"/>
      <c r="BA30" s="6"/>
    </row>
    <row r="31" spans="2:53" s="2" customFormat="1" ht="16.5" customHeight="1" x14ac:dyDescent="0.25">
      <c r="B31" s="50" t="s">
        <v>33</v>
      </c>
      <c r="C31" s="51"/>
      <c r="D31" s="52"/>
      <c r="E31" s="59" t="s">
        <v>14</v>
      </c>
      <c r="F31" s="60"/>
      <c r="G31" s="60"/>
      <c r="H31" s="61"/>
      <c r="I31" s="65" t="s">
        <v>25</v>
      </c>
      <c r="J31" s="66"/>
      <c r="K31" s="72"/>
      <c r="L31" s="65" t="s">
        <v>26</v>
      </c>
      <c r="M31" s="66"/>
      <c r="N31" s="72"/>
      <c r="O31" s="65" t="s">
        <v>27</v>
      </c>
      <c r="P31" s="66"/>
      <c r="Q31" s="72"/>
      <c r="T31" s="3"/>
      <c r="U31" s="3"/>
      <c r="V31" s="3"/>
      <c r="W31" s="3"/>
      <c r="X31" s="3"/>
      <c r="Y31" s="3"/>
      <c r="Z31" s="1"/>
      <c r="AA31" s="1"/>
      <c r="AX31" s="4"/>
      <c r="AY31" s="4"/>
      <c r="AZ31" s="5"/>
      <c r="BA31" s="6"/>
    </row>
    <row r="32" spans="2:53" ht="16.5" customHeight="1" x14ac:dyDescent="0.25">
      <c r="B32" s="53"/>
      <c r="C32" s="54"/>
      <c r="D32" s="55"/>
      <c r="E32" s="62"/>
      <c r="F32" s="63"/>
      <c r="G32" s="63"/>
      <c r="H32" s="64"/>
      <c r="I32" s="73">
        <v>50</v>
      </c>
      <c r="J32" s="74"/>
      <c r="K32" s="75"/>
      <c r="L32" s="73">
        <v>51</v>
      </c>
      <c r="M32" s="74"/>
      <c r="N32" s="75"/>
      <c r="O32" s="73">
        <v>50</v>
      </c>
      <c r="P32" s="74"/>
      <c r="Q32" s="75"/>
      <c r="T32" s="3"/>
      <c r="U32" s="3"/>
      <c r="V32" s="3"/>
      <c r="W32" s="3"/>
      <c r="X32" s="3"/>
      <c r="Y32" s="3"/>
      <c r="AX32" s="4"/>
      <c r="AY32" s="4"/>
      <c r="AZ32" s="5"/>
      <c r="BA32" s="6"/>
    </row>
    <row r="33" spans="2:62" ht="16.5" customHeight="1" x14ac:dyDescent="0.25">
      <c r="B33" s="53"/>
      <c r="C33" s="54"/>
      <c r="D33" s="55"/>
      <c r="E33" s="76" t="s">
        <v>76</v>
      </c>
      <c r="F33" s="77"/>
      <c r="G33" s="77"/>
      <c r="H33" s="78"/>
      <c r="I33" s="156">
        <f>AVERAGE(I32:Q32)</f>
        <v>50.333333333333336</v>
      </c>
      <c r="J33" s="157"/>
      <c r="K33" s="157"/>
      <c r="L33" s="157"/>
      <c r="M33" s="157"/>
      <c r="N33" s="157"/>
      <c r="O33" s="157"/>
      <c r="P33" s="157"/>
      <c r="Q33" s="158"/>
      <c r="T33" s="3"/>
      <c r="U33" s="3"/>
      <c r="V33" s="3"/>
      <c r="W33" s="3"/>
      <c r="X33" s="3"/>
      <c r="Y33" s="3"/>
      <c r="AX33" s="4"/>
      <c r="AY33" s="4"/>
      <c r="AZ33" s="5"/>
      <c r="BA33" s="6"/>
    </row>
    <row r="34" spans="2:62" ht="16.5" customHeight="1" x14ac:dyDescent="0.25">
      <c r="B34" s="53"/>
      <c r="C34" s="54"/>
      <c r="D34" s="55"/>
      <c r="E34" s="76"/>
      <c r="F34" s="77"/>
      <c r="G34" s="77"/>
      <c r="H34" s="78"/>
      <c r="I34" s="88" t="s">
        <v>28</v>
      </c>
      <c r="J34" s="89"/>
      <c r="K34" s="90"/>
      <c r="L34" s="88" t="s">
        <v>29</v>
      </c>
      <c r="M34" s="89"/>
      <c r="N34" s="90"/>
      <c r="O34" s="88" t="s">
        <v>30</v>
      </c>
      <c r="P34" s="89"/>
      <c r="Q34" s="90"/>
      <c r="S34" s="3" t="e">
        <f>VLOOKUP(N35,#REF!,2,0)</f>
        <v>#REF!</v>
      </c>
      <c r="T34" s="3"/>
      <c r="U34" s="3"/>
      <c r="V34" s="3"/>
      <c r="W34" s="3"/>
      <c r="X34" s="3"/>
      <c r="Y34" s="3"/>
      <c r="AX34" s="4"/>
      <c r="AY34" s="4"/>
      <c r="AZ34" s="5"/>
      <c r="BA34" s="6"/>
    </row>
    <row r="35" spans="2:62" ht="16.5" customHeight="1" x14ac:dyDescent="0.25">
      <c r="B35" s="53"/>
      <c r="C35" s="54"/>
      <c r="D35" s="55"/>
      <c r="E35" s="31" t="s">
        <v>15</v>
      </c>
      <c r="F35" s="32"/>
      <c r="G35" s="32"/>
      <c r="H35" s="33"/>
      <c r="I35" s="91">
        <v>10</v>
      </c>
      <c r="J35" s="92"/>
      <c r="K35" s="93"/>
      <c r="L35" s="91">
        <v>10</v>
      </c>
      <c r="M35" s="92"/>
      <c r="N35" s="93"/>
      <c r="O35" s="91">
        <v>10</v>
      </c>
      <c r="P35" s="92"/>
      <c r="Q35" s="93"/>
      <c r="S35" s="3" t="e">
        <f>S34+1</f>
        <v>#REF!</v>
      </c>
      <c r="T35" s="3"/>
      <c r="U35" s="3"/>
      <c r="V35" s="3"/>
      <c r="W35" s="3"/>
      <c r="X35" s="3"/>
      <c r="Y35" s="3"/>
      <c r="AX35" s="4"/>
      <c r="AY35" s="4"/>
      <c r="AZ35" s="5"/>
      <c r="BA35" s="6"/>
    </row>
    <row r="36" spans="2:62" ht="16.5" customHeight="1" x14ac:dyDescent="0.25">
      <c r="B36" s="53"/>
      <c r="C36" s="54"/>
      <c r="D36" s="55"/>
      <c r="E36" s="31" t="s">
        <v>16</v>
      </c>
      <c r="F36" s="32"/>
      <c r="G36" s="32"/>
      <c r="H36" s="33"/>
      <c r="I36" s="73">
        <v>2.8</v>
      </c>
      <c r="J36" s="74"/>
      <c r="K36" s="75"/>
      <c r="L36" s="73">
        <v>2.6</v>
      </c>
      <c r="M36" s="74"/>
      <c r="N36" s="75"/>
      <c r="O36" s="73">
        <v>2.7</v>
      </c>
      <c r="P36" s="74"/>
      <c r="Q36" s="75"/>
      <c r="T36" s="3">
        <v>1</v>
      </c>
      <c r="U36" s="3">
        <v>2</v>
      </c>
      <c r="V36" s="3">
        <v>3</v>
      </c>
      <c r="W36" s="3">
        <v>4</v>
      </c>
      <c r="X36" s="3">
        <v>5</v>
      </c>
      <c r="Y36" s="3">
        <v>6</v>
      </c>
      <c r="AX36" s="4"/>
      <c r="AY36" s="4"/>
      <c r="AZ36" s="5"/>
      <c r="BA36" s="6"/>
    </row>
    <row r="37" spans="2:62" ht="16.5" customHeight="1" x14ac:dyDescent="0.25">
      <c r="B37" s="53"/>
      <c r="C37" s="54"/>
      <c r="D37" s="55"/>
      <c r="E37" s="31" t="s">
        <v>22</v>
      </c>
      <c r="F37" s="32"/>
      <c r="G37" s="32"/>
      <c r="H37" s="33"/>
      <c r="I37" s="82">
        <f>(10-I36)/10</f>
        <v>0.72</v>
      </c>
      <c r="J37" s="83"/>
      <c r="K37" s="84"/>
      <c r="L37" s="82">
        <f t="shared" ref="L37" si="2">(10-L36)/10</f>
        <v>0.74</v>
      </c>
      <c r="M37" s="83"/>
      <c r="N37" s="84"/>
      <c r="O37" s="82">
        <f t="shared" ref="O37" si="3">(10-O36)/10</f>
        <v>0.73</v>
      </c>
      <c r="P37" s="83"/>
      <c r="Q37" s="84"/>
      <c r="T37" s="3"/>
      <c r="U37" s="3"/>
      <c r="V37" s="3"/>
      <c r="W37" s="3"/>
      <c r="X37" s="3"/>
      <c r="Y37" s="3"/>
      <c r="AX37" s="4"/>
      <c r="AY37" s="4"/>
      <c r="AZ37" s="5"/>
      <c r="BA37" s="6"/>
    </row>
    <row r="38" spans="2:62" ht="16.5" customHeight="1" x14ac:dyDescent="0.25">
      <c r="B38" s="53"/>
      <c r="C38" s="54"/>
      <c r="D38" s="55"/>
      <c r="E38" s="76" t="s">
        <v>77</v>
      </c>
      <c r="F38" s="77"/>
      <c r="G38" s="77"/>
      <c r="H38" s="78"/>
      <c r="I38" s="94">
        <f>AVERAGE(I37:Q37)</f>
        <v>0.73</v>
      </c>
      <c r="J38" s="95"/>
      <c r="K38" s="95"/>
      <c r="L38" s="95"/>
      <c r="M38" s="95"/>
      <c r="N38" s="95"/>
      <c r="O38" s="95"/>
      <c r="P38" s="95"/>
      <c r="Q38" s="96"/>
      <c r="T38" s="3"/>
      <c r="U38" s="3"/>
      <c r="V38" s="3"/>
      <c r="W38" s="3"/>
      <c r="X38" s="3"/>
      <c r="Y38" s="3"/>
      <c r="AX38" s="4"/>
      <c r="AY38" s="4"/>
      <c r="AZ38" s="5"/>
      <c r="BA38" s="6"/>
    </row>
    <row r="39" spans="2:62" ht="16.5" customHeight="1" x14ac:dyDescent="0.25">
      <c r="B39" s="53"/>
      <c r="C39" s="54"/>
      <c r="D39" s="55"/>
      <c r="E39" s="97" t="s">
        <v>24</v>
      </c>
      <c r="F39" s="98"/>
      <c r="G39" s="98"/>
      <c r="H39" s="99"/>
      <c r="I39" s="88" t="s">
        <v>21</v>
      </c>
      <c r="J39" s="89"/>
      <c r="K39" s="90"/>
      <c r="L39" s="88" t="s">
        <v>31</v>
      </c>
      <c r="M39" s="89"/>
      <c r="N39" s="90"/>
      <c r="O39" s="88" t="s">
        <v>6</v>
      </c>
      <c r="P39" s="89"/>
      <c r="Q39" s="90"/>
      <c r="T39" s="3"/>
      <c r="U39" s="3"/>
      <c r="V39" s="3"/>
      <c r="W39" s="3"/>
      <c r="X39" s="3"/>
      <c r="Y39" s="3"/>
      <c r="AX39" s="4"/>
      <c r="AY39" s="4"/>
      <c r="AZ39" s="5"/>
      <c r="BA39" s="6"/>
    </row>
    <row r="40" spans="2:62" ht="16.5" customHeight="1" x14ac:dyDescent="0.25">
      <c r="B40" s="53"/>
      <c r="C40" s="54"/>
      <c r="D40" s="55"/>
      <c r="E40" s="100"/>
      <c r="F40" s="101"/>
      <c r="G40" s="101"/>
      <c r="H40" s="102"/>
      <c r="I40" s="73">
        <v>60</v>
      </c>
      <c r="J40" s="74"/>
      <c r="K40" s="75"/>
      <c r="L40" s="73">
        <v>60</v>
      </c>
      <c r="M40" s="74"/>
      <c r="N40" s="75"/>
      <c r="O40" s="73" t="s">
        <v>6</v>
      </c>
      <c r="P40" s="74"/>
      <c r="Q40" s="75"/>
      <c r="T40" s="3"/>
      <c r="U40" s="3"/>
      <c r="V40" s="3"/>
      <c r="W40" s="3"/>
      <c r="X40" s="3"/>
      <c r="Y40" s="3"/>
      <c r="AX40" s="4"/>
      <c r="AY40" s="4">
        <v>135</v>
      </c>
      <c r="AZ40" s="5">
        <f>G53</f>
        <v>300</v>
      </c>
      <c r="BA40" s="6"/>
    </row>
    <row r="41" spans="2:62" ht="16.5" customHeight="1" x14ac:dyDescent="0.25">
      <c r="B41" s="56"/>
      <c r="C41" s="57"/>
      <c r="D41" s="58"/>
      <c r="E41" s="103" t="s">
        <v>32</v>
      </c>
      <c r="F41" s="104"/>
      <c r="G41" s="104"/>
      <c r="H41" s="105"/>
      <c r="I41" s="106">
        <f>AVERAGE(I40:N40)</f>
        <v>60</v>
      </c>
      <c r="J41" s="107"/>
      <c r="K41" s="107"/>
      <c r="L41" s="107"/>
      <c r="M41" s="107"/>
      <c r="N41" s="108"/>
      <c r="O41" s="73" t="s">
        <v>6</v>
      </c>
      <c r="P41" s="74"/>
      <c r="Q41" s="75"/>
      <c r="T41" s="3"/>
      <c r="U41" s="3"/>
      <c r="V41" s="3"/>
      <c r="W41" s="3"/>
      <c r="X41" s="3"/>
      <c r="Y41" s="3"/>
      <c r="AX41" s="4"/>
      <c r="AY41" s="4">
        <v>150</v>
      </c>
      <c r="AZ41" s="5">
        <f>G54</f>
        <v>450</v>
      </c>
      <c r="BA41" s="6"/>
    </row>
    <row r="42" spans="2:62" ht="31.5" customHeight="1" x14ac:dyDescent="0.25">
      <c r="B42" s="50" t="s">
        <v>68</v>
      </c>
      <c r="C42" s="51"/>
      <c r="D42" s="52"/>
      <c r="E42" s="144" t="s">
        <v>34</v>
      </c>
      <c r="F42" s="145"/>
      <c r="G42" s="145"/>
      <c r="H42" s="146"/>
      <c r="I42" s="88" t="s">
        <v>23</v>
      </c>
      <c r="J42" s="89"/>
      <c r="K42" s="90"/>
      <c r="L42" s="88" t="s">
        <v>33</v>
      </c>
      <c r="M42" s="89"/>
      <c r="N42" s="90"/>
      <c r="O42" s="88" t="s">
        <v>17</v>
      </c>
      <c r="P42" s="89"/>
      <c r="Q42" s="90"/>
      <c r="AY42" s="4">
        <v>175</v>
      </c>
      <c r="AZ42" s="5">
        <f>G55</f>
        <v>1000</v>
      </c>
    </row>
    <row r="43" spans="2:62" ht="16.5" customHeight="1" x14ac:dyDescent="0.25">
      <c r="B43" s="53"/>
      <c r="C43" s="54"/>
      <c r="D43" s="55"/>
      <c r="E43" s="149" t="s">
        <v>18</v>
      </c>
      <c r="F43" s="150"/>
      <c r="G43" s="150"/>
      <c r="H43" s="151"/>
      <c r="I43" s="8"/>
      <c r="J43" s="9"/>
      <c r="K43" s="10"/>
      <c r="L43" s="8"/>
      <c r="M43" s="9"/>
      <c r="N43" s="10"/>
      <c r="O43" s="8"/>
      <c r="P43" s="9"/>
      <c r="Q43" s="10"/>
    </row>
    <row r="44" spans="2:62" ht="16.5" customHeight="1" x14ac:dyDescent="0.25">
      <c r="B44" s="53"/>
      <c r="C44" s="54"/>
      <c r="D44" s="55"/>
      <c r="E44" s="152"/>
      <c r="F44" s="153"/>
      <c r="G44" s="153"/>
      <c r="H44" s="154"/>
      <c r="I44" s="11"/>
      <c r="J44" s="12"/>
      <c r="K44" s="13"/>
      <c r="L44" s="11"/>
      <c r="M44" s="12"/>
      <c r="N44" s="13"/>
      <c r="O44" s="11"/>
      <c r="P44" s="12"/>
      <c r="Q44" s="13"/>
      <c r="AY44" s="2"/>
      <c r="AZ44" s="2"/>
      <c r="BA44" s="2"/>
      <c r="BB44" s="2"/>
      <c r="BC44" s="2"/>
      <c r="BE44" s="1"/>
      <c r="BF44" s="1"/>
      <c r="BG44" s="1"/>
      <c r="BH44" s="1"/>
      <c r="BI44" s="1"/>
      <c r="BJ44" s="1"/>
    </row>
    <row r="45" spans="2:62" ht="16.5" customHeight="1" x14ac:dyDescent="0.25">
      <c r="B45" s="53"/>
      <c r="C45" s="54"/>
      <c r="D45" s="55"/>
      <c r="E45" s="149" t="s">
        <v>19</v>
      </c>
      <c r="F45" s="150"/>
      <c r="G45" s="150"/>
      <c r="H45" s="151"/>
      <c r="I45" s="8"/>
      <c r="J45" s="9"/>
      <c r="K45" s="10"/>
      <c r="L45" s="8"/>
      <c r="M45" s="9"/>
      <c r="N45" s="10"/>
      <c r="O45" s="8"/>
      <c r="P45" s="9"/>
      <c r="Q45" s="10"/>
      <c r="AY45" s="2"/>
      <c r="AZ45" s="2"/>
      <c r="BA45" s="2"/>
      <c r="BB45" s="2"/>
      <c r="BC45" s="2"/>
      <c r="BE45" s="1"/>
      <c r="BF45" s="1"/>
      <c r="BG45" s="1"/>
      <c r="BH45" s="1"/>
      <c r="BI45" s="1"/>
      <c r="BJ45" s="1"/>
    </row>
    <row r="46" spans="2:62" ht="17.25" customHeight="1" x14ac:dyDescent="0.25">
      <c r="B46" s="53"/>
      <c r="C46" s="54"/>
      <c r="D46" s="55"/>
      <c r="E46" s="152"/>
      <c r="F46" s="153"/>
      <c r="G46" s="153"/>
      <c r="H46" s="154"/>
      <c r="I46" s="11"/>
      <c r="J46" s="12"/>
      <c r="K46" s="13"/>
      <c r="L46" s="11"/>
      <c r="M46" s="12"/>
      <c r="N46" s="13"/>
      <c r="O46" s="11"/>
      <c r="P46" s="12"/>
      <c r="Q46" s="13"/>
      <c r="AY46" s="2"/>
      <c r="AZ46" s="2"/>
      <c r="BA46" s="2"/>
      <c r="BB46" s="2"/>
      <c r="BC46" s="2"/>
      <c r="BE46" s="1"/>
      <c r="BF46" s="1"/>
      <c r="BG46" s="1"/>
      <c r="BH46" s="1"/>
      <c r="BI46" s="1"/>
      <c r="BJ46" s="1"/>
    </row>
    <row r="47" spans="2:62" ht="17.25" customHeight="1" x14ac:dyDescent="0.25">
      <c r="B47" s="53"/>
      <c r="C47" s="54"/>
      <c r="D47" s="55"/>
      <c r="E47" s="149" t="s">
        <v>20</v>
      </c>
      <c r="F47" s="150"/>
      <c r="G47" s="150"/>
      <c r="H47" s="151"/>
      <c r="I47" s="8"/>
      <c r="J47" s="9"/>
      <c r="K47" s="10"/>
      <c r="L47" s="8"/>
      <c r="M47" s="9"/>
      <c r="N47" s="10"/>
      <c r="O47" s="8"/>
      <c r="P47" s="9"/>
      <c r="Q47" s="10"/>
      <c r="AY47" s="2"/>
      <c r="AZ47" s="2"/>
      <c r="BA47" s="2"/>
      <c r="BB47" s="2"/>
      <c r="BC47" s="2"/>
      <c r="BE47" s="1"/>
      <c r="BF47" s="1"/>
      <c r="BG47" s="1"/>
      <c r="BH47" s="1"/>
      <c r="BI47" s="1"/>
      <c r="BJ47" s="1"/>
    </row>
    <row r="48" spans="2:62" ht="17.25" customHeight="1" x14ac:dyDescent="0.25">
      <c r="B48" s="53"/>
      <c r="C48" s="54"/>
      <c r="D48" s="55"/>
      <c r="E48" s="152"/>
      <c r="F48" s="153"/>
      <c r="G48" s="153"/>
      <c r="H48" s="154"/>
      <c r="I48" s="11"/>
      <c r="J48" s="12"/>
      <c r="K48" s="13"/>
      <c r="L48" s="11"/>
      <c r="M48" s="12"/>
      <c r="N48" s="13"/>
      <c r="O48" s="11"/>
      <c r="P48" s="12"/>
      <c r="Q48" s="13"/>
      <c r="AY48" s="2"/>
      <c r="AZ48" s="2"/>
      <c r="BA48" s="2"/>
      <c r="BB48" s="2"/>
      <c r="BC48" s="2"/>
      <c r="BE48" s="1"/>
      <c r="BF48" s="1"/>
      <c r="BG48" s="1"/>
      <c r="BH48" s="1"/>
      <c r="BI48" s="1"/>
      <c r="BJ48" s="1"/>
    </row>
    <row r="49" spans="2:62" ht="30" customHeight="1" x14ac:dyDescent="0.25">
      <c r="B49" s="136" t="s">
        <v>8</v>
      </c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8"/>
      <c r="AY49" s="2"/>
      <c r="AZ49" s="2"/>
      <c r="BA49" s="2"/>
      <c r="BB49" s="2"/>
      <c r="BC49" s="2"/>
      <c r="BE49" s="1"/>
      <c r="BF49" s="1"/>
      <c r="BG49" s="1"/>
      <c r="BH49" s="1"/>
      <c r="BI49" s="1"/>
      <c r="BJ49" s="1"/>
    </row>
    <row r="50" spans="2:62" ht="17.25" customHeight="1" x14ac:dyDescent="0.25">
      <c r="B50" s="112" t="s">
        <v>35</v>
      </c>
      <c r="C50" s="113"/>
      <c r="D50" s="113"/>
      <c r="E50" s="114"/>
      <c r="F50" s="14" t="s">
        <v>36</v>
      </c>
      <c r="G50" s="147">
        <f>I21</f>
        <v>50.5</v>
      </c>
      <c r="H50" s="148"/>
      <c r="I50" s="15" t="s">
        <v>37</v>
      </c>
      <c r="J50" s="132" t="s">
        <v>69</v>
      </c>
      <c r="K50" s="133"/>
      <c r="L50" s="133"/>
      <c r="M50" s="133"/>
      <c r="N50" s="133"/>
      <c r="O50" s="133"/>
      <c r="P50" s="133"/>
      <c r="Q50" s="155"/>
      <c r="AY50" s="2"/>
      <c r="AZ50" s="2"/>
      <c r="BA50" s="2"/>
      <c r="BB50" s="2"/>
      <c r="BC50" s="2"/>
      <c r="BE50" s="1"/>
      <c r="BF50" s="1"/>
      <c r="BG50" s="1"/>
      <c r="BH50" s="1"/>
      <c r="BI50" s="1"/>
      <c r="BJ50" s="1"/>
    </row>
    <row r="51" spans="2:62" ht="17.25" customHeight="1" x14ac:dyDescent="0.25">
      <c r="B51" s="112" t="s">
        <v>38</v>
      </c>
      <c r="C51" s="113"/>
      <c r="D51" s="113"/>
      <c r="E51" s="114"/>
      <c r="F51" s="14" t="s">
        <v>39</v>
      </c>
      <c r="G51" s="147">
        <f>IF(SUM(I28:N28)=0,"",AVERAGE(I28:N28))</f>
        <v>60</v>
      </c>
      <c r="H51" s="148"/>
      <c r="I51" s="15" t="s">
        <v>40</v>
      </c>
      <c r="J51" s="2"/>
      <c r="K51" s="2"/>
      <c r="L51" s="2"/>
      <c r="M51" s="2"/>
      <c r="N51" s="2"/>
      <c r="O51" s="2"/>
      <c r="P51" s="2"/>
      <c r="Q51" s="7"/>
      <c r="AY51" s="2"/>
      <c r="AZ51" s="19" t="s">
        <v>54</v>
      </c>
      <c r="BA51" s="20">
        <f>M55</f>
        <v>38.172900479230471</v>
      </c>
      <c r="BB51"/>
      <c r="BC51"/>
      <c r="BD51"/>
      <c r="BE51" s="1"/>
      <c r="BF51" s="1"/>
      <c r="BG51" s="1"/>
      <c r="BH51" s="1"/>
      <c r="BI51" s="1"/>
      <c r="BJ51" s="1"/>
    </row>
    <row r="52" spans="2:62" ht="17.25" customHeight="1" x14ac:dyDescent="0.25">
      <c r="B52" s="169" t="s">
        <v>41</v>
      </c>
      <c r="C52" s="170"/>
      <c r="D52" s="170"/>
      <c r="E52" s="171"/>
      <c r="F52" s="9"/>
      <c r="G52" s="172"/>
      <c r="H52" s="173"/>
      <c r="I52" s="124" t="s">
        <v>42</v>
      </c>
      <c r="J52" s="2"/>
      <c r="K52" s="2"/>
      <c r="L52" s="2"/>
      <c r="M52" s="2"/>
      <c r="N52" s="2"/>
      <c r="O52" s="2"/>
      <c r="P52" s="2"/>
      <c r="Q52" s="7"/>
      <c r="AY52" s="2"/>
      <c r="AZ52" s="19" t="s">
        <v>55</v>
      </c>
      <c r="BA52" s="20">
        <f>M54</f>
        <v>0.22251642616938969</v>
      </c>
      <c r="BB52"/>
      <c r="BC52"/>
      <c r="BD52"/>
      <c r="BE52" s="1"/>
      <c r="BF52" s="1"/>
      <c r="BG52" s="1"/>
      <c r="BH52" s="1"/>
      <c r="BI52" s="1"/>
      <c r="BJ52" s="1"/>
    </row>
    <row r="53" spans="2:62" ht="17.25" customHeight="1" x14ac:dyDescent="0.25">
      <c r="B53" s="22" t="s">
        <v>75</v>
      </c>
      <c r="C53" s="47">
        <v>135</v>
      </c>
      <c r="D53" s="47" t="s">
        <v>65</v>
      </c>
      <c r="E53" s="23" t="s">
        <v>64</v>
      </c>
      <c r="F53" s="127" t="s">
        <v>43</v>
      </c>
      <c r="G53" s="129">
        <v>300</v>
      </c>
      <c r="H53" s="130"/>
      <c r="I53" s="125"/>
      <c r="J53" s="2"/>
      <c r="K53" s="2">
        <f>LN(C53)</f>
        <v>4.9052747784384296</v>
      </c>
      <c r="L53" s="2">
        <f>LN(G53)</f>
        <v>5.7037824746562009</v>
      </c>
      <c r="M53" s="2">
        <f>RSQ(K53:K55,L53:L55)</f>
        <v>0.99654944590401839</v>
      </c>
      <c r="N53" s="2"/>
      <c r="O53" s="2"/>
      <c r="P53" s="2"/>
      <c r="Q53" s="7"/>
      <c r="AY53" s="2"/>
      <c r="AZ53"/>
      <c r="BA53"/>
      <c r="BB53"/>
      <c r="BC53"/>
      <c r="BD53"/>
      <c r="BE53" s="1"/>
      <c r="BF53" s="1"/>
      <c r="BG53" s="1"/>
      <c r="BH53" s="1"/>
      <c r="BI53" s="1"/>
      <c r="BJ53" s="1"/>
    </row>
    <row r="54" spans="2:62" ht="17.25" customHeight="1" x14ac:dyDescent="0.25">
      <c r="B54" s="22" t="s">
        <v>75</v>
      </c>
      <c r="C54" s="47">
        <v>150</v>
      </c>
      <c r="D54" s="48" t="s">
        <v>65</v>
      </c>
      <c r="E54" s="23" t="s">
        <v>66</v>
      </c>
      <c r="F54" s="127"/>
      <c r="G54" s="129">
        <v>450</v>
      </c>
      <c r="H54" s="130"/>
      <c r="I54" s="125"/>
      <c r="J54" s="2"/>
      <c r="K54" s="2">
        <f>LN(C54)</f>
        <v>5.0106352940962555</v>
      </c>
      <c r="L54" s="2">
        <f>LN(G54)</f>
        <v>6.1092475827643655</v>
      </c>
      <c r="M54" s="2">
        <f>SLOPE(K53:K55,L53:L55)</f>
        <v>0.22251642616938969</v>
      </c>
      <c r="N54" s="2"/>
      <c r="O54" s="2"/>
      <c r="P54" s="2"/>
      <c r="Q54" s="7"/>
      <c r="AY54" s="109" t="s">
        <v>56</v>
      </c>
      <c r="AZ54" s="110"/>
      <c r="BA54" s="110"/>
      <c r="BB54" s="111"/>
      <c r="BC54"/>
      <c r="BE54" s="1"/>
      <c r="BF54" s="1"/>
      <c r="BG54" s="1"/>
      <c r="BH54" s="1"/>
      <c r="BI54" s="1"/>
      <c r="BJ54" s="1"/>
    </row>
    <row r="55" spans="2:62" ht="17.25" customHeight="1" x14ac:dyDescent="0.25">
      <c r="B55" s="22" t="s">
        <v>75</v>
      </c>
      <c r="C55" s="16">
        <v>177</v>
      </c>
      <c r="D55" s="48" t="s">
        <v>65</v>
      </c>
      <c r="E55" s="23" t="s">
        <v>67</v>
      </c>
      <c r="F55" s="128"/>
      <c r="G55" s="118">
        <v>1000</v>
      </c>
      <c r="H55" s="119"/>
      <c r="I55" s="126"/>
      <c r="J55" s="2"/>
      <c r="K55" s="2">
        <f>LN(C55)</f>
        <v>5.1761497325738288</v>
      </c>
      <c r="L55" s="2">
        <f>LN(G55)</f>
        <v>6.9077552789821368</v>
      </c>
      <c r="M55" s="2">
        <f>EXP(INTERCEPT(K53:K55,L53:L55))</f>
        <v>38.172900479230471</v>
      </c>
      <c r="N55" s="2"/>
      <c r="O55" s="2"/>
      <c r="P55" s="2"/>
      <c r="Q55" s="7"/>
      <c r="AY55" s="109" t="s">
        <v>57</v>
      </c>
      <c r="AZ55" s="110"/>
      <c r="BA55" s="110"/>
      <c r="BB55" s="111"/>
      <c r="BC55" s="21"/>
      <c r="BE55" s="1"/>
      <c r="BF55" s="1"/>
      <c r="BG55" s="1"/>
      <c r="BH55" s="1"/>
      <c r="BI55" s="1"/>
      <c r="BJ55" s="1"/>
    </row>
    <row r="56" spans="2:62" ht="17.25" customHeight="1" x14ac:dyDescent="0.25">
      <c r="B56" s="112" t="s">
        <v>44</v>
      </c>
      <c r="C56" s="113"/>
      <c r="D56" s="113"/>
      <c r="E56" s="114"/>
      <c r="F56" s="14" t="s">
        <v>39</v>
      </c>
      <c r="G56" s="120"/>
      <c r="H56" s="121"/>
      <c r="I56" s="15" t="s">
        <v>45</v>
      </c>
      <c r="J56" s="2"/>
      <c r="K56" s="2"/>
      <c r="L56" s="2"/>
      <c r="M56" s="2"/>
      <c r="O56" s="2"/>
      <c r="P56" s="2"/>
      <c r="Q56" s="7"/>
      <c r="AY56" s="24" t="s">
        <v>58</v>
      </c>
      <c r="AZ56" s="24">
        <v>270</v>
      </c>
      <c r="BA56" s="24">
        <v>330</v>
      </c>
      <c r="BB56" s="24">
        <v>390</v>
      </c>
      <c r="BC56" s="21"/>
      <c r="BE56" s="1"/>
      <c r="BF56" s="1"/>
      <c r="BG56" s="1"/>
      <c r="BH56" s="1"/>
      <c r="BI56" s="1"/>
      <c r="BJ56" s="1"/>
    </row>
    <row r="57" spans="2:62" ht="17.25" customHeight="1" x14ac:dyDescent="0.25">
      <c r="B57" s="112" t="s">
        <v>78</v>
      </c>
      <c r="C57" s="113"/>
      <c r="D57" s="113"/>
      <c r="E57" s="114"/>
      <c r="F57" s="14" t="s">
        <v>46</v>
      </c>
      <c r="G57" s="122">
        <f>I26</f>
        <v>0.72666666666666657</v>
      </c>
      <c r="H57" s="123"/>
      <c r="I57" s="15" t="s">
        <v>47</v>
      </c>
      <c r="J57" s="2"/>
      <c r="K57" s="2"/>
      <c r="L57" s="2"/>
      <c r="M57" s="2"/>
      <c r="N57" s="2"/>
      <c r="O57" s="2"/>
      <c r="P57" s="2"/>
      <c r="Q57" s="7"/>
      <c r="AY57" s="24" t="s">
        <v>59</v>
      </c>
      <c r="AZ57" s="24">
        <v>550</v>
      </c>
      <c r="BA57" s="24">
        <v>650</v>
      </c>
      <c r="BB57" s="24">
        <v>750</v>
      </c>
      <c r="BC57" s="21"/>
      <c r="BE57" s="1"/>
      <c r="BF57" s="1"/>
      <c r="BG57" s="1"/>
      <c r="BH57" s="1"/>
      <c r="BI57" s="1"/>
      <c r="BJ57" s="1"/>
    </row>
    <row r="58" spans="2:62" ht="24" customHeight="1" x14ac:dyDescent="0.25">
      <c r="B58" s="112" t="s">
        <v>48</v>
      </c>
      <c r="C58" s="113"/>
      <c r="D58" s="113"/>
      <c r="E58" s="114"/>
      <c r="F58" s="166"/>
      <c r="G58" s="167"/>
      <c r="H58" s="167"/>
      <c r="I58" s="168"/>
      <c r="J58" s="2"/>
      <c r="K58" s="2"/>
      <c r="L58" s="2"/>
      <c r="M58" s="2"/>
      <c r="N58" s="2"/>
      <c r="O58" s="2"/>
      <c r="P58" s="2"/>
      <c r="Q58" s="7"/>
      <c r="AY58" s="109" t="s">
        <v>60</v>
      </c>
      <c r="AZ58" s="110"/>
      <c r="BA58" s="110"/>
      <c r="BB58" s="111"/>
      <c r="BC58"/>
      <c r="BE58" s="1"/>
      <c r="BF58" s="1"/>
      <c r="BG58" s="1"/>
      <c r="BH58" s="1"/>
      <c r="BI58" s="1"/>
      <c r="BJ58" s="1"/>
    </row>
    <row r="59" spans="2:62" ht="17.25" customHeight="1" x14ac:dyDescent="0.25">
      <c r="B59" s="112" t="s">
        <v>49</v>
      </c>
      <c r="C59" s="113"/>
      <c r="D59" s="113"/>
      <c r="E59" s="114"/>
      <c r="F59" s="17" t="s">
        <v>46</v>
      </c>
      <c r="G59" s="28" t="str">
        <f>IF(SUM(H45:H47)=0,"",AVERAGE(H45:H47))</f>
        <v/>
      </c>
      <c r="H59" s="29"/>
      <c r="I59" s="18" t="s">
        <v>50</v>
      </c>
      <c r="J59" s="2"/>
      <c r="K59" s="2"/>
      <c r="L59" s="2"/>
      <c r="M59" s="2"/>
      <c r="N59" s="2"/>
      <c r="O59" s="2"/>
      <c r="P59" s="2"/>
      <c r="Q59" s="7"/>
      <c r="AY59" s="109" t="s">
        <v>61</v>
      </c>
      <c r="AZ59" s="110"/>
      <c r="BA59" s="110"/>
      <c r="BB59" s="111"/>
      <c r="BC59"/>
      <c r="BE59" s="1"/>
      <c r="BF59" s="1"/>
      <c r="BG59" s="1"/>
      <c r="BH59" s="1"/>
      <c r="BI59" s="1"/>
      <c r="BJ59" s="1"/>
    </row>
    <row r="60" spans="2:62" ht="17.25" customHeight="1" x14ac:dyDescent="0.25">
      <c r="B60" s="112" t="s">
        <v>51</v>
      </c>
      <c r="C60" s="113"/>
      <c r="D60" s="113"/>
      <c r="E60" s="114"/>
      <c r="F60" s="14" t="s">
        <v>46</v>
      </c>
      <c r="G60" s="28" t="str">
        <f>IF(SUM(F36:H36)=0,"",IF(G50="","",100*(AVERAGE(F36:H36)/G50)))</f>
        <v/>
      </c>
      <c r="H60" s="29"/>
      <c r="I60" s="15" t="s">
        <v>37</v>
      </c>
      <c r="J60" s="115" t="s">
        <v>72</v>
      </c>
      <c r="K60" s="116"/>
      <c r="L60" s="116"/>
      <c r="M60" s="116"/>
      <c r="N60" s="116"/>
      <c r="O60" s="116"/>
      <c r="P60" s="116"/>
      <c r="Q60" s="117"/>
      <c r="AY60" s="24" t="s">
        <v>62</v>
      </c>
      <c r="AZ60" s="24">
        <f>ROUND(POWER(AZ56,BA52)*BA51,1)</f>
        <v>132.69999999999999</v>
      </c>
      <c r="BA60" s="24">
        <f>ROUND(POWER(BA56,BA52)*BA51,1)</f>
        <v>138.69999999999999</v>
      </c>
      <c r="BB60" s="27">
        <f>ROUND(POWER(BB56,BA52)*BA51,1)</f>
        <v>144</v>
      </c>
      <c r="BC60"/>
      <c r="BE60" s="1"/>
      <c r="BF60" s="1"/>
      <c r="BG60" s="1"/>
      <c r="BH60" s="1"/>
      <c r="BI60" s="1"/>
      <c r="BJ60" s="1"/>
    </row>
    <row r="61" spans="2:62" ht="17.25" customHeight="1" x14ac:dyDescent="0.25">
      <c r="B61" s="112" t="s">
        <v>52</v>
      </c>
      <c r="C61" s="113"/>
      <c r="D61" s="113"/>
      <c r="E61" s="114"/>
      <c r="F61" s="14" t="s">
        <v>39</v>
      </c>
      <c r="G61" s="28" t="str">
        <f>IF(SUM(F39:G39)=0,"",IF(G51="","",AVERAGE(F39:G39)-G51))</f>
        <v/>
      </c>
      <c r="H61" s="29"/>
      <c r="I61" s="15" t="s">
        <v>40</v>
      </c>
      <c r="J61" s="132" t="s">
        <v>70</v>
      </c>
      <c r="K61" s="133"/>
      <c r="L61" s="26" t="s">
        <v>73</v>
      </c>
      <c r="M61" s="25" t="s">
        <v>74</v>
      </c>
      <c r="N61" s="132" t="s">
        <v>71</v>
      </c>
      <c r="O61" s="133"/>
      <c r="P61" s="26" t="s">
        <v>73</v>
      </c>
      <c r="Q61" s="25" t="s">
        <v>74</v>
      </c>
      <c r="AY61" s="24" t="s">
        <v>63</v>
      </c>
      <c r="AZ61" s="24">
        <f>ROUND(POWER(AZ57,BA52)*BA51,1)</f>
        <v>155.4</v>
      </c>
      <c r="BA61" s="24">
        <f>ROUND(POWER(BA57,BA52)*BA51,1)</f>
        <v>161.30000000000001</v>
      </c>
      <c r="BB61" s="24">
        <f>ROUND(POWER(BB57,BA52)*BA51,1)</f>
        <v>166.5</v>
      </c>
      <c r="BE61" s="1"/>
      <c r="BF61" s="1"/>
      <c r="BG61" s="1"/>
      <c r="BH61" s="1"/>
      <c r="BI61" s="1"/>
      <c r="BJ61" s="1"/>
    </row>
    <row r="62" spans="2:62" ht="17.25" customHeight="1" x14ac:dyDescent="0.25">
      <c r="B62" s="112" t="s">
        <v>53</v>
      </c>
      <c r="C62" s="113"/>
      <c r="D62" s="113"/>
      <c r="E62" s="114"/>
      <c r="F62" s="17" t="s">
        <v>46</v>
      </c>
      <c r="G62" s="28" t="str">
        <f>IF(SUM(F43:H43)=0,"",IF(G57="","",100*(AVERAGE(F43:H43)/G57)))</f>
        <v/>
      </c>
      <c r="H62" s="29"/>
      <c r="I62" s="15" t="s">
        <v>47</v>
      </c>
      <c r="J62" s="134"/>
      <c r="K62" s="135"/>
      <c r="L62" s="26" t="str">
        <f>CONCATENATE(ROUND(BB60,0),"°C")</f>
        <v>144°C</v>
      </c>
      <c r="M62" s="25" t="str">
        <f>CONCATENATE(ROUND(AZ60,0),"°C")</f>
        <v>133°C</v>
      </c>
      <c r="N62" s="134"/>
      <c r="O62" s="135"/>
      <c r="P62" s="26" t="str">
        <f>CONCATENATE(ROUND(BB61,0),"°C")</f>
        <v>167°C</v>
      </c>
      <c r="Q62" s="25" t="str">
        <f>CONCATENATE(ROUND(AZ61,0),"°C")</f>
        <v>155°C</v>
      </c>
      <c r="AY62" s="2"/>
      <c r="AZ62" s="2"/>
      <c r="BA62" s="2"/>
      <c r="BB62" s="2"/>
      <c r="BC62" s="2"/>
      <c r="BE62" s="1"/>
      <c r="BF62" s="1"/>
      <c r="BG62" s="1"/>
      <c r="BH62" s="1"/>
      <c r="BI62" s="1"/>
      <c r="BJ62" s="1"/>
    </row>
    <row r="63" spans="2:62" ht="23.25" customHeight="1" x14ac:dyDescent="0.25">
      <c r="B63" s="136" t="s">
        <v>79</v>
      </c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8"/>
      <c r="AY63" s="2"/>
      <c r="AZ63" s="2"/>
      <c r="BA63" s="2"/>
      <c r="BB63" s="2"/>
      <c r="BC63" s="2"/>
      <c r="BE63" s="1"/>
      <c r="BF63" s="1"/>
      <c r="BG63" s="1"/>
      <c r="BH63" s="1"/>
      <c r="BI63" s="1"/>
      <c r="BJ63" s="1"/>
    </row>
    <row r="64" spans="2:62" ht="35.25" customHeight="1" x14ac:dyDescent="0.25">
      <c r="B64" s="42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43"/>
      <c r="AY64" s="2"/>
      <c r="AZ64" s="2"/>
      <c r="BA64" s="2"/>
      <c r="BB64" s="2"/>
      <c r="BC64" s="2"/>
      <c r="BE64" s="1"/>
      <c r="BF64" s="1"/>
      <c r="BG64" s="1"/>
      <c r="BH64" s="1"/>
      <c r="BI64" s="1"/>
      <c r="BJ64" s="1"/>
    </row>
    <row r="65" spans="1:62" ht="35" customHeight="1" x14ac:dyDescent="0.25">
      <c r="B65" s="44"/>
      <c r="C65" s="38"/>
      <c r="D65" s="139"/>
      <c r="E65" s="139"/>
      <c r="F65" s="139"/>
      <c r="G65" s="139"/>
      <c r="H65" s="139"/>
      <c r="I65" s="38"/>
      <c r="J65" s="139"/>
      <c r="K65" s="139"/>
      <c r="L65" s="139"/>
      <c r="M65" s="139"/>
      <c r="N65" s="139"/>
      <c r="O65" s="139"/>
      <c r="P65" s="38"/>
      <c r="Q65" s="45"/>
      <c r="AY65" s="2"/>
      <c r="AZ65" s="2"/>
      <c r="BA65" s="2"/>
      <c r="BB65" s="2"/>
      <c r="BC65" s="2"/>
      <c r="BE65" s="1"/>
      <c r="BF65" s="1"/>
      <c r="BG65" s="1"/>
      <c r="BH65" s="1"/>
      <c r="BI65" s="1"/>
      <c r="BJ65" s="1"/>
    </row>
    <row r="66" spans="1:62" ht="35" customHeight="1" x14ac:dyDescent="0.25">
      <c r="B66" s="44"/>
      <c r="C66" s="38"/>
      <c r="D66" s="140"/>
      <c r="E66" s="140"/>
      <c r="F66" s="140"/>
      <c r="G66" s="140"/>
      <c r="H66" s="140"/>
      <c r="I66" s="38"/>
      <c r="J66" s="140"/>
      <c r="K66" s="140"/>
      <c r="L66" s="140"/>
      <c r="M66" s="140"/>
      <c r="N66" s="140"/>
      <c r="O66" s="140"/>
      <c r="P66" s="38"/>
      <c r="Q66" s="45"/>
      <c r="AY66" s="2"/>
      <c r="AZ66" s="2"/>
      <c r="BA66" s="2"/>
      <c r="BB66" s="2"/>
      <c r="BC66" s="2"/>
      <c r="BE66" s="1"/>
      <c r="BF66" s="1"/>
      <c r="BG66" s="1"/>
      <c r="BH66" s="1"/>
      <c r="BI66" s="1"/>
      <c r="BJ66" s="1"/>
    </row>
    <row r="67" spans="1:62" ht="23" customHeight="1" x14ac:dyDescent="0.25">
      <c r="B67" s="44"/>
      <c r="C67" s="38"/>
      <c r="D67" s="141" t="s">
        <v>83</v>
      </c>
      <c r="E67" s="141"/>
      <c r="F67" s="141"/>
      <c r="G67" s="141"/>
      <c r="H67" s="141"/>
      <c r="I67" s="38"/>
      <c r="J67" s="139" t="s">
        <v>82</v>
      </c>
      <c r="K67" s="139"/>
      <c r="L67" s="139"/>
      <c r="M67" s="139"/>
      <c r="N67" s="139"/>
      <c r="O67" s="139"/>
      <c r="P67" s="38"/>
      <c r="Q67" s="45"/>
      <c r="AY67" s="2"/>
      <c r="AZ67" s="2"/>
      <c r="BA67" s="2"/>
      <c r="BB67" s="2"/>
      <c r="BC67" s="2"/>
      <c r="BE67" s="1"/>
      <c r="BF67" s="1"/>
      <c r="BG67" s="1"/>
      <c r="BH67" s="1"/>
      <c r="BI67" s="1"/>
      <c r="BJ67" s="1"/>
    </row>
    <row r="68" spans="1:62" ht="13" customHeight="1" x14ac:dyDescent="0.25">
      <c r="B68" s="39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1"/>
      <c r="AZ68" s="2"/>
      <c r="BA68" s="2"/>
      <c r="BB68" s="2"/>
      <c r="BC68" s="2"/>
      <c r="BE68" s="1"/>
      <c r="BF68" s="1"/>
      <c r="BG68" s="1"/>
      <c r="BH68" s="1"/>
      <c r="BI68" s="1"/>
      <c r="BJ68" s="1"/>
    </row>
    <row r="69" spans="1:62" ht="15" customHeight="1" x14ac:dyDescent="0.25"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AY69" s="2"/>
      <c r="AZ69" s="2"/>
      <c r="BA69" s="2"/>
      <c r="BB69" s="2"/>
      <c r="BC69" s="2"/>
      <c r="BE69" s="1"/>
      <c r="BF69" s="1"/>
      <c r="BG69" s="1"/>
      <c r="BH69" s="1"/>
      <c r="BI69" s="1"/>
      <c r="BJ69" s="1"/>
    </row>
    <row r="70" spans="1:62" ht="30" customHeight="1" x14ac:dyDescent="0.25">
      <c r="B70" s="142" t="s">
        <v>84</v>
      </c>
      <c r="C70" s="142"/>
      <c r="D70" s="159" t="s">
        <v>96</v>
      </c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AY70" s="2"/>
      <c r="AZ70" s="2"/>
      <c r="BA70" s="2"/>
      <c r="BB70" s="2"/>
      <c r="BC70" s="2"/>
      <c r="BE70" s="1"/>
      <c r="BF70" s="1"/>
      <c r="BG70" s="1"/>
      <c r="BH70" s="1"/>
      <c r="BI70" s="1"/>
      <c r="BJ70" s="1"/>
    </row>
    <row r="71" spans="1:62" ht="30" customHeight="1" x14ac:dyDescent="0.25">
      <c r="B71" s="143" t="s">
        <v>85</v>
      </c>
      <c r="C71" s="143"/>
      <c r="D71" s="160" t="s">
        <v>87</v>
      </c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AY71" s="2"/>
      <c r="AZ71" s="2"/>
      <c r="BA71" s="2"/>
      <c r="BB71" s="2"/>
      <c r="BC71" s="2"/>
      <c r="BE71" s="1"/>
      <c r="BF71" s="1"/>
      <c r="BG71" s="1"/>
      <c r="BH71" s="1"/>
      <c r="BI71" s="1"/>
      <c r="BJ71" s="1"/>
    </row>
    <row r="72" spans="1:62" ht="30" customHeight="1" x14ac:dyDescent="0.25">
      <c r="B72" s="143" t="s">
        <v>86</v>
      </c>
      <c r="C72" s="143"/>
      <c r="D72" s="160" t="s">
        <v>95</v>
      </c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</row>
    <row r="73" spans="1:62" ht="8.25" customHeight="1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</row>
  </sheetData>
  <sheetProtection selectLockedCells="1"/>
  <protectedRanges>
    <protectedRange sqref="F20:H21 F43:G48 F26:H26 F38:H38 F32:H34" name="Intervalo1_4"/>
    <protectedRange sqref="G53:G54" name="Intervalo1"/>
  </protectedRanges>
  <mergeCells count="147">
    <mergeCell ref="B7:I7"/>
    <mergeCell ref="J7:Q7"/>
    <mergeCell ref="B8:I8"/>
    <mergeCell ref="J8:Q8"/>
    <mergeCell ref="B9:Q9"/>
    <mergeCell ref="B10:Q10"/>
    <mergeCell ref="J65:O66"/>
    <mergeCell ref="D65:H66"/>
    <mergeCell ref="D70:Q70"/>
    <mergeCell ref="D71:Q71"/>
    <mergeCell ref="D72:Q72"/>
    <mergeCell ref="B3:H3"/>
    <mergeCell ref="B4:H4"/>
    <mergeCell ref="B5:H5"/>
    <mergeCell ref="B1:Q1"/>
    <mergeCell ref="I3:Q3"/>
    <mergeCell ref="I4:Q4"/>
    <mergeCell ref="I5:Q5"/>
    <mergeCell ref="B2:Q2"/>
    <mergeCell ref="B58:E58"/>
    <mergeCell ref="F58:I58"/>
    <mergeCell ref="B52:E52"/>
    <mergeCell ref="G52:H52"/>
    <mergeCell ref="E43:H44"/>
    <mergeCell ref="E45:H46"/>
    <mergeCell ref="E47:H48"/>
    <mergeCell ref="B49:Q49"/>
    <mergeCell ref="B50:E50"/>
    <mergeCell ref="G50:H50"/>
    <mergeCell ref="J50:Q50"/>
    <mergeCell ref="E41:H41"/>
    <mergeCell ref="I41:N41"/>
    <mergeCell ref="O41:Q41"/>
    <mergeCell ref="B42:D48"/>
    <mergeCell ref="B31:D41"/>
    <mergeCell ref="I33:Q33"/>
    <mergeCell ref="E34:H34"/>
    <mergeCell ref="I34:K34"/>
    <mergeCell ref="L34:N34"/>
    <mergeCell ref="O34:Q34"/>
    <mergeCell ref="I37:K37"/>
    <mergeCell ref="B6:Q6"/>
    <mergeCell ref="A73:R73"/>
    <mergeCell ref="B61:E61"/>
    <mergeCell ref="J61:K62"/>
    <mergeCell ref="N61:O62"/>
    <mergeCell ref="B62:E62"/>
    <mergeCell ref="B63:Q63"/>
    <mergeCell ref="J67:O67"/>
    <mergeCell ref="D67:H67"/>
    <mergeCell ref="B70:C70"/>
    <mergeCell ref="B71:C71"/>
    <mergeCell ref="B72:C72"/>
    <mergeCell ref="E42:H42"/>
    <mergeCell ref="I42:K42"/>
    <mergeCell ref="L42:N42"/>
    <mergeCell ref="O42:Q42"/>
    <mergeCell ref="B51:E51"/>
    <mergeCell ref="G51:H51"/>
    <mergeCell ref="L37:N37"/>
    <mergeCell ref="O37:Q37"/>
    <mergeCell ref="E38:H38"/>
    <mergeCell ref="I38:Q38"/>
    <mergeCell ref="AY58:BB58"/>
    <mergeCell ref="B59:E59"/>
    <mergeCell ref="AY59:BB59"/>
    <mergeCell ref="B60:E60"/>
    <mergeCell ref="J60:Q60"/>
    <mergeCell ref="AY54:BB54"/>
    <mergeCell ref="G55:H55"/>
    <mergeCell ref="AY55:BB55"/>
    <mergeCell ref="B56:E56"/>
    <mergeCell ref="G56:H56"/>
    <mergeCell ref="B57:E57"/>
    <mergeCell ref="G57:H57"/>
    <mergeCell ref="I52:I55"/>
    <mergeCell ref="F53:F55"/>
    <mergeCell ref="G53:H53"/>
    <mergeCell ref="G54:H54"/>
    <mergeCell ref="E39:H40"/>
    <mergeCell ref="I39:K39"/>
    <mergeCell ref="L39:N39"/>
    <mergeCell ref="O39:Q39"/>
    <mergeCell ref="I40:K40"/>
    <mergeCell ref="L40:N40"/>
    <mergeCell ref="O40:Q40"/>
    <mergeCell ref="E29:H29"/>
    <mergeCell ref="I29:N29"/>
    <mergeCell ref="O29:Q29"/>
    <mergeCell ref="E31:H32"/>
    <mergeCell ref="I31:K31"/>
    <mergeCell ref="L31:N31"/>
    <mergeCell ref="O31:Q31"/>
    <mergeCell ref="I32:K32"/>
    <mergeCell ref="L32:N32"/>
    <mergeCell ref="I35:K35"/>
    <mergeCell ref="L35:N35"/>
    <mergeCell ref="O35:Q35"/>
    <mergeCell ref="I36:K36"/>
    <mergeCell ref="L36:N36"/>
    <mergeCell ref="O36:Q36"/>
    <mergeCell ref="O32:Q32"/>
    <mergeCell ref="E33:H33"/>
    <mergeCell ref="E26:H26"/>
    <mergeCell ref="I26:Q26"/>
    <mergeCell ref="E27:H28"/>
    <mergeCell ref="I27:K27"/>
    <mergeCell ref="L27:N27"/>
    <mergeCell ref="O27:Q27"/>
    <mergeCell ref="I28:K28"/>
    <mergeCell ref="L28:N28"/>
    <mergeCell ref="O28:Q28"/>
    <mergeCell ref="B18:Q18"/>
    <mergeCell ref="T18:U23"/>
    <mergeCell ref="I24:K24"/>
    <mergeCell ref="L24:N24"/>
    <mergeCell ref="O24:Q24"/>
    <mergeCell ref="I25:K25"/>
    <mergeCell ref="L25:N25"/>
    <mergeCell ref="O25:Q25"/>
    <mergeCell ref="E22:H22"/>
    <mergeCell ref="I22:K22"/>
    <mergeCell ref="L22:N22"/>
    <mergeCell ref="O22:Q22"/>
    <mergeCell ref="I23:K23"/>
    <mergeCell ref="L23:N23"/>
    <mergeCell ref="O23:Q23"/>
    <mergeCell ref="V18:W23"/>
    <mergeCell ref="X18:Y23"/>
    <mergeCell ref="Z18:AA23"/>
    <mergeCell ref="B19:D29"/>
    <mergeCell ref="E19:H20"/>
    <mergeCell ref="I19:K19"/>
    <mergeCell ref="L19:N19"/>
    <mergeCell ref="B11:Q11"/>
    <mergeCell ref="B12:Q12"/>
    <mergeCell ref="B13:Q13"/>
    <mergeCell ref="B14:Q14"/>
    <mergeCell ref="B15:Q15"/>
    <mergeCell ref="B16:Q16"/>
    <mergeCell ref="O19:Q19"/>
    <mergeCell ref="I20:K20"/>
    <mergeCell ref="L20:N20"/>
    <mergeCell ref="O20:Q20"/>
    <mergeCell ref="E21:H21"/>
    <mergeCell ref="I21:Q21"/>
    <mergeCell ref="B17:Q17"/>
  </mergeCells>
  <printOptions horizontalCentered="1"/>
  <pageMargins left="0.78740157480314965" right="0.78740157480314965" top="0.59055118110236227" bottom="0.59055118110236227" header="0.39370078740157483" footer="0.39370078740157483"/>
  <pageSetup paperSize="9"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FR-IMOB-15_Rev00</vt:lpstr>
      <vt:lpstr>'FR-IMOB-15_Rev00'!Area_de_impressao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2024-08-02T19:39:26Z</cp:lastPrinted>
  <dcterms:created xsi:type="dcterms:W3CDTF">2021-11-09T19:14:46Z</dcterms:created>
  <dcterms:modified xsi:type="dcterms:W3CDTF">2026-02-16T14:01:23Z</dcterms:modified>
</cp:coreProperties>
</file>