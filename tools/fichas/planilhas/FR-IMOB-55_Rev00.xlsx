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ml.chartshapes+xml"/>
  <Override PartName="/xl/charts/chart16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trlProps/ctrlProp47.xml" ContentType="application/vnd.ms-excel.controlpropertie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P:\Documentos Corporativos\Documentos de Sustentabilidade\Implantação de Obras\MO-IMOB-02 Laboratório de Controle Tecnólogico\02. Formulários\"/>
    </mc:Choice>
  </mc:AlternateContent>
  <xr:revisionPtr revIDLastSave="0" documentId="8_{AA404EC1-F99A-45BD-BC7E-E9BF6EE8E6CA}" xr6:coauthVersionLast="47" xr6:coauthVersionMax="47" xr10:uidLastSave="{00000000-0000-0000-0000-000000000000}"/>
  <bookViews>
    <workbookView xWindow="-28910" yWindow="-1730" windowWidth="29020" windowHeight="15820" tabRatio="962" xr2:uid="{00000000-000D-0000-FFFF-FFFF00000000}"/>
  </bookViews>
  <sheets>
    <sheet name="FR-IMOB-55_Rev00" sheetId="87" r:id="rId1"/>
    <sheet name="Digitar Dados dos Ensaios" sheetId="11" r:id="rId2"/>
    <sheet name="Compactação Completo (3CBR)" sheetId="16" state="hidden" r:id="rId3"/>
    <sheet name="Digitar Dados de Dens. InSitu" sheetId="15" state="hidden" r:id="rId4"/>
    <sheet name="Ficha de Densidade InSitu" sheetId="14" state="hidden" r:id="rId5"/>
    <sheet name="Tara" sheetId="5" state="hidden" r:id="rId6"/>
    <sheet name="Resumo (Imprimir) (1)" sheetId="85" state="hidden" r:id="rId7"/>
    <sheet name="Resumo (Imprimir) (2)" sheetId="86" state="hidden" r:id="rId8"/>
    <sheet name="Plano de Coleta Base " sheetId="44" state="hidden" r:id="rId9"/>
    <sheet name="Plan2" sheetId="84" state="hidden" r:id="rId10"/>
  </sheets>
  <externalReferences>
    <externalReference r:id="rId11"/>
    <externalReference r:id="rId12"/>
  </externalReferences>
  <definedNames>
    <definedName name="_xlnm._FilterDatabase" localSheetId="2" hidden="1">'Compactação Completo (3CBR)'!$M$1:$M$2</definedName>
    <definedName name="_xlnm._FilterDatabase" localSheetId="0" hidden="1">'FR-IMOB-55_Rev00'!$M$7:$M$8</definedName>
    <definedName name="_Regression_Out" localSheetId="2" hidden="1">[1]PAG01!#REF!</definedName>
    <definedName name="_Regression_Out" localSheetId="3" hidden="1">[1]PAG01!#REF!</definedName>
    <definedName name="_Regression_Out" localSheetId="1" hidden="1">[1]PAG01!#REF!</definedName>
    <definedName name="_Regression_Out" localSheetId="0" hidden="1">[1]PAG01!#REF!</definedName>
    <definedName name="_Regression_Out" localSheetId="6" hidden="1">[1]PAG01!#REF!</definedName>
    <definedName name="_Regression_Out" localSheetId="7" hidden="1">[1]PAG01!#REF!</definedName>
    <definedName name="_Regression_Out" hidden="1">[1]PAG01!#REF!</definedName>
    <definedName name="_Regression_X" localSheetId="2" hidden="1">[1]PAG01!#REF!</definedName>
    <definedName name="_Regression_X" localSheetId="3" hidden="1">[1]PAG01!#REF!</definedName>
    <definedName name="_Regression_X" localSheetId="1" hidden="1">[1]PAG01!#REF!</definedName>
    <definedName name="_Regression_X" localSheetId="0" hidden="1">[1]PAG01!#REF!</definedName>
    <definedName name="_Regression_X" localSheetId="6" hidden="1">[1]PAG01!#REF!</definedName>
    <definedName name="_Regression_X" localSheetId="7" hidden="1">[1]PAG01!#REF!</definedName>
    <definedName name="_Regression_X" hidden="1">[1]PAG01!#REF!</definedName>
    <definedName name="_Regression_Y" localSheetId="2" hidden="1">[1]PAG01!#REF!</definedName>
    <definedName name="_Regression_Y" localSheetId="3" hidden="1">[1]PAG01!#REF!</definedName>
    <definedName name="_Regression_Y" localSheetId="1" hidden="1">[1]PAG01!#REF!</definedName>
    <definedName name="_Regression_Y" localSheetId="0" hidden="1">[1]PAG01!#REF!</definedName>
    <definedName name="_Regression_Y" localSheetId="6" hidden="1">[1]PAG01!#REF!</definedName>
    <definedName name="_Regression_Y" localSheetId="7" hidden="1">[1]PAG01!#REF!</definedName>
    <definedName name="_Regression_Y" hidden="1">[1]PAG01!#REF!</definedName>
    <definedName name="AA" localSheetId="0">#REF!</definedName>
    <definedName name="AA" localSheetId="6">#REF!</definedName>
    <definedName name="AA" localSheetId="7">#REF!</definedName>
    <definedName name="AA">#REF!</definedName>
    <definedName name="AAA" localSheetId="0">#REF!</definedName>
    <definedName name="AAA" localSheetId="6">#REF!</definedName>
    <definedName name="AAA" localSheetId="7">#REF!</definedName>
    <definedName name="AAA">#REF!</definedName>
    <definedName name="_xlnm.Extract" localSheetId="2">'Compactação Completo (3CBR)'!#REF!</definedName>
    <definedName name="_xlnm.Extract" localSheetId="0">'FR-IMOB-55_Rev00'!#REF!</definedName>
    <definedName name="_xlnm.Print_Area" localSheetId="2">'Compactação Completo (3CBR)'!$A$1:$L$209</definedName>
    <definedName name="_xlnm.Print_Area" localSheetId="4">'Ficha de Densidade InSitu'!$A$1:$L$41</definedName>
    <definedName name="_xlnm.Print_Area" localSheetId="0">'FR-IMOB-55_Rev00'!$A$1:$M$230</definedName>
    <definedName name="_xlnm.Print_Area" localSheetId="6">'Resumo (Imprimir) (1)'!$B$2:$AD$40</definedName>
    <definedName name="_xlnm.Print_Area" localSheetId="7">'Resumo (Imprimir) (2)'!$B$2:$AD$40</definedName>
    <definedName name="_xlnm.Criteria" localSheetId="2">'Compactação Completo (3CBR)'!$A$24:$A$27</definedName>
    <definedName name="_xlnm.Criteria" localSheetId="0">'FR-IMOB-55_Rev00'!$A$31:$A$34</definedName>
    <definedName name="EEEEEEEEEEEEEEEEEEEEEE" localSheetId="2" hidden="1">[1]PAG01!#REF!</definedName>
    <definedName name="EEEEEEEEEEEEEEEEEEEEEE" localSheetId="3" hidden="1">[1]PAG01!#REF!</definedName>
    <definedName name="EEEEEEEEEEEEEEEEEEEEEE" localSheetId="0" hidden="1">[1]PAG01!#REF!</definedName>
    <definedName name="Fase_07" localSheetId="0">[2]Medição!#REF!</definedName>
    <definedName name="Fase_07" localSheetId="6">[2]Medição!#REF!</definedName>
    <definedName name="Fase_07" localSheetId="7">[2]Medição!#REF!</definedName>
    <definedName name="Fase_07">[2]Medição!#REF!</definedName>
    <definedName name="H" localSheetId="0">#REF!</definedName>
    <definedName name="H" localSheetId="6">#REF!</definedName>
    <definedName name="H" localSheetId="7">#REF!</definedName>
    <definedName name="H">#REF!</definedName>
    <definedName name="I" localSheetId="0">#REF!</definedName>
    <definedName name="I" localSheetId="6">#REF!</definedName>
    <definedName name="I" localSheetId="7">#REF!</definedName>
    <definedName name="I">#REF!</definedName>
    <definedName name="p" localSheetId="0">#REF!</definedName>
    <definedName name="p" localSheetId="6">#REF!</definedName>
    <definedName name="p" localSheetId="7">#REF!</definedName>
    <definedName name="p">#REF!</definedName>
    <definedName name="ProteçãoAmbiental" localSheetId="0">'[2]Medição Completa'!#REF!</definedName>
    <definedName name="ProteçãoAmbiental" localSheetId="6">'[2]Medição Completa'!#REF!</definedName>
    <definedName name="ProteçãoAmbiental" localSheetId="7">'[2]Medição Completa'!#REF!</definedName>
    <definedName name="ProteçãoAmbiental">'[2]Medição Completa'!#REF!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V38" i="11" l="1"/>
  <c r="JW38" i="11" s="1"/>
  <c r="JU38" i="11"/>
  <c r="JD38" i="11"/>
  <c r="KC33" i="11" s="1"/>
  <c r="CU38" i="11"/>
  <c r="BW38" i="11"/>
  <c r="BO38" i="11"/>
  <c r="BO39" i="11" s="1"/>
  <c r="OG37" i="11"/>
  <c r="OF37" i="11"/>
  <c r="NX37" i="11"/>
  <c r="NW37" i="11"/>
  <c r="NH37" i="11"/>
  <c r="NG37" i="11"/>
  <c r="MH37" i="11"/>
  <c r="MG37" i="11"/>
  <c r="MF37" i="11"/>
  <c r="KR37" i="11"/>
  <c r="KQ37" i="11"/>
  <c r="KP37" i="11"/>
  <c r="KO37" i="11"/>
  <c r="KN37" i="11"/>
  <c r="JV37" i="11"/>
  <c r="JW37" i="11" s="1"/>
  <c r="JU37" i="11"/>
  <c r="JD37" i="11"/>
  <c r="CU37" i="11"/>
  <c r="CU39" i="11" s="1"/>
  <c r="CV37" i="11" s="1"/>
  <c r="U37" i="11"/>
  <c r="T37" i="11" s="1"/>
  <c r="KW36" i="11"/>
  <c r="JV36" i="11"/>
  <c r="CD36" i="11"/>
  <c r="CD37" i="11" s="1"/>
  <c r="CD39" i="11" s="1"/>
  <c r="U36" i="11"/>
  <c r="KZ35" i="11"/>
  <c r="KY35" i="11"/>
  <c r="KW35" i="11"/>
  <c r="KV35" i="11"/>
  <c r="KV36" i="11" s="1"/>
  <c r="KU35" i="11"/>
  <c r="KU36" i="11" s="1"/>
  <c r="KT35" i="11"/>
  <c r="KT36" i="11" s="1"/>
  <c r="KS35" i="11"/>
  <c r="KS36" i="11" s="1"/>
  <c r="KS37" i="11" s="1"/>
  <c r="KR35" i="11"/>
  <c r="KR36" i="11" s="1"/>
  <c r="KQ35" i="11"/>
  <c r="KQ36" i="11" s="1"/>
  <c r="KP35" i="11"/>
  <c r="KP36" i="11" s="1"/>
  <c r="KO35" i="11"/>
  <c r="KO36" i="11" s="1"/>
  <c r="KN35" i="11"/>
  <c r="KN36" i="11" s="1"/>
  <c r="KN39" i="11" s="1"/>
  <c r="KO38" i="11" s="1"/>
  <c r="CV35" i="11"/>
  <c r="CV36" i="11" s="1"/>
  <c r="CU35" i="11"/>
  <c r="CU36" i="11" s="1"/>
  <c r="CD35" i="11"/>
  <c r="CC35" i="11"/>
  <c r="CB35" i="11"/>
  <c r="CA35" i="11"/>
  <c r="BZ35" i="11"/>
  <c r="BY35" i="11"/>
  <c r="BV35" i="11"/>
  <c r="BV36" i="11" s="1"/>
  <c r="BT35" i="11"/>
  <c r="BT36" i="11" s="1"/>
  <c r="BS35" i="11"/>
  <c r="BS36" i="11" s="1"/>
  <c r="BR35" i="11"/>
  <c r="BR36" i="11" s="1"/>
  <c r="BQ35" i="11"/>
  <c r="BQ36" i="11" s="1"/>
  <c r="BP35" i="11"/>
  <c r="BP36" i="11" s="1"/>
  <c r="BO35" i="11"/>
  <c r="BO36" i="11" s="1"/>
  <c r="U35" i="11"/>
  <c r="JV34" i="11" s="1"/>
  <c r="LM34" i="11"/>
  <c r="LL34" i="11"/>
  <c r="LK34" i="11"/>
  <c r="LJ34" i="11"/>
  <c r="LI34" i="11"/>
  <c r="LH34" i="11"/>
  <c r="LG34" i="11"/>
  <c r="LF34" i="11"/>
  <c r="LE34" i="11"/>
  <c r="LD34" i="11"/>
  <c r="LC34" i="11"/>
  <c r="LB34" i="11"/>
  <c r="LB35" i="11" s="1"/>
  <c r="LA34" i="11"/>
  <c r="LA35" i="11" s="1"/>
  <c r="KZ34" i="11"/>
  <c r="KZ36" i="11" s="1"/>
  <c r="KY34" i="11"/>
  <c r="KY36" i="11" s="1"/>
  <c r="KY37" i="11" s="1"/>
  <c r="KZ39" i="11" s="1"/>
  <c r="MU37" i="11" s="1"/>
  <c r="KW34" i="11"/>
  <c r="KV34" i="11"/>
  <c r="KU34" i="11"/>
  <c r="KT34" i="11"/>
  <c r="KS34" i="11"/>
  <c r="KR34" i="11"/>
  <c r="KQ34" i="11"/>
  <c r="KP34" i="11"/>
  <c r="KO34" i="11"/>
  <c r="KN34" i="11"/>
  <c r="KB34" i="11"/>
  <c r="NY37" i="11" s="1"/>
  <c r="JI34" i="11"/>
  <c r="NZ37" i="11" s="1"/>
  <c r="IJ34" i="11"/>
  <c r="IJ36" i="11" s="1"/>
  <c r="II34" i="11"/>
  <c r="II36" i="11" s="1"/>
  <c r="IH34" i="11"/>
  <c r="IH36" i="11" s="1"/>
  <c r="IG34" i="11"/>
  <c r="IG36" i="11" s="1"/>
  <c r="IF34" i="11"/>
  <c r="IF36" i="11" s="1"/>
  <c r="IE34" i="11"/>
  <c r="IE37" i="11" s="1"/>
  <c r="ID34" i="11"/>
  <c r="IC34" i="11"/>
  <c r="IC37" i="11" s="1"/>
  <c r="HI34" i="11"/>
  <c r="HI35" i="11" s="1"/>
  <c r="HI38" i="11" s="1"/>
  <c r="HR33" i="11" s="1"/>
  <c r="HH34" i="11"/>
  <c r="HH37" i="11" s="1"/>
  <c r="HG34" i="11"/>
  <c r="HG36" i="11" s="1"/>
  <c r="HF34" i="11"/>
  <c r="HF36" i="11" s="1"/>
  <c r="HE34" i="11"/>
  <c r="HE36" i="11" s="1"/>
  <c r="HD34" i="11"/>
  <c r="HD36" i="11" s="1"/>
  <c r="HC34" i="11"/>
  <c r="HC36" i="11" s="1"/>
  <c r="HB34" i="11"/>
  <c r="HB35" i="11" s="1"/>
  <c r="GH34" i="11"/>
  <c r="GG34" i="11"/>
  <c r="GF34" i="11"/>
  <c r="GV39" i="11" s="1"/>
  <c r="GE34" i="11"/>
  <c r="GD34" i="11"/>
  <c r="GT39" i="11" s="1"/>
  <c r="GC34" i="11"/>
  <c r="GC35" i="11" s="1"/>
  <c r="GB34" i="11"/>
  <c r="GB35" i="11" s="1"/>
  <c r="GA34" i="11"/>
  <c r="FG34" i="11"/>
  <c r="FF34" i="11"/>
  <c r="FE34" i="11"/>
  <c r="FU39" i="11" s="1"/>
  <c r="FD34" i="11"/>
  <c r="FD35" i="11" s="1"/>
  <c r="FC34" i="11"/>
  <c r="FS39" i="11" s="1"/>
  <c r="FB34" i="11"/>
  <c r="FA34" i="11"/>
  <c r="FA35" i="11" s="1"/>
  <c r="EZ34" i="11"/>
  <c r="EZ35" i="11" s="1"/>
  <c r="EF34" i="11"/>
  <c r="EF35" i="11" s="1"/>
  <c r="EE34" i="11"/>
  <c r="ED34" i="11"/>
  <c r="ET39" i="11" s="1"/>
  <c r="EC34" i="11"/>
  <c r="EB34" i="11"/>
  <c r="ER39" i="11" s="1"/>
  <c r="EA34" i="11"/>
  <c r="DZ34" i="11"/>
  <c r="DY34" i="11"/>
  <c r="EG33" i="11" s="1"/>
  <c r="EF36" i="11" s="1"/>
  <c r="DE34" i="11"/>
  <c r="DE35" i="11" s="1"/>
  <c r="DE38" i="11" s="1"/>
  <c r="DN33" i="11" s="1"/>
  <c r="DD34" i="11"/>
  <c r="DD37" i="11" s="1"/>
  <c r="DC34" i="11"/>
  <c r="DC37" i="11" s="1"/>
  <c r="DB34" i="11"/>
  <c r="DB37" i="11" s="1"/>
  <c r="DA34" i="11"/>
  <c r="DV39" i="11" s="1"/>
  <c r="DT39" i="11" s="1"/>
  <c r="CZ34" i="11"/>
  <c r="CZ37" i="11" s="1"/>
  <c r="CY34" i="11"/>
  <c r="CY36" i="11" s="1"/>
  <c r="CX34" i="11"/>
  <c r="CX36" i="11" s="1"/>
  <c r="CV34" i="11"/>
  <c r="CU34" i="11"/>
  <c r="CJ34" i="11"/>
  <c r="OB37" i="11" s="1"/>
  <c r="CD34" i="11"/>
  <c r="CC34" i="11"/>
  <c r="CC36" i="11" s="1"/>
  <c r="CB34" i="11"/>
  <c r="CB36" i="11" s="1"/>
  <c r="CB37" i="11" s="1"/>
  <c r="CA34" i="11"/>
  <c r="CA36" i="11" s="1"/>
  <c r="BZ34" i="11"/>
  <c r="BZ36" i="11" s="1"/>
  <c r="BY34" i="11"/>
  <c r="BY36" i="11" s="1"/>
  <c r="BV34" i="11"/>
  <c r="BU34" i="11"/>
  <c r="BU35" i="11" s="1"/>
  <c r="BU36" i="11" s="1"/>
  <c r="BT34" i="11"/>
  <c r="BS34" i="11"/>
  <c r="BR34" i="11"/>
  <c r="BQ34" i="11"/>
  <c r="BP34" i="11"/>
  <c r="BO34" i="11"/>
  <c r="LB33" i="11"/>
  <c r="LA33" i="11"/>
  <c r="KW33" i="11"/>
  <c r="KV33" i="11"/>
  <c r="KU33" i="11"/>
  <c r="KT33" i="11"/>
  <c r="KS33" i="11"/>
  <c r="KR33" i="11"/>
  <c r="KQ33" i="11"/>
  <c r="KP33" i="11"/>
  <c r="KO33" i="11"/>
  <c r="KN33" i="11"/>
  <c r="KB33" i="11"/>
  <c r="KB35" i="11" s="1"/>
  <c r="KB38" i="11" s="1"/>
  <c r="KI34" i="11" s="1"/>
  <c r="JV33" i="11"/>
  <c r="JW33" i="11" s="1"/>
  <c r="JU33" i="11"/>
  <c r="JJ33" i="11"/>
  <c r="JJ34" i="11" s="1"/>
  <c r="JI33" i="11"/>
  <c r="JI35" i="11" s="1"/>
  <c r="JI38" i="11" s="1"/>
  <c r="JP34" i="11" s="1"/>
  <c r="JD33" i="11"/>
  <c r="JX34" i="11" s="1"/>
  <c r="IK33" i="11"/>
  <c r="GI33" i="11"/>
  <c r="CV33" i="11"/>
  <c r="CU33" i="11"/>
  <c r="CW33" i="11" s="1"/>
  <c r="CJ33" i="11"/>
  <c r="OA37" i="11" s="1"/>
  <c r="BV33" i="11"/>
  <c r="BU33" i="11"/>
  <c r="BT33" i="11"/>
  <c r="BS33" i="11"/>
  <c r="BR33" i="11"/>
  <c r="BQ33" i="11"/>
  <c r="BP33" i="11"/>
  <c r="BO33" i="11"/>
  <c r="AS33" i="11"/>
  <c r="BL33" i="11" s="1"/>
  <c r="L8" i="87"/>
  <c r="JD36" i="11" l="1"/>
  <c r="JU36" i="11"/>
  <c r="JW36" i="11"/>
  <c r="BY37" i="11"/>
  <c r="T35" i="11"/>
  <c r="JU34" i="11" s="1"/>
  <c r="JW34" i="11" s="1"/>
  <c r="BP39" i="11"/>
  <c r="BP38" i="11" s="1"/>
  <c r="LA36" i="11"/>
  <c r="CA37" i="11"/>
  <c r="NF37" i="11"/>
  <c r="BZ37" i="11"/>
  <c r="JE33" i="11"/>
  <c r="JE35" i="11" s="1"/>
  <c r="LB36" i="11"/>
  <c r="CC37" i="11"/>
  <c r="ND37" i="11"/>
  <c r="DE37" i="11"/>
  <c r="DN35" i="11" s="1"/>
  <c r="HI37" i="11"/>
  <c r="HR35" i="11" s="1"/>
  <c r="IF37" i="11"/>
  <c r="FE35" i="11"/>
  <c r="GD35" i="11"/>
  <c r="IK34" i="11"/>
  <c r="HC35" i="11"/>
  <c r="HC38" i="11" s="1"/>
  <c r="HL33" i="11" s="1"/>
  <c r="II35" i="11"/>
  <c r="II38" i="11" s="1"/>
  <c r="IR33" i="11" s="1"/>
  <c r="CZ36" i="11"/>
  <c r="DI34" i="11" s="1"/>
  <c r="GB36" i="11"/>
  <c r="GB39" i="11" s="1"/>
  <c r="HH36" i="11"/>
  <c r="HH39" i="11" s="1"/>
  <c r="FH33" i="11"/>
  <c r="FG36" i="11" s="1"/>
  <c r="FG39" i="11" s="1"/>
  <c r="DF34" i="11"/>
  <c r="GA36" i="11"/>
  <c r="GA39" i="11" s="1"/>
  <c r="DX39" i="11"/>
  <c r="HJ33" i="11"/>
  <c r="HU39" i="11"/>
  <c r="EF39" i="11"/>
  <c r="JJ37" i="11"/>
  <c r="OD37" i="11"/>
  <c r="IO34" i="11"/>
  <c r="IF39" i="11"/>
  <c r="BW33" i="11"/>
  <c r="BW39" i="11" s="1"/>
  <c r="BW37" i="11" s="1"/>
  <c r="BO37" i="11" s="1"/>
  <c r="BY38" i="11" s="1"/>
  <c r="CE33" i="11" s="1"/>
  <c r="IG39" i="11"/>
  <c r="EE36" i="11"/>
  <c r="GH36" i="11"/>
  <c r="GH35" i="11"/>
  <c r="IH39" i="11"/>
  <c r="KC35" i="11"/>
  <c r="KC38" i="11" s="1"/>
  <c r="KJ34" i="11" s="1"/>
  <c r="KC36" i="11"/>
  <c r="KC34" i="11"/>
  <c r="II39" i="11"/>
  <c r="FB35" i="11"/>
  <c r="HB38" i="11"/>
  <c r="HJ35" i="11"/>
  <c r="IJ39" i="11"/>
  <c r="HC39" i="11"/>
  <c r="KT37" i="11"/>
  <c r="KT38" i="11"/>
  <c r="KS38" i="11"/>
  <c r="CW37" i="11"/>
  <c r="KN38" i="11"/>
  <c r="KQ38" i="11" s="1"/>
  <c r="CY39" i="11"/>
  <c r="HD39" i="11"/>
  <c r="BQ39" i="11"/>
  <c r="BQ38" i="11" s="1"/>
  <c r="DF36" i="11"/>
  <c r="HE39" i="11"/>
  <c r="CX39" i="11"/>
  <c r="DF39" i="11" s="1"/>
  <c r="DH37" i="11" s="1"/>
  <c r="HF39" i="11"/>
  <c r="NI37" i="11"/>
  <c r="JX37" i="11"/>
  <c r="HG39" i="11"/>
  <c r="JE38" i="11"/>
  <c r="JL34" i="11" s="1"/>
  <c r="JJ35" i="11"/>
  <c r="JJ38" i="11" s="1"/>
  <c r="JQ34" i="11" s="1"/>
  <c r="JJ36" i="11"/>
  <c r="EC36" i="11"/>
  <c r="IK37" i="11"/>
  <c r="T36" i="11"/>
  <c r="JV35" i="11"/>
  <c r="ID37" i="11"/>
  <c r="ID36" i="11"/>
  <c r="ID35" i="11"/>
  <c r="ID38" i="11" s="1"/>
  <c r="IM33" i="11" s="1"/>
  <c r="GI34" i="11"/>
  <c r="GF37" i="11" s="1"/>
  <c r="FF35" i="11"/>
  <c r="GE35" i="11"/>
  <c r="HD35" i="11"/>
  <c r="HD38" i="11" s="1"/>
  <c r="HM33" i="11" s="1"/>
  <c r="IC35" i="11"/>
  <c r="LC35" i="11"/>
  <c r="LC36" i="11" s="1"/>
  <c r="DA36" i="11"/>
  <c r="GC36" i="11"/>
  <c r="HI36" i="11"/>
  <c r="IG37" i="11"/>
  <c r="BR39" i="11"/>
  <c r="BR38" i="11" s="1"/>
  <c r="BR37" i="11" s="1"/>
  <c r="CB38" i="11" s="1"/>
  <c r="CH33" i="11" s="1"/>
  <c r="HW39" i="11"/>
  <c r="IV39" i="11"/>
  <c r="FG35" i="11"/>
  <c r="GF35" i="11"/>
  <c r="HE35" i="11"/>
  <c r="HE38" i="11" s="1"/>
  <c r="HN33" i="11" s="1"/>
  <c r="DB36" i="11"/>
  <c r="GD36" i="11"/>
  <c r="IH37" i="11"/>
  <c r="IX39" i="11"/>
  <c r="GG35" i="11"/>
  <c r="HF35" i="11"/>
  <c r="HF38" i="11" s="1"/>
  <c r="HO33" i="11" s="1"/>
  <c r="IE35" i="11"/>
  <c r="IE38" i="11" s="1"/>
  <c r="IN33" i="11" s="1"/>
  <c r="DC36" i="11"/>
  <c r="GE36" i="11"/>
  <c r="II37" i="11"/>
  <c r="HZ39" i="11"/>
  <c r="HX39" i="11" s="1"/>
  <c r="HG35" i="11"/>
  <c r="HG38" i="11" s="1"/>
  <c r="HP33" i="11" s="1"/>
  <c r="IF35" i="11"/>
  <c r="IF38" i="11" s="1"/>
  <c r="IO33" i="11" s="1"/>
  <c r="CJ36" i="11"/>
  <c r="DD36" i="11"/>
  <c r="EZ36" i="11"/>
  <c r="GF36" i="11"/>
  <c r="IJ37" i="11"/>
  <c r="IB39" i="11"/>
  <c r="JA39" i="11"/>
  <c r="IY39" i="11" s="1"/>
  <c r="HH35" i="11"/>
  <c r="HH38" i="11" s="1"/>
  <c r="HQ33" i="11" s="1"/>
  <c r="IG35" i="11"/>
  <c r="IG38" i="11" s="1"/>
  <c r="IP33" i="11" s="1"/>
  <c r="DE36" i="11"/>
  <c r="GG36" i="11"/>
  <c r="IC36" i="11"/>
  <c r="JI36" i="11"/>
  <c r="KB36" i="11"/>
  <c r="JC39" i="11"/>
  <c r="FH34" i="11"/>
  <c r="EZ37" i="11" s="1"/>
  <c r="IH35" i="11"/>
  <c r="IH38" i="11" s="1"/>
  <c r="IQ33" i="11" s="1"/>
  <c r="JI37" i="11"/>
  <c r="CX35" i="11"/>
  <c r="FC36" i="11"/>
  <c r="IE36" i="11"/>
  <c r="CY35" i="11"/>
  <c r="CY38" i="11" s="1"/>
  <c r="DH33" i="11" s="1"/>
  <c r="IJ35" i="11"/>
  <c r="IJ38" i="11" s="1"/>
  <c r="IS33" i="11" s="1"/>
  <c r="FD36" i="11"/>
  <c r="KB37" i="11"/>
  <c r="NE37" i="11"/>
  <c r="CZ35" i="11"/>
  <c r="CZ38" i="11" s="1"/>
  <c r="DI33" i="11" s="1"/>
  <c r="DY35" i="11"/>
  <c r="DY36" i="11"/>
  <c r="FE36" i="11"/>
  <c r="CX37" i="11"/>
  <c r="DG34" i="11" s="1"/>
  <c r="DO34" i="11" s="1"/>
  <c r="HB37" i="11"/>
  <c r="JD34" i="11"/>
  <c r="DA35" i="11"/>
  <c r="DA38" i="11" s="1"/>
  <c r="DJ33" i="11" s="1"/>
  <c r="DZ35" i="11"/>
  <c r="DZ36" i="11"/>
  <c r="HB36" i="11"/>
  <c r="CY37" i="11"/>
  <c r="DH34" i="11" s="1"/>
  <c r="HC37" i="11"/>
  <c r="HL35" i="11" s="1"/>
  <c r="EG34" i="11"/>
  <c r="EB37" i="11" s="1"/>
  <c r="JE34" i="11"/>
  <c r="DB35" i="11"/>
  <c r="DB38" i="11" s="1"/>
  <c r="DK33" i="11" s="1"/>
  <c r="EA35" i="11"/>
  <c r="EA36" i="11"/>
  <c r="HD37" i="11"/>
  <c r="HJ34" i="11"/>
  <c r="CJ35" i="11"/>
  <c r="CJ38" i="11" s="1"/>
  <c r="CQ34" i="11" s="1"/>
  <c r="DC35" i="11"/>
  <c r="DC38" i="11" s="1"/>
  <c r="DL33" i="11" s="1"/>
  <c r="EB35" i="11"/>
  <c r="EB36" i="11"/>
  <c r="DA37" i="11"/>
  <c r="HE37" i="11"/>
  <c r="DQ39" i="11"/>
  <c r="JX33" i="11"/>
  <c r="DD35" i="11"/>
  <c r="DD38" i="11" s="1"/>
  <c r="DM33" i="11" s="1"/>
  <c r="EC35" i="11"/>
  <c r="GA35" i="11"/>
  <c r="HF37" i="11"/>
  <c r="DS39" i="11"/>
  <c r="DF33" i="11"/>
  <c r="ED35" i="11"/>
  <c r="FC35" i="11"/>
  <c r="ED36" i="11"/>
  <c r="CJ37" i="11"/>
  <c r="HG37" i="11"/>
  <c r="HP35" i="11" s="1"/>
  <c r="EE35" i="11"/>
  <c r="AB26" i="87"/>
  <c r="BQ201" i="87"/>
  <c r="BL201" i="87"/>
  <c r="BK201" i="87"/>
  <c r="BL200" i="87"/>
  <c r="BK200" i="87"/>
  <c r="BJ200" i="87"/>
  <c r="BI200" i="87"/>
  <c r="BH200" i="87"/>
  <c r="BG200" i="87"/>
  <c r="BF200" i="87"/>
  <c r="BE200" i="87"/>
  <c r="BD200" i="87"/>
  <c r="AV200" i="87"/>
  <c r="AU200" i="87"/>
  <c r="AT200" i="87"/>
  <c r="AS200" i="87"/>
  <c r="AR200" i="87"/>
  <c r="AV199" i="87"/>
  <c r="AW199" i="87" s="1"/>
  <c r="AU199" i="87"/>
  <c r="AT199" i="87"/>
  <c r="AS199" i="87"/>
  <c r="AR199" i="87"/>
  <c r="AV198" i="87"/>
  <c r="AU198" i="87"/>
  <c r="AT198" i="87"/>
  <c r="AS198" i="87"/>
  <c r="AR198" i="87"/>
  <c r="L178" i="87"/>
  <c r="K178" i="87"/>
  <c r="L177" i="87"/>
  <c r="AQ109" i="87"/>
  <c r="AM109" i="87"/>
  <c r="AQ106" i="87"/>
  <c r="AX104" i="87" s="1"/>
  <c r="AM106" i="87"/>
  <c r="AT104" i="87" s="1"/>
  <c r="AQ100" i="87"/>
  <c r="AM100" i="87"/>
  <c r="AQ97" i="87"/>
  <c r="AX95" i="87" s="1"/>
  <c r="AM97" i="87"/>
  <c r="AT95" i="87" s="1"/>
  <c r="L78" i="87"/>
  <c r="AG47" i="87"/>
  <c r="AG46" i="87" s="1"/>
  <c r="AF47" i="87"/>
  <c r="AF46" i="87" s="1"/>
  <c r="AD47" i="87"/>
  <c r="AD46" i="87" s="1"/>
  <c r="AC47" i="87"/>
  <c r="AC46" i="87" s="1"/>
  <c r="B16" i="87"/>
  <c r="B15" i="87"/>
  <c r="H14" i="87"/>
  <c r="C14" i="87"/>
  <c r="AT7" i="87"/>
  <c r="AK7" i="87"/>
  <c r="LA37" i="11" l="1"/>
  <c r="LD36" i="11" s="1"/>
  <c r="LL35" i="11" s="1"/>
  <c r="GD37" i="11"/>
  <c r="GM34" i="11" s="1"/>
  <c r="GA37" i="11"/>
  <c r="JE36" i="11"/>
  <c r="BS39" i="11"/>
  <c r="BS38" i="11" s="1"/>
  <c r="BS37" i="11" s="1"/>
  <c r="CC38" i="11" s="1"/>
  <c r="CI33" i="11" s="1"/>
  <c r="HL36" i="11"/>
  <c r="HM35" i="11"/>
  <c r="CZ39" i="11"/>
  <c r="FF37" i="11"/>
  <c r="LC37" i="11"/>
  <c r="LD35" i="11" s="1"/>
  <c r="LE35" i="11" s="1"/>
  <c r="LE37" i="11" s="1"/>
  <c r="MI37" i="11" s="1"/>
  <c r="KA34" i="11"/>
  <c r="NU37" i="11" s="1"/>
  <c r="FE37" i="11"/>
  <c r="FN34" i="11" s="1"/>
  <c r="IS35" i="11"/>
  <c r="IQ35" i="11"/>
  <c r="FA37" i="11"/>
  <c r="FF36" i="11"/>
  <c r="FF39" i="11" s="1"/>
  <c r="GJ34" i="11"/>
  <c r="HO35" i="11"/>
  <c r="FD37" i="11"/>
  <c r="FG37" i="11"/>
  <c r="FP34" i="11" s="1"/>
  <c r="FB36" i="11"/>
  <c r="FO34" i="11"/>
  <c r="FA36" i="11"/>
  <c r="FJ34" i="11" s="1"/>
  <c r="IP35" i="11"/>
  <c r="DJ35" i="11"/>
  <c r="IR35" i="11"/>
  <c r="GE37" i="11"/>
  <c r="GN34" i="11" s="1"/>
  <c r="GH37" i="11"/>
  <c r="GQ34" i="11" s="1"/>
  <c r="GC37" i="11"/>
  <c r="EC37" i="11"/>
  <c r="HQ34" i="11"/>
  <c r="IN35" i="11"/>
  <c r="GG37" i="11"/>
  <c r="GP34" i="11" s="1"/>
  <c r="DI35" i="11"/>
  <c r="GB37" i="11"/>
  <c r="GK34" i="11" s="1"/>
  <c r="IR36" i="11"/>
  <c r="EF37" i="11"/>
  <c r="LL36" i="11"/>
  <c r="LM35" i="11"/>
  <c r="LM36" i="11" s="1"/>
  <c r="DN34" i="11"/>
  <c r="DN36" i="11"/>
  <c r="DE39" i="11"/>
  <c r="KE35" i="11"/>
  <c r="CE35" i="11"/>
  <c r="EA38" i="11"/>
  <c r="EJ33" i="11" s="1"/>
  <c r="DY39" i="11"/>
  <c r="EG36" i="11"/>
  <c r="DF35" i="11"/>
  <c r="CX38" i="11"/>
  <c r="BT39" i="11"/>
  <c r="BT38" i="11" s="1"/>
  <c r="BT37" i="11" s="1"/>
  <c r="CD38" i="11" s="1"/>
  <c r="ED37" i="11"/>
  <c r="HI39" i="11"/>
  <c r="HR36" i="11"/>
  <c r="HR34" i="11"/>
  <c r="EC39" i="11"/>
  <c r="EL34" i="11"/>
  <c r="HQ35" i="11"/>
  <c r="HN36" i="11"/>
  <c r="IS36" i="11"/>
  <c r="KJ37" i="11"/>
  <c r="KC39" i="11"/>
  <c r="KJ33" i="11"/>
  <c r="EO35" i="11"/>
  <c r="FC39" i="11"/>
  <c r="JL37" i="11"/>
  <c r="JL33" i="11"/>
  <c r="KC37" i="11"/>
  <c r="OC37" i="11"/>
  <c r="GI35" i="11"/>
  <c r="GA38" i="11" s="1"/>
  <c r="JP35" i="11"/>
  <c r="JP36" i="11"/>
  <c r="GD39" i="11"/>
  <c r="GC39" i="11"/>
  <c r="GI39" i="11" s="1"/>
  <c r="GL34" i="11"/>
  <c r="JQ37" i="11"/>
  <c r="JQ33" i="11"/>
  <c r="JJ39" i="11"/>
  <c r="DZ37" i="11"/>
  <c r="NJ37" i="11"/>
  <c r="JE37" i="11"/>
  <c r="DY38" i="11"/>
  <c r="EG35" i="11"/>
  <c r="EF38" i="11" s="1"/>
  <c r="EE37" i="11"/>
  <c r="DK36" i="11"/>
  <c r="DK34" i="11"/>
  <c r="DB39" i="11"/>
  <c r="DJ36" i="11"/>
  <c r="DJ34" i="11"/>
  <c r="DA39" i="11"/>
  <c r="HO34" i="11"/>
  <c r="IS34" i="11"/>
  <c r="IQ36" i="11"/>
  <c r="DI36" i="11"/>
  <c r="IN34" i="11"/>
  <c r="IE39" i="11"/>
  <c r="IN36" i="11"/>
  <c r="GE39" i="11"/>
  <c r="HO36" i="11"/>
  <c r="IO36" i="11"/>
  <c r="EC38" i="11"/>
  <c r="EL33" i="11" s="1"/>
  <c r="JX35" i="11"/>
  <c r="JX36" i="11"/>
  <c r="DL36" i="11"/>
  <c r="DL34" i="11"/>
  <c r="DC39" i="11"/>
  <c r="IC38" i="11"/>
  <c r="IK35" i="11"/>
  <c r="EA37" i="11"/>
  <c r="EJ34" i="11" s="1"/>
  <c r="BY39" i="11"/>
  <c r="CE34" i="11" s="1"/>
  <c r="DH36" i="11"/>
  <c r="HK33" i="11"/>
  <c r="HS33" i="11" s="1"/>
  <c r="HJ38" i="11"/>
  <c r="IQ34" i="11"/>
  <c r="DH35" i="11"/>
  <c r="KI36" i="11"/>
  <c r="KI35" i="11"/>
  <c r="CB39" i="11"/>
  <c r="CH34" i="11" s="1"/>
  <c r="KQ39" i="11"/>
  <c r="KU38" i="11"/>
  <c r="KX33" i="11" s="1"/>
  <c r="FB37" i="11"/>
  <c r="HN35" i="11"/>
  <c r="HN34" i="11"/>
  <c r="HK34" i="11"/>
  <c r="HS34" i="11" s="1"/>
  <c r="HB39" i="11"/>
  <c r="HJ39" i="11" s="1"/>
  <c r="HL37" i="11" s="1"/>
  <c r="HK36" i="11"/>
  <c r="HS36" i="11" s="1"/>
  <c r="HJ36" i="11"/>
  <c r="FC37" i="11"/>
  <c r="HP34" i="11"/>
  <c r="FB39" i="11"/>
  <c r="GH39" i="11"/>
  <c r="EA39" i="11"/>
  <c r="FE39" i="11"/>
  <c r="EI34" i="11"/>
  <c r="DZ39" i="11"/>
  <c r="GF39" i="11"/>
  <c r="GO34" i="11"/>
  <c r="IO35" i="11"/>
  <c r="HP36" i="11"/>
  <c r="BP37" i="11"/>
  <c r="BZ38" i="11" s="1"/>
  <c r="CQ36" i="11"/>
  <c r="CQ35" i="11"/>
  <c r="EK34" i="11"/>
  <c r="EB39" i="11"/>
  <c r="FM34" i="11"/>
  <c r="FD39" i="11"/>
  <c r="FI34" i="11"/>
  <c r="EZ39" i="11"/>
  <c r="BQ37" i="11"/>
  <c r="CA38" i="11" s="1"/>
  <c r="KW39" i="11"/>
  <c r="KV39" i="11"/>
  <c r="KU39" i="11"/>
  <c r="KT39" i="11"/>
  <c r="KS39" i="11"/>
  <c r="DL35" i="11"/>
  <c r="FH35" i="11"/>
  <c r="FB38" i="11" s="1"/>
  <c r="DF37" i="11"/>
  <c r="DG35" i="11"/>
  <c r="DO35" i="11" s="1"/>
  <c r="DZ38" i="11"/>
  <c r="EI33" i="11" s="1"/>
  <c r="DM36" i="11"/>
  <c r="DM34" i="11"/>
  <c r="DD39" i="11"/>
  <c r="EE39" i="11"/>
  <c r="JY34" i="11"/>
  <c r="EB38" i="11"/>
  <c r="EK33" i="11" s="1"/>
  <c r="ED39" i="11"/>
  <c r="KI37" i="11"/>
  <c r="KI33" i="11"/>
  <c r="CJ39" i="11"/>
  <c r="CQ37" i="11"/>
  <c r="CQ33" i="11"/>
  <c r="IM36" i="11"/>
  <c r="IM34" i="11"/>
  <c r="ID39" i="11"/>
  <c r="HM36" i="11"/>
  <c r="IP36" i="11"/>
  <c r="JQ36" i="11"/>
  <c r="JQ35" i="11"/>
  <c r="JP37" i="11"/>
  <c r="JP33" i="11"/>
  <c r="CH35" i="11"/>
  <c r="KA33" i="11"/>
  <c r="IM35" i="11"/>
  <c r="GI36" i="11"/>
  <c r="DH39" i="11"/>
  <c r="DL37" i="11"/>
  <c r="DL38" i="11"/>
  <c r="DH38" i="11"/>
  <c r="IR34" i="11"/>
  <c r="EO34" i="11"/>
  <c r="IK36" i="11"/>
  <c r="IL34" i="11"/>
  <c r="IT34" i="11" s="1"/>
  <c r="IC39" i="11"/>
  <c r="IK39" i="11" s="1"/>
  <c r="IM37" i="11" s="1"/>
  <c r="CI35" i="11"/>
  <c r="DY37" i="11"/>
  <c r="EH34" i="11" s="1"/>
  <c r="HM34" i="11"/>
  <c r="HL34" i="11"/>
  <c r="IP34" i="11"/>
  <c r="HK35" i="11"/>
  <c r="HS35" i="11" s="1"/>
  <c r="HJ37" i="11"/>
  <c r="GG39" i="11"/>
  <c r="NS37" i="11"/>
  <c r="JD35" i="11"/>
  <c r="JU35" i="11"/>
  <c r="JW35" i="11" s="1"/>
  <c r="JH33" i="11"/>
  <c r="HQ36" i="11"/>
  <c r="DM35" i="11"/>
  <c r="DK35" i="11"/>
  <c r="AK218" i="87"/>
  <c r="AK217" i="87"/>
  <c r="AK197" i="87"/>
  <c r="AK167" i="87"/>
  <c r="AK164" i="87"/>
  <c r="AK157" i="87"/>
  <c r="AK199" i="87"/>
  <c r="AK103" i="87"/>
  <c r="AL95" i="87"/>
  <c r="AK93" i="87"/>
  <c r="AK84" i="87"/>
  <c r="AK11" i="87"/>
  <c r="AK19" i="87"/>
  <c r="AK18" i="87"/>
  <c r="AK15" i="87"/>
  <c r="AK13" i="87"/>
  <c r="AK8" i="87"/>
  <c r="JV31" i="11"/>
  <c r="JW31" i="11" s="1"/>
  <c r="JU31" i="11"/>
  <c r="JD31" i="11"/>
  <c r="JJ26" i="11" s="1"/>
  <c r="CU31" i="11"/>
  <c r="BW31" i="11"/>
  <c r="BO31" i="11"/>
  <c r="BO32" i="11" s="1"/>
  <c r="OG30" i="11"/>
  <c r="OF30" i="11"/>
  <c r="NX30" i="11"/>
  <c r="NW30" i="11"/>
  <c r="NH30" i="11"/>
  <c r="NG30" i="11"/>
  <c r="MH30" i="11"/>
  <c r="MG30" i="11"/>
  <c r="NE30" i="11" s="1"/>
  <c r="MF30" i="11"/>
  <c r="KR30" i="11"/>
  <c r="KQ30" i="11"/>
  <c r="KP30" i="11"/>
  <c r="KO30" i="11"/>
  <c r="KN30" i="11"/>
  <c r="JV30" i="11"/>
  <c r="JW30" i="11" s="1"/>
  <c r="JU30" i="11"/>
  <c r="JD30" i="11"/>
  <c r="JI26" i="11" s="1"/>
  <c r="CU30" i="11"/>
  <c r="CU32" i="11" s="1"/>
  <c r="T30" i="11"/>
  <c r="JD29" i="11" s="1"/>
  <c r="JV29" i="11"/>
  <c r="JU29" i="11"/>
  <c r="CD29" i="11"/>
  <c r="CD30" i="11" s="1"/>
  <c r="CD32" i="11" s="1"/>
  <c r="T29" i="11"/>
  <c r="KZ28" i="11"/>
  <c r="KY28" i="11"/>
  <c r="KW28" i="11"/>
  <c r="KW29" i="11" s="1"/>
  <c r="KV28" i="11"/>
  <c r="KV29" i="11" s="1"/>
  <c r="KU28" i="11"/>
  <c r="KU29" i="11" s="1"/>
  <c r="KT28" i="11"/>
  <c r="KT29" i="11" s="1"/>
  <c r="KS28" i="11"/>
  <c r="KS29" i="11" s="1"/>
  <c r="KS30" i="11" s="1"/>
  <c r="KR28" i="11"/>
  <c r="KR29" i="11" s="1"/>
  <c r="KQ28" i="11"/>
  <c r="KQ29" i="11" s="1"/>
  <c r="KP28" i="11"/>
  <c r="KP29" i="11" s="1"/>
  <c r="KO28" i="11"/>
  <c r="KO29" i="11" s="1"/>
  <c r="KN28" i="11"/>
  <c r="KN29" i="11" s="1"/>
  <c r="JV28" i="11"/>
  <c r="JU28" i="11"/>
  <c r="JD28" i="11"/>
  <c r="CV28" i="11"/>
  <c r="CV29" i="11" s="1"/>
  <c r="CU28" i="11"/>
  <c r="CU29" i="11" s="1"/>
  <c r="CD28" i="11"/>
  <c r="CC28" i="11"/>
  <c r="CB28" i="11"/>
  <c r="CA28" i="11"/>
  <c r="BZ28" i="11"/>
  <c r="BY28" i="11"/>
  <c r="BT28" i="11"/>
  <c r="BT29" i="11" s="1"/>
  <c r="BS28" i="11"/>
  <c r="BS29" i="11" s="1"/>
  <c r="BR28" i="11"/>
  <c r="BR29" i="11" s="1"/>
  <c r="BQ28" i="11"/>
  <c r="BQ29" i="11" s="1"/>
  <c r="BP28" i="11"/>
  <c r="BP29" i="11" s="1"/>
  <c r="BO28" i="11"/>
  <c r="BO29" i="11" s="1"/>
  <c r="T28" i="11"/>
  <c r="JD27" i="11" s="1"/>
  <c r="LM27" i="11"/>
  <c r="LL27" i="11"/>
  <c r="LK27" i="11"/>
  <c r="LJ27" i="11"/>
  <c r="LI27" i="11"/>
  <c r="LH27" i="11"/>
  <c r="LG27" i="11"/>
  <c r="LF27" i="11"/>
  <c r="LE27" i="11"/>
  <c r="LD27" i="11"/>
  <c r="LC27" i="11"/>
  <c r="LB27" i="11"/>
  <c r="LB28" i="11" s="1"/>
  <c r="LA27" i="11"/>
  <c r="LA28" i="11" s="1"/>
  <c r="KZ27" i="11"/>
  <c r="KZ29" i="11" s="1"/>
  <c r="KY27" i="11"/>
  <c r="KY29" i="11" s="1"/>
  <c r="KY30" i="11" s="1"/>
  <c r="KZ32" i="11" s="1"/>
  <c r="MU30" i="11" s="1"/>
  <c r="KW27" i="11"/>
  <c r="KV27" i="11"/>
  <c r="KU27" i="11"/>
  <c r="KT27" i="11"/>
  <c r="KS27" i="11"/>
  <c r="KR27" i="11"/>
  <c r="KQ27" i="11"/>
  <c r="KP27" i="11"/>
  <c r="KO27" i="11"/>
  <c r="KN27" i="11"/>
  <c r="KB27" i="11"/>
  <c r="JV27" i="11"/>
  <c r="IJ27" i="11"/>
  <c r="II27" i="11"/>
  <c r="IH27" i="11"/>
  <c r="IG27" i="11"/>
  <c r="IF27" i="11"/>
  <c r="IE27" i="11"/>
  <c r="ID27" i="11"/>
  <c r="IC27" i="11"/>
  <c r="IK26" i="11" s="1"/>
  <c r="HI27" i="11"/>
  <c r="HH27" i="11"/>
  <c r="HG27" i="11"/>
  <c r="HF27" i="11"/>
  <c r="HE27" i="11"/>
  <c r="HD27" i="11"/>
  <c r="HC27" i="11"/>
  <c r="HB27" i="11"/>
  <c r="HJ26" i="11" s="1"/>
  <c r="GH27" i="11"/>
  <c r="GG27" i="11"/>
  <c r="GF27" i="11"/>
  <c r="GE27" i="11"/>
  <c r="GD27" i="11"/>
  <c r="GC27" i="11"/>
  <c r="GB27" i="11"/>
  <c r="GA27" i="11"/>
  <c r="GI26" i="11" s="1"/>
  <c r="FG27" i="11"/>
  <c r="FF27" i="11"/>
  <c r="FE27" i="11"/>
  <c r="FD27" i="11"/>
  <c r="FC27" i="11"/>
  <c r="FB27" i="11"/>
  <c r="FA27" i="11"/>
  <c r="EZ27" i="11"/>
  <c r="FH26" i="11" s="1"/>
  <c r="EF27" i="11"/>
  <c r="EE27" i="11"/>
  <c r="ED27" i="11"/>
  <c r="EC27" i="11"/>
  <c r="EB27" i="11"/>
  <c r="EA27" i="11"/>
  <c r="DZ27" i="11"/>
  <c r="DY27" i="11"/>
  <c r="DE27" i="11"/>
  <c r="DD27" i="11"/>
  <c r="DC27" i="11"/>
  <c r="DB27" i="11"/>
  <c r="DA27" i="11"/>
  <c r="CZ27" i="11"/>
  <c r="CY27" i="11"/>
  <c r="CX27" i="11"/>
  <c r="DF26" i="11" s="1"/>
  <c r="CV27" i="11"/>
  <c r="CU27" i="11"/>
  <c r="CJ27" i="11"/>
  <c r="CD27" i="11"/>
  <c r="CC27" i="11"/>
  <c r="CC29" i="11" s="1"/>
  <c r="CB27" i="11"/>
  <c r="CB29" i="11" s="1"/>
  <c r="CA27" i="11"/>
  <c r="CA29" i="11" s="1"/>
  <c r="BZ27" i="11"/>
  <c r="BZ29" i="11" s="1"/>
  <c r="BY27" i="11"/>
  <c r="BY29" i="11" s="1"/>
  <c r="BV27" i="11"/>
  <c r="BV28" i="11" s="1"/>
  <c r="BU27" i="11"/>
  <c r="BU28" i="11" s="1"/>
  <c r="BT27" i="11"/>
  <c r="BS27" i="11"/>
  <c r="BR27" i="11"/>
  <c r="BQ27" i="11"/>
  <c r="BP27" i="11"/>
  <c r="BO27" i="11"/>
  <c r="LB26" i="11"/>
  <c r="LA26" i="11"/>
  <c r="KW26" i="11"/>
  <c r="KV26" i="11"/>
  <c r="KU26" i="11"/>
  <c r="KT26" i="11"/>
  <c r="KS26" i="11"/>
  <c r="KR26" i="11"/>
  <c r="KQ26" i="11"/>
  <c r="KP26" i="11"/>
  <c r="KO26" i="11"/>
  <c r="KN26" i="11"/>
  <c r="KB26" i="11"/>
  <c r="JX26" i="11"/>
  <c r="JV26" i="11"/>
  <c r="JW26" i="11" s="1"/>
  <c r="JU26" i="11"/>
  <c r="JD26" i="11"/>
  <c r="JE26" i="11" s="1"/>
  <c r="EG26" i="11"/>
  <c r="CV26" i="11"/>
  <c r="CU26" i="11"/>
  <c r="CW26" i="11" s="1"/>
  <c r="CJ26" i="11"/>
  <c r="BV26" i="11"/>
  <c r="BU26" i="11"/>
  <c r="BT26" i="11"/>
  <c r="BS26" i="11"/>
  <c r="BR26" i="11"/>
  <c r="BQ26" i="11"/>
  <c r="BP26" i="11"/>
  <c r="BO26" i="11"/>
  <c r="AS26" i="11"/>
  <c r="BL26" i="11" s="1"/>
  <c r="L163" i="87"/>
  <c r="L76" i="87"/>
  <c r="FH36" i="11" l="1"/>
  <c r="FA39" i="11"/>
  <c r="EL35" i="11"/>
  <c r="KC26" i="11"/>
  <c r="CC30" i="11"/>
  <c r="EJ36" i="11"/>
  <c r="LF35" i="11"/>
  <c r="CA30" i="11"/>
  <c r="CB30" i="11"/>
  <c r="JI27" i="11"/>
  <c r="JI30" i="11" s="1"/>
  <c r="JU27" i="11"/>
  <c r="JW27" i="11" s="1"/>
  <c r="JY27" i="11" s="1"/>
  <c r="NM30" i="11" s="1"/>
  <c r="CC39" i="11"/>
  <c r="CI34" i="11" s="1"/>
  <c r="CI37" i="11" s="1"/>
  <c r="EI36" i="11"/>
  <c r="GI37" i="11"/>
  <c r="EI35" i="11"/>
  <c r="FC38" i="11"/>
  <c r="FL33" i="11" s="1"/>
  <c r="EK36" i="11"/>
  <c r="EE38" i="11"/>
  <c r="GR34" i="11"/>
  <c r="ED38" i="11"/>
  <c r="FF38" i="11"/>
  <c r="FO35" i="11" s="1"/>
  <c r="FK33" i="11"/>
  <c r="FK36" i="11"/>
  <c r="NM37" i="11"/>
  <c r="MT37" i="11"/>
  <c r="LN39" i="11"/>
  <c r="IL33" i="11"/>
  <c r="IT33" i="11" s="1"/>
  <c r="IK38" i="11"/>
  <c r="IL35" i="11"/>
  <c r="IT35" i="11" s="1"/>
  <c r="GB38" i="11"/>
  <c r="GC38" i="11"/>
  <c r="GD38" i="11"/>
  <c r="EN34" i="11"/>
  <c r="MS37" i="11"/>
  <c r="LG39" i="11"/>
  <c r="JL35" i="11"/>
  <c r="JL36" i="11"/>
  <c r="EL36" i="11"/>
  <c r="GJ33" i="11"/>
  <c r="GJ36" i="11"/>
  <c r="NT37" i="11"/>
  <c r="KJ36" i="11"/>
  <c r="KJ35" i="11"/>
  <c r="FK35" i="11"/>
  <c r="GF38" i="11"/>
  <c r="GE38" i="11"/>
  <c r="CG33" i="11"/>
  <c r="JZ33" i="11" s="1"/>
  <c r="CA39" i="11"/>
  <c r="CG34" i="11" s="1"/>
  <c r="CF33" i="11"/>
  <c r="BZ39" i="11"/>
  <c r="CF34" i="11" s="1"/>
  <c r="CK34" i="11" s="1"/>
  <c r="CE37" i="11" s="1"/>
  <c r="FG38" i="11"/>
  <c r="KE37" i="11"/>
  <c r="KE33" i="11"/>
  <c r="EH33" i="11"/>
  <c r="FL36" i="11"/>
  <c r="GG38" i="11"/>
  <c r="FL35" i="11"/>
  <c r="EG37" i="11"/>
  <c r="EH35" i="11"/>
  <c r="FH39" i="11"/>
  <c r="JX38" i="11"/>
  <c r="KA35" i="11"/>
  <c r="EK35" i="11"/>
  <c r="FL34" i="11"/>
  <c r="DG33" i="11"/>
  <c r="DO33" i="11" s="1"/>
  <c r="DF38" i="11"/>
  <c r="DG36" i="11"/>
  <c r="DO36" i="11" s="1"/>
  <c r="KV37" i="11"/>
  <c r="KU37" i="11"/>
  <c r="DJ37" i="11"/>
  <c r="DJ38" i="11"/>
  <c r="DP34" i="11" s="1"/>
  <c r="JH35" i="11"/>
  <c r="EM34" i="11"/>
  <c r="EP34" i="11" s="1"/>
  <c r="HL39" i="11"/>
  <c r="HP37" i="11"/>
  <c r="HP38" i="11"/>
  <c r="HL38" i="11"/>
  <c r="FH37" i="11"/>
  <c r="IM39" i="11"/>
  <c r="IQ37" i="11"/>
  <c r="IQ38" i="11"/>
  <c r="IM38" i="11"/>
  <c r="GJ35" i="11"/>
  <c r="EG39" i="11"/>
  <c r="EH36" i="11"/>
  <c r="JZ34" i="11"/>
  <c r="KD34" i="11" s="1"/>
  <c r="LF37" i="11"/>
  <c r="MJ37" i="11" s="1"/>
  <c r="LG35" i="11"/>
  <c r="FD38" i="11"/>
  <c r="FA38" i="11"/>
  <c r="EZ38" i="11"/>
  <c r="FE38" i="11"/>
  <c r="FK34" i="11"/>
  <c r="IL36" i="11"/>
  <c r="IT36" i="11" s="1"/>
  <c r="GH38" i="11"/>
  <c r="EJ35" i="11"/>
  <c r="EO33" i="11"/>
  <c r="EO36" i="11"/>
  <c r="BY30" i="11"/>
  <c r="BZ30" i="11"/>
  <c r="LA29" i="11"/>
  <c r="LB29" i="11"/>
  <c r="JW28" i="11"/>
  <c r="JZ27" i="11" s="1"/>
  <c r="JW29" i="11"/>
  <c r="KA27" i="11" s="1"/>
  <c r="NU30" i="11" s="1"/>
  <c r="CV30" i="11"/>
  <c r="CW30" i="11" s="1"/>
  <c r="AK14" i="87"/>
  <c r="AK112" i="87"/>
  <c r="AK95" i="87"/>
  <c r="AK94" i="87"/>
  <c r="AK122" i="87"/>
  <c r="AK104" i="87"/>
  <c r="AK178" i="87"/>
  <c r="AK168" i="87"/>
  <c r="AK16" i="87"/>
  <c r="AK20" i="87"/>
  <c r="AK85" i="87"/>
  <c r="AL113" i="87"/>
  <c r="AL114" i="87" s="1"/>
  <c r="AL96" i="87"/>
  <c r="AK200" i="87"/>
  <c r="JX27" i="11"/>
  <c r="JE27" i="11"/>
  <c r="JJ29" i="11"/>
  <c r="JJ28" i="11"/>
  <c r="JJ31" i="11" s="1"/>
  <c r="JQ27" i="11" s="1"/>
  <c r="JJ27" i="11"/>
  <c r="KC29" i="11"/>
  <c r="KC28" i="11"/>
  <c r="KC31" i="11" s="1"/>
  <c r="KJ27" i="11" s="1"/>
  <c r="KC27" i="11"/>
  <c r="BV29" i="11"/>
  <c r="OB30" i="11"/>
  <c r="CJ30" i="11"/>
  <c r="CX30" i="11"/>
  <c r="CX29" i="11"/>
  <c r="CX28" i="11"/>
  <c r="CZ30" i="11"/>
  <c r="CZ29" i="11"/>
  <c r="CZ28" i="11"/>
  <c r="CZ31" i="11" s="1"/>
  <c r="DI26" i="11" s="1"/>
  <c r="DB30" i="11"/>
  <c r="DB29" i="11"/>
  <c r="DB28" i="11"/>
  <c r="DB31" i="11" s="1"/>
  <c r="DK26" i="11" s="1"/>
  <c r="DD30" i="11"/>
  <c r="DD29" i="11"/>
  <c r="DD28" i="11"/>
  <c r="DD31" i="11" s="1"/>
  <c r="DM26" i="11" s="1"/>
  <c r="DF27" i="11"/>
  <c r="DZ30" i="11"/>
  <c r="DZ28" i="11"/>
  <c r="DZ31" i="11" s="1"/>
  <c r="EI26" i="11" s="1"/>
  <c r="DZ29" i="11"/>
  <c r="ER32" i="11"/>
  <c r="EW32" i="11"/>
  <c r="EU32" i="11" s="1"/>
  <c r="EB30" i="11"/>
  <c r="EB28" i="11"/>
  <c r="EB31" i="11" s="1"/>
  <c r="EK26" i="11" s="1"/>
  <c r="EB29" i="11"/>
  <c r="EY32" i="11"/>
  <c r="ET32" i="11"/>
  <c r="ED30" i="11"/>
  <c r="ED28" i="11"/>
  <c r="ED31" i="11" s="1"/>
  <c r="EM26" i="11" s="1"/>
  <c r="ED29" i="11"/>
  <c r="EF30" i="11"/>
  <c r="EF28" i="11"/>
  <c r="EF31" i="11" s="1"/>
  <c r="EO26" i="11" s="1"/>
  <c r="EF29" i="11"/>
  <c r="EZ30" i="11"/>
  <c r="EZ29" i="11"/>
  <c r="EZ28" i="11"/>
  <c r="FB30" i="11"/>
  <c r="FB29" i="11"/>
  <c r="FB28" i="11"/>
  <c r="FB31" i="11" s="1"/>
  <c r="FK26" i="11" s="1"/>
  <c r="FD30" i="11"/>
  <c r="FD29" i="11"/>
  <c r="FD28" i="11"/>
  <c r="FD31" i="11" s="1"/>
  <c r="FM26" i="11" s="1"/>
  <c r="FF30" i="11"/>
  <c r="FF29" i="11"/>
  <c r="FF28" i="11"/>
  <c r="FF31" i="11" s="1"/>
  <c r="FO26" i="11" s="1"/>
  <c r="FH27" i="11"/>
  <c r="GB30" i="11"/>
  <c r="GB28" i="11"/>
  <c r="GB31" i="11" s="1"/>
  <c r="GK26" i="11" s="1"/>
  <c r="GB29" i="11"/>
  <c r="GT32" i="11"/>
  <c r="GY32" i="11"/>
  <c r="GD30" i="11"/>
  <c r="GD28" i="11"/>
  <c r="GD31" i="11" s="1"/>
  <c r="GM26" i="11" s="1"/>
  <c r="GD29" i="11"/>
  <c r="HA32" i="11"/>
  <c r="GV32" i="11"/>
  <c r="GF30" i="11"/>
  <c r="GF28" i="11"/>
  <c r="GF31" i="11" s="1"/>
  <c r="GO26" i="11" s="1"/>
  <c r="GF29" i="11"/>
  <c r="GH30" i="11"/>
  <c r="GH28" i="11"/>
  <c r="GH31" i="11" s="1"/>
  <c r="GQ26" i="11" s="1"/>
  <c r="GH29" i="11"/>
  <c r="HB30" i="11"/>
  <c r="HB29" i="11"/>
  <c r="HB28" i="11"/>
  <c r="HD30" i="11"/>
  <c r="HD29" i="11"/>
  <c r="HD28" i="11"/>
  <c r="HD31" i="11" s="1"/>
  <c r="HM26" i="11" s="1"/>
  <c r="HF30" i="11"/>
  <c r="HF29" i="11"/>
  <c r="HF28" i="11"/>
  <c r="HF31" i="11" s="1"/>
  <c r="HO26" i="11" s="1"/>
  <c r="HH30" i="11"/>
  <c r="HH29" i="11"/>
  <c r="HH28" i="11"/>
  <c r="HH31" i="11" s="1"/>
  <c r="HQ26" i="11" s="1"/>
  <c r="HJ27" i="11"/>
  <c r="ID29" i="11"/>
  <c r="ID30" i="11"/>
  <c r="ID28" i="11"/>
  <c r="ID31" i="11" s="1"/>
  <c r="IM26" i="11" s="1"/>
  <c r="IV32" i="11"/>
  <c r="JA32" i="11"/>
  <c r="IY32" i="11" s="1"/>
  <c r="IF29" i="11"/>
  <c r="IF30" i="11"/>
  <c r="IF28" i="11"/>
  <c r="IF31" i="11" s="1"/>
  <c r="IO26" i="11" s="1"/>
  <c r="JC32" i="11"/>
  <c r="IX32" i="11"/>
  <c r="IH29" i="11"/>
  <c r="IH30" i="11"/>
  <c r="IH28" i="11"/>
  <c r="IH31" i="11" s="1"/>
  <c r="IQ26" i="11" s="1"/>
  <c r="IJ29" i="11"/>
  <c r="IJ30" i="11"/>
  <c r="IJ28" i="11"/>
  <c r="IJ31" i="11" s="1"/>
  <c r="IS26" i="11" s="1"/>
  <c r="OA30" i="11"/>
  <c r="CJ28" i="11"/>
  <c r="CJ31" i="11" s="1"/>
  <c r="CQ27" i="11" s="1"/>
  <c r="CJ29" i="11"/>
  <c r="JE29" i="11"/>
  <c r="JE28" i="11"/>
  <c r="JI29" i="11"/>
  <c r="JI28" i="11"/>
  <c r="JI31" i="11" s="1"/>
  <c r="JP27" i="11" s="1"/>
  <c r="JX29" i="11"/>
  <c r="JX28" i="11"/>
  <c r="KB29" i="11"/>
  <c r="KB28" i="11"/>
  <c r="KB31" i="11" s="1"/>
  <c r="KI27" i="11" s="1"/>
  <c r="BU29" i="11"/>
  <c r="CY30" i="11"/>
  <c r="CY29" i="11"/>
  <c r="CY28" i="11"/>
  <c r="CY31" i="11" s="1"/>
  <c r="DH26" i="11" s="1"/>
  <c r="DV32" i="11"/>
  <c r="DT32" i="11" s="1"/>
  <c r="DQ32" i="11"/>
  <c r="DA30" i="11"/>
  <c r="DA29" i="11"/>
  <c r="DA28" i="11"/>
  <c r="DA31" i="11" s="1"/>
  <c r="DJ26" i="11" s="1"/>
  <c r="DS32" i="11"/>
  <c r="DX32" i="11"/>
  <c r="DC30" i="11"/>
  <c r="DC29" i="11"/>
  <c r="DC28" i="11"/>
  <c r="DC31" i="11" s="1"/>
  <c r="DL26" i="11" s="1"/>
  <c r="DE30" i="11"/>
  <c r="DE29" i="11"/>
  <c r="DE28" i="11"/>
  <c r="DE31" i="11" s="1"/>
  <c r="DN26" i="11" s="1"/>
  <c r="DY30" i="11"/>
  <c r="DY29" i="11"/>
  <c r="DY28" i="11"/>
  <c r="EA30" i="11"/>
  <c r="EA29" i="11"/>
  <c r="EA28" i="11"/>
  <c r="EA31" i="11" s="1"/>
  <c r="EJ26" i="11" s="1"/>
  <c r="EC30" i="11"/>
  <c r="EC29" i="11"/>
  <c r="EC28" i="11"/>
  <c r="EC31" i="11" s="1"/>
  <c r="EL26" i="11" s="1"/>
  <c r="EE30" i="11"/>
  <c r="EE29" i="11"/>
  <c r="EE28" i="11"/>
  <c r="EE31" i="11" s="1"/>
  <c r="EN26" i="11" s="1"/>
  <c r="EG27" i="11"/>
  <c r="FA30" i="11"/>
  <c r="FA29" i="11"/>
  <c r="FA28" i="11"/>
  <c r="FA31" i="11" s="1"/>
  <c r="FJ26" i="11" s="1"/>
  <c r="FX32" i="11"/>
  <c r="FS32" i="11"/>
  <c r="FC30" i="11"/>
  <c r="FC29" i="11"/>
  <c r="FC28" i="11"/>
  <c r="FC31" i="11" s="1"/>
  <c r="FL26" i="11" s="1"/>
  <c r="FU32" i="11"/>
  <c r="FZ32" i="11"/>
  <c r="FE30" i="11"/>
  <c r="FE29" i="11"/>
  <c r="FE28" i="11"/>
  <c r="FE31" i="11" s="1"/>
  <c r="FN26" i="11" s="1"/>
  <c r="FG30" i="11"/>
  <c r="FG29" i="11"/>
  <c r="FG28" i="11"/>
  <c r="FG31" i="11" s="1"/>
  <c r="FP26" i="11" s="1"/>
  <c r="GA30" i="11"/>
  <c r="GA29" i="11"/>
  <c r="GA28" i="11"/>
  <c r="GC30" i="11"/>
  <c r="GC29" i="11"/>
  <c r="GC28" i="11"/>
  <c r="GC31" i="11" s="1"/>
  <c r="GL26" i="11" s="1"/>
  <c r="GE30" i="11"/>
  <c r="GE29" i="11"/>
  <c r="GE28" i="11"/>
  <c r="GE31" i="11" s="1"/>
  <c r="GN26" i="11" s="1"/>
  <c r="GG30" i="11"/>
  <c r="GG29" i="11"/>
  <c r="GG28" i="11"/>
  <c r="GG31" i="11" s="1"/>
  <c r="GP26" i="11" s="1"/>
  <c r="GI27" i="11"/>
  <c r="HC30" i="11"/>
  <c r="HC29" i="11"/>
  <c r="HC28" i="11"/>
  <c r="HC31" i="11" s="1"/>
  <c r="HL26" i="11" s="1"/>
  <c r="HZ32" i="11"/>
  <c r="HX32" i="11" s="1"/>
  <c r="HU32" i="11"/>
  <c r="HE30" i="11"/>
  <c r="HE29" i="11"/>
  <c r="HE28" i="11"/>
  <c r="HE31" i="11" s="1"/>
  <c r="HN26" i="11" s="1"/>
  <c r="HW32" i="11"/>
  <c r="IB32" i="11"/>
  <c r="HG30" i="11"/>
  <c r="HG29" i="11"/>
  <c r="HG28" i="11"/>
  <c r="HG31" i="11" s="1"/>
  <c r="HP26" i="11" s="1"/>
  <c r="HI30" i="11"/>
  <c r="HI29" i="11"/>
  <c r="HI28" i="11"/>
  <c r="HI31" i="11" s="1"/>
  <c r="HR26" i="11" s="1"/>
  <c r="IC30" i="11"/>
  <c r="IC29" i="11"/>
  <c r="IC28" i="11"/>
  <c r="IE30" i="11"/>
  <c r="IE29" i="11"/>
  <c r="IE28" i="11"/>
  <c r="IE31" i="11" s="1"/>
  <c r="IN26" i="11" s="1"/>
  <c r="IG30" i="11"/>
  <c r="IG29" i="11"/>
  <c r="IG28" i="11"/>
  <c r="IG31" i="11" s="1"/>
  <c r="IP26" i="11" s="1"/>
  <c r="II30" i="11"/>
  <c r="II29" i="11"/>
  <c r="II28" i="11"/>
  <c r="II31" i="11" s="1"/>
  <c r="IR26" i="11" s="1"/>
  <c r="IK27" i="11"/>
  <c r="NQ30" i="11"/>
  <c r="KN32" i="11"/>
  <c r="KO31" i="11" s="1"/>
  <c r="KN31" i="11"/>
  <c r="KQ31" i="11" s="1"/>
  <c r="LC28" i="11"/>
  <c r="LC29" i="11" s="1"/>
  <c r="NY30" i="11"/>
  <c r="KB30" i="11"/>
  <c r="KS31" i="11"/>
  <c r="KT31" i="11"/>
  <c r="KT30" i="11"/>
  <c r="ND30" i="11"/>
  <c r="NF30" i="11"/>
  <c r="BP32" i="11"/>
  <c r="BP31" i="11" s="1"/>
  <c r="JV24" i="11"/>
  <c r="JW24" i="11" s="1"/>
  <c r="JU24" i="11"/>
  <c r="JD24" i="11"/>
  <c r="KC19" i="11" s="1"/>
  <c r="CU24" i="11"/>
  <c r="BW24" i="11"/>
  <c r="BO24" i="11"/>
  <c r="BO25" i="11" s="1"/>
  <c r="OG23" i="11"/>
  <c r="OF23" i="11"/>
  <c r="NX23" i="11"/>
  <c r="NW23" i="11"/>
  <c r="NH23" i="11"/>
  <c r="NG23" i="11"/>
  <c r="MH23" i="11"/>
  <c r="MG23" i="11"/>
  <c r="NE23" i="11" s="1"/>
  <c r="MF23" i="11"/>
  <c r="KR23" i="11"/>
  <c r="KQ23" i="11"/>
  <c r="KP23" i="11"/>
  <c r="KO23" i="11"/>
  <c r="KN23" i="11"/>
  <c r="JV23" i="11"/>
  <c r="JW23" i="11" s="1"/>
  <c r="JU23" i="11"/>
  <c r="JD23" i="11"/>
  <c r="KB20" i="11" s="1"/>
  <c r="CU23" i="11"/>
  <c r="CU25" i="11" s="1"/>
  <c r="CV23" i="11" s="1"/>
  <c r="T23" i="11"/>
  <c r="JD22" i="11" s="1"/>
  <c r="JV22" i="11"/>
  <c r="JU22" i="11"/>
  <c r="CD22" i="11"/>
  <c r="CD23" i="11" s="1"/>
  <c r="CD25" i="11" s="1"/>
  <c r="T22" i="11"/>
  <c r="JU21" i="11" s="1"/>
  <c r="KZ21" i="11"/>
  <c r="KY21" i="11"/>
  <c r="KW21" i="11"/>
  <c r="KW22" i="11" s="1"/>
  <c r="KV21" i="11"/>
  <c r="KV22" i="11" s="1"/>
  <c r="KU21" i="11"/>
  <c r="KU22" i="11" s="1"/>
  <c r="KT21" i="11"/>
  <c r="KT22" i="11" s="1"/>
  <c r="KS21" i="11"/>
  <c r="KS22" i="11" s="1"/>
  <c r="KS23" i="11" s="1"/>
  <c r="KR21" i="11"/>
  <c r="KR22" i="11" s="1"/>
  <c r="KQ21" i="11"/>
  <c r="KQ22" i="11" s="1"/>
  <c r="KP21" i="11"/>
  <c r="KP22" i="11" s="1"/>
  <c r="KO21" i="11"/>
  <c r="KO22" i="11" s="1"/>
  <c r="KN21" i="11"/>
  <c r="KN22" i="11" s="1"/>
  <c r="JV21" i="11"/>
  <c r="CV21" i="11"/>
  <c r="CV22" i="11" s="1"/>
  <c r="CU21" i="11"/>
  <c r="CU22" i="11" s="1"/>
  <c r="CD21" i="11"/>
  <c r="CC21" i="11"/>
  <c r="CB21" i="11"/>
  <c r="CA21" i="11"/>
  <c r="BZ21" i="11"/>
  <c r="BY21" i="11"/>
  <c r="BT21" i="11"/>
  <c r="BT22" i="11" s="1"/>
  <c r="BS21" i="11"/>
  <c r="BS22" i="11" s="1"/>
  <c r="BR21" i="11"/>
  <c r="BR22" i="11" s="1"/>
  <c r="BQ21" i="11"/>
  <c r="BQ22" i="11" s="1"/>
  <c r="BP21" i="11"/>
  <c r="BP22" i="11" s="1"/>
  <c r="BO21" i="11"/>
  <c r="BO22" i="11" s="1"/>
  <c r="T21" i="11"/>
  <c r="JU20" i="11" s="1"/>
  <c r="LM20" i="11"/>
  <c r="LL20" i="11"/>
  <c r="LK20" i="11"/>
  <c r="LJ20" i="11"/>
  <c r="LI20" i="11"/>
  <c r="LH20" i="11"/>
  <c r="LG20" i="11"/>
  <c r="LF20" i="11"/>
  <c r="LE20" i="11"/>
  <c r="LD20" i="11"/>
  <c r="LC20" i="11"/>
  <c r="LB20" i="11"/>
  <c r="LB21" i="11" s="1"/>
  <c r="LA20" i="11"/>
  <c r="LA21" i="11" s="1"/>
  <c r="KZ20" i="11"/>
  <c r="KZ22" i="11" s="1"/>
  <c r="KY20" i="11"/>
  <c r="KY22" i="11" s="1"/>
  <c r="KY23" i="11" s="1"/>
  <c r="KZ25" i="11" s="1"/>
  <c r="MU23" i="11" s="1"/>
  <c r="KW20" i="11"/>
  <c r="KV20" i="11"/>
  <c r="KU20" i="11"/>
  <c r="KT20" i="11"/>
  <c r="KS20" i="11"/>
  <c r="KR20" i="11"/>
  <c r="KQ20" i="11"/>
  <c r="KP20" i="11"/>
  <c r="KO20" i="11"/>
  <c r="KN20" i="11"/>
  <c r="JV20" i="11"/>
  <c r="JI20" i="11"/>
  <c r="IJ20" i="11"/>
  <c r="II20" i="11"/>
  <c r="IH20" i="11"/>
  <c r="IG20" i="11"/>
  <c r="IF20" i="11"/>
  <c r="IE20" i="11"/>
  <c r="ID20" i="11"/>
  <c r="IC20" i="11"/>
  <c r="IK19" i="11" s="1"/>
  <c r="HI20" i="11"/>
  <c r="HH20" i="11"/>
  <c r="HG20" i="11"/>
  <c r="HF20" i="11"/>
  <c r="HE20" i="11"/>
  <c r="HD20" i="11"/>
  <c r="HC20" i="11"/>
  <c r="HB20" i="11"/>
  <c r="HJ19" i="11" s="1"/>
  <c r="GH20" i="11"/>
  <c r="GG20" i="11"/>
  <c r="GF20" i="11"/>
  <c r="GE20" i="11"/>
  <c r="GD20" i="11"/>
  <c r="GC20" i="11"/>
  <c r="GB20" i="11"/>
  <c r="GA20" i="11"/>
  <c r="GI19" i="11" s="1"/>
  <c r="FG20" i="11"/>
  <c r="FF20" i="11"/>
  <c r="FE20" i="11"/>
  <c r="FD20" i="11"/>
  <c r="FC20" i="11"/>
  <c r="FB20" i="11"/>
  <c r="FA20" i="11"/>
  <c r="EZ20" i="11"/>
  <c r="FH19" i="11" s="1"/>
  <c r="EF20" i="11"/>
  <c r="EE20" i="11"/>
  <c r="ED20" i="11"/>
  <c r="EC20" i="11"/>
  <c r="EB20" i="11"/>
  <c r="EA20" i="11"/>
  <c r="DZ20" i="11"/>
  <c r="DY20" i="11"/>
  <c r="EG19" i="11" s="1"/>
  <c r="DE20" i="11"/>
  <c r="DD20" i="11"/>
  <c r="DC20" i="11"/>
  <c r="DB20" i="11"/>
  <c r="DA20" i="11"/>
  <c r="CZ20" i="11"/>
  <c r="CY20" i="11"/>
  <c r="CX20" i="11"/>
  <c r="DF19" i="11" s="1"/>
  <c r="CV20" i="11"/>
  <c r="CU20" i="11"/>
  <c r="CJ20" i="11"/>
  <c r="CD20" i="11"/>
  <c r="CC20" i="11"/>
  <c r="CC22" i="11" s="1"/>
  <c r="CB20" i="11"/>
  <c r="CB22" i="11" s="1"/>
  <c r="CB23" i="11" s="1"/>
  <c r="CA20" i="11"/>
  <c r="CA22" i="11" s="1"/>
  <c r="BZ20" i="11"/>
  <c r="BZ22" i="11" s="1"/>
  <c r="BZ23" i="11" s="1"/>
  <c r="BY20" i="11"/>
  <c r="BY22" i="11" s="1"/>
  <c r="BY23" i="11" s="1"/>
  <c r="BV20" i="11"/>
  <c r="BV21" i="11" s="1"/>
  <c r="BU20" i="11"/>
  <c r="BU21" i="11" s="1"/>
  <c r="BT20" i="11"/>
  <c r="BS20" i="11"/>
  <c r="BR20" i="11"/>
  <c r="BQ20" i="11"/>
  <c r="BP20" i="11"/>
  <c r="BO20" i="11"/>
  <c r="LB19" i="11"/>
  <c r="LA19" i="11"/>
  <c r="KW19" i="11"/>
  <c r="KV19" i="11"/>
  <c r="KU19" i="11"/>
  <c r="KT19" i="11"/>
  <c r="KS19" i="11"/>
  <c r="KR19" i="11"/>
  <c r="KQ19" i="11"/>
  <c r="KP19" i="11"/>
  <c r="KO19" i="11"/>
  <c r="KN19" i="11"/>
  <c r="KB19" i="11"/>
  <c r="JV19" i="11"/>
  <c r="JW19" i="11" s="1"/>
  <c r="JU19" i="11"/>
  <c r="JI19" i="11"/>
  <c r="JD19" i="11"/>
  <c r="CV19" i="11"/>
  <c r="CU19" i="11"/>
  <c r="CW19" i="11" s="1"/>
  <c r="CJ19" i="11"/>
  <c r="BV19" i="11"/>
  <c r="BU19" i="11"/>
  <c r="BT19" i="11"/>
  <c r="BS19" i="11"/>
  <c r="BR19" i="11"/>
  <c r="BQ19" i="11"/>
  <c r="BP19" i="11"/>
  <c r="BO19" i="11"/>
  <c r="AS19" i="11"/>
  <c r="BL19" i="11" s="1"/>
  <c r="T16" i="11"/>
  <c r="T14" i="11"/>
  <c r="E19" i="87"/>
  <c r="C199" i="87"/>
  <c r="I19" i="87"/>
  <c r="J18" i="87"/>
  <c r="H19" i="87"/>
  <c r="L13" i="87"/>
  <c r="K218" i="87"/>
  <c r="F13" i="87"/>
  <c r="D167" i="87"/>
  <c r="D95" i="87"/>
  <c r="E84" i="87"/>
  <c r="H18" i="87"/>
  <c r="D18" i="87"/>
  <c r="E18" i="87"/>
  <c r="K13" i="87"/>
  <c r="K217" i="87"/>
  <c r="L217" i="87"/>
  <c r="K84" i="87"/>
  <c r="I13" i="87"/>
  <c r="D19" i="87"/>
  <c r="J19" i="87"/>
  <c r="G19" i="87"/>
  <c r="F199" i="87"/>
  <c r="D93" i="87"/>
  <c r="G199" i="87"/>
  <c r="D178" i="87"/>
  <c r="C103" i="87"/>
  <c r="L19" i="87"/>
  <c r="L218" i="87"/>
  <c r="D199" i="87"/>
  <c r="D84" i="87"/>
  <c r="J13" i="87"/>
  <c r="E199" i="87"/>
  <c r="B13" i="87"/>
  <c r="K19" i="87"/>
  <c r="L84" i="87"/>
  <c r="H13" i="87"/>
  <c r="F18" i="87"/>
  <c r="E13" i="87"/>
  <c r="F19" i="87"/>
  <c r="I18" i="87"/>
  <c r="C167" i="87"/>
  <c r="G18" i="87"/>
  <c r="LA30" i="11" l="1"/>
  <c r="LD29" i="11" s="1"/>
  <c r="LL28" i="11" s="1"/>
  <c r="LL29" i="11" s="1"/>
  <c r="EG38" i="11"/>
  <c r="NZ30" i="11"/>
  <c r="LC30" i="11"/>
  <c r="LD28" i="11" s="1"/>
  <c r="LE28" i="11" s="1"/>
  <c r="LE30" i="11" s="1"/>
  <c r="MI30" i="11" s="1"/>
  <c r="FO33" i="11"/>
  <c r="FO36" i="11"/>
  <c r="JF27" i="11"/>
  <c r="EM35" i="11"/>
  <c r="EP35" i="11" s="1"/>
  <c r="FQ34" i="11"/>
  <c r="EM33" i="11"/>
  <c r="EM36" i="11"/>
  <c r="EN33" i="11"/>
  <c r="EN36" i="11"/>
  <c r="EN35" i="11"/>
  <c r="JZ35" i="11"/>
  <c r="LG37" i="11"/>
  <c r="MK37" i="11" s="1"/>
  <c r="LH35" i="11"/>
  <c r="IO37" i="11"/>
  <c r="IO38" i="11"/>
  <c r="IU34" i="11" s="1"/>
  <c r="GN33" i="11"/>
  <c r="GN36" i="11"/>
  <c r="GN35" i="11"/>
  <c r="KW37" i="11"/>
  <c r="KW38" i="11"/>
  <c r="KX37" i="11" s="1"/>
  <c r="LL39" i="11" s="1"/>
  <c r="KV38" i="11"/>
  <c r="GO33" i="11"/>
  <c r="GO35" i="11"/>
  <c r="GO36" i="11"/>
  <c r="GM33" i="11"/>
  <c r="GM36" i="11"/>
  <c r="GM35" i="11"/>
  <c r="LW37" i="11"/>
  <c r="LH39" i="11"/>
  <c r="GP33" i="11"/>
  <c r="GP36" i="11"/>
  <c r="GP35" i="11"/>
  <c r="GL33" i="11"/>
  <c r="GL36" i="11"/>
  <c r="GL35" i="11"/>
  <c r="JG33" i="11"/>
  <c r="GK33" i="11"/>
  <c r="GK36" i="11"/>
  <c r="GK35" i="11"/>
  <c r="FM33" i="11"/>
  <c r="FM36" i="11"/>
  <c r="FM35" i="11"/>
  <c r="HN37" i="11"/>
  <c r="HN38" i="11"/>
  <c r="HT34" i="11" s="1"/>
  <c r="NQ37" i="11"/>
  <c r="FJ33" i="11"/>
  <c r="FJ36" i="11"/>
  <c r="FJ35" i="11"/>
  <c r="GQ33" i="11"/>
  <c r="GQ36" i="11"/>
  <c r="GQ35" i="11"/>
  <c r="CH37" i="11"/>
  <c r="LO39" i="11"/>
  <c r="MA36" i="11" s="1"/>
  <c r="LX37" i="11"/>
  <c r="EP36" i="11"/>
  <c r="FP33" i="11"/>
  <c r="FP36" i="11"/>
  <c r="FP35" i="11"/>
  <c r="GI38" i="11"/>
  <c r="CG35" i="11"/>
  <c r="NO37" i="11"/>
  <c r="NL37" i="11"/>
  <c r="CF37" i="11"/>
  <c r="FN33" i="11"/>
  <c r="FN35" i="11"/>
  <c r="FN36" i="11"/>
  <c r="DU34" i="11"/>
  <c r="DX33" i="11"/>
  <c r="DT34" i="11"/>
  <c r="DW33" i="11"/>
  <c r="DS34" i="11"/>
  <c r="DV33" i="11"/>
  <c r="DW37" i="11"/>
  <c r="DR34" i="11"/>
  <c r="DU33" i="11"/>
  <c r="DN39" i="11"/>
  <c r="DW38" i="11"/>
  <c r="DV37" i="11"/>
  <c r="DQ34" i="11"/>
  <c r="DT33" i="11"/>
  <c r="DM39" i="11"/>
  <c r="DU38" i="11"/>
  <c r="DU37" i="11"/>
  <c r="DS33" i="11"/>
  <c r="DQ33" i="11"/>
  <c r="DT38" i="11"/>
  <c r="DT37" i="11"/>
  <c r="DR33" i="11"/>
  <c r="DS38" i="11"/>
  <c r="DS37" i="11"/>
  <c r="DX36" i="11"/>
  <c r="DR38" i="11"/>
  <c r="DR37" i="11"/>
  <c r="DW36" i="11"/>
  <c r="DQ38" i="11"/>
  <c r="DQ37" i="11"/>
  <c r="DV36" i="11"/>
  <c r="DN38" i="11"/>
  <c r="DP37" i="11"/>
  <c r="DU36" i="11"/>
  <c r="DM38" i="11"/>
  <c r="DT36" i="11"/>
  <c r="DS36" i="11"/>
  <c r="DR36" i="11"/>
  <c r="DX34" i="11"/>
  <c r="DQ36" i="11"/>
  <c r="DW34" i="11"/>
  <c r="DV34" i="11"/>
  <c r="DP36" i="11"/>
  <c r="KE34" i="11"/>
  <c r="KE36" i="11"/>
  <c r="CF35" i="11"/>
  <c r="NK37" i="11"/>
  <c r="CK33" i="11"/>
  <c r="CF36" i="11" s="1"/>
  <c r="JF33" i="11"/>
  <c r="JY33" i="11"/>
  <c r="FH38" i="11"/>
  <c r="FI33" i="11"/>
  <c r="FI36" i="11"/>
  <c r="FI35" i="11"/>
  <c r="CG37" i="11"/>
  <c r="NP37" i="11"/>
  <c r="GM28" i="11"/>
  <c r="IO28" i="11"/>
  <c r="EI28" i="11"/>
  <c r="CA23" i="11"/>
  <c r="CC23" i="11"/>
  <c r="JD21" i="11"/>
  <c r="JJ19" i="11"/>
  <c r="GQ28" i="11"/>
  <c r="EM28" i="11"/>
  <c r="IS28" i="11"/>
  <c r="BW26" i="11"/>
  <c r="BW32" i="11" s="1"/>
  <c r="BW30" i="11" s="1"/>
  <c r="BO30" i="11" s="1"/>
  <c r="BY31" i="11" s="1"/>
  <c r="LB22" i="11"/>
  <c r="E203" i="87"/>
  <c r="E202" i="87"/>
  <c r="E205" i="87"/>
  <c r="AO201" i="87" s="1"/>
  <c r="E204" i="87"/>
  <c r="D205" i="87"/>
  <c r="AN201" i="87" s="1"/>
  <c r="D204" i="87"/>
  <c r="D203" i="87"/>
  <c r="D202" i="87"/>
  <c r="E90" i="87"/>
  <c r="E89" i="87"/>
  <c r="E88" i="87"/>
  <c r="E87" i="87"/>
  <c r="K86" i="87"/>
  <c r="K87" i="87"/>
  <c r="G24" i="87"/>
  <c r="G23" i="87"/>
  <c r="G25" i="87"/>
  <c r="G22" i="87"/>
  <c r="K23" i="87"/>
  <c r="F25" i="87"/>
  <c r="F22" i="87"/>
  <c r="F24" i="87"/>
  <c r="F23" i="87"/>
  <c r="J23" i="87"/>
  <c r="H81" i="87"/>
  <c r="L219" i="87"/>
  <c r="D170" i="87"/>
  <c r="K78" i="87"/>
  <c r="C81" i="87"/>
  <c r="E81" i="87"/>
  <c r="C203" i="87"/>
  <c r="C202" i="87"/>
  <c r="C205" i="87"/>
  <c r="AM201" i="87" s="1"/>
  <c r="C204" i="87"/>
  <c r="G202" i="87"/>
  <c r="F205" i="87"/>
  <c r="AP201" i="87" s="1"/>
  <c r="F204" i="87"/>
  <c r="F203" i="87"/>
  <c r="F202" i="87"/>
  <c r="L87" i="87"/>
  <c r="L86" i="87"/>
  <c r="D90" i="87"/>
  <c r="D91" i="87" s="1"/>
  <c r="D89" i="87"/>
  <c r="D88" i="87"/>
  <c r="D87" i="87"/>
  <c r="E24" i="87"/>
  <c r="E23" i="87"/>
  <c r="E25" i="87"/>
  <c r="E22" i="87"/>
  <c r="D25" i="87"/>
  <c r="D22" i="87"/>
  <c r="D24" i="87"/>
  <c r="D23" i="87"/>
  <c r="H25" i="87"/>
  <c r="H22" i="87"/>
  <c r="H24" i="87"/>
  <c r="H23" i="87"/>
  <c r="L23" i="87"/>
  <c r="K219" i="87"/>
  <c r="K220" i="87" s="1"/>
  <c r="C170" i="87"/>
  <c r="I23" i="87"/>
  <c r="F81" i="87"/>
  <c r="AK201" i="87"/>
  <c r="AK86" i="87"/>
  <c r="AK21" i="87"/>
  <c r="AK169" i="87"/>
  <c r="AK105" i="87"/>
  <c r="AK96" i="87"/>
  <c r="AK131" i="87"/>
  <c r="AL97" i="87"/>
  <c r="AL132" i="87"/>
  <c r="AL133" i="87" s="1"/>
  <c r="AL115" i="87"/>
  <c r="AK180" i="87"/>
  <c r="AK141" i="87"/>
  <c r="AK123" i="87"/>
  <c r="AK113" i="87"/>
  <c r="BQ32" i="11"/>
  <c r="BQ31" i="11" s="1"/>
  <c r="BQ30" i="11" s="1"/>
  <c r="CA31" i="11" s="1"/>
  <c r="CE26" i="11"/>
  <c r="BY32" i="11"/>
  <c r="CE27" i="11" s="1"/>
  <c r="LF28" i="11"/>
  <c r="HE32" i="11"/>
  <c r="HN29" i="11"/>
  <c r="HN27" i="11"/>
  <c r="HL28" i="11"/>
  <c r="GP28" i="11"/>
  <c r="GE32" i="11"/>
  <c r="GN29" i="11"/>
  <c r="GN27" i="11"/>
  <c r="GL28" i="11"/>
  <c r="GA32" i="11"/>
  <c r="GI32" i="11" s="1"/>
  <c r="GK30" i="11" s="1"/>
  <c r="GI29" i="11"/>
  <c r="GJ27" i="11"/>
  <c r="GR27" i="11" s="1"/>
  <c r="FP28" i="11"/>
  <c r="FE32" i="11"/>
  <c r="FN29" i="11"/>
  <c r="FN27" i="11"/>
  <c r="FL28" i="11"/>
  <c r="FV32" i="11"/>
  <c r="JG27" i="11"/>
  <c r="FA32" i="11"/>
  <c r="FJ29" i="11"/>
  <c r="FJ27" i="11"/>
  <c r="EE32" i="11"/>
  <c r="EN29" i="11"/>
  <c r="EN27" i="11"/>
  <c r="EL28" i="11"/>
  <c r="EA32" i="11"/>
  <c r="EJ29" i="11"/>
  <c r="EJ27" i="11"/>
  <c r="DY31" i="11"/>
  <c r="EH28" i="11" s="1"/>
  <c r="EP28" i="11" s="1"/>
  <c r="EG28" i="11"/>
  <c r="EG30" i="11"/>
  <c r="DE32" i="11"/>
  <c r="DN29" i="11"/>
  <c r="DN27" i="11"/>
  <c r="DL28" i="11"/>
  <c r="DA32" i="11"/>
  <c r="DJ29" i="11"/>
  <c r="DJ27" i="11"/>
  <c r="DH28" i="11"/>
  <c r="JX31" i="11"/>
  <c r="KE27" i="11" s="1"/>
  <c r="JP30" i="11"/>
  <c r="JP26" i="11"/>
  <c r="JL26" i="11"/>
  <c r="LM28" i="11"/>
  <c r="LM29" i="11" s="1"/>
  <c r="IH32" i="11"/>
  <c r="IQ29" i="11"/>
  <c r="IQ27" i="11"/>
  <c r="ID32" i="11"/>
  <c r="IM29" i="11"/>
  <c r="IM27" i="11"/>
  <c r="HQ28" i="11"/>
  <c r="HF32" i="11"/>
  <c r="HO29" i="11"/>
  <c r="HO27" i="11"/>
  <c r="HM28" i="11"/>
  <c r="HB32" i="11"/>
  <c r="HJ32" i="11" s="1"/>
  <c r="HL30" i="11" s="1"/>
  <c r="HJ29" i="11"/>
  <c r="HK27" i="11"/>
  <c r="HS27" i="11" s="1"/>
  <c r="GH32" i="11"/>
  <c r="GQ29" i="11"/>
  <c r="GQ27" i="11"/>
  <c r="GD32" i="11"/>
  <c r="GM29" i="11"/>
  <c r="GM27" i="11"/>
  <c r="FF32" i="11"/>
  <c r="FO29" i="11"/>
  <c r="FO27" i="11"/>
  <c r="FM28" i="11"/>
  <c r="FB32" i="11"/>
  <c r="FK29" i="11"/>
  <c r="FK27" i="11"/>
  <c r="EZ31" i="11"/>
  <c r="FI28" i="11" s="1"/>
  <c r="FQ28" i="11" s="1"/>
  <c r="FH28" i="11"/>
  <c r="FH30" i="11"/>
  <c r="ED32" i="11"/>
  <c r="EM29" i="11"/>
  <c r="EM27" i="11"/>
  <c r="DZ32" i="11"/>
  <c r="EI29" i="11"/>
  <c r="EI27" i="11"/>
  <c r="DM28" i="11"/>
  <c r="DB32" i="11"/>
  <c r="DK29" i="11"/>
  <c r="DK27" i="11"/>
  <c r="DI28" i="11"/>
  <c r="CX32" i="11"/>
  <c r="DF32" i="11" s="1"/>
  <c r="DH30" i="11" s="1"/>
  <c r="DF29" i="11"/>
  <c r="DG27" i="11"/>
  <c r="DO27" i="11" s="1"/>
  <c r="CQ29" i="11"/>
  <c r="CQ28" i="11"/>
  <c r="OD30" i="11"/>
  <c r="JJ30" i="11"/>
  <c r="JJ32" i="11"/>
  <c r="JQ30" i="11"/>
  <c r="JQ26" i="11"/>
  <c r="NI30" i="11"/>
  <c r="JX30" i="11"/>
  <c r="KD27" i="11"/>
  <c r="BP30" i="11"/>
  <c r="BZ31" i="11" s="1"/>
  <c r="KI29" i="11"/>
  <c r="KI28" i="11"/>
  <c r="JP29" i="11"/>
  <c r="JP28" i="11"/>
  <c r="II32" i="11"/>
  <c r="IR29" i="11"/>
  <c r="IR27" i="11"/>
  <c r="IP28" i="11"/>
  <c r="IE32" i="11"/>
  <c r="IN29" i="11"/>
  <c r="IN27" i="11"/>
  <c r="IC31" i="11"/>
  <c r="IL28" i="11" s="1"/>
  <c r="IT28" i="11" s="1"/>
  <c r="IK28" i="11"/>
  <c r="IK30" i="11"/>
  <c r="HI32" i="11"/>
  <c r="HR29" i="11"/>
  <c r="HR27" i="11"/>
  <c r="HP28" i="11"/>
  <c r="KV32" i="11"/>
  <c r="KT32" i="11"/>
  <c r="KW32" i="11"/>
  <c r="KU32" i="11"/>
  <c r="KS32" i="11"/>
  <c r="KQ32" i="11"/>
  <c r="KU31" i="11"/>
  <c r="KX26" i="11" s="1"/>
  <c r="NN30" i="11"/>
  <c r="IR28" i="11"/>
  <c r="IG32" i="11"/>
  <c r="IP29" i="11"/>
  <c r="IP27" i="11"/>
  <c r="IN28" i="11"/>
  <c r="IC32" i="11"/>
  <c r="IK32" i="11" s="1"/>
  <c r="IM30" i="11" s="1"/>
  <c r="IK29" i="11"/>
  <c r="IL27" i="11"/>
  <c r="IT27" i="11" s="1"/>
  <c r="HR28" i="11"/>
  <c r="HG32" i="11"/>
  <c r="HP29" i="11"/>
  <c r="HP27" i="11"/>
  <c r="HN28" i="11"/>
  <c r="HC32" i="11"/>
  <c r="HL29" i="11"/>
  <c r="HL27" i="11"/>
  <c r="GG32" i="11"/>
  <c r="GP29" i="11"/>
  <c r="GP27" i="11"/>
  <c r="GN28" i="11"/>
  <c r="GC32" i="11"/>
  <c r="GL29" i="11"/>
  <c r="GL27" i="11"/>
  <c r="GA31" i="11"/>
  <c r="GJ28" i="11" s="1"/>
  <c r="GR28" i="11" s="1"/>
  <c r="GI28" i="11"/>
  <c r="GI30" i="11"/>
  <c r="FG32" i="11"/>
  <c r="FP29" i="11"/>
  <c r="FP27" i="11"/>
  <c r="FN28" i="11"/>
  <c r="FC32" i="11"/>
  <c r="FL29" i="11"/>
  <c r="FL27" i="11"/>
  <c r="FJ28" i="11"/>
  <c r="EN28" i="11"/>
  <c r="EC32" i="11"/>
  <c r="EL29" i="11"/>
  <c r="EL27" i="11"/>
  <c r="EJ28" i="11"/>
  <c r="DY32" i="11"/>
  <c r="EG32" i="11" s="1"/>
  <c r="EI30" i="11" s="1"/>
  <c r="EG29" i="11"/>
  <c r="EH27" i="11"/>
  <c r="EP27" i="11" s="1"/>
  <c r="DN28" i="11"/>
  <c r="DC32" i="11"/>
  <c r="DL29" i="11"/>
  <c r="DL27" i="11"/>
  <c r="DJ28" i="11"/>
  <c r="CY32" i="11"/>
  <c r="DH29" i="11"/>
  <c r="DH27" i="11"/>
  <c r="KI30" i="11"/>
  <c r="KI26" i="11"/>
  <c r="KE26" i="11"/>
  <c r="JE31" i="11"/>
  <c r="JL27" i="11" s="1"/>
  <c r="CJ32" i="11"/>
  <c r="CQ30" i="11"/>
  <c r="CQ26" i="11"/>
  <c r="IJ32" i="11"/>
  <c r="IS29" i="11"/>
  <c r="IS27" i="11"/>
  <c r="IQ28" i="11"/>
  <c r="IF32" i="11"/>
  <c r="IO29" i="11"/>
  <c r="IO27" i="11"/>
  <c r="IM28" i="11"/>
  <c r="HH32" i="11"/>
  <c r="HQ29" i="11"/>
  <c r="HQ27" i="11"/>
  <c r="HO28" i="11"/>
  <c r="HD32" i="11"/>
  <c r="HM29" i="11"/>
  <c r="HM27" i="11"/>
  <c r="HB31" i="11"/>
  <c r="HK28" i="11" s="1"/>
  <c r="HS28" i="11" s="1"/>
  <c r="HJ28" i="11"/>
  <c r="HJ30" i="11"/>
  <c r="GF32" i="11"/>
  <c r="GO29" i="11"/>
  <c r="GO27" i="11"/>
  <c r="GO28" i="11"/>
  <c r="GW32" i="11"/>
  <c r="JH27" i="11"/>
  <c r="GB32" i="11"/>
  <c r="GK29" i="11"/>
  <c r="GK27" i="11"/>
  <c r="GK28" i="11"/>
  <c r="FO28" i="11"/>
  <c r="FD32" i="11"/>
  <c r="FM29" i="11"/>
  <c r="FM27" i="11"/>
  <c r="FK28" i="11"/>
  <c r="EZ32" i="11"/>
  <c r="FH32" i="11" s="1"/>
  <c r="FJ30" i="11" s="1"/>
  <c r="FH29" i="11"/>
  <c r="FI27" i="11"/>
  <c r="FQ27" i="11" s="1"/>
  <c r="EF32" i="11"/>
  <c r="EO29" i="11"/>
  <c r="EO27" i="11"/>
  <c r="EO28" i="11"/>
  <c r="EB32" i="11"/>
  <c r="EK29" i="11"/>
  <c r="EK27" i="11"/>
  <c r="EK28" i="11"/>
  <c r="DD32" i="11"/>
  <c r="DM29" i="11"/>
  <c r="DM27" i="11"/>
  <c r="DK28" i="11"/>
  <c r="CZ32" i="11"/>
  <c r="DI29" i="11"/>
  <c r="DI27" i="11"/>
  <c r="CX31" i="11"/>
  <c r="DG28" i="11" s="1"/>
  <c r="DO28" i="11" s="1"/>
  <c r="DF28" i="11"/>
  <c r="DF30" i="11"/>
  <c r="OC30" i="11"/>
  <c r="KC30" i="11"/>
  <c r="KC32" i="11"/>
  <c r="KJ30" i="11"/>
  <c r="KJ26" i="11"/>
  <c r="NJ30" i="11"/>
  <c r="JE30" i="11"/>
  <c r="LA22" i="11"/>
  <c r="JW22" i="11"/>
  <c r="KA20" i="11" s="1"/>
  <c r="JW21" i="11"/>
  <c r="JZ20" i="11" s="1"/>
  <c r="NQ23" i="11" s="1"/>
  <c r="JW20" i="11"/>
  <c r="JD20" i="11"/>
  <c r="JX20" i="11"/>
  <c r="JE20" i="11"/>
  <c r="JJ22" i="11"/>
  <c r="JJ21" i="11"/>
  <c r="JJ24" i="11" s="1"/>
  <c r="JQ20" i="11" s="1"/>
  <c r="JJ20" i="11"/>
  <c r="CZ23" i="11"/>
  <c r="CZ22" i="11"/>
  <c r="CZ21" i="11"/>
  <c r="CZ24" i="11" s="1"/>
  <c r="DI19" i="11" s="1"/>
  <c r="KC22" i="11"/>
  <c r="KC20" i="11"/>
  <c r="KC21" i="11"/>
  <c r="KC24" i="11" s="1"/>
  <c r="KJ20" i="11" s="1"/>
  <c r="BV22" i="11"/>
  <c r="OB23" i="11"/>
  <c r="CJ23" i="11"/>
  <c r="CX23" i="11"/>
  <c r="CX22" i="11"/>
  <c r="CX21" i="11"/>
  <c r="DB23" i="11"/>
  <c r="DB22" i="11"/>
  <c r="DB21" i="11"/>
  <c r="DB24" i="11" s="1"/>
  <c r="DK19" i="11" s="1"/>
  <c r="DD23" i="11"/>
  <c r="DD22" i="11"/>
  <c r="DD21" i="11"/>
  <c r="DD24" i="11" s="1"/>
  <c r="DM19" i="11" s="1"/>
  <c r="DF20" i="11"/>
  <c r="DZ22" i="11"/>
  <c r="DZ21" i="11"/>
  <c r="ER25" i="11"/>
  <c r="EB22" i="11"/>
  <c r="EB21" i="11"/>
  <c r="ET25" i="11"/>
  <c r="ED22" i="11"/>
  <c r="ED21" i="11"/>
  <c r="EF22" i="11"/>
  <c r="EF21" i="11"/>
  <c r="EZ22" i="11"/>
  <c r="EZ21" i="11"/>
  <c r="FB22" i="11"/>
  <c r="FB21" i="11"/>
  <c r="FD22" i="11"/>
  <c r="FD21" i="11"/>
  <c r="FF23" i="11"/>
  <c r="FF22" i="11"/>
  <c r="FF21" i="11"/>
  <c r="FH20" i="11"/>
  <c r="FB23" i="11" s="1"/>
  <c r="GB22" i="11"/>
  <c r="GB21" i="11"/>
  <c r="GT25" i="11"/>
  <c r="GD22" i="11"/>
  <c r="GD21" i="11"/>
  <c r="GV25" i="11"/>
  <c r="GF22" i="11"/>
  <c r="GF21" i="11"/>
  <c r="GH22" i="11"/>
  <c r="GH21" i="11"/>
  <c r="HB23" i="11"/>
  <c r="HB22" i="11"/>
  <c r="HB21" i="11"/>
  <c r="HD23" i="11"/>
  <c r="HD22" i="11"/>
  <c r="HD21" i="11"/>
  <c r="HD24" i="11" s="1"/>
  <c r="HM19" i="11" s="1"/>
  <c r="HF23" i="11"/>
  <c r="HF22" i="11"/>
  <c r="HF21" i="11"/>
  <c r="HF24" i="11" s="1"/>
  <c r="HO19" i="11" s="1"/>
  <c r="HH23" i="11"/>
  <c r="HH22" i="11"/>
  <c r="HH21" i="11"/>
  <c r="HH24" i="11" s="1"/>
  <c r="HQ19" i="11" s="1"/>
  <c r="HJ20" i="11"/>
  <c r="ID22" i="11"/>
  <c r="ID23" i="11"/>
  <c r="ID21" i="11"/>
  <c r="ID24" i="11" s="1"/>
  <c r="IM19" i="11" s="1"/>
  <c r="IV25" i="11"/>
  <c r="JA25" i="11"/>
  <c r="IY25" i="11" s="1"/>
  <c r="IF22" i="11"/>
  <c r="IF23" i="11"/>
  <c r="IF21" i="11"/>
  <c r="IF24" i="11" s="1"/>
  <c r="IO19" i="11" s="1"/>
  <c r="JC25" i="11"/>
  <c r="IX25" i="11"/>
  <c r="IH22" i="11"/>
  <c r="IH23" i="11"/>
  <c r="IH21" i="11"/>
  <c r="IH24" i="11" s="1"/>
  <c r="IQ19" i="11" s="1"/>
  <c r="IJ22" i="11"/>
  <c r="IJ23" i="11"/>
  <c r="IJ21" i="11"/>
  <c r="IJ24" i="11" s="1"/>
  <c r="IS19" i="11" s="1"/>
  <c r="OA23" i="11"/>
  <c r="CJ22" i="11"/>
  <c r="CJ21" i="11"/>
  <c r="CJ24" i="11" s="1"/>
  <c r="CQ20" i="11" s="1"/>
  <c r="JE19" i="11"/>
  <c r="JI22" i="11"/>
  <c r="JI21" i="11"/>
  <c r="JI24" i="11" s="1"/>
  <c r="JP20" i="11" s="1"/>
  <c r="JX19" i="11"/>
  <c r="KB22" i="11"/>
  <c r="KB21" i="11"/>
  <c r="KB24" i="11" s="1"/>
  <c r="KI20" i="11" s="1"/>
  <c r="BU22" i="11"/>
  <c r="CY23" i="11"/>
  <c r="CY22" i="11"/>
  <c r="CY21" i="11"/>
  <c r="CY24" i="11" s="1"/>
  <c r="DH19" i="11" s="1"/>
  <c r="DV25" i="11"/>
  <c r="DT25" i="11" s="1"/>
  <c r="DQ25" i="11"/>
  <c r="DA23" i="11"/>
  <c r="DA22" i="11"/>
  <c r="DA21" i="11"/>
  <c r="DA24" i="11" s="1"/>
  <c r="DJ19" i="11" s="1"/>
  <c r="DS25" i="11"/>
  <c r="DX25" i="11"/>
  <c r="DC23" i="11"/>
  <c r="DC22" i="11"/>
  <c r="DC21" i="11"/>
  <c r="DC24" i="11" s="1"/>
  <c r="DL19" i="11" s="1"/>
  <c r="DE23" i="11"/>
  <c r="DE22" i="11"/>
  <c r="DE21" i="11"/>
  <c r="DE24" i="11" s="1"/>
  <c r="DN19" i="11" s="1"/>
  <c r="DY21" i="11"/>
  <c r="DY22" i="11"/>
  <c r="EA21" i="11"/>
  <c r="EA22" i="11"/>
  <c r="EC21" i="11"/>
  <c r="EC22" i="11"/>
  <c r="EE21" i="11"/>
  <c r="EE22" i="11"/>
  <c r="EG20" i="11"/>
  <c r="EB23" i="11" s="1"/>
  <c r="FA23" i="11"/>
  <c r="FA22" i="11"/>
  <c r="FA21" i="11"/>
  <c r="FS25" i="11"/>
  <c r="FC23" i="11"/>
  <c r="FC22" i="11"/>
  <c r="FC21" i="11"/>
  <c r="FU25" i="11"/>
  <c r="FE23" i="11"/>
  <c r="FE22" i="11"/>
  <c r="FE21" i="11"/>
  <c r="FG23" i="11"/>
  <c r="FG22" i="11"/>
  <c r="FG21" i="11"/>
  <c r="GA21" i="11"/>
  <c r="GA22" i="11"/>
  <c r="GC21" i="11"/>
  <c r="GC22" i="11"/>
  <c r="GE21" i="11"/>
  <c r="GE22" i="11"/>
  <c r="GG23" i="11"/>
  <c r="GG21" i="11"/>
  <c r="GG22" i="11"/>
  <c r="GI20" i="11"/>
  <c r="GB23" i="11" s="1"/>
  <c r="HC23" i="11"/>
  <c r="HC22" i="11"/>
  <c r="HC21" i="11"/>
  <c r="HC24" i="11" s="1"/>
  <c r="HL19" i="11" s="1"/>
  <c r="HZ25" i="11"/>
  <c r="HX25" i="11" s="1"/>
  <c r="HU25" i="11"/>
  <c r="HE23" i="11"/>
  <c r="HE22" i="11"/>
  <c r="HE21" i="11"/>
  <c r="HE24" i="11" s="1"/>
  <c r="HN19" i="11" s="1"/>
  <c r="HW25" i="11"/>
  <c r="IB25" i="11"/>
  <c r="HG23" i="11"/>
  <c r="HG22" i="11"/>
  <c r="HG21" i="11"/>
  <c r="HG24" i="11" s="1"/>
  <c r="HP19" i="11" s="1"/>
  <c r="HI23" i="11"/>
  <c r="HI22" i="11"/>
  <c r="HI21" i="11"/>
  <c r="HI24" i="11" s="1"/>
  <c r="HR19" i="11" s="1"/>
  <c r="IC23" i="11"/>
  <c r="IC22" i="11"/>
  <c r="IC21" i="11"/>
  <c r="IE23" i="11"/>
  <c r="IE22" i="11"/>
  <c r="IE21" i="11"/>
  <c r="IE24" i="11" s="1"/>
  <c r="IN19" i="11" s="1"/>
  <c r="IG23" i="11"/>
  <c r="IG22" i="11"/>
  <c r="IG21" i="11"/>
  <c r="IG24" i="11" s="1"/>
  <c r="IP19" i="11" s="1"/>
  <c r="II23" i="11"/>
  <c r="II22" i="11"/>
  <c r="II21" i="11"/>
  <c r="II24" i="11" s="1"/>
  <c r="IR19" i="11" s="1"/>
  <c r="IK20" i="11"/>
  <c r="JY20" i="11"/>
  <c r="NZ23" i="11"/>
  <c r="JI23" i="11"/>
  <c r="NY23" i="11"/>
  <c r="KB23" i="11"/>
  <c r="KS24" i="11"/>
  <c r="KT24" i="11"/>
  <c r="KT23" i="11"/>
  <c r="CW23" i="11"/>
  <c r="NU23" i="11"/>
  <c r="KN25" i="11"/>
  <c r="KO24" i="11" s="1"/>
  <c r="KN24" i="11"/>
  <c r="KQ24" i="11" s="1"/>
  <c r="LC21" i="11"/>
  <c r="LC22" i="11" s="1"/>
  <c r="ND23" i="11"/>
  <c r="NF23" i="11"/>
  <c r="BP25" i="11"/>
  <c r="BP24" i="11" s="1"/>
  <c r="AS12" i="11"/>
  <c r="BL12" i="11" s="1"/>
  <c r="M2" i="86"/>
  <c r="V2" i="86"/>
  <c r="Z2" i="86"/>
  <c r="R38" i="86"/>
  <c r="Q38" i="86"/>
  <c r="R37" i="86"/>
  <c r="Q37" i="86"/>
  <c r="R36" i="86"/>
  <c r="Q36" i="86"/>
  <c r="R35" i="86"/>
  <c r="Q35" i="86"/>
  <c r="AD28" i="86"/>
  <c r="AC28" i="86"/>
  <c r="AB28" i="86"/>
  <c r="AA28" i="86"/>
  <c r="Z28" i="86"/>
  <c r="Y28" i="86"/>
  <c r="X28" i="86"/>
  <c r="W28" i="86"/>
  <c r="A28" i="86"/>
  <c r="S28" i="86" s="1"/>
  <c r="AD27" i="86"/>
  <c r="AC27" i="86"/>
  <c r="AB27" i="86"/>
  <c r="AA27" i="86"/>
  <c r="Z27" i="86"/>
  <c r="Y27" i="86"/>
  <c r="X27" i="86"/>
  <c r="W27" i="86"/>
  <c r="A27" i="86"/>
  <c r="AD26" i="86"/>
  <c r="AC26" i="86"/>
  <c r="AB26" i="86"/>
  <c r="AA26" i="86"/>
  <c r="Z26" i="86"/>
  <c r="Y26" i="86"/>
  <c r="X26" i="86"/>
  <c r="W26" i="86"/>
  <c r="P26" i="86"/>
  <c r="L26" i="86"/>
  <c r="J26" i="86"/>
  <c r="F26" i="86"/>
  <c r="D26" i="86"/>
  <c r="B26" i="86"/>
  <c r="A26" i="86"/>
  <c r="H26" i="86" s="1"/>
  <c r="AD25" i="86"/>
  <c r="AC25" i="86"/>
  <c r="AB25" i="86"/>
  <c r="AA25" i="86"/>
  <c r="Z25" i="86"/>
  <c r="Y25" i="86"/>
  <c r="X25" i="86"/>
  <c r="W25" i="86"/>
  <c r="T25" i="86"/>
  <c r="R25" i="86"/>
  <c r="N25" i="86"/>
  <c r="L25" i="86"/>
  <c r="J25" i="86"/>
  <c r="F25" i="86"/>
  <c r="D25" i="86"/>
  <c r="A25" i="86"/>
  <c r="U25" i="86" s="1"/>
  <c r="AD24" i="86"/>
  <c r="AC24" i="86"/>
  <c r="AB24" i="86"/>
  <c r="AA24" i="86"/>
  <c r="Z24" i="86"/>
  <c r="Y24" i="86"/>
  <c r="X24" i="86"/>
  <c r="W24" i="86"/>
  <c r="T24" i="86"/>
  <c r="N24" i="86"/>
  <c r="L24" i="86"/>
  <c r="F24" i="86"/>
  <c r="D24" i="86"/>
  <c r="A24" i="86"/>
  <c r="U24" i="86" s="1"/>
  <c r="AD23" i="86"/>
  <c r="AC23" i="86"/>
  <c r="AB23" i="86"/>
  <c r="AA23" i="86"/>
  <c r="Z23" i="86"/>
  <c r="Y23" i="86"/>
  <c r="X23" i="86"/>
  <c r="W23" i="86"/>
  <c r="V23" i="86"/>
  <c r="T23" i="86"/>
  <c r="P23" i="86"/>
  <c r="N23" i="86"/>
  <c r="L23" i="86"/>
  <c r="H23" i="86"/>
  <c r="F23" i="86"/>
  <c r="D23" i="86"/>
  <c r="B23" i="86"/>
  <c r="A23" i="86"/>
  <c r="U23" i="86" s="1"/>
  <c r="AD22" i="86"/>
  <c r="AC22" i="86"/>
  <c r="AB22" i="86"/>
  <c r="AA22" i="86"/>
  <c r="Z22" i="86"/>
  <c r="Y22" i="86"/>
  <c r="X22" i="86"/>
  <c r="W22" i="86"/>
  <c r="V22" i="86"/>
  <c r="T22" i="86"/>
  <c r="P22" i="86"/>
  <c r="N22" i="86"/>
  <c r="L22" i="86"/>
  <c r="J22" i="86"/>
  <c r="H22" i="86"/>
  <c r="F22" i="86"/>
  <c r="D22" i="86"/>
  <c r="B22" i="86"/>
  <c r="A22" i="86"/>
  <c r="U22" i="86" s="1"/>
  <c r="AD21" i="86"/>
  <c r="AC21" i="86"/>
  <c r="AB21" i="86"/>
  <c r="AA21" i="86"/>
  <c r="Z21" i="86"/>
  <c r="Y21" i="86"/>
  <c r="X21" i="86"/>
  <c r="W21" i="86"/>
  <c r="T21" i="86"/>
  <c r="R21" i="86"/>
  <c r="N21" i="86"/>
  <c r="L21" i="86"/>
  <c r="J21" i="86"/>
  <c r="F21" i="86"/>
  <c r="D21" i="86"/>
  <c r="A21" i="86"/>
  <c r="U21" i="86" s="1"/>
  <c r="AD20" i="86"/>
  <c r="AC20" i="86"/>
  <c r="AB20" i="86"/>
  <c r="AA20" i="86"/>
  <c r="Z20" i="86"/>
  <c r="Y20" i="86"/>
  <c r="X20" i="86"/>
  <c r="W20" i="86"/>
  <c r="T20" i="86"/>
  <c r="F20" i="86"/>
  <c r="D20" i="86"/>
  <c r="A20" i="86"/>
  <c r="U20" i="86" s="1"/>
  <c r="AD19" i="86"/>
  <c r="AC19" i="86"/>
  <c r="AB19" i="86"/>
  <c r="AA19" i="86"/>
  <c r="Z19" i="86"/>
  <c r="Y19" i="86"/>
  <c r="X19" i="86"/>
  <c r="W19" i="86"/>
  <c r="V19" i="86"/>
  <c r="T19" i="86"/>
  <c r="P19" i="86"/>
  <c r="N19" i="86"/>
  <c r="L19" i="86"/>
  <c r="H19" i="86"/>
  <c r="F19" i="86"/>
  <c r="D19" i="86"/>
  <c r="B19" i="86"/>
  <c r="A19" i="86"/>
  <c r="U19" i="86" s="1"/>
  <c r="AD18" i="86"/>
  <c r="AC18" i="86"/>
  <c r="AB18" i="86"/>
  <c r="AA18" i="86"/>
  <c r="Z18" i="86"/>
  <c r="Y18" i="86"/>
  <c r="X18" i="86"/>
  <c r="W18" i="86"/>
  <c r="V18" i="86"/>
  <c r="T18" i="86"/>
  <c r="P18" i="86"/>
  <c r="N18" i="86"/>
  <c r="L18" i="86"/>
  <c r="J18" i="86"/>
  <c r="F18" i="86"/>
  <c r="D18" i="86"/>
  <c r="B18" i="86"/>
  <c r="A18" i="86"/>
  <c r="U18" i="86" s="1"/>
  <c r="AD17" i="86"/>
  <c r="AC17" i="86"/>
  <c r="AB17" i="86"/>
  <c r="AA17" i="86"/>
  <c r="Z17" i="86"/>
  <c r="Y17" i="86"/>
  <c r="X17" i="86"/>
  <c r="W17" i="86"/>
  <c r="T17" i="86"/>
  <c r="R17" i="86"/>
  <c r="N17" i="86"/>
  <c r="L17" i="86"/>
  <c r="J17" i="86"/>
  <c r="F17" i="86"/>
  <c r="D17" i="86"/>
  <c r="A17" i="86"/>
  <c r="U17" i="86" s="1"/>
  <c r="AD16" i="86"/>
  <c r="AC16" i="86"/>
  <c r="AB16" i="86"/>
  <c r="AA16" i="86"/>
  <c r="Z16" i="86"/>
  <c r="Y16" i="86"/>
  <c r="X16" i="86"/>
  <c r="W16" i="86"/>
  <c r="F16" i="86"/>
  <c r="D16" i="86"/>
  <c r="A16" i="86"/>
  <c r="U16" i="86" s="1"/>
  <c r="AD15" i="86"/>
  <c r="AC15" i="86"/>
  <c r="AB15" i="86"/>
  <c r="AA15" i="86"/>
  <c r="Z15" i="86"/>
  <c r="Y15" i="86"/>
  <c r="X15" i="86"/>
  <c r="W15" i="86"/>
  <c r="V15" i="86"/>
  <c r="T15" i="86"/>
  <c r="P15" i="86"/>
  <c r="N15" i="86"/>
  <c r="L15" i="86"/>
  <c r="H15" i="86"/>
  <c r="F15" i="86"/>
  <c r="D15" i="86"/>
  <c r="B15" i="86"/>
  <c r="A15" i="86"/>
  <c r="U15" i="86" s="1"/>
  <c r="AD14" i="86"/>
  <c r="AC14" i="86"/>
  <c r="AB14" i="86"/>
  <c r="AA14" i="86"/>
  <c r="Z14" i="86"/>
  <c r="Y14" i="86"/>
  <c r="X14" i="86"/>
  <c r="W14" i="86"/>
  <c r="V14" i="86"/>
  <c r="T14" i="86"/>
  <c r="P14" i="86"/>
  <c r="N14" i="86"/>
  <c r="L14" i="86"/>
  <c r="J14" i="86"/>
  <c r="F14" i="86"/>
  <c r="D14" i="86"/>
  <c r="B14" i="86"/>
  <c r="A14" i="86"/>
  <c r="U14" i="86" s="1"/>
  <c r="AD13" i="86"/>
  <c r="AC13" i="86"/>
  <c r="AB13" i="86"/>
  <c r="AA13" i="86"/>
  <c r="Z13" i="86"/>
  <c r="Y13" i="86"/>
  <c r="X13" i="86"/>
  <c r="W13" i="86"/>
  <c r="T13" i="86"/>
  <c r="R13" i="86"/>
  <c r="P13" i="86"/>
  <c r="N13" i="86"/>
  <c r="L13" i="86"/>
  <c r="J13" i="86"/>
  <c r="H13" i="86"/>
  <c r="F13" i="86"/>
  <c r="D13" i="86"/>
  <c r="B13" i="86"/>
  <c r="A13" i="86"/>
  <c r="U13" i="86" s="1"/>
  <c r="T12" i="86"/>
  <c r="R12" i="86"/>
  <c r="N12" i="86"/>
  <c r="J12" i="86"/>
  <c r="H12" i="86"/>
  <c r="B12" i="86"/>
  <c r="A12" i="86"/>
  <c r="U12" i="86" s="1"/>
  <c r="L11" i="86"/>
  <c r="J11" i="86"/>
  <c r="B11" i="86"/>
  <c r="A11" i="86"/>
  <c r="U11" i="86" s="1"/>
  <c r="T10" i="86"/>
  <c r="R10" i="86"/>
  <c r="P10" i="86"/>
  <c r="N10" i="86"/>
  <c r="L10" i="86"/>
  <c r="J10" i="86"/>
  <c r="F10" i="86"/>
  <c r="D10" i="86"/>
  <c r="B10" i="86"/>
  <c r="A10" i="86"/>
  <c r="U10" i="86" s="1"/>
  <c r="V9" i="86"/>
  <c r="T9" i="86"/>
  <c r="R9" i="86"/>
  <c r="P9" i="86"/>
  <c r="L9" i="86"/>
  <c r="J9" i="86"/>
  <c r="H9" i="86"/>
  <c r="F9" i="86"/>
  <c r="D9" i="86"/>
  <c r="B9" i="86"/>
  <c r="A9" i="86"/>
  <c r="U9" i="86" s="1"/>
  <c r="A8" i="86"/>
  <c r="H4" i="86"/>
  <c r="H3" i="86"/>
  <c r="H2" i="86"/>
  <c r="D1" i="86"/>
  <c r="E1" i="86" s="1"/>
  <c r="F1" i="86" s="1"/>
  <c r="I14" i="87"/>
  <c r="C200" i="87"/>
  <c r="I20" i="87"/>
  <c r="H20" i="87"/>
  <c r="E14" i="87"/>
  <c r="F200" i="87"/>
  <c r="J20" i="87"/>
  <c r="D85" i="87"/>
  <c r="D20" i="87"/>
  <c r="L85" i="87"/>
  <c r="F20" i="87"/>
  <c r="K20" i="87"/>
  <c r="E200" i="87"/>
  <c r="B14" i="87"/>
  <c r="C122" i="87"/>
  <c r="K14" i="87"/>
  <c r="C104" i="87"/>
  <c r="C168" i="87"/>
  <c r="F14" i="87"/>
  <c r="D168" i="87"/>
  <c r="D200" i="87"/>
  <c r="L14" i="87"/>
  <c r="J14" i="87"/>
  <c r="C95" i="87"/>
  <c r="D114" i="87"/>
  <c r="A94" i="87"/>
  <c r="L20" i="87"/>
  <c r="E20" i="87"/>
  <c r="K85" i="87"/>
  <c r="G200" i="87"/>
  <c r="G20" i="87"/>
  <c r="E85" i="87"/>
  <c r="D96" i="87"/>
  <c r="D104" i="87" l="1"/>
  <c r="BI94" i="87" s="1"/>
  <c r="BK94" i="87" s="1"/>
  <c r="D103" i="87"/>
  <c r="BI93" i="87" s="1"/>
  <c r="BJ94" i="87" s="1"/>
  <c r="LA23" i="11"/>
  <c r="LD22" i="11" s="1"/>
  <c r="LL21" i="11" s="1"/>
  <c r="IL29" i="11"/>
  <c r="IT29" i="11" s="1"/>
  <c r="BR32" i="11"/>
  <c r="BS32" i="11" s="1"/>
  <c r="JK27" i="11"/>
  <c r="JF30" i="11" s="1"/>
  <c r="BW19" i="11"/>
  <c r="BW25" i="11" s="1"/>
  <c r="BW23" i="11" s="1"/>
  <c r="BO23" i="11" s="1"/>
  <c r="BY24" i="11" s="1"/>
  <c r="BY25" i="11" s="1"/>
  <c r="CE20" i="11" s="1"/>
  <c r="EP33" i="11"/>
  <c r="GR36" i="11"/>
  <c r="FQ35" i="11"/>
  <c r="EI37" i="11"/>
  <c r="EI38" i="11" s="1"/>
  <c r="EI39" i="11" s="1"/>
  <c r="EM38" i="11" s="1"/>
  <c r="GR33" i="11"/>
  <c r="GR35" i="11"/>
  <c r="IS21" i="11"/>
  <c r="JY35" i="11"/>
  <c r="KD33" i="11"/>
  <c r="JG35" i="11"/>
  <c r="CH36" i="11"/>
  <c r="CI36" i="11"/>
  <c r="CE36" i="11"/>
  <c r="CM33" i="11"/>
  <c r="CK35" i="11"/>
  <c r="IR39" i="11"/>
  <c r="JB38" i="11"/>
  <c r="JA37" i="11"/>
  <c r="JC36" i="11"/>
  <c r="IZ38" i="11"/>
  <c r="IZ37" i="11"/>
  <c r="JB36" i="11"/>
  <c r="IY38" i="11"/>
  <c r="IY37" i="11"/>
  <c r="JA36" i="11"/>
  <c r="IX38" i="11"/>
  <c r="IX37" i="11"/>
  <c r="IZ36" i="11"/>
  <c r="IW38" i="11"/>
  <c r="IW37" i="11"/>
  <c r="IY36" i="11"/>
  <c r="IV38" i="11"/>
  <c r="IV37" i="11"/>
  <c r="IX36" i="11"/>
  <c r="JB33" i="11"/>
  <c r="IS38" i="11"/>
  <c r="IU37" i="11"/>
  <c r="IW36" i="11"/>
  <c r="JC34" i="11"/>
  <c r="JC33" i="11"/>
  <c r="IR38" i="11"/>
  <c r="IV36" i="11"/>
  <c r="JB34" i="11"/>
  <c r="IU36" i="11"/>
  <c r="JA34" i="11"/>
  <c r="JA33" i="11"/>
  <c r="IZ34" i="11"/>
  <c r="IZ33" i="11"/>
  <c r="IY34" i="11"/>
  <c r="IY33" i="11"/>
  <c r="IX34" i="11"/>
  <c r="IX33" i="11"/>
  <c r="IW34" i="11"/>
  <c r="IW33" i="11"/>
  <c r="IV34" i="11"/>
  <c r="IV33" i="11"/>
  <c r="IS39" i="11"/>
  <c r="JB37" i="11"/>
  <c r="CM35" i="11"/>
  <c r="HR39" i="11"/>
  <c r="HW36" i="11"/>
  <c r="HQ39" i="11"/>
  <c r="HV36" i="11"/>
  <c r="IB34" i="11"/>
  <c r="HU36" i="11"/>
  <c r="IA34" i="11"/>
  <c r="IA37" i="11"/>
  <c r="HT36" i="11"/>
  <c r="HZ34" i="11"/>
  <c r="IA38" i="11"/>
  <c r="HZ37" i="11"/>
  <c r="HY34" i="11"/>
  <c r="HY38" i="11"/>
  <c r="HY37" i="11"/>
  <c r="HX34" i="11"/>
  <c r="HX38" i="11"/>
  <c r="HX37" i="11"/>
  <c r="HW34" i="11"/>
  <c r="HW38" i="11"/>
  <c r="HW37" i="11"/>
  <c r="HV34" i="11"/>
  <c r="HV38" i="11"/>
  <c r="HV37" i="11"/>
  <c r="HU34" i="11"/>
  <c r="IB33" i="11"/>
  <c r="HU38" i="11"/>
  <c r="HU37" i="11"/>
  <c r="IA33" i="11"/>
  <c r="HR38" i="11"/>
  <c r="HT37" i="11"/>
  <c r="HZ33" i="11"/>
  <c r="HQ38" i="11"/>
  <c r="IB36" i="11"/>
  <c r="HY33" i="11"/>
  <c r="IA36" i="11"/>
  <c r="HX33" i="11"/>
  <c r="HZ36" i="11"/>
  <c r="HW33" i="11"/>
  <c r="HY36" i="11"/>
  <c r="HV33" i="11"/>
  <c r="HX36" i="11"/>
  <c r="HU33" i="11"/>
  <c r="LI35" i="11"/>
  <c r="LH37" i="11"/>
  <c r="ML37" i="11" s="1"/>
  <c r="FQ36" i="11"/>
  <c r="FQ33" i="11"/>
  <c r="CG36" i="11"/>
  <c r="CN35" i="11" s="1"/>
  <c r="JF35" i="11"/>
  <c r="JK33" i="11"/>
  <c r="JY36" i="11" s="1"/>
  <c r="CG38" i="11"/>
  <c r="CN34" i="11" s="1"/>
  <c r="CO35" i="11"/>
  <c r="D11" i="86"/>
  <c r="L12" i="86"/>
  <c r="V17" i="86"/>
  <c r="V21" i="86"/>
  <c r="V25" i="86"/>
  <c r="N26" i="86"/>
  <c r="IO21" i="11"/>
  <c r="LC23" i="11"/>
  <c r="LD21" i="11" s="1"/>
  <c r="LE21" i="11" s="1"/>
  <c r="LF21" i="11" s="1"/>
  <c r="EH29" i="11"/>
  <c r="EP29" i="11" s="1"/>
  <c r="F11" i="86"/>
  <c r="H11" i="86"/>
  <c r="P12" i="86"/>
  <c r="R14" i="86"/>
  <c r="J15" i="86"/>
  <c r="B16" i="86"/>
  <c r="R18" i="86"/>
  <c r="J19" i="86"/>
  <c r="B20" i="86"/>
  <c r="R22" i="86"/>
  <c r="J23" i="86"/>
  <c r="B24" i="86"/>
  <c r="S26" i="86"/>
  <c r="N11" i="86"/>
  <c r="V12" i="86"/>
  <c r="H16" i="86"/>
  <c r="H20" i="86"/>
  <c r="H24" i="86"/>
  <c r="C28" i="86"/>
  <c r="KE30" i="11"/>
  <c r="H10" i="86"/>
  <c r="P11" i="86"/>
  <c r="R15" i="86"/>
  <c r="J16" i="86"/>
  <c r="B17" i="86"/>
  <c r="R19" i="86"/>
  <c r="J20" i="86"/>
  <c r="B21" i="86"/>
  <c r="R23" i="86"/>
  <c r="J24" i="86"/>
  <c r="B25" i="86"/>
  <c r="G28" i="86"/>
  <c r="R11" i="86"/>
  <c r="L16" i="86"/>
  <c r="L20" i="86"/>
  <c r="K28" i="86"/>
  <c r="N16" i="86"/>
  <c r="N20" i="86"/>
  <c r="O28" i="86"/>
  <c r="T11" i="86"/>
  <c r="V11" i="86"/>
  <c r="P16" i="86"/>
  <c r="H17" i="86"/>
  <c r="P20" i="86"/>
  <c r="H21" i="86"/>
  <c r="P24" i="86"/>
  <c r="H25" i="86"/>
  <c r="R16" i="86"/>
  <c r="R20" i="86"/>
  <c r="R24" i="86"/>
  <c r="T16" i="86"/>
  <c r="D12" i="86"/>
  <c r="V16" i="86"/>
  <c r="V20" i="86"/>
  <c r="V24" i="86"/>
  <c r="FI29" i="11"/>
  <c r="FQ29" i="11" s="1"/>
  <c r="N9" i="86"/>
  <c r="V10" i="86"/>
  <c r="F12" i="86"/>
  <c r="H14" i="86"/>
  <c r="P17" i="86"/>
  <c r="H18" i="86"/>
  <c r="P21" i="86"/>
  <c r="P25" i="86"/>
  <c r="LL22" i="11"/>
  <c r="LM21" i="11"/>
  <c r="LM22" i="11" s="1"/>
  <c r="K88" i="87"/>
  <c r="K89" i="87" s="1"/>
  <c r="K90" i="87" s="1"/>
  <c r="L88" i="87"/>
  <c r="L89" i="87" s="1"/>
  <c r="L90" i="87" s="1"/>
  <c r="AK132" i="87"/>
  <c r="AL116" i="87"/>
  <c r="AL134" i="87"/>
  <c r="AL98" i="87"/>
  <c r="AK97" i="87"/>
  <c r="AK106" i="87"/>
  <c r="AK28" i="87"/>
  <c r="B133" i="87"/>
  <c r="B134" i="87" s="1"/>
  <c r="B135" i="87" s="1"/>
  <c r="B136" i="87" s="1"/>
  <c r="B114" i="87"/>
  <c r="B115" i="87" s="1"/>
  <c r="B116" i="87" s="1"/>
  <c r="B117" i="87" s="1"/>
  <c r="B95" i="87"/>
  <c r="B96" i="87" s="1"/>
  <c r="B97" i="87" s="1"/>
  <c r="B98" i="87" s="1"/>
  <c r="AK124" i="87"/>
  <c r="AK142" i="87"/>
  <c r="AK182" i="87"/>
  <c r="AK170" i="87"/>
  <c r="AK206" i="87"/>
  <c r="AM203" i="87"/>
  <c r="AM204" i="87"/>
  <c r="AN203" i="87" s="1"/>
  <c r="JL29" i="11"/>
  <c r="JL28" i="11"/>
  <c r="DF31" i="11"/>
  <c r="DG26" i="11"/>
  <c r="DO26" i="11" s="1"/>
  <c r="HJ31" i="11"/>
  <c r="HK26" i="11"/>
  <c r="HS26" i="11" s="1"/>
  <c r="EI32" i="11"/>
  <c r="EM31" i="11"/>
  <c r="EI31" i="11"/>
  <c r="EM30" i="11"/>
  <c r="IM32" i="11"/>
  <c r="IQ31" i="11"/>
  <c r="IM31" i="11"/>
  <c r="IQ30" i="11"/>
  <c r="LN32" i="11"/>
  <c r="MT30" i="11"/>
  <c r="KV30" i="11"/>
  <c r="KU30" i="11"/>
  <c r="CG26" i="11"/>
  <c r="CA32" i="11"/>
  <c r="CG27" i="11" s="1"/>
  <c r="KE29" i="11"/>
  <c r="KE28" i="11"/>
  <c r="DH32" i="11"/>
  <c r="DL31" i="11"/>
  <c r="DH31" i="11"/>
  <c r="DL30" i="11"/>
  <c r="HK29" i="11"/>
  <c r="HS29" i="11" s="1"/>
  <c r="HL32" i="11"/>
  <c r="HP31" i="11"/>
  <c r="HL31" i="11"/>
  <c r="HP30" i="11"/>
  <c r="JL30" i="11"/>
  <c r="EG31" i="11"/>
  <c r="EH26" i="11"/>
  <c r="EP26" i="11" s="1"/>
  <c r="CE28" i="11"/>
  <c r="KA30" i="11"/>
  <c r="JY30" i="11"/>
  <c r="JZ30" i="11"/>
  <c r="KJ29" i="11"/>
  <c r="KJ28" i="11"/>
  <c r="FJ32" i="11"/>
  <c r="FN31" i="11"/>
  <c r="FJ31" i="11"/>
  <c r="FN30" i="11"/>
  <c r="NV30" i="11"/>
  <c r="JH30" i="11"/>
  <c r="GI31" i="11"/>
  <c r="GJ26" i="11"/>
  <c r="GR26" i="11" s="1"/>
  <c r="LG32" i="11"/>
  <c r="MS30" i="11"/>
  <c r="BR31" i="11"/>
  <c r="BR30" i="11" s="1"/>
  <c r="CB31" i="11" s="1"/>
  <c r="IK31" i="11"/>
  <c r="IL26" i="11"/>
  <c r="IT26" i="11" s="1"/>
  <c r="CF26" i="11"/>
  <c r="BZ32" i="11"/>
  <c r="CF27" i="11" s="1"/>
  <c r="JQ29" i="11"/>
  <c r="JQ28" i="11"/>
  <c r="DG29" i="11"/>
  <c r="DO29" i="11" s="1"/>
  <c r="FH31" i="11"/>
  <c r="FI26" i="11"/>
  <c r="FQ26" i="11" s="1"/>
  <c r="NR30" i="11"/>
  <c r="JG30" i="11"/>
  <c r="GJ29" i="11"/>
  <c r="GR29" i="11" s="1"/>
  <c r="GK32" i="11"/>
  <c r="GO31" i="11"/>
  <c r="GK31" i="11"/>
  <c r="GO30" i="11"/>
  <c r="LF30" i="11"/>
  <c r="MJ30" i="11" s="1"/>
  <c r="LG28" i="11"/>
  <c r="GC23" i="11"/>
  <c r="GL20" i="11" s="1"/>
  <c r="BQ25" i="11"/>
  <c r="BQ24" i="11" s="1"/>
  <c r="BQ23" i="11" s="1"/>
  <c r="CA24" i="11" s="1"/>
  <c r="CE19" i="11"/>
  <c r="KV25" i="11"/>
  <c r="KT25" i="11"/>
  <c r="KW25" i="11"/>
  <c r="KU25" i="11"/>
  <c r="KS25" i="11"/>
  <c r="II25" i="11"/>
  <c r="IR22" i="11"/>
  <c r="IR20" i="11"/>
  <c r="IP21" i="11"/>
  <c r="IE25" i="11"/>
  <c r="IN22" i="11"/>
  <c r="IN20" i="11"/>
  <c r="IC24" i="11"/>
  <c r="IL21" i="11" s="1"/>
  <c r="IT21" i="11" s="1"/>
  <c r="IK21" i="11"/>
  <c r="IK23" i="11"/>
  <c r="HI25" i="11"/>
  <c r="HR22" i="11"/>
  <c r="HR20" i="11"/>
  <c r="HP21" i="11"/>
  <c r="HE25" i="11"/>
  <c r="HN22" i="11"/>
  <c r="HN20" i="11"/>
  <c r="HL21" i="11"/>
  <c r="GG25" i="11"/>
  <c r="GP20" i="11"/>
  <c r="GC25" i="11"/>
  <c r="GI21" i="11"/>
  <c r="GE24" i="11" s="1"/>
  <c r="FE25" i="11"/>
  <c r="FN20" i="11"/>
  <c r="FA25" i="11"/>
  <c r="FJ20" i="11"/>
  <c r="EC25" i="11"/>
  <c r="EC23" i="11"/>
  <c r="EL20" i="11" s="1"/>
  <c r="DY25" i="11"/>
  <c r="EG22" i="11"/>
  <c r="DY23" i="11"/>
  <c r="EH20" i="11" s="1"/>
  <c r="DE25" i="11"/>
  <c r="DN22" i="11"/>
  <c r="DN20" i="11"/>
  <c r="DL21" i="11"/>
  <c r="DA25" i="11"/>
  <c r="DJ22" i="11"/>
  <c r="DJ20" i="11"/>
  <c r="DH21" i="11"/>
  <c r="JX22" i="11"/>
  <c r="JX21" i="11"/>
  <c r="JP23" i="11"/>
  <c r="JP19" i="11"/>
  <c r="IH25" i="11"/>
  <c r="IQ22" i="11"/>
  <c r="IQ20" i="11"/>
  <c r="ID25" i="11"/>
  <c r="IM22" i="11"/>
  <c r="IM20" i="11"/>
  <c r="HQ21" i="11"/>
  <c r="HF25" i="11"/>
  <c r="HO22" i="11"/>
  <c r="HO20" i="11"/>
  <c r="HM21" i="11"/>
  <c r="HB25" i="11"/>
  <c r="HJ25" i="11" s="1"/>
  <c r="HL23" i="11" s="1"/>
  <c r="HJ22" i="11"/>
  <c r="HK20" i="11"/>
  <c r="HS20" i="11" s="1"/>
  <c r="GH24" i="11"/>
  <c r="GQ19" i="11" s="1"/>
  <c r="GH23" i="11"/>
  <c r="GQ21" i="11" s="1"/>
  <c r="GF25" i="11"/>
  <c r="GD24" i="11"/>
  <c r="GM19" i="11" s="1"/>
  <c r="GD23" i="11"/>
  <c r="GM20" i="11" s="1"/>
  <c r="GB25" i="11"/>
  <c r="GK20" i="11"/>
  <c r="FF25" i="11"/>
  <c r="FO20" i="11"/>
  <c r="FD23" i="11"/>
  <c r="FB25" i="11"/>
  <c r="FK20" i="11"/>
  <c r="FH21" i="11"/>
  <c r="FC24" i="11" s="1"/>
  <c r="EZ23" i="11"/>
  <c r="FI20" i="11" s="1"/>
  <c r="FQ20" i="11" s="1"/>
  <c r="EF25" i="11"/>
  <c r="ED23" i="11"/>
  <c r="EB25" i="11"/>
  <c r="EK20" i="11"/>
  <c r="DZ23" i="11"/>
  <c r="EI20" i="11" s="1"/>
  <c r="DM21" i="11"/>
  <c r="DB25" i="11"/>
  <c r="DK22" i="11"/>
  <c r="DK20" i="11"/>
  <c r="CX24" i="11"/>
  <c r="DG22" i="11" s="1"/>
  <c r="DO22" i="11" s="1"/>
  <c r="DF21" i="11"/>
  <c r="DF23" i="11"/>
  <c r="OC23" i="11"/>
  <c r="KC23" i="11"/>
  <c r="DI21" i="11"/>
  <c r="OD23" i="11"/>
  <c r="JJ23" i="11"/>
  <c r="JJ25" i="11"/>
  <c r="JQ23" i="11"/>
  <c r="JQ19" i="11"/>
  <c r="NI23" i="11"/>
  <c r="JX23" i="11"/>
  <c r="KD20" i="11"/>
  <c r="BP23" i="11"/>
  <c r="BZ24" i="11" s="1"/>
  <c r="KQ25" i="11"/>
  <c r="KU24" i="11"/>
  <c r="KX19" i="11" s="1"/>
  <c r="KI22" i="11"/>
  <c r="KI21" i="11"/>
  <c r="JP22" i="11"/>
  <c r="JP21" i="11"/>
  <c r="NM23" i="11"/>
  <c r="IR21" i="11"/>
  <c r="IG25" i="11"/>
  <c r="IP22" i="11"/>
  <c r="IP20" i="11"/>
  <c r="IN21" i="11"/>
  <c r="IC25" i="11"/>
  <c r="IK25" i="11" s="1"/>
  <c r="IM23" i="11" s="1"/>
  <c r="IK22" i="11"/>
  <c r="IL20" i="11"/>
  <c r="IT20" i="11" s="1"/>
  <c r="HR21" i="11"/>
  <c r="HG25" i="11"/>
  <c r="HP22" i="11"/>
  <c r="HP20" i="11"/>
  <c r="HN21" i="11"/>
  <c r="HC25" i="11"/>
  <c r="HL22" i="11"/>
  <c r="HL20" i="11"/>
  <c r="GG24" i="11"/>
  <c r="GP19" i="11" s="1"/>
  <c r="GE25" i="11"/>
  <c r="GE23" i="11"/>
  <c r="GN20" i="11" s="1"/>
  <c r="GC24" i="11"/>
  <c r="GL19" i="11" s="1"/>
  <c r="GA25" i="11"/>
  <c r="GI22" i="11"/>
  <c r="GA23" i="11"/>
  <c r="GJ20" i="11" s="1"/>
  <c r="FG25" i="11"/>
  <c r="FP20" i="11"/>
  <c r="FE24" i="11"/>
  <c r="FN19" i="11" s="1"/>
  <c r="FC25" i="11"/>
  <c r="FL20" i="11"/>
  <c r="FA24" i="11"/>
  <c r="FJ19" i="11" s="1"/>
  <c r="EE25" i="11"/>
  <c r="EE23" i="11"/>
  <c r="EN20" i="11" s="1"/>
  <c r="EA25" i="11"/>
  <c r="EA23" i="11"/>
  <c r="EG21" i="11"/>
  <c r="EA24" i="11" s="1"/>
  <c r="DN21" i="11"/>
  <c r="DC25" i="11"/>
  <c r="DL22" i="11"/>
  <c r="DL20" i="11"/>
  <c r="DJ21" i="11"/>
  <c r="CY25" i="11"/>
  <c r="DH22" i="11"/>
  <c r="DH20" i="11"/>
  <c r="KI23" i="11"/>
  <c r="KI19" i="11"/>
  <c r="JE22" i="11"/>
  <c r="JE21" i="11"/>
  <c r="CJ25" i="11"/>
  <c r="CQ23" i="11"/>
  <c r="CQ19" i="11"/>
  <c r="IJ25" i="11"/>
  <c r="IS22" i="11"/>
  <c r="IS20" i="11"/>
  <c r="IQ21" i="11"/>
  <c r="IF25" i="11"/>
  <c r="IO22" i="11"/>
  <c r="IO20" i="11"/>
  <c r="IM21" i="11"/>
  <c r="HH25" i="11"/>
  <c r="HQ22" i="11"/>
  <c r="HQ20" i="11"/>
  <c r="HO21" i="11"/>
  <c r="HD25" i="11"/>
  <c r="HM22" i="11"/>
  <c r="HM20" i="11"/>
  <c r="HB24" i="11"/>
  <c r="HJ21" i="11"/>
  <c r="HJ23" i="11"/>
  <c r="GH25" i="11"/>
  <c r="GF24" i="11"/>
  <c r="GO19" i="11" s="1"/>
  <c r="GF23" i="11"/>
  <c r="GD25" i="11"/>
  <c r="GB24" i="11"/>
  <c r="GK19" i="11" s="1"/>
  <c r="FF24" i="11"/>
  <c r="FO19" i="11" s="1"/>
  <c r="FD25" i="11"/>
  <c r="FM20" i="11"/>
  <c r="FB24" i="11"/>
  <c r="FK19" i="11" s="1"/>
  <c r="EZ25" i="11"/>
  <c r="FH25" i="11" s="1"/>
  <c r="FH22" i="11"/>
  <c r="EF24" i="11"/>
  <c r="EO19" i="11" s="1"/>
  <c r="EF23" i="11"/>
  <c r="ED25" i="11"/>
  <c r="EM20" i="11"/>
  <c r="EB24" i="11"/>
  <c r="EK19" i="11" s="1"/>
  <c r="DZ25" i="11"/>
  <c r="DD25" i="11"/>
  <c r="DM22" i="11"/>
  <c r="DM20" i="11"/>
  <c r="DK21" i="11"/>
  <c r="CX25" i="11"/>
  <c r="DF25" i="11" s="1"/>
  <c r="DH23" i="11" s="1"/>
  <c r="DF22" i="11"/>
  <c r="DG20" i="11"/>
  <c r="DO20" i="11" s="1"/>
  <c r="CQ22" i="11"/>
  <c r="CQ21" i="11"/>
  <c r="KC25" i="11"/>
  <c r="KJ23" i="11"/>
  <c r="KJ19" i="11"/>
  <c r="CZ25" i="11"/>
  <c r="DI22" i="11"/>
  <c r="DI20" i="11"/>
  <c r="NJ23" i="11"/>
  <c r="JE23" i="11"/>
  <c r="G1" i="86"/>
  <c r="H1" i="86" s="1"/>
  <c r="V27" i="86"/>
  <c r="T27" i="86"/>
  <c r="R27" i="86"/>
  <c r="P27" i="86"/>
  <c r="N27" i="86"/>
  <c r="L27" i="86"/>
  <c r="J27" i="86"/>
  <c r="H27" i="86"/>
  <c r="F27" i="86"/>
  <c r="D27" i="86"/>
  <c r="B27" i="86"/>
  <c r="S27" i="86"/>
  <c r="O27" i="86"/>
  <c r="K27" i="86"/>
  <c r="G27" i="86"/>
  <c r="C27" i="86"/>
  <c r="I27" i="86"/>
  <c r="Q27" i="86"/>
  <c r="C9" i="86"/>
  <c r="E9" i="86"/>
  <c r="G9" i="86"/>
  <c r="I9" i="86"/>
  <c r="K9" i="86"/>
  <c r="M9" i="86"/>
  <c r="O9" i="86"/>
  <c r="Q9" i="86"/>
  <c r="S9" i="86"/>
  <c r="C10" i="86"/>
  <c r="E10" i="86"/>
  <c r="G10" i="86"/>
  <c r="I10" i="86"/>
  <c r="K10" i="86"/>
  <c r="M10" i="86"/>
  <c r="O10" i="86"/>
  <c r="Q10" i="86"/>
  <c r="S10" i="86"/>
  <c r="C11" i="86"/>
  <c r="E11" i="86"/>
  <c r="G11" i="86"/>
  <c r="I11" i="86"/>
  <c r="K11" i="86"/>
  <c r="M11" i="86"/>
  <c r="O11" i="86"/>
  <c r="Q11" i="86"/>
  <c r="S11" i="86"/>
  <c r="C12" i="86"/>
  <c r="E12" i="86"/>
  <c r="G12" i="86"/>
  <c r="I12" i="86"/>
  <c r="K12" i="86"/>
  <c r="M12" i="86"/>
  <c r="O12" i="86"/>
  <c r="Q12" i="86"/>
  <c r="S12" i="86"/>
  <c r="C13" i="86"/>
  <c r="E13" i="86"/>
  <c r="G13" i="86"/>
  <c r="I13" i="86"/>
  <c r="K13" i="86"/>
  <c r="M13" i="86"/>
  <c r="O13" i="86"/>
  <c r="Q13" i="86"/>
  <c r="S13" i="86"/>
  <c r="V13" i="86"/>
  <c r="E27" i="86"/>
  <c r="M27" i="86"/>
  <c r="U27" i="86"/>
  <c r="C14" i="86"/>
  <c r="E14" i="86"/>
  <c r="G14" i="86"/>
  <c r="I14" i="86"/>
  <c r="K14" i="86"/>
  <c r="M14" i="86"/>
  <c r="O14" i="86"/>
  <c r="Q14" i="86"/>
  <c r="S14" i="86"/>
  <c r="C15" i="86"/>
  <c r="E15" i="86"/>
  <c r="G15" i="86"/>
  <c r="I15" i="86"/>
  <c r="K15" i="86"/>
  <c r="M15" i="86"/>
  <c r="O15" i="86"/>
  <c r="Q15" i="86"/>
  <c r="S15" i="86"/>
  <c r="C16" i="86"/>
  <c r="E16" i="86"/>
  <c r="G16" i="86"/>
  <c r="I16" i="86"/>
  <c r="K16" i="86"/>
  <c r="M16" i="86"/>
  <c r="O16" i="86"/>
  <c r="Q16" i="86"/>
  <c r="S16" i="86"/>
  <c r="C17" i="86"/>
  <c r="E17" i="86"/>
  <c r="G17" i="86"/>
  <c r="I17" i="86"/>
  <c r="K17" i="86"/>
  <c r="M17" i="86"/>
  <c r="O17" i="86"/>
  <c r="Q17" i="86"/>
  <c r="S17" i="86"/>
  <c r="C18" i="86"/>
  <c r="E18" i="86"/>
  <c r="G18" i="86"/>
  <c r="I18" i="86"/>
  <c r="K18" i="86"/>
  <c r="M18" i="86"/>
  <c r="O18" i="86"/>
  <c r="Q18" i="86"/>
  <c r="S18" i="86"/>
  <c r="C19" i="86"/>
  <c r="E19" i="86"/>
  <c r="G19" i="86"/>
  <c r="I19" i="86"/>
  <c r="K19" i="86"/>
  <c r="M19" i="86"/>
  <c r="O19" i="86"/>
  <c r="Q19" i="86"/>
  <c r="S19" i="86"/>
  <c r="C20" i="86"/>
  <c r="E20" i="86"/>
  <c r="G20" i="86"/>
  <c r="I20" i="86"/>
  <c r="K20" i="86"/>
  <c r="M20" i="86"/>
  <c r="O20" i="86"/>
  <c r="Q20" i="86"/>
  <c r="S20" i="86"/>
  <c r="C21" i="86"/>
  <c r="E21" i="86"/>
  <c r="G21" i="86"/>
  <c r="I21" i="86"/>
  <c r="K21" i="86"/>
  <c r="M21" i="86"/>
  <c r="O21" i="86"/>
  <c r="Q21" i="86"/>
  <c r="S21" i="86"/>
  <c r="C22" i="86"/>
  <c r="E22" i="86"/>
  <c r="G22" i="86"/>
  <c r="I22" i="86"/>
  <c r="K22" i="86"/>
  <c r="M22" i="86"/>
  <c r="O22" i="86"/>
  <c r="Q22" i="86"/>
  <c r="S22" i="86"/>
  <c r="C23" i="86"/>
  <c r="E23" i="86"/>
  <c r="G23" i="86"/>
  <c r="I23" i="86"/>
  <c r="K23" i="86"/>
  <c r="M23" i="86"/>
  <c r="O23" i="86"/>
  <c r="Q23" i="86"/>
  <c r="S23" i="86"/>
  <c r="C24" i="86"/>
  <c r="E24" i="86"/>
  <c r="G24" i="86"/>
  <c r="I24" i="86"/>
  <c r="K24" i="86"/>
  <c r="M24" i="86"/>
  <c r="O24" i="86"/>
  <c r="Q24" i="86"/>
  <c r="S24" i="86"/>
  <c r="C25" i="86"/>
  <c r="E25" i="86"/>
  <c r="G25" i="86"/>
  <c r="I25" i="86"/>
  <c r="K25" i="86"/>
  <c r="M25" i="86"/>
  <c r="O25" i="86"/>
  <c r="Q25" i="86"/>
  <c r="S25" i="86"/>
  <c r="V26" i="86"/>
  <c r="T26" i="86"/>
  <c r="R26" i="86"/>
  <c r="C26" i="86"/>
  <c r="E26" i="86"/>
  <c r="G26" i="86"/>
  <c r="I26" i="86"/>
  <c r="K26" i="86"/>
  <c r="M26" i="86"/>
  <c r="O26" i="86"/>
  <c r="Q26" i="86"/>
  <c r="U26" i="86"/>
  <c r="V28" i="86"/>
  <c r="T28" i="86"/>
  <c r="R28" i="86"/>
  <c r="P28" i="86"/>
  <c r="N28" i="86"/>
  <c r="L28" i="86"/>
  <c r="J28" i="86"/>
  <c r="H28" i="86"/>
  <c r="F28" i="86"/>
  <c r="D28" i="86"/>
  <c r="B28" i="86"/>
  <c r="E28" i="86"/>
  <c r="I28" i="86"/>
  <c r="M28" i="86"/>
  <c r="Q28" i="86"/>
  <c r="U28" i="86"/>
  <c r="C105" i="87"/>
  <c r="D131" i="87"/>
  <c r="F201" i="87"/>
  <c r="E201" i="87"/>
  <c r="G182" i="87"/>
  <c r="C201" i="87"/>
  <c r="G21" i="87"/>
  <c r="H21" i="87"/>
  <c r="L21" i="87"/>
  <c r="D169" i="87"/>
  <c r="D97" i="87"/>
  <c r="D115" i="87"/>
  <c r="D201" i="87"/>
  <c r="E86" i="87"/>
  <c r="G201" i="87"/>
  <c r="A113" i="87"/>
  <c r="E21" i="87"/>
  <c r="I21" i="87"/>
  <c r="K21" i="87"/>
  <c r="G180" i="87"/>
  <c r="G169" i="87"/>
  <c r="D98" i="87"/>
  <c r="D133" i="87"/>
  <c r="D86" i="87"/>
  <c r="F21" i="87"/>
  <c r="C141" i="87"/>
  <c r="C123" i="87"/>
  <c r="C169" i="87"/>
  <c r="J21" i="87"/>
  <c r="D21" i="87"/>
  <c r="A132" i="87"/>
  <c r="C96" i="87"/>
  <c r="D141" i="87" l="1"/>
  <c r="BI131" i="87" s="1"/>
  <c r="D123" i="87"/>
  <c r="BI113" i="87" s="1"/>
  <c r="BK113" i="87" s="1"/>
  <c r="D122" i="87"/>
  <c r="BI112" i="87" s="1"/>
  <c r="BJ113" i="87" s="1"/>
  <c r="D105" i="87"/>
  <c r="BI95" i="87" s="1"/>
  <c r="LE23" i="11"/>
  <c r="MI23" i="11" s="1"/>
  <c r="GK37" i="11"/>
  <c r="FN21" i="11"/>
  <c r="GM22" i="11"/>
  <c r="KF33" i="11"/>
  <c r="JF38" i="11"/>
  <c r="JM34" i="11" s="1"/>
  <c r="JK35" i="11"/>
  <c r="JY38" i="11" s="1"/>
  <c r="KF34" i="11" s="1"/>
  <c r="CN33" i="11"/>
  <c r="CN37" i="11"/>
  <c r="CL33" i="11"/>
  <c r="CL35" i="11"/>
  <c r="CP33" i="11"/>
  <c r="CP35" i="11"/>
  <c r="CO33" i="11"/>
  <c r="FJ37" i="11"/>
  <c r="JG36" i="11"/>
  <c r="CN36" i="11"/>
  <c r="LI37" i="11"/>
  <c r="MM37" i="11" s="1"/>
  <c r="LJ35" i="11"/>
  <c r="KD35" i="11"/>
  <c r="GK38" i="11"/>
  <c r="JH36" i="11"/>
  <c r="KA36" i="11"/>
  <c r="JZ36" i="11"/>
  <c r="CE38" i="11"/>
  <c r="CI38" i="11"/>
  <c r="CH38" i="11"/>
  <c r="CO37" i="11" s="1"/>
  <c r="EM37" i="11"/>
  <c r="JF36" i="11"/>
  <c r="CF38" i="11"/>
  <c r="G204" i="87"/>
  <c r="G203" i="87"/>
  <c r="I24" i="87"/>
  <c r="I22" i="87"/>
  <c r="I25" i="87" s="1"/>
  <c r="GQ20" i="11"/>
  <c r="GQ22" i="11"/>
  <c r="IL22" i="11"/>
  <c r="IT22" i="11" s="1"/>
  <c r="D99" i="87"/>
  <c r="C172" i="87"/>
  <c r="C171" i="87"/>
  <c r="J24" i="87"/>
  <c r="J22" i="87"/>
  <c r="D172" i="87"/>
  <c r="D171" i="87"/>
  <c r="L24" i="87"/>
  <c r="L22" i="87"/>
  <c r="K24" i="87"/>
  <c r="K22" i="87"/>
  <c r="L208" i="87"/>
  <c r="AP203" i="87"/>
  <c r="AK171" i="87"/>
  <c r="AK143" i="87"/>
  <c r="AK30" i="87"/>
  <c r="AK98" i="87"/>
  <c r="AK114" i="87"/>
  <c r="AL135" i="87"/>
  <c r="BK95" i="87"/>
  <c r="AL199" i="87"/>
  <c r="AK125" i="87"/>
  <c r="BR93" i="87"/>
  <c r="BK96" i="87" s="1"/>
  <c r="BJ95" i="87"/>
  <c r="AK107" i="87"/>
  <c r="AL117" i="87"/>
  <c r="LG30" i="11"/>
  <c r="MK30" i="11" s="1"/>
  <c r="LH28" i="11"/>
  <c r="GM31" i="11"/>
  <c r="GS27" i="11" s="1"/>
  <c r="GM30" i="11"/>
  <c r="NL30" i="11"/>
  <c r="BS31" i="11"/>
  <c r="BS30" i="11" s="1"/>
  <c r="CC31" i="11" s="1"/>
  <c r="BT32" i="11"/>
  <c r="BT31" i="11" s="1"/>
  <c r="BT30" i="11" s="1"/>
  <c r="CD31" i="11" s="1"/>
  <c r="DJ31" i="11"/>
  <c r="DP27" i="11" s="1"/>
  <c r="DJ30" i="11"/>
  <c r="NP30" i="11"/>
  <c r="IO31" i="11"/>
  <c r="IU27" i="11" s="1"/>
  <c r="IO30" i="11"/>
  <c r="EK31" i="11"/>
  <c r="EQ27" i="11" s="1"/>
  <c r="EK30" i="11"/>
  <c r="CF28" i="11"/>
  <c r="JY26" i="11"/>
  <c r="JF26" i="11"/>
  <c r="NK30" i="11"/>
  <c r="CH26" i="11"/>
  <c r="CB32" i="11"/>
  <c r="CH27" i="11" s="1"/>
  <c r="LH32" i="11"/>
  <c r="LW30" i="11"/>
  <c r="FL31" i="11"/>
  <c r="FR27" i="11" s="1"/>
  <c r="FL30" i="11"/>
  <c r="HN31" i="11"/>
  <c r="HT27" i="11" s="1"/>
  <c r="HN30" i="11"/>
  <c r="CG28" i="11"/>
  <c r="JZ26" i="11"/>
  <c r="JG26" i="11"/>
  <c r="NO30" i="11"/>
  <c r="KW31" i="11"/>
  <c r="KX30" i="11" s="1"/>
  <c r="LL32" i="11" s="1"/>
  <c r="KV31" i="11"/>
  <c r="KW30" i="11"/>
  <c r="LO32" i="11"/>
  <c r="MA29" i="11" s="1"/>
  <c r="LX30" i="11"/>
  <c r="LF23" i="11"/>
  <c r="MJ23" i="11" s="1"/>
  <c r="LG21" i="11"/>
  <c r="EO21" i="11"/>
  <c r="FO21" i="11"/>
  <c r="GO21" i="11"/>
  <c r="BR25" i="11"/>
  <c r="BR24" i="11" s="1"/>
  <c r="BR23" i="11" s="1"/>
  <c r="CB24" i="11" s="1"/>
  <c r="CH19" i="11" s="1"/>
  <c r="EJ19" i="11"/>
  <c r="EJ22" i="11"/>
  <c r="FL19" i="11"/>
  <c r="FL21" i="11"/>
  <c r="FL22" i="11"/>
  <c r="GN19" i="11"/>
  <c r="GN22" i="11"/>
  <c r="DH25" i="11"/>
  <c r="DL24" i="11"/>
  <c r="DH24" i="11"/>
  <c r="DL23" i="11"/>
  <c r="HJ24" i="11"/>
  <c r="HK19" i="11"/>
  <c r="HS19" i="11" s="1"/>
  <c r="JE24" i="11"/>
  <c r="JL20" i="11" s="1"/>
  <c r="EJ21" i="11"/>
  <c r="EC24" i="11"/>
  <c r="EL21" i="11" s="1"/>
  <c r="LG25" i="11"/>
  <c r="MS23" i="11"/>
  <c r="CF19" i="11"/>
  <c r="BZ25" i="11"/>
  <c r="CF20" i="11" s="1"/>
  <c r="JQ22" i="11"/>
  <c r="JQ21" i="11"/>
  <c r="DF24" i="11"/>
  <c r="DG19" i="11"/>
  <c r="DO19" i="11" s="1"/>
  <c r="DZ24" i="11"/>
  <c r="EI21" i="11" s="1"/>
  <c r="EK22" i="11"/>
  <c r="EO20" i="11"/>
  <c r="FD24" i="11"/>
  <c r="FO22" i="11"/>
  <c r="GO22" i="11"/>
  <c r="JX24" i="11"/>
  <c r="KE20" i="11" s="1"/>
  <c r="EG23" i="11"/>
  <c r="EG25" i="11"/>
  <c r="EE24" i="11"/>
  <c r="EN21" i="11" s="1"/>
  <c r="FJ22" i="11"/>
  <c r="FG24" i="11"/>
  <c r="GA24" i="11"/>
  <c r="GJ21" i="11" s="1"/>
  <c r="GP21" i="11"/>
  <c r="GP22" i="11"/>
  <c r="KV23" i="11"/>
  <c r="KU23" i="11"/>
  <c r="FK21" i="11"/>
  <c r="CE21" i="11"/>
  <c r="JL21" i="11"/>
  <c r="HK21" i="11"/>
  <c r="HS21" i="11" s="1"/>
  <c r="JL19" i="11"/>
  <c r="DY24" i="11"/>
  <c r="EH21" i="11" s="1"/>
  <c r="EJ20" i="11"/>
  <c r="FJ21" i="11"/>
  <c r="GI23" i="11"/>
  <c r="GI25" i="11"/>
  <c r="GN21" i="11"/>
  <c r="IM25" i="11"/>
  <c r="IQ24" i="11"/>
  <c r="IM24" i="11"/>
  <c r="IQ23" i="11"/>
  <c r="LN25" i="11"/>
  <c r="MT23" i="11"/>
  <c r="CG19" i="11"/>
  <c r="CA25" i="11"/>
  <c r="CG20" i="11" s="1"/>
  <c r="KE21" i="11"/>
  <c r="KJ22" i="11"/>
  <c r="KJ21" i="11"/>
  <c r="DG21" i="11"/>
  <c r="DO21" i="11" s="1"/>
  <c r="ED24" i="11"/>
  <c r="EM21" i="11" s="1"/>
  <c r="EO22" i="11"/>
  <c r="FH23" i="11"/>
  <c r="EZ24" i="11"/>
  <c r="FI21" i="11" s="1"/>
  <c r="FK22" i="11"/>
  <c r="GK22" i="11"/>
  <c r="GM21" i="11"/>
  <c r="GO20" i="11"/>
  <c r="GR20" i="11" s="1"/>
  <c r="HK22" i="11"/>
  <c r="HS22" i="11" s="1"/>
  <c r="HL25" i="11"/>
  <c r="HP24" i="11"/>
  <c r="HL24" i="11"/>
  <c r="HP23" i="11"/>
  <c r="KE19" i="11"/>
  <c r="EP20" i="11"/>
  <c r="FN22" i="11"/>
  <c r="GL21" i="11"/>
  <c r="GL22" i="11"/>
  <c r="IK24" i="11"/>
  <c r="IL19" i="11"/>
  <c r="IT19" i="11" s="1"/>
  <c r="EK21" i="11"/>
  <c r="GK21" i="11"/>
  <c r="I1" i="86"/>
  <c r="AS5" i="11"/>
  <c r="BL5" i="11" s="1"/>
  <c r="K28" i="87"/>
  <c r="G170" i="87"/>
  <c r="G206" i="87"/>
  <c r="C206" i="87"/>
  <c r="D117" i="87"/>
  <c r="C142" i="87"/>
  <c r="D116" i="87"/>
  <c r="D206" i="87"/>
  <c r="C106" i="87"/>
  <c r="C97" i="87"/>
  <c r="AL28" i="87"/>
  <c r="D134" i="87"/>
  <c r="L164" i="87"/>
  <c r="L28" i="87"/>
  <c r="C98" i="87"/>
  <c r="C124" i="87"/>
  <c r="F206" i="87"/>
  <c r="E206" i="87"/>
  <c r="D28" i="87"/>
  <c r="D142" i="87" l="1"/>
  <c r="D124" i="87"/>
  <c r="BI114" i="87" s="1"/>
  <c r="D106" i="87"/>
  <c r="BI96" i="87" s="1"/>
  <c r="BM94" i="87" s="1"/>
  <c r="CP34" i="11"/>
  <c r="CP36" i="11"/>
  <c r="FJ38" i="11"/>
  <c r="CL34" i="11"/>
  <c r="CL36" i="11"/>
  <c r="CO34" i="11"/>
  <c r="CO36" i="11"/>
  <c r="KH33" i="11"/>
  <c r="JO33" i="11"/>
  <c r="CP37" i="11"/>
  <c r="KG33" i="11"/>
  <c r="GK39" i="11"/>
  <c r="GO38" i="11" s="1"/>
  <c r="CR35" i="11"/>
  <c r="JN33" i="11"/>
  <c r="CR33" i="11"/>
  <c r="CL37" i="11"/>
  <c r="LJ37" i="11"/>
  <c r="LK35" i="11"/>
  <c r="LK37" i="11" s="1"/>
  <c r="JH38" i="11"/>
  <c r="JO34" i="11" s="1"/>
  <c r="KA38" i="11"/>
  <c r="KH34" i="11" s="1"/>
  <c r="JZ38" i="11"/>
  <c r="KG34" i="11" s="1"/>
  <c r="KK34" i="11" s="1"/>
  <c r="CM34" i="11"/>
  <c r="CM36" i="11"/>
  <c r="CM37" i="11"/>
  <c r="JM37" i="11"/>
  <c r="JM33" i="11"/>
  <c r="EK37" i="11"/>
  <c r="EK38" i="11"/>
  <c r="JG38" i="11"/>
  <c r="JN34" i="11" s="1"/>
  <c r="JR34" i="11" s="1"/>
  <c r="KF37" i="11"/>
  <c r="G205" i="87"/>
  <c r="AQ201" i="87" s="1"/>
  <c r="CB25" i="11"/>
  <c r="CH20" i="11" s="1"/>
  <c r="C173" i="87"/>
  <c r="D118" i="87"/>
  <c r="BJ96" i="87"/>
  <c r="BJ99" i="87" s="1"/>
  <c r="BL94" i="87"/>
  <c r="BL95" i="87" s="1"/>
  <c r="J25" i="87"/>
  <c r="K25" i="87"/>
  <c r="L25" i="87"/>
  <c r="AM202" i="87"/>
  <c r="AQ202" i="87"/>
  <c r="AP202" i="87"/>
  <c r="BI132" i="87"/>
  <c r="BK132" i="87" s="1"/>
  <c r="AO202" i="87"/>
  <c r="AN202" i="87"/>
  <c r="I28" i="87"/>
  <c r="BR112" i="87"/>
  <c r="BJ115" i="87" s="1"/>
  <c r="BJ114" i="87"/>
  <c r="AK126" i="87"/>
  <c r="BK99" i="87"/>
  <c r="AK31" i="87"/>
  <c r="AP204" i="87"/>
  <c r="BF204" i="87" s="1"/>
  <c r="AT203" i="87"/>
  <c r="AW198" i="87" s="1"/>
  <c r="BM204" i="87" s="1"/>
  <c r="D173" i="87"/>
  <c r="AK108" i="87"/>
  <c r="AL200" i="87"/>
  <c r="AL136" i="87"/>
  <c r="AK115" i="87"/>
  <c r="AK144" i="87"/>
  <c r="AK172" i="87"/>
  <c r="L210" i="87"/>
  <c r="L209" i="87"/>
  <c r="BA200" i="87"/>
  <c r="BA201" i="87" s="1"/>
  <c r="BJ132" i="87"/>
  <c r="BK114" i="87"/>
  <c r="JG28" i="11"/>
  <c r="HR32" i="11"/>
  <c r="HQ32" i="11"/>
  <c r="IA31" i="11"/>
  <c r="HX31" i="11"/>
  <c r="HV31" i="11"/>
  <c r="HR31" i="11"/>
  <c r="HY31" i="11"/>
  <c r="HW31" i="11"/>
  <c r="HU31" i="11"/>
  <c r="HQ31" i="11"/>
  <c r="HZ30" i="11"/>
  <c r="HX30" i="11"/>
  <c r="HV30" i="11"/>
  <c r="HT30" i="11"/>
  <c r="IB29" i="11"/>
  <c r="HZ29" i="11"/>
  <c r="HX29" i="11"/>
  <c r="HV29" i="11"/>
  <c r="HT29" i="11"/>
  <c r="IA30" i="11"/>
  <c r="HY30" i="11"/>
  <c r="HW30" i="11"/>
  <c r="HU30" i="11"/>
  <c r="IA29" i="11"/>
  <c r="HY29" i="11"/>
  <c r="HW29" i="11"/>
  <c r="HU29" i="11"/>
  <c r="IA27" i="11"/>
  <c r="HY27" i="11"/>
  <c r="HW27" i="11"/>
  <c r="HU27" i="11"/>
  <c r="IB26" i="11"/>
  <c r="HZ26" i="11"/>
  <c r="HX26" i="11"/>
  <c r="HV26" i="11"/>
  <c r="IB27" i="11"/>
  <c r="HZ27" i="11"/>
  <c r="HX27" i="11"/>
  <c r="HV27" i="11"/>
  <c r="IA26" i="11"/>
  <c r="HY26" i="11"/>
  <c r="HW26" i="11"/>
  <c r="HU26" i="11"/>
  <c r="FP32" i="11"/>
  <c r="FO32" i="11"/>
  <c r="FY31" i="11"/>
  <c r="FV31" i="11"/>
  <c r="FT31" i="11"/>
  <c r="FP31" i="11"/>
  <c r="FW31" i="11"/>
  <c r="FU31" i="11"/>
  <c r="FS31" i="11"/>
  <c r="FO31" i="11"/>
  <c r="FX30" i="11"/>
  <c r="FV30" i="11"/>
  <c r="FT30" i="11"/>
  <c r="FR30" i="11"/>
  <c r="FY30" i="11"/>
  <c r="FW30" i="11"/>
  <c r="FU30" i="11"/>
  <c r="FS30" i="11"/>
  <c r="FY29" i="11"/>
  <c r="FW29" i="11"/>
  <c r="FU29" i="11"/>
  <c r="FS29" i="11"/>
  <c r="FZ29" i="11"/>
  <c r="FX29" i="11"/>
  <c r="FV29" i="11"/>
  <c r="FT29" i="11"/>
  <c r="FR29" i="11"/>
  <c r="FY27" i="11"/>
  <c r="FW27" i="11"/>
  <c r="FU27" i="11"/>
  <c r="FS27" i="11"/>
  <c r="FZ26" i="11"/>
  <c r="FX26" i="11"/>
  <c r="FV26" i="11"/>
  <c r="FT26" i="11"/>
  <c r="FZ27" i="11"/>
  <c r="FX27" i="11"/>
  <c r="FV27" i="11"/>
  <c r="FT27" i="11"/>
  <c r="FY26" i="11"/>
  <c r="FW26" i="11"/>
  <c r="FU26" i="11"/>
  <c r="FS26" i="11"/>
  <c r="NT30" i="11"/>
  <c r="JY28" i="11"/>
  <c r="DN32" i="11"/>
  <c r="DM32" i="11"/>
  <c r="DW31" i="11"/>
  <c r="DT31" i="11"/>
  <c r="DR31" i="11"/>
  <c r="DN31" i="11"/>
  <c r="DU31" i="11"/>
  <c r="DS31" i="11"/>
  <c r="DQ31" i="11"/>
  <c r="DM31" i="11"/>
  <c r="DV30" i="11"/>
  <c r="DT30" i="11"/>
  <c r="DR30" i="11"/>
  <c r="DP30" i="11"/>
  <c r="DW30" i="11"/>
  <c r="DU30" i="11"/>
  <c r="DS30" i="11"/>
  <c r="DQ30" i="11"/>
  <c r="DW29" i="11"/>
  <c r="DU29" i="11"/>
  <c r="DS29" i="11"/>
  <c r="DQ29" i="11"/>
  <c r="DX29" i="11"/>
  <c r="DV29" i="11"/>
  <c r="DT29" i="11"/>
  <c r="DR29" i="11"/>
  <c r="DP29" i="11"/>
  <c r="DW27" i="11"/>
  <c r="DU27" i="11"/>
  <c r="DS27" i="11"/>
  <c r="DQ27" i="11"/>
  <c r="DX26" i="11"/>
  <c r="DV26" i="11"/>
  <c r="DT26" i="11"/>
  <c r="DR26" i="11"/>
  <c r="DX27" i="11"/>
  <c r="DV27" i="11"/>
  <c r="DT27" i="11"/>
  <c r="DR27" i="11"/>
  <c r="DW26" i="11"/>
  <c r="DU26" i="11"/>
  <c r="DS26" i="11"/>
  <c r="DQ26" i="11"/>
  <c r="LH30" i="11"/>
  <c r="ML30" i="11" s="1"/>
  <c r="LI28" i="11"/>
  <c r="JZ28" i="11"/>
  <c r="CH28" i="11"/>
  <c r="KA26" i="11"/>
  <c r="JH26" i="11"/>
  <c r="NS30" i="11"/>
  <c r="JF28" i="11"/>
  <c r="JK26" i="11"/>
  <c r="JF29" i="11" s="1"/>
  <c r="EN32" i="11"/>
  <c r="EO32" i="11"/>
  <c r="EX31" i="11"/>
  <c r="EU31" i="11"/>
  <c r="ES31" i="11"/>
  <c r="EO31" i="11"/>
  <c r="EV31" i="11"/>
  <c r="ET31" i="11"/>
  <c r="ER31" i="11"/>
  <c r="EN31" i="11"/>
  <c r="EW30" i="11"/>
  <c r="EU30" i="11"/>
  <c r="ES30" i="11"/>
  <c r="EQ30" i="11"/>
  <c r="EX30" i="11"/>
  <c r="EV30" i="11"/>
  <c r="ET30" i="11"/>
  <c r="ER30" i="11"/>
  <c r="EY29" i="11"/>
  <c r="EW29" i="11"/>
  <c r="EU29" i="11"/>
  <c r="ES29" i="11"/>
  <c r="EQ29" i="11"/>
  <c r="EX29" i="11"/>
  <c r="EV29" i="11"/>
  <c r="ET29" i="11"/>
  <c r="ER29" i="11"/>
  <c r="EY27" i="11"/>
  <c r="EW27" i="11"/>
  <c r="EU27" i="11"/>
  <c r="ES27" i="11"/>
  <c r="EY26" i="11"/>
  <c r="EW26" i="11"/>
  <c r="EU26" i="11"/>
  <c r="ES26" i="11"/>
  <c r="EX27" i="11"/>
  <c r="EV27" i="11"/>
  <c r="ET27" i="11"/>
  <c r="ER27" i="11"/>
  <c r="EX26" i="11"/>
  <c r="EV26" i="11"/>
  <c r="ET26" i="11"/>
  <c r="ER26" i="11"/>
  <c r="IR32" i="11"/>
  <c r="IS32" i="11"/>
  <c r="JB31" i="11"/>
  <c r="IY31" i="11"/>
  <c r="IW31" i="11"/>
  <c r="IS31" i="11"/>
  <c r="IZ31" i="11"/>
  <c r="IX31" i="11"/>
  <c r="IV31" i="11"/>
  <c r="IR31" i="11"/>
  <c r="JA30" i="11"/>
  <c r="IY30" i="11"/>
  <c r="IW30" i="11"/>
  <c r="IU30" i="11"/>
  <c r="JB29" i="11"/>
  <c r="IZ29" i="11"/>
  <c r="IX29" i="11"/>
  <c r="IV29" i="11"/>
  <c r="JB30" i="11"/>
  <c r="IZ30" i="11"/>
  <c r="IX30" i="11"/>
  <c r="IV30" i="11"/>
  <c r="JC29" i="11"/>
  <c r="JA29" i="11"/>
  <c r="IY29" i="11"/>
  <c r="IW29" i="11"/>
  <c r="IU29" i="11"/>
  <c r="JC27" i="11"/>
  <c r="JA27" i="11"/>
  <c r="IY27" i="11"/>
  <c r="IW27" i="11"/>
  <c r="JB27" i="11"/>
  <c r="IX27" i="11"/>
  <c r="JC26" i="11"/>
  <c r="JA26" i="11"/>
  <c r="IY26" i="11"/>
  <c r="IW26" i="11"/>
  <c r="IZ27" i="11"/>
  <c r="IV27" i="11"/>
  <c r="JB26" i="11"/>
  <c r="IZ26" i="11"/>
  <c r="IX26" i="11"/>
  <c r="IV26" i="11"/>
  <c r="CI26" i="11"/>
  <c r="CC32" i="11"/>
  <c r="CI27" i="11" s="1"/>
  <c r="GP32" i="11"/>
  <c r="GQ32" i="11"/>
  <c r="GZ31" i="11"/>
  <c r="GW31" i="11"/>
  <c r="GU31" i="11"/>
  <c r="GQ31" i="11"/>
  <c r="GX31" i="11"/>
  <c r="GV31" i="11"/>
  <c r="GT31" i="11"/>
  <c r="GP31" i="11"/>
  <c r="GY30" i="11"/>
  <c r="GW30" i="11"/>
  <c r="GU30" i="11"/>
  <c r="GS30" i="11"/>
  <c r="GZ29" i="11"/>
  <c r="GX29" i="11"/>
  <c r="GV29" i="11"/>
  <c r="GT29" i="11"/>
  <c r="GZ30" i="11"/>
  <c r="GX30" i="11"/>
  <c r="GV30" i="11"/>
  <c r="GT30" i="11"/>
  <c r="HA29" i="11"/>
  <c r="GY29" i="11"/>
  <c r="GW29" i="11"/>
  <c r="GU29" i="11"/>
  <c r="GS29" i="11"/>
  <c r="HA27" i="11"/>
  <c r="GY27" i="11"/>
  <c r="GW27" i="11"/>
  <c r="GU27" i="11"/>
  <c r="HA26" i="11"/>
  <c r="GY26" i="11"/>
  <c r="GW26" i="11"/>
  <c r="GU26" i="11"/>
  <c r="GZ27" i="11"/>
  <c r="GX27" i="11"/>
  <c r="GV27" i="11"/>
  <c r="GT27" i="11"/>
  <c r="GZ26" i="11"/>
  <c r="GX26" i="11"/>
  <c r="GV26" i="11"/>
  <c r="GT26" i="11"/>
  <c r="LG23" i="11"/>
  <c r="MK23" i="11" s="1"/>
  <c r="LH21" i="11"/>
  <c r="JL22" i="11"/>
  <c r="KE23" i="11"/>
  <c r="JL23" i="11"/>
  <c r="KE22" i="11"/>
  <c r="BS25" i="11"/>
  <c r="BS24" i="11" s="1"/>
  <c r="BS23" i="11" s="1"/>
  <c r="CC24" i="11" s="1"/>
  <c r="CH21" i="11"/>
  <c r="JH19" i="11"/>
  <c r="KA19" i="11"/>
  <c r="NS23" i="11"/>
  <c r="NP23" i="11"/>
  <c r="IO24" i="11"/>
  <c r="IU20" i="11" s="1"/>
  <c r="IO23" i="11"/>
  <c r="GR21" i="11"/>
  <c r="GI24" i="11"/>
  <c r="GJ19" i="11"/>
  <c r="GR19" i="11" s="1"/>
  <c r="GJ22" i="11"/>
  <c r="GR22" i="11" s="1"/>
  <c r="EP21" i="11"/>
  <c r="FM19" i="11"/>
  <c r="FM22" i="11"/>
  <c r="EI19" i="11"/>
  <c r="EI22" i="11"/>
  <c r="NL23" i="11"/>
  <c r="EL19" i="11"/>
  <c r="EL22" i="11"/>
  <c r="DJ24" i="11"/>
  <c r="DP20" i="11" s="1"/>
  <c r="DJ23" i="11"/>
  <c r="NT23" i="11"/>
  <c r="HN24" i="11"/>
  <c r="HT20" i="11" s="1"/>
  <c r="HN23" i="11"/>
  <c r="FM21" i="11"/>
  <c r="FH24" i="11"/>
  <c r="FI19" i="11"/>
  <c r="FI22" i="11"/>
  <c r="EM19" i="11"/>
  <c r="EM22" i="11"/>
  <c r="CG21" i="11"/>
  <c r="JZ19" i="11"/>
  <c r="JG19" i="11"/>
  <c r="NO23" i="11"/>
  <c r="LO25" i="11"/>
  <c r="MA22" i="11" s="1"/>
  <c r="LX23" i="11"/>
  <c r="GK23" i="11"/>
  <c r="EG24" i="11"/>
  <c r="EH19" i="11"/>
  <c r="EH22" i="11"/>
  <c r="KW24" i="11"/>
  <c r="KX23" i="11" s="1"/>
  <c r="LL25" i="11" s="1"/>
  <c r="KV24" i="11"/>
  <c r="KW23" i="11"/>
  <c r="FP19" i="11"/>
  <c r="FP21" i="11"/>
  <c r="FP22" i="11"/>
  <c r="EN19" i="11"/>
  <c r="EN22" i="11"/>
  <c r="CF21" i="11"/>
  <c r="JF19" i="11"/>
  <c r="JY19" i="11"/>
  <c r="NK23" i="11"/>
  <c r="LH25" i="11"/>
  <c r="LW23" i="11"/>
  <c r="J1" i="86"/>
  <c r="JV17" i="11"/>
  <c r="JW17" i="11" s="1"/>
  <c r="JU17" i="11"/>
  <c r="JD17" i="11"/>
  <c r="KC12" i="11" s="1"/>
  <c r="KC15" i="11" s="1"/>
  <c r="CU17" i="11"/>
  <c r="BW17" i="11"/>
  <c r="BO17" i="11"/>
  <c r="BO18" i="11" s="1"/>
  <c r="OG16" i="11"/>
  <c r="OF16" i="11"/>
  <c r="NX16" i="11"/>
  <c r="NW16" i="11"/>
  <c r="NH16" i="11"/>
  <c r="NG16" i="11"/>
  <c r="MH16" i="11"/>
  <c r="MG16" i="11"/>
  <c r="MF16" i="11"/>
  <c r="KR16" i="11"/>
  <c r="KQ16" i="11"/>
  <c r="KP16" i="11"/>
  <c r="KO16" i="11"/>
  <c r="KN16" i="11"/>
  <c r="JV16" i="11"/>
  <c r="JW16" i="11" s="1"/>
  <c r="JU16" i="11"/>
  <c r="JD16" i="11"/>
  <c r="JI13" i="11" s="1"/>
  <c r="NZ16" i="11" s="1"/>
  <c r="CU16" i="11"/>
  <c r="CU18" i="11" s="1"/>
  <c r="CD15" i="11"/>
  <c r="CD16" i="11" s="1"/>
  <c r="CD18" i="11" s="1"/>
  <c r="T15" i="11"/>
  <c r="KZ14" i="11"/>
  <c r="KY14" i="11"/>
  <c r="KW14" i="11"/>
  <c r="KW15" i="11" s="1"/>
  <c r="KV14" i="11"/>
  <c r="KV15" i="11" s="1"/>
  <c r="KU14" i="11"/>
  <c r="KU15" i="11" s="1"/>
  <c r="KT14" i="11"/>
  <c r="KT15" i="11" s="1"/>
  <c r="KS14" i="11"/>
  <c r="KS15" i="11" s="1"/>
  <c r="KS16" i="11" s="1"/>
  <c r="KR14" i="11"/>
  <c r="KR15" i="11" s="1"/>
  <c r="KQ14" i="11"/>
  <c r="KQ15" i="11" s="1"/>
  <c r="KP14" i="11"/>
  <c r="KP15" i="11" s="1"/>
  <c r="KO14" i="11"/>
  <c r="KO15" i="11" s="1"/>
  <c r="KN14" i="11"/>
  <c r="KN15" i="11" s="1"/>
  <c r="CV14" i="11"/>
  <c r="CV15" i="11" s="1"/>
  <c r="CU14" i="11"/>
  <c r="CU15" i="11" s="1"/>
  <c r="CD14" i="11"/>
  <c r="CC14" i="11"/>
  <c r="CB14" i="11"/>
  <c r="CA14" i="11"/>
  <c r="BZ14" i="11"/>
  <c r="BY14" i="11"/>
  <c r="BT14" i="11"/>
  <c r="BT15" i="11" s="1"/>
  <c r="BS14" i="11"/>
  <c r="BS15" i="11" s="1"/>
  <c r="BR14" i="11"/>
  <c r="BR15" i="11" s="1"/>
  <c r="BQ14" i="11"/>
  <c r="BQ15" i="11" s="1"/>
  <c r="BP14" i="11"/>
  <c r="BP15" i="11" s="1"/>
  <c r="BO14" i="11"/>
  <c r="BO15" i="11" s="1"/>
  <c r="LM13" i="11"/>
  <c r="LL13" i="11"/>
  <c r="LK13" i="11"/>
  <c r="LJ13" i="11"/>
  <c r="LI13" i="11"/>
  <c r="LH13" i="11"/>
  <c r="LG13" i="11"/>
  <c r="LF13" i="11"/>
  <c r="LE13" i="11"/>
  <c r="LD13" i="11"/>
  <c r="LC13" i="11"/>
  <c r="LB13" i="11"/>
  <c r="LB14" i="11" s="1"/>
  <c r="LA13" i="11"/>
  <c r="LA14" i="11" s="1"/>
  <c r="KZ13" i="11"/>
  <c r="KZ15" i="11" s="1"/>
  <c r="KY13" i="11"/>
  <c r="KY15" i="11" s="1"/>
  <c r="KY16" i="11" s="1"/>
  <c r="KZ18" i="11" s="1"/>
  <c r="MU16" i="11" s="1"/>
  <c r="KW13" i="11"/>
  <c r="KV13" i="11"/>
  <c r="KU13" i="11"/>
  <c r="KT13" i="11"/>
  <c r="KS13" i="11"/>
  <c r="KR13" i="11"/>
  <c r="KQ13" i="11"/>
  <c r="KP13" i="11"/>
  <c r="KO13" i="11"/>
  <c r="KN13" i="11"/>
  <c r="IJ13" i="11"/>
  <c r="IJ16" i="11" s="1"/>
  <c r="II13" i="11"/>
  <c r="II16" i="11" s="1"/>
  <c r="IH13" i="11"/>
  <c r="JC18" i="11" s="1"/>
  <c r="IG13" i="11"/>
  <c r="IG16" i="11" s="1"/>
  <c r="IF13" i="11"/>
  <c r="JA18" i="11" s="1"/>
  <c r="IY18" i="11" s="1"/>
  <c r="IE13" i="11"/>
  <c r="IE16" i="11" s="1"/>
  <c r="ID13" i="11"/>
  <c r="ID16" i="11" s="1"/>
  <c r="IC13" i="11"/>
  <c r="IC16" i="11" s="1"/>
  <c r="HI13" i="11"/>
  <c r="HI16" i="11" s="1"/>
  <c r="HH13" i="11"/>
  <c r="HH16" i="11" s="1"/>
  <c r="HG13" i="11"/>
  <c r="IB18" i="11" s="1"/>
  <c r="HF13" i="11"/>
  <c r="HF16" i="11" s="1"/>
  <c r="HE13" i="11"/>
  <c r="HZ18" i="11" s="1"/>
  <c r="HX18" i="11" s="1"/>
  <c r="HD13" i="11"/>
  <c r="HD16" i="11" s="1"/>
  <c r="HC13" i="11"/>
  <c r="HC16" i="11" s="1"/>
  <c r="HB13" i="11"/>
  <c r="HB16" i="11" s="1"/>
  <c r="GH13" i="11"/>
  <c r="GG13" i="11"/>
  <c r="GF13" i="11"/>
  <c r="GE13" i="11"/>
  <c r="GD13" i="11"/>
  <c r="GC13" i="11"/>
  <c r="GB13" i="11"/>
  <c r="GA13" i="11"/>
  <c r="GI12" i="11" s="1"/>
  <c r="FG13" i="11"/>
  <c r="FF13" i="11"/>
  <c r="FE13" i="11"/>
  <c r="FD13" i="11"/>
  <c r="FC13" i="11"/>
  <c r="FB13" i="11"/>
  <c r="FA13" i="11"/>
  <c r="EZ13" i="11"/>
  <c r="FH12" i="11" s="1"/>
  <c r="EF13" i="11"/>
  <c r="EE13" i="11"/>
  <c r="ED13" i="11"/>
  <c r="EC13" i="11"/>
  <c r="EB13" i="11"/>
  <c r="EA13" i="11"/>
  <c r="DZ13" i="11"/>
  <c r="DY13" i="11"/>
  <c r="EG12" i="11" s="1"/>
  <c r="DE13" i="11"/>
  <c r="DE16" i="11" s="1"/>
  <c r="DD13" i="11"/>
  <c r="DD16" i="11" s="1"/>
  <c r="DC13" i="11"/>
  <c r="DX18" i="11" s="1"/>
  <c r="DB13" i="11"/>
  <c r="DB16" i="11" s="1"/>
  <c r="DA13" i="11"/>
  <c r="DV18" i="11" s="1"/>
  <c r="DT18" i="11" s="1"/>
  <c r="CZ13" i="11"/>
  <c r="CZ16" i="11" s="1"/>
  <c r="CY13" i="11"/>
  <c r="CY16" i="11" s="1"/>
  <c r="CX13" i="11"/>
  <c r="CX16" i="11" s="1"/>
  <c r="CV13" i="11"/>
  <c r="CU13" i="11"/>
  <c r="CJ13" i="11"/>
  <c r="OB16" i="11" s="1"/>
  <c r="CD13" i="11"/>
  <c r="CC13" i="11"/>
  <c r="CC15" i="11" s="1"/>
  <c r="CB13" i="11"/>
  <c r="CB15" i="11" s="1"/>
  <c r="CA13" i="11"/>
  <c r="CA15" i="11" s="1"/>
  <c r="BZ13" i="11"/>
  <c r="BZ15" i="11" s="1"/>
  <c r="BY13" i="11"/>
  <c r="BY15" i="11" s="1"/>
  <c r="BV13" i="11"/>
  <c r="BV14" i="11" s="1"/>
  <c r="BU13" i="11"/>
  <c r="BU14" i="11" s="1"/>
  <c r="BT13" i="11"/>
  <c r="BS13" i="11"/>
  <c r="BR13" i="11"/>
  <c r="BQ13" i="11"/>
  <c r="BP13" i="11"/>
  <c r="BO13" i="11"/>
  <c r="LB12" i="11"/>
  <c r="LA12" i="11"/>
  <c r="KW12" i="11"/>
  <c r="KV12" i="11"/>
  <c r="KU12" i="11"/>
  <c r="KT12" i="11"/>
  <c r="KS12" i="11"/>
  <c r="KR12" i="11"/>
  <c r="KQ12" i="11"/>
  <c r="KP12" i="11"/>
  <c r="KO12" i="11"/>
  <c r="KN12" i="11"/>
  <c r="JV12" i="11"/>
  <c r="JW12" i="11" s="1"/>
  <c r="JU12" i="11"/>
  <c r="JI12" i="11"/>
  <c r="JI15" i="11" s="1"/>
  <c r="JD12" i="11"/>
  <c r="JX13" i="11" s="1"/>
  <c r="CV12" i="11"/>
  <c r="CU12" i="11"/>
  <c r="CW12" i="11" s="1"/>
  <c r="CJ12" i="11"/>
  <c r="OA16" i="11" s="1"/>
  <c r="BV12" i="11"/>
  <c r="BU12" i="11"/>
  <c r="BT12" i="11"/>
  <c r="BS12" i="11"/>
  <c r="BR12" i="11"/>
  <c r="BQ12" i="11"/>
  <c r="BP12" i="11"/>
  <c r="BO12" i="11"/>
  <c r="JV10" i="11"/>
  <c r="JW10" i="11" s="1"/>
  <c r="JU10" i="11"/>
  <c r="JD10" i="11"/>
  <c r="KC5" i="11" s="1"/>
  <c r="KC8" i="11" s="1"/>
  <c r="CU10" i="11"/>
  <c r="BW10" i="11"/>
  <c r="BO10" i="11"/>
  <c r="BO11" i="11" s="1"/>
  <c r="OG9" i="11"/>
  <c r="OF9" i="11"/>
  <c r="NX9" i="11"/>
  <c r="NW9" i="11"/>
  <c r="NH9" i="11"/>
  <c r="NG9" i="11"/>
  <c r="MH9" i="11"/>
  <c r="MG9" i="11"/>
  <c r="MF9" i="11"/>
  <c r="KR9" i="11"/>
  <c r="KQ9" i="11"/>
  <c r="KP9" i="11"/>
  <c r="KO9" i="11"/>
  <c r="KN9" i="11"/>
  <c r="JV9" i="11"/>
  <c r="JW9" i="11" s="1"/>
  <c r="JU9" i="11"/>
  <c r="JD9" i="11"/>
  <c r="JI6" i="11" s="1"/>
  <c r="NZ9" i="11" s="1"/>
  <c r="CU9" i="11"/>
  <c r="CU11" i="11" s="1"/>
  <c r="CV9" i="11" s="1"/>
  <c r="U9" i="11"/>
  <c r="CD8" i="11"/>
  <c r="CD9" i="11" s="1"/>
  <c r="CD11" i="11" s="1"/>
  <c r="U8" i="11"/>
  <c r="KZ7" i="11"/>
  <c r="KY7" i="11"/>
  <c r="CV7" i="11"/>
  <c r="CV8" i="11" s="1"/>
  <c r="CU7" i="11"/>
  <c r="CU8" i="11" s="1"/>
  <c r="CD7" i="11"/>
  <c r="CC7" i="11"/>
  <c r="CB7" i="11"/>
  <c r="CA7" i="11"/>
  <c r="BZ7" i="11"/>
  <c r="BY7" i="11"/>
  <c r="BT7" i="11"/>
  <c r="BT8" i="11" s="1"/>
  <c r="BS7" i="11"/>
  <c r="BS8" i="11" s="1"/>
  <c r="BR7" i="11"/>
  <c r="BR8" i="11" s="1"/>
  <c r="BQ7" i="11"/>
  <c r="BQ8" i="11" s="1"/>
  <c r="BP7" i="11"/>
  <c r="BP8" i="11" s="1"/>
  <c r="BO7" i="11"/>
  <c r="BO8" i="11" s="1"/>
  <c r="U7" i="11"/>
  <c r="LM6" i="11"/>
  <c r="LL6" i="11"/>
  <c r="LK6" i="11"/>
  <c r="LJ6" i="11"/>
  <c r="LI6" i="11"/>
  <c r="LH6" i="11"/>
  <c r="LG6" i="11"/>
  <c r="LF6" i="11"/>
  <c r="LE6" i="11"/>
  <c r="LD6" i="11"/>
  <c r="LC6" i="11"/>
  <c r="LB6" i="11"/>
  <c r="LB7" i="11" s="1"/>
  <c r="LA6" i="11"/>
  <c r="LA7" i="11" s="1"/>
  <c r="KZ6" i="11"/>
  <c r="KZ8" i="11" s="1"/>
  <c r="KY6" i="11"/>
  <c r="KY8" i="11" s="1"/>
  <c r="KY9" i="11" s="1"/>
  <c r="KZ11" i="11" s="1"/>
  <c r="MU9" i="11" s="1"/>
  <c r="KW6" i="11"/>
  <c r="KW7" i="11" s="1"/>
  <c r="KV6" i="11"/>
  <c r="KV7" i="11" s="1"/>
  <c r="KU6" i="11"/>
  <c r="KU7" i="11" s="1"/>
  <c r="KT6" i="11"/>
  <c r="KT7" i="11" s="1"/>
  <c r="KS6" i="11"/>
  <c r="KS7" i="11" s="1"/>
  <c r="KR6" i="11"/>
  <c r="KR7" i="11" s="1"/>
  <c r="KQ6" i="11"/>
  <c r="KQ7" i="11" s="1"/>
  <c r="KP6" i="11"/>
  <c r="KP7" i="11" s="1"/>
  <c r="KO6" i="11"/>
  <c r="KO7" i="11" s="1"/>
  <c r="KN6" i="11"/>
  <c r="KN7" i="11" s="1"/>
  <c r="IJ6" i="11"/>
  <c r="IJ9" i="11" s="1"/>
  <c r="II6" i="11"/>
  <c r="II9" i="11" s="1"/>
  <c r="IH6" i="11"/>
  <c r="JC11" i="11" s="1"/>
  <c r="IG6" i="11"/>
  <c r="IG9" i="11" s="1"/>
  <c r="IF6" i="11"/>
  <c r="JA11" i="11" s="1"/>
  <c r="IY11" i="11" s="1"/>
  <c r="IE6" i="11"/>
  <c r="IE9" i="11" s="1"/>
  <c r="ID6" i="11"/>
  <c r="ID9" i="11" s="1"/>
  <c r="IC6" i="11"/>
  <c r="HI6" i="11"/>
  <c r="HI9" i="11" s="1"/>
  <c r="HH6" i="11"/>
  <c r="HH9" i="11" s="1"/>
  <c r="HG6" i="11"/>
  <c r="IB11" i="11" s="1"/>
  <c r="HF6" i="11"/>
  <c r="HF9" i="11" s="1"/>
  <c r="HE6" i="11"/>
  <c r="HZ11" i="11" s="1"/>
  <c r="HX11" i="11" s="1"/>
  <c r="HD6" i="11"/>
  <c r="HD9" i="11" s="1"/>
  <c r="HC6" i="11"/>
  <c r="HC9" i="11" s="1"/>
  <c r="HB6" i="11"/>
  <c r="HB9" i="11" s="1"/>
  <c r="GH6" i="11"/>
  <c r="GG6" i="11"/>
  <c r="GF6" i="11"/>
  <c r="GE6" i="11"/>
  <c r="GD6" i="11"/>
  <c r="GC6" i="11"/>
  <c r="GB6" i="11"/>
  <c r="GA6" i="11"/>
  <c r="GI5" i="11" s="1"/>
  <c r="FG6" i="11"/>
  <c r="FF6" i="11"/>
  <c r="FE6" i="11"/>
  <c r="FD6" i="11"/>
  <c r="FC6" i="11"/>
  <c r="FB6" i="11"/>
  <c r="FA6" i="11"/>
  <c r="EZ6" i="11"/>
  <c r="FH5" i="11" s="1"/>
  <c r="EF6" i="11"/>
  <c r="EE6" i="11"/>
  <c r="ED6" i="11"/>
  <c r="EC6" i="11"/>
  <c r="EB6" i="11"/>
  <c r="EA6" i="11"/>
  <c r="DZ6" i="11"/>
  <c r="DY6" i="11"/>
  <c r="EG5" i="11" s="1"/>
  <c r="DE6" i="11"/>
  <c r="DE9" i="11" s="1"/>
  <c r="DD6" i="11"/>
  <c r="DD9" i="11" s="1"/>
  <c r="DC6" i="11"/>
  <c r="DX11" i="11" s="1"/>
  <c r="DB6" i="11"/>
  <c r="DB9" i="11" s="1"/>
  <c r="DA6" i="11"/>
  <c r="DV11" i="11" s="1"/>
  <c r="DT11" i="11" s="1"/>
  <c r="CZ6" i="11"/>
  <c r="CZ9" i="11" s="1"/>
  <c r="CY6" i="11"/>
  <c r="CY9" i="11" s="1"/>
  <c r="CX6" i="11"/>
  <c r="CX9" i="11" s="1"/>
  <c r="CV6" i="11"/>
  <c r="CU6" i="11"/>
  <c r="CJ6" i="11"/>
  <c r="OB9" i="11" s="1"/>
  <c r="CD6" i="11"/>
  <c r="CC6" i="11"/>
  <c r="CC8" i="11" s="1"/>
  <c r="CB6" i="11"/>
  <c r="CB8" i="11" s="1"/>
  <c r="CA6" i="11"/>
  <c r="CA8" i="11" s="1"/>
  <c r="BZ6" i="11"/>
  <c r="BZ8" i="11" s="1"/>
  <c r="BY6" i="11"/>
  <c r="BY8" i="11" s="1"/>
  <c r="BV6" i="11"/>
  <c r="BV7" i="11" s="1"/>
  <c r="BU6" i="11"/>
  <c r="BU7" i="11" s="1"/>
  <c r="BT6" i="11"/>
  <c r="BS6" i="11"/>
  <c r="BR6" i="11"/>
  <c r="BQ6" i="11"/>
  <c r="BP6" i="11"/>
  <c r="BO6" i="11"/>
  <c r="LB5" i="11"/>
  <c r="LA5" i="11"/>
  <c r="KW5" i="11"/>
  <c r="KV5" i="11"/>
  <c r="KU5" i="11"/>
  <c r="KT5" i="11"/>
  <c r="KS5" i="11"/>
  <c r="KR5" i="11"/>
  <c r="KQ5" i="11"/>
  <c r="KP5" i="11"/>
  <c r="KO5" i="11"/>
  <c r="KN5" i="11"/>
  <c r="JV5" i="11"/>
  <c r="JW5" i="11" s="1"/>
  <c r="JU5" i="11"/>
  <c r="JD5" i="11"/>
  <c r="JX6" i="11" s="1"/>
  <c r="CV5" i="11"/>
  <c r="CU5" i="11"/>
  <c r="CW5" i="11" s="1"/>
  <c r="CJ5" i="11"/>
  <c r="OA9" i="11" s="1"/>
  <c r="BV5" i="11"/>
  <c r="BU5" i="11"/>
  <c r="BT5" i="11"/>
  <c r="BS5" i="11"/>
  <c r="BR5" i="11"/>
  <c r="BQ5" i="11"/>
  <c r="BP5" i="11"/>
  <c r="BO5" i="11"/>
  <c r="AK414" i="15"/>
  <c r="AJ414" i="15"/>
  <c r="AI414" i="15"/>
  <c r="AH414" i="15"/>
  <c r="AG414" i="15"/>
  <c r="AF414" i="15"/>
  <c r="AE414" i="15"/>
  <c r="AD414" i="15"/>
  <c r="AC414" i="15"/>
  <c r="AK413" i="15"/>
  <c r="AJ413" i="15"/>
  <c r="AI413" i="15"/>
  <c r="AH413" i="15"/>
  <c r="AG413" i="15"/>
  <c r="AF413" i="15"/>
  <c r="AE413" i="15"/>
  <c r="AD413" i="15"/>
  <c r="AC413" i="15"/>
  <c r="AB413" i="15"/>
  <c r="T413" i="15"/>
  <c r="T414" i="15" s="1"/>
  <c r="S413" i="15"/>
  <c r="S414" i="15" s="1"/>
  <c r="R413" i="15"/>
  <c r="R414" i="15" s="1"/>
  <c r="Q413" i="15"/>
  <c r="Q414" i="15" s="1"/>
  <c r="P413" i="15"/>
  <c r="P414" i="15" s="1"/>
  <c r="O413" i="15"/>
  <c r="O414" i="15" s="1"/>
  <c r="N413" i="15"/>
  <c r="N414" i="15" s="1"/>
  <c r="AK412" i="15"/>
  <c r="AJ412" i="15"/>
  <c r="AI412" i="15"/>
  <c r="AH412" i="15"/>
  <c r="AG412" i="15"/>
  <c r="AF412" i="15"/>
  <c r="AE412" i="15"/>
  <c r="AD412" i="15"/>
  <c r="AC412" i="15"/>
  <c r="AB412" i="15"/>
  <c r="T412" i="15"/>
  <c r="S412" i="15"/>
  <c r="R412" i="15"/>
  <c r="Q412" i="15"/>
  <c r="P412" i="15"/>
  <c r="O412" i="15"/>
  <c r="N412" i="15"/>
  <c r="AH411" i="15"/>
  <c r="AJ411" i="15" s="1"/>
  <c r="AF411" i="15"/>
  <c r="AE411" i="15"/>
  <c r="AD411" i="15"/>
  <c r="AC411" i="15"/>
  <c r="L411" i="15"/>
  <c r="AB411" i="15" s="1"/>
  <c r="AH410" i="15"/>
  <c r="AJ410" i="15" s="1"/>
  <c r="AF410" i="15"/>
  <c r="AE410" i="15"/>
  <c r="AD410" i="15"/>
  <c r="AC410" i="15"/>
  <c r="T410" i="15"/>
  <c r="S410" i="15"/>
  <c r="R410" i="15"/>
  <c r="Q410" i="15"/>
  <c r="P410" i="15"/>
  <c r="O410" i="15"/>
  <c r="N410" i="15"/>
  <c r="L410" i="15"/>
  <c r="AB410" i="15" s="1"/>
  <c r="AH409" i="15"/>
  <c r="AJ409" i="15" s="1"/>
  <c r="AF409" i="15"/>
  <c r="AE409" i="15"/>
  <c r="AD409" i="15"/>
  <c r="AC409" i="15"/>
  <c r="L409" i="15"/>
  <c r="AB409" i="15" s="1"/>
  <c r="AH408" i="15"/>
  <c r="AJ408" i="15" s="1"/>
  <c r="AF408" i="15"/>
  <c r="AE408" i="15"/>
  <c r="AD408" i="15"/>
  <c r="AC408" i="15"/>
  <c r="T408" i="15"/>
  <c r="S408" i="15"/>
  <c r="R408" i="15"/>
  <c r="Q408" i="15"/>
  <c r="P408" i="15"/>
  <c r="O408" i="15"/>
  <c r="N408" i="15"/>
  <c r="L408" i="15"/>
  <c r="AB408" i="15" s="1"/>
  <c r="AH407" i="15"/>
  <c r="AJ407" i="15" s="1"/>
  <c r="AF407" i="15"/>
  <c r="AE407" i="15"/>
  <c r="AD407" i="15"/>
  <c r="AC407" i="15"/>
  <c r="L407" i="15"/>
  <c r="AB407" i="15" s="1"/>
  <c r="AH406" i="15"/>
  <c r="AJ406" i="15" s="1"/>
  <c r="AF406" i="15"/>
  <c r="AE406" i="15"/>
  <c r="AD406" i="15"/>
  <c r="AC406" i="15"/>
  <c r="T406" i="15"/>
  <c r="T407" i="15" s="1"/>
  <c r="T409" i="15" s="1"/>
  <c r="T411" i="15" s="1"/>
  <c r="S406" i="15"/>
  <c r="S407" i="15" s="1"/>
  <c r="S409" i="15" s="1"/>
  <c r="S411" i="15" s="1"/>
  <c r="R406" i="15"/>
  <c r="R407" i="15" s="1"/>
  <c r="R409" i="15" s="1"/>
  <c r="R411" i="15" s="1"/>
  <c r="Q406" i="15"/>
  <c r="Q407" i="15" s="1"/>
  <c r="Q409" i="15" s="1"/>
  <c r="Q411" i="15" s="1"/>
  <c r="P406" i="15"/>
  <c r="P407" i="15" s="1"/>
  <c r="P409" i="15" s="1"/>
  <c r="P411" i="15" s="1"/>
  <c r="O406" i="15"/>
  <c r="O407" i="15" s="1"/>
  <c r="O409" i="15" s="1"/>
  <c r="O411" i="15" s="1"/>
  <c r="N406" i="15"/>
  <c r="N407" i="15" s="1"/>
  <c r="N409" i="15" s="1"/>
  <c r="N411" i="15" s="1"/>
  <c r="L406" i="15"/>
  <c r="AB406" i="15" s="1"/>
  <c r="AH405" i="15"/>
  <c r="AJ405" i="15" s="1"/>
  <c r="AF405" i="15"/>
  <c r="AE405" i="15"/>
  <c r="AD405" i="15"/>
  <c r="AC405" i="15"/>
  <c r="T405" i="15"/>
  <c r="AG411" i="15" s="1"/>
  <c r="S405" i="15"/>
  <c r="AG410" i="15" s="1"/>
  <c r="R405" i="15"/>
  <c r="AG409" i="15" s="1"/>
  <c r="Q405" i="15"/>
  <c r="AG408" i="15" s="1"/>
  <c r="P405" i="15"/>
  <c r="AG407" i="15" s="1"/>
  <c r="O405" i="15"/>
  <c r="AG406" i="15" s="1"/>
  <c r="N405" i="15"/>
  <c r="AG405" i="15" s="1"/>
  <c r="L405" i="15"/>
  <c r="AB405" i="15" s="1"/>
  <c r="AK404" i="15"/>
  <c r="AJ404" i="15"/>
  <c r="AI404" i="15"/>
  <c r="AH404" i="15"/>
  <c r="AG404" i="15"/>
  <c r="AF404" i="15"/>
  <c r="AE404" i="15"/>
  <c r="AD404" i="15"/>
  <c r="AC404" i="15"/>
  <c r="AK403" i="15"/>
  <c r="AJ403" i="15"/>
  <c r="AI403" i="15"/>
  <c r="AH403" i="15"/>
  <c r="AG403" i="15"/>
  <c r="AF403" i="15"/>
  <c r="AE403" i="15"/>
  <c r="AD403" i="15"/>
  <c r="AC403" i="15"/>
  <c r="AB403" i="15"/>
  <c r="T403" i="15"/>
  <c r="T404" i="15" s="1"/>
  <c r="AI401" i="15" s="1"/>
  <c r="S403" i="15"/>
  <c r="S404" i="15" s="1"/>
  <c r="AI400" i="15" s="1"/>
  <c r="R403" i="15"/>
  <c r="R404" i="15" s="1"/>
  <c r="Y395" i="15" s="1"/>
  <c r="AK399" i="15" s="1"/>
  <c r="Q403" i="15"/>
  <c r="Q404" i="15" s="1"/>
  <c r="AI398" i="15" s="1"/>
  <c r="P403" i="15"/>
  <c r="P404" i="15" s="1"/>
  <c r="AI397" i="15" s="1"/>
  <c r="O403" i="15"/>
  <c r="O404" i="15" s="1"/>
  <c r="V395" i="15" s="1"/>
  <c r="AK396" i="15" s="1"/>
  <c r="N403" i="15"/>
  <c r="N404" i="15" s="1"/>
  <c r="AI395" i="15" s="1"/>
  <c r="AK402" i="15"/>
  <c r="AJ402" i="15"/>
  <c r="AI402" i="15"/>
  <c r="AH402" i="15"/>
  <c r="AG402" i="15"/>
  <c r="AF402" i="15"/>
  <c r="AE402" i="15"/>
  <c r="AD402" i="15"/>
  <c r="AC402" i="15"/>
  <c r="AB402" i="15"/>
  <c r="T402" i="15"/>
  <c r="S402" i="15"/>
  <c r="R402" i="15"/>
  <c r="Q402" i="15"/>
  <c r="P402" i="15"/>
  <c r="O402" i="15"/>
  <c r="N402" i="15"/>
  <c r="AH401" i="15"/>
  <c r="AJ401" i="15" s="1"/>
  <c r="AF401" i="15"/>
  <c r="AE401" i="15"/>
  <c r="AD401" i="15"/>
  <c r="AC401" i="15"/>
  <c r="L401" i="15"/>
  <c r="AB401" i="15" s="1"/>
  <c r="AH400" i="15"/>
  <c r="AJ400" i="15" s="1"/>
  <c r="AF400" i="15"/>
  <c r="AE400" i="15"/>
  <c r="AD400" i="15"/>
  <c r="AC400" i="15"/>
  <c r="T400" i="15"/>
  <c r="S400" i="15"/>
  <c r="R400" i="15"/>
  <c r="Q400" i="15"/>
  <c r="P400" i="15"/>
  <c r="O400" i="15"/>
  <c r="N400" i="15"/>
  <c r="L400" i="15"/>
  <c r="AB400" i="15" s="1"/>
  <c r="AH399" i="15"/>
  <c r="AJ399" i="15" s="1"/>
  <c r="AF399" i="15"/>
  <c r="AE399" i="15"/>
  <c r="AD399" i="15"/>
  <c r="AC399" i="15"/>
  <c r="L399" i="15"/>
  <c r="AB399" i="15" s="1"/>
  <c r="AH398" i="15"/>
  <c r="AJ398" i="15" s="1"/>
  <c r="AF398" i="15"/>
  <c r="AE398" i="15"/>
  <c r="AD398" i="15"/>
  <c r="AC398" i="15"/>
  <c r="T398" i="15"/>
  <c r="S398" i="15"/>
  <c r="R398" i="15"/>
  <c r="Q398" i="15"/>
  <c r="P398" i="15"/>
  <c r="O398" i="15"/>
  <c r="N398" i="15"/>
  <c r="L398" i="15"/>
  <c r="AB398" i="15" s="1"/>
  <c r="AH397" i="15"/>
  <c r="AJ397" i="15" s="1"/>
  <c r="AF397" i="15"/>
  <c r="AE397" i="15"/>
  <c r="AD397" i="15"/>
  <c r="AC397" i="15"/>
  <c r="L397" i="15"/>
  <c r="AB397" i="15" s="1"/>
  <c r="AH396" i="15"/>
  <c r="AJ396" i="15" s="1"/>
  <c r="AF396" i="15"/>
  <c r="AE396" i="15"/>
  <c r="AD396" i="15"/>
  <c r="AC396" i="15"/>
  <c r="T396" i="15"/>
  <c r="T397" i="15" s="1"/>
  <c r="T399" i="15" s="1"/>
  <c r="T401" i="15" s="1"/>
  <c r="S396" i="15"/>
  <c r="S397" i="15" s="1"/>
  <c r="S399" i="15" s="1"/>
  <c r="S401" i="15" s="1"/>
  <c r="R396" i="15"/>
  <c r="R397" i="15" s="1"/>
  <c r="R399" i="15" s="1"/>
  <c r="R401" i="15" s="1"/>
  <c r="Q396" i="15"/>
  <c r="Q397" i="15" s="1"/>
  <c r="Q399" i="15" s="1"/>
  <c r="Q401" i="15" s="1"/>
  <c r="P396" i="15"/>
  <c r="P397" i="15" s="1"/>
  <c r="P399" i="15" s="1"/>
  <c r="P401" i="15" s="1"/>
  <c r="O396" i="15"/>
  <c r="O397" i="15" s="1"/>
  <c r="O399" i="15" s="1"/>
  <c r="O401" i="15" s="1"/>
  <c r="N396" i="15"/>
  <c r="N397" i="15" s="1"/>
  <c r="N399" i="15" s="1"/>
  <c r="N401" i="15" s="1"/>
  <c r="L396" i="15"/>
  <c r="AB396" i="15" s="1"/>
  <c r="AH395" i="15"/>
  <c r="AJ395" i="15" s="1"/>
  <c r="AF395" i="15"/>
  <c r="AE395" i="15"/>
  <c r="AD395" i="15"/>
  <c r="AC395" i="15"/>
  <c r="T395" i="15"/>
  <c r="AG401" i="15" s="1"/>
  <c r="S395" i="15"/>
  <c r="AG400" i="15" s="1"/>
  <c r="R395" i="15"/>
  <c r="AG399" i="15" s="1"/>
  <c r="Q395" i="15"/>
  <c r="AG398" i="15" s="1"/>
  <c r="P395" i="15"/>
  <c r="AG397" i="15" s="1"/>
  <c r="O395" i="15"/>
  <c r="AG396" i="15" s="1"/>
  <c r="N395" i="15"/>
  <c r="AG395" i="15" s="1"/>
  <c r="L395" i="15"/>
  <c r="AB395" i="15" s="1"/>
  <c r="AK394" i="15"/>
  <c r="AJ394" i="15"/>
  <c r="AI394" i="15"/>
  <c r="AH394" i="15"/>
  <c r="AG394" i="15"/>
  <c r="AF394" i="15"/>
  <c r="AE394" i="15"/>
  <c r="AD394" i="15"/>
  <c r="AC394" i="15"/>
  <c r="AK393" i="15"/>
  <c r="AJ393" i="15"/>
  <c r="AI393" i="15"/>
  <c r="AH393" i="15"/>
  <c r="AG393" i="15"/>
  <c r="AF393" i="15"/>
  <c r="AE393" i="15"/>
  <c r="AD393" i="15"/>
  <c r="AC393" i="15"/>
  <c r="AB393" i="15"/>
  <c r="T393" i="15"/>
  <c r="T394" i="15" s="1"/>
  <c r="S393" i="15"/>
  <c r="S394" i="15" s="1"/>
  <c r="R393" i="15"/>
  <c r="R394" i="15" s="1"/>
  <c r="Q393" i="15"/>
  <c r="Q394" i="15" s="1"/>
  <c r="P393" i="15"/>
  <c r="P394" i="15" s="1"/>
  <c r="O393" i="15"/>
  <c r="O394" i="15" s="1"/>
  <c r="N393" i="15"/>
  <c r="N394" i="15" s="1"/>
  <c r="AK392" i="15"/>
  <c r="AJ392" i="15"/>
  <c r="AI392" i="15"/>
  <c r="AH392" i="15"/>
  <c r="AG392" i="15"/>
  <c r="AF392" i="15"/>
  <c r="AE392" i="15"/>
  <c r="AD392" i="15"/>
  <c r="AC392" i="15"/>
  <c r="AB392" i="15"/>
  <c r="T392" i="15"/>
  <c r="S392" i="15"/>
  <c r="R392" i="15"/>
  <c r="Q392" i="15"/>
  <c r="P392" i="15"/>
  <c r="O392" i="15"/>
  <c r="N392" i="15"/>
  <c r="AH391" i="15"/>
  <c r="AJ391" i="15" s="1"/>
  <c r="AF391" i="15"/>
  <c r="AE391" i="15"/>
  <c r="AD391" i="15"/>
  <c r="AC391" i="15"/>
  <c r="L391" i="15"/>
  <c r="AB391" i="15" s="1"/>
  <c r="AH390" i="15"/>
  <c r="AJ390" i="15" s="1"/>
  <c r="AF390" i="15"/>
  <c r="AE390" i="15"/>
  <c r="AD390" i="15"/>
  <c r="AC390" i="15"/>
  <c r="T390" i="15"/>
  <c r="S390" i="15"/>
  <c r="R390" i="15"/>
  <c r="Q390" i="15"/>
  <c r="P390" i="15"/>
  <c r="O390" i="15"/>
  <c r="N390" i="15"/>
  <c r="L390" i="15"/>
  <c r="AB390" i="15" s="1"/>
  <c r="AH389" i="15"/>
  <c r="AJ389" i="15" s="1"/>
  <c r="AF389" i="15"/>
  <c r="AE389" i="15"/>
  <c r="AD389" i="15"/>
  <c r="AC389" i="15"/>
  <c r="L389" i="15"/>
  <c r="AB389" i="15" s="1"/>
  <c r="AH388" i="15"/>
  <c r="AJ388" i="15" s="1"/>
  <c r="AF388" i="15"/>
  <c r="AE388" i="15"/>
  <c r="AD388" i="15"/>
  <c r="AC388" i="15"/>
  <c r="T388" i="15"/>
  <c r="S388" i="15"/>
  <c r="R388" i="15"/>
  <c r="Q388" i="15"/>
  <c r="P388" i="15"/>
  <c r="O388" i="15"/>
  <c r="N388" i="15"/>
  <c r="L388" i="15"/>
  <c r="AB388" i="15" s="1"/>
  <c r="AH387" i="15"/>
  <c r="AJ387" i="15" s="1"/>
  <c r="AF387" i="15"/>
  <c r="AE387" i="15"/>
  <c r="AD387" i="15"/>
  <c r="AC387" i="15"/>
  <c r="L387" i="15"/>
  <c r="AB387" i="15" s="1"/>
  <c r="AH386" i="15"/>
  <c r="AJ386" i="15" s="1"/>
  <c r="AF386" i="15"/>
  <c r="AE386" i="15"/>
  <c r="AD386" i="15"/>
  <c r="AC386" i="15"/>
  <c r="T386" i="15"/>
  <c r="T387" i="15" s="1"/>
  <c r="T389" i="15" s="1"/>
  <c r="T391" i="15" s="1"/>
  <c r="S386" i="15"/>
  <c r="S387" i="15" s="1"/>
  <c r="S389" i="15" s="1"/>
  <c r="S391" i="15" s="1"/>
  <c r="R386" i="15"/>
  <c r="R387" i="15" s="1"/>
  <c r="R389" i="15" s="1"/>
  <c r="R391" i="15" s="1"/>
  <c r="Q386" i="15"/>
  <c r="Q387" i="15" s="1"/>
  <c r="Q389" i="15" s="1"/>
  <c r="Q391" i="15" s="1"/>
  <c r="P386" i="15"/>
  <c r="P387" i="15" s="1"/>
  <c r="P389" i="15" s="1"/>
  <c r="P391" i="15" s="1"/>
  <c r="O386" i="15"/>
  <c r="O387" i="15" s="1"/>
  <c r="O389" i="15" s="1"/>
  <c r="O391" i="15" s="1"/>
  <c r="N386" i="15"/>
  <c r="N387" i="15" s="1"/>
  <c r="N389" i="15" s="1"/>
  <c r="N391" i="15" s="1"/>
  <c r="L386" i="15"/>
  <c r="AB386" i="15" s="1"/>
  <c r="AH385" i="15"/>
  <c r="AJ385" i="15" s="1"/>
  <c r="AF385" i="15"/>
  <c r="AE385" i="15"/>
  <c r="AD385" i="15"/>
  <c r="AC385" i="15"/>
  <c r="T385" i="15"/>
  <c r="AG391" i="15" s="1"/>
  <c r="S385" i="15"/>
  <c r="AG390" i="15" s="1"/>
  <c r="R385" i="15"/>
  <c r="AG389" i="15" s="1"/>
  <c r="Q385" i="15"/>
  <c r="AG388" i="15" s="1"/>
  <c r="P385" i="15"/>
  <c r="AG387" i="15" s="1"/>
  <c r="O385" i="15"/>
  <c r="AG386" i="15" s="1"/>
  <c r="N385" i="15"/>
  <c r="AG385" i="15" s="1"/>
  <c r="L385" i="15"/>
  <c r="AB385" i="15" s="1"/>
  <c r="AK384" i="15"/>
  <c r="AJ384" i="15"/>
  <c r="AI384" i="15"/>
  <c r="AH384" i="15"/>
  <c r="AG384" i="15"/>
  <c r="AF384" i="15"/>
  <c r="AE384" i="15"/>
  <c r="AD384" i="15"/>
  <c r="AC384" i="15"/>
  <c r="AK383" i="15"/>
  <c r="AJ383" i="15"/>
  <c r="AI383" i="15"/>
  <c r="AH383" i="15"/>
  <c r="AG383" i="15"/>
  <c r="AF383" i="15"/>
  <c r="AE383" i="15"/>
  <c r="AD383" i="15"/>
  <c r="AC383" i="15"/>
  <c r="AB383" i="15"/>
  <c r="T383" i="15"/>
  <c r="T384" i="15" s="1"/>
  <c r="AI381" i="15" s="1"/>
  <c r="S383" i="15"/>
  <c r="S384" i="15" s="1"/>
  <c r="AI380" i="15" s="1"/>
  <c r="R383" i="15"/>
  <c r="R384" i="15" s="1"/>
  <c r="AI379" i="15" s="1"/>
  <c r="Q383" i="15"/>
  <c r="Q384" i="15" s="1"/>
  <c r="AI378" i="15" s="1"/>
  <c r="P383" i="15"/>
  <c r="P384" i="15" s="1"/>
  <c r="AI377" i="15" s="1"/>
  <c r="O383" i="15"/>
  <c r="O384" i="15" s="1"/>
  <c r="AI376" i="15" s="1"/>
  <c r="N383" i="15"/>
  <c r="N384" i="15" s="1"/>
  <c r="AI375" i="15" s="1"/>
  <c r="AK382" i="15"/>
  <c r="AJ382" i="15"/>
  <c r="AI382" i="15"/>
  <c r="AH382" i="15"/>
  <c r="AG382" i="15"/>
  <c r="AF382" i="15"/>
  <c r="AE382" i="15"/>
  <c r="AD382" i="15"/>
  <c r="AC382" i="15"/>
  <c r="AB382" i="15"/>
  <c r="T382" i="15"/>
  <c r="S382" i="15"/>
  <c r="R382" i="15"/>
  <c r="Q382" i="15"/>
  <c r="P382" i="15"/>
  <c r="O382" i="15"/>
  <c r="N382" i="15"/>
  <c r="AH381" i="15"/>
  <c r="AJ381" i="15" s="1"/>
  <c r="AF381" i="15"/>
  <c r="AE381" i="15"/>
  <c r="AD381" i="15"/>
  <c r="AC381" i="15"/>
  <c r="L381" i="15"/>
  <c r="AB381" i="15" s="1"/>
  <c r="AH380" i="15"/>
  <c r="AJ380" i="15" s="1"/>
  <c r="AF380" i="15"/>
  <c r="AE380" i="15"/>
  <c r="AD380" i="15"/>
  <c r="AC380" i="15"/>
  <c r="T380" i="15"/>
  <c r="S380" i="15"/>
  <c r="R380" i="15"/>
  <c r="Q380" i="15"/>
  <c r="P380" i="15"/>
  <c r="O380" i="15"/>
  <c r="N380" i="15"/>
  <c r="L380" i="15"/>
  <c r="AB380" i="15" s="1"/>
  <c r="AH379" i="15"/>
  <c r="AJ379" i="15" s="1"/>
  <c r="AF379" i="15"/>
  <c r="AE379" i="15"/>
  <c r="AD379" i="15"/>
  <c r="AC379" i="15"/>
  <c r="L379" i="15"/>
  <c r="AB379" i="15" s="1"/>
  <c r="AH378" i="15"/>
  <c r="AJ378" i="15" s="1"/>
  <c r="AF378" i="15"/>
  <c r="AE378" i="15"/>
  <c r="AD378" i="15"/>
  <c r="AC378" i="15"/>
  <c r="T378" i="15"/>
  <c r="S378" i="15"/>
  <c r="R378" i="15"/>
  <c r="Q378" i="15"/>
  <c r="P378" i="15"/>
  <c r="O378" i="15"/>
  <c r="N378" i="15"/>
  <c r="L378" i="15"/>
  <c r="AB378" i="15" s="1"/>
  <c r="AH377" i="15"/>
  <c r="AJ377" i="15" s="1"/>
  <c r="AF377" i="15"/>
  <c r="AE377" i="15"/>
  <c r="AD377" i="15"/>
  <c r="AC377" i="15"/>
  <c r="L377" i="15"/>
  <c r="AB377" i="15" s="1"/>
  <c r="AH376" i="15"/>
  <c r="AJ376" i="15" s="1"/>
  <c r="AF376" i="15"/>
  <c r="AE376" i="15"/>
  <c r="AD376" i="15"/>
  <c r="AC376" i="15"/>
  <c r="T376" i="15"/>
  <c r="T377" i="15" s="1"/>
  <c r="T379" i="15" s="1"/>
  <c r="T381" i="15" s="1"/>
  <c r="S376" i="15"/>
  <c r="S377" i="15" s="1"/>
  <c r="S379" i="15" s="1"/>
  <c r="S381" i="15" s="1"/>
  <c r="R376" i="15"/>
  <c r="R377" i="15" s="1"/>
  <c r="R379" i="15" s="1"/>
  <c r="R381" i="15" s="1"/>
  <c r="Q376" i="15"/>
  <c r="Q377" i="15" s="1"/>
  <c r="Q379" i="15" s="1"/>
  <c r="Q381" i="15" s="1"/>
  <c r="P376" i="15"/>
  <c r="P377" i="15" s="1"/>
  <c r="P379" i="15" s="1"/>
  <c r="P381" i="15" s="1"/>
  <c r="O376" i="15"/>
  <c r="O377" i="15" s="1"/>
  <c r="O379" i="15" s="1"/>
  <c r="O381" i="15" s="1"/>
  <c r="N376" i="15"/>
  <c r="N377" i="15" s="1"/>
  <c r="N379" i="15" s="1"/>
  <c r="N381" i="15" s="1"/>
  <c r="L376" i="15"/>
  <c r="AB376" i="15" s="1"/>
  <c r="AH375" i="15"/>
  <c r="AJ375" i="15" s="1"/>
  <c r="AF375" i="15"/>
  <c r="AE375" i="15"/>
  <c r="AD375" i="15"/>
  <c r="AC375" i="15"/>
  <c r="T375" i="15"/>
  <c r="AG381" i="15" s="1"/>
  <c r="S375" i="15"/>
  <c r="AG380" i="15" s="1"/>
  <c r="R375" i="15"/>
  <c r="AG379" i="15" s="1"/>
  <c r="Q375" i="15"/>
  <c r="AG378" i="15" s="1"/>
  <c r="P375" i="15"/>
  <c r="AG377" i="15" s="1"/>
  <c r="O375" i="15"/>
  <c r="AG376" i="15" s="1"/>
  <c r="N375" i="15"/>
  <c r="AG375" i="15" s="1"/>
  <c r="L375" i="15"/>
  <c r="AB375" i="15" s="1"/>
  <c r="AK374" i="15"/>
  <c r="AJ374" i="15"/>
  <c r="AI374" i="15"/>
  <c r="AH374" i="15"/>
  <c r="AG374" i="15"/>
  <c r="AF374" i="15"/>
  <c r="AE374" i="15"/>
  <c r="AD374" i="15"/>
  <c r="AC374" i="15"/>
  <c r="AK373" i="15"/>
  <c r="AJ373" i="15"/>
  <c r="AI373" i="15"/>
  <c r="AH373" i="15"/>
  <c r="AG373" i="15"/>
  <c r="AF373" i="15"/>
  <c r="AE373" i="15"/>
  <c r="AD373" i="15"/>
  <c r="AC373" i="15"/>
  <c r="AB373" i="15"/>
  <c r="T373" i="15"/>
  <c r="T374" i="15" s="1"/>
  <c r="S373" i="15"/>
  <c r="S374" i="15" s="1"/>
  <c r="R373" i="15"/>
  <c r="R374" i="15" s="1"/>
  <c r="Q373" i="15"/>
  <c r="Q374" i="15" s="1"/>
  <c r="P373" i="15"/>
  <c r="P374" i="15" s="1"/>
  <c r="O373" i="15"/>
  <c r="O374" i="15" s="1"/>
  <c r="N373" i="15"/>
  <c r="N374" i="15" s="1"/>
  <c r="AK372" i="15"/>
  <c r="AJ372" i="15"/>
  <c r="AI372" i="15"/>
  <c r="AH372" i="15"/>
  <c r="AG372" i="15"/>
  <c r="AF372" i="15"/>
  <c r="AE372" i="15"/>
  <c r="AD372" i="15"/>
  <c r="AC372" i="15"/>
  <c r="AB372" i="15"/>
  <c r="T372" i="15"/>
  <c r="S372" i="15"/>
  <c r="R372" i="15"/>
  <c r="Q372" i="15"/>
  <c r="P372" i="15"/>
  <c r="O372" i="15"/>
  <c r="N372" i="15"/>
  <c r="AH371" i="15"/>
  <c r="AJ371" i="15" s="1"/>
  <c r="AF371" i="15"/>
  <c r="AE371" i="15"/>
  <c r="AD371" i="15"/>
  <c r="AC371" i="15"/>
  <c r="L371" i="15"/>
  <c r="AB371" i="15" s="1"/>
  <c r="AH370" i="15"/>
  <c r="AJ370" i="15" s="1"/>
  <c r="AF370" i="15"/>
  <c r="AE370" i="15"/>
  <c r="AD370" i="15"/>
  <c r="AC370" i="15"/>
  <c r="T370" i="15"/>
  <c r="S370" i="15"/>
  <c r="R370" i="15"/>
  <c r="Q370" i="15"/>
  <c r="P370" i="15"/>
  <c r="O370" i="15"/>
  <c r="N370" i="15"/>
  <c r="L370" i="15"/>
  <c r="AB370" i="15" s="1"/>
  <c r="AH369" i="15"/>
  <c r="AJ369" i="15" s="1"/>
  <c r="AF369" i="15"/>
  <c r="AE369" i="15"/>
  <c r="AD369" i="15"/>
  <c r="AC369" i="15"/>
  <c r="L369" i="15"/>
  <c r="AB369" i="15" s="1"/>
  <c r="AH368" i="15"/>
  <c r="AJ368" i="15" s="1"/>
  <c r="AF368" i="15"/>
  <c r="AE368" i="15"/>
  <c r="AD368" i="15"/>
  <c r="AC368" i="15"/>
  <c r="T368" i="15"/>
  <c r="S368" i="15"/>
  <c r="R368" i="15"/>
  <c r="Q368" i="15"/>
  <c r="P368" i="15"/>
  <c r="O368" i="15"/>
  <c r="N368" i="15"/>
  <c r="L368" i="15"/>
  <c r="AB368" i="15" s="1"/>
  <c r="AH367" i="15"/>
  <c r="AJ367" i="15" s="1"/>
  <c r="AF367" i="15"/>
  <c r="AE367" i="15"/>
  <c r="AD367" i="15"/>
  <c r="AC367" i="15"/>
  <c r="L367" i="15"/>
  <c r="AB367" i="15" s="1"/>
  <c r="AH366" i="15"/>
  <c r="AJ366" i="15" s="1"/>
  <c r="AF366" i="15"/>
  <c r="AE366" i="15"/>
  <c r="AD366" i="15"/>
  <c r="AC366" i="15"/>
  <c r="T366" i="15"/>
  <c r="T367" i="15" s="1"/>
  <c r="T369" i="15" s="1"/>
  <c r="T371" i="15" s="1"/>
  <c r="S366" i="15"/>
  <c r="S367" i="15" s="1"/>
  <c r="S369" i="15" s="1"/>
  <c r="S371" i="15" s="1"/>
  <c r="R366" i="15"/>
  <c r="R367" i="15" s="1"/>
  <c r="R369" i="15" s="1"/>
  <c r="R371" i="15" s="1"/>
  <c r="Q366" i="15"/>
  <c r="Q367" i="15" s="1"/>
  <c r="Q369" i="15" s="1"/>
  <c r="Q371" i="15" s="1"/>
  <c r="P366" i="15"/>
  <c r="P367" i="15" s="1"/>
  <c r="P369" i="15" s="1"/>
  <c r="P371" i="15" s="1"/>
  <c r="O366" i="15"/>
  <c r="O367" i="15" s="1"/>
  <c r="O369" i="15" s="1"/>
  <c r="O371" i="15" s="1"/>
  <c r="N366" i="15"/>
  <c r="N367" i="15" s="1"/>
  <c r="N369" i="15" s="1"/>
  <c r="N371" i="15" s="1"/>
  <c r="L366" i="15"/>
  <c r="AB366" i="15" s="1"/>
  <c r="AH365" i="15"/>
  <c r="AJ365" i="15" s="1"/>
  <c r="AF365" i="15"/>
  <c r="AE365" i="15"/>
  <c r="AD365" i="15"/>
  <c r="AC365" i="15"/>
  <c r="T365" i="15"/>
  <c r="AG371" i="15" s="1"/>
  <c r="S365" i="15"/>
  <c r="AG370" i="15" s="1"/>
  <c r="R365" i="15"/>
  <c r="AG369" i="15" s="1"/>
  <c r="Q365" i="15"/>
  <c r="AG368" i="15" s="1"/>
  <c r="P365" i="15"/>
  <c r="AG367" i="15" s="1"/>
  <c r="O365" i="15"/>
  <c r="AG366" i="15" s="1"/>
  <c r="N365" i="15"/>
  <c r="AG365" i="15" s="1"/>
  <c r="L365" i="15"/>
  <c r="AB365" i="15" s="1"/>
  <c r="AK364" i="15"/>
  <c r="AJ364" i="15"/>
  <c r="AI364" i="15"/>
  <c r="AH364" i="15"/>
  <c r="AG364" i="15"/>
  <c r="AF364" i="15"/>
  <c r="AE364" i="15"/>
  <c r="AD364" i="15"/>
  <c r="AC364" i="15"/>
  <c r="AK363" i="15"/>
  <c r="AJ363" i="15"/>
  <c r="AI363" i="15"/>
  <c r="AH363" i="15"/>
  <c r="AG363" i="15"/>
  <c r="AF363" i="15"/>
  <c r="AE363" i="15"/>
  <c r="AD363" i="15"/>
  <c r="AC363" i="15"/>
  <c r="AB363" i="15"/>
  <c r="T363" i="15"/>
  <c r="T364" i="15" s="1"/>
  <c r="S363" i="15"/>
  <c r="S364" i="15" s="1"/>
  <c r="R363" i="15"/>
  <c r="R364" i="15" s="1"/>
  <c r="Q363" i="15"/>
  <c r="Q364" i="15" s="1"/>
  <c r="P363" i="15"/>
  <c r="P364" i="15" s="1"/>
  <c r="O363" i="15"/>
  <c r="O364" i="15" s="1"/>
  <c r="N363" i="15"/>
  <c r="N364" i="15" s="1"/>
  <c r="AK362" i="15"/>
  <c r="AJ362" i="15"/>
  <c r="AI362" i="15"/>
  <c r="AH362" i="15"/>
  <c r="AG362" i="15"/>
  <c r="AF362" i="15"/>
  <c r="AE362" i="15"/>
  <c r="AD362" i="15"/>
  <c r="AC362" i="15"/>
  <c r="AB362" i="15"/>
  <c r="T362" i="15"/>
  <c r="S362" i="15"/>
  <c r="R362" i="15"/>
  <c r="Q362" i="15"/>
  <c r="P362" i="15"/>
  <c r="O362" i="15"/>
  <c r="N362" i="15"/>
  <c r="AH361" i="15"/>
  <c r="AJ361" i="15" s="1"/>
  <c r="AF361" i="15"/>
  <c r="AE361" i="15"/>
  <c r="AD361" i="15"/>
  <c r="AC361" i="15"/>
  <c r="L361" i="15"/>
  <c r="AB361" i="15" s="1"/>
  <c r="AH360" i="15"/>
  <c r="AJ360" i="15" s="1"/>
  <c r="AF360" i="15"/>
  <c r="AE360" i="15"/>
  <c r="AD360" i="15"/>
  <c r="AC360" i="15"/>
  <c r="T360" i="15"/>
  <c r="S360" i="15"/>
  <c r="R360" i="15"/>
  <c r="Q360" i="15"/>
  <c r="P360" i="15"/>
  <c r="O360" i="15"/>
  <c r="N360" i="15"/>
  <c r="L360" i="15"/>
  <c r="AB360" i="15" s="1"/>
  <c r="AH359" i="15"/>
  <c r="AJ359" i="15" s="1"/>
  <c r="AF359" i="15"/>
  <c r="AE359" i="15"/>
  <c r="AD359" i="15"/>
  <c r="AC359" i="15"/>
  <c r="L359" i="15"/>
  <c r="AB359" i="15" s="1"/>
  <c r="AH358" i="15"/>
  <c r="AJ358" i="15" s="1"/>
  <c r="AF358" i="15"/>
  <c r="AE358" i="15"/>
  <c r="AD358" i="15"/>
  <c r="AC358" i="15"/>
  <c r="T358" i="15"/>
  <c r="S358" i="15"/>
  <c r="R358" i="15"/>
  <c r="Q358" i="15"/>
  <c r="P358" i="15"/>
  <c r="O358" i="15"/>
  <c r="N358" i="15"/>
  <c r="L358" i="15"/>
  <c r="AB358" i="15" s="1"/>
  <c r="AH357" i="15"/>
  <c r="AJ357" i="15" s="1"/>
  <c r="AF357" i="15"/>
  <c r="AE357" i="15"/>
  <c r="AD357" i="15"/>
  <c r="AC357" i="15"/>
  <c r="L357" i="15"/>
  <c r="AB357" i="15" s="1"/>
  <c r="AH356" i="15"/>
  <c r="AJ356" i="15" s="1"/>
  <c r="AF356" i="15"/>
  <c r="AE356" i="15"/>
  <c r="AD356" i="15"/>
  <c r="AC356" i="15"/>
  <c r="T356" i="15"/>
  <c r="T357" i="15" s="1"/>
  <c r="T359" i="15" s="1"/>
  <c r="T361" i="15" s="1"/>
  <c r="S356" i="15"/>
  <c r="S357" i="15" s="1"/>
  <c r="S359" i="15" s="1"/>
  <c r="S361" i="15" s="1"/>
  <c r="R356" i="15"/>
  <c r="R357" i="15" s="1"/>
  <c r="R359" i="15" s="1"/>
  <c r="R361" i="15" s="1"/>
  <c r="Q356" i="15"/>
  <c r="Q357" i="15" s="1"/>
  <c r="Q359" i="15" s="1"/>
  <c r="Q361" i="15" s="1"/>
  <c r="P356" i="15"/>
  <c r="P357" i="15" s="1"/>
  <c r="P359" i="15" s="1"/>
  <c r="P361" i="15" s="1"/>
  <c r="O356" i="15"/>
  <c r="O357" i="15" s="1"/>
  <c r="O359" i="15" s="1"/>
  <c r="O361" i="15" s="1"/>
  <c r="N356" i="15"/>
  <c r="N357" i="15" s="1"/>
  <c r="N359" i="15" s="1"/>
  <c r="N361" i="15" s="1"/>
  <c r="L356" i="15"/>
  <c r="AB356" i="15" s="1"/>
  <c r="AH355" i="15"/>
  <c r="AJ355" i="15" s="1"/>
  <c r="AF355" i="15"/>
  <c r="AE355" i="15"/>
  <c r="AD355" i="15"/>
  <c r="AC355" i="15"/>
  <c r="T355" i="15"/>
  <c r="AG361" i="15" s="1"/>
  <c r="S355" i="15"/>
  <c r="AG360" i="15" s="1"/>
  <c r="R355" i="15"/>
  <c r="AG359" i="15" s="1"/>
  <c r="Q355" i="15"/>
  <c r="AG358" i="15" s="1"/>
  <c r="P355" i="15"/>
  <c r="AG357" i="15" s="1"/>
  <c r="O355" i="15"/>
  <c r="AG356" i="15" s="1"/>
  <c r="N355" i="15"/>
  <c r="AG355" i="15" s="1"/>
  <c r="L355" i="15"/>
  <c r="AB355" i="15" s="1"/>
  <c r="AK354" i="15"/>
  <c r="AJ354" i="15"/>
  <c r="AI354" i="15"/>
  <c r="AH354" i="15"/>
  <c r="AG354" i="15"/>
  <c r="AF354" i="15"/>
  <c r="AE354" i="15"/>
  <c r="AD354" i="15"/>
  <c r="AC354" i="15"/>
  <c r="AK353" i="15"/>
  <c r="AJ353" i="15"/>
  <c r="AI353" i="15"/>
  <c r="AH353" i="15"/>
  <c r="AG353" i="15"/>
  <c r="AF353" i="15"/>
  <c r="AE353" i="15"/>
  <c r="AD353" i="15"/>
  <c r="AC353" i="15"/>
  <c r="AB353" i="15"/>
  <c r="T353" i="15"/>
  <c r="T354" i="15" s="1"/>
  <c r="S353" i="15"/>
  <c r="S354" i="15" s="1"/>
  <c r="R353" i="15"/>
  <c r="R354" i="15" s="1"/>
  <c r="Q353" i="15"/>
  <c r="Q354" i="15" s="1"/>
  <c r="P353" i="15"/>
  <c r="P354" i="15" s="1"/>
  <c r="O353" i="15"/>
  <c r="O354" i="15" s="1"/>
  <c r="N353" i="15"/>
  <c r="N354" i="15" s="1"/>
  <c r="AK352" i="15"/>
  <c r="AJ352" i="15"/>
  <c r="AI352" i="15"/>
  <c r="AH352" i="15"/>
  <c r="AG352" i="15"/>
  <c r="AF352" i="15"/>
  <c r="AE352" i="15"/>
  <c r="AD352" i="15"/>
  <c r="AC352" i="15"/>
  <c r="AB352" i="15"/>
  <c r="T352" i="15"/>
  <c r="S352" i="15"/>
  <c r="R352" i="15"/>
  <c r="Q352" i="15"/>
  <c r="P352" i="15"/>
  <c r="O352" i="15"/>
  <c r="N352" i="15"/>
  <c r="AH351" i="15"/>
  <c r="AJ351" i="15" s="1"/>
  <c r="AF351" i="15"/>
  <c r="AE351" i="15"/>
  <c r="AD351" i="15"/>
  <c r="AC351" i="15"/>
  <c r="L351" i="15"/>
  <c r="AB351" i="15" s="1"/>
  <c r="AH350" i="15"/>
  <c r="AJ350" i="15" s="1"/>
  <c r="AF350" i="15"/>
  <c r="AE350" i="15"/>
  <c r="AD350" i="15"/>
  <c r="AC350" i="15"/>
  <c r="T350" i="15"/>
  <c r="S350" i="15"/>
  <c r="R350" i="15"/>
  <c r="Q350" i="15"/>
  <c r="P350" i="15"/>
  <c r="O350" i="15"/>
  <c r="N350" i="15"/>
  <c r="L350" i="15"/>
  <c r="AB350" i="15" s="1"/>
  <c r="AH349" i="15"/>
  <c r="AJ349" i="15" s="1"/>
  <c r="AF349" i="15"/>
  <c r="AE349" i="15"/>
  <c r="AD349" i="15"/>
  <c r="AC349" i="15"/>
  <c r="L349" i="15"/>
  <c r="AB349" i="15" s="1"/>
  <c r="AH348" i="15"/>
  <c r="AJ348" i="15" s="1"/>
  <c r="AF348" i="15"/>
  <c r="AE348" i="15"/>
  <c r="AD348" i="15"/>
  <c r="AC348" i="15"/>
  <c r="T348" i="15"/>
  <c r="S348" i="15"/>
  <c r="R348" i="15"/>
  <c r="Q348" i="15"/>
  <c r="P348" i="15"/>
  <c r="O348" i="15"/>
  <c r="N348" i="15"/>
  <c r="L348" i="15"/>
  <c r="AB348" i="15" s="1"/>
  <c r="AH347" i="15"/>
  <c r="AJ347" i="15" s="1"/>
  <c r="AF347" i="15"/>
  <c r="AE347" i="15"/>
  <c r="AD347" i="15"/>
  <c r="AC347" i="15"/>
  <c r="L347" i="15"/>
  <c r="AB347" i="15" s="1"/>
  <c r="AH346" i="15"/>
  <c r="AJ346" i="15" s="1"/>
  <c r="AF346" i="15"/>
  <c r="AE346" i="15"/>
  <c r="AD346" i="15"/>
  <c r="AC346" i="15"/>
  <c r="T346" i="15"/>
  <c r="T347" i="15" s="1"/>
  <c r="T349" i="15" s="1"/>
  <c r="T351" i="15" s="1"/>
  <c r="S346" i="15"/>
  <c r="S347" i="15" s="1"/>
  <c r="S349" i="15" s="1"/>
  <c r="S351" i="15" s="1"/>
  <c r="R346" i="15"/>
  <c r="R347" i="15" s="1"/>
  <c r="R349" i="15" s="1"/>
  <c r="R351" i="15" s="1"/>
  <c r="Q346" i="15"/>
  <c r="Q347" i="15" s="1"/>
  <c r="Q349" i="15" s="1"/>
  <c r="Q351" i="15" s="1"/>
  <c r="P346" i="15"/>
  <c r="P347" i="15" s="1"/>
  <c r="P349" i="15" s="1"/>
  <c r="P351" i="15" s="1"/>
  <c r="O346" i="15"/>
  <c r="O347" i="15" s="1"/>
  <c r="O349" i="15" s="1"/>
  <c r="O351" i="15" s="1"/>
  <c r="N346" i="15"/>
  <c r="N347" i="15" s="1"/>
  <c r="N349" i="15" s="1"/>
  <c r="N351" i="15" s="1"/>
  <c r="L346" i="15"/>
  <c r="AB346" i="15" s="1"/>
  <c r="AH345" i="15"/>
  <c r="AJ345" i="15" s="1"/>
  <c r="AF345" i="15"/>
  <c r="AE345" i="15"/>
  <c r="AD345" i="15"/>
  <c r="AC345" i="15"/>
  <c r="T345" i="15"/>
  <c r="AG351" i="15" s="1"/>
  <c r="S345" i="15"/>
  <c r="AG350" i="15" s="1"/>
  <c r="R345" i="15"/>
  <c r="AG349" i="15" s="1"/>
  <c r="Q345" i="15"/>
  <c r="AG348" i="15" s="1"/>
  <c r="P345" i="15"/>
  <c r="AG347" i="15" s="1"/>
  <c r="O345" i="15"/>
  <c r="AG346" i="15" s="1"/>
  <c r="N345" i="15"/>
  <c r="AG345" i="15" s="1"/>
  <c r="L345" i="15"/>
  <c r="AB345" i="15" s="1"/>
  <c r="AK344" i="15"/>
  <c r="AJ344" i="15"/>
  <c r="AI344" i="15"/>
  <c r="AH344" i="15"/>
  <c r="AG344" i="15"/>
  <c r="AF344" i="15"/>
  <c r="AE344" i="15"/>
  <c r="AD344" i="15"/>
  <c r="AC344" i="15"/>
  <c r="AK343" i="15"/>
  <c r="AJ343" i="15"/>
  <c r="AI343" i="15"/>
  <c r="AH343" i="15"/>
  <c r="AG343" i="15"/>
  <c r="AF343" i="15"/>
  <c r="AE343" i="15"/>
  <c r="AD343" i="15"/>
  <c r="AC343" i="15"/>
  <c r="AB343" i="15"/>
  <c r="T343" i="15"/>
  <c r="T344" i="15" s="1"/>
  <c r="S343" i="15"/>
  <c r="S344" i="15" s="1"/>
  <c r="R343" i="15"/>
  <c r="R344" i="15" s="1"/>
  <c r="Q343" i="15"/>
  <c r="Q344" i="15" s="1"/>
  <c r="P343" i="15"/>
  <c r="P344" i="15" s="1"/>
  <c r="O343" i="15"/>
  <c r="O344" i="15" s="1"/>
  <c r="N343" i="15"/>
  <c r="N344" i="15" s="1"/>
  <c r="AK342" i="15"/>
  <c r="AJ342" i="15"/>
  <c r="AI342" i="15"/>
  <c r="AH342" i="15"/>
  <c r="AG342" i="15"/>
  <c r="AF342" i="15"/>
  <c r="AE342" i="15"/>
  <c r="AD342" i="15"/>
  <c r="AC342" i="15"/>
  <c r="AB342" i="15"/>
  <c r="T342" i="15"/>
  <c r="S342" i="15"/>
  <c r="R342" i="15"/>
  <c r="Q342" i="15"/>
  <c r="P342" i="15"/>
  <c r="O342" i="15"/>
  <c r="N342" i="15"/>
  <c r="AH341" i="15"/>
  <c r="AJ341" i="15" s="1"/>
  <c r="AF341" i="15"/>
  <c r="AE341" i="15"/>
  <c r="AD341" i="15"/>
  <c r="AC341" i="15"/>
  <c r="L341" i="15"/>
  <c r="AB341" i="15" s="1"/>
  <c r="AH340" i="15"/>
  <c r="AJ340" i="15" s="1"/>
  <c r="AF340" i="15"/>
  <c r="AE340" i="15"/>
  <c r="AD340" i="15"/>
  <c r="AC340" i="15"/>
  <c r="T340" i="15"/>
  <c r="S340" i="15"/>
  <c r="R340" i="15"/>
  <c r="Q340" i="15"/>
  <c r="P340" i="15"/>
  <c r="O340" i="15"/>
  <c r="N340" i="15"/>
  <c r="L340" i="15"/>
  <c r="AB340" i="15" s="1"/>
  <c r="AH339" i="15"/>
  <c r="AJ339" i="15" s="1"/>
  <c r="AF339" i="15"/>
  <c r="AE339" i="15"/>
  <c r="AD339" i="15"/>
  <c r="AC339" i="15"/>
  <c r="L339" i="15"/>
  <c r="AB339" i="15" s="1"/>
  <c r="AH338" i="15"/>
  <c r="AJ338" i="15" s="1"/>
  <c r="AF338" i="15"/>
  <c r="AE338" i="15"/>
  <c r="AD338" i="15"/>
  <c r="AC338" i="15"/>
  <c r="T338" i="15"/>
  <c r="S338" i="15"/>
  <c r="R338" i="15"/>
  <c r="Q338" i="15"/>
  <c r="P338" i="15"/>
  <c r="O338" i="15"/>
  <c r="N338" i="15"/>
  <c r="L338" i="15"/>
  <c r="AB338" i="15" s="1"/>
  <c r="AH337" i="15"/>
  <c r="AJ337" i="15" s="1"/>
  <c r="AF337" i="15"/>
  <c r="AE337" i="15"/>
  <c r="AD337" i="15"/>
  <c r="AC337" i="15"/>
  <c r="L337" i="15"/>
  <c r="AB337" i="15" s="1"/>
  <c r="AH336" i="15"/>
  <c r="AJ336" i="15" s="1"/>
  <c r="AF336" i="15"/>
  <c r="AE336" i="15"/>
  <c r="AD336" i="15"/>
  <c r="AC336" i="15"/>
  <c r="T336" i="15"/>
  <c r="T337" i="15" s="1"/>
  <c r="T339" i="15" s="1"/>
  <c r="T341" i="15" s="1"/>
  <c r="S336" i="15"/>
  <c r="S337" i="15" s="1"/>
  <c r="S339" i="15" s="1"/>
  <c r="S341" i="15" s="1"/>
  <c r="R336" i="15"/>
  <c r="R337" i="15" s="1"/>
  <c r="R339" i="15" s="1"/>
  <c r="R341" i="15" s="1"/>
  <c r="Q336" i="15"/>
  <c r="Q337" i="15" s="1"/>
  <c r="Q339" i="15" s="1"/>
  <c r="Q341" i="15" s="1"/>
  <c r="P336" i="15"/>
  <c r="P337" i="15" s="1"/>
  <c r="P339" i="15" s="1"/>
  <c r="P341" i="15" s="1"/>
  <c r="O336" i="15"/>
  <c r="O337" i="15" s="1"/>
  <c r="O339" i="15" s="1"/>
  <c r="O341" i="15" s="1"/>
  <c r="N336" i="15"/>
  <c r="N337" i="15" s="1"/>
  <c r="N339" i="15" s="1"/>
  <c r="N341" i="15" s="1"/>
  <c r="L336" i="15"/>
  <c r="AB336" i="15" s="1"/>
  <c r="AH335" i="15"/>
  <c r="AJ335" i="15" s="1"/>
  <c r="AF335" i="15"/>
  <c r="AE335" i="15"/>
  <c r="AD335" i="15"/>
  <c r="AC335" i="15"/>
  <c r="T335" i="15"/>
  <c r="AG341" i="15" s="1"/>
  <c r="S335" i="15"/>
  <c r="AG340" i="15" s="1"/>
  <c r="R335" i="15"/>
  <c r="AG339" i="15" s="1"/>
  <c r="Q335" i="15"/>
  <c r="AG338" i="15" s="1"/>
  <c r="P335" i="15"/>
  <c r="AG337" i="15" s="1"/>
  <c r="O335" i="15"/>
  <c r="AG336" i="15" s="1"/>
  <c r="N335" i="15"/>
  <c r="AG335" i="15" s="1"/>
  <c r="L335" i="15"/>
  <c r="AB335" i="15" s="1"/>
  <c r="AK334" i="15"/>
  <c r="AJ334" i="15"/>
  <c r="AI334" i="15"/>
  <c r="AH334" i="15"/>
  <c r="AG334" i="15"/>
  <c r="AF334" i="15"/>
  <c r="AE334" i="15"/>
  <c r="AD334" i="15"/>
  <c r="AC334" i="15"/>
  <c r="AK333" i="15"/>
  <c r="AJ333" i="15"/>
  <c r="AI333" i="15"/>
  <c r="AH333" i="15"/>
  <c r="AG333" i="15"/>
  <c r="AF333" i="15"/>
  <c r="AE333" i="15"/>
  <c r="AD333" i="15"/>
  <c r="AC333" i="15"/>
  <c r="AB333" i="15"/>
  <c r="T333" i="15"/>
  <c r="T334" i="15" s="1"/>
  <c r="AI331" i="15" s="1"/>
  <c r="S333" i="15"/>
  <c r="S334" i="15" s="1"/>
  <c r="AI330" i="15" s="1"/>
  <c r="R333" i="15"/>
  <c r="R334" i="15" s="1"/>
  <c r="AI329" i="15" s="1"/>
  <c r="Q333" i="15"/>
  <c r="Q334" i="15" s="1"/>
  <c r="X325" i="15" s="1"/>
  <c r="AK328" i="15" s="1"/>
  <c r="P333" i="15"/>
  <c r="P334" i="15" s="1"/>
  <c r="AI327" i="15" s="1"/>
  <c r="O333" i="15"/>
  <c r="O334" i="15" s="1"/>
  <c r="AI326" i="15" s="1"/>
  <c r="N333" i="15"/>
  <c r="N334" i="15" s="1"/>
  <c r="AI325" i="15" s="1"/>
  <c r="AK332" i="15"/>
  <c r="AJ332" i="15"/>
  <c r="AI332" i="15"/>
  <c r="AH332" i="15"/>
  <c r="AG332" i="15"/>
  <c r="AF332" i="15"/>
  <c r="AE332" i="15"/>
  <c r="AD332" i="15"/>
  <c r="AC332" i="15"/>
  <c r="AB332" i="15"/>
  <c r="T332" i="15"/>
  <c r="S332" i="15"/>
  <c r="R332" i="15"/>
  <c r="Q332" i="15"/>
  <c r="P332" i="15"/>
  <c r="O332" i="15"/>
  <c r="N332" i="15"/>
  <c r="AH331" i="15"/>
  <c r="AJ331" i="15" s="1"/>
  <c r="AF331" i="15"/>
  <c r="AE331" i="15"/>
  <c r="AD331" i="15"/>
  <c r="AC331" i="15"/>
  <c r="L331" i="15"/>
  <c r="AB331" i="15" s="1"/>
  <c r="AH330" i="15"/>
  <c r="AJ330" i="15" s="1"/>
  <c r="AF330" i="15"/>
  <c r="AE330" i="15"/>
  <c r="AD330" i="15"/>
  <c r="AC330" i="15"/>
  <c r="T330" i="15"/>
  <c r="S330" i="15"/>
  <c r="R330" i="15"/>
  <c r="Q330" i="15"/>
  <c r="P330" i="15"/>
  <c r="O330" i="15"/>
  <c r="N330" i="15"/>
  <c r="L330" i="15"/>
  <c r="AB330" i="15" s="1"/>
  <c r="AH329" i="15"/>
  <c r="AJ329" i="15" s="1"/>
  <c r="AF329" i="15"/>
  <c r="AE329" i="15"/>
  <c r="AD329" i="15"/>
  <c r="AC329" i="15"/>
  <c r="L329" i="15"/>
  <c r="AB329" i="15" s="1"/>
  <c r="AH328" i="15"/>
  <c r="AJ328" i="15" s="1"/>
  <c r="AF328" i="15"/>
  <c r="AE328" i="15"/>
  <c r="AD328" i="15"/>
  <c r="AC328" i="15"/>
  <c r="T328" i="15"/>
  <c r="S328" i="15"/>
  <c r="R328" i="15"/>
  <c r="Q328" i="15"/>
  <c r="P328" i="15"/>
  <c r="O328" i="15"/>
  <c r="N328" i="15"/>
  <c r="L328" i="15"/>
  <c r="AB328" i="15" s="1"/>
  <c r="AH327" i="15"/>
  <c r="AJ327" i="15" s="1"/>
  <c r="AF327" i="15"/>
  <c r="AE327" i="15"/>
  <c r="AD327" i="15"/>
  <c r="AC327" i="15"/>
  <c r="L327" i="15"/>
  <c r="AB327" i="15" s="1"/>
  <c r="AH326" i="15"/>
  <c r="AJ326" i="15" s="1"/>
  <c r="AF326" i="15"/>
  <c r="AE326" i="15"/>
  <c r="AD326" i="15"/>
  <c r="AC326" i="15"/>
  <c r="T326" i="15"/>
  <c r="T327" i="15" s="1"/>
  <c r="T329" i="15" s="1"/>
  <c r="T331" i="15" s="1"/>
  <c r="S326" i="15"/>
  <c r="S327" i="15" s="1"/>
  <c r="S329" i="15" s="1"/>
  <c r="S331" i="15" s="1"/>
  <c r="R326" i="15"/>
  <c r="R327" i="15" s="1"/>
  <c r="R329" i="15" s="1"/>
  <c r="R331" i="15" s="1"/>
  <c r="Q326" i="15"/>
  <c r="Q327" i="15" s="1"/>
  <c r="Q329" i="15" s="1"/>
  <c r="Q331" i="15" s="1"/>
  <c r="P326" i="15"/>
  <c r="P327" i="15" s="1"/>
  <c r="P329" i="15" s="1"/>
  <c r="P331" i="15" s="1"/>
  <c r="O326" i="15"/>
  <c r="O327" i="15" s="1"/>
  <c r="O329" i="15" s="1"/>
  <c r="O331" i="15" s="1"/>
  <c r="N326" i="15"/>
  <c r="N327" i="15" s="1"/>
  <c r="N329" i="15" s="1"/>
  <c r="N331" i="15" s="1"/>
  <c r="L326" i="15"/>
  <c r="AB326" i="15" s="1"/>
  <c r="AH325" i="15"/>
  <c r="AJ325" i="15" s="1"/>
  <c r="AF325" i="15"/>
  <c r="AE325" i="15"/>
  <c r="AD325" i="15"/>
  <c r="AC325" i="15"/>
  <c r="U325" i="15"/>
  <c r="AK325" i="15" s="1"/>
  <c r="T325" i="15"/>
  <c r="AG331" i="15" s="1"/>
  <c r="S325" i="15"/>
  <c r="AG330" i="15" s="1"/>
  <c r="R325" i="15"/>
  <c r="AG329" i="15" s="1"/>
  <c r="Q325" i="15"/>
  <c r="AG328" i="15" s="1"/>
  <c r="P325" i="15"/>
  <c r="AG327" i="15" s="1"/>
  <c r="O325" i="15"/>
  <c r="AG326" i="15" s="1"/>
  <c r="N325" i="15"/>
  <c r="AG325" i="15" s="1"/>
  <c r="L325" i="15"/>
  <c r="AB325" i="15" s="1"/>
  <c r="AK324" i="15"/>
  <c r="AJ324" i="15"/>
  <c r="AI324" i="15"/>
  <c r="AH324" i="15"/>
  <c r="AG324" i="15"/>
  <c r="AF324" i="15"/>
  <c r="AE324" i="15"/>
  <c r="AD324" i="15"/>
  <c r="AC324" i="15"/>
  <c r="AK323" i="15"/>
  <c r="AJ323" i="15"/>
  <c r="AI323" i="15"/>
  <c r="AH323" i="15"/>
  <c r="AG323" i="15"/>
  <c r="AF323" i="15"/>
  <c r="AE323" i="15"/>
  <c r="AD323" i="15"/>
  <c r="AC323" i="15"/>
  <c r="AB323" i="15"/>
  <c r="T323" i="15"/>
  <c r="T324" i="15" s="1"/>
  <c r="S323" i="15"/>
  <c r="S324" i="15" s="1"/>
  <c r="R323" i="15"/>
  <c r="R324" i="15" s="1"/>
  <c r="Q323" i="15"/>
  <c r="Q324" i="15" s="1"/>
  <c r="P323" i="15"/>
  <c r="P324" i="15" s="1"/>
  <c r="O323" i="15"/>
  <c r="O324" i="15" s="1"/>
  <c r="N323" i="15"/>
  <c r="N324" i="15" s="1"/>
  <c r="AK322" i="15"/>
  <c r="AJ322" i="15"/>
  <c r="AI322" i="15"/>
  <c r="AH322" i="15"/>
  <c r="AG322" i="15"/>
  <c r="AF322" i="15"/>
  <c r="AE322" i="15"/>
  <c r="AD322" i="15"/>
  <c r="AC322" i="15"/>
  <c r="AB322" i="15"/>
  <c r="T322" i="15"/>
  <c r="S322" i="15"/>
  <c r="R322" i="15"/>
  <c r="Q322" i="15"/>
  <c r="P322" i="15"/>
  <c r="O322" i="15"/>
  <c r="N322" i="15"/>
  <c r="AH321" i="15"/>
  <c r="AJ321" i="15" s="1"/>
  <c r="AF321" i="15"/>
  <c r="AE321" i="15"/>
  <c r="AD321" i="15"/>
  <c r="AC321" i="15"/>
  <c r="L321" i="15"/>
  <c r="AB321" i="15" s="1"/>
  <c r="AH320" i="15"/>
  <c r="AJ320" i="15" s="1"/>
  <c r="AF320" i="15"/>
  <c r="AE320" i="15"/>
  <c r="AD320" i="15"/>
  <c r="AC320" i="15"/>
  <c r="T320" i="15"/>
  <c r="S320" i="15"/>
  <c r="R320" i="15"/>
  <c r="Q320" i="15"/>
  <c r="P320" i="15"/>
  <c r="O320" i="15"/>
  <c r="N320" i="15"/>
  <c r="L320" i="15"/>
  <c r="AB320" i="15" s="1"/>
  <c r="AH319" i="15"/>
  <c r="AJ319" i="15" s="1"/>
  <c r="AF319" i="15"/>
  <c r="AE319" i="15"/>
  <c r="AD319" i="15"/>
  <c r="AC319" i="15"/>
  <c r="L319" i="15"/>
  <c r="AB319" i="15" s="1"/>
  <c r="AH318" i="15"/>
  <c r="AJ318" i="15" s="1"/>
  <c r="AF318" i="15"/>
  <c r="AE318" i="15"/>
  <c r="AD318" i="15"/>
  <c r="AC318" i="15"/>
  <c r="T318" i="15"/>
  <c r="S318" i="15"/>
  <c r="R318" i="15"/>
  <c r="Q318" i="15"/>
  <c r="P318" i="15"/>
  <c r="O318" i="15"/>
  <c r="N318" i="15"/>
  <c r="L318" i="15"/>
  <c r="AB318" i="15" s="1"/>
  <c r="AH317" i="15"/>
  <c r="AJ317" i="15" s="1"/>
  <c r="AF317" i="15"/>
  <c r="AE317" i="15"/>
  <c r="AD317" i="15"/>
  <c r="AC317" i="15"/>
  <c r="L317" i="15"/>
  <c r="AB317" i="15" s="1"/>
  <c r="AH316" i="15"/>
  <c r="AJ316" i="15" s="1"/>
  <c r="AF316" i="15"/>
  <c r="AE316" i="15"/>
  <c r="AD316" i="15"/>
  <c r="AC316" i="15"/>
  <c r="T316" i="15"/>
  <c r="T317" i="15" s="1"/>
  <c r="T319" i="15" s="1"/>
  <c r="T321" i="15" s="1"/>
  <c r="S316" i="15"/>
  <c r="S317" i="15" s="1"/>
  <c r="S319" i="15" s="1"/>
  <c r="S321" i="15" s="1"/>
  <c r="R316" i="15"/>
  <c r="R317" i="15" s="1"/>
  <c r="R319" i="15" s="1"/>
  <c r="R321" i="15" s="1"/>
  <c r="Q316" i="15"/>
  <c r="Q317" i="15" s="1"/>
  <c r="Q319" i="15" s="1"/>
  <c r="Q321" i="15" s="1"/>
  <c r="P316" i="15"/>
  <c r="P317" i="15" s="1"/>
  <c r="P319" i="15" s="1"/>
  <c r="P321" i="15" s="1"/>
  <c r="O316" i="15"/>
  <c r="O317" i="15" s="1"/>
  <c r="O319" i="15" s="1"/>
  <c r="O321" i="15" s="1"/>
  <c r="N316" i="15"/>
  <c r="N317" i="15" s="1"/>
  <c r="N319" i="15" s="1"/>
  <c r="N321" i="15" s="1"/>
  <c r="L316" i="15"/>
  <c r="AB316" i="15" s="1"/>
  <c r="AH315" i="15"/>
  <c r="AJ315" i="15" s="1"/>
  <c r="AF315" i="15"/>
  <c r="AE315" i="15"/>
  <c r="AD315" i="15"/>
  <c r="AC315" i="15"/>
  <c r="T315" i="15"/>
  <c r="AG321" i="15" s="1"/>
  <c r="S315" i="15"/>
  <c r="AG320" i="15" s="1"/>
  <c r="R315" i="15"/>
  <c r="AG319" i="15" s="1"/>
  <c r="Q315" i="15"/>
  <c r="AG318" i="15" s="1"/>
  <c r="P315" i="15"/>
  <c r="AG317" i="15" s="1"/>
  <c r="O315" i="15"/>
  <c r="AG316" i="15" s="1"/>
  <c r="N315" i="15"/>
  <c r="AG315" i="15" s="1"/>
  <c r="L315" i="15"/>
  <c r="AB315" i="15" s="1"/>
  <c r="AK314" i="15"/>
  <c r="AJ314" i="15"/>
  <c r="AI314" i="15"/>
  <c r="AH314" i="15"/>
  <c r="AG314" i="15"/>
  <c r="AF314" i="15"/>
  <c r="AE314" i="15"/>
  <c r="AD314" i="15"/>
  <c r="AC314" i="15"/>
  <c r="AK313" i="15"/>
  <c r="AJ313" i="15"/>
  <c r="AI313" i="15"/>
  <c r="AH313" i="15"/>
  <c r="AG313" i="15"/>
  <c r="AF313" i="15"/>
  <c r="AE313" i="15"/>
  <c r="AD313" i="15"/>
  <c r="AC313" i="15"/>
  <c r="AB313" i="15"/>
  <c r="T313" i="15"/>
  <c r="T314" i="15" s="1"/>
  <c r="S313" i="15"/>
  <c r="S314" i="15" s="1"/>
  <c r="R313" i="15"/>
  <c r="R314" i="15" s="1"/>
  <c r="Q313" i="15"/>
  <c r="Q314" i="15" s="1"/>
  <c r="P313" i="15"/>
  <c r="P314" i="15" s="1"/>
  <c r="O313" i="15"/>
  <c r="O314" i="15" s="1"/>
  <c r="N313" i="15"/>
  <c r="N314" i="15" s="1"/>
  <c r="AK312" i="15"/>
  <c r="AJ312" i="15"/>
  <c r="AI312" i="15"/>
  <c r="AH312" i="15"/>
  <c r="AG312" i="15"/>
  <c r="AF312" i="15"/>
  <c r="AE312" i="15"/>
  <c r="AD312" i="15"/>
  <c r="AC312" i="15"/>
  <c r="AB312" i="15"/>
  <c r="T312" i="15"/>
  <c r="S312" i="15"/>
  <c r="R312" i="15"/>
  <c r="Q312" i="15"/>
  <c r="P312" i="15"/>
  <c r="O312" i="15"/>
  <c r="N312" i="15"/>
  <c r="AH311" i="15"/>
  <c r="AJ311" i="15" s="1"/>
  <c r="AF311" i="15"/>
  <c r="AE311" i="15"/>
  <c r="AD311" i="15"/>
  <c r="AC311" i="15"/>
  <c r="L311" i="15"/>
  <c r="AB311" i="15" s="1"/>
  <c r="AH310" i="15"/>
  <c r="AJ310" i="15" s="1"/>
  <c r="AF310" i="15"/>
  <c r="AE310" i="15"/>
  <c r="AD310" i="15"/>
  <c r="AC310" i="15"/>
  <c r="T310" i="15"/>
  <c r="S310" i="15"/>
  <c r="R310" i="15"/>
  <c r="Q310" i="15"/>
  <c r="P310" i="15"/>
  <c r="O310" i="15"/>
  <c r="N310" i="15"/>
  <c r="L310" i="15"/>
  <c r="AB310" i="15" s="1"/>
  <c r="AH309" i="15"/>
  <c r="AJ309" i="15" s="1"/>
  <c r="AF309" i="15"/>
  <c r="AE309" i="15"/>
  <c r="AD309" i="15"/>
  <c r="AC309" i="15"/>
  <c r="L309" i="15"/>
  <c r="AB309" i="15" s="1"/>
  <c r="AH308" i="15"/>
  <c r="AJ308" i="15" s="1"/>
  <c r="AF308" i="15"/>
  <c r="AE308" i="15"/>
  <c r="AD308" i="15"/>
  <c r="AC308" i="15"/>
  <c r="T308" i="15"/>
  <c r="S308" i="15"/>
  <c r="R308" i="15"/>
  <c r="Q308" i="15"/>
  <c r="P308" i="15"/>
  <c r="O308" i="15"/>
  <c r="N308" i="15"/>
  <c r="L308" i="15"/>
  <c r="AB308" i="15" s="1"/>
  <c r="AH307" i="15"/>
  <c r="AJ307" i="15" s="1"/>
  <c r="AF307" i="15"/>
  <c r="AE307" i="15"/>
  <c r="AD307" i="15"/>
  <c r="AC307" i="15"/>
  <c r="L307" i="15"/>
  <c r="AB307" i="15" s="1"/>
  <c r="AH306" i="15"/>
  <c r="AJ306" i="15" s="1"/>
  <c r="AF306" i="15"/>
  <c r="AE306" i="15"/>
  <c r="AD306" i="15"/>
  <c r="AC306" i="15"/>
  <c r="T306" i="15"/>
  <c r="T307" i="15" s="1"/>
  <c r="T309" i="15" s="1"/>
  <c r="T311" i="15" s="1"/>
  <c r="S306" i="15"/>
  <c r="S307" i="15" s="1"/>
  <c r="S309" i="15" s="1"/>
  <c r="S311" i="15" s="1"/>
  <c r="R306" i="15"/>
  <c r="R307" i="15" s="1"/>
  <c r="R309" i="15" s="1"/>
  <c r="R311" i="15" s="1"/>
  <c r="Q306" i="15"/>
  <c r="Q307" i="15" s="1"/>
  <c r="Q309" i="15" s="1"/>
  <c r="Q311" i="15" s="1"/>
  <c r="P306" i="15"/>
  <c r="P307" i="15" s="1"/>
  <c r="P309" i="15" s="1"/>
  <c r="P311" i="15" s="1"/>
  <c r="O306" i="15"/>
  <c r="O307" i="15" s="1"/>
  <c r="O309" i="15" s="1"/>
  <c r="O311" i="15" s="1"/>
  <c r="N306" i="15"/>
  <c r="N307" i="15" s="1"/>
  <c r="N309" i="15" s="1"/>
  <c r="N311" i="15" s="1"/>
  <c r="L306" i="15"/>
  <c r="AB306" i="15" s="1"/>
  <c r="AH305" i="15"/>
  <c r="AJ305" i="15" s="1"/>
  <c r="AF305" i="15"/>
  <c r="AE305" i="15"/>
  <c r="AD305" i="15"/>
  <c r="AC305" i="15"/>
  <c r="T305" i="15"/>
  <c r="AG311" i="15" s="1"/>
  <c r="S305" i="15"/>
  <c r="AG310" i="15" s="1"/>
  <c r="R305" i="15"/>
  <c r="AG309" i="15" s="1"/>
  <c r="Q305" i="15"/>
  <c r="AG308" i="15" s="1"/>
  <c r="P305" i="15"/>
  <c r="AG307" i="15" s="1"/>
  <c r="O305" i="15"/>
  <c r="AG306" i="15" s="1"/>
  <c r="N305" i="15"/>
  <c r="AG305" i="15" s="1"/>
  <c r="L305" i="15"/>
  <c r="AB305" i="15" s="1"/>
  <c r="AK304" i="15"/>
  <c r="AJ304" i="15"/>
  <c r="AI304" i="15"/>
  <c r="AH304" i="15"/>
  <c r="AG304" i="15"/>
  <c r="AF304" i="15"/>
  <c r="AE304" i="15"/>
  <c r="AD304" i="15"/>
  <c r="AC304" i="15"/>
  <c r="AK303" i="15"/>
  <c r="AJ303" i="15"/>
  <c r="AI303" i="15"/>
  <c r="AH303" i="15"/>
  <c r="AG303" i="15"/>
  <c r="AF303" i="15"/>
  <c r="AE303" i="15"/>
  <c r="AD303" i="15"/>
  <c r="AC303" i="15"/>
  <c r="AB303" i="15"/>
  <c r="T303" i="15"/>
  <c r="T304" i="15" s="1"/>
  <c r="S303" i="15"/>
  <c r="S304" i="15" s="1"/>
  <c r="R303" i="15"/>
  <c r="R304" i="15" s="1"/>
  <c r="Q303" i="15"/>
  <c r="Q304" i="15" s="1"/>
  <c r="P303" i="15"/>
  <c r="P304" i="15" s="1"/>
  <c r="O303" i="15"/>
  <c r="O304" i="15" s="1"/>
  <c r="N303" i="15"/>
  <c r="N304" i="15" s="1"/>
  <c r="AK302" i="15"/>
  <c r="AJ302" i="15"/>
  <c r="AI302" i="15"/>
  <c r="AH302" i="15"/>
  <c r="AG302" i="15"/>
  <c r="AF302" i="15"/>
  <c r="AE302" i="15"/>
  <c r="AD302" i="15"/>
  <c r="AC302" i="15"/>
  <c r="AB302" i="15"/>
  <c r="T302" i="15"/>
  <c r="S302" i="15"/>
  <c r="R302" i="15"/>
  <c r="Q302" i="15"/>
  <c r="P302" i="15"/>
  <c r="O302" i="15"/>
  <c r="N302" i="15"/>
  <c r="AH301" i="15"/>
  <c r="AJ301" i="15" s="1"/>
  <c r="AF301" i="15"/>
  <c r="AE301" i="15"/>
  <c r="AD301" i="15"/>
  <c r="AC301" i="15"/>
  <c r="L301" i="15"/>
  <c r="AB301" i="15" s="1"/>
  <c r="AH300" i="15"/>
  <c r="AJ300" i="15" s="1"/>
  <c r="AF300" i="15"/>
  <c r="AE300" i="15"/>
  <c r="AD300" i="15"/>
  <c r="AC300" i="15"/>
  <c r="T300" i="15"/>
  <c r="S300" i="15"/>
  <c r="R300" i="15"/>
  <c r="Q300" i="15"/>
  <c r="P300" i="15"/>
  <c r="O300" i="15"/>
  <c r="N300" i="15"/>
  <c r="L300" i="15"/>
  <c r="AB300" i="15" s="1"/>
  <c r="AH299" i="15"/>
  <c r="AJ299" i="15" s="1"/>
  <c r="AF299" i="15"/>
  <c r="AE299" i="15"/>
  <c r="AD299" i="15"/>
  <c r="AC299" i="15"/>
  <c r="L299" i="15"/>
  <c r="AB299" i="15" s="1"/>
  <c r="AH298" i="15"/>
  <c r="AJ298" i="15" s="1"/>
  <c r="AF298" i="15"/>
  <c r="AE298" i="15"/>
  <c r="AD298" i="15"/>
  <c r="AC298" i="15"/>
  <c r="T298" i="15"/>
  <c r="S298" i="15"/>
  <c r="R298" i="15"/>
  <c r="Q298" i="15"/>
  <c r="P298" i="15"/>
  <c r="O298" i="15"/>
  <c r="N298" i="15"/>
  <c r="L298" i="15"/>
  <c r="AB298" i="15" s="1"/>
  <c r="AH297" i="15"/>
  <c r="AJ297" i="15" s="1"/>
  <c r="AF297" i="15"/>
  <c r="AE297" i="15"/>
  <c r="AD297" i="15"/>
  <c r="AC297" i="15"/>
  <c r="L297" i="15"/>
  <c r="AB297" i="15" s="1"/>
  <c r="AH296" i="15"/>
  <c r="AJ296" i="15" s="1"/>
  <c r="AF296" i="15"/>
  <c r="AE296" i="15"/>
  <c r="AD296" i="15"/>
  <c r="AC296" i="15"/>
  <c r="T296" i="15"/>
  <c r="T297" i="15" s="1"/>
  <c r="T299" i="15" s="1"/>
  <c r="T301" i="15" s="1"/>
  <c r="S296" i="15"/>
  <c r="S297" i="15" s="1"/>
  <c r="S299" i="15" s="1"/>
  <c r="S301" i="15" s="1"/>
  <c r="R296" i="15"/>
  <c r="R297" i="15" s="1"/>
  <c r="R299" i="15" s="1"/>
  <c r="R301" i="15" s="1"/>
  <c r="Q296" i="15"/>
  <c r="Q297" i="15" s="1"/>
  <c r="Q299" i="15" s="1"/>
  <c r="Q301" i="15" s="1"/>
  <c r="P296" i="15"/>
  <c r="P297" i="15" s="1"/>
  <c r="P299" i="15" s="1"/>
  <c r="P301" i="15" s="1"/>
  <c r="O296" i="15"/>
  <c r="O297" i="15" s="1"/>
  <c r="O299" i="15" s="1"/>
  <c r="O301" i="15" s="1"/>
  <c r="N296" i="15"/>
  <c r="N297" i="15" s="1"/>
  <c r="N299" i="15" s="1"/>
  <c r="N301" i="15" s="1"/>
  <c r="L296" i="15"/>
  <c r="AB296" i="15" s="1"/>
  <c r="AH295" i="15"/>
  <c r="AJ295" i="15" s="1"/>
  <c r="AF295" i="15"/>
  <c r="AE295" i="15"/>
  <c r="AD295" i="15"/>
  <c r="AC295" i="15"/>
  <c r="T295" i="15"/>
  <c r="AG301" i="15" s="1"/>
  <c r="S295" i="15"/>
  <c r="AG300" i="15" s="1"/>
  <c r="R295" i="15"/>
  <c r="AG299" i="15" s="1"/>
  <c r="Q295" i="15"/>
  <c r="AG298" i="15" s="1"/>
  <c r="P295" i="15"/>
  <c r="AG297" i="15" s="1"/>
  <c r="O295" i="15"/>
  <c r="AG296" i="15" s="1"/>
  <c r="N295" i="15"/>
  <c r="AG295" i="15" s="1"/>
  <c r="L295" i="15"/>
  <c r="AB295" i="15" s="1"/>
  <c r="AK294" i="15"/>
  <c r="AJ294" i="15"/>
  <c r="AI294" i="15"/>
  <c r="AH294" i="15"/>
  <c r="AG294" i="15"/>
  <c r="AF294" i="15"/>
  <c r="AE294" i="15"/>
  <c r="AD294" i="15"/>
  <c r="AC294" i="15"/>
  <c r="AK293" i="15"/>
  <c r="AJ293" i="15"/>
  <c r="AI293" i="15"/>
  <c r="AH293" i="15"/>
  <c r="AG293" i="15"/>
  <c r="AF293" i="15"/>
  <c r="AE293" i="15"/>
  <c r="AD293" i="15"/>
  <c r="AC293" i="15"/>
  <c r="AB293" i="15"/>
  <c r="T293" i="15"/>
  <c r="T294" i="15" s="1"/>
  <c r="S293" i="15"/>
  <c r="S294" i="15" s="1"/>
  <c r="R293" i="15"/>
  <c r="R294" i="15" s="1"/>
  <c r="Q293" i="15"/>
  <c r="Q294" i="15" s="1"/>
  <c r="P293" i="15"/>
  <c r="P294" i="15" s="1"/>
  <c r="O293" i="15"/>
  <c r="O294" i="15" s="1"/>
  <c r="N293" i="15"/>
  <c r="N294" i="15" s="1"/>
  <c r="AK292" i="15"/>
  <c r="AJ292" i="15"/>
  <c r="AI292" i="15"/>
  <c r="AH292" i="15"/>
  <c r="AG292" i="15"/>
  <c r="AF292" i="15"/>
  <c r="AE292" i="15"/>
  <c r="AD292" i="15"/>
  <c r="AC292" i="15"/>
  <c r="AB292" i="15"/>
  <c r="T292" i="15"/>
  <c r="S292" i="15"/>
  <c r="R292" i="15"/>
  <c r="Q292" i="15"/>
  <c r="P292" i="15"/>
  <c r="O292" i="15"/>
  <c r="N292" i="15"/>
  <c r="AH291" i="15"/>
  <c r="AJ291" i="15" s="1"/>
  <c r="AF291" i="15"/>
  <c r="AE291" i="15"/>
  <c r="AD291" i="15"/>
  <c r="AC291" i="15"/>
  <c r="L291" i="15"/>
  <c r="AB291" i="15" s="1"/>
  <c r="AH290" i="15"/>
  <c r="AJ290" i="15" s="1"/>
  <c r="AF290" i="15"/>
  <c r="AE290" i="15"/>
  <c r="AD290" i="15"/>
  <c r="AC290" i="15"/>
  <c r="T290" i="15"/>
  <c r="S290" i="15"/>
  <c r="R290" i="15"/>
  <c r="Q290" i="15"/>
  <c r="P290" i="15"/>
  <c r="O290" i="15"/>
  <c r="N290" i="15"/>
  <c r="L290" i="15"/>
  <c r="AB290" i="15" s="1"/>
  <c r="AH289" i="15"/>
  <c r="AJ289" i="15" s="1"/>
  <c r="AF289" i="15"/>
  <c r="AE289" i="15"/>
  <c r="AD289" i="15"/>
  <c r="AC289" i="15"/>
  <c r="L289" i="15"/>
  <c r="AB289" i="15" s="1"/>
  <c r="AH288" i="15"/>
  <c r="AJ288" i="15" s="1"/>
  <c r="AF288" i="15"/>
  <c r="AE288" i="15"/>
  <c r="AD288" i="15"/>
  <c r="AC288" i="15"/>
  <c r="T288" i="15"/>
  <c r="S288" i="15"/>
  <c r="R288" i="15"/>
  <c r="Q288" i="15"/>
  <c r="P288" i="15"/>
  <c r="O288" i="15"/>
  <c r="N288" i="15"/>
  <c r="L288" i="15"/>
  <c r="AB288" i="15" s="1"/>
  <c r="AH287" i="15"/>
  <c r="AJ287" i="15" s="1"/>
  <c r="AF287" i="15"/>
  <c r="AE287" i="15"/>
  <c r="AD287" i="15"/>
  <c r="AC287" i="15"/>
  <c r="L287" i="15"/>
  <c r="AB287" i="15" s="1"/>
  <c r="AH286" i="15"/>
  <c r="AJ286" i="15" s="1"/>
  <c r="AF286" i="15"/>
  <c r="AE286" i="15"/>
  <c r="AD286" i="15"/>
  <c r="AC286" i="15"/>
  <c r="T286" i="15"/>
  <c r="T287" i="15" s="1"/>
  <c r="T289" i="15" s="1"/>
  <c r="T291" i="15" s="1"/>
  <c r="S286" i="15"/>
  <c r="S287" i="15" s="1"/>
  <c r="S289" i="15" s="1"/>
  <c r="S291" i="15" s="1"/>
  <c r="R286" i="15"/>
  <c r="R287" i="15" s="1"/>
  <c r="R289" i="15" s="1"/>
  <c r="R291" i="15" s="1"/>
  <c r="Q286" i="15"/>
  <c r="Q287" i="15" s="1"/>
  <c r="Q289" i="15" s="1"/>
  <c r="Q291" i="15" s="1"/>
  <c r="P286" i="15"/>
  <c r="P287" i="15" s="1"/>
  <c r="P289" i="15" s="1"/>
  <c r="P291" i="15" s="1"/>
  <c r="O286" i="15"/>
  <c r="O287" i="15" s="1"/>
  <c r="O289" i="15" s="1"/>
  <c r="O291" i="15" s="1"/>
  <c r="N286" i="15"/>
  <c r="N287" i="15" s="1"/>
  <c r="N289" i="15" s="1"/>
  <c r="N291" i="15" s="1"/>
  <c r="L286" i="15"/>
  <c r="AB286" i="15" s="1"/>
  <c r="AH285" i="15"/>
  <c r="AJ285" i="15" s="1"/>
  <c r="AF285" i="15"/>
  <c r="AE285" i="15"/>
  <c r="AD285" i="15"/>
  <c r="AC285" i="15"/>
  <c r="T285" i="15"/>
  <c r="AG291" i="15" s="1"/>
  <c r="S285" i="15"/>
  <c r="AG290" i="15" s="1"/>
  <c r="R285" i="15"/>
  <c r="AG289" i="15" s="1"/>
  <c r="Q285" i="15"/>
  <c r="AG288" i="15" s="1"/>
  <c r="P285" i="15"/>
  <c r="AG287" i="15" s="1"/>
  <c r="O285" i="15"/>
  <c r="AG286" i="15" s="1"/>
  <c r="N285" i="15"/>
  <c r="AG285" i="15" s="1"/>
  <c r="L285" i="15"/>
  <c r="AB285" i="15" s="1"/>
  <c r="AK284" i="15"/>
  <c r="AJ284" i="15"/>
  <c r="AI284" i="15"/>
  <c r="AH284" i="15"/>
  <c r="AG284" i="15"/>
  <c r="AF284" i="15"/>
  <c r="AE284" i="15"/>
  <c r="AD284" i="15"/>
  <c r="AC284" i="15"/>
  <c r="AK283" i="15"/>
  <c r="AJ283" i="15"/>
  <c r="AI283" i="15"/>
  <c r="AH283" i="15"/>
  <c r="AG283" i="15"/>
  <c r="AF283" i="15"/>
  <c r="AE283" i="15"/>
  <c r="AD283" i="15"/>
  <c r="AC283" i="15"/>
  <c r="AB283" i="15"/>
  <c r="T283" i="15"/>
  <c r="T284" i="15" s="1"/>
  <c r="S283" i="15"/>
  <c r="S284" i="15" s="1"/>
  <c r="R283" i="15"/>
  <c r="R284" i="15" s="1"/>
  <c r="Q283" i="15"/>
  <c r="Q284" i="15" s="1"/>
  <c r="P283" i="15"/>
  <c r="P284" i="15" s="1"/>
  <c r="O283" i="15"/>
  <c r="O284" i="15" s="1"/>
  <c r="N283" i="15"/>
  <c r="N284" i="15" s="1"/>
  <c r="AK282" i="15"/>
  <c r="AJ282" i="15"/>
  <c r="AI282" i="15"/>
  <c r="AH282" i="15"/>
  <c r="AG282" i="15"/>
  <c r="AF282" i="15"/>
  <c r="AE282" i="15"/>
  <c r="AD282" i="15"/>
  <c r="AC282" i="15"/>
  <c r="AB282" i="15"/>
  <c r="T282" i="15"/>
  <c r="S282" i="15"/>
  <c r="R282" i="15"/>
  <c r="Q282" i="15"/>
  <c r="P282" i="15"/>
  <c r="O282" i="15"/>
  <c r="N282" i="15"/>
  <c r="AH281" i="15"/>
  <c r="AJ281" i="15" s="1"/>
  <c r="AF281" i="15"/>
  <c r="AE281" i="15"/>
  <c r="AD281" i="15"/>
  <c r="AC281" i="15"/>
  <c r="L281" i="15"/>
  <c r="AB281" i="15" s="1"/>
  <c r="AH280" i="15"/>
  <c r="AJ280" i="15" s="1"/>
  <c r="AF280" i="15"/>
  <c r="AE280" i="15"/>
  <c r="AD280" i="15"/>
  <c r="AC280" i="15"/>
  <c r="T280" i="15"/>
  <c r="S280" i="15"/>
  <c r="R280" i="15"/>
  <c r="Q280" i="15"/>
  <c r="P280" i="15"/>
  <c r="O280" i="15"/>
  <c r="N280" i="15"/>
  <c r="L280" i="15"/>
  <c r="AB280" i="15" s="1"/>
  <c r="AH279" i="15"/>
  <c r="AJ279" i="15" s="1"/>
  <c r="AF279" i="15"/>
  <c r="AE279" i="15"/>
  <c r="AD279" i="15"/>
  <c r="AC279" i="15"/>
  <c r="L279" i="15"/>
  <c r="AB279" i="15" s="1"/>
  <c r="AH278" i="15"/>
  <c r="AJ278" i="15" s="1"/>
  <c r="AF278" i="15"/>
  <c r="AE278" i="15"/>
  <c r="AD278" i="15"/>
  <c r="AC278" i="15"/>
  <c r="T278" i="15"/>
  <c r="S278" i="15"/>
  <c r="R278" i="15"/>
  <c r="Q278" i="15"/>
  <c r="P278" i="15"/>
  <c r="O278" i="15"/>
  <c r="N278" i="15"/>
  <c r="L278" i="15"/>
  <c r="AB278" i="15" s="1"/>
  <c r="AH277" i="15"/>
  <c r="AJ277" i="15" s="1"/>
  <c r="AF277" i="15"/>
  <c r="AE277" i="15"/>
  <c r="AD277" i="15"/>
  <c r="AC277" i="15"/>
  <c r="L277" i="15"/>
  <c r="AB277" i="15" s="1"/>
  <c r="AH276" i="15"/>
  <c r="AJ276" i="15" s="1"/>
  <c r="AF276" i="15"/>
  <c r="AE276" i="15"/>
  <c r="AD276" i="15"/>
  <c r="AC276" i="15"/>
  <c r="T276" i="15"/>
  <c r="T277" i="15" s="1"/>
  <c r="T279" i="15" s="1"/>
  <c r="T281" i="15" s="1"/>
  <c r="S276" i="15"/>
  <c r="S277" i="15" s="1"/>
  <c r="S279" i="15" s="1"/>
  <c r="S281" i="15" s="1"/>
  <c r="R276" i="15"/>
  <c r="R277" i="15" s="1"/>
  <c r="R279" i="15" s="1"/>
  <c r="R281" i="15" s="1"/>
  <c r="Q276" i="15"/>
  <c r="Q277" i="15" s="1"/>
  <c r="Q279" i="15" s="1"/>
  <c r="Q281" i="15" s="1"/>
  <c r="P276" i="15"/>
  <c r="P277" i="15" s="1"/>
  <c r="P279" i="15" s="1"/>
  <c r="P281" i="15" s="1"/>
  <c r="O276" i="15"/>
  <c r="O277" i="15" s="1"/>
  <c r="O279" i="15" s="1"/>
  <c r="O281" i="15" s="1"/>
  <c r="N276" i="15"/>
  <c r="N277" i="15" s="1"/>
  <c r="N279" i="15" s="1"/>
  <c r="N281" i="15" s="1"/>
  <c r="L276" i="15"/>
  <c r="AB276" i="15" s="1"/>
  <c r="AH275" i="15"/>
  <c r="AJ275" i="15" s="1"/>
  <c r="AF275" i="15"/>
  <c r="AE275" i="15"/>
  <c r="AD275" i="15"/>
  <c r="AC275" i="15"/>
  <c r="T275" i="15"/>
  <c r="AG281" i="15" s="1"/>
  <c r="S275" i="15"/>
  <c r="AG280" i="15" s="1"/>
  <c r="R275" i="15"/>
  <c r="AG279" i="15" s="1"/>
  <c r="Q275" i="15"/>
  <c r="AG278" i="15" s="1"/>
  <c r="P275" i="15"/>
  <c r="AG277" i="15" s="1"/>
  <c r="O275" i="15"/>
  <c r="AG276" i="15" s="1"/>
  <c r="N275" i="15"/>
  <c r="AG275" i="15" s="1"/>
  <c r="L275" i="15"/>
  <c r="AB275" i="15" s="1"/>
  <c r="AK274" i="15"/>
  <c r="AJ274" i="15"/>
  <c r="AI274" i="15"/>
  <c r="AH274" i="15"/>
  <c r="AG274" i="15"/>
  <c r="AF274" i="15"/>
  <c r="AE274" i="15"/>
  <c r="AD274" i="15"/>
  <c r="AC274" i="15"/>
  <c r="AK273" i="15"/>
  <c r="AJ273" i="15"/>
  <c r="AI273" i="15"/>
  <c r="AH273" i="15"/>
  <c r="AG273" i="15"/>
  <c r="AF273" i="15"/>
  <c r="AE273" i="15"/>
  <c r="AD273" i="15"/>
  <c r="AC273" i="15"/>
  <c r="AB273" i="15"/>
  <c r="T273" i="15"/>
  <c r="T274" i="15" s="1"/>
  <c r="S273" i="15"/>
  <c r="S274" i="15" s="1"/>
  <c r="R273" i="15"/>
  <c r="R274" i="15" s="1"/>
  <c r="Q273" i="15"/>
  <c r="Q274" i="15" s="1"/>
  <c r="P273" i="15"/>
  <c r="P274" i="15" s="1"/>
  <c r="O273" i="15"/>
  <c r="O274" i="15" s="1"/>
  <c r="N273" i="15"/>
  <c r="N274" i="15" s="1"/>
  <c r="AK272" i="15"/>
  <c r="AJ272" i="15"/>
  <c r="AI272" i="15"/>
  <c r="AH272" i="15"/>
  <c r="AG272" i="15"/>
  <c r="AF272" i="15"/>
  <c r="AE272" i="15"/>
  <c r="AD272" i="15"/>
  <c r="AC272" i="15"/>
  <c r="AB272" i="15"/>
  <c r="T272" i="15"/>
  <c r="S272" i="15"/>
  <c r="R272" i="15"/>
  <c r="Q272" i="15"/>
  <c r="P272" i="15"/>
  <c r="O272" i="15"/>
  <c r="N272" i="15"/>
  <c r="AH271" i="15"/>
  <c r="AJ271" i="15" s="1"/>
  <c r="AF271" i="15"/>
  <c r="AE271" i="15"/>
  <c r="AD271" i="15"/>
  <c r="AC271" i="15"/>
  <c r="L271" i="15"/>
  <c r="AB271" i="15" s="1"/>
  <c r="AH270" i="15"/>
  <c r="AJ270" i="15" s="1"/>
  <c r="AF270" i="15"/>
  <c r="AE270" i="15"/>
  <c r="AD270" i="15"/>
  <c r="AC270" i="15"/>
  <c r="T270" i="15"/>
  <c r="S270" i="15"/>
  <c r="R270" i="15"/>
  <c r="Q270" i="15"/>
  <c r="P270" i="15"/>
  <c r="O270" i="15"/>
  <c r="N270" i="15"/>
  <c r="L270" i="15"/>
  <c r="AB270" i="15" s="1"/>
  <c r="AH269" i="15"/>
  <c r="AJ269" i="15" s="1"/>
  <c r="AF269" i="15"/>
  <c r="AE269" i="15"/>
  <c r="AD269" i="15"/>
  <c r="AC269" i="15"/>
  <c r="L269" i="15"/>
  <c r="AB269" i="15" s="1"/>
  <c r="AH268" i="15"/>
  <c r="AJ268" i="15" s="1"/>
  <c r="AF268" i="15"/>
  <c r="AE268" i="15"/>
  <c r="AD268" i="15"/>
  <c r="AC268" i="15"/>
  <c r="T268" i="15"/>
  <c r="S268" i="15"/>
  <c r="R268" i="15"/>
  <c r="Q268" i="15"/>
  <c r="P268" i="15"/>
  <c r="O268" i="15"/>
  <c r="N268" i="15"/>
  <c r="L268" i="15"/>
  <c r="AB268" i="15" s="1"/>
  <c r="AH267" i="15"/>
  <c r="AJ267" i="15" s="1"/>
  <c r="AF267" i="15"/>
  <c r="AE267" i="15"/>
  <c r="AD267" i="15"/>
  <c r="AC267" i="15"/>
  <c r="L267" i="15"/>
  <c r="AB267" i="15" s="1"/>
  <c r="AH266" i="15"/>
  <c r="AJ266" i="15" s="1"/>
  <c r="AF266" i="15"/>
  <c r="AE266" i="15"/>
  <c r="AD266" i="15"/>
  <c r="AC266" i="15"/>
  <c r="T266" i="15"/>
  <c r="T267" i="15" s="1"/>
  <c r="T269" i="15" s="1"/>
  <c r="T271" i="15" s="1"/>
  <c r="S266" i="15"/>
  <c r="S267" i="15" s="1"/>
  <c r="S269" i="15" s="1"/>
  <c r="S271" i="15" s="1"/>
  <c r="R266" i="15"/>
  <c r="R267" i="15" s="1"/>
  <c r="R269" i="15" s="1"/>
  <c r="R271" i="15" s="1"/>
  <c r="Q266" i="15"/>
  <c r="Q267" i="15" s="1"/>
  <c r="Q269" i="15" s="1"/>
  <c r="Q271" i="15" s="1"/>
  <c r="P266" i="15"/>
  <c r="P267" i="15" s="1"/>
  <c r="P269" i="15" s="1"/>
  <c r="P271" i="15" s="1"/>
  <c r="O266" i="15"/>
  <c r="O267" i="15" s="1"/>
  <c r="O269" i="15" s="1"/>
  <c r="O271" i="15" s="1"/>
  <c r="N266" i="15"/>
  <c r="N267" i="15" s="1"/>
  <c r="N269" i="15" s="1"/>
  <c r="N271" i="15" s="1"/>
  <c r="L266" i="15"/>
  <c r="AB266" i="15" s="1"/>
  <c r="AH265" i="15"/>
  <c r="AJ265" i="15" s="1"/>
  <c r="AF265" i="15"/>
  <c r="AE265" i="15"/>
  <c r="AD265" i="15"/>
  <c r="AC265" i="15"/>
  <c r="T265" i="15"/>
  <c r="AG271" i="15" s="1"/>
  <c r="S265" i="15"/>
  <c r="AG270" i="15" s="1"/>
  <c r="R265" i="15"/>
  <c r="AG269" i="15" s="1"/>
  <c r="Q265" i="15"/>
  <c r="AG268" i="15" s="1"/>
  <c r="P265" i="15"/>
  <c r="AG267" i="15" s="1"/>
  <c r="O265" i="15"/>
  <c r="AG266" i="15" s="1"/>
  <c r="N265" i="15"/>
  <c r="AG265" i="15" s="1"/>
  <c r="L265" i="15"/>
  <c r="AB265" i="15" s="1"/>
  <c r="AK264" i="15"/>
  <c r="AJ264" i="15"/>
  <c r="AI264" i="15"/>
  <c r="AH264" i="15"/>
  <c r="AG264" i="15"/>
  <c r="AF264" i="15"/>
  <c r="AE264" i="15"/>
  <c r="AD264" i="15"/>
  <c r="AC264" i="15"/>
  <c r="AK263" i="15"/>
  <c r="AJ263" i="15"/>
  <c r="AI263" i="15"/>
  <c r="AH263" i="15"/>
  <c r="AG263" i="15"/>
  <c r="AF263" i="15"/>
  <c r="AE263" i="15"/>
  <c r="AD263" i="15"/>
  <c r="AC263" i="15"/>
  <c r="AB263" i="15"/>
  <c r="T263" i="15"/>
  <c r="T264" i="15" s="1"/>
  <c r="S263" i="15"/>
  <c r="S264" i="15" s="1"/>
  <c r="R263" i="15"/>
  <c r="R264" i="15" s="1"/>
  <c r="Q263" i="15"/>
  <c r="Q264" i="15" s="1"/>
  <c r="P263" i="15"/>
  <c r="P264" i="15" s="1"/>
  <c r="O263" i="15"/>
  <c r="O264" i="15" s="1"/>
  <c r="N263" i="15"/>
  <c r="N264" i="15" s="1"/>
  <c r="AK262" i="15"/>
  <c r="AJ262" i="15"/>
  <c r="AI262" i="15"/>
  <c r="AH262" i="15"/>
  <c r="AG262" i="15"/>
  <c r="AF262" i="15"/>
  <c r="AE262" i="15"/>
  <c r="AD262" i="15"/>
  <c r="AC262" i="15"/>
  <c r="AB262" i="15"/>
  <c r="T262" i="15"/>
  <c r="S262" i="15"/>
  <c r="R262" i="15"/>
  <c r="Q262" i="15"/>
  <c r="P262" i="15"/>
  <c r="O262" i="15"/>
  <c r="N262" i="15"/>
  <c r="AH261" i="15"/>
  <c r="AJ261" i="15" s="1"/>
  <c r="AF261" i="15"/>
  <c r="AE261" i="15"/>
  <c r="AD261" i="15"/>
  <c r="AC261" i="15"/>
  <c r="L261" i="15"/>
  <c r="AB261" i="15" s="1"/>
  <c r="AH260" i="15"/>
  <c r="AJ260" i="15" s="1"/>
  <c r="AF260" i="15"/>
  <c r="AE260" i="15"/>
  <c r="AD260" i="15"/>
  <c r="AC260" i="15"/>
  <c r="T260" i="15"/>
  <c r="S260" i="15"/>
  <c r="R260" i="15"/>
  <c r="Q260" i="15"/>
  <c r="P260" i="15"/>
  <c r="O260" i="15"/>
  <c r="N260" i="15"/>
  <c r="L260" i="15"/>
  <c r="AB260" i="15" s="1"/>
  <c r="AH259" i="15"/>
  <c r="AJ259" i="15" s="1"/>
  <c r="AF259" i="15"/>
  <c r="AE259" i="15"/>
  <c r="AD259" i="15"/>
  <c r="AC259" i="15"/>
  <c r="L259" i="15"/>
  <c r="AB259" i="15" s="1"/>
  <c r="AH258" i="15"/>
  <c r="AJ258" i="15" s="1"/>
  <c r="AF258" i="15"/>
  <c r="AE258" i="15"/>
  <c r="AD258" i="15"/>
  <c r="AC258" i="15"/>
  <c r="T258" i="15"/>
  <c r="S258" i="15"/>
  <c r="R258" i="15"/>
  <c r="Q258" i="15"/>
  <c r="P258" i="15"/>
  <c r="O258" i="15"/>
  <c r="N258" i="15"/>
  <c r="L258" i="15"/>
  <c r="AB258" i="15" s="1"/>
  <c r="AH257" i="15"/>
  <c r="AJ257" i="15" s="1"/>
  <c r="AF257" i="15"/>
  <c r="AE257" i="15"/>
  <c r="AD257" i="15"/>
  <c r="AC257" i="15"/>
  <c r="L257" i="15"/>
  <c r="AB257" i="15" s="1"/>
  <c r="AH256" i="15"/>
  <c r="AJ256" i="15" s="1"/>
  <c r="AF256" i="15"/>
  <c r="AE256" i="15"/>
  <c r="AD256" i="15"/>
  <c r="AC256" i="15"/>
  <c r="T256" i="15"/>
  <c r="T257" i="15" s="1"/>
  <c r="T259" i="15" s="1"/>
  <c r="T261" i="15" s="1"/>
  <c r="S256" i="15"/>
  <c r="S257" i="15" s="1"/>
  <c r="S259" i="15" s="1"/>
  <c r="S261" i="15" s="1"/>
  <c r="R256" i="15"/>
  <c r="R257" i="15" s="1"/>
  <c r="R259" i="15" s="1"/>
  <c r="R261" i="15" s="1"/>
  <c r="Q256" i="15"/>
  <c r="Q257" i="15" s="1"/>
  <c r="Q259" i="15" s="1"/>
  <c r="Q261" i="15" s="1"/>
  <c r="P256" i="15"/>
  <c r="P257" i="15" s="1"/>
  <c r="P259" i="15" s="1"/>
  <c r="P261" i="15" s="1"/>
  <c r="O256" i="15"/>
  <c r="O257" i="15" s="1"/>
  <c r="O259" i="15" s="1"/>
  <c r="O261" i="15" s="1"/>
  <c r="N256" i="15"/>
  <c r="N257" i="15" s="1"/>
  <c r="N259" i="15" s="1"/>
  <c r="N261" i="15" s="1"/>
  <c r="L256" i="15"/>
  <c r="AB256" i="15" s="1"/>
  <c r="AH255" i="15"/>
  <c r="AJ255" i="15" s="1"/>
  <c r="AF255" i="15"/>
  <c r="AE255" i="15"/>
  <c r="AD255" i="15"/>
  <c r="AC255" i="15"/>
  <c r="T255" i="15"/>
  <c r="AG261" i="15" s="1"/>
  <c r="S255" i="15"/>
  <c r="AG260" i="15" s="1"/>
  <c r="R255" i="15"/>
  <c r="AG259" i="15" s="1"/>
  <c r="Q255" i="15"/>
  <c r="AG258" i="15" s="1"/>
  <c r="P255" i="15"/>
  <c r="AG257" i="15" s="1"/>
  <c r="O255" i="15"/>
  <c r="AG256" i="15" s="1"/>
  <c r="N255" i="15"/>
  <c r="AG255" i="15" s="1"/>
  <c r="L255" i="15"/>
  <c r="AB255" i="15" s="1"/>
  <c r="AK254" i="15"/>
  <c r="AJ254" i="15"/>
  <c r="AI254" i="15"/>
  <c r="AH254" i="15"/>
  <c r="AG254" i="15"/>
  <c r="AF254" i="15"/>
  <c r="AE254" i="15"/>
  <c r="AD254" i="15"/>
  <c r="AC254" i="15"/>
  <c r="AK253" i="15"/>
  <c r="AJ253" i="15"/>
  <c r="AI253" i="15"/>
  <c r="AH253" i="15"/>
  <c r="AG253" i="15"/>
  <c r="AF253" i="15"/>
  <c r="AE253" i="15"/>
  <c r="AD253" i="15"/>
  <c r="AC253" i="15"/>
  <c r="AB253" i="15"/>
  <c r="T253" i="15"/>
  <c r="T254" i="15" s="1"/>
  <c r="S253" i="15"/>
  <c r="S254" i="15" s="1"/>
  <c r="R253" i="15"/>
  <c r="R254" i="15" s="1"/>
  <c r="Q253" i="15"/>
  <c r="Q254" i="15" s="1"/>
  <c r="P253" i="15"/>
  <c r="P254" i="15" s="1"/>
  <c r="O253" i="15"/>
  <c r="O254" i="15" s="1"/>
  <c r="N253" i="15"/>
  <c r="N254" i="15" s="1"/>
  <c r="AK252" i="15"/>
  <c r="AJ252" i="15"/>
  <c r="AI252" i="15"/>
  <c r="AH252" i="15"/>
  <c r="AG252" i="15"/>
  <c r="AF252" i="15"/>
  <c r="AE252" i="15"/>
  <c r="AD252" i="15"/>
  <c r="AC252" i="15"/>
  <c r="AB252" i="15"/>
  <c r="T252" i="15"/>
  <c r="S252" i="15"/>
  <c r="R252" i="15"/>
  <c r="Q252" i="15"/>
  <c r="P252" i="15"/>
  <c r="O252" i="15"/>
  <c r="N252" i="15"/>
  <c r="AH251" i="15"/>
  <c r="AJ251" i="15" s="1"/>
  <c r="AF251" i="15"/>
  <c r="AE251" i="15"/>
  <c r="AD251" i="15"/>
  <c r="AC251" i="15"/>
  <c r="L251" i="15"/>
  <c r="AB251" i="15" s="1"/>
  <c r="AH250" i="15"/>
  <c r="AJ250" i="15" s="1"/>
  <c r="AF250" i="15"/>
  <c r="AE250" i="15"/>
  <c r="AD250" i="15"/>
  <c r="AC250" i="15"/>
  <c r="T250" i="15"/>
  <c r="S250" i="15"/>
  <c r="R250" i="15"/>
  <c r="Q250" i="15"/>
  <c r="P250" i="15"/>
  <c r="O250" i="15"/>
  <c r="N250" i="15"/>
  <c r="L250" i="15"/>
  <c r="AB250" i="15" s="1"/>
  <c r="AH249" i="15"/>
  <c r="AJ249" i="15" s="1"/>
  <c r="AF249" i="15"/>
  <c r="AE249" i="15"/>
  <c r="AD249" i="15"/>
  <c r="AC249" i="15"/>
  <c r="L249" i="15"/>
  <c r="AB249" i="15" s="1"/>
  <c r="AH248" i="15"/>
  <c r="AJ248" i="15" s="1"/>
  <c r="AF248" i="15"/>
  <c r="AE248" i="15"/>
  <c r="AD248" i="15"/>
  <c r="AC248" i="15"/>
  <c r="T248" i="15"/>
  <c r="S248" i="15"/>
  <c r="R248" i="15"/>
  <c r="Q248" i="15"/>
  <c r="P248" i="15"/>
  <c r="O248" i="15"/>
  <c r="N248" i="15"/>
  <c r="L248" i="15"/>
  <c r="AB248" i="15" s="1"/>
  <c r="AH247" i="15"/>
  <c r="AJ247" i="15" s="1"/>
  <c r="AF247" i="15"/>
  <c r="AE247" i="15"/>
  <c r="AD247" i="15"/>
  <c r="AC247" i="15"/>
  <c r="L247" i="15"/>
  <c r="AB247" i="15" s="1"/>
  <c r="AH246" i="15"/>
  <c r="AJ246" i="15" s="1"/>
  <c r="AF246" i="15"/>
  <c r="AE246" i="15"/>
  <c r="AD246" i="15"/>
  <c r="AC246" i="15"/>
  <c r="T246" i="15"/>
  <c r="T247" i="15" s="1"/>
  <c r="T249" i="15" s="1"/>
  <c r="T251" i="15" s="1"/>
  <c r="S246" i="15"/>
  <c r="S247" i="15" s="1"/>
  <c r="S249" i="15" s="1"/>
  <c r="S251" i="15" s="1"/>
  <c r="R246" i="15"/>
  <c r="R247" i="15" s="1"/>
  <c r="R249" i="15" s="1"/>
  <c r="R251" i="15" s="1"/>
  <c r="Q246" i="15"/>
  <c r="Q247" i="15" s="1"/>
  <c r="Q249" i="15" s="1"/>
  <c r="Q251" i="15" s="1"/>
  <c r="P246" i="15"/>
  <c r="P247" i="15" s="1"/>
  <c r="P249" i="15" s="1"/>
  <c r="P251" i="15" s="1"/>
  <c r="O246" i="15"/>
  <c r="O247" i="15" s="1"/>
  <c r="O249" i="15" s="1"/>
  <c r="O251" i="15" s="1"/>
  <c r="N246" i="15"/>
  <c r="N247" i="15" s="1"/>
  <c r="N249" i="15" s="1"/>
  <c r="N251" i="15" s="1"/>
  <c r="L246" i="15"/>
  <c r="AB246" i="15" s="1"/>
  <c r="AH245" i="15"/>
  <c r="AJ245" i="15" s="1"/>
  <c r="AF245" i="15"/>
  <c r="AE245" i="15"/>
  <c r="AD245" i="15"/>
  <c r="AC245" i="15"/>
  <c r="T245" i="15"/>
  <c r="AG251" i="15" s="1"/>
  <c r="S245" i="15"/>
  <c r="AG250" i="15" s="1"/>
  <c r="R245" i="15"/>
  <c r="AG249" i="15" s="1"/>
  <c r="Q245" i="15"/>
  <c r="AG248" i="15" s="1"/>
  <c r="P245" i="15"/>
  <c r="AG247" i="15" s="1"/>
  <c r="O245" i="15"/>
  <c r="AG246" i="15" s="1"/>
  <c r="N245" i="15"/>
  <c r="AG245" i="15" s="1"/>
  <c r="L245" i="15"/>
  <c r="AB245" i="15" s="1"/>
  <c r="AK244" i="15"/>
  <c r="AJ244" i="15"/>
  <c r="AI244" i="15"/>
  <c r="AH244" i="15"/>
  <c r="AG244" i="15"/>
  <c r="AF244" i="15"/>
  <c r="AE244" i="15"/>
  <c r="AD244" i="15"/>
  <c r="AC244" i="15"/>
  <c r="AK243" i="15"/>
  <c r="AJ243" i="15"/>
  <c r="AI243" i="15"/>
  <c r="AH243" i="15"/>
  <c r="AG243" i="15"/>
  <c r="AF243" i="15"/>
  <c r="AE243" i="15"/>
  <c r="AD243" i="15"/>
  <c r="AC243" i="15"/>
  <c r="AB243" i="15"/>
  <c r="T243" i="15"/>
  <c r="T244" i="15" s="1"/>
  <c r="S243" i="15"/>
  <c r="S244" i="15" s="1"/>
  <c r="R243" i="15"/>
  <c r="R244" i="15" s="1"/>
  <c r="Q243" i="15"/>
  <c r="Q244" i="15" s="1"/>
  <c r="P243" i="15"/>
  <c r="P244" i="15" s="1"/>
  <c r="O243" i="15"/>
  <c r="O244" i="15" s="1"/>
  <c r="N243" i="15"/>
  <c r="N244" i="15" s="1"/>
  <c r="AK242" i="15"/>
  <c r="AJ242" i="15"/>
  <c r="AI242" i="15"/>
  <c r="AH242" i="15"/>
  <c r="AG242" i="15"/>
  <c r="AF242" i="15"/>
  <c r="AE242" i="15"/>
  <c r="AD242" i="15"/>
  <c r="AC242" i="15"/>
  <c r="AB242" i="15"/>
  <c r="T242" i="15"/>
  <c r="S242" i="15"/>
  <c r="R242" i="15"/>
  <c r="Q242" i="15"/>
  <c r="P242" i="15"/>
  <c r="O242" i="15"/>
  <c r="N242" i="15"/>
  <c r="AH241" i="15"/>
  <c r="AJ241" i="15" s="1"/>
  <c r="AF241" i="15"/>
  <c r="AE241" i="15"/>
  <c r="AD241" i="15"/>
  <c r="AC241" i="15"/>
  <c r="L241" i="15"/>
  <c r="AB241" i="15" s="1"/>
  <c r="AH240" i="15"/>
  <c r="AJ240" i="15" s="1"/>
  <c r="AF240" i="15"/>
  <c r="AE240" i="15"/>
  <c r="AD240" i="15"/>
  <c r="AC240" i="15"/>
  <c r="T240" i="15"/>
  <c r="S240" i="15"/>
  <c r="R240" i="15"/>
  <c r="Q240" i="15"/>
  <c r="P240" i="15"/>
  <c r="O240" i="15"/>
  <c r="N240" i="15"/>
  <c r="L240" i="15"/>
  <c r="AB240" i="15" s="1"/>
  <c r="AH239" i="15"/>
  <c r="AJ239" i="15" s="1"/>
  <c r="AF239" i="15"/>
  <c r="AE239" i="15"/>
  <c r="AD239" i="15"/>
  <c r="AC239" i="15"/>
  <c r="L239" i="15"/>
  <c r="AB239" i="15" s="1"/>
  <c r="AH238" i="15"/>
  <c r="AJ238" i="15" s="1"/>
  <c r="AF238" i="15"/>
  <c r="AE238" i="15"/>
  <c r="AD238" i="15"/>
  <c r="AC238" i="15"/>
  <c r="T238" i="15"/>
  <c r="S238" i="15"/>
  <c r="R238" i="15"/>
  <c r="Q238" i="15"/>
  <c r="P238" i="15"/>
  <c r="O238" i="15"/>
  <c r="N238" i="15"/>
  <c r="L238" i="15"/>
  <c r="AB238" i="15" s="1"/>
  <c r="AH237" i="15"/>
  <c r="AJ237" i="15" s="1"/>
  <c r="AF237" i="15"/>
  <c r="AE237" i="15"/>
  <c r="AD237" i="15"/>
  <c r="AC237" i="15"/>
  <c r="L237" i="15"/>
  <c r="AB237" i="15" s="1"/>
  <c r="AH236" i="15"/>
  <c r="AJ236" i="15" s="1"/>
  <c r="AF236" i="15"/>
  <c r="AE236" i="15"/>
  <c r="AD236" i="15"/>
  <c r="AC236" i="15"/>
  <c r="T236" i="15"/>
  <c r="T237" i="15" s="1"/>
  <c r="T239" i="15" s="1"/>
  <c r="T241" i="15" s="1"/>
  <c r="S236" i="15"/>
  <c r="S237" i="15" s="1"/>
  <c r="S239" i="15" s="1"/>
  <c r="S241" i="15" s="1"/>
  <c r="R236" i="15"/>
  <c r="R237" i="15" s="1"/>
  <c r="R239" i="15" s="1"/>
  <c r="R241" i="15" s="1"/>
  <c r="Q236" i="15"/>
  <c r="Q237" i="15" s="1"/>
  <c r="Q239" i="15" s="1"/>
  <c r="Q241" i="15" s="1"/>
  <c r="P236" i="15"/>
  <c r="P237" i="15" s="1"/>
  <c r="P239" i="15" s="1"/>
  <c r="P241" i="15" s="1"/>
  <c r="O236" i="15"/>
  <c r="O237" i="15" s="1"/>
  <c r="O239" i="15" s="1"/>
  <c r="O241" i="15" s="1"/>
  <c r="N236" i="15"/>
  <c r="N237" i="15" s="1"/>
  <c r="N239" i="15" s="1"/>
  <c r="N241" i="15" s="1"/>
  <c r="L236" i="15"/>
  <c r="AB236" i="15" s="1"/>
  <c r="AH235" i="15"/>
  <c r="AJ235" i="15" s="1"/>
  <c r="AF235" i="15"/>
  <c r="AE235" i="15"/>
  <c r="AD235" i="15"/>
  <c r="AC235" i="15"/>
  <c r="T235" i="15"/>
  <c r="AG241" i="15" s="1"/>
  <c r="S235" i="15"/>
  <c r="AG240" i="15" s="1"/>
  <c r="R235" i="15"/>
  <c r="AG239" i="15" s="1"/>
  <c r="Q235" i="15"/>
  <c r="AG238" i="15" s="1"/>
  <c r="P235" i="15"/>
  <c r="AG237" i="15" s="1"/>
  <c r="O235" i="15"/>
  <c r="AG236" i="15" s="1"/>
  <c r="N235" i="15"/>
  <c r="AG235" i="15" s="1"/>
  <c r="L235" i="15"/>
  <c r="AB235" i="15" s="1"/>
  <c r="AK234" i="15"/>
  <c r="AJ234" i="15"/>
  <c r="AI234" i="15"/>
  <c r="AH234" i="15"/>
  <c r="AG234" i="15"/>
  <c r="AF234" i="15"/>
  <c r="AE234" i="15"/>
  <c r="AD234" i="15"/>
  <c r="AC234" i="15"/>
  <c r="AK233" i="15"/>
  <c r="AJ233" i="15"/>
  <c r="AI233" i="15"/>
  <c r="AH233" i="15"/>
  <c r="AG233" i="15"/>
  <c r="AF233" i="15"/>
  <c r="AE233" i="15"/>
  <c r="AD233" i="15"/>
  <c r="AC233" i="15"/>
  <c r="AB233" i="15"/>
  <c r="T233" i="15"/>
  <c r="T234" i="15" s="1"/>
  <c r="AA225" i="15" s="1"/>
  <c r="AK231" i="15" s="1"/>
  <c r="S233" i="15"/>
  <c r="S234" i="15" s="1"/>
  <c r="R233" i="15"/>
  <c r="R234" i="15" s="1"/>
  <c r="Q233" i="15"/>
  <c r="Q234" i="15" s="1"/>
  <c r="P233" i="15"/>
  <c r="P234" i="15" s="1"/>
  <c r="O233" i="15"/>
  <c r="O234" i="15" s="1"/>
  <c r="N233" i="15"/>
  <c r="N234" i="15" s="1"/>
  <c r="AK232" i="15"/>
  <c r="AJ232" i="15"/>
  <c r="AI232" i="15"/>
  <c r="AH232" i="15"/>
  <c r="AG232" i="15"/>
  <c r="AF232" i="15"/>
  <c r="AE232" i="15"/>
  <c r="AD232" i="15"/>
  <c r="AC232" i="15"/>
  <c r="AB232" i="15"/>
  <c r="T232" i="15"/>
  <c r="S232" i="15"/>
  <c r="R232" i="15"/>
  <c r="Q232" i="15"/>
  <c r="P232" i="15"/>
  <c r="O232" i="15"/>
  <c r="N232" i="15"/>
  <c r="AI231" i="15"/>
  <c r="AH231" i="15"/>
  <c r="AJ231" i="15" s="1"/>
  <c r="AF231" i="15"/>
  <c r="AE231" i="15"/>
  <c r="AD231" i="15"/>
  <c r="AC231" i="15"/>
  <c r="L231" i="15"/>
  <c r="AB231" i="15" s="1"/>
  <c r="AH230" i="15"/>
  <c r="AJ230" i="15" s="1"/>
  <c r="AF230" i="15"/>
  <c r="AE230" i="15"/>
  <c r="AD230" i="15"/>
  <c r="AC230" i="15"/>
  <c r="T230" i="15"/>
  <c r="S230" i="15"/>
  <c r="R230" i="15"/>
  <c r="Q230" i="15"/>
  <c r="P230" i="15"/>
  <c r="O230" i="15"/>
  <c r="N230" i="15"/>
  <c r="L230" i="15"/>
  <c r="AB230" i="15" s="1"/>
  <c r="AH229" i="15"/>
  <c r="AJ229" i="15" s="1"/>
  <c r="AF229" i="15"/>
  <c r="AE229" i="15"/>
  <c r="AD229" i="15"/>
  <c r="AC229" i="15"/>
  <c r="L229" i="15"/>
  <c r="AB229" i="15" s="1"/>
  <c r="AH228" i="15"/>
  <c r="AJ228" i="15" s="1"/>
  <c r="AF228" i="15"/>
  <c r="AE228" i="15"/>
  <c r="AD228" i="15"/>
  <c r="AC228" i="15"/>
  <c r="T228" i="15"/>
  <c r="S228" i="15"/>
  <c r="R228" i="15"/>
  <c r="Q228" i="15"/>
  <c r="P228" i="15"/>
  <c r="O228" i="15"/>
  <c r="N228" i="15"/>
  <c r="L228" i="15"/>
  <c r="AB228" i="15" s="1"/>
  <c r="AH227" i="15"/>
  <c r="AJ227" i="15" s="1"/>
  <c r="AF227" i="15"/>
  <c r="AE227" i="15"/>
  <c r="AD227" i="15"/>
  <c r="AC227" i="15"/>
  <c r="L227" i="15"/>
  <c r="AB227" i="15" s="1"/>
  <c r="AH226" i="15"/>
  <c r="AJ226" i="15" s="1"/>
  <c r="AF226" i="15"/>
  <c r="AE226" i="15"/>
  <c r="AD226" i="15"/>
  <c r="AC226" i="15"/>
  <c r="T226" i="15"/>
  <c r="T227" i="15" s="1"/>
  <c r="T229" i="15" s="1"/>
  <c r="T231" i="15" s="1"/>
  <c r="S226" i="15"/>
  <c r="S227" i="15" s="1"/>
  <c r="S229" i="15" s="1"/>
  <c r="S231" i="15" s="1"/>
  <c r="R226" i="15"/>
  <c r="R227" i="15" s="1"/>
  <c r="R229" i="15" s="1"/>
  <c r="R231" i="15" s="1"/>
  <c r="Q226" i="15"/>
  <c r="Q227" i="15" s="1"/>
  <c r="Q229" i="15" s="1"/>
  <c r="Q231" i="15" s="1"/>
  <c r="P226" i="15"/>
  <c r="P227" i="15" s="1"/>
  <c r="P229" i="15" s="1"/>
  <c r="P231" i="15" s="1"/>
  <c r="O226" i="15"/>
  <c r="O227" i="15" s="1"/>
  <c r="O229" i="15" s="1"/>
  <c r="O231" i="15" s="1"/>
  <c r="N226" i="15"/>
  <c r="N227" i="15" s="1"/>
  <c r="N229" i="15" s="1"/>
  <c r="N231" i="15" s="1"/>
  <c r="L226" i="15"/>
  <c r="AB226" i="15" s="1"/>
  <c r="AH225" i="15"/>
  <c r="AJ225" i="15" s="1"/>
  <c r="AF225" i="15"/>
  <c r="AE225" i="15"/>
  <c r="AD225" i="15"/>
  <c r="AC225" i="15"/>
  <c r="T225" i="15"/>
  <c r="AG231" i="15" s="1"/>
  <c r="S225" i="15"/>
  <c r="AG230" i="15" s="1"/>
  <c r="R225" i="15"/>
  <c r="AG229" i="15" s="1"/>
  <c r="Q225" i="15"/>
  <c r="AG228" i="15" s="1"/>
  <c r="P225" i="15"/>
  <c r="AG227" i="15" s="1"/>
  <c r="O225" i="15"/>
  <c r="AG226" i="15" s="1"/>
  <c r="N225" i="15"/>
  <c r="AG225" i="15" s="1"/>
  <c r="L225" i="15"/>
  <c r="AB225" i="15" s="1"/>
  <c r="AK224" i="15"/>
  <c r="AJ224" i="15"/>
  <c r="AI224" i="15"/>
  <c r="AH224" i="15"/>
  <c r="AG224" i="15"/>
  <c r="AF224" i="15"/>
  <c r="AE224" i="15"/>
  <c r="AD224" i="15"/>
  <c r="AC224" i="15"/>
  <c r="AK223" i="15"/>
  <c r="AJ223" i="15"/>
  <c r="AI223" i="15"/>
  <c r="AH223" i="15"/>
  <c r="AG223" i="15"/>
  <c r="AF223" i="15"/>
  <c r="AE223" i="15"/>
  <c r="AD223" i="15"/>
  <c r="AC223" i="15"/>
  <c r="AB223" i="15"/>
  <c r="T223" i="15"/>
  <c r="T224" i="15" s="1"/>
  <c r="S223" i="15"/>
  <c r="S224" i="15" s="1"/>
  <c r="R223" i="15"/>
  <c r="R224" i="15" s="1"/>
  <c r="Q223" i="15"/>
  <c r="Q224" i="15" s="1"/>
  <c r="P223" i="15"/>
  <c r="P224" i="15" s="1"/>
  <c r="O223" i="15"/>
  <c r="O224" i="15" s="1"/>
  <c r="N223" i="15"/>
  <c r="N224" i="15" s="1"/>
  <c r="AK222" i="15"/>
  <c r="AJ222" i="15"/>
  <c r="AI222" i="15"/>
  <c r="AH222" i="15"/>
  <c r="AG222" i="15"/>
  <c r="AF222" i="15"/>
  <c r="AE222" i="15"/>
  <c r="AD222" i="15"/>
  <c r="AC222" i="15"/>
  <c r="AB222" i="15"/>
  <c r="T222" i="15"/>
  <c r="S222" i="15"/>
  <c r="R222" i="15"/>
  <c r="Q222" i="15"/>
  <c r="P222" i="15"/>
  <c r="O222" i="15"/>
  <c r="N222" i="15"/>
  <c r="AH221" i="15"/>
  <c r="AJ221" i="15" s="1"/>
  <c r="AF221" i="15"/>
  <c r="AE221" i="15"/>
  <c r="AD221" i="15"/>
  <c r="AC221" i="15"/>
  <c r="L221" i="15"/>
  <c r="AB221" i="15" s="1"/>
  <c r="AH220" i="15"/>
  <c r="AJ220" i="15" s="1"/>
  <c r="AF220" i="15"/>
  <c r="AE220" i="15"/>
  <c r="AD220" i="15"/>
  <c r="AC220" i="15"/>
  <c r="T220" i="15"/>
  <c r="S220" i="15"/>
  <c r="R220" i="15"/>
  <c r="Q220" i="15"/>
  <c r="P220" i="15"/>
  <c r="O220" i="15"/>
  <c r="N220" i="15"/>
  <c r="L220" i="15"/>
  <c r="AB220" i="15" s="1"/>
  <c r="AH219" i="15"/>
  <c r="AJ219" i="15" s="1"/>
  <c r="AF219" i="15"/>
  <c r="AE219" i="15"/>
  <c r="AD219" i="15"/>
  <c r="AC219" i="15"/>
  <c r="L219" i="15"/>
  <c r="AB219" i="15" s="1"/>
  <c r="AH218" i="15"/>
  <c r="AJ218" i="15" s="1"/>
  <c r="AF218" i="15"/>
  <c r="AE218" i="15"/>
  <c r="AD218" i="15"/>
  <c r="AC218" i="15"/>
  <c r="T218" i="15"/>
  <c r="S218" i="15"/>
  <c r="R218" i="15"/>
  <c r="Q218" i="15"/>
  <c r="P218" i="15"/>
  <c r="O218" i="15"/>
  <c r="N218" i="15"/>
  <c r="L218" i="15"/>
  <c r="AB218" i="15" s="1"/>
  <c r="AH217" i="15"/>
  <c r="AJ217" i="15" s="1"/>
  <c r="AF217" i="15"/>
  <c r="AE217" i="15"/>
  <c r="AD217" i="15"/>
  <c r="AC217" i="15"/>
  <c r="L217" i="15"/>
  <c r="AB217" i="15" s="1"/>
  <c r="AH216" i="15"/>
  <c r="AJ216" i="15" s="1"/>
  <c r="AF216" i="15"/>
  <c r="AE216" i="15"/>
  <c r="AD216" i="15"/>
  <c r="AC216" i="15"/>
  <c r="T216" i="15"/>
  <c r="T217" i="15" s="1"/>
  <c r="T219" i="15" s="1"/>
  <c r="T221" i="15" s="1"/>
  <c r="S216" i="15"/>
  <c r="S217" i="15" s="1"/>
  <c r="S219" i="15" s="1"/>
  <c r="S221" i="15" s="1"/>
  <c r="R216" i="15"/>
  <c r="R217" i="15" s="1"/>
  <c r="R219" i="15" s="1"/>
  <c r="R221" i="15" s="1"/>
  <c r="Q216" i="15"/>
  <c r="Q217" i="15" s="1"/>
  <c r="Q219" i="15" s="1"/>
  <c r="Q221" i="15" s="1"/>
  <c r="P216" i="15"/>
  <c r="P217" i="15" s="1"/>
  <c r="P219" i="15" s="1"/>
  <c r="P221" i="15" s="1"/>
  <c r="O216" i="15"/>
  <c r="O217" i="15" s="1"/>
  <c r="O219" i="15" s="1"/>
  <c r="O221" i="15" s="1"/>
  <c r="N216" i="15"/>
  <c r="N217" i="15" s="1"/>
  <c r="N219" i="15" s="1"/>
  <c r="N221" i="15" s="1"/>
  <c r="L216" i="15"/>
  <c r="AB216" i="15" s="1"/>
  <c r="AH215" i="15"/>
  <c r="AJ215" i="15" s="1"/>
  <c r="AF215" i="15"/>
  <c r="AE215" i="15"/>
  <c r="AD215" i="15"/>
  <c r="AC215" i="15"/>
  <c r="T215" i="15"/>
  <c r="AG221" i="15" s="1"/>
  <c r="S215" i="15"/>
  <c r="AG220" i="15" s="1"/>
  <c r="R215" i="15"/>
  <c r="AG219" i="15" s="1"/>
  <c r="Q215" i="15"/>
  <c r="AG218" i="15" s="1"/>
  <c r="P215" i="15"/>
  <c r="AG217" i="15" s="1"/>
  <c r="O215" i="15"/>
  <c r="AG216" i="15" s="1"/>
  <c r="N215" i="15"/>
  <c r="AG215" i="15" s="1"/>
  <c r="L215" i="15"/>
  <c r="AB215" i="15" s="1"/>
  <c r="AK214" i="15"/>
  <c r="AJ214" i="15"/>
  <c r="AI214" i="15"/>
  <c r="AH214" i="15"/>
  <c r="AG214" i="15"/>
  <c r="AF214" i="15"/>
  <c r="AE214" i="15"/>
  <c r="AD214" i="15"/>
  <c r="AC214" i="15"/>
  <c r="AK213" i="15"/>
  <c r="AJ213" i="15"/>
  <c r="AI213" i="15"/>
  <c r="AH213" i="15"/>
  <c r="AG213" i="15"/>
  <c r="AF213" i="15"/>
  <c r="AE213" i="15"/>
  <c r="AD213" i="15"/>
  <c r="AC213" i="15"/>
  <c r="AB213" i="15"/>
  <c r="T213" i="15"/>
  <c r="T214" i="15" s="1"/>
  <c r="S213" i="15"/>
  <c r="S214" i="15" s="1"/>
  <c r="R213" i="15"/>
  <c r="R214" i="15" s="1"/>
  <c r="Q213" i="15"/>
  <c r="Q214" i="15" s="1"/>
  <c r="P213" i="15"/>
  <c r="P214" i="15" s="1"/>
  <c r="O213" i="15"/>
  <c r="O214" i="15" s="1"/>
  <c r="N213" i="15"/>
  <c r="N214" i="15" s="1"/>
  <c r="AK212" i="15"/>
  <c r="AJ212" i="15"/>
  <c r="AI212" i="15"/>
  <c r="AH212" i="15"/>
  <c r="AG212" i="15"/>
  <c r="AF212" i="15"/>
  <c r="AE212" i="15"/>
  <c r="AD212" i="15"/>
  <c r="AC212" i="15"/>
  <c r="AB212" i="15"/>
  <c r="T212" i="15"/>
  <c r="S212" i="15"/>
  <c r="R212" i="15"/>
  <c r="Q212" i="15"/>
  <c r="P212" i="15"/>
  <c r="O212" i="15"/>
  <c r="N212" i="15"/>
  <c r="AH211" i="15"/>
  <c r="AJ211" i="15" s="1"/>
  <c r="AF211" i="15"/>
  <c r="AE211" i="15"/>
  <c r="AD211" i="15"/>
  <c r="AC211" i="15"/>
  <c r="L211" i="15"/>
  <c r="AB211" i="15" s="1"/>
  <c r="AH210" i="15"/>
  <c r="AJ210" i="15" s="1"/>
  <c r="AF210" i="15"/>
  <c r="AE210" i="15"/>
  <c r="AD210" i="15"/>
  <c r="AC210" i="15"/>
  <c r="T210" i="15"/>
  <c r="S210" i="15"/>
  <c r="R210" i="15"/>
  <c r="Q210" i="15"/>
  <c r="P210" i="15"/>
  <c r="O210" i="15"/>
  <c r="N210" i="15"/>
  <c r="L210" i="15"/>
  <c r="AB210" i="15" s="1"/>
  <c r="AH209" i="15"/>
  <c r="AJ209" i="15" s="1"/>
  <c r="AF209" i="15"/>
  <c r="AE209" i="15"/>
  <c r="AD209" i="15"/>
  <c r="AC209" i="15"/>
  <c r="L209" i="15"/>
  <c r="AB209" i="15" s="1"/>
  <c r="AH208" i="15"/>
  <c r="AJ208" i="15" s="1"/>
  <c r="AF208" i="15"/>
  <c r="AE208" i="15"/>
  <c r="AD208" i="15"/>
  <c r="AC208" i="15"/>
  <c r="T208" i="15"/>
  <c r="S208" i="15"/>
  <c r="R208" i="15"/>
  <c r="Q208" i="15"/>
  <c r="P208" i="15"/>
  <c r="O208" i="15"/>
  <c r="N208" i="15"/>
  <c r="L208" i="15"/>
  <c r="AB208" i="15" s="1"/>
  <c r="AH207" i="15"/>
  <c r="AJ207" i="15" s="1"/>
  <c r="AF207" i="15"/>
  <c r="AE207" i="15"/>
  <c r="AD207" i="15"/>
  <c r="AC207" i="15"/>
  <c r="L207" i="15"/>
  <c r="AB207" i="15" s="1"/>
  <c r="AH206" i="15"/>
  <c r="AJ206" i="15" s="1"/>
  <c r="AF206" i="15"/>
  <c r="AE206" i="15"/>
  <c r="AD206" i="15"/>
  <c r="AC206" i="15"/>
  <c r="T206" i="15"/>
  <c r="T207" i="15" s="1"/>
  <c r="T209" i="15" s="1"/>
  <c r="T211" i="15" s="1"/>
  <c r="S206" i="15"/>
  <c r="S207" i="15" s="1"/>
  <c r="S209" i="15" s="1"/>
  <c r="S211" i="15" s="1"/>
  <c r="R206" i="15"/>
  <c r="R207" i="15" s="1"/>
  <c r="R209" i="15" s="1"/>
  <c r="R211" i="15" s="1"/>
  <c r="Q206" i="15"/>
  <c r="Q207" i="15" s="1"/>
  <c r="Q209" i="15" s="1"/>
  <c r="Q211" i="15" s="1"/>
  <c r="P206" i="15"/>
  <c r="P207" i="15" s="1"/>
  <c r="P209" i="15" s="1"/>
  <c r="P211" i="15" s="1"/>
  <c r="O206" i="15"/>
  <c r="O207" i="15" s="1"/>
  <c r="O209" i="15" s="1"/>
  <c r="O211" i="15" s="1"/>
  <c r="N206" i="15"/>
  <c r="N207" i="15" s="1"/>
  <c r="N209" i="15" s="1"/>
  <c r="N211" i="15" s="1"/>
  <c r="L206" i="15"/>
  <c r="AB206" i="15" s="1"/>
  <c r="AH205" i="15"/>
  <c r="AJ205" i="15" s="1"/>
  <c r="AF205" i="15"/>
  <c r="AE205" i="15"/>
  <c r="AD205" i="15"/>
  <c r="AC205" i="15"/>
  <c r="T205" i="15"/>
  <c r="AG211" i="15" s="1"/>
  <c r="S205" i="15"/>
  <c r="AG210" i="15" s="1"/>
  <c r="R205" i="15"/>
  <c r="AG209" i="15" s="1"/>
  <c r="Q205" i="15"/>
  <c r="AG208" i="15" s="1"/>
  <c r="P205" i="15"/>
  <c r="AG207" i="15" s="1"/>
  <c r="O205" i="15"/>
  <c r="AG206" i="15" s="1"/>
  <c r="N205" i="15"/>
  <c r="AG205" i="15" s="1"/>
  <c r="L205" i="15"/>
  <c r="AB205" i="15" s="1"/>
  <c r="AK204" i="15"/>
  <c r="AJ204" i="15"/>
  <c r="AI204" i="15"/>
  <c r="AH204" i="15"/>
  <c r="AG204" i="15"/>
  <c r="AF204" i="15"/>
  <c r="AE204" i="15"/>
  <c r="AD204" i="15"/>
  <c r="AC204" i="15"/>
  <c r="AK203" i="15"/>
  <c r="AJ203" i="15"/>
  <c r="AI203" i="15"/>
  <c r="AH203" i="15"/>
  <c r="AG203" i="15"/>
  <c r="AF203" i="15"/>
  <c r="AE203" i="15"/>
  <c r="AD203" i="15"/>
  <c r="AC203" i="15"/>
  <c r="AB203" i="15"/>
  <c r="T203" i="15"/>
  <c r="T204" i="15" s="1"/>
  <c r="AI201" i="15" s="1"/>
  <c r="S203" i="15"/>
  <c r="S204" i="15" s="1"/>
  <c r="AI200" i="15" s="1"/>
  <c r="R203" i="15"/>
  <c r="R204" i="15" s="1"/>
  <c r="Y195" i="15" s="1"/>
  <c r="AK199" i="15" s="1"/>
  <c r="Q203" i="15"/>
  <c r="Q204" i="15" s="1"/>
  <c r="X195" i="15" s="1"/>
  <c r="AK198" i="15" s="1"/>
  <c r="P203" i="15"/>
  <c r="P204" i="15" s="1"/>
  <c r="AI197" i="15" s="1"/>
  <c r="O203" i="15"/>
  <c r="O204" i="15" s="1"/>
  <c r="V195" i="15" s="1"/>
  <c r="AK196" i="15" s="1"/>
  <c r="N203" i="15"/>
  <c r="N204" i="15" s="1"/>
  <c r="AI195" i="15" s="1"/>
  <c r="AK202" i="15"/>
  <c r="AJ202" i="15"/>
  <c r="AI202" i="15"/>
  <c r="AH202" i="15"/>
  <c r="AG202" i="15"/>
  <c r="AF202" i="15"/>
  <c r="AE202" i="15"/>
  <c r="AD202" i="15"/>
  <c r="AC202" i="15"/>
  <c r="AB202" i="15"/>
  <c r="T202" i="15"/>
  <c r="S202" i="15"/>
  <c r="R202" i="15"/>
  <c r="Q202" i="15"/>
  <c r="P202" i="15"/>
  <c r="O202" i="15"/>
  <c r="N202" i="15"/>
  <c r="AH201" i="15"/>
  <c r="AJ201" i="15" s="1"/>
  <c r="AF201" i="15"/>
  <c r="AE201" i="15"/>
  <c r="AD201" i="15"/>
  <c r="AC201" i="15"/>
  <c r="L201" i="15"/>
  <c r="AB201" i="15" s="1"/>
  <c r="AH200" i="15"/>
  <c r="AJ200" i="15" s="1"/>
  <c r="AF200" i="15"/>
  <c r="AE200" i="15"/>
  <c r="AD200" i="15"/>
  <c r="AC200" i="15"/>
  <c r="T200" i="15"/>
  <c r="S200" i="15"/>
  <c r="R200" i="15"/>
  <c r="Q200" i="15"/>
  <c r="P200" i="15"/>
  <c r="O200" i="15"/>
  <c r="N200" i="15"/>
  <c r="L200" i="15"/>
  <c r="AB200" i="15" s="1"/>
  <c r="AH199" i="15"/>
  <c r="AJ199" i="15" s="1"/>
  <c r="AF199" i="15"/>
  <c r="AE199" i="15"/>
  <c r="AD199" i="15"/>
  <c r="AC199" i="15"/>
  <c r="L199" i="15"/>
  <c r="AB199" i="15" s="1"/>
  <c r="AI198" i="15"/>
  <c r="AH198" i="15"/>
  <c r="AJ198" i="15" s="1"/>
  <c r="AF198" i="15"/>
  <c r="AE198" i="15"/>
  <c r="AD198" i="15"/>
  <c r="AC198" i="15"/>
  <c r="T198" i="15"/>
  <c r="S198" i="15"/>
  <c r="R198" i="15"/>
  <c r="Q198" i="15"/>
  <c r="P198" i="15"/>
  <c r="O198" i="15"/>
  <c r="N198" i="15"/>
  <c r="L198" i="15"/>
  <c r="AB198" i="15" s="1"/>
  <c r="AH197" i="15"/>
  <c r="AJ197" i="15" s="1"/>
  <c r="AF197" i="15"/>
  <c r="AE197" i="15"/>
  <c r="AD197" i="15"/>
  <c r="AC197" i="15"/>
  <c r="L197" i="15"/>
  <c r="AB197" i="15" s="1"/>
  <c r="AI196" i="15"/>
  <c r="AH196" i="15"/>
  <c r="AJ196" i="15" s="1"/>
  <c r="AF196" i="15"/>
  <c r="AE196" i="15"/>
  <c r="AD196" i="15"/>
  <c r="AC196" i="15"/>
  <c r="T196" i="15"/>
  <c r="T197" i="15" s="1"/>
  <c r="T199" i="15" s="1"/>
  <c r="T201" i="15" s="1"/>
  <c r="S196" i="15"/>
  <c r="S197" i="15" s="1"/>
  <c r="S199" i="15" s="1"/>
  <c r="S201" i="15" s="1"/>
  <c r="R196" i="15"/>
  <c r="R197" i="15" s="1"/>
  <c r="R199" i="15" s="1"/>
  <c r="R201" i="15" s="1"/>
  <c r="Q196" i="15"/>
  <c r="Q197" i="15" s="1"/>
  <c r="Q199" i="15" s="1"/>
  <c r="Q201" i="15" s="1"/>
  <c r="P196" i="15"/>
  <c r="P197" i="15" s="1"/>
  <c r="P199" i="15" s="1"/>
  <c r="P201" i="15" s="1"/>
  <c r="O196" i="15"/>
  <c r="O197" i="15" s="1"/>
  <c r="O199" i="15" s="1"/>
  <c r="O201" i="15" s="1"/>
  <c r="N196" i="15"/>
  <c r="N197" i="15" s="1"/>
  <c r="N199" i="15" s="1"/>
  <c r="N201" i="15" s="1"/>
  <c r="L196" i="15"/>
  <c r="AB196" i="15" s="1"/>
  <c r="AH195" i="15"/>
  <c r="AJ195" i="15" s="1"/>
  <c r="AF195" i="15"/>
  <c r="AE195" i="15"/>
  <c r="AD195" i="15"/>
  <c r="AC195" i="15"/>
  <c r="T195" i="15"/>
  <c r="AG201" i="15" s="1"/>
  <c r="S195" i="15"/>
  <c r="AG200" i="15" s="1"/>
  <c r="R195" i="15"/>
  <c r="AG199" i="15" s="1"/>
  <c r="Q195" i="15"/>
  <c r="AG198" i="15" s="1"/>
  <c r="P195" i="15"/>
  <c r="AG197" i="15" s="1"/>
  <c r="O195" i="15"/>
  <c r="AG196" i="15" s="1"/>
  <c r="N195" i="15"/>
  <c r="AG195" i="15" s="1"/>
  <c r="L195" i="15"/>
  <c r="AB195" i="15" s="1"/>
  <c r="AK194" i="15"/>
  <c r="AJ194" i="15"/>
  <c r="AI194" i="15"/>
  <c r="AH194" i="15"/>
  <c r="AG194" i="15"/>
  <c r="AF194" i="15"/>
  <c r="AE194" i="15"/>
  <c r="AD194" i="15"/>
  <c r="AC194" i="15"/>
  <c r="AK193" i="15"/>
  <c r="AJ193" i="15"/>
  <c r="AI193" i="15"/>
  <c r="AH193" i="15"/>
  <c r="AG193" i="15"/>
  <c r="AF193" i="15"/>
  <c r="AE193" i="15"/>
  <c r="AD193" i="15"/>
  <c r="AC193" i="15"/>
  <c r="AB193" i="15"/>
  <c r="T193" i="15"/>
  <c r="T194" i="15" s="1"/>
  <c r="S193" i="15"/>
  <c r="S194" i="15" s="1"/>
  <c r="R193" i="15"/>
  <c r="R194" i="15" s="1"/>
  <c r="Q193" i="15"/>
  <c r="Q194" i="15" s="1"/>
  <c r="P193" i="15"/>
  <c r="P194" i="15" s="1"/>
  <c r="O193" i="15"/>
  <c r="O194" i="15" s="1"/>
  <c r="N193" i="15"/>
  <c r="N194" i="15" s="1"/>
  <c r="AK192" i="15"/>
  <c r="AJ192" i="15"/>
  <c r="AI192" i="15"/>
  <c r="AH192" i="15"/>
  <c r="AG192" i="15"/>
  <c r="AF192" i="15"/>
  <c r="AE192" i="15"/>
  <c r="AD192" i="15"/>
  <c r="AC192" i="15"/>
  <c r="AB192" i="15"/>
  <c r="T192" i="15"/>
  <c r="S192" i="15"/>
  <c r="R192" i="15"/>
  <c r="Q192" i="15"/>
  <c r="P192" i="15"/>
  <c r="O192" i="15"/>
  <c r="N192" i="15"/>
  <c r="AH191" i="15"/>
  <c r="AJ191" i="15" s="1"/>
  <c r="AF191" i="15"/>
  <c r="AE191" i="15"/>
  <c r="AD191" i="15"/>
  <c r="AC191" i="15"/>
  <c r="L191" i="15"/>
  <c r="AB191" i="15" s="1"/>
  <c r="AH190" i="15"/>
  <c r="AJ190" i="15" s="1"/>
  <c r="AF190" i="15"/>
  <c r="AE190" i="15"/>
  <c r="AD190" i="15"/>
  <c r="AC190" i="15"/>
  <c r="T190" i="15"/>
  <c r="S190" i="15"/>
  <c r="R190" i="15"/>
  <c r="Q190" i="15"/>
  <c r="P190" i="15"/>
  <c r="O190" i="15"/>
  <c r="N190" i="15"/>
  <c r="L190" i="15"/>
  <c r="AB190" i="15" s="1"/>
  <c r="AH189" i="15"/>
  <c r="AJ189" i="15" s="1"/>
  <c r="AF189" i="15"/>
  <c r="AE189" i="15"/>
  <c r="AD189" i="15"/>
  <c r="AC189" i="15"/>
  <c r="L189" i="15"/>
  <c r="AB189" i="15" s="1"/>
  <c r="AH188" i="15"/>
  <c r="AJ188" i="15" s="1"/>
  <c r="AF188" i="15"/>
  <c r="AE188" i="15"/>
  <c r="AD188" i="15"/>
  <c r="AC188" i="15"/>
  <c r="T188" i="15"/>
  <c r="S188" i="15"/>
  <c r="R188" i="15"/>
  <c r="Q188" i="15"/>
  <c r="P188" i="15"/>
  <c r="O188" i="15"/>
  <c r="N188" i="15"/>
  <c r="L188" i="15"/>
  <c r="AB188" i="15" s="1"/>
  <c r="AH187" i="15"/>
  <c r="AJ187" i="15" s="1"/>
  <c r="AF187" i="15"/>
  <c r="AE187" i="15"/>
  <c r="AD187" i="15"/>
  <c r="AC187" i="15"/>
  <c r="L187" i="15"/>
  <c r="AB187" i="15" s="1"/>
  <c r="AH186" i="15"/>
  <c r="AJ186" i="15" s="1"/>
  <c r="AF186" i="15"/>
  <c r="AE186" i="15"/>
  <c r="AD186" i="15"/>
  <c r="AC186" i="15"/>
  <c r="T186" i="15"/>
  <c r="T187" i="15" s="1"/>
  <c r="T189" i="15" s="1"/>
  <c r="T191" i="15" s="1"/>
  <c r="S186" i="15"/>
  <c r="S187" i="15" s="1"/>
  <c r="S189" i="15" s="1"/>
  <c r="S191" i="15" s="1"/>
  <c r="R186" i="15"/>
  <c r="R187" i="15" s="1"/>
  <c r="R189" i="15" s="1"/>
  <c r="R191" i="15" s="1"/>
  <c r="Q186" i="15"/>
  <c r="Q187" i="15" s="1"/>
  <c r="Q189" i="15" s="1"/>
  <c r="Q191" i="15" s="1"/>
  <c r="P186" i="15"/>
  <c r="P187" i="15" s="1"/>
  <c r="P189" i="15" s="1"/>
  <c r="P191" i="15" s="1"/>
  <c r="O186" i="15"/>
  <c r="O187" i="15" s="1"/>
  <c r="O189" i="15" s="1"/>
  <c r="O191" i="15" s="1"/>
  <c r="N186" i="15"/>
  <c r="N187" i="15" s="1"/>
  <c r="N189" i="15" s="1"/>
  <c r="N191" i="15" s="1"/>
  <c r="L186" i="15"/>
  <c r="AB186" i="15" s="1"/>
  <c r="AH185" i="15"/>
  <c r="AJ185" i="15" s="1"/>
  <c r="AF185" i="15"/>
  <c r="AE185" i="15"/>
  <c r="AD185" i="15"/>
  <c r="AC185" i="15"/>
  <c r="T185" i="15"/>
  <c r="AG191" i="15" s="1"/>
  <c r="S185" i="15"/>
  <c r="AG190" i="15" s="1"/>
  <c r="R185" i="15"/>
  <c r="AG189" i="15" s="1"/>
  <c r="Q185" i="15"/>
  <c r="AG188" i="15" s="1"/>
  <c r="P185" i="15"/>
  <c r="AG187" i="15" s="1"/>
  <c r="O185" i="15"/>
  <c r="AG186" i="15" s="1"/>
  <c r="N185" i="15"/>
  <c r="AG185" i="15" s="1"/>
  <c r="L185" i="15"/>
  <c r="AB185" i="15" s="1"/>
  <c r="AK184" i="15"/>
  <c r="AJ184" i="15"/>
  <c r="AI184" i="15"/>
  <c r="AH184" i="15"/>
  <c r="AG184" i="15"/>
  <c r="AF184" i="15"/>
  <c r="AE184" i="15"/>
  <c r="AD184" i="15"/>
  <c r="AC184" i="15"/>
  <c r="AK183" i="15"/>
  <c r="AJ183" i="15"/>
  <c r="AI183" i="15"/>
  <c r="AH183" i="15"/>
  <c r="AG183" i="15"/>
  <c r="AF183" i="15"/>
  <c r="AE183" i="15"/>
  <c r="AD183" i="15"/>
  <c r="AC183" i="15"/>
  <c r="AB183" i="15"/>
  <c r="T183" i="15"/>
  <c r="T184" i="15" s="1"/>
  <c r="AI181" i="15" s="1"/>
  <c r="S183" i="15"/>
  <c r="S184" i="15" s="1"/>
  <c r="AI180" i="15" s="1"/>
  <c r="R183" i="15"/>
  <c r="R184" i="15" s="1"/>
  <c r="AI179" i="15" s="1"/>
  <c r="Q183" i="15"/>
  <c r="Q184" i="15" s="1"/>
  <c r="AI178" i="15" s="1"/>
  <c r="P183" i="15"/>
  <c r="P184" i="15" s="1"/>
  <c r="AI177" i="15" s="1"/>
  <c r="O183" i="15"/>
  <c r="O184" i="15" s="1"/>
  <c r="AI176" i="15" s="1"/>
  <c r="N183" i="15"/>
  <c r="N184" i="15" s="1"/>
  <c r="AI175" i="15" s="1"/>
  <c r="AK182" i="15"/>
  <c r="AJ182" i="15"/>
  <c r="AI182" i="15"/>
  <c r="AH182" i="15"/>
  <c r="AG182" i="15"/>
  <c r="AF182" i="15"/>
  <c r="AE182" i="15"/>
  <c r="AD182" i="15"/>
  <c r="AC182" i="15"/>
  <c r="AB182" i="15"/>
  <c r="T182" i="15"/>
  <c r="S182" i="15"/>
  <c r="R182" i="15"/>
  <c r="Q182" i="15"/>
  <c r="P182" i="15"/>
  <c r="O182" i="15"/>
  <c r="N182" i="15"/>
  <c r="AH181" i="15"/>
  <c r="AJ181" i="15" s="1"/>
  <c r="AF181" i="15"/>
  <c r="AE181" i="15"/>
  <c r="AD181" i="15"/>
  <c r="AC181" i="15"/>
  <c r="L181" i="15"/>
  <c r="AB181" i="15" s="1"/>
  <c r="AH180" i="15"/>
  <c r="AJ180" i="15" s="1"/>
  <c r="AF180" i="15"/>
  <c r="AE180" i="15"/>
  <c r="AD180" i="15"/>
  <c r="AC180" i="15"/>
  <c r="T180" i="15"/>
  <c r="S180" i="15"/>
  <c r="R180" i="15"/>
  <c r="Q180" i="15"/>
  <c r="P180" i="15"/>
  <c r="O180" i="15"/>
  <c r="N180" i="15"/>
  <c r="L180" i="15"/>
  <c r="AB180" i="15" s="1"/>
  <c r="AH179" i="15"/>
  <c r="AJ179" i="15" s="1"/>
  <c r="AF179" i="15"/>
  <c r="AE179" i="15"/>
  <c r="AD179" i="15"/>
  <c r="AC179" i="15"/>
  <c r="L179" i="15"/>
  <c r="AB179" i="15" s="1"/>
  <c r="AH178" i="15"/>
  <c r="AJ178" i="15" s="1"/>
  <c r="AF178" i="15"/>
  <c r="AE178" i="15"/>
  <c r="AD178" i="15"/>
  <c r="AC178" i="15"/>
  <c r="T178" i="15"/>
  <c r="S178" i="15"/>
  <c r="R178" i="15"/>
  <c r="Q178" i="15"/>
  <c r="P178" i="15"/>
  <c r="O178" i="15"/>
  <c r="N178" i="15"/>
  <c r="L178" i="15"/>
  <c r="AB178" i="15" s="1"/>
  <c r="AH177" i="15"/>
  <c r="AJ177" i="15" s="1"/>
  <c r="AF177" i="15"/>
  <c r="AE177" i="15"/>
  <c r="AD177" i="15"/>
  <c r="AC177" i="15"/>
  <c r="L177" i="15"/>
  <c r="AB177" i="15" s="1"/>
  <c r="AH176" i="15"/>
  <c r="AJ176" i="15" s="1"/>
  <c r="AF176" i="15"/>
  <c r="AE176" i="15"/>
  <c r="AD176" i="15"/>
  <c r="AC176" i="15"/>
  <c r="T176" i="15"/>
  <c r="T177" i="15" s="1"/>
  <c r="T179" i="15" s="1"/>
  <c r="T181" i="15" s="1"/>
  <c r="S176" i="15"/>
  <c r="S177" i="15" s="1"/>
  <c r="S179" i="15" s="1"/>
  <c r="S181" i="15" s="1"/>
  <c r="R176" i="15"/>
  <c r="R177" i="15" s="1"/>
  <c r="R179" i="15" s="1"/>
  <c r="R181" i="15" s="1"/>
  <c r="Q176" i="15"/>
  <c r="Q177" i="15" s="1"/>
  <c r="Q179" i="15" s="1"/>
  <c r="Q181" i="15" s="1"/>
  <c r="P176" i="15"/>
  <c r="P177" i="15" s="1"/>
  <c r="P179" i="15" s="1"/>
  <c r="P181" i="15" s="1"/>
  <c r="O176" i="15"/>
  <c r="O177" i="15" s="1"/>
  <c r="O179" i="15" s="1"/>
  <c r="O181" i="15" s="1"/>
  <c r="N176" i="15"/>
  <c r="N177" i="15" s="1"/>
  <c r="N179" i="15" s="1"/>
  <c r="N181" i="15" s="1"/>
  <c r="L176" i="15"/>
  <c r="AB176" i="15" s="1"/>
  <c r="AH175" i="15"/>
  <c r="AJ175" i="15" s="1"/>
  <c r="AF175" i="15"/>
  <c r="AE175" i="15"/>
  <c r="AD175" i="15"/>
  <c r="AC175" i="15"/>
  <c r="Z175" i="15"/>
  <c r="AK180" i="15" s="1"/>
  <c r="V175" i="15"/>
  <c r="AK176" i="15" s="1"/>
  <c r="T175" i="15"/>
  <c r="AG181" i="15" s="1"/>
  <c r="S175" i="15"/>
  <c r="AG180" i="15" s="1"/>
  <c r="R175" i="15"/>
  <c r="AG179" i="15" s="1"/>
  <c r="Q175" i="15"/>
  <c r="AG178" i="15" s="1"/>
  <c r="P175" i="15"/>
  <c r="AG177" i="15" s="1"/>
  <c r="O175" i="15"/>
  <c r="AG176" i="15" s="1"/>
  <c r="N175" i="15"/>
  <c r="AG175" i="15" s="1"/>
  <c r="L175" i="15"/>
  <c r="AB175" i="15" s="1"/>
  <c r="AK174" i="15"/>
  <c r="AJ174" i="15"/>
  <c r="AI174" i="15"/>
  <c r="AH174" i="15"/>
  <c r="AG174" i="15"/>
  <c r="AF174" i="15"/>
  <c r="AE174" i="15"/>
  <c r="AD174" i="15"/>
  <c r="AC174" i="15"/>
  <c r="AK173" i="15"/>
  <c r="AJ173" i="15"/>
  <c r="AI173" i="15"/>
  <c r="AH173" i="15"/>
  <c r="AG173" i="15"/>
  <c r="AF173" i="15"/>
  <c r="AE173" i="15"/>
  <c r="AD173" i="15"/>
  <c r="AC173" i="15"/>
  <c r="AB173" i="15"/>
  <c r="T173" i="15"/>
  <c r="T174" i="15" s="1"/>
  <c r="S173" i="15"/>
  <c r="S174" i="15" s="1"/>
  <c r="R173" i="15"/>
  <c r="R174" i="15" s="1"/>
  <c r="Q173" i="15"/>
  <c r="Q174" i="15" s="1"/>
  <c r="P173" i="15"/>
  <c r="P174" i="15" s="1"/>
  <c r="O173" i="15"/>
  <c r="O174" i="15" s="1"/>
  <c r="N173" i="15"/>
  <c r="N174" i="15" s="1"/>
  <c r="AK172" i="15"/>
  <c r="AJ172" i="15"/>
  <c r="AI172" i="15"/>
  <c r="AH172" i="15"/>
  <c r="AG172" i="15"/>
  <c r="AF172" i="15"/>
  <c r="AE172" i="15"/>
  <c r="AD172" i="15"/>
  <c r="AC172" i="15"/>
  <c r="AB172" i="15"/>
  <c r="T172" i="15"/>
  <c r="S172" i="15"/>
  <c r="R172" i="15"/>
  <c r="Q172" i="15"/>
  <c r="P172" i="15"/>
  <c r="O172" i="15"/>
  <c r="N172" i="15"/>
  <c r="AH171" i="15"/>
  <c r="AJ171" i="15" s="1"/>
  <c r="AF171" i="15"/>
  <c r="AE171" i="15"/>
  <c r="AD171" i="15"/>
  <c r="AC171" i="15"/>
  <c r="L171" i="15"/>
  <c r="AB171" i="15" s="1"/>
  <c r="AH170" i="15"/>
  <c r="AJ170" i="15" s="1"/>
  <c r="AF170" i="15"/>
  <c r="AE170" i="15"/>
  <c r="AD170" i="15"/>
  <c r="AC170" i="15"/>
  <c r="T170" i="15"/>
  <c r="S170" i="15"/>
  <c r="R170" i="15"/>
  <c r="Q170" i="15"/>
  <c r="P170" i="15"/>
  <c r="O170" i="15"/>
  <c r="N170" i="15"/>
  <c r="L170" i="15"/>
  <c r="AB170" i="15" s="1"/>
  <c r="AH169" i="15"/>
  <c r="AJ169" i="15" s="1"/>
  <c r="AF169" i="15"/>
  <c r="AE169" i="15"/>
  <c r="AD169" i="15"/>
  <c r="AC169" i="15"/>
  <c r="L169" i="15"/>
  <c r="AB169" i="15" s="1"/>
  <c r="AH168" i="15"/>
  <c r="AJ168" i="15" s="1"/>
  <c r="AF168" i="15"/>
  <c r="AE168" i="15"/>
  <c r="AD168" i="15"/>
  <c r="AC168" i="15"/>
  <c r="T168" i="15"/>
  <c r="S168" i="15"/>
  <c r="R168" i="15"/>
  <c r="Q168" i="15"/>
  <c r="P168" i="15"/>
  <c r="O168" i="15"/>
  <c r="N168" i="15"/>
  <c r="L168" i="15"/>
  <c r="AB168" i="15" s="1"/>
  <c r="AH167" i="15"/>
  <c r="AJ167" i="15" s="1"/>
  <c r="AF167" i="15"/>
  <c r="AE167" i="15"/>
  <c r="AD167" i="15"/>
  <c r="AC167" i="15"/>
  <c r="L167" i="15"/>
  <c r="AB167" i="15" s="1"/>
  <c r="AH166" i="15"/>
  <c r="AJ166" i="15" s="1"/>
  <c r="AF166" i="15"/>
  <c r="AE166" i="15"/>
  <c r="AD166" i="15"/>
  <c r="AC166" i="15"/>
  <c r="T166" i="15"/>
  <c r="T167" i="15" s="1"/>
  <c r="T169" i="15" s="1"/>
  <c r="T171" i="15" s="1"/>
  <c r="S166" i="15"/>
  <c r="S167" i="15" s="1"/>
  <c r="S169" i="15" s="1"/>
  <c r="S171" i="15" s="1"/>
  <c r="R166" i="15"/>
  <c r="R167" i="15" s="1"/>
  <c r="R169" i="15" s="1"/>
  <c r="R171" i="15" s="1"/>
  <c r="Q166" i="15"/>
  <c r="Q167" i="15" s="1"/>
  <c r="Q169" i="15" s="1"/>
  <c r="Q171" i="15" s="1"/>
  <c r="P166" i="15"/>
  <c r="P167" i="15" s="1"/>
  <c r="P169" i="15" s="1"/>
  <c r="P171" i="15" s="1"/>
  <c r="O166" i="15"/>
  <c r="O167" i="15" s="1"/>
  <c r="O169" i="15" s="1"/>
  <c r="O171" i="15" s="1"/>
  <c r="N166" i="15"/>
  <c r="N167" i="15" s="1"/>
  <c r="N169" i="15" s="1"/>
  <c r="N171" i="15" s="1"/>
  <c r="L166" i="15"/>
  <c r="AB166" i="15" s="1"/>
  <c r="AH165" i="15"/>
  <c r="AJ165" i="15" s="1"/>
  <c r="AF165" i="15"/>
  <c r="AE165" i="15"/>
  <c r="AD165" i="15"/>
  <c r="AC165" i="15"/>
  <c r="T165" i="15"/>
  <c r="AG171" i="15" s="1"/>
  <c r="S165" i="15"/>
  <c r="AG170" i="15" s="1"/>
  <c r="R165" i="15"/>
  <c r="AG169" i="15" s="1"/>
  <c r="Q165" i="15"/>
  <c r="AG168" i="15" s="1"/>
  <c r="P165" i="15"/>
  <c r="AG167" i="15" s="1"/>
  <c r="O165" i="15"/>
  <c r="AG166" i="15" s="1"/>
  <c r="N165" i="15"/>
  <c r="AG165" i="15" s="1"/>
  <c r="L165" i="15"/>
  <c r="AB165" i="15" s="1"/>
  <c r="AK164" i="15"/>
  <c r="AJ164" i="15"/>
  <c r="AI164" i="15"/>
  <c r="AH164" i="15"/>
  <c r="AG164" i="15"/>
  <c r="AF164" i="15"/>
  <c r="AE164" i="15"/>
  <c r="AD164" i="15"/>
  <c r="AC164" i="15"/>
  <c r="AK163" i="15"/>
  <c r="AJ163" i="15"/>
  <c r="AI163" i="15"/>
  <c r="AH163" i="15"/>
  <c r="AG163" i="15"/>
  <c r="AF163" i="15"/>
  <c r="AE163" i="15"/>
  <c r="AD163" i="15"/>
  <c r="AC163" i="15"/>
  <c r="AB163" i="15"/>
  <c r="T163" i="15"/>
  <c r="T164" i="15" s="1"/>
  <c r="S163" i="15"/>
  <c r="S164" i="15" s="1"/>
  <c r="R163" i="15"/>
  <c r="R164" i="15" s="1"/>
  <c r="Q163" i="15"/>
  <c r="Q164" i="15" s="1"/>
  <c r="P163" i="15"/>
  <c r="P164" i="15" s="1"/>
  <c r="O163" i="15"/>
  <c r="O164" i="15" s="1"/>
  <c r="N163" i="15"/>
  <c r="N164" i="15" s="1"/>
  <c r="AK162" i="15"/>
  <c r="AJ162" i="15"/>
  <c r="AI162" i="15"/>
  <c r="AH162" i="15"/>
  <c r="AG162" i="15"/>
  <c r="AF162" i="15"/>
  <c r="AE162" i="15"/>
  <c r="AD162" i="15"/>
  <c r="AC162" i="15"/>
  <c r="AB162" i="15"/>
  <c r="T162" i="15"/>
  <c r="S162" i="15"/>
  <c r="R162" i="15"/>
  <c r="Q162" i="15"/>
  <c r="P162" i="15"/>
  <c r="O162" i="15"/>
  <c r="N162" i="15"/>
  <c r="AH161" i="15"/>
  <c r="AJ161" i="15" s="1"/>
  <c r="AF161" i="15"/>
  <c r="AE161" i="15"/>
  <c r="AD161" i="15"/>
  <c r="AC161" i="15"/>
  <c r="L161" i="15"/>
  <c r="AB161" i="15" s="1"/>
  <c r="AH160" i="15"/>
  <c r="AJ160" i="15" s="1"/>
  <c r="AF160" i="15"/>
  <c r="AE160" i="15"/>
  <c r="AD160" i="15"/>
  <c r="AC160" i="15"/>
  <c r="T160" i="15"/>
  <c r="S160" i="15"/>
  <c r="R160" i="15"/>
  <c r="Q160" i="15"/>
  <c r="P160" i="15"/>
  <c r="O160" i="15"/>
  <c r="N160" i="15"/>
  <c r="L160" i="15"/>
  <c r="AB160" i="15" s="1"/>
  <c r="AH159" i="15"/>
  <c r="AJ159" i="15" s="1"/>
  <c r="AF159" i="15"/>
  <c r="AE159" i="15"/>
  <c r="AD159" i="15"/>
  <c r="AC159" i="15"/>
  <c r="L159" i="15"/>
  <c r="AB159" i="15" s="1"/>
  <c r="AH158" i="15"/>
  <c r="AJ158" i="15" s="1"/>
  <c r="AF158" i="15"/>
  <c r="AE158" i="15"/>
  <c r="AD158" i="15"/>
  <c r="AC158" i="15"/>
  <c r="T158" i="15"/>
  <c r="S158" i="15"/>
  <c r="R158" i="15"/>
  <c r="Q158" i="15"/>
  <c r="P158" i="15"/>
  <c r="O158" i="15"/>
  <c r="N158" i="15"/>
  <c r="L158" i="15"/>
  <c r="AB158" i="15" s="1"/>
  <c r="AH157" i="15"/>
  <c r="AJ157" i="15" s="1"/>
  <c r="AF157" i="15"/>
  <c r="AE157" i="15"/>
  <c r="AD157" i="15"/>
  <c r="AC157" i="15"/>
  <c r="L157" i="15"/>
  <c r="AB157" i="15" s="1"/>
  <c r="AH156" i="15"/>
  <c r="AJ156" i="15" s="1"/>
  <c r="AF156" i="15"/>
  <c r="AE156" i="15"/>
  <c r="AD156" i="15"/>
  <c r="AC156" i="15"/>
  <c r="T156" i="15"/>
  <c r="T157" i="15" s="1"/>
  <c r="T159" i="15" s="1"/>
  <c r="T161" i="15" s="1"/>
  <c r="S156" i="15"/>
  <c r="S157" i="15" s="1"/>
  <c r="S159" i="15" s="1"/>
  <c r="S161" i="15" s="1"/>
  <c r="R156" i="15"/>
  <c r="R157" i="15" s="1"/>
  <c r="R159" i="15" s="1"/>
  <c r="R161" i="15" s="1"/>
  <c r="Q156" i="15"/>
  <c r="Q157" i="15" s="1"/>
  <c r="Q159" i="15" s="1"/>
  <c r="Q161" i="15" s="1"/>
  <c r="P156" i="15"/>
  <c r="P157" i="15" s="1"/>
  <c r="P159" i="15" s="1"/>
  <c r="P161" i="15" s="1"/>
  <c r="O156" i="15"/>
  <c r="O157" i="15" s="1"/>
  <c r="O159" i="15" s="1"/>
  <c r="O161" i="15" s="1"/>
  <c r="N156" i="15"/>
  <c r="N157" i="15" s="1"/>
  <c r="N159" i="15" s="1"/>
  <c r="N161" i="15" s="1"/>
  <c r="L156" i="15"/>
  <c r="AB156" i="15" s="1"/>
  <c r="AH155" i="15"/>
  <c r="AJ155" i="15" s="1"/>
  <c r="AF155" i="15"/>
  <c r="AE155" i="15"/>
  <c r="AD155" i="15"/>
  <c r="AC155" i="15"/>
  <c r="T155" i="15"/>
  <c r="AG161" i="15" s="1"/>
  <c r="S155" i="15"/>
  <c r="AG160" i="15" s="1"/>
  <c r="R155" i="15"/>
  <c r="AG159" i="15" s="1"/>
  <c r="Q155" i="15"/>
  <c r="AG158" i="15" s="1"/>
  <c r="P155" i="15"/>
  <c r="AG157" i="15" s="1"/>
  <c r="O155" i="15"/>
  <c r="AG156" i="15" s="1"/>
  <c r="N155" i="15"/>
  <c r="AG155" i="15" s="1"/>
  <c r="L155" i="15"/>
  <c r="AB155" i="15" s="1"/>
  <c r="AK154" i="15"/>
  <c r="AJ154" i="15"/>
  <c r="AI154" i="15"/>
  <c r="AH154" i="15"/>
  <c r="AG154" i="15"/>
  <c r="AF154" i="15"/>
  <c r="AE154" i="15"/>
  <c r="AD154" i="15"/>
  <c r="AC154" i="15"/>
  <c r="AK153" i="15"/>
  <c r="AJ153" i="15"/>
  <c r="AI153" i="15"/>
  <c r="AH153" i="15"/>
  <c r="AG153" i="15"/>
  <c r="AF153" i="15"/>
  <c r="AE153" i="15"/>
  <c r="AD153" i="15"/>
  <c r="AC153" i="15"/>
  <c r="AB153" i="15"/>
  <c r="T153" i="15"/>
  <c r="T154" i="15" s="1"/>
  <c r="AI151" i="15" s="1"/>
  <c r="S153" i="15"/>
  <c r="S154" i="15" s="1"/>
  <c r="AI150" i="15" s="1"/>
  <c r="R153" i="15"/>
  <c r="R154" i="15" s="1"/>
  <c r="AI149" i="15" s="1"/>
  <c r="Q153" i="15"/>
  <c r="Q154" i="15" s="1"/>
  <c r="X145" i="15" s="1"/>
  <c r="AK148" i="15" s="1"/>
  <c r="P153" i="15"/>
  <c r="P154" i="15" s="1"/>
  <c r="AI147" i="15" s="1"/>
  <c r="O153" i="15"/>
  <c r="O154" i="15" s="1"/>
  <c r="AI146" i="15" s="1"/>
  <c r="N153" i="15"/>
  <c r="N154" i="15" s="1"/>
  <c r="AI145" i="15" s="1"/>
  <c r="AK152" i="15"/>
  <c r="AJ152" i="15"/>
  <c r="AI152" i="15"/>
  <c r="AH152" i="15"/>
  <c r="AG152" i="15"/>
  <c r="AF152" i="15"/>
  <c r="AE152" i="15"/>
  <c r="AD152" i="15"/>
  <c r="AC152" i="15"/>
  <c r="AB152" i="15"/>
  <c r="T152" i="15"/>
  <c r="S152" i="15"/>
  <c r="R152" i="15"/>
  <c r="Q152" i="15"/>
  <c r="P152" i="15"/>
  <c r="O152" i="15"/>
  <c r="N152" i="15"/>
  <c r="AH151" i="15"/>
  <c r="AJ151" i="15" s="1"/>
  <c r="AF151" i="15"/>
  <c r="AE151" i="15"/>
  <c r="AD151" i="15"/>
  <c r="AC151" i="15"/>
  <c r="L151" i="15"/>
  <c r="AB151" i="15" s="1"/>
  <c r="AH150" i="15"/>
  <c r="AJ150" i="15" s="1"/>
  <c r="AF150" i="15"/>
  <c r="AE150" i="15"/>
  <c r="AD150" i="15"/>
  <c r="AC150" i="15"/>
  <c r="T150" i="15"/>
  <c r="S150" i="15"/>
  <c r="R150" i="15"/>
  <c r="Q150" i="15"/>
  <c r="P150" i="15"/>
  <c r="O150" i="15"/>
  <c r="N150" i="15"/>
  <c r="L150" i="15"/>
  <c r="AB150" i="15" s="1"/>
  <c r="AH149" i="15"/>
  <c r="AJ149" i="15" s="1"/>
  <c r="AF149" i="15"/>
  <c r="AE149" i="15"/>
  <c r="AD149" i="15"/>
  <c r="AC149" i="15"/>
  <c r="L149" i="15"/>
  <c r="AB149" i="15" s="1"/>
  <c r="AI148" i="15"/>
  <c r="AH148" i="15"/>
  <c r="AJ148" i="15" s="1"/>
  <c r="AF148" i="15"/>
  <c r="AE148" i="15"/>
  <c r="AD148" i="15"/>
  <c r="AC148" i="15"/>
  <c r="T148" i="15"/>
  <c r="S148" i="15"/>
  <c r="R148" i="15"/>
  <c r="Q148" i="15"/>
  <c r="P148" i="15"/>
  <c r="O148" i="15"/>
  <c r="N148" i="15"/>
  <c r="L148" i="15"/>
  <c r="AB148" i="15" s="1"/>
  <c r="AH147" i="15"/>
  <c r="AJ147" i="15" s="1"/>
  <c r="AF147" i="15"/>
  <c r="AE147" i="15"/>
  <c r="AD147" i="15"/>
  <c r="AC147" i="15"/>
  <c r="L147" i="15"/>
  <c r="AB147" i="15" s="1"/>
  <c r="AH146" i="15"/>
  <c r="AJ146" i="15" s="1"/>
  <c r="AF146" i="15"/>
  <c r="AE146" i="15"/>
  <c r="AD146" i="15"/>
  <c r="AC146" i="15"/>
  <c r="T146" i="15"/>
  <c r="T147" i="15" s="1"/>
  <c r="T149" i="15" s="1"/>
  <c r="T151" i="15" s="1"/>
  <c r="S146" i="15"/>
  <c r="S147" i="15" s="1"/>
  <c r="S149" i="15" s="1"/>
  <c r="S151" i="15" s="1"/>
  <c r="R146" i="15"/>
  <c r="R147" i="15" s="1"/>
  <c r="R149" i="15" s="1"/>
  <c r="R151" i="15" s="1"/>
  <c r="Q146" i="15"/>
  <c r="Q147" i="15" s="1"/>
  <c r="Q149" i="15" s="1"/>
  <c r="Q151" i="15" s="1"/>
  <c r="P146" i="15"/>
  <c r="P147" i="15" s="1"/>
  <c r="P149" i="15" s="1"/>
  <c r="P151" i="15" s="1"/>
  <c r="O146" i="15"/>
  <c r="O147" i="15" s="1"/>
  <c r="O149" i="15" s="1"/>
  <c r="O151" i="15" s="1"/>
  <c r="N146" i="15"/>
  <c r="N147" i="15" s="1"/>
  <c r="N149" i="15" s="1"/>
  <c r="N151" i="15" s="1"/>
  <c r="L146" i="15"/>
  <c r="AB146" i="15" s="1"/>
  <c r="AH145" i="15"/>
  <c r="AJ145" i="15" s="1"/>
  <c r="AF145" i="15"/>
  <c r="AE145" i="15"/>
  <c r="AD145" i="15"/>
  <c r="AC145" i="15"/>
  <c r="Z145" i="15"/>
  <c r="AK150" i="15" s="1"/>
  <c r="T145" i="15"/>
  <c r="AG151" i="15" s="1"/>
  <c r="S145" i="15"/>
  <c r="AG150" i="15" s="1"/>
  <c r="R145" i="15"/>
  <c r="AG149" i="15" s="1"/>
  <c r="Q145" i="15"/>
  <c r="AG148" i="15" s="1"/>
  <c r="P145" i="15"/>
  <c r="AG147" i="15" s="1"/>
  <c r="O145" i="15"/>
  <c r="AG146" i="15" s="1"/>
  <c r="N145" i="15"/>
  <c r="AG145" i="15" s="1"/>
  <c r="L145" i="15"/>
  <c r="AB145" i="15" s="1"/>
  <c r="AK144" i="15"/>
  <c r="AJ144" i="15"/>
  <c r="AI144" i="15"/>
  <c r="AH144" i="15"/>
  <c r="AG144" i="15"/>
  <c r="AF144" i="15"/>
  <c r="AE144" i="15"/>
  <c r="AD144" i="15"/>
  <c r="AC144" i="15"/>
  <c r="AK143" i="15"/>
  <c r="AJ143" i="15"/>
  <c r="AI143" i="15"/>
  <c r="AH143" i="15"/>
  <c r="AG143" i="15"/>
  <c r="AF143" i="15"/>
  <c r="AE143" i="15"/>
  <c r="AD143" i="15"/>
  <c r="AC143" i="15"/>
  <c r="AB143" i="15"/>
  <c r="T143" i="15"/>
  <c r="T144" i="15" s="1"/>
  <c r="S143" i="15"/>
  <c r="S144" i="15" s="1"/>
  <c r="R143" i="15"/>
  <c r="R144" i="15" s="1"/>
  <c r="Q143" i="15"/>
  <c r="Q144" i="15" s="1"/>
  <c r="P143" i="15"/>
  <c r="P144" i="15" s="1"/>
  <c r="O143" i="15"/>
  <c r="O144" i="15" s="1"/>
  <c r="N143" i="15"/>
  <c r="N144" i="15" s="1"/>
  <c r="AK142" i="15"/>
  <c r="AJ142" i="15"/>
  <c r="AI142" i="15"/>
  <c r="AH142" i="15"/>
  <c r="AG142" i="15"/>
  <c r="AF142" i="15"/>
  <c r="AE142" i="15"/>
  <c r="AD142" i="15"/>
  <c r="AC142" i="15"/>
  <c r="AB142" i="15"/>
  <c r="T142" i="15"/>
  <c r="S142" i="15"/>
  <c r="R142" i="15"/>
  <c r="Q142" i="15"/>
  <c r="P142" i="15"/>
  <c r="O142" i="15"/>
  <c r="N142" i="15"/>
  <c r="AH141" i="15"/>
  <c r="AJ141" i="15" s="1"/>
  <c r="AF141" i="15"/>
  <c r="AE141" i="15"/>
  <c r="AD141" i="15"/>
  <c r="AC141" i="15"/>
  <c r="L141" i="15"/>
  <c r="AB141" i="15" s="1"/>
  <c r="AH140" i="15"/>
  <c r="AJ140" i="15" s="1"/>
  <c r="AF140" i="15"/>
  <c r="AE140" i="15"/>
  <c r="AD140" i="15"/>
  <c r="AC140" i="15"/>
  <c r="T140" i="15"/>
  <c r="S140" i="15"/>
  <c r="R140" i="15"/>
  <c r="Q140" i="15"/>
  <c r="P140" i="15"/>
  <c r="O140" i="15"/>
  <c r="N140" i="15"/>
  <c r="L140" i="15"/>
  <c r="AB140" i="15" s="1"/>
  <c r="AH139" i="15"/>
  <c r="AJ139" i="15" s="1"/>
  <c r="AF139" i="15"/>
  <c r="AE139" i="15"/>
  <c r="AD139" i="15"/>
  <c r="AC139" i="15"/>
  <c r="L139" i="15"/>
  <c r="AB139" i="15" s="1"/>
  <c r="AH138" i="15"/>
  <c r="AJ138" i="15" s="1"/>
  <c r="AF138" i="15"/>
  <c r="AE138" i="15"/>
  <c r="AD138" i="15"/>
  <c r="AC138" i="15"/>
  <c r="T138" i="15"/>
  <c r="S138" i="15"/>
  <c r="R138" i="15"/>
  <c r="Q138" i="15"/>
  <c r="P138" i="15"/>
  <c r="O138" i="15"/>
  <c r="N138" i="15"/>
  <c r="L138" i="15"/>
  <c r="AB138" i="15" s="1"/>
  <c r="AH137" i="15"/>
  <c r="AJ137" i="15" s="1"/>
  <c r="AF137" i="15"/>
  <c r="AE137" i="15"/>
  <c r="AD137" i="15"/>
  <c r="AC137" i="15"/>
  <c r="L137" i="15"/>
  <c r="AB137" i="15" s="1"/>
  <c r="AH136" i="15"/>
  <c r="AJ136" i="15" s="1"/>
  <c r="AF136" i="15"/>
  <c r="AE136" i="15"/>
  <c r="AD136" i="15"/>
  <c r="AC136" i="15"/>
  <c r="T136" i="15"/>
  <c r="T137" i="15" s="1"/>
  <c r="T139" i="15" s="1"/>
  <c r="T141" i="15" s="1"/>
  <c r="S136" i="15"/>
  <c r="S137" i="15" s="1"/>
  <c r="S139" i="15" s="1"/>
  <c r="S141" i="15" s="1"/>
  <c r="R136" i="15"/>
  <c r="R137" i="15" s="1"/>
  <c r="R139" i="15" s="1"/>
  <c r="R141" i="15" s="1"/>
  <c r="Q136" i="15"/>
  <c r="Q137" i="15" s="1"/>
  <c r="Q139" i="15" s="1"/>
  <c r="Q141" i="15" s="1"/>
  <c r="P136" i="15"/>
  <c r="P137" i="15" s="1"/>
  <c r="P139" i="15" s="1"/>
  <c r="P141" i="15" s="1"/>
  <c r="O136" i="15"/>
  <c r="O137" i="15" s="1"/>
  <c r="O139" i="15" s="1"/>
  <c r="O141" i="15" s="1"/>
  <c r="N136" i="15"/>
  <c r="N137" i="15" s="1"/>
  <c r="N139" i="15" s="1"/>
  <c r="N141" i="15" s="1"/>
  <c r="L136" i="15"/>
  <c r="AB136" i="15" s="1"/>
  <c r="AH135" i="15"/>
  <c r="AJ135" i="15" s="1"/>
  <c r="AF135" i="15"/>
  <c r="AE135" i="15"/>
  <c r="AD135" i="15"/>
  <c r="AC135" i="15"/>
  <c r="T135" i="15"/>
  <c r="AG141" i="15" s="1"/>
  <c r="S135" i="15"/>
  <c r="AG140" i="15" s="1"/>
  <c r="R135" i="15"/>
  <c r="AG139" i="15" s="1"/>
  <c r="Q135" i="15"/>
  <c r="AG138" i="15" s="1"/>
  <c r="P135" i="15"/>
  <c r="AG137" i="15" s="1"/>
  <c r="O135" i="15"/>
  <c r="AG136" i="15" s="1"/>
  <c r="N135" i="15"/>
  <c r="AG135" i="15" s="1"/>
  <c r="L135" i="15"/>
  <c r="AB135" i="15" s="1"/>
  <c r="AK134" i="15"/>
  <c r="AJ134" i="15"/>
  <c r="AI134" i="15"/>
  <c r="AH134" i="15"/>
  <c r="AG134" i="15"/>
  <c r="AF134" i="15"/>
  <c r="AE134" i="15"/>
  <c r="AD134" i="15"/>
  <c r="AC134" i="15"/>
  <c r="AK133" i="15"/>
  <c r="AJ133" i="15"/>
  <c r="AI133" i="15"/>
  <c r="AH133" i="15"/>
  <c r="AG133" i="15"/>
  <c r="AF133" i="15"/>
  <c r="AE133" i="15"/>
  <c r="AD133" i="15"/>
  <c r="AC133" i="15"/>
  <c r="AB133" i="15"/>
  <c r="T133" i="15"/>
  <c r="T134" i="15" s="1"/>
  <c r="AI131" i="15" s="1"/>
  <c r="S133" i="15"/>
  <c r="S134" i="15" s="1"/>
  <c r="AI130" i="15" s="1"/>
  <c r="R133" i="15"/>
  <c r="R134" i="15" s="1"/>
  <c r="AI129" i="15" s="1"/>
  <c r="Q133" i="15"/>
  <c r="Q134" i="15" s="1"/>
  <c r="AI128" i="15" s="1"/>
  <c r="P133" i="15"/>
  <c r="P134" i="15" s="1"/>
  <c r="AI127" i="15" s="1"/>
  <c r="O133" i="15"/>
  <c r="O134" i="15" s="1"/>
  <c r="AI126" i="15" s="1"/>
  <c r="N133" i="15"/>
  <c r="N134" i="15" s="1"/>
  <c r="AI125" i="15" s="1"/>
  <c r="AK132" i="15"/>
  <c r="AJ132" i="15"/>
  <c r="AI132" i="15"/>
  <c r="AH132" i="15"/>
  <c r="AG132" i="15"/>
  <c r="AF132" i="15"/>
  <c r="AE132" i="15"/>
  <c r="AD132" i="15"/>
  <c r="AC132" i="15"/>
  <c r="AB132" i="15"/>
  <c r="T132" i="15"/>
  <c r="S132" i="15"/>
  <c r="R132" i="15"/>
  <c r="Q132" i="15"/>
  <c r="P132" i="15"/>
  <c r="O132" i="15"/>
  <c r="N132" i="15"/>
  <c r="AH131" i="15"/>
  <c r="AJ131" i="15" s="1"/>
  <c r="AF131" i="15"/>
  <c r="AE131" i="15"/>
  <c r="AD131" i="15"/>
  <c r="AC131" i="15"/>
  <c r="L131" i="15"/>
  <c r="AB131" i="15" s="1"/>
  <c r="AH130" i="15"/>
  <c r="AJ130" i="15" s="1"/>
  <c r="AF130" i="15"/>
  <c r="AE130" i="15"/>
  <c r="AD130" i="15"/>
  <c r="AC130" i="15"/>
  <c r="T130" i="15"/>
  <c r="S130" i="15"/>
  <c r="R130" i="15"/>
  <c r="Q130" i="15"/>
  <c r="P130" i="15"/>
  <c r="O130" i="15"/>
  <c r="N130" i="15"/>
  <c r="L130" i="15"/>
  <c r="AB130" i="15" s="1"/>
  <c r="AH129" i="15"/>
  <c r="AJ129" i="15" s="1"/>
  <c r="AF129" i="15"/>
  <c r="AE129" i="15"/>
  <c r="AD129" i="15"/>
  <c r="AC129" i="15"/>
  <c r="L129" i="15"/>
  <c r="AB129" i="15" s="1"/>
  <c r="AH128" i="15"/>
  <c r="AJ128" i="15" s="1"/>
  <c r="AF128" i="15"/>
  <c r="AE128" i="15"/>
  <c r="AD128" i="15"/>
  <c r="AC128" i="15"/>
  <c r="T128" i="15"/>
  <c r="S128" i="15"/>
  <c r="R128" i="15"/>
  <c r="Q128" i="15"/>
  <c r="P128" i="15"/>
  <c r="O128" i="15"/>
  <c r="N128" i="15"/>
  <c r="L128" i="15"/>
  <c r="AB128" i="15" s="1"/>
  <c r="AH127" i="15"/>
  <c r="AJ127" i="15" s="1"/>
  <c r="AF127" i="15"/>
  <c r="AE127" i="15"/>
  <c r="AD127" i="15"/>
  <c r="AC127" i="15"/>
  <c r="L127" i="15"/>
  <c r="AB127" i="15" s="1"/>
  <c r="AH126" i="15"/>
  <c r="AJ126" i="15" s="1"/>
  <c r="AF126" i="15"/>
  <c r="AE126" i="15"/>
  <c r="AD126" i="15"/>
  <c r="AC126" i="15"/>
  <c r="T126" i="15"/>
  <c r="T127" i="15" s="1"/>
  <c r="T129" i="15" s="1"/>
  <c r="T131" i="15" s="1"/>
  <c r="S126" i="15"/>
  <c r="S127" i="15" s="1"/>
  <c r="S129" i="15" s="1"/>
  <c r="S131" i="15" s="1"/>
  <c r="R126" i="15"/>
  <c r="R127" i="15" s="1"/>
  <c r="R129" i="15" s="1"/>
  <c r="R131" i="15" s="1"/>
  <c r="Q126" i="15"/>
  <c r="Q127" i="15" s="1"/>
  <c r="Q129" i="15" s="1"/>
  <c r="Q131" i="15" s="1"/>
  <c r="P126" i="15"/>
  <c r="P127" i="15" s="1"/>
  <c r="P129" i="15" s="1"/>
  <c r="P131" i="15" s="1"/>
  <c r="O126" i="15"/>
  <c r="O127" i="15" s="1"/>
  <c r="O129" i="15" s="1"/>
  <c r="O131" i="15" s="1"/>
  <c r="N126" i="15"/>
  <c r="N127" i="15" s="1"/>
  <c r="N129" i="15" s="1"/>
  <c r="N131" i="15" s="1"/>
  <c r="L126" i="15"/>
  <c r="AB126" i="15" s="1"/>
  <c r="AH125" i="15"/>
  <c r="AJ125" i="15" s="1"/>
  <c r="AF125" i="15"/>
  <c r="AE125" i="15"/>
  <c r="AD125" i="15"/>
  <c r="AC125" i="15"/>
  <c r="T125" i="15"/>
  <c r="AG131" i="15" s="1"/>
  <c r="S125" i="15"/>
  <c r="AG130" i="15" s="1"/>
  <c r="R125" i="15"/>
  <c r="AG129" i="15" s="1"/>
  <c r="Q125" i="15"/>
  <c r="AG128" i="15" s="1"/>
  <c r="P125" i="15"/>
  <c r="AG127" i="15" s="1"/>
  <c r="O125" i="15"/>
  <c r="AG126" i="15" s="1"/>
  <c r="N125" i="15"/>
  <c r="AG125" i="15" s="1"/>
  <c r="L125" i="15"/>
  <c r="AB125" i="15" s="1"/>
  <c r="AK124" i="15"/>
  <c r="AJ124" i="15"/>
  <c r="AI124" i="15"/>
  <c r="AH124" i="15"/>
  <c r="AG124" i="15"/>
  <c r="AF124" i="15"/>
  <c r="AE124" i="15"/>
  <c r="AD124" i="15"/>
  <c r="AC124" i="15"/>
  <c r="AK123" i="15"/>
  <c r="AJ123" i="15"/>
  <c r="AI123" i="15"/>
  <c r="AH123" i="15"/>
  <c r="AG123" i="15"/>
  <c r="AF123" i="15"/>
  <c r="AE123" i="15"/>
  <c r="AD123" i="15"/>
  <c r="AC123" i="15"/>
  <c r="AB123" i="15"/>
  <c r="T123" i="15"/>
  <c r="T124" i="15" s="1"/>
  <c r="S123" i="15"/>
  <c r="S124" i="15" s="1"/>
  <c r="R123" i="15"/>
  <c r="R124" i="15" s="1"/>
  <c r="Q123" i="15"/>
  <c r="Q124" i="15" s="1"/>
  <c r="P123" i="15"/>
  <c r="P124" i="15" s="1"/>
  <c r="O123" i="15"/>
  <c r="O124" i="15" s="1"/>
  <c r="N123" i="15"/>
  <c r="N124" i="15" s="1"/>
  <c r="AK122" i="15"/>
  <c r="AJ122" i="15"/>
  <c r="AI122" i="15"/>
  <c r="AH122" i="15"/>
  <c r="AG122" i="15"/>
  <c r="AF122" i="15"/>
  <c r="AE122" i="15"/>
  <c r="AD122" i="15"/>
  <c r="AC122" i="15"/>
  <c r="AB122" i="15"/>
  <c r="T122" i="15"/>
  <c r="S122" i="15"/>
  <c r="R122" i="15"/>
  <c r="Q122" i="15"/>
  <c r="P122" i="15"/>
  <c r="O122" i="15"/>
  <c r="N122" i="15"/>
  <c r="AH121" i="15"/>
  <c r="AJ121" i="15" s="1"/>
  <c r="AF121" i="15"/>
  <c r="AE121" i="15"/>
  <c r="AD121" i="15"/>
  <c r="AC121" i="15"/>
  <c r="L121" i="15"/>
  <c r="AB121" i="15" s="1"/>
  <c r="AH120" i="15"/>
  <c r="AJ120" i="15" s="1"/>
  <c r="AF120" i="15"/>
  <c r="AE120" i="15"/>
  <c r="AD120" i="15"/>
  <c r="AC120" i="15"/>
  <c r="T120" i="15"/>
  <c r="S120" i="15"/>
  <c r="R120" i="15"/>
  <c r="Q120" i="15"/>
  <c r="P120" i="15"/>
  <c r="O120" i="15"/>
  <c r="N120" i="15"/>
  <c r="L120" i="15"/>
  <c r="AB120" i="15" s="1"/>
  <c r="AH119" i="15"/>
  <c r="AJ119" i="15" s="1"/>
  <c r="AF119" i="15"/>
  <c r="AE119" i="15"/>
  <c r="AD119" i="15"/>
  <c r="AC119" i="15"/>
  <c r="L119" i="15"/>
  <c r="AB119" i="15" s="1"/>
  <c r="AH118" i="15"/>
  <c r="AJ118" i="15" s="1"/>
  <c r="AF118" i="15"/>
  <c r="AE118" i="15"/>
  <c r="AD118" i="15"/>
  <c r="AC118" i="15"/>
  <c r="T118" i="15"/>
  <c r="S118" i="15"/>
  <c r="R118" i="15"/>
  <c r="Q118" i="15"/>
  <c r="P118" i="15"/>
  <c r="O118" i="15"/>
  <c r="N118" i="15"/>
  <c r="L118" i="15"/>
  <c r="AB118" i="15" s="1"/>
  <c r="AH117" i="15"/>
  <c r="AJ117" i="15" s="1"/>
  <c r="AF117" i="15"/>
  <c r="AE117" i="15"/>
  <c r="AD117" i="15"/>
  <c r="AC117" i="15"/>
  <c r="L117" i="15"/>
  <c r="AB117" i="15" s="1"/>
  <c r="AH116" i="15"/>
  <c r="AJ116" i="15" s="1"/>
  <c r="AF116" i="15"/>
  <c r="AE116" i="15"/>
  <c r="AD116" i="15"/>
  <c r="AC116" i="15"/>
  <c r="T116" i="15"/>
  <c r="T117" i="15" s="1"/>
  <c r="T119" i="15" s="1"/>
  <c r="T121" i="15" s="1"/>
  <c r="S116" i="15"/>
  <c r="S117" i="15" s="1"/>
  <c r="S119" i="15" s="1"/>
  <c r="S121" i="15" s="1"/>
  <c r="R116" i="15"/>
  <c r="R117" i="15" s="1"/>
  <c r="R119" i="15" s="1"/>
  <c r="R121" i="15" s="1"/>
  <c r="Q116" i="15"/>
  <c r="Q117" i="15" s="1"/>
  <c r="Q119" i="15" s="1"/>
  <c r="Q121" i="15" s="1"/>
  <c r="P116" i="15"/>
  <c r="P117" i="15" s="1"/>
  <c r="P119" i="15" s="1"/>
  <c r="P121" i="15" s="1"/>
  <c r="O116" i="15"/>
  <c r="O117" i="15" s="1"/>
  <c r="O119" i="15" s="1"/>
  <c r="O121" i="15" s="1"/>
  <c r="N116" i="15"/>
  <c r="N117" i="15" s="1"/>
  <c r="N119" i="15" s="1"/>
  <c r="N121" i="15" s="1"/>
  <c r="L116" i="15"/>
  <c r="AB116" i="15" s="1"/>
  <c r="AH115" i="15"/>
  <c r="AJ115" i="15" s="1"/>
  <c r="AF115" i="15"/>
  <c r="AE115" i="15"/>
  <c r="AD115" i="15"/>
  <c r="AC115" i="15"/>
  <c r="T115" i="15"/>
  <c r="AG121" i="15" s="1"/>
  <c r="S115" i="15"/>
  <c r="AG120" i="15" s="1"/>
  <c r="R115" i="15"/>
  <c r="AG119" i="15" s="1"/>
  <c r="Q115" i="15"/>
  <c r="AG118" i="15" s="1"/>
  <c r="P115" i="15"/>
  <c r="AG117" i="15" s="1"/>
  <c r="O115" i="15"/>
  <c r="AG116" i="15" s="1"/>
  <c r="N115" i="15"/>
  <c r="AG115" i="15" s="1"/>
  <c r="L115" i="15"/>
  <c r="AB115" i="15" s="1"/>
  <c r="AK114" i="15"/>
  <c r="AJ114" i="15"/>
  <c r="AI114" i="15"/>
  <c r="AH114" i="15"/>
  <c r="AG114" i="15"/>
  <c r="AF114" i="15"/>
  <c r="AE114" i="15"/>
  <c r="AD114" i="15"/>
  <c r="AC114" i="15"/>
  <c r="AK113" i="15"/>
  <c r="AJ113" i="15"/>
  <c r="AI113" i="15"/>
  <c r="AH113" i="15"/>
  <c r="AG113" i="15"/>
  <c r="AF113" i="15"/>
  <c r="AE113" i="15"/>
  <c r="AD113" i="15"/>
  <c r="AC113" i="15"/>
  <c r="AB113" i="15"/>
  <c r="T113" i="15"/>
  <c r="T114" i="15" s="1"/>
  <c r="S113" i="15"/>
  <c r="S114" i="15" s="1"/>
  <c r="R113" i="15"/>
  <c r="R114" i="15" s="1"/>
  <c r="Q113" i="15"/>
  <c r="Q114" i="15" s="1"/>
  <c r="P113" i="15"/>
  <c r="P114" i="15" s="1"/>
  <c r="O113" i="15"/>
  <c r="O114" i="15" s="1"/>
  <c r="N113" i="15"/>
  <c r="N114" i="15" s="1"/>
  <c r="AK112" i="15"/>
  <c r="AJ112" i="15"/>
  <c r="AI112" i="15"/>
  <c r="AH112" i="15"/>
  <c r="AG112" i="15"/>
  <c r="AF112" i="15"/>
  <c r="AE112" i="15"/>
  <c r="AD112" i="15"/>
  <c r="AC112" i="15"/>
  <c r="AB112" i="15"/>
  <c r="T112" i="15"/>
  <c r="S112" i="15"/>
  <c r="R112" i="15"/>
  <c r="Q112" i="15"/>
  <c r="P112" i="15"/>
  <c r="O112" i="15"/>
  <c r="N112" i="15"/>
  <c r="AH111" i="15"/>
  <c r="AJ111" i="15" s="1"/>
  <c r="AF111" i="15"/>
  <c r="AE111" i="15"/>
  <c r="AD111" i="15"/>
  <c r="AC111" i="15"/>
  <c r="L111" i="15"/>
  <c r="AB111" i="15" s="1"/>
  <c r="AH110" i="15"/>
  <c r="AJ110" i="15" s="1"/>
  <c r="AF110" i="15"/>
  <c r="AE110" i="15"/>
  <c r="AD110" i="15"/>
  <c r="AC110" i="15"/>
  <c r="T110" i="15"/>
  <c r="S110" i="15"/>
  <c r="R110" i="15"/>
  <c r="Q110" i="15"/>
  <c r="P110" i="15"/>
  <c r="O110" i="15"/>
  <c r="N110" i="15"/>
  <c r="L110" i="15"/>
  <c r="AB110" i="15" s="1"/>
  <c r="AH109" i="15"/>
  <c r="AJ109" i="15" s="1"/>
  <c r="AF109" i="15"/>
  <c r="AE109" i="15"/>
  <c r="AD109" i="15"/>
  <c r="AC109" i="15"/>
  <c r="L109" i="15"/>
  <c r="AB109" i="15" s="1"/>
  <c r="AH108" i="15"/>
  <c r="AJ108" i="15" s="1"/>
  <c r="AF108" i="15"/>
  <c r="AE108" i="15"/>
  <c r="AD108" i="15"/>
  <c r="AC108" i="15"/>
  <c r="T108" i="15"/>
  <c r="S108" i="15"/>
  <c r="R108" i="15"/>
  <c r="Q108" i="15"/>
  <c r="P108" i="15"/>
  <c r="O108" i="15"/>
  <c r="N108" i="15"/>
  <c r="L108" i="15"/>
  <c r="AB108" i="15" s="1"/>
  <c r="AH107" i="15"/>
  <c r="AJ107" i="15" s="1"/>
  <c r="AF107" i="15"/>
  <c r="AE107" i="15"/>
  <c r="AD107" i="15"/>
  <c r="AC107" i="15"/>
  <c r="L107" i="15"/>
  <c r="AB107" i="15" s="1"/>
  <c r="AH106" i="15"/>
  <c r="AJ106" i="15" s="1"/>
  <c r="AF106" i="15"/>
  <c r="AE106" i="15"/>
  <c r="AD106" i="15"/>
  <c r="AC106" i="15"/>
  <c r="T106" i="15"/>
  <c r="T107" i="15" s="1"/>
  <c r="T109" i="15" s="1"/>
  <c r="T111" i="15" s="1"/>
  <c r="S106" i="15"/>
  <c r="S107" i="15" s="1"/>
  <c r="S109" i="15" s="1"/>
  <c r="S111" i="15" s="1"/>
  <c r="R106" i="15"/>
  <c r="R107" i="15" s="1"/>
  <c r="R109" i="15" s="1"/>
  <c r="R111" i="15" s="1"/>
  <c r="Q106" i="15"/>
  <c r="Q107" i="15" s="1"/>
  <c r="Q109" i="15" s="1"/>
  <c r="Q111" i="15" s="1"/>
  <c r="P106" i="15"/>
  <c r="P107" i="15" s="1"/>
  <c r="P109" i="15" s="1"/>
  <c r="P111" i="15" s="1"/>
  <c r="O106" i="15"/>
  <c r="O107" i="15" s="1"/>
  <c r="O109" i="15" s="1"/>
  <c r="O111" i="15" s="1"/>
  <c r="N106" i="15"/>
  <c r="N107" i="15" s="1"/>
  <c r="N109" i="15" s="1"/>
  <c r="N111" i="15" s="1"/>
  <c r="L106" i="15"/>
  <c r="AB106" i="15" s="1"/>
  <c r="AH105" i="15"/>
  <c r="AJ105" i="15" s="1"/>
  <c r="AF105" i="15"/>
  <c r="AE105" i="15"/>
  <c r="AD105" i="15"/>
  <c r="AC105" i="15"/>
  <c r="T105" i="15"/>
  <c r="AG111" i="15" s="1"/>
  <c r="S105" i="15"/>
  <c r="AG110" i="15" s="1"/>
  <c r="R105" i="15"/>
  <c r="AG109" i="15" s="1"/>
  <c r="Q105" i="15"/>
  <c r="AG108" i="15" s="1"/>
  <c r="P105" i="15"/>
  <c r="AG107" i="15" s="1"/>
  <c r="O105" i="15"/>
  <c r="AG106" i="15" s="1"/>
  <c r="N105" i="15"/>
  <c r="AG105" i="15" s="1"/>
  <c r="L105" i="15"/>
  <c r="AB105" i="15" s="1"/>
  <c r="AK104" i="15"/>
  <c r="AJ104" i="15"/>
  <c r="AI104" i="15"/>
  <c r="AH104" i="15"/>
  <c r="AG104" i="15"/>
  <c r="AF104" i="15"/>
  <c r="AE104" i="15"/>
  <c r="AD104" i="15"/>
  <c r="AC104" i="15"/>
  <c r="AK103" i="15"/>
  <c r="AJ103" i="15"/>
  <c r="AI103" i="15"/>
  <c r="AH103" i="15"/>
  <c r="AG103" i="15"/>
  <c r="AF103" i="15"/>
  <c r="AE103" i="15"/>
  <c r="AD103" i="15"/>
  <c r="AC103" i="15"/>
  <c r="AB103" i="15"/>
  <c r="T103" i="15"/>
  <c r="T104" i="15" s="1"/>
  <c r="AI101" i="15" s="1"/>
  <c r="S103" i="15"/>
  <c r="S104" i="15" s="1"/>
  <c r="AI100" i="15" s="1"/>
  <c r="R103" i="15"/>
  <c r="R104" i="15" s="1"/>
  <c r="Y95" i="15" s="1"/>
  <c r="AK99" i="15" s="1"/>
  <c r="Q103" i="15"/>
  <c r="Q104" i="15" s="1"/>
  <c r="X95" i="15" s="1"/>
  <c r="AK98" i="15" s="1"/>
  <c r="P103" i="15"/>
  <c r="P104" i="15" s="1"/>
  <c r="AI97" i="15" s="1"/>
  <c r="O103" i="15"/>
  <c r="O104" i="15" s="1"/>
  <c r="V95" i="15" s="1"/>
  <c r="AK96" i="15" s="1"/>
  <c r="N103" i="15"/>
  <c r="N104" i="15" s="1"/>
  <c r="AI95" i="15" s="1"/>
  <c r="AK102" i="15"/>
  <c r="AJ102" i="15"/>
  <c r="AI102" i="15"/>
  <c r="AH102" i="15"/>
  <c r="AG102" i="15"/>
  <c r="AF102" i="15"/>
  <c r="AE102" i="15"/>
  <c r="AD102" i="15"/>
  <c r="AC102" i="15"/>
  <c r="AB102" i="15"/>
  <c r="T102" i="15"/>
  <c r="S102" i="15"/>
  <c r="R102" i="15"/>
  <c r="Q102" i="15"/>
  <c r="P102" i="15"/>
  <c r="O102" i="15"/>
  <c r="N102" i="15"/>
  <c r="AH101" i="15"/>
  <c r="AJ101" i="15" s="1"/>
  <c r="AF101" i="15"/>
  <c r="AE101" i="15"/>
  <c r="AD101" i="15"/>
  <c r="AC101" i="15"/>
  <c r="L101" i="15"/>
  <c r="AB101" i="15" s="1"/>
  <c r="AH100" i="15"/>
  <c r="AJ100" i="15" s="1"/>
  <c r="AF100" i="15"/>
  <c r="AE100" i="15"/>
  <c r="AD100" i="15"/>
  <c r="AC100" i="15"/>
  <c r="T100" i="15"/>
  <c r="S100" i="15"/>
  <c r="R100" i="15"/>
  <c r="Q100" i="15"/>
  <c r="P100" i="15"/>
  <c r="O100" i="15"/>
  <c r="N100" i="15"/>
  <c r="L100" i="15"/>
  <c r="AB100" i="15" s="1"/>
  <c r="AH99" i="15"/>
  <c r="AJ99" i="15" s="1"/>
  <c r="AF99" i="15"/>
  <c r="AE99" i="15"/>
  <c r="AD99" i="15"/>
  <c r="AC99" i="15"/>
  <c r="L99" i="15"/>
  <c r="AB99" i="15" s="1"/>
  <c r="AI98" i="15"/>
  <c r="AH98" i="15"/>
  <c r="AJ98" i="15" s="1"/>
  <c r="AF98" i="15"/>
  <c r="AE98" i="15"/>
  <c r="AD98" i="15"/>
  <c r="AC98" i="15"/>
  <c r="T98" i="15"/>
  <c r="S98" i="15"/>
  <c r="R98" i="15"/>
  <c r="Q98" i="15"/>
  <c r="P98" i="15"/>
  <c r="O98" i="15"/>
  <c r="N98" i="15"/>
  <c r="L98" i="15"/>
  <c r="AB98" i="15" s="1"/>
  <c r="AH97" i="15"/>
  <c r="AJ97" i="15" s="1"/>
  <c r="AF97" i="15"/>
  <c r="AE97" i="15"/>
  <c r="AD97" i="15"/>
  <c r="AC97" i="15"/>
  <c r="L97" i="15"/>
  <c r="AB97" i="15" s="1"/>
  <c r="AI96" i="15"/>
  <c r="AH96" i="15"/>
  <c r="AJ96" i="15" s="1"/>
  <c r="AF96" i="15"/>
  <c r="AE96" i="15"/>
  <c r="AD96" i="15"/>
  <c r="AC96" i="15"/>
  <c r="T96" i="15"/>
  <c r="T97" i="15" s="1"/>
  <c r="T99" i="15" s="1"/>
  <c r="T101" i="15" s="1"/>
  <c r="S96" i="15"/>
  <c r="S97" i="15" s="1"/>
  <c r="S99" i="15" s="1"/>
  <c r="S101" i="15" s="1"/>
  <c r="R96" i="15"/>
  <c r="R97" i="15" s="1"/>
  <c r="R99" i="15" s="1"/>
  <c r="R101" i="15" s="1"/>
  <c r="Q96" i="15"/>
  <c r="Q97" i="15" s="1"/>
  <c r="Q99" i="15" s="1"/>
  <c r="Q101" i="15" s="1"/>
  <c r="P96" i="15"/>
  <c r="P97" i="15" s="1"/>
  <c r="P99" i="15" s="1"/>
  <c r="P101" i="15" s="1"/>
  <c r="O96" i="15"/>
  <c r="O97" i="15" s="1"/>
  <c r="O99" i="15" s="1"/>
  <c r="O101" i="15" s="1"/>
  <c r="N96" i="15"/>
  <c r="N97" i="15" s="1"/>
  <c r="N99" i="15" s="1"/>
  <c r="N101" i="15" s="1"/>
  <c r="L96" i="15"/>
  <c r="AB96" i="15" s="1"/>
  <c r="AH95" i="15"/>
  <c r="AJ95" i="15" s="1"/>
  <c r="AF95" i="15"/>
  <c r="AE95" i="15"/>
  <c r="AD95" i="15"/>
  <c r="AC95" i="15"/>
  <c r="T95" i="15"/>
  <c r="AG101" i="15" s="1"/>
  <c r="S95" i="15"/>
  <c r="AG100" i="15" s="1"/>
  <c r="R95" i="15"/>
  <c r="AG99" i="15" s="1"/>
  <c r="Q95" i="15"/>
  <c r="AG98" i="15" s="1"/>
  <c r="P95" i="15"/>
  <c r="AG97" i="15" s="1"/>
  <c r="O95" i="15"/>
  <c r="AG96" i="15" s="1"/>
  <c r="N95" i="15"/>
  <c r="AG95" i="15" s="1"/>
  <c r="L95" i="15"/>
  <c r="AB95" i="15" s="1"/>
  <c r="AK94" i="15"/>
  <c r="AJ94" i="15"/>
  <c r="AI94" i="15"/>
  <c r="AH94" i="15"/>
  <c r="AG94" i="15"/>
  <c r="AF94" i="15"/>
  <c r="AE94" i="15"/>
  <c r="AD94" i="15"/>
  <c r="AC94" i="15"/>
  <c r="AK93" i="15"/>
  <c r="AJ93" i="15"/>
  <c r="AI93" i="15"/>
  <c r="AH93" i="15"/>
  <c r="AG93" i="15"/>
  <c r="AF93" i="15"/>
  <c r="AE93" i="15"/>
  <c r="AD93" i="15"/>
  <c r="AC93" i="15"/>
  <c r="AB93" i="15"/>
  <c r="T93" i="15"/>
  <c r="T94" i="15" s="1"/>
  <c r="S93" i="15"/>
  <c r="S94" i="15" s="1"/>
  <c r="R93" i="15"/>
  <c r="R94" i="15" s="1"/>
  <c r="Q93" i="15"/>
  <c r="Q94" i="15" s="1"/>
  <c r="P93" i="15"/>
  <c r="P94" i="15" s="1"/>
  <c r="O93" i="15"/>
  <c r="O94" i="15" s="1"/>
  <c r="N93" i="15"/>
  <c r="N94" i="15" s="1"/>
  <c r="AK92" i="15"/>
  <c r="AJ92" i="15"/>
  <c r="AI92" i="15"/>
  <c r="AH92" i="15"/>
  <c r="AG92" i="15"/>
  <c r="AF92" i="15"/>
  <c r="AE92" i="15"/>
  <c r="AD92" i="15"/>
  <c r="AC92" i="15"/>
  <c r="AB92" i="15"/>
  <c r="T92" i="15"/>
  <c r="S92" i="15"/>
  <c r="R92" i="15"/>
  <c r="Q92" i="15"/>
  <c r="P92" i="15"/>
  <c r="O92" i="15"/>
  <c r="N92" i="15"/>
  <c r="AH91" i="15"/>
  <c r="AJ91" i="15" s="1"/>
  <c r="AF91" i="15"/>
  <c r="AE91" i="15"/>
  <c r="AD91" i="15"/>
  <c r="AC91" i="15"/>
  <c r="L91" i="15"/>
  <c r="AB91" i="15" s="1"/>
  <c r="AH90" i="15"/>
  <c r="AJ90" i="15" s="1"/>
  <c r="AF90" i="15"/>
  <c r="AE90" i="15"/>
  <c r="AD90" i="15"/>
  <c r="AC90" i="15"/>
  <c r="T90" i="15"/>
  <c r="S90" i="15"/>
  <c r="R90" i="15"/>
  <c r="Q90" i="15"/>
  <c r="P90" i="15"/>
  <c r="O90" i="15"/>
  <c r="N90" i="15"/>
  <c r="L90" i="15"/>
  <c r="AB90" i="15" s="1"/>
  <c r="AH89" i="15"/>
  <c r="AJ89" i="15" s="1"/>
  <c r="AF89" i="15"/>
  <c r="AE89" i="15"/>
  <c r="AD89" i="15"/>
  <c r="AC89" i="15"/>
  <c r="L89" i="15"/>
  <c r="AB89" i="15" s="1"/>
  <c r="AH88" i="15"/>
  <c r="AJ88" i="15" s="1"/>
  <c r="AF88" i="15"/>
  <c r="AE88" i="15"/>
  <c r="AD88" i="15"/>
  <c r="AC88" i="15"/>
  <c r="T88" i="15"/>
  <c r="S88" i="15"/>
  <c r="R88" i="15"/>
  <c r="Q88" i="15"/>
  <c r="P88" i="15"/>
  <c r="O88" i="15"/>
  <c r="N88" i="15"/>
  <c r="L88" i="15"/>
  <c r="AB88" i="15" s="1"/>
  <c r="AH87" i="15"/>
  <c r="AJ87" i="15" s="1"/>
  <c r="AF87" i="15"/>
  <c r="AE87" i="15"/>
  <c r="AD87" i="15"/>
  <c r="AC87" i="15"/>
  <c r="L87" i="15"/>
  <c r="AB87" i="15" s="1"/>
  <c r="AH86" i="15"/>
  <c r="AJ86" i="15" s="1"/>
  <c r="AF86" i="15"/>
  <c r="AE86" i="15"/>
  <c r="AD86" i="15"/>
  <c r="AC86" i="15"/>
  <c r="T86" i="15"/>
  <c r="T87" i="15" s="1"/>
  <c r="T89" i="15" s="1"/>
  <c r="T91" i="15" s="1"/>
  <c r="S86" i="15"/>
  <c r="S87" i="15" s="1"/>
  <c r="S89" i="15" s="1"/>
  <c r="S91" i="15" s="1"/>
  <c r="R86" i="15"/>
  <c r="R87" i="15" s="1"/>
  <c r="R89" i="15" s="1"/>
  <c r="R91" i="15" s="1"/>
  <c r="Q86" i="15"/>
  <c r="Q87" i="15" s="1"/>
  <c r="Q89" i="15" s="1"/>
  <c r="Q91" i="15" s="1"/>
  <c r="P86" i="15"/>
  <c r="P87" i="15" s="1"/>
  <c r="P89" i="15" s="1"/>
  <c r="P91" i="15" s="1"/>
  <c r="O86" i="15"/>
  <c r="O87" i="15" s="1"/>
  <c r="O89" i="15" s="1"/>
  <c r="O91" i="15" s="1"/>
  <c r="N86" i="15"/>
  <c r="N87" i="15" s="1"/>
  <c r="L86" i="15"/>
  <c r="AB86" i="15" s="1"/>
  <c r="AH85" i="15"/>
  <c r="AJ85" i="15" s="1"/>
  <c r="AF85" i="15"/>
  <c r="AE85" i="15"/>
  <c r="AD85" i="15"/>
  <c r="AC85" i="15"/>
  <c r="T85" i="15"/>
  <c r="AG91" i="15" s="1"/>
  <c r="S85" i="15"/>
  <c r="AG90" i="15" s="1"/>
  <c r="R85" i="15"/>
  <c r="AG89" i="15" s="1"/>
  <c r="Q85" i="15"/>
  <c r="AG88" i="15" s="1"/>
  <c r="P85" i="15"/>
  <c r="AG87" i="15" s="1"/>
  <c r="O85" i="15"/>
  <c r="AG86" i="15" s="1"/>
  <c r="N85" i="15"/>
  <c r="AG85" i="15" s="1"/>
  <c r="L85" i="15"/>
  <c r="AB85" i="15" s="1"/>
  <c r="AK84" i="15"/>
  <c r="AJ84" i="15"/>
  <c r="AI84" i="15"/>
  <c r="AH84" i="15"/>
  <c r="AG84" i="15"/>
  <c r="AF84" i="15"/>
  <c r="AE84" i="15"/>
  <c r="AD84" i="15"/>
  <c r="AC84" i="15"/>
  <c r="AK83" i="15"/>
  <c r="AJ83" i="15"/>
  <c r="AI83" i="15"/>
  <c r="AH83" i="15"/>
  <c r="AG83" i="15"/>
  <c r="AF83" i="15"/>
  <c r="AE83" i="15"/>
  <c r="AD83" i="15"/>
  <c r="AC83" i="15"/>
  <c r="AB83" i="15"/>
  <c r="T83" i="15"/>
  <c r="T84" i="15" s="1"/>
  <c r="AI81" i="15" s="1"/>
  <c r="S83" i="15"/>
  <c r="S84" i="15" s="1"/>
  <c r="AI80" i="15" s="1"/>
  <c r="R83" i="15"/>
  <c r="R84" i="15" s="1"/>
  <c r="AI79" i="15" s="1"/>
  <c r="Q83" i="15"/>
  <c r="Q84" i="15" s="1"/>
  <c r="AI78" i="15" s="1"/>
  <c r="P83" i="15"/>
  <c r="P84" i="15" s="1"/>
  <c r="AI77" i="15" s="1"/>
  <c r="O83" i="15"/>
  <c r="O84" i="15" s="1"/>
  <c r="AI76" i="15" s="1"/>
  <c r="N83" i="15"/>
  <c r="N84" i="15" s="1"/>
  <c r="AI75" i="15" s="1"/>
  <c r="AK82" i="15"/>
  <c r="AJ82" i="15"/>
  <c r="AI82" i="15"/>
  <c r="AH82" i="15"/>
  <c r="AG82" i="15"/>
  <c r="AF82" i="15"/>
  <c r="AE82" i="15"/>
  <c r="AD82" i="15"/>
  <c r="AC82" i="15"/>
  <c r="AB82" i="15"/>
  <c r="T82" i="15"/>
  <c r="S82" i="15"/>
  <c r="R82" i="15"/>
  <c r="Q82" i="15"/>
  <c r="P82" i="15"/>
  <c r="O82" i="15"/>
  <c r="N82" i="15"/>
  <c r="AH81" i="15"/>
  <c r="AJ81" i="15" s="1"/>
  <c r="AF81" i="15"/>
  <c r="AE81" i="15"/>
  <c r="AD81" i="15"/>
  <c r="AC81" i="15"/>
  <c r="L81" i="15"/>
  <c r="AB81" i="15" s="1"/>
  <c r="AH80" i="15"/>
  <c r="AJ80" i="15" s="1"/>
  <c r="AF80" i="15"/>
  <c r="AE80" i="15"/>
  <c r="AD80" i="15"/>
  <c r="AC80" i="15"/>
  <c r="T80" i="15"/>
  <c r="S80" i="15"/>
  <c r="R80" i="15"/>
  <c r="Q80" i="15"/>
  <c r="P80" i="15"/>
  <c r="O80" i="15"/>
  <c r="N80" i="15"/>
  <c r="L80" i="15"/>
  <c r="AB80" i="15" s="1"/>
  <c r="AH79" i="15"/>
  <c r="AJ79" i="15" s="1"/>
  <c r="AF79" i="15"/>
  <c r="AE79" i="15"/>
  <c r="AD79" i="15"/>
  <c r="AC79" i="15"/>
  <c r="L79" i="15"/>
  <c r="AB79" i="15" s="1"/>
  <c r="AH78" i="15"/>
  <c r="AJ78" i="15" s="1"/>
  <c r="AF78" i="15"/>
  <c r="AE78" i="15"/>
  <c r="AD78" i="15"/>
  <c r="AC78" i="15"/>
  <c r="T78" i="15"/>
  <c r="S78" i="15"/>
  <c r="R78" i="15"/>
  <c r="Q78" i="15"/>
  <c r="P78" i="15"/>
  <c r="O78" i="15"/>
  <c r="N78" i="15"/>
  <c r="L78" i="15"/>
  <c r="AB78" i="15" s="1"/>
  <c r="AH77" i="15"/>
  <c r="AJ77" i="15" s="1"/>
  <c r="AF77" i="15"/>
  <c r="AE77" i="15"/>
  <c r="AD77" i="15"/>
  <c r="AC77" i="15"/>
  <c r="L77" i="15"/>
  <c r="AB77" i="15" s="1"/>
  <c r="AH76" i="15"/>
  <c r="AJ76" i="15" s="1"/>
  <c r="AF76" i="15"/>
  <c r="AE76" i="15"/>
  <c r="AD76" i="15"/>
  <c r="AC76" i="15"/>
  <c r="T76" i="15"/>
  <c r="T77" i="15" s="1"/>
  <c r="T79" i="15" s="1"/>
  <c r="T81" i="15" s="1"/>
  <c r="S76" i="15"/>
  <c r="S77" i="15" s="1"/>
  <c r="R76" i="15"/>
  <c r="R77" i="15" s="1"/>
  <c r="Q76" i="15"/>
  <c r="Q77" i="15" s="1"/>
  <c r="Q79" i="15" s="1"/>
  <c r="Q81" i="15" s="1"/>
  <c r="P76" i="15"/>
  <c r="P77" i="15" s="1"/>
  <c r="O76" i="15"/>
  <c r="O77" i="15" s="1"/>
  <c r="N76" i="15"/>
  <c r="N77" i="15" s="1"/>
  <c r="L76" i="15"/>
  <c r="AB76" i="15" s="1"/>
  <c r="AH75" i="15"/>
  <c r="AJ75" i="15" s="1"/>
  <c r="AF75" i="15"/>
  <c r="AE75" i="15"/>
  <c r="AD75" i="15"/>
  <c r="AC75" i="15"/>
  <c r="T75" i="15"/>
  <c r="AG81" i="15" s="1"/>
  <c r="S75" i="15"/>
  <c r="AG80" i="15" s="1"/>
  <c r="R75" i="15"/>
  <c r="AG79" i="15" s="1"/>
  <c r="Q75" i="15"/>
  <c r="AG78" i="15" s="1"/>
  <c r="P75" i="15"/>
  <c r="AG77" i="15" s="1"/>
  <c r="O75" i="15"/>
  <c r="AG76" i="15" s="1"/>
  <c r="N75" i="15"/>
  <c r="AG75" i="15" s="1"/>
  <c r="L75" i="15"/>
  <c r="AB75" i="15" s="1"/>
  <c r="AK74" i="15"/>
  <c r="AJ74" i="15"/>
  <c r="AI74" i="15"/>
  <c r="AH74" i="15"/>
  <c r="AG74" i="15"/>
  <c r="AF74" i="15"/>
  <c r="AE74" i="15"/>
  <c r="AD74" i="15"/>
  <c r="AC74" i="15"/>
  <c r="AK73" i="15"/>
  <c r="AJ73" i="15"/>
  <c r="AI73" i="15"/>
  <c r="AH73" i="15"/>
  <c r="AG73" i="15"/>
  <c r="AF73" i="15"/>
  <c r="AE73" i="15"/>
  <c r="AD73" i="15"/>
  <c r="AC73" i="15"/>
  <c r="AB73" i="15"/>
  <c r="T73" i="15"/>
  <c r="T74" i="15" s="1"/>
  <c r="S73" i="15"/>
  <c r="S74" i="15" s="1"/>
  <c r="R73" i="15"/>
  <c r="R74" i="15" s="1"/>
  <c r="Q73" i="15"/>
  <c r="Q74" i="15" s="1"/>
  <c r="P73" i="15"/>
  <c r="P74" i="15" s="1"/>
  <c r="O73" i="15"/>
  <c r="O74" i="15" s="1"/>
  <c r="N73" i="15"/>
  <c r="N74" i="15" s="1"/>
  <c r="AK72" i="15"/>
  <c r="AJ72" i="15"/>
  <c r="AI72" i="15"/>
  <c r="AH72" i="15"/>
  <c r="AG72" i="15"/>
  <c r="AF72" i="15"/>
  <c r="AE72" i="15"/>
  <c r="AD72" i="15"/>
  <c r="AC72" i="15"/>
  <c r="AB72" i="15"/>
  <c r="T72" i="15"/>
  <c r="S72" i="15"/>
  <c r="R72" i="15"/>
  <c r="Q72" i="15"/>
  <c r="P72" i="15"/>
  <c r="O72" i="15"/>
  <c r="N72" i="15"/>
  <c r="AH71" i="15"/>
  <c r="AJ71" i="15" s="1"/>
  <c r="AF71" i="15"/>
  <c r="AE71" i="15"/>
  <c r="AD71" i="15"/>
  <c r="AC71" i="15"/>
  <c r="L71" i="15"/>
  <c r="AB71" i="15" s="1"/>
  <c r="AH70" i="15"/>
  <c r="AJ70" i="15" s="1"/>
  <c r="AF70" i="15"/>
  <c r="AE70" i="15"/>
  <c r="AD70" i="15"/>
  <c r="AC70" i="15"/>
  <c r="T70" i="15"/>
  <c r="S70" i="15"/>
  <c r="R70" i="15"/>
  <c r="Q70" i="15"/>
  <c r="P70" i="15"/>
  <c r="O70" i="15"/>
  <c r="N70" i="15"/>
  <c r="L70" i="15"/>
  <c r="AB70" i="15" s="1"/>
  <c r="AH69" i="15"/>
  <c r="AJ69" i="15" s="1"/>
  <c r="AF69" i="15"/>
  <c r="AE69" i="15"/>
  <c r="AD69" i="15"/>
  <c r="AC69" i="15"/>
  <c r="L69" i="15"/>
  <c r="AB69" i="15" s="1"/>
  <c r="AH68" i="15"/>
  <c r="AJ68" i="15" s="1"/>
  <c r="AF68" i="15"/>
  <c r="AE68" i="15"/>
  <c r="AD68" i="15"/>
  <c r="AC68" i="15"/>
  <c r="T68" i="15"/>
  <c r="S68" i="15"/>
  <c r="R68" i="15"/>
  <c r="Q68" i="15"/>
  <c r="P68" i="15"/>
  <c r="O68" i="15"/>
  <c r="N68" i="15"/>
  <c r="L68" i="15"/>
  <c r="AB68" i="15" s="1"/>
  <c r="AH67" i="15"/>
  <c r="AJ67" i="15" s="1"/>
  <c r="AF67" i="15"/>
  <c r="AE67" i="15"/>
  <c r="AD67" i="15"/>
  <c r="AC67" i="15"/>
  <c r="L67" i="15"/>
  <c r="AB67" i="15" s="1"/>
  <c r="AH66" i="15"/>
  <c r="AJ66" i="15" s="1"/>
  <c r="AF66" i="15"/>
  <c r="AE66" i="15"/>
  <c r="AD66" i="15"/>
  <c r="AC66" i="15"/>
  <c r="T66" i="15"/>
  <c r="T67" i="15" s="1"/>
  <c r="T69" i="15" s="1"/>
  <c r="T71" i="15" s="1"/>
  <c r="S66" i="15"/>
  <c r="S67" i="15" s="1"/>
  <c r="R66" i="15"/>
  <c r="R67" i="15" s="1"/>
  <c r="Q66" i="15"/>
  <c r="Q67" i="15" s="1"/>
  <c r="P66" i="15"/>
  <c r="P67" i="15" s="1"/>
  <c r="P69" i="15" s="1"/>
  <c r="P71" i="15" s="1"/>
  <c r="O66" i="15"/>
  <c r="O67" i="15" s="1"/>
  <c r="O69" i="15" s="1"/>
  <c r="O71" i="15" s="1"/>
  <c r="N66" i="15"/>
  <c r="N67" i="15" s="1"/>
  <c r="L66" i="15"/>
  <c r="AB66" i="15" s="1"/>
  <c r="AH65" i="15"/>
  <c r="AJ65" i="15" s="1"/>
  <c r="AF65" i="15"/>
  <c r="AE65" i="15"/>
  <c r="AD65" i="15"/>
  <c r="AC65" i="15"/>
  <c r="T65" i="15"/>
  <c r="AG71" i="15" s="1"/>
  <c r="S65" i="15"/>
  <c r="AG70" i="15" s="1"/>
  <c r="R65" i="15"/>
  <c r="AG69" i="15" s="1"/>
  <c r="Q65" i="15"/>
  <c r="AG68" i="15" s="1"/>
  <c r="P65" i="15"/>
  <c r="AG67" i="15" s="1"/>
  <c r="O65" i="15"/>
  <c r="AG66" i="15" s="1"/>
  <c r="N65" i="15"/>
  <c r="AG65" i="15" s="1"/>
  <c r="L65" i="15"/>
  <c r="AB65" i="15" s="1"/>
  <c r="AK64" i="15"/>
  <c r="AJ64" i="15"/>
  <c r="AI64" i="15"/>
  <c r="AH64" i="15"/>
  <c r="AG64" i="15"/>
  <c r="AF64" i="15"/>
  <c r="AE64" i="15"/>
  <c r="AD64" i="15"/>
  <c r="AC64" i="15"/>
  <c r="AK63" i="15"/>
  <c r="AJ63" i="15"/>
  <c r="AI63" i="15"/>
  <c r="AH63" i="15"/>
  <c r="AG63" i="15"/>
  <c r="AF63" i="15"/>
  <c r="AE63" i="15"/>
  <c r="AD63" i="15"/>
  <c r="AC63" i="15"/>
  <c r="AB63" i="15"/>
  <c r="T63" i="15"/>
  <c r="T64" i="15" s="1"/>
  <c r="S63" i="15"/>
  <c r="S64" i="15" s="1"/>
  <c r="R63" i="15"/>
  <c r="R64" i="15" s="1"/>
  <c r="Q63" i="15"/>
  <c r="Q64" i="15" s="1"/>
  <c r="P63" i="15"/>
  <c r="P64" i="15" s="1"/>
  <c r="AK62" i="15"/>
  <c r="AJ62" i="15"/>
  <c r="AI62" i="15"/>
  <c r="AH62" i="15"/>
  <c r="AG62" i="15"/>
  <c r="AF62" i="15"/>
  <c r="AE62" i="15"/>
  <c r="AD62" i="15"/>
  <c r="AC62" i="15"/>
  <c r="AB62" i="15"/>
  <c r="T62" i="15"/>
  <c r="S62" i="15"/>
  <c r="R62" i="15"/>
  <c r="Q62" i="15"/>
  <c r="P62" i="15"/>
  <c r="O62" i="15"/>
  <c r="N62" i="15"/>
  <c r="AH61" i="15"/>
  <c r="AJ61" i="15" s="1"/>
  <c r="AF61" i="15"/>
  <c r="AE61" i="15"/>
  <c r="AD61" i="15"/>
  <c r="AC61" i="15"/>
  <c r="L61" i="15"/>
  <c r="AB61" i="15" s="1"/>
  <c r="AH60" i="15"/>
  <c r="AJ60" i="15" s="1"/>
  <c r="AF60" i="15"/>
  <c r="AE60" i="15"/>
  <c r="AD60" i="15"/>
  <c r="AC60" i="15"/>
  <c r="T60" i="15"/>
  <c r="S60" i="15"/>
  <c r="R60" i="15"/>
  <c r="Q60" i="15"/>
  <c r="P60" i="15"/>
  <c r="O60" i="15"/>
  <c r="N60" i="15"/>
  <c r="L60" i="15"/>
  <c r="AB60" i="15" s="1"/>
  <c r="AH59" i="15"/>
  <c r="AJ59" i="15" s="1"/>
  <c r="AF59" i="15"/>
  <c r="AE59" i="15"/>
  <c r="AD59" i="15"/>
  <c r="AC59" i="15"/>
  <c r="L59" i="15"/>
  <c r="AB59" i="15" s="1"/>
  <c r="AH58" i="15"/>
  <c r="AJ58" i="15" s="1"/>
  <c r="AF58" i="15"/>
  <c r="AE58" i="15"/>
  <c r="AD58" i="15"/>
  <c r="AC58" i="15"/>
  <c r="T58" i="15"/>
  <c r="S58" i="15"/>
  <c r="R58" i="15"/>
  <c r="Q58" i="15"/>
  <c r="P58" i="15"/>
  <c r="O58" i="15"/>
  <c r="N58" i="15"/>
  <c r="L58" i="15"/>
  <c r="AB58" i="15" s="1"/>
  <c r="AH57" i="15"/>
  <c r="AJ57" i="15" s="1"/>
  <c r="AF57" i="15"/>
  <c r="AE57" i="15"/>
  <c r="AD57" i="15"/>
  <c r="AC57" i="15"/>
  <c r="L57" i="15"/>
  <c r="AB57" i="15" s="1"/>
  <c r="AH56" i="15"/>
  <c r="AJ56" i="15" s="1"/>
  <c r="AF56" i="15"/>
  <c r="AE56" i="15"/>
  <c r="AD56" i="15"/>
  <c r="AC56" i="15"/>
  <c r="T56" i="15"/>
  <c r="T57" i="15" s="1"/>
  <c r="T59" i="15" s="1"/>
  <c r="T61" i="15" s="1"/>
  <c r="S56" i="15"/>
  <c r="S57" i="15" s="1"/>
  <c r="R56" i="15"/>
  <c r="R57" i="15" s="1"/>
  <c r="R59" i="15" s="1"/>
  <c r="R61" i="15" s="1"/>
  <c r="Q56" i="15"/>
  <c r="Q57" i="15" s="1"/>
  <c r="Q59" i="15" s="1"/>
  <c r="Q61" i="15" s="1"/>
  <c r="P56" i="15"/>
  <c r="P57" i="15" s="1"/>
  <c r="O56" i="15"/>
  <c r="O57" i="15" s="1"/>
  <c r="O59" i="15" s="1"/>
  <c r="O61" i="15" s="1"/>
  <c r="O63" i="15" s="1"/>
  <c r="O64" i="15" s="1"/>
  <c r="N56" i="15"/>
  <c r="N57" i="15" s="1"/>
  <c r="N59" i="15" s="1"/>
  <c r="N61" i="15" s="1"/>
  <c r="N63" i="15" s="1"/>
  <c r="N64" i="15" s="1"/>
  <c r="AH55" i="15"/>
  <c r="AJ55" i="15" s="1"/>
  <c r="AF55" i="15"/>
  <c r="AE55" i="15"/>
  <c r="AD55" i="15"/>
  <c r="AC55" i="15"/>
  <c r="T55" i="15"/>
  <c r="AG61" i="15" s="1"/>
  <c r="S55" i="15"/>
  <c r="AG60" i="15" s="1"/>
  <c r="R55" i="15"/>
  <c r="AG59" i="15" s="1"/>
  <c r="Q55" i="15"/>
  <c r="AG58" i="15" s="1"/>
  <c r="P55" i="15"/>
  <c r="AG57" i="15" s="1"/>
  <c r="O55" i="15"/>
  <c r="AG56" i="15" s="1"/>
  <c r="N55" i="15"/>
  <c r="AG55" i="15" s="1"/>
  <c r="AK54" i="15"/>
  <c r="AJ54" i="15"/>
  <c r="AI54" i="15"/>
  <c r="AH54" i="15"/>
  <c r="AG54" i="15"/>
  <c r="AF54" i="15"/>
  <c r="AE54" i="15"/>
  <c r="AD54" i="15"/>
  <c r="AC54" i="15"/>
  <c r="AK53" i="15"/>
  <c r="AJ53" i="15"/>
  <c r="AI53" i="15"/>
  <c r="AH53" i="15"/>
  <c r="AG53" i="15"/>
  <c r="AF53" i="15"/>
  <c r="AE53" i="15"/>
  <c r="AD53" i="15"/>
  <c r="AC53" i="15"/>
  <c r="AB53" i="15"/>
  <c r="T53" i="15"/>
  <c r="T54" i="15" s="1"/>
  <c r="S53" i="15"/>
  <c r="S54" i="15" s="1"/>
  <c r="R53" i="15"/>
  <c r="R54" i="15" s="1"/>
  <c r="Q53" i="15"/>
  <c r="Q54" i="15" s="1"/>
  <c r="P53" i="15"/>
  <c r="P54" i="15" s="1"/>
  <c r="O53" i="15"/>
  <c r="O54" i="15" s="1"/>
  <c r="N53" i="15"/>
  <c r="N54" i="15" s="1"/>
  <c r="AK52" i="15"/>
  <c r="AJ52" i="15"/>
  <c r="AI52" i="15"/>
  <c r="AH52" i="15"/>
  <c r="AG52" i="15"/>
  <c r="AF52" i="15"/>
  <c r="AE52" i="15"/>
  <c r="AD52" i="15"/>
  <c r="AC52" i="15"/>
  <c r="AB52" i="15"/>
  <c r="T52" i="15"/>
  <c r="S52" i="15"/>
  <c r="R52" i="15"/>
  <c r="Q52" i="15"/>
  <c r="P52" i="15"/>
  <c r="O52" i="15"/>
  <c r="N52" i="15"/>
  <c r="AH51" i="15"/>
  <c r="AJ51" i="15" s="1"/>
  <c r="AF51" i="15"/>
  <c r="AE51" i="15"/>
  <c r="AD51" i="15"/>
  <c r="AC51" i="15"/>
  <c r="AH50" i="15"/>
  <c r="AJ50" i="15" s="1"/>
  <c r="AF50" i="15"/>
  <c r="AE50" i="15"/>
  <c r="AD50" i="15"/>
  <c r="AC50" i="15"/>
  <c r="T50" i="15"/>
  <c r="S50" i="15"/>
  <c r="R50" i="15"/>
  <c r="Q50" i="15"/>
  <c r="P50" i="15"/>
  <c r="O50" i="15"/>
  <c r="N50" i="15"/>
  <c r="AH49" i="15"/>
  <c r="AJ49" i="15" s="1"/>
  <c r="AF49" i="15"/>
  <c r="AE49" i="15"/>
  <c r="AD49" i="15"/>
  <c r="AC49" i="15"/>
  <c r="AH48" i="15"/>
  <c r="AJ48" i="15" s="1"/>
  <c r="AF48" i="15"/>
  <c r="AE48" i="15"/>
  <c r="AD48" i="15"/>
  <c r="AC48" i="15"/>
  <c r="T48" i="15"/>
  <c r="S48" i="15"/>
  <c r="R48" i="15"/>
  <c r="Q48" i="15"/>
  <c r="P48" i="15"/>
  <c r="O48" i="15"/>
  <c r="N48" i="15"/>
  <c r="AH47" i="15"/>
  <c r="AJ47" i="15" s="1"/>
  <c r="AF47" i="15"/>
  <c r="AE47" i="15"/>
  <c r="AD47" i="15"/>
  <c r="AC47" i="15"/>
  <c r="AH46" i="15"/>
  <c r="AJ46" i="15" s="1"/>
  <c r="AF46" i="15"/>
  <c r="AE46" i="15"/>
  <c r="AD46" i="15"/>
  <c r="AC46" i="15"/>
  <c r="T46" i="15"/>
  <c r="T47" i="15" s="1"/>
  <c r="T49" i="15" s="1"/>
  <c r="T51" i="15" s="1"/>
  <c r="S46" i="15"/>
  <c r="S47" i="15" s="1"/>
  <c r="S49" i="15" s="1"/>
  <c r="S51" i="15" s="1"/>
  <c r="R46" i="15"/>
  <c r="R47" i="15" s="1"/>
  <c r="R49" i="15" s="1"/>
  <c r="R51" i="15" s="1"/>
  <c r="Q46" i="15"/>
  <c r="Q47" i="15" s="1"/>
  <c r="Q49" i="15" s="1"/>
  <c r="Q51" i="15" s="1"/>
  <c r="P46" i="15"/>
  <c r="P47" i="15" s="1"/>
  <c r="P49" i="15" s="1"/>
  <c r="P51" i="15" s="1"/>
  <c r="O46" i="15"/>
  <c r="O47" i="15" s="1"/>
  <c r="O49" i="15" s="1"/>
  <c r="O51" i="15" s="1"/>
  <c r="N46" i="15"/>
  <c r="N47" i="15" s="1"/>
  <c r="N49" i="15" s="1"/>
  <c r="N51" i="15" s="1"/>
  <c r="AH45" i="15"/>
  <c r="AJ45" i="15" s="1"/>
  <c r="AF45" i="15"/>
  <c r="AE45" i="15"/>
  <c r="AD45" i="15"/>
  <c r="AC45" i="15"/>
  <c r="T45" i="15"/>
  <c r="AG51" i="15" s="1"/>
  <c r="S45" i="15"/>
  <c r="AG50" i="15" s="1"/>
  <c r="R45" i="15"/>
  <c r="AG49" i="15" s="1"/>
  <c r="Q45" i="15"/>
  <c r="AG48" i="15" s="1"/>
  <c r="P45" i="15"/>
  <c r="AG47" i="15" s="1"/>
  <c r="O45" i="15"/>
  <c r="AG46" i="15" s="1"/>
  <c r="N45" i="15"/>
  <c r="AG45" i="15" s="1"/>
  <c r="AK44" i="15"/>
  <c r="AJ44" i="15"/>
  <c r="AI44" i="15"/>
  <c r="AH44" i="15"/>
  <c r="AG44" i="15"/>
  <c r="AF44" i="15"/>
  <c r="AE44" i="15"/>
  <c r="AD44" i="15"/>
  <c r="AC44" i="15"/>
  <c r="AK43" i="15"/>
  <c r="AJ43" i="15"/>
  <c r="AI43" i="15"/>
  <c r="AH43" i="15"/>
  <c r="AG43" i="15"/>
  <c r="AF43" i="15"/>
  <c r="AE43" i="15"/>
  <c r="AD43" i="15"/>
  <c r="AC43" i="15"/>
  <c r="AB43" i="15"/>
  <c r="T43" i="15"/>
  <c r="T44" i="15" s="1"/>
  <c r="S43" i="15"/>
  <c r="S44" i="15" s="1"/>
  <c r="R43" i="15"/>
  <c r="R44" i="15" s="1"/>
  <c r="Q43" i="15"/>
  <c r="Q44" i="15" s="1"/>
  <c r="P43" i="15"/>
  <c r="P44" i="15" s="1"/>
  <c r="O43" i="15"/>
  <c r="O44" i="15" s="1"/>
  <c r="AK42" i="15"/>
  <c r="AJ42" i="15"/>
  <c r="AI42" i="15"/>
  <c r="AH42" i="15"/>
  <c r="AG42" i="15"/>
  <c r="AF42" i="15"/>
  <c r="AE42" i="15"/>
  <c r="AD42" i="15"/>
  <c r="AC42" i="15"/>
  <c r="AB42" i="15"/>
  <c r="T42" i="15"/>
  <c r="S42" i="15"/>
  <c r="R42" i="15"/>
  <c r="Q42" i="15"/>
  <c r="P42" i="15"/>
  <c r="O42" i="15"/>
  <c r="N42" i="15"/>
  <c r="AH41" i="15"/>
  <c r="AJ41" i="15" s="1"/>
  <c r="AF41" i="15"/>
  <c r="AE41" i="15"/>
  <c r="AD41" i="15"/>
  <c r="AC41" i="15"/>
  <c r="L41" i="15"/>
  <c r="AB41" i="15" s="1"/>
  <c r="AH40" i="15"/>
  <c r="AJ40" i="15" s="1"/>
  <c r="AF40" i="15"/>
  <c r="AE40" i="15"/>
  <c r="AD40" i="15"/>
  <c r="AC40" i="15"/>
  <c r="T40" i="15"/>
  <c r="S40" i="15"/>
  <c r="R40" i="15"/>
  <c r="Q40" i="15"/>
  <c r="P40" i="15"/>
  <c r="O40" i="15"/>
  <c r="N40" i="15"/>
  <c r="L40" i="15"/>
  <c r="AB40" i="15" s="1"/>
  <c r="AH39" i="15"/>
  <c r="AJ39" i="15" s="1"/>
  <c r="AF39" i="15"/>
  <c r="AE39" i="15"/>
  <c r="AD39" i="15"/>
  <c r="AC39" i="15"/>
  <c r="L39" i="15"/>
  <c r="AB39" i="15" s="1"/>
  <c r="AH38" i="15"/>
  <c r="AJ38" i="15" s="1"/>
  <c r="AF38" i="15"/>
  <c r="AE38" i="15"/>
  <c r="AD38" i="15"/>
  <c r="AC38" i="15"/>
  <c r="T38" i="15"/>
  <c r="S38" i="15"/>
  <c r="R38" i="15"/>
  <c r="Q38" i="15"/>
  <c r="P38" i="15"/>
  <c r="O38" i="15"/>
  <c r="N38" i="15"/>
  <c r="L38" i="15"/>
  <c r="AB38" i="15" s="1"/>
  <c r="AH37" i="15"/>
  <c r="AJ37" i="15" s="1"/>
  <c r="AF37" i="15"/>
  <c r="AE37" i="15"/>
  <c r="AD37" i="15"/>
  <c r="AC37" i="15"/>
  <c r="L37" i="15"/>
  <c r="AB37" i="15" s="1"/>
  <c r="AH36" i="15"/>
  <c r="AJ36" i="15" s="1"/>
  <c r="AF36" i="15"/>
  <c r="AE36" i="15"/>
  <c r="AD36" i="15"/>
  <c r="AC36" i="15"/>
  <c r="T36" i="15"/>
  <c r="T37" i="15" s="1"/>
  <c r="T39" i="15" s="1"/>
  <c r="T41" i="15" s="1"/>
  <c r="S36" i="15"/>
  <c r="S37" i="15" s="1"/>
  <c r="S39" i="15" s="1"/>
  <c r="S41" i="15" s="1"/>
  <c r="R36" i="15"/>
  <c r="R37" i="15" s="1"/>
  <c r="R39" i="15" s="1"/>
  <c r="R41" i="15" s="1"/>
  <c r="Q36" i="15"/>
  <c r="Q37" i="15" s="1"/>
  <c r="Q39" i="15" s="1"/>
  <c r="Q41" i="15" s="1"/>
  <c r="P36" i="15"/>
  <c r="P37" i="15" s="1"/>
  <c r="P39" i="15" s="1"/>
  <c r="P41" i="15" s="1"/>
  <c r="O36" i="15"/>
  <c r="O37" i="15" s="1"/>
  <c r="O39" i="15" s="1"/>
  <c r="O41" i="15" s="1"/>
  <c r="N36" i="15"/>
  <c r="N37" i="15" s="1"/>
  <c r="N39" i="15" s="1"/>
  <c r="N41" i="15" s="1"/>
  <c r="N43" i="15" s="1"/>
  <c r="N44" i="15" s="1"/>
  <c r="L36" i="15"/>
  <c r="AB36" i="15" s="1"/>
  <c r="AH35" i="15"/>
  <c r="AJ35" i="15" s="1"/>
  <c r="AF35" i="15"/>
  <c r="AE35" i="15"/>
  <c r="AD35" i="15"/>
  <c r="AC35" i="15"/>
  <c r="T35" i="15"/>
  <c r="AG41" i="15" s="1"/>
  <c r="S35" i="15"/>
  <c r="AG40" i="15" s="1"/>
  <c r="R35" i="15"/>
  <c r="AG39" i="15" s="1"/>
  <c r="Q35" i="15"/>
  <c r="AG38" i="15" s="1"/>
  <c r="P35" i="15"/>
  <c r="AG37" i="15" s="1"/>
  <c r="O35" i="15"/>
  <c r="AG36" i="15" s="1"/>
  <c r="N35" i="15"/>
  <c r="AG35" i="15" s="1"/>
  <c r="AK34" i="15"/>
  <c r="AJ34" i="15"/>
  <c r="AI34" i="15"/>
  <c r="AH34" i="15"/>
  <c r="AG34" i="15"/>
  <c r="AF34" i="15"/>
  <c r="AE34" i="15"/>
  <c r="AD34" i="15"/>
  <c r="AC34" i="15"/>
  <c r="AK33" i="15"/>
  <c r="AJ33" i="15"/>
  <c r="AI33" i="15"/>
  <c r="AH33" i="15"/>
  <c r="AG33" i="15"/>
  <c r="AF33" i="15"/>
  <c r="AE33" i="15"/>
  <c r="AD33" i="15"/>
  <c r="AC33" i="15"/>
  <c r="AB33" i="15"/>
  <c r="T33" i="15"/>
  <c r="T34" i="15" s="1"/>
  <c r="S33" i="15"/>
  <c r="S34" i="15" s="1"/>
  <c r="R33" i="15"/>
  <c r="R34" i="15" s="1"/>
  <c r="Q33" i="15"/>
  <c r="Q34" i="15" s="1"/>
  <c r="P33" i="15"/>
  <c r="P34" i="15" s="1"/>
  <c r="O33" i="15"/>
  <c r="O34" i="15" s="1"/>
  <c r="N33" i="15"/>
  <c r="N34" i="15" s="1"/>
  <c r="AK32" i="15"/>
  <c r="AJ32" i="15"/>
  <c r="AI32" i="15"/>
  <c r="AH32" i="15"/>
  <c r="AG32" i="15"/>
  <c r="AF32" i="15"/>
  <c r="AE32" i="15"/>
  <c r="AD32" i="15"/>
  <c r="AC32" i="15"/>
  <c r="AB32" i="15"/>
  <c r="T32" i="15"/>
  <c r="S32" i="15"/>
  <c r="R32" i="15"/>
  <c r="Q32" i="15"/>
  <c r="P32" i="15"/>
  <c r="O32" i="15"/>
  <c r="N32" i="15"/>
  <c r="AH31" i="15"/>
  <c r="AJ31" i="15" s="1"/>
  <c r="AF31" i="15"/>
  <c r="AE31" i="15"/>
  <c r="AD31" i="15"/>
  <c r="AC31" i="15"/>
  <c r="AH30" i="15"/>
  <c r="AJ30" i="15" s="1"/>
  <c r="AF30" i="15"/>
  <c r="AE30" i="15"/>
  <c r="AD30" i="15"/>
  <c r="AC30" i="15"/>
  <c r="T30" i="15"/>
  <c r="S30" i="15"/>
  <c r="R30" i="15"/>
  <c r="Q30" i="15"/>
  <c r="P30" i="15"/>
  <c r="O30" i="15"/>
  <c r="N30" i="15"/>
  <c r="AH29" i="15"/>
  <c r="AJ29" i="15" s="1"/>
  <c r="AF29" i="15"/>
  <c r="AE29" i="15"/>
  <c r="AD29" i="15"/>
  <c r="AC29" i="15"/>
  <c r="AH28" i="15"/>
  <c r="AJ28" i="15" s="1"/>
  <c r="AF28" i="15"/>
  <c r="AE28" i="15"/>
  <c r="AD28" i="15"/>
  <c r="AC28" i="15"/>
  <c r="T28" i="15"/>
  <c r="S28" i="15"/>
  <c r="R28" i="15"/>
  <c r="Q28" i="15"/>
  <c r="P28" i="15"/>
  <c r="O28" i="15"/>
  <c r="N28" i="15"/>
  <c r="AH27" i="15"/>
  <c r="AJ27" i="15" s="1"/>
  <c r="AF27" i="15"/>
  <c r="AE27" i="15"/>
  <c r="AD27" i="15"/>
  <c r="AC27" i="15"/>
  <c r="AH26" i="15"/>
  <c r="AJ26" i="15" s="1"/>
  <c r="AF26" i="15"/>
  <c r="AE26" i="15"/>
  <c r="AD26" i="15"/>
  <c r="AC26" i="15"/>
  <c r="T26" i="15"/>
  <c r="T27" i="15" s="1"/>
  <c r="T29" i="15" s="1"/>
  <c r="T31" i="15" s="1"/>
  <c r="S26" i="15"/>
  <c r="S27" i="15" s="1"/>
  <c r="S29" i="15" s="1"/>
  <c r="S31" i="15" s="1"/>
  <c r="R26" i="15"/>
  <c r="R27" i="15" s="1"/>
  <c r="R29" i="15" s="1"/>
  <c r="R31" i="15" s="1"/>
  <c r="Q26" i="15"/>
  <c r="Q27" i="15" s="1"/>
  <c r="Q29" i="15" s="1"/>
  <c r="Q31" i="15" s="1"/>
  <c r="P26" i="15"/>
  <c r="P27" i="15" s="1"/>
  <c r="P29" i="15" s="1"/>
  <c r="P31" i="15" s="1"/>
  <c r="O26" i="15"/>
  <c r="O27" i="15" s="1"/>
  <c r="O29" i="15" s="1"/>
  <c r="O31" i="15" s="1"/>
  <c r="N26" i="15"/>
  <c r="N27" i="15" s="1"/>
  <c r="N29" i="15" s="1"/>
  <c r="AH25" i="15"/>
  <c r="AJ25" i="15" s="1"/>
  <c r="AF25" i="15"/>
  <c r="AE25" i="15"/>
  <c r="AD25" i="15"/>
  <c r="AC25" i="15"/>
  <c r="T25" i="15"/>
  <c r="AG31" i="15" s="1"/>
  <c r="S25" i="15"/>
  <c r="AG30" i="15" s="1"/>
  <c r="R25" i="15"/>
  <c r="AG29" i="15" s="1"/>
  <c r="Q25" i="15"/>
  <c r="AG28" i="15" s="1"/>
  <c r="P25" i="15"/>
  <c r="AG27" i="15" s="1"/>
  <c r="O25" i="15"/>
  <c r="AG26" i="15" s="1"/>
  <c r="N25" i="15"/>
  <c r="AG25" i="15" s="1"/>
  <c r="C125" i="87"/>
  <c r="B8" i="86"/>
  <c r="J30" i="87"/>
  <c r="G171" i="87"/>
  <c r="D8" i="86"/>
  <c r="D135" i="87"/>
  <c r="K199" i="87"/>
  <c r="I30" i="87"/>
  <c r="J199" i="87"/>
  <c r="D136" i="87"/>
  <c r="C114" i="87"/>
  <c r="F30" i="87"/>
  <c r="C112" i="87"/>
  <c r="L199" i="87"/>
  <c r="H199" i="87"/>
  <c r="I199" i="87"/>
  <c r="C93" i="87"/>
  <c r="C131" i="87"/>
  <c r="C8" i="86"/>
  <c r="D30" i="87"/>
  <c r="G30" i="87"/>
  <c r="C143" i="87"/>
  <c r="E30" i="87"/>
  <c r="H30" i="87"/>
  <c r="C107" i="87"/>
  <c r="D143" i="87" l="1"/>
  <c r="D125" i="87"/>
  <c r="BI115" i="87" s="1"/>
  <c r="BM113" i="87" s="1"/>
  <c r="D107" i="87"/>
  <c r="BI97" i="87" s="1"/>
  <c r="BN94" i="87" s="1"/>
  <c r="KK33" i="11"/>
  <c r="CV16" i="11"/>
  <c r="CW16" i="11" s="1"/>
  <c r="CR37" i="11"/>
  <c r="EQ34" i="11"/>
  <c r="GO37" i="11"/>
  <c r="GM37" i="11" s="1"/>
  <c r="JO37" i="11"/>
  <c r="LT37" i="11"/>
  <c r="MO37" i="11"/>
  <c r="LM37" i="11"/>
  <c r="LL37" i="11"/>
  <c r="MN37" i="11"/>
  <c r="LT36" i="11"/>
  <c r="KH37" i="11"/>
  <c r="CR36" i="11"/>
  <c r="EX38" i="11"/>
  <c r="EW37" i="11"/>
  <c r="EU36" i="11"/>
  <c r="EW33" i="11"/>
  <c r="EV38" i="11"/>
  <c r="EV37" i="11"/>
  <c r="ET36" i="11"/>
  <c r="EV33" i="11"/>
  <c r="EU38" i="11"/>
  <c r="EU37" i="11"/>
  <c r="ES36" i="11"/>
  <c r="EY34" i="11"/>
  <c r="EU33" i="11"/>
  <c r="EO39" i="11"/>
  <c r="EY39" i="11" s="1"/>
  <c r="ET38" i="11"/>
  <c r="ET37" i="11"/>
  <c r="ER36" i="11"/>
  <c r="EX34" i="11"/>
  <c r="ET33" i="11"/>
  <c r="EN39" i="11"/>
  <c r="EW39" i="11" s="1"/>
  <c r="ES38" i="11"/>
  <c r="ES37" i="11"/>
  <c r="EQ36" i="11"/>
  <c r="EW34" i="11"/>
  <c r="ES33" i="11"/>
  <c r="ET34" i="11"/>
  <c r="ER38" i="11"/>
  <c r="ER37" i="11"/>
  <c r="EV34" i="11"/>
  <c r="ER33" i="11"/>
  <c r="EO38" i="11"/>
  <c r="EQ37" i="11"/>
  <c r="EU34" i="11"/>
  <c r="EN38" i="11"/>
  <c r="ES34" i="11"/>
  <c r="ER34" i="11"/>
  <c r="EY36" i="11"/>
  <c r="EX36" i="11"/>
  <c r="EW36" i="11"/>
  <c r="EY33" i="11"/>
  <c r="EX33" i="11"/>
  <c r="EX37" i="11"/>
  <c r="EV36" i="11"/>
  <c r="CR34" i="11"/>
  <c r="CM39" i="11" s="1"/>
  <c r="JN37" i="11"/>
  <c r="JR37" i="11" s="1"/>
  <c r="JR33" i="11"/>
  <c r="FJ39" i="11"/>
  <c r="FN38" i="11" s="1"/>
  <c r="KG37" i="11"/>
  <c r="I33" i="87"/>
  <c r="I32" i="87"/>
  <c r="C174" i="87"/>
  <c r="J177" i="87" s="1"/>
  <c r="H180" i="87" s="1"/>
  <c r="I180" i="87" s="1"/>
  <c r="BL96" i="87"/>
  <c r="BL99" i="87" s="1"/>
  <c r="D100" i="87"/>
  <c r="E99" i="87" s="1"/>
  <c r="D119" i="87"/>
  <c r="E118" i="87" s="1"/>
  <c r="D138" i="87"/>
  <c r="AI328" i="15"/>
  <c r="T7" i="11"/>
  <c r="T8" i="11"/>
  <c r="X175" i="15"/>
  <c r="AK178" i="15" s="1"/>
  <c r="T9" i="11"/>
  <c r="CW9" i="11"/>
  <c r="Y325" i="15"/>
  <c r="AK329" i="15" s="1"/>
  <c r="KB5" i="11"/>
  <c r="KB8" i="11" s="1"/>
  <c r="BK115" i="87"/>
  <c r="BK118" i="87" s="1"/>
  <c r="E106" i="87"/>
  <c r="D137" i="87"/>
  <c r="BL113" i="87"/>
  <c r="BL115" i="87" s="1"/>
  <c r="K26" i="87"/>
  <c r="K30" i="87" s="1"/>
  <c r="K32" i="87" s="1"/>
  <c r="D27" i="87" s="1"/>
  <c r="D26" i="87" s="1"/>
  <c r="AC34" i="87" s="1"/>
  <c r="AC45" i="87" s="1"/>
  <c r="BI133" i="87"/>
  <c r="K203" i="87"/>
  <c r="K202" i="87"/>
  <c r="K205" i="87"/>
  <c r="AU201" i="87" s="1"/>
  <c r="K204" i="87"/>
  <c r="J205" i="87"/>
  <c r="AT201" i="87" s="1"/>
  <c r="J204" i="87"/>
  <c r="J203" i="87"/>
  <c r="J202" i="87"/>
  <c r="D33" i="87"/>
  <c r="AC41" i="87" s="1"/>
  <c r="D32" i="87"/>
  <c r="AC40" i="87" s="1"/>
  <c r="H33" i="87"/>
  <c r="AG41" i="87" s="1"/>
  <c r="H32" i="87"/>
  <c r="AG40" i="87" s="1"/>
  <c r="G33" i="87"/>
  <c r="AF41" i="87" s="1"/>
  <c r="G32" i="87"/>
  <c r="AF40" i="87" s="1"/>
  <c r="I203" i="87"/>
  <c r="I202" i="87"/>
  <c r="I205" i="87"/>
  <c r="AS201" i="87" s="1"/>
  <c r="I204" i="87"/>
  <c r="K206" i="87"/>
  <c r="H205" i="87"/>
  <c r="AR201" i="87" s="1"/>
  <c r="AR202" i="87" s="1"/>
  <c r="H204" i="87"/>
  <c r="H203" i="87"/>
  <c r="H202" i="87"/>
  <c r="L202" i="87"/>
  <c r="F33" i="87"/>
  <c r="AE41" i="87" s="1"/>
  <c r="F32" i="87"/>
  <c r="AE40" i="87" s="1"/>
  <c r="J33" i="87"/>
  <c r="J32" i="87"/>
  <c r="L32" i="87" s="1"/>
  <c r="E33" i="87"/>
  <c r="AD41" i="87" s="1"/>
  <c r="E32" i="87"/>
  <c r="AD40" i="87" s="1"/>
  <c r="AL201" i="87"/>
  <c r="AK109" i="87"/>
  <c r="BN204" i="87"/>
  <c r="BZ201" i="87" s="1"/>
  <c r="BW202" i="87"/>
  <c r="BJ118" i="87"/>
  <c r="BK133" i="87"/>
  <c r="BR131" i="87"/>
  <c r="BK134" i="87" s="1"/>
  <c r="BJ133" i="87"/>
  <c r="AK173" i="87"/>
  <c r="AK145" i="87"/>
  <c r="AK116" i="87"/>
  <c r="BV202" i="87"/>
  <c r="BG204" i="87"/>
  <c r="AK127" i="87"/>
  <c r="CC99" i="87"/>
  <c r="BM96" i="87"/>
  <c r="BM95" i="87"/>
  <c r="JM26" i="11"/>
  <c r="JM28" i="11"/>
  <c r="KA29" i="11"/>
  <c r="KA28" i="11"/>
  <c r="JZ29" i="11"/>
  <c r="LI30" i="11"/>
  <c r="MM30" i="11" s="1"/>
  <c r="LJ28" i="11"/>
  <c r="KD26" i="11"/>
  <c r="JY29" i="11"/>
  <c r="JG29" i="11"/>
  <c r="CI28" i="11"/>
  <c r="CK26" i="11"/>
  <c r="JH29" i="11"/>
  <c r="JH28" i="11"/>
  <c r="KD28" i="11"/>
  <c r="CK27" i="11"/>
  <c r="LH23" i="11"/>
  <c r="ML23" i="11" s="1"/>
  <c r="LI21" i="11"/>
  <c r="CI19" i="11"/>
  <c r="CK19" i="11" s="1"/>
  <c r="CI22" i="11" s="1"/>
  <c r="CP19" i="11" s="1"/>
  <c r="CC25" i="11"/>
  <c r="CI20" i="11" s="1"/>
  <c r="BT25" i="11"/>
  <c r="BT24" i="11" s="1"/>
  <c r="BT23" i="11" s="1"/>
  <c r="CD24" i="11" s="1"/>
  <c r="FQ21" i="11"/>
  <c r="JF21" i="11"/>
  <c r="JK19" i="11"/>
  <c r="JF22" i="11" s="1"/>
  <c r="EP19" i="11"/>
  <c r="GK24" i="11"/>
  <c r="GK25" i="11" s="1"/>
  <c r="JG21" i="11"/>
  <c r="FQ19" i="11"/>
  <c r="HR25" i="11"/>
  <c r="HQ25" i="11"/>
  <c r="IA24" i="11"/>
  <c r="HX24" i="11"/>
  <c r="HV24" i="11"/>
  <c r="HR24" i="11"/>
  <c r="HY24" i="11"/>
  <c r="HW24" i="11"/>
  <c r="HU24" i="11"/>
  <c r="HQ24" i="11"/>
  <c r="HZ23" i="11"/>
  <c r="HX23" i="11"/>
  <c r="HV23" i="11"/>
  <c r="HT23" i="11"/>
  <c r="IB22" i="11"/>
  <c r="HZ22" i="11"/>
  <c r="HX22" i="11"/>
  <c r="HV22" i="11"/>
  <c r="HT22" i="11"/>
  <c r="IA23" i="11"/>
  <c r="HY23" i="11"/>
  <c r="HW23" i="11"/>
  <c r="HU23" i="11"/>
  <c r="IA22" i="11"/>
  <c r="HY22" i="11"/>
  <c r="HW22" i="11"/>
  <c r="HU22" i="11"/>
  <c r="IA20" i="11"/>
  <c r="HY20" i="11"/>
  <c r="HW20" i="11"/>
  <c r="HU20" i="11"/>
  <c r="IB19" i="11"/>
  <c r="HZ19" i="11"/>
  <c r="HX19" i="11"/>
  <c r="HV19" i="11"/>
  <c r="IB20" i="11"/>
  <c r="HZ20" i="11"/>
  <c r="HX20" i="11"/>
  <c r="HV20" i="11"/>
  <c r="IA19" i="11"/>
  <c r="HY19" i="11"/>
  <c r="HW19" i="11"/>
  <c r="HU19" i="11"/>
  <c r="DN25" i="11"/>
  <c r="DM25" i="11"/>
  <c r="DW24" i="11"/>
  <c r="DT24" i="11"/>
  <c r="DR24" i="11"/>
  <c r="DN24" i="11"/>
  <c r="DU24" i="11"/>
  <c r="DS24" i="11"/>
  <c r="DQ24" i="11"/>
  <c r="DM24" i="11"/>
  <c r="DV23" i="11"/>
  <c r="DT23" i="11"/>
  <c r="DR23" i="11"/>
  <c r="DP23" i="11"/>
  <c r="DW23" i="11"/>
  <c r="DU23" i="11"/>
  <c r="DS23" i="11"/>
  <c r="DQ23" i="11"/>
  <c r="DX22" i="11"/>
  <c r="DV22" i="11"/>
  <c r="DT22" i="11"/>
  <c r="DR22" i="11"/>
  <c r="DP22" i="11"/>
  <c r="DW22" i="11"/>
  <c r="DU22" i="11"/>
  <c r="DS22" i="11"/>
  <c r="DQ22" i="11"/>
  <c r="DW20" i="11"/>
  <c r="DU20" i="11"/>
  <c r="DS20" i="11"/>
  <c r="DQ20" i="11"/>
  <c r="DX19" i="11"/>
  <c r="DV19" i="11"/>
  <c r="DT19" i="11"/>
  <c r="DR19" i="11"/>
  <c r="DX20" i="11"/>
  <c r="DV20" i="11"/>
  <c r="DT20" i="11"/>
  <c r="DR20" i="11"/>
  <c r="DW19" i="11"/>
  <c r="DU19" i="11"/>
  <c r="DS19" i="11"/>
  <c r="DQ19" i="11"/>
  <c r="IR25" i="11"/>
  <c r="IS25" i="11"/>
  <c r="JB24" i="11"/>
  <c r="IY24" i="11"/>
  <c r="IW24" i="11"/>
  <c r="IS24" i="11"/>
  <c r="IZ24" i="11"/>
  <c r="IX24" i="11"/>
  <c r="IV24" i="11"/>
  <c r="IR24" i="11"/>
  <c r="JA23" i="11"/>
  <c r="IY23" i="11"/>
  <c r="IW23" i="11"/>
  <c r="IU23" i="11"/>
  <c r="JB22" i="11"/>
  <c r="IZ22" i="11"/>
  <c r="IX22" i="11"/>
  <c r="IV22" i="11"/>
  <c r="JB23" i="11"/>
  <c r="IZ23" i="11"/>
  <c r="IX23" i="11"/>
  <c r="IV23" i="11"/>
  <c r="JC22" i="11"/>
  <c r="JA22" i="11"/>
  <c r="IY22" i="11"/>
  <c r="IW22" i="11"/>
  <c r="IU22" i="11"/>
  <c r="JB20" i="11"/>
  <c r="IZ20" i="11"/>
  <c r="IX20" i="11"/>
  <c r="IV20" i="11"/>
  <c r="JC20" i="11"/>
  <c r="JA20" i="11"/>
  <c r="IY20" i="11"/>
  <c r="IW20" i="11"/>
  <c r="JC19" i="11"/>
  <c r="JA19" i="11"/>
  <c r="IY19" i="11"/>
  <c r="IW19" i="11"/>
  <c r="JB19" i="11"/>
  <c r="IZ19" i="11"/>
  <c r="IV19" i="11"/>
  <c r="IX19" i="11"/>
  <c r="JH21" i="11"/>
  <c r="JY21" i="11"/>
  <c r="KD19" i="11"/>
  <c r="EP22" i="11"/>
  <c r="EI23" i="11" s="1"/>
  <c r="JZ21" i="11"/>
  <c r="FQ22" i="11"/>
  <c r="FJ23" i="11" s="1"/>
  <c r="KA21" i="11"/>
  <c r="X395" i="15"/>
  <c r="AK398" i="15" s="1"/>
  <c r="AI399" i="15"/>
  <c r="K1" i="86"/>
  <c r="X375" i="15"/>
  <c r="AK378" i="15" s="1"/>
  <c r="AI396" i="15"/>
  <c r="V145" i="15"/>
  <c r="AK146" i="15" s="1"/>
  <c r="U175" i="15"/>
  <c r="AK175" i="15" s="1"/>
  <c r="W175" i="15"/>
  <c r="AK177" i="15" s="1"/>
  <c r="Y175" i="15"/>
  <c r="AK179" i="15" s="1"/>
  <c r="AA175" i="15"/>
  <c r="AK181" i="15" s="1"/>
  <c r="W325" i="15"/>
  <c r="AK327" i="15" s="1"/>
  <c r="AA325" i="15"/>
  <c r="AK331" i="15" s="1"/>
  <c r="Z395" i="15"/>
  <c r="AK400" i="15" s="1"/>
  <c r="Z95" i="15"/>
  <c r="AK100" i="15" s="1"/>
  <c r="X125" i="15"/>
  <c r="AK128" i="15" s="1"/>
  <c r="V375" i="15"/>
  <c r="AK376" i="15" s="1"/>
  <c r="Z375" i="15"/>
  <c r="AK380" i="15" s="1"/>
  <c r="AI199" i="15"/>
  <c r="U375" i="15"/>
  <c r="AK375" i="15" s="1"/>
  <c r="W375" i="15"/>
  <c r="AK377" i="15" s="1"/>
  <c r="Y375" i="15"/>
  <c r="AK379" i="15" s="1"/>
  <c r="AA375" i="15"/>
  <c r="AK381" i="15" s="1"/>
  <c r="U395" i="15"/>
  <c r="AK395" i="15" s="1"/>
  <c r="W395" i="15"/>
  <c r="AK397" i="15" s="1"/>
  <c r="AA395" i="15"/>
  <c r="AK401" i="15" s="1"/>
  <c r="AI99" i="15"/>
  <c r="U145" i="15"/>
  <c r="AK145" i="15" s="1"/>
  <c r="W145" i="15"/>
  <c r="AK147" i="15" s="1"/>
  <c r="Y145" i="15"/>
  <c r="AK149" i="15" s="1"/>
  <c r="AA145" i="15"/>
  <c r="AK151" i="15" s="1"/>
  <c r="Z195" i="15"/>
  <c r="AK200" i="15" s="1"/>
  <c r="V325" i="15"/>
  <c r="AK326" i="15" s="1"/>
  <c r="Z325" i="15"/>
  <c r="AK330" i="15" s="1"/>
  <c r="V125" i="15"/>
  <c r="AK126" i="15" s="1"/>
  <c r="Z125" i="15"/>
  <c r="AK130" i="15" s="1"/>
  <c r="KO8" i="11"/>
  <c r="KQ8" i="11"/>
  <c r="KS8" i="11"/>
  <c r="KU8" i="11"/>
  <c r="KW8" i="11"/>
  <c r="KN8" i="11"/>
  <c r="KN11" i="11" s="1"/>
  <c r="KO10" i="11" s="1"/>
  <c r="KP8" i="11"/>
  <c r="KR8" i="11"/>
  <c r="KT8" i="11"/>
  <c r="KV8" i="11"/>
  <c r="JV8" i="11"/>
  <c r="KB12" i="11"/>
  <c r="KB15" i="11" s="1"/>
  <c r="KI12" i="11" s="1"/>
  <c r="N89" i="15"/>
  <c r="N91" i="15" s="1"/>
  <c r="X75" i="15"/>
  <c r="AK78" i="15" s="1"/>
  <c r="Z75" i="15"/>
  <c r="AK80" i="15" s="1"/>
  <c r="V75" i="15"/>
  <c r="AK76" i="15" s="1"/>
  <c r="S79" i="15"/>
  <c r="S81" i="15" s="1"/>
  <c r="R79" i="15"/>
  <c r="R81" i="15" s="1"/>
  <c r="P79" i="15"/>
  <c r="P81" i="15" s="1"/>
  <c r="O79" i="15"/>
  <c r="O81" i="15" s="1"/>
  <c r="N79" i="15"/>
  <c r="N81" i="15" s="1"/>
  <c r="S69" i="15"/>
  <c r="S71" i="15" s="1"/>
  <c r="R69" i="15"/>
  <c r="R71" i="15" s="1"/>
  <c r="Q69" i="15"/>
  <c r="Q71" i="15" s="1"/>
  <c r="N69" i="15"/>
  <c r="N71" i="15" s="1"/>
  <c r="S59" i="15"/>
  <c r="S61" i="15" s="1"/>
  <c r="P59" i="15"/>
  <c r="P61" i="15" s="1"/>
  <c r="N31" i="15"/>
  <c r="LB15" i="11"/>
  <c r="LA15" i="11"/>
  <c r="LB8" i="11"/>
  <c r="LA8" i="11"/>
  <c r="U75" i="15"/>
  <c r="AK75" i="15" s="1"/>
  <c r="W75" i="15"/>
  <c r="AK77" i="15" s="1"/>
  <c r="Y75" i="15"/>
  <c r="AK79" i="15" s="1"/>
  <c r="AA75" i="15"/>
  <c r="AK81" i="15" s="1"/>
  <c r="U95" i="15"/>
  <c r="AK95" i="15" s="1"/>
  <c r="W95" i="15"/>
  <c r="AK97" i="15" s="1"/>
  <c r="AA95" i="15"/>
  <c r="AK101" i="15" s="1"/>
  <c r="U125" i="15"/>
  <c r="AK125" i="15" s="1"/>
  <c r="W125" i="15"/>
  <c r="AK127" i="15" s="1"/>
  <c r="Y125" i="15"/>
  <c r="AK129" i="15" s="1"/>
  <c r="AA125" i="15"/>
  <c r="AK131" i="15" s="1"/>
  <c r="U195" i="15"/>
  <c r="AK195" i="15" s="1"/>
  <c r="W195" i="15"/>
  <c r="AK197" i="15" s="1"/>
  <c r="AA195" i="15"/>
  <c r="AK201" i="15" s="1"/>
  <c r="JD8" i="11"/>
  <c r="JU8" i="11"/>
  <c r="BY16" i="11"/>
  <c r="CA16" i="11"/>
  <c r="CC16" i="11"/>
  <c r="JI5" i="11"/>
  <c r="JI8" i="11" s="1"/>
  <c r="JP5" i="11" s="1"/>
  <c r="BY9" i="11"/>
  <c r="CA9" i="11"/>
  <c r="CC9" i="11"/>
  <c r="JJ12" i="11"/>
  <c r="JJ15" i="11" s="1"/>
  <c r="JJ18" i="11" s="1"/>
  <c r="JV15" i="11"/>
  <c r="KB6" i="11"/>
  <c r="NY9" i="11" s="1"/>
  <c r="KB13" i="11"/>
  <c r="NY16" i="11" s="1"/>
  <c r="HJ5" i="11"/>
  <c r="JD15" i="11"/>
  <c r="JU15" i="11"/>
  <c r="JJ5" i="11"/>
  <c r="JJ8" i="11" s="1"/>
  <c r="JJ11" i="11" s="1"/>
  <c r="BZ9" i="11"/>
  <c r="CB9" i="11"/>
  <c r="JV6" i="11"/>
  <c r="JV7" i="11"/>
  <c r="BZ16" i="11"/>
  <c r="CB16" i="11"/>
  <c r="JV13" i="11"/>
  <c r="JU6" i="11"/>
  <c r="JD6" i="11"/>
  <c r="JD13" i="11"/>
  <c r="JU13" i="11"/>
  <c r="JV14" i="11"/>
  <c r="IC9" i="11"/>
  <c r="IK9" i="11" s="1"/>
  <c r="IK5" i="11"/>
  <c r="JU7" i="11"/>
  <c r="JD7" i="11"/>
  <c r="JU14" i="11"/>
  <c r="JD14" i="11"/>
  <c r="DF12" i="11"/>
  <c r="HJ12" i="11"/>
  <c r="IK12" i="11"/>
  <c r="DF5" i="11"/>
  <c r="BV15" i="11"/>
  <c r="BU15" i="11"/>
  <c r="BV8" i="11"/>
  <c r="BU8" i="11"/>
  <c r="NI9" i="11"/>
  <c r="JX9" i="11"/>
  <c r="KI5" i="11"/>
  <c r="KC11" i="11"/>
  <c r="KJ5" i="11"/>
  <c r="DF9" i="11"/>
  <c r="HJ9" i="11"/>
  <c r="NI16" i="11"/>
  <c r="JX16" i="11"/>
  <c r="JP12" i="11"/>
  <c r="KC18" i="11"/>
  <c r="KJ12" i="11"/>
  <c r="DF16" i="11"/>
  <c r="HJ16" i="11"/>
  <c r="IK16" i="11"/>
  <c r="KN18" i="11"/>
  <c r="KO17" i="11" s="1"/>
  <c r="KN17" i="11"/>
  <c r="KQ17" i="11" s="1"/>
  <c r="KT17" i="11"/>
  <c r="KS17" i="11"/>
  <c r="KT16" i="11"/>
  <c r="JE5" i="11"/>
  <c r="JX5" i="11"/>
  <c r="DF6" i="11"/>
  <c r="EG6" i="11"/>
  <c r="DY9" i="11" s="1"/>
  <c r="FH6" i="11"/>
  <c r="EZ9" i="11" s="1"/>
  <c r="GI6" i="11"/>
  <c r="GA9" i="11" s="1"/>
  <c r="HJ6" i="11"/>
  <c r="IK6" i="11"/>
  <c r="JE6" i="11"/>
  <c r="KC6" i="11"/>
  <c r="CJ7" i="11"/>
  <c r="CJ10" i="11" s="1"/>
  <c r="CQ6" i="11" s="1"/>
  <c r="CX7" i="11"/>
  <c r="CY7" i="11"/>
  <c r="CY10" i="11" s="1"/>
  <c r="DH5" i="11" s="1"/>
  <c r="CZ7" i="11"/>
  <c r="CZ10" i="11" s="1"/>
  <c r="DI5" i="11" s="1"/>
  <c r="DA7" i="11"/>
  <c r="DA10" i="11" s="1"/>
  <c r="DJ5" i="11" s="1"/>
  <c r="DB7" i="11"/>
  <c r="DB10" i="11" s="1"/>
  <c r="DK5" i="11" s="1"/>
  <c r="DC7" i="11"/>
  <c r="DC10" i="11" s="1"/>
  <c r="DL5" i="11" s="1"/>
  <c r="DD7" i="11"/>
  <c r="DD10" i="11" s="1"/>
  <c r="DM5" i="11" s="1"/>
  <c r="DE7" i="11"/>
  <c r="DE10" i="11" s="1"/>
  <c r="DN5" i="11" s="1"/>
  <c r="DY7" i="11"/>
  <c r="DZ7" i="11"/>
  <c r="EA7" i="11"/>
  <c r="EB7" i="11"/>
  <c r="EC7" i="11"/>
  <c r="ED7" i="11"/>
  <c r="EE7" i="11"/>
  <c r="EF7" i="11"/>
  <c r="EZ7" i="11"/>
  <c r="FA7" i="11"/>
  <c r="FB7" i="11"/>
  <c r="FC7" i="11"/>
  <c r="FD7" i="11"/>
  <c r="FE7" i="11"/>
  <c r="FF7" i="11"/>
  <c r="FG7" i="11"/>
  <c r="GA7" i="11"/>
  <c r="GB7" i="11"/>
  <c r="GC7" i="11"/>
  <c r="GD7" i="11"/>
  <c r="GE7" i="11"/>
  <c r="GF7" i="11"/>
  <c r="GG7" i="11"/>
  <c r="GH7" i="11"/>
  <c r="HB7" i="11"/>
  <c r="HC7" i="11"/>
  <c r="HC10" i="11" s="1"/>
  <c r="HL5" i="11" s="1"/>
  <c r="HD7" i="11"/>
  <c r="HD10" i="11" s="1"/>
  <c r="HM5" i="11" s="1"/>
  <c r="HE7" i="11"/>
  <c r="HE10" i="11" s="1"/>
  <c r="HN5" i="11" s="1"/>
  <c r="HF7" i="11"/>
  <c r="HF10" i="11" s="1"/>
  <c r="HO5" i="11" s="1"/>
  <c r="HG7" i="11"/>
  <c r="HG10" i="11" s="1"/>
  <c r="HP5" i="11" s="1"/>
  <c r="HH7" i="11"/>
  <c r="HH10" i="11" s="1"/>
  <c r="HQ5" i="11" s="1"/>
  <c r="HI7" i="11"/>
  <c r="HI10" i="11" s="1"/>
  <c r="HR5" i="11" s="1"/>
  <c r="IC7" i="11"/>
  <c r="ID7" i="11"/>
  <c r="ID10" i="11" s="1"/>
  <c r="IM5" i="11" s="1"/>
  <c r="IE7" i="11"/>
  <c r="IE10" i="11" s="1"/>
  <c r="IN5" i="11" s="1"/>
  <c r="IF7" i="11"/>
  <c r="IF10" i="11" s="1"/>
  <c r="IO5" i="11" s="1"/>
  <c r="IG7" i="11"/>
  <c r="IG10" i="11" s="1"/>
  <c r="IP5" i="11" s="1"/>
  <c r="IH7" i="11"/>
  <c r="IH10" i="11" s="1"/>
  <c r="IQ5" i="11" s="1"/>
  <c r="II7" i="11"/>
  <c r="II10" i="11" s="1"/>
  <c r="IR5" i="11" s="1"/>
  <c r="IJ7" i="11"/>
  <c r="IJ10" i="11" s="1"/>
  <c r="IS5" i="11" s="1"/>
  <c r="JI7" i="11"/>
  <c r="JI10" i="11" s="1"/>
  <c r="JP6" i="11" s="1"/>
  <c r="KB7" i="11"/>
  <c r="KB10" i="11" s="1"/>
  <c r="KI6" i="11" s="1"/>
  <c r="KC7" i="11"/>
  <c r="KC10" i="11" s="1"/>
  <c r="KJ6" i="11" s="1"/>
  <c r="LC7" i="11"/>
  <c r="CJ8" i="11"/>
  <c r="CX8" i="11"/>
  <c r="CY8" i="11"/>
  <c r="CZ8" i="11"/>
  <c r="DA8" i="11"/>
  <c r="DB8" i="11"/>
  <c r="DC8" i="11"/>
  <c r="DD8" i="11"/>
  <c r="DE8" i="11"/>
  <c r="DY8" i="11"/>
  <c r="DZ8" i="11"/>
  <c r="EA8" i="11"/>
  <c r="EB8" i="11"/>
  <c r="EC8" i="11"/>
  <c r="ED8" i="11"/>
  <c r="EE8" i="11"/>
  <c r="EF8" i="11"/>
  <c r="EZ8" i="11"/>
  <c r="FA8" i="11"/>
  <c r="FB8" i="11"/>
  <c r="FC8" i="11"/>
  <c r="FD8" i="11"/>
  <c r="FE8" i="11"/>
  <c r="FF8" i="11"/>
  <c r="FG8" i="11"/>
  <c r="GA8" i="11"/>
  <c r="GB8" i="11"/>
  <c r="GC8" i="11"/>
  <c r="GD8" i="11"/>
  <c r="GE8" i="11"/>
  <c r="GF8" i="11"/>
  <c r="GG8" i="11"/>
  <c r="GH8" i="11"/>
  <c r="HB8" i="11"/>
  <c r="HC8" i="11"/>
  <c r="HD8" i="11"/>
  <c r="HE8" i="11"/>
  <c r="HF8" i="11"/>
  <c r="HG8" i="11"/>
  <c r="HH8" i="11"/>
  <c r="HI8" i="11"/>
  <c r="IC8" i="11"/>
  <c r="ID8" i="11"/>
  <c r="IE8" i="11"/>
  <c r="IF8" i="11"/>
  <c r="IG8" i="11"/>
  <c r="IH8" i="11"/>
  <c r="II8" i="11"/>
  <c r="IJ8" i="11"/>
  <c r="LC8" i="11"/>
  <c r="CJ9" i="11"/>
  <c r="DA9" i="11"/>
  <c r="DC9" i="11"/>
  <c r="FC9" i="11"/>
  <c r="HE9" i="11"/>
  <c r="HG9" i="11"/>
  <c r="IF9" i="11"/>
  <c r="IH9" i="11"/>
  <c r="JI9" i="11"/>
  <c r="NE9" i="11"/>
  <c r="BP11" i="11"/>
  <c r="BP10" i="11" s="1"/>
  <c r="DQ11" i="11"/>
  <c r="DS11" i="11"/>
  <c r="ER11" i="11"/>
  <c r="ET11" i="11"/>
  <c r="FS11" i="11"/>
  <c r="FU11" i="11"/>
  <c r="GT11" i="11"/>
  <c r="GV11" i="11"/>
  <c r="HU11" i="11"/>
  <c r="HW11" i="11"/>
  <c r="IV11" i="11"/>
  <c r="IX11" i="11"/>
  <c r="JE12" i="11"/>
  <c r="JX12" i="11"/>
  <c r="DF13" i="11"/>
  <c r="EG13" i="11"/>
  <c r="DY16" i="11" s="1"/>
  <c r="FH13" i="11"/>
  <c r="EZ16" i="11" s="1"/>
  <c r="GI13" i="11"/>
  <c r="GA16" i="11" s="1"/>
  <c r="HJ13" i="11"/>
  <c r="IK13" i="11"/>
  <c r="JE13" i="11"/>
  <c r="KC13" i="11"/>
  <c r="CJ14" i="11"/>
  <c r="CJ17" i="11" s="1"/>
  <c r="CQ13" i="11" s="1"/>
  <c r="CX14" i="11"/>
  <c r="CY14" i="11"/>
  <c r="CY17" i="11" s="1"/>
  <c r="DH12" i="11" s="1"/>
  <c r="CZ14" i="11"/>
  <c r="CZ17" i="11" s="1"/>
  <c r="DI12" i="11" s="1"/>
  <c r="DA14" i="11"/>
  <c r="DA17" i="11" s="1"/>
  <c r="DJ12" i="11" s="1"/>
  <c r="DB14" i="11"/>
  <c r="DB17" i="11" s="1"/>
  <c r="DK12" i="11" s="1"/>
  <c r="DC14" i="11"/>
  <c r="DC17" i="11" s="1"/>
  <c r="DL12" i="11" s="1"/>
  <c r="DD14" i="11"/>
  <c r="DD17" i="11" s="1"/>
  <c r="DM12" i="11" s="1"/>
  <c r="DE14" i="11"/>
  <c r="DE17" i="11" s="1"/>
  <c r="DN12" i="11" s="1"/>
  <c r="DY14" i="11"/>
  <c r="DZ14" i="11"/>
  <c r="EA14" i="11"/>
  <c r="EB14" i="11"/>
  <c r="EC14" i="11"/>
  <c r="ED14" i="11"/>
  <c r="EE14" i="11"/>
  <c r="EF14" i="11"/>
  <c r="EZ14" i="11"/>
  <c r="FA14" i="11"/>
  <c r="FB14" i="11"/>
  <c r="FC14" i="11"/>
  <c r="FD14" i="11"/>
  <c r="FE14" i="11"/>
  <c r="FF14" i="11"/>
  <c r="FG14" i="11"/>
  <c r="GA14" i="11"/>
  <c r="GB14" i="11"/>
  <c r="GC14" i="11"/>
  <c r="GD14" i="11"/>
  <c r="GE14" i="11"/>
  <c r="GF14" i="11"/>
  <c r="GG14" i="11"/>
  <c r="GH14" i="11"/>
  <c r="HB14" i="11"/>
  <c r="HC14" i="11"/>
  <c r="HC17" i="11" s="1"/>
  <c r="HL12" i="11" s="1"/>
  <c r="HD14" i="11"/>
  <c r="HD17" i="11" s="1"/>
  <c r="HM12" i="11" s="1"/>
  <c r="HE14" i="11"/>
  <c r="HE17" i="11" s="1"/>
  <c r="HN12" i="11" s="1"/>
  <c r="HF14" i="11"/>
  <c r="HF17" i="11" s="1"/>
  <c r="HO12" i="11" s="1"/>
  <c r="HG14" i="11"/>
  <c r="HG17" i="11" s="1"/>
  <c r="HP12" i="11" s="1"/>
  <c r="HH14" i="11"/>
  <c r="HH17" i="11" s="1"/>
  <c r="HQ12" i="11" s="1"/>
  <c r="HI14" i="11"/>
  <c r="HI17" i="11" s="1"/>
  <c r="HR12" i="11" s="1"/>
  <c r="IC14" i="11"/>
  <c r="ID14" i="11"/>
  <c r="ID17" i="11" s="1"/>
  <c r="IM12" i="11" s="1"/>
  <c r="IE14" i="11"/>
  <c r="IE17" i="11" s="1"/>
  <c r="IN12" i="11" s="1"/>
  <c r="IF14" i="11"/>
  <c r="IF17" i="11" s="1"/>
  <c r="IO12" i="11" s="1"/>
  <c r="IG14" i="11"/>
  <c r="IG17" i="11" s="1"/>
  <c r="IP12" i="11" s="1"/>
  <c r="IH14" i="11"/>
  <c r="IH17" i="11" s="1"/>
  <c r="IQ12" i="11" s="1"/>
  <c r="II14" i="11"/>
  <c r="II17" i="11" s="1"/>
  <c r="IR12" i="11" s="1"/>
  <c r="IJ14" i="11"/>
  <c r="IJ17" i="11" s="1"/>
  <c r="IS12" i="11" s="1"/>
  <c r="JI14" i="11"/>
  <c r="JI17" i="11" s="1"/>
  <c r="JP13" i="11" s="1"/>
  <c r="KC14" i="11"/>
  <c r="KC17" i="11" s="1"/>
  <c r="KJ13" i="11" s="1"/>
  <c r="LC14" i="11"/>
  <c r="CJ15" i="11"/>
  <c r="CX15" i="11"/>
  <c r="CY15" i="11"/>
  <c r="CZ15" i="11"/>
  <c r="DA15" i="11"/>
  <c r="DB15" i="11"/>
  <c r="DC15" i="11"/>
  <c r="DD15" i="11"/>
  <c r="DE15" i="11"/>
  <c r="DY15" i="11"/>
  <c r="DZ15" i="11"/>
  <c r="EA15" i="11"/>
  <c r="EB15" i="11"/>
  <c r="EC15" i="11"/>
  <c r="ED15" i="11"/>
  <c r="EE15" i="11"/>
  <c r="EF15" i="11"/>
  <c r="EZ15" i="11"/>
  <c r="FA15" i="11"/>
  <c r="FB15" i="11"/>
  <c r="FC15" i="11"/>
  <c r="FD15" i="11"/>
  <c r="FE15" i="11"/>
  <c r="FF15" i="11"/>
  <c r="FG15" i="11"/>
  <c r="GA15" i="11"/>
  <c r="GB15" i="11"/>
  <c r="GC15" i="11"/>
  <c r="GD15" i="11"/>
  <c r="GE15" i="11"/>
  <c r="GF15" i="11"/>
  <c r="GG15" i="11"/>
  <c r="GH15" i="11"/>
  <c r="HB15" i="11"/>
  <c r="HC15" i="11"/>
  <c r="HD15" i="11"/>
  <c r="HE15" i="11"/>
  <c r="HF15" i="11"/>
  <c r="HG15" i="11"/>
  <c r="HH15" i="11"/>
  <c r="HI15" i="11"/>
  <c r="IC15" i="11"/>
  <c r="ID15" i="11"/>
  <c r="IE15" i="11"/>
  <c r="IF15" i="11"/>
  <c r="IG15" i="11"/>
  <c r="IH15" i="11"/>
  <c r="II15" i="11"/>
  <c r="IJ15" i="11"/>
  <c r="LC15" i="11"/>
  <c r="CJ16" i="11"/>
  <c r="DA16" i="11"/>
  <c r="DC16" i="11"/>
  <c r="HE16" i="11"/>
  <c r="HG16" i="11"/>
  <c r="IF16" i="11"/>
  <c r="IH16" i="11"/>
  <c r="JI16" i="11"/>
  <c r="NE16" i="11"/>
  <c r="BP18" i="11"/>
  <c r="BP17" i="11" s="1"/>
  <c r="DQ18" i="11"/>
  <c r="DS18" i="11"/>
  <c r="ER18" i="11"/>
  <c r="ET18" i="11"/>
  <c r="FS18" i="11"/>
  <c r="FU18" i="11"/>
  <c r="GT18" i="11"/>
  <c r="GV18" i="11"/>
  <c r="HU18" i="11"/>
  <c r="HW18" i="11"/>
  <c r="IV18" i="11"/>
  <c r="IX18" i="11"/>
  <c r="AI215" i="15"/>
  <c r="U215" i="15"/>
  <c r="AK215" i="15" s="1"/>
  <c r="AI216" i="15"/>
  <c r="V215" i="15"/>
  <c r="AK216" i="15" s="1"/>
  <c r="AI217" i="15"/>
  <c r="W215" i="15"/>
  <c r="AK217" i="15" s="1"/>
  <c r="AI218" i="15"/>
  <c r="X215" i="15"/>
  <c r="AK218" i="15" s="1"/>
  <c r="AI219" i="15"/>
  <c r="Y215" i="15"/>
  <c r="AK219" i="15" s="1"/>
  <c r="AI220" i="15"/>
  <c r="Z215" i="15"/>
  <c r="AK220" i="15" s="1"/>
  <c r="AI221" i="15"/>
  <c r="AA215" i="15"/>
  <c r="AK221" i="15" s="1"/>
  <c r="AI225" i="15"/>
  <c r="U225" i="15"/>
  <c r="AK225" i="15" s="1"/>
  <c r="AI226" i="15"/>
  <c r="V225" i="15"/>
  <c r="AK226" i="15" s="1"/>
  <c r="AI227" i="15"/>
  <c r="W225" i="15"/>
  <c r="AK227" i="15" s="1"/>
  <c r="AI228" i="15"/>
  <c r="X225" i="15"/>
  <c r="AK228" i="15" s="1"/>
  <c r="AI229" i="15"/>
  <c r="Y225" i="15"/>
  <c r="AK229" i="15" s="1"/>
  <c r="AI230" i="15"/>
  <c r="Z225" i="15"/>
  <c r="AK230" i="15" s="1"/>
  <c r="AI235" i="15"/>
  <c r="U235" i="15"/>
  <c r="AK235" i="15" s="1"/>
  <c r="AI236" i="15"/>
  <c r="V235" i="15"/>
  <c r="AK236" i="15" s="1"/>
  <c r="AI237" i="15"/>
  <c r="W235" i="15"/>
  <c r="AK237" i="15" s="1"/>
  <c r="AI238" i="15"/>
  <c r="X235" i="15"/>
  <c r="AK238" i="15" s="1"/>
  <c r="AI239" i="15"/>
  <c r="Y235" i="15"/>
  <c r="AK239" i="15" s="1"/>
  <c r="AI240" i="15"/>
  <c r="Z235" i="15"/>
  <c r="AK240" i="15" s="1"/>
  <c r="AI241" i="15"/>
  <c r="AA235" i="15"/>
  <c r="AK241" i="15" s="1"/>
  <c r="AI245" i="15"/>
  <c r="U245" i="15"/>
  <c r="AK245" i="15" s="1"/>
  <c r="AI246" i="15"/>
  <c r="V245" i="15"/>
  <c r="AK246" i="15" s="1"/>
  <c r="AI247" i="15"/>
  <c r="W245" i="15"/>
  <c r="AK247" i="15" s="1"/>
  <c r="AI248" i="15"/>
  <c r="X245" i="15"/>
  <c r="AK248" i="15" s="1"/>
  <c r="AI249" i="15"/>
  <c r="Y245" i="15"/>
  <c r="AK249" i="15" s="1"/>
  <c r="AI250" i="15"/>
  <c r="Z245" i="15"/>
  <c r="AK250" i="15" s="1"/>
  <c r="AI251" i="15"/>
  <c r="AA245" i="15"/>
  <c r="AK251" i="15" s="1"/>
  <c r="AI255" i="15"/>
  <c r="U255" i="15"/>
  <c r="AK255" i="15" s="1"/>
  <c r="AI256" i="15"/>
  <c r="V255" i="15"/>
  <c r="AK256" i="15" s="1"/>
  <c r="AI257" i="15"/>
  <c r="W255" i="15"/>
  <c r="AK257" i="15" s="1"/>
  <c r="AI258" i="15"/>
  <c r="X255" i="15"/>
  <c r="AK258" i="15" s="1"/>
  <c r="AI259" i="15"/>
  <c r="Y255" i="15"/>
  <c r="AK259" i="15" s="1"/>
  <c r="AI260" i="15"/>
  <c r="Z255" i="15"/>
  <c r="AK260" i="15" s="1"/>
  <c r="AI261" i="15"/>
  <c r="AA255" i="15"/>
  <c r="AK261" i="15" s="1"/>
  <c r="AI265" i="15"/>
  <c r="U265" i="15"/>
  <c r="AK265" i="15" s="1"/>
  <c r="AI266" i="15"/>
  <c r="V265" i="15"/>
  <c r="AK266" i="15" s="1"/>
  <c r="AI267" i="15"/>
  <c r="W265" i="15"/>
  <c r="AK267" i="15" s="1"/>
  <c r="AI268" i="15"/>
  <c r="X265" i="15"/>
  <c r="AK268" i="15" s="1"/>
  <c r="AI269" i="15"/>
  <c r="Y265" i="15"/>
  <c r="AK269" i="15" s="1"/>
  <c r="AI270" i="15"/>
  <c r="Z265" i="15"/>
  <c r="AK270" i="15" s="1"/>
  <c r="AI271" i="15"/>
  <c r="AA265" i="15"/>
  <c r="AK271" i="15" s="1"/>
  <c r="AI275" i="15"/>
  <c r="U275" i="15"/>
  <c r="AK275" i="15" s="1"/>
  <c r="AI276" i="15"/>
  <c r="V275" i="15"/>
  <c r="AK276" i="15" s="1"/>
  <c r="AI277" i="15"/>
  <c r="W275" i="15"/>
  <c r="AK277" i="15" s="1"/>
  <c r="AI278" i="15"/>
  <c r="X275" i="15"/>
  <c r="AK278" i="15" s="1"/>
  <c r="AI279" i="15"/>
  <c r="Y275" i="15"/>
  <c r="AK279" i="15" s="1"/>
  <c r="AI280" i="15"/>
  <c r="Z275" i="15"/>
  <c r="AK280" i="15" s="1"/>
  <c r="AI281" i="15"/>
  <c r="AA275" i="15"/>
  <c r="AK281" i="15" s="1"/>
  <c r="AI285" i="15"/>
  <c r="U285" i="15"/>
  <c r="AK285" i="15" s="1"/>
  <c r="AI286" i="15"/>
  <c r="V285" i="15"/>
  <c r="AK286" i="15" s="1"/>
  <c r="AI287" i="15"/>
  <c r="W285" i="15"/>
  <c r="AK287" i="15" s="1"/>
  <c r="AI288" i="15"/>
  <c r="X285" i="15"/>
  <c r="AK288" i="15" s="1"/>
  <c r="AI289" i="15"/>
  <c r="Y285" i="15"/>
  <c r="AK289" i="15" s="1"/>
  <c r="AI290" i="15"/>
  <c r="Z285" i="15"/>
  <c r="AK290" i="15" s="1"/>
  <c r="AI291" i="15"/>
  <c r="AA285" i="15"/>
  <c r="AK291" i="15" s="1"/>
  <c r="AI295" i="15"/>
  <c r="U295" i="15"/>
  <c r="AK295" i="15" s="1"/>
  <c r="AI296" i="15"/>
  <c r="V295" i="15"/>
  <c r="AK296" i="15" s="1"/>
  <c r="AI297" i="15"/>
  <c r="W295" i="15"/>
  <c r="AK297" i="15" s="1"/>
  <c r="AI298" i="15"/>
  <c r="X295" i="15"/>
  <c r="AK298" i="15" s="1"/>
  <c r="AI299" i="15"/>
  <c r="Y295" i="15"/>
  <c r="AK299" i="15" s="1"/>
  <c r="AI300" i="15"/>
  <c r="Z295" i="15"/>
  <c r="AK300" i="15" s="1"/>
  <c r="AI301" i="15"/>
  <c r="AA295" i="15"/>
  <c r="AK301" i="15" s="1"/>
  <c r="AI305" i="15"/>
  <c r="U305" i="15"/>
  <c r="AK305" i="15" s="1"/>
  <c r="AI306" i="15"/>
  <c r="V305" i="15"/>
  <c r="AK306" i="15" s="1"/>
  <c r="AI307" i="15"/>
  <c r="W305" i="15"/>
  <c r="AK307" i="15" s="1"/>
  <c r="AI308" i="15"/>
  <c r="X305" i="15"/>
  <c r="AK308" i="15" s="1"/>
  <c r="AI309" i="15"/>
  <c r="Y305" i="15"/>
  <c r="AK309" i="15" s="1"/>
  <c r="AI310" i="15"/>
  <c r="Z305" i="15"/>
  <c r="AK310" i="15" s="1"/>
  <c r="AI311" i="15"/>
  <c r="AA305" i="15"/>
  <c r="AK311" i="15" s="1"/>
  <c r="AI315" i="15"/>
  <c r="U315" i="15"/>
  <c r="AK315" i="15" s="1"/>
  <c r="AI316" i="15"/>
  <c r="V315" i="15"/>
  <c r="AK316" i="15" s="1"/>
  <c r="AI317" i="15"/>
  <c r="W315" i="15"/>
  <c r="AK317" i="15" s="1"/>
  <c r="AI318" i="15"/>
  <c r="X315" i="15"/>
  <c r="AK318" i="15" s="1"/>
  <c r="AI319" i="15"/>
  <c r="Y315" i="15"/>
  <c r="AK319" i="15" s="1"/>
  <c r="AI320" i="15"/>
  <c r="Z315" i="15"/>
  <c r="AK320" i="15" s="1"/>
  <c r="AI321" i="15"/>
  <c r="AA315" i="15"/>
  <c r="AK321" i="15" s="1"/>
  <c r="AI335" i="15"/>
  <c r="U335" i="15"/>
  <c r="AK335" i="15" s="1"/>
  <c r="AI336" i="15"/>
  <c r="V335" i="15"/>
  <c r="AK336" i="15" s="1"/>
  <c r="AI337" i="15"/>
  <c r="W335" i="15"/>
  <c r="AK337" i="15" s="1"/>
  <c r="AI338" i="15"/>
  <c r="X335" i="15"/>
  <c r="AK338" i="15" s="1"/>
  <c r="AI339" i="15"/>
  <c r="Y335" i="15"/>
  <c r="AK339" i="15" s="1"/>
  <c r="AI340" i="15"/>
  <c r="Z335" i="15"/>
  <c r="AK340" i="15" s="1"/>
  <c r="AI341" i="15"/>
  <c r="AA335" i="15"/>
  <c r="AK341" i="15" s="1"/>
  <c r="AI345" i="15"/>
  <c r="U345" i="15"/>
  <c r="AK345" i="15" s="1"/>
  <c r="AI346" i="15"/>
  <c r="V345" i="15"/>
  <c r="AK346" i="15" s="1"/>
  <c r="AI347" i="15"/>
  <c r="W345" i="15"/>
  <c r="AK347" i="15" s="1"/>
  <c r="AI348" i="15"/>
  <c r="X345" i="15"/>
  <c r="AK348" i="15" s="1"/>
  <c r="AI349" i="15"/>
  <c r="Y345" i="15"/>
  <c r="AK349" i="15" s="1"/>
  <c r="AI350" i="15"/>
  <c r="Z345" i="15"/>
  <c r="AK350" i="15" s="1"/>
  <c r="AI351" i="15"/>
  <c r="AA345" i="15"/>
  <c r="AK351" i="15" s="1"/>
  <c r="AI355" i="15"/>
  <c r="U355" i="15"/>
  <c r="AK355" i="15" s="1"/>
  <c r="AI356" i="15"/>
  <c r="V355" i="15"/>
  <c r="AK356" i="15" s="1"/>
  <c r="AI357" i="15"/>
  <c r="W355" i="15"/>
  <c r="AK357" i="15" s="1"/>
  <c r="AI358" i="15"/>
  <c r="X355" i="15"/>
  <c r="AK358" i="15" s="1"/>
  <c r="AI359" i="15"/>
  <c r="Y355" i="15"/>
  <c r="AK359" i="15" s="1"/>
  <c r="AI360" i="15"/>
  <c r="Z355" i="15"/>
  <c r="AK360" i="15" s="1"/>
  <c r="AI361" i="15"/>
  <c r="AA355" i="15"/>
  <c r="AK361" i="15" s="1"/>
  <c r="AI365" i="15"/>
  <c r="U365" i="15"/>
  <c r="AK365" i="15" s="1"/>
  <c r="AI366" i="15"/>
  <c r="V365" i="15"/>
  <c r="AK366" i="15" s="1"/>
  <c r="AI367" i="15"/>
  <c r="W365" i="15"/>
  <c r="AK367" i="15" s="1"/>
  <c r="AI368" i="15"/>
  <c r="X365" i="15"/>
  <c r="AK368" i="15" s="1"/>
  <c r="AI369" i="15"/>
  <c r="Y365" i="15"/>
  <c r="AK369" i="15" s="1"/>
  <c r="AI370" i="15"/>
  <c r="Z365" i="15"/>
  <c r="AK370" i="15" s="1"/>
  <c r="AI371" i="15"/>
  <c r="AA365" i="15"/>
  <c r="AK371" i="15" s="1"/>
  <c r="AI385" i="15"/>
  <c r="U385" i="15"/>
  <c r="AK385" i="15" s="1"/>
  <c r="AI386" i="15"/>
  <c r="V385" i="15"/>
  <c r="AK386" i="15" s="1"/>
  <c r="AI387" i="15"/>
  <c r="W385" i="15"/>
  <c r="AK387" i="15" s="1"/>
  <c r="AI388" i="15"/>
  <c r="X385" i="15"/>
  <c r="AK388" i="15" s="1"/>
  <c r="AI389" i="15"/>
  <c r="Y385" i="15"/>
  <c r="AK389" i="15" s="1"/>
  <c r="AI390" i="15"/>
  <c r="Z385" i="15"/>
  <c r="AK390" i="15" s="1"/>
  <c r="AI391" i="15"/>
  <c r="AA385" i="15"/>
  <c r="AK391" i="15" s="1"/>
  <c r="AI405" i="15"/>
  <c r="U405" i="15"/>
  <c r="AK405" i="15" s="1"/>
  <c r="AI406" i="15"/>
  <c r="V405" i="15"/>
  <c r="AK406" i="15" s="1"/>
  <c r="AI407" i="15"/>
  <c r="W405" i="15"/>
  <c r="AK407" i="15" s="1"/>
  <c r="AI408" i="15"/>
  <c r="X405" i="15"/>
  <c r="AK408" i="15" s="1"/>
  <c r="AI409" i="15"/>
  <c r="Y405" i="15"/>
  <c r="AK409" i="15" s="1"/>
  <c r="AI410" i="15"/>
  <c r="Z405" i="15"/>
  <c r="AK410" i="15" s="1"/>
  <c r="AI411" i="15"/>
  <c r="AA405" i="15"/>
  <c r="AK411" i="15" s="1"/>
  <c r="AI165" i="15"/>
  <c r="U165" i="15"/>
  <c r="AK165" i="15" s="1"/>
  <c r="AI166" i="15"/>
  <c r="V165" i="15"/>
  <c r="AK166" i="15" s="1"/>
  <c r="AI167" i="15"/>
  <c r="W165" i="15"/>
  <c r="AK167" i="15" s="1"/>
  <c r="AI168" i="15"/>
  <c r="X165" i="15"/>
  <c r="AK168" i="15" s="1"/>
  <c r="AI169" i="15"/>
  <c r="Y165" i="15"/>
  <c r="AK169" i="15" s="1"/>
  <c r="AI170" i="15"/>
  <c r="Z165" i="15"/>
  <c r="AK170" i="15" s="1"/>
  <c r="AI171" i="15"/>
  <c r="AA165" i="15"/>
  <c r="AK171" i="15" s="1"/>
  <c r="AI185" i="15"/>
  <c r="U185" i="15"/>
  <c r="AK185" i="15" s="1"/>
  <c r="AI186" i="15"/>
  <c r="V185" i="15"/>
  <c r="AK186" i="15" s="1"/>
  <c r="AI187" i="15"/>
  <c r="W185" i="15"/>
  <c r="AK187" i="15" s="1"/>
  <c r="AI188" i="15"/>
  <c r="X185" i="15"/>
  <c r="AK188" i="15" s="1"/>
  <c r="AI189" i="15"/>
  <c r="Y185" i="15"/>
  <c r="AK189" i="15" s="1"/>
  <c r="AI190" i="15"/>
  <c r="Z185" i="15"/>
  <c r="AK190" i="15" s="1"/>
  <c r="AI191" i="15"/>
  <c r="AA185" i="15"/>
  <c r="AK191" i="15" s="1"/>
  <c r="AI205" i="15"/>
  <c r="U205" i="15"/>
  <c r="AK205" i="15" s="1"/>
  <c r="AI206" i="15"/>
  <c r="V205" i="15"/>
  <c r="AK206" i="15" s="1"/>
  <c r="AI207" i="15"/>
  <c r="W205" i="15"/>
  <c r="AK207" i="15" s="1"/>
  <c r="AI208" i="15"/>
  <c r="X205" i="15"/>
  <c r="AK208" i="15" s="1"/>
  <c r="AI209" i="15"/>
  <c r="Y205" i="15"/>
  <c r="AK209" i="15" s="1"/>
  <c r="AI210" i="15"/>
  <c r="Z205" i="15"/>
  <c r="AK210" i="15" s="1"/>
  <c r="AI211" i="15"/>
  <c r="AA205" i="15"/>
  <c r="AK211" i="15" s="1"/>
  <c r="AI115" i="15"/>
  <c r="U115" i="15"/>
  <c r="AK115" i="15" s="1"/>
  <c r="AI116" i="15"/>
  <c r="V115" i="15"/>
  <c r="AK116" i="15" s="1"/>
  <c r="AI117" i="15"/>
  <c r="W115" i="15"/>
  <c r="AK117" i="15" s="1"/>
  <c r="AI118" i="15"/>
  <c r="X115" i="15"/>
  <c r="AK118" i="15" s="1"/>
  <c r="AI119" i="15"/>
  <c r="Y115" i="15"/>
  <c r="AK119" i="15" s="1"/>
  <c r="AI120" i="15"/>
  <c r="Z115" i="15"/>
  <c r="AK120" i="15" s="1"/>
  <c r="AI121" i="15"/>
  <c r="AA115" i="15"/>
  <c r="AK121" i="15" s="1"/>
  <c r="AI135" i="15"/>
  <c r="U135" i="15"/>
  <c r="AK135" i="15" s="1"/>
  <c r="AI136" i="15"/>
  <c r="V135" i="15"/>
  <c r="AK136" i="15" s="1"/>
  <c r="AI137" i="15"/>
  <c r="W135" i="15"/>
  <c r="AK137" i="15" s="1"/>
  <c r="AI138" i="15"/>
  <c r="X135" i="15"/>
  <c r="AK138" i="15" s="1"/>
  <c r="AI139" i="15"/>
  <c r="Y135" i="15"/>
  <c r="AK139" i="15" s="1"/>
  <c r="AI140" i="15"/>
  <c r="Z135" i="15"/>
  <c r="AK140" i="15" s="1"/>
  <c r="AI141" i="15"/>
  <c r="AA135" i="15"/>
  <c r="AK141" i="15" s="1"/>
  <c r="AI155" i="15"/>
  <c r="U155" i="15"/>
  <c r="AK155" i="15" s="1"/>
  <c r="AI156" i="15"/>
  <c r="V155" i="15"/>
  <c r="AK156" i="15" s="1"/>
  <c r="AI157" i="15"/>
  <c r="W155" i="15"/>
  <c r="AK157" i="15" s="1"/>
  <c r="AI158" i="15"/>
  <c r="X155" i="15"/>
  <c r="AK158" i="15" s="1"/>
  <c r="AI159" i="15"/>
  <c r="Y155" i="15"/>
  <c r="AK159" i="15" s="1"/>
  <c r="AI160" i="15"/>
  <c r="Z155" i="15"/>
  <c r="AK160" i="15" s="1"/>
  <c r="AI161" i="15"/>
  <c r="AA155" i="15"/>
  <c r="AK161" i="15" s="1"/>
  <c r="AI65" i="15"/>
  <c r="U65" i="15"/>
  <c r="AK65" i="15" s="1"/>
  <c r="AI66" i="15"/>
  <c r="V65" i="15"/>
  <c r="AK66" i="15" s="1"/>
  <c r="AI67" i="15"/>
  <c r="W65" i="15"/>
  <c r="AK67" i="15" s="1"/>
  <c r="AI68" i="15"/>
  <c r="X65" i="15"/>
  <c r="AK68" i="15" s="1"/>
  <c r="AI69" i="15"/>
  <c r="Y65" i="15"/>
  <c r="AK69" i="15" s="1"/>
  <c r="AI70" i="15"/>
  <c r="Z65" i="15"/>
  <c r="AK70" i="15" s="1"/>
  <c r="AI71" i="15"/>
  <c r="AA65" i="15"/>
  <c r="AI85" i="15"/>
  <c r="U85" i="15"/>
  <c r="AK85" i="15" s="1"/>
  <c r="AI86" i="15"/>
  <c r="V85" i="15"/>
  <c r="AK86" i="15" s="1"/>
  <c r="AI87" i="15"/>
  <c r="W85" i="15"/>
  <c r="AK87" i="15" s="1"/>
  <c r="AI88" i="15"/>
  <c r="X85" i="15"/>
  <c r="AK88" i="15" s="1"/>
  <c r="AI89" i="15"/>
  <c r="Y85" i="15"/>
  <c r="AK89" i="15" s="1"/>
  <c r="AI90" i="15"/>
  <c r="Z85" i="15"/>
  <c r="AK90" i="15" s="1"/>
  <c r="AI91" i="15"/>
  <c r="AA85" i="15"/>
  <c r="AK91" i="15" s="1"/>
  <c r="AI105" i="15"/>
  <c r="U105" i="15"/>
  <c r="AK105" i="15" s="1"/>
  <c r="AI106" i="15"/>
  <c r="V105" i="15"/>
  <c r="AK106" i="15" s="1"/>
  <c r="AI107" i="15"/>
  <c r="W105" i="15"/>
  <c r="AK107" i="15" s="1"/>
  <c r="AI108" i="15"/>
  <c r="X105" i="15"/>
  <c r="AK108" i="15" s="1"/>
  <c r="AI109" i="15"/>
  <c r="Y105" i="15"/>
  <c r="AK109" i="15" s="1"/>
  <c r="AI110" i="15"/>
  <c r="Z105" i="15"/>
  <c r="AK110" i="15" s="1"/>
  <c r="AI111" i="15"/>
  <c r="AA105" i="15"/>
  <c r="AK111" i="15" s="1"/>
  <c r="AI55" i="15"/>
  <c r="U55" i="15"/>
  <c r="AK55" i="15" s="1"/>
  <c r="AI56" i="15"/>
  <c r="V55" i="15"/>
  <c r="AK56" i="15" s="1"/>
  <c r="AI57" i="15"/>
  <c r="W55" i="15"/>
  <c r="AK57" i="15" s="1"/>
  <c r="AI58" i="15"/>
  <c r="X55" i="15"/>
  <c r="AK58" i="15" s="1"/>
  <c r="AI59" i="15"/>
  <c r="Y55" i="15"/>
  <c r="AK59" i="15" s="1"/>
  <c r="AI60" i="15"/>
  <c r="Z55" i="15"/>
  <c r="AK60" i="15" s="1"/>
  <c r="AI61" i="15"/>
  <c r="AA55" i="15"/>
  <c r="AK61" i="15" s="1"/>
  <c r="AI45" i="15"/>
  <c r="U45" i="15"/>
  <c r="AK45" i="15" s="1"/>
  <c r="AI46" i="15"/>
  <c r="V45" i="15"/>
  <c r="AK46" i="15" s="1"/>
  <c r="AI47" i="15"/>
  <c r="W45" i="15"/>
  <c r="AK47" i="15" s="1"/>
  <c r="AI48" i="15"/>
  <c r="X45" i="15"/>
  <c r="AK48" i="15" s="1"/>
  <c r="AI49" i="15"/>
  <c r="Y45" i="15"/>
  <c r="AK49" i="15" s="1"/>
  <c r="AI50" i="15"/>
  <c r="Z45" i="15"/>
  <c r="AK50" i="15" s="1"/>
  <c r="AI51" i="15"/>
  <c r="AA45" i="15"/>
  <c r="AK51" i="15" s="1"/>
  <c r="AI35" i="15"/>
  <c r="U35" i="15"/>
  <c r="AK35" i="15" s="1"/>
  <c r="AI36" i="15"/>
  <c r="V35" i="15"/>
  <c r="AK36" i="15" s="1"/>
  <c r="AI37" i="15"/>
  <c r="W35" i="15"/>
  <c r="AK37" i="15" s="1"/>
  <c r="AI38" i="15"/>
  <c r="X35" i="15"/>
  <c r="AK38" i="15" s="1"/>
  <c r="AI39" i="15"/>
  <c r="Y35" i="15"/>
  <c r="AK39" i="15" s="1"/>
  <c r="AI40" i="15"/>
  <c r="Z35" i="15"/>
  <c r="AK40" i="15" s="1"/>
  <c r="AI41" i="15"/>
  <c r="AA35" i="15"/>
  <c r="AK41" i="15" s="1"/>
  <c r="AI25" i="15"/>
  <c r="U25" i="15"/>
  <c r="AK25" i="15" s="1"/>
  <c r="AI26" i="15"/>
  <c r="V25" i="15"/>
  <c r="AK26" i="15" s="1"/>
  <c r="AI27" i="15"/>
  <c r="W25" i="15"/>
  <c r="AK27" i="15" s="1"/>
  <c r="AI28" i="15"/>
  <c r="X25" i="15"/>
  <c r="AK28" i="15" s="1"/>
  <c r="AI29" i="15"/>
  <c r="Y25" i="15"/>
  <c r="AK29" i="15" s="1"/>
  <c r="AI30" i="15"/>
  <c r="Z25" i="15"/>
  <c r="AK30" i="15" s="1"/>
  <c r="AI31" i="15"/>
  <c r="AA25" i="15"/>
  <c r="R38" i="85"/>
  <c r="Q38" i="85"/>
  <c r="R37" i="85"/>
  <c r="Q37" i="85"/>
  <c r="R36" i="85"/>
  <c r="Q36" i="85"/>
  <c r="R35" i="85"/>
  <c r="Q35" i="85"/>
  <c r="A28" i="85"/>
  <c r="A27" i="85"/>
  <c r="A26" i="85"/>
  <c r="A25" i="85"/>
  <c r="A24" i="85"/>
  <c r="A23" i="85"/>
  <c r="A22" i="85"/>
  <c r="A21" i="85"/>
  <c r="A20" i="85"/>
  <c r="A19" i="85"/>
  <c r="A18" i="85"/>
  <c r="A17" i="85"/>
  <c r="A16" i="85"/>
  <c r="A15" i="85"/>
  <c r="A14" i="85"/>
  <c r="A13" i="85"/>
  <c r="A12" i="85"/>
  <c r="A11" i="85"/>
  <c r="A10" i="85"/>
  <c r="A9" i="85"/>
  <c r="A8" i="85"/>
  <c r="H4" i="85"/>
  <c r="H3" i="85"/>
  <c r="H2" i="85"/>
  <c r="D1" i="85"/>
  <c r="E1" i="85" s="1"/>
  <c r="F1" i="85" s="1"/>
  <c r="G1" i="85" s="1"/>
  <c r="H1" i="85" s="1"/>
  <c r="I1" i="85" s="1"/>
  <c r="J1" i="85" s="1"/>
  <c r="K1" i="85" s="1"/>
  <c r="L1" i="85" s="1"/>
  <c r="M1" i="85" s="1"/>
  <c r="V20" i="85"/>
  <c r="G172" i="87"/>
  <c r="C126" i="87"/>
  <c r="E31" i="87"/>
  <c r="G31" i="87"/>
  <c r="H31" i="87"/>
  <c r="I31" i="87"/>
  <c r="D31" i="87"/>
  <c r="J200" i="87"/>
  <c r="C115" i="87"/>
  <c r="C144" i="87"/>
  <c r="K200" i="87"/>
  <c r="J31" i="87"/>
  <c r="H200" i="87"/>
  <c r="F31" i="87"/>
  <c r="I200" i="87"/>
  <c r="C108" i="87"/>
  <c r="L200" i="87"/>
  <c r="D144" i="87" l="1"/>
  <c r="D126" i="87"/>
  <c r="BI116" i="87" s="1"/>
  <c r="BN113" i="87" s="1"/>
  <c r="D108" i="87"/>
  <c r="BI98" i="87" s="1"/>
  <c r="BO94" i="87" s="1"/>
  <c r="KK37" i="11"/>
  <c r="KB16" i="11"/>
  <c r="DL14" i="11"/>
  <c r="GM38" i="11"/>
  <c r="GS34" i="11" s="1"/>
  <c r="CO39" i="11"/>
  <c r="MP37" i="11"/>
  <c r="LT38" i="11"/>
  <c r="LO35" i="11"/>
  <c r="MQ37" i="11"/>
  <c r="LN35" i="11"/>
  <c r="LT39" i="11"/>
  <c r="LN37" i="11"/>
  <c r="LO34" i="11"/>
  <c r="LN34" i="11"/>
  <c r="LN36" i="11"/>
  <c r="EU39" i="11"/>
  <c r="JF34" i="11"/>
  <c r="FN37" i="11"/>
  <c r="I34" i="87"/>
  <c r="I35" i="87" s="1"/>
  <c r="I36" i="87" s="1"/>
  <c r="AQ14" i="87" s="1"/>
  <c r="H182" i="87"/>
  <c r="I182" i="87" s="1"/>
  <c r="BL114" i="87"/>
  <c r="E137" i="87"/>
  <c r="I27" i="87"/>
  <c r="I26" i="87" s="1"/>
  <c r="CH22" i="11"/>
  <c r="JH22" i="11"/>
  <c r="DL7" i="11"/>
  <c r="KA22" i="11"/>
  <c r="AC44" i="87"/>
  <c r="AC43" i="87" s="1"/>
  <c r="BJ134" i="87"/>
  <c r="BJ137" i="87" s="1"/>
  <c r="BL132" i="87"/>
  <c r="BL133" i="87" s="1"/>
  <c r="E125" i="87"/>
  <c r="BI134" i="87"/>
  <c r="BM132" i="87" s="1"/>
  <c r="E34" i="87"/>
  <c r="E35" i="87" s="1"/>
  <c r="I29" i="87"/>
  <c r="J29" i="87" s="1"/>
  <c r="J28" i="87" s="1"/>
  <c r="J27" i="87" s="1"/>
  <c r="J26" i="87" s="1"/>
  <c r="F34" i="87"/>
  <c r="F35" i="87" s="1"/>
  <c r="J34" i="87"/>
  <c r="J35" i="87" s="1"/>
  <c r="J36" i="87" s="1"/>
  <c r="G34" i="87"/>
  <c r="G35" i="87" s="1"/>
  <c r="D34" i="87"/>
  <c r="D35" i="87" s="1"/>
  <c r="D36" i="87" s="1"/>
  <c r="AL14" i="87" s="1"/>
  <c r="D29" i="87"/>
  <c r="E29" i="87" s="1"/>
  <c r="H34" i="87"/>
  <c r="H35" i="87" s="1"/>
  <c r="AK128" i="87"/>
  <c r="AK133" i="87"/>
  <c r="AK117" i="87"/>
  <c r="AK174" i="87"/>
  <c r="BK137" i="87"/>
  <c r="BL118" i="87"/>
  <c r="BN96" i="87"/>
  <c r="BN95" i="87"/>
  <c r="AS203" i="87"/>
  <c r="AS202" i="87"/>
  <c r="AR203" i="87"/>
  <c r="CC118" i="87"/>
  <c r="BM114" i="87"/>
  <c r="BM115" i="87"/>
  <c r="BM99" i="87"/>
  <c r="AK146" i="87"/>
  <c r="AK110" i="87"/>
  <c r="JZ22" i="11"/>
  <c r="KG19" i="11" s="1"/>
  <c r="JY22" i="11"/>
  <c r="CE30" i="11"/>
  <c r="CF30" i="11"/>
  <c r="CG30" i="11"/>
  <c r="CH30" i="11"/>
  <c r="CE29" i="11"/>
  <c r="CF29" i="11"/>
  <c r="CG29" i="11"/>
  <c r="CH29" i="11"/>
  <c r="CI29" i="11"/>
  <c r="KF26" i="11"/>
  <c r="KF28" i="11"/>
  <c r="LJ30" i="11"/>
  <c r="LK28" i="11"/>
  <c r="LK30" i="11" s="1"/>
  <c r="KG26" i="11"/>
  <c r="KG28" i="11"/>
  <c r="JK28" i="11"/>
  <c r="JH31" i="11" s="1"/>
  <c r="CI30" i="11"/>
  <c r="JO26" i="11"/>
  <c r="JO28" i="11"/>
  <c r="CK28" i="11"/>
  <c r="CI31" i="11" s="1"/>
  <c r="CP27" i="11" s="1"/>
  <c r="JN26" i="11"/>
  <c r="JN28" i="11"/>
  <c r="KH26" i="11"/>
  <c r="KH28" i="11"/>
  <c r="LI23" i="11"/>
  <c r="MM23" i="11" s="1"/>
  <c r="LJ21" i="11"/>
  <c r="CI21" i="11"/>
  <c r="CK21" i="11" s="1"/>
  <c r="CE24" i="11" s="1"/>
  <c r="CL20" i="11" s="1"/>
  <c r="JG22" i="11"/>
  <c r="CK20" i="11"/>
  <c r="CE22" i="11"/>
  <c r="CL19" i="11" s="1"/>
  <c r="CG22" i="11"/>
  <c r="CN19" i="11" s="1"/>
  <c r="CF22" i="11"/>
  <c r="CM19" i="11" s="1"/>
  <c r="CL23" i="11"/>
  <c r="JM19" i="11"/>
  <c r="GO24" i="11"/>
  <c r="GO23" i="11"/>
  <c r="CF24" i="11"/>
  <c r="KD21" i="11"/>
  <c r="JO19" i="11"/>
  <c r="JN19" i="11"/>
  <c r="KH19" i="11"/>
  <c r="FJ24" i="11"/>
  <c r="FJ25" i="11" s="1"/>
  <c r="FN23" i="11" s="1"/>
  <c r="EI24" i="11"/>
  <c r="KF19" i="11"/>
  <c r="JK21" i="11"/>
  <c r="KA24" i="11" s="1"/>
  <c r="FE16" i="11"/>
  <c r="FN13" i="11" s="1"/>
  <c r="JW15" i="11"/>
  <c r="KA13" i="11" s="1"/>
  <c r="NU16" i="11" s="1"/>
  <c r="KN10" i="11"/>
  <c r="KQ10" i="11" s="1"/>
  <c r="KB14" i="11"/>
  <c r="KB17" i="11" s="1"/>
  <c r="KI13" i="11" s="1"/>
  <c r="L1" i="86"/>
  <c r="KB9" i="11"/>
  <c r="KI7" i="11" s="1"/>
  <c r="JW6" i="11"/>
  <c r="JY6" i="11" s="1"/>
  <c r="NM9" i="11" s="1"/>
  <c r="KS9" i="11"/>
  <c r="JJ14" i="11"/>
  <c r="JJ17" i="11" s="1"/>
  <c r="JQ13" i="11" s="1"/>
  <c r="JJ13" i="11"/>
  <c r="JJ16" i="11" s="1"/>
  <c r="JQ12" i="11"/>
  <c r="JW14" i="11"/>
  <c r="JZ13" i="11" s="1"/>
  <c r="NQ16" i="11" s="1"/>
  <c r="JJ7" i="11"/>
  <c r="JJ10" i="11" s="1"/>
  <c r="JQ6" i="11" s="1"/>
  <c r="JJ6" i="11"/>
  <c r="OD9" i="11" s="1"/>
  <c r="JQ5" i="11"/>
  <c r="JW7" i="11"/>
  <c r="JZ6" i="11" s="1"/>
  <c r="NQ9" i="11" s="1"/>
  <c r="JW8" i="11"/>
  <c r="KA6" i="11" s="1"/>
  <c r="NU9" i="11" s="1"/>
  <c r="JW13" i="11"/>
  <c r="JY13" i="11" s="1"/>
  <c r="NM16" i="11" s="1"/>
  <c r="LA9" i="11"/>
  <c r="LD8" i="11" s="1"/>
  <c r="LL7" i="11" s="1"/>
  <c r="LL8" i="11" s="1"/>
  <c r="LA16" i="11"/>
  <c r="LD15" i="11" s="1"/>
  <c r="LL14" i="11" s="1"/>
  <c r="LM14" i="11" s="1"/>
  <c r="LM15" i="11" s="1"/>
  <c r="AK71" i="15"/>
  <c r="AK31" i="15"/>
  <c r="HP7" i="11"/>
  <c r="GD9" i="11"/>
  <c r="GM6" i="11" s="1"/>
  <c r="ED9" i="11"/>
  <c r="EM6" i="11" s="1"/>
  <c r="IQ14" i="11"/>
  <c r="HP14" i="11"/>
  <c r="GF16" i="11"/>
  <c r="GO13" i="11" s="1"/>
  <c r="ED16" i="11"/>
  <c r="EM13" i="11" s="1"/>
  <c r="IO7" i="11"/>
  <c r="HN7" i="11"/>
  <c r="EB9" i="11"/>
  <c r="DJ7" i="11"/>
  <c r="FC16" i="11"/>
  <c r="FL13" i="11" s="1"/>
  <c r="BW5" i="11"/>
  <c r="BW11" i="11" s="1"/>
  <c r="BW9" i="11" s="1"/>
  <c r="BO9" i="11" s="1"/>
  <c r="BY10" i="11" s="1"/>
  <c r="CE5" i="11" s="1"/>
  <c r="CE7" i="11" s="1"/>
  <c r="IO14" i="11"/>
  <c r="GD16" i="11"/>
  <c r="GM13" i="11" s="1"/>
  <c r="EB16" i="11"/>
  <c r="BQ11" i="11"/>
  <c r="FE9" i="11"/>
  <c r="FN6" i="11" s="1"/>
  <c r="BW12" i="11"/>
  <c r="BW18" i="11" s="1"/>
  <c r="BW16" i="11" s="1"/>
  <c r="BO16" i="11" s="1"/>
  <c r="BY17" i="11" s="1"/>
  <c r="BY18" i="11" s="1"/>
  <c r="CE13" i="11" s="1"/>
  <c r="BQ18" i="11"/>
  <c r="HN14" i="11"/>
  <c r="DJ14" i="11"/>
  <c r="IQ7" i="11"/>
  <c r="GF9" i="11"/>
  <c r="GO6" i="11" s="1"/>
  <c r="EF9" i="11"/>
  <c r="EO6" i="11" s="1"/>
  <c r="GH9" i="11"/>
  <c r="GQ6" i="11" s="1"/>
  <c r="GG9" i="11"/>
  <c r="GP6" i="11" s="1"/>
  <c r="GE9" i="11"/>
  <c r="GN6" i="11" s="1"/>
  <c r="GC9" i="11"/>
  <c r="GB9" i="11"/>
  <c r="GK6" i="11" s="1"/>
  <c r="EE9" i="11"/>
  <c r="EN6" i="11" s="1"/>
  <c r="EC9" i="11"/>
  <c r="EL6" i="11" s="1"/>
  <c r="EA9" i="11"/>
  <c r="EJ6" i="11" s="1"/>
  <c r="DZ9" i="11"/>
  <c r="EI6" i="11" s="1"/>
  <c r="FG9" i="11"/>
  <c r="FP6" i="11" s="1"/>
  <c r="FF9" i="11"/>
  <c r="FO6" i="11" s="1"/>
  <c r="FD9" i="11"/>
  <c r="FM6" i="11" s="1"/>
  <c r="FB9" i="11"/>
  <c r="FK6" i="11" s="1"/>
  <c r="FA9" i="11"/>
  <c r="FJ6" i="11" s="1"/>
  <c r="GH16" i="11"/>
  <c r="GG16" i="11"/>
  <c r="GP13" i="11" s="1"/>
  <c r="GE16" i="11"/>
  <c r="GN13" i="11" s="1"/>
  <c r="GC16" i="11"/>
  <c r="GL13" i="11" s="1"/>
  <c r="GB16" i="11"/>
  <c r="GK13" i="11" s="1"/>
  <c r="FG16" i="11"/>
  <c r="FP13" i="11" s="1"/>
  <c r="FF16" i="11"/>
  <c r="FO13" i="11" s="1"/>
  <c r="FD16" i="11"/>
  <c r="FM13" i="11" s="1"/>
  <c r="FB16" i="11"/>
  <c r="FK13" i="11" s="1"/>
  <c r="FA16" i="11"/>
  <c r="FJ13" i="11" s="1"/>
  <c r="EF16" i="11"/>
  <c r="EO13" i="11" s="1"/>
  <c r="EE16" i="11"/>
  <c r="EN13" i="11" s="1"/>
  <c r="EC16" i="11"/>
  <c r="EA16" i="11"/>
  <c r="EJ13" i="11" s="1"/>
  <c r="DZ16" i="11"/>
  <c r="KI14" i="11"/>
  <c r="JP15" i="11"/>
  <c r="JP14" i="11"/>
  <c r="CQ15" i="11"/>
  <c r="CQ14" i="11"/>
  <c r="IJ18" i="11"/>
  <c r="IS15" i="11"/>
  <c r="IS13" i="11"/>
  <c r="II18" i="11"/>
  <c r="IR15" i="11"/>
  <c r="IR13" i="11"/>
  <c r="IH18" i="11"/>
  <c r="IQ15" i="11"/>
  <c r="IQ13" i="11"/>
  <c r="IG18" i="11"/>
  <c r="IP15" i="11"/>
  <c r="IP13" i="11"/>
  <c r="IF18" i="11"/>
  <c r="IO15" i="11"/>
  <c r="IO13" i="11"/>
  <c r="IE18" i="11"/>
  <c r="IN15" i="11"/>
  <c r="IN13" i="11"/>
  <c r="ID18" i="11"/>
  <c r="IM15" i="11"/>
  <c r="IM13" i="11"/>
  <c r="IC18" i="11"/>
  <c r="IK18" i="11" s="1"/>
  <c r="IM16" i="11" s="1"/>
  <c r="IK15" i="11"/>
  <c r="IL13" i="11"/>
  <c r="IT13" i="11" s="1"/>
  <c r="HI18" i="11"/>
  <c r="HR15" i="11"/>
  <c r="HR13" i="11"/>
  <c r="HH18" i="11"/>
  <c r="HQ15" i="11"/>
  <c r="HQ13" i="11"/>
  <c r="HG18" i="11"/>
  <c r="HP15" i="11"/>
  <c r="HP13" i="11"/>
  <c r="HF18" i="11"/>
  <c r="HO15" i="11"/>
  <c r="HO13" i="11"/>
  <c r="HE18" i="11"/>
  <c r="HN15" i="11"/>
  <c r="HN13" i="11"/>
  <c r="HD18" i="11"/>
  <c r="HM15" i="11"/>
  <c r="HM13" i="11"/>
  <c r="HC18" i="11"/>
  <c r="HL15" i="11"/>
  <c r="HL13" i="11"/>
  <c r="HB18" i="11"/>
  <c r="HJ18" i="11" s="1"/>
  <c r="HL16" i="11" s="1"/>
  <c r="HJ15" i="11"/>
  <c r="HK13" i="11"/>
  <c r="HS13" i="11" s="1"/>
  <c r="GH18" i="11"/>
  <c r="GQ13" i="11"/>
  <c r="GG18" i="11"/>
  <c r="GF18" i="11"/>
  <c r="GE18" i="11"/>
  <c r="GD18" i="11"/>
  <c r="GC18" i="11"/>
  <c r="GB18" i="11"/>
  <c r="GA18" i="11"/>
  <c r="GI15" i="11"/>
  <c r="GJ13" i="11"/>
  <c r="FG18" i="11"/>
  <c r="FF18" i="11"/>
  <c r="FE18" i="11"/>
  <c r="FD18" i="11"/>
  <c r="FC18" i="11"/>
  <c r="FB18" i="11"/>
  <c r="FA18" i="11"/>
  <c r="EZ18" i="11"/>
  <c r="FH15" i="11"/>
  <c r="FI13" i="11"/>
  <c r="EF18" i="11"/>
  <c r="EE18" i="11"/>
  <c r="ED18" i="11"/>
  <c r="EC18" i="11"/>
  <c r="EL13" i="11"/>
  <c r="EB18" i="11"/>
  <c r="EK13" i="11"/>
  <c r="EA18" i="11"/>
  <c r="DZ18" i="11"/>
  <c r="EI13" i="11"/>
  <c r="DY18" i="11"/>
  <c r="EG15" i="11"/>
  <c r="EH13" i="11"/>
  <c r="DE18" i="11"/>
  <c r="DN15" i="11"/>
  <c r="DN13" i="11"/>
  <c r="DD18" i="11"/>
  <c r="DM15" i="11"/>
  <c r="DM13" i="11"/>
  <c r="DC18" i="11"/>
  <c r="DL15" i="11"/>
  <c r="DL13" i="11"/>
  <c r="DB18" i="11"/>
  <c r="DK15" i="11"/>
  <c r="DK13" i="11"/>
  <c r="DA18" i="11"/>
  <c r="DJ15" i="11"/>
  <c r="DJ13" i="11"/>
  <c r="CZ18" i="11"/>
  <c r="DI15" i="11"/>
  <c r="DI13" i="11"/>
  <c r="CY18" i="11"/>
  <c r="DH15" i="11"/>
  <c r="DH13" i="11"/>
  <c r="CX18" i="11"/>
  <c r="DF18" i="11" s="1"/>
  <c r="DH16" i="11" s="1"/>
  <c r="DF15" i="11"/>
  <c r="DG13" i="11"/>
  <c r="DO13" i="11" s="1"/>
  <c r="CJ18" i="11"/>
  <c r="CQ16" i="11"/>
  <c r="CQ12" i="11"/>
  <c r="IC17" i="11"/>
  <c r="IK14" i="11"/>
  <c r="HB17" i="11"/>
  <c r="HJ14" i="11"/>
  <c r="GI14" i="11"/>
  <c r="GH17" i="11" s="1"/>
  <c r="FH14" i="11"/>
  <c r="FG17" i="11" s="1"/>
  <c r="EG14" i="11"/>
  <c r="EF17" i="11" s="1"/>
  <c r="CX17" i="11"/>
  <c r="DF14" i="11"/>
  <c r="OC16" i="11"/>
  <c r="KC16" i="11"/>
  <c r="OD16" i="11"/>
  <c r="NJ16" i="11"/>
  <c r="JE16" i="11"/>
  <c r="JX15" i="11"/>
  <c r="JX14" i="11"/>
  <c r="JE15" i="11"/>
  <c r="JE14" i="11"/>
  <c r="JP8" i="11"/>
  <c r="JP7" i="11"/>
  <c r="CQ8" i="11"/>
  <c r="CQ7" i="11"/>
  <c r="IJ11" i="11"/>
  <c r="IS8" i="11"/>
  <c r="IS6" i="11"/>
  <c r="II11" i="11"/>
  <c r="IR8" i="11"/>
  <c r="IR6" i="11"/>
  <c r="IH11" i="11"/>
  <c r="IQ8" i="11"/>
  <c r="IQ6" i="11"/>
  <c r="IG11" i="11"/>
  <c r="IP8" i="11"/>
  <c r="IP6" i="11"/>
  <c r="IF11" i="11"/>
  <c r="IO8" i="11"/>
  <c r="IO6" i="11"/>
  <c r="IE11" i="11"/>
  <c r="IN8" i="11"/>
  <c r="IN6" i="11"/>
  <c r="ID11" i="11"/>
  <c r="IM8" i="11"/>
  <c r="IM6" i="11"/>
  <c r="IC11" i="11"/>
  <c r="IK11" i="11" s="1"/>
  <c r="IM9" i="11" s="1"/>
  <c r="IK8" i="11"/>
  <c r="IL6" i="11"/>
  <c r="IT6" i="11" s="1"/>
  <c r="HI11" i="11"/>
  <c r="HR8" i="11"/>
  <c r="HR6" i="11"/>
  <c r="HH11" i="11"/>
  <c r="HQ8" i="11"/>
  <c r="HQ6" i="11"/>
  <c r="HG11" i="11"/>
  <c r="HP8" i="11"/>
  <c r="HP6" i="11"/>
  <c r="HF11" i="11"/>
  <c r="HO8" i="11"/>
  <c r="HO6" i="11"/>
  <c r="HE11" i="11"/>
  <c r="HN8" i="11"/>
  <c r="HN6" i="11"/>
  <c r="HD11" i="11"/>
  <c r="HM8" i="11"/>
  <c r="HM6" i="11"/>
  <c r="HC11" i="11"/>
  <c r="HL8" i="11"/>
  <c r="HL6" i="11"/>
  <c r="HB11" i="11"/>
  <c r="HJ11" i="11" s="1"/>
  <c r="HL9" i="11" s="1"/>
  <c r="HJ8" i="11"/>
  <c r="HK6" i="11"/>
  <c r="HS6" i="11" s="1"/>
  <c r="GH11" i="11"/>
  <c r="GG11" i="11"/>
  <c r="GF11" i="11"/>
  <c r="GE11" i="11"/>
  <c r="GD11" i="11"/>
  <c r="GC11" i="11"/>
  <c r="GL6" i="11"/>
  <c r="GB11" i="11"/>
  <c r="GA11" i="11"/>
  <c r="GI8" i="11"/>
  <c r="GJ6" i="11"/>
  <c r="FG11" i="11"/>
  <c r="FF11" i="11"/>
  <c r="FE11" i="11"/>
  <c r="FD11" i="11"/>
  <c r="FC11" i="11"/>
  <c r="FL6" i="11"/>
  <c r="FB11" i="11"/>
  <c r="FA11" i="11"/>
  <c r="EZ11" i="11"/>
  <c r="FH8" i="11"/>
  <c r="FI6" i="11"/>
  <c r="EF11" i="11"/>
  <c r="EE11" i="11"/>
  <c r="ED11" i="11"/>
  <c r="EC11" i="11"/>
  <c r="EB11" i="11"/>
  <c r="EK6" i="11"/>
  <c r="EA11" i="11"/>
  <c r="DZ11" i="11"/>
  <c r="DY11" i="11"/>
  <c r="EG8" i="11"/>
  <c r="EH6" i="11"/>
  <c r="DE11" i="11"/>
  <c r="DN8" i="11"/>
  <c r="DN6" i="11"/>
  <c r="DD11" i="11"/>
  <c r="DM8" i="11"/>
  <c r="DM6" i="11"/>
  <c r="DC11" i="11"/>
  <c r="DL8" i="11"/>
  <c r="DL6" i="11"/>
  <c r="DB11" i="11"/>
  <c r="DK8" i="11"/>
  <c r="DK6" i="11"/>
  <c r="DA11" i="11"/>
  <c r="DJ8" i="11"/>
  <c r="DJ6" i="11"/>
  <c r="CZ11" i="11"/>
  <c r="DI8" i="11"/>
  <c r="DI6" i="11"/>
  <c r="CY11" i="11"/>
  <c r="DH8" i="11"/>
  <c r="DH6" i="11"/>
  <c r="CX11" i="11"/>
  <c r="DF11" i="11" s="1"/>
  <c r="DH9" i="11" s="1"/>
  <c r="DF8" i="11"/>
  <c r="DG6" i="11"/>
  <c r="DO6" i="11" s="1"/>
  <c r="CJ11" i="11"/>
  <c r="CQ9" i="11"/>
  <c r="CQ5" i="11"/>
  <c r="IC10" i="11"/>
  <c r="IK7" i="11"/>
  <c r="HB10" i="11"/>
  <c r="HJ7" i="11"/>
  <c r="GI7" i="11"/>
  <c r="GH10" i="11" s="1"/>
  <c r="FH7" i="11"/>
  <c r="FG10" i="11" s="1"/>
  <c r="EG7" i="11"/>
  <c r="EE10" i="11" s="1"/>
  <c r="CX10" i="11"/>
  <c r="DF7" i="11"/>
  <c r="OC9" i="11"/>
  <c r="KC9" i="11"/>
  <c r="NJ9" i="11"/>
  <c r="JE9" i="11"/>
  <c r="JX8" i="11"/>
  <c r="JX7" i="11"/>
  <c r="JE8" i="11"/>
  <c r="JE7" i="11"/>
  <c r="KW18" i="11"/>
  <c r="KV18" i="11"/>
  <c r="KU18" i="11"/>
  <c r="KT18" i="11"/>
  <c r="KS18" i="11"/>
  <c r="KQ18" i="11"/>
  <c r="KU17" i="11"/>
  <c r="KX12" i="11" s="1"/>
  <c r="IS14" i="11"/>
  <c r="IR14" i="11"/>
  <c r="IP14" i="11"/>
  <c r="IN14" i="11"/>
  <c r="IM14" i="11"/>
  <c r="HR14" i="11"/>
  <c r="HQ14" i="11"/>
  <c r="HO14" i="11"/>
  <c r="HM14" i="11"/>
  <c r="HL14" i="11"/>
  <c r="DN14" i="11"/>
  <c r="DM14" i="11"/>
  <c r="DK14" i="11"/>
  <c r="DI14" i="11"/>
  <c r="DH14" i="11"/>
  <c r="KJ16" i="11"/>
  <c r="JQ16" i="11"/>
  <c r="JP16" i="11"/>
  <c r="KE14" i="11"/>
  <c r="KQ11" i="11"/>
  <c r="IS7" i="11"/>
  <c r="IR7" i="11"/>
  <c r="IP7" i="11"/>
  <c r="IN7" i="11"/>
  <c r="IM7" i="11"/>
  <c r="HR7" i="11"/>
  <c r="HQ7" i="11"/>
  <c r="HO7" i="11"/>
  <c r="HM7" i="11"/>
  <c r="HL7" i="11"/>
  <c r="DN7" i="11"/>
  <c r="DM7" i="11"/>
  <c r="DK7" i="11"/>
  <c r="DI7" i="11"/>
  <c r="DH7" i="11"/>
  <c r="KJ9" i="11"/>
  <c r="KI9" i="11"/>
  <c r="JP9" i="11"/>
  <c r="KE7" i="11"/>
  <c r="I13" i="85"/>
  <c r="K9" i="85"/>
  <c r="Q9" i="85"/>
  <c r="B13" i="85"/>
  <c r="F15" i="85"/>
  <c r="L9" i="85"/>
  <c r="M13" i="85"/>
  <c r="C13" i="85"/>
  <c r="O9" i="85"/>
  <c r="H13" i="85"/>
  <c r="F13" i="85"/>
  <c r="E9" i="85"/>
  <c r="K13" i="85"/>
  <c r="P9" i="85"/>
  <c r="D15" i="85"/>
  <c r="B9" i="85"/>
  <c r="B15" i="85"/>
  <c r="R13" i="85"/>
  <c r="E13" i="85"/>
  <c r="N13" i="85"/>
  <c r="L13" i="85"/>
  <c r="F9" i="85"/>
  <c r="N9" i="85"/>
  <c r="G9" i="85"/>
  <c r="D13" i="85"/>
  <c r="H9" i="85"/>
  <c r="C15" i="85"/>
  <c r="I9" i="85"/>
  <c r="D9" i="85"/>
  <c r="M9" i="85"/>
  <c r="J13" i="85"/>
  <c r="R9" i="85"/>
  <c r="C9" i="85"/>
  <c r="E15" i="85"/>
  <c r="G13" i="85"/>
  <c r="O15" i="85"/>
  <c r="Q13" i="85"/>
  <c r="J9" i="85"/>
  <c r="O13" i="85"/>
  <c r="N15" i="85"/>
  <c r="G173" i="87"/>
  <c r="L201" i="87"/>
  <c r="K201" i="87"/>
  <c r="C145" i="87"/>
  <c r="J201" i="87"/>
  <c r="H201" i="87"/>
  <c r="C110" i="87"/>
  <c r="I201" i="87"/>
  <c r="C117" i="87"/>
  <c r="C127" i="87"/>
  <c r="C116" i="87"/>
  <c r="C109" i="87"/>
  <c r="D145" i="87" l="1"/>
  <c r="BI135" i="87" s="1"/>
  <c r="BN132" i="87" s="1"/>
  <c r="D127" i="87"/>
  <c r="BI117" i="87" s="1"/>
  <c r="BO113" i="87" s="1"/>
  <c r="D109" i="87"/>
  <c r="BI99" i="87" s="1"/>
  <c r="BP94" i="87" s="1"/>
  <c r="D110" i="87"/>
  <c r="CO19" i="11"/>
  <c r="CR19" i="11" s="1"/>
  <c r="CH24" i="11"/>
  <c r="CO20" i="11" s="1"/>
  <c r="CI24" i="11"/>
  <c r="CG24" i="11"/>
  <c r="CN20" i="11" s="1"/>
  <c r="LO36" i="11"/>
  <c r="LO37" i="11" s="1"/>
  <c r="LR35" i="11" s="1"/>
  <c r="MY37" i="11" s="1"/>
  <c r="GW34" i="11"/>
  <c r="GU33" i="11"/>
  <c r="GQ39" i="11"/>
  <c r="HA39" i="11" s="1"/>
  <c r="GV34" i="11"/>
  <c r="GT33" i="11"/>
  <c r="GP39" i="11"/>
  <c r="GY39" i="11" s="1"/>
  <c r="GU34" i="11"/>
  <c r="GT34" i="11"/>
  <c r="HA36" i="11"/>
  <c r="GZ37" i="11"/>
  <c r="GZ36" i="11"/>
  <c r="GZ38" i="11"/>
  <c r="GY37" i="11"/>
  <c r="GY36" i="11"/>
  <c r="GX38" i="11"/>
  <c r="GX37" i="11"/>
  <c r="GX36" i="11"/>
  <c r="GW38" i="11"/>
  <c r="GW37" i="11"/>
  <c r="GW36" i="11"/>
  <c r="HA33" i="11"/>
  <c r="GV38" i="11"/>
  <c r="GV37" i="11"/>
  <c r="GV36" i="11"/>
  <c r="GZ33" i="11"/>
  <c r="GU38" i="11"/>
  <c r="GU37" i="11"/>
  <c r="GU36" i="11"/>
  <c r="HA34" i="11"/>
  <c r="GY33" i="11"/>
  <c r="GT38" i="11"/>
  <c r="GT37" i="11"/>
  <c r="GT36" i="11"/>
  <c r="GZ34" i="11"/>
  <c r="GX33" i="11"/>
  <c r="GQ38" i="11"/>
  <c r="GS37" i="11"/>
  <c r="GS36" i="11"/>
  <c r="GY34" i="11"/>
  <c r="GW33" i="11"/>
  <c r="GP38" i="11"/>
  <c r="GV33" i="11"/>
  <c r="GX34" i="11"/>
  <c r="LV37" i="11"/>
  <c r="LU37" i="11"/>
  <c r="FL37" i="11"/>
  <c r="FL38" i="11"/>
  <c r="FR34" i="11" s="1"/>
  <c r="NN37" i="11"/>
  <c r="CT33" i="11"/>
  <c r="CQ39" i="11"/>
  <c r="L204" i="87"/>
  <c r="L203" i="87"/>
  <c r="AQ20" i="87"/>
  <c r="AQ13" i="87"/>
  <c r="AR93" i="87" s="1"/>
  <c r="AQ17" i="87"/>
  <c r="AL20" i="87"/>
  <c r="AL13" i="87"/>
  <c r="BL134" i="87"/>
  <c r="BL137" i="87" s="1"/>
  <c r="JR28" i="11"/>
  <c r="KI16" i="11"/>
  <c r="KI15" i="11"/>
  <c r="EG18" i="11"/>
  <c r="E108" i="87"/>
  <c r="E144" i="87"/>
  <c r="E28" i="87"/>
  <c r="E27" i="87" s="1"/>
  <c r="E26" i="87" s="1"/>
  <c r="AD34" i="87" s="1"/>
  <c r="AD45" i="87" s="1"/>
  <c r="AD44" i="87" s="1"/>
  <c r="AD43" i="87" s="1"/>
  <c r="F29" i="87"/>
  <c r="CE99" i="87"/>
  <c r="BO96" i="87"/>
  <c r="BO95" i="87"/>
  <c r="BM133" i="87"/>
  <c r="CC137" i="87"/>
  <c r="BM134" i="87"/>
  <c r="AK147" i="87"/>
  <c r="BM118" i="87"/>
  <c r="AK175" i="87"/>
  <c r="AU204" i="87"/>
  <c r="AS204" i="87"/>
  <c r="AT204" i="87"/>
  <c r="AR204" i="87"/>
  <c r="BN99" i="87"/>
  <c r="AK134" i="87"/>
  <c r="AK129" i="87"/>
  <c r="BN115" i="87"/>
  <c r="BN114" i="87"/>
  <c r="JR26" i="11"/>
  <c r="KA31" i="11"/>
  <c r="KH30" i="11" s="1"/>
  <c r="JO27" i="11"/>
  <c r="JO29" i="11"/>
  <c r="JO30" i="11"/>
  <c r="CE31" i="11"/>
  <c r="CL27" i="11" s="1"/>
  <c r="CF31" i="11"/>
  <c r="CM27" i="11" s="1"/>
  <c r="CG31" i="11"/>
  <c r="CN27" i="11" s="1"/>
  <c r="CH31" i="11"/>
  <c r="CO27" i="11" s="1"/>
  <c r="CP29" i="11"/>
  <c r="CP28" i="11"/>
  <c r="MO30" i="11"/>
  <c r="LT30" i="11"/>
  <c r="LL30" i="11"/>
  <c r="LM30" i="11"/>
  <c r="KK28" i="11"/>
  <c r="CO26" i="11"/>
  <c r="CM26" i="11"/>
  <c r="CN28" i="11"/>
  <c r="CL28" i="11"/>
  <c r="JF31" i="11"/>
  <c r="JZ31" i="11"/>
  <c r="JG31" i="11"/>
  <c r="JY31" i="11"/>
  <c r="MN30" i="11"/>
  <c r="LT29" i="11"/>
  <c r="KK26" i="11"/>
  <c r="CP30" i="11"/>
  <c r="CP26" i="11"/>
  <c r="CN30" i="11"/>
  <c r="CN26" i="11"/>
  <c r="CL26" i="11"/>
  <c r="CO28" i="11"/>
  <c r="CM29" i="11"/>
  <c r="CM28" i="11"/>
  <c r="LJ23" i="11"/>
  <c r="LK21" i="11"/>
  <c r="LK23" i="11" s="1"/>
  <c r="CG23" i="11"/>
  <c r="CN21" i="11" s="1"/>
  <c r="CF23" i="11"/>
  <c r="CM21" i="11" s="1"/>
  <c r="CE23" i="11"/>
  <c r="CH23" i="11"/>
  <c r="CI23" i="11"/>
  <c r="CP21" i="11" s="1"/>
  <c r="LL15" i="11"/>
  <c r="KK19" i="11"/>
  <c r="KH20" i="11"/>
  <c r="KH23" i="11"/>
  <c r="CP20" i="11"/>
  <c r="CP23" i="11"/>
  <c r="JH24" i="11"/>
  <c r="EI25" i="11"/>
  <c r="EM24" i="11" s="1"/>
  <c r="FN24" i="11"/>
  <c r="FL24" i="11" s="1"/>
  <c r="JY24" i="11"/>
  <c r="GM24" i="11"/>
  <c r="GM23" i="11"/>
  <c r="JR19" i="11"/>
  <c r="JF24" i="11"/>
  <c r="JG24" i="11"/>
  <c r="EM23" i="11"/>
  <c r="JZ24" i="11"/>
  <c r="CM20" i="11"/>
  <c r="CM23" i="11"/>
  <c r="EG11" i="11"/>
  <c r="KI8" i="11"/>
  <c r="BY11" i="11"/>
  <c r="CE6" i="11" s="1"/>
  <c r="JJ9" i="11"/>
  <c r="JQ8" i="11" s="1"/>
  <c r="M1" i="86"/>
  <c r="JQ9" i="11"/>
  <c r="KD6" i="11"/>
  <c r="KD13" i="11"/>
  <c r="KS10" i="11"/>
  <c r="KT10" i="11" s="1"/>
  <c r="LM7" i="11"/>
  <c r="LM8" i="11" s="1"/>
  <c r="CE12" i="11"/>
  <c r="CE14" i="11" s="1"/>
  <c r="BP16" i="11"/>
  <c r="BZ17" i="11" s="1"/>
  <c r="BP9" i="11"/>
  <c r="BZ10" i="11" s="1"/>
  <c r="LC16" i="11"/>
  <c r="LD14" i="11" s="1"/>
  <c r="LE14" i="11" s="1"/>
  <c r="LC9" i="11"/>
  <c r="LD7" i="11" s="1"/>
  <c r="LE7" i="11" s="1"/>
  <c r="FH16" i="11"/>
  <c r="GR13" i="11"/>
  <c r="GR6" i="11"/>
  <c r="BQ10" i="11"/>
  <c r="BQ9" i="11" s="1"/>
  <c r="CA10" i="11" s="1"/>
  <c r="BR11" i="11"/>
  <c r="FH11" i="11"/>
  <c r="FH18" i="11"/>
  <c r="BQ17" i="11"/>
  <c r="BQ16" i="11" s="1"/>
  <c r="CA17" i="11" s="1"/>
  <c r="BR18" i="11"/>
  <c r="EG9" i="11"/>
  <c r="GI9" i="11"/>
  <c r="EG16" i="11"/>
  <c r="EP13" i="11"/>
  <c r="GI18" i="11"/>
  <c r="GI16" i="11"/>
  <c r="FQ13" i="11"/>
  <c r="EP6" i="11"/>
  <c r="GI11" i="11"/>
  <c r="FQ6" i="11"/>
  <c r="FH9" i="11"/>
  <c r="EF10" i="11"/>
  <c r="GQ5" i="11"/>
  <c r="GQ8" i="11"/>
  <c r="GQ7" i="11"/>
  <c r="GA10" i="11"/>
  <c r="GJ5" i="11" s="1"/>
  <c r="GB10" i="11"/>
  <c r="GC10" i="11"/>
  <c r="GD10" i="11"/>
  <c r="GE10" i="11"/>
  <c r="GF10" i="11"/>
  <c r="GG10" i="11"/>
  <c r="EN5" i="11"/>
  <c r="EN8" i="11"/>
  <c r="EN7" i="11"/>
  <c r="DY10" i="11"/>
  <c r="EH5" i="11" s="1"/>
  <c r="DZ10" i="11"/>
  <c r="EA10" i="11"/>
  <c r="EB10" i="11"/>
  <c r="EC10" i="11"/>
  <c r="ED10" i="11"/>
  <c r="FP5" i="11"/>
  <c r="FP8" i="11"/>
  <c r="FP7" i="11"/>
  <c r="EZ10" i="11"/>
  <c r="FI5" i="11" s="1"/>
  <c r="FA10" i="11"/>
  <c r="FB10" i="11"/>
  <c r="FC10" i="11"/>
  <c r="FD10" i="11"/>
  <c r="FE10" i="11"/>
  <c r="FF10" i="11"/>
  <c r="EO12" i="11"/>
  <c r="EO15" i="11"/>
  <c r="EO14" i="11"/>
  <c r="FP12" i="11"/>
  <c r="FP15" i="11"/>
  <c r="FP14" i="11"/>
  <c r="GQ12" i="11"/>
  <c r="GQ15" i="11"/>
  <c r="GQ14" i="11"/>
  <c r="DY17" i="11"/>
  <c r="EH12" i="11" s="1"/>
  <c r="EZ17" i="11"/>
  <c r="FI12" i="11" s="1"/>
  <c r="GA17" i="11"/>
  <c r="GJ12" i="11" s="1"/>
  <c r="DZ17" i="11"/>
  <c r="EA17" i="11"/>
  <c r="EB17" i="11"/>
  <c r="EC17" i="11"/>
  <c r="ED17" i="11"/>
  <c r="EE17" i="11"/>
  <c r="FA17" i="11"/>
  <c r="FB17" i="11"/>
  <c r="FC17" i="11"/>
  <c r="FD17" i="11"/>
  <c r="FE17" i="11"/>
  <c r="FF17" i="11"/>
  <c r="GB17" i="11"/>
  <c r="GC17" i="11"/>
  <c r="GD17" i="11"/>
  <c r="GE17" i="11"/>
  <c r="GF17" i="11"/>
  <c r="GG17" i="11"/>
  <c r="LG11" i="11"/>
  <c r="MS9" i="11"/>
  <c r="LN18" i="11"/>
  <c r="MT16" i="11"/>
  <c r="LG18" i="11"/>
  <c r="MS16" i="11"/>
  <c r="KV16" i="11"/>
  <c r="KU16" i="11"/>
  <c r="JE10" i="11"/>
  <c r="JL6" i="11" s="1"/>
  <c r="JL5" i="11"/>
  <c r="JX10" i="11"/>
  <c r="KE9" i="11" s="1"/>
  <c r="KE5" i="11"/>
  <c r="JL7" i="11"/>
  <c r="KJ8" i="11"/>
  <c r="KJ7" i="11"/>
  <c r="DF10" i="11"/>
  <c r="DG5" i="11"/>
  <c r="DO5" i="11" s="1"/>
  <c r="DG7" i="11"/>
  <c r="DO7" i="11" s="1"/>
  <c r="HJ10" i="11"/>
  <c r="HK5" i="11"/>
  <c r="HS5" i="11" s="1"/>
  <c r="HK7" i="11"/>
  <c r="HS7" i="11" s="1"/>
  <c r="IK10" i="11"/>
  <c r="IL5" i="11"/>
  <c r="IT5" i="11" s="1"/>
  <c r="IL7" i="11"/>
  <c r="IT7" i="11" s="1"/>
  <c r="DG8" i="11"/>
  <c r="DO8" i="11" s="1"/>
  <c r="DH11" i="11"/>
  <c r="DL10" i="11"/>
  <c r="DH10" i="11"/>
  <c r="DL9" i="11"/>
  <c r="HK8" i="11"/>
  <c r="HS8" i="11" s="1"/>
  <c r="HL11" i="11"/>
  <c r="HP10" i="11"/>
  <c r="HL10" i="11"/>
  <c r="HP9" i="11"/>
  <c r="IL8" i="11"/>
  <c r="IT8" i="11" s="1"/>
  <c r="IM11" i="11"/>
  <c r="IQ10" i="11"/>
  <c r="IM10" i="11"/>
  <c r="IQ9" i="11"/>
  <c r="JE17" i="11"/>
  <c r="JL13" i="11" s="1"/>
  <c r="JL12" i="11"/>
  <c r="JX17" i="11"/>
  <c r="KE16" i="11" s="1"/>
  <c r="KE12" i="11"/>
  <c r="JL14" i="11"/>
  <c r="JQ15" i="11"/>
  <c r="JQ14" i="11"/>
  <c r="KJ15" i="11"/>
  <c r="KJ14" i="11"/>
  <c r="DF17" i="11"/>
  <c r="DG12" i="11"/>
  <c r="DO12" i="11" s="1"/>
  <c r="DG14" i="11"/>
  <c r="DO14" i="11" s="1"/>
  <c r="HJ17" i="11"/>
  <c r="HK12" i="11"/>
  <c r="HS12" i="11" s="1"/>
  <c r="HK14" i="11"/>
  <c r="HS14" i="11" s="1"/>
  <c r="IK17" i="11"/>
  <c r="IL12" i="11"/>
  <c r="IT12" i="11" s="1"/>
  <c r="IL14" i="11"/>
  <c r="IT14" i="11" s="1"/>
  <c r="DG15" i="11"/>
  <c r="DO15" i="11" s="1"/>
  <c r="DH18" i="11"/>
  <c r="DL17" i="11"/>
  <c r="DH17" i="11"/>
  <c r="DL16" i="11"/>
  <c r="HK15" i="11"/>
  <c r="HS15" i="11" s="1"/>
  <c r="HL18" i="11"/>
  <c r="HP17" i="11"/>
  <c r="HL17" i="11"/>
  <c r="HP16" i="11"/>
  <c r="IL15" i="11"/>
  <c r="IT15" i="11" s="1"/>
  <c r="IM18" i="11"/>
  <c r="IQ17" i="11"/>
  <c r="IM17" i="11"/>
  <c r="IQ16" i="11"/>
  <c r="P20" i="85"/>
  <c r="G20" i="85"/>
  <c r="C20" i="85"/>
  <c r="I20" i="85"/>
  <c r="O20" i="85"/>
  <c r="K20" i="85"/>
  <c r="Q20" i="85"/>
  <c r="M20" i="85"/>
  <c r="D20" i="85"/>
  <c r="U20" i="85"/>
  <c r="L20" i="85"/>
  <c r="E20" i="85"/>
  <c r="B20" i="85"/>
  <c r="S20" i="85"/>
  <c r="J20" i="85"/>
  <c r="F20" i="85"/>
  <c r="R20" i="85"/>
  <c r="N20" i="85"/>
  <c r="H20" i="85"/>
  <c r="T20" i="85"/>
  <c r="N27" i="85"/>
  <c r="J25" i="85"/>
  <c r="I22" i="85"/>
  <c r="Q21" i="85"/>
  <c r="H22" i="85"/>
  <c r="K25" i="85"/>
  <c r="O10" i="85"/>
  <c r="R21" i="85"/>
  <c r="E12" i="85"/>
  <c r="G21" i="85"/>
  <c r="K21" i="85"/>
  <c r="I21" i="85"/>
  <c r="N25" i="85"/>
  <c r="E22" i="85"/>
  <c r="F27" i="85"/>
  <c r="B25" i="85"/>
  <c r="I25" i="85"/>
  <c r="L25" i="85"/>
  <c r="Q25" i="85"/>
  <c r="K12" i="85"/>
  <c r="D21" i="85"/>
  <c r="C21" i="85"/>
  <c r="C27" i="85"/>
  <c r="I27" i="85"/>
  <c r="J12" i="85"/>
  <c r="J21" i="85"/>
  <c r="H25" i="85"/>
  <c r="B27" i="85"/>
  <c r="Q12" i="85"/>
  <c r="G22" i="85"/>
  <c r="F22" i="85"/>
  <c r="M25" i="85"/>
  <c r="O27" i="85"/>
  <c r="H21" i="85"/>
  <c r="P27" i="85"/>
  <c r="G27" i="85"/>
  <c r="L27" i="85"/>
  <c r="O25" i="85"/>
  <c r="R25" i="85"/>
  <c r="E17" i="85"/>
  <c r="K22" i="85"/>
  <c r="C17" i="85"/>
  <c r="H27" i="85"/>
  <c r="F25" i="85"/>
  <c r="E21" i="85"/>
  <c r="B10" i="85"/>
  <c r="O21" i="85"/>
  <c r="N10" i="85"/>
  <c r="M22" i="85"/>
  <c r="M21" i="85"/>
  <c r="N21" i="85"/>
  <c r="C10" i="85"/>
  <c r="D27" i="85"/>
  <c r="G12" i="85"/>
  <c r="G15" i="85"/>
  <c r="I12" i="85"/>
  <c r="D22" i="85"/>
  <c r="R22" i="85"/>
  <c r="P21" i="85"/>
  <c r="F10" i="85"/>
  <c r="D17" i="85"/>
  <c r="L21" i="85"/>
  <c r="C25" i="85"/>
  <c r="C12" i="85"/>
  <c r="Q27" i="85"/>
  <c r="H12" i="85"/>
  <c r="C22" i="85"/>
  <c r="M12" i="85"/>
  <c r="E25" i="85"/>
  <c r="M27" i="85"/>
  <c r="F12" i="85"/>
  <c r="R12" i="85"/>
  <c r="P12" i="85"/>
  <c r="D10" i="85"/>
  <c r="D12" i="85"/>
  <c r="B21" i="85"/>
  <c r="F21" i="85"/>
  <c r="B22" i="85"/>
  <c r="P25" i="85"/>
  <c r="L12" i="85"/>
  <c r="Q22" i="85"/>
  <c r="J27" i="85"/>
  <c r="O12" i="85"/>
  <c r="B17" i="85"/>
  <c r="R27" i="85"/>
  <c r="N12" i="85"/>
  <c r="O17" i="85"/>
  <c r="G25" i="85"/>
  <c r="E27" i="85"/>
  <c r="F17" i="85"/>
  <c r="N22" i="85"/>
  <c r="E10" i="85"/>
  <c r="D25" i="85"/>
  <c r="B12" i="85"/>
  <c r="K27" i="85"/>
  <c r="J22" i="85"/>
  <c r="P22" i="85"/>
  <c r="L22" i="85"/>
  <c r="N17" i="85"/>
  <c r="O22" i="85"/>
  <c r="N8" i="86"/>
  <c r="C146" i="87"/>
  <c r="C129" i="87"/>
  <c r="G174" i="87"/>
  <c r="C128" i="87"/>
  <c r="C133" i="87"/>
  <c r="D146" i="87" l="1"/>
  <c r="D128" i="87"/>
  <c r="D129" i="87"/>
  <c r="KH27" i="11"/>
  <c r="CL30" i="11"/>
  <c r="CN23" i="11"/>
  <c r="CM22" i="11"/>
  <c r="CR23" i="11"/>
  <c r="CO23" i="11"/>
  <c r="AR94" i="87"/>
  <c r="AR95" i="87"/>
  <c r="AR99" i="87"/>
  <c r="FH10" i="11"/>
  <c r="FT38" i="11"/>
  <c r="FT37" i="11"/>
  <c r="FV33" i="11"/>
  <c r="FS38" i="11"/>
  <c r="FS37" i="11"/>
  <c r="FZ36" i="11"/>
  <c r="FU33" i="11"/>
  <c r="FP39" i="11"/>
  <c r="FZ39" i="11" s="1"/>
  <c r="FP38" i="11"/>
  <c r="FR37" i="11"/>
  <c r="FY36" i="11"/>
  <c r="FT33" i="11"/>
  <c r="FO39" i="11"/>
  <c r="FX39" i="11" s="1"/>
  <c r="FO38" i="11"/>
  <c r="FX36" i="11"/>
  <c r="FS33" i="11"/>
  <c r="FW36" i="11"/>
  <c r="FV36" i="11"/>
  <c r="FZ34" i="11"/>
  <c r="FU36" i="11"/>
  <c r="FT36" i="11"/>
  <c r="FS36" i="11"/>
  <c r="FY34" i="11"/>
  <c r="FR36" i="11"/>
  <c r="FX34" i="11"/>
  <c r="FW34" i="11"/>
  <c r="FY37" i="11"/>
  <c r="FV34" i="11"/>
  <c r="FY38" i="11"/>
  <c r="FX37" i="11"/>
  <c r="FU34" i="11"/>
  <c r="FZ33" i="11"/>
  <c r="FW38" i="11"/>
  <c r="FW37" i="11"/>
  <c r="FT34" i="11"/>
  <c r="FY33" i="11"/>
  <c r="FV38" i="11"/>
  <c r="FV37" i="11"/>
  <c r="FS34" i="11"/>
  <c r="FX33" i="11"/>
  <c r="FU38" i="11"/>
  <c r="FU37" i="11"/>
  <c r="FW33" i="11"/>
  <c r="LU39" i="11"/>
  <c r="GW39" i="11"/>
  <c r="JH34" i="11"/>
  <c r="JS37" i="11"/>
  <c r="MZ37" i="11"/>
  <c r="KL37" i="11"/>
  <c r="CT34" i="11"/>
  <c r="NA37" i="11" s="1"/>
  <c r="AX15" i="87"/>
  <c r="AR102" i="87"/>
  <c r="AQ19" i="87"/>
  <c r="AQ15" i="87"/>
  <c r="AQ18" i="87" s="1"/>
  <c r="AX14" i="87" s="1"/>
  <c r="AQ16" i="87"/>
  <c r="L205" i="87"/>
  <c r="AV201" i="87" s="1"/>
  <c r="AV204" i="87" s="1"/>
  <c r="AT202" i="87" s="1"/>
  <c r="AM102" i="87"/>
  <c r="AM108" i="87" s="1"/>
  <c r="AM93" i="87"/>
  <c r="AL19" i="87"/>
  <c r="AL15" i="87"/>
  <c r="CP22" i="11"/>
  <c r="CO29" i="11"/>
  <c r="CR20" i="11"/>
  <c r="CM30" i="11"/>
  <c r="CR30" i="11" s="1"/>
  <c r="CO30" i="11"/>
  <c r="E36" i="87"/>
  <c r="AM14" i="87" s="1"/>
  <c r="AM13" i="87" s="1"/>
  <c r="LM23" i="11"/>
  <c r="LL23" i="11"/>
  <c r="E127" i="87"/>
  <c r="BI136" i="87"/>
  <c r="BO132" i="87" s="1"/>
  <c r="BI118" i="87"/>
  <c r="BP113" i="87" s="1"/>
  <c r="AK135" i="87"/>
  <c r="AU202" i="87"/>
  <c r="BM137" i="87"/>
  <c r="BI100" i="87"/>
  <c r="BQ94" i="87" s="1"/>
  <c r="BR94" i="87" s="1"/>
  <c r="BP97" i="87" s="1"/>
  <c r="BG93" i="87"/>
  <c r="BG94" i="87" s="1"/>
  <c r="BG95" i="87" s="1"/>
  <c r="BG96" i="87" s="1"/>
  <c r="BG97" i="87" s="1"/>
  <c r="BG98" i="87" s="1"/>
  <c r="BG99" i="87" s="1"/>
  <c r="BG100" i="87" s="1"/>
  <c r="CE118" i="87"/>
  <c r="BO114" i="87"/>
  <c r="BO115" i="87"/>
  <c r="BN118" i="87"/>
  <c r="AK177" i="87"/>
  <c r="AK148" i="87"/>
  <c r="BO99" i="87"/>
  <c r="F28" i="87"/>
  <c r="F27" i="87" s="1"/>
  <c r="F26" i="87" s="1"/>
  <c r="G29" i="87"/>
  <c r="BN134" i="87"/>
  <c r="BN133" i="87"/>
  <c r="BP96" i="87"/>
  <c r="BP95" i="87"/>
  <c r="CR26" i="11"/>
  <c r="CL29" i="11"/>
  <c r="CN29" i="11"/>
  <c r="KH29" i="11"/>
  <c r="JN27" i="11"/>
  <c r="JN29" i="11"/>
  <c r="JN30" i="11"/>
  <c r="JM27" i="11"/>
  <c r="JM29" i="11"/>
  <c r="JM30" i="11"/>
  <c r="LT32" i="11"/>
  <c r="LN29" i="11"/>
  <c r="MQ30" i="11"/>
  <c r="LN30" i="11"/>
  <c r="LN28" i="11"/>
  <c r="LN27" i="11"/>
  <c r="LO28" i="11"/>
  <c r="LO27" i="11"/>
  <c r="KF27" i="11"/>
  <c r="KF29" i="11"/>
  <c r="KF30" i="11"/>
  <c r="KG27" i="11"/>
  <c r="KG29" i="11"/>
  <c r="KG30" i="11"/>
  <c r="CR28" i="11"/>
  <c r="LT31" i="11"/>
  <c r="MP30" i="11"/>
  <c r="CR27" i="11"/>
  <c r="MO23" i="11"/>
  <c r="LT23" i="11"/>
  <c r="LT22" i="11"/>
  <c r="MN23" i="11"/>
  <c r="CN22" i="11"/>
  <c r="CO22" i="11"/>
  <c r="CO21" i="11"/>
  <c r="CL21" i="11"/>
  <c r="CL22" i="11"/>
  <c r="GS20" i="11"/>
  <c r="GT22" i="11" s="1"/>
  <c r="KG20" i="11"/>
  <c r="KG23" i="11"/>
  <c r="JN20" i="11"/>
  <c r="JN23" i="11"/>
  <c r="GU20" i="11"/>
  <c r="GW24" i="11" s="1"/>
  <c r="KF20" i="11"/>
  <c r="KK20" i="11" s="1"/>
  <c r="KF23" i="11"/>
  <c r="JO20" i="11"/>
  <c r="JO23" i="11"/>
  <c r="FL23" i="11"/>
  <c r="FR20" i="11" s="1"/>
  <c r="EK24" i="11"/>
  <c r="EK23" i="11"/>
  <c r="JM20" i="11"/>
  <c r="JM23" i="11"/>
  <c r="N32" i="86"/>
  <c r="JQ7" i="11"/>
  <c r="KT9" i="11"/>
  <c r="KV11" i="11" s="1"/>
  <c r="KT11" i="11"/>
  <c r="KU11" i="11"/>
  <c r="GI17" i="11"/>
  <c r="EH14" i="11"/>
  <c r="EH15" i="11"/>
  <c r="GJ14" i="11"/>
  <c r="EG17" i="11"/>
  <c r="FI7" i="11"/>
  <c r="CF5" i="11"/>
  <c r="BZ11" i="11"/>
  <c r="CF6" i="11" s="1"/>
  <c r="NL9" i="11" s="1"/>
  <c r="GJ15" i="11"/>
  <c r="FI8" i="11"/>
  <c r="LF14" i="11"/>
  <c r="LE16" i="11"/>
  <c r="MI16" i="11" s="1"/>
  <c r="CF12" i="11"/>
  <c r="BZ18" i="11"/>
  <c r="CF13" i="11" s="1"/>
  <c r="NL16" i="11" s="1"/>
  <c r="LF7" i="11"/>
  <c r="LE9" i="11"/>
  <c r="MI9" i="11" s="1"/>
  <c r="FH17" i="11"/>
  <c r="EG10" i="11"/>
  <c r="GI10" i="11"/>
  <c r="FI15" i="11"/>
  <c r="FI14" i="11"/>
  <c r="GJ8" i="11"/>
  <c r="EH8" i="11"/>
  <c r="GJ7" i="11"/>
  <c r="EH7" i="11"/>
  <c r="JL8" i="11"/>
  <c r="JL15" i="11"/>
  <c r="JL9" i="11"/>
  <c r="JL16" i="11"/>
  <c r="BR10" i="11"/>
  <c r="BR9" i="11" s="1"/>
  <c r="CB10" i="11" s="1"/>
  <c r="BS11" i="11"/>
  <c r="CG5" i="11"/>
  <c r="CA11" i="11"/>
  <c r="CG6" i="11" s="1"/>
  <c r="BR17" i="11"/>
  <c r="BR16" i="11" s="1"/>
  <c r="CB17" i="11" s="1"/>
  <c r="BS18" i="11"/>
  <c r="CG12" i="11"/>
  <c r="CA18" i="11"/>
  <c r="CG13" i="11" s="1"/>
  <c r="EO5" i="11"/>
  <c r="EO8" i="11"/>
  <c r="EO7" i="11"/>
  <c r="GP5" i="11"/>
  <c r="GP8" i="11"/>
  <c r="GP7" i="11"/>
  <c r="GO5" i="11"/>
  <c r="GO7" i="11"/>
  <c r="GO8" i="11"/>
  <c r="GN5" i="11"/>
  <c r="GN8" i="11"/>
  <c r="GN7" i="11"/>
  <c r="GM5" i="11"/>
  <c r="GM7" i="11"/>
  <c r="GM8" i="11"/>
  <c r="GL5" i="11"/>
  <c r="GL8" i="11"/>
  <c r="GL7" i="11"/>
  <c r="GK5" i="11"/>
  <c r="GK8" i="11"/>
  <c r="GK7" i="11"/>
  <c r="EM5" i="11"/>
  <c r="EM7" i="11"/>
  <c r="EM8" i="11"/>
  <c r="EL5" i="11"/>
  <c r="EL8" i="11"/>
  <c r="EL7" i="11"/>
  <c r="EK5" i="11"/>
  <c r="EK7" i="11"/>
  <c r="EK8" i="11"/>
  <c r="EJ5" i="11"/>
  <c r="EJ8" i="11"/>
  <c r="EJ7" i="11"/>
  <c r="EI5" i="11"/>
  <c r="EI8" i="11"/>
  <c r="EI7" i="11"/>
  <c r="FO5" i="11"/>
  <c r="FO8" i="11"/>
  <c r="FO7" i="11"/>
  <c r="FN5" i="11"/>
  <c r="FN7" i="11"/>
  <c r="FN8" i="11"/>
  <c r="FM5" i="11"/>
  <c r="FM8" i="11"/>
  <c r="FM7" i="11"/>
  <c r="FL5" i="11"/>
  <c r="FL7" i="11"/>
  <c r="FL8" i="11"/>
  <c r="FK5" i="11"/>
  <c r="FK8" i="11"/>
  <c r="FK7" i="11"/>
  <c r="FJ5" i="11"/>
  <c r="FJ8" i="11"/>
  <c r="FJ7" i="11"/>
  <c r="GP12" i="11"/>
  <c r="GP15" i="11"/>
  <c r="GP14" i="11"/>
  <c r="GO12" i="11"/>
  <c r="GO14" i="11"/>
  <c r="GO15" i="11"/>
  <c r="GN12" i="11"/>
  <c r="GN15" i="11"/>
  <c r="GN14" i="11"/>
  <c r="GM12" i="11"/>
  <c r="GM14" i="11"/>
  <c r="GM15" i="11"/>
  <c r="GL12" i="11"/>
  <c r="GL15" i="11"/>
  <c r="GL14" i="11"/>
  <c r="GK12" i="11"/>
  <c r="GK15" i="11"/>
  <c r="GK14" i="11"/>
  <c r="FO12" i="11"/>
  <c r="FO15" i="11"/>
  <c r="FO14" i="11"/>
  <c r="FN12" i="11"/>
  <c r="FN14" i="11"/>
  <c r="FN15" i="11"/>
  <c r="FM12" i="11"/>
  <c r="FM15" i="11"/>
  <c r="FM14" i="11"/>
  <c r="FL12" i="11"/>
  <c r="FL14" i="11"/>
  <c r="FL15" i="11"/>
  <c r="FK12" i="11"/>
  <c r="FK15" i="11"/>
  <c r="FK14" i="11"/>
  <c r="FJ12" i="11"/>
  <c r="FJ15" i="11"/>
  <c r="FJ14" i="11"/>
  <c r="EN12" i="11"/>
  <c r="EN15" i="11"/>
  <c r="EN14" i="11"/>
  <c r="EM12" i="11"/>
  <c r="EM14" i="11"/>
  <c r="EM15" i="11"/>
  <c r="EL12" i="11"/>
  <c r="EL15" i="11"/>
  <c r="EL14" i="11"/>
  <c r="EK12" i="11"/>
  <c r="EK14" i="11"/>
  <c r="EK15" i="11"/>
  <c r="EJ12" i="11"/>
  <c r="EJ15" i="11"/>
  <c r="EJ14" i="11"/>
  <c r="EI12" i="11"/>
  <c r="EI15" i="11"/>
  <c r="EI14" i="11"/>
  <c r="IO17" i="11"/>
  <c r="IU13" i="11" s="1"/>
  <c r="IO16" i="11"/>
  <c r="HN17" i="11"/>
  <c r="HT13" i="11" s="1"/>
  <c r="HN16" i="11"/>
  <c r="DJ17" i="11"/>
  <c r="DP13" i="11" s="1"/>
  <c r="DJ16" i="11"/>
  <c r="KE13" i="11"/>
  <c r="KE15" i="11"/>
  <c r="IO10" i="11"/>
  <c r="IU6" i="11" s="1"/>
  <c r="IO9" i="11"/>
  <c r="HN10" i="11"/>
  <c r="HT6" i="11" s="1"/>
  <c r="HN9" i="11"/>
  <c r="DJ10" i="11"/>
  <c r="DP6" i="11" s="1"/>
  <c r="DJ9" i="11"/>
  <c r="KE6" i="11"/>
  <c r="KE8" i="11"/>
  <c r="KW17" i="11"/>
  <c r="KX16" i="11" s="1"/>
  <c r="LL18" i="11" s="1"/>
  <c r="KV17" i="11"/>
  <c r="KW16" i="11"/>
  <c r="LH18" i="11"/>
  <c r="LW16" i="11"/>
  <c r="LO18" i="11"/>
  <c r="MA15" i="11" s="1"/>
  <c r="LX16" i="11"/>
  <c r="LH11" i="11"/>
  <c r="LW9" i="11"/>
  <c r="H15" i="85"/>
  <c r="G17" i="85"/>
  <c r="G10" i="85"/>
  <c r="C148" i="87"/>
  <c r="C134" i="87"/>
  <c r="E8" i="86"/>
  <c r="C147" i="87"/>
  <c r="G175" i="87"/>
  <c r="D147" i="87" l="1"/>
  <c r="D148" i="87"/>
  <c r="CR29" i="11"/>
  <c r="JR30" i="11"/>
  <c r="KK23" i="11"/>
  <c r="KK30" i="11"/>
  <c r="AR97" i="87"/>
  <c r="AY95" i="87" s="1"/>
  <c r="AR100" i="87"/>
  <c r="JR29" i="11"/>
  <c r="GT19" i="11"/>
  <c r="GZ19" i="11"/>
  <c r="GT20" i="11"/>
  <c r="GV20" i="11" s="1"/>
  <c r="GY19" i="11"/>
  <c r="GV22" i="11"/>
  <c r="GZ22" i="11"/>
  <c r="FV39" i="11"/>
  <c r="JG34" i="11"/>
  <c r="MV37" i="11"/>
  <c r="LY38" i="11"/>
  <c r="ME36" i="11"/>
  <c r="MD36" i="11"/>
  <c r="MC36" i="11"/>
  <c r="LY36" i="11"/>
  <c r="MB36" i="11"/>
  <c r="LZ36" i="11"/>
  <c r="MC38" i="11"/>
  <c r="MB38" i="11"/>
  <c r="MA38" i="11"/>
  <c r="LZ38" i="11"/>
  <c r="NV37" i="11"/>
  <c r="AX16" i="87"/>
  <c r="AX13" i="87"/>
  <c r="AX17" i="87"/>
  <c r="AR104" i="87"/>
  <c r="AR103" i="87"/>
  <c r="AR108" i="87"/>
  <c r="AM104" i="87"/>
  <c r="AM99" i="87"/>
  <c r="AM95" i="87"/>
  <c r="AM20" i="87"/>
  <c r="GX22" i="11"/>
  <c r="GX19" i="11"/>
  <c r="GU24" i="11"/>
  <c r="GX20" i="11"/>
  <c r="JR27" i="11"/>
  <c r="JM32" i="11" s="1"/>
  <c r="JO32" i="11" s="1"/>
  <c r="GU19" i="11"/>
  <c r="GS22" i="11"/>
  <c r="GU22" i="11"/>
  <c r="KK27" i="11"/>
  <c r="GW22" i="11"/>
  <c r="GY22" i="11"/>
  <c r="GU23" i="11" s="1"/>
  <c r="HA22" i="11"/>
  <c r="LO29" i="11"/>
  <c r="LO30" i="11" s="1"/>
  <c r="LR28" i="11" s="1"/>
  <c r="MY30" i="11" s="1"/>
  <c r="LT24" i="11"/>
  <c r="MP23" i="11"/>
  <c r="LN22" i="11"/>
  <c r="LN23" i="11"/>
  <c r="LO20" i="11"/>
  <c r="LN20" i="11"/>
  <c r="LT25" i="11"/>
  <c r="MQ23" i="11"/>
  <c r="LO21" i="11"/>
  <c r="LN21" i="11"/>
  <c r="E146" i="87"/>
  <c r="BK97" i="87"/>
  <c r="BJ97" i="87"/>
  <c r="BL97" i="87"/>
  <c r="BM97" i="87"/>
  <c r="BN97" i="87"/>
  <c r="BO97" i="87"/>
  <c r="CJ100" i="87"/>
  <c r="CJ101" i="87" s="1"/>
  <c r="CJ102" i="87" s="1"/>
  <c r="CJ103" i="87" s="1"/>
  <c r="CJ104" i="87" s="1"/>
  <c r="CJ105" i="87" s="1"/>
  <c r="CJ106" i="87" s="1"/>
  <c r="CJ107" i="87" s="1"/>
  <c r="D179" i="87"/>
  <c r="BI137" i="87"/>
  <c r="BP132" i="87" s="1"/>
  <c r="BN137" i="87"/>
  <c r="G28" i="87"/>
  <c r="G27" i="87" s="1"/>
  <c r="G26" i="87" s="1"/>
  <c r="H29" i="87"/>
  <c r="H28" i="87" s="1"/>
  <c r="H27" i="87" s="1"/>
  <c r="H26" i="87" s="1"/>
  <c r="BP99" i="87"/>
  <c r="BY94" i="87"/>
  <c r="AE34" i="87"/>
  <c r="AE45" i="87" s="1"/>
  <c r="AE44" i="87" s="1"/>
  <c r="AE43" i="87" s="1"/>
  <c r="F36" i="87"/>
  <c r="AN14" i="87" s="1"/>
  <c r="BO118" i="87"/>
  <c r="BQ97" i="87"/>
  <c r="BQ96" i="87"/>
  <c r="BR96" i="87" s="1"/>
  <c r="BQ95" i="87"/>
  <c r="AU203" i="87"/>
  <c r="AV203" i="87"/>
  <c r="AV202" i="87"/>
  <c r="AK136" i="87"/>
  <c r="BP115" i="87"/>
  <c r="BP114" i="87"/>
  <c r="CE137" i="87"/>
  <c r="BO133" i="87"/>
  <c r="BO134" i="87"/>
  <c r="AN102" i="87"/>
  <c r="AN93" i="87"/>
  <c r="AM19" i="87"/>
  <c r="AM15" i="87"/>
  <c r="BI119" i="87"/>
  <c r="BQ113" i="87" s="1"/>
  <c r="BR113" i="87" s="1"/>
  <c r="BG112" i="87"/>
  <c r="BG113" i="87" s="1"/>
  <c r="BG114" i="87" s="1"/>
  <c r="BG115" i="87" s="1"/>
  <c r="BG116" i="87" s="1"/>
  <c r="BG117" i="87" s="1"/>
  <c r="BG118" i="87" s="1"/>
  <c r="BG119" i="87" s="1"/>
  <c r="CM32" i="11"/>
  <c r="CO32" i="11" s="1"/>
  <c r="LU30" i="11"/>
  <c r="LV30" i="11"/>
  <c r="KK29" i="11"/>
  <c r="CR22" i="11"/>
  <c r="CR21" i="11"/>
  <c r="JR20" i="11"/>
  <c r="EQ20" i="11"/>
  <c r="EW22" i="11" s="1"/>
  <c r="ES23" i="11" s="1"/>
  <c r="JR23" i="11"/>
  <c r="FT24" i="11"/>
  <c r="FZ22" i="11"/>
  <c r="FX22" i="11"/>
  <c r="FT23" i="11" s="1"/>
  <c r="FV22" i="11"/>
  <c r="FT22" i="11"/>
  <c r="FR22" i="11"/>
  <c r="FY22" i="11"/>
  <c r="FW22" i="11"/>
  <c r="FU22" i="11"/>
  <c r="FS22" i="11"/>
  <c r="FW20" i="11"/>
  <c r="FS20" i="11"/>
  <c r="FU20" i="11" s="1"/>
  <c r="FX19" i="11"/>
  <c r="FT19" i="11"/>
  <c r="FX20" i="11"/>
  <c r="FS24" i="11" s="1"/>
  <c r="FT20" i="11"/>
  <c r="FY24" i="11" s="1"/>
  <c r="FY19" i="11"/>
  <c r="FW19" i="11"/>
  <c r="FS19" i="11"/>
  <c r="HA20" i="11"/>
  <c r="GZ20" i="11"/>
  <c r="GV19" i="11"/>
  <c r="ES22" i="11"/>
  <c r="EQ22" i="11"/>
  <c r="EX19" i="11"/>
  <c r="GY20" i="11"/>
  <c r="GT24" i="11" s="1"/>
  <c r="GV23" i="11"/>
  <c r="GX24" i="11"/>
  <c r="GZ24" i="11"/>
  <c r="GW20" i="11"/>
  <c r="GW19" i="11" s="1"/>
  <c r="GV24" i="11"/>
  <c r="N37" i="86"/>
  <c r="N33" i="86"/>
  <c r="N36" i="86"/>
  <c r="N38" i="86"/>
  <c r="N35" i="86"/>
  <c r="E32" i="86"/>
  <c r="KS11" i="11"/>
  <c r="KV9" i="11" s="1"/>
  <c r="KW11" i="11"/>
  <c r="JY12" i="11"/>
  <c r="JY14" i="11" s="1"/>
  <c r="NK16" i="11"/>
  <c r="CF14" i="11"/>
  <c r="JF12" i="11"/>
  <c r="JF14" i="11" s="1"/>
  <c r="LF16" i="11"/>
  <c r="MJ16" i="11" s="1"/>
  <c r="LG14" i="11"/>
  <c r="JF5" i="11"/>
  <c r="JF7" i="11" s="1"/>
  <c r="CF7" i="11"/>
  <c r="JY5" i="11"/>
  <c r="JY7" i="11" s="1"/>
  <c r="NK9" i="11"/>
  <c r="LF9" i="11"/>
  <c r="MJ9" i="11" s="1"/>
  <c r="LG7" i="11"/>
  <c r="EP12" i="11"/>
  <c r="FQ14" i="11"/>
  <c r="GR12" i="11"/>
  <c r="FQ7" i="11"/>
  <c r="EP5" i="11"/>
  <c r="EP15" i="11"/>
  <c r="GR15" i="11"/>
  <c r="EP8" i="11"/>
  <c r="GR5" i="11"/>
  <c r="NP9" i="11"/>
  <c r="BS10" i="11"/>
  <c r="BS9" i="11" s="1"/>
  <c r="CC10" i="11" s="1"/>
  <c r="BT11" i="11"/>
  <c r="BT10" i="11" s="1"/>
  <c r="BT9" i="11" s="1"/>
  <c r="CD10" i="11" s="1"/>
  <c r="JG5" i="11"/>
  <c r="NO9" i="11"/>
  <c r="JZ5" i="11"/>
  <c r="CG7" i="11"/>
  <c r="CH5" i="11"/>
  <c r="CB11" i="11"/>
  <c r="CH6" i="11" s="1"/>
  <c r="JZ12" i="11"/>
  <c r="JG12" i="11"/>
  <c r="NO16" i="11"/>
  <c r="CG14" i="11"/>
  <c r="BS17" i="11"/>
  <c r="BS16" i="11" s="1"/>
  <c r="CC17" i="11" s="1"/>
  <c r="BT18" i="11"/>
  <c r="BT17" i="11" s="1"/>
  <c r="BT16" i="11" s="1"/>
  <c r="CD17" i="11" s="1"/>
  <c r="CH12" i="11"/>
  <c r="CB18" i="11"/>
  <c r="CH13" i="11" s="1"/>
  <c r="NP16" i="11"/>
  <c r="FQ15" i="11"/>
  <c r="EP14" i="11"/>
  <c r="FQ12" i="11"/>
  <c r="GR14" i="11"/>
  <c r="FQ8" i="11"/>
  <c r="GR7" i="11"/>
  <c r="FQ5" i="11"/>
  <c r="EP7" i="11"/>
  <c r="GR8" i="11"/>
  <c r="DN11" i="11"/>
  <c r="DM11" i="11"/>
  <c r="DW10" i="11"/>
  <c r="DU10" i="11"/>
  <c r="DT10" i="11"/>
  <c r="DS10" i="11"/>
  <c r="DR10" i="11"/>
  <c r="DQ10" i="11"/>
  <c r="DN10" i="11"/>
  <c r="DM10" i="11"/>
  <c r="DW9" i="11"/>
  <c r="DV9" i="11"/>
  <c r="DU9" i="11"/>
  <c r="DT9" i="11"/>
  <c r="DS9" i="11"/>
  <c r="DR9" i="11"/>
  <c r="DQ9" i="11"/>
  <c r="DP9" i="11"/>
  <c r="DX8" i="11"/>
  <c r="DW8" i="11"/>
  <c r="DV8" i="11"/>
  <c r="DU8" i="11"/>
  <c r="DT8" i="11"/>
  <c r="DS8" i="11"/>
  <c r="DR8" i="11"/>
  <c r="DQ8" i="11"/>
  <c r="DP8" i="11"/>
  <c r="DX6" i="11"/>
  <c r="DW6" i="11"/>
  <c r="DV6" i="11"/>
  <c r="DU6" i="11"/>
  <c r="DT6" i="11"/>
  <c r="DS6" i="11"/>
  <c r="DR6" i="11"/>
  <c r="DQ6" i="11"/>
  <c r="DX5" i="11"/>
  <c r="DW5" i="11"/>
  <c r="DV5" i="11"/>
  <c r="DU5" i="11"/>
  <c r="DT5" i="11"/>
  <c r="DS5" i="11"/>
  <c r="DR5" i="11"/>
  <c r="DQ5" i="11"/>
  <c r="HR11" i="11"/>
  <c r="HQ11" i="11"/>
  <c r="IA10" i="11"/>
  <c r="HY10" i="11"/>
  <c r="HX10" i="11"/>
  <c r="HW10" i="11"/>
  <c r="HV10" i="11"/>
  <c r="HU10" i="11"/>
  <c r="HR10" i="11"/>
  <c r="HQ10" i="11"/>
  <c r="IA9" i="11"/>
  <c r="HZ9" i="11"/>
  <c r="HY9" i="11"/>
  <c r="HX9" i="11"/>
  <c r="HW9" i="11"/>
  <c r="HV9" i="11"/>
  <c r="HU9" i="11"/>
  <c r="HT9" i="11"/>
  <c r="IB8" i="11"/>
  <c r="IA8" i="11"/>
  <c r="HZ8" i="11"/>
  <c r="HY8" i="11"/>
  <c r="HX8" i="11"/>
  <c r="HW8" i="11"/>
  <c r="HV8" i="11"/>
  <c r="HU8" i="11"/>
  <c r="HT8" i="11"/>
  <c r="IB6" i="11"/>
  <c r="IA6" i="11"/>
  <c r="HZ6" i="11"/>
  <c r="HY6" i="11"/>
  <c r="HX6" i="11"/>
  <c r="HW6" i="11"/>
  <c r="HV6" i="11"/>
  <c r="HU6" i="11"/>
  <c r="IB5" i="11"/>
  <c r="IA5" i="11"/>
  <c r="HZ5" i="11"/>
  <c r="HY5" i="11"/>
  <c r="HX5" i="11"/>
  <c r="HW5" i="11"/>
  <c r="HV5" i="11"/>
  <c r="HU5" i="11"/>
  <c r="IS11" i="11"/>
  <c r="IR11" i="11"/>
  <c r="JB10" i="11"/>
  <c r="IZ10" i="11"/>
  <c r="IY10" i="11"/>
  <c r="IX10" i="11"/>
  <c r="IW10" i="11"/>
  <c r="IV10" i="11"/>
  <c r="IS10" i="11"/>
  <c r="IR10" i="11"/>
  <c r="JB9" i="11"/>
  <c r="JA9" i="11"/>
  <c r="IZ9" i="11"/>
  <c r="IY9" i="11"/>
  <c r="IX9" i="11"/>
  <c r="IW9" i="11"/>
  <c r="IV9" i="11"/>
  <c r="IU9" i="11"/>
  <c r="JC8" i="11"/>
  <c r="JB8" i="11"/>
  <c r="JA8" i="11"/>
  <c r="IZ8" i="11"/>
  <c r="IY8" i="11"/>
  <c r="IX8" i="11"/>
  <c r="IW8" i="11"/>
  <c r="IV8" i="11"/>
  <c r="IU8" i="11"/>
  <c r="JC6" i="11"/>
  <c r="JB6" i="11"/>
  <c r="JA6" i="11"/>
  <c r="IZ6" i="11"/>
  <c r="IY6" i="11"/>
  <c r="IX6" i="11"/>
  <c r="IW6" i="11"/>
  <c r="IV6" i="11"/>
  <c r="JC5" i="11"/>
  <c r="JB5" i="11"/>
  <c r="JA5" i="11"/>
  <c r="IZ5" i="11"/>
  <c r="IY5" i="11"/>
  <c r="IX5" i="11"/>
  <c r="IW5" i="11"/>
  <c r="IV5" i="11"/>
  <c r="DN18" i="11"/>
  <c r="DM18" i="11"/>
  <c r="DW17" i="11"/>
  <c r="DU17" i="11"/>
  <c r="DT17" i="11"/>
  <c r="DS17" i="11"/>
  <c r="DR17" i="11"/>
  <c r="DQ17" i="11"/>
  <c r="DN17" i="11"/>
  <c r="DM17" i="11"/>
  <c r="DW16" i="11"/>
  <c r="DV16" i="11"/>
  <c r="DU16" i="11"/>
  <c r="DT16" i="11"/>
  <c r="DS16" i="11"/>
  <c r="DR16" i="11"/>
  <c r="DQ16" i="11"/>
  <c r="DP16" i="11"/>
  <c r="DX15" i="11"/>
  <c r="DW15" i="11"/>
  <c r="DV15" i="11"/>
  <c r="DU15" i="11"/>
  <c r="DT15" i="11"/>
  <c r="DS15" i="11"/>
  <c r="DR15" i="11"/>
  <c r="DQ15" i="11"/>
  <c r="DP15" i="11"/>
  <c r="DX13" i="11"/>
  <c r="DW13" i="11"/>
  <c r="DV13" i="11"/>
  <c r="DU13" i="11"/>
  <c r="DT13" i="11"/>
  <c r="DS13" i="11"/>
  <c r="DR13" i="11"/>
  <c r="DQ13" i="11"/>
  <c r="DX12" i="11"/>
  <c r="DW12" i="11"/>
  <c r="DV12" i="11"/>
  <c r="DU12" i="11"/>
  <c r="DT12" i="11"/>
  <c r="DS12" i="11"/>
  <c r="DR12" i="11"/>
  <c r="DQ12" i="11"/>
  <c r="HR18" i="11"/>
  <c r="HQ18" i="11"/>
  <c r="IA17" i="11"/>
  <c r="HY17" i="11"/>
  <c r="HX17" i="11"/>
  <c r="HW17" i="11"/>
  <c r="HV17" i="11"/>
  <c r="HU17" i="11"/>
  <c r="HR17" i="11"/>
  <c r="HQ17" i="11"/>
  <c r="IA16" i="11"/>
  <c r="HZ16" i="11"/>
  <c r="HY16" i="11"/>
  <c r="HX16" i="11"/>
  <c r="HW16" i="11"/>
  <c r="HV16" i="11"/>
  <c r="HU16" i="11"/>
  <c r="HT16" i="11"/>
  <c r="IB15" i="11"/>
  <c r="IA15" i="11"/>
  <c r="HZ15" i="11"/>
  <c r="HY15" i="11"/>
  <c r="HX15" i="11"/>
  <c r="HW15" i="11"/>
  <c r="HV15" i="11"/>
  <c r="HU15" i="11"/>
  <c r="HT15" i="11"/>
  <c r="IB13" i="11"/>
  <c r="IA13" i="11"/>
  <c r="HZ13" i="11"/>
  <c r="HY13" i="11"/>
  <c r="HX13" i="11"/>
  <c r="HW13" i="11"/>
  <c r="HV13" i="11"/>
  <c r="HU13" i="11"/>
  <c r="IB12" i="11"/>
  <c r="IA12" i="11"/>
  <c r="HZ12" i="11"/>
  <c r="HY12" i="11"/>
  <c r="HX12" i="11"/>
  <c r="HW12" i="11"/>
  <c r="HV12" i="11"/>
  <c r="HU12" i="11"/>
  <c r="IS18" i="11"/>
  <c r="IR18" i="11"/>
  <c r="JB17" i="11"/>
  <c r="IZ17" i="11"/>
  <c r="IY17" i="11"/>
  <c r="IX17" i="11"/>
  <c r="IW17" i="11"/>
  <c r="IV17" i="11"/>
  <c r="IS17" i="11"/>
  <c r="IR17" i="11"/>
  <c r="JB16" i="11"/>
  <c r="JA16" i="11"/>
  <c r="IZ16" i="11"/>
  <c r="IY16" i="11"/>
  <c r="IX16" i="11"/>
  <c r="IW16" i="11"/>
  <c r="IV16" i="11"/>
  <c r="IU16" i="11"/>
  <c r="JC15" i="11"/>
  <c r="JB15" i="11"/>
  <c r="JA15" i="11"/>
  <c r="IZ15" i="11"/>
  <c r="IY15" i="11"/>
  <c r="IX15" i="11"/>
  <c r="IW15" i="11"/>
  <c r="IV15" i="11"/>
  <c r="IU15" i="11"/>
  <c r="JC13" i="11"/>
  <c r="JB13" i="11"/>
  <c r="JA13" i="11"/>
  <c r="IZ13" i="11"/>
  <c r="IY13" i="11"/>
  <c r="IX13" i="11"/>
  <c r="IW13" i="11"/>
  <c r="IV13" i="11"/>
  <c r="JC12" i="11"/>
  <c r="JB12" i="11"/>
  <c r="JA12" i="11"/>
  <c r="IZ12" i="11"/>
  <c r="IY12" i="11"/>
  <c r="IX12" i="11"/>
  <c r="IW12" i="11"/>
  <c r="IV12" i="11"/>
  <c r="I15" i="85"/>
  <c r="H17" i="85"/>
  <c r="P13" i="85"/>
  <c r="H10" i="85"/>
  <c r="F8" i="86"/>
  <c r="C135" i="87"/>
  <c r="C136" i="87"/>
  <c r="MA39" i="11" l="1"/>
  <c r="ER20" i="11"/>
  <c r="EW20" i="11" s="1"/>
  <c r="ER24" i="11" s="1"/>
  <c r="ES24" i="11"/>
  <c r="EY22" i="11"/>
  <c r="ER22" i="11"/>
  <c r="ER19" i="11"/>
  <c r="ET22" i="11"/>
  <c r="EV22" i="11"/>
  <c r="ET19" i="11"/>
  <c r="EN24" i="11" s="1"/>
  <c r="EN25" i="11" s="1"/>
  <c r="EW25" i="11" s="1"/>
  <c r="EV19" i="11"/>
  <c r="EX22" i="11"/>
  <c r="ET20" i="11"/>
  <c r="EY20" i="11" s="1"/>
  <c r="EV20" i="11"/>
  <c r="ES19" i="11"/>
  <c r="EW19" i="11"/>
  <c r="ES20" i="11"/>
  <c r="EX24" i="11" s="1"/>
  <c r="EU22" i="11"/>
  <c r="GK16" i="11"/>
  <c r="GK17" i="11" s="1"/>
  <c r="GK18" i="11" s="1"/>
  <c r="GO16" i="11" s="1"/>
  <c r="LZ39" i="11"/>
  <c r="LW39" i="11" s="1"/>
  <c r="MW37" i="11" s="1"/>
  <c r="NR37" i="11"/>
  <c r="JK34" i="11"/>
  <c r="AR109" i="87"/>
  <c r="AR106" i="87"/>
  <c r="AY104" i="87" s="1"/>
  <c r="LU32" i="11"/>
  <c r="MA31" i="11" s="1"/>
  <c r="LV23" i="11"/>
  <c r="LU23" i="11"/>
  <c r="LO22" i="11"/>
  <c r="LO23" i="11" s="1"/>
  <c r="LR21" i="11" s="1"/>
  <c r="MY23" i="11" s="1"/>
  <c r="BR95" i="87"/>
  <c r="BW94" i="87"/>
  <c r="BU94" i="87"/>
  <c r="BT94" i="87"/>
  <c r="BK116" i="87"/>
  <c r="BJ116" i="87"/>
  <c r="BL116" i="87"/>
  <c r="BM116" i="87"/>
  <c r="BN116" i="87"/>
  <c r="BO116" i="87"/>
  <c r="BP116" i="87"/>
  <c r="BY113" i="87" s="1"/>
  <c r="CJ119" i="87"/>
  <c r="CJ120" i="87" s="1"/>
  <c r="CJ121" i="87" s="1"/>
  <c r="CJ122" i="87" s="1"/>
  <c r="CJ123" i="87" s="1"/>
  <c r="CJ124" i="87" s="1"/>
  <c r="CJ125" i="87" s="1"/>
  <c r="CJ126" i="87" s="1"/>
  <c r="BX94" i="87"/>
  <c r="BV94" i="87"/>
  <c r="BS94" i="87"/>
  <c r="BR97" i="87"/>
  <c r="AN99" i="87"/>
  <c r="AN95" i="87"/>
  <c r="BO137" i="87"/>
  <c r="BP118" i="87"/>
  <c r="BQ99" i="87"/>
  <c r="BR99" i="87" s="1"/>
  <c r="BZ94" i="87"/>
  <c r="AN13" i="87"/>
  <c r="AN20" i="87"/>
  <c r="AG34" i="87"/>
  <c r="AG45" i="87" s="1"/>
  <c r="AG44" i="87" s="1"/>
  <c r="AG43" i="87" s="1"/>
  <c r="H36" i="87"/>
  <c r="AP14" i="87" s="1"/>
  <c r="D180" i="87"/>
  <c r="D181" i="87" s="1"/>
  <c r="D182" i="87" s="1"/>
  <c r="H169" i="87" s="1"/>
  <c r="BQ116" i="87"/>
  <c r="BQ114" i="87"/>
  <c r="BQ115" i="87"/>
  <c r="BR115" i="87" s="1"/>
  <c r="AN103" i="87"/>
  <c r="AN108" i="87"/>
  <c r="AN104" i="87"/>
  <c r="AW203" i="87"/>
  <c r="AW202" i="87"/>
  <c r="BK204" i="87" s="1"/>
  <c r="AF34" i="87"/>
  <c r="AF45" i="87" s="1"/>
  <c r="AF44" i="87" s="1"/>
  <c r="AF43" i="87" s="1"/>
  <c r="G36" i="87"/>
  <c r="AO14" i="87" s="1"/>
  <c r="BP134" i="87"/>
  <c r="BP133" i="87"/>
  <c r="BI138" i="87"/>
  <c r="BQ132" i="87" s="1"/>
  <c r="BR132" i="87" s="1"/>
  <c r="BG131" i="87"/>
  <c r="BG132" i="87" s="1"/>
  <c r="BG133" i="87" s="1"/>
  <c r="BG134" i="87" s="1"/>
  <c r="BG135" i="87" s="1"/>
  <c r="BG136" i="87" s="1"/>
  <c r="BG137" i="87" s="1"/>
  <c r="BG138" i="87" s="1"/>
  <c r="CT26" i="11"/>
  <c r="CQ32" i="11"/>
  <c r="JT26" i="11"/>
  <c r="JQ32" i="11"/>
  <c r="KF32" i="11"/>
  <c r="CM25" i="11"/>
  <c r="CO25" i="11" s="1"/>
  <c r="FY20" i="11"/>
  <c r="FZ20" i="11"/>
  <c r="FU19" i="11"/>
  <c r="EX20" i="11"/>
  <c r="EY19" i="11"/>
  <c r="EU20" i="11"/>
  <c r="EU19" i="11" s="1"/>
  <c r="ER23" i="11"/>
  <c r="EQ23" i="11"/>
  <c r="ET24" i="11"/>
  <c r="EU24" i="11"/>
  <c r="FV20" i="11"/>
  <c r="FV19" i="11" s="1"/>
  <c r="FU24" i="11"/>
  <c r="FV24" i="11"/>
  <c r="ET23" i="11"/>
  <c r="EV24" i="11"/>
  <c r="FU23" i="11"/>
  <c r="FW24" i="11"/>
  <c r="GQ24" i="11"/>
  <c r="GQ25" i="11" s="1"/>
  <c r="HA25" i="11" s="1"/>
  <c r="GW23" i="11"/>
  <c r="GX23" i="11"/>
  <c r="GY23" i="11"/>
  <c r="GZ23" i="11"/>
  <c r="GP24" i="11"/>
  <c r="GP25" i="11" s="1"/>
  <c r="GY25" i="11" s="1"/>
  <c r="GS23" i="11"/>
  <c r="GT23" i="11"/>
  <c r="HA19" i="11"/>
  <c r="EU25" i="11"/>
  <c r="KU9" i="11"/>
  <c r="F32" i="86"/>
  <c r="E36" i="86"/>
  <c r="E37" i="86"/>
  <c r="E38" i="86"/>
  <c r="E33" i="86"/>
  <c r="E35" i="86"/>
  <c r="KW10" i="11"/>
  <c r="KW9" i="11"/>
  <c r="KV10" i="11"/>
  <c r="EI9" i="11"/>
  <c r="EI10" i="11" s="1"/>
  <c r="EI11" i="11" s="1"/>
  <c r="EM9" i="11" s="1"/>
  <c r="EI16" i="11"/>
  <c r="EI17" i="11" s="1"/>
  <c r="EI18" i="11" s="1"/>
  <c r="EM16" i="11" s="1"/>
  <c r="LG16" i="11"/>
  <c r="MK16" i="11" s="1"/>
  <c r="LH14" i="11"/>
  <c r="LG9" i="11"/>
  <c r="MK9" i="11" s="1"/>
  <c r="LH7" i="11"/>
  <c r="FJ9" i="11"/>
  <c r="FJ10" i="11" s="1"/>
  <c r="FJ11" i="11" s="1"/>
  <c r="FN9" i="11" s="1"/>
  <c r="FJ16" i="11"/>
  <c r="FJ17" i="11" s="1"/>
  <c r="FJ18" i="11" s="1"/>
  <c r="FN16" i="11" s="1"/>
  <c r="GK9" i="11"/>
  <c r="GK10" i="11" s="1"/>
  <c r="GK11" i="11" s="1"/>
  <c r="GO9" i="11" s="1"/>
  <c r="NT9" i="11"/>
  <c r="CI5" i="11"/>
  <c r="CC11" i="11"/>
  <c r="CI6" i="11" s="1"/>
  <c r="CK6" i="11" s="1"/>
  <c r="JH5" i="11"/>
  <c r="JK5" i="11" s="1"/>
  <c r="JG8" i="11" s="1"/>
  <c r="KA5" i="11"/>
  <c r="NS9" i="11"/>
  <c r="CH7" i="11"/>
  <c r="JZ7" i="11"/>
  <c r="JG7" i="11"/>
  <c r="JZ14" i="11"/>
  <c r="NT16" i="11"/>
  <c r="CH14" i="11"/>
  <c r="KA12" i="11"/>
  <c r="KD12" i="11" s="1"/>
  <c r="NS16" i="11"/>
  <c r="JH12" i="11"/>
  <c r="JK12" i="11" s="1"/>
  <c r="JG15" i="11" s="1"/>
  <c r="CI12" i="11"/>
  <c r="CK12" i="11" s="1"/>
  <c r="CC18" i="11"/>
  <c r="CI13" i="11" s="1"/>
  <c r="JG14" i="11"/>
  <c r="I10" i="85"/>
  <c r="I17" i="85"/>
  <c r="G8" i="86"/>
  <c r="LY29" i="11" l="1"/>
  <c r="LY31" i="11"/>
  <c r="MB29" i="11"/>
  <c r="LZ31" i="11"/>
  <c r="MC31" i="11"/>
  <c r="ME29" i="11"/>
  <c r="LZ29" i="11"/>
  <c r="MD29" i="11"/>
  <c r="MV30" i="11"/>
  <c r="MC29" i="11"/>
  <c r="MB31" i="11"/>
  <c r="KA37" i="11"/>
  <c r="JY37" i="11"/>
  <c r="JZ37" i="11"/>
  <c r="JF37" i="11"/>
  <c r="JH37" i="11"/>
  <c r="JG37" i="11"/>
  <c r="AP20" i="87"/>
  <c r="AP13" i="87"/>
  <c r="LU25" i="11"/>
  <c r="LZ22" i="11" s="1"/>
  <c r="MV23" i="11"/>
  <c r="MA24" i="11"/>
  <c r="MB24" i="11"/>
  <c r="MD22" i="11"/>
  <c r="LY22" i="11"/>
  <c r="BK135" i="87"/>
  <c r="BJ135" i="87"/>
  <c r="BL135" i="87"/>
  <c r="BM135" i="87"/>
  <c r="BN135" i="87"/>
  <c r="BO135" i="87"/>
  <c r="CJ138" i="87"/>
  <c r="CJ139" i="87" s="1"/>
  <c r="CJ140" i="87" s="1"/>
  <c r="CJ141" i="87" s="1"/>
  <c r="CJ142" i="87" s="1"/>
  <c r="CJ143" i="87" s="1"/>
  <c r="CJ144" i="87" s="1"/>
  <c r="CJ145" i="87" s="1"/>
  <c r="BX113" i="87"/>
  <c r="BV113" i="87"/>
  <c r="BR116" i="87"/>
  <c r="BS113" i="87"/>
  <c r="BK98" i="87"/>
  <c r="BJ98" i="87"/>
  <c r="BL98" i="87"/>
  <c r="BM98" i="87"/>
  <c r="BN98" i="87"/>
  <c r="BO98" i="87"/>
  <c r="BP98" i="87"/>
  <c r="BP135" i="87"/>
  <c r="BY132" i="87" s="1"/>
  <c r="CA94" i="87"/>
  <c r="BR114" i="87"/>
  <c r="BW113" i="87"/>
  <c r="BU113" i="87"/>
  <c r="BT113" i="87"/>
  <c r="BQ98" i="87"/>
  <c r="H170" i="87"/>
  <c r="I169" i="87"/>
  <c r="BQ133" i="87"/>
  <c r="BQ135" i="87"/>
  <c r="BQ134" i="87"/>
  <c r="BR134" i="87" s="1"/>
  <c r="BP137" i="87"/>
  <c r="AO20" i="87"/>
  <c r="AO13" i="87"/>
  <c r="AR14" i="87"/>
  <c r="AL17" i="87" s="1"/>
  <c r="AN109" i="87"/>
  <c r="BQ118" i="87"/>
  <c r="BR118" i="87" s="1"/>
  <c r="BZ113" i="87"/>
  <c r="AO102" i="87"/>
  <c r="AN19" i="87"/>
  <c r="AN15" i="87"/>
  <c r="AO93" i="87"/>
  <c r="MA32" i="11"/>
  <c r="KH32" i="11"/>
  <c r="JT27" i="11"/>
  <c r="KL30" i="11"/>
  <c r="JS30" i="11"/>
  <c r="JT30" i="11" s="1"/>
  <c r="NB30" i="11" s="1"/>
  <c r="MZ30" i="11"/>
  <c r="CT27" i="11"/>
  <c r="NA30" i="11" s="1"/>
  <c r="CQ25" i="11"/>
  <c r="CT19" i="11"/>
  <c r="KL23" i="11" s="1"/>
  <c r="EW23" i="11"/>
  <c r="EX23" i="11"/>
  <c r="EO24" i="11"/>
  <c r="EO25" i="11" s="1"/>
  <c r="EY25" i="11" s="1"/>
  <c r="JF20" i="11" s="1"/>
  <c r="NN23" i="11" s="1"/>
  <c r="EU23" i="11"/>
  <c r="EV23" i="11"/>
  <c r="FX23" i="11"/>
  <c r="FY23" i="11"/>
  <c r="FP24" i="11"/>
  <c r="FP25" i="11" s="1"/>
  <c r="FZ25" i="11" s="1"/>
  <c r="FV23" i="11"/>
  <c r="FW23" i="11"/>
  <c r="FO24" i="11"/>
  <c r="FO25" i="11" s="1"/>
  <c r="FX25" i="11" s="1"/>
  <c r="FR23" i="11"/>
  <c r="FS23" i="11"/>
  <c r="FZ19" i="11"/>
  <c r="GW25" i="11"/>
  <c r="JH20" i="11"/>
  <c r="G32" i="86"/>
  <c r="F38" i="86"/>
  <c r="F36" i="86"/>
  <c r="F33" i="86"/>
  <c r="F37" i="86"/>
  <c r="F35" i="86"/>
  <c r="KX9" i="11"/>
  <c r="LL11" i="11" s="1"/>
  <c r="KU10" i="11"/>
  <c r="KX5" i="11" s="1"/>
  <c r="LH16" i="11"/>
  <c r="ML16" i="11" s="1"/>
  <c r="LI14" i="11"/>
  <c r="LH9" i="11"/>
  <c r="ML9" i="11" s="1"/>
  <c r="LI7" i="11"/>
  <c r="JN5" i="11"/>
  <c r="JF8" i="11"/>
  <c r="JM5" i="11" s="1"/>
  <c r="JY8" i="11"/>
  <c r="KA7" i="11"/>
  <c r="KD7" i="11" s="1"/>
  <c r="KA8" i="11"/>
  <c r="JH7" i="11"/>
  <c r="JK7" i="11" s="1"/>
  <c r="JH8" i="11"/>
  <c r="CE9" i="11"/>
  <c r="CF9" i="11"/>
  <c r="CG9" i="11"/>
  <c r="CI7" i="11"/>
  <c r="CK7" i="11" s="1"/>
  <c r="JZ8" i="11"/>
  <c r="KD5" i="11"/>
  <c r="CI9" i="11"/>
  <c r="CH9" i="11"/>
  <c r="CK5" i="11"/>
  <c r="JN12" i="11"/>
  <c r="CE15" i="11"/>
  <c r="CF15" i="11"/>
  <c r="CG15" i="11"/>
  <c r="CH15" i="11"/>
  <c r="JH15" i="11"/>
  <c r="JH14" i="11"/>
  <c r="JF15" i="11"/>
  <c r="JY15" i="11"/>
  <c r="CK13" i="11"/>
  <c r="KA15" i="11"/>
  <c r="KA14" i="11"/>
  <c r="KD14" i="11" s="1"/>
  <c r="CI15" i="11"/>
  <c r="CI14" i="11"/>
  <c r="JZ15" i="11"/>
  <c r="GO10" i="11"/>
  <c r="GM10" i="11" s="1"/>
  <c r="EM10" i="11"/>
  <c r="EK10" i="11" s="1"/>
  <c r="FN10" i="11"/>
  <c r="FL10" i="11" s="1"/>
  <c r="EM17" i="11"/>
  <c r="EK17" i="11" s="1"/>
  <c r="FN17" i="11"/>
  <c r="FL17" i="11" s="1"/>
  <c r="GO17" i="11"/>
  <c r="GM17" i="11" s="1"/>
  <c r="K15" i="85"/>
  <c r="J15" i="85"/>
  <c r="H8" i="86"/>
  <c r="ME22" i="11" l="1"/>
  <c r="MB22" i="11"/>
  <c r="LZ24" i="11"/>
  <c r="CT20" i="11"/>
  <c r="NA23" i="11" s="1"/>
  <c r="MC24" i="11"/>
  <c r="LZ32" i="11"/>
  <c r="MZ23" i="11"/>
  <c r="LW32" i="11"/>
  <c r="MW30" i="11" s="1"/>
  <c r="MC22" i="11"/>
  <c r="LY24" i="11"/>
  <c r="JS23" i="11"/>
  <c r="JN35" i="11"/>
  <c r="JN36" i="11"/>
  <c r="JO35" i="11"/>
  <c r="JO36" i="11"/>
  <c r="JM35" i="11"/>
  <c r="JM36" i="11"/>
  <c r="KG35" i="11"/>
  <c r="KG36" i="11"/>
  <c r="KF35" i="11"/>
  <c r="KF36" i="11"/>
  <c r="KH35" i="11"/>
  <c r="KH36" i="11"/>
  <c r="AQ93" i="87"/>
  <c r="AQ99" i="87" s="1"/>
  <c r="AQ102" i="87"/>
  <c r="BD7" i="87"/>
  <c r="BE7" i="87" s="1"/>
  <c r="AP17" i="87"/>
  <c r="AP19" i="87"/>
  <c r="AP15" i="87"/>
  <c r="FV25" i="11"/>
  <c r="JG20" i="11"/>
  <c r="JK20" i="11" s="1"/>
  <c r="AR13" i="87"/>
  <c r="AP16" i="87" s="1"/>
  <c r="BD8" i="87"/>
  <c r="MA25" i="11"/>
  <c r="BR133" i="87"/>
  <c r="BZ93" i="87"/>
  <c r="BZ96" i="87"/>
  <c r="BZ95" i="87"/>
  <c r="BY93" i="87"/>
  <c r="BY96" i="87"/>
  <c r="BY95" i="87"/>
  <c r="BW93" i="87"/>
  <c r="BW96" i="87"/>
  <c r="BW95" i="87"/>
  <c r="BU93" i="87"/>
  <c r="BU96" i="87"/>
  <c r="BU95" i="87"/>
  <c r="BT93" i="87"/>
  <c r="BT96" i="87"/>
  <c r="BT95" i="87"/>
  <c r="CA113" i="87"/>
  <c r="BX132" i="87"/>
  <c r="BV132" i="87"/>
  <c r="BS132" i="87"/>
  <c r="BR135" i="87"/>
  <c r="BK117" i="87"/>
  <c r="BJ117" i="87"/>
  <c r="BL117" i="87"/>
  <c r="BM117" i="87"/>
  <c r="BN117" i="87"/>
  <c r="BO117" i="87"/>
  <c r="BP117" i="87"/>
  <c r="BX93" i="87"/>
  <c r="BX96" i="87"/>
  <c r="BX95" i="87"/>
  <c r="BV93" i="87"/>
  <c r="BV96" i="87"/>
  <c r="BV95" i="87"/>
  <c r="BS93" i="87"/>
  <c r="BR98" i="87"/>
  <c r="BS96" i="87"/>
  <c r="BS95" i="87"/>
  <c r="BQ117" i="87"/>
  <c r="BW132" i="87"/>
  <c r="BU132" i="87"/>
  <c r="BT132" i="87"/>
  <c r="AM17" i="87"/>
  <c r="AN17" i="87"/>
  <c r="AO17" i="87"/>
  <c r="BD202" i="87"/>
  <c r="D186" i="87"/>
  <c r="AO99" i="87"/>
  <c r="AO95" i="87"/>
  <c r="AO108" i="87"/>
  <c r="AO104" i="87"/>
  <c r="AO103" i="87"/>
  <c r="AP102" i="87"/>
  <c r="AP93" i="87"/>
  <c r="AO19" i="87"/>
  <c r="AO15" i="87"/>
  <c r="BQ137" i="87"/>
  <c r="BR137" i="87" s="1"/>
  <c r="BZ132" i="87"/>
  <c r="H171" i="87"/>
  <c r="I170" i="87"/>
  <c r="BE202" i="87" s="1"/>
  <c r="KM26" i="11"/>
  <c r="KJ32" i="11"/>
  <c r="KM30" i="11" s="1"/>
  <c r="NC30" i="11" s="1"/>
  <c r="NV23" i="11"/>
  <c r="H32" i="86"/>
  <c r="G37" i="86"/>
  <c r="G35" i="86"/>
  <c r="G38" i="86"/>
  <c r="G36" i="86"/>
  <c r="G33" i="86"/>
  <c r="LN11" i="11"/>
  <c r="MT9" i="11"/>
  <c r="LI16" i="11"/>
  <c r="MM16" i="11" s="1"/>
  <c r="LJ14" i="11"/>
  <c r="LJ7" i="11"/>
  <c r="LI9" i="11"/>
  <c r="MM9" i="11" s="1"/>
  <c r="CE10" i="11"/>
  <c r="CL6" i="11" s="1"/>
  <c r="CF10" i="11"/>
  <c r="CM6" i="11" s="1"/>
  <c r="CG10" i="11"/>
  <c r="CN6" i="11" s="1"/>
  <c r="CH10" i="11"/>
  <c r="CO6" i="11" s="1"/>
  <c r="JF10" i="11"/>
  <c r="JY10" i="11"/>
  <c r="KF6" i="11" s="1"/>
  <c r="JZ10" i="11"/>
  <c r="KG6" i="11" s="1"/>
  <c r="JG10" i="11"/>
  <c r="CE8" i="11"/>
  <c r="CL7" i="11" s="1"/>
  <c r="CF8" i="11"/>
  <c r="CM7" i="11" s="1"/>
  <c r="CG8" i="11"/>
  <c r="CN7" i="11" s="1"/>
  <c r="CH8" i="11"/>
  <c r="CO7" i="11" s="1"/>
  <c r="KG5" i="11"/>
  <c r="CI8" i="11"/>
  <c r="JO5" i="11"/>
  <c r="JR5" i="11" s="1"/>
  <c r="KH5" i="11"/>
  <c r="CI10" i="11"/>
  <c r="CP6" i="11" s="1"/>
  <c r="JH10" i="11"/>
  <c r="JO6" i="11" s="1"/>
  <c r="KA10" i="11"/>
  <c r="KH6" i="11" s="1"/>
  <c r="KF5" i="11"/>
  <c r="KG12" i="11"/>
  <c r="KF12" i="11"/>
  <c r="JO12" i="11"/>
  <c r="CN12" i="11"/>
  <c r="JM12" i="11"/>
  <c r="CM12" i="11"/>
  <c r="CK14" i="11"/>
  <c r="CE16" i="11"/>
  <c r="CF16" i="11"/>
  <c r="CG16" i="11"/>
  <c r="CH16" i="11"/>
  <c r="CL12" i="11"/>
  <c r="CP12" i="11"/>
  <c r="KH12" i="11"/>
  <c r="CI16" i="11"/>
  <c r="JK14" i="11"/>
  <c r="JH17" i="11" s="1"/>
  <c r="CO12" i="11"/>
  <c r="GM9" i="11"/>
  <c r="GS6" i="11" s="1"/>
  <c r="EK9" i="11"/>
  <c r="EQ6" i="11" s="1"/>
  <c r="FL9" i="11"/>
  <c r="FR6" i="11" s="1"/>
  <c r="GM16" i="11"/>
  <c r="GS13" i="11" s="1"/>
  <c r="FL16" i="11"/>
  <c r="FR13" i="11" s="1"/>
  <c r="EK16" i="11"/>
  <c r="EQ13" i="11" s="1"/>
  <c r="L5" i="15"/>
  <c r="N5" i="15"/>
  <c r="AG5" i="15" s="1"/>
  <c r="T5" i="15"/>
  <c r="AG11" i="15" s="1"/>
  <c r="AC5" i="15"/>
  <c r="AD5" i="15"/>
  <c r="AE5" i="15"/>
  <c r="AF5" i="15"/>
  <c r="AH5" i="15"/>
  <c r="AJ5" i="15" s="1"/>
  <c r="N6" i="15"/>
  <c r="N7" i="15" s="1"/>
  <c r="T6" i="15"/>
  <c r="T7" i="15" s="1"/>
  <c r="AC6" i="15"/>
  <c r="AD6" i="15"/>
  <c r="AE6" i="15"/>
  <c r="AF6" i="15"/>
  <c r="AH6" i="15"/>
  <c r="AJ6" i="15" s="1"/>
  <c r="AC7" i="15"/>
  <c r="AD7" i="15"/>
  <c r="AE7" i="15"/>
  <c r="AF7" i="15"/>
  <c r="AH7" i="15"/>
  <c r="AJ7" i="15" s="1"/>
  <c r="N8" i="15"/>
  <c r="T8" i="15"/>
  <c r="AC8" i="15"/>
  <c r="AD8" i="15"/>
  <c r="AE8" i="15"/>
  <c r="AF8" i="15"/>
  <c r="AH8" i="15"/>
  <c r="AJ8" i="15" s="1"/>
  <c r="AC9" i="15"/>
  <c r="AD9" i="15"/>
  <c r="AE9" i="15"/>
  <c r="AF9" i="15"/>
  <c r="AH9" i="15"/>
  <c r="AJ9" i="15" s="1"/>
  <c r="N10" i="15"/>
  <c r="T10" i="15"/>
  <c r="AC10" i="15"/>
  <c r="AD10" i="15"/>
  <c r="AE10" i="15"/>
  <c r="AF10" i="15"/>
  <c r="AH10" i="15"/>
  <c r="AJ10" i="15" s="1"/>
  <c r="AC11" i="15"/>
  <c r="AD11" i="15"/>
  <c r="AE11" i="15"/>
  <c r="AF11" i="15"/>
  <c r="AH11" i="15"/>
  <c r="AJ11" i="15" s="1"/>
  <c r="N12" i="15"/>
  <c r="O12" i="15"/>
  <c r="P12" i="15"/>
  <c r="Q12" i="15"/>
  <c r="R12" i="15"/>
  <c r="S12" i="15"/>
  <c r="T12" i="15"/>
  <c r="AB12" i="15"/>
  <c r="AC12" i="15"/>
  <c r="AD12" i="15"/>
  <c r="AE12" i="15"/>
  <c r="AF12" i="15"/>
  <c r="AG12" i="15"/>
  <c r="AH12" i="15"/>
  <c r="AI12" i="15"/>
  <c r="AJ12" i="15"/>
  <c r="AK12" i="15"/>
  <c r="AB13" i="15"/>
  <c r="AC13" i="15"/>
  <c r="AD13" i="15"/>
  <c r="AE13" i="15"/>
  <c r="AF13" i="15"/>
  <c r="AG13" i="15"/>
  <c r="AH13" i="15"/>
  <c r="AI13" i="15"/>
  <c r="AJ13" i="15"/>
  <c r="AK13" i="15"/>
  <c r="AC14" i="15"/>
  <c r="AD14" i="15"/>
  <c r="AE14" i="15"/>
  <c r="AF14" i="15"/>
  <c r="AG14" i="15"/>
  <c r="AH14" i="15"/>
  <c r="AI14" i="15"/>
  <c r="AJ14" i="15"/>
  <c r="AK14" i="15"/>
  <c r="A15" i="15"/>
  <c r="A25" i="15" s="1"/>
  <c r="A35" i="15" s="1"/>
  <c r="A45" i="15" s="1"/>
  <c r="A55" i="15" s="1"/>
  <c r="A65" i="15" s="1"/>
  <c r="A75" i="15" s="1"/>
  <c r="A85" i="15" s="1"/>
  <c r="A95" i="15" s="1"/>
  <c r="A105" i="15" s="1"/>
  <c r="A115" i="15" s="1"/>
  <c r="A125" i="15" s="1"/>
  <c r="A135" i="15" s="1"/>
  <c r="A145" i="15" s="1"/>
  <c r="A155" i="15" s="1"/>
  <c r="A165" i="15" s="1"/>
  <c r="A175" i="15" s="1"/>
  <c r="A185" i="15" s="1"/>
  <c r="A195" i="15" s="1"/>
  <c r="A205" i="15" s="1"/>
  <c r="A215" i="15" s="1"/>
  <c r="A225" i="15" s="1"/>
  <c r="A235" i="15" s="1"/>
  <c r="A245" i="15" s="1"/>
  <c r="A255" i="15" s="1"/>
  <c r="A265" i="15" s="1"/>
  <c r="A275" i="15" s="1"/>
  <c r="A285" i="15" s="1"/>
  <c r="A295" i="15" s="1"/>
  <c r="A305" i="15" s="1"/>
  <c r="A315" i="15" s="1"/>
  <c r="A325" i="15" s="1"/>
  <c r="A335" i="15" s="1"/>
  <c r="A345" i="15" s="1"/>
  <c r="A355" i="15" s="1"/>
  <c r="A365" i="15" s="1"/>
  <c r="A375" i="15" s="1"/>
  <c r="A385" i="15" s="1"/>
  <c r="A395" i="15" s="1"/>
  <c r="A405" i="15" s="1"/>
  <c r="N15" i="15"/>
  <c r="AG15" i="15" s="1"/>
  <c r="O15" i="15"/>
  <c r="AG16" i="15" s="1"/>
  <c r="P15" i="15"/>
  <c r="AG17" i="15" s="1"/>
  <c r="Q15" i="15"/>
  <c r="AG18" i="15" s="1"/>
  <c r="R15" i="15"/>
  <c r="AG19" i="15" s="1"/>
  <c r="S15" i="15"/>
  <c r="AG20" i="15" s="1"/>
  <c r="T15" i="15"/>
  <c r="AG21" i="15" s="1"/>
  <c r="AC15" i="15"/>
  <c r="AD15" i="15"/>
  <c r="AE15" i="15"/>
  <c r="AF15" i="15"/>
  <c r="AH15" i="15"/>
  <c r="AJ15" i="15" s="1"/>
  <c r="N16" i="15"/>
  <c r="N17" i="15" s="1"/>
  <c r="O16" i="15"/>
  <c r="O17" i="15" s="1"/>
  <c r="P16" i="15"/>
  <c r="P17" i="15" s="1"/>
  <c r="Q16" i="15"/>
  <c r="Q17" i="15" s="1"/>
  <c r="R16" i="15"/>
  <c r="S16" i="15"/>
  <c r="S17" i="15" s="1"/>
  <c r="T16" i="15"/>
  <c r="T17" i="15" s="1"/>
  <c r="AC16" i="15"/>
  <c r="AD16" i="15"/>
  <c r="AE16" i="15"/>
  <c r="AF16" i="15"/>
  <c r="AH16" i="15"/>
  <c r="AJ16" i="15" s="1"/>
  <c r="R17" i="15"/>
  <c r="AC17" i="15"/>
  <c r="AD17" i="15"/>
  <c r="AE17" i="15"/>
  <c r="AF17" i="15"/>
  <c r="AH17" i="15"/>
  <c r="AJ17" i="15" s="1"/>
  <c r="N18" i="15"/>
  <c r="O18" i="15"/>
  <c r="P18" i="15"/>
  <c r="Q18" i="15"/>
  <c r="R18" i="15"/>
  <c r="S18" i="15"/>
  <c r="T18" i="15"/>
  <c r="AC18" i="15"/>
  <c r="AD18" i="15"/>
  <c r="AE18" i="15"/>
  <c r="AF18" i="15"/>
  <c r="AH18" i="15"/>
  <c r="AJ18" i="15" s="1"/>
  <c r="AC19" i="15"/>
  <c r="AD19" i="15"/>
  <c r="AE19" i="15"/>
  <c r="AF19" i="15"/>
  <c r="AH19" i="15"/>
  <c r="AJ19" i="15" s="1"/>
  <c r="N20" i="15"/>
  <c r="O20" i="15"/>
  <c r="P20" i="15"/>
  <c r="Q20" i="15"/>
  <c r="R20" i="15"/>
  <c r="S20" i="15"/>
  <c r="T20" i="15"/>
  <c r="AC20" i="15"/>
  <c r="AD20" i="15"/>
  <c r="AE20" i="15"/>
  <c r="AF20" i="15"/>
  <c r="AH20" i="15"/>
  <c r="AJ20" i="15" s="1"/>
  <c r="AC21" i="15"/>
  <c r="AD21" i="15"/>
  <c r="AE21" i="15"/>
  <c r="AF21" i="15"/>
  <c r="AH21" i="15"/>
  <c r="AJ21" i="15" s="1"/>
  <c r="N22" i="15"/>
  <c r="O22" i="15"/>
  <c r="P22" i="15"/>
  <c r="Q22" i="15"/>
  <c r="R22" i="15"/>
  <c r="S22" i="15"/>
  <c r="T22" i="15"/>
  <c r="AB22" i="15"/>
  <c r="AC22" i="15"/>
  <c r="AD22" i="15"/>
  <c r="AE22" i="15"/>
  <c r="AF22" i="15"/>
  <c r="AG22" i="15"/>
  <c r="AH22" i="15"/>
  <c r="AI22" i="15"/>
  <c r="AJ22" i="15"/>
  <c r="AK22" i="15"/>
  <c r="AB23" i="15"/>
  <c r="AC23" i="15"/>
  <c r="AD23" i="15"/>
  <c r="AE23" i="15"/>
  <c r="AF23" i="15"/>
  <c r="AG23" i="15"/>
  <c r="AH23" i="15"/>
  <c r="AI23" i="15"/>
  <c r="AJ23" i="15"/>
  <c r="AK23" i="15"/>
  <c r="AC24" i="15"/>
  <c r="AD24" i="15"/>
  <c r="AE24" i="15"/>
  <c r="AF24" i="15"/>
  <c r="AG24" i="15"/>
  <c r="AH24" i="15"/>
  <c r="AI24" i="15"/>
  <c r="AJ24" i="15"/>
  <c r="AK24" i="15"/>
  <c r="S25" i="85"/>
  <c r="J10" i="85"/>
  <c r="M15" i="85"/>
  <c r="K10" i="85"/>
  <c r="K17" i="85"/>
  <c r="R15" i="85"/>
  <c r="L15" i="85"/>
  <c r="J17" i="85"/>
  <c r="S12" i="85"/>
  <c r="O8" i="86"/>
  <c r="I8" i="86"/>
  <c r="JR35" i="11" l="1"/>
  <c r="LZ25" i="11"/>
  <c r="LW25" i="11" s="1"/>
  <c r="MW23" i="11" s="1"/>
  <c r="JR36" i="11"/>
  <c r="JO39" i="11" s="1"/>
  <c r="JM39" i="11"/>
  <c r="KK35" i="11"/>
  <c r="KF39" i="11" s="1"/>
  <c r="JF23" i="11"/>
  <c r="JZ23" i="11"/>
  <c r="KG22" i="11" s="1"/>
  <c r="JH23" i="11"/>
  <c r="JO22" i="11" s="1"/>
  <c r="KA23" i="11"/>
  <c r="KH22" i="11" s="1"/>
  <c r="JY23" i="11"/>
  <c r="KF22" i="11" s="1"/>
  <c r="KK36" i="11"/>
  <c r="AS93" i="87"/>
  <c r="AQ96" i="87" s="1"/>
  <c r="AX93" i="87" s="1"/>
  <c r="AQ95" i="87"/>
  <c r="AQ108" i="87"/>
  <c r="AQ104" i="87"/>
  <c r="BC8" i="87"/>
  <c r="BF7" i="87" s="1"/>
  <c r="BG7" i="87" s="1"/>
  <c r="BH7" i="87" s="1"/>
  <c r="BI7" i="87" s="1"/>
  <c r="BJ7" i="87" s="1"/>
  <c r="BK7" i="87" s="1"/>
  <c r="BL7" i="87" s="1"/>
  <c r="BM7" i="87" s="1"/>
  <c r="BN7" i="87" s="1"/>
  <c r="BO7" i="87" s="1"/>
  <c r="BP7" i="87" s="1"/>
  <c r="BQ7" i="87" s="1"/>
  <c r="BR7" i="87" s="1"/>
  <c r="BS7" i="87" s="1"/>
  <c r="BT7" i="87" s="1"/>
  <c r="BU7" i="87" s="1"/>
  <c r="BV7" i="87" s="1"/>
  <c r="BW7" i="87" s="1"/>
  <c r="BX7" i="87" s="1"/>
  <c r="BY7" i="87" s="1"/>
  <c r="BZ7" i="87" s="1"/>
  <c r="CA7" i="87" s="1"/>
  <c r="CB7" i="87" s="1"/>
  <c r="CC7" i="87" s="1"/>
  <c r="CD7" i="87" s="1"/>
  <c r="CE7" i="87" s="1"/>
  <c r="CF7" i="87" s="1"/>
  <c r="CG7" i="87" s="1"/>
  <c r="CH7" i="87" s="1"/>
  <c r="CI7" i="87" s="1"/>
  <c r="CJ7" i="87" s="1"/>
  <c r="CK7" i="87" s="1"/>
  <c r="CL7" i="87" s="1"/>
  <c r="CM7" i="87" s="1"/>
  <c r="CN7" i="87" s="1"/>
  <c r="CO7" i="87" s="1"/>
  <c r="CP7" i="87" s="1"/>
  <c r="CQ7" i="87" s="1"/>
  <c r="CR7" i="87" s="1"/>
  <c r="CS7" i="87" s="1"/>
  <c r="CT7" i="87" s="1"/>
  <c r="CU7" i="87" s="1"/>
  <c r="CV7" i="87" s="1"/>
  <c r="CW7" i="87" s="1"/>
  <c r="CX7" i="87" s="1"/>
  <c r="CY7" i="87" s="1"/>
  <c r="CZ7" i="87" s="1"/>
  <c r="DA7" i="87" s="1"/>
  <c r="DB7" i="87" s="1"/>
  <c r="DC7" i="87" s="1"/>
  <c r="DD7" i="87" s="1"/>
  <c r="DE7" i="87" s="1"/>
  <c r="DF7" i="87" s="1"/>
  <c r="DG7" i="87" s="1"/>
  <c r="DH7" i="87" s="1"/>
  <c r="DI7" i="87" s="1"/>
  <c r="DJ7" i="87" s="1"/>
  <c r="DK7" i="87" s="1"/>
  <c r="DL7" i="87" s="1"/>
  <c r="DM7" i="87" s="1"/>
  <c r="DN7" i="87" s="1"/>
  <c r="DO7" i="87" s="1"/>
  <c r="DP7" i="87" s="1"/>
  <c r="DQ7" i="87" s="1"/>
  <c r="DR7" i="87" s="1"/>
  <c r="DS7" i="87" s="1"/>
  <c r="DT7" i="87" s="1"/>
  <c r="DU7" i="87" s="1"/>
  <c r="DV7" i="87" s="1"/>
  <c r="DW7" i="87" s="1"/>
  <c r="DX7" i="87" s="1"/>
  <c r="DY7" i="87" s="1"/>
  <c r="DZ7" i="87" s="1"/>
  <c r="EA7" i="87" s="1"/>
  <c r="EB7" i="87" s="1"/>
  <c r="EC7" i="87" s="1"/>
  <c r="ED7" i="87" s="1"/>
  <c r="EE7" i="87" s="1"/>
  <c r="EF7" i="87" s="1"/>
  <c r="EG7" i="87" s="1"/>
  <c r="EH7" i="87" s="1"/>
  <c r="EI7" i="87" s="1"/>
  <c r="EJ7" i="87" s="1"/>
  <c r="EK7" i="87" s="1"/>
  <c r="EL7" i="87" s="1"/>
  <c r="EM7" i="87" s="1"/>
  <c r="EN7" i="87" s="1"/>
  <c r="EO7" i="87" s="1"/>
  <c r="EP7" i="87" s="1"/>
  <c r="EQ7" i="87" s="1"/>
  <c r="ER7" i="87" s="1"/>
  <c r="ES7" i="87" s="1"/>
  <c r="ET7" i="87" s="1"/>
  <c r="EU7" i="87" s="1"/>
  <c r="EV7" i="87" s="1"/>
  <c r="EW7" i="87" s="1"/>
  <c r="EX7" i="87" s="1"/>
  <c r="EY7" i="87" s="1"/>
  <c r="EZ7" i="87" s="1"/>
  <c r="AW13" i="87"/>
  <c r="AW15" i="87"/>
  <c r="AM16" i="87"/>
  <c r="AT13" i="87" s="1"/>
  <c r="AL16" i="87"/>
  <c r="AO16" i="87"/>
  <c r="AV15" i="87" s="1"/>
  <c r="AN16" i="87"/>
  <c r="AU13" i="87" s="1"/>
  <c r="NR23" i="11"/>
  <c r="JG23" i="11"/>
  <c r="CA95" i="87"/>
  <c r="CA96" i="87"/>
  <c r="CA93" i="87"/>
  <c r="BZ112" i="87"/>
  <c r="BZ114" i="87"/>
  <c r="BZ115" i="87"/>
  <c r="BX112" i="87"/>
  <c r="BX115" i="87"/>
  <c r="BX114" i="87"/>
  <c r="BV112" i="87"/>
  <c r="BV115" i="87"/>
  <c r="BV114" i="87"/>
  <c r="BS115" i="87"/>
  <c r="BS112" i="87"/>
  <c r="BR117" i="87"/>
  <c r="BS114" i="87"/>
  <c r="BK136" i="87"/>
  <c r="BJ136" i="87"/>
  <c r="BL136" i="87"/>
  <c r="BM136" i="87"/>
  <c r="BN136" i="87"/>
  <c r="BO136" i="87"/>
  <c r="BP136" i="87"/>
  <c r="BY112" i="87"/>
  <c r="BY114" i="87"/>
  <c r="BY115" i="87"/>
  <c r="BW112" i="87"/>
  <c r="BW115" i="87"/>
  <c r="BW114" i="87"/>
  <c r="BU112" i="87"/>
  <c r="BU115" i="87"/>
  <c r="BU114" i="87"/>
  <c r="BT112" i="87"/>
  <c r="BT115" i="87"/>
  <c r="BT114" i="87"/>
  <c r="CA132" i="87"/>
  <c r="BQ136" i="87"/>
  <c r="AP99" i="87"/>
  <c r="AP95" i="87"/>
  <c r="AO109" i="87"/>
  <c r="H172" i="87"/>
  <c r="I171" i="87"/>
  <c r="AP103" i="87"/>
  <c r="AS103" i="87" s="1"/>
  <c r="AN106" i="87" s="1"/>
  <c r="AP108" i="87"/>
  <c r="AP104" i="87"/>
  <c r="AS102" i="87"/>
  <c r="AR105" i="87" s="1"/>
  <c r="AR15" i="87"/>
  <c r="AP18" i="87" s="1"/>
  <c r="KM27" i="11"/>
  <c r="O32" i="86"/>
  <c r="I32" i="86"/>
  <c r="H38" i="86"/>
  <c r="H36" i="86"/>
  <c r="H33" i="86"/>
  <c r="H37" i="86"/>
  <c r="H35" i="86"/>
  <c r="LO11" i="11"/>
  <c r="MA8" i="11" s="1"/>
  <c r="LX9" i="11"/>
  <c r="CL8" i="11"/>
  <c r="KG9" i="11"/>
  <c r="LJ16" i="11"/>
  <c r="LK14" i="11"/>
  <c r="LK16" i="11" s="1"/>
  <c r="LK7" i="11"/>
  <c r="LK9" i="11" s="1"/>
  <c r="LJ9" i="11"/>
  <c r="T9" i="15"/>
  <c r="T11" i="15" s="1"/>
  <c r="T13" i="15" s="1"/>
  <c r="T14" i="15" s="1"/>
  <c r="AA5" i="15" s="1"/>
  <c r="AK11" i="15" s="1"/>
  <c r="JR12" i="11"/>
  <c r="CN8" i="11"/>
  <c r="KK5" i="11"/>
  <c r="KF9" i="11"/>
  <c r="CR6" i="11"/>
  <c r="CO8" i="11"/>
  <c r="CM8" i="11"/>
  <c r="KH9" i="11"/>
  <c r="JO9" i="11"/>
  <c r="CP9" i="11"/>
  <c r="CP5" i="11"/>
  <c r="CP7" i="11"/>
  <c r="CR7" i="11" s="1"/>
  <c r="CN9" i="11"/>
  <c r="CN5" i="11"/>
  <c r="CL5" i="11"/>
  <c r="CL9" i="11"/>
  <c r="JN6" i="11"/>
  <c r="JN9" i="11"/>
  <c r="KK6" i="11"/>
  <c r="CP8" i="11"/>
  <c r="CO9" i="11"/>
  <c r="CO5" i="11"/>
  <c r="CM9" i="11"/>
  <c r="CM5" i="11"/>
  <c r="JM9" i="11"/>
  <c r="JM6" i="11"/>
  <c r="JO13" i="11"/>
  <c r="JO16" i="11"/>
  <c r="CR12" i="11"/>
  <c r="CN14" i="11"/>
  <c r="CE17" i="11"/>
  <c r="CL15" i="11" s="1"/>
  <c r="CF17" i="11"/>
  <c r="CM15" i="11" s="1"/>
  <c r="CG17" i="11"/>
  <c r="CN15" i="11" s="1"/>
  <c r="CH17" i="11"/>
  <c r="CO15" i="11" s="1"/>
  <c r="CP14" i="11"/>
  <c r="CM14" i="11"/>
  <c r="CI17" i="11"/>
  <c r="CP15" i="11" s="1"/>
  <c r="KK12" i="11"/>
  <c r="JF17" i="11"/>
  <c r="JY17" i="11"/>
  <c r="JG17" i="11"/>
  <c r="JZ17" i="11"/>
  <c r="CL14" i="11"/>
  <c r="CO14" i="11"/>
  <c r="KA17" i="11"/>
  <c r="GU10" i="11"/>
  <c r="HA8" i="11"/>
  <c r="GZ8" i="11"/>
  <c r="GY8" i="11"/>
  <c r="GV9" i="11" s="1"/>
  <c r="GX8" i="11"/>
  <c r="GW8" i="11"/>
  <c r="GV8" i="11"/>
  <c r="GU8" i="11"/>
  <c r="GT8" i="11"/>
  <c r="GS8" i="11"/>
  <c r="GX6" i="11"/>
  <c r="GU6" i="11"/>
  <c r="GZ10" i="11" s="1"/>
  <c r="GT6" i="11"/>
  <c r="GV6" i="11" s="1"/>
  <c r="GZ5" i="11"/>
  <c r="GY5" i="11"/>
  <c r="GX5" i="11"/>
  <c r="GU5" i="11"/>
  <c r="GT5" i="11"/>
  <c r="ES10" i="11"/>
  <c r="EY8" i="11"/>
  <c r="EX8" i="11"/>
  <c r="EW8" i="11"/>
  <c r="ES9" i="11" s="1"/>
  <c r="EV8" i="11"/>
  <c r="EU8" i="11"/>
  <c r="EW5" i="11" s="1"/>
  <c r="ET8" i="11"/>
  <c r="ES8" i="11"/>
  <c r="ER8" i="11"/>
  <c r="EQ8" i="11"/>
  <c r="EV6" i="11"/>
  <c r="ES6" i="11"/>
  <c r="EV10" i="11" s="1"/>
  <c r="ER6" i="11"/>
  <c r="EW6" i="11" s="1"/>
  <c r="ER10" i="11" s="1"/>
  <c r="EX5" i="11"/>
  <c r="ES5" i="11"/>
  <c r="FT10" i="11"/>
  <c r="FZ8" i="11"/>
  <c r="FY8" i="11"/>
  <c r="FX8" i="11"/>
  <c r="FU9" i="11" s="1"/>
  <c r="FW8" i="11"/>
  <c r="FV8" i="11"/>
  <c r="FU8" i="11"/>
  <c r="FT8" i="11"/>
  <c r="FS8" i="11"/>
  <c r="FR8" i="11"/>
  <c r="FW6" i="11"/>
  <c r="FT6" i="11"/>
  <c r="FY10" i="11" s="1"/>
  <c r="FS6" i="11"/>
  <c r="FU6" i="11" s="1"/>
  <c r="FY5" i="11"/>
  <c r="FX5" i="11"/>
  <c r="FW5" i="11"/>
  <c r="FT5" i="11"/>
  <c r="FS5" i="11"/>
  <c r="ES17" i="11"/>
  <c r="EY15" i="11"/>
  <c r="EX15" i="11"/>
  <c r="EW15" i="11"/>
  <c r="ES16" i="11" s="1"/>
  <c r="EV15" i="11"/>
  <c r="EU15" i="11"/>
  <c r="ET15" i="11"/>
  <c r="ES15" i="11"/>
  <c r="ER15" i="11"/>
  <c r="EQ15" i="11"/>
  <c r="EV13" i="11"/>
  <c r="ES13" i="11"/>
  <c r="EV17" i="11" s="1"/>
  <c r="ER13" i="11"/>
  <c r="EW13" i="11" s="1"/>
  <c r="ER17" i="11" s="1"/>
  <c r="EX12" i="11"/>
  <c r="EW12" i="11"/>
  <c r="EV12" i="11"/>
  <c r="ES12" i="11"/>
  <c r="ER12" i="11"/>
  <c r="FT17" i="11"/>
  <c r="FZ15" i="11"/>
  <c r="FY15" i="11"/>
  <c r="FX15" i="11"/>
  <c r="FT16" i="11" s="1"/>
  <c r="FW15" i="11"/>
  <c r="FV15" i="11"/>
  <c r="FU15" i="11"/>
  <c r="FT15" i="11"/>
  <c r="FS15" i="11"/>
  <c r="FR15" i="11"/>
  <c r="FW13" i="11"/>
  <c r="FT13" i="11"/>
  <c r="FW17" i="11" s="1"/>
  <c r="FS13" i="11"/>
  <c r="FX13" i="11" s="1"/>
  <c r="FS17" i="11" s="1"/>
  <c r="FY12" i="11"/>
  <c r="FX12" i="11"/>
  <c r="FW12" i="11"/>
  <c r="FT12" i="11"/>
  <c r="FS12" i="11"/>
  <c r="GU17" i="11"/>
  <c r="HA15" i="11"/>
  <c r="GZ15" i="11"/>
  <c r="GY15" i="11"/>
  <c r="GU16" i="11" s="1"/>
  <c r="GX15" i="11"/>
  <c r="GW15" i="11"/>
  <c r="GZ12" i="11" s="1"/>
  <c r="GV15" i="11"/>
  <c r="GU15" i="11"/>
  <c r="GT15" i="11"/>
  <c r="GS15" i="11"/>
  <c r="GX13" i="11"/>
  <c r="GU13" i="11"/>
  <c r="GX17" i="11" s="1"/>
  <c r="GT13" i="11"/>
  <c r="GY13" i="11" s="1"/>
  <c r="GT17" i="11" s="1"/>
  <c r="S19" i="15"/>
  <c r="S21" i="15" s="1"/>
  <c r="S23" i="15" s="1"/>
  <c r="S24" i="15" s="1"/>
  <c r="AI20" i="15" s="1"/>
  <c r="Q19" i="15"/>
  <c r="Q21" i="15" s="1"/>
  <c r="Q23" i="15" s="1"/>
  <c r="Q24" i="15" s="1"/>
  <c r="AI18" i="15" s="1"/>
  <c r="T19" i="15"/>
  <c r="T21" i="15" s="1"/>
  <c r="T23" i="15" s="1"/>
  <c r="T24" i="15" s="1"/>
  <c r="AA15" i="15" s="1"/>
  <c r="N9" i="15"/>
  <c r="N11" i="15" s="1"/>
  <c r="N13" i="15" s="1"/>
  <c r="N14" i="15" s="1"/>
  <c r="U5" i="15" s="1"/>
  <c r="AK5" i="15" s="1"/>
  <c r="P19" i="15"/>
  <c r="P21" i="15" s="1"/>
  <c r="P23" i="15" s="1"/>
  <c r="P24" i="15" s="1"/>
  <c r="R19" i="15"/>
  <c r="R21" i="15" s="1"/>
  <c r="R23" i="15" s="1"/>
  <c r="R24" i="15" s="1"/>
  <c r="AI19" i="15" s="1"/>
  <c r="O19" i="15"/>
  <c r="O21" i="15" s="1"/>
  <c r="O23" i="15" s="1"/>
  <c r="O24" i="15" s="1"/>
  <c r="AI16" i="15" s="1"/>
  <c r="N19" i="15"/>
  <c r="N21" i="15" s="1"/>
  <c r="N23" i="15" s="1"/>
  <c r="N24" i="15" s="1"/>
  <c r="O5" i="15"/>
  <c r="AG6" i="15" s="1"/>
  <c r="L6" i="15"/>
  <c r="P5" i="15"/>
  <c r="AG7" i="15" s="1"/>
  <c r="AB5" i="15"/>
  <c r="T12" i="85"/>
  <c r="V25" i="85"/>
  <c r="R10" i="85"/>
  <c r="R17" i="85"/>
  <c r="M10" i="85"/>
  <c r="T25" i="85"/>
  <c r="L10" i="85"/>
  <c r="M17" i="85"/>
  <c r="S9" i="85"/>
  <c r="S27" i="85"/>
  <c r="L17" i="85"/>
  <c r="KG21" i="11" l="1"/>
  <c r="JO21" i="11"/>
  <c r="GU12" i="11"/>
  <c r="KF21" i="11"/>
  <c r="AR96" i="87"/>
  <c r="AY93" i="87" s="1"/>
  <c r="KH21" i="11"/>
  <c r="JM22" i="11"/>
  <c r="JM21" i="11"/>
  <c r="JT33" i="11"/>
  <c r="JQ39" i="11"/>
  <c r="JT37" i="11" s="1"/>
  <c r="NB37" i="11" s="1"/>
  <c r="KH39" i="11"/>
  <c r="AO96" i="87"/>
  <c r="AV93" i="87" s="1"/>
  <c r="AS95" i="87"/>
  <c r="AQ98" i="87" s="1"/>
  <c r="AX94" i="87" s="1"/>
  <c r="AP96" i="87"/>
  <c r="AW93" i="87" s="1"/>
  <c r="AN96" i="87"/>
  <c r="AU93" i="87" s="1"/>
  <c r="AM96" i="87"/>
  <c r="AT93" i="87" s="1"/>
  <c r="AY102" i="87"/>
  <c r="AQ105" i="87"/>
  <c r="AX102" i="87" s="1"/>
  <c r="AM105" i="87"/>
  <c r="AW14" i="87"/>
  <c r="AW17" i="87"/>
  <c r="AW16" i="87"/>
  <c r="AT15" i="87"/>
  <c r="AO18" i="87"/>
  <c r="AV14" i="87" s="1"/>
  <c r="AL18" i="87"/>
  <c r="AS17" i="87" s="1"/>
  <c r="AS13" i="87"/>
  <c r="AS15" i="87"/>
  <c r="AV13" i="87"/>
  <c r="AU15" i="87"/>
  <c r="GT12" i="11"/>
  <c r="GX12" i="11"/>
  <c r="GY12" i="11"/>
  <c r="JN21" i="11"/>
  <c r="JN22" i="11"/>
  <c r="JR22" i="11" s="1"/>
  <c r="BT97" i="87"/>
  <c r="BT98" i="87" s="1"/>
  <c r="BT99" i="87" s="1"/>
  <c r="BX98" i="87" s="1"/>
  <c r="BZ131" i="87"/>
  <c r="BZ133" i="87"/>
  <c r="BZ134" i="87"/>
  <c r="BX131" i="87"/>
  <c r="BX134" i="87"/>
  <c r="BX133" i="87"/>
  <c r="BV131" i="87"/>
  <c r="BV134" i="87"/>
  <c r="BV133" i="87"/>
  <c r="BS134" i="87"/>
  <c r="BR136" i="87"/>
  <c r="BS131" i="87"/>
  <c r="BS133" i="87"/>
  <c r="CA114" i="87"/>
  <c r="CA112" i="87"/>
  <c r="AO106" i="87"/>
  <c r="BY131" i="87"/>
  <c r="BY134" i="87"/>
  <c r="BY133" i="87"/>
  <c r="BW131" i="87"/>
  <c r="BW134" i="87"/>
  <c r="BW133" i="87"/>
  <c r="BU131" i="87"/>
  <c r="BU134" i="87"/>
  <c r="BU133" i="87"/>
  <c r="BT131" i="87"/>
  <c r="BT134" i="87"/>
  <c r="BT133" i="87"/>
  <c r="CA115" i="87"/>
  <c r="AP109" i="87"/>
  <c r="AP106" i="87"/>
  <c r="I172" i="87"/>
  <c r="BG202" i="87" s="1"/>
  <c r="H173" i="87"/>
  <c r="AS104" i="87"/>
  <c r="AR107" i="87" s="1"/>
  <c r="AM18" i="87"/>
  <c r="AN18" i="87"/>
  <c r="AN105" i="87"/>
  <c r="AU104" i="87" s="1"/>
  <c r="AO105" i="87"/>
  <c r="AP105" i="87"/>
  <c r="BF202" i="87"/>
  <c r="D187" i="87"/>
  <c r="KK22" i="11"/>
  <c r="KK21" i="11"/>
  <c r="GV13" i="11"/>
  <c r="GV16" i="11"/>
  <c r="GW17" i="11"/>
  <c r="GZ17" i="11"/>
  <c r="GW13" i="11"/>
  <c r="GW12" i="11" s="1"/>
  <c r="GV17" i="11"/>
  <c r="FU13" i="11"/>
  <c r="FU16" i="11"/>
  <c r="FV17" i="11"/>
  <c r="FY17" i="11"/>
  <c r="FV13" i="11"/>
  <c r="FV12" i="11" s="1"/>
  <c r="FU17" i="11"/>
  <c r="ET13" i="11"/>
  <c r="ET16" i="11"/>
  <c r="EU17" i="11"/>
  <c r="EX17" i="11"/>
  <c r="EU13" i="11"/>
  <c r="EU12" i="11" s="1"/>
  <c r="ET17" i="11"/>
  <c r="GZ6" i="11"/>
  <c r="GV5" i="11"/>
  <c r="HA6" i="11"/>
  <c r="GW6" i="11"/>
  <c r="GW5" i="11" s="1"/>
  <c r="GY6" i="11"/>
  <c r="GT10" i="11" s="1"/>
  <c r="GU9" i="11"/>
  <c r="GV10" i="11"/>
  <c r="GX10" i="11"/>
  <c r="GW10" i="11"/>
  <c r="FY6" i="11"/>
  <c r="FU5" i="11"/>
  <c r="FZ6" i="11"/>
  <c r="FV6" i="11"/>
  <c r="FV5" i="11" s="1"/>
  <c r="FX6" i="11"/>
  <c r="FS10" i="11" s="1"/>
  <c r="FT9" i="11"/>
  <c r="FU10" i="11"/>
  <c r="FW10" i="11"/>
  <c r="FV10" i="11"/>
  <c r="ER5" i="11"/>
  <c r="EV5" i="11"/>
  <c r="ET6" i="11"/>
  <c r="ET9" i="11"/>
  <c r="EU10" i="11"/>
  <c r="EX10" i="11"/>
  <c r="EU6" i="11"/>
  <c r="EU5" i="11" s="1"/>
  <c r="ET10" i="11"/>
  <c r="O37" i="86"/>
  <c r="O35" i="86"/>
  <c r="O38" i="86"/>
  <c r="O36" i="86"/>
  <c r="O33" i="86"/>
  <c r="AI11" i="15"/>
  <c r="I37" i="86"/>
  <c r="I38" i="86"/>
  <c r="I33" i="86"/>
  <c r="I35" i="86"/>
  <c r="I36" i="86"/>
  <c r="LT16" i="11"/>
  <c r="LL16" i="11"/>
  <c r="MO16" i="11"/>
  <c r="LM16" i="11"/>
  <c r="LT15" i="11"/>
  <c r="MN16" i="11"/>
  <c r="LT9" i="11"/>
  <c r="LM9" i="11"/>
  <c r="MO9" i="11"/>
  <c r="LL9" i="11"/>
  <c r="LT8" i="11"/>
  <c r="MN9" i="11"/>
  <c r="AI21" i="15"/>
  <c r="Z15" i="15"/>
  <c r="AK20" i="15" s="1"/>
  <c r="X15" i="15"/>
  <c r="AK18" i="15" s="1"/>
  <c r="V15" i="15"/>
  <c r="AK16" i="15" s="1"/>
  <c r="Y15" i="15"/>
  <c r="AK19" i="15" s="1"/>
  <c r="AI5" i="15"/>
  <c r="JR6" i="11"/>
  <c r="CR8" i="11"/>
  <c r="KK9" i="11"/>
  <c r="CR9" i="11"/>
  <c r="JR9" i="11"/>
  <c r="CR5" i="11"/>
  <c r="CR15" i="11"/>
  <c r="JN13" i="11"/>
  <c r="JN16" i="11"/>
  <c r="CM13" i="11"/>
  <c r="CM16" i="11"/>
  <c r="CR14" i="11"/>
  <c r="KF13" i="11"/>
  <c r="KF16" i="11"/>
  <c r="CL13" i="11"/>
  <c r="CL16" i="11"/>
  <c r="JM13" i="11"/>
  <c r="JM16" i="11"/>
  <c r="CO13" i="11"/>
  <c r="CO16" i="11"/>
  <c r="KH13" i="11"/>
  <c r="KH16" i="11"/>
  <c r="KG13" i="11"/>
  <c r="KG16" i="11"/>
  <c r="CP13" i="11"/>
  <c r="CP16" i="11"/>
  <c r="CN13" i="11"/>
  <c r="CN16" i="11"/>
  <c r="NF9" i="11"/>
  <c r="NF16" i="11"/>
  <c r="O6" i="15"/>
  <c r="O7" i="15" s="1"/>
  <c r="O8" i="15"/>
  <c r="O10" i="15"/>
  <c r="AI15" i="15"/>
  <c r="U15" i="15"/>
  <c r="AK15" i="15" s="1"/>
  <c r="W15" i="15"/>
  <c r="AK17" i="15" s="1"/>
  <c r="AI17" i="15"/>
  <c r="AB6" i="15"/>
  <c r="AK21" i="15"/>
  <c r="L7" i="15"/>
  <c r="L8" i="15" s="1"/>
  <c r="AB8" i="15" s="1"/>
  <c r="A12" i="11"/>
  <c r="A19" i="11" s="1"/>
  <c r="A26" i="11" s="1"/>
  <c r="A33" i="11" s="1"/>
  <c r="E34" i="11" s="1"/>
  <c r="L14" i="85"/>
  <c r="J16" i="85"/>
  <c r="M16" i="85"/>
  <c r="C16" i="85"/>
  <c r="Q14" i="85"/>
  <c r="O14" i="85"/>
  <c r="R16" i="85"/>
  <c r="L16" i="85"/>
  <c r="G14" i="85"/>
  <c r="N16" i="85"/>
  <c r="I14" i="85"/>
  <c r="G16" i="85"/>
  <c r="B14" i="85"/>
  <c r="Q16" i="85"/>
  <c r="K16" i="85"/>
  <c r="R14" i="85"/>
  <c r="N14" i="85"/>
  <c r="D14" i="85"/>
  <c r="C14" i="85"/>
  <c r="E16" i="85"/>
  <c r="K14" i="85"/>
  <c r="F14" i="85"/>
  <c r="J14" i="85"/>
  <c r="M14" i="85"/>
  <c r="E14" i="85"/>
  <c r="D16" i="85"/>
  <c r="H16" i="85"/>
  <c r="B16" i="85"/>
  <c r="P16" i="85"/>
  <c r="H14" i="85"/>
  <c r="I16" i="85"/>
  <c r="F16" i="85"/>
  <c r="P14" i="85"/>
  <c r="O16" i="85"/>
  <c r="U13" i="85"/>
  <c r="B23" i="85"/>
  <c r="S10" i="85"/>
  <c r="U25" i="85"/>
  <c r="C24" i="85"/>
  <c r="K18" i="85"/>
  <c r="V12" i="85"/>
  <c r="K26" i="85"/>
  <c r="I28" i="85"/>
  <c r="E23" i="85"/>
  <c r="H23" i="85"/>
  <c r="H19" i="85"/>
  <c r="G28" i="85"/>
  <c r="F23" i="85"/>
  <c r="G18" i="85"/>
  <c r="J28" i="85"/>
  <c r="I18" i="85"/>
  <c r="I24" i="85"/>
  <c r="R19" i="85"/>
  <c r="I19" i="85"/>
  <c r="C23" i="85"/>
  <c r="R23" i="85"/>
  <c r="S13" i="85"/>
  <c r="H11" i="85"/>
  <c r="D11" i="85"/>
  <c r="G24" i="85"/>
  <c r="C19" i="85"/>
  <c r="B28" i="85"/>
  <c r="B26" i="85"/>
  <c r="N26" i="85"/>
  <c r="N23" i="85"/>
  <c r="D24" i="85"/>
  <c r="F19" i="85"/>
  <c r="K11" i="85"/>
  <c r="O26" i="85"/>
  <c r="N19" i="85"/>
  <c r="J23" i="85"/>
  <c r="G19" i="85"/>
  <c r="J26" i="85"/>
  <c r="K19" i="85"/>
  <c r="D26" i="85"/>
  <c r="I26" i="85"/>
  <c r="H28" i="85"/>
  <c r="O19" i="85"/>
  <c r="E24" i="85"/>
  <c r="E28" i="85"/>
  <c r="N18" i="85"/>
  <c r="J19" i="85"/>
  <c r="M23" i="85"/>
  <c r="B18" i="85"/>
  <c r="T27" i="85"/>
  <c r="E18" i="85"/>
  <c r="G23" i="85"/>
  <c r="K23" i="85"/>
  <c r="C28" i="85"/>
  <c r="H18" i="85"/>
  <c r="B19" i="85"/>
  <c r="L19" i="85"/>
  <c r="E26" i="85"/>
  <c r="E11" i="85"/>
  <c r="F26" i="85"/>
  <c r="D18" i="85"/>
  <c r="J24" i="85"/>
  <c r="C26" i="85"/>
  <c r="H26" i="85"/>
  <c r="N28" i="85"/>
  <c r="J11" i="85"/>
  <c r="D23" i="85"/>
  <c r="C18" i="85"/>
  <c r="O23" i="85"/>
  <c r="V13" i="85"/>
  <c r="B24" i="85"/>
  <c r="M11" i="85"/>
  <c r="F28" i="85"/>
  <c r="J18" i="85"/>
  <c r="H24" i="85"/>
  <c r="B11" i="85"/>
  <c r="C11" i="85"/>
  <c r="N24" i="85"/>
  <c r="O18" i="85"/>
  <c r="D19" i="85"/>
  <c r="F11" i="85"/>
  <c r="E19" i="85"/>
  <c r="O28" i="85"/>
  <c r="N11" i="85"/>
  <c r="O24" i="85"/>
  <c r="K24" i="85"/>
  <c r="G11" i="85"/>
  <c r="L23" i="85"/>
  <c r="F18" i="85"/>
  <c r="T9" i="85"/>
  <c r="F24" i="85"/>
  <c r="I23" i="85"/>
  <c r="L11" i="85"/>
  <c r="M19" i="85"/>
  <c r="T13" i="85"/>
  <c r="K28" i="85"/>
  <c r="O11" i="85"/>
  <c r="R11" i="85"/>
  <c r="D28" i="85"/>
  <c r="G26" i="85"/>
  <c r="I11" i="85"/>
  <c r="J8" i="86"/>
  <c r="G8" i="85"/>
  <c r="F8" i="85"/>
  <c r="K8" i="85"/>
  <c r="H8" i="85"/>
  <c r="K8" i="86"/>
  <c r="J8" i="85"/>
  <c r="N8" i="85"/>
  <c r="D8" i="85"/>
  <c r="C8" i="85"/>
  <c r="B8" i="85"/>
  <c r="O8" i="85"/>
  <c r="E8" i="85"/>
  <c r="I8" i="85"/>
  <c r="AR98" i="87" l="1"/>
  <c r="AY94" i="87" s="1"/>
  <c r="JR21" i="11"/>
  <c r="JM25" i="11" s="1"/>
  <c r="JO25" i="11" s="1"/>
  <c r="JQ25" i="11" s="1"/>
  <c r="JT23" i="11" s="1"/>
  <c r="NB23" i="11" s="1"/>
  <c r="KM33" i="11"/>
  <c r="KJ39" i="11"/>
  <c r="KM37" i="11"/>
  <c r="NC37" i="11" s="1"/>
  <c r="JT34" i="11"/>
  <c r="AP98" i="87"/>
  <c r="AW94" i="87" s="1"/>
  <c r="AN98" i="87"/>
  <c r="AU94" i="87" s="1"/>
  <c r="AO98" i="87"/>
  <c r="AV94" i="87" s="1"/>
  <c r="AM98" i="87"/>
  <c r="AT97" i="87" s="1"/>
  <c r="AX97" i="87"/>
  <c r="AX96" i="87"/>
  <c r="AY103" i="87"/>
  <c r="AY105" i="87"/>
  <c r="AY106" i="87"/>
  <c r="AQ107" i="87"/>
  <c r="AX105" i="87" s="1"/>
  <c r="AM107" i="87"/>
  <c r="AT106" i="87" s="1"/>
  <c r="AT102" i="87"/>
  <c r="AV16" i="87"/>
  <c r="AV17" i="87"/>
  <c r="AY13" i="87"/>
  <c r="AY15" i="87"/>
  <c r="AS14" i="87"/>
  <c r="AS16" i="87"/>
  <c r="BX97" i="87"/>
  <c r="BV97" i="87" s="1"/>
  <c r="AZ93" i="87"/>
  <c r="BT116" i="87"/>
  <c r="BT117" i="87" s="1"/>
  <c r="AV104" i="87"/>
  <c r="CA133" i="87"/>
  <c r="CA131" i="87"/>
  <c r="CA134" i="87"/>
  <c r="AW102" i="87"/>
  <c r="AU102" i="87"/>
  <c r="AT14" i="87"/>
  <c r="AT17" i="87"/>
  <c r="AT16" i="87"/>
  <c r="AN107" i="87"/>
  <c r="AO107" i="87"/>
  <c r="AV106" i="87" s="1"/>
  <c r="AV102" i="87"/>
  <c r="AU14" i="87"/>
  <c r="AU17" i="87"/>
  <c r="AU16" i="87"/>
  <c r="I173" i="87"/>
  <c r="H174" i="87"/>
  <c r="AW104" i="87"/>
  <c r="AP107" i="87"/>
  <c r="AW103" i="87" s="1"/>
  <c r="KF25" i="11"/>
  <c r="KH25" i="11" s="1"/>
  <c r="JT19" i="11"/>
  <c r="GY16" i="11"/>
  <c r="GW16" i="11"/>
  <c r="GQ17" i="11"/>
  <c r="GQ18" i="11" s="1"/>
  <c r="HA18" i="11" s="1"/>
  <c r="GZ16" i="11"/>
  <c r="GX16" i="11"/>
  <c r="HA13" i="11"/>
  <c r="GZ13" i="11"/>
  <c r="GV12" i="11"/>
  <c r="FX16" i="11"/>
  <c r="FV16" i="11"/>
  <c r="FP17" i="11"/>
  <c r="FP18" i="11" s="1"/>
  <c r="FZ18" i="11" s="1"/>
  <c r="FY16" i="11"/>
  <c r="FW16" i="11"/>
  <c r="FZ13" i="11"/>
  <c r="FY13" i="11"/>
  <c r="FU12" i="11"/>
  <c r="EW16" i="11"/>
  <c r="EU16" i="11"/>
  <c r="EO17" i="11"/>
  <c r="EO18" i="11" s="1"/>
  <c r="EY18" i="11" s="1"/>
  <c r="EX16" i="11"/>
  <c r="EV16" i="11"/>
  <c r="EY13" i="11"/>
  <c r="EX13" i="11"/>
  <c r="ET12" i="11"/>
  <c r="GQ10" i="11"/>
  <c r="GQ11" i="11" s="1"/>
  <c r="HA11" i="11" s="1"/>
  <c r="GZ9" i="11"/>
  <c r="GX9" i="11"/>
  <c r="GY9" i="11"/>
  <c r="GW9" i="11"/>
  <c r="GT9" i="11"/>
  <c r="GP10" i="11"/>
  <c r="GP11" i="11" s="1"/>
  <c r="GY11" i="11" s="1"/>
  <c r="GS9" i="11"/>
  <c r="HA5" i="11"/>
  <c r="FP10" i="11"/>
  <c r="FP11" i="11" s="1"/>
  <c r="FZ11" i="11" s="1"/>
  <c r="FY9" i="11"/>
  <c r="FW9" i="11"/>
  <c r="FX9" i="11"/>
  <c r="FV9" i="11"/>
  <c r="FS9" i="11"/>
  <c r="FO10" i="11"/>
  <c r="FO11" i="11" s="1"/>
  <c r="FX11" i="11" s="1"/>
  <c r="FR9" i="11"/>
  <c r="FZ5" i="11"/>
  <c r="EW9" i="11"/>
  <c r="EU9" i="11"/>
  <c r="EO10" i="11"/>
  <c r="EO11" i="11" s="1"/>
  <c r="EY11" i="11" s="1"/>
  <c r="EX9" i="11"/>
  <c r="EV9" i="11"/>
  <c r="EY6" i="11"/>
  <c r="EX6" i="11"/>
  <c r="ET5" i="11"/>
  <c r="K32" i="86"/>
  <c r="J32" i="86"/>
  <c r="LT18" i="11"/>
  <c r="LO13" i="11"/>
  <c r="LN16" i="11"/>
  <c r="LN14" i="11"/>
  <c r="LO14" i="11"/>
  <c r="MQ16" i="11"/>
  <c r="LN15" i="11"/>
  <c r="LN13" i="11"/>
  <c r="LT17" i="11"/>
  <c r="MP16" i="11"/>
  <c r="JR16" i="11"/>
  <c r="LO15" i="11"/>
  <c r="LO16" i="11" s="1"/>
  <c r="LR14" i="11" s="1"/>
  <c r="MY16" i="11" s="1"/>
  <c r="LT10" i="11"/>
  <c r="MP9" i="11"/>
  <c r="LO7" i="11"/>
  <c r="MQ9" i="11"/>
  <c r="LT11" i="11"/>
  <c r="LO6" i="11"/>
  <c r="LN9" i="11"/>
  <c r="LN7" i="11"/>
  <c r="LN8" i="11"/>
  <c r="LN6" i="11"/>
  <c r="AB7" i="15"/>
  <c r="CR13" i="11"/>
  <c r="JR13" i="11"/>
  <c r="CM11" i="11"/>
  <c r="CO11" i="11" s="1"/>
  <c r="CR16" i="11"/>
  <c r="KK16" i="11"/>
  <c r="KK13" i="11"/>
  <c r="O32" i="85"/>
  <c r="O37" i="85" s="1"/>
  <c r="N32" i="85"/>
  <c r="N35" i="85" s="1"/>
  <c r="K32" i="85"/>
  <c r="K35" i="85" s="1"/>
  <c r="J32" i="85"/>
  <c r="J36" i="85" s="1"/>
  <c r="I32" i="85"/>
  <c r="I35" i="85" s="1"/>
  <c r="H32" i="85"/>
  <c r="G32" i="85"/>
  <c r="F32" i="85"/>
  <c r="E32" i="85"/>
  <c r="Q5" i="15"/>
  <c r="AG8" i="15" s="1"/>
  <c r="O9" i="15"/>
  <c r="O11" i="15" s="1"/>
  <c r="O13" i="15" s="1"/>
  <c r="O14" i="15" s="1"/>
  <c r="P6" i="15"/>
  <c r="P7" i="15" s="1"/>
  <c r="P8" i="15"/>
  <c r="P10" i="15"/>
  <c r="L9" i="15"/>
  <c r="P19" i="85"/>
  <c r="R26" i="85"/>
  <c r="M24" i="85"/>
  <c r="L24" i="85"/>
  <c r="P23" i="85"/>
  <c r="M28" i="85"/>
  <c r="V10" i="85"/>
  <c r="S17" i="85"/>
  <c r="L28" i="85"/>
  <c r="T10" i="85"/>
  <c r="U22" i="85"/>
  <c r="P15" i="85"/>
  <c r="U9" i="85"/>
  <c r="U12" i="85"/>
  <c r="L18" i="85"/>
  <c r="L26" i="85"/>
  <c r="S22" i="85"/>
  <c r="R24" i="85"/>
  <c r="V9" i="85"/>
  <c r="P17" i="85"/>
  <c r="M18" i="85"/>
  <c r="V27" i="85"/>
  <c r="T17" i="85"/>
  <c r="M26" i="85"/>
  <c r="R18" i="85"/>
  <c r="R28" i="85"/>
  <c r="P10" i="85"/>
  <c r="T22" i="85"/>
  <c r="U27" i="85"/>
  <c r="M8" i="85"/>
  <c r="M8" i="86"/>
  <c r="L8" i="85"/>
  <c r="L8" i="86"/>
  <c r="AY97" i="87" l="1"/>
  <c r="AY96" i="87"/>
  <c r="KM34" i="11"/>
  <c r="AW97" i="87"/>
  <c r="AU97" i="87"/>
  <c r="AT94" i="87"/>
  <c r="AZ94" i="87" s="1"/>
  <c r="AT96" i="87"/>
  <c r="AV97" i="87"/>
  <c r="AX106" i="87"/>
  <c r="AX103" i="87"/>
  <c r="AT105" i="87"/>
  <c r="AT103" i="87"/>
  <c r="BV98" i="87"/>
  <c r="CB94" i="87" s="1"/>
  <c r="AZ104" i="87"/>
  <c r="BT118" i="87"/>
  <c r="BX117" i="87" s="1"/>
  <c r="BT135" i="87"/>
  <c r="I174" i="87"/>
  <c r="H175" i="87"/>
  <c r="I175" i="87" s="1"/>
  <c r="AV103" i="87"/>
  <c r="AV105" i="87"/>
  <c r="AY17" i="87"/>
  <c r="AZ102" i="87"/>
  <c r="AW105" i="87"/>
  <c r="BH202" i="87"/>
  <c r="D188" i="87"/>
  <c r="AU103" i="87"/>
  <c r="AU105" i="87"/>
  <c r="AY16" i="87"/>
  <c r="AY14" i="87"/>
  <c r="AU106" i="87"/>
  <c r="AW106" i="87"/>
  <c r="JT20" i="11"/>
  <c r="KM19" i="11"/>
  <c r="KJ25" i="11"/>
  <c r="KM23" i="11" s="1"/>
  <c r="NC23" i="11" s="1"/>
  <c r="GP17" i="11"/>
  <c r="GP18" i="11" s="1"/>
  <c r="GY18" i="11" s="1"/>
  <c r="GS16" i="11"/>
  <c r="HA12" i="11"/>
  <c r="GT16" i="11"/>
  <c r="FO17" i="11"/>
  <c r="FO18" i="11" s="1"/>
  <c r="FX18" i="11" s="1"/>
  <c r="FR16" i="11"/>
  <c r="FZ12" i="11"/>
  <c r="FS16" i="11"/>
  <c r="EN17" i="11"/>
  <c r="EN18" i="11" s="1"/>
  <c r="EW18" i="11" s="1"/>
  <c r="EQ16" i="11"/>
  <c r="EY12" i="11"/>
  <c r="ER16" i="11"/>
  <c r="JH6" i="11"/>
  <c r="NV9" i="11" s="1"/>
  <c r="GW11" i="11"/>
  <c r="FV11" i="11"/>
  <c r="JG6" i="11"/>
  <c r="NR9" i="11" s="1"/>
  <c r="EN10" i="11"/>
  <c r="EN11" i="11" s="1"/>
  <c r="EW11" i="11" s="1"/>
  <c r="EQ9" i="11"/>
  <c r="EY5" i="11"/>
  <c r="ER9" i="11"/>
  <c r="M32" i="86"/>
  <c r="L32" i="86"/>
  <c r="J38" i="86"/>
  <c r="J36" i="86"/>
  <c r="J33" i="86"/>
  <c r="J37" i="86"/>
  <c r="J35" i="86"/>
  <c r="K38" i="86"/>
  <c r="K36" i="86"/>
  <c r="K33" i="86"/>
  <c r="K37" i="86"/>
  <c r="K35" i="86"/>
  <c r="LO8" i="11"/>
  <c r="LO9" i="11" s="1"/>
  <c r="LR7" i="11" s="1"/>
  <c r="MY9" i="11" s="1"/>
  <c r="LU16" i="11"/>
  <c r="LV16" i="11"/>
  <c r="LV9" i="11"/>
  <c r="LU9" i="11"/>
  <c r="H35" i="85"/>
  <c r="CM18" i="11"/>
  <c r="CO18" i="11" s="1"/>
  <c r="CT12" i="11" s="1"/>
  <c r="M32" i="85"/>
  <c r="L32" i="85"/>
  <c r="CT5" i="11"/>
  <c r="CQ11" i="11"/>
  <c r="O33" i="85"/>
  <c r="O35" i="85"/>
  <c r="O36" i="85"/>
  <c r="O38" i="85"/>
  <c r="N36" i="85"/>
  <c r="N37" i="85"/>
  <c r="N33" i="85"/>
  <c r="N38" i="85"/>
  <c r="K33" i="85"/>
  <c r="K36" i="85"/>
  <c r="J33" i="85"/>
  <c r="J35" i="85"/>
  <c r="G33" i="85"/>
  <c r="G36" i="85"/>
  <c r="I33" i="85"/>
  <c r="G35" i="85"/>
  <c r="I36" i="85"/>
  <c r="H36" i="85"/>
  <c r="F35" i="85"/>
  <c r="F33" i="85"/>
  <c r="H33" i="85"/>
  <c r="F36" i="85"/>
  <c r="E33" i="85"/>
  <c r="E35" i="85"/>
  <c r="E36" i="85"/>
  <c r="P9" i="15"/>
  <c r="P11" i="15" s="1"/>
  <c r="P13" i="15" s="1"/>
  <c r="P14" i="15" s="1"/>
  <c r="Q6" i="15"/>
  <c r="Q7" i="15" s="1"/>
  <c r="Q8" i="15"/>
  <c r="Q10" i="15"/>
  <c r="R5" i="15"/>
  <c r="AG9" i="15" s="1"/>
  <c r="S5" i="15"/>
  <c r="AG10" i="15" s="1"/>
  <c r="L10" i="15"/>
  <c r="AB10" i="15" s="1"/>
  <c r="V5" i="15"/>
  <c r="AK6" i="15" s="1"/>
  <c r="AI6" i="15"/>
  <c r="AB9" i="15"/>
  <c r="P11" i="85"/>
  <c r="T15" i="85"/>
  <c r="S21" i="85"/>
  <c r="Q10" i="85"/>
  <c r="S15" i="85"/>
  <c r="Q15" i="85"/>
  <c r="Q17" i="85"/>
  <c r="V22" i="85"/>
  <c r="U21" i="85"/>
  <c r="U10" i="85"/>
  <c r="T21" i="85"/>
  <c r="V21" i="85"/>
  <c r="R8" i="85"/>
  <c r="R8" i="86"/>
  <c r="AZ97" i="87" l="1"/>
  <c r="BY99" i="87"/>
  <c r="E105" i="87" s="1"/>
  <c r="E104" i="87" s="1"/>
  <c r="CE97" i="87"/>
  <c r="CF98" i="87"/>
  <c r="CF97" i="87"/>
  <c r="CG93" i="87"/>
  <c r="CG96" i="87"/>
  <c r="CE98" i="87"/>
  <c r="CG94" i="87"/>
  <c r="CG97" i="87"/>
  <c r="CI98" i="87"/>
  <c r="CH96" i="87"/>
  <c r="CH97" i="87"/>
  <c r="CJ94" i="87"/>
  <c r="CI96" i="87"/>
  <c r="CJ93" i="87"/>
  <c r="CI94" i="87"/>
  <c r="CI93" i="87"/>
  <c r="CJ96" i="87"/>
  <c r="CB96" i="87"/>
  <c r="CD94" i="87"/>
  <c r="CD93" i="87"/>
  <c r="CC98" i="87"/>
  <c r="CF93" i="87"/>
  <c r="CF94" i="87"/>
  <c r="CD96" i="87"/>
  <c r="CC93" i="87"/>
  <c r="CC94" i="87"/>
  <c r="CC96" i="87"/>
  <c r="CB97" i="87"/>
  <c r="BZ98" i="87"/>
  <c r="BZ99" i="87"/>
  <c r="CJ99" i="87" s="1"/>
  <c r="CI97" i="87"/>
  <c r="CG98" i="87"/>
  <c r="CH93" i="87"/>
  <c r="CH94" i="87"/>
  <c r="CF96" i="87"/>
  <c r="CE93" i="87"/>
  <c r="CE94" i="87"/>
  <c r="CE96" i="87"/>
  <c r="CD97" i="87"/>
  <c r="CD98" i="87"/>
  <c r="CC97" i="87"/>
  <c r="BY98" i="87"/>
  <c r="BX116" i="87"/>
  <c r="AZ103" i="87"/>
  <c r="BT136" i="87"/>
  <c r="BT137" i="87" s="1"/>
  <c r="BX135" i="87" s="1"/>
  <c r="AZ105" i="87"/>
  <c r="AZ106" i="87"/>
  <c r="AT19" i="87"/>
  <c r="BI202" i="87"/>
  <c r="BS201" i="87" s="1"/>
  <c r="D189" i="87"/>
  <c r="BJ202" i="87"/>
  <c r="BS202" i="87" s="1"/>
  <c r="D190" i="87"/>
  <c r="K167" i="87"/>
  <c r="J182" i="87"/>
  <c r="J180" i="87"/>
  <c r="KM20" i="11"/>
  <c r="JH13" i="11"/>
  <c r="NV16" i="11" s="1"/>
  <c r="GW18" i="11"/>
  <c r="JG13" i="11"/>
  <c r="NR16" i="11" s="1"/>
  <c r="FV18" i="11"/>
  <c r="JF13" i="11"/>
  <c r="EU18" i="11"/>
  <c r="JF6" i="11"/>
  <c r="EU11" i="11"/>
  <c r="LU11" i="11"/>
  <c r="MA10" i="11" s="1"/>
  <c r="L37" i="86"/>
  <c r="L35" i="86"/>
  <c r="L38" i="86"/>
  <c r="L36" i="86"/>
  <c r="L33" i="86"/>
  <c r="M38" i="86"/>
  <c r="M33" i="86"/>
  <c r="M35" i="86"/>
  <c r="M36" i="86"/>
  <c r="M37" i="86"/>
  <c r="LU18" i="11"/>
  <c r="CQ18" i="11"/>
  <c r="CT13" i="11" s="1"/>
  <c r="NA16" i="11" s="1"/>
  <c r="E37" i="85"/>
  <c r="H37" i="85"/>
  <c r="F38" i="85"/>
  <c r="J38" i="85"/>
  <c r="K38" i="85"/>
  <c r="I37" i="85"/>
  <c r="I38" i="85"/>
  <c r="E38" i="85"/>
  <c r="G38" i="85"/>
  <c r="G37" i="85"/>
  <c r="J37" i="85"/>
  <c r="K37" i="85"/>
  <c r="H38" i="85"/>
  <c r="F37" i="85"/>
  <c r="Q9" i="15"/>
  <c r="Q11" i="15" s="1"/>
  <c r="Q13" i="15" s="1"/>
  <c r="Q14" i="15" s="1"/>
  <c r="L11" i="15"/>
  <c r="AB11" i="15" s="1"/>
  <c r="AB14" i="15" s="1"/>
  <c r="L15" i="15"/>
  <c r="AB15" i="15" s="1"/>
  <c r="L33" i="85"/>
  <c r="L35" i="85"/>
  <c r="M33" i="85"/>
  <c r="M36" i="85"/>
  <c r="M35" i="85"/>
  <c r="L36" i="85"/>
  <c r="MZ9" i="11"/>
  <c r="JS9" i="11"/>
  <c r="KL9" i="11"/>
  <c r="CT6" i="11"/>
  <c r="NA9" i="11" s="1"/>
  <c r="KL16" i="11"/>
  <c r="JS16" i="11"/>
  <c r="MZ16" i="11"/>
  <c r="AI7" i="15"/>
  <c r="W5" i="15"/>
  <c r="AK7" i="15" s="1"/>
  <c r="R6" i="15"/>
  <c r="R7" i="15" s="1"/>
  <c r="R8" i="15"/>
  <c r="R10" i="15"/>
  <c r="L16" i="15"/>
  <c r="AB16" i="15" s="1"/>
  <c r="S16" i="85"/>
  <c r="U16" i="85"/>
  <c r="V16" i="85"/>
  <c r="T16" i="85"/>
  <c r="S28" i="85"/>
  <c r="S26" i="85"/>
  <c r="Q11" i="85"/>
  <c r="Q23" i="85"/>
  <c r="T26" i="85"/>
  <c r="Q19" i="85"/>
  <c r="T28" i="85"/>
  <c r="S8" i="86"/>
  <c r="T8" i="86"/>
  <c r="CH99" i="87" l="1"/>
  <c r="CF99" i="87" s="1"/>
  <c r="E110" i="87"/>
  <c r="E109" i="87" s="1"/>
  <c r="AN94" i="87" s="1"/>
  <c r="AN100" i="87" s="1"/>
  <c r="AU108" i="87"/>
  <c r="AW108" i="87" s="1"/>
  <c r="AY108" i="87" s="1"/>
  <c r="BV116" i="87"/>
  <c r="BV117" i="87"/>
  <c r="BX136" i="87"/>
  <c r="BV136" i="87" s="1"/>
  <c r="BL202" i="87"/>
  <c r="K171" i="87"/>
  <c r="D192" i="87"/>
  <c r="K173" i="87"/>
  <c r="BK202" i="87"/>
  <c r="D191" i="87"/>
  <c r="K169" i="87"/>
  <c r="AV19" i="87"/>
  <c r="JK13" i="11"/>
  <c r="NN16" i="11"/>
  <c r="NN9" i="11"/>
  <c r="JK6" i="11"/>
  <c r="LY8" i="11"/>
  <c r="MD8" i="11"/>
  <c r="MB10" i="11"/>
  <c r="ME8" i="11"/>
  <c r="MC8" i="11"/>
  <c r="MV9" i="11"/>
  <c r="MB8" i="11"/>
  <c r="LY10" i="11"/>
  <c r="LZ10" i="11"/>
  <c r="MC10" i="11"/>
  <c r="LZ8" i="11"/>
  <c r="T32" i="86"/>
  <c r="S32" i="86"/>
  <c r="MC17" i="11"/>
  <c r="LZ17" i="11"/>
  <c r="ME15" i="11"/>
  <c r="LY17" i="11"/>
  <c r="MB17" i="11"/>
  <c r="MA17" i="11"/>
  <c r="MC15" i="11"/>
  <c r="LZ15" i="11"/>
  <c r="MB15" i="11"/>
  <c r="MV16" i="11"/>
  <c r="MD15" i="11"/>
  <c r="LY15" i="11"/>
  <c r="M38" i="85"/>
  <c r="M37" i="85"/>
  <c r="L38" i="85"/>
  <c r="L37" i="85"/>
  <c r="X5" i="15"/>
  <c r="AK8" i="15" s="1"/>
  <c r="AI8" i="15"/>
  <c r="L17" i="15"/>
  <c r="L18" i="15" s="1"/>
  <c r="AB18" i="15" s="1"/>
  <c r="R9" i="15"/>
  <c r="R11" i="15" s="1"/>
  <c r="R13" i="15" s="1"/>
  <c r="R14" i="15" s="1"/>
  <c r="S6" i="15"/>
  <c r="S7" i="15" s="1"/>
  <c r="S8" i="15"/>
  <c r="S10" i="15"/>
  <c r="S14" i="85"/>
  <c r="U14" i="85"/>
  <c r="T14" i="85"/>
  <c r="V14" i="85"/>
  <c r="U15" i="85"/>
  <c r="P18" i="85"/>
  <c r="S24" i="85"/>
  <c r="T23" i="85"/>
  <c r="S18" i="85"/>
  <c r="T24" i="85"/>
  <c r="T11" i="85"/>
  <c r="P26" i="85"/>
  <c r="S19" i="85"/>
  <c r="P28" i="85"/>
  <c r="S11" i="85"/>
  <c r="S23" i="85"/>
  <c r="T18" i="85"/>
  <c r="T19" i="85"/>
  <c r="P24" i="85"/>
  <c r="T8" i="85"/>
  <c r="P8" i="86"/>
  <c r="P8" i="85"/>
  <c r="S8" i="85"/>
  <c r="CS11" i="87" l="1"/>
  <c r="CP11" i="87"/>
  <c r="DI11" i="87"/>
  <c r="DF11" i="87"/>
  <c r="EL11" i="87"/>
  <c r="BU11" i="87"/>
  <c r="DA11" i="87"/>
  <c r="DV11" i="87"/>
  <c r="BE11" i="87"/>
  <c r="BM11" i="87"/>
  <c r="CC11" i="87"/>
  <c r="CK11" i="87"/>
  <c r="DQ11" i="87"/>
  <c r="DY11" i="87"/>
  <c r="BZ11" i="87"/>
  <c r="EG11" i="87"/>
  <c r="EO11" i="87"/>
  <c r="EW11" i="87"/>
  <c r="BJ11" i="87"/>
  <c r="BI11" i="87"/>
  <c r="BQ11" i="87"/>
  <c r="BY11" i="87"/>
  <c r="CG11" i="87"/>
  <c r="CO11" i="87"/>
  <c r="CW11" i="87"/>
  <c r="DE11" i="87"/>
  <c r="DM11" i="87"/>
  <c r="DU11" i="87"/>
  <c r="EC11" i="87"/>
  <c r="EK11" i="87"/>
  <c r="ES11" i="87"/>
  <c r="BF11" i="87"/>
  <c r="BR11" i="87"/>
  <c r="CH11" i="87"/>
  <c r="CX11" i="87"/>
  <c r="DN11" i="87"/>
  <c r="ED11" i="87"/>
  <c r="ET11" i="87"/>
  <c r="BN11" i="87"/>
  <c r="BV11" i="87"/>
  <c r="CD11" i="87"/>
  <c r="CL11" i="87"/>
  <c r="CT11" i="87"/>
  <c r="DB11" i="87"/>
  <c r="DJ11" i="87"/>
  <c r="DR11" i="87"/>
  <c r="DZ11" i="87"/>
  <c r="EH11" i="87"/>
  <c r="EP11" i="87"/>
  <c r="EX11" i="87"/>
  <c r="CB113" i="87"/>
  <c r="CF116" i="87" s="1"/>
  <c r="BG11" i="87"/>
  <c r="BK11" i="87"/>
  <c r="BO11" i="87"/>
  <c r="BS11" i="87"/>
  <c r="BW11" i="87"/>
  <c r="CA11" i="87"/>
  <c r="CE11" i="87"/>
  <c r="CI11" i="87"/>
  <c r="CM11" i="87"/>
  <c r="CQ11" i="87"/>
  <c r="CU11" i="87"/>
  <c r="CY11" i="87"/>
  <c r="DC11" i="87"/>
  <c r="DG11" i="87"/>
  <c r="DK11" i="87"/>
  <c r="DO11" i="87"/>
  <c r="DS11" i="87"/>
  <c r="DW11" i="87"/>
  <c r="EA11" i="87"/>
  <c r="EE11" i="87"/>
  <c r="EI11" i="87"/>
  <c r="EM11" i="87"/>
  <c r="EQ11" i="87"/>
  <c r="EU11" i="87"/>
  <c r="EY11" i="87"/>
  <c r="BH11" i="87"/>
  <c r="BL11" i="87"/>
  <c r="BP11" i="87"/>
  <c r="BT11" i="87"/>
  <c r="BX11" i="87"/>
  <c r="CB11" i="87"/>
  <c r="CF11" i="87"/>
  <c r="CJ11" i="87"/>
  <c r="CN11" i="87"/>
  <c r="CR11" i="87"/>
  <c r="CV11" i="87"/>
  <c r="CZ11" i="87"/>
  <c r="DD11" i="87"/>
  <c r="DH11" i="87"/>
  <c r="DL11" i="87"/>
  <c r="DP11" i="87"/>
  <c r="DT11" i="87"/>
  <c r="DX11" i="87"/>
  <c r="EB11" i="87"/>
  <c r="EF11" i="87"/>
  <c r="EJ11" i="87"/>
  <c r="EN11" i="87"/>
  <c r="ER11" i="87"/>
  <c r="EV11" i="87"/>
  <c r="EZ11" i="87"/>
  <c r="BV135" i="87"/>
  <c r="CB132" i="87" s="1"/>
  <c r="BA13" i="87"/>
  <c r="AX19" i="87"/>
  <c r="BE8" i="87" s="1"/>
  <c r="BS203" i="87"/>
  <c r="BM202" i="87"/>
  <c r="BN200" i="87"/>
  <c r="BS204" i="87"/>
  <c r="BM201" i="87"/>
  <c r="BM200" i="87"/>
  <c r="BN199" i="87"/>
  <c r="BM199" i="87"/>
  <c r="JF16" i="11"/>
  <c r="JG16" i="11"/>
  <c r="JY16" i="11"/>
  <c r="JH16" i="11"/>
  <c r="KA16" i="11"/>
  <c r="JZ16" i="11"/>
  <c r="JG9" i="11"/>
  <c r="KA9" i="11"/>
  <c r="JZ9" i="11"/>
  <c r="JH9" i="11"/>
  <c r="JY9" i="11"/>
  <c r="JF9" i="11"/>
  <c r="MA11" i="11"/>
  <c r="P32" i="86"/>
  <c r="P36" i="86" s="1"/>
  <c r="LZ11" i="11"/>
  <c r="LW11" i="11" s="1"/>
  <c r="MW9" i="11" s="1"/>
  <c r="T38" i="86"/>
  <c r="T33" i="86"/>
  <c r="T35" i="86"/>
  <c r="T37" i="86"/>
  <c r="T36" i="86"/>
  <c r="S37" i="86"/>
  <c r="S38" i="86"/>
  <c r="S33" i="86"/>
  <c r="S35" i="86"/>
  <c r="S36" i="86"/>
  <c r="MA18" i="11"/>
  <c r="LZ18" i="11"/>
  <c r="AB17" i="15"/>
  <c r="S9" i="15"/>
  <c r="S11" i="15" s="1"/>
  <c r="S13" i="15" s="1"/>
  <c r="S14" i="15" s="1"/>
  <c r="Z5" i="15" s="1"/>
  <c r="AK10" i="15" s="1"/>
  <c r="P32" i="85"/>
  <c r="P35" i="85" s="1"/>
  <c r="S32" i="85"/>
  <c r="T32" i="85"/>
  <c r="L19" i="15"/>
  <c r="AB19" i="15" s="1"/>
  <c r="AI9" i="15"/>
  <c r="Y5" i="15"/>
  <c r="AK9" i="15" s="1"/>
  <c r="L20" i="15"/>
  <c r="Q26" i="85"/>
  <c r="U11" i="85"/>
  <c r="U17" i="85"/>
  <c r="U18" i="85"/>
  <c r="Q24" i="85"/>
  <c r="V17" i="85"/>
  <c r="Q28" i="85"/>
  <c r="V15" i="85"/>
  <c r="Q8" i="86"/>
  <c r="CC117" i="87" l="1"/>
  <c r="CF113" i="87"/>
  <c r="CG112" i="87"/>
  <c r="BY118" i="87"/>
  <c r="E124" i="87" s="1"/>
  <c r="E123" i="87" s="1"/>
  <c r="CI112" i="87"/>
  <c r="BZ118" i="87"/>
  <c r="CJ118" i="87" s="1"/>
  <c r="CG116" i="87"/>
  <c r="CD116" i="87"/>
  <c r="CH116" i="87"/>
  <c r="CD115" i="87"/>
  <c r="CJ113" i="87"/>
  <c r="CE113" i="87"/>
  <c r="CF117" i="87"/>
  <c r="CF115" i="87"/>
  <c r="CH113" i="87"/>
  <c r="CD117" i="87"/>
  <c r="CE117" i="87"/>
  <c r="CH115" i="87"/>
  <c r="BY117" i="87"/>
  <c r="CC116" i="87"/>
  <c r="CI113" i="87"/>
  <c r="CI115" i="87"/>
  <c r="CJ112" i="87"/>
  <c r="BZ117" i="87"/>
  <c r="CE112" i="87"/>
  <c r="CE115" i="87"/>
  <c r="CB116" i="87"/>
  <c r="CE116" i="87"/>
  <c r="CG113" i="87"/>
  <c r="CG115" i="87"/>
  <c r="CH112" i="87"/>
  <c r="CY8" i="87"/>
  <c r="EE8" i="87"/>
  <c r="BS8" i="87"/>
  <c r="CF112" i="87"/>
  <c r="EB8" i="87"/>
  <c r="EU8" i="87"/>
  <c r="DO8" i="87"/>
  <c r="CI8" i="87"/>
  <c r="ER8" i="87"/>
  <c r="DL8" i="87"/>
  <c r="CI117" i="87"/>
  <c r="CI116" i="87"/>
  <c r="CB115" i="87"/>
  <c r="CC112" i="87"/>
  <c r="CD113" i="87"/>
  <c r="CG117" i="87"/>
  <c r="CJ115" i="87"/>
  <c r="CC113" i="87"/>
  <c r="CC115" i="87"/>
  <c r="CD112" i="87"/>
  <c r="EM8" i="87"/>
  <c r="DW8" i="87"/>
  <c r="DG8" i="87"/>
  <c r="CQ8" i="87"/>
  <c r="CA8" i="87"/>
  <c r="EZ8" i="87"/>
  <c r="EJ8" i="87"/>
  <c r="DT8" i="87"/>
  <c r="CV8" i="87"/>
  <c r="CD136" i="87"/>
  <c r="CJ134" i="87"/>
  <c r="CF134" i="87"/>
  <c r="CC131" i="87" s="1"/>
  <c r="CB134" i="87"/>
  <c r="CG132" i="87"/>
  <c r="CC132" i="87"/>
  <c r="CE132" i="87" s="1"/>
  <c r="CI134" i="87"/>
  <c r="CE134" i="87"/>
  <c r="CH134" i="87"/>
  <c r="CE135" i="87" s="1"/>
  <c r="CD134" i="87"/>
  <c r="CG134" i="87"/>
  <c r="CC134" i="87"/>
  <c r="CD132" i="87"/>
  <c r="CI136" i="87" s="1"/>
  <c r="DD8" i="87"/>
  <c r="CN8" i="87"/>
  <c r="CF8" i="87"/>
  <c r="BX8" i="87"/>
  <c r="EY8" i="87"/>
  <c r="EQ8" i="87"/>
  <c r="EI8" i="87"/>
  <c r="EA8" i="87"/>
  <c r="DS8" i="87"/>
  <c r="DK8" i="87"/>
  <c r="DC8" i="87"/>
  <c r="CU8" i="87"/>
  <c r="CM8" i="87"/>
  <c r="CE8" i="87"/>
  <c r="BW8" i="87"/>
  <c r="BO8" i="87"/>
  <c r="EV8" i="87"/>
  <c r="EN8" i="87"/>
  <c r="EF8" i="87"/>
  <c r="DX8" i="87"/>
  <c r="DP8" i="87"/>
  <c r="DH8" i="87"/>
  <c r="CZ8" i="87"/>
  <c r="CR8" i="87"/>
  <c r="CJ8" i="87"/>
  <c r="CB8" i="87"/>
  <c r="BT8" i="87"/>
  <c r="BP8" i="87"/>
  <c r="BN201" i="87"/>
  <c r="BN202" i="87" s="1"/>
  <c r="BQ200" i="87" s="1"/>
  <c r="P37" i="86"/>
  <c r="BL8" i="87"/>
  <c r="BK8" i="87"/>
  <c r="BH8" i="87"/>
  <c r="BG8" i="87"/>
  <c r="BB102" i="87"/>
  <c r="A40" i="87"/>
  <c r="BB93" i="87"/>
  <c r="AZ22" i="87"/>
  <c r="AZ23" i="87" s="1"/>
  <c r="BA14" i="87"/>
  <c r="EO8" i="87"/>
  <c r="EG8" i="87"/>
  <c r="DY8" i="87"/>
  <c r="DQ8" i="87"/>
  <c r="DI8" i="87"/>
  <c r="DA8" i="87"/>
  <c r="CS8" i="87"/>
  <c r="CK8" i="87"/>
  <c r="CC8" i="87"/>
  <c r="BU8" i="87"/>
  <c r="BM8" i="87"/>
  <c r="ET8" i="87"/>
  <c r="EL8" i="87"/>
  <c r="ED8" i="87"/>
  <c r="DV8" i="87"/>
  <c r="DN8" i="87"/>
  <c r="DF8" i="87"/>
  <c r="CX8" i="87"/>
  <c r="CP8" i="87"/>
  <c r="CH8" i="87"/>
  <c r="BZ8" i="87"/>
  <c r="BR8" i="87"/>
  <c r="BJ8" i="87"/>
  <c r="BI8" i="87"/>
  <c r="BT202" i="87"/>
  <c r="BU202" i="87"/>
  <c r="ES8" i="87"/>
  <c r="EK8" i="87"/>
  <c r="EC8" i="87"/>
  <c r="DU8" i="87"/>
  <c r="DM8" i="87"/>
  <c r="DE8" i="87"/>
  <c r="CW8" i="87"/>
  <c r="CO8" i="87"/>
  <c r="CG8" i="87"/>
  <c r="BY8" i="87"/>
  <c r="BQ8" i="87"/>
  <c r="EX8" i="87"/>
  <c r="EP8" i="87"/>
  <c r="EH8" i="87"/>
  <c r="DZ8" i="87"/>
  <c r="DR8" i="87"/>
  <c r="DJ8" i="87"/>
  <c r="DB8" i="87"/>
  <c r="CT8" i="87"/>
  <c r="CL8" i="87"/>
  <c r="CD8" i="87"/>
  <c r="BV8" i="87"/>
  <c r="BN8" i="87"/>
  <c r="BF8" i="87"/>
  <c r="EW8" i="87"/>
  <c r="KG14" i="11"/>
  <c r="KG15" i="11"/>
  <c r="JO15" i="11"/>
  <c r="JO14" i="11"/>
  <c r="JN14" i="11"/>
  <c r="JN15" i="11"/>
  <c r="KH14" i="11"/>
  <c r="KH15" i="11"/>
  <c r="KF15" i="11"/>
  <c r="KF14" i="11"/>
  <c r="JM15" i="11"/>
  <c r="JM14" i="11"/>
  <c r="JM8" i="11"/>
  <c r="JM7" i="11"/>
  <c r="JO7" i="11"/>
  <c r="JO8" i="11"/>
  <c r="KH7" i="11"/>
  <c r="KH8" i="11"/>
  <c r="KF8" i="11"/>
  <c r="KF7" i="11"/>
  <c r="KG7" i="11"/>
  <c r="KG8" i="11"/>
  <c r="JN7" i="11"/>
  <c r="JN8" i="11"/>
  <c r="P35" i="86"/>
  <c r="P33" i="86"/>
  <c r="P38" i="86"/>
  <c r="LW18" i="11"/>
  <c r="MW16" i="11" s="1"/>
  <c r="P36" i="85"/>
  <c r="AI10" i="15"/>
  <c r="P33" i="85"/>
  <c r="T33" i="85"/>
  <c r="T36" i="85"/>
  <c r="T35" i="85"/>
  <c r="S36" i="85"/>
  <c r="S33" i="85"/>
  <c r="S35" i="85"/>
  <c r="AB20" i="15"/>
  <c r="L21" i="15"/>
  <c r="L25" i="15" s="1"/>
  <c r="V11" i="85"/>
  <c r="V19" i="85"/>
  <c r="V18" i="85"/>
  <c r="Q18" i="85"/>
  <c r="U19" i="85"/>
  <c r="Q8" i="85"/>
  <c r="CD131" i="87" l="1"/>
  <c r="E129" i="87"/>
  <c r="E128" i="87" s="1"/>
  <c r="AO94" i="87" s="1"/>
  <c r="AO100" i="87" s="1"/>
  <c r="CH118" i="87"/>
  <c r="CF118" i="87" s="1"/>
  <c r="CG131" i="87"/>
  <c r="CH131" i="87"/>
  <c r="CI132" i="87"/>
  <c r="CE131" i="87"/>
  <c r="BY136" i="87" s="1"/>
  <c r="BY137" i="87" s="1"/>
  <c r="CH137" i="87" s="1"/>
  <c r="CH132" i="87"/>
  <c r="CC136" i="87" s="1"/>
  <c r="CI131" i="87"/>
  <c r="BU204" i="87"/>
  <c r="CE136" i="87"/>
  <c r="CB135" i="87"/>
  <c r="CJ132" i="87"/>
  <c r="CG136" i="87"/>
  <c r="CD135" i="87"/>
  <c r="CF136" i="87"/>
  <c r="CF132" i="87"/>
  <c r="CF131" i="87" s="1"/>
  <c r="BT204" i="87"/>
  <c r="L211" i="87" s="1"/>
  <c r="BQ202" i="87"/>
  <c r="K177" i="87"/>
  <c r="B40" i="87"/>
  <c r="BA21" i="87"/>
  <c r="BA22" i="87" s="1"/>
  <c r="BA100" i="87"/>
  <c r="BA101" i="87" s="1"/>
  <c r="BA108" i="87"/>
  <c r="BA109" i="87" s="1"/>
  <c r="BB103" i="87"/>
  <c r="KK14" i="11"/>
  <c r="JR15" i="11"/>
  <c r="JR14" i="11"/>
  <c r="KK15" i="11"/>
  <c r="KK7" i="11"/>
  <c r="JR7" i="11"/>
  <c r="KK8" i="11"/>
  <c r="KF11" i="11" s="1"/>
  <c r="JR8" i="11"/>
  <c r="P37" i="85"/>
  <c r="AB25" i="15"/>
  <c r="L26" i="15"/>
  <c r="P38" i="85"/>
  <c r="T37" i="85"/>
  <c r="S37" i="85"/>
  <c r="T38" i="85"/>
  <c r="S38" i="85"/>
  <c r="AB21" i="15"/>
  <c r="AB24" i="15" s="1"/>
  <c r="U23" i="85"/>
  <c r="V23" i="85"/>
  <c r="CJ131" i="87" l="1"/>
  <c r="E143" i="87"/>
  <c r="E142" i="87" s="1"/>
  <c r="CC135" i="87"/>
  <c r="CB201" i="87"/>
  <c r="BX203" i="87"/>
  <c r="BZ203" i="87"/>
  <c r="BY203" i="87"/>
  <c r="CD201" i="87"/>
  <c r="CB203" i="87"/>
  <c r="BY201" i="87"/>
  <c r="CA203" i="87"/>
  <c r="BX201" i="87"/>
  <c r="CC201" i="87"/>
  <c r="CA201" i="87"/>
  <c r="CH135" i="87"/>
  <c r="CF135" i="87"/>
  <c r="CI135" i="87"/>
  <c r="BZ136" i="87"/>
  <c r="BZ137" i="87" s="1"/>
  <c r="CG135" i="87"/>
  <c r="BB107" i="87"/>
  <c r="BB108" i="87" s="1"/>
  <c r="D40" i="87"/>
  <c r="E192" i="87"/>
  <c r="AV190" i="87" s="1"/>
  <c r="C192" i="87"/>
  <c r="AU190" i="87" s="1"/>
  <c r="F191" i="87"/>
  <c r="AW189" i="87" s="1"/>
  <c r="B191" i="87"/>
  <c r="AT189" i="87" s="1"/>
  <c r="E190" i="87"/>
  <c r="AV188" i="87" s="1"/>
  <c r="C190" i="87"/>
  <c r="AU188" i="87" s="1"/>
  <c r="F189" i="87"/>
  <c r="AW187" i="87" s="1"/>
  <c r="B189" i="87"/>
  <c r="AT187" i="87" s="1"/>
  <c r="E188" i="87"/>
  <c r="AV186" i="87" s="1"/>
  <c r="C188" i="87"/>
  <c r="AU186" i="87" s="1"/>
  <c r="F187" i="87"/>
  <c r="B187" i="87"/>
  <c r="E186" i="87"/>
  <c r="AV184" i="87" s="1"/>
  <c r="C186" i="87"/>
  <c r="AU184" i="87" s="1"/>
  <c r="AS183" i="87"/>
  <c r="AS184" i="87" s="1"/>
  <c r="F192" i="87"/>
  <c r="AW190" i="87" s="1"/>
  <c r="B192" i="87"/>
  <c r="AT190" i="87" s="1"/>
  <c r="E191" i="87"/>
  <c r="AV189" i="87" s="1"/>
  <c r="C191" i="87"/>
  <c r="AU189" i="87" s="1"/>
  <c r="F190" i="87"/>
  <c r="AW188" i="87" s="1"/>
  <c r="B190" i="87"/>
  <c r="AT188" i="87" s="1"/>
  <c r="E189" i="87"/>
  <c r="AV187" i="87" s="1"/>
  <c r="C189" i="87"/>
  <c r="AU187" i="87" s="1"/>
  <c r="F188" i="87"/>
  <c r="B188" i="87"/>
  <c r="E187" i="87"/>
  <c r="AV185" i="87" s="1"/>
  <c r="C187" i="87"/>
  <c r="AU185" i="87" s="1"/>
  <c r="F186" i="87"/>
  <c r="AW184" i="87" s="1"/>
  <c r="B186" i="87"/>
  <c r="AT184" i="87" s="1"/>
  <c r="A184" i="87"/>
  <c r="KF18" i="11"/>
  <c r="KH18" i="11" s="1"/>
  <c r="JM18" i="11"/>
  <c r="JO18" i="11" s="1"/>
  <c r="KH11" i="11"/>
  <c r="JM11" i="11"/>
  <c r="AB26" i="15"/>
  <c r="L27" i="15"/>
  <c r="AT186" i="87" l="1"/>
  <c r="BY204" i="87"/>
  <c r="BZ204" i="87"/>
  <c r="E148" i="87"/>
  <c r="E147" i="87" s="1"/>
  <c r="AP94" i="87" s="1"/>
  <c r="CJ137" i="87"/>
  <c r="CF137" i="87" s="1"/>
  <c r="AW186" i="87"/>
  <c r="AW185" i="87"/>
  <c r="AT185" i="87"/>
  <c r="JQ18" i="11"/>
  <c r="JT16" i="11" s="1"/>
  <c r="NB16" i="11" s="1"/>
  <c r="JT12" i="11"/>
  <c r="KM12" i="11"/>
  <c r="KJ18" i="11"/>
  <c r="KM16" i="11" s="1"/>
  <c r="NC16" i="11" s="1"/>
  <c r="JO11" i="11"/>
  <c r="KJ11" i="11"/>
  <c r="KM9" i="11" s="1"/>
  <c r="NC9" i="11" s="1"/>
  <c r="KM5" i="11"/>
  <c r="AB27" i="15"/>
  <c r="L28" i="15"/>
  <c r="U24" i="85"/>
  <c r="U26" i="85"/>
  <c r="U28" i="85"/>
  <c r="V8" i="85"/>
  <c r="V8" i="86"/>
  <c r="BV204" i="87" l="1"/>
  <c r="L212" i="87" s="1"/>
  <c r="AP100" i="87"/>
  <c r="AS94" i="87"/>
  <c r="JT13" i="11"/>
  <c r="KM13" i="11"/>
  <c r="KM6" i="11"/>
  <c r="V32" i="86"/>
  <c r="JQ11" i="11"/>
  <c r="JT9" i="11" s="1"/>
  <c r="NB9" i="11" s="1"/>
  <c r="JT5" i="11"/>
  <c r="AB28" i="15"/>
  <c r="L29" i="15"/>
  <c r="V24" i="85"/>
  <c r="V26" i="85"/>
  <c r="V28" i="85"/>
  <c r="U8" i="85"/>
  <c r="U8" i="86"/>
  <c r="AO97" i="87" l="1"/>
  <c r="AN97" i="87"/>
  <c r="AP97" i="87"/>
  <c r="JT6" i="11"/>
  <c r="U32" i="85"/>
  <c r="U36" i="85" s="1"/>
  <c r="U32" i="86"/>
  <c r="V38" i="86"/>
  <c r="V33" i="86"/>
  <c r="V36" i="86"/>
  <c r="V35" i="86"/>
  <c r="V37" i="86"/>
  <c r="AB29" i="15"/>
  <c r="L30" i="15"/>
  <c r="V32" i="85"/>
  <c r="U35" i="85" l="1"/>
  <c r="AU95" i="87"/>
  <c r="AU96" i="87"/>
  <c r="AW95" i="87"/>
  <c r="AW96" i="87"/>
  <c r="AV95" i="87"/>
  <c r="AV96" i="87"/>
  <c r="U33" i="85"/>
  <c r="U35" i="86"/>
  <c r="U33" i="86"/>
  <c r="U38" i="86"/>
  <c r="U37" i="86"/>
  <c r="U36" i="86"/>
  <c r="AB30" i="15"/>
  <c r="L31" i="15"/>
  <c r="U38" i="85"/>
  <c r="U37" i="85"/>
  <c r="V33" i="85"/>
  <c r="V35" i="85"/>
  <c r="V36" i="85"/>
  <c r="AZ96" i="87" l="1"/>
  <c r="AZ95" i="87"/>
  <c r="AB31" i="15"/>
  <c r="AB34" i="15" s="1"/>
  <c r="L35" i="15"/>
  <c r="V38" i="85"/>
  <c r="V37" i="85"/>
  <c r="AU99" i="87" l="1"/>
  <c r="AW99" i="87" s="1"/>
  <c r="AY99" i="87" s="1"/>
  <c r="AB35" i="15"/>
  <c r="L45" i="15"/>
  <c r="ES10" i="87" l="1"/>
  <c r="EC10" i="87"/>
  <c r="DM10" i="87"/>
  <c r="EZ10" i="87"/>
  <c r="EJ10" i="87"/>
  <c r="DT10" i="87"/>
  <c r="DD10" i="87"/>
  <c r="CN10" i="87"/>
  <c r="CE10" i="87"/>
  <c r="BO10" i="87"/>
  <c r="CO10" i="87"/>
  <c r="BV10" i="87"/>
  <c r="BF10" i="87"/>
  <c r="EQ10" i="87"/>
  <c r="EA10" i="87"/>
  <c r="DK10" i="87"/>
  <c r="EX10" i="87"/>
  <c r="EH10" i="87"/>
  <c r="DR10" i="87"/>
  <c r="DB10" i="87"/>
  <c r="CL10" i="87"/>
  <c r="CC10" i="87"/>
  <c r="BM10" i="87"/>
  <c r="CK10" i="87"/>
  <c r="BT10" i="87"/>
  <c r="EW10" i="87"/>
  <c r="EG10" i="87"/>
  <c r="DQ10" i="87"/>
  <c r="DA10" i="87"/>
  <c r="EN10" i="87"/>
  <c r="DX10" i="87"/>
  <c r="DH10" i="87"/>
  <c r="CR10" i="87"/>
  <c r="CI10" i="87"/>
  <c r="BS10" i="87"/>
  <c r="CW10" i="87"/>
  <c r="BZ10" i="87"/>
  <c r="BJ10" i="87"/>
  <c r="EM10" i="87"/>
  <c r="DW10" i="87"/>
  <c r="DG10" i="87"/>
  <c r="ET10" i="87"/>
  <c r="ED10" i="87"/>
  <c r="DN10" i="87"/>
  <c r="CX10" i="87"/>
  <c r="CU10" i="87"/>
  <c r="BY10" i="87"/>
  <c r="BI10" i="87"/>
  <c r="CF10" i="87"/>
  <c r="BP10" i="87"/>
  <c r="BB94" i="87"/>
  <c r="EK10" i="87"/>
  <c r="DU10" i="87"/>
  <c r="DE10" i="87"/>
  <c r="ER10" i="87"/>
  <c r="EB10" i="87"/>
  <c r="DL10" i="87"/>
  <c r="CV10" i="87"/>
  <c r="CQ10" i="87"/>
  <c r="BW10" i="87"/>
  <c r="BG10" i="87"/>
  <c r="CD10" i="87"/>
  <c r="BN10" i="87"/>
  <c r="EY10" i="87"/>
  <c r="EI10" i="87"/>
  <c r="DS10" i="87"/>
  <c r="DC10" i="87"/>
  <c r="EP10" i="87"/>
  <c r="DZ10" i="87"/>
  <c r="DJ10" i="87"/>
  <c r="CT10" i="87"/>
  <c r="CM10" i="87"/>
  <c r="BU10" i="87"/>
  <c r="BE10" i="87"/>
  <c r="CB10" i="87"/>
  <c r="BL10" i="87"/>
  <c r="EO10" i="87"/>
  <c r="DY10" i="87"/>
  <c r="DI10" i="87"/>
  <c r="EV10" i="87"/>
  <c r="EF10" i="87"/>
  <c r="DP10" i="87"/>
  <c r="CZ10" i="87"/>
  <c r="CJ10" i="87"/>
  <c r="CA10" i="87"/>
  <c r="BK10" i="87"/>
  <c r="CH10" i="87"/>
  <c r="BR10" i="87"/>
  <c r="EU10" i="87"/>
  <c r="EE10" i="87"/>
  <c r="DO10" i="87"/>
  <c r="CY10" i="87"/>
  <c r="EL10" i="87"/>
  <c r="DV10" i="87"/>
  <c r="DF10" i="87"/>
  <c r="CP10" i="87"/>
  <c r="CG10" i="87"/>
  <c r="BQ10" i="87"/>
  <c r="CS10" i="87"/>
  <c r="BX10" i="87"/>
  <c r="BH10" i="87"/>
  <c r="AB45" i="15"/>
  <c r="L46" i="15"/>
  <c r="AB44" i="15"/>
  <c r="BB99" i="87" l="1"/>
  <c r="BB100" i="87" s="1"/>
  <c r="C40" i="87"/>
  <c r="ND9" i="11"/>
  <c r="ND16" i="11"/>
  <c r="AB46" i="15"/>
  <c r="L47" i="15"/>
  <c r="AB47" i="15" l="1"/>
  <c r="L48" i="15"/>
  <c r="AB48" i="15" l="1"/>
  <c r="L49" i="15"/>
  <c r="A10" i="44"/>
  <c r="A13" i="44" s="1"/>
  <c r="E7" i="44"/>
  <c r="E10" i="44" s="1"/>
  <c r="C7" i="44"/>
  <c r="C8" i="44" s="1"/>
  <c r="C9" i="44" s="1"/>
  <c r="AB49" i="15" l="1"/>
  <c r="L50" i="15"/>
  <c r="A16" i="44"/>
  <c r="C13" i="44"/>
  <c r="C14" i="44" s="1"/>
  <c r="C15" i="44" s="1"/>
  <c r="E13" i="44"/>
  <c r="G10" i="44"/>
  <c r="G11" i="44" s="1"/>
  <c r="G12" i="44" s="1"/>
  <c r="G7" i="44"/>
  <c r="G8" i="44" s="1"/>
  <c r="G9" i="44" s="1"/>
  <c r="C10" i="44"/>
  <c r="C11" i="44" s="1"/>
  <c r="C12" i="44" s="1"/>
  <c r="AB50" i="15" l="1"/>
  <c r="L51" i="15"/>
  <c r="E16" i="44"/>
  <c r="G13" i="44"/>
  <c r="G14" i="44" s="1"/>
  <c r="G15" i="44" s="1"/>
  <c r="A19" i="44"/>
  <c r="C16" i="44"/>
  <c r="C17" i="44" s="1"/>
  <c r="C18" i="44" s="1"/>
  <c r="AB51" i="15" l="1"/>
  <c r="L55" i="15"/>
  <c r="A22" i="44"/>
  <c r="C19" i="44"/>
  <c r="C20" i="44" s="1"/>
  <c r="C21" i="44" s="1"/>
  <c r="E19" i="44"/>
  <c r="G16" i="44"/>
  <c r="G17" i="44" s="1"/>
  <c r="G18" i="44" s="1"/>
  <c r="AB54" i="15" l="1"/>
  <c r="AB55" i="15"/>
  <c r="L56" i="15"/>
  <c r="AB56" i="15" s="1"/>
  <c r="E22" i="44"/>
  <c r="G19" i="44"/>
  <c r="G20" i="44" s="1"/>
  <c r="G21" i="44" s="1"/>
  <c r="A25" i="44"/>
  <c r="C22" i="44"/>
  <c r="C23" i="44" s="1"/>
  <c r="C24" i="44" s="1"/>
  <c r="AB64" i="15" l="1"/>
  <c r="AB74" i="15" s="1"/>
  <c r="AB84" i="15" s="1"/>
  <c r="AB94" i="15" s="1"/>
  <c r="AB104" i="15" s="1"/>
  <c r="AB114" i="15" s="1"/>
  <c r="AB124" i="15" s="1"/>
  <c r="AB134" i="15" s="1"/>
  <c r="AB144" i="15" s="1"/>
  <c r="AB154" i="15" s="1"/>
  <c r="AB164" i="15" s="1"/>
  <c r="AB174" i="15" s="1"/>
  <c r="AB184" i="15" s="1"/>
  <c r="AB194" i="15" s="1"/>
  <c r="AB204" i="15" s="1"/>
  <c r="AB214" i="15" s="1"/>
  <c r="AB224" i="15" s="1"/>
  <c r="AB234" i="15" s="1"/>
  <c r="AB244" i="15" s="1"/>
  <c r="AB254" i="15" s="1"/>
  <c r="AB264" i="15" s="1"/>
  <c r="AB274" i="15" s="1"/>
  <c r="AB284" i="15" s="1"/>
  <c r="AB294" i="15" s="1"/>
  <c r="AB304" i="15" s="1"/>
  <c r="AB314" i="15" s="1"/>
  <c r="AB324" i="15" s="1"/>
  <c r="AB334" i="15" s="1"/>
  <c r="AB344" i="15" s="1"/>
  <c r="AB354" i="15" s="1"/>
  <c r="AB364" i="15" s="1"/>
  <c r="A28" i="44"/>
  <c r="C25" i="44"/>
  <c r="C26" i="44" s="1"/>
  <c r="C27" i="44" s="1"/>
  <c r="E25" i="44"/>
  <c r="G22" i="44"/>
  <c r="G23" i="44" s="1"/>
  <c r="G24" i="44" s="1"/>
  <c r="AD12" i="86" l="1"/>
  <c r="AB12" i="86"/>
  <c r="Z12" i="86"/>
  <c r="X12" i="86"/>
  <c r="AD11" i="86"/>
  <c r="AB11" i="86"/>
  <c r="Z11" i="86"/>
  <c r="X11" i="86"/>
  <c r="AD10" i="86"/>
  <c r="AB10" i="86"/>
  <c r="Z10" i="86"/>
  <c r="X10" i="86"/>
  <c r="AD9" i="86"/>
  <c r="AB9" i="86"/>
  <c r="Z9" i="86"/>
  <c r="X9" i="86"/>
  <c r="AD8" i="86"/>
  <c r="AB8" i="86"/>
  <c r="Z8" i="86"/>
  <c r="X8" i="86"/>
  <c r="AC12" i="86"/>
  <c r="AA12" i="86"/>
  <c r="Y12" i="86"/>
  <c r="W12" i="86"/>
  <c r="AC11" i="86"/>
  <c r="AA11" i="86"/>
  <c r="Y11" i="86"/>
  <c r="W11" i="86"/>
  <c r="AC10" i="86"/>
  <c r="AA10" i="86"/>
  <c r="Y10" i="86"/>
  <c r="W10" i="86"/>
  <c r="AC9" i="86"/>
  <c r="AA9" i="86"/>
  <c r="Y9" i="86"/>
  <c r="W9" i="86"/>
  <c r="AC8" i="86"/>
  <c r="AA8" i="86"/>
  <c r="Y8" i="86"/>
  <c r="W8" i="86"/>
  <c r="AB374" i="15"/>
  <c r="AB384" i="15" s="1"/>
  <c r="AB394" i="15" s="1"/>
  <c r="AB404" i="15" s="1"/>
  <c r="AB414" i="15" s="1"/>
  <c r="X13" i="85"/>
  <c r="AD12" i="85"/>
  <c r="AB12" i="85"/>
  <c r="Z12" i="85"/>
  <c r="X12" i="85"/>
  <c r="AD11" i="85"/>
  <c r="AB11" i="85"/>
  <c r="Z11" i="85"/>
  <c r="X11" i="85"/>
  <c r="AD10" i="85"/>
  <c r="AB10" i="85"/>
  <c r="Z10" i="85"/>
  <c r="X10" i="85"/>
  <c r="AD9" i="85"/>
  <c r="AB9" i="85"/>
  <c r="Z9" i="85"/>
  <c r="X9" i="85"/>
  <c r="AD8" i="85"/>
  <c r="AB8" i="85"/>
  <c r="Z8" i="85"/>
  <c r="X8" i="85"/>
  <c r="AD16" i="85"/>
  <c r="AB16" i="85"/>
  <c r="Z16" i="85"/>
  <c r="X16" i="85"/>
  <c r="AD15" i="85"/>
  <c r="AB15" i="85"/>
  <c r="Z15" i="85"/>
  <c r="X15" i="85"/>
  <c r="AD14" i="85"/>
  <c r="AB14" i="85"/>
  <c r="Z14" i="85"/>
  <c r="X14" i="85"/>
  <c r="AD13" i="85"/>
  <c r="AB13" i="85"/>
  <c r="AA13" i="85"/>
  <c r="Y13" i="85"/>
  <c r="W13" i="85"/>
  <c r="AC12" i="85"/>
  <c r="AA12" i="85"/>
  <c r="Y12" i="85"/>
  <c r="W12" i="85"/>
  <c r="AC11" i="85"/>
  <c r="AA11" i="85"/>
  <c r="Y11" i="85"/>
  <c r="W11" i="85"/>
  <c r="AC10" i="85"/>
  <c r="AA10" i="85"/>
  <c r="Y10" i="85"/>
  <c r="W10" i="85"/>
  <c r="AC9" i="85"/>
  <c r="AA9" i="85"/>
  <c r="Y9" i="85"/>
  <c r="W9" i="85"/>
  <c r="AC8" i="85"/>
  <c r="AA8" i="85"/>
  <c r="Y8" i="85"/>
  <c r="W8" i="85"/>
  <c r="AC16" i="85"/>
  <c r="AA16" i="85"/>
  <c r="Y16" i="85"/>
  <c r="W16" i="85"/>
  <c r="AC15" i="85"/>
  <c r="AA15" i="85"/>
  <c r="Y15" i="85"/>
  <c r="W15" i="85"/>
  <c r="AC14" i="85"/>
  <c r="AA14" i="85"/>
  <c r="Y14" i="85"/>
  <c r="W14" i="85"/>
  <c r="AC13" i="85"/>
  <c r="E28" i="44"/>
  <c r="G25" i="44"/>
  <c r="G26" i="44" s="1"/>
  <c r="G27" i="44" s="1"/>
  <c r="A31" i="44"/>
  <c r="C28" i="44"/>
  <c r="C29" i="44" s="1"/>
  <c r="C30" i="44" s="1"/>
  <c r="AA32" i="86" l="1"/>
  <c r="AC32" i="86"/>
  <c r="AB32" i="86"/>
  <c r="AB35" i="86" s="1"/>
  <c r="AD32" i="86"/>
  <c r="AA33" i="86"/>
  <c r="AA35" i="86"/>
  <c r="AA36" i="86"/>
  <c r="AA37" i="86" s="1"/>
  <c r="AB36" i="86"/>
  <c r="AB33" i="86"/>
  <c r="AB38" i="86" s="1"/>
  <c r="AC35" i="86"/>
  <c r="AC37" i="86" s="1"/>
  <c r="AC36" i="86"/>
  <c r="AC33" i="86"/>
  <c r="AD36" i="86"/>
  <c r="AD33" i="86"/>
  <c r="AD35" i="86"/>
  <c r="AD37" i="86" s="1"/>
  <c r="Z13" i="85"/>
  <c r="Z17" i="85"/>
  <c r="Z18" i="85"/>
  <c r="X19" i="85"/>
  <c r="X20" i="85"/>
  <c r="W17" i="85"/>
  <c r="AA17" i="85"/>
  <c r="W18" i="85"/>
  <c r="AA18" i="85"/>
  <c r="W19" i="85"/>
  <c r="AA19" i="85"/>
  <c r="W20" i="85"/>
  <c r="AA20" i="85"/>
  <c r="W21" i="85"/>
  <c r="AA21" i="85"/>
  <c r="W22" i="85"/>
  <c r="AA22" i="85"/>
  <c r="W23" i="85"/>
  <c r="AA23" i="85"/>
  <c r="W24" i="85"/>
  <c r="AA24" i="85"/>
  <c r="X17" i="85"/>
  <c r="X18" i="85"/>
  <c r="Z19" i="85"/>
  <c r="Z20" i="85"/>
  <c r="X21" i="85"/>
  <c r="AB21" i="85"/>
  <c r="X22" i="85"/>
  <c r="AB22" i="85"/>
  <c r="X23" i="85"/>
  <c r="AB23" i="85"/>
  <c r="X24" i="85"/>
  <c r="AB24" i="85"/>
  <c r="W25" i="85"/>
  <c r="AC25" i="85"/>
  <c r="AA26" i="85"/>
  <c r="W27" i="85"/>
  <c r="AA27" i="85"/>
  <c r="W28" i="85"/>
  <c r="AC28" i="85"/>
  <c r="Z25" i="85"/>
  <c r="AD25" i="85"/>
  <c r="Z26" i="85"/>
  <c r="AD26" i="85"/>
  <c r="Z27" i="85"/>
  <c r="AD27" i="85"/>
  <c r="Z28" i="85"/>
  <c r="AD28" i="85"/>
  <c r="W26" i="85"/>
  <c r="AD17" i="85"/>
  <c r="AB18" i="85"/>
  <c r="AB19" i="85"/>
  <c r="AB20" i="85"/>
  <c r="Y17" i="85"/>
  <c r="AC17" i="85"/>
  <c r="Y18" i="85"/>
  <c r="AC18" i="85"/>
  <c r="Y19" i="85"/>
  <c r="AC19" i="85"/>
  <c r="Y20" i="85"/>
  <c r="AC20" i="85"/>
  <c r="Y21" i="85"/>
  <c r="AC21" i="85"/>
  <c r="Y22" i="85"/>
  <c r="AC22" i="85"/>
  <c r="Y23" i="85"/>
  <c r="AC23" i="85"/>
  <c r="Y24" i="85"/>
  <c r="AC24" i="85"/>
  <c r="AB17" i="85"/>
  <c r="AD18" i="85"/>
  <c r="AD19" i="85"/>
  <c r="AD20" i="85"/>
  <c r="Z21" i="85"/>
  <c r="AD21" i="85"/>
  <c r="Z22" i="85"/>
  <c r="AD22" i="85"/>
  <c r="Z23" i="85"/>
  <c r="AD23" i="85"/>
  <c r="Z24" i="85"/>
  <c r="AD24" i="85"/>
  <c r="AA25" i="85"/>
  <c r="Y26" i="85"/>
  <c r="AC26" i="85"/>
  <c r="Y27" i="85"/>
  <c r="AC27" i="85"/>
  <c r="Y28" i="85"/>
  <c r="X25" i="85"/>
  <c r="AB25" i="85"/>
  <c r="X26" i="85"/>
  <c r="AB26" i="85"/>
  <c r="X27" i="85"/>
  <c r="AB27" i="85"/>
  <c r="X28" i="85"/>
  <c r="AB28" i="85"/>
  <c r="Y25" i="85"/>
  <c r="AA28" i="85"/>
  <c r="A34" i="44"/>
  <c r="C31" i="44"/>
  <c r="C32" i="44" s="1"/>
  <c r="C33" i="44" s="1"/>
  <c r="E31" i="44"/>
  <c r="G28" i="44"/>
  <c r="G29" i="44" s="1"/>
  <c r="G30" i="44" s="1"/>
  <c r="AA32" i="85" l="1"/>
  <c r="AA36" i="85" s="1"/>
  <c r="AD38" i="86"/>
  <c r="AA38" i="86"/>
  <c r="AC38" i="86"/>
  <c r="AB37" i="86"/>
  <c r="AC32" i="85"/>
  <c r="AC33" i="85" s="1"/>
  <c r="AD32" i="85"/>
  <c r="AD33" i="85" s="1"/>
  <c r="AB32" i="85"/>
  <c r="AB36" i="85" s="1"/>
  <c r="AA35" i="85"/>
  <c r="AA33" i="85"/>
  <c r="E34" i="44"/>
  <c r="G31" i="44"/>
  <c r="G32" i="44" s="1"/>
  <c r="G33" i="44" s="1"/>
  <c r="A37" i="44"/>
  <c r="C34" i="44"/>
  <c r="C35" i="44" s="1"/>
  <c r="C36" i="44" s="1"/>
  <c r="AC36" i="85" l="1"/>
  <c r="AC35" i="85"/>
  <c r="AD36" i="85"/>
  <c r="AD35" i="85"/>
  <c r="AB35" i="85"/>
  <c r="AB33" i="85"/>
  <c r="AB38" i="85" s="1"/>
  <c r="AC37" i="85"/>
  <c r="AA38" i="85"/>
  <c r="AC38" i="85"/>
  <c r="AA37" i="85"/>
  <c r="A40" i="44"/>
  <c r="C37" i="44"/>
  <c r="C38" i="44" s="1"/>
  <c r="C39" i="44" s="1"/>
  <c r="E37" i="44"/>
  <c r="G34" i="44"/>
  <c r="G35" i="44" s="1"/>
  <c r="G36" i="44" s="1"/>
  <c r="AB37" i="85" l="1"/>
  <c r="AD38" i="85"/>
  <c r="AD37" i="85"/>
  <c r="E40" i="44"/>
  <c r="G37" i="44"/>
  <c r="G38" i="44" s="1"/>
  <c r="G39" i="44" s="1"/>
  <c r="A43" i="44"/>
  <c r="C40" i="44"/>
  <c r="C41" i="44" s="1"/>
  <c r="C42" i="44" s="1"/>
  <c r="A46" i="44" l="1"/>
  <c r="C43" i="44"/>
  <c r="C44" i="44" s="1"/>
  <c r="C45" i="44" s="1"/>
  <c r="E43" i="44"/>
  <c r="G40" i="44"/>
  <c r="G41" i="44" s="1"/>
  <c r="G42" i="44" s="1"/>
  <c r="E46" i="44" l="1"/>
  <c r="G43" i="44"/>
  <c r="G44" i="44" s="1"/>
  <c r="G45" i="44" s="1"/>
  <c r="A49" i="44"/>
  <c r="C46" i="44"/>
  <c r="C47" i="44" s="1"/>
  <c r="C48" i="44" s="1"/>
  <c r="A52" i="44" l="1"/>
  <c r="C49" i="44"/>
  <c r="C50" i="44" s="1"/>
  <c r="C51" i="44" s="1"/>
  <c r="E49" i="44"/>
  <c r="G46" i="44"/>
  <c r="G47" i="44" s="1"/>
  <c r="G48" i="44" s="1"/>
  <c r="E52" i="44" l="1"/>
  <c r="G49" i="44"/>
  <c r="G50" i="44" s="1"/>
  <c r="G51" i="44" s="1"/>
  <c r="A55" i="44"/>
  <c r="C52" i="44"/>
  <c r="C53" i="44" s="1"/>
  <c r="C54" i="44" s="1"/>
  <c r="A58" i="44" l="1"/>
  <c r="C55" i="44"/>
  <c r="C56" i="44" s="1"/>
  <c r="C57" i="44" s="1"/>
  <c r="E55" i="44"/>
  <c r="G52" i="44"/>
  <c r="G53" i="44" s="1"/>
  <c r="G54" i="44" s="1"/>
  <c r="E58" i="44" l="1"/>
  <c r="G55" i="44"/>
  <c r="G56" i="44" s="1"/>
  <c r="G57" i="44" s="1"/>
  <c r="A61" i="44"/>
  <c r="C58" i="44"/>
  <c r="C59" i="44" s="1"/>
  <c r="C60" i="44" s="1"/>
  <c r="A64" i="44" l="1"/>
  <c r="C61" i="44"/>
  <c r="C62" i="44" s="1"/>
  <c r="C63" i="44" s="1"/>
  <c r="E61" i="44"/>
  <c r="G58" i="44"/>
  <c r="G59" i="44" s="1"/>
  <c r="G60" i="44" s="1"/>
  <c r="E64" i="44" l="1"/>
  <c r="G61" i="44"/>
  <c r="G62" i="44" s="1"/>
  <c r="G63" i="44" s="1"/>
  <c r="A67" i="44"/>
  <c r="C64" i="44"/>
  <c r="C65" i="44" s="1"/>
  <c r="C66" i="44" s="1"/>
  <c r="A70" i="44" l="1"/>
  <c r="C67" i="44"/>
  <c r="C68" i="44" s="1"/>
  <c r="C69" i="44" s="1"/>
  <c r="E67" i="44"/>
  <c r="G64" i="44"/>
  <c r="G65" i="44" s="1"/>
  <c r="G66" i="44" s="1"/>
  <c r="E70" i="44" l="1"/>
  <c r="G67" i="44"/>
  <c r="G68" i="44" s="1"/>
  <c r="G69" i="44" s="1"/>
  <c r="A73" i="44"/>
  <c r="C70" i="44"/>
  <c r="C71" i="44" s="1"/>
  <c r="C72" i="44" s="1"/>
  <c r="A76" i="44" l="1"/>
  <c r="C73" i="44"/>
  <c r="C74" i="44" s="1"/>
  <c r="C75" i="44" s="1"/>
  <c r="E73" i="44"/>
  <c r="G70" i="44"/>
  <c r="G71" i="44" s="1"/>
  <c r="G72" i="44" s="1"/>
  <c r="E76" i="44" l="1"/>
  <c r="G73" i="44"/>
  <c r="G74" i="44" s="1"/>
  <c r="G75" i="44" s="1"/>
  <c r="A79" i="44"/>
  <c r="C76" i="44"/>
  <c r="C77" i="44" s="1"/>
  <c r="C78" i="44" s="1"/>
  <c r="A82" i="44" l="1"/>
  <c r="C79" i="44"/>
  <c r="C80" i="44" s="1"/>
  <c r="C81" i="44" s="1"/>
  <c r="E79" i="44"/>
  <c r="G76" i="44"/>
  <c r="G77" i="44" s="1"/>
  <c r="G78" i="44" s="1"/>
  <c r="E82" i="44" l="1"/>
  <c r="G79" i="44"/>
  <c r="G80" i="44" s="1"/>
  <c r="G81" i="44" s="1"/>
  <c r="A85" i="44"/>
  <c r="C82" i="44"/>
  <c r="C83" i="44" s="1"/>
  <c r="C84" i="44" s="1"/>
  <c r="A88" i="44" l="1"/>
  <c r="C85" i="44"/>
  <c r="C86" i="44" s="1"/>
  <c r="C87" i="44" s="1"/>
  <c r="E85" i="44"/>
  <c r="G82" i="44"/>
  <c r="G83" i="44" s="1"/>
  <c r="G84" i="44" s="1"/>
  <c r="E88" i="44" l="1"/>
  <c r="G85" i="44"/>
  <c r="G86" i="44" s="1"/>
  <c r="G87" i="44" s="1"/>
  <c r="A91" i="44"/>
  <c r="C88" i="44"/>
  <c r="C89" i="44" s="1"/>
  <c r="C90" i="44" s="1"/>
  <c r="A94" i="44" l="1"/>
  <c r="C91" i="44"/>
  <c r="C92" i="44" s="1"/>
  <c r="C93" i="44" s="1"/>
  <c r="E91" i="44"/>
  <c r="G88" i="44"/>
  <c r="G89" i="44" s="1"/>
  <c r="G90" i="44" s="1"/>
  <c r="E94" i="44" l="1"/>
  <c r="G91" i="44"/>
  <c r="G92" i="44" s="1"/>
  <c r="G93" i="44" s="1"/>
  <c r="A97" i="44"/>
  <c r="C94" i="44"/>
  <c r="C95" i="44" s="1"/>
  <c r="C96" i="44" s="1"/>
  <c r="A100" i="44" l="1"/>
  <c r="C97" i="44"/>
  <c r="C98" i="44" s="1"/>
  <c r="C99" i="44" s="1"/>
  <c r="E97" i="44"/>
  <c r="G94" i="44"/>
  <c r="G95" i="44" s="1"/>
  <c r="G96" i="44" s="1"/>
  <c r="E100" i="44" l="1"/>
  <c r="G97" i="44"/>
  <c r="G98" i="44" s="1"/>
  <c r="G99" i="44" s="1"/>
  <c r="A103" i="44"/>
  <c r="C100" i="44"/>
  <c r="C101" i="44" s="1"/>
  <c r="C102" i="44" s="1"/>
  <c r="A106" i="44" l="1"/>
  <c r="C103" i="44"/>
  <c r="C104" i="44" s="1"/>
  <c r="C105" i="44" s="1"/>
  <c r="E103" i="44"/>
  <c r="G100" i="44"/>
  <c r="G101" i="44" s="1"/>
  <c r="G102" i="44" s="1"/>
  <c r="E106" i="44" l="1"/>
  <c r="G103" i="44"/>
  <c r="G104" i="44" s="1"/>
  <c r="G105" i="44" s="1"/>
  <c r="A109" i="44"/>
  <c r="C106" i="44"/>
  <c r="C107" i="44" s="1"/>
  <c r="C108" i="44" s="1"/>
  <c r="A112" i="44" l="1"/>
  <c r="C109" i="44"/>
  <c r="C110" i="44" s="1"/>
  <c r="C111" i="44" s="1"/>
  <c r="E109" i="44"/>
  <c r="G106" i="44"/>
  <c r="G107" i="44" s="1"/>
  <c r="G108" i="44" s="1"/>
  <c r="E112" i="44" l="1"/>
  <c r="G109" i="44"/>
  <c r="G110" i="44" s="1"/>
  <c r="G111" i="44" s="1"/>
  <c r="A115" i="44"/>
  <c r="C112" i="44"/>
  <c r="C113" i="44" s="1"/>
  <c r="C114" i="44" s="1"/>
  <c r="A118" i="44" l="1"/>
  <c r="C115" i="44"/>
  <c r="C116" i="44" s="1"/>
  <c r="C117" i="44" s="1"/>
  <c r="E115" i="44"/>
  <c r="G112" i="44"/>
  <c r="G113" i="44" s="1"/>
  <c r="G114" i="44" s="1"/>
  <c r="E118" i="44" l="1"/>
  <c r="G115" i="44"/>
  <c r="G116" i="44" s="1"/>
  <c r="G117" i="44" s="1"/>
  <c r="A121" i="44"/>
  <c r="C118" i="44"/>
  <c r="C119" i="44" s="1"/>
  <c r="C120" i="44" s="1"/>
  <c r="A124" i="44" l="1"/>
  <c r="C121" i="44"/>
  <c r="C122" i="44" s="1"/>
  <c r="C123" i="44" s="1"/>
  <c r="E121" i="44"/>
  <c r="G118" i="44"/>
  <c r="G119" i="44" s="1"/>
  <c r="G120" i="44" s="1"/>
  <c r="E124" i="44" l="1"/>
  <c r="G121" i="44"/>
  <c r="G122" i="44" s="1"/>
  <c r="G123" i="44" s="1"/>
  <c r="A127" i="44"/>
  <c r="C124" i="44"/>
  <c r="C125" i="44" s="1"/>
  <c r="C126" i="44" s="1"/>
  <c r="A130" i="44" l="1"/>
  <c r="C127" i="44"/>
  <c r="C128" i="44" s="1"/>
  <c r="C129" i="44" s="1"/>
  <c r="E127" i="44"/>
  <c r="G124" i="44"/>
  <c r="G125" i="44" s="1"/>
  <c r="G126" i="44" s="1"/>
  <c r="E130" i="44" l="1"/>
  <c r="G127" i="44"/>
  <c r="G128" i="44" s="1"/>
  <c r="G129" i="44" s="1"/>
  <c r="A133" i="44"/>
  <c r="C130" i="44"/>
  <c r="C131" i="44" s="1"/>
  <c r="C132" i="44" s="1"/>
  <c r="A136" i="44" l="1"/>
  <c r="C133" i="44"/>
  <c r="C134" i="44" s="1"/>
  <c r="C135" i="44" s="1"/>
  <c r="E133" i="44"/>
  <c r="G130" i="44"/>
  <c r="G131" i="44" s="1"/>
  <c r="G132" i="44" s="1"/>
  <c r="E136" i="44" l="1"/>
  <c r="G133" i="44"/>
  <c r="G134" i="44" s="1"/>
  <c r="G135" i="44" s="1"/>
  <c r="A139" i="44"/>
  <c r="C136" i="44"/>
  <c r="C137" i="44" s="1"/>
  <c r="C138" i="44" s="1"/>
  <c r="A142" i="44" l="1"/>
  <c r="C139" i="44"/>
  <c r="C140" i="44" s="1"/>
  <c r="C141" i="44" s="1"/>
  <c r="E139" i="44"/>
  <c r="G136" i="44"/>
  <c r="G137" i="44" s="1"/>
  <c r="G138" i="44" s="1"/>
  <c r="E142" i="44" l="1"/>
  <c r="G139" i="44"/>
  <c r="G140" i="44" s="1"/>
  <c r="G141" i="44" s="1"/>
  <c r="A145" i="44"/>
  <c r="C142" i="44"/>
  <c r="C143" i="44" s="1"/>
  <c r="C144" i="44" s="1"/>
  <c r="C145" i="44" l="1"/>
  <c r="C146" i="44" s="1"/>
  <c r="C147" i="44" s="1"/>
  <c r="A148" i="44"/>
  <c r="G142" i="44"/>
  <c r="G143" i="44" s="1"/>
  <c r="G144" i="44" s="1"/>
  <c r="E145" i="44"/>
  <c r="G145" i="44" l="1"/>
  <c r="G146" i="44" s="1"/>
  <c r="G147" i="44" s="1"/>
  <c r="E148" i="44"/>
  <c r="C148" i="44"/>
  <c r="C149" i="44" s="1"/>
  <c r="C150" i="44" s="1"/>
  <c r="A151" i="44"/>
  <c r="C151" i="44" l="1"/>
  <c r="C152" i="44" s="1"/>
  <c r="C153" i="44" s="1"/>
  <c r="A154" i="44"/>
  <c r="G148" i="44"/>
  <c r="G149" i="44" s="1"/>
  <c r="G150" i="44" s="1"/>
  <c r="E151" i="44"/>
  <c r="G151" i="44" l="1"/>
  <c r="G152" i="44" s="1"/>
  <c r="G153" i="44" s="1"/>
  <c r="E154" i="44"/>
  <c r="C154" i="44"/>
  <c r="C155" i="44" s="1"/>
  <c r="C156" i="44" s="1"/>
  <c r="A157" i="44"/>
  <c r="C157" i="44" l="1"/>
  <c r="C158" i="44" s="1"/>
  <c r="C159" i="44" s="1"/>
  <c r="A160" i="44"/>
  <c r="G154" i="44"/>
  <c r="G155" i="44" s="1"/>
  <c r="G156" i="44" s="1"/>
  <c r="E157" i="44"/>
  <c r="G157" i="44" l="1"/>
  <c r="G158" i="44" s="1"/>
  <c r="G159" i="44" s="1"/>
  <c r="E160" i="44"/>
  <c r="C160" i="44"/>
  <c r="C161" i="44" s="1"/>
  <c r="C162" i="44" s="1"/>
  <c r="A163" i="44"/>
  <c r="C163" i="44" l="1"/>
  <c r="C164" i="44" s="1"/>
  <c r="C165" i="44" s="1"/>
  <c r="A166" i="44"/>
  <c r="G160" i="44"/>
  <c r="G161" i="44" s="1"/>
  <c r="G162" i="44" s="1"/>
  <c r="E163" i="44"/>
  <c r="G163" i="44" l="1"/>
  <c r="G164" i="44" s="1"/>
  <c r="G165" i="44" s="1"/>
  <c r="E166" i="44"/>
  <c r="C166" i="44"/>
  <c r="C167" i="44" s="1"/>
  <c r="C168" i="44" s="1"/>
  <c r="A169" i="44"/>
  <c r="C169" i="44" l="1"/>
  <c r="C170" i="44" s="1"/>
  <c r="C171" i="44" s="1"/>
  <c r="A172" i="44"/>
  <c r="G166" i="44"/>
  <c r="G167" i="44" s="1"/>
  <c r="G168" i="44" s="1"/>
  <c r="E169" i="44"/>
  <c r="G169" i="44" l="1"/>
  <c r="G170" i="44" s="1"/>
  <c r="G171" i="44" s="1"/>
  <c r="E172" i="44"/>
  <c r="C172" i="44"/>
  <c r="C173" i="44" s="1"/>
  <c r="C174" i="44" s="1"/>
  <c r="A175" i="44"/>
  <c r="C175" i="44" l="1"/>
  <c r="C176" i="44" s="1"/>
  <c r="C177" i="44" s="1"/>
  <c r="A178" i="44"/>
  <c r="G172" i="44"/>
  <c r="G173" i="44" s="1"/>
  <c r="G174" i="44" s="1"/>
  <c r="E175" i="44"/>
  <c r="G175" i="44" l="1"/>
  <c r="G176" i="44" s="1"/>
  <c r="G177" i="44" s="1"/>
  <c r="E178" i="44"/>
  <c r="C178" i="44"/>
  <c r="C179" i="44" s="1"/>
  <c r="C180" i="44" s="1"/>
  <c r="A181" i="44"/>
  <c r="C181" i="44" l="1"/>
  <c r="C182" i="44" s="1"/>
  <c r="C183" i="44" s="1"/>
  <c r="A184" i="44"/>
  <c r="G178" i="44"/>
  <c r="G179" i="44" s="1"/>
  <c r="G180" i="44" s="1"/>
  <c r="E181" i="44"/>
  <c r="G181" i="44" l="1"/>
  <c r="G182" i="44" s="1"/>
  <c r="G183" i="44" s="1"/>
  <c r="E184" i="44"/>
  <c r="C184" i="44"/>
  <c r="C185" i="44" s="1"/>
  <c r="C186" i="44" s="1"/>
  <c r="A187" i="44"/>
  <c r="C187" i="44" l="1"/>
  <c r="C188" i="44" s="1"/>
  <c r="C189" i="44" s="1"/>
  <c r="A190" i="44"/>
  <c r="G184" i="44"/>
  <c r="G185" i="44" s="1"/>
  <c r="G186" i="44" s="1"/>
  <c r="E187" i="44"/>
  <c r="G187" i="44" l="1"/>
  <c r="G188" i="44" s="1"/>
  <c r="G189" i="44" s="1"/>
  <c r="E190" i="44"/>
  <c r="C190" i="44"/>
  <c r="C191" i="44" s="1"/>
  <c r="C192" i="44" s="1"/>
  <c r="A193" i="44"/>
  <c r="C193" i="44" l="1"/>
  <c r="C194" i="44" s="1"/>
  <c r="C195" i="44" s="1"/>
  <c r="A196" i="44"/>
  <c r="G190" i="44"/>
  <c r="G191" i="44" s="1"/>
  <c r="G192" i="44" s="1"/>
  <c r="E193" i="44"/>
  <c r="G193" i="44" l="1"/>
  <c r="G194" i="44" s="1"/>
  <c r="G195" i="44" s="1"/>
  <c r="E196" i="44"/>
  <c r="C196" i="44"/>
  <c r="C197" i="44" s="1"/>
  <c r="C198" i="44" s="1"/>
  <c r="A199" i="44"/>
  <c r="C199" i="44" l="1"/>
  <c r="C200" i="44" s="1"/>
  <c r="C201" i="44" s="1"/>
  <c r="A202" i="44"/>
  <c r="G196" i="44"/>
  <c r="G197" i="44" s="1"/>
  <c r="G198" i="44" s="1"/>
  <c r="E199" i="44"/>
  <c r="G199" i="44" l="1"/>
  <c r="G200" i="44" s="1"/>
  <c r="G201" i="44" s="1"/>
  <c r="E202" i="44"/>
  <c r="C202" i="44"/>
  <c r="C203" i="44" s="1"/>
  <c r="C204" i="44" s="1"/>
  <c r="A205" i="44"/>
  <c r="C205" i="44" l="1"/>
  <c r="C206" i="44" s="1"/>
  <c r="C207" i="44" s="1"/>
  <c r="A208" i="44"/>
  <c r="G202" i="44"/>
  <c r="G203" i="44" s="1"/>
  <c r="G204" i="44" s="1"/>
  <c r="E205" i="44"/>
  <c r="G205" i="44" l="1"/>
  <c r="G206" i="44" s="1"/>
  <c r="G207" i="44" s="1"/>
  <c r="E208" i="44"/>
  <c r="C208" i="44"/>
  <c r="C209" i="44" s="1"/>
  <c r="C210" i="44" s="1"/>
  <c r="A211" i="44"/>
  <c r="C211" i="44" l="1"/>
  <c r="C212" i="44" s="1"/>
  <c r="C213" i="44" s="1"/>
  <c r="A214" i="44"/>
  <c r="G208" i="44"/>
  <c r="G209" i="44" s="1"/>
  <c r="G210" i="44" s="1"/>
  <c r="E211" i="44"/>
  <c r="G211" i="44" l="1"/>
  <c r="G212" i="44" s="1"/>
  <c r="G213" i="44" s="1"/>
  <c r="E214" i="44"/>
  <c r="C214" i="44"/>
  <c r="C215" i="44" s="1"/>
  <c r="C216" i="44" s="1"/>
  <c r="A217" i="44"/>
  <c r="C217" i="44" l="1"/>
  <c r="C218" i="44" s="1"/>
  <c r="C219" i="44" s="1"/>
  <c r="A220" i="44"/>
  <c r="G214" i="44"/>
  <c r="G215" i="44" s="1"/>
  <c r="G216" i="44" s="1"/>
  <c r="E217" i="44"/>
  <c r="G217" i="44" l="1"/>
  <c r="G218" i="44" s="1"/>
  <c r="G219" i="44" s="1"/>
  <c r="E220" i="44"/>
  <c r="C220" i="44"/>
  <c r="C221" i="44" s="1"/>
  <c r="C222" i="44" s="1"/>
  <c r="A223" i="44"/>
  <c r="C223" i="44" l="1"/>
  <c r="C224" i="44" s="1"/>
  <c r="C225" i="44" s="1"/>
  <c r="A226" i="44"/>
  <c r="G220" i="44"/>
  <c r="G221" i="44" s="1"/>
  <c r="G222" i="44" s="1"/>
  <c r="E223" i="44"/>
  <c r="G223" i="44" l="1"/>
  <c r="G224" i="44" s="1"/>
  <c r="G225" i="44" s="1"/>
  <c r="E226" i="44"/>
  <c r="C226" i="44"/>
  <c r="C227" i="44" s="1"/>
  <c r="C228" i="44" s="1"/>
  <c r="A229" i="44"/>
  <c r="C229" i="44" l="1"/>
  <c r="C230" i="44" s="1"/>
  <c r="C231" i="44" s="1"/>
  <c r="A232" i="44"/>
  <c r="G226" i="44"/>
  <c r="G227" i="44" s="1"/>
  <c r="G228" i="44" s="1"/>
  <c r="E229" i="44"/>
  <c r="G229" i="44" l="1"/>
  <c r="G230" i="44" s="1"/>
  <c r="G231" i="44" s="1"/>
  <c r="E232" i="44"/>
  <c r="C232" i="44"/>
  <c r="C233" i="44" s="1"/>
  <c r="C234" i="44" s="1"/>
  <c r="A235" i="44"/>
  <c r="C235" i="44" l="1"/>
  <c r="C236" i="44" s="1"/>
  <c r="C237" i="44" s="1"/>
  <c r="A238" i="44"/>
  <c r="G232" i="44"/>
  <c r="G233" i="44" s="1"/>
  <c r="G234" i="44" s="1"/>
  <c r="E235" i="44"/>
  <c r="G235" i="44" l="1"/>
  <c r="G236" i="44" s="1"/>
  <c r="G237" i="44" s="1"/>
  <c r="E238" i="44"/>
  <c r="C238" i="44"/>
  <c r="C239" i="44" s="1"/>
  <c r="C240" i="44" s="1"/>
  <c r="A241" i="44"/>
  <c r="C241" i="44" l="1"/>
  <c r="C242" i="44" s="1"/>
  <c r="C243" i="44" s="1"/>
  <c r="A244" i="44"/>
  <c r="G238" i="44"/>
  <c r="G239" i="44" s="1"/>
  <c r="G240" i="44" s="1"/>
  <c r="E241" i="44"/>
  <c r="G241" i="44" l="1"/>
  <c r="G242" i="44" s="1"/>
  <c r="G243" i="44" s="1"/>
  <c r="E244" i="44"/>
  <c r="C244" i="44"/>
  <c r="C245" i="44" s="1"/>
  <c r="C246" i="44" s="1"/>
  <c r="A247" i="44"/>
  <c r="C247" i="44" l="1"/>
  <c r="C248" i="44" s="1"/>
  <c r="C249" i="44" s="1"/>
  <c r="A250" i="44"/>
  <c r="G244" i="44"/>
  <c r="G245" i="44" s="1"/>
  <c r="G246" i="44" s="1"/>
  <c r="E247" i="44"/>
  <c r="G247" i="44" l="1"/>
  <c r="G248" i="44" s="1"/>
  <c r="G249" i="44" s="1"/>
  <c r="E250" i="44"/>
  <c r="C250" i="44"/>
  <c r="C251" i="44" s="1"/>
  <c r="C252" i="44" s="1"/>
  <c r="A253" i="44"/>
  <c r="C253" i="44" l="1"/>
  <c r="C254" i="44" s="1"/>
  <c r="C255" i="44" s="1"/>
  <c r="A256" i="44"/>
  <c r="G250" i="44"/>
  <c r="G251" i="44" s="1"/>
  <c r="G252" i="44" s="1"/>
  <c r="E253" i="44"/>
  <c r="G253" i="44" l="1"/>
  <c r="G254" i="44" s="1"/>
  <c r="G255" i="44" s="1"/>
  <c r="E256" i="44"/>
  <c r="C256" i="44"/>
  <c r="C257" i="44" s="1"/>
  <c r="C258" i="44" s="1"/>
  <c r="A259" i="44"/>
  <c r="C259" i="44" l="1"/>
  <c r="C260" i="44" s="1"/>
  <c r="C261" i="44" s="1"/>
  <c r="A262" i="44"/>
  <c r="G256" i="44"/>
  <c r="G257" i="44" s="1"/>
  <c r="G258" i="44" s="1"/>
  <c r="E259" i="44"/>
  <c r="G259" i="44" l="1"/>
  <c r="G260" i="44" s="1"/>
  <c r="G261" i="44" s="1"/>
  <c r="E262" i="44"/>
  <c r="C262" i="44"/>
  <c r="C263" i="44" s="1"/>
  <c r="C264" i="44" s="1"/>
  <c r="A265" i="44"/>
  <c r="C265" i="44" l="1"/>
  <c r="C266" i="44" s="1"/>
  <c r="C267" i="44" s="1"/>
  <c r="A268" i="44"/>
  <c r="G262" i="44"/>
  <c r="G263" i="44" s="1"/>
  <c r="G264" i="44" s="1"/>
  <c r="E265" i="44"/>
  <c r="G265" i="44" l="1"/>
  <c r="G266" i="44" s="1"/>
  <c r="G267" i="44" s="1"/>
  <c r="E268" i="44"/>
  <c r="C268" i="44"/>
  <c r="C269" i="44" s="1"/>
  <c r="C270" i="44" s="1"/>
  <c r="A271" i="44"/>
  <c r="C271" i="44" l="1"/>
  <c r="C272" i="44" s="1"/>
  <c r="C273" i="44" s="1"/>
  <c r="A274" i="44"/>
  <c r="G268" i="44"/>
  <c r="G269" i="44" s="1"/>
  <c r="G270" i="44" s="1"/>
  <c r="E271" i="44"/>
  <c r="G271" i="44" l="1"/>
  <c r="G272" i="44" s="1"/>
  <c r="G273" i="44" s="1"/>
  <c r="E274" i="44"/>
  <c r="C274" i="44"/>
  <c r="C275" i="44" s="1"/>
  <c r="C276" i="44" s="1"/>
  <c r="A277" i="44"/>
  <c r="C277" i="44" l="1"/>
  <c r="C278" i="44" s="1"/>
  <c r="C279" i="44" s="1"/>
  <c r="A280" i="44"/>
  <c r="G274" i="44"/>
  <c r="G275" i="44" s="1"/>
  <c r="G276" i="44" s="1"/>
  <c r="E277" i="44"/>
  <c r="G277" i="44" l="1"/>
  <c r="G278" i="44" s="1"/>
  <c r="G279" i="44" s="1"/>
  <c r="E280" i="44"/>
  <c r="C280" i="44"/>
  <c r="C281" i="44" s="1"/>
  <c r="C282" i="44" s="1"/>
  <c r="A283" i="44"/>
  <c r="C283" i="44" l="1"/>
  <c r="C284" i="44" s="1"/>
  <c r="C285" i="44" s="1"/>
  <c r="A286" i="44"/>
  <c r="G280" i="44"/>
  <c r="G281" i="44" s="1"/>
  <c r="G282" i="44" s="1"/>
  <c r="E283" i="44"/>
  <c r="G283" i="44" l="1"/>
  <c r="G284" i="44" s="1"/>
  <c r="G285" i="44" s="1"/>
  <c r="E286" i="44"/>
  <c r="C286" i="44"/>
  <c r="C287" i="44" s="1"/>
  <c r="C288" i="44" s="1"/>
  <c r="A289" i="44"/>
  <c r="C289" i="44" l="1"/>
  <c r="C290" i="44" s="1"/>
  <c r="C291" i="44" s="1"/>
  <c r="A292" i="44"/>
  <c r="G286" i="44"/>
  <c r="G287" i="44" s="1"/>
  <c r="G288" i="44" s="1"/>
  <c r="E289" i="44"/>
  <c r="G289" i="44" l="1"/>
  <c r="G290" i="44" s="1"/>
  <c r="G291" i="44" s="1"/>
  <c r="E292" i="44"/>
  <c r="C292" i="44"/>
  <c r="C293" i="44" s="1"/>
  <c r="C294" i="44" s="1"/>
  <c r="A295" i="44"/>
  <c r="C295" i="44" l="1"/>
  <c r="C296" i="44" s="1"/>
  <c r="C297" i="44" s="1"/>
  <c r="A298" i="44"/>
  <c r="G292" i="44"/>
  <c r="G293" i="44" s="1"/>
  <c r="G294" i="44" s="1"/>
  <c r="E295" i="44"/>
  <c r="G295" i="44" l="1"/>
  <c r="G296" i="44" s="1"/>
  <c r="G297" i="44" s="1"/>
  <c r="E298" i="44"/>
  <c r="C298" i="44"/>
  <c r="C299" i="44" s="1"/>
  <c r="C300" i="44" s="1"/>
  <c r="A301" i="44"/>
  <c r="C301" i="44" l="1"/>
  <c r="C302" i="44" s="1"/>
  <c r="C303" i="44" s="1"/>
  <c r="A304" i="44"/>
  <c r="G298" i="44"/>
  <c r="G299" i="44" s="1"/>
  <c r="G300" i="44" s="1"/>
  <c r="E301" i="44"/>
  <c r="G301" i="44" l="1"/>
  <c r="G302" i="44" s="1"/>
  <c r="G303" i="44" s="1"/>
  <c r="E304" i="44"/>
  <c r="C304" i="44"/>
  <c r="C305" i="44" s="1"/>
  <c r="C306" i="44" s="1"/>
  <c r="A307" i="44"/>
  <c r="C307" i="44" l="1"/>
  <c r="C308" i="44" s="1"/>
  <c r="C309" i="44" s="1"/>
  <c r="A310" i="44"/>
  <c r="G304" i="44"/>
  <c r="G305" i="44" s="1"/>
  <c r="G306" i="44" s="1"/>
  <c r="E307" i="44"/>
  <c r="G307" i="44" l="1"/>
  <c r="G308" i="44" s="1"/>
  <c r="G309" i="44" s="1"/>
  <c r="E310" i="44"/>
  <c r="C310" i="44"/>
  <c r="C311" i="44" s="1"/>
  <c r="C312" i="44" s="1"/>
  <c r="A313" i="44"/>
  <c r="C313" i="44" l="1"/>
  <c r="C314" i="44" s="1"/>
  <c r="C315" i="44" s="1"/>
  <c r="A316" i="44"/>
  <c r="G310" i="44"/>
  <c r="G311" i="44" s="1"/>
  <c r="G312" i="44" s="1"/>
  <c r="E313" i="44"/>
  <c r="G313" i="44" l="1"/>
  <c r="G314" i="44" s="1"/>
  <c r="G315" i="44" s="1"/>
  <c r="E316" i="44"/>
  <c r="C316" i="44"/>
  <c r="C317" i="44" s="1"/>
  <c r="C318" i="44" s="1"/>
  <c r="A319" i="44"/>
  <c r="C319" i="44" l="1"/>
  <c r="C320" i="44" s="1"/>
  <c r="C321" i="44" s="1"/>
  <c r="A322" i="44"/>
  <c r="G316" i="44"/>
  <c r="G317" i="44" s="1"/>
  <c r="G318" i="44" s="1"/>
  <c r="E319" i="44"/>
  <c r="G319" i="44" l="1"/>
  <c r="G320" i="44" s="1"/>
  <c r="G321" i="44" s="1"/>
  <c r="E322" i="44"/>
  <c r="C322" i="44"/>
  <c r="C323" i="44" s="1"/>
  <c r="C324" i="44" s="1"/>
  <c r="A325" i="44"/>
  <c r="C325" i="44" l="1"/>
  <c r="C326" i="44" s="1"/>
  <c r="C327" i="44" s="1"/>
  <c r="A328" i="44"/>
  <c r="G322" i="44"/>
  <c r="G323" i="44" s="1"/>
  <c r="G324" i="44" s="1"/>
  <c r="E325" i="44"/>
  <c r="G325" i="44" l="1"/>
  <c r="G326" i="44" s="1"/>
  <c r="G327" i="44" s="1"/>
  <c r="E328" i="44"/>
  <c r="C328" i="44"/>
  <c r="C329" i="44" s="1"/>
  <c r="C330" i="44" s="1"/>
  <c r="A331" i="44"/>
  <c r="C331" i="44" l="1"/>
  <c r="C332" i="44" s="1"/>
  <c r="C333" i="44" s="1"/>
  <c r="A334" i="44"/>
  <c r="G328" i="44"/>
  <c r="G329" i="44" s="1"/>
  <c r="G330" i="44" s="1"/>
  <c r="E331" i="44"/>
  <c r="G331" i="44" l="1"/>
  <c r="G332" i="44" s="1"/>
  <c r="G333" i="44" s="1"/>
  <c r="E334" i="44"/>
  <c r="C334" i="44"/>
  <c r="C335" i="44" s="1"/>
  <c r="C336" i="44" s="1"/>
  <c r="A337" i="44"/>
  <c r="C337" i="44" l="1"/>
  <c r="C338" i="44" s="1"/>
  <c r="C339" i="44" s="1"/>
  <c r="A340" i="44"/>
  <c r="G334" i="44"/>
  <c r="G335" i="44" s="1"/>
  <c r="G336" i="44" s="1"/>
  <c r="E337" i="44"/>
  <c r="G337" i="44" l="1"/>
  <c r="G338" i="44" s="1"/>
  <c r="G339" i="44" s="1"/>
  <c r="E340" i="44"/>
  <c r="C340" i="44"/>
  <c r="C341" i="44" s="1"/>
  <c r="C342" i="44" s="1"/>
  <c r="A343" i="44"/>
  <c r="C343" i="44" l="1"/>
  <c r="C344" i="44" s="1"/>
  <c r="C345" i="44" s="1"/>
  <c r="A346" i="44"/>
  <c r="G340" i="44"/>
  <c r="G341" i="44" s="1"/>
  <c r="G342" i="44" s="1"/>
  <c r="E343" i="44"/>
  <c r="G343" i="44" l="1"/>
  <c r="G344" i="44" s="1"/>
  <c r="G345" i="44" s="1"/>
  <c r="E346" i="44"/>
  <c r="C346" i="44"/>
  <c r="C347" i="44" s="1"/>
  <c r="C348" i="44" s="1"/>
  <c r="A349" i="44"/>
  <c r="C349" i="44" l="1"/>
  <c r="C350" i="44" s="1"/>
  <c r="C351" i="44" s="1"/>
  <c r="A352" i="44"/>
  <c r="G346" i="44"/>
  <c r="G347" i="44" s="1"/>
  <c r="G348" i="44" s="1"/>
  <c r="E349" i="44"/>
  <c r="G349" i="44" l="1"/>
  <c r="G350" i="44" s="1"/>
  <c r="G351" i="44" s="1"/>
  <c r="E352" i="44"/>
  <c r="C352" i="44"/>
  <c r="C353" i="44" s="1"/>
  <c r="C354" i="44" s="1"/>
  <c r="A355" i="44"/>
  <c r="C355" i="44" l="1"/>
  <c r="C356" i="44" s="1"/>
  <c r="C357" i="44" s="1"/>
  <c r="A358" i="44"/>
  <c r="G352" i="44"/>
  <c r="G353" i="44" s="1"/>
  <c r="G354" i="44" s="1"/>
  <c r="E355" i="44"/>
  <c r="G355" i="44" l="1"/>
  <c r="G356" i="44" s="1"/>
  <c r="G357" i="44" s="1"/>
  <c r="E358" i="44"/>
  <c r="C358" i="44"/>
  <c r="C359" i="44" s="1"/>
  <c r="C360" i="44" s="1"/>
  <c r="A361" i="44"/>
  <c r="C361" i="44" l="1"/>
  <c r="C362" i="44" s="1"/>
  <c r="C363" i="44" s="1"/>
  <c r="A364" i="44"/>
  <c r="G358" i="44"/>
  <c r="G359" i="44" s="1"/>
  <c r="G360" i="44" s="1"/>
  <c r="E361" i="44"/>
  <c r="G361" i="44" l="1"/>
  <c r="G362" i="44" s="1"/>
  <c r="G363" i="44" s="1"/>
  <c r="E364" i="44"/>
  <c r="C364" i="44"/>
  <c r="C365" i="44" s="1"/>
  <c r="C366" i="44" s="1"/>
  <c r="A367" i="44"/>
  <c r="C367" i="44" l="1"/>
  <c r="C368" i="44" s="1"/>
  <c r="C369" i="44" s="1"/>
  <c r="A370" i="44"/>
  <c r="G364" i="44"/>
  <c r="G365" i="44" s="1"/>
  <c r="G366" i="44" s="1"/>
  <c r="E367" i="44"/>
  <c r="G367" i="44" l="1"/>
  <c r="G368" i="44" s="1"/>
  <c r="G369" i="44" s="1"/>
  <c r="E370" i="44"/>
  <c r="C370" i="44"/>
  <c r="C371" i="44" s="1"/>
  <c r="C372" i="44" s="1"/>
  <c r="A373" i="44"/>
  <c r="C373" i="44" l="1"/>
  <c r="C374" i="44" s="1"/>
  <c r="C375" i="44" s="1"/>
  <c r="A376" i="44"/>
  <c r="G370" i="44"/>
  <c r="G371" i="44" s="1"/>
  <c r="G372" i="44" s="1"/>
  <c r="E373" i="44"/>
  <c r="G373" i="44" l="1"/>
  <c r="G374" i="44" s="1"/>
  <c r="G375" i="44" s="1"/>
  <c r="E376" i="44"/>
  <c r="C376" i="44"/>
  <c r="C377" i="44" s="1"/>
  <c r="C378" i="44" s="1"/>
  <c r="A379" i="44"/>
  <c r="C379" i="44" l="1"/>
  <c r="C380" i="44" s="1"/>
  <c r="C381" i="44" s="1"/>
  <c r="A382" i="44"/>
  <c r="G376" i="44"/>
  <c r="G377" i="44" s="1"/>
  <c r="G378" i="44" s="1"/>
  <c r="E379" i="44"/>
  <c r="G379" i="44" l="1"/>
  <c r="G380" i="44" s="1"/>
  <c r="G381" i="44" s="1"/>
  <c r="E382" i="44"/>
  <c r="C382" i="44"/>
  <c r="C383" i="44" s="1"/>
  <c r="C384" i="44" s="1"/>
  <c r="A385" i="44"/>
  <c r="C385" i="44" l="1"/>
  <c r="C386" i="44" s="1"/>
  <c r="C387" i="44" s="1"/>
  <c r="A388" i="44"/>
  <c r="G382" i="44"/>
  <c r="G383" i="44" s="1"/>
  <c r="G384" i="44" s="1"/>
  <c r="E385" i="44"/>
  <c r="G385" i="44" l="1"/>
  <c r="G386" i="44" s="1"/>
  <c r="G387" i="44" s="1"/>
  <c r="E388" i="44"/>
  <c r="C388" i="44"/>
  <c r="C389" i="44" s="1"/>
  <c r="C390" i="44" s="1"/>
  <c r="A391" i="44"/>
  <c r="C391" i="44" l="1"/>
  <c r="C392" i="44" s="1"/>
  <c r="C393" i="44" s="1"/>
  <c r="A394" i="44"/>
  <c r="G388" i="44"/>
  <c r="G389" i="44" s="1"/>
  <c r="G390" i="44" s="1"/>
  <c r="E391" i="44"/>
  <c r="G391" i="44" l="1"/>
  <c r="G392" i="44" s="1"/>
  <c r="G393" i="44" s="1"/>
  <c r="E394" i="44"/>
  <c r="C394" i="44"/>
  <c r="C395" i="44" s="1"/>
  <c r="C396" i="44" s="1"/>
  <c r="A397" i="44"/>
  <c r="C397" i="44" l="1"/>
  <c r="C398" i="44" s="1"/>
  <c r="C399" i="44" s="1"/>
  <c r="A400" i="44"/>
  <c r="G394" i="44"/>
  <c r="G395" i="44" s="1"/>
  <c r="G396" i="44" s="1"/>
  <c r="E397" i="44"/>
  <c r="G397" i="44" l="1"/>
  <c r="G398" i="44" s="1"/>
  <c r="G399" i="44" s="1"/>
  <c r="E400" i="44"/>
  <c r="C400" i="44"/>
  <c r="C401" i="44" s="1"/>
  <c r="C402" i="44" s="1"/>
  <c r="A403" i="44"/>
  <c r="C403" i="44" l="1"/>
  <c r="C404" i="44" s="1"/>
  <c r="C405" i="44" s="1"/>
  <c r="A406" i="44"/>
  <c r="G400" i="44"/>
  <c r="G401" i="44" s="1"/>
  <c r="G402" i="44" s="1"/>
  <c r="E403" i="44"/>
  <c r="G403" i="44" l="1"/>
  <c r="G404" i="44" s="1"/>
  <c r="G405" i="44" s="1"/>
  <c r="E406" i="44"/>
  <c r="C406" i="44"/>
  <c r="C407" i="44" s="1"/>
  <c r="C408" i="44" s="1"/>
  <c r="A409" i="44"/>
  <c r="C409" i="44" l="1"/>
  <c r="C410" i="44" s="1"/>
  <c r="C411" i="44" s="1"/>
  <c r="A412" i="44"/>
  <c r="G406" i="44"/>
  <c r="G407" i="44" s="1"/>
  <c r="G408" i="44" s="1"/>
  <c r="E409" i="44"/>
  <c r="G409" i="44" l="1"/>
  <c r="G410" i="44" s="1"/>
  <c r="G411" i="44" s="1"/>
  <c r="E412" i="44"/>
  <c r="C412" i="44"/>
  <c r="C413" i="44" s="1"/>
  <c r="C414" i="44" s="1"/>
  <c r="A415" i="44"/>
  <c r="C415" i="44" l="1"/>
  <c r="C416" i="44" s="1"/>
  <c r="C417" i="44" s="1"/>
  <c r="A418" i="44"/>
  <c r="G412" i="44"/>
  <c r="G413" i="44" s="1"/>
  <c r="G414" i="44" s="1"/>
  <c r="E415" i="44"/>
  <c r="G415" i="44" l="1"/>
  <c r="G416" i="44" s="1"/>
  <c r="G417" i="44" s="1"/>
  <c r="E418" i="44"/>
  <c r="C418" i="44"/>
  <c r="C419" i="44" s="1"/>
  <c r="C420" i="44" s="1"/>
  <c r="A421" i="44"/>
  <c r="C421" i="44" l="1"/>
  <c r="C422" i="44" s="1"/>
  <c r="C423" i="44" s="1"/>
  <c r="A424" i="44"/>
  <c r="G418" i="44"/>
  <c r="G419" i="44" s="1"/>
  <c r="G420" i="44" s="1"/>
  <c r="E421" i="44"/>
  <c r="G421" i="44" l="1"/>
  <c r="G422" i="44" s="1"/>
  <c r="G423" i="44" s="1"/>
  <c r="E424" i="44"/>
  <c r="C424" i="44"/>
  <c r="C425" i="44" s="1"/>
  <c r="C426" i="44" s="1"/>
  <c r="A427" i="44"/>
  <c r="C427" i="44" l="1"/>
  <c r="C428" i="44" s="1"/>
  <c r="C429" i="44" s="1"/>
  <c r="A430" i="44"/>
  <c r="G424" i="44"/>
  <c r="G425" i="44" s="1"/>
  <c r="G426" i="44" s="1"/>
  <c r="E427" i="44"/>
  <c r="G427" i="44" l="1"/>
  <c r="G428" i="44" s="1"/>
  <c r="G429" i="44" s="1"/>
  <c r="E430" i="44"/>
  <c r="C430" i="44"/>
  <c r="C431" i="44" s="1"/>
  <c r="C432" i="44" s="1"/>
  <c r="A433" i="44"/>
  <c r="C433" i="44" l="1"/>
  <c r="C434" i="44" s="1"/>
  <c r="C435" i="44" s="1"/>
  <c r="A436" i="44"/>
  <c r="G430" i="44"/>
  <c r="G431" i="44" s="1"/>
  <c r="G432" i="44" s="1"/>
  <c r="E433" i="44"/>
  <c r="G433" i="44" l="1"/>
  <c r="G434" i="44" s="1"/>
  <c r="G435" i="44" s="1"/>
  <c r="E436" i="44"/>
  <c r="C436" i="44"/>
  <c r="C437" i="44" s="1"/>
  <c r="C438" i="44" s="1"/>
  <c r="A439" i="44"/>
  <c r="C439" i="44" l="1"/>
  <c r="C440" i="44" s="1"/>
  <c r="C441" i="44" s="1"/>
  <c r="A442" i="44"/>
  <c r="G436" i="44"/>
  <c r="G437" i="44" s="1"/>
  <c r="G438" i="44" s="1"/>
  <c r="E439" i="44"/>
  <c r="G439" i="44" l="1"/>
  <c r="G440" i="44" s="1"/>
  <c r="G441" i="44" s="1"/>
  <c r="E442" i="44"/>
  <c r="C442" i="44"/>
  <c r="C443" i="44" s="1"/>
  <c r="C444" i="44" s="1"/>
  <c r="A445" i="44"/>
  <c r="C445" i="44" l="1"/>
  <c r="C446" i="44" s="1"/>
  <c r="C447" i="44" s="1"/>
  <c r="A448" i="44"/>
  <c r="G442" i="44"/>
  <c r="G443" i="44" s="1"/>
  <c r="G444" i="44" s="1"/>
  <c r="E445" i="44"/>
  <c r="G445" i="44" l="1"/>
  <c r="G446" i="44" s="1"/>
  <c r="G447" i="44" s="1"/>
  <c r="E448" i="44"/>
  <c r="C448" i="44"/>
  <c r="C449" i="44" s="1"/>
  <c r="C450" i="44" s="1"/>
  <c r="A451" i="44"/>
  <c r="C451" i="44" l="1"/>
  <c r="C452" i="44" s="1"/>
  <c r="C453" i="44" s="1"/>
  <c r="A454" i="44"/>
  <c r="G448" i="44"/>
  <c r="G449" i="44" s="1"/>
  <c r="G450" i="44" s="1"/>
  <c r="E451" i="44"/>
  <c r="G451" i="44" l="1"/>
  <c r="G452" i="44" s="1"/>
  <c r="G453" i="44" s="1"/>
  <c r="E454" i="44"/>
  <c r="C454" i="44"/>
  <c r="C455" i="44" s="1"/>
  <c r="C456" i="44" s="1"/>
  <c r="A457" i="44"/>
  <c r="C457" i="44" l="1"/>
  <c r="C458" i="44" s="1"/>
  <c r="C459" i="44" s="1"/>
  <c r="A460" i="44"/>
  <c r="G454" i="44"/>
  <c r="G455" i="44" s="1"/>
  <c r="G456" i="44" s="1"/>
  <c r="E457" i="44"/>
  <c r="G457" i="44" l="1"/>
  <c r="G458" i="44" s="1"/>
  <c r="G459" i="44" s="1"/>
  <c r="E460" i="44"/>
  <c r="C460" i="44"/>
  <c r="C461" i="44" s="1"/>
  <c r="C462" i="44" s="1"/>
  <c r="A463" i="44"/>
  <c r="C463" i="44" l="1"/>
  <c r="C464" i="44" s="1"/>
  <c r="C465" i="44" s="1"/>
  <c r="A466" i="44"/>
  <c r="G460" i="44"/>
  <c r="G461" i="44" s="1"/>
  <c r="G462" i="44" s="1"/>
  <c r="E463" i="44"/>
  <c r="G463" i="44" l="1"/>
  <c r="G464" i="44" s="1"/>
  <c r="G465" i="44" s="1"/>
  <c r="E466" i="44"/>
  <c r="C466" i="44"/>
  <c r="C467" i="44" s="1"/>
  <c r="C468" i="44" s="1"/>
  <c r="A469" i="44"/>
  <c r="C469" i="44" l="1"/>
  <c r="C470" i="44" s="1"/>
  <c r="C471" i="44" s="1"/>
  <c r="A472" i="44"/>
  <c r="G466" i="44"/>
  <c r="G467" i="44" s="1"/>
  <c r="G468" i="44" s="1"/>
  <c r="E469" i="44"/>
  <c r="G469" i="44" l="1"/>
  <c r="G470" i="44" s="1"/>
  <c r="G471" i="44" s="1"/>
  <c r="E472" i="44"/>
  <c r="C472" i="44"/>
  <c r="C473" i="44" s="1"/>
  <c r="C474" i="44" s="1"/>
  <c r="A475" i="44"/>
  <c r="C475" i="44" l="1"/>
  <c r="C476" i="44" s="1"/>
  <c r="C477" i="44" s="1"/>
  <c r="A478" i="44"/>
  <c r="G472" i="44"/>
  <c r="G473" i="44" s="1"/>
  <c r="G474" i="44" s="1"/>
  <c r="E475" i="44"/>
  <c r="G475" i="44" l="1"/>
  <c r="G476" i="44" s="1"/>
  <c r="G477" i="44" s="1"/>
  <c r="E478" i="44"/>
  <c r="C478" i="44"/>
  <c r="C479" i="44" s="1"/>
  <c r="C480" i="44" s="1"/>
  <c r="A481" i="44"/>
  <c r="C481" i="44" l="1"/>
  <c r="C482" i="44" s="1"/>
  <c r="C483" i="44" s="1"/>
  <c r="A484" i="44"/>
  <c r="G478" i="44"/>
  <c r="G479" i="44" s="1"/>
  <c r="G480" i="44" s="1"/>
  <c r="E481" i="44"/>
  <c r="G481" i="44" l="1"/>
  <c r="G482" i="44" s="1"/>
  <c r="G483" i="44" s="1"/>
  <c r="E484" i="44"/>
  <c r="C484" i="44"/>
  <c r="C485" i="44" s="1"/>
  <c r="C486" i="44" s="1"/>
  <c r="A487" i="44"/>
  <c r="C487" i="44" l="1"/>
  <c r="C488" i="44" s="1"/>
  <c r="C489" i="44" s="1"/>
  <c r="A490" i="44"/>
  <c r="G484" i="44"/>
  <c r="G485" i="44" s="1"/>
  <c r="G486" i="44" s="1"/>
  <c r="E487" i="44"/>
  <c r="G487" i="44" l="1"/>
  <c r="G488" i="44" s="1"/>
  <c r="G489" i="44" s="1"/>
  <c r="E490" i="44"/>
  <c r="C490" i="44"/>
  <c r="C491" i="44" s="1"/>
  <c r="C492" i="44" s="1"/>
  <c r="A493" i="44"/>
  <c r="C493" i="44" l="1"/>
  <c r="C494" i="44" s="1"/>
  <c r="C495" i="44" s="1"/>
  <c r="A496" i="44"/>
  <c r="G490" i="44"/>
  <c r="G491" i="44" s="1"/>
  <c r="G492" i="44" s="1"/>
  <c r="E493" i="44"/>
  <c r="G493" i="44" l="1"/>
  <c r="G494" i="44" s="1"/>
  <c r="G495" i="44" s="1"/>
  <c r="E496" i="44"/>
  <c r="C496" i="44"/>
  <c r="C497" i="44" s="1"/>
  <c r="C498" i="44" s="1"/>
  <c r="A499" i="44"/>
  <c r="C499" i="44" l="1"/>
  <c r="C500" i="44" s="1"/>
  <c r="C501" i="44" s="1"/>
  <c r="A502" i="44"/>
  <c r="G496" i="44"/>
  <c r="G497" i="44" s="1"/>
  <c r="G498" i="44" s="1"/>
  <c r="E499" i="44"/>
  <c r="G499" i="44" l="1"/>
  <c r="G500" i="44" s="1"/>
  <c r="G501" i="44" s="1"/>
  <c r="E502" i="44"/>
  <c r="C502" i="44"/>
  <c r="C503" i="44" s="1"/>
  <c r="C504" i="44" s="1"/>
  <c r="A505" i="44"/>
  <c r="C505" i="44" l="1"/>
  <c r="C506" i="44" s="1"/>
  <c r="C507" i="44" s="1"/>
  <c r="A508" i="44"/>
  <c r="G502" i="44"/>
  <c r="G503" i="44" s="1"/>
  <c r="G504" i="44" s="1"/>
  <c r="E505" i="44"/>
  <c r="G505" i="44" l="1"/>
  <c r="G506" i="44" s="1"/>
  <c r="G507" i="44" s="1"/>
  <c r="E508" i="44"/>
  <c r="C508" i="44"/>
  <c r="C509" i="44" s="1"/>
  <c r="C510" i="44" s="1"/>
  <c r="A511" i="44"/>
  <c r="C511" i="44" l="1"/>
  <c r="C512" i="44" s="1"/>
  <c r="C513" i="44" s="1"/>
  <c r="A514" i="44"/>
  <c r="G508" i="44"/>
  <c r="G509" i="44" s="1"/>
  <c r="G510" i="44" s="1"/>
  <c r="E511" i="44"/>
  <c r="G511" i="44" l="1"/>
  <c r="G512" i="44" s="1"/>
  <c r="G513" i="44" s="1"/>
  <c r="E514" i="44"/>
  <c r="C514" i="44"/>
  <c r="C515" i="44" s="1"/>
  <c r="C516" i="44" s="1"/>
  <c r="A517" i="44"/>
  <c r="C517" i="44" l="1"/>
  <c r="C518" i="44" s="1"/>
  <c r="C519" i="44" s="1"/>
  <c r="A520" i="44"/>
  <c r="G514" i="44"/>
  <c r="G515" i="44" s="1"/>
  <c r="G516" i="44" s="1"/>
  <c r="E517" i="44"/>
  <c r="G517" i="44" l="1"/>
  <c r="G518" i="44" s="1"/>
  <c r="G519" i="44" s="1"/>
  <c r="E520" i="44"/>
  <c r="C520" i="44"/>
  <c r="C521" i="44" s="1"/>
  <c r="C522" i="44" s="1"/>
  <c r="A523" i="44"/>
  <c r="C523" i="44" l="1"/>
  <c r="C524" i="44" s="1"/>
  <c r="C525" i="44" s="1"/>
  <c r="A526" i="44"/>
  <c r="G520" i="44"/>
  <c r="G521" i="44" s="1"/>
  <c r="G522" i="44" s="1"/>
  <c r="E523" i="44"/>
  <c r="G523" i="44" l="1"/>
  <c r="G524" i="44" s="1"/>
  <c r="G525" i="44" s="1"/>
  <c r="E526" i="44"/>
  <c r="C526" i="44"/>
  <c r="C527" i="44" s="1"/>
  <c r="C528" i="44" s="1"/>
  <c r="A529" i="44"/>
  <c r="C529" i="44" l="1"/>
  <c r="C530" i="44" s="1"/>
  <c r="C531" i="44" s="1"/>
  <c r="A532" i="44"/>
  <c r="G526" i="44"/>
  <c r="G527" i="44" s="1"/>
  <c r="G528" i="44" s="1"/>
  <c r="E529" i="44"/>
  <c r="G529" i="44" l="1"/>
  <c r="G530" i="44" s="1"/>
  <c r="G531" i="44" s="1"/>
  <c r="E532" i="44"/>
  <c r="C532" i="44"/>
  <c r="C533" i="44" s="1"/>
  <c r="C534" i="44" s="1"/>
  <c r="A535" i="44"/>
  <c r="C535" i="44" l="1"/>
  <c r="C536" i="44" s="1"/>
  <c r="C537" i="44" s="1"/>
  <c r="A538" i="44"/>
  <c r="G532" i="44"/>
  <c r="G533" i="44" s="1"/>
  <c r="G534" i="44" s="1"/>
  <c r="E535" i="44"/>
  <c r="G535" i="44" l="1"/>
  <c r="G536" i="44" s="1"/>
  <c r="G537" i="44" s="1"/>
  <c r="E538" i="44"/>
  <c r="C538" i="44"/>
  <c r="C539" i="44" s="1"/>
  <c r="C540" i="44" s="1"/>
  <c r="A541" i="44"/>
  <c r="C541" i="44" l="1"/>
  <c r="C542" i="44" s="1"/>
  <c r="C543" i="44" s="1"/>
  <c r="A544" i="44"/>
  <c r="G538" i="44"/>
  <c r="G539" i="44" s="1"/>
  <c r="G540" i="44" s="1"/>
  <c r="E541" i="44"/>
  <c r="G541" i="44" l="1"/>
  <c r="G542" i="44" s="1"/>
  <c r="G543" i="44" s="1"/>
  <c r="E544" i="44"/>
  <c r="C544" i="44"/>
  <c r="C545" i="44" s="1"/>
  <c r="C546" i="44" s="1"/>
  <c r="A547" i="44"/>
  <c r="C547" i="44" l="1"/>
  <c r="C548" i="44" s="1"/>
  <c r="C549" i="44" s="1"/>
  <c r="A550" i="44"/>
  <c r="G544" i="44"/>
  <c r="G545" i="44" s="1"/>
  <c r="G546" i="44" s="1"/>
  <c r="E547" i="44"/>
  <c r="G547" i="44" l="1"/>
  <c r="G548" i="44" s="1"/>
  <c r="G549" i="44" s="1"/>
  <c r="E550" i="44"/>
  <c r="C550" i="44"/>
  <c r="C551" i="44" s="1"/>
  <c r="C552" i="44" s="1"/>
  <c r="A553" i="44"/>
  <c r="C553" i="44" l="1"/>
  <c r="C554" i="44" s="1"/>
  <c r="C555" i="44" s="1"/>
  <c r="A556" i="44"/>
  <c r="G550" i="44"/>
  <c r="G551" i="44" s="1"/>
  <c r="G552" i="44" s="1"/>
  <c r="E553" i="44"/>
  <c r="G553" i="44" l="1"/>
  <c r="G554" i="44" s="1"/>
  <c r="G555" i="44" s="1"/>
  <c r="E556" i="44"/>
  <c r="C556" i="44"/>
  <c r="C557" i="44" s="1"/>
  <c r="C558" i="44" s="1"/>
  <c r="A559" i="44"/>
  <c r="C559" i="44" l="1"/>
  <c r="C560" i="44" s="1"/>
  <c r="C561" i="44" s="1"/>
  <c r="A562" i="44"/>
  <c r="G556" i="44"/>
  <c r="G557" i="44" s="1"/>
  <c r="G558" i="44" s="1"/>
  <c r="E559" i="44"/>
  <c r="G559" i="44" l="1"/>
  <c r="G560" i="44" s="1"/>
  <c r="G561" i="44" s="1"/>
  <c r="E562" i="44"/>
  <c r="C562" i="44"/>
  <c r="C563" i="44" s="1"/>
  <c r="C564" i="44" s="1"/>
  <c r="A565" i="44"/>
  <c r="C565" i="44" l="1"/>
  <c r="C566" i="44" s="1"/>
  <c r="C567" i="44" s="1"/>
  <c r="A568" i="44"/>
  <c r="G562" i="44"/>
  <c r="G563" i="44" s="1"/>
  <c r="G564" i="44" s="1"/>
  <c r="E565" i="44"/>
  <c r="G565" i="44" l="1"/>
  <c r="G566" i="44" s="1"/>
  <c r="G567" i="44" s="1"/>
  <c r="E568" i="44"/>
  <c r="C568" i="44"/>
  <c r="C569" i="44" s="1"/>
  <c r="C570" i="44" s="1"/>
  <c r="A571" i="44"/>
  <c r="C571" i="44" l="1"/>
  <c r="C572" i="44" s="1"/>
  <c r="C573" i="44" s="1"/>
  <c r="A574" i="44"/>
  <c r="G568" i="44"/>
  <c r="G569" i="44" s="1"/>
  <c r="G570" i="44" s="1"/>
  <c r="E571" i="44"/>
  <c r="G571" i="44" l="1"/>
  <c r="G572" i="44" s="1"/>
  <c r="G573" i="44" s="1"/>
  <c r="E574" i="44"/>
  <c r="C574" i="44"/>
  <c r="C575" i="44" s="1"/>
  <c r="C576" i="44" s="1"/>
  <c r="A577" i="44"/>
  <c r="C577" i="44" l="1"/>
  <c r="C578" i="44" s="1"/>
  <c r="C579" i="44" s="1"/>
  <c r="A580" i="44"/>
  <c r="G574" i="44"/>
  <c r="G575" i="44" s="1"/>
  <c r="G576" i="44" s="1"/>
  <c r="E577" i="44"/>
  <c r="G577" i="44" l="1"/>
  <c r="G578" i="44" s="1"/>
  <c r="G579" i="44" s="1"/>
  <c r="E580" i="44"/>
  <c r="C580" i="44"/>
  <c r="C581" i="44" s="1"/>
  <c r="C582" i="44" s="1"/>
  <c r="A583" i="44"/>
  <c r="C583" i="44" l="1"/>
  <c r="C584" i="44" s="1"/>
  <c r="C585" i="44" s="1"/>
  <c r="A586" i="44"/>
  <c r="G580" i="44"/>
  <c r="G581" i="44" s="1"/>
  <c r="G582" i="44" s="1"/>
  <c r="E583" i="44"/>
  <c r="G583" i="44" l="1"/>
  <c r="G584" i="44" s="1"/>
  <c r="G585" i="44" s="1"/>
  <c r="E586" i="44"/>
  <c r="C586" i="44"/>
  <c r="C587" i="44" s="1"/>
  <c r="C588" i="44" s="1"/>
  <c r="A589" i="44"/>
  <c r="C589" i="44" l="1"/>
  <c r="C590" i="44" s="1"/>
  <c r="C591" i="44" s="1"/>
  <c r="A592" i="44"/>
  <c r="G586" i="44"/>
  <c r="G587" i="44" s="1"/>
  <c r="G588" i="44" s="1"/>
  <c r="E589" i="44"/>
  <c r="G589" i="44" l="1"/>
  <c r="G590" i="44" s="1"/>
  <c r="G591" i="44" s="1"/>
  <c r="E592" i="44"/>
  <c r="C592" i="44"/>
  <c r="C593" i="44" s="1"/>
  <c r="C594" i="44" s="1"/>
  <c r="A595" i="44"/>
  <c r="C595" i="44" l="1"/>
  <c r="C596" i="44" s="1"/>
  <c r="C597" i="44" s="1"/>
  <c r="A598" i="44"/>
  <c r="G592" i="44"/>
  <c r="G593" i="44" s="1"/>
  <c r="G594" i="44" s="1"/>
  <c r="E595" i="44"/>
  <c r="G595" i="44" l="1"/>
  <c r="G596" i="44" s="1"/>
  <c r="G597" i="44" s="1"/>
  <c r="E598" i="44"/>
  <c r="C598" i="44"/>
  <c r="C599" i="44" s="1"/>
  <c r="C600" i="44" s="1"/>
  <c r="A601" i="44"/>
  <c r="C601" i="44" l="1"/>
  <c r="C602" i="44" s="1"/>
  <c r="C603" i="44" s="1"/>
  <c r="A604" i="44"/>
  <c r="G598" i="44"/>
  <c r="G599" i="44" s="1"/>
  <c r="G600" i="44" s="1"/>
  <c r="E601" i="44"/>
  <c r="G601" i="44" l="1"/>
  <c r="G602" i="44" s="1"/>
  <c r="G603" i="44" s="1"/>
  <c r="E604" i="44"/>
  <c r="C604" i="44"/>
  <c r="C605" i="44" s="1"/>
  <c r="C606" i="44" s="1"/>
  <c r="A607" i="44"/>
  <c r="C607" i="44" l="1"/>
  <c r="C608" i="44" s="1"/>
  <c r="C609" i="44" s="1"/>
  <c r="A610" i="44"/>
  <c r="G604" i="44"/>
  <c r="G605" i="44" s="1"/>
  <c r="G606" i="44" s="1"/>
  <c r="E607" i="44"/>
  <c r="G607" i="44" l="1"/>
  <c r="G608" i="44" s="1"/>
  <c r="G609" i="44" s="1"/>
  <c r="E610" i="44"/>
  <c r="C610" i="44"/>
  <c r="C611" i="44" s="1"/>
  <c r="C612" i="44" s="1"/>
  <c r="A613" i="44"/>
  <c r="C613" i="44" l="1"/>
  <c r="C614" i="44" s="1"/>
  <c r="C615" i="44" s="1"/>
  <c r="A616" i="44"/>
  <c r="G610" i="44"/>
  <c r="G611" i="44" s="1"/>
  <c r="G612" i="44" s="1"/>
  <c r="E613" i="44"/>
  <c r="G613" i="44" l="1"/>
  <c r="G614" i="44" s="1"/>
  <c r="G615" i="44" s="1"/>
  <c r="E616" i="44"/>
  <c r="C616" i="44"/>
  <c r="C617" i="44" s="1"/>
  <c r="C618" i="44" s="1"/>
  <c r="A619" i="44"/>
  <c r="C619" i="44" l="1"/>
  <c r="C620" i="44" s="1"/>
  <c r="C621" i="44" s="1"/>
  <c r="A622" i="44"/>
  <c r="G616" i="44"/>
  <c r="G617" i="44" s="1"/>
  <c r="G618" i="44" s="1"/>
  <c r="E619" i="44"/>
  <c r="G619" i="44" l="1"/>
  <c r="G620" i="44" s="1"/>
  <c r="G621" i="44" s="1"/>
  <c r="E622" i="44"/>
  <c r="C622" i="44"/>
  <c r="C623" i="44" s="1"/>
  <c r="C624" i="44" s="1"/>
  <c r="A625" i="44"/>
  <c r="C625" i="44" l="1"/>
  <c r="C626" i="44" s="1"/>
  <c r="C627" i="44" s="1"/>
  <c r="A628" i="44"/>
  <c r="G622" i="44"/>
  <c r="G623" i="44" s="1"/>
  <c r="G624" i="44" s="1"/>
  <c r="E625" i="44"/>
  <c r="G625" i="44" l="1"/>
  <c r="G626" i="44" s="1"/>
  <c r="G627" i="44" s="1"/>
  <c r="E628" i="44"/>
  <c r="C628" i="44"/>
  <c r="C629" i="44" s="1"/>
  <c r="C630" i="44" s="1"/>
  <c r="A631" i="44"/>
  <c r="C631" i="44" l="1"/>
  <c r="C632" i="44" s="1"/>
  <c r="C633" i="44" s="1"/>
  <c r="A634" i="44"/>
  <c r="G628" i="44"/>
  <c r="G629" i="44" s="1"/>
  <c r="G630" i="44" s="1"/>
  <c r="E631" i="44"/>
  <c r="G631" i="44" l="1"/>
  <c r="G632" i="44" s="1"/>
  <c r="G633" i="44" s="1"/>
  <c r="E634" i="44"/>
  <c r="C634" i="44"/>
  <c r="C635" i="44" s="1"/>
  <c r="C636" i="44" s="1"/>
  <c r="A637" i="44"/>
  <c r="C637" i="44" l="1"/>
  <c r="C638" i="44" s="1"/>
  <c r="C639" i="44" s="1"/>
  <c r="A640" i="44"/>
  <c r="G634" i="44"/>
  <c r="G635" i="44" s="1"/>
  <c r="G636" i="44" s="1"/>
  <c r="E637" i="44"/>
  <c r="G637" i="44" l="1"/>
  <c r="G638" i="44" s="1"/>
  <c r="G639" i="44" s="1"/>
  <c r="E640" i="44"/>
  <c r="C640" i="44"/>
  <c r="C641" i="44" s="1"/>
  <c r="C642" i="44" s="1"/>
  <c r="A643" i="44"/>
  <c r="C643" i="44" l="1"/>
  <c r="C644" i="44" s="1"/>
  <c r="C645" i="44" s="1"/>
  <c r="A646" i="44"/>
  <c r="G640" i="44"/>
  <c r="G641" i="44" s="1"/>
  <c r="G642" i="44" s="1"/>
  <c r="E643" i="44"/>
  <c r="E646" i="44" l="1"/>
  <c r="G643" i="44"/>
  <c r="G644" i="44" s="1"/>
  <c r="G645" i="44" s="1"/>
  <c r="C646" i="44"/>
  <c r="C647" i="44" s="1"/>
  <c r="C648" i="44" s="1"/>
  <c r="A649" i="44"/>
  <c r="C649" i="44" l="1"/>
  <c r="C650" i="44" s="1"/>
  <c r="C651" i="44" s="1"/>
  <c r="A652" i="44"/>
  <c r="G646" i="44"/>
  <c r="G647" i="44" s="1"/>
  <c r="G648" i="44" s="1"/>
  <c r="E649" i="44"/>
  <c r="G649" i="44" l="1"/>
  <c r="G650" i="44" s="1"/>
  <c r="G651" i="44" s="1"/>
  <c r="E652" i="44"/>
  <c r="C652" i="44"/>
  <c r="C653" i="44" s="1"/>
  <c r="C654" i="44" s="1"/>
  <c r="A655" i="44"/>
  <c r="C655" i="44" l="1"/>
  <c r="C656" i="44" s="1"/>
  <c r="C657" i="44" s="1"/>
  <c r="A658" i="44"/>
  <c r="G652" i="44"/>
  <c r="G653" i="44" s="1"/>
  <c r="G654" i="44" s="1"/>
  <c r="E655" i="44"/>
  <c r="G655" i="44" l="1"/>
  <c r="G656" i="44" s="1"/>
  <c r="G657" i="44" s="1"/>
  <c r="E658" i="44"/>
  <c r="C658" i="44"/>
  <c r="C659" i="44" s="1"/>
  <c r="C660" i="44" s="1"/>
  <c r="A661" i="44"/>
  <c r="A664" i="44" l="1"/>
  <c r="C661" i="44"/>
  <c r="C662" i="44" s="1"/>
  <c r="C663" i="44" s="1"/>
  <c r="G658" i="44"/>
  <c r="G659" i="44" s="1"/>
  <c r="G660" i="44" s="1"/>
  <c r="E661" i="44"/>
  <c r="E664" i="44" l="1"/>
  <c r="G661" i="44"/>
  <c r="G662" i="44" s="1"/>
  <c r="G663" i="44" s="1"/>
  <c r="A667" i="44"/>
  <c r="C664" i="44"/>
  <c r="C665" i="44" s="1"/>
  <c r="C666" i="44" s="1"/>
  <c r="A670" i="44" l="1"/>
  <c r="C667" i="44"/>
  <c r="C668" i="44" s="1"/>
  <c r="C669" i="44" s="1"/>
  <c r="E667" i="44"/>
  <c r="G664" i="44"/>
  <c r="G665" i="44" s="1"/>
  <c r="G666" i="44" s="1"/>
  <c r="E670" i="44" l="1"/>
  <c r="G667" i="44"/>
  <c r="G668" i="44" s="1"/>
  <c r="G669" i="44" s="1"/>
  <c r="A673" i="44"/>
  <c r="C670" i="44"/>
  <c r="C671" i="44" s="1"/>
  <c r="C672" i="44" s="1"/>
  <c r="A676" i="44" l="1"/>
  <c r="C673" i="44"/>
  <c r="C674" i="44" s="1"/>
  <c r="C675" i="44" s="1"/>
  <c r="E673" i="44"/>
  <c r="G670" i="44"/>
  <c r="G671" i="44" s="1"/>
  <c r="G672" i="44" s="1"/>
  <c r="E676" i="44" l="1"/>
  <c r="G673" i="44"/>
  <c r="G674" i="44" s="1"/>
  <c r="G675" i="44" s="1"/>
  <c r="A679" i="44"/>
  <c r="C676" i="44"/>
  <c r="C677" i="44" s="1"/>
  <c r="C678" i="44" s="1"/>
  <c r="A682" i="44" l="1"/>
  <c r="C679" i="44"/>
  <c r="C680" i="44" s="1"/>
  <c r="C681" i="44" s="1"/>
  <c r="E679" i="44"/>
  <c r="G676" i="44"/>
  <c r="G677" i="44" s="1"/>
  <c r="G678" i="44" s="1"/>
  <c r="E682" i="44" l="1"/>
  <c r="G679" i="44"/>
  <c r="G680" i="44" s="1"/>
  <c r="G681" i="44" s="1"/>
  <c r="A685" i="44"/>
  <c r="C682" i="44"/>
  <c r="C683" i="44" s="1"/>
  <c r="C684" i="44" s="1"/>
  <c r="A688" i="44" l="1"/>
  <c r="C685" i="44"/>
  <c r="C686" i="44" s="1"/>
  <c r="C687" i="44" s="1"/>
  <c r="E685" i="44"/>
  <c r="G682" i="44"/>
  <c r="G683" i="44" s="1"/>
  <c r="G684" i="44" s="1"/>
  <c r="E688" i="44" l="1"/>
  <c r="G685" i="44"/>
  <c r="G686" i="44" s="1"/>
  <c r="G687" i="44" s="1"/>
  <c r="A691" i="44"/>
  <c r="C688" i="44"/>
  <c r="C689" i="44" s="1"/>
  <c r="C690" i="44" s="1"/>
  <c r="A694" i="44" l="1"/>
  <c r="C691" i="44"/>
  <c r="C692" i="44" s="1"/>
  <c r="C693" i="44" s="1"/>
  <c r="E691" i="44"/>
  <c r="G688" i="44"/>
  <c r="G689" i="44" s="1"/>
  <c r="G690" i="44" s="1"/>
  <c r="E694" i="44" l="1"/>
  <c r="G691" i="44"/>
  <c r="G692" i="44" s="1"/>
  <c r="G693" i="44" s="1"/>
  <c r="A697" i="44"/>
  <c r="C694" i="44"/>
  <c r="C695" i="44" s="1"/>
  <c r="C696" i="44" s="1"/>
  <c r="A700" i="44" l="1"/>
  <c r="C697" i="44"/>
  <c r="C698" i="44" s="1"/>
  <c r="C699" i="44" s="1"/>
  <c r="E697" i="44"/>
  <c r="G694" i="44"/>
  <c r="G695" i="44" s="1"/>
  <c r="G696" i="44" s="1"/>
  <c r="E700" i="44" l="1"/>
  <c r="G697" i="44"/>
  <c r="G698" i="44" s="1"/>
  <c r="G699" i="44" s="1"/>
  <c r="A703" i="44"/>
  <c r="C700" i="44"/>
  <c r="C701" i="44" s="1"/>
  <c r="C702" i="44" s="1"/>
  <c r="A706" i="44" l="1"/>
  <c r="C703" i="44"/>
  <c r="C704" i="44" s="1"/>
  <c r="C705" i="44" s="1"/>
  <c r="E703" i="44"/>
  <c r="G700" i="44"/>
  <c r="G701" i="44" s="1"/>
  <c r="G702" i="44" s="1"/>
  <c r="E706" i="44" l="1"/>
  <c r="G703" i="44"/>
  <c r="G704" i="44" s="1"/>
  <c r="G705" i="44" s="1"/>
  <c r="A709" i="44"/>
  <c r="C706" i="44"/>
  <c r="C707" i="44" s="1"/>
  <c r="C708" i="44" s="1"/>
  <c r="A712" i="44" l="1"/>
  <c r="C709" i="44"/>
  <c r="C710" i="44" s="1"/>
  <c r="C711" i="44" s="1"/>
  <c r="E709" i="44"/>
  <c r="G706" i="44"/>
  <c r="G707" i="44" s="1"/>
  <c r="G708" i="44" s="1"/>
  <c r="E712" i="44" l="1"/>
  <c r="G709" i="44"/>
  <c r="G710" i="44" s="1"/>
  <c r="G711" i="44" s="1"/>
  <c r="A715" i="44"/>
  <c r="C712" i="44"/>
  <c r="C713" i="44" s="1"/>
  <c r="C714" i="44" s="1"/>
  <c r="A718" i="44" l="1"/>
  <c r="C715" i="44"/>
  <c r="C716" i="44" s="1"/>
  <c r="C717" i="44" s="1"/>
  <c r="E715" i="44"/>
  <c r="G712" i="44"/>
  <c r="G713" i="44" s="1"/>
  <c r="G714" i="44" s="1"/>
  <c r="E718" i="44" l="1"/>
  <c r="G715" i="44"/>
  <c r="G716" i="44" s="1"/>
  <c r="G717" i="44" s="1"/>
  <c r="A721" i="44"/>
  <c r="C718" i="44"/>
  <c r="C719" i="44" s="1"/>
  <c r="C720" i="44" s="1"/>
  <c r="A724" i="44" l="1"/>
  <c r="C721" i="44"/>
  <c r="C722" i="44" s="1"/>
  <c r="C723" i="44" s="1"/>
  <c r="E721" i="44"/>
  <c r="G718" i="44"/>
  <c r="G719" i="44" s="1"/>
  <c r="G720" i="44" s="1"/>
  <c r="E724" i="44" l="1"/>
  <c r="G721" i="44"/>
  <c r="G722" i="44" s="1"/>
  <c r="G723" i="44" s="1"/>
  <c r="A727" i="44"/>
  <c r="C724" i="44"/>
  <c r="C725" i="44" s="1"/>
  <c r="C726" i="44" s="1"/>
  <c r="A730" i="44" l="1"/>
  <c r="C727" i="44"/>
  <c r="C728" i="44" s="1"/>
  <c r="C729" i="44" s="1"/>
  <c r="E727" i="44"/>
  <c r="G724" i="44"/>
  <c r="G725" i="44" s="1"/>
  <c r="G726" i="44" s="1"/>
  <c r="E730" i="44" l="1"/>
  <c r="G727" i="44"/>
  <c r="G728" i="44" s="1"/>
  <c r="G729" i="44" s="1"/>
  <c r="A733" i="44"/>
  <c r="C730" i="44"/>
  <c r="C731" i="44" s="1"/>
  <c r="C732" i="44" s="1"/>
  <c r="A736" i="44" l="1"/>
  <c r="C733" i="44"/>
  <c r="C734" i="44" s="1"/>
  <c r="C735" i="44" s="1"/>
  <c r="E733" i="44"/>
  <c r="G730" i="44"/>
  <c r="G731" i="44" s="1"/>
  <c r="G732" i="44" s="1"/>
  <c r="E736" i="44" l="1"/>
  <c r="G733" i="44"/>
  <c r="G734" i="44" s="1"/>
  <c r="G735" i="44" s="1"/>
  <c r="A739" i="44"/>
  <c r="C736" i="44"/>
  <c r="C737" i="44" s="1"/>
  <c r="C738" i="44" s="1"/>
  <c r="A742" i="44" l="1"/>
  <c r="C739" i="44"/>
  <c r="C740" i="44" s="1"/>
  <c r="C741" i="44" s="1"/>
  <c r="E739" i="44"/>
  <c r="G736" i="44"/>
  <c r="G737" i="44" s="1"/>
  <c r="G738" i="44" s="1"/>
  <c r="E742" i="44" l="1"/>
  <c r="G739" i="44"/>
  <c r="G740" i="44" s="1"/>
  <c r="G741" i="44" s="1"/>
  <c r="A745" i="44"/>
  <c r="C742" i="44"/>
  <c r="C743" i="44" s="1"/>
  <c r="C744" i="44" s="1"/>
  <c r="A748" i="44" l="1"/>
  <c r="C745" i="44"/>
  <c r="C746" i="44" s="1"/>
  <c r="C747" i="44" s="1"/>
  <c r="E745" i="44"/>
  <c r="G742" i="44"/>
  <c r="G743" i="44" s="1"/>
  <c r="G744" i="44" s="1"/>
  <c r="E748" i="44" l="1"/>
  <c r="G745" i="44"/>
  <c r="G746" i="44" s="1"/>
  <c r="G747" i="44" s="1"/>
  <c r="A751" i="44"/>
  <c r="C748" i="44"/>
  <c r="C749" i="44" s="1"/>
  <c r="C750" i="44" s="1"/>
  <c r="A754" i="44" l="1"/>
  <c r="C751" i="44"/>
  <c r="C752" i="44" s="1"/>
  <c r="C753" i="44" s="1"/>
  <c r="E751" i="44"/>
  <c r="G748" i="44"/>
  <c r="G749" i="44" s="1"/>
  <c r="G750" i="44" s="1"/>
  <c r="E754" i="44" l="1"/>
  <c r="G751" i="44"/>
  <c r="G752" i="44" s="1"/>
  <c r="G753" i="44" s="1"/>
  <c r="A757" i="44"/>
  <c r="C754" i="44"/>
  <c r="C755" i="44" s="1"/>
  <c r="C756" i="44" s="1"/>
  <c r="A760" i="44" l="1"/>
  <c r="C757" i="44"/>
  <c r="C758" i="44" s="1"/>
  <c r="C759" i="44" s="1"/>
  <c r="E757" i="44"/>
  <c r="G754" i="44"/>
  <c r="G755" i="44" s="1"/>
  <c r="G756" i="44" s="1"/>
  <c r="E760" i="44" l="1"/>
  <c r="G757" i="44"/>
  <c r="G758" i="44" s="1"/>
  <c r="G759" i="44" s="1"/>
  <c r="A763" i="44"/>
  <c r="C760" i="44"/>
  <c r="C761" i="44" s="1"/>
  <c r="C762" i="44" s="1"/>
  <c r="A766" i="44" l="1"/>
  <c r="C763" i="44"/>
  <c r="C764" i="44" s="1"/>
  <c r="C765" i="44" s="1"/>
  <c r="E763" i="44"/>
  <c r="G760" i="44"/>
  <c r="G761" i="44" s="1"/>
  <c r="G762" i="44" s="1"/>
  <c r="E766" i="44" l="1"/>
  <c r="G763" i="44"/>
  <c r="G764" i="44" s="1"/>
  <c r="G765" i="44" s="1"/>
  <c r="A769" i="44"/>
  <c r="C766" i="44"/>
  <c r="C767" i="44" s="1"/>
  <c r="C768" i="44" s="1"/>
  <c r="A772" i="44" l="1"/>
  <c r="C769" i="44"/>
  <c r="C770" i="44" s="1"/>
  <c r="C771" i="44" s="1"/>
  <c r="E769" i="44"/>
  <c r="G766" i="44"/>
  <c r="G767" i="44" s="1"/>
  <c r="G768" i="44" s="1"/>
  <c r="E772" i="44" l="1"/>
  <c r="G769" i="44"/>
  <c r="G770" i="44" s="1"/>
  <c r="G771" i="44" s="1"/>
  <c r="A775" i="44"/>
  <c r="C772" i="44"/>
  <c r="C773" i="44" s="1"/>
  <c r="C774" i="44" s="1"/>
  <c r="A778" i="44" l="1"/>
  <c r="C775" i="44"/>
  <c r="C776" i="44" s="1"/>
  <c r="C777" i="44" s="1"/>
  <c r="E775" i="44"/>
  <c r="G772" i="44"/>
  <c r="G773" i="44" s="1"/>
  <c r="G774" i="44" s="1"/>
  <c r="E778" i="44" l="1"/>
  <c r="G775" i="44"/>
  <c r="G776" i="44" s="1"/>
  <c r="G777" i="44" s="1"/>
  <c r="A781" i="44"/>
  <c r="C778" i="44"/>
  <c r="C779" i="44" s="1"/>
  <c r="C780" i="44" s="1"/>
  <c r="A784" i="44" l="1"/>
  <c r="C781" i="44"/>
  <c r="C782" i="44" s="1"/>
  <c r="C783" i="44" s="1"/>
  <c r="E781" i="44"/>
  <c r="G778" i="44"/>
  <c r="G779" i="44" s="1"/>
  <c r="G780" i="44" s="1"/>
  <c r="E784" i="44" l="1"/>
  <c r="G781" i="44"/>
  <c r="G782" i="44" s="1"/>
  <c r="G783" i="44" s="1"/>
  <c r="A787" i="44"/>
  <c r="C784" i="44"/>
  <c r="C785" i="44" s="1"/>
  <c r="C786" i="44" s="1"/>
  <c r="A790" i="44" l="1"/>
  <c r="C787" i="44"/>
  <c r="C788" i="44" s="1"/>
  <c r="C789" i="44" s="1"/>
  <c r="E787" i="44"/>
  <c r="G784" i="44"/>
  <c r="G785" i="44" s="1"/>
  <c r="G786" i="44" s="1"/>
  <c r="E790" i="44" l="1"/>
  <c r="G787" i="44"/>
  <c r="G788" i="44" s="1"/>
  <c r="G789" i="44" s="1"/>
  <c r="A793" i="44"/>
  <c r="C790" i="44"/>
  <c r="C791" i="44" s="1"/>
  <c r="C792" i="44" s="1"/>
  <c r="A796" i="44" l="1"/>
  <c r="C793" i="44"/>
  <c r="C794" i="44" s="1"/>
  <c r="C795" i="44" s="1"/>
  <c r="E793" i="44"/>
  <c r="G790" i="44"/>
  <c r="G791" i="44" s="1"/>
  <c r="G792" i="44" s="1"/>
  <c r="E796" i="44" l="1"/>
  <c r="G793" i="44"/>
  <c r="G794" i="44" s="1"/>
  <c r="G795" i="44" s="1"/>
  <c r="A799" i="44"/>
  <c r="C796" i="44"/>
  <c r="C797" i="44" s="1"/>
  <c r="C798" i="44" s="1"/>
  <c r="A802" i="44" l="1"/>
  <c r="C799" i="44"/>
  <c r="C800" i="44" s="1"/>
  <c r="C801" i="44" s="1"/>
  <c r="E799" i="44"/>
  <c r="G796" i="44"/>
  <c r="G797" i="44" s="1"/>
  <c r="G798" i="44" s="1"/>
  <c r="E802" i="44" l="1"/>
  <c r="G799" i="44"/>
  <c r="G800" i="44" s="1"/>
  <c r="G801" i="44" s="1"/>
  <c r="A805" i="44"/>
  <c r="C802" i="44"/>
  <c r="C803" i="44" s="1"/>
  <c r="C804" i="44" s="1"/>
  <c r="A808" i="44" l="1"/>
  <c r="C805" i="44"/>
  <c r="C806" i="44" s="1"/>
  <c r="C807" i="44" s="1"/>
  <c r="E805" i="44"/>
  <c r="G802" i="44"/>
  <c r="G803" i="44" s="1"/>
  <c r="G804" i="44" s="1"/>
  <c r="E808" i="44" l="1"/>
  <c r="G805" i="44"/>
  <c r="G806" i="44" s="1"/>
  <c r="G807" i="44" s="1"/>
  <c r="A811" i="44"/>
  <c r="C808" i="44"/>
  <c r="C809" i="44" s="1"/>
  <c r="C810" i="44" s="1"/>
  <c r="A814" i="44" l="1"/>
  <c r="C811" i="44"/>
  <c r="C812" i="44" s="1"/>
  <c r="C813" i="44" s="1"/>
  <c r="E811" i="44"/>
  <c r="G808" i="44"/>
  <c r="G809" i="44" s="1"/>
  <c r="G810" i="44" s="1"/>
  <c r="E814" i="44" l="1"/>
  <c r="G811" i="44"/>
  <c r="G812" i="44" s="1"/>
  <c r="G813" i="44" s="1"/>
  <c r="A817" i="44"/>
  <c r="C814" i="44"/>
  <c r="C815" i="44" s="1"/>
  <c r="C816" i="44" s="1"/>
  <c r="A820" i="44" l="1"/>
  <c r="C817" i="44"/>
  <c r="C818" i="44" s="1"/>
  <c r="C819" i="44" s="1"/>
  <c r="E817" i="44"/>
  <c r="G814" i="44"/>
  <c r="G815" i="44" s="1"/>
  <c r="G816" i="44" s="1"/>
  <c r="E820" i="44" l="1"/>
  <c r="G817" i="44"/>
  <c r="G818" i="44" s="1"/>
  <c r="G819" i="44" s="1"/>
  <c r="A823" i="44"/>
  <c r="C820" i="44"/>
  <c r="C821" i="44" s="1"/>
  <c r="C822" i="44" s="1"/>
  <c r="A826" i="44" l="1"/>
  <c r="C823" i="44"/>
  <c r="C824" i="44" s="1"/>
  <c r="C825" i="44" s="1"/>
  <c r="E823" i="44"/>
  <c r="G820" i="44"/>
  <c r="G821" i="44" s="1"/>
  <c r="G822" i="44" s="1"/>
  <c r="E826" i="44" l="1"/>
  <c r="G823" i="44"/>
  <c r="G824" i="44" s="1"/>
  <c r="G825" i="44" s="1"/>
  <c r="A829" i="44"/>
  <c r="C826" i="44"/>
  <c r="C827" i="44" s="1"/>
  <c r="C828" i="44" s="1"/>
  <c r="A832" i="44" l="1"/>
  <c r="C829" i="44"/>
  <c r="C830" i="44" s="1"/>
  <c r="C831" i="44" s="1"/>
  <c r="E829" i="44"/>
  <c r="G826" i="44"/>
  <c r="G827" i="44" s="1"/>
  <c r="G828" i="44" s="1"/>
  <c r="E832" i="44" l="1"/>
  <c r="G829" i="44"/>
  <c r="G830" i="44" s="1"/>
  <c r="G831" i="44" s="1"/>
  <c r="A835" i="44"/>
  <c r="C832" i="44"/>
  <c r="C833" i="44" s="1"/>
  <c r="C834" i="44" s="1"/>
  <c r="A838" i="44" l="1"/>
  <c r="C835" i="44"/>
  <c r="C836" i="44" s="1"/>
  <c r="C837" i="44" s="1"/>
  <c r="E835" i="44"/>
  <c r="G832" i="44"/>
  <c r="G833" i="44" s="1"/>
  <c r="G834" i="44" s="1"/>
  <c r="E838" i="44" l="1"/>
  <c r="G835" i="44"/>
  <c r="G836" i="44" s="1"/>
  <c r="G837" i="44" s="1"/>
  <c r="A841" i="44"/>
  <c r="C838" i="44"/>
  <c r="C839" i="44" s="1"/>
  <c r="C840" i="44" s="1"/>
  <c r="A844" i="44" l="1"/>
  <c r="C841" i="44"/>
  <c r="C842" i="44" s="1"/>
  <c r="C843" i="44" s="1"/>
  <c r="E841" i="44"/>
  <c r="G838" i="44"/>
  <c r="G839" i="44" s="1"/>
  <c r="G840" i="44" s="1"/>
  <c r="E844" i="44" l="1"/>
  <c r="G841" i="44"/>
  <c r="G842" i="44" s="1"/>
  <c r="G843" i="44" s="1"/>
  <c r="A847" i="44"/>
  <c r="C844" i="44"/>
  <c r="C845" i="44" s="1"/>
  <c r="C846" i="44" s="1"/>
  <c r="A850" i="44" l="1"/>
  <c r="C847" i="44"/>
  <c r="C848" i="44" s="1"/>
  <c r="C849" i="44" s="1"/>
  <c r="E847" i="44"/>
  <c r="G844" i="44"/>
  <c r="G845" i="44" s="1"/>
  <c r="G846" i="44" s="1"/>
  <c r="E850" i="44" l="1"/>
  <c r="G847" i="44"/>
  <c r="G848" i="44" s="1"/>
  <c r="G849" i="44" s="1"/>
  <c r="A853" i="44"/>
  <c r="C850" i="44"/>
  <c r="C851" i="44" s="1"/>
  <c r="C852" i="44" s="1"/>
  <c r="A856" i="44" l="1"/>
  <c r="C853" i="44"/>
  <c r="C854" i="44" s="1"/>
  <c r="C855" i="44" s="1"/>
  <c r="E853" i="44"/>
  <c r="G850" i="44"/>
  <c r="G851" i="44" s="1"/>
  <c r="G852" i="44" s="1"/>
  <c r="E856" i="44" l="1"/>
  <c r="G853" i="44"/>
  <c r="G854" i="44" s="1"/>
  <c r="G855" i="44" s="1"/>
  <c r="A859" i="44"/>
  <c r="C856" i="44"/>
  <c r="C857" i="44" s="1"/>
  <c r="C858" i="44" s="1"/>
  <c r="A862" i="44" l="1"/>
  <c r="C859" i="44"/>
  <c r="C860" i="44" s="1"/>
  <c r="C861" i="44" s="1"/>
  <c r="E859" i="44"/>
  <c r="G856" i="44"/>
  <c r="G857" i="44" s="1"/>
  <c r="G858" i="44" s="1"/>
  <c r="E862" i="44" l="1"/>
  <c r="G859" i="44"/>
  <c r="G860" i="44" s="1"/>
  <c r="G861" i="44" s="1"/>
  <c r="A865" i="44"/>
  <c r="C862" i="44"/>
  <c r="C863" i="44" s="1"/>
  <c r="C864" i="44" s="1"/>
  <c r="A868" i="44" l="1"/>
  <c r="C865" i="44"/>
  <c r="C866" i="44" s="1"/>
  <c r="C867" i="44" s="1"/>
  <c r="E865" i="44"/>
  <c r="G862" i="44"/>
  <c r="G863" i="44" s="1"/>
  <c r="G864" i="44" s="1"/>
  <c r="E868" i="44" l="1"/>
  <c r="G865" i="44"/>
  <c r="G866" i="44" s="1"/>
  <c r="G867" i="44" s="1"/>
  <c r="A871" i="44"/>
  <c r="C868" i="44"/>
  <c r="C869" i="44" s="1"/>
  <c r="C870" i="44" s="1"/>
  <c r="A874" i="44" l="1"/>
  <c r="C871" i="44"/>
  <c r="C872" i="44" s="1"/>
  <c r="C873" i="44" s="1"/>
  <c r="E871" i="44"/>
  <c r="G868" i="44"/>
  <c r="G869" i="44" s="1"/>
  <c r="G870" i="44" s="1"/>
  <c r="E874" i="44" l="1"/>
  <c r="G871" i="44"/>
  <c r="G872" i="44" s="1"/>
  <c r="G873" i="44" s="1"/>
  <c r="A877" i="44"/>
  <c r="C874" i="44"/>
  <c r="C875" i="44" s="1"/>
  <c r="C876" i="44" s="1"/>
  <c r="A880" i="44" l="1"/>
  <c r="C877" i="44"/>
  <c r="C878" i="44" s="1"/>
  <c r="C879" i="44" s="1"/>
  <c r="E877" i="44"/>
  <c r="G874" i="44"/>
  <c r="G875" i="44" s="1"/>
  <c r="G876" i="44" s="1"/>
  <c r="E880" i="44" l="1"/>
  <c r="G877" i="44"/>
  <c r="G878" i="44" s="1"/>
  <c r="G879" i="44" s="1"/>
  <c r="A883" i="44"/>
  <c r="C880" i="44"/>
  <c r="C881" i="44" s="1"/>
  <c r="C882" i="44" s="1"/>
  <c r="A886" i="44" l="1"/>
  <c r="C883" i="44"/>
  <c r="C884" i="44" s="1"/>
  <c r="C885" i="44" s="1"/>
  <c r="E883" i="44"/>
  <c r="G880" i="44"/>
  <c r="G881" i="44" s="1"/>
  <c r="G882" i="44" s="1"/>
  <c r="E886" i="44" l="1"/>
  <c r="G883" i="44"/>
  <c r="G884" i="44" s="1"/>
  <c r="G885" i="44" s="1"/>
  <c r="A889" i="44"/>
  <c r="C886" i="44"/>
  <c r="C887" i="44" s="1"/>
  <c r="C888" i="44" s="1"/>
  <c r="A892" i="44" l="1"/>
  <c r="C889" i="44"/>
  <c r="C890" i="44" s="1"/>
  <c r="C891" i="44" s="1"/>
  <c r="E889" i="44"/>
  <c r="G886" i="44"/>
  <c r="G887" i="44" s="1"/>
  <c r="G888" i="44" s="1"/>
  <c r="E892" i="44" l="1"/>
  <c r="G889" i="44"/>
  <c r="G890" i="44" s="1"/>
  <c r="G891" i="44" s="1"/>
  <c r="A895" i="44"/>
  <c r="C892" i="44"/>
  <c r="C893" i="44" s="1"/>
  <c r="C894" i="44" s="1"/>
  <c r="A898" i="44" l="1"/>
  <c r="C895" i="44"/>
  <c r="C896" i="44" s="1"/>
  <c r="C897" i="44" s="1"/>
  <c r="E895" i="44"/>
  <c r="G892" i="44"/>
  <c r="G893" i="44" s="1"/>
  <c r="G894" i="44" s="1"/>
  <c r="E898" i="44" l="1"/>
  <c r="G895" i="44"/>
  <c r="G896" i="44" s="1"/>
  <c r="G897" i="44" s="1"/>
  <c r="A901" i="44"/>
  <c r="C898" i="44"/>
  <c r="C899" i="44" s="1"/>
  <c r="C900" i="44" s="1"/>
  <c r="A904" i="44" l="1"/>
  <c r="C901" i="44"/>
  <c r="C902" i="44" s="1"/>
  <c r="C903" i="44" s="1"/>
  <c r="E901" i="44"/>
  <c r="G898" i="44"/>
  <c r="G899" i="44" s="1"/>
  <c r="G900" i="44" s="1"/>
  <c r="E904" i="44" l="1"/>
  <c r="G901" i="44"/>
  <c r="G902" i="44" s="1"/>
  <c r="G903" i="44" s="1"/>
  <c r="A907" i="44"/>
  <c r="C904" i="44"/>
  <c r="C905" i="44" s="1"/>
  <c r="C906" i="44" s="1"/>
  <c r="A910" i="44" l="1"/>
  <c r="C907" i="44"/>
  <c r="C908" i="44" s="1"/>
  <c r="C909" i="44" s="1"/>
  <c r="E907" i="44"/>
  <c r="G904" i="44"/>
  <c r="G905" i="44" s="1"/>
  <c r="G906" i="44" s="1"/>
  <c r="E910" i="44" l="1"/>
  <c r="G907" i="44"/>
  <c r="G908" i="44" s="1"/>
  <c r="G909" i="44" s="1"/>
  <c r="A913" i="44"/>
  <c r="C910" i="44"/>
  <c r="C911" i="44" s="1"/>
  <c r="C912" i="44" s="1"/>
  <c r="A916" i="44" l="1"/>
  <c r="C913" i="44"/>
  <c r="C914" i="44" s="1"/>
  <c r="C915" i="44" s="1"/>
  <c r="E913" i="44"/>
  <c r="G910" i="44"/>
  <c r="G911" i="44" s="1"/>
  <c r="G912" i="44" s="1"/>
  <c r="E916" i="44" l="1"/>
  <c r="G913" i="44"/>
  <c r="G914" i="44" s="1"/>
  <c r="G915" i="44" s="1"/>
  <c r="A919" i="44"/>
  <c r="C916" i="44"/>
  <c r="C917" i="44" s="1"/>
  <c r="C918" i="44" s="1"/>
  <c r="A922" i="44" l="1"/>
  <c r="C919" i="44"/>
  <c r="C920" i="44" s="1"/>
  <c r="C921" i="44" s="1"/>
  <c r="E919" i="44"/>
  <c r="G916" i="44"/>
  <c r="G917" i="44" s="1"/>
  <c r="G918" i="44" s="1"/>
  <c r="E922" i="44" l="1"/>
  <c r="G919" i="44"/>
  <c r="G920" i="44" s="1"/>
  <c r="G921" i="44" s="1"/>
  <c r="A925" i="44"/>
  <c r="C922" i="44"/>
  <c r="C923" i="44" s="1"/>
  <c r="C924" i="44" s="1"/>
  <c r="A928" i="44" l="1"/>
  <c r="C925" i="44"/>
  <c r="C926" i="44" s="1"/>
  <c r="C927" i="44" s="1"/>
  <c r="E925" i="44"/>
  <c r="G922" i="44"/>
  <c r="G923" i="44" s="1"/>
  <c r="G924" i="44" s="1"/>
  <c r="E928" i="44" l="1"/>
  <c r="G925" i="44"/>
  <c r="G926" i="44" s="1"/>
  <c r="G927" i="44" s="1"/>
  <c r="A931" i="44"/>
  <c r="C928" i="44"/>
  <c r="C929" i="44" s="1"/>
  <c r="C930" i="44" s="1"/>
  <c r="A934" i="44" l="1"/>
  <c r="C931" i="44"/>
  <c r="C932" i="44" s="1"/>
  <c r="C933" i="44" s="1"/>
  <c r="E931" i="44"/>
  <c r="G928" i="44"/>
  <c r="G929" i="44" s="1"/>
  <c r="G930" i="44" s="1"/>
  <c r="E934" i="44" l="1"/>
  <c r="G931" i="44"/>
  <c r="G932" i="44" s="1"/>
  <c r="G933" i="44" s="1"/>
  <c r="A937" i="44"/>
  <c r="C934" i="44"/>
  <c r="C935" i="44" s="1"/>
  <c r="C936" i="44" s="1"/>
  <c r="A940" i="44" l="1"/>
  <c r="C937" i="44"/>
  <c r="C938" i="44" s="1"/>
  <c r="C939" i="44" s="1"/>
  <c r="E937" i="44"/>
  <c r="G934" i="44"/>
  <c r="G935" i="44" s="1"/>
  <c r="G936" i="44" s="1"/>
  <c r="E940" i="44" l="1"/>
  <c r="G937" i="44"/>
  <c r="G938" i="44" s="1"/>
  <c r="G939" i="44" s="1"/>
  <c r="A943" i="44"/>
  <c r="C940" i="44"/>
  <c r="C941" i="44" s="1"/>
  <c r="C942" i="44" s="1"/>
  <c r="A946" i="44" l="1"/>
  <c r="C943" i="44"/>
  <c r="C944" i="44" s="1"/>
  <c r="C945" i="44" s="1"/>
  <c r="E943" i="44"/>
  <c r="G940" i="44"/>
  <c r="G941" i="44" s="1"/>
  <c r="G942" i="44" s="1"/>
  <c r="E946" i="44" l="1"/>
  <c r="G943" i="44"/>
  <c r="G944" i="44" s="1"/>
  <c r="G945" i="44" s="1"/>
  <c r="A949" i="44"/>
  <c r="C946" i="44"/>
  <c r="C947" i="44" s="1"/>
  <c r="C948" i="44" s="1"/>
  <c r="A952" i="44" l="1"/>
  <c r="C949" i="44"/>
  <c r="C950" i="44" s="1"/>
  <c r="C951" i="44" s="1"/>
  <c r="E949" i="44"/>
  <c r="G946" i="44"/>
  <c r="G947" i="44" s="1"/>
  <c r="G948" i="44" s="1"/>
  <c r="E952" i="44" l="1"/>
  <c r="G949" i="44"/>
  <c r="G950" i="44" s="1"/>
  <c r="G951" i="44" s="1"/>
  <c r="A955" i="44"/>
  <c r="C952" i="44"/>
  <c r="C953" i="44" s="1"/>
  <c r="C954" i="44" s="1"/>
  <c r="A958" i="44" l="1"/>
  <c r="C955" i="44"/>
  <c r="C956" i="44" s="1"/>
  <c r="C957" i="44" s="1"/>
  <c r="E955" i="44"/>
  <c r="G952" i="44"/>
  <c r="G953" i="44" s="1"/>
  <c r="G954" i="44" s="1"/>
  <c r="E958" i="44" l="1"/>
  <c r="G955" i="44"/>
  <c r="G956" i="44" s="1"/>
  <c r="G957" i="44" s="1"/>
  <c r="A961" i="44"/>
  <c r="C958" i="44"/>
  <c r="C959" i="44" s="1"/>
  <c r="C960" i="44" s="1"/>
  <c r="A964" i="44" l="1"/>
  <c r="C961" i="44"/>
  <c r="C962" i="44" s="1"/>
  <c r="C963" i="44" s="1"/>
  <c r="E961" i="44"/>
  <c r="G958" i="44"/>
  <c r="G959" i="44" s="1"/>
  <c r="G960" i="44" s="1"/>
  <c r="E964" i="44" l="1"/>
  <c r="G961" i="44"/>
  <c r="G962" i="44" s="1"/>
  <c r="G963" i="44" s="1"/>
  <c r="A967" i="44"/>
  <c r="C964" i="44"/>
  <c r="C965" i="44" s="1"/>
  <c r="C966" i="44" s="1"/>
  <c r="A970" i="44" l="1"/>
  <c r="C967" i="44"/>
  <c r="C968" i="44" s="1"/>
  <c r="C969" i="44" s="1"/>
  <c r="E967" i="44"/>
  <c r="G964" i="44"/>
  <c r="G965" i="44" s="1"/>
  <c r="G966" i="44" s="1"/>
  <c r="E970" i="44" l="1"/>
  <c r="G967" i="44"/>
  <c r="G968" i="44" s="1"/>
  <c r="G969" i="44" s="1"/>
  <c r="A973" i="44"/>
  <c r="C970" i="44"/>
  <c r="C971" i="44" s="1"/>
  <c r="C972" i="44" s="1"/>
  <c r="A976" i="44" l="1"/>
  <c r="C973" i="44"/>
  <c r="C974" i="44" s="1"/>
  <c r="C975" i="44" s="1"/>
  <c r="E973" i="44"/>
  <c r="G970" i="44"/>
  <c r="G971" i="44" s="1"/>
  <c r="G972" i="44" s="1"/>
  <c r="E976" i="44" l="1"/>
  <c r="G973" i="44"/>
  <c r="G974" i="44" s="1"/>
  <c r="G975" i="44" s="1"/>
  <c r="A979" i="44"/>
  <c r="C976" i="44"/>
  <c r="C977" i="44" s="1"/>
  <c r="C978" i="44" s="1"/>
  <c r="A982" i="44" l="1"/>
  <c r="C979" i="44"/>
  <c r="C980" i="44" s="1"/>
  <c r="C981" i="44" s="1"/>
  <c r="E979" i="44"/>
  <c r="G976" i="44"/>
  <c r="G977" i="44" s="1"/>
  <c r="G978" i="44" s="1"/>
  <c r="E982" i="44" l="1"/>
  <c r="G979" i="44"/>
  <c r="G980" i="44" s="1"/>
  <c r="G981" i="44" s="1"/>
  <c r="A985" i="44"/>
  <c r="C982" i="44"/>
  <c r="C983" i="44" s="1"/>
  <c r="C984" i="44" s="1"/>
  <c r="A988" i="44" l="1"/>
  <c r="C985" i="44"/>
  <c r="C986" i="44" s="1"/>
  <c r="C987" i="44" s="1"/>
  <c r="E985" i="44"/>
  <c r="G982" i="44"/>
  <c r="G983" i="44" s="1"/>
  <c r="G984" i="44" s="1"/>
  <c r="E988" i="44" l="1"/>
  <c r="G985" i="44"/>
  <c r="G986" i="44" s="1"/>
  <c r="G987" i="44" s="1"/>
  <c r="A991" i="44"/>
  <c r="C988" i="44"/>
  <c r="C989" i="44" s="1"/>
  <c r="C990" i="44" s="1"/>
  <c r="A994" i="44" l="1"/>
  <c r="C991" i="44"/>
  <c r="C992" i="44" s="1"/>
  <c r="C993" i="44" s="1"/>
  <c r="E991" i="44"/>
  <c r="G988" i="44"/>
  <c r="G989" i="44" s="1"/>
  <c r="G990" i="44" s="1"/>
  <c r="E994" i="44" l="1"/>
  <c r="G991" i="44"/>
  <c r="G992" i="44" s="1"/>
  <c r="G993" i="44" s="1"/>
  <c r="A997" i="44"/>
  <c r="C994" i="44"/>
  <c r="C995" i="44" s="1"/>
  <c r="C996" i="44" s="1"/>
  <c r="A1000" i="44" l="1"/>
  <c r="C997" i="44"/>
  <c r="C998" i="44" s="1"/>
  <c r="C999" i="44" s="1"/>
  <c r="E997" i="44"/>
  <c r="G994" i="44"/>
  <c r="G995" i="44" s="1"/>
  <c r="G996" i="44" s="1"/>
  <c r="E1000" i="44" l="1"/>
  <c r="G997" i="44"/>
  <c r="G998" i="44" s="1"/>
  <c r="G999" i="44" s="1"/>
  <c r="A1003" i="44"/>
  <c r="C1000" i="44"/>
  <c r="C1001" i="44" s="1"/>
  <c r="C1002" i="44" s="1"/>
  <c r="A1006" i="44" l="1"/>
  <c r="C1003" i="44"/>
  <c r="C1004" i="44" s="1"/>
  <c r="C1005" i="44" s="1"/>
  <c r="E1003" i="44"/>
  <c r="G1000" i="44"/>
  <c r="G1001" i="44" s="1"/>
  <c r="G1002" i="44" s="1"/>
  <c r="E1006" i="44" l="1"/>
  <c r="G1003" i="44"/>
  <c r="G1004" i="44" s="1"/>
  <c r="G1005" i="44" s="1"/>
  <c r="A1009" i="44"/>
  <c r="C1006" i="44"/>
  <c r="C1007" i="44" s="1"/>
  <c r="C1008" i="44" s="1"/>
  <c r="A1012" i="44" l="1"/>
  <c r="C1009" i="44"/>
  <c r="C1010" i="44" s="1"/>
  <c r="C1011" i="44" s="1"/>
  <c r="E1009" i="44"/>
  <c r="G1006" i="44"/>
  <c r="G1007" i="44" s="1"/>
  <c r="G1008" i="44" s="1"/>
  <c r="E1012" i="44" l="1"/>
  <c r="G1009" i="44"/>
  <c r="G1010" i="44" s="1"/>
  <c r="G1011" i="44" s="1"/>
  <c r="A1015" i="44"/>
  <c r="C1012" i="44"/>
  <c r="C1013" i="44" s="1"/>
  <c r="C1014" i="44" s="1"/>
  <c r="A1018" i="44" l="1"/>
  <c r="C1015" i="44"/>
  <c r="C1016" i="44" s="1"/>
  <c r="C1017" i="44" s="1"/>
  <c r="E1015" i="44"/>
  <c r="G1012" i="44"/>
  <c r="G1013" i="44" s="1"/>
  <c r="G1014" i="44" s="1"/>
  <c r="E1018" i="44" l="1"/>
  <c r="G1015" i="44"/>
  <c r="G1016" i="44" s="1"/>
  <c r="G1017" i="44" s="1"/>
  <c r="A1021" i="44"/>
  <c r="C1018" i="44"/>
  <c r="C1019" i="44" s="1"/>
  <c r="C1020" i="44" s="1"/>
  <c r="A1024" i="44" l="1"/>
  <c r="C1021" i="44"/>
  <c r="C1022" i="44" s="1"/>
  <c r="C1023" i="44" s="1"/>
  <c r="E1021" i="44"/>
  <c r="G1018" i="44"/>
  <c r="G1019" i="44" s="1"/>
  <c r="G1020" i="44" s="1"/>
  <c r="E1024" i="44" l="1"/>
  <c r="G1021" i="44"/>
  <c r="G1022" i="44" s="1"/>
  <c r="G1023" i="44" s="1"/>
  <c r="A1027" i="44"/>
  <c r="C1024" i="44"/>
  <c r="C1025" i="44" s="1"/>
  <c r="C1026" i="44" s="1"/>
  <c r="A1030" i="44" l="1"/>
  <c r="C1027" i="44"/>
  <c r="C1028" i="44" s="1"/>
  <c r="C1029" i="44" s="1"/>
  <c r="E1027" i="44"/>
  <c r="G1024" i="44"/>
  <c r="G1025" i="44" s="1"/>
  <c r="G1026" i="44" s="1"/>
  <c r="E1030" i="44" l="1"/>
  <c r="G1027" i="44"/>
  <c r="G1028" i="44" s="1"/>
  <c r="G1029" i="44" s="1"/>
  <c r="A1033" i="44"/>
  <c r="C1030" i="44"/>
  <c r="C1031" i="44" s="1"/>
  <c r="C1032" i="44" s="1"/>
  <c r="A1036" i="44" l="1"/>
  <c r="C1033" i="44"/>
  <c r="C1034" i="44" s="1"/>
  <c r="C1035" i="44" s="1"/>
  <c r="E1033" i="44"/>
  <c r="G1030" i="44"/>
  <c r="G1031" i="44" s="1"/>
  <c r="G1032" i="44" s="1"/>
  <c r="E1036" i="44" l="1"/>
  <c r="G1033" i="44"/>
  <c r="G1034" i="44" s="1"/>
  <c r="G1035" i="44" s="1"/>
  <c r="A1039" i="44"/>
  <c r="C1036" i="44"/>
  <c r="C1037" i="44" s="1"/>
  <c r="C1038" i="44" s="1"/>
  <c r="A1042" i="44" l="1"/>
  <c r="C1039" i="44"/>
  <c r="C1040" i="44" s="1"/>
  <c r="C1041" i="44" s="1"/>
  <c r="E1039" i="44"/>
  <c r="G1036" i="44"/>
  <c r="G1037" i="44" s="1"/>
  <c r="G1038" i="44" s="1"/>
  <c r="E1042" i="44" l="1"/>
  <c r="G1039" i="44"/>
  <c r="G1040" i="44" s="1"/>
  <c r="G1041" i="44" s="1"/>
  <c r="A1045" i="44"/>
  <c r="C1042" i="44"/>
  <c r="C1043" i="44" s="1"/>
  <c r="C1044" i="44" s="1"/>
  <c r="A1048" i="44" l="1"/>
  <c r="C1045" i="44"/>
  <c r="C1046" i="44" s="1"/>
  <c r="C1047" i="44" s="1"/>
  <c r="E1045" i="44"/>
  <c r="G1042" i="44"/>
  <c r="G1043" i="44" s="1"/>
  <c r="G1044" i="44" s="1"/>
  <c r="E1048" i="44" l="1"/>
  <c r="G1045" i="44"/>
  <c r="G1046" i="44" s="1"/>
  <c r="G1047" i="44" s="1"/>
  <c r="A1051" i="44"/>
  <c r="C1048" i="44"/>
  <c r="C1049" i="44" s="1"/>
  <c r="C1050" i="44" s="1"/>
  <c r="A1054" i="44" l="1"/>
  <c r="C1051" i="44"/>
  <c r="C1052" i="44" s="1"/>
  <c r="C1053" i="44" s="1"/>
  <c r="E1051" i="44"/>
  <c r="G1048" i="44"/>
  <c r="G1049" i="44" s="1"/>
  <c r="G1050" i="44" s="1"/>
  <c r="E1054" i="44" l="1"/>
  <c r="G1051" i="44"/>
  <c r="G1052" i="44" s="1"/>
  <c r="G1053" i="44" s="1"/>
  <c r="A1057" i="44"/>
  <c r="C1054" i="44"/>
  <c r="C1055" i="44" s="1"/>
  <c r="C1056" i="44" s="1"/>
  <c r="A1060" i="44" l="1"/>
  <c r="C1057" i="44"/>
  <c r="C1058" i="44" s="1"/>
  <c r="C1059" i="44" s="1"/>
  <c r="E1057" i="44"/>
  <c r="G1054" i="44"/>
  <c r="G1055" i="44" s="1"/>
  <c r="G1056" i="44" s="1"/>
  <c r="E1060" i="44" l="1"/>
  <c r="G1057" i="44"/>
  <c r="G1058" i="44" s="1"/>
  <c r="G1059" i="44" s="1"/>
  <c r="A1063" i="44"/>
  <c r="C1060" i="44"/>
  <c r="C1061" i="44" s="1"/>
  <c r="C1062" i="44" s="1"/>
  <c r="A1066" i="44" l="1"/>
  <c r="C1063" i="44"/>
  <c r="C1064" i="44" s="1"/>
  <c r="C1065" i="44" s="1"/>
  <c r="E1063" i="44"/>
  <c r="G1060" i="44"/>
  <c r="G1061" i="44" s="1"/>
  <c r="G1062" i="44" s="1"/>
  <c r="E1066" i="44" l="1"/>
  <c r="G1063" i="44"/>
  <c r="G1064" i="44" s="1"/>
  <c r="G1065" i="44" s="1"/>
  <c r="A1069" i="44"/>
  <c r="C1066" i="44"/>
  <c r="C1067" i="44" s="1"/>
  <c r="C1068" i="44" s="1"/>
  <c r="A1072" i="44" l="1"/>
  <c r="C1069" i="44"/>
  <c r="C1070" i="44" s="1"/>
  <c r="C1071" i="44" s="1"/>
  <c r="E1069" i="44"/>
  <c r="G1066" i="44"/>
  <c r="G1067" i="44" s="1"/>
  <c r="G1068" i="44" s="1"/>
  <c r="E1072" i="44" l="1"/>
  <c r="G1069" i="44"/>
  <c r="G1070" i="44" s="1"/>
  <c r="G1071" i="44" s="1"/>
  <c r="A1075" i="44"/>
  <c r="C1072" i="44"/>
  <c r="C1073" i="44" s="1"/>
  <c r="C1074" i="44" s="1"/>
  <c r="A1078" i="44" l="1"/>
  <c r="C1075" i="44"/>
  <c r="C1076" i="44" s="1"/>
  <c r="C1077" i="44" s="1"/>
  <c r="E1075" i="44"/>
  <c r="G1072" i="44"/>
  <c r="G1073" i="44" s="1"/>
  <c r="G1074" i="44" s="1"/>
  <c r="E1078" i="44" l="1"/>
  <c r="G1075" i="44"/>
  <c r="G1076" i="44" s="1"/>
  <c r="G1077" i="44" s="1"/>
  <c r="A1081" i="44"/>
  <c r="C1078" i="44"/>
  <c r="C1079" i="44" s="1"/>
  <c r="C1080" i="44" s="1"/>
  <c r="A1084" i="44" l="1"/>
  <c r="C1081" i="44"/>
  <c r="C1082" i="44" s="1"/>
  <c r="C1083" i="44" s="1"/>
  <c r="E1081" i="44"/>
  <c r="G1078" i="44"/>
  <c r="G1079" i="44" s="1"/>
  <c r="G1080" i="44" s="1"/>
  <c r="E1084" i="44" l="1"/>
  <c r="G1081" i="44"/>
  <c r="G1082" i="44" s="1"/>
  <c r="G1083" i="44" s="1"/>
  <c r="A1087" i="44"/>
  <c r="C1084" i="44"/>
  <c r="C1085" i="44" s="1"/>
  <c r="C1086" i="44" s="1"/>
  <c r="A1090" i="44" l="1"/>
  <c r="C1087" i="44"/>
  <c r="C1088" i="44" s="1"/>
  <c r="C1089" i="44" s="1"/>
  <c r="E1087" i="44"/>
  <c r="G1084" i="44"/>
  <c r="G1085" i="44" s="1"/>
  <c r="G1086" i="44" s="1"/>
  <c r="E1090" i="44" l="1"/>
  <c r="G1087" i="44"/>
  <c r="G1088" i="44" s="1"/>
  <c r="G1089" i="44" s="1"/>
  <c r="A1093" i="44"/>
  <c r="C1090" i="44"/>
  <c r="C1091" i="44" s="1"/>
  <c r="C1092" i="44" s="1"/>
  <c r="A1096" i="44" l="1"/>
  <c r="C1093" i="44"/>
  <c r="C1094" i="44" s="1"/>
  <c r="C1095" i="44" s="1"/>
  <c r="E1093" i="44"/>
  <c r="G1090" i="44"/>
  <c r="G1091" i="44" s="1"/>
  <c r="G1092" i="44" s="1"/>
  <c r="E1096" i="44" l="1"/>
  <c r="G1093" i="44"/>
  <c r="G1094" i="44" s="1"/>
  <c r="G1095" i="44" s="1"/>
  <c r="A1099" i="44"/>
  <c r="C1096" i="44"/>
  <c r="C1097" i="44" s="1"/>
  <c r="C1098" i="44" s="1"/>
  <c r="A1102" i="44" l="1"/>
  <c r="C1099" i="44"/>
  <c r="C1100" i="44" s="1"/>
  <c r="C1101" i="44" s="1"/>
  <c r="E1099" i="44"/>
  <c r="G1096" i="44"/>
  <c r="G1097" i="44" s="1"/>
  <c r="G1098" i="44" s="1"/>
  <c r="E1102" i="44" l="1"/>
  <c r="G1099" i="44"/>
  <c r="G1100" i="44" s="1"/>
  <c r="G1101" i="44" s="1"/>
  <c r="A1105" i="44"/>
  <c r="C1102" i="44"/>
  <c r="C1103" i="44" s="1"/>
  <c r="C1104" i="44" s="1"/>
  <c r="A1108" i="44" l="1"/>
  <c r="C1105" i="44"/>
  <c r="C1106" i="44" s="1"/>
  <c r="C1107" i="44" s="1"/>
  <c r="E1105" i="44"/>
  <c r="G1102" i="44"/>
  <c r="G1103" i="44" s="1"/>
  <c r="G1104" i="44" s="1"/>
  <c r="E1108" i="44" l="1"/>
  <c r="G1105" i="44"/>
  <c r="G1106" i="44" s="1"/>
  <c r="G1107" i="44" s="1"/>
  <c r="A1111" i="44"/>
  <c r="C1108" i="44"/>
  <c r="C1109" i="44" s="1"/>
  <c r="C1110" i="44" s="1"/>
  <c r="A1114" i="44" l="1"/>
  <c r="C1111" i="44"/>
  <c r="C1112" i="44" s="1"/>
  <c r="C1113" i="44" s="1"/>
  <c r="E1111" i="44"/>
  <c r="G1108" i="44"/>
  <c r="G1109" i="44" s="1"/>
  <c r="G1110" i="44" s="1"/>
  <c r="E1114" i="44" l="1"/>
  <c r="G1111" i="44"/>
  <c r="G1112" i="44" s="1"/>
  <c r="G1113" i="44" s="1"/>
  <c r="A1117" i="44"/>
  <c r="C1114" i="44"/>
  <c r="C1115" i="44" s="1"/>
  <c r="C1116" i="44" s="1"/>
  <c r="A1120" i="44" l="1"/>
  <c r="C1117" i="44"/>
  <c r="C1118" i="44" s="1"/>
  <c r="C1119" i="44" s="1"/>
  <c r="E1117" i="44"/>
  <c r="G1114" i="44"/>
  <c r="G1115" i="44" s="1"/>
  <c r="G1116" i="44" s="1"/>
  <c r="E1120" i="44" l="1"/>
  <c r="G1117" i="44"/>
  <c r="G1118" i="44" s="1"/>
  <c r="G1119" i="44" s="1"/>
  <c r="A1123" i="44"/>
  <c r="C1120" i="44"/>
  <c r="C1121" i="44" s="1"/>
  <c r="C1122" i="44" s="1"/>
  <c r="A1126" i="44" l="1"/>
  <c r="C1123" i="44"/>
  <c r="C1124" i="44" s="1"/>
  <c r="C1125" i="44" s="1"/>
  <c r="E1123" i="44"/>
  <c r="G1120" i="44"/>
  <c r="G1121" i="44" s="1"/>
  <c r="G1122" i="44" s="1"/>
  <c r="E1126" i="44" l="1"/>
  <c r="G1123" i="44"/>
  <c r="G1124" i="44" s="1"/>
  <c r="G1125" i="44" s="1"/>
  <c r="A1129" i="44"/>
  <c r="C1126" i="44"/>
  <c r="C1127" i="44" s="1"/>
  <c r="C1128" i="44" s="1"/>
  <c r="A1132" i="44" l="1"/>
  <c r="C1129" i="44"/>
  <c r="C1130" i="44" s="1"/>
  <c r="C1131" i="44" s="1"/>
  <c r="E1129" i="44"/>
  <c r="G1126" i="44"/>
  <c r="G1127" i="44" s="1"/>
  <c r="G1128" i="44" s="1"/>
  <c r="E1132" i="44" l="1"/>
  <c r="G1129" i="44"/>
  <c r="G1130" i="44" s="1"/>
  <c r="G1131" i="44" s="1"/>
  <c r="A1135" i="44"/>
  <c r="C1132" i="44"/>
  <c r="C1133" i="44" s="1"/>
  <c r="C1134" i="44" s="1"/>
  <c r="A1138" i="44" l="1"/>
  <c r="C1135" i="44"/>
  <c r="C1136" i="44" s="1"/>
  <c r="C1137" i="44" s="1"/>
  <c r="E1135" i="44"/>
  <c r="G1132" i="44"/>
  <c r="G1133" i="44" s="1"/>
  <c r="G1134" i="44" s="1"/>
  <c r="E1138" i="44" l="1"/>
  <c r="G1135" i="44"/>
  <c r="G1136" i="44" s="1"/>
  <c r="G1137" i="44" s="1"/>
  <c r="A1141" i="44"/>
  <c r="C1138" i="44"/>
  <c r="C1139" i="44" s="1"/>
  <c r="C1140" i="44" s="1"/>
  <c r="A1144" i="44" l="1"/>
  <c r="C1141" i="44"/>
  <c r="C1142" i="44" s="1"/>
  <c r="C1143" i="44" s="1"/>
  <c r="E1141" i="44"/>
  <c r="G1138" i="44"/>
  <c r="G1139" i="44" s="1"/>
  <c r="G1140" i="44" s="1"/>
  <c r="E1144" i="44" l="1"/>
  <c r="G1141" i="44"/>
  <c r="G1142" i="44" s="1"/>
  <c r="G1143" i="44" s="1"/>
  <c r="A1147" i="44"/>
  <c r="C1144" i="44"/>
  <c r="C1145" i="44" s="1"/>
  <c r="C1146" i="44" s="1"/>
  <c r="A1150" i="44" l="1"/>
  <c r="C1147" i="44"/>
  <c r="C1148" i="44" s="1"/>
  <c r="C1149" i="44" s="1"/>
  <c r="E1147" i="44"/>
  <c r="G1144" i="44"/>
  <c r="G1145" i="44" s="1"/>
  <c r="G1146" i="44" s="1"/>
  <c r="E1150" i="44" l="1"/>
  <c r="G1147" i="44"/>
  <c r="G1148" i="44" s="1"/>
  <c r="G1149" i="44" s="1"/>
  <c r="A1153" i="44"/>
  <c r="C1150" i="44"/>
  <c r="C1151" i="44" s="1"/>
  <c r="C1152" i="44" s="1"/>
  <c r="C1153" i="44" l="1"/>
  <c r="C1154" i="44" s="1"/>
  <c r="C1155" i="44" s="1"/>
  <c r="A1156" i="44"/>
  <c r="E1153" i="44"/>
  <c r="G1150" i="44"/>
  <c r="G1151" i="44" s="1"/>
  <c r="G1152" i="44" s="1"/>
  <c r="G1153" i="44" l="1"/>
  <c r="G1154" i="44" s="1"/>
  <c r="G1155" i="44" s="1"/>
  <c r="E1156" i="44"/>
  <c r="C1156" i="44"/>
  <c r="C1157" i="44" s="1"/>
  <c r="C1158" i="44" s="1"/>
  <c r="A1159" i="44"/>
  <c r="C1159" i="44" l="1"/>
  <c r="C1160" i="44" s="1"/>
  <c r="C1161" i="44" s="1"/>
  <c r="A1162" i="44"/>
  <c r="G1156" i="44"/>
  <c r="G1157" i="44" s="1"/>
  <c r="G1158" i="44" s="1"/>
  <c r="E1159" i="44"/>
  <c r="G1159" i="44" l="1"/>
  <c r="G1160" i="44" s="1"/>
  <c r="G1161" i="44" s="1"/>
  <c r="E1162" i="44"/>
  <c r="A1165" i="44"/>
  <c r="C1162" i="44"/>
  <c r="C1163" i="44" s="1"/>
  <c r="C1164" i="44" s="1"/>
  <c r="A1168" i="44" l="1"/>
  <c r="C1165" i="44"/>
  <c r="C1166" i="44" s="1"/>
  <c r="C1167" i="44" s="1"/>
  <c r="E1165" i="44"/>
  <c r="G1162" i="44"/>
  <c r="G1163" i="44" s="1"/>
  <c r="G1164" i="44" s="1"/>
  <c r="E1168" i="44" l="1"/>
  <c r="G1165" i="44"/>
  <c r="G1166" i="44" s="1"/>
  <c r="G1167" i="44" s="1"/>
  <c r="A1171" i="44"/>
  <c r="C1168" i="44"/>
  <c r="C1169" i="44" s="1"/>
  <c r="C1170" i="44" s="1"/>
  <c r="A1174" i="44" l="1"/>
  <c r="C1171" i="44"/>
  <c r="C1172" i="44" s="1"/>
  <c r="C1173" i="44" s="1"/>
  <c r="E1171" i="44"/>
  <c r="G1168" i="44"/>
  <c r="G1169" i="44" s="1"/>
  <c r="G1170" i="44" s="1"/>
  <c r="E1174" i="44" l="1"/>
  <c r="G1171" i="44"/>
  <c r="G1172" i="44" s="1"/>
  <c r="G1173" i="44" s="1"/>
  <c r="A1177" i="44"/>
  <c r="C1174" i="44"/>
  <c r="C1175" i="44" s="1"/>
  <c r="C1176" i="44" s="1"/>
  <c r="A1180" i="44" l="1"/>
  <c r="C1177" i="44"/>
  <c r="C1178" i="44" s="1"/>
  <c r="C1179" i="44" s="1"/>
  <c r="E1177" i="44"/>
  <c r="G1174" i="44"/>
  <c r="G1175" i="44" s="1"/>
  <c r="G1176" i="44" s="1"/>
  <c r="E1180" i="44" l="1"/>
  <c r="G1177" i="44"/>
  <c r="G1178" i="44" s="1"/>
  <c r="G1179" i="44" s="1"/>
  <c r="A1183" i="44"/>
  <c r="C1180" i="44"/>
  <c r="C1181" i="44" s="1"/>
  <c r="C1182" i="44" s="1"/>
  <c r="A1186" i="44" l="1"/>
  <c r="C1183" i="44"/>
  <c r="C1184" i="44" s="1"/>
  <c r="C1185" i="44" s="1"/>
  <c r="E1183" i="44"/>
  <c r="G1180" i="44"/>
  <c r="G1181" i="44" s="1"/>
  <c r="G1182" i="44" s="1"/>
  <c r="E1186" i="44" l="1"/>
  <c r="G1183" i="44"/>
  <c r="G1184" i="44" s="1"/>
  <c r="G1185" i="44" s="1"/>
  <c r="A1189" i="44"/>
  <c r="C1186" i="44"/>
  <c r="C1187" i="44" s="1"/>
  <c r="C1188" i="44" s="1"/>
  <c r="A1192" i="44" l="1"/>
  <c r="C1189" i="44"/>
  <c r="C1190" i="44" s="1"/>
  <c r="C1191" i="44" s="1"/>
  <c r="E1189" i="44"/>
  <c r="G1186" i="44"/>
  <c r="G1187" i="44" s="1"/>
  <c r="G1188" i="44" s="1"/>
  <c r="E1192" i="44" l="1"/>
  <c r="G1189" i="44"/>
  <c r="G1190" i="44" s="1"/>
  <c r="G1191" i="44" s="1"/>
  <c r="A1195" i="44"/>
  <c r="C1192" i="44"/>
  <c r="C1193" i="44" s="1"/>
  <c r="C1194" i="44" s="1"/>
  <c r="A1198" i="44" l="1"/>
  <c r="C1195" i="44"/>
  <c r="C1196" i="44" s="1"/>
  <c r="C1197" i="44" s="1"/>
  <c r="E1195" i="44"/>
  <c r="G1192" i="44"/>
  <c r="G1193" i="44" s="1"/>
  <c r="G1194" i="44" s="1"/>
  <c r="E1198" i="44" l="1"/>
  <c r="G1195" i="44"/>
  <c r="G1196" i="44" s="1"/>
  <c r="G1197" i="44" s="1"/>
  <c r="A1201" i="44"/>
  <c r="C1198" i="44"/>
  <c r="C1199" i="44" s="1"/>
  <c r="C1200" i="44" s="1"/>
  <c r="A1204" i="44" l="1"/>
  <c r="C1201" i="44"/>
  <c r="C1202" i="44" s="1"/>
  <c r="C1203" i="44" s="1"/>
  <c r="E1201" i="44"/>
  <c r="G1198" i="44"/>
  <c r="G1199" i="44" s="1"/>
  <c r="G1200" i="44" s="1"/>
  <c r="E1204" i="44" l="1"/>
  <c r="G1201" i="44"/>
  <c r="G1202" i="44" s="1"/>
  <c r="G1203" i="44" s="1"/>
  <c r="A1207" i="44"/>
  <c r="C1204" i="44"/>
  <c r="C1205" i="44" s="1"/>
  <c r="C1206" i="44" s="1"/>
  <c r="A1210" i="44" l="1"/>
  <c r="C1207" i="44"/>
  <c r="C1208" i="44" s="1"/>
  <c r="C1209" i="44" s="1"/>
  <c r="E1207" i="44"/>
  <c r="G1204" i="44"/>
  <c r="G1205" i="44" s="1"/>
  <c r="G1206" i="44" s="1"/>
  <c r="E1210" i="44" l="1"/>
  <c r="G1207" i="44"/>
  <c r="G1208" i="44" s="1"/>
  <c r="G1209" i="44" s="1"/>
  <c r="A1213" i="44"/>
  <c r="C1210" i="44"/>
  <c r="C1211" i="44" s="1"/>
  <c r="C1212" i="44" s="1"/>
  <c r="A1216" i="44" l="1"/>
  <c r="C1213" i="44"/>
  <c r="C1214" i="44" s="1"/>
  <c r="C1215" i="44" s="1"/>
  <c r="E1213" i="44"/>
  <c r="G1210" i="44"/>
  <c r="G1211" i="44" s="1"/>
  <c r="G1212" i="44" s="1"/>
  <c r="E1216" i="44" l="1"/>
  <c r="G1213" i="44"/>
  <c r="G1214" i="44" s="1"/>
  <c r="G1215" i="44" s="1"/>
  <c r="A1219" i="44"/>
  <c r="C1216" i="44"/>
  <c r="C1217" i="44" s="1"/>
  <c r="C1218" i="44" s="1"/>
  <c r="A1222" i="44" l="1"/>
  <c r="C1219" i="44"/>
  <c r="C1220" i="44" s="1"/>
  <c r="C1221" i="44" s="1"/>
  <c r="E1219" i="44"/>
  <c r="G1216" i="44"/>
  <c r="G1217" i="44" s="1"/>
  <c r="G1218" i="44" s="1"/>
  <c r="E1222" i="44" l="1"/>
  <c r="G1219" i="44"/>
  <c r="G1220" i="44" s="1"/>
  <c r="G1221" i="44" s="1"/>
  <c r="A1225" i="44"/>
  <c r="C1222" i="44"/>
  <c r="C1223" i="44" s="1"/>
  <c r="C1224" i="44" s="1"/>
  <c r="A1228" i="44" l="1"/>
  <c r="C1225" i="44"/>
  <c r="C1226" i="44" s="1"/>
  <c r="C1227" i="44" s="1"/>
  <c r="E1225" i="44"/>
  <c r="G1222" i="44"/>
  <c r="G1223" i="44" s="1"/>
  <c r="G1224" i="44" s="1"/>
  <c r="E1228" i="44" l="1"/>
  <c r="G1225" i="44"/>
  <c r="G1226" i="44" s="1"/>
  <c r="G1227" i="44" s="1"/>
  <c r="A1231" i="44"/>
  <c r="C1228" i="44"/>
  <c r="C1229" i="44" s="1"/>
  <c r="C1230" i="44" s="1"/>
  <c r="A1234" i="44" l="1"/>
  <c r="C1231" i="44"/>
  <c r="C1232" i="44" s="1"/>
  <c r="C1233" i="44" s="1"/>
  <c r="E1231" i="44"/>
  <c r="G1228" i="44"/>
  <c r="G1229" i="44" s="1"/>
  <c r="G1230" i="44" s="1"/>
  <c r="E1234" i="44" l="1"/>
  <c r="G1231" i="44"/>
  <c r="G1232" i="44" s="1"/>
  <c r="G1233" i="44" s="1"/>
  <c r="A1237" i="44"/>
  <c r="C1234" i="44"/>
  <c r="C1235" i="44" s="1"/>
  <c r="C1236" i="44" s="1"/>
  <c r="A1240" i="44" l="1"/>
  <c r="C1237" i="44"/>
  <c r="C1238" i="44" s="1"/>
  <c r="C1239" i="44" s="1"/>
  <c r="E1237" i="44"/>
  <c r="G1234" i="44"/>
  <c r="G1235" i="44" s="1"/>
  <c r="G1236" i="44" s="1"/>
  <c r="E1240" i="44" l="1"/>
  <c r="G1237" i="44"/>
  <c r="G1238" i="44" s="1"/>
  <c r="G1239" i="44" s="1"/>
  <c r="A1243" i="44"/>
  <c r="C1240" i="44"/>
  <c r="C1241" i="44" s="1"/>
  <c r="C1242" i="44" s="1"/>
  <c r="A1246" i="44" l="1"/>
  <c r="C1243" i="44"/>
  <c r="C1244" i="44" s="1"/>
  <c r="C1245" i="44" s="1"/>
  <c r="E1243" i="44"/>
  <c r="G1240" i="44"/>
  <c r="G1241" i="44" s="1"/>
  <c r="G1242" i="44" s="1"/>
  <c r="E1246" i="44" l="1"/>
  <c r="G1243" i="44"/>
  <c r="G1244" i="44" s="1"/>
  <c r="G1245" i="44" s="1"/>
  <c r="A1249" i="44"/>
  <c r="C1246" i="44"/>
  <c r="C1247" i="44" s="1"/>
  <c r="C1248" i="44" s="1"/>
  <c r="A1252" i="44" l="1"/>
  <c r="C1249" i="44"/>
  <c r="C1250" i="44" s="1"/>
  <c r="C1251" i="44" s="1"/>
  <c r="E1249" i="44"/>
  <c r="G1246" i="44"/>
  <c r="G1247" i="44" s="1"/>
  <c r="G1248" i="44" s="1"/>
  <c r="E1252" i="44" l="1"/>
  <c r="G1249" i="44"/>
  <c r="G1250" i="44" s="1"/>
  <c r="G1251" i="44" s="1"/>
  <c r="A1255" i="44"/>
  <c r="C1252" i="44"/>
  <c r="C1253" i="44" s="1"/>
  <c r="C1254" i="44" s="1"/>
  <c r="A1258" i="44" l="1"/>
  <c r="C1255" i="44"/>
  <c r="C1256" i="44" s="1"/>
  <c r="C1257" i="44" s="1"/>
  <c r="E1255" i="44"/>
  <c r="G1252" i="44"/>
  <c r="G1253" i="44" s="1"/>
  <c r="G1254" i="44" s="1"/>
  <c r="E1258" i="44" l="1"/>
  <c r="G1255" i="44"/>
  <c r="G1256" i="44" s="1"/>
  <c r="G1257" i="44" s="1"/>
  <c r="A1261" i="44"/>
  <c r="C1258" i="44"/>
  <c r="C1259" i="44" s="1"/>
  <c r="C1260" i="44" s="1"/>
  <c r="A1264" i="44" l="1"/>
  <c r="C1261" i="44"/>
  <c r="C1262" i="44" s="1"/>
  <c r="C1263" i="44" s="1"/>
  <c r="E1261" i="44"/>
  <c r="G1258" i="44"/>
  <c r="G1259" i="44" s="1"/>
  <c r="G1260" i="44" s="1"/>
  <c r="E1264" i="44" l="1"/>
  <c r="G1261" i="44"/>
  <c r="G1262" i="44" s="1"/>
  <c r="G1263" i="44" s="1"/>
  <c r="A1267" i="44"/>
  <c r="C1264" i="44"/>
  <c r="C1265" i="44" s="1"/>
  <c r="C1266" i="44" s="1"/>
  <c r="A1270" i="44" l="1"/>
  <c r="C1267" i="44"/>
  <c r="C1268" i="44" s="1"/>
  <c r="C1269" i="44" s="1"/>
  <c r="E1267" i="44"/>
  <c r="G1264" i="44"/>
  <c r="G1265" i="44" s="1"/>
  <c r="G1266" i="44" s="1"/>
  <c r="E1270" i="44" l="1"/>
  <c r="G1267" i="44"/>
  <c r="G1268" i="44" s="1"/>
  <c r="G1269" i="44" s="1"/>
  <c r="A1273" i="44"/>
  <c r="C1270" i="44"/>
  <c r="C1271" i="44" s="1"/>
  <c r="C1272" i="44" s="1"/>
  <c r="A1276" i="44" l="1"/>
  <c r="C1273" i="44"/>
  <c r="C1274" i="44" s="1"/>
  <c r="C1275" i="44" s="1"/>
  <c r="E1273" i="44"/>
  <c r="G1270" i="44"/>
  <c r="G1271" i="44" s="1"/>
  <c r="G1272" i="44" s="1"/>
  <c r="E1276" i="44" l="1"/>
  <c r="G1273" i="44"/>
  <c r="G1274" i="44" s="1"/>
  <c r="G1275" i="44" s="1"/>
  <c r="A1279" i="44"/>
  <c r="C1276" i="44"/>
  <c r="C1277" i="44" s="1"/>
  <c r="C1278" i="44" s="1"/>
  <c r="A1282" i="44" l="1"/>
  <c r="C1279" i="44"/>
  <c r="C1280" i="44" s="1"/>
  <c r="C1281" i="44" s="1"/>
  <c r="E1279" i="44"/>
  <c r="G1276" i="44"/>
  <c r="G1277" i="44" s="1"/>
  <c r="G1278" i="44" s="1"/>
  <c r="E1282" i="44" l="1"/>
  <c r="G1279" i="44"/>
  <c r="G1280" i="44" s="1"/>
  <c r="G1281" i="44" s="1"/>
  <c r="A1285" i="44"/>
  <c r="C1282" i="44"/>
  <c r="C1283" i="44" s="1"/>
  <c r="C1284" i="44" s="1"/>
  <c r="A1288" i="44" l="1"/>
  <c r="C1285" i="44"/>
  <c r="C1286" i="44" s="1"/>
  <c r="C1287" i="44" s="1"/>
  <c r="E1285" i="44"/>
  <c r="G1282" i="44"/>
  <c r="G1283" i="44" s="1"/>
  <c r="G1284" i="44" s="1"/>
  <c r="E1288" i="44" l="1"/>
  <c r="G1285" i="44"/>
  <c r="G1286" i="44" s="1"/>
  <c r="G1287" i="44" s="1"/>
  <c r="A1291" i="44"/>
  <c r="C1288" i="44"/>
  <c r="C1289" i="44" s="1"/>
  <c r="C1290" i="44" s="1"/>
  <c r="A1294" i="44" l="1"/>
  <c r="C1291" i="44"/>
  <c r="C1292" i="44" s="1"/>
  <c r="C1293" i="44" s="1"/>
  <c r="E1291" i="44"/>
  <c r="G1288" i="44"/>
  <c r="G1289" i="44" s="1"/>
  <c r="G1290" i="44" s="1"/>
  <c r="E1294" i="44" l="1"/>
  <c r="G1291" i="44"/>
  <c r="G1292" i="44" s="1"/>
  <c r="G1293" i="44" s="1"/>
  <c r="A1297" i="44"/>
  <c r="C1294" i="44"/>
  <c r="C1295" i="44" s="1"/>
  <c r="C1296" i="44" s="1"/>
  <c r="A1300" i="44" l="1"/>
  <c r="C1297" i="44"/>
  <c r="C1298" i="44" s="1"/>
  <c r="C1299" i="44" s="1"/>
  <c r="E1297" i="44"/>
  <c r="G1294" i="44"/>
  <c r="G1295" i="44" s="1"/>
  <c r="G1296" i="44" s="1"/>
  <c r="E1300" i="44" l="1"/>
  <c r="G1297" i="44"/>
  <c r="G1298" i="44" s="1"/>
  <c r="G1299" i="44" s="1"/>
  <c r="A1303" i="44"/>
  <c r="C1300" i="44"/>
  <c r="C1301" i="44" s="1"/>
  <c r="C1302" i="44" s="1"/>
  <c r="A1306" i="44" l="1"/>
  <c r="C1303" i="44"/>
  <c r="C1304" i="44" s="1"/>
  <c r="C1305" i="44" s="1"/>
  <c r="E1303" i="44"/>
  <c r="G1300" i="44"/>
  <c r="G1301" i="44" s="1"/>
  <c r="G1302" i="44" s="1"/>
  <c r="E1306" i="44" l="1"/>
  <c r="G1303" i="44"/>
  <c r="G1304" i="44" s="1"/>
  <c r="G1305" i="44" s="1"/>
  <c r="A1309" i="44"/>
  <c r="C1306" i="44"/>
  <c r="C1307" i="44" s="1"/>
  <c r="C1308" i="44" s="1"/>
  <c r="A1312" i="44" l="1"/>
  <c r="C1309" i="44"/>
  <c r="C1310" i="44" s="1"/>
  <c r="C1311" i="44" s="1"/>
  <c r="E1309" i="44"/>
  <c r="G1306" i="44"/>
  <c r="G1307" i="44" s="1"/>
  <c r="G1308" i="44" s="1"/>
  <c r="E1312" i="44" l="1"/>
  <c r="G1309" i="44"/>
  <c r="G1310" i="44" s="1"/>
  <c r="G1311" i="44" s="1"/>
  <c r="A1315" i="44"/>
  <c r="C1312" i="44"/>
  <c r="C1313" i="44" s="1"/>
  <c r="C1314" i="44" s="1"/>
  <c r="A1318" i="44" l="1"/>
  <c r="C1315" i="44"/>
  <c r="C1316" i="44" s="1"/>
  <c r="C1317" i="44" s="1"/>
  <c r="E1315" i="44"/>
  <c r="G1312" i="44"/>
  <c r="G1313" i="44" s="1"/>
  <c r="G1314" i="44" s="1"/>
  <c r="E1318" i="44" l="1"/>
  <c r="G1315" i="44"/>
  <c r="G1316" i="44" s="1"/>
  <c r="G1317" i="44" s="1"/>
  <c r="A1321" i="44"/>
  <c r="C1318" i="44"/>
  <c r="C1319" i="44" s="1"/>
  <c r="C1320" i="44" s="1"/>
  <c r="A1324" i="44" l="1"/>
  <c r="C1321" i="44"/>
  <c r="C1322" i="44" s="1"/>
  <c r="C1323" i="44" s="1"/>
  <c r="E1321" i="44"/>
  <c r="G1318" i="44"/>
  <c r="G1319" i="44" s="1"/>
  <c r="G1320" i="44" s="1"/>
  <c r="E1324" i="44" l="1"/>
  <c r="G1321" i="44"/>
  <c r="G1322" i="44" s="1"/>
  <c r="G1323" i="44" s="1"/>
  <c r="A1327" i="44"/>
  <c r="C1324" i="44"/>
  <c r="C1325" i="44" s="1"/>
  <c r="C1326" i="44" s="1"/>
  <c r="A1330" i="44" l="1"/>
  <c r="C1327" i="44"/>
  <c r="C1328" i="44" s="1"/>
  <c r="C1329" i="44" s="1"/>
  <c r="E1327" i="44"/>
  <c r="G1324" i="44"/>
  <c r="G1325" i="44" s="1"/>
  <c r="G1326" i="44" s="1"/>
  <c r="E1330" i="44" l="1"/>
  <c r="G1327" i="44"/>
  <c r="G1328" i="44" s="1"/>
  <c r="G1329" i="44" s="1"/>
  <c r="A1333" i="44"/>
  <c r="C1330" i="44"/>
  <c r="C1331" i="44" s="1"/>
  <c r="C1332" i="44" s="1"/>
  <c r="A1336" i="44" l="1"/>
  <c r="C1333" i="44"/>
  <c r="C1334" i="44" s="1"/>
  <c r="C1335" i="44" s="1"/>
  <c r="E1333" i="44"/>
  <c r="G1330" i="44"/>
  <c r="G1331" i="44" s="1"/>
  <c r="G1332" i="44" s="1"/>
  <c r="E1336" i="44" l="1"/>
  <c r="G1333" i="44"/>
  <c r="G1334" i="44" s="1"/>
  <c r="G1335" i="44" s="1"/>
  <c r="A1339" i="44"/>
  <c r="C1336" i="44"/>
  <c r="C1337" i="44" s="1"/>
  <c r="C1338" i="44" s="1"/>
  <c r="A1342" i="44" l="1"/>
  <c r="C1339" i="44"/>
  <c r="C1340" i="44" s="1"/>
  <c r="C1341" i="44" s="1"/>
  <c r="E1339" i="44"/>
  <c r="G1336" i="44"/>
  <c r="G1337" i="44" s="1"/>
  <c r="G1338" i="44" s="1"/>
  <c r="E1342" i="44" l="1"/>
  <c r="G1339" i="44"/>
  <c r="G1340" i="44" s="1"/>
  <c r="G1341" i="44" s="1"/>
  <c r="A1345" i="44"/>
  <c r="C1342" i="44"/>
  <c r="C1343" i="44" s="1"/>
  <c r="C1344" i="44" s="1"/>
  <c r="A1348" i="44" l="1"/>
  <c r="C1345" i="44"/>
  <c r="C1346" i="44" s="1"/>
  <c r="C1347" i="44" s="1"/>
  <c r="E1345" i="44"/>
  <c r="G1342" i="44"/>
  <c r="G1343" i="44" s="1"/>
  <c r="G1344" i="44" s="1"/>
  <c r="E1348" i="44" l="1"/>
  <c r="G1345" i="44"/>
  <c r="G1346" i="44" s="1"/>
  <c r="G1347" i="44" s="1"/>
  <c r="A1351" i="44"/>
  <c r="C1348" i="44"/>
  <c r="C1349" i="44" s="1"/>
  <c r="C1350" i="44" s="1"/>
  <c r="A1354" i="44" l="1"/>
  <c r="C1351" i="44"/>
  <c r="C1352" i="44" s="1"/>
  <c r="C1353" i="44" s="1"/>
  <c r="E1351" i="44"/>
  <c r="G1348" i="44"/>
  <c r="G1349" i="44" s="1"/>
  <c r="G1350" i="44" s="1"/>
  <c r="E1354" i="44" l="1"/>
  <c r="G1351" i="44"/>
  <c r="G1352" i="44" s="1"/>
  <c r="G1353" i="44" s="1"/>
  <c r="A1357" i="44"/>
  <c r="C1354" i="44"/>
  <c r="C1355" i="44" s="1"/>
  <c r="C1356" i="44" s="1"/>
  <c r="A1360" i="44" l="1"/>
  <c r="C1357" i="44"/>
  <c r="C1358" i="44" s="1"/>
  <c r="C1359" i="44" s="1"/>
  <c r="E1357" i="44"/>
  <c r="G1354" i="44"/>
  <c r="G1355" i="44" s="1"/>
  <c r="G1356" i="44" s="1"/>
  <c r="E1360" i="44" l="1"/>
  <c r="G1357" i="44"/>
  <c r="G1358" i="44" s="1"/>
  <c r="G1359" i="44" s="1"/>
  <c r="A1363" i="44"/>
  <c r="C1360" i="44"/>
  <c r="C1361" i="44" s="1"/>
  <c r="C1362" i="44" s="1"/>
  <c r="A1366" i="44" l="1"/>
  <c r="C1363" i="44"/>
  <c r="C1364" i="44" s="1"/>
  <c r="C1365" i="44" s="1"/>
  <c r="E1363" i="44"/>
  <c r="G1360" i="44"/>
  <c r="G1361" i="44" s="1"/>
  <c r="G1362" i="44" s="1"/>
  <c r="E1366" i="44" l="1"/>
  <c r="G1363" i="44"/>
  <c r="G1364" i="44" s="1"/>
  <c r="G1365" i="44" s="1"/>
  <c r="A1369" i="44"/>
  <c r="C1366" i="44"/>
  <c r="C1367" i="44" s="1"/>
  <c r="C1368" i="44" s="1"/>
  <c r="A1372" i="44" l="1"/>
  <c r="C1369" i="44"/>
  <c r="C1370" i="44" s="1"/>
  <c r="C1371" i="44" s="1"/>
  <c r="E1369" i="44"/>
  <c r="G1366" i="44"/>
  <c r="G1367" i="44" s="1"/>
  <c r="G1368" i="44" s="1"/>
  <c r="E1372" i="44" l="1"/>
  <c r="G1369" i="44"/>
  <c r="G1370" i="44" s="1"/>
  <c r="G1371" i="44" s="1"/>
  <c r="A1375" i="44"/>
  <c r="C1372" i="44"/>
  <c r="C1373" i="44" s="1"/>
  <c r="C1374" i="44" s="1"/>
  <c r="A1378" i="44" l="1"/>
  <c r="C1375" i="44"/>
  <c r="C1376" i="44" s="1"/>
  <c r="C1377" i="44" s="1"/>
  <c r="E1375" i="44"/>
  <c r="G1372" i="44"/>
  <c r="G1373" i="44" s="1"/>
  <c r="G1374" i="44" s="1"/>
  <c r="E1378" i="44" l="1"/>
  <c r="G1375" i="44"/>
  <c r="G1376" i="44" s="1"/>
  <c r="G1377" i="44" s="1"/>
  <c r="A1381" i="44"/>
  <c r="C1378" i="44"/>
  <c r="C1379" i="44" s="1"/>
  <c r="C1380" i="44" s="1"/>
  <c r="A1384" i="44" l="1"/>
  <c r="C1381" i="44"/>
  <c r="C1382" i="44" s="1"/>
  <c r="C1383" i="44" s="1"/>
  <c r="E1381" i="44"/>
  <c r="G1378" i="44"/>
  <c r="G1379" i="44" s="1"/>
  <c r="G1380" i="44" s="1"/>
  <c r="E1384" i="44" l="1"/>
  <c r="G1381" i="44"/>
  <c r="G1382" i="44" s="1"/>
  <c r="G1383" i="44" s="1"/>
  <c r="A1387" i="44"/>
  <c r="C1384" i="44"/>
  <c r="C1385" i="44" s="1"/>
  <c r="C1386" i="44" s="1"/>
  <c r="A1390" i="44" l="1"/>
  <c r="C1387" i="44"/>
  <c r="C1388" i="44" s="1"/>
  <c r="C1389" i="44" s="1"/>
  <c r="E1387" i="44"/>
  <c r="G1384" i="44"/>
  <c r="G1385" i="44" s="1"/>
  <c r="G1386" i="44" s="1"/>
  <c r="E1390" i="44" l="1"/>
  <c r="G1387" i="44"/>
  <c r="G1388" i="44" s="1"/>
  <c r="G1389" i="44" s="1"/>
  <c r="A1393" i="44"/>
  <c r="C1390" i="44"/>
  <c r="C1391" i="44" s="1"/>
  <c r="C1392" i="44" s="1"/>
  <c r="A1396" i="44" l="1"/>
  <c r="C1393" i="44"/>
  <c r="C1394" i="44" s="1"/>
  <c r="C1395" i="44" s="1"/>
  <c r="E1393" i="44"/>
  <c r="G1390" i="44"/>
  <c r="G1391" i="44" s="1"/>
  <c r="G1392" i="44" s="1"/>
  <c r="E1396" i="44" l="1"/>
  <c r="G1393" i="44"/>
  <c r="G1394" i="44" s="1"/>
  <c r="G1395" i="44" s="1"/>
  <c r="C1396" i="44"/>
  <c r="C1397" i="44" s="1"/>
  <c r="C1398" i="44" s="1"/>
  <c r="A1399" i="44"/>
  <c r="C1399" i="44" l="1"/>
  <c r="C1400" i="44" s="1"/>
  <c r="C1401" i="44" s="1"/>
  <c r="A1402" i="44"/>
  <c r="G1396" i="44"/>
  <c r="G1397" i="44" s="1"/>
  <c r="G1398" i="44" s="1"/>
  <c r="E1399" i="44"/>
  <c r="G1399" i="44" l="1"/>
  <c r="G1400" i="44" s="1"/>
  <c r="G1401" i="44" s="1"/>
  <c r="E1402" i="44"/>
  <c r="C1402" i="44"/>
  <c r="C1403" i="44" s="1"/>
  <c r="C1404" i="44" s="1"/>
  <c r="A1405" i="44"/>
  <c r="C1405" i="44" l="1"/>
  <c r="C1406" i="44" s="1"/>
  <c r="C1407" i="44" s="1"/>
  <c r="A1408" i="44"/>
  <c r="G1402" i="44"/>
  <c r="G1403" i="44" s="1"/>
  <c r="G1404" i="44" s="1"/>
  <c r="E1405" i="44"/>
  <c r="G1405" i="44" l="1"/>
  <c r="G1406" i="44" s="1"/>
  <c r="G1407" i="44" s="1"/>
  <c r="E1408" i="44"/>
  <c r="C1408" i="44"/>
  <c r="C1409" i="44" s="1"/>
  <c r="C1410" i="44" s="1"/>
  <c r="A1411" i="44"/>
  <c r="C1411" i="44" l="1"/>
  <c r="C1412" i="44" s="1"/>
  <c r="C1413" i="44" s="1"/>
  <c r="A1414" i="44"/>
  <c r="G1408" i="44"/>
  <c r="G1409" i="44" s="1"/>
  <c r="G1410" i="44" s="1"/>
  <c r="E1411" i="44"/>
  <c r="G1411" i="44" l="1"/>
  <c r="G1412" i="44" s="1"/>
  <c r="G1413" i="44" s="1"/>
  <c r="E1414" i="44"/>
  <c r="C1414" i="44"/>
  <c r="C1415" i="44" s="1"/>
  <c r="C1416" i="44" s="1"/>
  <c r="A1417" i="44"/>
  <c r="C1417" i="44" l="1"/>
  <c r="C1418" i="44" s="1"/>
  <c r="C1419" i="44" s="1"/>
  <c r="A1420" i="44"/>
  <c r="G1414" i="44"/>
  <c r="G1415" i="44" s="1"/>
  <c r="G1416" i="44" s="1"/>
  <c r="E1417" i="44"/>
  <c r="G1417" i="44" l="1"/>
  <c r="G1418" i="44" s="1"/>
  <c r="G1419" i="44" s="1"/>
  <c r="E1420" i="44"/>
  <c r="C1420" i="44"/>
  <c r="C1421" i="44" s="1"/>
  <c r="C1422" i="44" s="1"/>
  <c r="A1423" i="44"/>
  <c r="C1423" i="44" l="1"/>
  <c r="C1424" i="44" s="1"/>
  <c r="C1425" i="44" s="1"/>
  <c r="A1426" i="44"/>
  <c r="G1420" i="44"/>
  <c r="G1421" i="44" s="1"/>
  <c r="G1422" i="44" s="1"/>
  <c r="E1423" i="44"/>
  <c r="G1423" i="44" l="1"/>
  <c r="G1424" i="44" s="1"/>
  <c r="G1425" i="44" s="1"/>
  <c r="E1426" i="44"/>
  <c r="C1426" i="44"/>
  <c r="C1427" i="44" s="1"/>
  <c r="C1428" i="44" s="1"/>
  <c r="A1429" i="44"/>
  <c r="C1429" i="44" l="1"/>
  <c r="C1430" i="44" s="1"/>
  <c r="C1431" i="44" s="1"/>
  <c r="A1432" i="44"/>
  <c r="G1426" i="44"/>
  <c r="G1427" i="44" s="1"/>
  <c r="G1428" i="44" s="1"/>
  <c r="E1429" i="44"/>
  <c r="G1429" i="44" l="1"/>
  <c r="G1430" i="44" s="1"/>
  <c r="G1431" i="44" s="1"/>
  <c r="E1432" i="44"/>
  <c r="C1432" i="44"/>
  <c r="C1433" i="44" s="1"/>
  <c r="C1434" i="44" s="1"/>
  <c r="A1435" i="44"/>
  <c r="C1435" i="44" l="1"/>
  <c r="C1436" i="44" s="1"/>
  <c r="C1437" i="44" s="1"/>
  <c r="A1438" i="44"/>
  <c r="G1432" i="44"/>
  <c r="G1433" i="44" s="1"/>
  <c r="G1434" i="44" s="1"/>
  <c r="E1435" i="44"/>
  <c r="G1435" i="44" l="1"/>
  <c r="G1436" i="44" s="1"/>
  <c r="G1437" i="44" s="1"/>
  <c r="E1438" i="44"/>
  <c r="C1438" i="44"/>
  <c r="C1439" i="44" s="1"/>
  <c r="C1440" i="44" s="1"/>
  <c r="A1441" i="44"/>
  <c r="A1444" i="44" l="1"/>
  <c r="C1441" i="44"/>
  <c r="C1442" i="44" s="1"/>
  <c r="C1443" i="44" s="1"/>
  <c r="G1438" i="44"/>
  <c r="G1439" i="44" s="1"/>
  <c r="G1440" i="44" s="1"/>
  <c r="E1441" i="44"/>
  <c r="E1444" i="44" l="1"/>
  <c r="G1441" i="44"/>
  <c r="G1442" i="44" s="1"/>
  <c r="G1443" i="44" s="1"/>
  <c r="A1447" i="44"/>
  <c r="C1444" i="44"/>
  <c r="C1445" i="44" s="1"/>
  <c r="C1446" i="44" s="1"/>
  <c r="A1450" i="44" l="1"/>
  <c r="C1447" i="44"/>
  <c r="C1448" i="44" s="1"/>
  <c r="C1449" i="44" s="1"/>
  <c r="E1447" i="44"/>
  <c r="G1444" i="44"/>
  <c r="G1445" i="44" s="1"/>
  <c r="G1446" i="44" s="1"/>
  <c r="E1450" i="44" l="1"/>
  <c r="G1447" i="44"/>
  <c r="G1448" i="44" s="1"/>
  <c r="G1449" i="44" s="1"/>
  <c r="A1453" i="44"/>
  <c r="C1450" i="44"/>
  <c r="C1451" i="44" s="1"/>
  <c r="C1452" i="44" s="1"/>
  <c r="A1456" i="44" l="1"/>
  <c r="C1453" i="44"/>
  <c r="C1454" i="44" s="1"/>
  <c r="C1455" i="44" s="1"/>
  <c r="E1453" i="44"/>
  <c r="G1450" i="44"/>
  <c r="G1451" i="44" s="1"/>
  <c r="G1452" i="44" s="1"/>
  <c r="E1456" i="44" l="1"/>
  <c r="G1453" i="44"/>
  <c r="G1454" i="44" s="1"/>
  <c r="G1455" i="44" s="1"/>
  <c r="A1459" i="44"/>
  <c r="C1456" i="44"/>
  <c r="C1457" i="44" s="1"/>
  <c r="C1458" i="44" s="1"/>
  <c r="A1462" i="44" l="1"/>
  <c r="C1459" i="44"/>
  <c r="C1460" i="44" s="1"/>
  <c r="C1461" i="44" s="1"/>
  <c r="E1459" i="44"/>
  <c r="G1456" i="44"/>
  <c r="G1457" i="44" s="1"/>
  <c r="G1458" i="44" s="1"/>
  <c r="E1462" i="44" l="1"/>
  <c r="G1459" i="44"/>
  <c r="G1460" i="44" s="1"/>
  <c r="G1461" i="44" s="1"/>
  <c r="A1465" i="44"/>
  <c r="C1462" i="44"/>
  <c r="C1463" i="44" s="1"/>
  <c r="C1464" i="44" s="1"/>
  <c r="A1468" i="44" l="1"/>
  <c r="C1465" i="44"/>
  <c r="C1466" i="44" s="1"/>
  <c r="C1467" i="44" s="1"/>
  <c r="E1465" i="44"/>
  <c r="G1462" i="44"/>
  <c r="G1463" i="44" s="1"/>
  <c r="G1464" i="44" s="1"/>
  <c r="E1468" i="44" l="1"/>
  <c r="G1465" i="44"/>
  <c r="G1466" i="44" s="1"/>
  <c r="G1467" i="44" s="1"/>
  <c r="A1471" i="44"/>
  <c r="C1468" i="44"/>
  <c r="C1469" i="44" s="1"/>
  <c r="C1470" i="44" s="1"/>
  <c r="A1474" i="44" l="1"/>
  <c r="C1471" i="44"/>
  <c r="C1472" i="44" s="1"/>
  <c r="C1473" i="44" s="1"/>
  <c r="E1471" i="44"/>
  <c r="G1468" i="44"/>
  <c r="G1469" i="44" s="1"/>
  <c r="G1470" i="44" s="1"/>
  <c r="E1474" i="44" l="1"/>
  <c r="G1471" i="44"/>
  <c r="G1472" i="44" s="1"/>
  <c r="G1473" i="44" s="1"/>
  <c r="A1477" i="44"/>
  <c r="C1474" i="44"/>
  <c r="C1475" i="44" s="1"/>
  <c r="C1476" i="44" s="1"/>
  <c r="A1480" i="44" l="1"/>
  <c r="C1477" i="44"/>
  <c r="C1478" i="44" s="1"/>
  <c r="C1479" i="44" s="1"/>
  <c r="E1477" i="44"/>
  <c r="G1474" i="44"/>
  <c r="G1475" i="44" s="1"/>
  <c r="G1476" i="44" s="1"/>
  <c r="E1480" i="44" l="1"/>
  <c r="G1477" i="44"/>
  <c r="G1478" i="44" s="1"/>
  <c r="G1479" i="44" s="1"/>
  <c r="A1483" i="44"/>
  <c r="C1480" i="44"/>
  <c r="C1481" i="44" s="1"/>
  <c r="C1482" i="44" s="1"/>
  <c r="A1486" i="44" l="1"/>
  <c r="C1483" i="44"/>
  <c r="C1484" i="44" s="1"/>
  <c r="C1485" i="44" s="1"/>
  <c r="E1483" i="44"/>
  <c r="G1480" i="44"/>
  <c r="G1481" i="44" s="1"/>
  <c r="G1482" i="44" s="1"/>
  <c r="E1486" i="44" l="1"/>
  <c r="G1483" i="44"/>
  <c r="G1484" i="44" s="1"/>
  <c r="G1485" i="44" s="1"/>
  <c r="A1489" i="44"/>
  <c r="C1486" i="44"/>
  <c r="C1487" i="44" s="1"/>
  <c r="C1488" i="44" s="1"/>
  <c r="A1492" i="44" l="1"/>
  <c r="C1489" i="44"/>
  <c r="C1490" i="44" s="1"/>
  <c r="C1491" i="44" s="1"/>
  <c r="E1489" i="44"/>
  <c r="G1486" i="44"/>
  <c r="G1487" i="44" s="1"/>
  <c r="G1488" i="44" s="1"/>
  <c r="E1492" i="44" l="1"/>
  <c r="G1489" i="44"/>
  <c r="G1490" i="44" s="1"/>
  <c r="G1491" i="44" s="1"/>
  <c r="A1495" i="44"/>
  <c r="C1492" i="44"/>
  <c r="C1493" i="44" s="1"/>
  <c r="C1494" i="44" s="1"/>
  <c r="A1498" i="44" l="1"/>
  <c r="C1495" i="44"/>
  <c r="C1496" i="44" s="1"/>
  <c r="C1497" i="44" s="1"/>
  <c r="E1495" i="44"/>
  <c r="G1492" i="44"/>
  <c r="G1493" i="44" s="1"/>
  <c r="G1494" i="44" s="1"/>
  <c r="E1498" i="44" l="1"/>
  <c r="G1495" i="44"/>
  <c r="G1496" i="44" s="1"/>
  <c r="G1497" i="44" s="1"/>
  <c r="A1501" i="44"/>
  <c r="C1498" i="44"/>
  <c r="C1499" i="44" s="1"/>
  <c r="C1500" i="44" s="1"/>
  <c r="A1504" i="44" l="1"/>
  <c r="C1501" i="44"/>
  <c r="C1502" i="44" s="1"/>
  <c r="C1503" i="44" s="1"/>
  <c r="E1501" i="44"/>
  <c r="G1498" i="44"/>
  <c r="G1499" i="44" s="1"/>
  <c r="G1500" i="44" s="1"/>
  <c r="E1504" i="44" l="1"/>
  <c r="G1501" i="44"/>
  <c r="G1502" i="44" s="1"/>
  <c r="G1503" i="44" s="1"/>
  <c r="A1507" i="44"/>
  <c r="C1504" i="44"/>
  <c r="C1505" i="44" s="1"/>
  <c r="C1506" i="44" s="1"/>
  <c r="A1510" i="44" l="1"/>
  <c r="C1507" i="44"/>
  <c r="C1508" i="44" s="1"/>
  <c r="C1509" i="44" s="1"/>
  <c r="E1507" i="44"/>
  <c r="G1504" i="44"/>
  <c r="G1505" i="44" s="1"/>
  <c r="G1506" i="44" s="1"/>
  <c r="E1510" i="44" l="1"/>
  <c r="G1507" i="44"/>
  <c r="G1508" i="44" s="1"/>
  <c r="G1509" i="44" s="1"/>
  <c r="A1513" i="44"/>
  <c r="C1510" i="44"/>
  <c r="C1511" i="44" s="1"/>
  <c r="C1512" i="44" s="1"/>
  <c r="A1516" i="44" l="1"/>
  <c r="C1513" i="44"/>
  <c r="C1514" i="44" s="1"/>
  <c r="C1515" i="44" s="1"/>
  <c r="E1513" i="44"/>
  <c r="G1510" i="44"/>
  <c r="G1511" i="44" s="1"/>
  <c r="G1512" i="44" s="1"/>
  <c r="E1516" i="44" l="1"/>
  <c r="G1513" i="44"/>
  <c r="G1514" i="44" s="1"/>
  <c r="G1515" i="44" s="1"/>
  <c r="A1519" i="44"/>
  <c r="C1516" i="44"/>
  <c r="C1517" i="44" s="1"/>
  <c r="C1518" i="44" s="1"/>
  <c r="A1522" i="44" l="1"/>
  <c r="C1519" i="44"/>
  <c r="C1520" i="44" s="1"/>
  <c r="C1521" i="44" s="1"/>
  <c r="E1519" i="44"/>
  <c r="G1516" i="44"/>
  <c r="G1517" i="44" s="1"/>
  <c r="G1518" i="44" s="1"/>
  <c r="E1522" i="44" l="1"/>
  <c r="G1519" i="44"/>
  <c r="G1520" i="44" s="1"/>
  <c r="G1521" i="44" s="1"/>
  <c r="A1525" i="44"/>
  <c r="C1522" i="44"/>
  <c r="C1523" i="44" s="1"/>
  <c r="C1524" i="44" s="1"/>
  <c r="A1528" i="44" l="1"/>
  <c r="C1525" i="44"/>
  <c r="C1526" i="44" s="1"/>
  <c r="C1527" i="44" s="1"/>
  <c r="E1525" i="44"/>
  <c r="G1522" i="44"/>
  <c r="G1523" i="44" s="1"/>
  <c r="G1524" i="44" s="1"/>
  <c r="E1528" i="44" l="1"/>
  <c r="G1525" i="44"/>
  <c r="G1526" i="44" s="1"/>
  <c r="G1527" i="44" s="1"/>
  <c r="A1531" i="44"/>
  <c r="C1528" i="44"/>
  <c r="C1529" i="44" s="1"/>
  <c r="C1530" i="44" s="1"/>
  <c r="A1534" i="44" l="1"/>
  <c r="C1531" i="44"/>
  <c r="C1532" i="44" s="1"/>
  <c r="C1533" i="44" s="1"/>
  <c r="E1531" i="44"/>
  <c r="G1528" i="44"/>
  <c r="G1529" i="44" s="1"/>
  <c r="G1530" i="44" s="1"/>
  <c r="E1534" i="44" l="1"/>
  <c r="G1531" i="44"/>
  <c r="G1532" i="44" s="1"/>
  <c r="G1533" i="44" s="1"/>
  <c r="A1537" i="44"/>
  <c r="C1534" i="44"/>
  <c r="C1535" i="44" s="1"/>
  <c r="C1536" i="44" s="1"/>
  <c r="A1540" i="44" l="1"/>
  <c r="C1537" i="44"/>
  <c r="C1538" i="44" s="1"/>
  <c r="C1539" i="44" s="1"/>
  <c r="E1537" i="44"/>
  <c r="G1534" i="44"/>
  <c r="G1535" i="44" s="1"/>
  <c r="G1536" i="44" s="1"/>
  <c r="E1540" i="44" l="1"/>
  <c r="G1537" i="44"/>
  <c r="G1538" i="44" s="1"/>
  <c r="G1539" i="44" s="1"/>
  <c r="A1543" i="44"/>
  <c r="C1540" i="44"/>
  <c r="C1541" i="44" s="1"/>
  <c r="C1542" i="44" s="1"/>
  <c r="A1546" i="44" l="1"/>
  <c r="C1543" i="44"/>
  <c r="C1544" i="44" s="1"/>
  <c r="C1545" i="44" s="1"/>
  <c r="E1543" i="44"/>
  <c r="G1540" i="44"/>
  <c r="G1541" i="44" s="1"/>
  <c r="G1542" i="44" s="1"/>
  <c r="E1546" i="44" l="1"/>
  <c r="G1543" i="44"/>
  <c r="G1544" i="44" s="1"/>
  <c r="G1545" i="44" s="1"/>
  <c r="A1549" i="44"/>
  <c r="C1546" i="44"/>
  <c r="C1547" i="44" s="1"/>
  <c r="C1548" i="44" s="1"/>
  <c r="A1552" i="44" l="1"/>
  <c r="C1549" i="44"/>
  <c r="C1550" i="44" s="1"/>
  <c r="C1551" i="44" s="1"/>
  <c r="E1549" i="44"/>
  <c r="G1546" i="44"/>
  <c r="G1547" i="44" s="1"/>
  <c r="G1548" i="44" s="1"/>
  <c r="E1552" i="44" l="1"/>
  <c r="G1549" i="44"/>
  <c r="G1550" i="44" s="1"/>
  <c r="G1551" i="44" s="1"/>
  <c r="A1555" i="44"/>
  <c r="C1552" i="44"/>
  <c r="C1553" i="44" s="1"/>
  <c r="C1554" i="44" s="1"/>
  <c r="A1558" i="44" l="1"/>
  <c r="C1555" i="44"/>
  <c r="C1556" i="44" s="1"/>
  <c r="C1557" i="44" s="1"/>
  <c r="E1555" i="44"/>
  <c r="G1552" i="44"/>
  <c r="G1553" i="44" s="1"/>
  <c r="G1554" i="44" s="1"/>
  <c r="E1558" i="44" l="1"/>
  <c r="G1555" i="44"/>
  <c r="G1556" i="44" s="1"/>
  <c r="G1557" i="44" s="1"/>
  <c r="A1561" i="44"/>
  <c r="C1558" i="44"/>
  <c r="C1559" i="44" s="1"/>
  <c r="C1560" i="44" s="1"/>
  <c r="A1564" i="44" l="1"/>
  <c r="C1561" i="44"/>
  <c r="C1562" i="44" s="1"/>
  <c r="C1563" i="44" s="1"/>
  <c r="E1561" i="44"/>
  <c r="G1558" i="44"/>
  <c r="G1559" i="44" s="1"/>
  <c r="G1560" i="44" s="1"/>
  <c r="E1564" i="44" l="1"/>
  <c r="G1561" i="44"/>
  <c r="G1562" i="44" s="1"/>
  <c r="G1563" i="44" s="1"/>
  <c r="A1567" i="44"/>
  <c r="C1564" i="44"/>
  <c r="C1565" i="44" s="1"/>
  <c r="C1566" i="44" s="1"/>
  <c r="A1570" i="44" l="1"/>
  <c r="C1567" i="44"/>
  <c r="C1568" i="44" s="1"/>
  <c r="C1569" i="44" s="1"/>
  <c r="E1567" i="44"/>
  <c r="G1564" i="44"/>
  <c r="G1565" i="44" s="1"/>
  <c r="G1566" i="44" s="1"/>
  <c r="E1570" i="44" l="1"/>
  <c r="G1567" i="44"/>
  <c r="G1568" i="44" s="1"/>
  <c r="G1569" i="44" s="1"/>
  <c r="A1573" i="44"/>
  <c r="C1570" i="44"/>
  <c r="C1571" i="44" s="1"/>
  <c r="C1572" i="44" s="1"/>
  <c r="A1576" i="44" l="1"/>
  <c r="C1573" i="44"/>
  <c r="C1574" i="44" s="1"/>
  <c r="C1575" i="44" s="1"/>
  <c r="E1573" i="44"/>
  <c r="G1570" i="44"/>
  <c r="G1571" i="44" s="1"/>
  <c r="G1572" i="44" s="1"/>
  <c r="E1576" i="44" l="1"/>
  <c r="G1573" i="44"/>
  <c r="G1574" i="44" s="1"/>
  <c r="G1575" i="44" s="1"/>
  <c r="A1579" i="44"/>
  <c r="C1576" i="44"/>
  <c r="C1577" i="44" s="1"/>
  <c r="C1578" i="44" s="1"/>
  <c r="A1582" i="44" l="1"/>
  <c r="C1579" i="44"/>
  <c r="C1580" i="44" s="1"/>
  <c r="C1581" i="44" s="1"/>
  <c r="E1579" i="44"/>
  <c r="G1576" i="44"/>
  <c r="G1577" i="44" s="1"/>
  <c r="G1578" i="44" s="1"/>
  <c r="E1582" i="44" l="1"/>
  <c r="G1579" i="44"/>
  <c r="G1580" i="44" s="1"/>
  <c r="G1581" i="44" s="1"/>
  <c r="A1585" i="44"/>
  <c r="C1582" i="44"/>
  <c r="C1583" i="44" s="1"/>
  <c r="C1584" i="44" s="1"/>
  <c r="A1588" i="44" l="1"/>
  <c r="C1585" i="44"/>
  <c r="C1586" i="44" s="1"/>
  <c r="C1587" i="44" s="1"/>
  <c r="E1585" i="44"/>
  <c r="G1582" i="44"/>
  <c r="G1583" i="44" s="1"/>
  <c r="G1584" i="44" s="1"/>
  <c r="E1588" i="44" l="1"/>
  <c r="G1585" i="44"/>
  <c r="G1586" i="44" s="1"/>
  <c r="G1587" i="44" s="1"/>
  <c r="A1591" i="44"/>
  <c r="C1588" i="44"/>
  <c r="C1589" i="44" s="1"/>
  <c r="C1590" i="44" s="1"/>
  <c r="A1594" i="44" l="1"/>
  <c r="C1591" i="44"/>
  <c r="C1592" i="44" s="1"/>
  <c r="C1593" i="44" s="1"/>
  <c r="E1591" i="44"/>
  <c r="G1588" i="44"/>
  <c r="G1589" i="44" s="1"/>
  <c r="G1590" i="44" s="1"/>
  <c r="E1594" i="44" l="1"/>
  <c r="G1591" i="44"/>
  <c r="G1592" i="44" s="1"/>
  <c r="G1593" i="44" s="1"/>
  <c r="A1597" i="44"/>
  <c r="C1594" i="44"/>
  <c r="C1595" i="44" s="1"/>
  <c r="C1596" i="44" s="1"/>
  <c r="A1600" i="44" l="1"/>
  <c r="C1597" i="44"/>
  <c r="C1598" i="44" s="1"/>
  <c r="C1599" i="44" s="1"/>
  <c r="E1597" i="44"/>
  <c r="G1594" i="44"/>
  <c r="G1595" i="44" s="1"/>
  <c r="G1596" i="44" s="1"/>
  <c r="E1600" i="44" l="1"/>
  <c r="G1597" i="44"/>
  <c r="G1598" i="44" s="1"/>
  <c r="G1599" i="44" s="1"/>
  <c r="A1603" i="44"/>
  <c r="C1600" i="44"/>
  <c r="C1601" i="44" s="1"/>
  <c r="C1602" i="44" s="1"/>
  <c r="A1606" i="44" l="1"/>
  <c r="C1603" i="44"/>
  <c r="C1604" i="44" s="1"/>
  <c r="C1605" i="44" s="1"/>
  <c r="E1603" i="44"/>
  <c r="G1600" i="44"/>
  <c r="G1601" i="44" s="1"/>
  <c r="G1602" i="44" s="1"/>
  <c r="E1606" i="44" l="1"/>
  <c r="G1603" i="44"/>
  <c r="G1604" i="44" s="1"/>
  <c r="G1605" i="44" s="1"/>
  <c r="A1609" i="44"/>
  <c r="C1606" i="44"/>
  <c r="C1607" i="44" s="1"/>
  <c r="C1608" i="44" s="1"/>
  <c r="A1612" i="44" l="1"/>
  <c r="C1609" i="44"/>
  <c r="C1610" i="44" s="1"/>
  <c r="C1611" i="44" s="1"/>
  <c r="E1609" i="44"/>
  <c r="G1606" i="44"/>
  <c r="G1607" i="44" s="1"/>
  <c r="G1608" i="44" s="1"/>
  <c r="E1612" i="44" l="1"/>
  <c r="G1609" i="44"/>
  <c r="G1610" i="44" s="1"/>
  <c r="G1611" i="44" s="1"/>
  <c r="A1615" i="44"/>
  <c r="C1612" i="44"/>
  <c r="C1613" i="44" s="1"/>
  <c r="C1614" i="44" s="1"/>
  <c r="A1618" i="44" l="1"/>
  <c r="C1615" i="44"/>
  <c r="C1616" i="44" s="1"/>
  <c r="C1617" i="44" s="1"/>
  <c r="E1615" i="44"/>
  <c r="G1612" i="44"/>
  <c r="G1613" i="44" s="1"/>
  <c r="G1614" i="44" s="1"/>
  <c r="E1618" i="44" l="1"/>
  <c r="G1615" i="44"/>
  <c r="G1616" i="44" s="1"/>
  <c r="G1617" i="44" s="1"/>
  <c r="A1621" i="44"/>
  <c r="C1618" i="44"/>
  <c r="C1619" i="44" s="1"/>
  <c r="C1620" i="44" s="1"/>
  <c r="A1624" i="44" l="1"/>
  <c r="C1621" i="44"/>
  <c r="C1622" i="44" s="1"/>
  <c r="C1623" i="44" s="1"/>
  <c r="E1621" i="44"/>
  <c r="G1618" i="44"/>
  <c r="G1619" i="44" s="1"/>
  <c r="G1620" i="44" s="1"/>
  <c r="E1624" i="44" l="1"/>
  <c r="G1621" i="44"/>
  <c r="G1622" i="44" s="1"/>
  <c r="G1623" i="44" s="1"/>
  <c r="A1627" i="44"/>
  <c r="C1624" i="44"/>
  <c r="C1625" i="44" s="1"/>
  <c r="C1626" i="44" s="1"/>
  <c r="A1630" i="44" l="1"/>
  <c r="C1627" i="44"/>
  <c r="C1628" i="44" s="1"/>
  <c r="C1629" i="44" s="1"/>
  <c r="E1627" i="44"/>
  <c r="G1624" i="44"/>
  <c r="G1625" i="44" s="1"/>
  <c r="G1626" i="44" s="1"/>
  <c r="E1630" i="44" l="1"/>
  <c r="G1627" i="44"/>
  <c r="G1628" i="44" s="1"/>
  <c r="G1629" i="44" s="1"/>
  <c r="A1633" i="44"/>
  <c r="C1630" i="44"/>
  <c r="C1631" i="44" s="1"/>
  <c r="C1632" i="44" s="1"/>
  <c r="A1636" i="44" l="1"/>
  <c r="C1633" i="44"/>
  <c r="C1634" i="44" s="1"/>
  <c r="C1635" i="44" s="1"/>
  <c r="E1633" i="44"/>
  <c r="G1630" i="44"/>
  <c r="G1631" i="44" s="1"/>
  <c r="G1632" i="44" s="1"/>
  <c r="E1636" i="44" l="1"/>
  <c r="G1633" i="44"/>
  <c r="G1634" i="44" s="1"/>
  <c r="G1635" i="44" s="1"/>
  <c r="A1639" i="44"/>
  <c r="C1636" i="44"/>
  <c r="C1637" i="44" s="1"/>
  <c r="C1638" i="44" s="1"/>
  <c r="A1642" i="44" l="1"/>
  <c r="C1639" i="44"/>
  <c r="C1640" i="44" s="1"/>
  <c r="C1641" i="44" s="1"/>
  <c r="E1639" i="44"/>
  <c r="G1636" i="44"/>
  <c r="G1637" i="44" s="1"/>
  <c r="G1638" i="44" s="1"/>
  <c r="E1642" i="44" l="1"/>
  <c r="G1639" i="44"/>
  <c r="G1640" i="44" s="1"/>
  <c r="G1641" i="44" s="1"/>
  <c r="A1645" i="44"/>
  <c r="C1642" i="44"/>
  <c r="C1643" i="44" s="1"/>
  <c r="C1644" i="44" s="1"/>
  <c r="A1648" i="44" l="1"/>
  <c r="C1645" i="44"/>
  <c r="C1646" i="44" s="1"/>
  <c r="C1647" i="44" s="1"/>
  <c r="E1645" i="44"/>
  <c r="G1642" i="44"/>
  <c r="G1643" i="44" s="1"/>
  <c r="G1644" i="44" s="1"/>
  <c r="E1648" i="44" l="1"/>
  <c r="G1645" i="44"/>
  <c r="G1646" i="44" s="1"/>
  <c r="G1647" i="44" s="1"/>
  <c r="A1651" i="44"/>
  <c r="C1648" i="44"/>
  <c r="C1649" i="44" s="1"/>
  <c r="C1650" i="44" s="1"/>
  <c r="A1654" i="44" l="1"/>
  <c r="C1651" i="44"/>
  <c r="C1652" i="44" s="1"/>
  <c r="C1653" i="44" s="1"/>
  <c r="E1651" i="44"/>
  <c r="G1648" i="44"/>
  <c r="G1649" i="44" s="1"/>
  <c r="G1650" i="44" s="1"/>
  <c r="E1654" i="44" l="1"/>
  <c r="G1651" i="44"/>
  <c r="G1652" i="44" s="1"/>
  <c r="G1653" i="44" s="1"/>
  <c r="A1657" i="44"/>
  <c r="C1654" i="44"/>
  <c r="C1655" i="44" s="1"/>
  <c r="C1656" i="44" s="1"/>
  <c r="A1660" i="44" l="1"/>
  <c r="C1657" i="44"/>
  <c r="C1658" i="44" s="1"/>
  <c r="C1659" i="44" s="1"/>
  <c r="E1657" i="44"/>
  <c r="G1654" i="44"/>
  <c r="G1655" i="44" s="1"/>
  <c r="G1656" i="44" s="1"/>
  <c r="E1660" i="44" l="1"/>
  <c r="G1657" i="44"/>
  <c r="G1658" i="44" s="1"/>
  <c r="G1659" i="44" s="1"/>
  <c r="A1663" i="44"/>
  <c r="C1660" i="44"/>
  <c r="C1661" i="44" s="1"/>
  <c r="C1662" i="44" s="1"/>
  <c r="C1663" i="44" l="1"/>
  <c r="C1664" i="44" s="1"/>
  <c r="C1665" i="44" s="1"/>
  <c r="A1666" i="44"/>
  <c r="E1663" i="44"/>
  <c r="G1660" i="44"/>
  <c r="G1661" i="44" s="1"/>
  <c r="G1662" i="44" s="1"/>
  <c r="C1666" i="44" l="1"/>
  <c r="C1667" i="44" s="1"/>
  <c r="C1668" i="44" s="1"/>
  <c r="A1669" i="44"/>
  <c r="G1663" i="44"/>
  <c r="G1664" i="44" s="1"/>
  <c r="G1665" i="44" s="1"/>
  <c r="E1666" i="44"/>
  <c r="G1666" i="44" l="1"/>
  <c r="G1667" i="44" s="1"/>
  <c r="G1668" i="44" s="1"/>
  <c r="E1669" i="44"/>
  <c r="C1669" i="44"/>
  <c r="C1670" i="44" s="1"/>
  <c r="C1671" i="44" s="1"/>
  <c r="A1672" i="44"/>
  <c r="C1672" i="44" l="1"/>
  <c r="C1673" i="44" s="1"/>
  <c r="C1674" i="44" s="1"/>
  <c r="A1675" i="44"/>
  <c r="G1669" i="44"/>
  <c r="G1670" i="44" s="1"/>
  <c r="G1671" i="44" s="1"/>
  <c r="E1672" i="44"/>
  <c r="G1672" i="44" l="1"/>
  <c r="G1673" i="44" s="1"/>
  <c r="G1674" i="44" s="1"/>
  <c r="E1675" i="44"/>
  <c r="C1675" i="44"/>
  <c r="C1676" i="44" s="1"/>
  <c r="C1677" i="44" s="1"/>
  <c r="A1678" i="44"/>
  <c r="C1678" i="44" l="1"/>
  <c r="C1679" i="44" s="1"/>
  <c r="C1680" i="44" s="1"/>
  <c r="A1681" i="44"/>
  <c r="G1675" i="44"/>
  <c r="G1676" i="44" s="1"/>
  <c r="G1677" i="44" s="1"/>
  <c r="E1678" i="44"/>
  <c r="G1678" i="44" l="1"/>
  <c r="G1679" i="44" s="1"/>
  <c r="G1680" i="44" s="1"/>
  <c r="E1681" i="44"/>
  <c r="C1681" i="44"/>
  <c r="C1682" i="44" s="1"/>
  <c r="C1683" i="44" s="1"/>
  <c r="A1684" i="44"/>
  <c r="C1684" i="44" l="1"/>
  <c r="C1685" i="44" s="1"/>
  <c r="C1686" i="44" s="1"/>
  <c r="A1687" i="44"/>
  <c r="G1681" i="44"/>
  <c r="G1682" i="44" s="1"/>
  <c r="G1683" i="44" s="1"/>
  <c r="E1684" i="44"/>
  <c r="G1684" i="44" l="1"/>
  <c r="G1685" i="44" s="1"/>
  <c r="G1686" i="44" s="1"/>
  <c r="E1687" i="44"/>
  <c r="C1687" i="44"/>
  <c r="C1688" i="44" s="1"/>
  <c r="C1689" i="44" s="1"/>
  <c r="A1690" i="44"/>
  <c r="C1690" i="44" l="1"/>
  <c r="C1691" i="44" s="1"/>
  <c r="C1692" i="44" s="1"/>
  <c r="A1693" i="44"/>
  <c r="G1687" i="44"/>
  <c r="G1688" i="44" s="1"/>
  <c r="G1689" i="44" s="1"/>
  <c r="E1690" i="44"/>
  <c r="G1690" i="44" l="1"/>
  <c r="G1691" i="44" s="1"/>
  <c r="G1692" i="44" s="1"/>
  <c r="E1693" i="44"/>
  <c r="C1693" i="44"/>
  <c r="C1694" i="44" s="1"/>
  <c r="C1695" i="44" s="1"/>
  <c r="A1696" i="44"/>
  <c r="C1696" i="44" l="1"/>
  <c r="C1697" i="44" s="1"/>
  <c r="C1698" i="44" s="1"/>
  <c r="A1699" i="44"/>
  <c r="G1693" i="44"/>
  <c r="G1694" i="44" s="1"/>
  <c r="G1695" i="44" s="1"/>
  <c r="E1696" i="44"/>
  <c r="G1696" i="44" l="1"/>
  <c r="G1697" i="44" s="1"/>
  <c r="G1698" i="44" s="1"/>
  <c r="E1699" i="44"/>
  <c r="C1699" i="44"/>
  <c r="C1700" i="44" s="1"/>
  <c r="C1701" i="44" s="1"/>
  <c r="A1702" i="44"/>
  <c r="C1702" i="44" l="1"/>
  <c r="C1703" i="44" s="1"/>
  <c r="C1704" i="44" s="1"/>
  <c r="A1705" i="44"/>
  <c r="G1699" i="44"/>
  <c r="G1700" i="44" s="1"/>
  <c r="G1701" i="44" s="1"/>
  <c r="E1702" i="44"/>
  <c r="G1702" i="44" l="1"/>
  <c r="G1703" i="44" s="1"/>
  <c r="G1704" i="44" s="1"/>
  <c r="E1705" i="44"/>
  <c r="C1705" i="44"/>
  <c r="C1706" i="44" s="1"/>
  <c r="C1707" i="44" s="1"/>
  <c r="A1708" i="44"/>
  <c r="C1708" i="44" l="1"/>
  <c r="C1709" i="44" s="1"/>
  <c r="C1710" i="44" s="1"/>
  <c r="A1711" i="44"/>
  <c r="G1705" i="44"/>
  <c r="G1706" i="44" s="1"/>
  <c r="G1707" i="44" s="1"/>
  <c r="E1708" i="44"/>
  <c r="G1708" i="44" l="1"/>
  <c r="G1709" i="44" s="1"/>
  <c r="G1710" i="44" s="1"/>
  <c r="E1711" i="44"/>
  <c r="C1711" i="44"/>
  <c r="C1712" i="44" s="1"/>
  <c r="C1713" i="44" s="1"/>
  <c r="A1714" i="44"/>
  <c r="C1714" i="44" l="1"/>
  <c r="C1715" i="44" s="1"/>
  <c r="C1716" i="44" s="1"/>
  <c r="A1717" i="44"/>
  <c r="G1711" i="44"/>
  <c r="G1712" i="44" s="1"/>
  <c r="G1713" i="44" s="1"/>
  <c r="E1714" i="44"/>
  <c r="G1714" i="44" l="1"/>
  <c r="G1715" i="44" s="1"/>
  <c r="G1716" i="44" s="1"/>
  <c r="E1717" i="44"/>
  <c r="C1717" i="44"/>
  <c r="C1718" i="44" s="1"/>
  <c r="C1719" i="44" s="1"/>
  <c r="A1720" i="44"/>
  <c r="C1720" i="44" l="1"/>
  <c r="C1721" i="44" s="1"/>
  <c r="C1722" i="44" s="1"/>
  <c r="A1723" i="44"/>
  <c r="G1717" i="44"/>
  <c r="G1718" i="44" s="1"/>
  <c r="G1719" i="44" s="1"/>
  <c r="E1720" i="44"/>
  <c r="G1720" i="44" l="1"/>
  <c r="G1721" i="44" s="1"/>
  <c r="G1722" i="44" s="1"/>
  <c r="E1723" i="44"/>
  <c r="C1723" i="44"/>
  <c r="C1724" i="44" s="1"/>
  <c r="C1725" i="44" s="1"/>
  <c r="A1726" i="44"/>
  <c r="C1726" i="44" l="1"/>
  <c r="C1727" i="44" s="1"/>
  <c r="C1728" i="44" s="1"/>
  <c r="A1729" i="44"/>
  <c r="G1723" i="44"/>
  <c r="G1724" i="44" s="1"/>
  <c r="G1725" i="44" s="1"/>
  <c r="E1726" i="44"/>
  <c r="G1726" i="44" l="1"/>
  <c r="G1727" i="44" s="1"/>
  <c r="G1728" i="44" s="1"/>
  <c r="E1729" i="44"/>
  <c r="C1729" i="44"/>
  <c r="C1730" i="44" s="1"/>
  <c r="C1731" i="44" s="1"/>
  <c r="A1732" i="44"/>
  <c r="C1732" i="44" l="1"/>
  <c r="C1733" i="44" s="1"/>
  <c r="C1734" i="44" s="1"/>
  <c r="A1735" i="44"/>
  <c r="G1729" i="44"/>
  <c r="G1730" i="44" s="1"/>
  <c r="G1731" i="44" s="1"/>
  <c r="E1732" i="44"/>
  <c r="G1732" i="44" l="1"/>
  <c r="G1733" i="44" s="1"/>
  <c r="G1734" i="44" s="1"/>
  <c r="E1735" i="44"/>
  <c r="C1735" i="44"/>
  <c r="C1736" i="44" s="1"/>
  <c r="C1737" i="44" s="1"/>
  <c r="A1738" i="44"/>
  <c r="C1738" i="44" l="1"/>
  <c r="C1739" i="44" s="1"/>
  <c r="C1740" i="44" s="1"/>
  <c r="A1741" i="44"/>
  <c r="G1735" i="44"/>
  <c r="G1736" i="44" s="1"/>
  <c r="G1737" i="44" s="1"/>
  <c r="E1738" i="44"/>
  <c r="G1738" i="44" l="1"/>
  <c r="G1739" i="44" s="1"/>
  <c r="G1740" i="44" s="1"/>
  <c r="E1741" i="44"/>
  <c r="C1741" i="44"/>
  <c r="C1742" i="44" s="1"/>
  <c r="C1743" i="44" s="1"/>
  <c r="A1744" i="44"/>
  <c r="C1744" i="44" l="1"/>
  <c r="C1745" i="44" s="1"/>
  <c r="C1746" i="44" s="1"/>
  <c r="A1747" i="44"/>
  <c r="G1741" i="44"/>
  <c r="G1742" i="44" s="1"/>
  <c r="G1743" i="44" s="1"/>
  <c r="E1744" i="44"/>
  <c r="G1744" i="44" l="1"/>
  <c r="G1745" i="44" s="1"/>
  <c r="G1746" i="44" s="1"/>
  <c r="E1747" i="44"/>
  <c r="C1747" i="44"/>
  <c r="C1748" i="44" s="1"/>
  <c r="C1749" i="44" s="1"/>
  <c r="A1750" i="44"/>
  <c r="C1750" i="44" l="1"/>
  <c r="C1751" i="44" s="1"/>
  <c r="C1752" i="44" s="1"/>
  <c r="A1753" i="44"/>
  <c r="G1747" i="44"/>
  <c r="G1748" i="44" s="1"/>
  <c r="G1749" i="44" s="1"/>
  <c r="E1750" i="44"/>
  <c r="G1750" i="44" l="1"/>
  <c r="G1751" i="44" s="1"/>
  <c r="G1752" i="44" s="1"/>
  <c r="E1753" i="44"/>
  <c r="C1753" i="44"/>
  <c r="C1754" i="44" s="1"/>
  <c r="C1755" i="44" s="1"/>
  <c r="A1756" i="44"/>
  <c r="C1756" i="44" l="1"/>
  <c r="C1757" i="44" s="1"/>
  <c r="C1758" i="44" s="1"/>
  <c r="A1759" i="44"/>
  <c r="G1753" i="44"/>
  <c r="G1754" i="44" s="1"/>
  <c r="G1755" i="44" s="1"/>
  <c r="E1756" i="44"/>
  <c r="G1756" i="44" l="1"/>
  <c r="G1757" i="44" s="1"/>
  <c r="G1758" i="44" s="1"/>
  <c r="E1759" i="44"/>
  <c r="A1762" i="44"/>
  <c r="C1759" i="44"/>
  <c r="C1760" i="44" s="1"/>
  <c r="C1761" i="44" s="1"/>
  <c r="G1759" i="44" l="1"/>
  <c r="G1760" i="44" s="1"/>
  <c r="G1761" i="44" s="1"/>
  <c r="E1762" i="44"/>
  <c r="C1762" i="44"/>
  <c r="C1763" i="44" s="1"/>
  <c r="C1764" i="44" s="1"/>
  <c r="A1765" i="44"/>
  <c r="C1765" i="44" l="1"/>
  <c r="C1766" i="44" s="1"/>
  <c r="C1767" i="44" s="1"/>
  <c r="A1768" i="44"/>
  <c r="G1762" i="44"/>
  <c r="G1763" i="44" s="1"/>
  <c r="G1764" i="44" s="1"/>
  <c r="E1765" i="44"/>
  <c r="G1765" i="44" l="1"/>
  <c r="G1766" i="44" s="1"/>
  <c r="G1767" i="44" s="1"/>
  <c r="E1768" i="44"/>
  <c r="C1768" i="44"/>
  <c r="C1769" i="44" s="1"/>
  <c r="C1770" i="44" s="1"/>
  <c r="A1771" i="44"/>
  <c r="C1771" i="44" l="1"/>
  <c r="C1772" i="44" s="1"/>
  <c r="C1773" i="44" s="1"/>
  <c r="A1774" i="44"/>
  <c r="G1768" i="44"/>
  <c r="G1769" i="44" s="1"/>
  <c r="G1770" i="44" s="1"/>
  <c r="E1771" i="44"/>
  <c r="G1771" i="44" l="1"/>
  <c r="G1772" i="44" s="1"/>
  <c r="G1773" i="44" s="1"/>
  <c r="E1774" i="44"/>
  <c r="C1774" i="44"/>
  <c r="C1775" i="44" s="1"/>
  <c r="C1776" i="44" s="1"/>
  <c r="A1777" i="44"/>
  <c r="C1777" i="44" l="1"/>
  <c r="C1778" i="44" s="1"/>
  <c r="C1779" i="44" s="1"/>
  <c r="A1780" i="44"/>
  <c r="G1774" i="44"/>
  <c r="G1775" i="44" s="1"/>
  <c r="G1776" i="44" s="1"/>
  <c r="E1777" i="44"/>
  <c r="G1777" i="44" l="1"/>
  <c r="G1778" i="44" s="1"/>
  <c r="G1779" i="44" s="1"/>
  <c r="E1780" i="44"/>
  <c r="C1780" i="44"/>
  <c r="C1781" i="44" s="1"/>
  <c r="C1782" i="44" s="1"/>
  <c r="A1783" i="44"/>
  <c r="C1783" i="44" l="1"/>
  <c r="C1784" i="44" s="1"/>
  <c r="C1785" i="44" s="1"/>
  <c r="A1786" i="44"/>
  <c r="G1780" i="44"/>
  <c r="G1781" i="44" s="1"/>
  <c r="G1782" i="44" s="1"/>
  <c r="E1783" i="44"/>
  <c r="G1783" i="44" l="1"/>
  <c r="G1784" i="44" s="1"/>
  <c r="G1785" i="44" s="1"/>
  <c r="E1786" i="44"/>
  <c r="C1786" i="44"/>
  <c r="C1787" i="44" s="1"/>
  <c r="C1788" i="44" s="1"/>
  <c r="A1789" i="44"/>
  <c r="C1789" i="44" l="1"/>
  <c r="C1790" i="44" s="1"/>
  <c r="C1791" i="44" s="1"/>
  <c r="A1792" i="44"/>
  <c r="G1786" i="44"/>
  <c r="G1787" i="44" s="1"/>
  <c r="G1788" i="44" s="1"/>
  <c r="E1789" i="44"/>
  <c r="G1789" i="44" l="1"/>
  <c r="G1790" i="44" s="1"/>
  <c r="G1791" i="44" s="1"/>
  <c r="E1792" i="44"/>
  <c r="C1792" i="44"/>
  <c r="C1793" i="44" s="1"/>
  <c r="C1794" i="44" s="1"/>
  <c r="A1795" i="44"/>
  <c r="C1795" i="44" l="1"/>
  <c r="C1796" i="44" s="1"/>
  <c r="C1797" i="44" s="1"/>
  <c r="A1798" i="44"/>
  <c r="G1792" i="44"/>
  <c r="G1793" i="44" s="1"/>
  <c r="G1794" i="44" s="1"/>
  <c r="E1795" i="44"/>
  <c r="G1795" i="44" l="1"/>
  <c r="G1796" i="44" s="1"/>
  <c r="G1797" i="44" s="1"/>
  <c r="E1798" i="44"/>
  <c r="C1798" i="44"/>
  <c r="C1799" i="44" s="1"/>
  <c r="C1800" i="44" s="1"/>
  <c r="A1801" i="44"/>
  <c r="C1801" i="44" l="1"/>
  <c r="C1802" i="44" s="1"/>
  <c r="C1803" i="44" s="1"/>
  <c r="A1804" i="44"/>
  <c r="G1798" i="44"/>
  <c r="G1799" i="44" s="1"/>
  <c r="G1800" i="44" s="1"/>
  <c r="E1801" i="44"/>
  <c r="G1801" i="44" l="1"/>
  <c r="G1802" i="44" s="1"/>
  <c r="G1803" i="44" s="1"/>
  <c r="E1804" i="44"/>
  <c r="C1804" i="44"/>
  <c r="C1805" i="44" s="1"/>
  <c r="C1806" i="44" s="1"/>
  <c r="A1807" i="44"/>
  <c r="C1807" i="44" l="1"/>
  <c r="C1808" i="44" s="1"/>
  <c r="C1809" i="44" s="1"/>
  <c r="A1810" i="44"/>
  <c r="G1804" i="44"/>
  <c r="G1805" i="44" s="1"/>
  <c r="G1806" i="44" s="1"/>
  <c r="E1807" i="44"/>
  <c r="G1807" i="44" l="1"/>
  <c r="G1808" i="44" s="1"/>
  <c r="G1809" i="44" s="1"/>
  <c r="E1810" i="44"/>
  <c r="C1810" i="44"/>
  <c r="C1811" i="44" s="1"/>
  <c r="C1812" i="44" s="1"/>
  <c r="A1813" i="44"/>
  <c r="C1813" i="44" l="1"/>
  <c r="C1814" i="44" s="1"/>
  <c r="C1815" i="44" s="1"/>
  <c r="A1816" i="44"/>
  <c r="G1810" i="44"/>
  <c r="G1811" i="44" s="1"/>
  <c r="G1812" i="44" s="1"/>
  <c r="E1813" i="44"/>
  <c r="G1813" i="44" l="1"/>
  <c r="G1814" i="44" s="1"/>
  <c r="G1815" i="44" s="1"/>
  <c r="E1816" i="44"/>
  <c r="A1819" i="44"/>
  <c r="C1816" i="44"/>
  <c r="C1817" i="44" s="1"/>
  <c r="C1818" i="44" s="1"/>
  <c r="E1819" i="44" l="1"/>
  <c r="G1816" i="44"/>
  <c r="G1817" i="44" s="1"/>
  <c r="G1818" i="44" s="1"/>
  <c r="A1822" i="44"/>
  <c r="C1819" i="44"/>
  <c r="C1820" i="44" s="1"/>
  <c r="C1821" i="44" s="1"/>
  <c r="A1825" i="44" l="1"/>
  <c r="C1822" i="44"/>
  <c r="C1823" i="44" s="1"/>
  <c r="C1824" i="44" s="1"/>
  <c r="E1822" i="44"/>
  <c r="G1819" i="44"/>
  <c r="G1820" i="44" s="1"/>
  <c r="G1821" i="44" s="1"/>
  <c r="E1825" i="44" l="1"/>
  <c r="G1822" i="44"/>
  <c r="G1823" i="44" s="1"/>
  <c r="G1824" i="44" s="1"/>
  <c r="A1828" i="44"/>
  <c r="C1825" i="44"/>
  <c r="C1826" i="44" s="1"/>
  <c r="C1827" i="44" s="1"/>
  <c r="A1831" i="44" l="1"/>
  <c r="C1828" i="44"/>
  <c r="C1829" i="44" s="1"/>
  <c r="C1830" i="44" s="1"/>
  <c r="E1828" i="44"/>
  <c r="G1825" i="44"/>
  <c r="G1826" i="44" s="1"/>
  <c r="G1827" i="44" s="1"/>
  <c r="E1831" i="44" l="1"/>
  <c r="G1828" i="44"/>
  <c r="G1829" i="44" s="1"/>
  <c r="G1830" i="44" s="1"/>
  <c r="A1834" i="44"/>
  <c r="C1831" i="44"/>
  <c r="C1832" i="44" s="1"/>
  <c r="C1833" i="44" s="1"/>
  <c r="A1837" i="44" l="1"/>
  <c r="C1834" i="44"/>
  <c r="C1835" i="44" s="1"/>
  <c r="C1836" i="44" s="1"/>
  <c r="E1834" i="44"/>
  <c r="G1831" i="44"/>
  <c r="G1832" i="44" s="1"/>
  <c r="G1833" i="44" s="1"/>
  <c r="E1837" i="44" l="1"/>
  <c r="G1834" i="44"/>
  <c r="G1835" i="44" s="1"/>
  <c r="G1836" i="44" s="1"/>
  <c r="A1840" i="44"/>
  <c r="C1837" i="44"/>
  <c r="C1838" i="44" s="1"/>
  <c r="C1839" i="44" s="1"/>
  <c r="A1843" i="44" l="1"/>
  <c r="C1840" i="44"/>
  <c r="C1841" i="44" s="1"/>
  <c r="C1842" i="44" s="1"/>
  <c r="E1840" i="44"/>
  <c r="G1837" i="44"/>
  <c r="G1838" i="44" s="1"/>
  <c r="G1839" i="44" s="1"/>
  <c r="E1843" i="44" l="1"/>
  <c r="G1840" i="44"/>
  <c r="G1841" i="44" s="1"/>
  <c r="G1842" i="44" s="1"/>
  <c r="A1846" i="44"/>
  <c r="C1843" i="44"/>
  <c r="C1844" i="44" s="1"/>
  <c r="C1845" i="44" s="1"/>
  <c r="A1849" i="44" l="1"/>
  <c r="C1846" i="44"/>
  <c r="C1847" i="44" s="1"/>
  <c r="C1848" i="44" s="1"/>
  <c r="E1846" i="44"/>
  <c r="G1843" i="44"/>
  <c r="G1844" i="44" s="1"/>
  <c r="G1845" i="44" s="1"/>
  <c r="E1849" i="44" l="1"/>
  <c r="G1846" i="44"/>
  <c r="G1847" i="44" s="1"/>
  <c r="G1848" i="44" s="1"/>
  <c r="A1852" i="44"/>
  <c r="C1849" i="44"/>
  <c r="C1850" i="44" s="1"/>
  <c r="C1851" i="44" s="1"/>
  <c r="A1855" i="44" l="1"/>
  <c r="C1852" i="44"/>
  <c r="C1853" i="44" s="1"/>
  <c r="C1854" i="44" s="1"/>
  <c r="E1852" i="44"/>
  <c r="G1849" i="44"/>
  <c r="G1850" i="44" s="1"/>
  <c r="G1851" i="44" s="1"/>
  <c r="E1855" i="44" l="1"/>
  <c r="G1852" i="44"/>
  <c r="G1853" i="44" s="1"/>
  <c r="G1854" i="44" s="1"/>
  <c r="A1858" i="44"/>
  <c r="C1855" i="44"/>
  <c r="C1856" i="44" s="1"/>
  <c r="C1857" i="44" s="1"/>
  <c r="A1861" i="44" l="1"/>
  <c r="C1858" i="44"/>
  <c r="C1859" i="44" s="1"/>
  <c r="C1860" i="44" s="1"/>
  <c r="E1858" i="44"/>
  <c r="G1855" i="44"/>
  <c r="G1856" i="44" s="1"/>
  <c r="G1857" i="44" s="1"/>
  <c r="E1861" i="44" l="1"/>
  <c r="G1858" i="44"/>
  <c r="G1859" i="44" s="1"/>
  <c r="G1860" i="44" s="1"/>
  <c r="A1864" i="44"/>
  <c r="C1861" i="44"/>
  <c r="C1862" i="44" s="1"/>
  <c r="C1863" i="44" s="1"/>
  <c r="A1867" i="44" l="1"/>
  <c r="C1864" i="44"/>
  <c r="C1865" i="44" s="1"/>
  <c r="C1866" i="44" s="1"/>
  <c r="E1864" i="44"/>
  <c r="G1861" i="44"/>
  <c r="G1862" i="44" s="1"/>
  <c r="G1863" i="44" s="1"/>
  <c r="E1867" i="44" l="1"/>
  <c r="G1864" i="44"/>
  <c r="G1865" i="44" s="1"/>
  <c r="G1866" i="44" s="1"/>
  <c r="A1870" i="44"/>
  <c r="C1867" i="44"/>
  <c r="C1868" i="44" s="1"/>
  <c r="C1869" i="44" s="1"/>
  <c r="A1873" i="44" l="1"/>
  <c r="C1870" i="44"/>
  <c r="C1871" i="44" s="1"/>
  <c r="C1872" i="44" s="1"/>
  <c r="E1870" i="44"/>
  <c r="G1867" i="44"/>
  <c r="G1868" i="44" s="1"/>
  <c r="G1869" i="44" s="1"/>
  <c r="E1873" i="44" l="1"/>
  <c r="G1870" i="44"/>
  <c r="G1871" i="44" s="1"/>
  <c r="G1872" i="44" s="1"/>
  <c r="A1876" i="44"/>
  <c r="C1873" i="44"/>
  <c r="C1874" i="44" s="1"/>
  <c r="C1875" i="44" s="1"/>
  <c r="A1879" i="44" l="1"/>
  <c r="C1876" i="44"/>
  <c r="C1877" i="44" s="1"/>
  <c r="C1878" i="44" s="1"/>
  <c r="E1876" i="44"/>
  <c r="G1873" i="44"/>
  <c r="G1874" i="44" s="1"/>
  <c r="G1875" i="44" s="1"/>
  <c r="E1879" i="44" l="1"/>
  <c r="G1876" i="44"/>
  <c r="G1877" i="44" s="1"/>
  <c r="G1878" i="44" s="1"/>
  <c r="A1882" i="44"/>
  <c r="C1879" i="44"/>
  <c r="C1880" i="44" s="1"/>
  <c r="C1881" i="44" s="1"/>
  <c r="A1885" i="44" l="1"/>
  <c r="C1882" i="44"/>
  <c r="C1883" i="44" s="1"/>
  <c r="C1884" i="44" s="1"/>
  <c r="E1882" i="44"/>
  <c r="G1879" i="44"/>
  <c r="G1880" i="44" s="1"/>
  <c r="G1881" i="44" s="1"/>
  <c r="E1885" i="44" l="1"/>
  <c r="G1882" i="44"/>
  <c r="G1883" i="44" s="1"/>
  <c r="G1884" i="44" s="1"/>
  <c r="A1888" i="44"/>
  <c r="C1885" i="44"/>
  <c r="C1886" i="44" s="1"/>
  <c r="C1887" i="44" s="1"/>
  <c r="A1891" i="44" l="1"/>
  <c r="C1888" i="44"/>
  <c r="C1889" i="44" s="1"/>
  <c r="C1890" i="44" s="1"/>
  <c r="E1888" i="44"/>
  <c r="G1885" i="44"/>
  <c r="G1886" i="44" s="1"/>
  <c r="G1887" i="44" s="1"/>
  <c r="E1891" i="44" l="1"/>
  <c r="G1888" i="44"/>
  <c r="G1889" i="44" s="1"/>
  <c r="G1890" i="44" s="1"/>
  <c r="A1894" i="44"/>
  <c r="C1891" i="44"/>
  <c r="C1892" i="44" s="1"/>
  <c r="C1893" i="44" s="1"/>
  <c r="A1897" i="44" l="1"/>
  <c r="C1894" i="44"/>
  <c r="C1895" i="44" s="1"/>
  <c r="C1896" i="44" s="1"/>
  <c r="E1894" i="44"/>
  <c r="G1891" i="44"/>
  <c r="G1892" i="44" s="1"/>
  <c r="G1893" i="44" s="1"/>
  <c r="E1897" i="44" l="1"/>
  <c r="G1894" i="44"/>
  <c r="G1895" i="44" s="1"/>
  <c r="G1896" i="44" s="1"/>
  <c r="A1900" i="44"/>
  <c r="C1897" i="44"/>
  <c r="C1898" i="44" s="1"/>
  <c r="C1899" i="44" s="1"/>
  <c r="C1900" i="44" l="1"/>
  <c r="C1901" i="44" s="1"/>
  <c r="C1902" i="44" s="1"/>
  <c r="A1903" i="44"/>
  <c r="E1900" i="44"/>
  <c r="G1897" i="44"/>
  <c r="G1898" i="44" s="1"/>
  <c r="G1899" i="44" s="1"/>
  <c r="C1903" i="44" l="1"/>
  <c r="C1904" i="44" s="1"/>
  <c r="C1905" i="44" s="1"/>
  <c r="A1906" i="44"/>
  <c r="G1900" i="44"/>
  <c r="G1901" i="44" s="1"/>
  <c r="G1902" i="44" s="1"/>
  <c r="E1903" i="44"/>
  <c r="G1903" i="44" l="1"/>
  <c r="G1904" i="44" s="1"/>
  <c r="G1905" i="44" s="1"/>
  <c r="E1906" i="44"/>
  <c r="C1906" i="44"/>
  <c r="C1907" i="44" s="1"/>
  <c r="C1908" i="44" s="1"/>
  <c r="A1909" i="44"/>
  <c r="C1909" i="44" l="1"/>
  <c r="C1910" i="44" s="1"/>
  <c r="C1911" i="44" s="1"/>
  <c r="A1912" i="44"/>
  <c r="G1906" i="44"/>
  <c r="G1907" i="44" s="1"/>
  <c r="G1908" i="44" s="1"/>
  <c r="E1909" i="44"/>
  <c r="G1909" i="44" l="1"/>
  <c r="G1910" i="44" s="1"/>
  <c r="G1911" i="44" s="1"/>
  <c r="E1912" i="44"/>
  <c r="C1912" i="44"/>
  <c r="C1913" i="44" s="1"/>
  <c r="C1914" i="44" s="1"/>
  <c r="A1915" i="44"/>
  <c r="C1915" i="44" l="1"/>
  <c r="C1916" i="44" s="1"/>
  <c r="C1917" i="44" s="1"/>
  <c r="A1918" i="44"/>
  <c r="G1912" i="44"/>
  <c r="G1913" i="44" s="1"/>
  <c r="G1914" i="44" s="1"/>
  <c r="E1915" i="44"/>
  <c r="G1915" i="44" l="1"/>
  <c r="G1916" i="44" s="1"/>
  <c r="G1917" i="44" s="1"/>
  <c r="E1918" i="44"/>
  <c r="C1918" i="44"/>
  <c r="C1919" i="44" s="1"/>
  <c r="C1920" i="44" s="1"/>
  <c r="A1921" i="44"/>
  <c r="C1921" i="44" l="1"/>
  <c r="C1922" i="44" s="1"/>
  <c r="C1923" i="44" s="1"/>
  <c r="A1924" i="44"/>
  <c r="G1918" i="44"/>
  <c r="G1919" i="44" s="1"/>
  <c r="G1920" i="44" s="1"/>
  <c r="E1921" i="44"/>
  <c r="G1921" i="44" l="1"/>
  <c r="G1922" i="44" s="1"/>
  <c r="G1923" i="44" s="1"/>
  <c r="E1924" i="44"/>
  <c r="C1924" i="44"/>
  <c r="C1925" i="44" s="1"/>
  <c r="C1926" i="44" s="1"/>
  <c r="A1927" i="44"/>
  <c r="C1927" i="44" l="1"/>
  <c r="C1928" i="44" s="1"/>
  <c r="C1929" i="44" s="1"/>
  <c r="A1930" i="44"/>
  <c r="G1924" i="44"/>
  <c r="G1925" i="44" s="1"/>
  <c r="G1926" i="44" s="1"/>
  <c r="E1927" i="44"/>
  <c r="G1927" i="44" l="1"/>
  <c r="G1928" i="44" s="1"/>
  <c r="G1929" i="44" s="1"/>
  <c r="E1930" i="44"/>
  <c r="C1930" i="44"/>
  <c r="C1931" i="44" s="1"/>
  <c r="C1932" i="44" s="1"/>
  <c r="A1933" i="44"/>
  <c r="C1933" i="44" l="1"/>
  <c r="C1934" i="44" s="1"/>
  <c r="C1935" i="44" s="1"/>
  <c r="A1936" i="44"/>
  <c r="G1930" i="44"/>
  <c r="G1931" i="44" s="1"/>
  <c r="G1932" i="44" s="1"/>
  <c r="E1933" i="44"/>
  <c r="G1933" i="44" l="1"/>
  <c r="G1934" i="44" s="1"/>
  <c r="G1935" i="44" s="1"/>
  <c r="E1936" i="44"/>
  <c r="C1936" i="44"/>
  <c r="C1937" i="44" s="1"/>
  <c r="C1938" i="44" s="1"/>
  <c r="A1939" i="44"/>
  <c r="C1939" i="44" l="1"/>
  <c r="C1940" i="44" s="1"/>
  <c r="C1941" i="44" s="1"/>
  <c r="A1942" i="44"/>
  <c r="G1936" i="44"/>
  <c r="G1937" i="44" s="1"/>
  <c r="G1938" i="44" s="1"/>
  <c r="E1939" i="44"/>
  <c r="G1939" i="44" l="1"/>
  <c r="G1940" i="44" s="1"/>
  <c r="G1941" i="44" s="1"/>
  <c r="E1942" i="44"/>
  <c r="C1942" i="44"/>
  <c r="C1943" i="44" s="1"/>
  <c r="C1944" i="44" s="1"/>
  <c r="A1945" i="44"/>
  <c r="C1945" i="44" l="1"/>
  <c r="C1946" i="44" s="1"/>
  <c r="C1947" i="44" s="1"/>
  <c r="A1948" i="44"/>
  <c r="G1942" i="44"/>
  <c r="G1943" i="44" s="1"/>
  <c r="G1944" i="44" s="1"/>
  <c r="E1945" i="44"/>
  <c r="G1945" i="44" l="1"/>
  <c r="G1946" i="44" s="1"/>
  <c r="G1947" i="44" s="1"/>
  <c r="E1948" i="44"/>
  <c r="C1948" i="44"/>
  <c r="C1949" i="44" s="1"/>
  <c r="C1950" i="44" s="1"/>
  <c r="A1951" i="44"/>
  <c r="C1951" i="44" l="1"/>
  <c r="C1952" i="44" s="1"/>
  <c r="C1953" i="44" s="1"/>
  <c r="A1954" i="44"/>
  <c r="G1948" i="44"/>
  <c r="G1949" i="44" s="1"/>
  <c r="G1950" i="44" s="1"/>
  <c r="E1951" i="44"/>
  <c r="G1951" i="44" l="1"/>
  <c r="G1952" i="44" s="1"/>
  <c r="G1953" i="44" s="1"/>
  <c r="E1954" i="44"/>
  <c r="A1957" i="44"/>
  <c r="C1954" i="44"/>
  <c r="C1955" i="44" s="1"/>
  <c r="C1956" i="44" s="1"/>
  <c r="E1957" i="44" l="1"/>
  <c r="G1954" i="44"/>
  <c r="G1955" i="44" s="1"/>
  <c r="G1956" i="44" s="1"/>
  <c r="A1960" i="44"/>
  <c r="C1957" i="44"/>
  <c r="C1958" i="44" s="1"/>
  <c r="C1959" i="44" s="1"/>
  <c r="A1963" i="44" l="1"/>
  <c r="C1960" i="44"/>
  <c r="C1961" i="44" s="1"/>
  <c r="C1962" i="44" s="1"/>
  <c r="E1960" i="44"/>
  <c r="G1957" i="44"/>
  <c r="G1958" i="44" s="1"/>
  <c r="G1959" i="44" s="1"/>
  <c r="E1963" i="44" l="1"/>
  <c r="G1960" i="44"/>
  <c r="G1961" i="44" s="1"/>
  <c r="G1962" i="44" s="1"/>
  <c r="A1966" i="44"/>
  <c r="C1963" i="44"/>
  <c r="C1964" i="44" s="1"/>
  <c r="C1965" i="44" s="1"/>
  <c r="A1969" i="44" l="1"/>
  <c r="C1966" i="44"/>
  <c r="C1967" i="44" s="1"/>
  <c r="C1968" i="44" s="1"/>
  <c r="E1966" i="44"/>
  <c r="G1963" i="44"/>
  <c r="G1964" i="44" s="1"/>
  <c r="G1965" i="44" s="1"/>
  <c r="E1969" i="44" l="1"/>
  <c r="G1966" i="44"/>
  <c r="G1967" i="44" s="1"/>
  <c r="G1968" i="44" s="1"/>
  <c r="A1972" i="44"/>
  <c r="C1969" i="44"/>
  <c r="C1970" i="44" s="1"/>
  <c r="C1971" i="44" s="1"/>
  <c r="C1972" i="44" l="1"/>
  <c r="C1973" i="44" s="1"/>
  <c r="C1974" i="44" s="1"/>
  <c r="A1975" i="44"/>
  <c r="E1972" i="44"/>
  <c r="G1969" i="44"/>
  <c r="G1970" i="44" s="1"/>
  <c r="G1971" i="44" s="1"/>
  <c r="C1975" i="44" l="1"/>
  <c r="C1976" i="44" s="1"/>
  <c r="C1977" i="44" s="1"/>
  <c r="A1978" i="44"/>
  <c r="G1972" i="44"/>
  <c r="G1973" i="44" s="1"/>
  <c r="G1974" i="44" s="1"/>
  <c r="E1975" i="44"/>
  <c r="G1975" i="44" l="1"/>
  <c r="G1976" i="44" s="1"/>
  <c r="G1977" i="44" s="1"/>
  <c r="E1978" i="44"/>
  <c r="C1978" i="44"/>
  <c r="C1979" i="44" s="1"/>
  <c r="C1980" i="44" s="1"/>
  <c r="A1981" i="44"/>
  <c r="C1981" i="44" l="1"/>
  <c r="C1982" i="44" s="1"/>
  <c r="C1983" i="44" s="1"/>
  <c r="A1984" i="44"/>
  <c r="G1978" i="44"/>
  <c r="G1979" i="44" s="1"/>
  <c r="G1980" i="44" s="1"/>
  <c r="E1981" i="44"/>
  <c r="G1981" i="44" l="1"/>
  <c r="G1982" i="44" s="1"/>
  <c r="G1983" i="44" s="1"/>
  <c r="E1984" i="44"/>
  <c r="C1984" i="44"/>
  <c r="C1985" i="44" s="1"/>
  <c r="C1986" i="44" s="1"/>
  <c r="A1987" i="44"/>
  <c r="C1987" i="44" l="1"/>
  <c r="C1988" i="44" s="1"/>
  <c r="C1989" i="44" s="1"/>
  <c r="A1990" i="44"/>
  <c r="G1984" i="44"/>
  <c r="G1985" i="44" s="1"/>
  <c r="G1986" i="44" s="1"/>
  <c r="E1987" i="44"/>
  <c r="G1987" i="44" l="1"/>
  <c r="G1988" i="44" s="1"/>
  <c r="G1989" i="44" s="1"/>
  <c r="E1990" i="44"/>
  <c r="C1990" i="44"/>
  <c r="C1991" i="44" s="1"/>
  <c r="C1992" i="44" s="1"/>
  <c r="A1993" i="44"/>
  <c r="C1993" i="44" l="1"/>
  <c r="C1994" i="44" s="1"/>
  <c r="C1995" i="44" s="1"/>
  <c r="A1996" i="44"/>
  <c r="G1990" i="44"/>
  <c r="G1991" i="44" s="1"/>
  <c r="G1992" i="44" s="1"/>
  <c r="E1993" i="44"/>
  <c r="G1993" i="44" l="1"/>
  <c r="G1994" i="44" s="1"/>
  <c r="G1995" i="44" s="1"/>
  <c r="E1996" i="44"/>
  <c r="C1996" i="44"/>
  <c r="C1997" i="44" s="1"/>
  <c r="C1998" i="44" s="1"/>
  <c r="A1999" i="44"/>
  <c r="C1999" i="44" l="1"/>
  <c r="C2000" i="44" s="1"/>
  <c r="C2001" i="44" s="1"/>
  <c r="A2002" i="44"/>
  <c r="G1996" i="44"/>
  <c r="G1997" i="44" s="1"/>
  <c r="G1998" i="44" s="1"/>
  <c r="E1999" i="44"/>
  <c r="G1999" i="44" l="1"/>
  <c r="G2000" i="44" s="1"/>
  <c r="G2001" i="44" s="1"/>
  <c r="E2002" i="44"/>
  <c r="C2002" i="44"/>
  <c r="C2003" i="44" s="1"/>
  <c r="C2004" i="44" s="1"/>
  <c r="A2005" i="44"/>
  <c r="C2005" i="44" l="1"/>
  <c r="C2006" i="44" s="1"/>
  <c r="C2007" i="44" s="1"/>
  <c r="A2008" i="44"/>
  <c r="G2002" i="44"/>
  <c r="G2003" i="44" s="1"/>
  <c r="G2004" i="44" s="1"/>
  <c r="E2005" i="44"/>
  <c r="G2005" i="44" l="1"/>
  <c r="G2006" i="44" s="1"/>
  <c r="G2007" i="44" s="1"/>
  <c r="E2008" i="44"/>
  <c r="C2008" i="44"/>
  <c r="C2009" i="44" s="1"/>
  <c r="C2010" i="44" s="1"/>
  <c r="A2011" i="44"/>
  <c r="C2011" i="44" l="1"/>
  <c r="C2012" i="44" s="1"/>
  <c r="C2013" i="44" s="1"/>
  <c r="A2014" i="44"/>
  <c r="G2008" i="44"/>
  <c r="G2009" i="44" s="1"/>
  <c r="G2010" i="44" s="1"/>
  <c r="E2011" i="44"/>
  <c r="G2011" i="44" l="1"/>
  <c r="G2012" i="44" s="1"/>
  <c r="G2013" i="44" s="1"/>
  <c r="E2014" i="44"/>
  <c r="C2014" i="44"/>
  <c r="C2015" i="44" s="1"/>
  <c r="C2016" i="44" s="1"/>
  <c r="A2017" i="44"/>
  <c r="C2017" i="44" s="1"/>
  <c r="C2018" i="44" s="1"/>
  <c r="G2014" i="44" l="1"/>
  <c r="G2015" i="44" s="1"/>
  <c r="G2016" i="44" s="1"/>
  <c r="E2017" i="44"/>
  <c r="G2017" i="44" s="1"/>
  <c r="G2018" i="44" s="1"/>
  <c r="K215" i="16" l="1"/>
  <c r="L163" i="16" l="1"/>
  <c r="K163" i="16"/>
  <c r="L162" i="16"/>
  <c r="C8" i="14" l="1"/>
  <c r="C7" i="14"/>
  <c r="H7" i="16"/>
  <c r="B9" i="16"/>
  <c r="B8" i="16"/>
  <c r="S39" i="14" l="1"/>
  <c r="R39" i="14"/>
  <c r="Q39" i="14"/>
  <c r="P39" i="14"/>
  <c r="O39" i="14"/>
  <c r="N39" i="14"/>
  <c r="M39" i="14"/>
  <c r="S32" i="16" l="1"/>
  <c r="S31" i="16" s="1"/>
  <c r="R32" i="16"/>
  <c r="R31" i="16" s="1"/>
  <c r="P32" i="16"/>
  <c r="O32" i="16"/>
  <c r="D1" i="14" l="1"/>
  <c r="BQ186" i="16" l="1"/>
  <c r="AM84" i="16" l="1"/>
  <c r="BL186" i="16" l="1"/>
  <c r="BK186" i="16"/>
  <c r="BL185" i="16"/>
  <c r="BK185" i="16"/>
  <c r="BJ185" i="16"/>
  <c r="BI185" i="16"/>
  <c r="BH185" i="16"/>
  <c r="BG185" i="16"/>
  <c r="BF185" i="16"/>
  <c r="BE185" i="16"/>
  <c r="BD185" i="16"/>
  <c r="AV185" i="16"/>
  <c r="AU185" i="16"/>
  <c r="AT185" i="16"/>
  <c r="AS185" i="16"/>
  <c r="AR185" i="16"/>
  <c r="AV184" i="16"/>
  <c r="AW184" i="16" s="1"/>
  <c r="AU184" i="16"/>
  <c r="AT184" i="16"/>
  <c r="AS184" i="16"/>
  <c r="AR184" i="16"/>
  <c r="AV183" i="16"/>
  <c r="AU183" i="16"/>
  <c r="AT183" i="16"/>
  <c r="AS183" i="16"/>
  <c r="AR183" i="16"/>
  <c r="F147" i="16"/>
  <c r="AR93" i="16"/>
  <c r="AQ93" i="16"/>
  <c r="AM93" i="16"/>
  <c r="AM99" i="16" l="1"/>
  <c r="AM96" i="16"/>
  <c r="AM95" i="16"/>
  <c r="AQ99" i="16"/>
  <c r="AQ96" i="16"/>
  <c r="AQ95" i="16"/>
  <c r="AQ98" i="16" s="1"/>
  <c r="AX94" i="16" s="1"/>
  <c r="AR99" i="16"/>
  <c r="AR96" i="16"/>
  <c r="AR95" i="16"/>
  <c r="AR98" i="16" s="1"/>
  <c r="AY94" i="16" s="1"/>
  <c r="AR94" i="16"/>
  <c r="AR100" i="16" l="1"/>
  <c r="AR97" i="16"/>
  <c r="AY97" i="16"/>
  <c r="AY93" i="16"/>
  <c r="AQ100" i="16"/>
  <c r="AQ97" i="16"/>
  <c r="AX97" i="16"/>
  <c r="AX93" i="16"/>
  <c r="AM100" i="16"/>
  <c r="AM97" i="16"/>
  <c r="AM98" i="16"/>
  <c r="AT94" i="16" s="1"/>
  <c r="AT93" i="16"/>
  <c r="AT97" i="16" l="1"/>
  <c r="AT96" i="16"/>
  <c r="AT95" i="16"/>
  <c r="AX96" i="16"/>
  <c r="AX95" i="16"/>
  <c r="AY96" i="16"/>
  <c r="AY95" i="16"/>
  <c r="AM90" i="16" l="1"/>
  <c r="AM86" i="16"/>
  <c r="AQ91" i="16" l="1"/>
  <c r="AQ88" i="16"/>
  <c r="AM91" i="16"/>
  <c r="AM88" i="16"/>
  <c r="AT86" i="16" l="1"/>
  <c r="AX86" i="16"/>
  <c r="L70" i="16" l="1"/>
  <c r="C7" i="16" l="1"/>
  <c r="AT1" i="16" l="1"/>
  <c r="AK1" i="16"/>
  <c r="AK94" i="16" l="1"/>
  <c r="AK113" i="16" s="1"/>
  <c r="AL86" i="16"/>
  <c r="AL104" i="16" s="1"/>
  <c r="AK84" i="16"/>
  <c r="AK85" i="16" s="1"/>
  <c r="AK203" i="16"/>
  <c r="AK202" i="16"/>
  <c r="AK184" i="16"/>
  <c r="AK182" i="16"/>
  <c r="AK152" i="16"/>
  <c r="AK149" i="16"/>
  <c r="AK145" i="16"/>
  <c r="AK75" i="16"/>
  <c r="AK12" i="16"/>
  <c r="AK11" i="16"/>
  <c r="AK8" i="16"/>
  <c r="AK6" i="16"/>
  <c r="AK4" i="16"/>
  <c r="AK2" i="16"/>
  <c r="I6" i="16"/>
  <c r="L2" i="16"/>
  <c r="F6" i="16"/>
  <c r="H6" i="16"/>
  <c r="H72" i="16" l="1"/>
  <c r="H147" i="16"/>
  <c r="AK103" i="16"/>
  <c r="AK86" i="16"/>
  <c r="AK7" i="16"/>
  <c r="AK9" i="16"/>
  <c r="AK13" i="16"/>
  <c r="AK76" i="16"/>
  <c r="AL105" i="16"/>
  <c r="AL87" i="16"/>
  <c r="AK95" i="16"/>
  <c r="AK163" i="16"/>
  <c r="AK153" i="16"/>
  <c r="AK185" i="16"/>
  <c r="AK1" i="14"/>
  <c r="AK40" i="14" s="1"/>
  <c r="C6" i="14"/>
  <c r="J6" i="16"/>
  <c r="L6" i="16"/>
  <c r="J7" i="16"/>
  <c r="K6" i="16"/>
  <c r="AK186" i="16" l="1"/>
  <c r="AK154" i="16"/>
  <c r="AK165" i="16"/>
  <c r="AK96" i="16"/>
  <c r="AK132" i="16"/>
  <c r="AK114" i="16"/>
  <c r="AL88" i="16"/>
  <c r="AL123" i="16"/>
  <c r="AL106" i="16"/>
  <c r="AK104" i="16"/>
  <c r="AK87" i="16"/>
  <c r="AK122" i="16"/>
  <c r="AK77" i="16"/>
  <c r="AK14" i="16"/>
  <c r="AK10" i="14"/>
  <c r="AK8" i="14"/>
  <c r="AK6" i="14"/>
  <c r="F9" i="14"/>
  <c r="C9" i="14"/>
  <c r="L7" i="16"/>
  <c r="F7" i="16"/>
  <c r="I7" i="16"/>
  <c r="K7" i="16"/>
  <c r="AK21" i="16" l="1"/>
  <c r="AK88" i="16"/>
  <c r="AK123" i="16"/>
  <c r="AL107" i="16"/>
  <c r="AL124" i="16"/>
  <c r="AL89" i="16"/>
  <c r="AK115" i="16"/>
  <c r="AK133" i="16"/>
  <c r="AK97" i="16"/>
  <c r="AK167" i="16"/>
  <c r="AK155" i="16"/>
  <c r="AK191" i="16"/>
  <c r="AK11" i="14"/>
  <c r="C97" i="16"/>
  <c r="AK12" i="14" l="1"/>
  <c r="AL184" i="16"/>
  <c r="AK156" i="16"/>
  <c r="AK98" i="16"/>
  <c r="AK134" i="16"/>
  <c r="AK116" i="16"/>
  <c r="AL125" i="16"/>
  <c r="AL108" i="16"/>
  <c r="AK105" i="16"/>
  <c r="AK89" i="16"/>
  <c r="AK23" i="16"/>
  <c r="C98" i="16"/>
  <c r="AK15" i="14" l="1"/>
  <c r="AK17" i="14" s="1"/>
  <c r="AK23" i="14" s="1"/>
  <c r="AK24" i="16"/>
  <c r="AK106" i="16"/>
  <c r="AL126" i="16"/>
  <c r="AK117" i="16"/>
  <c r="AK135" i="16"/>
  <c r="AK99" i="16"/>
  <c r="AK157" i="16"/>
  <c r="AL185" i="16"/>
  <c r="C99" i="16"/>
  <c r="AL186" i="16" l="1"/>
  <c r="AK158" i="16"/>
  <c r="AK100" i="16"/>
  <c r="AK136" i="16"/>
  <c r="AK118" i="16"/>
  <c r="AL127" i="16"/>
  <c r="AK107" i="16"/>
  <c r="AK124" i="16" s="1"/>
  <c r="AK24" i="14"/>
  <c r="C100" i="16"/>
  <c r="AK108" i="16" l="1"/>
  <c r="AK119" i="16"/>
  <c r="AK137" i="16"/>
  <c r="AK101" i="16"/>
  <c r="AK159" i="16"/>
  <c r="AK33" i="14"/>
  <c r="C101" i="16"/>
  <c r="AK160" i="16" l="1"/>
  <c r="AK138" i="16"/>
  <c r="AK120" i="16"/>
  <c r="AK125" i="16"/>
  <c r="AK37" i="14"/>
  <c r="AK126" i="16" l="1"/>
  <c r="AK139" i="16"/>
  <c r="AK162" i="16"/>
  <c r="AK38" i="14"/>
  <c r="J11" i="14"/>
  <c r="K23" i="14"/>
  <c r="J33" i="14"/>
  <c r="L33" i="14"/>
  <c r="I38" i="14"/>
  <c r="I24" i="14"/>
  <c r="L23" i="14"/>
  <c r="L12" i="14"/>
  <c r="J12" i="14"/>
  <c r="K33" i="14"/>
  <c r="J23" i="14"/>
  <c r="H33" i="14"/>
  <c r="L24" i="14"/>
  <c r="I23" i="14"/>
  <c r="H37" i="14"/>
  <c r="I33" i="14"/>
  <c r="J37" i="14"/>
  <c r="H23" i="14"/>
  <c r="G12" i="14"/>
  <c r="I37" i="14"/>
  <c r="I12" i="14"/>
  <c r="K6" i="14"/>
  <c r="L37" i="14"/>
  <c r="K12" i="14"/>
  <c r="H12" i="14"/>
  <c r="J24" i="14"/>
  <c r="I11" i="14"/>
  <c r="H24" i="14"/>
  <c r="J38" i="14"/>
  <c r="K11" i="14"/>
  <c r="K24" i="14"/>
  <c r="F12" i="14"/>
  <c r="K37" i="14"/>
  <c r="O33" i="14" l="1"/>
  <c r="Q33" i="14"/>
  <c r="R33" i="14"/>
  <c r="Q37" i="14"/>
  <c r="Q35" i="14" s="1"/>
  <c r="R37" i="14"/>
  <c r="R35" i="14" s="1"/>
  <c r="P37" i="14"/>
  <c r="P35" i="14" s="1"/>
  <c r="P33" i="14"/>
  <c r="S33" i="14"/>
  <c r="S37" i="14"/>
  <c r="S35" i="14" s="1"/>
  <c r="O37" i="14"/>
  <c r="O35" i="14" s="1"/>
  <c r="K25" i="14"/>
  <c r="K26" i="14" s="1"/>
  <c r="I25" i="14"/>
  <c r="I26" i="14" s="1"/>
  <c r="H25" i="14"/>
  <c r="H26" i="14" s="1"/>
  <c r="J25" i="14"/>
  <c r="J26" i="14" s="1"/>
  <c r="L25" i="14"/>
  <c r="L26" i="14" s="1"/>
  <c r="AK127" i="16"/>
  <c r="K38" i="14"/>
  <c r="L38" i="14"/>
  <c r="H38" i="14"/>
  <c r="Q34" i="14" l="1"/>
  <c r="O34" i="14"/>
  <c r="P34" i="14"/>
  <c r="S34" i="14"/>
  <c r="R34" i="14"/>
  <c r="O31" i="16" l="1"/>
  <c r="P31" i="16"/>
  <c r="AM89" i="16" l="1"/>
  <c r="AM87" i="16" l="1"/>
  <c r="AT84" i="16" s="1"/>
  <c r="AT85" i="16"/>
  <c r="AT87" i="16"/>
  <c r="AT88" i="16" l="1"/>
  <c r="F72" i="16" l="1"/>
  <c r="AQ84" i="16" l="1"/>
  <c r="AQ90" i="16" l="1"/>
  <c r="AQ86" i="16"/>
  <c r="AQ87" i="16" l="1"/>
  <c r="AX84" i="16" l="1"/>
  <c r="AQ89" i="16"/>
  <c r="AX87" i="16" l="1"/>
  <c r="AX85" i="16"/>
  <c r="AX88" i="16"/>
  <c r="L34" i="14" l="1"/>
  <c r="K34" i="14" l="1"/>
  <c r="AR84" i="16" l="1"/>
  <c r="AR90" i="16" l="1"/>
  <c r="AR85" i="16"/>
  <c r="AR86" i="16"/>
  <c r="AR89" i="16" s="1"/>
  <c r="AY85" i="16" s="1"/>
  <c r="AR87" i="16"/>
  <c r="AY84" i="16" l="1"/>
  <c r="AY88" i="16"/>
  <c r="AR88" i="16"/>
  <c r="AR91" i="16"/>
  <c r="AY86" i="16" l="1"/>
  <c r="AY87" i="16"/>
  <c r="H34" i="14" l="1"/>
  <c r="I34" i="14" l="1"/>
  <c r="J34" i="14"/>
  <c r="H11" i="14" l="1"/>
  <c r="F38" i="14"/>
  <c r="I15" i="14"/>
  <c r="L11" i="14"/>
  <c r="K17" i="14"/>
  <c r="H10" i="14"/>
  <c r="G11" i="14"/>
  <c r="L15" i="14"/>
  <c r="G37" i="14"/>
  <c r="G15" i="14"/>
  <c r="I6" i="14"/>
  <c r="G33" i="14"/>
  <c r="F37" i="14"/>
  <c r="F10" i="14"/>
  <c r="F24" i="14"/>
  <c r="F33" i="14"/>
  <c r="F23" i="14"/>
  <c r="K10" i="14"/>
  <c r="G23" i="14"/>
  <c r="J10" i="14"/>
  <c r="G24" i="14"/>
  <c r="G10" i="14"/>
  <c r="F17" i="14"/>
  <c r="L10" i="14"/>
  <c r="G6" i="14"/>
  <c r="I17" i="14"/>
  <c r="L17" i="14"/>
  <c r="G38" i="14"/>
  <c r="K15" i="14"/>
  <c r="H15" i="14"/>
  <c r="J15" i="14"/>
  <c r="F11" i="14"/>
  <c r="J17" i="14"/>
  <c r="G17" i="14"/>
  <c r="I10" i="14"/>
  <c r="H17" i="14"/>
  <c r="F15" i="14"/>
  <c r="H6" i="14"/>
  <c r="E186" i="16"/>
  <c r="F11" i="16"/>
  <c r="D89" i="16"/>
  <c r="H185" i="16"/>
  <c r="A104" i="16"/>
  <c r="K21" i="16"/>
  <c r="C138" i="16"/>
  <c r="C152" i="16"/>
  <c r="I185" i="16"/>
  <c r="H14" i="16"/>
  <c r="G191" i="16"/>
  <c r="C184" i="16"/>
  <c r="E13" i="16"/>
  <c r="C133" i="16"/>
  <c r="J11" i="16"/>
  <c r="E191" i="16"/>
  <c r="H24" i="16"/>
  <c r="J186" i="16"/>
  <c r="C108" i="16"/>
  <c r="C107" i="16"/>
  <c r="E184" i="16"/>
  <c r="C118" i="16"/>
  <c r="C139" i="16"/>
  <c r="D86" i="16"/>
  <c r="C88" i="16"/>
  <c r="D185" i="16"/>
  <c r="I184" i="16"/>
  <c r="L4" i="16"/>
  <c r="J14" i="16"/>
  <c r="C153" i="16"/>
  <c r="L203" i="16"/>
  <c r="I13" i="16"/>
  <c r="F191" i="16"/>
  <c r="E23" i="16"/>
  <c r="L13" i="16"/>
  <c r="D191" i="16"/>
  <c r="H11" i="16"/>
  <c r="D88" i="16"/>
  <c r="D107" i="16"/>
  <c r="C96" i="16"/>
  <c r="G11" i="16"/>
  <c r="F184" i="16"/>
  <c r="E24" i="16"/>
  <c r="I186" i="16"/>
  <c r="E77" i="16"/>
  <c r="G23" i="16"/>
  <c r="L75" i="16"/>
  <c r="L186" i="16"/>
  <c r="C135" i="16"/>
  <c r="D87" i="16"/>
  <c r="C103" i="16"/>
  <c r="F186" i="16"/>
  <c r="G14" i="16"/>
  <c r="G165" i="16"/>
  <c r="F13" i="16"/>
  <c r="D125" i="16"/>
  <c r="K202" i="16"/>
  <c r="D184" i="16"/>
  <c r="K186" i="16"/>
  <c r="G158" i="16"/>
  <c r="A85" i="16"/>
  <c r="C86" i="16"/>
  <c r="L149" i="16"/>
  <c r="C95" i="16"/>
  <c r="D23" i="16"/>
  <c r="E11" i="16"/>
  <c r="D84" i="16"/>
  <c r="D108" i="16"/>
  <c r="K4" i="16"/>
  <c r="L184" i="16"/>
  <c r="G12" i="16"/>
  <c r="I14" i="16"/>
  <c r="L202" i="16"/>
  <c r="D126" i="16"/>
  <c r="G160" i="16"/>
  <c r="G186" i="16"/>
  <c r="L12" i="16"/>
  <c r="D11" i="16"/>
  <c r="G159" i="16"/>
  <c r="C89" i="16"/>
  <c r="D152" i="16"/>
  <c r="C185" i="16"/>
  <c r="K13" i="16"/>
  <c r="C122" i="16"/>
  <c r="D186" i="16"/>
  <c r="C84" i="16"/>
  <c r="K185" i="16"/>
  <c r="H184" i="16"/>
  <c r="E76" i="16"/>
  <c r="F185" i="16"/>
  <c r="E12" i="16"/>
  <c r="C127" i="16"/>
  <c r="G155" i="16"/>
  <c r="E75" i="16"/>
  <c r="A123" i="16"/>
  <c r="J12" i="16"/>
  <c r="D105" i="16"/>
  <c r="C186" i="16"/>
  <c r="J13" i="16"/>
  <c r="H12" i="16"/>
  <c r="K203" i="16"/>
  <c r="C106" i="16"/>
  <c r="E14" i="16"/>
  <c r="C191" i="16"/>
  <c r="D21" i="16"/>
  <c r="G13" i="16"/>
  <c r="C124" i="16"/>
  <c r="D14" i="16"/>
  <c r="D77" i="16"/>
  <c r="C105" i="16"/>
  <c r="C125" i="16"/>
  <c r="F12" i="16"/>
  <c r="C117" i="16"/>
  <c r="C115" i="16"/>
  <c r="E6" i="16"/>
  <c r="C94" i="16"/>
  <c r="J23" i="16"/>
  <c r="J184" i="16"/>
  <c r="F14" i="16"/>
  <c r="E185" i="16"/>
  <c r="K184" i="16"/>
  <c r="F23" i="16"/>
  <c r="G167" i="16"/>
  <c r="K75" i="16"/>
  <c r="C114" i="16"/>
  <c r="G185" i="16"/>
  <c r="E7" i="16"/>
  <c r="L14" i="16"/>
  <c r="C136" i="16"/>
  <c r="D13" i="16"/>
  <c r="I24" i="16"/>
  <c r="K76" i="16"/>
  <c r="D153" i="16"/>
  <c r="I12" i="16"/>
  <c r="G154" i="16"/>
  <c r="C116" i="16"/>
  <c r="C87" i="16"/>
  <c r="C113" i="16"/>
  <c r="D154" i="16"/>
  <c r="D127" i="16"/>
  <c r="D24" i="16"/>
  <c r="D163" i="16"/>
  <c r="D12" i="16"/>
  <c r="L76" i="16"/>
  <c r="AL21" i="16"/>
  <c r="D122" i="16"/>
  <c r="I11" i="16"/>
  <c r="I23" i="16"/>
  <c r="C126" i="16"/>
  <c r="L145" i="16"/>
  <c r="L21" i="16"/>
  <c r="C120" i="16"/>
  <c r="H23" i="16"/>
  <c r="F24" i="16"/>
  <c r="H13" i="16"/>
  <c r="J185" i="16"/>
  <c r="B7" i="16"/>
  <c r="C154" i="16"/>
  <c r="K12" i="16"/>
  <c r="L185" i="16"/>
  <c r="D76" i="16"/>
  <c r="C134" i="16"/>
  <c r="C119" i="16"/>
  <c r="H186" i="16"/>
  <c r="K14" i="16"/>
  <c r="C132" i="16"/>
  <c r="G184" i="16"/>
  <c r="G157" i="16"/>
  <c r="G24" i="16"/>
  <c r="D124" i="16"/>
  <c r="J24" i="16"/>
  <c r="C137" i="16"/>
  <c r="G156" i="16"/>
  <c r="B6" i="16"/>
  <c r="D106" i="16"/>
  <c r="D75" i="16"/>
  <c r="D97" i="16" l="1"/>
  <c r="D100" i="16"/>
  <c r="BI90" i="16" s="1"/>
  <c r="BP85" i="16" s="1"/>
  <c r="BP86" i="16" s="1"/>
  <c r="D99" i="16"/>
  <c r="D98" i="16"/>
  <c r="BI88" i="16" s="1"/>
  <c r="BN85" i="16" s="1"/>
  <c r="BN86" i="16" s="1"/>
  <c r="D101" i="16"/>
  <c r="D109" i="16"/>
  <c r="F19" i="14"/>
  <c r="F21" i="14"/>
  <c r="H187" i="16"/>
  <c r="H189" i="16" s="1"/>
  <c r="H190" i="16"/>
  <c r="AR186" i="16" s="1"/>
  <c r="AR187" i="16" s="1"/>
  <c r="AR188" i="16" s="1"/>
  <c r="AS187" i="16" s="1"/>
  <c r="H188" i="16"/>
  <c r="K191" i="16"/>
  <c r="D113" i="16"/>
  <c r="BI103" i="16" s="1"/>
  <c r="BJ104" i="16" s="1"/>
  <c r="D110" i="16"/>
  <c r="D128" i="16"/>
  <c r="I16" i="14"/>
  <c r="I18" i="14" s="1"/>
  <c r="I20" i="14" s="1"/>
  <c r="I22" i="14" s="1"/>
  <c r="P22" i="14" s="1"/>
  <c r="P32" i="14" s="1"/>
  <c r="I35" i="14"/>
  <c r="I39" i="14" s="1"/>
  <c r="E17" i="16"/>
  <c r="E15" i="16"/>
  <c r="E16" i="16"/>
  <c r="E18" i="16"/>
  <c r="D136" i="16"/>
  <c r="BI126" i="16" s="1"/>
  <c r="BN123" i="16" s="1"/>
  <c r="BN124" i="16" s="1"/>
  <c r="J16" i="16"/>
  <c r="J17" i="16" s="1"/>
  <c r="J15" i="16"/>
  <c r="D115" i="16"/>
  <c r="BI105" i="16" s="1"/>
  <c r="BL104" i="16" s="1"/>
  <c r="BL105" i="16" s="1"/>
  <c r="K78" i="16"/>
  <c r="K77" i="16"/>
  <c r="K79" i="16" s="1"/>
  <c r="D95" i="16"/>
  <c r="BI85" i="16" s="1"/>
  <c r="BK85" i="16" s="1"/>
  <c r="BK86" i="16" s="1"/>
  <c r="D139" i="16"/>
  <c r="BG122" i="16" s="1"/>
  <c r="BG123" i="16" s="1"/>
  <c r="BG124" i="16" s="1"/>
  <c r="BG125" i="16" s="1"/>
  <c r="BG126" i="16" s="1"/>
  <c r="BG127" i="16" s="1"/>
  <c r="BG128" i="16" s="1"/>
  <c r="BG129" i="16" s="1"/>
  <c r="D187" i="16"/>
  <c r="D189" i="16" s="1"/>
  <c r="D188" i="16"/>
  <c r="D190" i="16"/>
  <c r="AN186" i="16" s="1"/>
  <c r="D129" i="16"/>
  <c r="D96" i="16"/>
  <c r="BI86" i="16" s="1"/>
  <c r="BL85" i="16" s="1"/>
  <c r="BL86" i="16" s="1"/>
  <c r="J19" i="14"/>
  <c r="J21" i="14"/>
  <c r="H21" i="14"/>
  <c r="H19" i="14"/>
  <c r="K21" i="14"/>
  <c r="K19" i="14"/>
  <c r="D120" i="16"/>
  <c r="BI110" i="16" s="1"/>
  <c r="BQ104" i="16" s="1"/>
  <c r="BQ105" i="16" s="1"/>
  <c r="F18" i="16"/>
  <c r="F16" i="16"/>
  <c r="F17" i="16"/>
  <c r="F15" i="16"/>
  <c r="E72" i="16"/>
  <c r="E147" i="16"/>
  <c r="I190" i="16"/>
  <c r="AS186" i="16" s="1"/>
  <c r="I187" i="16"/>
  <c r="I189" i="16" s="1"/>
  <c r="I188" i="16"/>
  <c r="G188" i="16"/>
  <c r="G187" i="16"/>
  <c r="G189" i="16" s="1"/>
  <c r="G190" i="16"/>
  <c r="AQ186" i="16" s="1"/>
  <c r="L204" i="16"/>
  <c r="K16" i="16"/>
  <c r="K17" i="16" s="1"/>
  <c r="K15" i="16"/>
  <c r="L187" i="16"/>
  <c r="L189" i="16" s="1"/>
  <c r="L188" i="16"/>
  <c r="L190" i="16"/>
  <c r="AV186" i="16" s="1"/>
  <c r="G25" i="16"/>
  <c r="R25" i="16" s="1"/>
  <c r="G26" i="16"/>
  <c r="R26" i="16" s="1"/>
  <c r="D116" i="16"/>
  <c r="BI106" i="16" s="1"/>
  <c r="BM104" i="16" s="1"/>
  <c r="BM105" i="16" s="1"/>
  <c r="E25" i="16"/>
  <c r="P25" i="16" s="1"/>
  <c r="E26" i="16"/>
  <c r="P26" i="16" s="1"/>
  <c r="D132" i="16"/>
  <c r="BI122" i="16" s="1"/>
  <c r="E80" i="16"/>
  <c r="E79" i="16"/>
  <c r="E81" i="16"/>
  <c r="E78" i="16"/>
  <c r="H26" i="16"/>
  <c r="S26" i="16" s="1"/>
  <c r="H25" i="16"/>
  <c r="S25" i="16" s="1"/>
  <c r="D156" i="16"/>
  <c r="D155" i="16"/>
  <c r="D157" i="16" s="1"/>
  <c r="L16" i="14"/>
  <c r="L18" i="14" s="1"/>
  <c r="L20" i="14" s="1"/>
  <c r="L22" i="14" s="1"/>
  <c r="S22" i="14" s="1"/>
  <c r="S32" i="14" s="1"/>
  <c r="L35" i="14"/>
  <c r="L39" i="14" s="1"/>
  <c r="G16" i="14"/>
  <c r="G18" i="14" s="1"/>
  <c r="G20" i="14" s="1"/>
  <c r="G22" i="14" s="1"/>
  <c r="N22" i="14" s="1"/>
  <c r="D79" i="16"/>
  <c r="D80" i="16" s="1"/>
  <c r="D78" i="16"/>
  <c r="D81" i="16" s="1"/>
  <c r="D82" i="16" s="1"/>
  <c r="D164" i="16"/>
  <c r="D165" i="16" s="1"/>
  <c r="C188" i="16"/>
  <c r="C187" i="16"/>
  <c r="C189" i="16" s="1"/>
  <c r="C190" i="16"/>
  <c r="AM186" i="16" s="1"/>
  <c r="AM189" i="16" s="1"/>
  <c r="AN188" i="16" s="1"/>
  <c r="G25" i="14"/>
  <c r="G26" i="14" s="1"/>
  <c r="J16" i="14"/>
  <c r="J18" i="14" s="1"/>
  <c r="J20" i="14" s="1"/>
  <c r="J22" i="14" s="1"/>
  <c r="Q22" i="14" s="1"/>
  <c r="Q32" i="14" s="1"/>
  <c r="J35" i="14"/>
  <c r="J39" i="14" s="1"/>
  <c r="D91" i="16"/>
  <c r="D90" i="16"/>
  <c r="D137" i="16"/>
  <c r="BI127" i="16" s="1"/>
  <c r="BO123" i="16" s="1"/>
  <c r="BO124" i="16" s="1"/>
  <c r="K35" i="14"/>
  <c r="K39" i="14" s="1"/>
  <c r="K16" i="14"/>
  <c r="K18" i="14" s="1"/>
  <c r="K20" i="14" s="1"/>
  <c r="K22" i="14" s="1"/>
  <c r="R22" i="14" s="1"/>
  <c r="R32" i="14" s="1"/>
  <c r="K190" i="16"/>
  <c r="AU186" i="16" s="1"/>
  <c r="K187" i="16"/>
  <c r="K189" i="16" s="1"/>
  <c r="K188" i="16"/>
  <c r="J26" i="16"/>
  <c r="J25" i="16"/>
  <c r="J27" i="16" s="1"/>
  <c r="J28" i="16" s="1"/>
  <c r="J29" i="16" s="1"/>
  <c r="L25" i="16"/>
  <c r="H18" i="16"/>
  <c r="H15" i="16"/>
  <c r="H16" i="16"/>
  <c r="H17" i="16"/>
  <c r="J190" i="16"/>
  <c r="AT186" i="16" s="1"/>
  <c r="J188" i="16"/>
  <c r="J187" i="16"/>
  <c r="J189" i="16" s="1"/>
  <c r="D22" i="16"/>
  <c r="E22" i="16" s="1"/>
  <c r="E21" i="16" s="1"/>
  <c r="L77" i="16"/>
  <c r="L79" i="16" s="1"/>
  <c r="L80" i="16" s="1"/>
  <c r="L81" i="16" s="1"/>
  <c r="L78" i="16"/>
  <c r="AO187" i="16"/>
  <c r="C147" i="16"/>
  <c r="C72" i="16"/>
  <c r="K204" i="16"/>
  <c r="K205" i="16" s="1"/>
  <c r="M33" i="14"/>
  <c r="F34" i="14"/>
  <c r="F35" i="14" s="1"/>
  <c r="F39" i="14" s="1"/>
  <c r="AP187" i="16"/>
  <c r="F25" i="14"/>
  <c r="F26" i="14" s="1"/>
  <c r="F16" i="14"/>
  <c r="F18" i="14" s="1"/>
  <c r="F20" i="14" s="1"/>
  <c r="F22" i="14" s="1"/>
  <c r="M22" i="14" s="1"/>
  <c r="D94" i="16"/>
  <c r="BI84" i="16" s="1"/>
  <c r="BJ85" i="16" s="1"/>
  <c r="BJ86" i="16" s="1"/>
  <c r="M37" i="14"/>
  <c r="M35" i="14" s="1"/>
  <c r="M34" i="14" s="1"/>
  <c r="M32" i="14" s="1"/>
  <c r="D133" i="16"/>
  <c r="BI123" i="16" s="1"/>
  <c r="BK123" i="16" s="1"/>
  <c r="BK124" i="16" s="1"/>
  <c r="N33" i="14"/>
  <c r="G34" i="14"/>
  <c r="G35" i="14" s="1"/>
  <c r="G39" i="14" s="1"/>
  <c r="AN187" i="16"/>
  <c r="AM187" i="16"/>
  <c r="AQ187" i="16"/>
  <c r="D134" i="16"/>
  <c r="BI124" i="16" s="1"/>
  <c r="BL123" i="16" s="1"/>
  <c r="BL124" i="16" s="1"/>
  <c r="D17" i="16"/>
  <c r="D16" i="16"/>
  <c r="D15" i="16"/>
  <c r="D18" i="16"/>
  <c r="G19" i="14"/>
  <c r="G21" i="14"/>
  <c r="G17" i="16"/>
  <c r="G16" i="16"/>
  <c r="G18" i="16"/>
  <c r="G15" i="16"/>
  <c r="C156" i="16"/>
  <c r="C155" i="16"/>
  <c r="C157" i="16" s="1"/>
  <c r="D117" i="16"/>
  <c r="BI107" i="16" s="1"/>
  <c r="BN104" i="16" s="1"/>
  <c r="BN105" i="16" s="1"/>
  <c r="N37" i="14"/>
  <c r="N35" i="14" s="1"/>
  <c r="N34" i="14" s="1"/>
  <c r="N32" i="14" s="1"/>
  <c r="K70" i="16"/>
  <c r="B124" i="16" s="1"/>
  <c r="B125" i="16" s="1"/>
  <c r="B126" i="16" s="1"/>
  <c r="B127" i="16" s="1"/>
  <c r="D114" i="16"/>
  <c r="BI104" i="16" s="1"/>
  <c r="BK104" i="16" s="1"/>
  <c r="BK105" i="16" s="1"/>
  <c r="F25" i="16"/>
  <c r="Q25" i="16" s="1"/>
  <c r="F26" i="16"/>
  <c r="Q26" i="16" s="1"/>
  <c r="D118" i="16"/>
  <c r="D135" i="16"/>
  <c r="BI125" i="16" s="1"/>
  <c r="BM123" i="16" s="1"/>
  <c r="CC128" i="16" s="1"/>
  <c r="L21" i="14"/>
  <c r="L19" i="14"/>
  <c r="E188" i="16"/>
  <c r="E187" i="16"/>
  <c r="E189" i="16" s="1"/>
  <c r="E190" i="16"/>
  <c r="AO186" i="16" s="1"/>
  <c r="D26" i="16"/>
  <c r="O26" i="16" s="1"/>
  <c r="D25" i="16"/>
  <c r="O25" i="16" s="1"/>
  <c r="D119" i="16"/>
  <c r="BI109" i="16" s="1"/>
  <c r="BP104" i="16" s="1"/>
  <c r="BP105" i="16" s="1"/>
  <c r="H35" i="14"/>
  <c r="H39" i="14" s="1"/>
  <c r="H16" i="14"/>
  <c r="H18" i="14" s="1"/>
  <c r="H20" i="14" s="1"/>
  <c r="H22" i="14" s="1"/>
  <c r="O22" i="14" s="1"/>
  <c r="O32" i="14" s="1"/>
  <c r="D138" i="16"/>
  <c r="BI128" i="16" s="1"/>
  <c r="BP123" i="16" s="1"/>
  <c r="BP124" i="16" s="1"/>
  <c r="L16" i="16"/>
  <c r="L17" i="16" s="1"/>
  <c r="L15" i="16"/>
  <c r="F188" i="16"/>
  <c r="F190" i="16"/>
  <c r="AP186" i="16" s="1"/>
  <c r="F187" i="16"/>
  <c r="F189" i="16" s="1"/>
  <c r="I26" i="16"/>
  <c r="I18" i="16"/>
  <c r="I27" i="16"/>
  <c r="I28" i="16" s="1"/>
  <c r="I29" i="16" s="1"/>
  <c r="AQ7" i="16" s="1"/>
  <c r="I15" i="16"/>
  <c r="I25" i="16"/>
  <c r="I16" i="16"/>
  <c r="I17" i="16"/>
  <c r="I21" i="16"/>
  <c r="I22" i="16"/>
  <c r="J22" i="16" s="1"/>
  <c r="J21" i="16" s="1"/>
  <c r="I19" i="14"/>
  <c r="I21" i="14"/>
  <c r="E109" i="16" l="1"/>
  <c r="E128" i="16"/>
  <c r="K18" i="16"/>
  <c r="AS188" i="16"/>
  <c r="AV189" i="16" s="1"/>
  <c r="AM188" i="16"/>
  <c r="AP188" i="16" s="1"/>
  <c r="E27" i="16"/>
  <c r="E28" i="16" s="1"/>
  <c r="J18" i="16"/>
  <c r="CE128" i="16"/>
  <c r="G27" i="16"/>
  <c r="G28" i="16" s="1"/>
  <c r="CC109" i="16"/>
  <c r="B86" i="16"/>
  <c r="B87" i="16" s="1"/>
  <c r="B88" i="16" s="1"/>
  <c r="B89" i="16" s="1"/>
  <c r="AQ13" i="16"/>
  <c r="AQ10" i="16"/>
  <c r="AQ6" i="16"/>
  <c r="F27" i="16"/>
  <c r="F28" i="16" s="1"/>
  <c r="BI129" i="16"/>
  <c r="BQ123" i="16" s="1"/>
  <c r="BQ124" i="16" s="1"/>
  <c r="BG103" i="16"/>
  <c r="BG104" i="16" s="1"/>
  <c r="BG105" i="16" s="1"/>
  <c r="BG106" i="16" s="1"/>
  <c r="BG107" i="16" s="1"/>
  <c r="BG108" i="16" s="1"/>
  <c r="BG109" i="16" s="1"/>
  <c r="BG110" i="16" s="1"/>
  <c r="H27" i="16"/>
  <c r="H28" i="16" s="1"/>
  <c r="C158" i="16"/>
  <c r="E137" i="16"/>
  <c r="E90" i="16"/>
  <c r="D158" i="16"/>
  <c r="E116" i="16"/>
  <c r="K80" i="16"/>
  <c r="K81" i="16" s="1"/>
  <c r="E135" i="16"/>
  <c r="BI91" i="16"/>
  <c r="BQ85" i="16" s="1"/>
  <c r="BG84" i="16"/>
  <c r="BG85" i="16" s="1"/>
  <c r="BG86" i="16" s="1"/>
  <c r="BG87" i="16" s="1"/>
  <c r="BG88" i="16" s="1"/>
  <c r="BG89" i="16" s="1"/>
  <c r="BG90" i="16" s="1"/>
  <c r="BG91" i="16" s="1"/>
  <c r="BI89" i="16"/>
  <c r="BO85" i="16" s="1"/>
  <c r="E99" i="16"/>
  <c r="BI87" i="16"/>
  <c r="E97" i="16"/>
  <c r="BR84" i="16"/>
  <c r="B105" i="16"/>
  <c r="B106" i="16" s="1"/>
  <c r="B107" i="16" s="1"/>
  <c r="B108" i="16" s="1"/>
  <c r="F22" i="16"/>
  <c r="F21" i="16" s="1"/>
  <c r="BM124" i="16"/>
  <c r="L18" i="16"/>
  <c r="D27" i="16"/>
  <c r="D28" i="16" s="1"/>
  <c r="BJ105" i="16"/>
  <c r="BR103" i="16"/>
  <c r="BQ106" i="16" s="1"/>
  <c r="E118" i="16"/>
  <c r="BI108" i="16"/>
  <c r="BJ123" i="16"/>
  <c r="AS189" i="16" l="1"/>
  <c r="K19" i="16"/>
  <c r="K23" i="16" s="1"/>
  <c r="K25" i="16" s="1"/>
  <c r="D20" i="16" s="1"/>
  <c r="D19" i="16" s="1"/>
  <c r="O19" i="16" s="1"/>
  <c r="O30" i="16" s="1"/>
  <c r="O29" i="16" s="1"/>
  <c r="O28" i="16" s="1"/>
  <c r="L193" i="16"/>
  <c r="BA185" i="16" s="1"/>
  <c r="BA186" i="16" s="1"/>
  <c r="AU189" i="16"/>
  <c r="AT189" i="16"/>
  <c r="AR189" i="16"/>
  <c r="AU187" i="16" s="1"/>
  <c r="C159" i="16"/>
  <c r="J162" i="16" s="1"/>
  <c r="H165" i="16" s="1"/>
  <c r="H167" i="16" s="1"/>
  <c r="I167" i="16" s="1"/>
  <c r="CJ129" i="16"/>
  <c r="CJ130" i="16" s="1"/>
  <c r="CJ131" i="16" s="1"/>
  <c r="CJ132" i="16" s="1"/>
  <c r="CJ133" i="16" s="1"/>
  <c r="CJ134" i="16" s="1"/>
  <c r="CJ135" i="16" s="1"/>
  <c r="CJ136" i="16" s="1"/>
  <c r="G22" i="16"/>
  <c r="H22" i="16" s="1"/>
  <c r="H21" i="16" s="1"/>
  <c r="AQ9" i="16"/>
  <c r="AQ8" i="16"/>
  <c r="AQ11" i="16" s="1"/>
  <c r="AX7" i="16" s="1"/>
  <c r="AQ12" i="16"/>
  <c r="AX8" i="16"/>
  <c r="BJ106" i="16"/>
  <c r="BM106" i="16"/>
  <c r="BL106" i="16"/>
  <c r="BP106" i="16"/>
  <c r="BN106" i="16"/>
  <c r="BK106" i="16"/>
  <c r="BO104" i="16"/>
  <c r="BR104" i="16" s="1"/>
  <c r="CJ110" i="16"/>
  <c r="CJ111" i="16" s="1"/>
  <c r="CJ112" i="16" s="1"/>
  <c r="CJ113" i="16" s="1"/>
  <c r="CJ114" i="16" s="1"/>
  <c r="CJ115" i="16" s="1"/>
  <c r="CJ116" i="16" s="1"/>
  <c r="CJ117" i="16" s="1"/>
  <c r="BJ87" i="16"/>
  <c r="BJ90" i="16" s="1"/>
  <c r="BK87" i="16"/>
  <c r="BL87" i="16"/>
  <c r="BP87" i="16"/>
  <c r="BN87" i="16"/>
  <c r="BM85" i="16"/>
  <c r="CJ91" i="16"/>
  <c r="CJ92" i="16" s="1"/>
  <c r="CJ93" i="16" s="1"/>
  <c r="CJ94" i="16" s="1"/>
  <c r="CJ95" i="16" s="1"/>
  <c r="CJ96" i="16" s="1"/>
  <c r="CJ97" i="16" s="1"/>
  <c r="CJ98" i="16" s="1"/>
  <c r="BO86" i="16"/>
  <c r="CE90" i="16"/>
  <c r="BO87" i="16"/>
  <c r="BQ86" i="16"/>
  <c r="BQ87" i="16"/>
  <c r="BQ109" i="16"/>
  <c r="BR123" i="16"/>
  <c r="BJ126" i="16" s="1"/>
  <c r="BR122" i="16"/>
  <c r="BJ125" i="16" s="1"/>
  <c r="BJ124" i="16"/>
  <c r="BR124" i="16" s="1"/>
  <c r="AP189" i="16"/>
  <c r="BF189" i="16" s="1"/>
  <c r="AT188" i="16"/>
  <c r="AW183" i="16" s="1"/>
  <c r="BM189" i="16" s="1"/>
  <c r="L194" i="16" l="1"/>
  <c r="L195" i="16" s="1"/>
  <c r="F20" i="16"/>
  <c r="F19" i="16" s="1"/>
  <c r="Q19" i="16" s="1"/>
  <c r="Q30" i="16" s="1"/>
  <c r="Q29" i="16" s="1"/>
  <c r="Q28" i="16" s="1"/>
  <c r="H20" i="16"/>
  <c r="H19" i="16" s="1"/>
  <c r="E20" i="16"/>
  <c r="E19" i="16" s="1"/>
  <c r="P19" i="16" s="1"/>
  <c r="P30" i="16" s="1"/>
  <c r="P29" i="16" s="1"/>
  <c r="P28" i="16" s="1"/>
  <c r="I20" i="16"/>
  <c r="I19" i="16" s="1"/>
  <c r="J20" i="16"/>
  <c r="J19" i="16" s="1"/>
  <c r="G21" i="16"/>
  <c r="G20" i="16" s="1"/>
  <c r="G19" i="16" s="1"/>
  <c r="G29" i="16" s="1"/>
  <c r="AO7" i="16" s="1"/>
  <c r="AT187" i="16"/>
  <c r="D166" i="16"/>
  <c r="D167" i="16" s="1"/>
  <c r="H154" i="16" s="1"/>
  <c r="H155" i="16" s="1"/>
  <c r="H156" i="16" s="1"/>
  <c r="I156" i="16" s="1"/>
  <c r="D172" i="16" s="1"/>
  <c r="I165" i="16"/>
  <c r="BO105" i="16"/>
  <c r="BR105" i="16" s="1"/>
  <c r="AX9" i="16"/>
  <c r="AX6" i="16"/>
  <c r="AX10" i="16"/>
  <c r="D29" i="16"/>
  <c r="AL7" i="16" s="1"/>
  <c r="CE109" i="16"/>
  <c r="BO106" i="16"/>
  <c r="BR106" i="16" s="1"/>
  <c r="BO107" i="16"/>
  <c r="BJ127" i="16"/>
  <c r="BS124" i="16" s="1"/>
  <c r="BK127" i="16"/>
  <c r="BT122" i="16" s="1"/>
  <c r="BL127" i="16"/>
  <c r="BU122" i="16" s="1"/>
  <c r="BM127" i="16"/>
  <c r="BV122" i="16" s="1"/>
  <c r="BQ127" i="16"/>
  <c r="BZ122" i="16" s="1"/>
  <c r="BP127" i="16"/>
  <c r="BY122" i="16" s="1"/>
  <c r="BO127" i="16"/>
  <c r="BX122" i="16" s="1"/>
  <c r="BN127" i="16"/>
  <c r="BW122" i="16" s="1"/>
  <c r="BL126" i="16"/>
  <c r="BK126" i="16"/>
  <c r="BO126" i="16"/>
  <c r="BN126" i="16"/>
  <c r="BM126" i="16"/>
  <c r="BP126" i="16"/>
  <c r="BQ126" i="16"/>
  <c r="CC90" i="16"/>
  <c r="BM86" i="16"/>
  <c r="BM87" i="16"/>
  <c r="BR87" i="16" s="1"/>
  <c r="BR85" i="16"/>
  <c r="BP90" i="16"/>
  <c r="BK90" i="16"/>
  <c r="BQ107" i="16"/>
  <c r="BJ107" i="16"/>
  <c r="BL107" i="16"/>
  <c r="BU104" i="16" s="1"/>
  <c r="BK107" i="16"/>
  <c r="BT104" i="16" s="1"/>
  <c r="BM107" i="16"/>
  <c r="BV104" i="16" s="1"/>
  <c r="BP107" i="16"/>
  <c r="BY104" i="16" s="1"/>
  <c r="BN107" i="16"/>
  <c r="BW104" i="16" s="1"/>
  <c r="BK109" i="16"/>
  <c r="BP109" i="16"/>
  <c r="BM109" i="16"/>
  <c r="BM125" i="16"/>
  <c r="BL125" i="16"/>
  <c r="BK125" i="16"/>
  <c r="BO125" i="16"/>
  <c r="BN125" i="16"/>
  <c r="BQ125" i="16"/>
  <c r="BP125" i="16"/>
  <c r="BQ90" i="16"/>
  <c r="BO90" i="16"/>
  <c r="BN90" i="16"/>
  <c r="BL90" i="16"/>
  <c r="BN109" i="16"/>
  <c r="BL109" i="16"/>
  <c r="BJ109" i="16"/>
  <c r="BS123" i="16"/>
  <c r="BJ128" i="16"/>
  <c r="BV187" i="16"/>
  <c r="BG189" i="16"/>
  <c r="AV187" i="16"/>
  <c r="AV188" i="16"/>
  <c r="AU188" i="16"/>
  <c r="BW187" i="16"/>
  <c r="BN189" i="16"/>
  <c r="S19" i="16" l="1"/>
  <c r="S30" i="16" s="1"/>
  <c r="S29" i="16" s="1"/>
  <c r="S28" i="16" s="1"/>
  <c r="H29" i="16"/>
  <c r="AP7" i="16" s="1"/>
  <c r="E29" i="16"/>
  <c r="AM7" i="16" s="1"/>
  <c r="AM13" i="16" s="1"/>
  <c r="R19" i="16"/>
  <c r="R30" i="16" s="1"/>
  <c r="R29" i="16" s="1"/>
  <c r="R28" i="16" s="1"/>
  <c r="F29" i="16"/>
  <c r="AN7" i="16" s="1"/>
  <c r="BS125" i="16"/>
  <c r="BX124" i="16"/>
  <c r="H157" i="16"/>
  <c r="I157" i="16" s="1"/>
  <c r="BG187" i="16" s="1"/>
  <c r="BF187" i="16"/>
  <c r="I154" i="16"/>
  <c r="I155" i="16"/>
  <c r="BE187" i="16" s="1"/>
  <c r="BY124" i="16"/>
  <c r="BW124" i="16"/>
  <c r="BZ124" i="16"/>
  <c r="AP13" i="16"/>
  <c r="AP6" i="16"/>
  <c r="AP10" i="16"/>
  <c r="BT124" i="16"/>
  <c r="BU124" i="16"/>
  <c r="AL10" i="16"/>
  <c r="AL13" i="16"/>
  <c r="AL6" i="16"/>
  <c r="BR126" i="16"/>
  <c r="BO109" i="16"/>
  <c r="BR109" i="16" s="1"/>
  <c r="BX104" i="16"/>
  <c r="BR125" i="16"/>
  <c r="BV124" i="16"/>
  <c r="BP128" i="16"/>
  <c r="BY123" i="16"/>
  <c r="BY125" i="16"/>
  <c r="BN128" i="16"/>
  <c r="BW123" i="16"/>
  <c r="BW125" i="16"/>
  <c r="BT123" i="16"/>
  <c r="BK128" i="16"/>
  <c r="BT125" i="16"/>
  <c r="BM128" i="16"/>
  <c r="BV123" i="16"/>
  <c r="BV125" i="16"/>
  <c r="BR107" i="16"/>
  <c r="BS104" i="16"/>
  <c r="BM108" i="16"/>
  <c r="BV105" i="16" s="1"/>
  <c r="BL108" i="16"/>
  <c r="BU105" i="16" s="1"/>
  <c r="BQ108" i="16"/>
  <c r="BZ105" i="16" s="1"/>
  <c r="BP108" i="16"/>
  <c r="BN108" i="16"/>
  <c r="BW105" i="16" s="1"/>
  <c r="BK108" i="16"/>
  <c r="BJ108" i="16"/>
  <c r="BS105" i="16" s="1"/>
  <c r="BM90" i="16"/>
  <c r="BR90" i="16" s="1"/>
  <c r="BR86" i="16"/>
  <c r="BM89" i="16" s="1"/>
  <c r="BV84" i="16" s="1"/>
  <c r="BS122" i="16"/>
  <c r="CA122" i="16" s="1"/>
  <c r="BR127" i="16"/>
  <c r="BQ128" i="16"/>
  <c r="BZ123" i="16"/>
  <c r="BZ125" i="16"/>
  <c r="BO128" i="16"/>
  <c r="BX125" i="16"/>
  <c r="BX123" i="16"/>
  <c r="BU123" i="16"/>
  <c r="BL128" i="16"/>
  <c r="BU125" i="16"/>
  <c r="BZ104" i="16"/>
  <c r="BJ88" i="16"/>
  <c r="BP88" i="16"/>
  <c r="BL88" i="16"/>
  <c r="BN88" i="16"/>
  <c r="BK88" i="16"/>
  <c r="BO88" i="16"/>
  <c r="BQ88" i="16"/>
  <c r="BM88" i="16"/>
  <c r="BO108" i="16"/>
  <c r="AO13" i="16"/>
  <c r="AO6" i="16"/>
  <c r="AW187" i="16"/>
  <c r="BK189" i="16" s="1"/>
  <c r="AW188" i="16"/>
  <c r="AN13" i="16" l="1"/>
  <c r="AN6" i="16"/>
  <c r="AM6" i="16"/>
  <c r="AN84" i="16" s="1"/>
  <c r="AN86" i="16" s="1"/>
  <c r="AR7" i="16"/>
  <c r="AN10" i="16" s="1"/>
  <c r="H158" i="16"/>
  <c r="I158" i="16" s="1"/>
  <c r="BH187" i="16" s="1"/>
  <c r="D171" i="16"/>
  <c r="BD187" i="16"/>
  <c r="CA124" i="16"/>
  <c r="AL9" i="16"/>
  <c r="AL12" i="16"/>
  <c r="AL8" i="16"/>
  <c r="AL11" i="16" s="1"/>
  <c r="AS7" i="16" s="1"/>
  <c r="AS8" i="16"/>
  <c r="AS9" i="16"/>
  <c r="AP8" i="16"/>
  <c r="AP11" i="16" s="1"/>
  <c r="AW7" i="16" s="1"/>
  <c r="AP12" i="16"/>
  <c r="AP9" i="16"/>
  <c r="BV86" i="16"/>
  <c r="CA123" i="16"/>
  <c r="BR128" i="16"/>
  <c r="BX85" i="16"/>
  <c r="BW85" i="16"/>
  <c r="BY85" i="16"/>
  <c r="BV87" i="16"/>
  <c r="BT103" i="16"/>
  <c r="BT106" i="16"/>
  <c r="BY103" i="16"/>
  <c r="BY106" i="16"/>
  <c r="BU103" i="16"/>
  <c r="BU106" i="16"/>
  <c r="BY105" i="16"/>
  <c r="CA125" i="16"/>
  <c r="BX103" i="16"/>
  <c r="BX106" i="16"/>
  <c r="BX105" i="16"/>
  <c r="BZ85" i="16"/>
  <c r="BT85" i="16"/>
  <c r="BU85" i="16"/>
  <c r="BR88" i="16"/>
  <c r="BS85" i="16"/>
  <c r="BQ89" i="16"/>
  <c r="BZ86" i="16" s="1"/>
  <c r="BJ89" i="16"/>
  <c r="BK89" i="16"/>
  <c r="BT86" i="16" s="1"/>
  <c r="BN89" i="16"/>
  <c r="BP89" i="16"/>
  <c r="BY86" i="16" s="1"/>
  <c r="BL89" i="16"/>
  <c r="BO89" i="16"/>
  <c r="BX86" i="16" s="1"/>
  <c r="BV85" i="16"/>
  <c r="BS106" i="16"/>
  <c r="BS103" i="16"/>
  <c r="BR108" i="16"/>
  <c r="BW103" i="16"/>
  <c r="BW106" i="16"/>
  <c r="BZ103" i="16"/>
  <c r="BZ106" i="16"/>
  <c r="BV103" i="16"/>
  <c r="BV106" i="16"/>
  <c r="CA104" i="16"/>
  <c r="BT105" i="16"/>
  <c r="AO12" i="16"/>
  <c r="AP84" i="16"/>
  <c r="AO8" i="16"/>
  <c r="AP93" i="16"/>
  <c r="AN12" i="16" l="1"/>
  <c r="AO84" i="16"/>
  <c r="AN8" i="16"/>
  <c r="AO93" i="16"/>
  <c r="AM12" i="16"/>
  <c r="AO10" i="16"/>
  <c r="AM10" i="16"/>
  <c r="AN90" i="16"/>
  <c r="BD2" i="16"/>
  <c r="AM8" i="16"/>
  <c r="AR8" i="16" s="1"/>
  <c r="AO11" i="16" s="1"/>
  <c r="AV7" i="16" s="1"/>
  <c r="BD1" i="16"/>
  <c r="BE1" i="16" s="1"/>
  <c r="AR6" i="16"/>
  <c r="AO9" i="16" s="1"/>
  <c r="AV6" i="16" s="1"/>
  <c r="AN93" i="16"/>
  <c r="AN99" i="16" s="1"/>
  <c r="D173" i="16"/>
  <c r="H159" i="16"/>
  <c r="I159" i="16" s="1"/>
  <c r="BI187" i="16" s="1"/>
  <c r="BS186" i="16" s="1"/>
  <c r="AW8" i="16"/>
  <c r="AW6" i="16"/>
  <c r="AW10" i="16"/>
  <c r="AW9" i="16"/>
  <c r="CA105" i="16"/>
  <c r="AS6" i="16"/>
  <c r="AS10" i="16"/>
  <c r="BT126" i="16"/>
  <c r="BT127" i="16" s="1"/>
  <c r="BT128" i="16" s="1"/>
  <c r="BX126" i="16" s="1"/>
  <c r="CA85" i="16"/>
  <c r="CA103" i="16"/>
  <c r="BU84" i="16"/>
  <c r="BU87" i="16"/>
  <c r="BW84" i="16"/>
  <c r="BW87" i="16"/>
  <c r="BS84" i="16"/>
  <c r="BS87" i="16"/>
  <c r="BR89" i="16"/>
  <c r="BS86" i="16"/>
  <c r="BU86" i="16"/>
  <c r="BW86" i="16"/>
  <c r="CA106" i="16"/>
  <c r="BX84" i="16"/>
  <c r="BX87" i="16"/>
  <c r="BY84" i="16"/>
  <c r="BY87" i="16"/>
  <c r="BT84" i="16"/>
  <c r="BT87" i="16"/>
  <c r="BZ84" i="16"/>
  <c r="BZ87" i="16"/>
  <c r="AP99" i="16"/>
  <c r="AP94" i="16"/>
  <c r="AP100" i="16" s="1"/>
  <c r="AP95" i="16"/>
  <c r="AP90" i="16"/>
  <c r="AP86" i="16"/>
  <c r="AO86" i="16" l="1"/>
  <c r="AS86" i="16" s="1"/>
  <c r="AP89" i="16" s="1"/>
  <c r="AW85" i="16" s="1"/>
  <c r="AO90" i="16"/>
  <c r="AS84" i="16"/>
  <c r="AO94" i="16"/>
  <c r="AO100" i="16" s="1"/>
  <c r="AO99" i="16"/>
  <c r="AO95" i="16"/>
  <c r="AM9" i="16"/>
  <c r="AT8" i="16" s="1"/>
  <c r="AN9" i="16"/>
  <c r="BC2" i="16"/>
  <c r="BF1" i="16" s="1"/>
  <c r="BG1" i="16" s="1"/>
  <c r="BH1" i="16" s="1"/>
  <c r="BI1" i="16" s="1"/>
  <c r="BJ1" i="16" s="1"/>
  <c r="BK1" i="16" s="1"/>
  <c r="BL1" i="16" s="1"/>
  <c r="BM1" i="16" s="1"/>
  <c r="BN1" i="16" s="1"/>
  <c r="BO1" i="16" s="1"/>
  <c r="BP1" i="16" s="1"/>
  <c r="BQ1" i="16" s="1"/>
  <c r="BR1" i="16" s="1"/>
  <c r="BS1" i="16" s="1"/>
  <c r="BT1" i="16" s="1"/>
  <c r="BU1" i="16" s="1"/>
  <c r="BV1" i="16" s="1"/>
  <c r="BW1" i="16" s="1"/>
  <c r="BX1" i="16" s="1"/>
  <c r="BY1" i="16" s="1"/>
  <c r="BZ1" i="16" s="1"/>
  <c r="CA1" i="16" s="1"/>
  <c r="CB1" i="16" s="1"/>
  <c r="CC1" i="16" s="1"/>
  <c r="CD1" i="16" s="1"/>
  <c r="CE1" i="16" s="1"/>
  <c r="CF1" i="16" s="1"/>
  <c r="CG1" i="16" s="1"/>
  <c r="CH1" i="16" s="1"/>
  <c r="CI1" i="16" s="1"/>
  <c r="CJ1" i="16" s="1"/>
  <c r="CK1" i="16" s="1"/>
  <c r="CL1" i="16" s="1"/>
  <c r="CM1" i="16" s="1"/>
  <c r="CN1" i="16" s="1"/>
  <c r="CO1" i="16" s="1"/>
  <c r="CP1" i="16" s="1"/>
  <c r="CQ1" i="16" s="1"/>
  <c r="CR1" i="16" s="1"/>
  <c r="CS1" i="16" s="1"/>
  <c r="CT1" i="16" s="1"/>
  <c r="CU1" i="16" s="1"/>
  <c r="CV1" i="16" s="1"/>
  <c r="CW1" i="16" s="1"/>
  <c r="CX1" i="16" s="1"/>
  <c r="CY1" i="16" s="1"/>
  <c r="CZ1" i="16" s="1"/>
  <c r="DA1" i="16" s="1"/>
  <c r="DB1" i="16" s="1"/>
  <c r="DC1" i="16" s="1"/>
  <c r="DD1" i="16" s="1"/>
  <c r="DE1" i="16" s="1"/>
  <c r="DF1" i="16" s="1"/>
  <c r="DG1" i="16" s="1"/>
  <c r="DH1" i="16" s="1"/>
  <c r="DI1" i="16" s="1"/>
  <c r="DJ1" i="16" s="1"/>
  <c r="DK1" i="16" s="1"/>
  <c r="DL1" i="16" s="1"/>
  <c r="DM1" i="16" s="1"/>
  <c r="DN1" i="16" s="1"/>
  <c r="DO1" i="16" s="1"/>
  <c r="DP1" i="16" s="1"/>
  <c r="DQ1" i="16" s="1"/>
  <c r="DR1" i="16" s="1"/>
  <c r="DS1" i="16" s="1"/>
  <c r="DT1" i="16" s="1"/>
  <c r="DU1" i="16" s="1"/>
  <c r="DV1" i="16" s="1"/>
  <c r="DW1" i="16" s="1"/>
  <c r="DX1" i="16" s="1"/>
  <c r="DY1" i="16" s="1"/>
  <c r="DZ1" i="16" s="1"/>
  <c r="EA1" i="16" s="1"/>
  <c r="EB1" i="16" s="1"/>
  <c r="EC1" i="16" s="1"/>
  <c r="ED1" i="16" s="1"/>
  <c r="EE1" i="16" s="1"/>
  <c r="EF1" i="16" s="1"/>
  <c r="EG1" i="16" s="1"/>
  <c r="EH1" i="16" s="1"/>
  <c r="EI1" i="16" s="1"/>
  <c r="EJ1" i="16" s="1"/>
  <c r="EK1" i="16" s="1"/>
  <c r="EL1" i="16" s="1"/>
  <c r="EM1" i="16" s="1"/>
  <c r="EN1" i="16" s="1"/>
  <c r="EO1" i="16" s="1"/>
  <c r="EP1" i="16" s="1"/>
  <c r="EQ1" i="16" s="1"/>
  <c r="ER1" i="16" s="1"/>
  <c r="ES1" i="16" s="1"/>
  <c r="ET1" i="16" s="1"/>
  <c r="EU1" i="16" s="1"/>
  <c r="EV1" i="16" s="1"/>
  <c r="EW1" i="16" s="1"/>
  <c r="EX1" i="16" s="1"/>
  <c r="EY1" i="16" s="1"/>
  <c r="EZ1" i="16" s="1"/>
  <c r="AS93" i="16"/>
  <c r="AP96" i="16" s="1"/>
  <c r="AN95" i="16"/>
  <c r="AN94" i="16"/>
  <c r="AN100" i="16" s="1"/>
  <c r="AV8" i="16"/>
  <c r="D174" i="16"/>
  <c r="H160" i="16"/>
  <c r="I160" i="16" s="1"/>
  <c r="J165" i="16" s="1"/>
  <c r="K154" i="16" s="1"/>
  <c r="BT107" i="16"/>
  <c r="BT108" i="16" s="1"/>
  <c r="BT109" i="16" s="1"/>
  <c r="BX107" i="16" s="1"/>
  <c r="CA86" i="16"/>
  <c r="CA87" i="16"/>
  <c r="CA84" i="16"/>
  <c r="BX127" i="16"/>
  <c r="AM11" i="16"/>
  <c r="AN11" i="16"/>
  <c r="AV10" i="16"/>
  <c r="AV9" i="16"/>
  <c r="AS95" i="16" l="1"/>
  <c r="AP87" i="16"/>
  <c r="AN87" i="16"/>
  <c r="AU84" i="16" s="1"/>
  <c r="AO87" i="16"/>
  <c r="AV84" i="16" s="1"/>
  <c r="AU8" i="16"/>
  <c r="AY8" i="16" s="1"/>
  <c r="AU6" i="16"/>
  <c r="AT6" i="16"/>
  <c r="AT10" i="16"/>
  <c r="AN96" i="16"/>
  <c r="AU93" i="16" s="1"/>
  <c r="AO96" i="16"/>
  <c r="AV93" i="16" s="1"/>
  <c r="AS94" i="16"/>
  <c r="BK187" i="16"/>
  <c r="BS188" i="16" s="1"/>
  <c r="D176" i="16"/>
  <c r="J167" i="16"/>
  <c r="K152" i="16"/>
  <c r="BJ187" i="16"/>
  <c r="BS187" i="16" s="1"/>
  <c r="D175" i="16"/>
  <c r="AO89" i="16"/>
  <c r="AV85" i="16" s="1"/>
  <c r="AN89" i="16"/>
  <c r="AU85" i="16" s="1"/>
  <c r="BV127" i="16"/>
  <c r="BV126" i="16"/>
  <c r="BX108" i="16"/>
  <c r="BV108" i="16" s="1"/>
  <c r="BT88" i="16"/>
  <c r="AT9" i="16"/>
  <c r="AT7" i="16"/>
  <c r="AW93" i="16"/>
  <c r="AU9" i="16"/>
  <c r="AU7" i="16"/>
  <c r="AU10" i="16"/>
  <c r="AY6" i="16" l="1"/>
  <c r="AO97" i="16"/>
  <c r="AV95" i="16" s="1"/>
  <c r="AP97" i="16"/>
  <c r="AW95" i="16" s="1"/>
  <c r="AN97" i="16"/>
  <c r="AU95" i="16" s="1"/>
  <c r="AW88" i="16"/>
  <c r="AW84" i="16"/>
  <c r="AZ84" i="16" s="1"/>
  <c r="AP98" i="16"/>
  <c r="AO98" i="16"/>
  <c r="AN98" i="16"/>
  <c r="AY10" i="16"/>
  <c r="AZ93" i="16"/>
  <c r="K158" i="16"/>
  <c r="BL187" i="16"/>
  <c r="D177" i="16"/>
  <c r="K156" i="16"/>
  <c r="AV88" i="16"/>
  <c r="AZ85" i="16"/>
  <c r="AU88" i="16"/>
  <c r="BV107" i="16"/>
  <c r="CB104" i="16" s="1"/>
  <c r="CJ104" i="16" s="1"/>
  <c r="CB123" i="16"/>
  <c r="CC125" i="16" s="1"/>
  <c r="BT89" i="16"/>
  <c r="BT90" i="16" s="1"/>
  <c r="BX89" i="16" s="1"/>
  <c r="AY9" i="16"/>
  <c r="AY7" i="16"/>
  <c r="AV96" i="16" l="1"/>
  <c r="AW94" i="16"/>
  <c r="AW96" i="16"/>
  <c r="AW97" i="16"/>
  <c r="AV94" i="16"/>
  <c r="AV97" i="16"/>
  <c r="AU94" i="16"/>
  <c r="AU97" i="16"/>
  <c r="AU96" i="16"/>
  <c r="AZ88" i="16"/>
  <c r="BM186" i="16"/>
  <c r="BM184" i="16"/>
  <c r="BS189" i="16"/>
  <c r="BN185" i="16"/>
  <c r="BN184" i="16"/>
  <c r="BM187" i="16"/>
  <c r="BM185" i="16"/>
  <c r="CF125" i="16"/>
  <c r="CI125" i="16"/>
  <c r="CC123" i="16"/>
  <c r="CH123" i="16" s="1"/>
  <c r="CC127" i="16" s="1"/>
  <c r="CG104" i="16"/>
  <c r="CB107" i="16"/>
  <c r="CD125" i="16"/>
  <c r="CE123" i="16"/>
  <c r="CJ125" i="16"/>
  <c r="CE125" i="16"/>
  <c r="BY108" i="16"/>
  <c r="BY109" i="16" s="1"/>
  <c r="E115" i="16" s="1"/>
  <c r="E114" i="16" s="1"/>
  <c r="CE108" i="16"/>
  <c r="CF104" i="16"/>
  <c r="CF103" i="16" s="1"/>
  <c r="CE104" i="16"/>
  <c r="CI108" i="16"/>
  <c r="CG103" i="16"/>
  <c r="CJ103" i="16"/>
  <c r="CC107" i="16"/>
  <c r="CD103" i="16"/>
  <c r="CI103" i="16"/>
  <c r="CH103" i="16"/>
  <c r="CG108" i="16"/>
  <c r="CC104" i="16"/>
  <c r="CH104" i="16" s="1"/>
  <c r="CC108" i="16" s="1"/>
  <c r="CE107" i="16"/>
  <c r="CC106" i="16"/>
  <c r="CJ106" i="16"/>
  <c r="CD104" i="16"/>
  <c r="CF108" i="16" s="1"/>
  <c r="CI106" i="16"/>
  <c r="CE103" i="16"/>
  <c r="CG106" i="16"/>
  <c r="CH106" i="16"/>
  <c r="CD107" i="16" s="1"/>
  <c r="CD106" i="16"/>
  <c r="CF106" i="16"/>
  <c r="CC103" i="16" s="1"/>
  <c r="CE106" i="16"/>
  <c r="CD108" i="16"/>
  <c r="CB106" i="16"/>
  <c r="CH107" i="16"/>
  <c r="CI107" i="16"/>
  <c r="CF107" i="16"/>
  <c r="CG107" i="16"/>
  <c r="BZ108" i="16"/>
  <c r="BZ109" i="16" s="1"/>
  <c r="CI104" i="16"/>
  <c r="CB125" i="16"/>
  <c r="CD127" i="16"/>
  <c r="CH125" i="16"/>
  <c r="CG123" i="16"/>
  <c r="CG125" i="16"/>
  <c r="CD123" i="16"/>
  <c r="BX88" i="16"/>
  <c r="BV89" i="16" s="1"/>
  <c r="CD126" i="16"/>
  <c r="CE126" i="16"/>
  <c r="CD122" i="16"/>
  <c r="CE127" i="16"/>
  <c r="CG127" i="16"/>
  <c r="CI127" i="16"/>
  <c r="CF127" i="16"/>
  <c r="CF123" i="16"/>
  <c r="CF122" i="16" s="1"/>
  <c r="AZ95" i="16"/>
  <c r="CH122" i="16"/>
  <c r="CI122" i="16"/>
  <c r="CG122" i="16"/>
  <c r="CC122" i="16"/>
  <c r="CE122" i="16"/>
  <c r="CJ123" i="16"/>
  <c r="CI123" i="16"/>
  <c r="AT12" i="16"/>
  <c r="AV12" i="16" s="1"/>
  <c r="AZ97" i="16" l="1"/>
  <c r="AZ94" i="16"/>
  <c r="AZ96" i="16"/>
  <c r="BT187" i="16"/>
  <c r="BU187" i="16"/>
  <c r="BN186" i="16"/>
  <c r="BN187" i="16" s="1"/>
  <c r="CH109" i="16"/>
  <c r="BV88" i="16"/>
  <c r="CB85" i="16" s="1"/>
  <c r="CJ109" i="16"/>
  <c r="E120" i="16"/>
  <c r="E119" i="16" s="1"/>
  <c r="AO85" i="16" s="1"/>
  <c r="AO91" i="16" s="1"/>
  <c r="CJ122" i="16"/>
  <c r="CC126" i="16"/>
  <c r="CB126" i="16"/>
  <c r="BY127" i="16"/>
  <c r="BY128" i="16" s="1"/>
  <c r="CH126" i="16"/>
  <c r="CI126" i="16"/>
  <c r="CF126" i="16"/>
  <c r="CG126" i="16"/>
  <c r="BZ127" i="16"/>
  <c r="BZ128" i="16" s="1"/>
  <c r="AX12" i="16"/>
  <c r="BY2" i="16" s="1"/>
  <c r="BA6" i="16"/>
  <c r="AU99" i="16" l="1"/>
  <c r="BT189" i="16"/>
  <c r="BQ185" i="16"/>
  <c r="BU189" i="16"/>
  <c r="CF109" i="16"/>
  <c r="DK4" i="16"/>
  <c r="CM4" i="16"/>
  <c r="DT4" i="16"/>
  <c r="DU4" i="16"/>
  <c r="DC4" i="16"/>
  <c r="EY4" i="16"/>
  <c r="DB4" i="16"/>
  <c r="CO4" i="16"/>
  <c r="DA2" i="16"/>
  <c r="BP4" i="16"/>
  <c r="CP4" i="16"/>
  <c r="CG4" i="16"/>
  <c r="CY4" i="16"/>
  <c r="CF88" i="16"/>
  <c r="CJ84" i="16"/>
  <c r="CC85" i="16"/>
  <c r="CH85" i="16" s="1"/>
  <c r="CC89" i="16" s="1"/>
  <c r="CD87" i="16"/>
  <c r="CG89" i="16"/>
  <c r="CF87" i="16"/>
  <c r="CI84" i="16" s="1"/>
  <c r="CC87" i="16"/>
  <c r="CG85" i="16"/>
  <c r="CD88" i="16"/>
  <c r="CH87" i="16"/>
  <c r="CD84" i="16" s="1"/>
  <c r="CE89" i="16"/>
  <c r="CG84" i="16"/>
  <c r="CE85" i="16"/>
  <c r="CE84" i="16" s="1"/>
  <c r="CB88" i="16" s="1"/>
  <c r="CB87" i="16"/>
  <c r="CE87" i="16"/>
  <c r="CF89" i="16"/>
  <c r="CH84" i="16"/>
  <c r="CD89" i="16"/>
  <c r="CI87" i="16"/>
  <c r="CG87" i="16"/>
  <c r="CF85" i="16"/>
  <c r="CF84" i="16" s="1"/>
  <c r="CG88" i="16" s="1"/>
  <c r="CJ87" i="16"/>
  <c r="CD85" i="16"/>
  <c r="CI89" i="16" s="1"/>
  <c r="CC84" i="16"/>
  <c r="CH88" i="16"/>
  <c r="CE88" i="16"/>
  <c r="CI85" i="16"/>
  <c r="CC88" i="16"/>
  <c r="CI88" i="16"/>
  <c r="CJ85" i="16"/>
  <c r="BY89" i="16"/>
  <c r="BY90" i="16" s="1"/>
  <c r="BZ89" i="16"/>
  <c r="BZ90" i="16" s="1"/>
  <c r="EI4" i="16"/>
  <c r="DL4" i="16"/>
  <c r="CS4" i="16"/>
  <c r="EQ4" i="16"/>
  <c r="EU4" i="16"/>
  <c r="DA4" i="16"/>
  <c r="BI4" i="16"/>
  <c r="ER2" i="16"/>
  <c r="DJ2" i="16"/>
  <c r="BX2" i="16"/>
  <c r="E134" i="16"/>
  <c r="E133" i="16" s="1"/>
  <c r="CH128" i="16"/>
  <c r="DE2" i="16"/>
  <c r="EP2" i="16"/>
  <c r="E139" i="16"/>
  <c r="E138" i="16" s="1"/>
  <c r="CJ128" i="16"/>
  <c r="DW2" i="16"/>
  <c r="CQ2" i="16"/>
  <c r="CF2" i="16"/>
  <c r="EA2" i="16"/>
  <c r="CJ2" i="16"/>
  <c r="BM2" i="16"/>
  <c r="BU2" i="16"/>
  <c r="EU2" i="16"/>
  <c r="CN2" i="16"/>
  <c r="EZ2" i="16"/>
  <c r="CP2" i="16"/>
  <c r="EH2" i="16"/>
  <c r="BO2" i="16"/>
  <c r="BW2" i="16"/>
  <c r="EF2" i="16"/>
  <c r="DS2" i="16"/>
  <c r="EM2" i="16"/>
  <c r="EQ2" i="16"/>
  <c r="BG2" i="16"/>
  <c r="CR2" i="16"/>
  <c r="BS2" i="16"/>
  <c r="DD2" i="16"/>
  <c r="BN2" i="16"/>
  <c r="CE2" i="16"/>
  <c r="DM2" i="16"/>
  <c r="CO2" i="16"/>
  <c r="BT2" i="16"/>
  <c r="EK2" i="16"/>
  <c r="BQ2" i="16"/>
  <c r="BP2" i="16"/>
  <c r="DQ2" i="16"/>
  <c r="CI2" i="16"/>
  <c r="DL2" i="16"/>
  <c r="DY2" i="16"/>
  <c r="BE2" i="16"/>
  <c r="EW2" i="16"/>
  <c r="BF2" i="16"/>
  <c r="BJ2" i="16"/>
  <c r="EG2" i="16"/>
  <c r="BK2" i="16"/>
  <c r="EB2" i="16"/>
  <c r="CY2" i="16"/>
  <c r="EX2" i="16"/>
  <c r="DR2" i="16"/>
  <c r="DO2" i="16"/>
  <c r="CH2" i="16"/>
  <c r="DH2" i="16"/>
  <c r="DP2" i="16"/>
  <c r="BV2" i="16"/>
  <c r="EY2" i="16"/>
  <c r="ET2" i="16"/>
  <c r="DV2" i="16"/>
  <c r="CZ2" i="16"/>
  <c r="CV2" i="16"/>
  <c r="DC2" i="16"/>
  <c r="CK2" i="16"/>
  <c r="ES2" i="16"/>
  <c r="DG2" i="16"/>
  <c r="DK2" i="16"/>
  <c r="ED2" i="16"/>
  <c r="DB2" i="16"/>
  <c r="DN2" i="16"/>
  <c r="CD2" i="16"/>
  <c r="EV2" i="16"/>
  <c r="DI2" i="16"/>
  <c r="CG2" i="16"/>
  <c r="DF2" i="16"/>
  <c r="DZ2" i="16"/>
  <c r="CX2" i="16"/>
  <c r="DX2" i="16"/>
  <c r="EL2" i="16"/>
  <c r="BZ2" i="16"/>
  <c r="CT2" i="16"/>
  <c r="EN2" i="16"/>
  <c r="BI2" i="16"/>
  <c r="EO2" i="16"/>
  <c r="CW2" i="16"/>
  <c r="DU2" i="16"/>
  <c r="CB2" i="16"/>
  <c r="EI2" i="16"/>
  <c r="BR2" i="16"/>
  <c r="CC2" i="16"/>
  <c r="DT2" i="16"/>
  <c r="BL2" i="16"/>
  <c r="CM2" i="16"/>
  <c r="EJ2" i="16"/>
  <c r="CU2" i="16"/>
  <c r="CS2" i="16"/>
  <c r="EE2" i="16"/>
  <c r="CA2" i="16"/>
  <c r="EC2" i="16"/>
  <c r="CL2" i="16"/>
  <c r="BH2" i="16"/>
  <c r="AZ15" i="16"/>
  <c r="AZ16" i="16" s="1"/>
  <c r="BB84" i="16"/>
  <c r="BA91" i="16" s="1"/>
  <c r="BA92" i="16" s="1"/>
  <c r="BB93" i="16"/>
  <c r="A33" i="16"/>
  <c r="BA7" i="16"/>
  <c r="AW99" i="16" l="1"/>
  <c r="AY99" i="16" s="1"/>
  <c r="EH4" i="16"/>
  <c r="DG4" i="16"/>
  <c r="ER4" i="16"/>
  <c r="CN4" i="16"/>
  <c r="BN4" i="16"/>
  <c r="CU4" i="16"/>
  <c r="BY4" i="16"/>
  <c r="BG4" i="16"/>
  <c r="DX4" i="16"/>
  <c r="BO4" i="16"/>
  <c r="DE4" i="16"/>
  <c r="BL4" i="16"/>
  <c r="CX4" i="16"/>
  <c r="DO4" i="16"/>
  <c r="EF4" i="16"/>
  <c r="CA4" i="16"/>
  <c r="CF4" i="16"/>
  <c r="CD4" i="16"/>
  <c r="CW4" i="16"/>
  <c r="ED4" i="16"/>
  <c r="BW4" i="16"/>
  <c r="EL4" i="16"/>
  <c r="BR4" i="16"/>
  <c r="DI4" i="16"/>
  <c r="CZ4" i="16"/>
  <c r="BX4" i="16"/>
  <c r="BK4" i="16"/>
  <c r="DW4" i="16"/>
  <c r="BH4" i="16"/>
  <c r="CR4" i="16"/>
  <c r="CH4" i="16"/>
  <c r="BU4" i="16"/>
  <c r="CL4" i="16"/>
  <c r="BF4" i="16"/>
  <c r="EK4" i="16"/>
  <c r="BQ4" i="16"/>
  <c r="CJ4" i="16"/>
  <c r="DD4" i="16"/>
  <c r="EP4" i="16"/>
  <c r="BJ4" i="16"/>
  <c r="DR4" i="16"/>
  <c r="BM4" i="16"/>
  <c r="CC4" i="16"/>
  <c r="CT4" i="16"/>
  <c r="EX4" i="16"/>
  <c r="DQ4" i="16"/>
  <c r="CB4" i="16"/>
  <c r="EE4" i="16"/>
  <c r="CV4" i="16"/>
  <c r="EC4" i="16"/>
  <c r="DZ4" i="16"/>
  <c r="DS4" i="16"/>
  <c r="EJ4" i="16"/>
  <c r="CI4" i="16"/>
  <c r="BV4" i="16"/>
  <c r="DV4" i="16"/>
  <c r="DH4" i="16"/>
  <c r="DP4" i="16"/>
  <c r="EA4" i="16"/>
  <c r="EO4" i="16"/>
  <c r="DJ4" i="16"/>
  <c r="EV4" i="16"/>
  <c r="EM4" i="16"/>
  <c r="DM4" i="16"/>
  <c r="CQ4" i="16"/>
  <c r="EN4" i="16"/>
  <c r="ET4" i="16"/>
  <c r="BE4" i="16"/>
  <c r="DN4" i="16"/>
  <c r="EW4" i="16"/>
  <c r="DY4" i="16"/>
  <c r="CE4" i="16"/>
  <c r="CK4" i="16"/>
  <c r="EZ4" i="16"/>
  <c r="EG4" i="16"/>
  <c r="EB4" i="16"/>
  <c r="ES4" i="16"/>
  <c r="BS4" i="16"/>
  <c r="L196" i="16"/>
  <c r="BX186" i="16"/>
  <c r="BY186" i="16"/>
  <c r="CD186" i="16"/>
  <c r="CA188" i="16"/>
  <c r="CC186" i="16"/>
  <c r="CA186" i="16"/>
  <c r="BZ186" i="16" s="1"/>
  <c r="CB188" i="16"/>
  <c r="BY188" i="16"/>
  <c r="BX188" i="16"/>
  <c r="BZ188" i="16"/>
  <c r="CB186" i="16"/>
  <c r="BQ187" i="16"/>
  <c r="K162" i="16"/>
  <c r="CF128" i="16"/>
  <c r="AP85" i="16"/>
  <c r="AP91" i="16" s="1"/>
  <c r="CH90" i="16"/>
  <c r="E96" i="16"/>
  <c r="E95" i="16" s="1"/>
  <c r="E101" i="16"/>
  <c r="E100" i="16" s="1"/>
  <c r="CJ90" i="16"/>
  <c r="BA14" i="16"/>
  <c r="BA15" i="16" s="1"/>
  <c r="B33" i="16"/>
  <c r="BA99" i="16"/>
  <c r="BA100" i="16" s="1"/>
  <c r="BB94" i="16"/>
  <c r="DF4" i="16" l="1"/>
  <c r="BT4" i="16"/>
  <c r="BZ4" i="16"/>
  <c r="BY189" i="16"/>
  <c r="BZ189" i="16"/>
  <c r="B176" i="16"/>
  <c r="AT174" i="16" s="1"/>
  <c r="F176" i="16"/>
  <c r="AW174" i="16" s="1"/>
  <c r="F175" i="16"/>
  <c r="AW173" i="16" s="1"/>
  <c r="C171" i="16"/>
  <c r="AU169" i="16" s="1"/>
  <c r="C176" i="16"/>
  <c r="AU174" i="16" s="1"/>
  <c r="C177" i="16"/>
  <c r="AU175" i="16" s="1"/>
  <c r="AS168" i="16"/>
  <c r="AS169" i="16" s="1"/>
  <c r="B177" i="16"/>
  <c r="AT175" i="16" s="1"/>
  <c r="E172" i="16"/>
  <c r="AV170" i="16" s="1"/>
  <c r="C175" i="16"/>
  <c r="AU173" i="16" s="1"/>
  <c r="F171" i="16"/>
  <c r="AW169" i="16" s="1"/>
  <c r="E177" i="16"/>
  <c r="AV175" i="16" s="1"/>
  <c r="E176" i="16"/>
  <c r="AV174" i="16" s="1"/>
  <c r="E175" i="16"/>
  <c r="AV173" i="16" s="1"/>
  <c r="C173" i="16"/>
  <c r="AU171" i="16" s="1"/>
  <c r="F174" i="16"/>
  <c r="AW172" i="16" s="1"/>
  <c r="E174" i="16"/>
  <c r="AV172" i="16" s="1"/>
  <c r="E173" i="16"/>
  <c r="AV171" i="16" s="1"/>
  <c r="C174" i="16"/>
  <c r="AU172" i="16" s="1"/>
  <c r="F173" i="16"/>
  <c r="B175" i="16"/>
  <c r="AT173" i="16" s="1"/>
  <c r="F172" i="16"/>
  <c r="C172" i="16"/>
  <c r="AU170" i="16" s="1"/>
  <c r="E171" i="16"/>
  <c r="AV169" i="16" s="1"/>
  <c r="B173" i="16"/>
  <c r="B174" i="16"/>
  <c r="AT172" i="16" s="1"/>
  <c r="A169" i="16"/>
  <c r="B172" i="16"/>
  <c r="B171" i="16"/>
  <c r="AT169" i="16" s="1"/>
  <c r="F177" i="16"/>
  <c r="AW175" i="16" s="1"/>
  <c r="CF90" i="16"/>
  <c r="AN85" i="16"/>
  <c r="BB98" i="16"/>
  <c r="BB99" i="16" s="1"/>
  <c r="D33" i="16"/>
  <c r="AW170" i="16" l="1"/>
  <c r="AW171" i="16"/>
  <c r="AT171" i="16"/>
  <c r="AT170" i="16"/>
  <c r="BV189" i="16"/>
  <c r="L197" i="16" s="1"/>
  <c r="AN91" i="16"/>
  <c r="AS85" i="16"/>
  <c r="AN88" i="16" l="1"/>
  <c r="AO88" i="16"/>
  <c r="AP88" i="16"/>
  <c r="AV86" i="16" l="1"/>
  <c r="AV87" i="16"/>
  <c r="AW87" i="16"/>
  <c r="AW86" i="16"/>
  <c r="AU86" i="16"/>
  <c r="AU87" i="16"/>
  <c r="AZ87" i="16" l="1"/>
  <c r="AZ86" i="16"/>
  <c r="AU90" i="16" l="1"/>
  <c r="AW90" i="16" s="1"/>
  <c r="AY90" i="16" l="1"/>
  <c r="BB85" i="16" s="1"/>
  <c r="C33" i="16" s="1"/>
  <c r="CT3" i="16" l="1"/>
  <c r="EG3" i="16"/>
  <c r="BF3" i="16"/>
  <c r="DT3" i="16"/>
  <c r="DW3" i="16"/>
  <c r="DJ3" i="16"/>
  <c r="BX3" i="16"/>
  <c r="CS3" i="16"/>
  <c r="BY3" i="16"/>
  <c r="CO3" i="16"/>
  <c r="EH3" i="16"/>
  <c r="DY3" i="16"/>
  <c r="DN3" i="16"/>
  <c r="DC3" i="16"/>
  <c r="BQ3" i="16"/>
  <c r="DR3" i="16"/>
  <c r="DK3" i="16"/>
  <c r="CB3" i="16"/>
  <c r="CC3" i="16"/>
  <c r="CF3" i="16"/>
  <c r="DL3" i="16"/>
  <c r="BJ3" i="16"/>
  <c r="DX3" i="16"/>
  <c r="ES3" i="16"/>
  <c r="EQ3" i="16"/>
  <c r="EP3" i="16"/>
  <c r="EZ3" i="16"/>
  <c r="CV3" i="16"/>
  <c r="DG3" i="16"/>
  <c r="BM3" i="16"/>
  <c r="DO3" i="16"/>
  <c r="CW3" i="16"/>
  <c r="BB90" i="16"/>
  <c r="BB91" i="16" s="1"/>
  <c r="DS3" i="16"/>
  <c r="EA3" i="16"/>
  <c r="EX3" i="16"/>
  <c r="BU3" i="16"/>
  <c r="CE3" i="16"/>
  <c r="CR3" i="16"/>
  <c r="BP3" i="16"/>
  <c r="CL3" i="16"/>
  <c r="BH3" i="16"/>
  <c r="EW3" i="16"/>
  <c r="EC3" i="16"/>
  <c r="CA3" i="16"/>
  <c r="CZ3" i="16"/>
  <c r="CP3" i="16"/>
  <c r="DH3" i="16"/>
  <c r="EU3" i="16"/>
  <c r="BO3" i="16"/>
  <c r="ET3" i="16"/>
  <c r="EM3" i="16"/>
  <c r="CQ3" i="16"/>
  <c r="ER3" i="16"/>
  <c r="CU3" i="16"/>
  <c r="EL3" i="16"/>
  <c r="EF3" i="16"/>
  <c r="BR3" i="16"/>
  <c r="EE3" i="16"/>
  <c r="EN3" i="16"/>
  <c r="BG3" i="16"/>
  <c r="DA3" i="16"/>
  <c r="BT3" i="16"/>
  <c r="BZ3" i="16"/>
  <c r="BN3" i="16"/>
  <c r="CY3" i="16"/>
  <c r="DQ3" i="16"/>
  <c r="EB3" i="16"/>
  <c r="DE3" i="16"/>
  <c r="EJ3" i="16"/>
  <c r="CM3" i="16"/>
  <c r="CI3" i="16"/>
  <c r="ED3" i="16"/>
  <c r="CK3" i="16"/>
  <c r="DF3" i="16"/>
  <c r="CG3" i="16"/>
  <c r="EK3" i="16"/>
  <c r="EI3" i="16"/>
  <c r="DI3" i="16"/>
  <c r="DB3" i="16"/>
  <c r="BI3" i="16"/>
  <c r="DZ3" i="16"/>
  <c r="BV3" i="16"/>
  <c r="CH3" i="16"/>
  <c r="EV3" i="16"/>
  <c r="BW3" i="16"/>
  <c r="EO3" i="16"/>
  <c r="DV3" i="16"/>
  <c r="EY3" i="16"/>
  <c r="BS3" i="16"/>
  <c r="CJ3" i="16"/>
  <c r="BE3" i="16"/>
  <c r="DM3" i="16"/>
  <c r="CX3" i="16"/>
  <c r="BK3" i="16"/>
  <c r="DD3" i="16"/>
  <c r="CN3" i="16"/>
  <c r="DU3" i="16"/>
  <c r="CD3" i="16"/>
  <c r="DP3" i="16"/>
  <c r="BL3" i="16"/>
</calcChain>
</file>

<file path=xl/sharedStrings.xml><?xml version="1.0" encoding="utf-8"?>
<sst xmlns="http://schemas.openxmlformats.org/spreadsheetml/2006/main" count="6798" uniqueCount="432">
  <si>
    <t>BR -163</t>
  </si>
  <si>
    <t>Compactação</t>
  </si>
  <si>
    <t>ISC &amp; EXPANSÃO</t>
  </si>
  <si>
    <t>LEITURA DO EXTENSÔMETRO</t>
  </si>
  <si>
    <t>LEITURA DA PRENSA</t>
  </si>
  <si>
    <t>LIMITES FÍSICOS</t>
  </si>
  <si>
    <t>GRANULOMETRIA &amp; EQUIVALENTE DE AREIA</t>
  </si>
  <si>
    <t>Cálculos Para Compactação</t>
  </si>
  <si>
    <t>Nova Mutum- MT</t>
  </si>
  <si>
    <t>Cálculos não Ultrapasse</t>
  </si>
  <si>
    <t>ORIGEM DA AMOSTRA</t>
  </si>
  <si>
    <t>Númere os Pontos Executados (de 1 a 6)</t>
  </si>
  <si>
    <t>Umidade Higroscópica</t>
  </si>
  <si>
    <t>Umidade. de Moldagem</t>
  </si>
  <si>
    <t>Pontos</t>
  </si>
  <si>
    <t>Cilindro Nº</t>
  </si>
  <si>
    <t>Hora da Leitura</t>
  </si>
  <si>
    <t>Leitura</t>
  </si>
  <si>
    <t>Limite        de Liquidez</t>
  </si>
  <si>
    <t>Cápsula nº</t>
  </si>
  <si>
    <t>Umidade Higrocópica</t>
  </si>
  <si>
    <t>Peneiramento Grosso</t>
  </si>
  <si>
    <t>Total</t>
  </si>
  <si>
    <t>Parcial</t>
  </si>
  <si>
    <t>Peneiramento Fino</t>
  </si>
  <si>
    <t>Atenção</t>
  </si>
  <si>
    <t>Peso da Água</t>
  </si>
  <si>
    <t>Cilindros</t>
  </si>
  <si>
    <t>x=</t>
  </si>
  <si>
    <t>2"</t>
  </si>
  <si>
    <t>1 ½"</t>
  </si>
  <si>
    <t>1"</t>
  </si>
  <si>
    <t>¾"</t>
  </si>
  <si>
    <t>3/8"</t>
  </si>
  <si>
    <t>Estaca:</t>
  </si>
  <si>
    <t>Registro :</t>
  </si>
  <si>
    <t>Marque com X se a Compactação é</t>
  </si>
  <si>
    <t>Simples</t>
  </si>
  <si>
    <t>Nº da Cápsula</t>
  </si>
  <si>
    <t>Cápsula+solo úmido</t>
  </si>
  <si>
    <t>Cápsula 01</t>
  </si>
  <si>
    <t>Cápsula 02</t>
  </si>
  <si>
    <t>Retido</t>
  </si>
  <si>
    <t>Amostra</t>
  </si>
  <si>
    <t>Peso</t>
  </si>
  <si>
    <t>Peso da Cápsula</t>
  </si>
  <si>
    <t>Peso do Cilindro</t>
  </si>
  <si>
    <t>y=</t>
  </si>
  <si>
    <t>FAIXA</t>
  </si>
  <si>
    <t>Dados da Amostra</t>
  </si>
  <si>
    <t>Granulometria</t>
  </si>
  <si>
    <t>Limites Físicos</t>
  </si>
  <si>
    <t>Laboratorio</t>
  </si>
  <si>
    <t>Campo</t>
  </si>
  <si>
    <t>Ensaioe de ISC/EXP</t>
  </si>
  <si>
    <t>Posição :</t>
  </si>
  <si>
    <t>-</t>
  </si>
  <si>
    <t>Data</t>
  </si>
  <si>
    <t>Completa</t>
  </si>
  <si>
    <t>X</t>
  </si>
  <si>
    <t>Peso Bruto Úmido</t>
  </si>
  <si>
    <t>Cápsula+solo seco</t>
  </si>
  <si>
    <t>Nº</t>
  </si>
  <si>
    <t>Solo Úm + Tara</t>
  </si>
  <si>
    <t>Solo Seco + Tara</t>
  </si>
  <si>
    <t>Total Úmido</t>
  </si>
  <si>
    <t>Amostra Úmida</t>
  </si>
  <si>
    <t>Peso do Solo Seco</t>
  </si>
  <si>
    <t>Vol do Cilindro</t>
  </si>
  <si>
    <t>IP</t>
  </si>
  <si>
    <t>EST:</t>
  </si>
  <si>
    <t>POS:</t>
  </si>
  <si>
    <t>DATA:</t>
  </si>
  <si>
    <t>2``</t>
  </si>
  <si>
    <t>1 1/2``</t>
  </si>
  <si>
    <t>1``</t>
  </si>
  <si>
    <t>3/4``</t>
  </si>
  <si>
    <t>3/8``</t>
  </si>
  <si>
    <t>LL</t>
  </si>
  <si>
    <t>I.P.</t>
  </si>
  <si>
    <t>E.A .</t>
  </si>
  <si>
    <t>I.G.</t>
  </si>
  <si>
    <t>H.R.B.</t>
  </si>
  <si>
    <t>SUCS</t>
  </si>
  <si>
    <t>UMID.</t>
  </si>
  <si>
    <t>DENS.</t>
  </si>
  <si>
    <t>ISC</t>
  </si>
  <si>
    <t>EXP</t>
  </si>
  <si>
    <t>G.C.</t>
  </si>
  <si>
    <t>EXP.</t>
  </si>
  <si>
    <t>I.S.C.</t>
  </si>
  <si>
    <t>Camada:</t>
  </si>
  <si>
    <t>AVALIAR</t>
  </si>
  <si>
    <t>Trabalhada</t>
  </si>
  <si>
    <t>Peso Bruto Seco</t>
  </si>
  <si>
    <t>Constante da Prensa</t>
  </si>
  <si>
    <t>Nº de golpes</t>
  </si>
  <si>
    <t>Umidade</t>
  </si>
  <si>
    <t>Peso do Solo Úmido</t>
  </si>
  <si>
    <t>Umidade Ótima</t>
  </si>
  <si>
    <t>CBR</t>
  </si>
  <si>
    <t>a</t>
  </si>
  <si>
    <t>b</t>
  </si>
  <si>
    <t>c</t>
  </si>
  <si>
    <t>d</t>
  </si>
  <si>
    <t>Material:</t>
  </si>
  <si>
    <t>GRANULAR</t>
  </si>
  <si>
    <t>Não Trabalha</t>
  </si>
  <si>
    <t>Água Adicionada Inicial (ml)</t>
  </si>
  <si>
    <t>% Acrescentada por Ponto</t>
  </si>
  <si>
    <t>Peso do Material (g)</t>
  </si>
  <si>
    <t>Moldagem do ISC Ótimo</t>
  </si>
  <si>
    <t>Limite de Plásticidade</t>
  </si>
  <si>
    <t>Água Total</t>
  </si>
  <si>
    <t>Dens. Solo Úmido</t>
  </si>
  <si>
    <t>A</t>
  </si>
  <si>
    <t>M</t>
  </si>
  <si>
    <t>Proctor</t>
  </si>
  <si>
    <t>MODIFICADO</t>
  </si>
  <si>
    <t>Pelas Capsulas</t>
  </si>
  <si>
    <t>Nº do Cilindro</t>
  </si>
  <si>
    <t>% Ret.#3/4"</t>
  </si>
  <si>
    <t>Equivalente de Areia</t>
  </si>
  <si>
    <t>Proveta nº 1</t>
  </si>
  <si>
    <t>h 1</t>
  </si>
  <si>
    <t>Proveta nº 2</t>
  </si>
  <si>
    <t>Água Adicionada</t>
  </si>
  <si>
    <t>% p/ Ponto</t>
  </si>
  <si>
    <t>B</t>
  </si>
  <si>
    <t>Índ. de Grupo (IG)</t>
  </si>
  <si>
    <t>CLASSIFICAÇÃO  "HRB"</t>
  </si>
  <si>
    <t>Golpes</t>
  </si>
  <si>
    <t>Pela Higroscópica</t>
  </si>
  <si>
    <t>Peso Bruto</t>
  </si>
  <si>
    <t>% Ret.# nº4</t>
  </si>
  <si>
    <t>h 2</t>
  </si>
  <si>
    <t>% Água Adicionada</t>
  </si>
  <si>
    <t>P .Mat. S</t>
  </si>
  <si>
    <t>C</t>
  </si>
  <si>
    <t>LP</t>
  </si>
  <si>
    <t>E.A</t>
  </si>
  <si>
    <t xml:space="preserve">ARGILA VERMELHA </t>
  </si>
  <si>
    <t>INTERMEDIARIO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</si>
  <si>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Ensaio de Compactação de Solo Completo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</si>
  <si>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</si>
  <si>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FR-IMOB-55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</si>
  <si>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</si>
  <si>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</si>
  <si>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</si>
  <si>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</si>
  <si>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t>COMPACTAÇÃO COMPLETO</t>
  </si>
  <si>
    <t>Registro</t>
  </si>
  <si>
    <t>ITEM</t>
  </si>
  <si>
    <t>Documento de Referência</t>
  </si>
  <si>
    <t>DNIT 164 - ME - Solos - Compactação utilizando amostras não trabalhadas</t>
  </si>
  <si>
    <t>Estaca :</t>
  </si>
  <si>
    <t>Posição</t>
  </si>
  <si>
    <t xml:space="preserve">Camada :                        </t>
  </si>
  <si>
    <t>Próctor:</t>
  </si>
  <si>
    <t>Golpes:</t>
  </si>
  <si>
    <t>Rodovia:</t>
  </si>
  <si>
    <t>Trecho:</t>
  </si>
  <si>
    <t>Sub-Trecho:</t>
  </si>
  <si>
    <t>Item</t>
  </si>
  <si>
    <t>Unid.</t>
  </si>
  <si>
    <t xml:space="preserve"> </t>
  </si>
  <si>
    <t>Cápsula Nº</t>
  </si>
  <si>
    <t>Densidade</t>
  </si>
  <si>
    <t>g</t>
  </si>
  <si>
    <t>x</t>
  </si>
  <si>
    <t>y</t>
  </si>
  <si>
    <t>%</t>
  </si>
  <si>
    <t>Umidade Média</t>
  </si>
  <si>
    <t>Cálculo da Densidade</t>
  </si>
  <si>
    <t>Peso do Material g</t>
  </si>
  <si>
    <t xml:space="preserve">ISC </t>
  </si>
  <si>
    <t>Pela Higroscopica</t>
  </si>
  <si>
    <t>Expansaão</t>
  </si>
  <si>
    <t>Pelas Cápsulas</t>
  </si>
  <si>
    <t>Não Trabalhada</t>
  </si>
  <si>
    <t>P. Mat. Seco g</t>
  </si>
  <si>
    <t>Peso Água g</t>
  </si>
  <si>
    <t>Volume do Cilindro</t>
  </si>
  <si>
    <t>g / m³</t>
  </si>
  <si>
    <t>Dens. Solo Seco</t>
  </si>
  <si>
    <t>Resultados:</t>
  </si>
  <si>
    <t>Obs:</t>
  </si>
  <si>
    <t>U. Ótima</t>
  </si>
  <si>
    <t>Dens. Máx</t>
  </si>
  <si>
    <t>Expansão</t>
  </si>
  <si>
    <t>Responsável executor:</t>
  </si>
  <si>
    <t xml:space="preserve"> Responsável calculista:</t>
  </si>
  <si>
    <t>ÍNDICE SUPORTE CALIFÓRNIA &amp; EXPANSÃO</t>
  </si>
  <si>
    <t>Documento de referência</t>
  </si>
  <si>
    <t xml:space="preserve">DNIT 172 ME Solos - Determinação do índice de suporte Califórnia </t>
  </si>
  <si>
    <t>Estaca/Jazida</t>
  </si>
  <si>
    <t>CAMADA</t>
  </si>
  <si>
    <t>Umidade Moldagem</t>
  </si>
  <si>
    <t>Moldagem Ótima</t>
  </si>
  <si>
    <t>Cilindro nº</t>
  </si>
  <si>
    <t>EXPANSÃO</t>
  </si>
  <si>
    <t>Hora</t>
  </si>
  <si>
    <t>Costante da Prensa</t>
  </si>
  <si>
    <t>Diferença</t>
  </si>
  <si>
    <t xml:space="preserve">Altura do Cilindro </t>
  </si>
  <si>
    <t>Penet. (mm)</t>
  </si>
  <si>
    <t>Tempo(min)</t>
  </si>
  <si>
    <t>Pressão (kgf/cm²)</t>
  </si>
  <si>
    <t>GRANULOMETRIA &amp; LIMITES FÍSICOS</t>
  </si>
  <si>
    <t>Documentos de referência</t>
  </si>
  <si>
    <t>DNER ME 080 Solos Analise Granulometrica por Peneiramento</t>
  </si>
  <si>
    <t>DMER ME 082 Solos - Determinação do Limite de Plasticidade</t>
  </si>
  <si>
    <t>DNER ME 122 Solos - Determinação do Limite de Liquidez</t>
  </si>
  <si>
    <t>ANÁLISE GRANULOMÉTRICA</t>
  </si>
  <si>
    <t>UMIDADE HIGROSCÓPICA</t>
  </si>
  <si>
    <t>PENEIRAMENTO GROSSO</t>
  </si>
  <si>
    <t xml:space="preserve">RESUMO </t>
  </si>
  <si>
    <t xml:space="preserve">Peneiras   </t>
  </si>
  <si>
    <t>Peso da amostra</t>
  </si>
  <si>
    <t>% que passa da</t>
  </si>
  <si>
    <t>Pedregulho</t>
  </si>
  <si>
    <t>seca (g)</t>
  </si>
  <si>
    <t>Solo úmido + tara (g)</t>
  </si>
  <si>
    <t>nº</t>
  </si>
  <si>
    <t>mm</t>
  </si>
  <si>
    <t>Passado</t>
  </si>
  <si>
    <t>amostra total</t>
  </si>
  <si>
    <t>Areia grossa</t>
  </si>
  <si>
    <t>Solo seco + tara (g)</t>
  </si>
  <si>
    <t>Tara da cápsula  (g)</t>
  </si>
  <si>
    <t xml:space="preserve">Areia fina </t>
  </si>
  <si>
    <t>Água (g)</t>
  </si>
  <si>
    <t>Solo seco (g)</t>
  </si>
  <si>
    <t>Pass.# 200</t>
  </si>
  <si>
    <t>Teor de umidade (%)</t>
  </si>
  <si>
    <t>AMOSTRA TOTAL SECA</t>
  </si>
  <si>
    <t>PENEIRAMENTO FINO</t>
  </si>
  <si>
    <t xml:space="preserve">FAIXA </t>
  </si>
  <si>
    <t xml:space="preserve">Peso da amosta úmida:  </t>
  </si>
  <si>
    <t xml:space="preserve">Peso da amosta Seca:  </t>
  </si>
  <si>
    <t>Amostra total úmida (g)</t>
  </si>
  <si>
    <t>Peneiras</t>
  </si>
  <si>
    <t xml:space="preserve"> Amostra seca (g)</t>
  </si>
  <si>
    <t>% que Passa da am.</t>
  </si>
  <si>
    <t>Solo  seco ret. pen. nº 10</t>
  </si>
  <si>
    <t xml:space="preserve"> Solo úm.pass.pen.nº 10 </t>
  </si>
  <si>
    <t>Solo seco pass.pen.nº 10</t>
  </si>
  <si>
    <t>Amostra total seca</t>
  </si>
  <si>
    <t>GRÁFICO</t>
  </si>
  <si>
    <t>3"</t>
  </si>
  <si>
    <t>nº - 200</t>
  </si>
  <si>
    <t>Tolerância</t>
  </si>
  <si>
    <t>Mínimo</t>
  </si>
  <si>
    <t>Máximo</t>
  </si>
  <si>
    <t>Limites</t>
  </si>
  <si>
    <t>Minímo</t>
  </si>
  <si>
    <t>Ensaio</t>
  </si>
  <si>
    <t>1.1,5"</t>
  </si>
  <si>
    <t>3/4"</t>
  </si>
  <si>
    <t>1/2"</t>
  </si>
  <si>
    <t>Nº 4</t>
  </si>
  <si>
    <t>Nº 10</t>
  </si>
  <si>
    <t>nº - 4</t>
  </si>
  <si>
    <t>Nº 40</t>
  </si>
  <si>
    <t>nº - 10</t>
  </si>
  <si>
    <t>Nº 200</t>
  </si>
  <si>
    <t>nº - 16</t>
  </si>
  <si>
    <t>Observações:</t>
  </si>
  <si>
    <t>nº - 40</t>
  </si>
  <si>
    <t>nº - 80</t>
  </si>
  <si>
    <t>nº - 100</t>
  </si>
  <si>
    <t>ENSAIOS FISICOS</t>
  </si>
  <si>
    <t>Limite de liquidez</t>
  </si>
  <si>
    <t>Limite de plasticidade</t>
  </si>
  <si>
    <t>Peso da cápsula</t>
  </si>
  <si>
    <t>Peso da água</t>
  </si>
  <si>
    <t>Peso do solo seco</t>
  </si>
  <si>
    <t>% de água</t>
  </si>
  <si>
    <t>Nº de Pontos Aproveitados:</t>
  </si>
  <si>
    <t>IG</t>
  </si>
  <si>
    <t>HRB</t>
  </si>
  <si>
    <t>EQUIVALENTE DE AREIA</t>
  </si>
  <si>
    <t xml:space="preserve">Proveta </t>
  </si>
  <si>
    <t>E.A.</t>
  </si>
  <si>
    <t>E.A. Media</t>
  </si>
  <si>
    <t xml:space="preserve">Elaborado por: </t>
  </si>
  <si>
    <t xml:space="preserve">Thyago Biasin </t>
  </si>
  <si>
    <t xml:space="preserve">Revisado por: </t>
  </si>
  <si>
    <t>Samara Rodrigues</t>
  </si>
  <si>
    <t>Aprovado por:</t>
  </si>
  <si>
    <t>Rheno Tormin</t>
  </si>
  <si>
    <t>ENSAIO DE COMPACTAÇÃO COMPLETO</t>
  </si>
  <si>
    <t>Folha</t>
  </si>
  <si>
    <t>1/3</t>
  </si>
  <si>
    <t>DATA</t>
  </si>
  <si>
    <t>Laboratorista</t>
  </si>
  <si>
    <t>Eng.º Residente</t>
  </si>
  <si>
    <t>Folha:</t>
  </si>
  <si>
    <t>Registro:</t>
  </si>
  <si>
    <t>2/3</t>
  </si>
  <si>
    <t>3/3</t>
  </si>
  <si>
    <t>Enc. Laboratório</t>
  </si>
  <si>
    <t>DENSIDADE IN SITU</t>
  </si>
  <si>
    <t>REFERENCIA PARA RESUMO</t>
  </si>
  <si>
    <t>PANO</t>
  </si>
  <si>
    <t>POSIÇÃO</t>
  </si>
  <si>
    <t>profundade</t>
  </si>
  <si>
    <t>CAMPO GRANDE MS</t>
  </si>
  <si>
    <t>Cálculos</t>
  </si>
  <si>
    <t>SEGUIMENTO</t>
  </si>
  <si>
    <t>Estaca Incial</t>
  </si>
  <si>
    <t>Estaca Final</t>
  </si>
  <si>
    <t>Profundidade (cm)</t>
  </si>
  <si>
    <t>Seviço</t>
  </si>
  <si>
    <t>Frasco N.º</t>
  </si>
  <si>
    <t>Peso do frasco depois (g)</t>
  </si>
  <si>
    <t>Eq. Usado na Compactação</t>
  </si>
  <si>
    <t>Recipiente Nº.</t>
  </si>
  <si>
    <t>Laboratórista</t>
  </si>
  <si>
    <t>Peso do solo e do recipiente (H) g</t>
  </si>
  <si>
    <t>Umidade InSitu</t>
  </si>
  <si>
    <t xml:space="preserve">Massa específica seca máxima </t>
  </si>
  <si>
    <t>Rodovia :</t>
  </si>
  <si>
    <t>Serviço:</t>
  </si>
  <si>
    <t>Data:</t>
  </si>
  <si>
    <t>Estaca Inicial:</t>
  </si>
  <si>
    <t>Estaca Final:</t>
  </si>
  <si>
    <t>Descrição do Solo</t>
  </si>
  <si>
    <t>EQUIPAMENTO USADO NA COMPACTAÇÃO</t>
  </si>
  <si>
    <t>VOLUME</t>
  </si>
  <si>
    <t>Frasco Nº</t>
  </si>
  <si>
    <t>Peso do frasco antes (A) (g)</t>
  </si>
  <si>
    <t>Peso do frasco depois (B) (g)</t>
  </si>
  <si>
    <t>Peso da aeia deslocada (C=A - B) (g)</t>
  </si>
  <si>
    <t>Peso da aeia no funil e na placa(D) (g)</t>
  </si>
  <si>
    <t>Peso da areia na cavidade (E=C-D) (g)</t>
  </si>
  <si>
    <t>Massa específica aparente da areia (Fxg/dm³)</t>
  </si>
  <si>
    <t>Volume do solo (G=E/F) dm³</t>
  </si>
  <si>
    <t>PESO</t>
  </si>
  <si>
    <t>Recipiente Nº</t>
  </si>
  <si>
    <t>Peso do recipiente (I) g</t>
  </si>
  <si>
    <t>Peso do solo  (J=H-I) g</t>
  </si>
  <si>
    <t>UMIDADE</t>
  </si>
  <si>
    <t>Peso da Cápsula e do solo úmido (g)</t>
  </si>
  <si>
    <t>Peso da Cápsula e do solo seco   (g)</t>
  </si>
  <si>
    <t>Peso da Cápsula                              (g)</t>
  </si>
  <si>
    <t>Peso da água                                    (g)</t>
  </si>
  <si>
    <t>Peso do solo seco                          (g)</t>
  </si>
  <si>
    <t>Teor de umidade                              (K)</t>
  </si>
  <si>
    <t>CAMPO</t>
  </si>
  <si>
    <t xml:space="preserve">Massa específica aparente do solo úmido </t>
  </si>
  <si>
    <t>(g/dm³) (L=J/G)</t>
  </si>
  <si>
    <t>Massa específica aparente do solo seco</t>
  </si>
  <si>
    <t>(g/dm³) (M=L   100  )</t>
  </si>
  <si>
    <t>LABORATÓRIO</t>
  </si>
  <si>
    <t>Registro da amostra ensaiada no laboratório</t>
  </si>
  <si>
    <t>(g/dm³) (N)</t>
  </si>
  <si>
    <t>Grau de compactação</t>
  </si>
  <si>
    <t xml:space="preserve"> Enc. Laboratório</t>
  </si>
  <si>
    <t>Engº Residente</t>
  </si>
  <si>
    <t>Taras</t>
  </si>
  <si>
    <t>Cápsula</t>
  </si>
  <si>
    <t xml:space="preserve">Cilindro </t>
  </si>
  <si>
    <t>Frasco de Areia</t>
  </si>
  <si>
    <t>Cilindro Biselado</t>
  </si>
  <si>
    <t>Pequena</t>
  </si>
  <si>
    <t>Média</t>
  </si>
  <si>
    <t>Tampa</t>
  </si>
  <si>
    <t>Frasco nº</t>
  </si>
  <si>
    <t>Peso Antes</t>
  </si>
  <si>
    <t>P.Areia no funil</t>
  </si>
  <si>
    <t>Massa.da Areia</t>
  </si>
  <si>
    <t>Cilindro  nº</t>
  </si>
  <si>
    <t>Recipiente nº</t>
  </si>
  <si>
    <t>Peso do Recipiente</t>
  </si>
  <si>
    <t>Peso (g)</t>
  </si>
  <si>
    <t>Volume (l)</t>
  </si>
  <si>
    <t>Alt (mm)</t>
  </si>
  <si>
    <t>Sacola Plástica</t>
  </si>
  <si>
    <t>Cilindro CBR</t>
  </si>
  <si>
    <t>RODOVIA :</t>
  </si>
  <si>
    <t>SERVIÇO:</t>
  </si>
  <si>
    <t>MEDIÇÃO:</t>
  </si>
  <si>
    <t>50ª Medição</t>
  </si>
  <si>
    <t>PERIODO:</t>
  </si>
  <si>
    <t>01/12/2018 ATE 31/12/2018</t>
  </si>
  <si>
    <t>TRECHO:</t>
  </si>
  <si>
    <t>SUB-TRECHO:</t>
  </si>
  <si>
    <t>RESUMO DE ENSAIOS</t>
  </si>
  <si>
    <t>Coleta</t>
  </si>
  <si>
    <t>Ens. Físicos</t>
  </si>
  <si>
    <t>Classificação</t>
  </si>
  <si>
    <t>Laboratório</t>
  </si>
  <si>
    <t>Estaca</t>
  </si>
  <si>
    <t>Pos.</t>
  </si>
  <si>
    <t>1.1/2"</t>
  </si>
  <si>
    <t xml:space="preserve">N.º 4 </t>
  </si>
  <si>
    <t xml:space="preserve">N.º 10 </t>
  </si>
  <si>
    <t xml:space="preserve">N.º 40 </t>
  </si>
  <si>
    <t>N.º200</t>
  </si>
  <si>
    <t>I.G</t>
  </si>
  <si>
    <t>H.R.B</t>
  </si>
  <si>
    <t>FX</t>
  </si>
  <si>
    <t>D.Máx</t>
  </si>
  <si>
    <t>Ho</t>
  </si>
  <si>
    <t>C.B.R</t>
  </si>
  <si>
    <t>Exp.</t>
  </si>
  <si>
    <t>Seguimento</t>
  </si>
  <si>
    <t>D.camp.</t>
  </si>
  <si>
    <t>ho.</t>
  </si>
  <si>
    <t>Desv.</t>
  </si>
  <si>
    <t>G.C</t>
  </si>
  <si>
    <t>COMPACT.</t>
  </si>
  <si>
    <t>IN SITU</t>
  </si>
  <si>
    <t>Limite mínimo</t>
  </si>
  <si>
    <t>LIMITE MÁXIMO</t>
  </si>
  <si>
    <t xml:space="preserve">N.º  VALORES - N </t>
  </si>
  <si>
    <t>Valor K</t>
  </si>
  <si>
    <t>N.º 4</t>
  </si>
  <si>
    <t>N.º 10</t>
  </si>
  <si>
    <t>N.º 40</t>
  </si>
  <si>
    <t>N.º 200</t>
  </si>
  <si>
    <t>MÉDIA - X</t>
  </si>
  <si>
    <t>DESVIO PADRÃO - s</t>
  </si>
  <si>
    <t>Xmin.</t>
  </si>
  <si>
    <t>Xmáx.</t>
  </si>
  <si>
    <t>PLANO DE COLETA COMPACTAÇÃO</t>
  </si>
  <si>
    <t>PLANO DE ENSAIO IN SITU</t>
  </si>
  <si>
    <t>LADO</t>
  </si>
  <si>
    <t>ENSAIO IN SITU</t>
  </si>
  <si>
    <t>LD</t>
  </si>
  <si>
    <t>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</si>
</sst>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R$ &quot;#,##0.00_);[Red]\(&quot;R$ &quot;#,##0.00\)"/>
    <numFmt numFmtId="167" formatCode="_(&quot;R$ &quot;* #,##0.00_);_(&quot;R$ &quot;* \(#,##0.00\);_(&quot;R$ &quot;* &quot;-&quot;??_);_(@_)"/>
    <numFmt numFmtId="168" formatCode="000"/>
    <numFmt numFmtId="169" formatCode="0.000"/>
    <numFmt numFmtId="170" formatCode="h:mm;@"/>
    <numFmt numFmtId="171" formatCode="0.0%"/>
    <numFmt numFmtId="172" formatCode="0.0"/>
    <numFmt numFmtId="173" formatCode="_(* #,##0_);_(* \(#,##0\);_(* &quot;-&quot;??_);_(@_)"/>
    <numFmt numFmtId="174" formatCode="0.00000"/>
    <numFmt numFmtId="175" formatCode="&quot; Cilindro Nº: &quot;0"/>
    <numFmt numFmtId="176" formatCode="&quot; Diferença: &quot;0.00"/>
    <numFmt numFmtId="177" formatCode="0.0000"/>
    <numFmt numFmtId="178" formatCode="_(* #,##0.000_);_(* \(#,##0.000\);_(* &quot;-&quot;??_);_(@_)"/>
    <numFmt numFmtId="179" formatCode="0.E+00"/>
    <numFmt numFmtId="180" formatCode="d/m/yy;@"/>
    <numFmt numFmtId="181" formatCode="0.00\ &quot;g&quot;"/>
    <numFmt numFmtId="182" formatCode="&quot;FAIXA : &quot;@"/>
    <numFmt numFmtId="183" formatCode="#,##0.0"/>
    <numFmt numFmtId="184" formatCode="&quot;Rodovia : &quot;@"/>
    <numFmt numFmtId="185" formatCode="&quot;Trecho : &quot;@"/>
    <numFmt numFmtId="186" formatCode="&quot;Sub-Trecho : &quot;@"/>
    <numFmt numFmtId="187" formatCode="_(* #,##0.0_);_(* \(#,##0.0\);_(* &quot;-&quot;?_);_(@_)"/>
    <numFmt numFmtId="188" formatCode="0.000000"/>
    <numFmt numFmtId="189" formatCode="000.00"/>
    <numFmt numFmtId="190" formatCode="_([$€]* #,##0.00_);_([$€]* \(#,##0.00\);_([$€]* &quot;-&quot;??_);_(@_)"/>
    <numFmt numFmtId="191" formatCode="#,##0.000"/>
    <numFmt numFmtId="192" formatCode="dd/mm/yy;@"/>
  </numFmts>
  <fonts count="1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4"/>
      <name val="Arial Narrow"/>
      <family val="2"/>
    </font>
    <font>
      <sz val="11"/>
      <color theme="1"/>
      <name val="Arial Narrow"/>
      <family val="2"/>
    </font>
    <font>
      <b/>
      <sz val="12"/>
      <name val="Arial Narrow"/>
      <family val="2"/>
    </font>
    <font>
      <b/>
      <sz val="10"/>
      <color rgb="FFFF0000"/>
      <name val="Arial Narrow"/>
      <family val="2"/>
    </font>
    <font>
      <sz val="20"/>
      <name val="Arial Narrow"/>
      <family val="2"/>
    </font>
    <font>
      <sz val="9"/>
      <name val="Arial Narrow"/>
      <family val="2"/>
    </font>
    <font>
      <b/>
      <sz val="10"/>
      <color theme="0"/>
      <name val="Arial Narrow"/>
      <family val="2"/>
    </font>
    <font>
      <b/>
      <sz val="14"/>
      <color rgb="FF0000FF"/>
      <name val="Arial Narrow"/>
      <family val="2"/>
    </font>
    <font>
      <b/>
      <sz val="11"/>
      <color rgb="FF0000FF"/>
      <name val="Arial Narrow"/>
      <family val="2"/>
    </font>
    <font>
      <sz val="11"/>
      <color rgb="FF0000FF"/>
      <name val="Arial Narrow"/>
      <family val="2"/>
    </font>
    <font>
      <b/>
      <sz val="12"/>
      <color rgb="FFFF0000"/>
      <name val="Arial Narrow"/>
      <family val="2"/>
    </font>
    <font>
      <b/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6"/>
      <name val="Arial Narrow"/>
      <family val="2"/>
    </font>
    <font>
      <sz val="8"/>
      <color theme="1"/>
      <name val="Arial Narrow"/>
      <family val="2"/>
    </font>
    <font>
      <sz val="10"/>
      <color theme="0"/>
      <name val="Arial Narrow"/>
      <family val="2"/>
    </font>
    <font>
      <sz val="8"/>
      <name val="Arial Narrow"/>
      <family val="2"/>
    </font>
    <font>
      <b/>
      <sz val="10"/>
      <color indexed="10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sz val="10"/>
      <color rgb="FFFF0000"/>
      <name val="Arial Narrow"/>
      <family val="2"/>
    </font>
    <font>
      <sz val="8"/>
      <color theme="0"/>
      <name val="Arial Narrow"/>
      <family val="2"/>
    </font>
    <font>
      <b/>
      <sz val="14"/>
      <color theme="1"/>
      <name val="Arial Narrow"/>
      <family val="2"/>
    </font>
    <font>
      <sz val="10"/>
      <color rgb="FF0000FF"/>
      <name val="Arial Narrow"/>
      <family val="2"/>
    </font>
    <font>
      <b/>
      <sz val="16"/>
      <color rgb="FFFF000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sz val="8"/>
      <color rgb="FF0000FF"/>
      <name val="Arial"/>
      <family val="2"/>
    </font>
    <font>
      <b/>
      <sz val="8"/>
      <color theme="0"/>
      <name val="Arial"/>
      <family val="2"/>
    </font>
    <font>
      <b/>
      <sz val="20"/>
      <color rgb="FFFF0000"/>
      <name val="Arial Narrow"/>
      <family val="2"/>
    </font>
    <font>
      <b/>
      <sz val="10"/>
      <color rgb="FF0000FF"/>
      <name val="Arial Narrow"/>
      <family val="2"/>
    </font>
    <font>
      <b/>
      <sz val="8"/>
      <color rgb="FFFF0000"/>
      <name val="Arial Narrow"/>
      <family val="2"/>
    </font>
    <font>
      <sz val="8"/>
      <color rgb="FF0000FF"/>
      <name val="Arial Narrow"/>
      <family val="2"/>
    </font>
    <font>
      <b/>
      <sz val="12"/>
      <color rgb="FF0000FF"/>
      <name val="Arial Narrow"/>
      <family val="2"/>
    </font>
    <font>
      <sz val="12"/>
      <color theme="1"/>
      <name val="Arial Narrow"/>
      <family val="2"/>
    </font>
    <font>
      <b/>
      <sz val="8"/>
      <name val="Arial Narrow"/>
      <family val="2"/>
    </font>
    <font>
      <b/>
      <u/>
      <sz val="10"/>
      <name val="Arial Narrow"/>
      <family val="2"/>
    </font>
    <font>
      <sz val="6"/>
      <color theme="1"/>
      <name val="Arial Narrow"/>
      <family val="2"/>
    </font>
    <font>
      <sz val="6"/>
      <name val="Arial Narrow"/>
      <family val="2"/>
    </font>
    <font>
      <b/>
      <sz val="11"/>
      <name val="Arial Narrow"/>
      <family val="2"/>
    </font>
    <font>
      <sz val="8"/>
      <color indexed="17"/>
      <name val="Arial Narrow"/>
      <family val="2"/>
    </font>
    <font>
      <sz val="10"/>
      <color indexed="17"/>
      <name val="Arial Narrow"/>
      <family val="2"/>
    </font>
    <font>
      <b/>
      <sz val="14"/>
      <color indexed="17"/>
      <name val="Arial Narrow"/>
      <family val="2"/>
    </font>
    <font>
      <b/>
      <sz val="10"/>
      <color rgb="FF006600"/>
      <name val="Arial Narrow"/>
      <family val="2"/>
    </font>
    <font>
      <b/>
      <sz val="14"/>
      <color rgb="FFFF0000"/>
      <name val="Arial Narrow"/>
      <family val="2"/>
    </font>
    <font>
      <b/>
      <sz val="11"/>
      <color rgb="FFFF0000"/>
      <name val="Arial Narrow"/>
      <family val="2"/>
    </font>
    <font>
      <b/>
      <sz val="13"/>
      <name val="Arial Narrow"/>
      <family val="2"/>
    </font>
    <font>
      <b/>
      <i/>
      <u/>
      <sz val="26"/>
      <color theme="0"/>
      <name val="Arial Narrow"/>
      <family val="2"/>
    </font>
    <font>
      <b/>
      <sz val="10"/>
      <color theme="0"/>
      <name val="Calibri"/>
      <family val="2"/>
      <scheme val="minor"/>
    </font>
    <font>
      <sz val="8"/>
      <color theme="0" tint="-0.499984740745262"/>
      <name val="Arial Narrow"/>
      <family val="2"/>
    </font>
    <font>
      <b/>
      <sz val="8"/>
      <color theme="0" tint="-0.499984740745262"/>
      <name val="Arial Narrow"/>
      <family val="2"/>
    </font>
    <font>
      <b/>
      <sz val="9"/>
      <color rgb="FFFF0000"/>
      <name val="Arial Narrow"/>
      <family val="2"/>
    </font>
    <font>
      <sz val="12"/>
      <color rgb="FF0000FF"/>
      <name val="Arial Narrow"/>
      <family val="2"/>
    </font>
    <font>
      <b/>
      <i/>
      <sz val="11"/>
      <name val="Arial Narrow"/>
      <family val="2"/>
    </font>
    <font>
      <b/>
      <i/>
      <sz val="14"/>
      <name val="Arial Narrow"/>
      <family val="2"/>
    </font>
    <font>
      <sz val="8"/>
      <color indexed="10"/>
      <name val="Arial Narrow"/>
      <family val="2"/>
    </font>
    <font>
      <sz val="8"/>
      <color indexed="12"/>
      <name val="Arial Narrow"/>
      <family val="2"/>
    </font>
    <font>
      <sz val="11"/>
      <name val="Arial Narrow"/>
      <family val="2"/>
    </font>
    <font>
      <sz val="7"/>
      <color theme="1"/>
      <name val="Arial Narrow"/>
      <family val="2"/>
    </font>
    <font>
      <i/>
      <sz val="10"/>
      <color rgb="FFFF0000"/>
      <name val="Arial Narrow"/>
      <family val="2"/>
    </font>
    <font>
      <b/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8"/>
      <color theme="1"/>
      <name val="Tahoma"/>
      <family val="2"/>
    </font>
    <font>
      <b/>
      <sz val="10"/>
      <color theme="1"/>
      <name val="Tahoma"/>
      <family val="2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b/>
      <i/>
      <sz val="10"/>
      <color theme="1"/>
      <name val="Tahoma"/>
      <family val="2"/>
    </font>
    <font>
      <sz val="10"/>
      <name val="Tahoma"/>
      <family val="2"/>
    </font>
    <font>
      <b/>
      <sz val="20"/>
      <name val="Arial Narrow"/>
      <family val="2"/>
    </font>
    <font>
      <sz val="16"/>
      <name val="Calibri"/>
      <family val="2"/>
      <scheme val="minor"/>
    </font>
    <font>
      <b/>
      <sz val="20"/>
      <color theme="1"/>
      <name val="Arial Narrow"/>
      <family val="2"/>
    </font>
    <font>
      <b/>
      <sz val="10"/>
      <name val="Tahoma"/>
      <family val="2"/>
    </font>
    <font>
      <b/>
      <sz val="9"/>
      <color theme="1"/>
      <name val="Tahoma"/>
      <family val="2"/>
    </font>
    <font>
      <b/>
      <sz val="9"/>
      <color rgb="FF0000FF"/>
      <name val="Tahoma"/>
      <family val="2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0"/>
      <color rgb="FF0000FF"/>
      <name val="Tahoma"/>
      <family val="2"/>
    </font>
    <font>
      <sz val="8"/>
      <color rgb="FF0000FF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FF0000"/>
      <name val="Tahoma"/>
      <family val="2"/>
    </font>
    <font>
      <b/>
      <sz val="12"/>
      <color theme="1"/>
      <name val="Tahoma"/>
      <family val="2"/>
    </font>
    <font>
      <b/>
      <sz val="12"/>
      <name val="Tahoma"/>
      <family val="2"/>
    </font>
    <font>
      <sz val="10"/>
      <color theme="0"/>
      <name val="Tahoma"/>
      <family val="2"/>
    </font>
    <font>
      <b/>
      <u/>
      <sz val="10"/>
      <name val="Tahoma"/>
      <family val="2"/>
    </font>
    <font>
      <b/>
      <sz val="11"/>
      <name val="Tahoma"/>
      <family val="2"/>
    </font>
    <font>
      <sz val="10"/>
      <color rgb="FF0000FF"/>
      <name val="Tahoma"/>
      <family val="2"/>
    </font>
    <font>
      <b/>
      <sz val="12"/>
      <color rgb="FFFF0000"/>
      <name val="Tahoma"/>
      <family val="2"/>
    </font>
    <font>
      <sz val="8"/>
      <color theme="0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  <font>
      <b/>
      <sz val="9.5"/>
      <color theme="1"/>
      <name val="Tahoma"/>
      <family val="2"/>
    </font>
    <font>
      <sz val="9.5"/>
      <color theme="1"/>
      <name val="Tahoma"/>
      <family val="2"/>
    </font>
    <font>
      <b/>
      <sz val="9.5"/>
      <color rgb="FF0000FF"/>
      <name val="Tahoma"/>
      <family val="2"/>
    </font>
    <font>
      <sz val="10"/>
      <color theme="0" tint="-0.499984740745262"/>
      <name val="Arial Narrow"/>
      <family val="2"/>
    </font>
    <font>
      <sz val="12"/>
      <color theme="1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sz val="16"/>
      <color theme="0"/>
      <name val="Tahoma"/>
      <family val="2"/>
    </font>
    <font>
      <b/>
      <sz val="16"/>
      <color theme="0"/>
      <name val="Tahoma"/>
      <family val="2"/>
    </font>
    <font>
      <b/>
      <sz val="12"/>
      <color theme="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CAA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9" tint="0.39994506668294322"/>
      </patternFill>
    </fill>
    <fill>
      <patternFill patternType="solid">
        <fgColor theme="0"/>
        <bgColor auto="1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theme="8" tint="0.39994506668294322"/>
      </patternFill>
    </fill>
    <fill>
      <patternFill patternType="solid">
        <fgColor theme="0"/>
        <bgColor theme="0" tint="-0.2499465926084170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gray125">
        <fgColor rgb="FF92D050"/>
      </patternFill>
    </fill>
    <fill>
      <patternFill patternType="lightGrid">
        <fgColor rgb="FFB7F9D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80F0BB"/>
        <bgColor indexed="64"/>
      </patternFill>
    </fill>
    <fill>
      <patternFill patternType="darkTrellis">
        <fgColor rgb="FF66FFFF"/>
        <bgColor theme="0"/>
      </patternFill>
    </fill>
    <fill>
      <patternFill patternType="solid">
        <fgColor rgb="FF66FFFF"/>
        <bgColor theme="0"/>
      </patternFill>
    </fill>
    <fill>
      <patternFill patternType="darkTrellis">
        <fgColor rgb="FF66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00A0F0"/>
        <bgColor indexed="64"/>
      </patternFill>
    </fill>
    <fill>
      <patternFill patternType="darkTrellis">
        <fgColor rgb="FFB7F9D0"/>
        <bgColor rgb="FF80F0BB"/>
      </patternFill>
    </fill>
    <fill>
      <patternFill patternType="darkTrellis">
        <fgColor rgb="FF66FFFF"/>
        <bgColor rgb="FFFFC000"/>
      </patternFill>
    </fill>
    <fill>
      <patternFill patternType="solid">
        <fgColor rgb="FF28327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2060"/>
        <bgColor indexed="64"/>
      </patternFill>
    </fill>
  </fills>
  <borders count="171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/>
      <top style="thin">
        <color indexed="57"/>
      </top>
      <bottom style="thin">
        <color indexed="57"/>
      </bottom>
      <diagonal/>
    </border>
    <border>
      <left style="thin">
        <color indexed="57"/>
      </left>
      <right/>
      <top style="thin">
        <color indexed="57"/>
      </top>
      <bottom style="thin">
        <color indexed="57"/>
      </bottom>
      <diagonal/>
    </border>
    <border>
      <left/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 style="thin">
        <color indexed="57"/>
      </right>
      <top/>
      <bottom style="thin">
        <color indexed="57"/>
      </bottom>
      <diagonal/>
    </border>
    <border>
      <left style="thin">
        <color indexed="57"/>
      </left>
      <right style="thin">
        <color indexed="57"/>
      </right>
      <top/>
      <bottom/>
      <diagonal/>
    </border>
    <border>
      <left style="thin">
        <color indexed="57"/>
      </left>
      <right/>
      <top style="thin">
        <color indexed="57"/>
      </top>
      <bottom/>
      <diagonal/>
    </border>
    <border>
      <left/>
      <right/>
      <top style="thin">
        <color indexed="57"/>
      </top>
      <bottom/>
      <diagonal/>
    </border>
    <border>
      <left/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/>
      <top/>
      <bottom style="thin">
        <color indexed="57"/>
      </bottom>
      <diagonal/>
    </border>
    <border>
      <left/>
      <right/>
      <top/>
      <bottom style="thin">
        <color indexed="57"/>
      </bottom>
      <diagonal/>
    </border>
    <border>
      <left/>
      <right style="thin">
        <color indexed="57"/>
      </right>
      <top/>
      <bottom style="thin">
        <color indexed="57"/>
      </bottom>
      <diagonal/>
    </border>
    <border>
      <left style="thin">
        <color indexed="57"/>
      </left>
      <right/>
      <top/>
      <bottom/>
      <diagonal/>
    </border>
    <border>
      <left style="thin">
        <color indexed="57"/>
      </left>
      <right/>
      <top style="hair">
        <color indexed="57"/>
      </top>
      <bottom style="thin">
        <color indexed="57"/>
      </bottom>
      <diagonal/>
    </border>
    <border>
      <left/>
      <right/>
      <top style="hair">
        <color indexed="57"/>
      </top>
      <bottom style="thin">
        <color indexed="57"/>
      </bottom>
      <diagonal/>
    </border>
    <border>
      <left style="thin">
        <color indexed="57"/>
      </left>
      <right/>
      <top style="thin">
        <color indexed="57"/>
      </top>
      <bottom style="hair">
        <color indexed="57"/>
      </bottom>
      <diagonal/>
    </border>
    <border>
      <left/>
      <right/>
      <top style="thin">
        <color indexed="57"/>
      </top>
      <bottom style="hair">
        <color indexed="57"/>
      </bottom>
      <diagonal/>
    </border>
    <border>
      <left/>
      <right style="hair">
        <color indexed="57"/>
      </right>
      <top style="thin">
        <color indexed="57"/>
      </top>
      <bottom style="hair">
        <color indexed="57"/>
      </bottom>
      <diagonal/>
    </border>
    <border>
      <left style="hair">
        <color indexed="57"/>
      </left>
      <right/>
      <top style="thin">
        <color indexed="57"/>
      </top>
      <bottom style="hair">
        <color indexed="57"/>
      </bottom>
      <diagonal/>
    </border>
    <border>
      <left/>
      <right style="thin">
        <color indexed="57"/>
      </right>
      <top style="thin">
        <color indexed="57"/>
      </top>
      <bottom style="hair">
        <color indexed="57"/>
      </bottom>
      <diagonal/>
    </border>
    <border>
      <left style="thin">
        <color indexed="57"/>
      </left>
      <right/>
      <top style="hair">
        <color indexed="57"/>
      </top>
      <bottom style="hair">
        <color indexed="57"/>
      </bottom>
      <diagonal/>
    </border>
    <border>
      <left/>
      <right/>
      <top style="hair">
        <color indexed="57"/>
      </top>
      <bottom style="hair">
        <color indexed="57"/>
      </bottom>
      <diagonal/>
    </border>
    <border>
      <left/>
      <right style="thin">
        <color indexed="57"/>
      </right>
      <top style="hair">
        <color indexed="57"/>
      </top>
      <bottom style="hair">
        <color indexed="57"/>
      </bottom>
      <diagonal/>
    </border>
    <border>
      <left/>
      <right style="thin">
        <color indexed="57"/>
      </right>
      <top style="hair">
        <color indexed="57"/>
      </top>
      <bottom style="thin">
        <color indexed="57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rgb="FFFF0000"/>
      </left>
      <right style="hair">
        <color indexed="64"/>
      </right>
      <top style="medium">
        <color rgb="FFFF0000"/>
      </top>
      <bottom/>
      <diagonal/>
    </border>
    <border>
      <left style="hair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/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 style="hair">
        <color indexed="64"/>
      </right>
      <top/>
      <bottom/>
      <diagonal/>
    </border>
    <border>
      <left style="hair">
        <color indexed="64"/>
      </left>
      <right style="medium">
        <color rgb="FFFF0000"/>
      </right>
      <top style="hair">
        <color indexed="64"/>
      </top>
      <bottom/>
      <diagonal/>
    </border>
    <border>
      <left style="hair">
        <color indexed="64"/>
      </left>
      <right style="medium">
        <color rgb="FFFF0000"/>
      </right>
      <top/>
      <bottom style="hair">
        <color indexed="64"/>
      </bottom>
      <diagonal/>
    </border>
    <border>
      <left style="medium">
        <color rgb="FFFF0000"/>
      </left>
      <right style="hair">
        <color indexed="64"/>
      </right>
      <top/>
      <bottom style="medium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/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hair">
        <color indexed="64"/>
      </bottom>
      <diagonal/>
    </border>
    <border>
      <left/>
      <right style="hair">
        <color indexed="64"/>
      </right>
      <top style="medium">
        <color rgb="FFFF0000"/>
      </top>
      <bottom style="hair">
        <color indexed="64"/>
      </bottom>
      <diagonal/>
    </border>
    <border>
      <left/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rgb="FFFF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rgb="FFFF0000"/>
      </top>
      <bottom/>
      <diagonal/>
    </border>
    <border>
      <left style="hair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 style="hair">
        <color indexed="64"/>
      </bottom>
      <diagonal/>
    </border>
    <border>
      <left style="hair">
        <color indexed="64"/>
      </left>
      <right style="medium">
        <color rgb="FFFF0000"/>
      </right>
      <top style="medium">
        <color rgb="FFFF0000"/>
      </top>
      <bottom/>
      <diagonal/>
    </border>
    <border>
      <left style="hair">
        <color indexed="64"/>
      </left>
      <right style="medium">
        <color rgb="FFFF0000"/>
      </right>
      <top/>
      <bottom/>
      <diagonal/>
    </border>
    <border>
      <left style="hair">
        <color indexed="64"/>
      </left>
      <right/>
      <top/>
      <bottom style="medium">
        <color rgb="FFFF0000"/>
      </bottom>
      <diagonal/>
    </border>
    <border>
      <left/>
      <right style="hair">
        <color indexed="64"/>
      </right>
      <top/>
      <bottom style="medium">
        <color rgb="FFFF0000"/>
      </bottom>
      <diagonal/>
    </border>
    <border>
      <left style="hair">
        <color indexed="64"/>
      </left>
      <right style="hair">
        <color indexed="64"/>
      </right>
      <top/>
      <bottom style="medium">
        <color rgb="FFFF0000"/>
      </bottom>
      <diagonal/>
    </border>
    <border>
      <left/>
      <right style="hair">
        <color indexed="64"/>
      </right>
      <top style="hair">
        <color indexed="64"/>
      </top>
      <bottom style="medium">
        <color rgb="FFFF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rgb="FFFF0000"/>
      </bottom>
      <diagonal/>
    </border>
    <border>
      <left style="thin">
        <color indexed="64"/>
      </left>
      <right style="hair">
        <color indexed="64"/>
      </right>
      <top/>
      <bottom style="medium">
        <color rgb="FFFF0000"/>
      </bottom>
      <diagonal/>
    </border>
    <border>
      <left style="hair">
        <color indexed="64"/>
      </left>
      <right style="thin">
        <color indexed="64"/>
      </right>
      <top/>
      <bottom style="medium">
        <color rgb="FFFF0000"/>
      </bottom>
      <diagonal/>
    </border>
    <border>
      <left style="hair">
        <color indexed="64"/>
      </left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medium">
        <color rgb="FFFF0000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rgb="FFFF0000"/>
      </right>
      <top style="hair">
        <color indexed="64"/>
      </top>
      <bottom style="hair">
        <color indexed="64"/>
      </bottom>
      <diagonal/>
    </border>
    <border>
      <left/>
      <right style="thin">
        <color indexed="57"/>
      </right>
      <top/>
      <bottom/>
      <diagonal/>
    </border>
  </borders>
  <cellStyleXfs count="78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6" fillId="0" borderId="0"/>
    <xf numFmtId="174" fontId="36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5" fillId="0" borderId="0">
      <alignment textRotation="255"/>
    </xf>
    <xf numFmtId="0" fontId="1" fillId="0" borderId="0"/>
    <xf numFmtId="0" fontId="1" fillId="0" borderId="0"/>
    <xf numFmtId="0" fontId="1" fillId="0" borderId="0"/>
    <xf numFmtId="0" fontId="75" fillId="0" borderId="0"/>
    <xf numFmtId="0" fontId="76" fillId="0" borderId="0"/>
    <xf numFmtId="165" fontId="1" fillId="0" borderId="0" applyFont="0" applyFill="0" applyBorder="0" applyAlignment="0" applyProtection="0"/>
    <xf numFmtId="0" fontId="1" fillId="0" borderId="0"/>
  </cellStyleXfs>
  <cellXfs count="2129">
    <xf numFmtId="0" fontId="0" fillId="0" borderId="0" xfId="0"/>
    <xf numFmtId="0" fontId="2" fillId="3" borderId="3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3" fillId="0" borderId="27" xfId="0" applyFont="1" applyBorder="1" applyAlignment="1">
      <alignment horizontal="center"/>
    </xf>
    <xf numFmtId="0" fontId="10" fillId="3" borderId="34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4" fontId="2" fillId="3" borderId="0" xfId="0" applyNumberFormat="1" applyFont="1" applyFill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71" fontId="23" fillId="3" borderId="24" xfId="0" applyNumberFormat="1" applyFont="1" applyFill="1" applyBorder="1" applyAlignment="1">
      <alignment horizontal="center" vertical="center"/>
    </xf>
    <xf numFmtId="3" fontId="23" fillId="3" borderId="2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2" fontId="2" fillId="3" borderId="0" xfId="0" applyNumberFormat="1" applyFont="1" applyFill="1" applyAlignment="1">
      <alignment horizontal="center" vertical="center"/>
    </xf>
    <xf numFmtId="171" fontId="2" fillId="3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vertical="center"/>
    </xf>
    <xf numFmtId="4" fontId="2" fillId="0" borderId="40" xfId="10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4" fontId="2" fillId="0" borderId="40" xfId="1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2" fontId="2" fillId="0" borderId="39" xfId="1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4" fontId="2" fillId="0" borderId="35" xfId="10" applyNumberFormat="1" applyFont="1" applyBorder="1" applyAlignment="1">
      <alignment horizontal="center" vertical="center"/>
    </xf>
    <xf numFmtId="0" fontId="19" fillId="3" borderId="34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0" fontId="3" fillId="7" borderId="37" xfId="0" applyFont="1" applyFill="1" applyBorder="1" applyAlignment="1">
      <alignment vertical="center"/>
    </xf>
    <xf numFmtId="0" fontId="3" fillId="7" borderId="36" xfId="0" applyFont="1" applyFill="1" applyBorder="1" applyAlignment="1">
      <alignment vertical="center"/>
    </xf>
    <xf numFmtId="0" fontId="3" fillId="7" borderId="44" xfId="0" applyFont="1" applyFill="1" applyBorder="1" applyAlignment="1">
      <alignment vertical="center"/>
    </xf>
    <xf numFmtId="0" fontId="25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172" fontId="23" fillId="3" borderId="22" xfId="0" applyNumberFormat="1" applyFont="1" applyFill="1" applyBorder="1" applyAlignment="1">
      <alignment horizontal="center" vertical="center"/>
    </xf>
    <xf numFmtId="4" fontId="23" fillId="3" borderId="25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0" fontId="21" fillId="3" borderId="0" xfId="0" applyNumberFormat="1" applyFont="1" applyFill="1" applyAlignment="1">
      <alignment horizontal="center" vertical="center"/>
    </xf>
    <xf numFmtId="10" fontId="21" fillId="3" borderId="0" xfId="0" applyNumberFormat="1" applyFont="1" applyFill="1" applyAlignment="1">
      <alignment vertical="center"/>
    </xf>
    <xf numFmtId="0" fontId="4" fillId="3" borderId="8" xfId="0" applyFont="1" applyFill="1" applyBorder="1" applyAlignment="1">
      <alignment vertical="center"/>
    </xf>
    <xf numFmtId="10" fontId="5" fillId="3" borderId="0" xfId="0" applyNumberFormat="1" applyFont="1" applyFill="1" applyAlignment="1">
      <alignment vertical="center"/>
    </xf>
    <xf numFmtId="171" fontId="21" fillId="3" borderId="0" xfId="0" applyNumberFormat="1" applyFont="1" applyFill="1" applyAlignment="1">
      <alignment vertical="center"/>
    </xf>
    <xf numFmtId="0" fontId="21" fillId="3" borderId="0" xfId="0" applyFont="1" applyFill="1" applyAlignment="1">
      <alignment vertical="center"/>
    </xf>
    <xf numFmtId="10" fontId="4" fillId="3" borderId="0" xfId="0" applyNumberFormat="1" applyFont="1" applyFill="1" applyAlignment="1">
      <alignment vertical="center"/>
    </xf>
    <xf numFmtId="0" fontId="7" fillId="8" borderId="0" xfId="0" applyFont="1" applyFill="1"/>
    <xf numFmtId="0" fontId="7" fillId="0" borderId="0" xfId="0" applyFont="1"/>
    <xf numFmtId="168" fontId="2" fillId="0" borderId="0" xfId="0" applyNumberFormat="1" applyFont="1"/>
    <xf numFmtId="168" fontId="2" fillId="0" borderId="3" xfId="0" applyNumberFormat="1" applyFont="1" applyBorder="1"/>
    <xf numFmtId="0" fontId="7" fillId="0" borderId="3" xfId="0" applyFont="1" applyBorder="1"/>
    <xf numFmtId="0" fontId="26" fillId="3" borderId="41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3" fillId="9" borderId="0" xfId="0" applyFont="1" applyFill="1" applyAlignment="1">
      <alignment vertical="center"/>
    </xf>
    <xf numFmtId="3" fontId="33" fillId="9" borderId="0" xfId="0" applyNumberFormat="1" applyFont="1" applyFill="1" applyAlignment="1">
      <alignment horizontal="center" vertical="center"/>
    </xf>
    <xf numFmtId="3" fontId="33" fillId="9" borderId="0" xfId="2" applyNumberFormat="1" applyFont="1" applyFill="1" applyBorder="1" applyAlignment="1" applyProtection="1">
      <alignment horizontal="center" vertical="center"/>
    </xf>
    <xf numFmtId="177" fontId="33" fillId="9" borderId="0" xfId="0" applyNumberFormat="1" applyFont="1" applyFill="1" applyAlignment="1">
      <alignment horizontal="center"/>
    </xf>
    <xf numFmtId="3" fontId="33" fillId="9" borderId="0" xfId="2" applyNumberFormat="1" applyFont="1" applyFill="1" applyBorder="1" applyAlignment="1" applyProtection="1">
      <alignment vertical="center"/>
    </xf>
    <xf numFmtId="171" fontId="33" fillId="9" borderId="0" xfId="0" applyNumberFormat="1" applyFont="1" applyFill="1" applyAlignment="1">
      <alignment vertical="center"/>
    </xf>
    <xf numFmtId="3" fontId="33" fillId="9" borderId="0" xfId="0" applyNumberFormat="1" applyFont="1" applyFill="1" applyAlignment="1">
      <alignment vertical="center"/>
    </xf>
    <xf numFmtId="1" fontId="33" fillId="9" borderId="0" xfId="0" applyNumberFormat="1" applyFont="1" applyFill="1" applyAlignment="1">
      <alignment vertical="center"/>
    </xf>
    <xf numFmtId="10" fontId="33" fillId="9" borderId="0" xfId="0" applyNumberFormat="1" applyFont="1" applyFill="1"/>
    <xf numFmtId="177" fontId="33" fillId="9" borderId="0" xfId="2" applyNumberFormat="1" applyFont="1" applyFill="1" applyBorder="1" applyAlignment="1" applyProtection="1">
      <alignment horizontal="center" vertical="center"/>
    </xf>
    <xf numFmtId="177" fontId="33" fillId="9" borderId="0" xfId="2" applyNumberFormat="1" applyFont="1" applyFill="1" applyBorder="1" applyAlignment="1" applyProtection="1">
      <alignment vertical="center"/>
    </xf>
    <xf numFmtId="177" fontId="33" fillId="9" borderId="0" xfId="0" applyNumberFormat="1" applyFont="1" applyFill="1" applyAlignment="1">
      <alignment vertical="center"/>
    </xf>
    <xf numFmtId="177" fontId="33" fillId="9" borderId="0" xfId="0" applyNumberFormat="1" applyFont="1" applyFill="1" applyAlignment="1">
      <alignment horizontal="center" vertical="center"/>
    </xf>
    <xf numFmtId="165" fontId="33" fillId="9" borderId="0" xfId="0" applyNumberFormat="1" applyFont="1" applyFill="1"/>
    <xf numFmtId="165" fontId="33" fillId="9" borderId="0" xfId="0" applyNumberFormat="1" applyFont="1" applyFill="1" applyAlignment="1">
      <alignment vertical="center"/>
    </xf>
    <xf numFmtId="165" fontId="33" fillId="9" borderId="0" xfId="2" applyFont="1" applyFill="1" applyBorder="1" applyAlignment="1" applyProtection="1">
      <alignment vertical="center"/>
    </xf>
    <xf numFmtId="1" fontId="33" fillId="9" borderId="0" xfId="0" applyNumberFormat="1" applyFont="1" applyFill="1" applyAlignment="1">
      <alignment horizontal="center"/>
    </xf>
    <xf numFmtId="0" fontId="7" fillId="12" borderId="0" xfId="0" applyFont="1" applyFill="1"/>
    <xf numFmtId="0" fontId="33" fillId="9" borderId="3" xfId="0" applyFont="1" applyFill="1" applyBorder="1" applyAlignment="1">
      <alignment vertical="center"/>
    </xf>
    <xf numFmtId="0" fontId="33" fillId="9" borderId="3" xfId="0" applyFont="1" applyFill="1" applyBorder="1"/>
    <xf numFmtId="171" fontId="33" fillId="9" borderId="3" xfId="0" applyNumberFormat="1" applyFont="1" applyFill="1" applyBorder="1" applyAlignment="1">
      <alignment horizontal="center"/>
    </xf>
    <xf numFmtId="177" fontId="33" fillId="9" borderId="3" xfId="0" applyNumberFormat="1" applyFont="1" applyFill="1" applyBorder="1"/>
    <xf numFmtId="171" fontId="33" fillId="9" borderId="3" xfId="0" applyNumberFormat="1" applyFont="1" applyFill="1" applyBorder="1"/>
    <xf numFmtId="165" fontId="33" fillId="8" borderId="3" xfId="0" applyNumberFormat="1" applyFont="1" applyFill="1" applyBorder="1"/>
    <xf numFmtId="177" fontId="33" fillId="9" borderId="3" xfId="0" applyNumberFormat="1" applyFont="1" applyFill="1" applyBorder="1" applyAlignment="1">
      <alignment horizontal="center"/>
    </xf>
    <xf numFmtId="171" fontId="33" fillId="8" borderId="0" xfId="0" applyNumberFormat="1" applyFont="1" applyFill="1"/>
    <xf numFmtId="165" fontId="33" fillId="8" borderId="0" xfId="0" applyNumberFormat="1" applyFont="1" applyFill="1"/>
    <xf numFmtId="177" fontId="33" fillId="8" borderId="0" xfId="0" applyNumberFormat="1" applyFont="1" applyFill="1"/>
    <xf numFmtId="177" fontId="33" fillId="8" borderId="0" xfId="0" applyNumberFormat="1" applyFont="1" applyFill="1" applyAlignment="1">
      <alignment horizontal="center"/>
    </xf>
    <xf numFmtId="0" fontId="33" fillId="9" borderId="14" xfId="0" applyFont="1" applyFill="1" applyBorder="1" applyAlignment="1">
      <alignment vertical="center"/>
    </xf>
    <xf numFmtId="10" fontId="33" fillId="9" borderId="14" xfId="0" applyNumberFormat="1" applyFont="1" applyFill="1" applyBorder="1" applyAlignment="1">
      <alignment vertical="center"/>
    </xf>
    <xf numFmtId="10" fontId="33" fillId="9" borderId="14" xfId="0" applyNumberFormat="1" applyFont="1" applyFill="1" applyBorder="1"/>
    <xf numFmtId="1" fontId="33" fillId="9" borderId="14" xfId="0" applyNumberFormat="1" applyFont="1" applyFill="1" applyBorder="1"/>
    <xf numFmtId="0" fontId="7" fillId="8" borderId="14" xfId="0" applyFont="1" applyFill="1" applyBorder="1"/>
    <xf numFmtId="1" fontId="33" fillId="8" borderId="14" xfId="0" applyNumberFormat="1" applyFont="1" applyFill="1" applyBorder="1"/>
    <xf numFmtId="165" fontId="33" fillId="8" borderId="14" xfId="0" applyNumberFormat="1" applyFont="1" applyFill="1" applyBorder="1"/>
    <xf numFmtId="177" fontId="33" fillId="8" borderId="14" xfId="0" applyNumberFormat="1" applyFont="1" applyFill="1" applyBorder="1"/>
    <xf numFmtId="177" fontId="33" fillId="8" borderId="14" xfId="0" applyNumberFormat="1" applyFont="1" applyFill="1" applyBorder="1" applyAlignment="1">
      <alignment horizontal="center"/>
    </xf>
    <xf numFmtId="173" fontId="33" fillId="8" borderId="14" xfId="0" applyNumberFormat="1" applyFont="1" applyFill="1" applyBorder="1"/>
    <xf numFmtId="1" fontId="33" fillId="8" borderId="14" xfId="0" applyNumberFormat="1" applyFont="1" applyFill="1" applyBorder="1" applyAlignment="1">
      <alignment horizontal="center"/>
    </xf>
    <xf numFmtId="171" fontId="33" fillId="8" borderId="0" xfId="0" applyNumberFormat="1" applyFont="1" applyFill="1" applyAlignment="1">
      <alignment horizontal="center"/>
    </xf>
    <xf numFmtId="2" fontId="33" fillId="9" borderId="3" xfId="0" applyNumberFormat="1" applyFont="1" applyFill="1" applyBorder="1" applyAlignment="1">
      <alignment vertical="center"/>
    </xf>
    <xf numFmtId="2" fontId="33" fillId="9" borderId="0" xfId="0" applyNumberFormat="1" applyFont="1" applyFill="1" applyAlignment="1">
      <alignment vertical="center"/>
    </xf>
    <xf numFmtId="171" fontId="33" fillId="9" borderId="0" xfId="0" applyNumberFormat="1" applyFont="1" applyFill="1" applyAlignment="1">
      <alignment horizontal="center" vertical="center"/>
    </xf>
    <xf numFmtId="3" fontId="33" fillId="9" borderId="14" xfId="0" applyNumberFormat="1" applyFont="1" applyFill="1" applyBorder="1" applyAlignment="1">
      <alignment vertical="center"/>
    </xf>
    <xf numFmtId="10" fontId="33" fillId="9" borderId="0" xfId="0" applyNumberFormat="1" applyFont="1" applyFill="1" applyAlignment="1">
      <alignment vertical="center"/>
    </xf>
    <xf numFmtId="168" fontId="33" fillId="9" borderId="0" xfId="0" applyNumberFormat="1" applyFont="1" applyFill="1"/>
    <xf numFmtId="168" fontId="33" fillId="9" borderId="14" xfId="0" applyNumberFormat="1" applyFont="1" applyFill="1" applyBorder="1"/>
    <xf numFmtId="0" fontId="32" fillId="3" borderId="21" xfId="0" applyFont="1" applyFill="1" applyBorder="1" applyAlignment="1">
      <alignment horizontal="left" vertical="center"/>
    </xf>
    <xf numFmtId="0" fontId="4" fillId="9" borderId="14" xfId="0" applyFont="1" applyFill="1" applyBorder="1"/>
    <xf numFmtId="0" fontId="32" fillId="3" borderId="14" xfId="0" applyFont="1" applyFill="1" applyBorder="1" applyAlignment="1">
      <alignment horizontal="center" vertical="center"/>
    </xf>
    <xf numFmtId="0" fontId="32" fillId="3" borderId="2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33" fillId="3" borderId="0" xfId="0" applyNumberFormat="1" applyFont="1" applyFill="1" applyAlignment="1">
      <alignment horizontal="center"/>
    </xf>
    <xf numFmtId="165" fontId="33" fillId="3" borderId="0" xfId="0" applyNumberFormat="1" applyFont="1" applyFill="1" applyAlignment="1">
      <alignment horizontal="center"/>
    </xf>
    <xf numFmtId="39" fontId="33" fillId="3" borderId="0" xfId="0" applyNumberFormat="1" applyFont="1" applyFill="1" applyAlignment="1">
      <alignment horizontal="center"/>
    </xf>
    <xf numFmtId="168" fontId="33" fillId="3" borderId="0" xfId="0" applyNumberFormat="1" applyFont="1" applyFill="1"/>
    <xf numFmtId="2" fontId="33" fillId="9" borderId="0" xfId="0" applyNumberFormat="1" applyFont="1" applyFill="1" applyAlignment="1">
      <alignment horizontal="center"/>
    </xf>
    <xf numFmtId="168" fontId="33" fillId="3" borderId="3" xfId="0" applyNumberFormat="1" applyFont="1" applyFill="1" applyBorder="1"/>
    <xf numFmtId="2" fontId="33" fillId="3" borderId="0" xfId="0" applyNumberFormat="1" applyFont="1" applyFill="1"/>
    <xf numFmtId="2" fontId="33" fillId="3" borderId="8" xfId="0" applyNumberFormat="1" applyFont="1" applyFill="1" applyBorder="1" applyAlignment="1">
      <alignment horizontal="center"/>
    </xf>
    <xf numFmtId="165" fontId="33" fillId="3" borderId="8" xfId="0" applyNumberFormat="1" applyFont="1" applyFill="1" applyBorder="1" applyAlignment="1">
      <alignment horizontal="center"/>
    </xf>
    <xf numFmtId="2" fontId="33" fillId="3" borderId="3" xfId="0" applyNumberFormat="1" applyFont="1" applyFill="1" applyBorder="1" applyAlignment="1">
      <alignment horizontal="center"/>
    </xf>
    <xf numFmtId="168" fontId="33" fillId="3" borderId="21" xfId="0" applyNumberFormat="1" applyFont="1" applyFill="1" applyBorder="1"/>
    <xf numFmtId="2" fontId="33" fillId="3" borderId="17" xfId="0" applyNumberFormat="1" applyFont="1" applyFill="1" applyBorder="1" applyAlignment="1">
      <alignment horizontal="center"/>
    </xf>
    <xf numFmtId="2" fontId="33" fillId="3" borderId="14" xfId="0" applyNumberFormat="1" applyFont="1" applyFill="1" applyBorder="1" applyAlignment="1">
      <alignment horizontal="center"/>
    </xf>
    <xf numFmtId="39" fontId="33" fillId="3" borderId="14" xfId="0" applyNumberFormat="1" applyFont="1" applyFill="1" applyBorder="1" applyAlignment="1">
      <alignment horizontal="center"/>
    </xf>
    <xf numFmtId="168" fontId="33" fillId="3" borderId="0" xfId="0" applyNumberFormat="1" applyFont="1" applyFill="1" applyAlignment="1">
      <alignment horizontal="center"/>
    </xf>
    <xf numFmtId="178" fontId="33" fillId="3" borderId="0" xfId="0" applyNumberFormat="1" applyFont="1" applyFill="1" applyAlignment="1">
      <alignment horizontal="center"/>
    </xf>
    <xf numFmtId="168" fontId="2" fillId="3" borderId="0" xfId="0" applyNumberFormat="1" applyFont="1" applyFill="1"/>
    <xf numFmtId="0" fontId="33" fillId="3" borderId="0" xfId="0" applyFont="1" applyFill="1" applyAlignment="1">
      <alignment horizontal="center"/>
    </xf>
    <xf numFmtId="169" fontId="33" fillId="3" borderId="0" xfId="0" applyNumberFormat="1" applyFont="1" applyFill="1" applyAlignment="1">
      <alignment horizontal="center"/>
    </xf>
    <xf numFmtId="0" fontId="33" fillId="3" borderId="14" xfId="0" applyFont="1" applyFill="1" applyBorder="1" applyAlignment="1">
      <alignment horizontal="center"/>
    </xf>
    <xf numFmtId="165" fontId="33" fillId="3" borderId="14" xfId="0" applyNumberFormat="1" applyFont="1" applyFill="1" applyBorder="1" applyAlignment="1">
      <alignment horizontal="center"/>
    </xf>
    <xf numFmtId="10" fontId="15" fillId="3" borderId="14" xfId="0" applyNumberFormat="1" applyFont="1" applyFill="1" applyBorder="1" applyAlignment="1">
      <alignment horizontal="center"/>
    </xf>
    <xf numFmtId="0" fontId="33" fillId="3" borderId="0" xfId="0" applyFont="1" applyFill="1"/>
    <xf numFmtId="0" fontId="4" fillId="3" borderId="0" xfId="0" applyFont="1" applyFill="1"/>
    <xf numFmtId="0" fontId="4" fillId="3" borderId="14" xfId="0" applyFont="1" applyFill="1" applyBorder="1"/>
    <xf numFmtId="0" fontId="33" fillId="3" borderId="14" xfId="0" applyFont="1" applyFill="1" applyBorder="1"/>
    <xf numFmtId="171" fontId="33" fillId="3" borderId="14" xfId="0" applyNumberFormat="1" applyFont="1" applyFill="1" applyBorder="1" applyAlignment="1">
      <alignment horizontal="center"/>
    </xf>
    <xf numFmtId="0" fontId="9" fillId="13" borderId="14" xfId="0" applyFont="1" applyFill="1" applyBorder="1" applyAlignment="1">
      <alignment horizontal="center"/>
    </xf>
    <xf numFmtId="172" fontId="33" fillId="9" borderId="0" xfId="0" applyNumberFormat="1" applyFont="1" applyFill="1" applyAlignment="1">
      <alignment horizontal="center"/>
    </xf>
    <xf numFmtId="164" fontId="33" fillId="8" borderId="14" xfId="0" applyNumberFormat="1" applyFont="1" applyFill="1" applyBorder="1"/>
    <xf numFmtId="172" fontId="9" fillId="13" borderId="14" xfId="0" applyNumberFormat="1" applyFont="1" applyFill="1" applyBorder="1" applyAlignment="1">
      <alignment horizontal="center"/>
    </xf>
    <xf numFmtId="172" fontId="9" fillId="13" borderId="23" xfId="0" applyNumberFormat="1" applyFont="1" applyFill="1" applyBorder="1" applyAlignment="1">
      <alignment horizontal="center"/>
    </xf>
    <xf numFmtId="172" fontId="33" fillId="9" borderId="0" xfId="0" applyNumberFormat="1" applyFont="1" applyFill="1"/>
    <xf numFmtId="1" fontId="33" fillId="3" borderId="2" xfId="0" applyNumberFormat="1" applyFont="1" applyFill="1" applyBorder="1" applyAlignment="1">
      <alignment horizontal="center"/>
    </xf>
    <xf numFmtId="1" fontId="33" fillId="3" borderId="8" xfId="0" applyNumberFormat="1" applyFont="1" applyFill="1" applyBorder="1" applyAlignment="1">
      <alignment horizontal="center"/>
    </xf>
    <xf numFmtId="171" fontId="9" fillId="13" borderId="17" xfId="0" applyNumberFormat="1" applyFont="1" applyFill="1" applyBorder="1" applyAlignment="1">
      <alignment horizontal="center"/>
    </xf>
    <xf numFmtId="1" fontId="33" fillId="8" borderId="23" xfId="0" applyNumberFormat="1" applyFont="1" applyFill="1" applyBorder="1" applyAlignment="1">
      <alignment horizontal="center"/>
    </xf>
    <xf numFmtId="2" fontId="33" fillId="3" borderId="2" xfId="0" applyNumberFormat="1" applyFont="1" applyFill="1" applyBorder="1" applyAlignment="1">
      <alignment horizontal="center"/>
    </xf>
    <xf numFmtId="10" fontId="33" fillId="3" borderId="3" xfId="0" applyNumberFormat="1" applyFont="1" applyFill="1" applyBorder="1" applyAlignment="1">
      <alignment horizontal="center"/>
    </xf>
    <xf numFmtId="10" fontId="33" fillId="3" borderId="0" xfId="0" applyNumberFormat="1" applyFont="1" applyFill="1" applyAlignment="1">
      <alignment horizontal="center"/>
    </xf>
    <xf numFmtId="168" fontId="33" fillId="3" borderId="14" xfId="0" applyNumberFormat="1" applyFont="1" applyFill="1" applyBorder="1"/>
    <xf numFmtId="177" fontId="9" fillId="14" borderId="0" xfId="0" applyNumberFormat="1" applyFont="1" applyFill="1" applyAlignment="1">
      <alignment horizontal="center" vertical="center"/>
    </xf>
    <xf numFmtId="171" fontId="40" fillId="14" borderId="0" xfId="0" applyNumberFormat="1" applyFont="1" applyFill="1" applyAlignment="1">
      <alignment horizontal="center" vertical="center"/>
    </xf>
    <xf numFmtId="0" fontId="2" fillId="0" borderId="13" xfId="0" applyFont="1" applyBorder="1"/>
    <xf numFmtId="0" fontId="33" fillId="9" borderId="3" xfId="0" applyFont="1" applyFill="1" applyBorder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168" fontId="33" fillId="9" borderId="0" xfId="0" applyNumberFormat="1" applyFont="1" applyFill="1" applyAlignment="1">
      <alignment horizontal="center"/>
    </xf>
    <xf numFmtId="0" fontId="7" fillId="3" borderId="8" xfId="0" applyFont="1" applyFill="1" applyBorder="1"/>
    <xf numFmtId="0" fontId="7" fillId="3" borderId="0" xfId="0" applyFont="1" applyFill="1"/>
    <xf numFmtId="0" fontId="33" fillId="9" borderId="2" xfId="0" applyFont="1" applyFill="1" applyBorder="1" applyAlignment="1">
      <alignment horizontal="center" vertical="center"/>
    </xf>
    <xf numFmtId="0" fontId="33" fillId="9" borderId="21" xfId="0" applyFont="1" applyFill="1" applyBorder="1" applyAlignment="1">
      <alignment horizontal="center" vertical="center"/>
    </xf>
    <xf numFmtId="0" fontId="33" fillId="9" borderId="8" xfId="0" applyFont="1" applyFill="1" applyBorder="1" applyAlignment="1">
      <alignment horizontal="center" vertical="center"/>
    </xf>
    <xf numFmtId="171" fontId="33" fillId="9" borderId="8" xfId="0" applyNumberFormat="1" applyFont="1" applyFill="1" applyBorder="1" applyAlignment="1">
      <alignment horizontal="center" vertical="center"/>
    </xf>
    <xf numFmtId="0" fontId="7" fillId="3" borderId="14" xfId="0" applyFont="1" applyFill="1" applyBorder="1"/>
    <xf numFmtId="0" fontId="7" fillId="3" borderId="23" xfId="0" applyFont="1" applyFill="1" applyBorder="1"/>
    <xf numFmtId="179" fontId="33" fillId="9" borderId="8" xfId="0" applyNumberFormat="1" applyFont="1" applyFill="1" applyBorder="1" applyAlignment="1">
      <alignment horizontal="center"/>
    </xf>
    <xf numFmtId="169" fontId="33" fillId="9" borderId="0" xfId="0" applyNumberFormat="1" applyFont="1" applyFill="1" applyAlignment="1">
      <alignment horizontal="center"/>
    </xf>
    <xf numFmtId="0" fontId="33" fillId="9" borderId="17" xfId="0" applyFont="1" applyFill="1" applyBorder="1"/>
    <xf numFmtId="1" fontId="33" fillId="9" borderId="8" xfId="0" applyNumberFormat="1" applyFont="1" applyFill="1" applyBorder="1" applyAlignment="1">
      <alignment horizontal="center" vertical="center"/>
    </xf>
    <xf numFmtId="1" fontId="33" fillId="9" borderId="0" xfId="0" applyNumberFormat="1" applyFont="1" applyFill="1" applyAlignment="1">
      <alignment horizontal="center" vertical="center"/>
    </xf>
    <xf numFmtId="171" fontId="33" fillId="9" borderId="0" xfId="0" applyNumberFormat="1" applyFont="1" applyFill="1" applyAlignment="1">
      <alignment horizontal="center"/>
    </xf>
    <xf numFmtId="172" fontId="33" fillId="9" borderId="14" xfId="0" applyNumberFormat="1" applyFont="1" applyFill="1" applyBorder="1" applyAlignment="1">
      <alignment horizontal="center"/>
    </xf>
    <xf numFmtId="0" fontId="33" fillId="3" borderId="23" xfId="0" applyFont="1" applyFill="1" applyBorder="1"/>
    <xf numFmtId="172" fontId="40" fillId="14" borderId="14" xfId="0" applyNumberFormat="1" applyFont="1" applyFill="1" applyBorder="1" applyAlignment="1">
      <alignment horizontal="center"/>
    </xf>
    <xf numFmtId="0" fontId="33" fillId="9" borderId="0" xfId="0" applyFont="1" applyFill="1" applyAlignment="1">
      <alignment horizontal="center"/>
    </xf>
    <xf numFmtId="10" fontId="33" fillId="9" borderId="0" xfId="0" applyNumberFormat="1" applyFont="1" applyFill="1" applyAlignment="1">
      <alignment horizontal="center"/>
    </xf>
    <xf numFmtId="2" fontId="33" fillId="9" borderId="2" xfId="0" applyNumberFormat="1" applyFont="1" applyFill="1" applyBorder="1" applyAlignment="1">
      <alignment horizontal="center" vertical="center"/>
    </xf>
    <xf numFmtId="2" fontId="33" fillId="9" borderId="3" xfId="0" applyNumberFormat="1" applyFont="1" applyFill="1" applyBorder="1" applyAlignment="1">
      <alignment horizontal="center" vertical="center"/>
    </xf>
    <xf numFmtId="171" fontId="33" fillId="9" borderId="8" xfId="0" applyNumberFormat="1" applyFont="1" applyFill="1" applyBorder="1" applyAlignment="1">
      <alignment horizontal="center"/>
    </xf>
    <xf numFmtId="10" fontId="33" fillId="9" borderId="8" xfId="0" applyNumberFormat="1" applyFont="1" applyFill="1" applyBorder="1" applyAlignment="1">
      <alignment horizontal="center"/>
    </xf>
    <xf numFmtId="171" fontId="33" fillId="9" borderId="17" xfId="0" applyNumberFormat="1" applyFont="1" applyFill="1" applyBorder="1" applyAlignment="1" applyProtection="1">
      <alignment horizontal="center"/>
      <protection locked="0"/>
    </xf>
    <xf numFmtId="171" fontId="33" fillId="9" borderId="14" xfId="0" applyNumberFormat="1" applyFont="1" applyFill="1" applyBorder="1" applyAlignment="1" applyProtection="1">
      <alignment horizontal="center"/>
      <protection locked="0"/>
    </xf>
    <xf numFmtId="171" fontId="33" fillId="3" borderId="0" xfId="0" applyNumberFormat="1" applyFont="1" applyFill="1" applyAlignment="1">
      <alignment horizontal="center"/>
    </xf>
    <xf numFmtId="171" fontId="41" fillId="14" borderId="23" xfId="0" applyNumberFormat="1" applyFont="1" applyFill="1" applyBorder="1" applyAlignment="1" applyProtection="1">
      <alignment horizontal="center" textRotation="90"/>
      <protection locked="0"/>
    </xf>
    <xf numFmtId="0" fontId="33" fillId="3" borderId="8" xfId="0" applyFont="1" applyFill="1" applyBorder="1"/>
    <xf numFmtId="171" fontId="9" fillId="14" borderId="17" xfId="0" applyNumberFormat="1" applyFont="1" applyFill="1" applyBorder="1" applyAlignment="1" applyProtection="1">
      <alignment horizontal="center"/>
      <protection locked="0"/>
    </xf>
    <xf numFmtId="171" fontId="40" fillId="13" borderId="23" xfId="0" applyNumberFormat="1" applyFont="1" applyFill="1" applyBorder="1" applyAlignment="1">
      <alignment horizontal="center"/>
    </xf>
    <xf numFmtId="0" fontId="33" fillId="9" borderId="2" xfId="0" applyFont="1" applyFill="1" applyBorder="1" applyAlignment="1">
      <alignment horizontal="center"/>
    </xf>
    <xf numFmtId="0" fontId="33" fillId="9" borderId="21" xfId="0" applyFont="1" applyFill="1" applyBorder="1" applyAlignment="1">
      <alignment horizontal="center"/>
    </xf>
    <xf numFmtId="183" fontId="33" fillId="9" borderId="8" xfId="10" applyNumberFormat="1" applyFont="1" applyFill="1" applyBorder="1" applyAlignment="1">
      <alignment horizontal="center"/>
    </xf>
    <xf numFmtId="171" fontId="42" fillId="9" borderId="8" xfId="0" applyNumberFormat="1" applyFont="1" applyFill="1" applyBorder="1" applyAlignment="1">
      <alignment horizontal="center"/>
    </xf>
    <xf numFmtId="2" fontId="33" fillId="9" borderId="3" xfId="0" applyNumberFormat="1" applyFont="1" applyFill="1" applyBorder="1" applyAlignment="1">
      <alignment horizontal="center"/>
    </xf>
    <xf numFmtId="2" fontId="33" fillId="9" borderId="3" xfId="0" applyNumberFormat="1" applyFont="1" applyFill="1" applyBorder="1"/>
    <xf numFmtId="2" fontId="33" fillId="9" borderId="0" xfId="0" applyNumberFormat="1" applyFont="1" applyFill="1"/>
    <xf numFmtId="171" fontId="33" fillId="9" borderId="0" xfId="9" applyNumberFormat="1" applyFont="1" applyFill="1" applyBorder="1" applyAlignment="1">
      <alignment horizontal="centerContinuous"/>
    </xf>
    <xf numFmtId="2" fontId="33" fillId="9" borderId="8" xfId="0" applyNumberFormat="1" applyFont="1" applyFill="1" applyBorder="1" applyAlignment="1">
      <alignment vertical="center"/>
    </xf>
    <xf numFmtId="2" fontId="33" fillId="9" borderId="17" xfId="0" applyNumberFormat="1" applyFont="1" applyFill="1" applyBorder="1" applyAlignment="1">
      <alignment vertical="center"/>
    </xf>
    <xf numFmtId="171" fontId="33" fillId="14" borderId="0" xfId="0" applyNumberFormat="1" applyFont="1" applyFill="1" applyAlignment="1">
      <alignment horizontal="center"/>
    </xf>
    <xf numFmtId="1" fontId="33" fillId="14" borderId="3" xfId="0" applyNumberFormat="1" applyFont="1" applyFill="1" applyBorder="1" applyAlignment="1">
      <alignment horizontal="center"/>
    </xf>
    <xf numFmtId="1" fontId="33" fillId="14" borderId="21" xfId="0" applyNumberFormat="1" applyFont="1" applyFill="1" applyBorder="1" applyAlignment="1">
      <alignment horizontal="center"/>
    </xf>
    <xf numFmtId="166" fontId="33" fillId="9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168" fontId="2" fillId="3" borderId="2" xfId="0" applyNumberFormat="1" applyFont="1" applyFill="1" applyBorder="1"/>
    <xf numFmtId="168" fontId="2" fillId="3" borderId="3" xfId="0" applyNumberFormat="1" applyFont="1" applyFill="1" applyBorder="1"/>
    <xf numFmtId="168" fontId="2" fillId="3" borderId="21" xfId="0" applyNumberFormat="1" applyFont="1" applyFill="1" applyBorder="1"/>
    <xf numFmtId="0" fontId="30" fillId="13" borderId="14" xfId="0" applyFont="1" applyFill="1" applyBorder="1" applyAlignment="1">
      <alignment horizontal="center"/>
    </xf>
    <xf numFmtId="172" fontId="33" fillId="13" borderId="14" xfId="0" applyNumberFormat="1" applyFont="1" applyFill="1" applyBorder="1" applyAlignment="1">
      <alignment horizontal="center"/>
    </xf>
    <xf numFmtId="168" fontId="33" fillId="3" borderId="2" xfId="0" applyNumberFormat="1" applyFont="1" applyFill="1" applyBorder="1"/>
    <xf numFmtId="168" fontId="33" fillId="3" borderId="8" xfId="0" applyNumberFormat="1" applyFont="1" applyFill="1" applyBorder="1"/>
    <xf numFmtId="1" fontId="33" fillId="9" borderId="8" xfId="10" applyNumberFormat="1" applyFont="1" applyFill="1" applyBorder="1" applyAlignment="1">
      <alignment horizontal="center"/>
    </xf>
    <xf numFmtId="1" fontId="42" fillId="9" borderId="8" xfId="0" applyNumberFormat="1" applyFont="1" applyFill="1" applyBorder="1" applyAlignment="1">
      <alignment horizontal="center"/>
    </xf>
    <xf numFmtId="1" fontId="42" fillId="9" borderId="17" xfId="0" applyNumberFormat="1" applyFont="1" applyFill="1" applyBorder="1" applyAlignment="1">
      <alignment horizontal="center"/>
    </xf>
    <xf numFmtId="2" fontId="33" fillId="9" borderId="14" xfId="0" applyNumberFormat="1" applyFont="1" applyFill="1" applyBorder="1"/>
    <xf numFmtId="2" fontId="33" fillId="9" borderId="14" xfId="0" applyNumberFormat="1" applyFont="1" applyFill="1" applyBorder="1" applyAlignment="1">
      <alignment horizontal="center"/>
    </xf>
    <xf numFmtId="2" fontId="33" fillId="9" borderId="23" xfId="0" applyNumberFormat="1" applyFont="1" applyFill="1" applyBorder="1"/>
    <xf numFmtId="0" fontId="33" fillId="9" borderId="8" xfId="0" applyFont="1" applyFill="1" applyBorder="1" applyAlignment="1">
      <alignment horizontal="center"/>
    </xf>
    <xf numFmtId="168" fontId="9" fillId="14" borderId="0" xfId="0" applyNumberFormat="1" applyFont="1" applyFill="1"/>
    <xf numFmtId="2" fontId="7" fillId="9" borderId="8" xfId="0" applyNumberFormat="1" applyFont="1" applyFill="1" applyBorder="1" applyAlignment="1">
      <alignment horizontal="center"/>
    </xf>
    <xf numFmtId="2" fontId="7" fillId="9" borderId="0" xfId="0" applyNumberFormat="1" applyFont="1" applyFill="1" applyAlignment="1">
      <alignment horizontal="center"/>
    </xf>
    <xf numFmtId="1" fontId="7" fillId="9" borderId="0" xfId="0" applyNumberFormat="1" applyFont="1" applyFill="1" applyAlignment="1">
      <alignment horizontal="center"/>
    </xf>
    <xf numFmtId="2" fontId="22" fillId="9" borderId="0" xfId="0" applyNumberFormat="1" applyFont="1" applyFill="1" applyAlignment="1">
      <alignment horizontal="center"/>
    </xf>
    <xf numFmtId="172" fontId="9" fillId="3" borderId="14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right" vertical="center"/>
    </xf>
    <xf numFmtId="0" fontId="4" fillId="3" borderId="14" xfId="0" applyFont="1" applyFill="1" applyBorder="1" applyAlignment="1">
      <alignment horizontal="left" vertical="center"/>
    </xf>
    <xf numFmtId="0" fontId="44" fillId="3" borderId="0" xfId="0" applyFont="1" applyFill="1" applyAlignment="1">
      <alignment vertical="center"/>
    </xf>
    <xf numFmtId="0" fontId="4" fillId="3" borderId="34" xfId="0" applyFont="1" applyFill="1" applyBorder="1" applyAlignment="1">
      <alignment vertical="center"/>
    </xf>
    <xf numFmtId="0" fontId="3" fillId="19" borderId="2" xfId="0" applyFont="1" applyFill="1" applyBorder="1" applyAlignment="1">
      <alignment vertical="center"/>
    </xf>
    <xf numFmtId="1" fontId="2" fillId="20" borderId="38" xfId="10" applyNumberFormat="1" applyFont="1" applyFill="1" applyBorder="1" applyAlignment="1">
      <alignment horizontal="center" vertical="center"/>
    </xf>
    <xf numFmtId="2" fontId="2" fillId="20" borderId="40" xfId="10" applyNumberFormat="1" applyFont="1" applyFill="1" applyBorder="1" applyAlignment="1">
      <alignment horizontal="center" vertical="center"/>
    </xf>
    <xf numFmtId="4" fontId="2" fillId="20" borderId="40" xfId="10" applyNumberFormat="1" applyFont="1" applyFill="1" applyBorder="1" applyAlignment="1">
      <alignment horizontal="center" vertical="center"/>
    </xf>
    <xf numFmtId="181" fontId="2" fillId="20" borderId="21" xfId="0" applyNumberFormat="1" applyFont="1" applyFill="1" applyBorder="1" applyAlignment="1">
      <alignment horizontal="center" vertical="center"/>
    </xf>
    <xf numFmtId="43" fontId="2" fillId="20" borderId="38" xfId="10" applyNumberFormat="1" applyFont="1" applyFill="1" applyBorder="1" applyAlignment="1">
      <alignment vertical="center"/>
    </xf>
    <xf numFmtId="171" fontId="2" fillId="21" borderId="0" xfId="9" applyNumberFormat="1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172" fontId="2" fillId="21" borderId="0" xfId="9" applyNumberFormat="1" applyFont="1" applyFill="1" applyBorder="1" applyAlignment="1">
      <alignment horizontal="center" vertical="center"/>
    </xf>
    <xf numFmtId="171" fontId="2" fillId="21" borderId="14" xfId="9" applyNumberFormat="1" applyFont="1" applyFill="1" applyBorder="1" applyAlignment="1">
      <alignment horizontal="center" vertical="center"/>
    </xf>
    <xf numFmtId="0" fontId="4" fillId="19" borderId="9" xfId="0" applyFont="1" applyFill="1" applyBorder="1" applyAlignment="1">
      <alignment vertical="center"/>
    </xf>
    <xf numFmtId="0" fontId="4" fillId="19" borderId="11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171" fontId="5" fillId="3" borderId="14" xfId="0" applyNumberFormat="1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171" fontId="2" fillId="21" borderId="23" xfId="9" applyNumberFormat="1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vertical="center"/>
    </xf>
    <xf numFmtId="0" fontId="3" fillId="19" borderId="21" xfId="0" applyFont="1" applyFill="1" applyBorder="1" applyAlignment="1">
      <alignment vertical="center"/>
    </xf>
    <xf numFmtId="0" fontId="42" fillId="3" borderId="0" xfId="0" applyFont="1" applyFill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3" fontId="2" fillId="3" borderId="21" xfId="0" applyNumberFormat="1" applyFont="1" applyFill="1" applyBorder="1" applyAlignment="1">
      <alignment vertical="center"/>
    </xf>
    <xf numFmtId="3" fontId="2" fillId="3" borderId="8" xfId="0" applyNumberFormat="1" applyFont="1" applyFill="1" applyBorder="1" applyAlignment="1">
      <alignment vertical="center"/>
    </xf>
    <xf numFmtId="3" fontId="3" fillId="3" borderId="23" xfId="0" applyNumberFormat="1" applyFont="1" applyFill="1" applyBorder="1" applyAlignment="1">
      <alignment vertical="center"/>
    </xf>
    <xf numFmtId="3" fontId="2" fillId="3" borderId="17" xfId="0" applyNumberFormat="1" applyFont="1" applyFill="1" applyBorder="1" applyAlignment="1">
      <alignment vertical="center"/>
    </xf>
    <xf numFmtId="1" fontId="33" fillId="9" borderId="0" xfId="0" applyNumberFormat="1" applyFont="1" applyFill="1"/>
    <xf numFmtId="187" fontId="33" fillId="9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71" fontId="17" fillId="3" borderId="26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22" fillId="3" borderId="26" xfId="0" applyFont="1" applyFill="1" applyBorder="1" applyAlignment="1">
      <alignment vertical="center"/>
    </xf>
    <xf numFmtId="175" fontId="45" fillId="3" borderId="3" xfId="0" applyNumberFormat="1" applyFont="1" applyFill="1" applyBorder="1" applyAlignment="1">
      <alignment vertical="center"/>
    </xf>
    <xf numFmtId="0" fontId="4" fillId="3" borderId="48" xfId="0" applyFont="1" applyFill="1" applyBorder="1" applyAlignment="1">
      <alignment horizontal="left" vertical="center"/>
    </xf>
    <xf numFmtId="0" fontId="22" fillId="3" borderId="33" xfId="0" applyFont="1" applyFill="1" applyBorder="1" applyAlignment="1">
      <alignment vertical="center"/>
    </xf>
    <xf numFmtId="0" fontId="41" fillId="3" borderId="32" xfId="0" applyFont="1" applyFill="1" applyBorder="1" applyAlignment="1">
      <alignment vertical="center"/>
    </xf>
    <xf numFmtId="0" fontId="30" fillId="3" borderId="0" xfId="0" applyFont="1" applyFill="1" applyAlignment="1">
      <alignment vertical="center"/>
    </xf>
    <xf numFmtId="175" fontId="22" fillId="3" borderId="3" xfId="0" applyNumberFormat="1" applyFont="1" applyFill="1" applyBorder="1" applyAlignment="1">
      <alignment vertical="center"/>
    </xf>
    <xf numFmtId="175" fontId="22" fillId="3" borderId="21" xfId="0" applyNumberFormat="1" applyFont="1" applyFill="1" applyBorder="1" applyAlignment="1">
      <alignment vertical="center"/>
    </xf>
    <xf numFmtId="175" fontId="22" fillId="3" borderId="0" xfId="0" applyNumberFormat="1" applyFont="1" applyFill="1" applyAlignment="1">
      <alignment vertical="center"/>
    </xf>
    <xf numFmtId="175" fontId="22" fillId="3" borderId="14" xfId="0" applyNumberFormat="1" applyFont="1" applyFill="1" applyBorder="1" applyAlignment="1">
      <alignment vertical="center"/>
    </xf>
    <xf numFmtId="175" fontId="22" fillId="3" borderId="23" xfId="0" applyNumberFormat="1" applyFont="1" applyFill="1" applyBorder="1" applyAlignment="1">
      <alignment vertical="center"/>
    </xf>
    <xf numFmtId="0" fontId="41" fillId="3" borderId="34" xfId="0" applyFont="1" applyFill="1" applyBorder="1" applyAlignment="1">
      <alignment vertical="center"/>
    </xf>
    <xf numFmtId="2" fontId="45" fillId="3" borderId="17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72" fontId="22" fillId="3" borderId="3" xfId="0" applyNumberFormat="1" applyFont="1" applyFill="1" applyBorder="1" applyAlignment="1">
      <alignment horizontal="center" vertical="center"/>
    </xf>
    <xf numFmtId="2" fontId="33" fillId="13" borderId="3" xfId="0" applyNumberFormat="1" applyFont="1" applyFill="1" applyBorder="1" applyAlignment="1">
      <alignment horizontal="center"/>
    </xf>
    <xf numFmtId="2" fontId="33" fillId="13" borderId="0" xfId="0" applyNumberFormat="1" applyFont="1" applyFill="1" applyAlignment="1">
      <alignment horizontal="center"/>
    </xf>
    <xf numFmtId="39" fontId="33" fillId="13" borderId="0" xfId="0" applyNumberFormat="1" applyFont="1" applyFill="1" applyAlignment="1">
      <alignment horizontal="center"/>
    </xf>
    <xf numFmtId="39" fontId="33" fillId="13" borderId="14" xfId="0" applyNumberFormat="1" applyFont="1" applyFill="1" applyBorder="1" applyAlignment="1">
      <alignment horizontal="center"/>
    </xf>
    <xf numFmtId="171" fontId="41" fillId="3" borderId="31" xfId="0" applyNumberFormat="1" applyFont="1" applyFill="1" applyBorder="1" applyAlignment="1">
      <alignment horizontal="center" vertical="center"/>
    </xf>
    <xf numFmtId="171" fontId="41" fillId="3" borderId="51" xfId="0" applyNumberFormat="1" applyFont="1" applyFill="1" applyBorder="1" applyAlignment="1">
      <alignment horizontal="center" vertical="center"/>
    </xf>
    <xf numFmtId="2" fontId="47" fillId="3" borderId="0" xfId="0" applyNumberFormat="1" applyFont="1" applyFill="1" applyAlignment="1">
      <alignment horizontal="center" vertical="center"/>
    </xf>
    <xf numFmtId="2" fontId="48" fillId="3" borderId="0" xfId="0" applyNumberFormat="1" applyFont="1" applyFill="1" applyAlignment="1">
      <alignment horizontal="center" vertical="center"/>
    </xf>
    <xf numFmtId="0" fontId="7" fillId="3" borderId="17" xfId="0" applyFont="1" applyFill="1" applyBorder="1"/>
    <xf numFmtId="1" fontId="33" fillId="14" borderId="8" xfId="0" applyNumberFormat="1" applyFont="1" applyFill="1" applyBorder="1" applyAlignment="1">
      <alignment horizontal="center"/>
    </xf>
    <xf numFmtId="2" fontId="33" fillId="14" borderId="0" xfId="0" applyNumberFormat="1" applyFont="1" applyFill="1" applyAlignment="1">
      <alignment horizontal="center"/>
    </xf>
    <xf numFmtId="14" fontId="33" fillId="14" borderId="0" xfId="0" applyNumberFormat="1" applyFont="1" applyFill="1" applyAlignment="1">
      <alignment horizontal="center"/>
    </xf>
    <xf numFmtId="172" fontId="33" fillId="14" borderId="0" xfId="0" applyNumberFormat="1" applyFont="1" applyFill="1" applyAlignment="1">
      <alignment horizontal="center"/>
    </xf>
    <xf numFmtId="1" fontId="33" fillId="14" borderId="0" xfId="0" applyNumberFormat="1" applyFont="1" applyFill="1" applyAlignment="1">
      <alignment horizontal="center"/>
    </xf>
    <xf numFmtId="172" fontId="4" fillId="20" borderId="13" xfId="0" applyNumberFormat="1" applyFont="1" applyFill="1" applyBorder="1" applyAlignment="1">
      <alignment horizontal="center" vertical="center" wrapText="1"/>
    </xf>
    <xf numFmtId="172" fontId="4" fillId="20" borderId="7" xfId="0" applyNumberFormat="1" applyFont="1" applyFill="1" applyBorder="1" applyAlignment="1">
      <alignment horizontal="center" vertical="center" wrapText="1"/>
    </xf>
    <xf numFmtId="180" fontId="5" fillId="20" borderId="33" xfId="0" applyNumberFormat="1" applyFont="1" applyFill="1" applyBorder="1" applyAlignment="1">
      <alignment horizontal="center" vertical="center"/>
    </xf>
    <xf numFmtId="181" fontId="3" fillId="3" borderId="21" xfId="0" applyNumberFormat="1" applyFont="1" applyFill="1" applyBorder="1" applyAlignment="1">
      <alignment vertical="center"/>
    </xf>
    <xf numFmtId="0" fontId="42" fillId="3" borderId="49" xfId="0" applyFont="1" applyFill="1" applyBorder="1" applyAlignment="1">
      <alignment vertical="center"/>
    </xf>
    <xf numFmtId="0" fontId="28" fillId="3" borderId="0" xfId="0" applyFont="1" applyFill="1" applyAlignment="1">
      <alignment vertical="center" textRotation="90"/>
    </xf>
    <xf numFmtId="0" fontId="26" fillId="3" borderId="0" xfId="0" applyFont="1" applyFill="1" applyAlignment="1">
      <alignment vertical="center"/>
    </xf>
    <xf numFmtId="0" fontId="26" fillId="3" borderId="14" xfId="0" applyFont="1" applyFill="1" applyBorder="1" applyAlignment="1">
      <alignment vertical="center"/>
    </xf>
    <xf numFmtId="0" fontId="26" fillId="3" borderId="17" xfId="0" applyFont="1" applyFill="1" applyBorder="1" applyAlignment="1">
      <alignment vertical="center"/>
    </xf>
    <xf numFmtId="0" fontId="26" fillId="3" borderId="23" xfId="0" applyFont="1" applyFill="1" applyBorder="1" applyAlignment="1">
      <alignment vertical="center"/>
    </xf>
    <xf numFmtId="171" fontId="9" fillId="3" borderId="7" xfId="9" applyNumberFormat="1" applyFont="1" applyFill="1" applyBorder="1" applyAlignment="1">
      <alignment horizontal="center" vertical="center"/>
    </xf>
    <xf numFmtId="0" fontId="2" fillId="3" borderId="0" xfId="7" applyFont="1" applyFill="1"/>
    <xf numFmtId="0" fontId="2" fillId="3" borderId="55" xfId="7" applyFont="1" applyFill="1" applyBorder="1" applyAlignment="1">
      <alignment horizontal="center"/>
    </xf>
    <xf numFmtId="0" fontId="50" fillId="3" borderId="55" xfId="7" applyFont="1" applyFill="1" applyBorder="1" applyAlignment="1">
      <alignment horizontal="center"/>
    </xf>
    <xf numFmtId="1" fontId="2" fillId="3" borderId="55" xfId="7" applyNumberFormat="1" applyFont="1" applyFill="1" applyBorder="1" applyAlignment="1">
      <alignment horizontal="center"/>
    </xf>
    <xf numFmtId="169" fontId="2" fillId="3" borderId="55" xfId="7" applyNumberFormat="1" applyFont="1" applyFill="1" applyBorder="1" applyAlignment="1">
      <alignment horizontal="center"/>
    </xf>
    <xf numFmtId="0" fontId="2" fillId="3" borderId="55" xfId="7" applyFont="1" applyFill="1" applyBorder="1"/>
    <xf numFmtId="0" fontId="2" fillId="3" borderId="63" xfId="7" applyFont="1" applyFill="1" applyBorder="1"/>
    <xf numFmtId="0" fontId="51" fillId="3" borderId="66" xfId="7" applyFont="1" applyFill="1" applyBorder="1"/>
    <xf numFmtId="1" fontId="2" fillId="3" borderId="60" xfId="7" applyNumberFormat="1" applyFont="1" applyFill="1" applyBorder="1" applyAlignment="1">
      <alignment horizontal="center"/>
    </xf>
    <xf numFmtId="1" fontId="2" fillId="20" borderId="55" xfId="7" applyNumberFormat="1" applyFont="1" applyFill="1" applyBorder="1" applyAlignment="1">
      <alignment horizontal="center"/>
    </xf>
    <xf numFmtId="171" fontId="2" fillId="20" borderId="55" xfId="7" applyNumberFormat="1" applyFont="1" applyFill="1" applyBorder="1" applyAlignment="1">
      <alignment horizontal="center"/>
    </xf>
    <xf numFmtId="0" fontId="53" fillId="3" borderId="72" xfId="11" applyFont="1" applyFill="1" applyBorder="1"/>
    <xf numFmtId="0" fontId="53" fillId="3" borderId="66" xfId="11" applyFont="1" applyFill="1" applyBorder="1" applyAlignment="1">
      <alignment horizontal="left"/>
    </xf>
    <xf numFmtId="0" fontId="4" fillId="0" borderId="0" xfId="0" applyFont="1"/>
    <xf numFmtId="0" fontId="42" fillId="20" borderId="0" xfId="0" applyFont="1" applyFill="1" applyAlignment="1">
      <alignment horizontal="center" vertical="center"/>
    </xf>
    <xf numFmtId="0" fontId="33" fillId="20" borderId="0" xfId="7" applyFont="1" applyFill="1" applyAlignment="1">
      <alignment horizontal="center"/>
    </xf>
    <xf numFmtId="0" fontId="3" fillId="20" borderId="55" xfId="7" applyFont="1" applyFill="1" applyBorder="1" applyAlignment="1">
      <alignment horizontal="center"/>
    </xf>
    <xf numFmtId="0" fontId="3" fillId="3" borderId="55" xfId="7" applyFont="1" applyFill="1" applyBorder="1" applyAlignment="1">
      <alignment horizontal="center"/>
    </xf>
    <xf numFmtId="0" fontId="24" fillId="24" borderId="83" xfId="0" applyFont="1" applyFill="1" applyBorder="1" applyAlignment="1">
      <alignment horizontal="center"/>
    </xf>
    <xf numFmtId="0" fontId="7" fillId="20" borderId="84" xfId="0" applyFont="1" applyFill="1" applyBorder="1" applyAlignment="1">
      <alignment horizontal="center"/>
    </xf>
    <xf numFmtId="2" fontId="2" fillId="3" borderId="55" xfId="7" applyNumberFormat="1" applyFont="1" applyFill="1" applyBorder="1" applyAlignment="1">
      <alignment horizontal="center"/>
    </xf>
    <xf numFmtId="171" fontId="9" fillId="3" borderId="59" xfId="7" applyNumberFormat="1" applyFont="1" applyFill="1" applyBorder="1" applyAlignment="1">
      <alignment horizontal="center"/>
    </xf>
    <xf numFmtId="171" fontId="9" fillId="20" borderId="55" xfId="7" applyNumberFormat="1" applyFont="1" applyFill="1" applyBorder="1" applyAlignment="1">
      <alignment horizontal="center"/>
    </xf>
    <xf numFmtId="0" fontId="33" fillId="3" borderId="0" xfId="7" applyFont="1" applyFill="1" applyAlignment="1">
      <alignment horizontal="center"/>
    </xf>
    <xf numFmtId="0" fontId="7" fillId="3" borderId="3" xfId="0" applyFont="1" applyFill="1" applyBorder="1"/>
    <xf numFmtId="184" fontId="42" fillId="3" borderId="10" xfId="0" applyNumberFormat="1" applyFont="1" applyFill="1" applyBorder="1"/>
    <xf numFmtId="184" fontId="42" fillId="3" borderId="11" xfId="0" applyNumberFormat="1" applyFont="1" applyFill="1" applyBorder="1"/>
    <xf numFmtId="185" fontId="42" fillId="3" borderId="81" xfId="0" applyNumberFormat="1" applyFont="1" applyFill="1" applyBorder="1"/>
    <xf numFmtId="186" fontId="42" fillId="3" borderId="81" xfId="0" applyNumberFormat="1" applyFont="1" applyFill="1" applyBorder="1"/>
    <xf numFmtId="0" fontId="55" fillId="13" borderId="3" xfId="0" applyFont="1" applyFill="1" applyBorder="1"/>
    <xf numFmtId="171" fontId="55" fillId="13" borderId="3" xfId="9" applyNumberFormat="1" applyFont="1" applyFill="1" applyBorder="1" applyAlignment="1">
      <alignment horizontal="center"/>
    </xf>
    <xf numFmtId="2" fontId="33" fillId="3" borderId="2" xfId="0" applyNumberFormat="1" applyFont="1" applyFill="1" applyBorder="1" applyAlignment="1">
      <alignment horizontal="center" vertical="center"/>
    </xf>
    <xf numFmtId="2" fontId="33" fillId="3" borderId="3" xfId="0" applyNumberFormat="1" applyFont="1" applyFill="1" applyBorder="1" applyAlignment="1">
      <alignment horizontal="center" vertical="center"/>
    </xf>
    <xf numFmtId="0" fontId="33" fillId="3" borderId="3" xfId="0" applyFont="1" applyFill="1" applyBorder="1"/>
    <xf numFmtId="171" fontId="33" fillId="3" borderId="21" xfId="9" applyNumberFormat="1" applyFont="1" applyFill="1" applyBorder="1" applyAlignment="1">
      <alignment horizontal="center"/>
    </xf>
    <xf numFmtId="0" fontId="55" fillId="13" borderId="0" xfId="0" applyFont="1" applyFill="1"/>
    <xf numFmtId="37" fontId="55" fillId="13" borderId="0" xfId="0" applyNumberFormat="1" applyFont="1" applyFill="1" applyAlignment="1">
      <alignment horizontal="center"/>
    </xf>
    <xf numFmtId="1" fontId="2" fillId="19" borderId="13" xfId="0" applyNumberFormat="1" applyFont="1" applyFill="1" applyBorder="1" applyAlignment="1">
      <alignment horizontal="center"/>
    </xf>
    <xf numFmtId="1" fontId="2" fillId="19" borderId="19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center" vertical="center"/>
    </xf>
    <xf numFmtId="168" fontId="8" fillId="2" borderId="0" xfId="0" applyNumberFormat="1" applyFont="1" applyFill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2" fontId="45" fillId="3" borderId="2" xfId="0" applyNumberFormat="1" applyFont="1" applyFill="1" applyBorder="1" applyAlignment="1">
      <alignment horizontal="center" vertical="center"/>
    </xf>
    <xf numFmtId="2" fontId="47" fillId="3" borderId="14" xfId="0" applyNumberFormat="1" applyFont="1" applyFill="1" applyBorder="1" applyAlignment="1">
      <alignment horizontal="center" vertical="center"/>
    </xf>
    <xf numFmtId="2" fontId="48" fillId="3" borderId="14" xfId="0" applyNumberFormat="1" applyFont="1" applyFill="1" applyBorder="1" applyAlignment="1">
      <alignment horizontal="center" vertical="center"/>
    </xf>
    <xf numFmtId="49" fontId="28" fillId="3" borderId="92" xfId="0" applyNumberFormat="1" applyFont="1" applyFill="1" applyBorder="1" applyAlignment="1">
      <alignment horizontal="center" vertical="center"/>
    </xf>
    <xf numFmtId="168" fontId="28" fillId="3" borderId="93" xfId="0" applyNumberFormat="1" applyFont="1" applyFill="1" applyBorder="1" applyAlignment="1">
      <alignment horizontal="center" vertical="center"/>
    </xf>
    <xf numFmtId="0" fontId="29" fillId="3" borderId="89" xfId="0" applyFont="1" applyFill="1" applyBorder="1" applyAlignment="1">
      <alignment horizontal="center" vertical="center"/>
    </xf>
    <xf numFmtId="2" fontId="45" fillId="3" borderId="83" xfId="0" applyNumberFormat="1" applyFont="1" applyFill="1" applyBorder="1" applyAlignment="1">
      <alignment horizontal="center" vertical="center"/>
    </xf>
    <xf numFmtId="2" fontId="45" fillId="3" borderId="86" xfId="0" applyNumberFormat="1" applyFont="1" applyFill="1" applyBorder="1" applyAlignment="1">
      <alignment horizontal="center" vertical="center"/>
    </xf>
    <xf numFmtId="1" fontId="22" fillId="20" borderId="86" xfId="0" applyNumberFormat="1" applyFont="1" applyFill="1" applyBorder="1" applyAlignment="1">
      <alignment horizontal="center" vertical="center"/>
    </xf>
    <xf numFmtId="172" fontId="22" fillId="3" borderId="86" xfId="0" applyNumberFormat="1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vertical="center"/>
    </xf>
    <xf numFmtId="0" fontId="42" fillId="3" borderId="0" xfId="0" applyFont="1" applyFill="1" applyAlignment="1">
      <alignment horizontal="center" vertical="center"/>
    </xf>
    <xf numFmtId="0" fontId="59" fillId="26" borderId="45" xfId="0" applyFont="1" applyFill="1" applyBorder="1" applyAlignment="1">
      <alignment horizontal="center" vertical="center"/>
    </xf>
    <xf numFmtId="0" fontId="59" fillId="26" borderId="0" xfId="0" applyFont="1" applyFill="1" applyAlignment="1">
      <alignment vertical="center"/>
    </xf>
    <xf numFmtId="0" fontId="59" fillId="26" borderId="0" xfId="0" applyFont="1" applyFill="1"/>
    <xf numFmtId="177" fontId="59" fillId="26" borderId="0" xfId="0" applyNumberFormat="1" applyFont="1" applyFill="1"/>
    <xf numFmtId="171" fontId="59" fillId="26" borderId="0" xfId="0" applyNumberFormat="1" applyFont="1" applyFill="1" applyAlignment="1">
      <alignment horizontal="center"/>
    </xf>
    <xf numFmtId="37" fontId="59" fillId="26" borderId="0" xfId="0" applyNumberFormat="1" applyFont="1" applyFill="1" applyAlignment="1">
      <alignment horizontal="center"/>
    </xf>
    <xf numFmtId="37" fontId="59" fillId="26" borderId="49" xfId="0" applyNumberFormat="1" applyFont="1" applyFill="1" applyBorder="1" applyAlignment="1">
      <alignment horizontal="center"/>
    </xf>
    <xf numFmtId="0" fontId="60" fillId="26" borderId="0" xfId="0" applyFont="1" applyFill="1" applyAlignment="1">
      <alignment horizontal="center"/>
    </xf>
    <xf numFmtId="187" fontId="59" fillId="26" borderId="0" xfId="0" applyNumberFormat="1" applyFont="1" applyFill="1" applyAlignment="1">
      <alignment horizontal="center" vertical="center"/>
    </xf>
    <xf numFmtId="187" fontId="59" fillId="26" borderId="49" xfId="0" applyNumberFormat="1" applyFont="1" applyFill="1" applyBorder="1" applyAlignment="1">
      <alignment horizontal="center" vertical="center"/>
    </xf>
    <xf numFmtId="10" fontId="59" fillId="26" borderId="0" xfId="9" applyNumberFormat="1" applyFont="1" applyFill="1" applyBorder="1" applyAlignment="1">
      <alignment horizontal="center"/>
    </xf>
    <xf numFmtId="0" fontId="59" fillId="26" borderId="0" xfId="0" applyFont="1" applyFill="1" applyAlignment="1">
      <alignment horizontal="center" vertical="center"/>
    </xf>
    <xf numFmtId="165" fontId="59" fillId="26" borderId="0" xfId="0" applyNumberFormat="1" applyFont="1" applyFill="1" applyAlignment="1">
      <alignment horizontal="center" vertical="center"/>
    </xf>
    <xf numFmtId="165" fontId="59" fillId="26" borderId="49" xfId="0" applyNumberFormat="1" applyFont="1" applyFill="1" applyBorder="1" applyAlignment="1">
      <alignment horizontal="center" vertical="center"/>
    </xf>
    <xf numFmtId="0" fontId="59" fillId="26" borderId="49" xfId="0" applyFont="1" applyFill="1" applyBorder="1" applyAlignment="1">
      <alignment vertical="center"/>
    </xf>
    <xf numFmtId="171" fontId="59" fillId="26" borderId="0" xfId="0" applyNumberFormat="1" applyFont="1" applyFill="1" applyAlignment="1">
      <alignment horizontal="center" vertical="center"/>
    </xf>
    <xf numFmtId="171" fontId="59" fillId="27" borderId="0" xfId="0" applyNumberFormat="1" applyFont="1" applyFill="1"/>
    <xf numFmtId="165" fontId="59" fillId="27" borderId="0" xfId="0" applyNumberFormat="1" applyFont="1" applyFill="1"/>
    <xf numFmtId="177" fontId="59" fillId="27" borderId="0" xfId="0" applyNumberFormat="1" applyFont="1" applyFill="1" applyAlignment="1">
      <alignment horizontal="center"/>
    </xf>
    <xf numFmtId="0" fontId="60" fillId="26" borderId="0" xfId="0" applyFont="1" applyFill="1"/>
    <xf numFmtId="171" fontId="60" fillId="26" borderId="0" xfId="9" applyNumberFormat="1" applyFont="1" applyFill="1" applyBorder="1" applyAlignment="1">
      <alignment horizontal="center"/>
    </xf>
    <xf numFmtId="1" fontId="59" fillId="26" borderId="0" xfId="0" applyNumberFormat="1" applyFont="1" applyFill="1" applyAlignment="1">
      <alignment horizontal="center" vertical="center"/>
    </xf>
    <xf numFmtId="37" fontId="60" fillId="26" borderId="0" xfId="0" applyNumberFormat="1" applyFont="1" applyFill="1" applyAlignment="1">
      <alignment horizontal="center"/>
    </xf>
    <xf numFmtId="165" fontId="59" fillId="27" borderId="0" xfId="2" applyFont="1" applyFill="1" applyBorder="1" applyAlignment="1" applyProtection="1">
      <alignment vertical="center"/>
    </xf>
    <xf numFmtId="177" fontId="59" fillId="27" borderId="0" xfId="2" applyNumberFormat="1" applyFont="1" applyFill="1" applyBorder="1" applyAlignment="1" applyProtection="1">
      <alignment vertical="center"/>
    </xf>
    <xf numFmtId="177" fontId="59" fillId="27" borderId="0" xfId="2" applyNumberFormat="1" applyFont="1" applyFill="1" applyBorder="1" applyAlignment="1" applyProtection="1">
      <alignment horizontal="center" vertical="center"/>
    </xf>
    <xf numFmtId="3" fontId="59" fillId="27" borderId="0" xfId="2" applyNumberFormat="1" applyFont="1" applyFill="1" applyBorder="1" applyAlignment="1" applyProtection="1">
      <alignment horizontal="center" vertical="center"/>
    </xf>
    <xf numFmtId="165" fontId="59" fillId="27" borderId="0" xfId="0" applyNumberFormat="1" applyFont="1" applyFill="1" applyAlignment="1">
      <alignment vertical="center"/>
    </xf>
    <xf numFmtId="3" fontId="59" fillId="27" borderId="0" xfId="0" applyNumberFormat="1" applyFont="1" applyFill="1" applyAlignment="1">
      <alignment horizontal="center" vertical="center"/>
    </xf>
    <xf numFmtId="177" fontId="59" fillId="27" borderId="0" xfId="0" applyNumberFormat="1" applyFont="1" applyFill="1" applyAlignment="1">
      <alignment vertical="center"/>
    </xf>
    <xf numFmtId="177" fontId="59" fillId="27" borderId="0" xfId="0" applyNumberFormat="1" applyFont="1" applyFill="1"/>
    <xf numFmtId="171" fontId="59" fillId="27" borderId="0" xfId="0" applyNumberFormat="1" applyFont="1" applyFill="1" applyAlignment="1">
      <alignment horizontal="center"/>
    </xf>
    <xf numFmtId="173" fontId="59" fillId="27" borderId="0" xfId="0" applyNumberFormat="1" applyFont="1" applyFill="1"/>
    <xf numFmtId="1" fontId="59" fillId="27" borderId="0" xfId="0" applyNumberFormat="1" applyFont="1" applyFill="1" applyAlignment="1">
      <alignment horizontal="center"/>
    </xf>
    <xf numFmtId="171" fontId="59" fillId="26" borderId="0" xfId="9" applyNumberFormat="1" applyFont="1" applyFill="1" applyBorder="1" applyAlignment="1">
      <alignment horizontal="center"/>
    </xf>
    <xf numFmtId="3" fontId="59" fillId="26" borderId="0" xfId="0" applyNumberFormat="1" applyFont="1" applyFill="1" applyAlignment="1">
      <alignment horizontal="center"/>
    </xf>
    <xf numFmtId="10" fontId="59" fillId="26" borderId="0" xfId="0" applyNumberFormat="1" applyFont="1" applyFill="1" applyAlignment="1">
      <alignment horizontal="center" vertical="center"/>
    </xf>
    <xf numFmtId="2" fontId="59" fillId="26" borderId="85" xfId="0" applyNumberFormat="1" applyFont="1" applyFill="1" applyBorder="1" applyAlignment="1">
      <alignment horizontal="center" vertical="center"/>
    </xf>
    <xf numFmtId="2" fontId="59" fillId="26" borderId="91" xfId="0" applyNumberFormat="1" applyFont="1" applyFill="1" applyBorder="1" applyAlignment="1">
      <alignment horizontal="center" vertical="center"/>
    </xf>
    <xf numFmtId="172" fontId="59" fillId="26" borderId="91" xfId="0" applyNumberFormat="1" applyFont="1" applyFill="1" applyBorder="1" applyAlignment="1">
      <alignment horizontal="center" vertical="center"/>
    </xf>
    <xf numFmtId="2" fontId="59" fillId="26" borderId="91" xfId="0" applyNumberFormat="1" applyFont="1" applyFill="1" applyBorder="1" applyAlignment="1">
      <alignment horizontal="center"/>
    </xf>
    <xf numFmtId="168" fontId="59" fillId="26" borderId="91" xfId="0" applyNumberFormat="1" applyFont="1" applyFill="1" applyBorder="1"/>
    <xf numFmtId="2" fontId="59" fillId="26" borderId="91" xfId="0" applyNumberFormat="1" applyFont="1" applyFill="1" applyBorder="1"/>
    <xf numFmtId="2" fontId="59" fillId="26" borderId="88" xfId="0" applyNumberFormat="1" applyFont="1" applyFill="1" applyBorder="1"/>
    <xf numFmtId="172" fontId="59" fillId="26" borderId="0" xfId="0" applyNumberFormat="1" applyFont="1" applyFill="1" applyAlignment="1">
      <alignment horizontal="center" vertical="center"/>
    </xf>
    <xf numFmtId="172" fontId="60" fillId="26" borderId="0" xfId="0" applyNumberFormat="1" applyFont="1" applyFill="1" applyAlignment="1">
      <alignment horizontal="center"/>
    </xf>
    <xf numFmtId="2" fontId="59" fillId="26" borderId="45" xfId="0" applyNumberFormat="1" applyFont="1" applyFill="1" applyBorder="1" applyAlignment="1">
      <alignment horizontal="center" vertical="center"/>
    </xf>
    <xf numFmtId="2" fontId="59" fillId="26" borderId="0" xfId="0" applyNumberFormat="1" applyFont="1" applyFill="1" applyAlignment="1">
      <alignment horizontal="center" vertical="center"/>
    </xf>
    <xf numFmtId="2" fontId="59" fillId="26" borderId="0" xfId="0" applyNumberFormat="1" applyFont="1" applyFill="1" applyAlignment="1">
      <alignment horizontal="center"/>
    </xf>
    <xf numFmtId="168" fontId="59" fillId="26" borderId="0" xfId="0" applyNumberFormat="1" applyFont="1" applyFill="1"/>
    <xf numFmtId="2" fontId="59" fillId="27" borderId="0" xfId="0" applyNumberFormat="1" applyFont="1" applyFill="1"/>
    <xf numFmtId="2" fontId="59" fillId="26" borderId="0" xfId="0" applyNumberFormat="1" applyFont="1" applyFill="1"/>
    <xf numFmtId="2" fontId="59" fillId="26" borderId="49" xfId="0" applyNumberFormat="1" applyFont="1" applyFill="1" applyBorder="1"/>
    <xf numFmtId="165" fontId="59" fillId="26" borderId="0" xfId="0" applyNumberFormat="1" applyFont="1" applyFill="1" applyAlignment="1">
      <alignment horizontal="center"/>
    </xf>
    <xf numFmtId="39" fontId="59" fillId="26" borderId="0" xfId="0" applyNumberFormat="1" applyFont="1" applyFill="1" applyAlignment="1">
      <alignment horizontal="center"/>
    </xf>
    <xf numFmtId="189" fontId="59" fillId="26" borderId="0" xfId="0" applyNumberFormat="1" applyFont="1" applyFill="1"/>
    <xf numFmtId="168" fontId="59" fillId="26" borderId="0" xfId="0" applyNumberFormat="1" applyFont="1" applyFill="1" applyAlignment="1">
      <alignment horizontal="center"/>
    </xf>
    <xf numFmtId="178" fontId="59" fillId="26" borderId="0" xfId="0" applyNumberFormat="1" applyFont="1" applyFill="1" applyAlignment="1">
      <alignment horizontal="center"/>
    </xf>
    <xf numFmtId="169" fontId="59" fillId="26" borderId="0" xfId="0" applyNumberFormat="1" applyFont="1" applyFill="1" applyAlignment="1">
      <alignment horizontal="center"/>
    </xf>
    <xf numFmtId="172" fontId="59" fillId="26" borderId="0" xfId="0" applyNumberFormat="1" applyFont="1" applyFill="1" applyAlignment="1">
      <alignment horizontal="center"/>
    </xf>
    <xf numFmtId="0" fontId="59" fillId="26" borderId="49" xfId="0" applyFont="1" applyFill="1" applyBorder="1"/>
    <xf numFmtId="4" fontId="59" fillId="26" borderId="0" xfId="0" applyNumberFormat="1" applyFont="1" applyFill="1" applyAlignment="1">
      <alignment horizontal="center"/>
    </xf>
    <xf numFmtId="172" fontId="60" fillId="26" borderId="49" xfId="0" applyNumberFormat="1" applyFont="1" applyFill="1" applyBorder="1" applyAlignment="1">
      <alignment horizontal="center"/>
    </xf>
    <xf numFmtId="172" fontId="59" fillId="26" borderId="88" xfId="0" applyNumberFormat="1" applyFont="1" applyFill="1" applyBorder="1" applyAlignment="1">
      <alignment horizontal="center" vertical="center"/>
    </xf>
    <xf numFmtId="0" fontId="59" fillId="26" borderId="45" xfId="0" applyFont="1" applyFill="1" applyBorder="1" applyAlignment="1">
      <alignment vertical="center"/>
    </xf>
    <xf numFmtId="172" fontId="59" fillId="26" borderId="49" xfId="0" applyNumberFormat="1" applyFont="1" applyFill="1" applyBorder="1" applyAlignment="1">
      <alignment horizontal="center" vertical="center"/>
    </xf>
    <xf numFmtId="2" fontId="60" fillId="26" borderId="0" xfId="0" applyNumberFormat="1" applyFont="1" applyFill="1" applyAlignment="1">
      <alignment horizontal="center"/>
    </xf>
    <xf numFmtId="2" fontId="59" fillId="26" borderId="0" xfId="0" applyNumberFormat="1" applyFont="1" applyFill="1" applyAlignment="1">
      <alignment vertical="center"/>
    </xf>
    <xf numFmtId="0" fontId="59" fillId="26" borderId="12" xfId="0" applyFont="1" applyFill="1" applyBorder="1" applyAlignment="1">
      <alignment vertical="center"/>
    </xf>
    <xf numFmtId="0" fontId="59" fillId="26" borderId="1" xfId="0" applyFont="1" applyFill="1" applyBorder="1" applyAlignment="1">
      <alignment vertical="center"/>
    </xf>
    <xf numFmtId="0" fontId="59" fillId="26" borderId="50" xfId="0" applyFont="1" applyFill="1" applyBorder="1" applyAlignment="1">
      <alignment vertical="center"/>
    </xf>
    <xf numFmtId="188" fontId="59" fillId="27" borderId="0" xfId="0" applyNumberFormat="1" applyFont="1" applyFill="1"/>
    <xf numFmtId="4" fontId="59" fillId="26" borderId="2" xfId="10" applyNumberFormat="1" applyFont="1" applyFill="1" applyBorder="1" applyAlignment="1">
      <alignment horizontal="center" vertical="center"/>
    </xf>
    <xf numFmtId="4" fontId="59" fillId="26" borderId="3" xfId="10" applyNumberFormat="1" applyFont="1" applyFill="1" applyBorder="1" applyAlignment="1">
      <alignment horizontal="center" vertical="center"/>
    </xf>
    <xf numFmtId="4" fontId="59" fillId="26" borderId="21" xfId="10" applyNumberFormat="1" applyFont="1" applyFill="1" applyBorder="1" applyAlignment="1">
      <alignment horizontal="center" vertical="center"/>
    </xf>
    <xf numFmtId="4" fontId="59" fillId="26" borderId="0" xfId="10" applyNumberFormat="1" applyFont="1" applyFill="1" applyBorder="1" applyAlignment="1">
      <alignment horizontal="center" vertical="center"/>
    </xf>
    <xf numFmtId="9" fontId="59" fillId="26" borderId="0" xfId="0" applyNumberFormat="1" applyFont="1" applyFill="1" applyAlignment="1">
      <alignment horizontal="center" vertical="center"/>
    </xf>
    <xf numFmtId="4" fontId="59" fillId="26" borderId="37" xfId="10" applyNumberFormat="1" applyFont="1" applyFill="1" applyBorder="1" applyAlignment="1">
      <alignment horizontal="center" vertical="center"/>
    </xf>
    <xf numFmtId="4" fontId="59" fillId="26" borderId="36" xfId="10" applyNumberFormat="1" applyFont="1" applyFill="1" applyBorder="1" applyAlignment="1">
      <alignment horizontal="center" vertical="center"/>
    </xf>
    <xf numFmtId="4" fontId="59" fillId="26" borderId="44" xfId="10" applyNumberFormat="1" applyFont="1" applyFill="1" applyBorder="1" applyAlignment="1">
      <alignment horizontal="center" vertical="center"/>
    </xf>
    <xf numFmtId="0" fontId="59" fillId="27" borderId="2" xfId="0" applyFont="1" applyFill="1" applyBorder="1" applyAlignment="1">
      <alignment horizontal="center" vertical="center"/>
    </xf>
    <xf numFmtId="0" fontId="59" fillId="27" borderId="3" xfId="0" applyFont="1" applyFill="1" applyBorder="1" applyAlignment="1">
      <alignment horizontal="center" vertical="center"/>
    </xf>
    <xf numFmtId="0" fontId="59" fillId="27" borderId="21" xfId="0" applyFont="1" applyFill="1" applyBorder="1" applyAlignment="1">
      <alignment horizontal="center" vertical="center"/>
    </xf>
    <xf numFmtId="2" fontId="59" fillId="27" borderId="2" xfId="0" applyNumberFormat="1" applyFont="1" applyFill="1" applyBorder="1" applyAlignment="1">
      <alignment horizontal="center" vertical="center"/>
    </xf>
    <xf numFmtId="2" fontId="59" fillId="27" borderId="3" xfId="0" applyNumberFormat="1" applyFont="1" applyFill="1" applyBorder="1" applyAlignment="1">
      <alignment horizontal="center" vertical="center"/>
    </xf>
    <xf numFmtId="0" fontId="59" fillId="27" borderId="2" xfId="0" applyFont="1" applyFill="1" applyBorder="1"/>
    <xf numFmtId="0" fontId="59" fillId="27" borderId="21" xfId="0" applyFont="1" applyFill="1" applyBorder="1"/>
    <xf numFmtId="2" fontId="59" fillId="27" borderId="3" xfId="0" applyNumberFormat="1" applyFont="1" applyFill="1" applyBorder="1" applyAlignment="1">
      <alignment horizontal="center"/>
    </xf>
    <xf numFmtId="2" fontId="59" fillId="27" borderId="3" xfId="0" applyNumberFormat="1" applyFont="1" applyFill="1" applyBorder="1"/>
    <xf numFmtId="1" fontId="59" fillId="27" borderId="3" xfId="0" applyNumberFormat="1" applyFont="1" applyFill="1" applyBorder="1" applyAlignment="1">
      <alignment horizontal="center"/>
    </xf>
    <xf numFmtId="1" fontId="59" fillId="27" borderId="21" xfId="0" applyNumberFormat="1" applyFont="1" applyFill="1" applyBorder="1" applyAlignment="1">
      <alignment horizontal="center"/>
    </xf>
    <xf numFmtId="168" fontId="59" fillId="26" borderId="2" xfId="0" applyNumberFormat="1" applyFont="1" applyFill="1" applyBorder="1"/>
    <xf numFmtId="168" fontId="59" fillId="26" borderId="3" xfId="0" applyNumberFormat="1" applyFont="1" applyFill="1" applyBorder="1"/>
    <xf numFmtId="168" fontId="59" fillId="26" borderId="21" xfId="0" applyNumberFormat="1" applyFont="1" applyFill="1" applyBorder="1"/>
    <xf numFmtId="0" fontId="59" fillId="26" borderId="0" xfId="0" applyFont="1" applyFill="1" applyAlignment="1">
      <alignment horizontal="left" vertical="center"/>
    </xf>
    <xf numFmtId="0" fontId="59" fillId="27" borderId="0" xfId="0" applyFont="1" applyFill="1" applyAlignment="1">
      <alignment horizontal="center" vertical="center"/>
    </xf>
    <xf numFmtId="2" fontId="59" fillId="27" borderId="0" xfId="0" applyNumberFormat="1" applyFont="1" applyFill="1" applyAlignment="1">
      <alignment horizontal="center"/>
    </xf>
    <xf numFmtId="10" fontId="59" fillId="27" borderId="0" xfId="0" applyNumberFormat="1" applyFont="1" applyFill="1" applyAlignment="1">
      <alignment horizontal="center"/>
    </xf>
    <xf numFmtId="166" fontId="59" fillId="27" borderId="0" xfId="0" applyNumberFormat="1" applyFont="1" applyFill="1" applyAlignment="1">
      <alignment horizontal="center"/>
    </xf>
    <xf numFmtId="171" fontId="59" fillId="27" borderId="0" xfId="0" applyNumberFormat="1" applyFont="1" applyFill="1" applyAlignment="1">
      <alignment horizontal="center" vertical="center"/>
    </xf>
    <xf numFmtId="168" fontId="59" fillId="27" borderId="0" xfId="0" applyNumberFormat="1" applyFont="1" applyFill="1" applyAlignment="1">
      <alignment horizontal="center"/>
    </xf>
    <xf numFmtId="168" fontId="59" fillId="27" borderId="0" xfId="0" applyNumberFormat="1" applyFont="1" applyFill="1"/>
    <xf numFmtId="171" fontId="59" fillId="27" borderId="0" xfId="9" applyNumberFormat="1" applyFont="1" applyFill="1" applyBorder="1" applyAlignment="1">
      <alignment horizontal="centerContinuous"/>
    </xf>
    <xf numFmtId="0" fontId="59" fillId="27" borderId="0" xfId="0" applyFont="1" applyFill="1" applyAlignment="1">
      <alignment horizontal="center"/>
    </xf>
    <xf numFmtId="172" fontId="59" fillId="27" borderId="0" xfId="0" applyNumberFormat="1" applyFont="1" applyFill="1" applyAlignment="1">
      <alignment horizontal="center"/>
    </xf>
    <xf numFmtId="1" fontId="59" fillId="27" borderId="0" xfId="0" applyNumberFormat="1" applyFont="1" applyFill="1" applyAlignment="1">
      <alignment horizontal="center" vertical="center"/>
    </xf>
    <xf numFmtId="0" fontId="60" fillId="27" borderId="0" xfId="0" applyFont="1" applyFill="1" applyAlignment="1">
      <alignment horizontal="center"/>
    </xf>
    <xf numFmtId="169" fontId="59" fillId="27" borderId="0" xfId="0" applyNumberFormat="1" applyFont="1" applyFill="1" applyAlignment="1">
      <alignment horizontal="center"/>
    </xf>
    <xf numFmtId="168" fontId="60" fillId="27" borderId="0" xfId="0" applyNumberFormat="1" applyFont="1" applyFill="1"/>
    <xf numFmtId="0" fontId="59" fillId="27" borderId="17" xfId="0" applyFont="1" applyFill="1" applyBorder="1"/>
    <xf numFmtId="0" fontId="59" fillId="26" borderId="14" xfId="0" applyFont="1" applyFill="1" applyBorder="1"/>
    <xf numFmtId="0" fontId="60" fillId="26" borderId="14" xfId="0" applyFont="1" applyFill="1" applyBorder="1" applyAlignment="1">
      <alignment horizontal="center"/>
    </xf>
    <xf numFmtId="172" fontId="60" fillId="27" borderId="14" xfId="0" applyNumberFormat="1" applyFont="1" applyFill="1" applyBorder="1" applyAlignment="1">
      <alignment horizontal="center"/>
    </xf>
    <xf numFmtId="0" fontId="59" fillId="26" borderId="23" xfId="0" applyFont="1" applyFill="1" applyBorder="1"/>
    <xf numFmtId="171" fontId="59" fillId="27" borderId="17" xfId="0" applyNumberFormat="1" applyFont="1" applyFill="1" applyBorder="1" applyAlignment="1" applyProtection="1">
      <alignment horizontal="center"/>
      <protection locked="0"/>
    </xf>
    <xf numFmtId="171" fontId="59" fillId="27" borderId="14" xfId="0" applyNumberFormat="1" applyFont="1" applyFill="1" applyBorder="1" applyAlignment="1" applyProtection="1">
      <alignment horizontal="center"/>
      <protection locked="0"/>
    </xf>
    <xf numFmtId="171" fontId="60" fillId="27" borderId="23" xfId="0" applyNumberFormat="1" applyFont="1" applyFill="1" applyBorder="1" applyAlignment="1" applyProtection="1">
      <alignment horizontal="center" textRotation="90"/>
      <protection locked="0"/>
    </xf>
    <xf numFmtId="0" fontId="59" fillId="27" borderId="23" xfId="0" applyFont="1" applyFill="1" applyBorder="1"/>
    <xf numFmtId="2" fontId="59" fillId="27" borderId="17" xfId="0" applyNumberFormat="1" applyFont="1" applyFill="1" applyBorder="1" applyAlignment="1">
      <alignment vertical="center"/>
    </xf>
    <xf numFmtId="0" fontId="59" fillId="26" borderId="14" xfId="0" applyFont="1" applyFill="1" applyBorder="1" applyAlignment="1">
      <alignment horizontal="center"/>
    </xf>
    <xf numFmtId="172" fontId="59" fillId="26" borderId="14" xfId="0" applyNumberFormat="1" applyFont="1" applyFill="1" applyBorder="1" applyAlignment="1">
      <alignment horizontal="center"/>
    </xf>
    <xf numFmtId="1" fontId="59" fillId="27" borderId="17" xfId="0" applyNumberFormat="1" applyFont="1" applyFill="1" applyBorder="1" applyAlignment="1">
      <alignment horizontal="center"/>
    </xf>
    <xf numFmtId="172" fontId="59" fillId="27" borderId="14" xfId="0" applyNumberFormat="1" applyFont="1" applyFill="1" applyBorder="1" applyAlignment="1">
      <alignment horizontal="center"/>
    </xf>
    <xf numFmtId="2" fontId="59" fillId="27" borderId="14" xfId="0" applyNumberFormat="1" applyFont="1" applyFill="1" applyBorder="1"/>
    <xf numFmtId="2" fontId="59" fillId="27" borderId="14" xfId="0" applyNumberFormat="1" applyFont="1" applyFill="1" applyBorder="1" applyAlignment="1">
      <alignment horizontal="center"/>
    </xf>
    <xf numFmtId="2" fontId="59" fillId="27" borderId="23" xfId="0" applyNumberFormat="1" applyFont="1" applyFill="1" applyBorder="1"/>
    <xf numFmtId="0" fontId="60" fillId="26" borderId="0" xfId="0" applyFont="1" applyFill="1" applyAlignment="1">
      <alignment vertical="center"/>
    </xf>
    <xf numFmtId="0" fontId="60" fillId="26" borderId="49" xfId="0" applyFont="1" applyFill="1" applyBorder="1" applyAlignment="1">
      <alignment vertical="center"/>
    </xf>
    <xf numFmtId="0" fontId="59" fillId="26" borderId="85" xfId="0" applyFont="1" applyFill="1" applyBorder="1" applyAlignment="1">
      <alignment horizontal="center" vertical="center"/>
    </xf>
    <xf numFmtId="0" fontId="60" fillId="26" borderId="12" xfId="0" applyFont="1" applyFill="1" applyBorder="1" applyAlignment="1">
      <alignment horizontal="center" vertical="center"/>
    </xf>
    <xf numFmtId="0" fontId="59" fillId="26" borderId="91" xfId="0" applyFont="1" applyFill="1" applyBorder="1" applyAlignment="1">
      <alignment vertical="center"/>
    </xf>
    <xf numFmtId="0" fontId="59" fillId="26" borderId="91" xfId="0" applyFont="1" applyFill="1" applyBorder="1"/>
    <xf numFmtId="171" fontId="59" fillId="26" borderId="91" xfId="0" applyNumberFormat="1" applyFont="1" applyFill="1" applyBorder="1" applyAlignment="1">
      <alignment horizontal="center"/>
    </xf>
    <xf numFmtId="171" fontId="59" fillId="26" borderId="91" xfId="9" applyNumberFormat="1" applyFont="1" applyFill="1" applyBorder="1" applyAlignment="1">
      <alignment horizontal="center"/>
    </xf>
    <xf numFmtId="171" fontId="59" fillId="26" borderId="88" xfId="0" applyNumberFormat="1" applyFont="1" applyFill="1" applyBorder="1" applyAlignment="1">
      <alignment horizontal="center"/>
    </xf>
    <xf numFmtId="0" fontId="20" fillId="26" borderId="0" xfId="0" applyFont="1" applyFill="1" applyAlignment="1">
      <alignment horizontal="center" vertical="center"/>
    </xf>
    <xf numFmtId="168" fontId="4" fillId="3" borderId="104" xfId="0" applyNumberFormat="1" applyFont="1" applyFill="1" applyBorder="1" applyAlignment="1">
      <alignment horizontal="left" vertical="center"/>
    </xf>
    <xf numFmtId="4" fontId="2" fillId="3" borderId="89" xfId="0" applyNumberFormat="1" applyFont="1" applyFill="1" applyBorder="1" applyAlignment="1">
      <alignment horizontal="center" vertical="center"/>
    </xf>
    <xf numFmtId="0" fontId="26" fillId="3" borderId="96" xfId="0" applyFont="1" applyFill="1" applyBorder="1" applyAlignment="1">
      <alignment horizontal="center" vertical="justify"/>
    </xf>
    <xf numFmtId="0" fontId="24" fillId="0" borderId="98" xfId="0" applyFont="1" applyBorder="1"/>
    <xf numFmtId="0" fontId="2" fillId="0" borderId="111" xfId="0" applyFont="1" applyBorder="1" applyAlignment="1">
      <alignment horizontal="left"/>
    </xf>
    <xf numFmtId="4" fontId="2" fillId="3" borderId="96" xfId="0" applyNumberFormat="1" applyFont="1" applyFill="1" applyBorder="1" applyAlignment="1">
      <alignment horizontal="center" vertical="center"/>
    </xf>
    <xf numFmtId="4" fontId="2" fillId="3" borderId="113" xfId="0" applyNumberFormat="1" applyFont="1" applyFill="1" applyBorder="1" applyAlignment="1">
      <alignment horizontal="center" vertical="center"/>
    </xf>
    <xf numFmtId="0" fontId="2" fillId="0" borderId="96" xfId="0" applyFont="1" applyBorder="1"/>
    <xf numFmtId="1" fontId="2" fillId="20" borderId="96" xfId="0" applyNumberFormat="1" applyFont="1" applyFill="1" applyBorder="1" applyAlignment="1">
      <alignment horizontal="center"/>
    </xf>
    <xf numFmtId="1" fontId="2" fillId="20" borderId="97" xfId="0" applyNumberFormat="1" applyFont="1" applyFill="1" applyBorder="1" applyAlignment="1">
      <alignment horizontal="center"/>
    </xf>
    <xf numFmtId="0" fontId="5" fillId="0" borderId="96" xfId="0" applyFont="1" applyBorder="1" applyAlignment="1">
      <alignment horizontal="center" vertical="center" wrapText="1"/>
    </xf>
    <xf numFmtId="0" fontId="2" fillId="3" borderId="104" xfId="0" applyFont="1" applyFill="1" applyBorder="1" applyAlignment="1">
      <alignment horizontal="left"/>
    </xf>
    <xf numFmtId="0" fontId="9" fillId="20" borderId="104" xfId="0" applyFont="1" applyFill="1" applyBorder="1" applyAlignment="1">
      <alignment horizontal="center"/>
    </xf>
    <xf numFmtId="0" fontId="4" fillId="0" borderId="104" xfId="0" applyFont="1" applyBorder="1" applyAlignment="1">
      <alignment horizontal="left"/>
    </xf>
    <xf numFmtId="1" fontId="2" fillId="20" borderId="104" xfId="0" applyNumberFormat="1" applyFont="1" applyFill="1" applyBorder="1" applyAlignment="1" applyProtection="1">
      <alignment horizontal="center"/>
      <protection locked="0"/>
    </xf>
    <xf numFmtId="0" fontId="4" fillId="0" borderId="104" xfId="0" applyFont="1" applyBorder="1"/>
    <xf numFmtId="171" fontId="4" fillId="20" borderId="104" xfId="0" applyNumberFormat="1" applyFont="1" applyFill="1" applyBorder="1" applyAlignment="1">
      <alignment horizontal="center"/>
    </xf>
    <xf numFmtId="3" fontId="2" fillId="20" borderId="105" xfId="0" applyNumberFormat="1" applyFont="1" applyFill="1" applyBorder="1" applyAlignment="1" applyProtection="1">
      <alignment horizontal="center"/>
      <protection locked="0"/>
    </xf>
    <xf numFmtId="1" fontId="9" fillId="19" borderId="106" xfId="0" applyNumberFormat="1" applyFont="1" applyFill="1" applyBorder="1" applyAlignment="1" applyProtection="1">
      <alignment horizontal="center"/>
      <protection locked="0"/>
    </xf>
    <xf numFmtId="0" fontId="7" fillId="20" borderId="122" xfId="0" applyFont="1" applyFill="1" applyBorder="1"/>
    <xf numFmtId="20" fontId="7" fillId="15" borderId="104" xfId="0" applyNumberFormat="1" applyFont="1" applyFill="1" applyBorder="1" applyAlignment="1">
      <alignment horizontal="center"/>
    </xf>
    <xf numFmtId="2" fontId="4" fillId="19" borderId="104" xfId="0" applyNumberFormat="1" applyFont="1" applyFill="1" applyBorder="1" applyAlignment="1">
      <alignment horizontal="center"/>
    </xf>
    <xf numFmtId="0" fontId="4" fillId="20" borderId="104" xfId="0" applyFont="1" applyFill="1" applyBorder="1"/>
    <xf numFmtId="0" fontId="4" fillId="20" borderId="123" xfId="0" applyFont="1" applyFill="1" applyBorder="1"/>
    <xf numFmtId="0" fontId="2" fillId="0" borderId="104" xfId="0" applyFont="1" applyBorder="1"/>
    <xf numFmtId="2" fontId="2" fillId="19" borderId="104" xfId="2" applyNumberFormat="1" applyFont="1" applyFill="1" applyBorder="1" applyAlignment="1">
      <alignment horizontal="center"/>
    </xf>
    <xf numFmtId="2" fontId="2" fillId="19" borderId="105" xfId="2" applyNumberFormat="1" applyFont="1" applyFill="1" applyBorder="1" applyAlignment="1">
      <alignment horizontal="center"/>
    </xf>
    <xf numFmtId="0" fontId="4" fillId="3" borderId="104" xfId="0" applyFont="1" applyFill="1" applyBorder="1" applyAlignment="1">
      <alignment horizontal="center" vertical="center" wrapText="1"/>
    </xf>
    <xf numFmtId="172" fontId="4" fillId="20" borderId="104" xfId="0" applyNumberFormat="1" applyFont="1" applyFill="1" applyBorder="1" applyAlignment="1">
      <alignment horizontal="center" vertical="center" wrapText="1"/>
    </xf>
    <xf numFmtId="172" fontId="4" fillId="20" borderId="123" xfId="0" applyNumberFormat="1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left"/>
    </xf>
    <xf numFmtId="186" fontId="37" fillId="3" borderId="0" xfId="0" applyNumberFormat="1" applyFont="1" applyFill="1" applyAlignment="1">
      <alignment horizontal="left"/>
    </xf>
    <xf numFmtId="168" fontId="61" fillId="3" borderId="89" xfId="0" applyNumberFormat="1" applyFont="1" applyFill="1" applyBorder="1" applyAlignment="1">
      <alignment horizontal="center" vertical="center"/>
    </xf>
    <xf numFmtId="14" fontId="28" fillId="20" borderId="43" xfId="0" applyNumberFormat="1" applyFont="1" applyFill="1" applyBorder="1" applyAlignment="1">
      <alignment horizontal="center" vertical="center"/>
    </xf>
    <xf numFmtId="0" fontId="7" fillId="25" borderId="0" xfId="0" applyFont="1" applyFill="1" applyAlignment="1">
      <alignment horizontal="center"/>
    </xf>
    <xf numFmtId="0" fontId="55" fillId="3" borderId="0" xfId="0" applyFont="1" applyFill="1"/>
    <xf numFmtId="172" fontId="7" fillId="3" borderId="0" xfId="0" applyNumberFormat="1" applyFont="1" applyFill="1" applyAlignment="1">
      <alignment horizontal="center" vertical="center"/>
    </xf>
    <xf numFmtId="184" fontId="62" fillId="3" borderId="10" xfId="0" applyNumberFormat="1" applyFont="1" applyFill="1" applyBorder="1"/>
    <xf numFmtId="185" fontId="62" fillId="3" borderId="81" xfId="0" applyNumberFormat="1" applyFont="1" applyFill="1" applyBorder="1"/>
    <xf numFmtId="0" fontId="7" fillId="20" borderId="86" xfId="0" applyFont="1" applyFill="1" applyBorder="1" applyAlignment="1">
      <alignment horizontal="center"/>
    </xf>
    <xf numFmtId="0" fontId="24" fillId="0" borderId="127" xfId="0" applyFont="1" applyBorder="1" applyAlignment="1">
      <alignment horizontal="center"/>
    </xf>
    <xf numFmtId="0" fontId="55" fillId="0" borderId="0" xfId="0" applyFont="1" applyAlignment="1">
      <alignment horizontal="center"/>
    </xf>
    <xf numFmtId="1" fontId="2" fillId="20" borderId="59" xfId="7" applyNumberFormat="1" applyFont="1" applyFill="1" applyBorder="1" applyAlignment="1">
      <alignment horizontal="center"/>
    </xf>
    <xf numFmtId="1" fontId="2" fillId="3" borderId="59" xfId="7" applyNumberFormat="1" applyFont="1" applyFill="1" applyBorder="1" applyAlignment="1">
      <alignment horizontal="center"/>
    </xf>
    <xf numFmtId="0" fontId="2" fillId="3" borderId="59" xfId="7" applyFont="1" applyFill="1" applyBorder="1" applyAlignment="1">
      <alignment horizontal="center"/>
    </xf>
    <xf numFmtId="0" fontId="7" fillId="0" borderId="109" xfId="0" applyFont="1" applyBorder="1"/>
    <xf numFmtId="168" fontId="42" fillId="0" borderId="96" xfId="0" applyNumberFormat="1" applyFont="1" applyBorder="1" applyAlignment="1">
      <alignment horizontal="center"/>
    </xf>
    <xf numFmtId="171" fontId="42" fillId="0" borderId="96" xfId="0" applyNumberFormat="1" applyFont="1" applyBorder="1" applyAlignment="1">
      <alignment horizontal="center"/>
    </xf>
    <xf numFmtId="168" fontId="9" fillId="3" borderId="96" xfId="0" applyNumberFormat="1" applyFont="1" applyFill="1" applyBorder="1" applyAlignment="1">
      <alignment horizontal="center"/>
    </xf>
    <xf numFmtId="14" fontId="2" fillId="3" borderId="96" xfId="0" applyNumberFormat="1" applyFont="1" applyFill="1" applyBorder="1" applyAlignment="1">
      <alignment horizontal="center"/>
    </xf>
    <xf numFmtId="168" fontId="9" fillId="3" borderId="111" xfId="0" applyNumberFormat="1" applyFont="1" applyFill="1" applyBorder="1" applyAlignment="1">
      <alignment horizontal="center"/>
    </xf>
    <xf numFmtId="168" fontId="42" fillId="17" borderId="96" xfId="0" applyNumberFormat="1" applyFont="1" applyFill="1" applyBorder="1" applyAlignment="1">
      <alignment horizontal="center"/>
    </xf>
    <xf numFmtId="172" fontId="42" fillId="17" borderId="96" xfId="0" applyNumberFormat="1" applyFont="1" applyFill="1" applyBorder="1" applyAlignment="1">
      <alignment horizontal="center"/>
    </xf>
    <xf numFmtId="1" fontId="42" fillId="17" borderId="96" xfId="0" applyNumberFormat="1" applyFont="1" applyFill="1" applyBorder="1" applyAlignment="1">
      <alignment horizontal="center"/>
    </xf>
    <xf numFmtId="172" fontId="42" fillId="17" borderId="97" xfId="0" applyNumberFormat="1" applyFont="1" applyFill="1" applyBorder="1" applyAlignment="1">
      <alignment horizontal="center"/>
    </xf>
    <xf numFmtId="172" fontId="42" fillId="17" borderId="99" xfId="0" applyNumberFormat="1" applyFont="1" applyFill="1" applyBorder="1" applyAlignment="1">
      <alignment horizontal="center"/>
    </xf>
    <xf numFmtId="1" fontId="42" fillId="0" borderId="104" xfId="0" applyNumberFormat="1" applyFont="1" applyBorder="1" applyAlignment="1">
      <alignment horizontal="center"/>
    </xf>
    <xf numFmtId="0" fontId="42" fillId="0" borderId="104" xfId="0" applyFont="1" applyBorder="1"/>
    <xf numFmtId="168" fontId="42" fillId="0" borderId="104" xfId="0" applyNumberFormat="1" applyFont="1" applyBorder="1" applyAlignment="1">
      <alignment horizontal="center"/>
    </xf>
    <xf numFmtId="168" fontId="9" fillId="0" borderId="122" xfId="0" applyNumberFormat="1" applyFont="1" applyBorder="1" applyAlignment="1">
      <alignment horizontal="center"/>
    </xf>
    <xf numFmtId="0" fontId="42" fillId="17" borderId="104" xfId="0" applyFont="1" applyFill="1" applyBorder="1"/>
    <xf numFmtId="0" fontId="42" fillId="17" borderId="105" xfId="0" applyFont="1" applyFill="1" applyBorder="1"/>
    <xf numFmtId="0" fontId="42" fillId="17" borderId="107" xfId="0" applyFont="1" applyFill="1" applyBorder="1"/>
    <xf numFmtId="171" fontId="4" fillId="20" borderId="104" xfId="0" applyNumberFormat="1" applyFont="1" applyFill="1" applyBorder="1" applyAlignment="1">
      <alignment horizontal="center" vertical="center"/>
    </xf>
    <xf numFmtId="2" fontId="9" fillId="0" borderId="111" xfId="0" applyNumberFormat="1" applyFont="1" applyBorder="1" applyAlignment="1">
      <alignment horizontal="center"/>
    </xf>
    <xf numFmtId="2" fontId="9" fillId="0" borderId="122" xfId="0" applyNumberFormat="1" applyFont="1" applyBorder="1" applyAlignment="1">
      <alignment horizontal="center"/>
    </xf>
    <xf numFmtId="0" fontId="45" fillId="0" borderId="132" xfId="14" applyFont="1" applyBorder="1" applyAlignment="1">
      <alignment horizontal="center" vertical="center" shrinkToFit="1"/>
    </xf>
    <xf numFmtId="0" fontId="45" fillId="0" borderId="132" xfId="14" applyFont="1" applyBorder="1" applyAlignment="1">
      <alignment horizontal="center" vertical="center"/>
    </xf>
    <xf numFmtId="0" fontId="45" fillId="0" borderId="21" xfId="14" applyFont="1" applyBorder="1" applyAlignment="1">
      <alignment horizontal="center" vertical="center"/>
    </xf>
    <xf numFmtId="49" fontId="45" fillId="0" borderId="132" xfId="14" applyNumberFormat="1" applyFont="1" applyBorder="1" applyAlignment="1">
      <alignment horizontal="center" vertical="center"/>
    </xf>
    <xf numFmtId="1" fontId="22" fillId="0" borderId="132" xfId="14" applyNumberFormat="1" applyFont="1" applyBorder="1" applyAlignment="1" applyProtection="1">
      <alignment horizontal="center" vertical="center"/>
      <protection locked="0" hidden="1"/>
    </xf>
    <xf numFmtId="14" fontId="22" fillId="0" borderId="132" xfId="14" applyNumberFormat="1" applyFont="1" applyBorder="1" applyAlignment="1" applyProtection="1">
      <alignment horizontal="center" vertical="center"/>
      <protection locked="0" hidden="1"/>
    </xf>
    <xf numFmtId="172" fontId="22" fillId="0" borderId="132" xfId="14" applyNumberFormat="1" applyFont="1" applyBorder="1" applyAlignment="1" applyProtection="1">
      <alignment horizontal="center" vertical="center"/>
      <protection locked="0" hidden="1"/>
    </xf>
    <xf numFmtId="172" fontId="22" fillId="0" borderId="132" xfId="14" applyNumberFormat="1" applyFont="1" applyBorder="1" applyAlignment="1" applyProtection="1">
      <alignment horizontal="center" vertical="center"/>
      <protection hidden="1"/>
    </xf>
    <xf numFmtId="183" fontId="22" fillId="0" borderId="132" xfId="14" applyNumberFormat="1" applyFont="1" applyBorder="1" applyAlignment="1" applyProtection="1">
      <alignment horizontal="center" vertical="center"/>
      <protection hidden="1"/>
    </xf>
    <xf numFmtId="3" fontId="22" fillId="0" borderId="132" xfId="14" applyNumberFormat="1" applyFont="1" applyBorder="1" applyAlignment="1" applyProtection="1">
      <alignment horizontal="center" vertical="center"/>
      <protection hidden="1"/>
    </xf>
    <xf numFmtId="4" fontId="22" fillId="0" borderId="132" xfId="14" applyNumberFormat="1" applyFont="1" applyBorder="1" applyAlignment="1" applyProtection="1">
      <alignment horizontal="center" vertical="center"/>
      <protection hidden="1"/>
    </xf>
    <xf numFmtId="14" fontId="22" fillId="0" borderId="132" xfId="14" applyNumberFormat="1" applyFont="1" applyBorder="1" applyAlignment="1" applyProtection="1">
      <alignment horizontal="center" vertical="center"/>
      <protection hidden="1"/>
    </xf>
    <xf numFmtId="183" fontId="22" fillId="0" borderId="132" xfId="14" applyNumberFormat="1" applyFont="1" applyBorder="1" applyAlignment="1" applyProtection="1">
      <alignment horizontal="center" vertical="center"/>
      <protection locked="0" hidden="1"/>
    </xf>
    <xf numFmtId="0" fontId="65" fillId="0" borderId="0" xfId="14" applyFont="1" applyAlignment="1">
      <alignment horizontal="center" vertical="center"/>
    </xf>
    <xf numFmtId="168" fontId="45" fillId="28" borderId="132" xfId="0" applyNumberFormat="1" applyFont="1" applyFill="1" applyBorder="1" applyAlignment="1">
      <alignment horizontal="center" vertical="center"/>
    </xf>
    <xf numFmtId="168" fontId="45" fillId="20" borderId="132" xfId="0" applyNumberFormat="1" applyFont="1" applyFill="1" applyBorder="1" applyAlignment="1">
      <alignment horizontal="center" vertical="center"/>
    </xf>
    <xf numFmtId="0" fontId="22" fillId="0" borderId="0" xfId="14" applyFont="1" applyAlignment="1">
      <alignment horizontal="center" vertical="center"/>
    </xf>
    <xf numFmtId="0" fontId="22" fillId="0" borderId="132" xfId="14" applyFont="1" applyBorder="1" applyAlignment="1" applyProtection="1">
      <alignment horizontal="center" vertical="center"/>
      <protection hidden="1"/>
    </xf>
    <xf numFmtId="2" fontId="22" fillId="0" borderId="132" xfId="14" applyNumberFormat="1" applyFont="1" applyBorder="1" applyAlignment="1" applyProtection="1">
      <alignment horizontal="center" vertical="center"/>
      <protection hidden="1"/>
    </xf>
    <xf numFmtId="0" fontId="22" fillId="0" borderId="132" xfId="14" applyFont="1" applyBorder="1" applyAlignment="1">
      <alignment horizontal="center" vertical="center"/>
    </xf>
    <xf numFmtId="172" fontId="22" fillId="0" borderId="132" xfId="14" applyNumberFormat="1" applyFont="1" applyBorder="1" applyAlignment="1">
      <alignment horizontal="center" vertical="center"/>
    </xf>
    <xf numFmtId="1" fontId="22" fillId="0" borderId="132" xfId="14" applyNumberFormat="1" applyFont="1" applyBorder="1" applyAlignment="1">
      <alignment horizontal="center" vertical="center"/>
    </xf>
    <xf numFmtId="49" fontId="66" fillId="0" borderId="132" xfId="14" applyNumberFormat="1" applyFont="1" applyBorder="1" applyAlignment="1">
      <alignment horizontal="center" vertical="center"/>
    </xf>
    <xf numFmtId="0" fontId="66" fillId="0" borderId="132" xfId="14" applyFont="1" applyBorder="1" applyAlignment="1">
      <alignment horizontal="center" vertical="center"/>
    </xf>
    <xf numFmtId="2" fontId="22" fillId="0" borderId="132" xfId="14" applyNumberFormat="1" applyFont="1" applyBorder="1" applyAlignment="1">
      <alignment horizontal="center" vertical="center"/>
    </xf>
    <xf numFmtId="183" fontId="22" fillId="0" borderId="132" xfId="14" applyNumberFormat="1" applyFont="1" applyBorder="1" applyAlignment="1">
      <alignment horizontal="center" vertical="center"/>
    </xf>
    <xf numFmtId="3" fontId="22" fillId="0" borderId="132" xfId="14" applyNumberFormat="1" applyFont="1" applyBorder="1" applyAlignment="1">
      <alignment horizontal="center" vertical="center"/>
    </xf>
    <xf numFmtId="4" fontId="22" fillId="0" borderId="132" xfId="14" applyNumberFormat="1" applyFont="1" applyBorder="1" applyAlignment="1">
      <alignment horizontal="center" vertical="center"/>
    </xf>
    <xf numFmtId="0" fontId="22" fillId="0" borderId="0" xfId="14" applyFont="1" applyAlignment="1">
      <alignment vertical="center"/>
    </xf>
    <xf numFmtId="2" fontId="2" fillId="0" borderId="35" xfId="10" applyNumberFormat="1" applyFont="1" applyBorder="1" applyAlignment="1">
      <alignment horizontal="center" vertical="center"/>
    </xf>
    <xf numFmtId="184" fontId="42" fillId="3" borderId="9" xfId="0" applyNumberFormat="1" applyFont="1" applyFill="1" applyBorder="1"/>
    <xf numFmtId="1" fontId="22" fillId="0" borderId="132" xfId="14" applyNumberFormat="1" applyFont="1" applyBorder="1" applyAlignment="1" applyProtection="1">
      <alignment horizontal="center" vertical="center"/>
      <protection hidden="1"/>
    </xf>
    <xf numFmtId="3" fontId="7" fillId="3" borderId="0" xfId="0" applyNumberFormat="1" applyFont="1" applyFill="1" applyAlignment="1">
      <alignment vertical="center"/>
    </xf>
    <xf numFmtId="1" fontId="3" fillId="20" borderId="85" xfId="0" applyNumberFormat="1" applyFont="1" applyFill="1" applyBorder="1" applyAlignment="1">
      <alignment horizontal="center"/>
    </xf>
    <xf numFmtId="171" fontId="67" fillId="3" borderId="0" xfId="0" applyNumberFormat="1" applyFont="1" applyFill="1" applyAlignment="1">
      <alignment vertical="center"/>
    </xf>
    <xf numFmtId="0" fontId="67" fillId="3" borderId="0" xfId="0" applyFont="1" applyFill="1" applyAlignment="1">
      <alignment vertical="center"/>
    </xf>
    <xf numFmtId="3" fontId="67" fillId="3" borderId="0" xfId="0" applyNumberFormat="1" applyFont="1" applyFill="1" applyAlignment="1">
      <alignment vertical="center"/>
    </xf>
    <xf numFmtId="1" fontId="67" fillId="3" borderId="0" xfId="0" applyNumberFormat="1" applyFont="1" applyFill="1" applyAlignment="1">
      <alignment vertical="center"/>
    </xf>
    <xf numFmtId="0" fontId="22" fillId="0" borderId="132" xfId="17" applyNumberFormat="1" applyFont="1" applyBorder="1" applyAlignment="1" applyProtection="1">
      <alignment horizontal="center" vertical="center"/>
      <protection hidden="1"/>
    </xf>
    <xf numFmtId="2" fontId="33" fillId="9" borderId="8" xfId="0" applyNumberFormat="1" applyFont="1" applyFill="1" applyBorder="1" applyAlignment="1">
      <alignment horizontal="center" vertical="center"/>
    </xf>
    <xf numFmtId="169" fontId="2" fillId="3" borderId="59" xfId="7" applyNumberFormat="1" applyFont="1" applyFill="1" applyBorder="1" applyAlignment="1">
      <alignment horizontal="center"/>
    </xf>
    <xf numFmtId="191" fontId="22" fillId="0" borderId="132" xfId="14" applyNumberFormat="1" applyFont="1" applyBorder="1" applyAlignment="1" applyProtection="1">
      <alignment horizontal="center" vertical="center"/>
      <protection locked="0" hidden="1"/>
    </xf>
    <xf numFmtId="171" fontId="2" fillId="3" borderId="0" xfId="7" applyNumberFormat="1" applyFont="1" applyFill="1"/>
    <xf numFmtId="1" fontId="2" fillId="3" borderId="0" xfId="7" applyNumberFormat="1" applyFont="1" applyFill="1"/>
    <xf numFmtId="171" fontId="2" fillId="3" borderId="0" xfId="9" applyNumberFormat="1" applyFont="1" applyFill="1"/>
    <xf numFmtId="169" fontId="2" fillId="3" borderId="0" xfId="7" applyNumberFormat="1" applyFont="1" applyFill="1"/>
    <xf numFmtId="169" fontId="22" fillId="0" borderId="132" xfId="14" applyNumberFormat="1" applyFont="1" applyBorder="1" applyAlignment="1">
      <alignment horizontal="center" vertical="center"/>
    </xf>
    <xf numFmtId="191" fontId="22" fillId="0" borderId="132" xfId="14" applyNumberFormat="1" applyFont="1" applyBorder="1" applyAlignment="1">
      <alignment horizontal="center" vertical="center"/>
    </xf>
    <xf numFmtId="1" fontId="5" fillId="3" borderId="81" xfId="0" applyNumberFormat="1" applyFont="1" applyFill="1" applyBorder="1" applyAlignment="1">
      <alignment vertical="center"/>
    </xf>
    <xf numFmtId="1" fontId="5" fillId="3" borderId="82" xfId="0" applyNumberFormat="1" applyFont="1" applyFill="1" applyBorder="1" applyAlignment="1">
      <alignment vertical="center"/>
    </xf>
    <xf numFmtId="0" fontId="42" fillId="0" borderId="81" xfId="0" applyFont="1" applyBorder="1"/>
    <xf numFmtId="0" fontId="42" fillId="0" borderId="82" xfId="0" applyFont="1" applyBorder="1"/>
    <xf numFmtId="0" fontId="22" fillId="0" borderId="91" xfId="0" applyFont="1" applyBorder="1" applyAlignment="1">
      <alignment vertical="top" wrapText="1"/>
    </xf>
    <xf numFmtId="0" fontId="22" fillId="0" borderId="136" xfId="0" applyFont="1" applyBorder="1" applyAlignment="1">
      <alignment vertical="top" wrapText="1"/>
    </xf>
    <xf numFmtId="0" fontId="22" fillId="0" borderId="109" xfId="0" applyFont="1" applyBorder="1" applyAlignment="1">
      <alignment vertical="top" wrapText="1"/>
    </xf>
    <xf numFmtId="0" fontId="22" fillId="0" borderId="137" xfId="0" applyFont="1" applyBorder="1" applyAlignment="1">
      <alignment vertical="top" wrapText="1"/>
    </xf>
    <xf numFmtId="0" fontId="42" fillId="0" borderId="91" xfId="0" applyFont="1" applyBorder="1" applyAlignment="1">
      <alignment vertical="top"/>
    </xf>
    <xf numFmtId="0" fontId="53" fillId="20" borderId="0" xfId="11" applyFont="1" applyFill="1" applyAlignment="1">
      <alignment horizontal="center"/>
    </xf>
    <xf numFmtId="0" fontId="53" fillId="20" borderId="66" xfId="11" applyFont="1" applyFill="1" applyBorder="1" applyAlignment="1">
      <alignment horizontal="center"/>
    </xf>
    <xf numFmtId="0" fontId="22" fillId="0" borderId="34" xfId="14" applyFont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9" xfId="0" applyFont="1" applyFill="1" applyBorder="1" applyAlignment="1">
      <alignment horizontal="left" vertical="center"/>
    </xf>
    <xf numFmtId="0" fontId="53" fillId="3" borderId="74" xfId="11" applyFont="1" applyFill="1" applyBorder="1"/>
    <xf numFmtId="0" fontId="1" fillId="0" borderId="0" xfId="16"/>
    <xf numFmtId="171" fontId="7" fillId="3" borderId="0" xfId="0" applyNumberFormat="1" applyFont="1" applyFill="1" applyAlignment="1">
      <alignment vertical="center"/>
    </xf>
    <xf numFmtId="4" fontId="74" fillId="0" borderId="148" xfId="0" applyNumberFormat="1" applyFont="1" applyBorder="1" applyAlignment="1" applyProtection="1">
      <alignment horizontal="center" vertical="center"/>
      <protection hidden="1"/>
    </xf>
    <xf numFmtId="2" fontId="72" fillId="25" borderId="147" xfId="16" applyNumberFormat="1" applyFont="1" applyFill="1" applyBorder="1" applyAlignment="1">
      <alignment horizontal="center"/>
    </xf>
    <xf numFmtId="0" fontId="72" fillId="25" borderId="147" xfId="16" applyFont="1" applyFill="1" applyBorder="1" applyAlignment="1">
      <alignment horizontal="center"/>
    </xf>
    <xf numFmtId="2" fontId="72" fillId="29" borderId="147" xfId="16" applyNumberFormat="1" applyFont="1" applyFill="1" applyBorder="1" applyAlignment="1">
      <alignment horizontal="center"/>
    </xf>
    <xf numFmtId="0" fontId="72" fillId="29" borderId="147" xfId="16" applyFont="1" applyFill="1" applyBorder="1" applyAlignment="1">
      <alignment horizontal="center"/>
    </xf>
    <xf numFmtId="0" fontId="45" fillId="0" borderId="32" xfId="14" applyFont="1" applyBorder="1" applyAlignment="1">
      <alignment horizontal="center" vertical="center"/>
    </xf>
    <xf numFmtId="169" fontId="42" fillId="0" borderId="104" xfId="0" applyNumberFormat="1" applyFont="1" applyBorder="1" applyAlignment="1">
      <alignment horizontal="center"/>
    </xf>
    <xf numFmtId="169" fontId="42" fillId="17" borderId="96" xfId="0" applyNumberFormat="1" applyFont="1" applyFill="1" applyBorder="1" applyAlignment="1">
      <alignment horizontal="center"/>
    </xf>
    <xf numFmtId="169" fontId="42" fillId="17" borderId="104" xfId="0" applyNumberFormat="1" applyFont="1" applyFill="1" applyBorder="1"/>
    <xf numFmtId="2" fontId="42" fillId="17" borderId="97" xfId="0" applyNumberFormat="1" applyFont="1" applyFill="1" applyBorder="1" applyAlignment="1">
      <alignment horizontal="center"/>
    </xf>
    <xf numFmtId="171" fontId="3" fillId="3" borderId="89" xfId="0" applyNumberFormat="1" applyFont="1" applyFill="1" applyBorder="1" applyAlignment="1">
      <alignment horizontal="center" vertical="center"/>
    </xf>
    <xf numFmtId="177" fontId="2" fillId="3" borderId="55" xfId="7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2" fillId="3" borderId="86" xfId="0" applyFont="1" applyFill="1" applyBorder="1" applyAlignment="1">
      <alignment horizontal="center" vertical="center"/>
    </xf>
    <xf numFmtId="3" fontId="3" fillId="3" borderId="86" xfId="0" applyNumberFormat="1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vertical="center"/>
    </xf>
    <xf numFmtId="0" fontId="4" fillId="3" borderId="33" xfId="0" applyFont="1" applyFill="1" applyBorder="1" applyAlignment="1">
      <alignment vertical="center"/>
    </xf>
    <xf numFmtId="0" fontId="28" fillId="3" borderId="150" xfId="0" applyFont="1" applyFill="1" applyBorder="1" applyAlignment="1">
      <alignment vertical="center"/>
    </xf>
    <xf numFmtId="0" fontId="2" fillId="3" borderId="32" xfId="0" applyFont="1" applyFill="1" applyBorder="1" applyAlignment="1">
      <alignment vertical="center"/>
    </xf>
    <xf numFmtId="0" fontId="2" fillId="3" borderId="34" xfId="0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4" fillId="20" borderId="97" xfId="7" applyFont="1" applyFill="1" applyBorder="1"/>
    <xf numFmtId="0" fontId="4" fillId="20" borderId="96" xfId="0" applyFont="1" applyFill="1" applyBorder="1" applyAlignment="1">
      <alignment horizontal="center" vertical="center"/>
    </xf>
    <xf numFmtId="168" fontId="9" fillId="20" borderId="128" xfId="0" applyNumberFormat="1" applyFont="1" applyFill="1" applyBorder="1" applyAlignment="1">
      <alignment horizontal="center"/>
    </xf>
    <xf numFmtId="168" fontId="9" fillId="20" borderId="129" xfId="0" applyNumberFormat="1" applyFont="1" applyFill="1" applyBorder="1" applyAlignment="1">
      <alignment horizontal="center"/>
    </xf>
    <xf numFmtId="171" fontId="2" fillId="30" borderId="85" xfId="9" applyNumberFormat="1" applyFont="1" applyFill="1" applyBorder="1" applyAlignment="1">
      <alignment vertical="center"/>
    </xf>
    <xf numFmtId="171" fontId="2" fillId="30" borderId="88" xfId="9" applyNumberFormat="1" applyFont="1" applyFill="1" applyBorder="1" applyAlignment="1">
      <alignment vertical="center"/>
    </xf>
    <xf numFmtId="171" fontId="2" fillId="30" borderId="45" xfId="9" applyNumberFormat="1" applyFont="1" applyFill="1" applyBorder="1" applyAlignment="1">
      <alignment vertical="center"/>
    </xf>
    <xf numFmtId="171" fontId="2" fillId="30" borderId="49" xfId="9" applyNumberFormat="1" applyFont="1" applyFill="1" applyBorder="1" applyAlignment="1">
      <alignment vertical="center"/>
    </xf>
    <xf numFmtId="171" fontId="2" fillId="30" borderId="119" xfId="9" applyNumberFormat="1" applyFont="1" applyFill="1" applyBorder="1" applyAlignment="1">
      <alignment vertical="center"/>
    </xf>
    <xf numFmtId="171" fontId="2" fillId="30" borderId="120" xfId="9" applyNumberFormat="1" applyFont="1" applyFill="1" applyBorder="1" applyAlignment="1">
      <alignment vertical="center"/>
    </xf>
    <xf numFmtId="0" fontId="4" fillId="20" borderId="104" xfId="7" applyFont="1" applyFill="1" applyBorder="1" applyAlignment="1">
      <alignment vertical="center"/>
    </xf>
    <xf numFmtId="168" fontId="9" fillId="20" borderId="130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21" xfId="0" applyBorder="1"/>
    <xf numFmtId="0" fontId="0" fillId="0" borderId="14" xfId="0" applyBorder="1"/>
    <xf numFmtId="0" fontId="0" fillId="0" borderId="23" xfId="0" applyBorder="1"/>
    <xf numFmtId="0" fontId="22" fillId="0" borderId="32" xfId="14" applyFont="1" applyBorder="1" applyAlignment="1">
      <alignment vertical="center"/>
    </xf>
    <xf numFmtId="0" fontId="9" fillId="20" borderId="153" xfId="0" applyFont="1" applyFill="1" applyBorder="1" applyAlignment="1">
      <alignment horizontal="center"/>
    </xf>
    <xf numFmtId="0" fontId="2" fillId="20" borderId="153" xfId="0" applyFont="1" applyFill="1" applyBorder="1" applyAlignment="1">
      <alignment horizontal="center"/>
    </xf>
    <xf numFmtId="1" fontId="2" fillId="20" borderId="153" xfId="0" applyNumberFormat="1" applyFont="1" applyFill="1" applyBorder="1" applyAlignment="1" applyProtection="1">
      <alignment horizontal="center"/>
      <protection locked="0"/>
    </xf>
    <xf numFmtId="3" fontId="2" fillId="20" borderId="153" xfId="0" applyNumberFormat="1" applyFont="1" applyFill="1" applyBorder="1" applyAlignment="1" applyProtection="1">
      <alignment horizontal="center"/>
      <protection locked="0"/>
    </xf>
    <xf numFmtId="0" fontId="2" fillId="20" borderId="153" xfId="0" applyFont="1" applyFill="1" applyBorder="1" applyAlignment="1" applyProtection="1">
      <alignment horizontal="center"/>
      <protection locked="0"/>
    </xf>
    <xf numFmtId="0" fontId="2" fillId="20" borderId="151" xfId="0" applyFont="1" applyFill="1" applyBorder="1" applyAlignment="1" applyProtection="1">
      <alignment horizontal="center"/>
      <protection locked="0"/>
    </xf>
    <xf numFmtId="4" fontId="2" fillId="20" borderId="153" xfId="0" applyNumberFormat="1" applyFont="1" applyFill="1" applyBorder="1" applyAlignment="1" applyProtection="1">
      <alignment horizontal="center"/>
      <protection locked="0"/>
    </xf>
    <xf numFmtId="4" fontId="2" fillId="20" borderId="151" xfId="0" applyNumberFormat="1" applyFont="1" applyFill="1" applyBorder="1" applyAlignment="1" applyProtection="1">
      <alignment horizontal="center"/>
      <protection locked="0"/>
    </xf>
    <xf numFmtId="2" fontId="4" fillId="19" borderId="153" xfId="0" applyNumberFormat="1" applyFont="1" applyFill="1" applyBorder="1" applyAlignment="1">
      <alignment horizontal="center"/>
    </xf>
    <xf numFmtId="1" fontId="7" fillId="20" borderId="152" xfId="0" applyNumberFormat="1" applyFont="1" applyFill="1" applyBorder="1"/>
    <xf numFmtId="0" fontId="4" fillId="20" borderId="153" xfId="0" applyFont="1" applyFill="1" applyBorder="1"/>
    <xf numFmtId="1" fontId="4" fillId="20" borderId="153" xfId="0" applyNumberFormat="1" applyFont="1" applyFill="1" applyBorder="1"/>
    <xf numFmtId="0" fontId="4" fillId="20" borderId="154" xfId="0" applyFont="1" applyFill="1" applyBorder="1"/>
    <xf numFmtId="1" fontId="4" fillId="20" borderId="155" xfId="0" applyNumberFormat="1" applyFont="1" applyFill="1" applyBorder="1" applyAlignment="1">
      <alignment horizontal="center" vertical="center"/>
    </xf>
    <xf numFmtId="2" fontId="4" fillId="20" borderId="156" xfId="2" applyNumberFormat="1" applyFont="1" applyFill="1" applyBorder="1" applyAlignment="1">
      <alignment horizontal="center" vertical="center"/>
    </xf>
    <xf numFmtId="1" fontId="4" fillId="20" borderId="156" xfId="0" applyNumberFormat="1" applyFont="1" applyFill="1" applyBorder="1" applyAlignment="1">
      <alignment horizontal="center" vertical="center"/>
    </xf>
    <xf numFmtId="2" fontId="4" fillId="20" borderId="153" xfId="2" applyNumberFormat="1" applyFont="1" applyFill="1" applyBorder="1" applyAlignment="1">
      <alignment horizontal="center" vertical="center"/>
    </xf>
    <xf numFmtId="1" fontId="0" fillId="20" borderId="153" xfId="0" applyNumberFormat="1" applyFill="1" applyBorder="1"/>
    <xf numFmtId="0" fontId="0" fillId="20" borderId="153" xfId="0" applyFill="1" applyBorder="1"/>
    <xf numFmtId="3" fontId="0" fillId="20" borderId="153" xfId="0" applyNumberFormat="1" applyFill="1" applyBorder="1"/>
    <xf numFmtId="3" fontId="7" fillId="20" borderId="153" xfId="0" applyNumberFormat="1" applyFont="1" applyFill="1" applyBorder="1" applyAlignment="1">
      <alignment horizontal="center"/>
    </xf>
    <xf numFmtId="2" fontId="0" fillId="20" borderId="153" xfId="0" applyNumberFormat="1" applyFill="1" applyBorder="1" applyAlignment="1">
      <alignment horizontal="center"/>
    </xf>
    <xf numFmtId="2" fontId="7" fillId="20" borderId="153" xfId="0" applyNumberFormat="1" applyFont="1" applyFill="1" applyBorder="1" applyAlignment="1">
      <alignment horizontal="center"/>
    </xf>
    <xf numFmtId="14" fontId="2" fillId="20" borderId="153" xfId="0" applyNumberFormat="1" applyFont="1" applyFill="1" applyBorder="1" applyAlignment="1">
      <alignment horizontal="center"/>
    </xf>
    <xf numFmtId="10" fontId="2" fillId="20" borderId="153" xfId="9" applyNumberFormat="1" applyFont="1" applyFill="1" applyBorder="1" applyAlignment="1">
      <alignment horizontal="center"/>
    </xf>
    <xf numFmtId="168" fontId="2" fillId="20" borderId="153" xfId="0" applyNumberFormat="1" applyFont="1" applyFill="1" applyBorder="1" applyAlignment="1">
      <alignment horizontal="center"/>
    </xf>
    <xf numFmtId="2" fontId="77" fillId="5" borderId="153" xfId="0" applyNumberFormat="1" applyFont="1" applyFill="1" applyBorder="1" applyAlignment="1">
      <alignment horizontal="center"/>
    </xf>
    <xf numFmtId="0" fontId="0" fillId="5" borderId="153" xfId="0" applyFill="1" applyBorder="1"/>
    <xf numFmtId="2" fontId="0" fillId="20" borderId="154" xfId="0" applyNumberFormat="1" applyFill="1" applyBorder="1"/>
    <xf numFmtId="2" fontId="0" fillId="20" borderId="154" xfId="0" applyNumberFormat="1" applyFill="1" applyBorder="1" applyAlignment="1">
      <alignment horizontal="right"/>
    </xf>
    <xf numFmtId="2" fontId="0" fillId="5" borderId="154" xfId="0" applyNumberFormat="1" applyFill="1" applyBorder="1"/>
    <xf numFmtId="1" fontId="0" fillId="5" borderId="153" xfId="0" applyNumberFormat="1" applyFill="1" applyBorder="1"/>
    <xf numFmtId="0" fontId="0" fillId="25" borderId="153" xfId="0" applyFill="1" applyBorder="1"/>
    <xf numFmtId="2" fontId="0" fillId="25" borderId="154" xfId="0" applyNumberFormat="1" applyFill="1" applyBorder="1"/>
    <xf numFmtId="2" fontId="0" fillId="5" borderId="154" xfId="0" applyNumberFormat="1" applyFill="1" applyBorder="1" applyAlignment="1">
      <alignment horizontal="right"/>
    </xf>
    <xf numFmtId="2" fontId="2" fillId="9" borderId="8" xfId="0" applyNumberFormat="1" applyFont="1" applyFill="1" applyBorder="1" applyAlignment="1">
      <alignment horizontal="center"/>
    </xf>
    <xf numFmtId="2" fontId="2" fillId="9" borderId="0" xfId="0" applyNumberFormat="1" applyFont="1" applyFill="1" applyAlignment="1">
      <alignment horizontal="center"/>
    </xf>
    <xf numFmtId="2" fontId="33" fillId="9" borderId="0" xfId="0" applyNumberFormat="1" applyFont="1" applyFill="1" applyAlignment="1">
      <alignment horizontal="center" vertical="center"/>
    </xf>
    <xf numFmtId="0" fontId="32" fillId="3" borderId="3" xfId="0" applyFont="1" applyFill="1" applyBorder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4" fillId="9" borderId="14" xfId="0" applyFont="1" applyFill="1" applyBorder="1" applyAlignment="1">
      <alignment horizontal="center"/>
    </xf>
    <xf numFmtId="2" fontId="59" fillId="27" borderId="0" xfId="0" applyNumberFormat="1" applyFont="1" applyFill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3" borderId="47" xfId="0" applyFont="1" applyFill="1" applyBorder="1" applyAlignment="1">
      <alignment horizontal="left" vertical="center"/>
    </xf>
    <xf numFmtId="177" fontId="59" fillId="27" borderId="0" xfId="0" applyNumberFormat="1" applyFont="1" applyFill="1" applyAlignment="1">
      <alignment horizontal="center" vertical="center"/>
    </xf>
    <xf numFmtId="0" fontId="59" fillId="26" borderId="0" xfId="0" applyFont="1" applyFill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left" vertical="center"/>
    </xf>
    <xf numFmtId="0" fontId="69" fillId="20" borderId="34" xfId="0" applyFont="1" applyFill="1" applyBorder="1" applyAlignment="1">
      <alignment horizontal="center"/>
    </xf>
    <xf numFmtId="171" fontId="2" fillId="31" borderId="0" xfId="9" applyNumberFormat="1" applyFont="1" applyFill="1" applyBorder="1" applyAlignment="1">
      <alignment horizontal="center" vertical="center"/>
    </xf>
    <xf numFmtId="2" fontId="4" fillId="13" borderId="3" xfId="0" applyNumberFormat="1" applyFont="1" applyFill="1" applyBorder="1" applyAlignment="1">
      <alignment horizontal="center"/>
    </xf>
    <xf numFmtId="2" fontId="4" fillId="13" borderId="0" xfId="0" applyNumberFormat="1" applyFont="1" applyFill="1" applyAlignment="1">
      <alignment horizontal="center"/>
    </xf>
    <xf numFmtId="39" fontId="4" fillId="13" borderId="0" xfId="0" applyNumberFormat="1" applyFont="1" applyFill="1" applyAlignment="1">
      <alignment horizontal="center"/>
    </xf>
    <xf numFmtId="39" fontId="4" fillId="13" borderId="14" xfId="0" applyNumberFormat="1" applyFont="1" applyFill="1" applyBorder="1" applyAlignment="1">
      <alignment horizontal="center"/>
    </xf>
    <xf numFmtId="4" fontId="2" fillId="3" borderId="156" xfId="0" applyNumberFormat="1" applyFont="1" applyFill="1" applyBorder="1" applyAlignment="1">
      <alignment horizontal="center" vertical="center"/>
    </xf>
    <xf numFmtId="0" fontId="2" fillId="3" borderId="153" xfId="0" applyFont="1" applyFill="1" applyBorder="1" applyAlignment="1">
      <alignment horizontal="left"/>
    </xf>
    <xf numFmtId="0" fontId="4" fillId="3" borderId="153" xfId="0" applyFont="1" applyFill="1" applyBorder="1" applyAlignment="1">
      <alignment horizontal="left"/>
    </xf>
    <xf numFmtId="168" fontId="3" fillId="20" borderId="153" xfId="0" applyNumberFormat="1" applyFont="1" applyFill="1" applyBorder="1" applyAlignment="1">
      <alignment horizontal="center"/>
    </xf>
    <xf numFmtId="168" fontId="4" fillId="3" borderId="153" xfId="0" applyNumberFormat="1" applyFont="1" applyFill="1" applyBorder="1" applyAlignment="1">
      <alignment horizontal="left" vertical="center"/>
    </xf>
    <xf numFmtId="168" fontId="9" fillId="20" borderId="153" xfId="0" applyNumberFormat="1" applyFont="1" applyFill="1" applyBorder="1" applyAlignment="1">
      <alignment horizontal="center"/>
    </xf>
    <xf numFmtId="0" fontId="7" fillId="20" borderId="152" xfId="0" applyFont="1" applyFill="1" applyBorder="1"/>
    <xf numFmtId="20" fontId="7" fillId="19" borderId="153" xfId="0" applyNumberFormat="1" applyFont="1" applyFill="1" applyBorder="1" applyAlignment="1">
      <alignment horizontal="center"/>
    </xf>
    <xf numFmtId="0" fontId="2" fillId="0" borderId="153" xfId="0" applyFont="1" applyBorder="1"/>
    <xf numFmtId="2" fontId="2" fillId="20" borderId="153" xfId="2" applyNumberFormat="1" applyFont="1" applyFill="1" applyBorder="1" applyAlignment="1">
      <alignment horizontal="center"/>
    </xf>
    <xf numFmtId="2" fontId="2" fillId="20" borderId="151" xfId="2" applyNumberFormat="1" applyFont="1" applyFill="1" applyBorder="1" applyAlignment="1">
      <alignment horizontal="center"/>
    </xf>
    <xf numFmtId="0" fontId="5" fillId="3" borderId="153" xfId="0" applyFont="1" applyFill="1" applyBorder="1" applyAlignment="1">
      <alignment horizontal="center" vertical="center" wrapText="1"/>
    </xf>
    <xf numFmtId="168" fontId="2" fillId="0" borderId="153" xfId="0" applyNumberFormat="1" applyFont="1" applyBorder="1" applyAlignment="1">
      <alignment horizontal="left"/>
    </xf>
    <xf numFmtId="0" fontId="2" fillId="0" borderId="153" xfId="0" applyFont="1" applyBorder="1" applyAlignment="1">
      <alignment horizontal="left"/>
    </xf>
    <xf numFmtId="2" fontId="2" fillId="20" borderId="153" xfId="0" applyNumberFormat="1" applyFont="1" applyFill="1" applyBorder="1" applyAlignment="1" applyProtection="1">
      <alignment horizontal="center"/>
      <protection locked="0"/>
    </xf>
    <xf numFmtId="20" fontId="7" fillId="15" borderId="153" xfId="0" applyNumberFormat="1" applyFont="1" applyFill="1" applyBorder="1" applyAlignment="1">
      <alignment horizontal="center"/>
    </xf>
    <xf numFmtId="0" fontId="4" fillId="3" borderId="153" xfId="0" applyFont="1" applyFill="1" applyBorder="1" applyAlignment="1">
      <alignment horizontal="center" vertical="center" wrapText="1"/>
    </xf>
    <xf numFmtId="0" fontId="3" fillId="0" borderId="156" xfId="0" applyFont="1" applyBorder="1"/>
    <xf numFmtId="1" fontId="3" fillId="20" borderId="156" xfId="0" applyNumberFormat="1" applyFont="1" applyFill="1" applyBorder="1" applyAlignment="1">
      <alignment horizontal="center"/>
    </xf>
    <xf numFmtId="14" fontId="9" fillId="20" borderId="153" xfId="0" applyNumberFormat="1" applyFont="1" applyFill="1" applyBorder="1" applyAlignment="1">
      <alignment horizontal="center"/>
    </xf>
    <xf numFmtId="0" fontId="4" fillId="0" borderId="153" xfId="0" applyFont="1" applyBorder="1" applyAlignment="1">
      <alignment horizontal="left"/>
    </xf>
    <xf numFmtId="0" fontId="4" fillId="0" borderId="153" xfId="0" applyFont="1" applyBorder="1"/>
    <xf numFmtId="171" fontId="4" fillId="20" borderId="153" xfId="0" applyNumberFormat="1" applyFont="1" applyFill="1" applyBorder="1" applyAlignment="1">
      <alignment horizontal="center"/>
    </xf>
    <xf numFmtId="3" fontId="2" fillId="20" borderId="151" xfId="0" applyNumberFormat="1" applyFont="1" applyFill="1" applyBorder="1" applyAlignment="1" applyProtection="1">
      <alignment horizontal="center"/>
      <protection locked="0"/>
    </xf>
    <xf numFmtId="2" fontId="2" fillId="19" borderId="153" xfId="2" applyNumberFormat="1" applyFont="1" applyFill="1" applyBorder="1" applyAlignment="1">
      <alignment horizontal="center"/>
    </xf>
    <xf numFmtId="2" fontId="2" fillId="19" borderId="151" xfId="2" applyNumberFormat="1" applyFont="1" applyFill="1" applyBorder="1" applyAlignment="1">
      <alignment horizontal="center"/>
    </xf>
    <xf numFmtId="49" fontId="28" fillId="3" borderId="155" xfId="0" applyNumberFormat="1" applyFont="1" applyFill="1" applyBorder="1" applyAlignment="1">
      <alignment horizontal="center" vertical="center"/>
    </xf>
    <xf numFmtId="0" fontId="4" fillId="3" borderId="153" xfId="0" applyFont="1" applyFill="1" applyBorder="1" applyAlignment="1">
      <alignment horizontal="center" vertical="center"/>
    </xf>
    <xf numFmtId="1" fontId="4" fillId="20" borderId="153" xfId="0" applyNumberFormat="1" applyFont="1" applyFill="1" applyBorder="1" applyAlignment="1">
      <alignment horizontal="center" vertical="center"/>
    </xf>
    <xf numFmtId="0" fontId="4" fillId="20" borderId="154" xfId="0" applyFont="1" applyFill="1" applyBorder="1" applyAlignment="1">
      <alignment horizontal="center" vertical="center"/>
    </xf>
    <xf numFmtId="0" fontId="2" fillId="3" borderId="153" xfId="0" applyFont="1" applyFill="1" applyBorder="1" applyAlignment="1">
      <alignment horizontal="center" vertical="center"/>
    </xf>
    <xf numFmtId="2" fontId="2" fillId="20" borderId="153" xfId="0" applyNumberFormat="1" applyFont="1" applyFill="1" applyBorder="1" applyAlignment="1">
      <alignment horizontal="center" vertical="center"/>
    </xf>
    <xf numFmtId="2" fontId="4" fillId="20" borderId="154" xfId="0" applyNumberFormat="1" applyFont="1" applyFill="1" applyBorder="1" applyAlignment="1">
      <alignment horizontal="center" vertical="center"/>
    </xf>
    <xf numFmtId="2" fontId="2" fillId="3" borderId="153" xfId="0" applyNumberFormat="1" applyFont="1" applyFill="1" applyBorder="1" applyAlignment="1">
      <alignment horizontal="center" vertical="center"/>
    </xf>
    <xf numFmtId="2" fontId="4" fillId="0" borderId="154" xfId="0" applyNumberFormat="1" applyFont="1" applyBorder="1" applyAlignment="1">
      <alignment horizontal="center" vertical="center"/>
    </xf>
    <xf numFmtId="2" fontId="2" fillId="3" borderId="154" xfId="0" applyNumberFormat="1" applyFont="1" applyFill="1" applyBorder="1" applyAlignment="1">
      <alignment horizontal="center" vertical="center"/>
    </xf>
    <xf numFmtId="171" fontId="2" fillId="3" borderId="153" xfId="0" applyNumberFormat="1" applyFont="1" applyFill="1" applyBorder="1" applyAlignment="1">
      <alignment horizontal="center" vertical="center"/>
    </xf>
    <xf numFmtId="171" fontId="4" fillId="0" borderId="154" xfId="0" applyNumberFormat="1" applyFont="1" applyBorder="1" applyAlignment="1">
      <alignment horizontal="center" vertical="center"/>
    </xf>
    <xf numFmtId="3" fontId="2" fillId="3" borderId="153" xfId="0" applyNumberFormat="1" applyFont="1" applyFill="1" applyBorder="1" applyAlignment="1">
      <alignment horizontal="center" vertical="center"/>
    </xf>
    <xf numFmtId="3" fontId="2" fillId="20" borderId="153" xfId="0" applyNumberFormat="1" applyFont="1" applyFill="1" applyBorder="1" applyAlignment="1">
      <alignment horizontal="center" vertical="center"/>
    </xf>
    <xf numFmtId="1" fontId="2" fillId="20" borderId="153" xfId="0" applyNumberFormat="1" applyFont="1" applyFill="1" applyBorder="1" applyAlignment="1">
      <alignment horizontal="center" vertical="center"/>
    </xf>
    <xf numFmtId="0" fontId="20" fillId="3" borderId="153" xfId="0" applyFont="1" applyFill="1" applyBorder="1" applyAlignment="1">
      <alignment horizontal="center" vertical="center"/>
    </xf>
    <xf numFmtId="0" fontId="20" fillId="20" borderId="154" xfId="0" applyFont="1" applyFill="1" applyBorder="1" applyAlignment="1">
      <alignment horizontal="center" vertical="center"/>
    </xf>
    <xf numFmtId="0" fontId="22" fillId="3" borderId="94" xfId="0" applyFont="1" applyFill="1" applyBorder="1" applyAlignment="1">
      <alignment horizontal="left" vertical="center"/>
    </xf>
    <xf numFmtId="0" fontId="22" fillId="3" borderId="81" xfId="0" applyFont="1" applyFill="1" applyBorder="1" applyAlignment="1">
      <alignment horizontal="left" vertical="center"/>
    </xf>
    <xf numFmtId="0" fontId="22" fillId="3" borderId="152" xfId="0" applyFont="1" applyFill="1" applyBorder="1" applyAlignment="1">
      <alignment horizontal="center" vertical="center"/>
    </xf>
    <xf numFmtId="0" fontId="22" fillId="3" borderId="153" xfId="0" applyFont="1" applyFill="1" applyBorder="1" applyAlignment="1">
      <alignment horizontal="center" vertical="center"/>
    </xf>
    <xf numFmtId="0" fontId="22" fillId="3" borderId="153" xfId="0" applyFont="1" applyFill="1" applyBorder="1" applyAlignment="1">
      <alignment horizontal="left" vertical="center"/>
    </xf>
    <xf numFmtId="4" fontId="22" fillId="20" borderId="154" xfId="0" applyNumberFormat="1" applyFont="1" applyFill="1" applyBorder="1" applyAlignment="1">
      <alignment horizontal="center" vertical="center"/>
    </xf>
    <xf numFmtId="2" fontId="22" fillId="3" borderId="154" xfId="0" applyNumberFormat="1" applyFont="1" applyFill="1" applyBorder="1" applyAlignment="1">
      <alignment horizontal="center" vertical="center"/>
    </xf>
    <xf numFmtId="4" fontId="22" fillId="3" borderId="154" xfId="0" applyNumberFormat="1" applyFont="1" applyFill="1" applyBorder="1" applyAlignment="1">
      <alignment horizontal="center" vertical="center"/>
    </xf>
    <xf numFmtId="171" fontId="22" fillId="3" borderId="154" xfId="0" applyNumberFormat="1" applyFont="1" applyFill="1" applyBorder="1" applyAlignment="1">
      <alignment horizontal="center" vertical="center"/>
    </xf>
    <xf numFmtId="0" fontId="22" fillId="3" borderId="150" xfId="0" applyFont="1" applyFill="1" applyBorder="1" applyAlignment="1">
      <alignment horizontal="left" vertical="center"/>
    </xf>
    <xf numFmtId="0" fontId="22" fillId="3" borderId="87" xfId="0" applyFont="1" applyFill="1" applyBorder="1" applyAlignment="1">
      <alignment horizontal="left" vertical="center"/>
    </xf>
    <xf numFmtId="0" fontId="22" fillId="3" borderId="157" xfId="0" applyFont="1" applyFill="1" applyBorder="1" applyAlignment="1">
      <alignment horizontal="center" vertical="center"/>
    </xf>
    <xf numFmtId="0" fontId="22" fillId="3" borderId="86" xfId="0" applyFont="1" applyFill="1" applyBorder="1" applyAlignment="1">
      <alignment horizontal="center" vertical="center"/>
    </xf>
    <xf numFmtId="0" fontId="22" fillId="3" borderId="156" xfId="0" applyFont="1" applyFill="1" applyBorder="1" applyAlignment="1">
      <alignment horizontal="center" vertical="center"/>
    </xf>
    <xf numFmtId="14" fontId="22" fillId="20" borderId="153" xfId="0" applyNumberFormat="1" applyFont="1" applyFill="1" applyBorder="1" applyAlignment="1">
      <alignment horizontal="center" vertical="center"/>
    </xf>
    <xf numFmtId="170" fontId="22" fillId="20" borderId="153" xfId="0" applyNumberFormat="1" applyFont="1" applyFill="1" applyBorder="1" applyAlignment="1">
      <alignment horizontal="center" vertical="center"/>
    </xf>
    <xf numFmtId="4" fontId="22" fillId="20" borderId="153" xfId="0" applyNumberFormat="1" applyFont="1" applyFill="1" applyBorder="1" applyAlignment="1">
      <alignment horizontal="center" vertical="center"/>
    </xf>
    <xf numFmtId="2" fontId="22" fillId="3" borderId="153" xfId="0" applyNumberFormat="1" applyFont="1" applyFill="1" applyBorder="1" applyAlignment="1">
      <alignment horizontal="center" vertical="center"/>
    </xf>
    <xf numFmtId="2" fontId="45" fillId="3" borderId="153" xfId="0" applyNumberFormat="1" applyFont="1" applyFill="1" applyBorder="1" applyAlignment="1">
      <alignment horizontal="center" vertical="center"/>
    </xf>
    <xf numFmtId="1" fontId="22" fillId="20" borderId="153" xfId="0" applyNumberFormat="1" applyFont="1" applyFill="1" applyBorder="1" applyAlignment="1">
      <alignment horizontal="center" vertical="center"/>
    </xf>
    <xf numFmtId="172" fontId="22" fillId="3" borderId="153" xfId="0" applyNumberFormat="1" applyFont="1" applyFill="1" applyBorder="1" applyAlignment="1">
      <alignment horizontal="center" vertical="center"/>
    </xf>
    <xf numFmtId="172" fontId="22" fillId="3" borderId="154" xfId="0" applyNumberFormat="1" applyFont="1" applyFill="1" applyBorder="1" applyAlignment="1">
      <alignment horizontal="center" vertical="center"/>
    </xf>
    <xf numFmtId="172" fontId="41" fillId="3" borderId="154" xfId="0" applyNumberFormat="1" applyFont="1" applyFill="1" applyBorder="1" applyAlignment="1">
      <alignment horizontal="center" vertical="center"/>
    </xf>
    <xf numFmtId="171" fontId="45" fillId="3" borderId="154" xfId="0" applyNumberFormat="1" applyFont="1" applyFill="1" applyBorder="1" applyAlignment="1">
      <alignment horizontal="center" vertical="center"/>
    </xf>
    <xf numFmtId="2" fontId="45" fillId="3" borderId="155" xfId="0" applyNumberFormat="1" applyFont="1" applyFill="1" applyBorder="1" applyAlignment="1">
      <alignment horizontal="center" vertical="center"/>
    </xf>
    <xf numFmtId="2" fontId="45" fillId="3" borderId="156" xfId="0" applyNumberFormat="1" applyFont="1" applyFill="1" applyBorder="1" applyAlignment="1">
      <alignment horizontal="center" vertical="center"/>
    </xf>
    <xf numFmtId="1" fontId="22" fillId="20" borderId="156" xfId="0" applyNumberFormat="1" applyFont="1" applyFill="1" applyBorder="1" applyAlignment="1">
      <alignment horizontal="center" vertical="center"/>
    </xf>
    <xf numFmtId="0" fontId="2" fillId="3" borderId="127" xfId="0" applyFont="1" applyFill="1" applyBorder="1" applyAlignment="1">
      <alignment horizontal="center" vertical="center"/>
    </xf>
    <xf numFmtId="0" fontId="2" fillId="3" borderId="94" xfId="0" applyFont="1" applyFill="1" applyBorder="1" applyAlignment="1">
      <alignment vertical="center"/>
    </xf>
    <xf numFmtId="0" fontId="2" fillId="0" borderId="127" xfId="0" applyFont="1" applyBorder="1" applyAlignment="1">
      <alignment horizontal="center" vertical="center"/>
    </xf>
    <xf numFmtId="4" fontId="2" fillId="3" borderId="94" xfId="0" applyNumberFormat="1" applyFont="1" applyFill="1" applyBorder="1" applyAlignment="1">
      <alignment horizontal="center" vertical="center"/>
    </xf>
    <xf numFmtId="0" fontId="2" fillId="0" borderId="158" xfId="0" applyFont="1" applyBorder="1" applyAlignment="1">
      <alignment horizontal="center" vertical="center"/>
    </xf>
    <xf numFmtId="172" fontId="2" fillId="0" borderId="158" xfId="10" applyNumberFormat="1" applyFont="1" applyBorder="1" applyAlignment="1">
      <alignment horizontal="center" vertical="center"/>
    </xf>
    <xf numFmtId="4" fontId="2" fillId="0" borderId="127" xfId="10" applyNumberFormat="1" applyFont="1" applyBorder="1" applyAlignment="1">
      <alignment horizontal="center" vertical="center"/>
    </xf>
    <xf numFmtId="171" fontId="2" fillId="0" borderId="127" xfId="9" applyNumberFormat="1" applyFont="1" applyBorder="1" applyAlignment="1">
      <alignment vertical="center"/>
    </xf>
    <xf numFmtId="10" fontId="9" fillId="0" borderId="127" xfId="9" applyNumberFormat="1" applyFont="1" applyBorder="1" applyAlignment="1">
      <alignment horizontal="right" vertical="center"/>
    </xf>
    <xf numFmtId="10" fontId="2" fillId="0" borderId="127" xfId="9" applyNumberFormat="1" applyFont="1" applyBorder="1" applyAlignment="1">
      <alignment vertical="center"/>
    </xf>
    <xf numFmtId="4" fontId="2" fillId="0" borderId="158" xfId="10" applyNumberFormat="1" applyFont="1" applyBorder="1" applyAlignment="1">
      <alignment horizontal="center" vertical="center"/>
    </xf>
    <xf numFmtId="171" fontId="2" fillId="0" borderId="158" xfId="9" applyNumberFormat="1" applyFont="1" applyBorder="1" applyAlignment="1">
      <alignment vertical="center"/>
    </xf>
    <xf numFmtId="10" fontId="9" fillId="0" borderId="158" xfId="9" applyNumberFormat="1" applyFont="1" applyBorder="1" applyAlignment="1">
      <alignment horizontal="right" vertical="center"/>
    </xf>
    <xf numFmtId="4" fontId="59" fillId="26" borderId="8" xfId="10" applyNumberFormat="1" applyFont="1" applyFill="1" applyBorder="1" applyAlignment="1">
      <alignment horizontal="center" vertical="center"/>
    </xf>
    <xf numFmtId="0" fontId="3" fillId="3" borderId="153" xfId="0" applyFont="1" applyFill="1" applyBorder="1" applyAlignment="1">
      <alignment horizontal="center" vertical="center"/>
    </xf>
    <xf numFmtId="0" fontId="23" fillId="3" borderId="153" xfId="0" applyFont="1" applyFill="1" applyBorder="1" applyAlignment="1">
      <alignment horizontal="center" vertical="center"/>
    </xf>
    <xf numFmtId="0" fontId="2" fillId="3" borderId="154" xfId="0" applyFont="1" applyFill="1" applyBorder="1" applyAlignment="1">
      <alignment horizontal="center" vertical="center"/>
    </xf>
    <xf numFmtId="171" fontId="3" fillId="3" borderId="153" xfId="0" applyNumberFormat="1" applyFont="1" applyFill="1" applyBorder="1" applyAlignment="1">
      <alignment horizontal="center" vertical="center"/>
    </xf>
    <xf numFmtId="171" fontId="23" fillId="3" borderId="153" xfId="0" applyNumberFormat="1" applyFont="1" applyFill="1" applyBorder="1" applyAlignment="1">
      <alignment horizontal="center" vertical="center"/>
    </xf>
    <xf numFmtId="171" fontId="3" fillId="3" borderId="154" xfId="0" applyNumberFormat="1" applyFont="1" applyFill="1" applyBorder="1" applyAlignment="1">
      <alignment horizontal="center" vertical="center"/>
    </xf>
    <xf numFmtId="171" fontId="3" fillId="3" borderId="156" xfId="0" applyNumberFormat="1" applyFont="1" applyFill="1" applyBorder="1" applyAlignment="1">
      <alignment horizontal="center" vertical="center"/>
    </xf>
    <xf numFmtId="0" fontId="3" fillId="3" borderId="155" xfId="0" applyFont="1" applyFill="1" applyBorder="1" applyAlignment="1">
      <alignment horizontal="center" vertical="center"/>
    </xf>
    <xf numFmtId="171" fontId="23" fillId="3" borderId="156" xfId="0" applyNumberFormat="1" applyFont="1" applyFill="1" applyBorder="1" applyAlignment="1">
      <alignment horizontal="center" vertical="center"/>
    </xf>
    <xf numFmtId="0" fontId="59" fillId="27" borderId="8" xfId="0" applyFont="1" applyFill="1" applyBorder="1" applyAlignment="1">
      <alignment horizontal="center" vertical="center"/>
    </xf>
    <xf numFmtId="0" fontId="59" fillId="27" borderId="8" xfId="0" applyFont="1" applyFill="1" applyBorder="1"/>
    <xf numFmtId="2" fontId="59" fillId="27" borderId="8" xfId="0" applyNumberFormat="1" applyFont="1" applyFill="1" applyBorder="1" applyAlignment="1">
      <alignment horizontal="center" vertical="center"/>
    </xf>
    <xf numFmtId="10" fontId="59" fillId="27" borderId="8" xfId="0" applyNumberFormat="1" applyFont="1" applyFill="1" applyBorder="1" applyAlignment="1">
      <alignment horizontal="center"/>
    </xf>
    <xf numFmtId="168" fontId="59" fillId="26" borderId="8" xfId="0" applyNumberFormat="1" applyFont="1" applyFill="1" applyBorder="1"/>
    <xf numFmtId="0" fontId="59" fillId="27" borderId="8" xfId="0" applyFont="1" applyFill="1" applyBorder="1" applyAlignment="1">
      <alignment horizontal="center"/>
    </xf>
    <xf numFmtId="171" fontId="59" fillId="27" borderId="8" xfId="0" applyNumberFormat="1" applyFont="1" applyFill="1" applyBorder="1" applyAlignment="1">
      <alignment horizontal="center" vertical="center"/>
    </xf>
    <xf numFmtId="1" fontId="59" fillId="27" borderId="8" xfId="10" applyNumberFormat="1" applyFont="1" applyFill="1" applyBorder="1" applyAlignment="1">
      <alignment horizontal="center"/>
    </xf>
    <xf numFmtId="2" fontId="2" fillId="0" borderId="153" xfId="10" applyNumberFormat="1" applyFont="1" applyFill="1" applyBorder="1" applyAlignment="1">
      <alignment horizontal="center" vertical="center"/>
    </xf>
    <xf numFmtId="2" fontId="2" fillId="0" borderId="154" xfId="10" applyNumberFormat="1" applyFont="1" applyFill="1" applyBorder="1" applyAlignment="1">
      <alignment horizontal="center" vertical="center"/>
    </xf>
    <xf numFmtId="4" fontId="2" fillId="0" borderId="152" xfId="10" applyNumberFormat="1" applyFont="1" applyFill="1" applyBorder="1" applyAlignment="1">
      <alignment horizontal="center" vertical="center"/>
    </xf>
    <xf numFmtId="4" fontId="2" fillId="0" borderId="153" xfId="10" applyNumberFormat="1" applyFont="1" applyFill="1" applyBorder="1" applyAlignment="1">
      <alignment horizontal="center" vertical="center"/>
    </xf>
    <xf numFmtId="4" fontId="2" fillId="0" borderId="154" xfId="10" applyNumberFormat="1" applyFont="1" applyFill="1" applyBorder="1" applyAlignment="1">
      <alignment horizontal="center" vertical="center"/>
    </xf>
    <xf numFmtId="1" fontId="59" fillId="27" borderId="8" xfId="0" applyNumberFormat="1" applyFont="1" applyFill="1" applyBorder="1" applyAlignment="1">
      <alignment horizontal="center" vertical="center"/>
    </xf>
    <xf numFmtId="171" fontId="59" fillId="27" borderId="8" xfId="0" applyNumberFormat="1" applyFont="1" applyFill="1" applyBorder="1" applyAlignment="1">
      <alignment horizontal="center"/>
    </xf>
    <xf numFmtId="2" fontId="2" fillId="0" borderId="153" xfId="10" applyNumberFormat="1" applyFont="1" applyBorder="1" applyAlignment="1">
      <alignment horizontal="center" vertical="center"/>
    </xf>
    <xf numFmtId="2" fontId="2" fillId="0" borderId="154" xfId="10" applyNumberFormat="1" applyFont="1" applyBorder="1" applyAlignment="1">
      <alignment horizontal="center" vertical="center"/>
    </xf>
    <xf numFmtId="2" fontId="2" fillId="0" borderId="152" xfId="10" applyNumberFormat="1" applyFont="1" applyBorder="1" applyAlignment="1">
      <alignment horizontal="center" vertical="center"/>
    </xf>
    <xf numFmtId="179" fontId="59" fillId="27" borderId="8" xfId="0" applyNumberFormat="1" applyFont="1" applyFill="1" applyBorder="1" applyAlignment="1">
      <alignment horizontal="center"/>
    </xf>
    <xf numFmtId="2" fontId="59" fillId="27" borderId="8" xfId="0" applyNumberFormat="1" applyFont="1" applyFill="1" applyBorder="1" applyAlignment="1">
      <alignment vertical="center"/>
    </xf>
    <xf numFmtId="0" fontId="59" fillId="26" borderId="8" xfId="0" applyFont="1" applyFill="1" applyBorder="1"/>
    <xf numFmtId="1" fontId="59" fillId="27" borderId="8" xfId="0" applyNumberFormat="1" applyFont="1" applyFill="1" applyBorder="1" applyAlignment="1">
      <alignment horizontal="center"/>
    </xf>
    <xf numFmtId="4" fontId="2" fillId="0" borderId="153" xfId="10" applyNumberFormat="1" applyFont="1" applyBorder="1" applyAlignment="1">
      <alignment horizontal="center" vertical="center"/>
    </xf>
    <xf numFmtId="4" fontId="2" fillId="0" borderId="154" xfId="10" applyNumberFormat="1" applyFont="1" applyBorder="1" applyAlignment="1">
      <alignment horizontal="center" vertical="center"/>
    </xf>
    <xf numFmtId="4" fontId="2" fillId="0" borderId="152" xfId="10" applyNumberFormat="1" applyFont="1" applyBorder="1" applyAlignment="1">
      <alignment horizontal="center" vertical="center"/>
    </xf>
    <xf numFmtId="171" fontId="3" fillId="0" borderId="153" xfId="9" applyNumberFormat="1" applyFont="1" applyBorder="1" applyAlignment="1">
      <alignment horizontal="center" vertical="center"/>
    </xf>
    <xf numFmtId="171" fontId="3" fillId="0" borderId="154" xfId="9" applyNumberFormat="1" applyFont="1" applyBorder="1" applyAlignment="1">
      <alignment horizontal="center" vertical="center"/>
    </xf>
    <xf numFmtId="171" fontId="5" fillId="0" borderId="152" xfId="10" applyNumberFormat="1" applyFont="1" applyBorder="1" applyAlignment="1">
      <alignment horizontal="center" vertical="center"/>
    </xf>
    <xf numFmtId="171" fontId="5" fillId="0" borderId="153" xfId="10" applyNumberFormat="1" applyFont="1" applyBorder="1" applyAlignment="1">
      <alignment horizontal="center" vertical="center"/>
    </xf>
    <xf numFmtId="171" fontId="5" fillId="0" borderId="154" xfId="10" applyNumberFormat="1" applyFont="1" applyBorder="1" applyAlignment="1">
      <alignment horizontal="center" vertical="center"/>
    </xf>
    <xf numFmtId="171" fontId="9" fillId="3" borderId="154" xfId="9" applyNumberFormat="1" applyFont="1" applyFill="1" applyBorder="1" applyAlignment="1">
      <alignment horizontal="center" vertical="center"/>
    </xf>
    <xf numFmtId="171" fontId="9" fillId="3" borderId="154" xfId="0" applyNumberFormat="1" applyFont="1" applyFill="1" applyBorder="1" applyAlignment="1">
      <alignment horizontal="center" vertical="center"/>
    </xf>
    <xf numFmtId="1" fontId="9" fillId="3" borderId="154" xfId="0" applyNumberFormat="1" applyFont="1" applyFill="1" applyBorder="1" applyAlignment="1">
      <alignment horizontal="center" vertical="center"/>
    </xf>
    <xf numFmtId="0" fontId="9" fillId="3" borderId="154" xfId="0" applyFont="1" applyFill="1" applyBorder="1" applyAlignment="1">
      <alignment horizontal="center" vertical="center"/>
    </xf>
    <xf numFmtId="0" fontId="30" fillId="3" borderId="84" xfId="0" applyFont="1" applyFill="1" applyBorder="1" applyAlignment="1">
      <alignment vertical="center"/>
    </xf>
    <xf numFmtId="0" fontId="2" fillId="0" borderId="153" xfId="0" applyFont="1" applyBorder="1" applyAlignment="1">
      <alignment horizontal="center" vertical="center"/>
    </xf>
    <xf numFmtId="0" fontId="2" fillId="0" borderId="154" xfId="0" applyFont="1" applyBorder="1" applyAlignment="1">
      <alignment horizontal="center" vertical="center"/>
    </xf>
    <xf numFmtId="171" fontId="5" fillId="0" borderId="153" xfId="0" applyNumberFormat="1" applyFont="1" applyBorder="1" applyAlignment="1">
      <alignment horizontal="center" vertical="center"/>
    </xf>
    <xf numFmtId="171" fontId="5" fillId="0" borderId="154" xfId="0" applyNumberFormat="1" applyFont="1" applyBorder="1" applyAlignment="1">
      <alignment horizontal="center" vertical="center"/>
    </xf>
    <xf numFmtId="0" fontId="3" fillId="3" borderId="83" xfId="0" applyFont="1" applyFill="1" applyBorder="1" applyAlignment="1">
      <alignment horizontal="center" vertical="center"/>
    </xf>
    <xf numFmtId="2" fontId="2" fillId="20" borderId="127" xfId="0" applyNumberFormat="1" applyFont="1" applyFill="1" applyBorder="1" applyAlignment="1">
      <alignment horizontal="center" vertical="center"/>
    </xf>
    <xf numFmtId="2" fontId="2" fillId="20" borderId="158" xfId="0" applyNumberFormat="1" applyFont="1" applyFill="1" applyBorder="1" applyAlignment="1">
      <alignment horizontal="center" vertical="center"/>
    </xf>
    <xf numFmtId="4" fontId="2" fillId="20" borderId="82" xfId="10" applyNumberFormat="1" applyFont="1" applyFill="1" applyBorder="1" applyAlignment="1">
      <alignment horizontal="center" vertical="center"/>
    </xf>
    <xf numFmtId="4" fontId="2" fillId="20" borderId="93" xfId="10" applyNumberFormat="1" applyFont="1" applyFill="1" applyBorder="1" applyAlignment="1">
      <alignment horizontal="center" vertical="center"/>
    </xf>
    <xf numFmtId="1" fontId="2" fillId="20" borderId="154" xfId="0" applyNumberFormat="1" applyFont="1" applyFill="1" applyBorder="1" applyAlignment="1">
      <alignment horizontal="center" vertical="center"/>
    </xf>
    <xf numFmtId="1" fontId="2" fillId="20" borderId="152" xfId="0" applyNumberFormat="1" applyFont="1" applyFill="1" applyBorder="1" applyAlignment="1">
      <alignment horizontal="center" vertical="center"/>
    </xf>
    <xf numFmtId="4" fontId="2" fillId="20" borderId="153" xfId="10" applyNumberFormat="1" applyFont="1" applyFill="1" applyBorder="1" applyAlignment="1">
      <alignment horizontal="center" vertical="center"/>
    </xf>
    <xf numFmtId="4" fontId="2" fillId="20" borderId="154" xfId="10" applyNumberFormat="1" applyFont="1" applyFill="1" applyBorder="1" applyAlignment="1">
      <alignment horizontal="center" vertical="center"/>
    </xf>
    <xf numFmtId="4" fontId="2" fillId="20" borderId="152" xfId="10" applyNumberFormat="1" applyFont="1" applyFill="1" applyBorder="1" applyAlignment="1">
      <alignment horizontal="center" vertical="center"/>
    </xf>
    <xf numFmtId="1" fontId="3" fillId="20" borderId="83" xfId="0" applyNumberFormat="1" applyFont="1" applyFill="1" applyBorder="1" applyAlignment="1">
      <alignment horizontal="center" vertical="center"/>
    </xf>
    <xf numFmtId="1" fontId="3" fillId="20" borderId="86" xfId="0" applyNumberFormat="1" applyFont="1" applyFill="1" applyBorder="1" applyAlignment="1">
      <alignment horizontal="center" vertical="center"/>
    </xf>
    <xf numFmtId="1" fontId="3" fillId="20" borderId="84" xfId="0" applyNumberFormat="1" applyFont="1" applyFill="1" applyBorder="1" applyAlignment="1">
      <alignment horizontal="center" vertical="center"/>
    </xf>
    <xf numFmtId="183" fontId="2" fillId="20" borderId="153" xfId="10" applyNumberFormat="1" applyFont="1" applyFill="1" applyBorder="1" applyAlignment="1">
      <alignment horizontal="center" vertical="center"/>
    </xf>
    <xf numFmtId="183" fontId="2" fillId="20" borderId="154" xfId="10" applyNumberFormat="1" applyFont="1" applyFill="1" applyBorder="1" applyAlignment="1">
      <alignment horizontal="center" vertical="center"/>
    </xf>
    <xf numFmtId="0" fontId="2" fillId="20" borderId="153" xfId="0" applyFont="1" applyFill="1" applyBorder="1" applyAlignment="1">
      <alignment horizontal="left"/>
    </xf>
    <xf numFmtId="0" fontId="4" fillId="20" borderId="153" xfId="7" applyFont="1" applyFill="1" applyBorder="1"/>
    <xf numFmtId="0" fontId="4" fillId="20" borderId="153" xfId="0" applyFont="1" applyFill="1" applyBorder="1" applyAlignment="1">
      <alignment horizontal="center" vertical="center"/>
    </xf>
    <xf numFmtId="168" fontId="42" fillId="0" borderId="153" xfId="0" applyNumberFormat="1" applyFont="1" applyBorder="1" applyAlignment="1">
      <alignment horizontal="center"/>
    </xf>
    <xf numFmtId="168" fontId="9" fillId="0" borderId="152" xfId="0" applyNumberFormat="1" applyFont="1" applyBorder="1" applyAlignment="1">
      <alignment horizontal="center"/>
    </xf>
    <xf numFmtId="2" fontId="9" fillId="0" borderId="152" xfId="0" applyNumberFormat="1" applyFont="1" applyBorder="1" applyAlignment="1">
      <alignment horizontal="center"/>
    </xf>
    <xf numFmtId="168" fontId="42" fillId="17" borderId="153" xfId="0" applyNumberFormat="1" applyFont="1" applyFill="1" applyBorder="1" applyAlignment="1">
      <alignment horizontal="center"/>
    </xf>
    <xf numFmtId="169" fontId="42" fillId="17" borderId="153" xfId="0" applyNumberFormat="1" applyFont="1" applyFill="1" applyBorder="1" applyAlignment="1">
      <alignment horizontal="center"/>
    </xf>
    <xf numFmtId="2" fontId="42" fillId="17" borderId="151" xfId="0" applyNumberFormat="1" applyFont="1" applyFill="1" applyBorder="1" applyAlignment="1">
      <alignment horizontal="center"/>
    </xf>
    <xf numFmtId="2" fontId="4" fillId="20" borderId="153" xfId="0" applyNumberFormat="1" applyFont="1" applyFill="1" applyBorder="1" applyAlignment="1">
      <alignment horizontal="center" vertical="center"/>
    </xf>
    <xf numFmtId="171" fontId="42" fillId="0" borderId="153" xfId="0" applyNumberFormat="1" applyFont="1" applyBorder="1" applyAlignment="1">
      <alignment horizontal="center"/>
    </xf>
    <xf numFmtId="172" fontId="42" fillId="17" borderId="151" xfId="0" applyNumberFormat="1" applyFont="1" applyFill="1" applyBorder="1" applyAlignment="1">
      <alignment horizontal="center"/>
    </xf>
    <xf numFmtId="168" fontId="42" fillId="0" borderId="153" xfId="0" applyNumberFormat="1" applyFont="1" applyBorder="1"/>
    <xf numFmtId="168" fontId="2" fillId="20" borderId="153" xfId="0" applyNumberFormat="1" applyFont="1" applyFill="1" applyBorder="1" applyAlignment="1">
      <alignment horizontal="left"/>
    </xf>
    <xf numFmtId="0" fontId="4" fillId="20" borderId="153" xfId="0" applyFont="1" applyFill="1" applyBorder="1" applyAlignment="1">
      <alignment vertical="justify"/>
    </xf>
    <xf numFmtId="0" fontId="42" fillId="0" borderId="153" xfId="0" applyFont="1" applyBorder="1"/>
    <xf numFmtId="168" fontId="4" fillId="20" borderId="156" xfId="0" applyNumberFormat="1" applyFont="1" applyFill="1" applyBorder="1" applyAlignment="1">
      <alignment horizontal="left" vertical="center"/>
    </xf>
    <xf numFmtId="168" fontId="4" fillId="20" borderId="156" xfId="0" applyNumberFormat="1" applyFont="1" applyFill="1" applyBorder="1" applyAlignment="1">
      <alignment horizontal="center"/>
    </xf>
    <xf numFmtId="169" fontId="42" fillId="0" borderId="153" xfId="0" applyNumberFormat="1" applyFont="1" applyBorder="1" applyAlignment="1">
      <alignment horizontal="center"/>
    </xf>
    <xf numFmtId="171" fontId="4" fillId="20" borderId="153" xfId="0" applyNumberFormat="1" applyFont="1" applyFill="1" applyBorder="1" applyAlignment="1">
      <alignment horizontal="center" vertical="center"/>
    </xf>
    <xf numFmtId="2" fontId="42" fillId="0" borderId="153" xfId="0" applyNumberFormat="1" applyFont="1" applyBorder="1" applyAlignment="1">
      <alignment horizontal="center"/>
    </xf>
    <xf numFmtId="168" fontId="42" fillId="17" borderId="151" xfId="0" applyNumberFormat="1" applyFont="1" applyFill="1" applyBorder="1" applyAlignment="1">
      <alignment horizontal="center"/>
    </xf>
    <xf numFmtId="0" fontId="4" fillId="20" borderId="153" xfId="7" applyFont="1" applyFill="1" applyBorder="1" applyAlignment="1">
      <alignment vertical="justify"/>
    </xf>
    <xf numFmtId="1" fontId="42" fillId="0" borderId="153" xfId="0" applyNumberFormat="1" applyFont="1" applyBorder="1" applyAlignment="1">
      <alignment horizontal="center"/>
    </xf>
    <xf numFmtId="0" fontId="42" fillId="17" borderId="153" xfId="0" applyFont="1" applyFill="1" applyBorder="1"/>
    <xf numFmtId="169" fontId="42" fillId="17" borderId="153" xfId="0" applyNumberFormat="1" applyFont="1" applyFill="1" applyBorder="1"/>
    <xf numFmtId="0" fontId="42" fillId="17" borderId="151" xfId="0" applyFont="1" applyFill="1" applyBorder="1"/>
    <xf numFmtId="172" fontId="42" fillId="17" borderId="153" xfId="0" applyNumberFormat="1" applyFont="1" applyFill="1" applyBorder="1" applyAlignment="1">
      <alignment horizontal="center"/>
    </xf>
    <xf numFmtId="1" fontId="42" fillId="17" borderId="153" xfId="0" applyNumberFormat="1" applyFont="1" applyFill="1" applyBorder="1" applyAlignment="1">
      <alignment horizontal="center"/>
    </xf>
    <xf numFmtId="0" fontId="24" fillId="0" borderId="153" xfId="0" applyFont="1" applyBorder="1" applyAlignment="1">
      <alignment horizontal="center"/>
    </xf>
    <xf numFmtId="0" fontId="24" fillId="0" borderId="154" xfId="0" applyFont="1" applyBorder="1" applyAlignment="1">
      <alignment horizontal="center"/>
    </xf>
    <xf numFmtId="0" fontId="3" fillId="0" borderId="153" xfId="0" applyFont="1" applyBorder="1" applyAlignment="1">
      <alignment horizontal="center"/>
    </xf>
    <xf numFmtId="0" fontId="7" fillId="20" borderId="153" xfId="0" applyFont="1" applyFill="1" applyBorder="1" applyAlignment="1">
      <alignment horizontal="center"/>
    </xf>
    <xf numFmtId="169" fontId="7" fillId="20" borderId="154" xfId="0" applyNumberFormat="1" applyFont="1" applyFill="1" applyBorder="1" applyAlignment="1">
      <alignment horizontal="center"/>
    </xf>
    <xf numFmtId="0" fontId="7" fillId="20" borderId="154" xfId="0" applyFont="1" applyFill="1" applyBorder="1" applyAlignment="1">
      <alignment horizontal="center"/>
    </xf>
    <xf numFmtId="0" fontId="14" fillId="4" borderId="153" xfId="0" applyFont="1" applyFill="1" applyBorder="1" applyAlignment="1">
      <alignment horizontal="center"/>
    </xf>
    <xf numFmtId="0" fontId="14" fillId="25" borderId="153" xfId="0" applyFont="1" applyFill="1" applyBorder="1" applyAlignment="1">
      <alignment horizontal="center"/>
    </xf>
    <xf numFmtId="0" fontId="14" fillId="5" borderId="153" xfId="0" applyFont="1" applyFill="1" applyBorder="1" applyAlignment="1">
      <alignment horizontal="center"/>
    </xf>
    <xf numFmtId="0" fontId="49" fillId="5" borderId="153" xfId="0" applyFont="1" applyFill="1" applyBorder="1" applyAlignment="1">
      <alignment horizontal="center"/>
    </xf>
    <xf numFmtId="0" fontId="22" fillId="0" borderId="8" xfId="14" applyFont="1" applyBorder="1" applyAlignment="1">
      <alignment vertical="center"/>
    </xf>
    <xf numFmtId="0" fontId="7" fillId="3" borderId="17" xfId="0" applyFont="1" applyFill="1" applyBorder="1" applyAlignment="1">
      <alignment vertical="center"/>
    </xf>
    <xf numFmtId="0" fontId="79" fillId="3" borderId="0" xfId="18" applyFont="1" applyFill="1" applyAlignment="1">
      <alignment vertical="top"/>
    </xf>
    <xf numFmtId="0" fontId="83" fillId="3" borderId="0" xfId="0" applyFont="1" applyFill="1" applyAlignment="1">
      <alignment vertical="top"/>
    </xf>
    <xf numFmtId="0" fontId="81" fillId="3" borderId="0" xfId="18" applyFont="1" applyFill="1"/>
    <xf numFmtId="0" fontId="79" fillId="3" borderId="0" xfId="18" applyFont="1" applyFill="1"/>
    <xf numFmtId="0" fontId="79" fillId="3" borderId="3" xfId="18" applyFont="1" applyFill="1" applyBorder="1"/>
    <xf numFmtId="0" fontId="80" fillId="32" borderId="0" xfId="0" applyFont="1" applyFill="1" applyAlignment="1">
      <alignment vertical="center" wrapText="1"/>
    </xf>
    <xf numFmtId="0" fontId="81" fillId="33" borderId="0" xfId="18" applyFont="1" applyFill="1" applyAlignment="1">
      <alignment vertical="top"/>
    </xf>
    <xf numFmtId="0" fontId="81" fillId="33" borderId="0" xfId="18" applyFont="1" applyFill="1"/>
    <xf numFmtId="0" fontId="82" fillId="33" borderId="0" xfId="18" applyFont="1" applyFill="1"/>
    <xf numFmtId="0" fontId="45" fillId="19" borderId="3" xfId="0" applyFont="1" applyFill="1" applyBorder="1" applyAlignment="1">
      <alignment vertical="center"/>
    </xf>
    <xf numFmtId="184" fontId="22" fillId="3" borderId="9" xfId="0" applyNumberFormat="1" applyFont="1" applyFill="1" applyBorder="1"/>
    <xf numFmtId="0" fontId="22" fillId="0" borderId="81" xfId="0" applyFont="1" applyBorder="1"/>
    <xf numFmtId="0" fontId="79" fillId="3" borderId="9" xfId="0" applyFont="1" applyFill="1" applyBorder="1" applyAlignment="1">
      <alignment vertical="center"/>
    </xf>
    <xf numFmtId="0" fontId="79" fillId="3" borderId="9" xfId="0" applyFont="1" applyFill="1" applyBorder="1" applyAlignment="1">
      <alignment horizontal="left" vertical="center"/>
    </xf>
    <xf numFmtId="0" fontId="79" fillId="3" borderId="94" xfId="0" applyFont="1" applyFill="1" applyBorder="1" applyAlignment="1">
      <alignment horizontal="left" vertical="center"/>
    </xf>
    <xf numFmtId="1" fontId="79" fillId="3" borderId="81" xfId="0" applyNumberFormat="1" applyFont="1" applyFill="1" applyBorder="1" applyAlignment="1">
      <alignment vertical="center"/>
    </xf>
    <xf numFmtId="1" fontId="79" fillId="3" borderId="82" xfId="0" applyNumberFormat="1" applyFont="1" applyFill="1" applyBorder="1" applyAlignment="1">
      <alignment vertical="center"/>
    </xf>
    <xf numFmtId="0" fontId="81" fillId="3" borderId="32" xfId="0" applyFont="1" applyFill="1" applyBorder="1" applyAlignment="1">
      <alignment vertical="center"/>
    </xf>
    <xf numFmtId="0" fontId="81" fillId="3" borderId="34" xfId="0" applyFont="1" applyFill="1" applyBorder="1" applyAlignment="1">
      <alignment vertical="center"/>
    </xf>
    <xf numFmtId="0" fontId="81" fillId="3" borderId="33" xfId="0" applyFont="1" applyFill="1" applyBorder="1" applyAlignment="1">
      <alignment vertical="center"/>
    </xf>
    <xf numFmtId="0" fontId="81" fillId="3" borderId="13" xfId="0" applyFont="1" applyFill="1" applyBorder="1" applyAlignment="1">
      <alignment horizontal="center" vertical="center"/>
    </xf>
    <xf numFmtId="0" fontId="81" fillId="3" borderId="9" xfId="0" applyFont="1" applyFill="1" applyBorder="1" applyAlignment="1">
      <alignment vertical="center"/>
    </xf>
    <xf numFmtId="0" fontId="81" fillId="3" borderId="11" xfId="0" applyFont="1" applyFill="1" applyBorder="1" applyAlignment="1">
      <alignment vertical="center"/>
    </xf>
    <xf numFmtId="0" fontId="81" fillId="3" borderId="153" xfId="0" applyFont="1" applyFill="1" applyBorder="1" applyAlignment="1">
      <alignment horizontal="center" vertical="center"/>
    </xf>
    <xf numFmtId="1" fontId="81" fillId="26" borderId="153" xfId="0" applyNumberFormat="1" applyFont="1" applyFill="1" applyBorder="1" applyAlignment="1">
      <alignment horizontal="center" vertical="center"/>
    </xf>
    <xf numFmtId="0" fontId="81" fillId="26" borderId="163" xfId="0" applyFont="1" applyFill="1" applyBorder="1" applyAlignment="1">
      <alignment horizontal="center" vertical="center"/>
    </xf>
    <xf numFmtId="0" fontId="81" fillId="26" borderId="154" xfId="0" applyFont="1" applyFill="1" applyBorder="1" applyAlignment="1">
      <alignment horizontal="center" vertical="center"/>
    </xf>
    <xf numFmtId="0" fontId="83" fillId="3" borderId="163" xfId="0" applyFont="1" applyFill="1" applyBorder="1" applyAlignment="1">
      <alignment horizontal="left" vertical="center"/>
    </xf>
    <xf numFmtId="0" fontId="83" fillId="3" borderId="153" xfId="0" applyFont="1" applyFill="1" applyBorder="1" applyAlignment="1">
      <alignment horizontal="left" vertical="center"/>
    </xf>
    <xf numFmtId="0" fontId="83" fillId="3" borderId="153" xfId="0" applyFont="1" applyFill="1" applyBorder="1" applyAlignment="1">
      <alignment horizontal="center" vertical="center"/>
    </xf>
    <xf numFmtId="2" fontId="83" fillId="26" borderId="153" xfId="0" applyNumberFormat="1" applyFont="1" applyFill="1" applyBorder="1" applyAlignment="1">
      <alignment horizontal="center" vertical="center"/>
    </xf>
    <xf numFmtId="4" fontId="83" fillId="26" borderId="163" xfId="0" applyNumberFormat="1" applyFont="1" applyFill="1" applyBorder="1" applyAlignment="1">
      <alignment horizontal="center" vertical="center"/>
    </xf>
    <xf numFmtId="2" fontId="81" fillId="26" borderId="154" xfId="0" applyNumberFormat="1" applyFont="1" applyFill="1" applyBorder="1" applyAlignment="1">
      <alignment horizontal="center" vertical="center"/>
    </xf>
    <xf numFmtId="2" fontId="83" fillId="3" borderId="153" xfId="0" applyNumberFormat="1" applyFont="1" applyFill="1" applyBorder="1" applyAlignment="1">
      <alignment horizontal="center" vertical="center"/>
    </xf>
    <xf numFmtId="2" fontId="83" fillId="3" borderId="163" xfId="0" applyNumberFormat="1" applyFont="1" applyFill="1" applyBorder="1" applyAlignment="1">
      <alignment horizontal="center" vertical="center"/>
    </xf>
    <xf numFmtId="2" fontId="81" fillId="0" borderId="154" xfId="0" applyNumberFormat="1" applyFont="1" applyBorder="1" applyAlignment="1">
      <alignment horizontal="center" vertical="center"/>
    </xf>
    <xf numFmtId="4" fontId="83" fillId="3" borderId="163" xfId="0" applyNumberFormat="1" applyFont="1" applyFill="1" applyBorder="1" applyAlignment="1">
      <alignment horizontal="center" vertical="center"/>
    </xf>
    <xf numFmtId="2" fontId="83" fillId="3" borderId="154" xfId="0" applyNumberFormat="1" applyFont="1" applyFill="1" applyBorder="1" applyAlignment="1">
      <alignment horizontal="center" vertical="center"/>
    </xf>
    <xf numFmtId="171" fontId="83" fillId="3" borderId="153" xfId="0" applyNumberFormat="1" applyFont="1" applyFill="1" applyBorder="1" applyAlignment="1">
      <alignment horizontal="center" vertical="center"/>
    </xf>
    <xf numFmtId="171" fontId="83" fillId="3" borderId="163" xfId="0" applyNumberFormat="1" applyFont="1" applyFill="1" applyBorder="1" applyAlignment="1">
      <alignment horizontal="center" vertical="center"/>
    </xf>
    <xf numFmtId="171" fontId="81" fillId="0" borderId="154" xfId="0" applyNumberFormat="1" applyFont="1" applyBorder="1" applyAlignment="1">
      <alignment horizontal="center" vertical="center"/>
    </xf>
    <xf numFmtId="3" fontId="83" fillId="3" borderId="153" xfId="0" applyNumberFormat="1" applyFont="1" applyFill="1" applyBorder="1" applyAlignment="1">
      <alignment horizontal="center" vertical="center"/>
    </xf>
    <xf numFmtId="3" fontId="83" fillId="26" borderId="153" xfId="0" applyNumberFormat="1" applyFont="1" applyFill="1" applyBorder="1" applyAlignment="1">
      <alignment horizontal="center" vertical="center"/>
    </xf>
    <xf numFmtId="4" fontId="83" fillId="3" borderId="94" xfId="0" applyNumberFormat="1" applyFont="1" applyFill="1" applyBorder="1" applyAlignment="1">
      <alignment horizontal="center" vertical="center"/>
    </xf>
    <xf numFmtId="1" fontId="83" fillId="26" borderId="153" xfId="0" applyNumberFormat="1" applyFont="1" applyFill="1" applyBorder="1" applyAlignment="1">
      <alignment horizontal="center" vertical="center"/>
    </xf>
    <xf numFmtId="0" fontId="83" fillId="3" borderId="94" xfId="0" applyFont="1" applyFill="1" applyBorder="1" applyAlignment="1">
      <alignment horizontal="left" vertical="center"/>
    </xf>
    <xf numFmtId="3" fontId="83" fillId="3" borderId="2" xfId="0" applyNumberFormat="1" applyFont="1" applyFill="1" applyBorder="1" applyAlignment="1">
      <alignment vertical="center"/>
    </xf>
    <xf numFmtId="3" fontId="83" fillId="3" borderId="21" xfId="0" applyNumberFormat="1" applyFont="1" applyFill="1" applyBorder="1" applyAlignment="1">
      <alignment vertical="center"/>
    </xf>
    <xf numFmtId="3" fontId="83" fillId="3" borderId="159" xfId="0" applyNumberFormat="1" applyFont="1" applyFill="1" applyBorder="1" applyAlignment="1">
      <alignment vertical="center"/>
    </xf>
    <xf numFmtId="0" fontId="83" fillId="3" borderId="86" xfId="0" applyFont="1" applyFill="1" applyBorder="1" applyAlignment="1">
      <alignment horizontal="center" vertical="center"/>
    </xf>
    <xf numFmtId="3" fontId="87" fillId="3" borderId="86" xfId="0" applyNumberFormat="1" applyFont="1" applyFill="1" applyBorder="1" applyAlignment="1">
      <alignment horizontal="center" vertical="center"/>
    </xf>
    <xf numFmtId="3" fontId="83" fillId="3" borderId="17" xfId="0" applyNumberFormat="1" applyFont="1" applyFill="1" applyBorder="1" applyAlignment="1">
      <alignment vertical="center"/>
    </xf>
    <xf numFmtId="3" fontId="87" fillId="3" borderId="23" xfId="0" applyNumberFormat="1" applyFont="1" applyFill="1" applyBorder="1" applyAlignment="1">
      <alignment vertical="center"/>
    </xf>
    <xf numFmtId="0" fontId="83" fillId="3" borderId="18" xfId="0" applyFont="1" applyFill="1" applyBorder="1" applyAlignment="1">
      <alignment horizontal="center" vertical="center"/>
    </xf>
    <xf numFmtId="0" fontId="83" fillId="3" borderId="4" xfId="0" applyFont="1" applyFill="1" applyBorder="1" applyAlignment="1">
      <alignment horizontal="center" vertical="center"/>
    </xf>
    <xf numFmtId="0" fontId="83" fillId="3" borderId="20" xfId="0" applyFont="1" applyFill="1" applyBorder="1" applyAlignment="1">
      <alignment horizontal="center" vertical="center"/>
    </xf>
    <xf numFmtId="171" fontId="93" fillId="3" borderId="24" xfId="0" applyNumberFormat="1" applyFont="1" applyFill="1" applyBorder="1" applyAlignment="1">
      <alignment horizontal="center" vertical="center"/>
    </xf>
    <xf numFmtId="3" fontId="93" fillId="3" borderId="22" xfId="0" applyNumberFormat="1" applyFont="1" applyFill="1" applyBorder="1" applyAlignment="1">
      <alignment horizontal="center" vertical="center"/>
    </xf>
    <xf numFmtId="172" fontId="93" fillId="3" borderId="22" xfId="0" applyNumberFormat="1" applyFont="1" applyFill="1" applyBorder="1" applyAlignment="1">
      <alignment horizontal="center" vertical="center"/>
    </xf>
    <xf numFmtId="4" fontId="93" fillId="3" borderId="48" xfId="0" applyNumberFormat="1" applyFont="1" applyFill="1" applyBorder="1" applyAlignment="1">
      <alignment horizontal="center" vertical="center"/>
    </xf>
    <xf numFmtId="0" fontId="83" fillId="3" borderId="2" xfId="0" applyFont="1" applyFill="1" applyBorder="1" applyAlignment="1">
      <alignment vertical="center"/>
    </xf>
    <xf numFmtId="0" fontId="83" fillId="3" borderId="3" xfId="0" applyFont="1" applyFill="1" applyBorder="1" applyAlignment="1">
      <alignment vertical="center"/>
    </xf>
    <xf numFmtId="0" fontId="83" fillId="3" borderId="21" xfId="0" applyFont="1" applyFill="1" applyBorder="1" applyAlignment="1">
      <alignment vertical="center"/>
    </xf>
    <xf numFmtId="0" fontId="83" fillId="3" borderId="0" xfId="0" applyFont="1" applyFill="1" applyAlignment="1">
      <alignment vertical="center"/>
    </xf>
    <xf numFmtId="0" fontId="83" fillId="3" borderId="159" xfId="0" applyFont="1" applyFill="1" applyBorder="1" applyAlignment="1">
      <alignment vertical="center"/>
    </xf>
    <xf numFmtId="0" fontId="81" fillId="3" borderId="2" xfId="0" applyFont="1" applyFill="1" applyBorder="1" applyAlignment="1">
      <alignment horizontal="left" vertical="center"/>
    </xf>
    <xf numFmtId="0" fontId="79" fillId="3" borderId="3" xfId="0" applyFont="1" applyFill="1" applyBorder="1" applyAlignment="1">
      <alignment horizontal="left" vertical="center"/>
    </xf>
    <xf numFmtId="0" fontId="96" fillId="3" borderId="153" xfId="0" applyFont="1" applyFill="1" applyBorder="1" applyAlignment="1">
      <alignment horizontal="center" vertical="center"/>
    </xf>
    <xf numFmtId="175" fontId="96" fillId="3" borderId="3" xfId="0" applyNumberFormat="1" applyFont="1" applyFill="1" applyBorder="1" applyAlignment="1">
      <alignment vertical="center"/>
    </xf>
    <xf numFmtId="175" fontId="96" fillId="3" borderId="21" xfId="0" applyNumberFormat="1" applyFont="1" applyFill="1" applyBorder="1" applyAlignment="1">
      <alignment vertical="center"/>
    </xf>
    <xf numFmtId="0" fontId="78" fillId="26" borderId="163" xfId="0" applyFont="1" applyFill="1" applyBorder="1" applyAlignment="1">
      <alignment horizontal="center" vertical="center"/>
    </xf>
    <xf numFmtId="175" fontId="96" fillId="3" borderId="0" xfId="0" applyNumberFormat="1" applyFont="1" applyFill="1" applyAlignment="1">
      <alignment vertical="center"/>
    </xf>
    <xf numFmtId="175" fontId="96" fillId="3" borderId="159" xfId="0" applyNumberFormat="1" applyFont="1" applyFill="1" applyBorder="1" applyAlignment="1">
      <alignment vertical="center"/>
    </xf>
    <xf numFmtId="14" fontId="96" fillId="26" borderId="153" xfId="0" applyNumberFormat="1" applyFont="1" applyFill="1" applyBorder="1" applyAlignment="1">
      <alignment horizontal="center" vertical="center"/>
    </xf>
    <xf numFmtId="170" fontId="96" fillId="26" borderId="153" xfId="0" applyNumberFormat="1" applyFont="1" applyFill="1" applyBorder="1" applyAlignment="1">
      <alignment horizontal="center" vertical="center"/>
    </xf>
    <xf numFmtId="4" fontId="96" fillId="26" borderId="153" xfId="0" applyNumberFormat="1" applyFont="1" applyFill="1" applyBorder="1" applyAlignment="1">
      <alignment horizontal="center" vertical="center"/>
    </xf>
    <xf numFmtId="2" fontId="96" fillId="3" borderId="153" xfId="0" applyNumberFormat="1" applyFont="1" applyFill="1" applyBorder="1" applyAlignment="1">
      <alignment horizontal="center" vertical="center"/>
    </xf>
    <xf numFmtId="2" fontId="95" fillId="3" borderId="163" xfId="0" applyNumberFormat="1" applyFont="1" applyFill="1" applyBorder="1" applyAlignment="1">
      <alignment horizontal="center" vertical="center"/>
    </xf>
    <xf numFmtId="2" fontId="95" fillId="3" borderId="153" xfId="0" applyNumberFormat="1" applyFont="1" applyFill="1" applyBorder="1" applyAlignment="1">
      <alignment horizontal="center" vertical="center"/>
    </xf>
    <xf numFmtId="1" fontId="96" fillId="26" borderId="153" xfId="0" applyNumberFormat="1" applyFont="1" applyFill="1" applyBorder="1" applyAlignment="1">
      <alignment horizontal="center" vertical="center"/>
    </xf>
    <xf numFmtId="172" fontId="96" fillId="3" borderId="153" xfId="0" applyNumberFormat="1" applyFont="1" applyFill="1" applyBorder="1" applyAlignment="1">
      <alignment horizontal="center" vertical="center"/>
    </xf>
    <xf numFmtId="172" fontId="96" fillId="3" borderId="154" xfId="0" applyNumberFormat="1" applyFont="1" applyFill="1" applyBorder="1" applyAlignment="1">
      <alignment horizontal="center" vertical="center"/>
    </xf>
    <xf numFmtId="172" fontId="97" fillId="3" borderId="154" xfId="0" applyNumberFormat="1" applyFont="1" applyFill="1" applyBorder="1" applyAlignment="1">
      <alignment horizontal="center" vertical="center"/>
    </xf>
    <xf numFmtId="171" fontId="97" fillId="3" borderId="31" xfId="0" applyNumberFormat="1" applyFont="1" applyFill="1" applyBorder="1" applyAlignment="1">
      <alignment horizontal="center" vertical="center"/>
    </xf>
    <xf numFmtId="171" fontId="95" fillId="3" borderId="154" xfId="0" applyNumberFormat="1" applyFont="1" applyFill="1" applyBorder="1" applyAlignment="1">
      <alignment horizontal="center" vertical="center"/>
    </xf>
    <xf numFmtId="2" fontId="95" fillId="3" borderId="155" xfId="0" applyNumberFormat="1" applyFont="1" applyFill="1" applyBorder="1" applyAlignment="1">
      <alignment horizontal="center" vertical="center"/>
    </xf>
    <xf numFmtId="2" fontId="95" fillId="3" borderId="156" xfId="0" applyNumberFormat="1" applyFont="1" applyFill="1" applyBorder="1" applyAlignment="1">
      <alignment horizontal="center" vertical="center"/>
    </xf>
    <xf numFmtId="1" fontId="96" fillId="26" borderId="156" xfId="0" applyNumberFormat="1" applyFont="1" applyFill="1" applyBorder="1" applyAlignment="1">
      <alignment horizontal="center" vertical="center"/>
    </xf>
    <xf numFmtId="171" fontId="97" fillId="3" borderId="51" xfId="0" applyNumberFormat="1" applyFont="1" applyFill="1" applyBorder="1" applyAlignment="1">
      <alignment horizontal="center" vertical="center"/>
    </xf>
    <xf numFmtId="175" fontId="96" fillId="3" borderId="14" xfId="0" applyNumberFormat="1" applyFont="1" applyFill="1" applyBorder="1" applyAlignment="1">
      <alignment vertical="center"/>
    </xf>
    <xf numFmtId="175" fontId="96" fillId="3" borderId="23" xfId="0" applyNumberFormat="1" applyFont="1" applyFill="1" applyBorder="1" applyAlignment="1">
      <alignment vertical="center"/>
    </xf>
    <xf numFmtId="175" fontId="95" fillId="3" borderId="2" xfId="0" applyNumberFormat="1" applyFont="1" applyFill="1" applyBorder="1" applyAlignment="1">
      <alignment vertical="center"/>
    </xf>
    <xf numFmtId="175" fontId="95" fillId="3" borderId="3" xfId="0" applyNumberFormat="1" applyFont="1" applyFill="1" applyBorder="1" applyAlignment="1">
      <alignment vertical="center"/>
    </xf>
    <xf numFmtId="175" fontId="95" fillId="3" borderId="21" xfId="0" applyNumberFormat="1" applyFont="1" applyFill="1" applyBorder="1" applyAlignment="1">
      <alignment vertical="center"/>
    </xf>
    <xf numFmtId="2" fontId="95" fillId="3" borderId="83" xfId="0" applyNumberFormat="1" applyFont="1" applyFill="1" applyBorder="1" applyAlignment="1">
      <alignment horizontal="center" vertical="center"/>
    </xf>
    <xf numFmtId="2" fontId="95" fillId="3" borderId="86" xfId="0" applyNumberFormat="1" applyFont="1" applyFill="1" applyBorder="1" applyAlignment="1">
      <alignment horizontal="center" vertical="center"/>
    </xf>
    <xf numFmtId="1" fontId="96" fillId="26" borderId="86" xfId="0" applyNumberFormat="1" applyFont="1" applyFill="1" applyBorder="1" applyAlignment="1">
      <alignment horizontal="center" vertical="center"/>
    </xf>
    <xf numFmtId="2" fontId="95" fillId="3" borderId="0" xfId="0" applyNumberFormat="1" applyFont="1" applyFill="1" applyAlignment="1">
      <alignment horizontal="center" vertical="center"/>
    </xf>
    <xf numFmtId="172" fontId="96" fillId="3" borderId="0" xfId="0" applyNumberFormat="1" applyFont="1" applyFill="1" applyAlignment="1">
      <alignment horizontal="center" vertical="center"/>
    </xf>
    <xf numFmtId="171" fontId="97" fillId="3" borderId="0" xfId="0" applyNumberFormat="1" applyFont="1" applyFill="1" applyAlignment="1">
      <alignment horizontal="center" vertical="center"/>
    </xf>
    <xf numFmtId="0" fontId="83" fillId="3" borderId="162" xfId="0" applyFont="1" applyFill="1" applyBorder="1" applyAlignment="1">
      <alignment vertical="center"/>
    </xf>
    <xf numFmtId="0" fontId="83" fillId="3" borderId="161" xfId="0" applyFont="1" applyFill="1" applyBorder="1" applyAlignment="1">
      <alignment vertical="center"/>
    </xf>
    <xf numFmtId="0" fontId="83" fillId="3" borderId="164" xfId="0" applyFont="1" applyFill="1" applyBorder="1" applyAlignment="1">
      <alignment vertical="center"/>
    </xf>
    <xf numFmtId="180" fontId="79" fillId="26" borderId="33" xfId="0" applyNumberFormat="1" applyFont="1" applyFill="1" applyBorder="1" applyAlignment="1">
      <alignment horizontal="center" vertical="center"/>
    </xf>
    <xf numFmtId="1" fontId="100" fillId="0" borderId="38" xfId="10" applyNumberFormat="1" applyFont="1" applyFill="1" applyBorder="1" applyAlignment="1">
      <alignment horizontal="center" vertical="center"/>
    </xf>
    <xf numFmtId="2" fontId="100" fillId="0" borderId="40" xfId="10" applyNumberFormat="1" applyFont="1" applyFill="1" applyBorder="1" applyAlignment="1">
      <alignment horizontal="center" vertical="center"/>
    </xf>
    <xf numFmtId="4" fontId="100" fillId="0" borderId="40" xfId="10" applyNumberFormat="1" applyFont="1" applyFill="1" applyBorder="1" applyAlignment="1">
      <alignment horizontal="center" vertical="center"/>
    </xf>
    <xf numFmtId="0" fontId="83" fillId="3" borderId="127" xfId="0" applyFont="1" applyFill="1" applyBorder="1" applyAlignment="1">
      <alignment horizontal="center" vertical="center"/>
    </xf>
    <xf numFmtId="0" fontId="83" fillId="3" borderId="94" xfId="0" applyFont="1" applyFill="1" applyBorder="1" applyAlignment="1">
      <alignment vertical="center"/>
    </xf>
    <xf numFmtId="0" fontId="83" fillId="0" borderId="127" xfId="0" applyFont="1" applyBorder="1" applyAlignment="1">
      <alignment horizontal="center" vertical="center"/>
    </xf>
    <xf numFmtId="2" fontId="83" fillId="26" borderId="127" xfId="0" applyNumberFormat="1" applyFont="1" applyFill="1" applyBorder="1" applyAlignment="1">
      <alignment horizontal="center" vertical="center"/>
    </xf>
    <xf numFmtId="2" fontId="100" fillId="0" borderId="35" xfId="10" applyNumberFormat="1" applyFont="1" applyFill="1" applyBorder="1" applyAlignment="1">
      <alignment horizontal="center" vertical="center"/>
    </xf>
    <xf numFmtId="0" fontId="94" fillId="3" borderId="2" xfId="0" applyFont="1" applyFill="1" applyBorder="1" applyAlignment="1">
      <alignment vertical="center"/>
    </xf>
    <xf numFmtId="0" fontId="94" fillId="3" borderId="21" xfId="0" applyFont="1" applyFill="1" applyBorder="1" applyAlignment="1">
      <alignment vertical="center"/>
    </xf>
    <xf numFmtId="0" fontId="83" fillId="0" borderId="23" xfId="0" applyFont="1" applyBorder="1" applyAlignment="1">
      <alignment horizontal="center" vertical="center"/>
    </xf>
    <xf numFmtId="0" fontId="83" fillId="0" borderId="158" xfId="0" applyFont="1" applyBorder="1" applyAlignment="1">
      <alignment horizontal="center" vertical="center"/>
    </xf>
    <xf numFmtId="172" fontId="83" fillId="0" borderId="158" xfId="10" applyNumberFormat="1" applyFont="1" applyBorder="1" applyAlignment="1">
      <alignment horizontal="center" vertical="center"/>
    </xf>
    <xf numFmtId="2" fontId="83" fillId="26" borderId="158" xfId="0" applyNumberFormat="1" applyFont="1" applyFill="1" applyBorder="1" applyAlignment="1">
      <alignment horizontal="center" vertical="center"/>
    </xf>
    <xf numFmtId="0" fontId="94" fillId="3" borderId="17" xfId="0" applyFont="1" applyFill="1" applyBorder="1" applyAlignment="1">
      <alignment vertical="center"/>
    </xf>
    <xf numFmtId="0" fontId="94" fillId="3" borderId="23" xfId="0" applyFont="1" applyFill="1" applyBorder="1" applyAlignment="1">
      <alignment vertical="center"/>
    </xf>
    <xf numFmtId="181" fontId="103" fillId="26" borderId="21" xfId="0" applyNumberFormat="1" applyFont="1" applyFill="1" applyBorder="1" applyAlignment="1">
      <alignment horizontal="center" vertical="center"/>
    </xf>
    <xf numFmtId="181" fontId="93" fillId="3" borderId="21" xfId="0" applyNumberFormat="1" applyFont="1" applyFill="1" applyBorder="1" applyAlignment="1">
      <alignment vertical="center"/>
    </xf>
    <xf numFmtId="43" fontId="103" fillId="26" borderId="38" xfId="10" applyNumberFormat="1" applyFont="1" applyFill="1" applyBorder="1" applyAlignment="1">
      <alignment vertical="center"/>
    </xf>
    <xf numFmtId="4" fontId="83" fillId="0" borderId="40" xfId="10" applyNumberFormat="1" applyFont="1" applyFill="1" applyBorder="1" applyAlignment="1">
      <alignment horizontal="center" vertical="center"/>
    </xf>
    <xf numFmtId="0" fontId="83" fillId="0" borderId="35" xfId="0" applyFont="1" applyBorder="1" applyAlignment="1">
      <alignment horizontal="center" vertical="center"/>
    </xf>
    <xf numFmtId="4" fontId="83" fillId="0" borderId="40" xfId="10" applyNumberFormat="1" applyFont="1" applyBorder="1" applyAlignment="1">
      <alignment horizontal="center" vertical="center"/>
    </xf>
    <xf numFmtId="0" fontId="83" fillId="0" borderId="40" xfId="0" applyFont="1" applyBorder="1" applyAlignment="1">
      <alignment horizontal="center" vertical="center"/>
    </xf>
    <xf numFmtId="2" fontId="83" fillId="0" borderId="39" xfId="10" applyNumberFormat="1" applyFont="1" applyBorder="1" applyAlignment="1">
      <alignment horizontal="center" vertical="center"/>
    </xf>
    <xf numFmtId="4" fontId="83" fillId="26" borderId="82" xfId="10" applyNumberFormat="1" applyFont="1" applyFill="1" applyBorder="1" applyAlignment="1">
      <alignment horizontal="center" vertical="center"/>
    </xf>
    <xf numFmtId="4" fontId="83" fillId="0" borderId="127" xfId="10" applyNumberFormat="1" applyFont="1" applyBorder="1" applyAlignment="1">
      <alignment horizontal="center" vertical="center"/>
    </xf>
    <xf numFmtId="171" fontId="83" fillId="0" borderId="127" xfId="9" applyNumberFormat="1" applyFont="1" applyBorder="1" applyAlignment="1">
      <alignment vertical="center"/>
    </xf>
    <xf numFmtId="10" fontId="93" fillId="0" borderId="127" xfId="9" applyNumberFormat="1" applyFont="1" applyBorder="1" applyAlignment="1">
      <alignment horizontal="right" vertical="center"/>
    </xf>
    <xf numFmtId="0" fontId="94" fillId="3" borderId="159" xfId="0" applyFont="1" applyFill="1" applyBorder="1" applyAlignment="1">
      <alignment vertical="center"/>
    </xf>
    <xf numFmtId="0" fontId="83" fillId="0" borderId="39" xfId="0" applyFont="1" applyBorder="1" applyAlignment="1">
      <alignment horizontal="center" vertical="center"/>
    </xf>
    <xf numFmtId="10" fontId="83" fillId="0" borderId="127" xfId="9" applyNumberFormat="1" applyFont="1" applyBorder="1" applyAlignment="1">
      <alignment vertical="center"/>
    </xf>
    <xf numFmtId="4" fontId="83" fillId="0" borderId="35" xfId="10" applyNumberFormat="1" applyFont="1" applyBorder="1" applyAlignment="1">
      <alignment horizontal="center" vertical="center"/>
    </xf>
    <xf numFmtId="4" fontId="83" fillId="26" borderId="93" xfId="10" applyNumberFormat="1" applyFont="1" applyFill="1" applyBorder="1" applyAlignment="1">
      <alignment horizontal="center" vertical="center"/>
    </xf>
    <xf numFmtId="4" fontId="83" fillId="0" borderId="158" xfId="10" applyNumberFormat="1" applyFont="1" applyBorder="1" applyAlignment="1">
      <alignment horizontal="center" vertical="center"/>
    </xf>
    <xf numFmtId="171" fontId="83" fillId="0" borderId="158" xfId="9" applyNumberFormat="1" applyFont="1" applyBorder="1" applyAlignment="1">
      <alignment vertical="center"/>
    </xf>
    <xf numFmtId="10" fontId="93" fillId="0" borderId="158" xfId="9" applyNumberFormat="1" applyFont="1" applyBorder="1" applyAlignment="1">
      <alignment horizontal="right" vertical="center"/>
    </xf>
    <xf numFmtId="0" fontId="83" fillId="3" borderId="163" xfId="0" applyFont="1" applyFill="1" applyBorder="1" applyAlignment="1">
      <alignment horizontal="center" vertical="center"/>
    </xf>
    <xf numFmtId="0" fontId="87" fillId="3" borderId="153" xfId="0" applyFont="1" applyFill="1" applyBorder="1" applyAlignment="1">
      <alignment horizontal="center" vertical="center"/>
    </xf>
    <xf numFmtId="0" fontId="83" fillId="3" borderId="154" xfId="0" applyFont="1" applyFill="1" applyBorder="1" applyAlignment="1">
      <alignment horizontal="center" vertical="center"/>
    </xf>
    <xf numFmtId="0" fontId="87" fillId="3" borderId="163" xfId="0" applyFont="1" applyFill="1" applyBorder="1" applyAlignment="1">
      <alignment horizontal="center" vertical="center"/>
    </xf>
    <xf numFmtId="171" fontId="87" fillId="3" borderId="153" xfId="0" applyNumberFormat="1" applyFont="1" applyFill="1" applyBorder="1" applyAlignment="1">
      <alignment horizontal="center" vertical="center"/>
    </xf>
    <xf numFmtId="171" fontId="93" fillId="3" borderId="153" xfId="0" applyNumberFormat="1" applyFont="1" applyFill="1" applyBorder="1" applyAlignment="1">
      <alignment horizontal="center" vertical="center"/>
    </xf>
    <xf numFmtId="171" fontId="87" fillId="3" borderId="154" xfId="0" applyNumberFormat="1" applyFont="1" applyFill="1" applyBorder="1" applyAlignment="1">
      <alignment horizontal="center" vertical="center"/>
    </xf>
    <xf numFmtId="171" fontId="87" fillId="3" borderId="156" xfId="0" applyNumberFormat="1" applyFont="1" applyFill="1" applyBorder="1" applyAlignment="1">
      <alignment horizontal="center" vertical="center"/>
    </xf>
    <xf numFmtId="171" fontId="87" fillId="3" borderId="89" xfId="0" applyNumberFormat="1" applyFont="1" applyFill="1" applyBorder="1" applyAlignment="1">
      <alignment horizontal="center" vertical="center"/>
    </xf>
    <xf numFmtId="0" fontId="87" fillId="3" borderId="155" xfId="0" applyFont="1" applyFill="1" applyBorder="1" applyAlignment="1">
      <alignment horizontal="center" vertical="center"/>
    </xf>
    <xf numFmtId="171" fontId="93" fillId="3" borderId="156" xfId="0" applyNumberFormat="1" applyFont="1" applyFill="1" applyBorder="1" applyAlignment="1">
      <alignment horizontal="center" vertical="center"/>
    </xf>
    <xf numFmtId="0" fontId="87" fillId="26" borderId="2" xfId="0" applyFont="1" applyFill="1" applyBorder="1" applyAlignment="1">
      <alignment vertical="center"/>
    </xf>
    <xf numFmtId="0" fontId="87" fillId="26" borderId="3" xfId="0" applyFont="1" applyFill="1" applyBorder="1" applyAlignment="1">
      <alignment vertical="center"/>
    </xf>
    <xf numFmtId="0" fontId="87" fillId="26" borderId="21" xfId="0" applyFont="1" applyFill="1" applyBorder="1" applyAlignment="1">
      <alignment vertical="center"/>
    </xf>
    <xf numFmtId="0" fontId="87" fillId="7" borderId="0" xfId="0" applyFont="1" applyFill="1" applyAlignment="1">
      <alignment vertical="center"/>
    </xf>
    <xf numFmtId="0" fontId="87" fillId="7" borderId="159" xfId="0" applyFont="1" applyFill="1" applyBorder="1" applyAlignment="1">
      <alignment vertical="center"/>
    </xf>
    <xf numFmtId="0" fontId="87" fillId="7" borderId="37" xfId="0" applyFont="1" applyFill="1" applyBorder="1" applyAlignment="1">
      <alignment vertical="center"/>
    </xf>
    <xf numFmtId="0" fontId="87" fillId="7" borderId="36" xfId="0" applyFont="1" applyFill="1" applyBorder="1" applyAlignment="1">
      <alignment vertical="center"/>
    </xf>
    <xf numFmtId="0" fontId="87" fillId="7" borderId="44" xfId="0" applyFont="1" applyFill="1" applyBorder="1" applyAlignment="1">
      <alignment vertical="center"/>
    </xf>
    <xf numFmtId="0" fontId="87" fillId="3" borderId="168" xfId="0" applyFont="1" applyFill="1" applyBorder="1" applyAlignment="1">
      <alignment horizontal="center" vertical="center"/>
    </xf>
    <xf numFmtId="0" fontId="98" fillId="3" borderId="41" xfId="0" applyFont="1" applyFill="1" applyBorder="1" applyAlignment="1">
      <alignment horizontal="center" vertical="center"/>
    </xf>
    <xf numFmtId="14" fontId="88" fillId="26" borderId="43" xfId="0" applyNumberFormat="1" applyFont="1" applyFill="1" applyBorder="1" applyAlignment="1">
      <alignment horizontal="center" vertical="center"/>
    </xf>
    <xf numFmtId="0" fontId="94" fillId="3" borderId="0" xfId="0" applyFont="1" applyFill="1" applyAlignment="1">
      <alignment vertical="center"/>
    </xf>
    <xf numFmtId="1" fontId="83" fillId="26" borderId="163" xfId="0" applyNumberFormat="1" applyFont="1" applyFill="1" applyBorder="1" applyAlignment="1">
      <alignment horizontal="center" vertical="center"/>
    </xf>
    <xf numFmtId="1" fontId="83" fillId="26" borderId="154" xfId="0" applyNumberFormat="1" applyFont="1" applyFill="1" applyBorder="1" applyAlignment="1">
      <alignment horizontal="center" vertical="center"/>
    </xf>
    <xf numFmtId="1" fontId="83" fillId="26" borderId="152" xfId="0" applyNumberFormat="1" applyFont="1" applyFill="1" applyBorder="1" applyAlignment="1">
      <alignment horizontal="center" vertical="center"/>
    </xf>
    <xf numFmtId="4" fontId="83" fillId="26" borderId="163" xfId="10" applyNumberFormat="1" applyFont="1" applyFill="1" applyBorder="1" applyAlignment="1">
      <alignment horizontal="center" vertical="center"/>
    </xf>
    <xf numFmtId="4" fontId="83" fillId="26" borderId="153" xfId="10" applyNumberFormat="1" applyFont="1" applyFill="1" applyBorder="1" applyAlignment="1">
      <alignment horizontal="center" vertical="center"/>
    </xf>
    <xf numFmtId="4" fontId="83" fillId="26" borderId="154" xfId="10" applyNumberFormat="1" applyFont="1" applyFill="1" applyBorder="1" applyAlignment="1">
      <alignment horizontal="center" vertical="center"/>
    </xf>
    <xf numFmtId="4" fontId="83" fillId="26" borderId="152" xfId="10" applyNumberFormat="1" applyFont="1" applyFill="1" applyBorder="1" applyAlignment="1">
      <alignment horizontal="center" vertical="center"/>
    </xf>
    <xf numFmtId="2" fontId="83" fillId="0" borderId="163" xfId="10" applyNumberFormat="1" applyFont="1" applyFill="1" applyBorder="1" applyAlignment="1">
      <alignment horizontal="center" vertical="center"/>
    </xf>
    <xf numFmtId="2" fontId="83" fillId="0" borderId="153" xfId="10" applyNumberFormat="1" applyFont="1" applyFill="1" applyBorder="1" applyAlignment="1">
      <alignment horizontal="center" vertical="center"/>
    </xf>
    <xf numFmtId="2" fontId="83" fillId="0" borderId="154" xfId="10" applyNumberFormat="1" applyFont="1" applyFill="1" applyBorder="1" applyAlignment="1">
      <alignment horizontal="center" vertical="center"/>
    </xf>
    <xf numFmtId="4" fontId="83" fillId="0" borderId="152" xfId="10" applyNumberFormat="1" applyFont="1" applyFill="1" applyBorder="1" applyAlignment="1">
      <alignment horizontal="center" vertical="center"/>
    </xf>
    <xf numFmtId="4" fontId="83" fillId="0" borderId="153" xfId="10" applyNumberFormat="1" applyFont="1" applyFill="1" applyBorder="1" applyAlignment="1">
      <alignment horizontal="center" vertical="center"/>
    </xf>
    <xf numFmtId="4" fontId="83" fillId="0" borderId="154" xfId="10" applyNumberFormat="1" applyFont="1" applyFill="1" applyBorder="1" applyAlignment="1">
      <alignment horizontal="center" vertical="center"/>
    </xf>
    <xf numFmtId="2" fontId="83" fillId="0" borderId="163" xfId="10" applyNumberFormat="1" applyFont="1" applyBorder="1" applyAlignment="1">
      <alignment horizontal="center" vertical="center"/>
    </xf>
    <xf numFmtId="2" fontId="83" fillId="0" borderId="153" xfId="10" applyNumberFormat="1" applyFont="1" applyBorder="1" applyAlignment="1">
      <alignment horizontal="center" vertical="center"/>
    </xf>
    <xf numFmtId="2" fontId="83" fillId="0" borderId="154" xfId="10" applyNumberFormat="1" applyFont="1" applyBorder="1" applyAlignment="1">
      <alignment horizontal="center" vertical="center"/>
    </xf>
    <xf numFmtId="2" fontId="83" fillId="0" borderId="152" xfId="10" applyNumberFormat="1" applyFont="1" applyBorder="1" applyAlignment="1">
      <alignment horizontal="center" vertical="center"/>
    </xf>
    <xf numFmtId="4" fontId="83" fillId="0" borderId="163" xfId="10" applyNumberFormat="1" applyFont="1" applyBorder="1" applyAlignment="1">
      <alignment horizontal="center" vertical="center"/>
    </xf>
    <xf numFmtId="4" fontId="83" fillId="0" borderId="153" xfId="10" applyNumberFormat="1" applyFont="1" applyBorder="1" applyAlignment="1">
      <alignment horizontal="center" vertical="center"/>
    </xf>
    <xf numFmtId="4" fontId="83" fillId="0" borderId="154" xfId="10" applyNumberFormat="1" applyFont="1" applyBorder="1" applyAlignment="1">
      <alignment horizontal="center" vertical="center"/>
    </xf>
    <xf numFmtId="4" fontId="83" fillId="0" borderId="152" xfId="10" applyNumberFormat="1" applyFont="1" applyBorder="1" applyAlignment="1">
      <alignment horizontal="center" vertical="center"/>
    </xf>
    <xf numFmtId="171" fontId="87" fillId="0" borderId="163" xfId="9" applyNumberFormat="1" applyFont="1" applyBorder="1" applyAlignment="1">
      <alignment horizontal="center" vertical="center"/>
    </xf>
    <xf numFmtId="171" fontId="87" fillId="0" borderId="153" xfId="9" applyNumberFormat="1" applyFont="1" applyBorder="1" applyAlignment="1">
      <alignment horizontal="center" vertical="center"/>
    </xf>
    <xf numFmtId="171" fontId="87" fillId="0" borderId="154" xfId="9" applyNumberFormat="1" applyFont="1" applyBorder="1" applyAlignment="1">
      <alignment horizontal="center" vertical="center"/>
    </xf>
    <xf numFmtId="171" fontId="79" fillId="0" borderId="152" xfId="10" applyNumberFormat="1" applyFont="1" applyBorder="1" applyAlignment="1">
      <alignment horizontal="center" vertical="center"/>
    </xf>
    <xf numFmtId="171" fontId="79" fillId="0" borderId="153" xfId="10" applyNumberFormat="1" applyFont="1" applyBorder="1" applyAlignment="1">
      <alignment horizontal="center" vertical="center"/>
    </xf>
    <xf numFmtId="171" fontId="79" fillId="0" borderId="154" xfId="10" applyNumberFormat="1" applyFont="1" applyBorder="1" applyAlignment="1">
      <alignment horizontal="center" vertical="center"/>
    </xf>
    <xf numFmtId="1" fontId="87" fillId="26" borderId="83" xfId="0" applyNumberFormat="1" applyFont="1" applyFill="1" applyBorder="1" applyAlignment="1">
      <alignment horizontal="center" vertical="center"/>
    </xf>
    <xf numFmtId="1" fontId="87" fillId="26" borderId="86" xfId="0" applyNumberFormat="1" applyFont="1" applyFill="1" applyBorder="1" applyAlignment="1">
      <alignment horizontal="center" vertical="center"/>
    </xf>
    <xf numFmtId="1" fontId="87" fillId="26" borderId="84" xfId="0" applyNumberFormat="1" applyFont="1" applyFill="1" applyBorder="1" applyAlignment="1">
      <alignment horizontal="center" vertical="center"/>
    </xf>
    <xf numFmtId="0" fontId="81" fillId="3" borderId="0" xfId="0" applyFont="1" applyFill="1" applyAlignment="1">
      <alignment vertical="center"/>
    </xf>
    <xf numFmtId="0" fontId="81" fillId="3" borderId="0" xfId="0" applyFont="1" applyFill="1" applyAlignment="1">
      <alignment horizontal="center" vertical="center"/>
    </xf>
    <xf numFmtId="171" fontId="87" fillId="26" borderId="7" xfId="9" applyNumberFormat="1" applyFont="1" applyFill="1" applyBorder="1" applyAlignment="1">
      <alignment horizontal="center" vertical="center"/>
    </xf>
    <xf numFmtId="171" fontId="87" fillId="26" borderId="154" xfId="9" applyNumberFormat="1" applyFont="1" applyFill="1" applyBorder="1" applyAlignment="1">
      <alignment horizontal="center" vertical="center"/>
    </xf>
    <xf numFmtId="171" fontId="87" fillId="26" borderId="154" xfId="0" applyNumberFormat="1" applyFont="1" applyFill="1" applyBorder="1" applyAlignment="1">
      <alignment horizontal="center" vertical="center"/>
    </xf>
    <xf numFmtId="1" fontId="87" fillId="26" borderId="154" xfId="0" applyNumberFormat="1" applyFont="1" applyFill="1" applyBorder="1" applyAlignment="1">
      <alignment horizontal="center" vertical="center"/>
    </xf>
    <xf numFmtId="10" fontId="100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 vertical="center"/>
    </xf>
    <xf numFmtId="0" fontId="87" fillId="26" borderId="154" xfId="0" applyFont="1" applyFill="1" applyBorder="1" applyAlignment="1">
      <alignment horizontal="center" vertical="center"/>
    </xf>
    <xf numFmtId="0" fontId="106" fillId="3" borderId="84" xfId="0" applyFont="1" applyFill="1" applyBorder="1" applyAlignment="1">
      <alignment vertical="center"/>
    </xf>
    <xf numFmtId="0" fontId="88" fillId="3" borderId="0" xfId="0" applyFont="1" applyFill="1" applyAlignment="1">
      <alignment vertical="center" textRotation="90"/>
    </xf>
    <xf numFmtId="0" fontId="79" fillId="3" borderId="159" xfId="0" applyFont="1" applyFill="1" applyBorder="1" applyAlignment="1">
      <alignment horizontal="center" vertical="center"/>
    </xf>
    <xf numFmtId="171" fontId="100" fillId="3" borderId="0" xfId="0" applyNumberFormat="1" applyFont="1" applyFill="1" applyAlignment="1">
      <alignment vertical="center"/>
    </xf>
    <xf numFmtId="0" fontId="91" fillId="3" borderId="0" xfId="0" applyFont="1" applyFill="1"/>
    <xf numFmtId="0" fontId="100" fillId="3" borderId="0" xfId="0" applyFont="1" applyFill="1" applyAlignment="1">
      <alignment horizontal="center" vertical="center"/>
    </xf>
    <xf numFmtId="10" fontId="100" fillId="3" borderId="0" xfId="0" applyNumberFormat="1" applyFont="1" applyFill="1" applyAlignment="1">
      <alignment horizontal="center" vertical="center"/>
    </xf>
    <xf numFmtId="0" fontId="83" fillId="0" borderId="163" xfId="0" applyFont="1" applyBorder="1" applyAlignment="1">
      <alignment horizontal="center" vertical="center"/>
    </xf>
    <xf numFmtId="0" fontId="83" fillId="0" borderId="153" xfId="0" applyFont="1" applyBorder="1" applyAlignment="1">
      <alignment horizontal="center" vertical="center"/>
    </xf>
    <xf numFmtId="0" fontId="83" fillId="0" borderId="154" xfId="0" applyFont="1" applyBorder="1" applyAlignment="1">
      <alignment horizontal="center" vertical="center"/>
    </xf>
    <xf numFmtId="183" fontId="83" fillId="26" borderId="153" xfId="10" applyNumberFormat="1" applyFont="1" applyFill="1" applyBorder="1" applyAlignment="1">
      <alignment horizontal="center" vertical="center"/>
    </xf>
    <xf numFmtId="183" fontId="83" fillId="26" borderId="154" xfId="10" applyNumberFormat="1" applyFont="1" applyFill="1" applyBorder="1" applyAlignment="1">
      <alignment horizontal="center" vertical="center"/>
    </xf>
    <xf numFmtId="0" fontId="100" fillId="3" borderId="0" xfId="0" applyFont="1" applyFill="1" applyAlignment="1">
      <alignment vertical="center"/>
    </xf>
    <xf numFmtId="0" fontId="91" fillId="3" borderId="0" xfId="0" applyFont="1" applyFill="1" applyAlignment="1">
      <alignment horizontal="center" vertical="center"/>
    </xf>
    <xf numFmtId="0" fontId="87" fillId="0" borderId="163" xfId="0" applyFont="1" applyBorder="1" applyAlignment="1">
      <alignment horizontal="center" vertical="center"/>
    </xf>
    <xf numFmtId="171" fontId="79" fillId="0" borderId="153" xfId="0" applyNumberFormat="1" applyFont="1" applyBorder="1" applyAlignment="1">
      <alignment horizontal="center" vertical="center"/>
    </xf>
    <xf numFmtId="171" fontId="79" fillId="0" borderId="154" xfId="0" applyNumberFormat="1" applyFont="1" applyBorder="1" applyAlignment="1">
      <alignment horizontal="center" vertical="center"/>
    </xf>
    <xf numFmtId="0" fontId="87" fillId="3" borderId="83" xfId="0" applyFont="1" applyFill="1" applyBorder="1" applyAlignment="1">
      <alignment horizontal="center" vertical="center"/>
    </xf>
    <xf numFmtId="0" fontId="87" fillId="3" borderId="0" xfId="0" applyFont="1" applyFill="1" applyAlignment="1">
      <alignment horizontal="center" vertical="center"/>
    </xf>
    <xf numFmtId="10" fontId="107" fillId="0" borderId="0" xfId="0" applyNumberFormat="1" applyFont="1" applyAlignment="1">
      <alignment horizontal="center" vertical="center"/>
    </xf>
    <xf numFmtId="10" fontId="107" fillId="0" borderId="159" xfId="0" applyNumberFormat="1" applyFont="1" applyBorder="1" applyAlignment="1">
      <alignment horizontal="center" vertical="center"/>
    </xf>
    <xf numFmtId="171" fontId="59" fillId="26" borderId="49" xfId="0" applyNumberFormat="1" applyFont="1" applyFill="1" applyBorder="1" applyAlignment="1">
      <alignment horizontal="center"/>
    </xf>
    <xf numFmtId="0" fontId="79" fillId="3" borderId="33" xfId="0" applyFont="1" applyFill="1" applyBorder="1" applyAlignment="1">
      <alignment horizontal="center" vertical="center"/>
    </xf>
    <xf numFmtId="0" fontId="109" fillId="3" borderId="32" xfId="0" applyFont="1" applyFill="1" applyBorder="1" applyAlignment="1">
      <alignment vertical="center"/>
    </xf>
    <xf numFmtId="0" fontId="109" fillId="3" borderId="34" xfId="0" applyFont="1" applyFill="1" applyBorder="1" applyAlignment="1">
      <alignment vertical="center"/>
    </xf>
    <xf numFmtId="0" fontId="109" fillId="3" borderId="33" xfId="0" applyFont="1" applyFill="1" applyBorder="1" applyAlignment="1">
      <alignment vertical="center"/>
    </xf>
    <xf numFmtId="168" fontId="110" fillId="3" borderId="33" xfId="0" applyNumberFormat="1" applyFont="1" applyFill="1" applyBorder="1" applyAlignment="1">
      <alignment horizontal="center" vertical="center"/>
    </xf>
    <xf numFmtId="49" fontId="108" fillId="3" borderId="132" xfId="0" applyNumberFormat="1" applyFont="1" applyFill="1" applyBorder="1" applyAlignment="1">
      <alignment horizontal="center" vertical="center"/>
    </xf>
    <xf numFmtId="0" fontId="108" fillId="3" borderId="2" xfId="0" applyFont="1" applyFill="1" applyBorder="1" applyAlignment="1">
      <alignment vertical="center"/>
    </xf>
    <xf numFmtId="0" fontId="109" fillId="3" borderId="3" xfId="0" applyFont="1" applyFill="1" applyBorder="1" applyAlignment="1">
      <alignment vertical="center"/>
    </xf>
    <xf numFmtId="0" fontId="109" fillId="3" borderId="21" xfId="0" applyFont="1" applyFill="1" applyBorder="1" applyAlignment="1">
      <alignment vertical="center"/>
    </xf>
    <xf numFmtId="0" fontId="109" fillId="3" borderId="0" xfId="0" applyFont="1" applyFill="1" applyAlignment="1">
      <alignment vertical="center"/>
    </xf>
    <xf numFmtId="0" fontId="109" fillId="3" borderId="159" xfId="0" applyFont="1" applyFill="1" applyBorder="1" applyAlignment="1">
      <alignment vertical="center"/>
    </xf>
    <xf numFmtId="0" fontId="109" fillId="3" borderId="17" xfId="0" applyFont="1" applyFill="1" applyBorder="1" applyAlignment="1">
      <alignment vertical="center"/>
    </xf>
    <xf numFmtId="0" fontId="109" fillId="3" borderId="14" xfId="0" applyFont="1" applyFill="1" applyBorder="1" applyAlignment="1">
      <alignment vertical="center"/>
    </xf>
    <xf numFmtId="0" fontId="109" fillId="3" borderId="23" xfId="0" applyFont="1" applyFill="1" applyBorder="1" applyAlignment="1">
      <alignment vertical="center"/>
    </xf>
    <xf numFmtId="168" fontId="89" fillId="3" borderId="132" xfId="0" applyNumberFormat="1" applyFont="1" applyFill="1" applyBorder="1" applyAlignment="1">
      <alignment horizontal="center" vertical="center"/>
    </xf>
    <xf numFmtId="1" fontId="110" fillId="3" borderId="132" xfId="0" applyNumberFormat="1" applyFont="1" applyFill="1" applyBorder="1" applyAlignment="1">
      <alignment horizontal="center" vertical="center"/>
    </xf>
    <xf numFmtId="0" fontId="79" fillId="3" borderId="150" xfId="0" applyFont="1" applyFill="1" applyBorder="1" applyAlignment="1">
      <alignment vertical="center"/>
    </xf>
    <xf numFmtId="171" fontId="79" fillId="3" borderId="26" xfId="0" applyNumberFormat="1" applyFont="1" applyFill="1" applyBorder="1" applyAlignment="1">
      <alignment horizontal="center" vertical="center"/>
    </xf>
    <xf numFmtId="0" fontId="83" fillId="3" borderId="81" xfId="0" applyFont="1" applyFill="1" applyBorder="1" applyAlignment="1">
      <alignment horizontal="left" vertical="center"/>
    </xf>
    <xf numFmtId="0" fontId="83" fillId="3" borderId="152" xfId="0" applyFont="1" applyFill="1" applyBorder="1" applyAlignment="1">
      <alignment horizontal="center" vertical="center"/>
    </xf>
    <xf numFmtId="4" fontId="83" fillId="26" borderId="154" xfId="0" applyNumberFormat="1" applyFont="1" applyFill="1" applyBorder="1" applyAlignment="1">
      <alignment horizontal="center" vertical="center"/>
    </xf>
    <xf numFmtId="4" fontId="83" fillId="3" borderId="154" xfId="0" applyNumberFormat="1" applyFont="1" applyFill="1" applyBorder="1" applyAlignment="1">
      <alignment horizontal="center" vertical="center"/>
    </xf>
    <xf numFmtId="171" fontId="83" fillId="3" borderId="154" xfId="0" applyNumberFormat="1" applyFont="1" applyFill="1" applyBorder="1" applyAlignment="1">
      <alignment horizontal="center" vertical="center"/>
    </xf>
    <xf numFmtId="0" fontId="83" fillId="3" borderId="26" xfId="0" applyFont="1" applyFill="1" applyBorder="1" applyAlignment="1">
      <alignment vertical="center"/>
    </xf>
    <xf numFmtId="0" fontId="83" fillId="3" borderId="150" xfId="0" applyFont="1" applyFill="1" applyBorder="1" applyAlignment="1">
      <alignment horizontal="left" vertical="center"/>
    </xf>
    <xf numFmtId="0" fontId="83" fillId="3" borderId="87" xfId="0" applyFont="1" applyFill="1" applyBorder="1" applyAlignment="1">
      <alignment horizontal="left" vertical="center"/>
    </xf>
    <xf numFmtId="0" fontId="83" fillId="3" borderId="157" xfId="0" applyFont="1" applyFill="1" applyBorder="1" applyAlignment="1">
      <alignment horizontal="center" vertical="center"/>
    </xf>
    <xf numFmtId="0" fontId="83" fillId="3" borderId="156" xfId="0" applyFont="1" applyFill="1" applyBorder="1" applyAlignment="1">
      <alignment horizontal="center" vertical="center"/>
    </xf>
    <xf numFmtId="0" fontId="107" fillId="3" borderId="32" xfId="0" applyFont="1" applyFill="1" applyBorder="1" applyAlignment="1">
      <alignment vertical="center"/>
    </xf>
    <xf numFmtId="0" fontId="107" fillId="3" borderId="34" xfId="0" applyFont="1" applyFill="1" applyBorder="1" applyAlignment="1">
      <alignment vertical="center"/>
    </xf>
    <xf numFmtId="0" fontId="83" fillId="3" borderId="33" xfId="0" applyFont="1" applyFill="1" applyBorder="1" applyAlignment="1">
      <alignment vertical="center"/>
    </xf>
    <xf numFmtId="0" fontId="103" fillId="3" borderId="3" xfId="0" applyFont="1" applyFill="1" applyBorder="1" applyAlignment="1">
      <alignment vertical="center"/>
    </xf>
    <xf numFmtId="0" fontId="111" fillId="26" borderId="45" xfId="0" applyFont="1" applyFill="1" applyBorder="1" applyAlignment="1">
      <alignment vertical="center"/>
    </xf>
    <xf numFmtId="0" fontId="111" fillId="26" borderId="0" xfId="0" applyFont="1" applyFill="1" applyAlignment="1">
      <alignment vertical="center"/>
    </xf>
    <xf numFmtId="0" fontId="111" fillId="26" borderId="49" xfId="0" applyFont="1" applyFill="1" applyBorder="1" applyAlignment="1">
      <alignment vertical="center"/>
    </xf>
    <xf numFmtId="0" fontId="33" fillId="3" borderId="0" xfId="0" applyFont="1" applyFill="1" applyAlignment="1">
      <alignment vertical="center"/>
    </xf>
    <xf numFmtId="0" fontId="80" fillId="3" borderId="0" xfId="0" applyFont="1" applyFill="1" applyAlignment="1">
      <alignment vertical="center" wrapText="1"/>
    </xf>
    <xf numFmtId="0" fontId="81" fillId="3" borderId="2" xfId="0" applyFont="1" applyFill="1" applyBorder="1" applyAlignment="1">
      <alignment vertical="center"/>
    </xf>
    <xf numFmtId="0" fontId="81" fillId="3" borderId="3" xfId="0" applyFont="1" applyFill="1" applyBorder="1" applyAlignment="1">
      <alignment vertical="center"/>
    </xf>
    <xf numFmtId="0" fontId="91" fillId="3" borderId="3" xfId="0" applyFont="1" applyFill="1" applyBorder="1" applyAlignment="1">
      <alignment horizontal="center" vertical="center"/>
    </xf>
    <xf numFmtId="0" fontId="87" fillId="3" borderId="3" xfId="0" applyFont="1" applyFill="1" applyBorder="1" applyAlignment="1">
      <alignment horizontal="center" vertical="center"/>
    </xf>
    <xf numFmtId="0" fontId="83" fillId="3" borderId="17" xfId="0" applyFont="1" applyFill="1" applyBorder="1" applyAlignment="1">
      <alignment vertical="center"/>
    </xf>
    <xf numFmtId="0" fontId="83" fillId="3" borderId="14" xfId="0" applyFont="1" applyFill="1" applyBorder="1" applyAlignment="1">
      <alignment vertical="center"/>
    </xf>
    <xf numFmtId="0" fontId="83" fillId="3" borderId="23" xfId="0" applyFont="1" applyFill="1" applyBorder="1" applyAlignment="1">
      <alignment vertical="center"/>
    </xf>
    <xf numFmtId="10" fontId="107" fillId="3" borderId="3" xfId="0" applyNumberFormat="1" applyFont="1" applyFill="1" applyBorder="1" applyAlignment="1">
      <alignment horizontal="center" vertical="center"/>
    </xf>
    <xf numFmtId="10" fontId="107" fillId="3" borderId="21" xfId="0" applyNumberFormat="1" applyFont="1" applyFill="1" applyBorder="1" applyAlignment="1">
      <alignment horizontal="center" vertical="center"/>
    </xf>
    <xf numFmtId="0" fontId="32" fillId="3" borderId="159" xfId="0" applyFont="1" applyFill="1" applyBorder="1" applyAlignment="1">
      <alignment horizontal="left" vertical="center"/>
    </xf>
    <xf numFmtId="1" fontId="9" fillId="19" borderId="163" xfId="0" applyNumberFormat="1" applyFont="1" applyFill="1" applyBorder="1" applyAlignment="1" applyProtection="1">
      <alignment horizontal="center"/>
      <protection locked="0"/>
    </xf>
    <xf numFmtId="168" fontId="33" fillId="3" borderId="159" xfId="0" applyNumberFormat="1" applyFont="1" applyFill="1" applyBorder="1"/>
    <xf numFmtId="172" fontId="33" fillId="3" borderId="159" xfId="0" applyNumberFormat="1" applyFont="1" applyFill="1" applyBorder="1" applyAlignment="1">
      <alignment horizontal="center"/>
    </xf>
    <xf numFmtId="2" fontId="33" fillId="3" borderId="159" xfId="0" applyNumberFormat="1" applyFont="1" applyFill="1" applyBorder="1" applyAlignment="1">
      <alignment horizontal="center"/>
    </xf>
    <xf numFmtId="0" fontId="33" fillId="9" borderId="159" xfId="0" applyFont="1" applyFill="1" applyBorder="1" applyAlignment="1">
      <alignment horizontal="center" vertical="center"/>
    </xf>
    <xf numFmtId="183" fontId="33" fillId="9" borderId="159" xfId="10" applyNumberFormat="1" applyFont="1" applyFill="1" applyBorder="1" applyAlignment="1">
      <alignment horizontal="center"/>
    </xf>
    <xf numFmtId="2" fontId="33" fillId="9" borderId="159" xfId="0" applyNumberFormat="1" applyFont="1" applyFill="1" applyBorder="1" applyAlignment="1">
      <alignment horizontal="center"/>
    </xf>
    <xf numFmtId="168" fontId="9" fillId="14" borderId="159" xfId="0" applyNumberFormat="1" applyFont="1" applyFill="1" applyBorder="1" applyAlignment="1">
      <alignment horizontal="center"/>
    </xf>
    <xf numFmtId="2" fontId="2" fillId="9" borderId="159" xfId="0" applyNumberFormat="1" applyFont="1" applyFill="1" applyBorder="1" applyAlignment="1">
      <alignment horizontal="center"/>
    </xf>
    <xf numFmtId="2" fontId="33" fillId="3" borderId="159" xfId="0" applyNumberFormat="1" applyFont="1" applyFill="1" applyBorder="1"/>
    <xf numFmtId="3" fontId="33" fillId="9" borderId="159" xfId="2" applyNumberFormat="1" applyFont="1" applyFill="1" applyBorder="1" applyAlignment="1" applyProtection="1">
      <alignment horizontal="center" vertical="center"/>
    </xf>
    <xf numFmtId="171" fontId="41" fillId="14" borderId="159" xfId="0" applyNumberFormat="1" applyFont="1" applyFill="1" applyBorder="1" applyAlignment="1">
      <alignment horizontal="center" vertical="center" textRotation="90"/>
    </xf>
    <xf numFmtId="168" fontId="33" fillId="9" borderId="159" xfId="0" applyNumberFormat="1" applyFont="1" applyFill="1" applyBorder="1"/>
    <xf numFmtId="2" fontId="22" fillId="9" borderId="159" xfId="0" applyNumberFormat="1" applyFont="1" applyFill="1" applyBorder="1" applyAlignment="1">
      <alignment horizontal="center"/>
    </xf>
    <xf numFmtId="3" fontId="9" fillId="14" borderId="159" xfId="0" applyNumberFormat="1" applyFont="1" applyFill="1" applyBorder="1" applyAlignment="1">
      <alignment horizontal="center" vertical="center"/>
    </xf>
    <xf numFmtId="171" fontId="33" fillId="9" borderId="159" xfId="0" applyNumberFormat="1" applyFont="1" applyFill="1" applyBorder="1" applyAlignment="1">
      <alignment horizontal="center" vertical="center"/>
    </xf>
    <xf numFmtId="171" fontId="33" fillId="14" borderId="159" xfId="0" applyNumberFormat="1" applyFont="1" applyFill="1" applyBorder="1" applyAlignment="1">
      <alignment horizontal="center" vertical="center" textRotation="90"/>
    </xf>
    <xf numFmtId="171" fontId="42" fillId="9" borderId="159" xfId="0" applyNumberFormat="1" applyFont="1" applyFill="1" applyBorder="1" applyAlignment="1">
      <alignment horizontal="center"/>
    </xf>
    <xf numFmtId="171" fontId="33" fillId="9" borderId="159" xfId="9" applyNumberFormat="1" applyFont="1" applyFill="1" applyBorder="1" applyAlignment="1">
      <alignment horizontal="centerContinuous"/>
    </xf>
    <xf numFmtId="2" fontId="33" fillId="9" borderId="159" xfId="0" applyNumberFormat="1" applyFont="1" applyFill="1" applyBorder="1"/>
    <xf numFmtId="168" fontId="2" fillId="3" borderId="159" xfId="0" applyNumberFormat="1" applyFont="1" applyFill="1" applyBorder="1"/>
    <xf numFmtId="183" fontId="40" fillId="14" borderId="159" xfId="0" applyNumberFormat="1" applyFont="1" applyFill="1" applyBorder="1" applyAlignment="1">
      <alignment horizontal="center" vertical="center"/>
    </xf>
    <xf numFmtId="4" fontId="40" fillId="14" borderId="159" xfId="0" applyNumberFormat="1" applyFont="1" applyFill="1" applyBorder="1" applyAlignment="1">
      <alignment horizontal="center" vertical="center"/>
    </xf>
    <xf numFmtId="1" fontId="33" fillId="9" borderId="159" xfId="0" applyNumberFormat="1" applyFont="1" applyFill="1" applyBorder="1" applyAlignment="1">
      <alignment horizontal="center" vertical="center"/>
    </xf>
    <xf numFmtId="171" fontId="33" fillId="14" borderId="159" xfId="0" applyNumberFormat="1" applyFont="1" applyFill="1" applyBorder="1" applyAlignment="1">
      <alignment horizontal="center"/>
    </xf>
    <xf numFmtId="0" fontId="33" fillId="3" borderId="159" xfId="0" applyFont="1" applyFill="1" applyBorder="1"/>
    <xf numFmtId="171" fontId="33" fillId="8" borderId="159" xfId="0" applyNumberFormat="1" applyFont="1" applyFill="1" applyBorder="1" applyAlignment="1">
      <alignment horizontal="center"/>
    </xf>
    <xf numFmtId="0" fontId="7" fillId="0" borderId="159" xfId="0" applyFont="1" applyBorder="1"/>
    <xf numFmtId="0" fontId="7" fillId="3" borderId="159" xfId="0" applyFont="1" applyFill="1" applyBorder="1"/>
    <xf numFmtId="3" fontId="83" fillId="3" borderId="8" xfId="0" applyNumberFormat="1" applyFont="1" applyFill="1" applyBorder="1" applyAlignment="1">
      <alignment vertical="center"/>
    </xf>
    <xf numFmtId="0" fontId="109" fillId="3" borderId="8" xfId="0" applyFont="1" applyFill="1" applyBorder="1" applyAlignment="1">
      <alignment vertical="center"/>
    </xf>
    <xf numFmtId="0" fontId="83" fillId="3" borderId="8" xfId="0" applyFont="1" applyFill="1" applyBorder="1" applyAlignment="1">
      <alignment vertical="center"/>
    </xf>
    <xf numFmtId="0" fontId="81" fillId="3" borderId="8" xfId="18" applyFont="1" applyFill="1" applyBorder="1"/>
    <xf numFmtId="0" fontId="79" fillId="3" borderId="8" xfId="18" applyFont="1" applyFill="1" applyBorder="1"/>
    <xf numFmtId="175" fontId="96" fillId="3" borderId="8" xfId="0" applyNumberFormat="1" applyFont="1" applyFill="1" applyBorder="1" applyAlignment="1">
      <alignment vertical="center"/>
    </xf>
    <xf numFmtId="2" fontId="95" fillId="3" borderId="8" xfId="0" applyNumberFormat="1" applyFont="1" applyFill="1" applyBorder="1" applyAlignment="1">
      <alignment horizontal="center" vertical="center"/>
    </xf>
    <xf numFmtId="0" fontId="94" fillId="3" borderId="8" xfId="0" applyFont="1" applyFill="1" applyBorder="1" applyAlignment="1">
      <alignment vertical="center"/>
    </xf>
    <xf numFmtId="4" fontId="59" fillId="26" borderId="159" xfId="10" applyNumberFormat="1" applyFont="1" applyFill="1" applyBorder="1" applyAlignment="1">
      <alignment horizontal="center" vertical="center"/>
    </xf>
    <xf numFmtId="0" fontId="87" fillId="7" borderId="8" xfId="0" applyFont="1" applyFill="1" applyBorder="1" applyAlignment="1">
      <alignment vertical="center"/>
    </xf>
    <xf numFmtId="0" fontId="59" fillId="27" borderId="159" xfId="0" applyFont="1" applyFill="1" applyBorder="1" applyAlignment="1">
      <alignment horizontal="center" vertical="center"/>
    </xf>
    <xf numFmtId="0" fontId="59" fillId="27" borderId="159" xfId="0" applyFont="1" applyFill="1" applyBorder="1"/>
    <xf numFmtId="2" fontId="59" fillId="27" borderId="159" xfId="0" applyNumberFormat="1" applyFont="1" applyFill="1" applyBorder="1" applyAlignment="1">
      <alignment horizontal="center"/>
    </xf>
    <xf numFmtId="168" fontId="60" fillId="27" borderId="159" xfId="0" applyNumberFormat="1" applyFont="1" applyFill="1" applyBorder="1" applyAlignment="1">
      <alignment horizontal="center"/>
    </xf>
    <xf numFmtId="168" fontId="59" fillId="26" borderId="159" xfId="0" applyNumberFormat="1" applyFont="1" applyFill="1" applyBorder="1"/>
    <xf numFmtId="171" fontId="60" fillId="27" borderId="159" xfId="0" applyNumberFormat="1" applyFont="1" applyFill="1" applyBorder="1" applyAlignment="1">
      <alignment horizontal="center" vertical="center" textRotation="90"/>
    </xf>
    <xf numFmtId="168" fontId="59" fillId="27" borderId="159" xfId="0" applyNumberFormat="1" applyFont="1" applyFill="1" applyBorder="1"/>
    <xf numFmtId="171" fontId="59" fillId="27" borderId="159" xfId="0" applyNumberFormat="1" applyFont="1" applyFill="1" applyBorder="1" applyAlignment="1">
      <alignment horizontal="center" vertical="center"/>
    </xf>
    <xf numFmtId="171" fontId="59" fillId="27" borderId="159" xfId="0" applyNumberFormat="1" applyFont="1" applyFill="1" applyBorder="1" applyAlignment="1">
      <alignment horizontal="center" vertical="center" textRotation="90"/>
    </xf>
    <xf numFmtId="171" fontId="59" fillId="27" borderId="159" xfId="9" applyNumberFormat="1" applyFont="1" applyFill="1" applyBorder="1" applyAlignment="1">
      <alignment horizontal="centerContinuous"/>
    </xf>
    <xf numFmtId="2" fontId="59" fillId="27" borderId="159" xfId="0" applyNumberFormat="1" applyFont="1" applyFill="1" applyBorder="1"/>
    <xf numFmtId="1" fontId="59" fillId="27" borderId="159" xfId="0" applyNumberFormat="1" applyFont="1" applyFill="1" applyBorder="1" applyAlignment="1">
      <alignment horizontal="center" vertical="center"/>
    </xf>
    <xf numFmtId="0" fontId="59" fillId="26" borderId="159" xfId="0" applyFont="1" applyFill="1" applyBorder="1"/>
    <xf numFmtId="0" fontId="81" fillId="3" borderId="8" xfId="0" applyFont="1" applyFill="1" applyBorder="1" applyAlignment="1">
      <alignment vertical="center"/>
    </xf>
    <xf numFmtId="0" fontId="4" fillId="20" borderId="163" xfId="0" applyFont="1" applyFill="1" applyBorder="1" applyAlignment="1">
      <alignment horizontal="center" vertical="center"/>
    </xf>
    <xf numFmtId="4" fontId="2" fillId="20" borderId="163" xfId="0" applyNumberFormat="1" applyFont="1" applyFill="1" applyBorder="1" applyAlignment="1">
      <alignment horizontal="center" vertical="center"/>
    </xf>
    <xf numFmtId="2" fontId="2" fillId="3" borderId="163" xfId="0" applyNumberFormat="1" applyFont="1" applyFill="1" applyBorder="1" applyAlignment="1">
      <alignment horizontal="center" vertical="center"/>
    </xf>
    <xf numFmtId="4" fontId="2" fillId="3" borderId="163" xfId="0" applyNumberFormat="1" applyFont="1" applyFill="1" applyBorder="1" applyAlignment="1">
      <alignment horizontal="center" vertical="center"/>
    </xf>
    <xf numFmtId="171" fontId="2" fillId="3" borderId="163" xfId="0" applyNumberFormat="1" applyFont="1" applyFill="1" applyBorder="1" applyAlignment="1">
      <alignment horizontal="center" vertical="center"/>
    </xf>
    <xf numFmtId="3" fontId="2" fillId="3" borderId="159" xfId="0" applyNumberFormat="1" applyFont="1" applyFill="1" applyBorder="1" applyAlignment="1">
      <alignment vertical="center"/>
    </xf>
    <xf numFmtId="0" fontId="2" fillId="3" borderId="159" xfId="0" applyFont="1" applyFill="1" applyBorder="1" applyAlignment="1">
      <alignment vertical="center"/>
    </xf>
    <xf numFmtId="0" fontId="20" fillId="20" borderId="163" xfId="0" applyFont="1" applyFill="1" applyBorder="1" applyAlignment="1">
      <alignment horizontal="center" vertical="center"/>
    </xf>
    <xf numFmtId="0" fontId="22" fillId="3" borderId="163" xfId="0" applyFont="1" applyFill="1" applyBorder="1" applyAlignment="1">
      <alignment horizontal="left" vertical="center"/>
    </xf>
    <xf numFmtId="4" fontId="22" fillId="20" borderId="163" xfId="0" applyNumberFormat="1" applyFont="1" applyFill="1" applyBorder="1" applyAlignment="1">
      <alignment horizontal="center" vertical="center"/>
    </xf>
    <xf numFmtId="2" fontId="22" fillId="3" borderId="163" xfId="0" applyNumberFormat="1" applyFont="1" applyFill="1" applyBorder="1" applyAlignment="1">
      <alignment horizontal="center" vertical="center"/>
    </xf>
    <xf numFmtId="4" fontId="22" fillId="3" borderId="163" xfId="0" applyNumberFormat="1" applyFont="1" applyFill="1" applyBorder="1" applyAlignment="1">
      <alignment horizontal="center" vertical="center"/>
    </xf>
    <xf numFmtId="171" fontId="22" fillId="3" borderId="163" xfId="0" applyNumberFormat="1" applyFont="1" applyFill="1" applyBorder="1" applyAlignment="1">
      <alignment horizontal="center" vertical="center"/>
    </xf>
    <xf numFmtId="0" fontId="17" fillId="20" borderId="163" xfId="0" applyFont="1" applyFill="1" applyBorder="1" applyAlignment="1">
      <alignment horizontal="center" vertical="center"/>
    </xf>
    <xf numFmtId="175" fontId="22" fillId="3" borderId="159" xfId="0" applyNumberFormat="1" applyFont="1" applyFill="1" applyBorder="1" applyAlignment="1">
      <alignment vertical="center"/>
    </xf>
    <xf numFmtId="2" fontId="45" fillId="3" borderId="163" xfId="0" applyNumberFormat="1" applyFont="1" applyFill="1" applyBorder="1" applyAlignment="1">
      <alignment horizontal="center" vertical="center"/>
    </xf>
    <xf numFmtId="171" fontId="2" fillId="21" borderId="159" xfId="9" applyNumberFormat="1" applyFont="1" applyFill="1" applyBorder="1" applyAlignment="1">
      <alignment horizontal="center" vertical="center"/>
    </xf>
    <xf numFmtId="0" fontId="2" fillId="21" borderId="159" xfId="0" applyFont="1" applyFill="1" applyBorder="1" applyAlignment="1">
      <alignment horizontal="center" vertical="center"/>
    </xf>
    <xf numFmtId="172" fontId="2" fillId="21" borderId="159" xfId="9" applyNumberFormat="1" applyFont="1" applyFill="1" applyBorder="1" applyAlignment="1">
      <alignment horizontal="center" vertical="center"/>
    </xf>
    <xf numFmtId="0" fontId="2" fillId="3" borderId="163" xfId="0" applyFont="1" applyFill="1" applyBorder="1" applyAlignment="1">
      <alignment horizontal="center" vertical="center"/>
    </xf>
    <xf numFmtId="0" fontId="3" fillId="3" borderId="163" xfId="0" applyFont="1" applyFill="1" applyBorder="1" applyAlignment="1">
      <alignment horizontal="center" vertical="center"/>
    </xf>
    <xf numFmtId="0" fontId="3" fillId="7" borderId="159" xfId="0" applyFont="1" applyFill="1" applyBorder="1" applyAlignment="1">
      <alignment vertical="center"/>
    </xf>
    <xf numFmtId="1" fontId="2" fillId="20" borderId="163" xfId="0" applyNumberFormat="1" applyFont="1" applyFill="1" applyBorder="1" applyAlignment="1">
      <alignment horizontal="center" vertical="center"/>
    </xf>
    <xf numFmtId="4" fontId="2" fillId="20" borderId="163" xfId="10" applyNumberFormat="1" applyFont="1" applyFill="1" applyBorder="1" applyAlignment="1">
      <alignment horizontal="center" vertical="center"/>
    </xf>
    <xf numFmtId="2" fontId="2" fillId="0" borderId="163" xfId="10" applyNumberFormat="1" applyFont="1" applyFill="1" applyBorder="1" applyAlignment="1">
      <alignment horizontal="center" vertical="center"/>
    </xf>
    <xf numFmtId="2" fontId="2" fillId="0" borderId="163" xfId="10" applyNumberFormat="1" applyFont="1" applyBorder="1" applyAlignment="1">
      <alignment horizontal="center" vertical="center"/>
    </xf>
    <xf numFmtId="4" fontId="2" fillId="0" borderId="163" xfId="10" applyNumberFormat="1" applyFont="1" applyBorder="1" applyAlignment="1">
      <alignment horizontal="center" vertical="center"/>
    </xf>
    <xf numFmtId="171" fontId="3" fillId="0" borderId="163" xfId="9" applyNumberFormat="1" applyFont="1" applyBorder="1" applyAlignment="1">
      <alignment horizontal="center" vertical="center"/>
    </xf>
    <xf numFmtId="0" fontId="5" fillId="3" borderId="159" xfId="0" applyFont="1" applyFill="1" applyBorder="1" applyAlignment="1">
      <alignment horizontal="center" vertical="center"/>
    </xf>
    <xf numFmtId="0" fontId="2" fillId="0" borderId="163" xfId="0" applyFont="1" applyBorder="1" applyAlignment="1">
      <alignment horizontal="center" vertical="center"/>
    </xf>
    <xf numFmtId="0" fontId="3" fillId="0" borderId="163" xfId="0" applyFont="1" applyBorder="1" applyAlignment="1">
      <alignment horizontal="center" vertical="center"/>
    </xf>
    <xf numFmtId="10" fontId="4" fillId="3" borderId="159" xfId="0" applyNumberFormat="1" applyFont="1" applyFill="1" applyBorder="1" applyAlignment="1">
      <alignment vertical="center"/>
    </xf>
    <xf numFmtId="186" fontId="37" fillId="3" borderId="159" xfId="0" applyNumberFormat="1" applyFont="1" applyFill="1" applyBorder="1" applyAlignment="1">
      <alignment horizontal="left"/>
    </xf>
    <xf numFmtId="172" fontId="42" fillId="17" borderId="169" xfId="0" applyNumberFormat="1" applyFont="1" applyFill="1" applyBorder="1" applyAlignment="1">
      <alignment horizontal="center"/>
    </xf>
    <xf numFmtId="2" fontId="4" fillId="20" borderId="169" xfId="0" applyNumberFormat="1" applyFont="1" applyFill="1" applyBorder="1" applyAlignment="1">
      <alignment horizontal="center" vertical="center"/>
    </xf>
    <xf numFmtId="0" fontId="42" fillId="17" borderId="169" xfId="0" applyFont="1" applyFill="1" applyBorder="1"/>
    <xf numFmtId="0" fontId="24" fillId="0" borderId="163" xfId="0" applyFont="1" applyBorder="1" applyAlignment="1">
      <alignment horizontal="center"/>
    </xf>
    <xf numFmtId="0" fontId="24" fillId="24" borderId="163" xfId="0" applyFont="1" applyFill="1" applyBorder="1" applyAlignment="1">
      <alignment horizontal="center"/>
    </xf>
    <xf numFmtId="0" fontId="22" fillId="0" borderId="159" xfId="14" applyFont="1" applyBorder="1" applyAlignment="1">
      <alignment vertical="center"/>
    </xf>
    <xf numFmtId="0" fontId="0" fillId="0" borderId="159" xfId="0" applyBorder="1"/>
    <xf numFmtId="172" fontId="40" fillId="14" borderId="21" xfId="0" applyNumberFormat="1" applyFont="1" applyFill="1" applyBorder="1" applyAlignment="1">
      <alignment horizontal="center" vertical="center" textRotation="90"/>
    </xf>
    <xf numFmtId="172" fontId="40" fillId="14" borderId="159" xfId="0" applyNumberFormat="1" applyFont="1" applyFill="1" applyBorder="1" applyAlignment="1">
      <alignment horizontal="center" vertical="center" textRotation="90"/>
    </xf>
    <xf numFmtId="2" fontId="2" fillId="9" borderId="8" xfId="0" applyNumberFormat="1" applyFont="1" applyFill="1" applyBorder="1" applyAlignment="1">
      <alignment horizontal="center"/>
    </xf>
    <xf numFmtId="2" fontId="2" fillId="9" borderId="0" xfId="0" applyNumberFormat="1" applyFont="1" applyFill="1" applyAlignment="1">
      <alignment horizontal="center"/>
    </xf>
    <xf numFmtId="2" fontId="2" fillId="9" borderId="159" xfId="0" applyNumberFormat="1" applyFont="1" applyFill="1" applyBorder="1" applyAlignment="1">
      <alignment horizontal="center"/>
    </xf>
    <xf numFmtId="0" fontId="43" fillId="14" borderId="159" xfId="0" applyFont="1" applyFill="1" applyBorder="1" applyAlignment="1">
      <alignment horizontal="center" vertical="center"/>
    </xf>
    <xf numFmtId="3" fontId="33" fillId="9" borderId="0" xfId="2" applyNumberFormat="1" applyFont="1" applyFill="1" applyBorder="1" applyAlignment="1" applyProtection="1">
      <alignment horizontal="center" vertical="center" textRotation="90"/>
    </xf>
    <xf numFmtId="3" fontId="33" fillId="9" borderId="14" xfId="2" applyNumberFormat="1" applyFont="1" applyFill="1" applyBorder="1" applyAlignment="1" applyProtection="1">
      <alignment horizontal="center" vertical="center" textRotation="90"/>
    </xf>
    <xf numFmtId="3" fontId="9" fillId="14" borderId="159" xfId="0" applyNumberFormat="1" applyFont="1" applyFill="1" applyBorder="1" applyAlignment="1">
      <alignment horizontal="center" vertical="center" textRotation="90"/>
    </xf>
    <xf numFmtId="3" fontId="9" fillId="14" borderId="23" xfId="0" applyNumberFormat="1" applyFont="1" applyFill="1" applyBorder="1" applyAlignment="1">
      <alignment horizontal="center" vertical="center" textRotation="90"/>
    </xf>
    <xf numFmtId="10" fontId="42" fillId="9" borderId="8" xfId="0" applyNumberFormat="1" applyFont="1" applyFill="1" applyBorder="1" applyAlignment="1">
      <alignment horizontal="center"/>
    </xf>
    <xf numFmtId="10" fontId="42" fillId="9" borderId="159" xfId="0" applyNumberFormat="1" applyFont="1" applyFill="1" applyBorder="1" applyAlignment="1">
      <alignment horizontal="center"/>
    </xf>
    <xf numFmtId="2" fontId="33" fillId="9" borderId="8" xfId="0" applyNumberFormat="1" applyFont="1" applyFill="1" applyBorder="1" applyAlignment="1">
      <alignment horizontal="center" vertical="center"/>
    </xf>
    <xf numFmtId="2" fontId="33" fillId="9" borderId="0" xfId="0" applyNumberFormat="1" applyFont="1" applyFill="1" applyAlignment="1">
      <alignment horizontal="center" vertical="center"/>
    </xf>
    <xf numFmtId="168" fontId="9" fillId="14" borderId="0" xfId="0" applyNumberFormat="1" applyFont="1" applyFill="1" applyAlignment="1">
      <alignment horizontal="center"/>
    </xf>
    <xf numFmtId="1" fontId="40" fillId="14" borderId="14" xfId="0" applyNumberFormat="1" applyFont="1" applyFill="1" applyBorder="1" applyAlignment="1">
      <alignment horizontal="center"/>
    </xf>
    <xf numFmtId="168" fontId="40" fillId="14" borderId="14" xfId="0" applyNumberFormat="1" applyFont="1" applyFill="1" applyBorder="1" applyAlignment="1">
      <alignment horizontal="center"/>
    </xf>
    <xf numFmtId="0" fontId="2" fillId="9" borderId="101" xfId="0" applyFont="1" applyFill="1" applyBorder="1" applyAlignment="1">
      <alignment horizontal="center" textRotation="90"/>
    </xf>
    <xf numFmtId="0" fontId="2" fillId="9" borderId="118" xfId="0" applyFont="1" applyFill="1" applyBorder="1" applyAlignment="1">
      <alignment horizontal="center" textRotation="90"/>
    </xf>
    <xf numFmtId="0" fontId="2" fillId="9" borderId="126" xfId="0" applyFont="1" applyFill="1" applyBorder="1" applyAlignment="1">
      <alignment horizontal="center" textRotation="90"/>
    </xf>
    <xf numFmtId="0" fontId="5" fillId="3" borderId="2" xfId="0" applyFont="1" applyFill="1" applyBorder="1" applyAlignment="1">
      <alignment horizontal="center" vertical="center" wrapText="1"/>
    </xf>
    <xf numFmtId="0" fontId="5" fillId="3" borderId="52" xfId="0" applyFont="1" applyFill="1" applyBorder="1" applyAlignment="1">
      <alignment horizontal="center" vertical="center" wrapText="1"/>
    </xf>
    <xf numFmtId="0" fontId="5" fillId="3" borderId="108" xfId="0" applyFont="1" applyFill="1" applyBorder="1" applyAlignment="1">
      <alignment horizontal="center" vertical="center" wrapText="1"/>
    </xf>
    <xf numFmtId="0" fontId="5" fillId="3" borderId="12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21" xfId="0" applyFont="1" applyFill="1" applyBorder="1" applyAlignment="1">
      <alignment horizontal="center" vertical="center" wrapText="1"/>
    </xf>
    <xf numFmtId="0" fontId="4" fillId="3" borderId="90" xfId="0" applyFont="1" applyFill="1" applyBorder="1" applyAlignment="1">
      <alignment horizontal="center" vertical="center" wrapText="1"/>
    </xf>
    <xf numFmtId="0" fontId="4" fillId="3" borderId="91" xfId="0" applyFont="1" applyFill="1" applyBorder="1" applyAlignment="1">
      <alignment horizontal="center" vertical="center" wrapText="1"/>
    </xf>
    <xf numFmtId="0" fontId="4" fillId="3" borderId="88" xfId="0" applyFont="1" applyFill="1" applyBorder="1" applyAlignment="1">
      <alignment horizontal="center" vertical="center" wrapText="1"/>
    </xf>
    <xf numFmtId="0" fontId="4" fillId="3" borderId="108" xfId="0" applyFont="1" applyFill="1" applyBorder="1" applyAlignment="1">
      <alignment horizontal="center" vertical="center" wrapText="1"/>
    </xf>
    <xf numFmtId="0" fontId="4" fillId="3" borderId="109" xfId="0" applyFont="1" applyFill="1" applyBorder="1" applyAlignment="1">
      <alignment horizontal="center" vertical="center" wrapText="1"/>
    </xf>
    <xf numFmtId="0" fontId="4" fillId="3" borderId="120" xfId="0" applyFont="1" applyFill="1" applyBorder="1" applyAlignment="1">
      <alignment horizontal="center" vertical="center" wrapText="1"/>
    </xf>
    <xf numFmtId="168" fontId="16" fillId="10" borderId="133" xfId="0" applyNumberFormat="1" applyFont="1" applyFill="1" applyBorder="1" applyAlignment="1">
      <alignment horizontal="center" vertical="center" textRotation="90"/>
    </xf>
    <xf numFmtId="168" fontId="16" fillId="10" borderId="134" xfId="0" applyNumberFormat="1" applyFont="1" applyFill="1" applyBorder="1" applyAlignment="1">
      <alignment horizontal="center" vertical="center" textRotation="90"/>
    </xf>
    <xf numFmtId="168" fontId="16" fillId="10" borderId="135" xfId="0" applyNumberFormat="1" applyFont="1" applyFill="1" applyBorder="1" applyAlignment="1">
      <alignment horizontal="center" vertical="center" textRotation="90"/>
    </xf>
    <xf numFmtId="10" fontId="33" fillId="9" borderId="3" xfId="0" applyNumberFormat="1" applyFont="1" applyFill="1" applyBorder="1" applyAlignment="1">
      <alignment vertical="center" textRotation="90"/>
    </xf>
    <xf numFmtId="10" fontId="33" fillId="9" borderId="0" xfId="0" applyNumberFormat="1" applyFont="1" applyFill="1" applyAlignment="1">
      <alignment vertical="center" textRotation="90"/>
    </xf>
    <xf numFmtId="0" fontId="33" fillId="9" borderId="3" xfId="0" applyFont="1" applyFill="1" applyBorder="1" applyAlignment="1">
      <alignment horizontal="center"/>
    </xf>
    <xf numFmtId="171" fontId="9" fillId="14" borderId="21" xfId="0" applyNumberFormat="1" applyFont="1" applyFill="1" applyBorder="1" applyAlignment="1">
      <alignment vertical="center" textRotation="90"/>
    </xf>
    <xf numFmtId="171" fontId="9" fillId="14" borderId="159" xfId="0" applyNumberFormat="1" applyFont="1" applyFill="1" applyBorder="1" applyAlignment="1">
      <alignment vertical="center" textRotation="90"/>
    </xf>
    <xf numFmtId="0" fontId="5" fillId="3" borderId="116" xfId="0" applyFont="1" applyFill="1" applyBorder="1" applyAlignment="1">
      <alignment horizontal="center" vertical="center" wrapText="1"/>
    </xf>
    <xf numFmtId="0" fontId="5" fillId="3" borderId="110" xfId="0" applyFont="1" applyFill="1" applyBorder="1" applyAlignment="1">
      <alignment horizontal="center" vertical="center" wrapText="1"/>
    </xf>
    <xf numFmtId="0" fontId="5" fillId="3" borderId="111" xfId="0" applyFont="1" applyFill="1" applyBorder="1" applyAlignment="1">
      <alignment horizontal="center" vertical="center" wrapText="1"/>
    </xf>
    <xf numFmtId="0" fontId="5" fillId="3" borderId="97" xfId="0" applyFont="1" applyFill="1" applyBorder="1" applyAlignment="1">
      <alignment horizontal="center" vertical="center" wrapText="1"/>
    </xf>
    <xf numFmtId="192" fontId="2" fillId="20" borderId="117" xfId="0" applyNumberFormat="1" applyFont="1" applyFill="1" applyBorder="1" applyAlignment="1">
      <alignment horizontal="center" textRotation="90"/>
    </xf>
    <xf numFmtId="192" fontId="2" fillId="20" borderId="118" xfId="0" applyNumberFormat="1" applyFont="1" applyFill="1" applyBorder="1" applyAlignment="1">
      <alignment horizontal="center" textRotation="90"/>
    </xf>
    <xf numFmtId="192" fontId="2" fillId="20" borderId="102" xfId="0" applyNumberFormat="1" applyFont="1" applyFill="1" applyBorder="1" applyAlignment="1">
      <alignment horizontal="center" textRotation="90"/>
    </xf>
    <xf numFmtId="0" fontId="5" fillId="17" borderId="94" xfId="0" applyFont="1" applyFill="1" applyBorder="1" applyAlignment="1">
      <alignment horizontal="center" vertical="center" wrapText="1"/>
    </xf>
    <xf numFmtId="0" fontId="5" fillId="17" borderId="81" xfId="0" applyFont="1" applyFill="1" applyBorder="1" applyAlignment="1">
      <alignment horizontal="center" vertical="center" wrapText="1"/>
    </xf>
    <xf numFmtId="0" fontId="5" fillId="17" borderId="152" xfId="0" applyFont="1" applyFill="1" applyBorder="1" applyAlignment="1">
      <alignment horizontal="center" vertical="center" wrapText="1"/>
    </xf>
    <xf numFmtId="0" fontId="5" fillId="18" borderId="151" xfId="0" applyFont="1" applyFill="1" applyBorder="1" applyAlignment="1">
      <alignment horizontal="center" vertical="center" wrapText="1"/>
    </xf>
    <xf numFmtId="0" fontId="5" fillId="18" borderId="81" xfId="0" applyFont="1" applyFill="1" applyBorder="1" applyAlignment="1">
      <alignment horizontal="center" vertical="center" wrapText="1"/>
    </xf>
    <xf numFmtId="0" fontId="5" fillId="18" borderId="152" xfId="0" applyFont="1" applyFill="1" applyBorder="1" applyAlignment="1">
      <alignment horizontal="center" vertical="center" wrapText="1"/>
    </xf>
    <xf numFmtId="0" fontId="5" fillId="3" borderId="151" xfId="0" applyFont="1" applyFill="1" applyBorder="1" applyAlignment="1">
      <alignment horizontal="center" vertical="center" wrapText="1"/>
    </xf>
    <xf numFmtId="0" fontId="5" fillId="3" borderId="81" xfId="0" applyFont="1" applyFill="1" applyBorder="1" applyAlignment="1">
      <alignment horizontal="center" vertical="center" wrapText="1"/>
    </xf>
    <xf numFmtId="0" fontId="5" fillId="3" borderId="152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 wrapText="1"/>
    </xf>
    <xf numFmtId="0" fontId="4" fillId="3" borderId="54" xfId="0" applyFont="1" applyFill="1" applyBorder="1" applyAlignment="1">
      <alignment horizontal="center" vertical="center" wrapText="1"/>
    </xf>
    <xf numFmtId="0" fontId="4" fillId="3" borderId="15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0" borderId="15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68" fontId="8" fillId="3" borderId="95" xfId="0" applyNumberFormat="1" applyFont="1" applyFill="1" applyBorder="1" applyAlignment="1">
      <alignment horizontal="center" vertical="center"/>
    </xf>
    <xf numFmtId="168" fontId="8" fillId="3" borderId="100" xfId="0" applyNumberFormat="1" applyFont="1" applyFill="1" applyBorder="1" applyAlignment="1">
      <alignment horizontal="center" vertical="center"/>
    </xf>
    <xf numFmtId="168" fontId="8" fillId="3" borderId="103" xfId="0" applyNumberFormat="1" applyFont="1" applyFill="1" applyBorder="1" applyAlignment="1">
      <alignment horizontal="center" vertical="center"/>
    </xf>
    <xf numFmtId="0" fontId="5" fillId="0" borderId="97" xfId="0" applyFont="1" applyBorder="1" applyAlignment="1">
      <alignment horizontal="center"/>
    </xf>
    <xf numFmtId="0" fontId="5" fillId="0" borderId="110" xfId="0" applyFont="1" applyBorder="1" applyAlignment="1">
      <alignment horizontal="center"/>
    </xf>
    <xf numFmtId="0" fontId="5" fillId="0" borderId="111" xfId="0" applyFont="1" applyBorder="1" applyAlignment="1">
      <alignment horizontal="center"/>
    </xf>
    <xf numFmtId="0" fontId="26" fillId="3" borderId="97" xfId="0" applyFont="1" applyFill="1" applyBorder="1" applyAlignment="1">
      <alignment horizontal="center" vertical="justify"/>
    </xf>
    <xf numFmtId="0" fontId="26" fillId="3" borderId="110" xfId="0" applyFont="1" applyFill="1" applyBorder="1" applyAlignment="1">
      <alignment horizontal="center" vertical="justify"/>
    </xf>
    <xf numFmtId="0" fontId="26" fillId="3" borderId="111" xfId="0" applyFont="1" applyFill="1" applyBorder="1" applyAlignment="1">
      <alignment horizontal="center" vertical="justify"/>
    </xf>
    <xf numFmtId="0" fontId="26" fillId="3" borderId="97" xfId="0" applyFont="1" applyFill="1" applyBorder="1" applyAlignment="1">
      <alignment horizontal="center"/>
    </xf>
    <xf numFmtId="0" fontId="26" fillId="3" borderId="111" xfId="0" applyFont="1" applyFill="1" applyBorder="1" applyAlignment="1">
      <alignment horizontal="center"/>
    </xf>
    <xf numFmtId="0" fontId="26" fillId="3" borderId="112" xfId="0" applyFont="1" applyFill="1" applyBorder="1" applyAlignment="1">
      <alignment horizontal="center"/>
    </xf>
    <xf numFmtId="0" fontId="7" fillId="3" borderId="97" xfId="0" applyFont="1" applyFill="1" applyBorder="1" applyAlignment="1">
      <alignment horizontal="center"/>
    </xf>
    <xf numFmtId="0" fontId="7" fillId="3" borderId="110" xfId="0" applyFont="1" applyFill="1" applyBorder="1" applyAlignment="1">
      <alignment horizontal="center"/>
    </xf>
    <xf numFmtId="0" fontId="7" fillId="3" borderId="111" xfId="0" applyFont="1" applyFill="1" applyBorder="1" applyAlignment="1">
      <alignment horizontal="center"/>
    </xf>
    <xf numFmtId="0" fontId="4" fillId="3" borderId="97" xfId="0" applyFont="1" applyFill="1" applyBorder="1" applyAlignment="1">
      <alignment horizontal="center"/>
    </xf>
    <xf numFmtId="0" fontId="4" fillId="3" borderId="110" xfId="0" applyFont="1" applyFill="1" applyBorder="1" applyAlignment="1">
      <alignment horizontal="center"/>
    </xf>
    <xf numFmtId="0" fontId="4" fillId="3" borderId="111" xfId="0" applyFont="1" applyFill="1" applyBorder="1" applyAlignment="1">
      <alignment horizontal="center"/>
    </xf>
    <xf numFmtId="4" fontId="56" fillId="20" borderId="114" xfId="0" applyNumberFormat="1" applyFont="1" applyFill="1" applyBorder="1" applyAlignment="1">
      <alignment horizontal="center" vertical="distributed"/>
    </xf>
    <xf numFmtId="4" fontId="56" fillId="20" borderId="29" xfId="0" applyNumberFormat="1" applyFont="1" applyFill="1" applyBorder="1" applyAlignment="1">
      <alignment horizontal="center" vertical="distributed"/>
    </xf>
    <xf numFmtId="4" fontId="56" fillId="20" borderId="30" xfId="0" applyNumberFormat="1" applyFont="1" applyFill="1" applyBorder="1" applyAlignment="1">
      <alignment horizontal="center" vertical="distributed"/>
    </xf>
    <xf numFmtId="14" fontId="2" fillId="20" borderId="115" xfId="0" applyNumberFormat="1" applyFont="1" applyFill="1" applyBorder="1" applyAlignment="1">
      <alignment horizontal="center" textRotation="90"/>
    </xf>
    <xf numFmtId="14" fontId="2" fillId="20" borderId="53" xfId="0" applyNumberFormat="1" applyFont="1" applyFill="1" applyBorder="1" applyAlignment="1">
      <alignment horizontal="center" textRotation="90"/>
    </xf>
    <xf numFmtId="14" fontId="2" fillId="20" borderId="31" xfId="0" applyNumberFormat="1" applyFont="1" applyFill="1" applyBorder="1" applyAlignment="1">
      <alignment horizontal="center" textRotation="90"/>
    </xf>
    <xf numFmtId="0" fontId="2" fillId="16" borderId="85" xfId="0" applyFont="1" applyFill="1" applyBorder="1" applyAlignment="1">
      <alignment horizontal="center"/>
    </xf>
    <xf numFmtId="0" fontId="2" fillId="16" borderId="88" xfId="0" applyFont="1" applyFill="1" applyBorder="1" applyAlignment="1">
      <alignment horizontal="center"/>
    </xf>
    <xf numFmtId="0" fontId="2" fillId="16" borderId="45" xfId="0" applyFont="1" applyFill="1" applyBorder="1" applyAlignment="1">
      <alignment horizontal="center"/>
    </xf>
    <xf numFmtId="0" fontId="2" fillId="16" borderId="49" xfId="0" applyFont="1" applyFill="1" applyBorder="1" applyAlignment="1">
      <alignment horizontal="center"/>
    </xf>
    <xf numFmtId="0" fontId="2" fillId="16" borderId="119" xfId="0" applyFont="1" applyFill="1" applyBorder="1" applyAlignment="1">
      <alignment horizontal="center"/>
    </xf>
    <xf numFmtId="0" fontId="2" fillId="16" borderId="120" xfId="0" applyFont="1" applyFill="1" applyBorder="1" applyAlignment="1">
      <alignment horizontal="center"/>
    </xf>
    <xf numFmtId="0" fontId="2" fillId="9" borderId="89" xfId="0" applyFont="1" applyFill="1" applyBorder="1" applyAlignment="1">
      <alignment horizontal="center" textRotation="90"/>
    </xf>
    <xf numFmtId="0" fontId="2" fillId="9" borderId="53" xfId="0" applyFont="1" applyFill="1" applyBorder="1" applyAlignment="1">
      <alignment horizontal="center" textRotation="90"/>
    </xf>
    <xf numFmtId="0" fontId="2" fillId="9" borderId="125" xfId="0" applyFont="1" applyFill="1" applyBorder="1" applyAlignment="1">
      <alignment horizontal="center" textRotation="90"/>
    </xf>
    <xf numFmtId="0" fontId="30" fillId="3" borderId="156" xfId="0" applyFont="1" applyFill="1" applyBorder="1" applyAlignment="1">
      <alignment horizontal="center" vertical="justify" textRotation="90"/>
    </xf>
    <xf numFmtId="0" fontId="30" fillId="3" borderId="5" xfId="0" applyFont="1" applyFill="1" applyBorder="1" applyAlignment="1">
      <alignment horizontal="center" vertical="justify" textRotation="90"/>
    </xf>
    <xf numFmtId="0" fontId="30" fillId="3" borderId="121" xfId="0" applyFont="1" applyFill="1" applyBorder="1" applyAlignment="1">
      <alignment horizontal="center" vertical="justify" textRotation="90"/>
    </xf>
    <xf numFmtId="0" fontId="2" fillId="0" borderId="151" xfId="0" applyFont="1" applyBorder="1" applyAlignment="1">
      <alignment horizontal="center"/>
    </xf>
    <xf numFmtId="0" fontId="2" fillId="0" borderId="152" xfId="0" applyFont="1" applyBorder="1" applyAlignment="1">
      <alignment horizontal="center"/>
    </xf>
    <xf numFmtId="0" fontId="2" fillId="3" borderId="151" xfId="0" applyFont="1" applyFill="1" applyBorder="1" applyAlignment="1">
      <alignment horizontal="left"/>
    </xf>
    <xf numFmtId="0" fontId="2" fillId="3" borderId="152" xfId="0" applyFont="1" applyFill="1" applyBorder="1" applyAlignment="1">
      <alignment horizontal="left"/>
    </xf>
    <xf numFmtId="0" fontId="7" fillId="3" borderId="151" xfId="0" applyFont="1" applyFill="1" applyBorder="1" applyAlignment="1">
      <alignment horizontal="center"/>
    </xf>
    <xf numFmtId="0" fontId="7" fillId="3" borderId="152" xfId="0" applyFont="1" applyFill="1" applyBorder="1" applyAlignment="1">
      <alignment horizontal="center"/>
    </xf>
    <xf numFmtId="168" fontId="2" fillId="3" borderId="151" xfId="0" applyNumberFormat="1" applyFont="1" applyFill="1" applyBorder="1" applyAlignment="1">
      <alignment horizontal="center"/>
    </xf>
    <xf numFmtId="168" fontId="2" fillId="3" borderId="152" xfId="0" applyNumberFormat="1" applyFont="1" applyFill="1" applyBorder="1" applyAlignment="1">
      <alignment horizontal="center"/>
    </xf>
    <xf numFmtId="10" fontId="2" fillId="3" borderId="151" xfId="9" applyNumberFormat="1" applyFont="1" applyFill="1" applyBorder="1" applyAlignment="1">
      <alignment horizontal="center"/>
    </xf>
    <xf numFmtId="10" fontId="2" fillId="3" borderId="82" xfId="9" applyNumberFormat="1" applyFont="1" applyFill="1" applyBorder="1" applyAlignment="1">
      <alignment horizontal="center"/>
    </xf>
    <xf numFmtId="0" fontId="7" fillId="19" borderId="151" xfId="0" applyFont="1" applyFill="1" applyBorder="1" applyAlignment="1">
      <alignment horizontal="center"/>
    </xf>
    <xf numFmtId="0" fontId="7" fillId="19" borderId="152" xfId="0" applyFont="1" applyFill="1" applyBorder="1" applyAlignment="1">
      <alignment horizontal="center"/>
    </xf>
    <xf numFmtId="4" fontId="8" fillId="19" borderId="18" xfId="0" applyNumberFormat="1" applyFont="1" applyFill="1" applyBorder="1" applyAlignment="1">
      <alignment horizontal="center" vertical="distributed"/>
    </xf>
    <xf numFmtId="4" fontId="8" fillId="19" borderId="29" xfId="0" applyNumberFormat="1" applyFont="1" applyFill="1" applyBorder="1" applyAlignment="1">
      <alignment horizontal="center" vertical="distributed"/>
    </xf>
    <xf numFmtId="4" fontId="8" fillId="19" borderId="124" xfId="0" applyNumberFormat="1" applyFont="1" applyFill="1" applyBorder="1" applyAlignment="1">
      <alignment horizontal="center" vertical="distributed"/>
    </xf>
    <xf numFmtId="0" fontId="84" fillId="3" borderId="3" xfId="0" applyFont="1" applyFill="1" applyBorder="1"/>
    <xf numFmtId="0" fontId="84" fillId="3" borderId="21" xfId="0" applyFont="1" applyFill="1" applyBorder="1"/>
    <xf numFmtId="0" fontId="84" fillId="3" borderId="0" xfId="0" applyFont="1" applyFill="1"/>
    <xf numFmtId="0" fontId="84" fillId="3" borderId="159" xfId="0" applyFont="1" applyFill="1" applyBorder="1"/>
    <xf numFmtId="0" fontId="84" fillId="3" borderId="80" xfId="0" applyFont="1" applyFill="1" applyBorder="1"/>
    <xf numFmtId="0" fontId="84" fillId="3" borderId="2" xfId="0" applyFont="1" applyFill="1" applyBorder="1" applyAlignment="1">
      <alignment horizontal="left"/>
    </xf>
    <xf numFmtId="0" fontId="84" fillId="3" borderId="3" xfId="0" applyFont="1" applyFill="1" applyBorder="1" applyAlignment="1">
      <alignment horizontal="left"/>
    </xf>
    <xf numFmtId="0" fontId="84" fillId="3" borderId="80" xfId="0" applyFont="1" applyFill="1" applyBorder="1" applyAlignment="1">
      <alignment horizontal="left"/>
    </xf>
    <xf numFmtId="0" fontId="84" fillId="3" borderId="0" xfId="0" applyFont="1" applyFill="1" applyAlignment="1">
      <alignment horizontal="left"/>
    </xf>
    <xf numFmtId="0" fontId="19" fillId="3" borderId="3" xfId="0" applyFont="1" applyFill="1" applyBorder="1" applyAlignment="1">
      <alignment horizontal="center"/>
    </xf>
    <xf numFmtId="0" fontId="85" fillId="0" borderId="3" xfId="0" applyFont="1" applyBorder="1"/>
    <xf numFmtId="0" fontId="85" fillId="0" borderId="0" xfId="0" applyFont="1"/>
    <xf numFmtId="0" fontId="32" fillId="3" borderId="2" xfId="0" applyFont="1" applyFill="1" applyBorder="1" applyAlignment="1">
      <alignment horizontal="left" vertical="center"/>
    </xf>
    <xf numFmtId="0" fontId="32" fillId="3" borderId="3" xfId="0" applyFont="1" applyFill="1" applyBorder="1" applyAlignment="1">
      <alignment horizontal="left" vertical="center"/>
    </xf>
    <xf numFmtId="0" fontId="32" fillId="3" borderId="80" xfId="0" applyFont="1" applyFill="1" applyBorder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16" fillId="10" borderId="17" xfId="0" applyFont="1" applyFill="1" applyBorder="1" applyAlignment="1">
      <alignment horizontal="left" vertical="distributed"/>
    </xf>
    <xf numFmtId="0" fontId="16" fillId="10" borderId="14" xfId="0" applyFont="1" applyFill="1" applyBorder="1" applyAlignment="1">
      <alignment horizontal="left" vertical="distributed"/>
    </xf>
    <xf numFmtId="0" fontId="84" fillId="3" borderId="3" xfId="0" applyFont="1" applyFill="1" applyBorder="1" applyAlignment="1">
      <alignment horizontal="center"/>
    </xf>
    <xf numFmtId="0" fontId="84" fillId="3" borderId="21" xfId="0" applyFont="1" applyFill="1" applyBorder="1" applyAlignment="1">
      <alignment horizontal="center"/>
    </xf>
    <xf numFmtId="0" fontId="84" fillId="3" borderId="0" xfId="0" applyFont="1" applyFill="1" applyAlignment="1">
      <alignment horizontal="center"/>
    </xf>
    <xf numFmtId="0" fontId="84" fillId="3" borderId="159" xfId="0" applyFont="1" applyFill="1" applyBorder="1" applyAlignment="1">
      <alignment horizontal="center"/>
    </xf>
    <xf numFmtId="0" fontId="84" fillId="3" borderId="1" xfId="0" applyFont="1" applyFill="1" applyBorder="1" applyAlignment="1">
      <alignment horizontal="center"/>
    </xf>
    <xf numFmtId="0" fontId="84" fillId="3" borderId="39" xfId="0" applyFont="1" applyFill="1" applyBorder="1" applyAlignment="1">
      <alignment horizontal="center"/>
    </xf>
    <xf numFmtId="0" fontId="86" fillId="3" borderId="2" xfId="0" applyFont="1" applyFill="1" applyBorder="1" applyAlignment="1">
      <alignment horizontal="left"/>
    </xf>
    <xf numFmtId="0" fontId="86" fillId="3" borderId="3" xfId="0" applyFont="1" applyFill="1" applyBorder="1" applyAlignment="1">
      <alignment horizontal="left"/>
    </xf>
    <xf numFmtId="0" fontId="86" fillId="3" borderId="21" xfId="0" applyFont="1" applyFill="1" applyBorder="1" applyAlignment="1">
      <alignment horizontal="left"/>
    </xf>
    <xf numFmtId="0" fontId="86" fillId="3" borderId="80" xfId="0" applyFont="1" applyFill="1" applyBorder="1" applyAlignment="1">
      <alignment horizontal="left"/>
    </xf>
    <xf numFmtId="0" fontId="86" fillId="3" borderId="0" xfId="0" applyFont="1" applyFill="1" applyAlignment="1">
      <alignment horizontal="left"/>
    </xf>
    <xf numFmtId="0" fontId="86" fillId="3" borderId="159" xfId="0" applyFont="1" applyFill="1" applyBorder="1" applyAlignment="1">
      <alignment horizontal="left"/>
    </xf>
    <xf numFmtId="0" fontId="4" fillId="9" borderId="14" xfId="0" applyFont="1" applyFill="1" applyBorder="1" applyAlignment="1">
      <alignment horizontal="center"/>
    </xf>
    <xf numFmtId="0" fontId="79" fillId="3" borderId="3" xfId="18" applyFont="1" applyFill="1" applyBorder="1" applyAlignment="1">
      <alignment horizontal="center"/>
    </xf>
    <xf numFmtId="49" fontId="113" fillId="3" borderId="3" xfId="72" applyNumberFormat="1" applyFont="1" applyFill="1" applyBorder="1" applyAlignment="1" applyProtection="1">
      <alignment horizontal="center" vertical="center"/>
      <protection locked="0" hidden="1"/>
    </xf>
    <xf numFmtId="2" fontId="98" fillId="3" borderId="3" xfId="72" applyNumberFormat="1" applyFont="1" applyFill="1" applyBorder="1" applyAlignment="1" applyProtection="1">
      <alignment horizontal="left" vertical="center"/>
      <protection locked="0"/>
    </xf>
    <xf numFmtId="0" fontId="113" fillId="3" borderId="3" xfId="72" applyFont="1" applyFill="1" applyBorder="1" applyAlignment="1" applyProtection="1">
      <alignment horizontal="center" vertical="center"/>
      <protection locked="0" hidden="1"/>
    </xf>
    <xf numFmtId="0" fontId="99" fillId="3" borderId="3" xfId="72" applyFont="1" applyFill="1" applyBorder="1" applyAlignment="1" applyProtection="1">
      <alignment horizontal="left" vertical="center"/>
      <protection locked="0" hidden="1"/>
    </xf>
    <xf numFmtId="0" fontId="113" fillId="3" borderId="34" xfId="72" applyFont="1" applyFill="1" applyBorder="1" applyAlignment="1" applyProtection="1">
      <alignment horizontal="center" vertical="center"/>
      <protection locked="0" hidden="1"/>
    </xf>
    <xf numFmtId="0" fontId="99" fillId="3" borderId="34" xfId="72" applyFont="1" applyFill="1" applyBorder="1" applyAlignment="1" applyProtection="1">
      <alignment horizontal="left" vertical="center"/>
      <protection locked="0" hidden="1"/>
    </xf>
    <xf numFmtId="0" fontId="81" fillId="3" borderId="14" xfId="18" applyFont="1" applyFill="1" applyBorder="1" applyAlignment="1">
      <alignment horizontal="center"/>
    </xf>
    <xf numFmtId="0" fontId="87" fillId="3" borderId="34" xfId="0" applyFont="1" applyFill="1" applyBorder="1" applyAlignment="1">
      <alignment horizontal="center" vertical="center"/>
    </xf>
    <xf numFmtId="0" fontId="87" fillId="3" borderId="33" xfId="0" applyFont="1" applyFill="1" applyBorder="1" applyAlignment="1">
      <alignment horizontal="center" vertical="center"/>
    </xf>
    <xf numFmtId="0" fontId="83" fillId="3" borderId="14" xfId="0" applyFont="1" applyFill="1" applyBorder="1" applyAlignment="1">
      <alignment horizontal="center"/>
    </xf>
    <xf numFmtId="171" fontId="79" fillId="3" borderId="9" xfId="9" applyNumberFormat="1" applyFont="1" applyFill="1" applyBorder="1" applyAlignment="1">
      <alignment horizontal="center" vertical="center"/>
    </xf>
    <xf numFmtId="171" fontId="79" fillId="3" borderId="15" xfId="9" applyNumberFormat="1" applyFont="1" applyFill="1" applyBorder="1" applyAlignment="1">
      <alignment horizontal="center" vertical="center"/>
    </xf>
    <xf numFmtId="1" fontId="79" fillId="3" borderId="94" xfId="9" applyNumberFormat="1" applyFont="1" applyFill="1" applyBorder="1" applyAlignment="1">
      <alignment horizontal="center" vertical="center"/>
    </xf>
    <xf numFmtId="1" fontId="79" fillId="3" borderId="152" xfId="9" applyNumberFormat="1" applyFont="1" applyFill="1" applyBorder="1" applyAlignment="1">
      <alignment horizontal="center" vertical="center"/>
    </xf>
    <xf numFmtId="0" fontId="79" fillId="3" borderId="94" xfId="0" applyFont="1" applyFill="1" applyBorder="1" applyAlignment="1">
      <alignment horizontal="center" vertical="center"/>
    </xf>
    <xf numFmtId="0" fontId="79" fillId="3" borderId="152" xfId="0" applyFont="1" applyFill="1" applyBorder="1" applyAlignment="1">
      <alignment horizontal="center" vertical="center"/>
    </xf>
    <xf numFmtId="1" fontId="79" fillId="3" borderId="94" xfId="0" applyNumberFormat="1" applyFont="1" applyFill="1" applyBorder="1" applyAlignment="1">
      <alignment horizontal="center" vertical="center"/>
    </xf>
    <xf numFmtId="1" fontId="79" fillId="3" borderId="152" xfId="0" applyNumberFormat="1" applyFont="1" applyFill="1" applyBorder="1" applyAlignment="1">
      <alignment horizontal="center" vertical="center"/>
    </xf>
    <xf numFmtId="0" fontId="79" fillId="3" borderId="150" xfId="0" applyFont="1" applyFill="1" applyBorder="1" applyAlignment="1">
      <alignment horizontal="center" vertical="center"/>
    </xf>
    <xf numFmtId="0" fontId="79" fillId="3" borderId="157" xfId="0" applyFont="1" applyFill="1" applyBorder="1" applyAlignment="1">
      <alignment horizontal="center" vertical="center"/>
    </xf>
    <xf numFmtId="0" fontId="87" fillId="6" borderId="167" xfId="0" applyFont="1" applyFill="1" applyBorder="1" applyAlignment="1">
      <alignment horizontal="center" vertical="center"/>
    </xf>
    <xf numFmtId="0" fontId="87" fillId="6" borderId="46" xfId="0" applyFont="1" applyFill="1" applyBorder="1" applyAlignment="1">
      <alignment horizontal="center" vertical="center"/>
    </xf>
    <xf numFmtId="0" fontId="92" fillId="0" borderId="41" xfId="0" applyFont="1" applyBorder="1" applyAlignment="1">
      <alignment horizontal="center" vertical="center"/>
    </xf>
    <xf numFmtId="0" fontId="92" fillId="0" borderId="42" xfId="0" applyFont="1" applyBorder="1" applyAlignment="1">
      <alignment horizontal="center" vertical="center"/>
    </xf>
    <xf numFmtId="0" fontId="92" fillId="0" borderId="43" xfId="0" applyFont="1" applyBorder="1" applyAlignment="1">
      <alignment horizontal="center" vertical="center"/>
    </xf>
    <xf numFmtId="0" fontId="99" fillId="34" borderId="2" xfId="0" applyFont="1" applyFill="1" applyBorder="1" applyAlignment="1">
      <alignment horizontal="center" vertical="center"/>
    </xf>
    <xf numFmtId="0" fontId="99" fillId="34" borderId="3" xfId="0" applyFont="1" applyFill="1" applyBorder="1" applyAlignment="1">
      <alignment horizontal="center" vertical="center"/>
    </xf>
    <xf numFmtId="0" fontId="99" fillId="34" borderId="21" xfId="0" applyFont="1" applyFill="1" applyBorder="1" applyAlignment="1">
      <alignment horizontal="center" vertical="center"/>
    </xf>
    <xf numFmtId="0" fontId="99" fillId="34" borderId="8" xfId="0" applyFont="1" applyFill="1" applyBorder="1" applyAlignment="1">
      <alignment horizontal="center" vertical="center"/>
    </xf>
    <xf numFmtId="0" fontId="99" fillId="34" borderId="0" xfId="0" applyFont="1" applyFill="1" applyAlignment="1">
      <alignment horizontal="center" vertical="center"/>
    </xf>
    <xf numFmtId="0" fontId="99" fillId="34" borderId="159" xfId="0" applyFont="1" applyFill="1" applyBorder="1" applyAlignment="1">
      <alignment horizontal="center" vertical="center"/>
    </xf>
    <xf numFmtId="0" fontId="87" fillId="34" borderId="32" xfId="0" applyFont="1" applyFill="1" applyBorder="1" applyAlignment="1">
      <alignment horizontal="center" vertical="center"/>
    </xf>
    <xf numFmtId="0" fontId="87" fillId="34" borderId="34" xfId="0" applyFont="1" applyFill="1" applyBorder="1" applyAlignment="1">
      <alignment horizontal="center" vertical="center"/>
    </xf>
    <xf numFmtId="0" fontId="87" fillId="34" borderId="33" xfId="0" applyFont="1" applyFill="1" applyBorder="1" applyAlignment="1">
      <alignment horizontal="center" vertical="center"/>
    </xf>
    <xf numFmtId="0" fontId="98" fillId="0" borderId="0" xfId="0" applyFont="1" applyAlignment="1">
      <alignment horizontal="left" wrapText="1"/>
    </xf>
    <xf numFmtId="0" fontId="98" fillId="3" borderId="34" xfId="0" applyFont="1" applyFill="1" applyBorder="1" applyAlignment="1">
      <alignment horizontal="left" vertical="center" wrapText="1"/>
    </xf>
    <xf numFmtId="0" fontId="99" fillId="3" borderId="34" xfId="72" applyFont="1" applyFill="1" applyBorder="1" applyAlignment="1" applyProtection="1">
      <alignment horizontal="left" vertical="center" wrapText="1"/>
      <protection locked="0"/>
    </xf>
    <xf numFmtId="0" fontId="114" fillId="3" borderId="34" xfId="72" applyFont="1" applyFill="1" applyBorder="1" applyAlignment="1" applyProtection="1">
      <alignment horizontal="left" vertical="center"/>
      <protection locked="0"/>
    </xf>
    <xf numFmtId="0" fontId="98" fillId="3" borderId="14" xfId="0" applyFont="1" applyFill="1" applyBorder="1" applyAlignment="1">
      <alignment horizontal="center" vertical="center" wrapText="1"/>
    </xf>
    <xf numFmtId="0" fontId="108" fillId="3" borderId="32" xfId="0" applyFont="1" applyFill="1" applyBorder="1" applyAlignment="1">
      <alignment horizontal="center" vertical="center"/>
    </xf>
    <xf numFmtId="0" fontId="108" fillId="3" borderId="33" xfId="0" applyFont="1" applyFill="1" applyBorder="1" applyAlignment="1">
      <alignment horizontal="center" vertical="center"/>
    </xf>
    <xf numFmtId="0" fontId="116" fillId="35" borderId="32" xfId="0" applyFont="1" applyFill="1" applyBorder="1" applyAlignment="1">
      <alignment horizontal="center" vertical="center"/>
    </xf>
    <xf numFmtId="0" fontId="116" fillId="35" borderId="34" xfId="0" applyFont="1" applyFill="1" applyBorder="1" applyAlignment="1">
      <alignment horizontal="center" vertical="center"/>
    </xf>
    <xf numFmtId="0" fontId="116" fillId="35" borderId="33" xfId="0" applyFont="1" applyFill="1" applyBorder="1" applyAlignment="1">
      <alignment horizontal="center" vertical="center"/>
    </xf>
    <xf numFmtId="0" fontId="83" fillId="26" borderId="151" xfId="0" applyFont="1" applyFill="1" applyBorder="1" applyAlignment="1">
      <alignment horizontal="center" vertical="center"/>
    </xf>
    <xf numFmtId="0" fontId="83" fillId="26" borderId="81" xfId="0" applyFont="1" applyFill="1" applyBorder="1" applyAlignment="1">
      <alignment horizontal="center" vertical="center"/>
    </xf>
    <xf numFmtId="3" fontId="83" fillId="3" borderId="94" xfId="0" applyNumberFormat="1" applyFont="1" applyFill="1" applyBorder="1" applyAlignment="1">
      <alignment horizontal="center" vertical="center"/>
    </xf>
    <xf numFmtId="3" fontId="83" fillId="3" borderId="82" xfId="0" applyNumberFormat="1" applyFont="1" applyFill="1" applyBorder="1" applyAlignment="1">
      <alignment horizontal="center" vertical="center"/>
    </xf>
    <xf numFmtId="0" fontId="83" fillId="3" borderId="163" xfId="0" applyFont="1" applyFill="1" applyBorder="1" applyAlignment="1">
      <alignment horizontal="left" vertical="center"/>
    </xf>
    <xf numFmtId="0" fontId="83" fillId="3" borderId="153" xfId="0" applyFont="1" applyFill="1" applyBorder="1" applyAlignment="1">
      <alignment horizontal="left" vertical="center"/>
    </xf>
    <xf numFmtId="3" fontId="83" fillId="3" borderId="151" xfId="0" applyNumberFormat="1" applyFont="1" applyFill="1" applyBorder="1" applyAlignment="1">
      <alignment horizontal="center" vertical="center"/>
    </xf>
    <xf numFmtId="3" fontId="83" fillId="3" borderId="81" xfId="0" applyNumberFormat="1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108" fillId="3" borderId="2" xfId="0" applyFont="1" applyFill="1" applyBorder="1" applyAlignment="1">
      <alignment horizontal="center" vertical="center"/>
    </xf>
    <xf numFmtId="0" fontId="108" fillId="3" borderId="21" xfId="0" applyFont="1" applyFill="1" applyBorder="1" applyAlignment="1">
      <alignment horizontal="center" vertical="center"/>
    </xf>
    <xf numFmtId="4" fontId="83" fillId="26" borderId="151" xfId="0" applyNumberFormat="1" applyFont="1" applyFill="1" applyBorder="1" applyAlignment="1">
      <alignment horizontal="center" vertical="center"/>
    </xf>
    <xf numFmtId="4" fontId="83" fillId="26" borderId="81" xfId="0" applyNumberFormat="1" applyFont="1" applyFill="1" applyBorder="1" applyAlignment="1">
      <alignment horizontal="center" vertical="center"/>
    </xf>
    <xf numFmtId="0" fontId="117" fillId="35" borderId="2" xfId="0" applyFont="1" applyFill="1" applyBorder="1" applyAlignment="1">
      <alignment horizontal="center" vertical="center"/>
    </xf>
    <xf numFmtId="0" fontId="117" fillId="35" borderId="3" xfId="0" applyFont="1" applyFill="1" applyBorder="1" applyAlignment="1">
      <alignment horizontal="center" vertical="center"/>
    </xf>
    <xf numFmtId="0" fontId="117" fillId="35" borderId="21" xfId="0" applyFont="1" applyFill="1" applyBorder="1" applyAlignment="1">
      <alignment horizontal="center" vertical="center"/>
    </xf>
    <xf numFmtId="0" fontId="117" fillId="35" borderId="8" xfId="0" applyFont="1" applyFill="1" applyBorder="1" applyAlignment="1">
      <alignment horizontal="center" vertical="center"/>
    </xf>
    <xf numFmtId="0" fontId="117" fillId="35" borderId="0" xfId="0" applyFont="1" applyFill="1" applyAlignment="1">
      <alignment horizontal="center" vertical="center"/>
    </xf>
    <xf numFmtId="0" fontId="117" fillId="35" borderId="159" xfId="0" applyFont="1" applyFill="1" applyBorder="1" applyAlignment="1">
      <alignment horizontal="center" vertical="center"/>
    </xf>
    <xf numFmtId="0" fontId="117" fillId="35" borderId="17" xfId="0" applyFont="1" applyFill="1" applyBorder="1" applyAlignment="1">
      <alignment horizontal="center" vertical="center"/>
    </xf>
    <xf numFmtId="0" fontId="117" fillId="35" borderId="14" xfId="0" applyFont="1" applyFill="1" applyBorder="1" applyAlignment="1">
      <alignment horizontal="center" vertical="center"/>
    </xf>
    <xf numFmtId="0" fontId="117" fillId="35" borderId="23" xfId="0" applyFont="1" applyFill="1" applyBorder="1" applyAlignment="1">
      <alignment horizontal="center" vertical="center"/>
    </xf>
    <xf numFmtId="0" fontId="81" fillId="3" borderId="32" xfId="0" applyFont="1" applyFill="1" applyBorder="1" applyAlignment="1">
      <alignment horizontal="left" vertical="center"/>
    </xf>
    <xf numFmtId="0" fontId="81" fillId="3" borderId="34" xfId="0" applyFont="1" applyFill="1" applyBorder="1" applyAlignment="1">
      <alignment horizontal="left" vertical="center"/>
    </xf>
    <xf numFmtId="0" fontId="81" fillId="3" borderId="33" xfId="0" applyFont="1" applyFill="1" applyBorder="1" applyAlignment="1">
      <alignment horizontal="left" vertical="center"/>
    </xf>
    <xf numFmtId="0" fontId="102" fillId="34" borderId="9" xfId="0" applyFont="1" applyFill="1" applyBorder="1" applyAlignment="1">
      <alignment horizontal="center" vertical="center"/>
    </xf>
    <xf numFmtId="0" fontId="102" fillId="34" borderId="11" xfId="0" applyFont="1" applyFill="1" applyBorder="1" applyAlignment="1">
      <alignment horizontal="center" vertical="center"/>
    </xf>
    <xf numFmtId="0" fontId="83" fillId="0" borderId="32" xfId="0" applyFont="1" applyBorder="1" applyAlignment="1">
      <alignment vertical="center"/>
    </xf>
    <xf numFmtId="0" fontId="83" fillId="0" borderId="34" xfId="0" applyFont="1" applyBorder="1" applyAlignment="1">
      <alignment vertical="center"/>
    </xf>
    <xf numFmtId="0" fontId="118" fillId="35" borderId="2" xfId="0" applyFont="1" applyFill="1" applyBorder="1" applyAlignment="1">
      <alignment horizontal="center" vertical="center"/>
    </xf>
    <xf numFmtId="0" fontId="118" fillId="35" borderId="3" xfId="0" applyFont="1" applyFill="1" applyBorder="1" applyAlignment="1">
      <alignment horizontal="center" vertical="center"/>
    </xf>
    <xf numFmtId="0" fontId="118" fillId="35" borderId="21" xfId="0" applyFont="1" applyFill="1" applyBorder="1" applyAlignment="1">
      <alignment horizontal="center" vertical="center"/>
    </xf>
    <xf numFmtId="0" fontId="118" fillId="35" borderId="8" xfId="0" applyFont="1" applyFill="1" applyBorder="1" applyAlignment="1">
      <alignment horizontal="center" vertical="center"/>
    </xf>
    <xf numFmtId="0" fontId="118" fillId="35" borderId="0" xfId="0" applyFont="1" applyFill="1" applyAlignment="1">
      <alignment horizontal="center" vertical="center"/>
    </xf>
    <xf numFmtId="0" fontId="118" fillId="35" borderId="159" xfId="0" applyFont="1" applyFill="1" applyBorder="1" applyAlignment="1">
      <alignment horizontal="center" vertical="center"/>
    </xf>
    <xf numFmtId="0" fontId="118" fillId="35" borderId="17" xfId="0" applyFont="1" applyFill="1" applyBorder="1" applyAlignment="1">
      <alignment horizontal="center" vertical="center"/>
    </xf>
    <xf numFmtId="0" fontId="118" fillId="35" borderId="14" xfId="0" applyFont="1" applyFill="1" applyBorder="1" applyAlignment="1">
      <alignment horizontal="center" vertical="center"/>
    </xf>
    <xf numFmtId="0" fontId="118" fillId="35" borderId="23" xfId="0" applyFont="1" applyFill="1" applyBorder="1" applyAlignment="1">
      <alignment horizontal="center" vertical="center"/>
    </xf>
    <xf numFmtId="183" fontId="79" fillId="3" borderId="6" xfId="10" applyNumberFormat="1" applyFont="1" applyFill="1" applyBorder="1" applyAlignment="1">
      <alignment horizontal="center" vertical="center"/>
    </xf>
    <xf numFmtId="183" fontId="79" fillId="3" borderId="13" xfId="10" applyNumberFormat="1" applyFont="1" applyFill="1" applyBorder="1" applyAlignment="1">
      <alignment horizontal="center" vertical="center"/>
    </xf>
    <xf numFmtId="183" fontId="79" fillId="3" borderId="7" xfId="10" applyNumberFormat="1" applyFont="1" applyFill="1" applyBorder="1" applyAlignment="1">
      <alignment horizontal="center" vertical="center"/>
    </xf>
    <xf numFmtId="10" fontId="107" fillId="0" borderId="86" xfId="0" applyNumberFormat="1" applyFont="1" applyBorder="1" applyAlignment="1">
      <alignment horizontal="center" vertical="center"/>
    </xf>
    <xf numFmtId="10" fontId="107" fillId="0" borderId="84" xfId="0" applyNumberFormat="1" applyFont="1" applyBorder="1" applyAlignment="1">
      <alignment horizontal="center" vertical="center"/>
    </xf>
    <xf numFmtId="0" fontId="104" fillId="3" borderId="90" xfId="0" applyFont="1" applyFill="1" applyBorder="1" applyAlignment="1">
      <alignment horizontal="center" vertical="center"/>
    </xf>
    <xf numFmtId="0" fontId="104" fillId="3" borderId="92" xfId="0" applyFont="1" applyFill="1" applyBorder="1" applyAlignment="1">
      <alignment horizontal="center" vertical="center"/>
    </xf>
    <xf numFmtId="0" fontId="104" fillId="3" borderId="17" xfId="0" applyFont="1" applyFill="1" applyBorder="1" applyAlignment="1">
      <alignment horizontal="center" vertical="center"/>
    </xf>
    <xf numFmtId="0" fontId="104" fillId="3" borderId="23" xfId="0" applyFont="1" applyFill="1" applyBorder="1" applyAlignment="1">
      <alignment horizontal="center" vertical="center"/>
    </xf>
    <xf numFmtId="0" fontId="83" fillId="0" borderId="9" xfId="0" applyFont="1" applyBorder="1" applyAlignment="1">
      <alignment horizontal="left" vertical="center"/>
    </xf>
    <xf numFmtId="0" fontId="83" fillId="0" borderId="10" xfId="0" applyFont="1" applyBorder="1" applyAlignment="1">
      <alignment horizontal="left" vertical="center"/>
    </xf>
    <xf numFmtId="0" fontId="83" fillId="0" borderId="11" xfId="0" applyFont="1" applyBorder="1" applyAlignment="1">
      <alignment horizontal="left" vertical="center"/>
    </xf>
    <xf numFmtId="0" fontId="83" fillId="0" borderId="9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38" xfId="0" applyFont="1" applyBorder="1" applyAlignment="1">
      <alignment horizontal="center" vertical="center"/>
    </xf>
    <xf numFmtId="171" fontId="87" fillId="3" borderId="94" xfId="0" applyNumberFormat="1" applyFont="1" applyFill="1" applyBorder="1" applyAlignment="1">
      <alignment horizontal="center" vertical="center"/>
    </xf>
    <xf numFmtId="171" fontId="87" fillId="3" borderId="82" xfId="0" applyNumberFormat="1" applyFont="1" applyFill="1" applyBorder="1" applyAlignment="1">
      <alignment horizontal="center" vertical="center"/>
    </xf>
    <xf numFmtId="0" fontId="83" fillId="0" borderId="94" xfId="0" applyFont="1" applyBorder="1" applyAlignment="1">
      <alignment horizontal="left" vertical="center"/>
    </xf>
    <xf numFmtId="0" fontId="83" fillId="0" borderId="82" xfId="0" applyFont="1" applyBorder="1" applyAlignment="1">
      <alignment horizontal="left" vertical="center"/>
    </xf>
    <xf numFmtId="171" fontId="93" fillId="3" borderId="94" xfId="0" applyNumberFormat="1" applyFont="1" applyFill="1" applyBorder="1" applyAlignment="1">
      <alignment horizontal="right" vertical="center"/>
    </xf>
    <xf numFmtId="171" fontId="93" fillId="3" borderId="82" xfId="0" applyNumberFormat="1" applyFont="1" applyFill="1" applyBorder="1" applyAlignment="1">
      <alignment horizontal="right" vertical="center"/>
    </xf>
    <xf numFmtId="0" fontId="83" fillId="3" borderId="94" xfId="0" applyFont="1" applyFill="1" applyBorder="1" applyAlignment="1">
      <alignment horizontal="center" vertical="center"/>
    </xf>
    <xf numFmtId="0" fontId="83" fillId="3" borderId="82" xfId="0" applyFont="1" applyFill="1" applyBorder="1" applyAlignment="1">
      <alignment horizontal="center" vertical="center"/>
    </xf>
    <xf numFmtId="0" fontId="83" fillId="3" borderId="2" xfId="0" applyFont="1" applyFill="1" applyBorder="1" applyAlignment="1">
      <alignment horizontal="center" vertical="center"/>
    </xf>
    <xf numFmtId="0" fontId="83" fillId="3" borderId="21" xfId="0" applyFont="1" applyFill="1" applyBorder="1" applyAlignment="1">
      <alignment horizontal="center" vertical="center"/>
    </xf>
    <xf numFmtId="0" fontId="83" fillId="3" borderId="8" xfId="0" applyFont="1" applyFill="1" applyBorder="1" applyAlignment="1">
      <alignment horizontal="center" vertical="center"/>
    </xf>
    <xf numFmtId="0" fontId="83" fillId="3" borderId="159" xfId="0" applyFont="1" applyFill="1" applyBorder="1" applyAlignment="1">
      <alignment horizontal="center" vertical="center"/>
    </xf>
    <xf numFmtId="0" fontId="83" fillId="26" borderId="9" xfId="0" applyFont="1" applyFill="1" applyBorder="1" applyAlignment="1">
      <alignment horizontal="center" vertical="center"/>
    </xf>
    <xf numFmtId="0" fontId="83" fillId="26" borderId="11" xfId="0" applyFont="1" applyFill="1" applyBorder="1" applyAlignment="1">
      <alignment horizontal="center" vertical="center"/>
    </xf>
    <xf numFmtId="0" fontId="81" fillId="3" borderId="9" xfId="0" applyFont="1" applyFill="1" applyBorder="1" applyAlignment="1">
      <alignment horizontal="center" vertical="center"/>
    </xf>
    <xf numFmtId="0" fontId="81" fillId="0" borderId="15" xfId="0" applyFont="1" applyBorder="1"/>
    <xf numFmtId="0" fontId="81" fillId="3" borderId="19" xfId="0" applyFont="1" applyFill="1" applyBorder="1" applyAlignment="1">
      <alignment horizontal="center" vertical="center"/>
    </xf>
    <xf numFmtId="0" fontId="81" fillId="3" borderId="11" xfId="0" applyFont="1" applyFill="1" applyBorder="1" applyAlignment="1">
      <alignment horizontal="center" vertical="center"/>
    </xf>
    <xf numFmtId="171" fontId="87" fillId="3" borderId="150" xfId="0" applyNumberFormat="1" applyFont="1" applyFill="1" applyBorder="1" applyAlignment="1">
      <alignment horizontal="center" vertical="center"/>
    </xf>
    <xf numFmtId="171" fontId="87" fillId="3" borderId="93" xfId="0" applyNumberFormat="1" applyFont="1" applyFill="1" applyBorder="1" applyAlignment="1">
      <alignment horizontal="center" vertical="center"/>
    </xf>
    <xf numFmtId="0" fontId="83" fillId="0" borderId="90" xfId="0" applyFont="1" applyBorder="1" applyAlignment="1">
      <alignment horizontal="center" vertical="center"/>
    </xf>
    <xf numFmtId="0" fontId="83" fillId="0" borderId="92" xfId="0" applyFont="1" applyBorder="1" applyAlignment="1">
      <alignment horizontal="center" vertical="center"/>
    </xf>
    <xf numFmtId="0" fontId="83" fillId="0" borderId="17" xfId="0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2" fontId="101" fillId="0" borderId="2" xfId="0" applyNumberFormat="1" applyFont="1" applyBorder="1" applyAlignment="1">
      <alignment horizontal="center" vertical="center"/>
    </xf>
    <xf numFmtId="2" fontId="101" fillId="0" borderId="21" xfId="0" applyNumberFormat="1" applyFont="1" applyBorder="1" applyAlignment="1">
      <alignment horizontal="center" vertical="center"/>
    </xf>
    <xf numFmtId="2" fontId="101" fillId="0" borderId="17" xfId="0" applyNumberFormat="1" applyFont="1" applyBorder="1" applyAlignment="1">
      <alignment horizontal="center" vertical="center"/>
    </xf>
    <xf numFmtId="2" fontId="101" fillId="0" borderId="23" xfId="0" applyNumberFormat="1" applyFont="1" applyBorder="1" applyAlignment="1">
      <alignment horizontal="center" vertical="center"/>
    </xf>
    <xf numFmtId="0" fontId="96" fillId="3" borderId="163" xfId="0" applyFont="1" applyFill="1" applyBorder="1" applyAlignment="1">
      <alignment horizontal="center" vertical="distributed"/>
    </xf>
    <xf numFmtId="0" fontId="96" fillId="3" borderId="153" xfId="0" applyFont="1" applyFill="1" applyBorder="1" applyAlignment="1">
      <alignment horizontal="center" vertical="distributed"/>
    </xf>
    <xf numFmtId="0" fontId="95" fillId="3" borderId="154" xfId="0" applyFont="1" applyFill="1" applyBorder="1" applyAlignment="1">
      <alignment horizontal="center" vertical="distributed"/>
    </xf>
    <xf numFmtId="175" fontId="96" fillId="3" borderId="6" xfId="0" applyNumberFormat="1" applyFont="1" applyFill="1" applyBorder="1" applyAlignment="1">
      <alignment horizontal="center" vertical="center"/>
    </xf>
    <xf numFmtId="175" fontId="96" fillId="3" borderId="13" xfId="0" applyNumberFormat="1" applyFont="1" applyFill="1" applyBorder="1" applyAlignment="1">
      <alignment horizontal="center" vertical="center"/>
    </xf>
    <xf numFmtId="1" fontId="95" fillId="26" borderId="13" xfId="0" applyNumberFormat="1" applyFont="1" applyFill="1" applyBorder="1" applyAlignment="1">
      <alignment horizontal="center" vertical="center"/>
    </xf>
    <xf numFmtId="0" fontId="95" fillId="3" borderId="7" xfId="0" applyFont="1" applyFill="1" applyBorder="1" applyAlignment="1">
      <alignment horizontal="center" vertical="center" textRotation="90"/>
    </xf>
    <xf numFmtId="0" fontId="95" fillId="3" borderId="154" xfId="0" applyFont="1" applyFill="1" applyBorder="1" applyAlignment="1">
      <alignment horizontal="center" vertical="center" textRotation="90"/>
    </xf>
    <xf numFmtId="167" fontId="79" fillId="3" borderId="163" xfId="0" applyNumberFormat="1" applyFont="1" applyFill="1" applyBorder="1" applyAlignment="1">
      <alignment horizontal="center" vertical="distributed" textRotation="90"/>
    </xf>
    <xf numFmtId="176" fontId="96" fillId="3" borderId="151" xfId="0" applyNumberFormat="1" applyFont="1" applyFill="1" applyBorder="1" applyAlignment="1">
      <alignment horizontal="center" vertical="center"/>
    </xf>
    <xf numFmtId="176" fontId="96" fillId="3" borderId="152" xfId="0" applyNumberFormat="1" applyFont="1" applyFill="1" applyBorder="1" applyAlignment="1">
      <alignment horizontal="center" vertical="center"/>
    </xf>
    <xf numFmtId="2" fontId="83" fillId="3" borderId="151" xfId="0" applyNumberFormat="1" applyFont="1" applyFill="1" applyBorder="1" applyAlignment="1">
      <alignment horizontal="center" vertical="center"/>
    </xf>
    <xf numFmtId="2" fontId="83" fillId="3" borderId="81" xfId="0" applyNumberFormat="1" applyFont="1" applyFill="1" applyBorder="1" applyAlignment="1">
      <alignment horizontal="center" vertical="center"/>
    </xf>
    <xf numFmtId="171" fontId="81" fillId="3" borderId="87" xfId="0" applyNumberFormat="1" applyFont="1" applyFill="1" applyBorder="1" applyAlignment="1">
      <alignment horizontal="left" vertical="center"/>
    </xf>
    <xf numFmtId="171" fontId="81" fillId="3" borderId="93" xfId="0" applyNumberFormat="1" applyFont="1" applyFill="1" applyBorder="1" applyAlignment="1">
      <alignment horizontal="left" vertical="center"/>
    </xf>
    <xf numFmtId="0" fontId="2" fillId="31" borderId="0" xfId="0" applyFont="1" applyFill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87" fillId="0" borderId="13" xfId="0" applyFont="1" applyBorder="1" applyAlignment="1">
      <alignment horizontal="center" vertical="center"/>
    </xf>
    <xf numFmtId="0" fontId="87" fillId="0" borderId="7" xfId="0" applyFont="1" applyBorder="1" applyAlignment="1">
      <alignment horizontal="center" vertical="center"/>
    </xf>
    <xf numFmtId="0" fontId="87" fillId="0" borderId="15" xfId="0" applyFont="1" applyBorder="1" applyAlignment="1">
      <alignment horizontal="center" vertical="center"/>
    </xf>
    <xf numFmtId="172" fontId="60" fillId="27" borderId="21" xfId="0" applyNumberFormat="1" applyFont="1" applyFill="1" applyBorder="1" applyAlignment="1">
      <alignment horizontal="center" vertical="center" textRotation="90"/>
    </xf>
    <xf numFmtId="172" fontId="60" fillId="27" borderId="159" xfId="0" applyNumberFormat="1" applyFont="1" applyFill="1" applyBorder="1" applyAlignment="1">
      <alignment horizontal="center" vertical="center" textRotation="90"/>
    </xf>
    <xf numFmtId="0" fontId="83" fillId="0" borderId="94" xfId="0" applyFont="1" applyBorder="1" applyAlignment="1">
      <alignment vertical="center"/>
    </xf>
    <xf numFmtId="0" fontId="83" fillId="0" borderId="81" xfId="0" applyFont="1" applyBorder="1" applyAlignment="1">
      <alignment vertical="center"/>
    </xf>
    <xf numFmtId="0" fontId="83" fillId="0" borderId="81" xfId="0" applyFont="1" applyBorder="1" applyAlignment="1">
      <alignment horizontal="left" vertical="center"/>
    </xf>
    <xf numFmtId="0" fontId="83" fillId="0" borderId="150" xfId="0" applyFont="1" applyBorder="1" applyAlignment="1">
      <alignment horizontal="left" vertical="center"/>
    </xf>
    <xf numFmtId="0" fontId="83" fillId="0" borderId="87" xfId="0" applyFont="1" applyBorder="1" applyAlignment="1">
      <alignment horizontal="left" vertical="center"/>
    </xf>
    <xf numFmtId="0" fontId="83" fillId="0" borderId="93" xfId="0" applyFont="1" applyBorder="1" applyAlignment="1">
      <alignment horizontal="left" vertical="center"/>
    </xf>
    <xf numFmtId="0" fontId="87" fillId="34" borderId="9" xfId="0" applyFont="1" applyFill="1" applyBorder="1" applyAlignment="1">
      <alignment horizontal="center" vertical="center"/>
    </xf>
    <xf numFmtId="0" fontId="87" fillId="34" borderId="10" xfId="0" applyFont="1" applyFill="1" applyBorder="1" applyAlignment="1">
      <alignment horizontal="center" vertical="center"/>
    </xf>
    <xf numFmtId="0" fontId="87" fillId="34" borderId="11" xfId="0" applyFont="1" applyFill="1" applyBorder="1" applyAlignment="1">
      <alignment horizontal="center" vertical="center"/>
    </xf>
    <xf numFmtId="4" fontId="105" fillId="3" borderId="2" xfId="10" applyNumberFormat="1" applyFont="1" applyFill="1" applyBorder="1" applyAlignment="1">
      <alignment horizontal="center" vertical="center"/>
    </xf>
    <xf numFmtId="4" fontId="105" fillId="3" borderId="3" xfId="10" applyNumberFormat="1" applyFont="1" applyFill="1" applyBorder="1" applyAlignment="1">
      <alignment horizontal="center" vertical="center"/>
    </xf>
    <xf numFmtId="4" fontId="105" fillId="3" borderId="21" xfId="10" applyNumberFormat="1" applyFont="1" applyFill="1" applyBorder="1" applyAlignment="1">
      <alignment horizontal="center" vertical="center"/>
    </xf>
    <xf numFmtId="4" fontId="105" fillId="3" borderId="8" xfId="10" applyNumberFormat="1" applyFont="1" applyFill="1" applyBorder="1" applyAlignment="1">
      <alignment horizontal="center" vertical="center"/>
    </xf>
    <xf numFmtId="4" fontId="105" fillId="3" borderId="0" xfId="10" applyNumberFormat="1" applyFont="1" applyFill="1" applyBorder="1" applyAlignment="1">
      <alignment horizontal="center" vertical="center"/>
    </xf>
    <xf numFmtId="4" fontId="105" fillId="3" borderId="159" xfId="10" applyNumberFormat="1" applyFont="1" applyFill="1" applyBorder="1" applyAlignment="1">
      <alignment horizontal="center" vertical="center"/>
    </xf>
    <xf numFmtId="182" fontId="93" fillId="3" borderId="94" xfId="0" applyNumberFormat="1" applyFont="1" applyFill="1" applyBorder="1" applyAlignment="1">
      <alignment horizontal="center" vertical="center"/>
    </xf>
    <xf numFmtId="182" fontId="93" fillId="3" borderId="81" xfId="0" applyNumberFormat="1" applyFont="1" applyFill="1" applyBorder="1" applyAlignment="1">
      <alignment horizontal="center" vertical="center"/>
    </xf>
    <xf numFmtId="182" fontId="93" fillId="3" borderId="82" xfId="0" applyNumberFormat="1" applyFont="1" applyFill="1" applyBorder="1" applyAlignment="1">
      <alignment horizontal="center" vertical="center"/>
    </xf>
    <xf numFmtId="0" fontId="83" fillId="3" borderId="28" xfId="0" applyFont="1" applyFill="1" applyBorder="1" applyAlignment="1">
      <alignment horizontal="center" vertical="center"/>
    </xf>
    <xf numFmtId="0" fontId="83" fillId="3" borderId="39" xfId="0" applyFont="1" applyFill="1" applyBorder="1" applyAlignment="1">
      <alignment horizontal="center" vertical="center"/>
    </xf>
    <xf numFmtId="0" fontId="99" fillId="34" borderId="17" xfId="0" applyFont="1" applyFill="1" applyBorder="1" applyAlignment="1">
      <alignment horizontal="center" vertical="center"/>
    </xf>
    <xf numFmtId="0" fontId="99" fillId="34" borderId="14" xfId="0" applyFont="1" applyFill="1" applyBorder="1" applyAlignment="1">
      <alignment horizontal="center" vertical="center"/>
    </xf>
    <xf numFmtId="0" fontId="99" fillId="34" borderId="23" xfId="0" applyFont="1" applyFill="1" applyBorder="1" applyAlignment="1">
      <alignment horizontal="center" vertical="center"/>
    </xf>
    <xf numFmtId="0" fontId="87" fillId="3" borderId="32" xfId="0" applyFont="1" applyFill="1" applyBorder="1" applyAlignment="1">
      <alignment horizontal="center" vertical="center"/>
    </xf>
    <xf numFmtId="168" fontId="60" fillId="27" borderId="14" xfId="0" applyNumberFormat="1" applyFont="1" applyFill="1" applyBorder="1" applyAlignment="1">
      <alignment horizontal="center"/>
    </xf>
    <xf numFmtId="0" fontId="83" fillId="0" borderId="150" xfId="0" applyFont="1" applyBorder="1" applyAlignment="1">
      <alignment vertical="center"/>
    </xf>
    <xf numFmtId="0" fontId="83" fillId="0" borderId="87" xfId="0" applyFont="1" applyBorder="1" applyAlignment="1">
      <alignment vertical="center"/>
    </xf>
    <xf numFmtId="0" fontId="87" fillId="27" borderId="150" xfId="0" applyFont="1" applyFill="1" applyBorder="1" applyAlignment="1">
      <alignment horizontal="center" vertical="center"/>
    </xf>
    <xf numFmtId="0" fontId="87" fillId="27" borderId="87" xfId="0" applyFont="1" applyFill="1" applyBorder="1" applyAlignment="1">
      <alignment horizontal="center" vertical="center"/>
    </xf>
    <xf numFmtId="0" fontId="87" fillId="27" borderId="93" xfId="0" applyFont="1" applyFill="1" applyBorder="1" applyAlignment="1">
      <alignment horizontal="center" vertical="center"/>
    </xf>
    <xf numFmtId="0" fontId="60" fillId="27" borderId="159" xfId="0" applyFont="1" applyFill="1" applyBorder="1" applyAlignment="1">
      <alignment horizontal="center" vertical="center"/>
    </xf>
    <xf numFmtId="2" fontId="59" fillId="27" borderId="8" xfId="0" applyNumberFormat="1" applyFont="1" applyFill="1" applyBorder="1" applyAlignment="1">
      <alignment horizontal="center" vertical="center"/>
    </xf>
    <xf numFmtId="2" fontId="59" fillId="27" borderId="0" xfId="0" applyNumberFormat="1" applyFont="1" applyFill="1" applyAlignment="1">
      <alignment horizontal="center" vertical="center"/>
    </xf>
    <xf numFmtId="168" fontId="60" fillId="27" borderId="0" xfId="0" applyNumberFormat="1" applyFont="1" applyFill="1" applyAlignment="1">
      <alignment horizontal="center"/>
    </xf>
    <xf numFmtId="1" fontId="60" fillId="27" borderId="14" xfId="0" applyNumberFormat="1" applyFont="1" applyFill="1" applyBorder="1" applyAlignment="1">
      <alignment horizontal="center"/>
    </xf>
    <xf numFmtId="0" fontId="83" fillId="3" borderId="9" xfId="0" applyFont="1" applyFill="1" applyBorder="1" applyAlignment="1">
      <alignment horizontal="center" vertical="center"/>
    </xf>
    <xf numFmtId="0" fontId="83" fillId="3" borderId="10" xfId="0" applyFont="1" applyFill="1" applyBorder="1" applyAlignment="1">
      <alignment horizontal="center" vertical="center"/>
    </xf>
    <xf numFmtId="0" fontId="83" fillId="3" borderId="81" xfId="0" applyFont="1" applyFill="1" applyBorder="1" applyAlignment="1">
      <alignment horizontal="center" vertical="center"/>
    </xf>
    <xf numFmtId="0" fontId="90" fillId="26" borderId="166" xfId="0" applyFont="1" applyFill="1" applyBorder="1" applyAlignment="1">
      <alignment horizontal="center" vertical="center"/>
    </xf>
    <xf numFmtId="0" fontId="90" fillId="26" borderId="160" xfId="0" applyFont="1" applyFill="1" applyBorder="1" applyAlignment="1">
      <alignment horizontal="center" vertical="center"/>
    </xf>
    <xf numFmtId="0" fontId="90" fillId="26" borderId="165" xfId="0" applyFont="1" applyFill="1" applyBorder="1" applyAlignment="1">
      <alignment horizontal="center" vertical="center"/>
    </xf>
    <xf numFmtId="0" fontId="90" fillId="26" borderId="8" xfId="0" applyFont="1" applyFill="1" applyBorder="1" applyAlignment="1">
      <alignment horizontal="center" vertical="center"/>
    </xf>
    <xf numFmtId="0" fontId="90" fillId="26" borderId="0" xfId="0" applyFont="1" applyFill="1" applyAlignment="1">
      <alignment horizontal="center" vertical="center"/>
    </xf>
    <xf numFmtId="0" fontId="90" fillId="26" borderId="159" xfId="0" applyFont="1" applyFill="1" applyBorder="1" applyAlignment="1">
      <alignment horizontal="center" vertical="center"/>
    </xf>
    <xf numFmtId="2" fontId="95" fillId="3" borderId="89" xfId="0" applyNumberFormat="1" applyFont="1" applyFill="1" applyBorder="1" applyAlignment="1">
      <alignment horizontal="center" vertical="center"/>
    </xf>
    <xf numFmtId="2" fontId="95" fillId="3" borderId="31" xfId="0" applyNumberFormat="1" applyFont="1" applyFill="1" applyBorder="1" applyAlignment="1">
      <alignment horizontal="center" vertical="center"/>
    </xf>
    <xf numFmtId="175" fontId="96" fillId="3" borderId="151" xfId="0" applyNumberFormat="1" applyFont="1" applyFill="1" applyBorder="1" applyAlignment="1">
      <alignment horizontal="center" vertical="center"/>
    </xf>
    <xf numFmtId="175" fontId="96" fillId="3" borderId="152" xfId="0" applyNumberFormat="1" applyFont="1" applyFill="1" applyBorder="1" applyAlignment="1">
      <alignment horizontal="center" vertical="center"/>
    </xf>
    <xf numFmtId="1" fontId="95" fillId="26" borderId="19" xfId="0" applyNumberFormat="1" applyFont="1" applyFill="1" applyBorder="1" applyAlignment="1">
      <alignment horizontal="center" vertical="center"/>
    </xf>
    <xf numFmtId="1" fontId="95" fillId="26" borderId="15" xfId="0" applyNumberFormat="1" applyFont="1" applyFill="1" applyBorder="1" applyAlignment="1">
      <alignment horizontal="center" vertical="center"/>
    </xf>
    <xf numFmtId="177" fontId="59" fillId="27" borderId="0" xfId="0" applyNumberFormat="1" applyFont="1" applyFill="1" applyAlignment="1">
      <alignment horizontal="center" vertical="center"/>
    </xf>
    <xf numFmtId="0" fontId="83" fillId="3" borderId="32" xfId="0" applyFont="1" applyFill="1" applyBorder="1" applyAlignment="1">
      <alignment horizontal="center" vertical="center"/>
    </xf>
    <xf numFmtId="0" fontId="83" fillId="3" borderId="34" xfId="0" applyFont="1" applyFill="1" applyBorder="1" applyAlignment="1">
      <alignment horizontal="center" vertical="center"/>
    </xf>
    <xf numFmtId="0" fontId="83" fillId="3" borderId="3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/>
    </xf>
    <xf numFmtId="3" fontId="87" fillId="3" borderId="150" xfId="0" applyNumberFormat="1" applyFont="1" applyFill="1" applyBorder="1" applyAlignment="1">
      <alignment horizontal="center" vertical="center"/>
    </xf>
    <xf numFmtId="3" fontId="87" fillId="3" borderId="93" xfId="0" applyNumberFormat="1" applyFont="1" applyFill="1" applyBorder="1" applyAlignment="1">
      <alignment horizontal="center" vertical="center"/>
    </xf>
    <xf numFmtId="0" fontId="83" fillId="3" borderId="155" xfId="0" applyFont="1" applyFill="1" applyBorder="1" applyAlignment="1">
      <alignment horizontal="left" vertical="center"/>
    </xf>
    <xf numFmtId="0" fontId="83" fillId="3" borderId="156" xfId="0" applyFont="1" applyFill="1" applyBorder="1" applyAlignment="1">
      <alignment horizontal="left" vertical="center"/>
    </xf>
    <xf numFmtId="171" fontId="87" fillId="3" borderId="90" xfId="0" applyNumberFormat="1" applyFont="1" applyFill="1" applyBorder="1" applyAlignment="1">
      <alignment horizontal="center" vertical="center"/>
    </xf>
    <xf numFmtId="171" fontId="87" fillId="3" borderId="92" xfId="0" applyNumberFormat="1" applyFont="1" applyFill="1" applyBorder="1" applyAlignment="1">
      <alignment horizontal="center" vertical="center"/>
    </xf>
    <xf numFmtId="0" fontId="81" fillId="3" borderId="94" xfId="0" applyFont="1" applyFill="1" applyBorder="1" applyAlignment="1">
      <alignment horizontal="left" vertical="center"/>
    </xf>
    <xf numFmtId="0" fontId="81" fillId="3" borderId="152" xfId="0" applyFont="1" applyFill="1" applyBorder="1" applyAlignment="1">
      <alignment horizontal="left" vertical="center"/>
    </xf>
    <xf numFmtId="3" fontId="83" fillId="26" borderId="94" xfId="0" applyNumberFormat="1" applyFont="1" applyFill="1" applyBorder="1" applyAlignment="1">
      <alignment horizontal="center" vertical="center"/>
    </xf>
    <xf numFmtId="3" fontId="83" fillId="26" borderId="82" xfId="0" applyNumberFormat="1" applyFont="1" applyFill="1" applyBorder="1" applyAlignment="1">
      <alignment horizontal="center" vertical="center"/>
    </xf>
    <xf numFmtId="0" fontId="81" fillId="3" borderId="2" xfId="0" applyFont="1" applyFill="1" applyBorder="1" applyAlignment="1">
      <alignment horizontal="left" vertical="center"/>
    </xf>
    <xf numFmtId="0" fontId="81" fillId="3" borderId="3" xfId="0" applyFont="1" applyFill="1" applyBorder="1" applyAlignment="1">
      <alignment horizontal="left" vertical="center"/>
    </xf>
    <xf numFmtId="0" fontId="79" fillId="3" borderId="3" xfId="0" applyFont="1" applyFill="1" applyBorder="1" applyAlignment="1">
      <alignment horizontal="left" vertical="center"/>
    </xf>
    <xf numFmtId="0" fontId="79" fillId="3" borderId="21" xfId="0" applyFont="1" applyFill="1" applyBorder="1" applyAlignment="1">
      <alignment horizontal="left" vertical="center"/>
    </xf>
    <xf numFmtId="0" fontId="79" fillId="3" borderId="3" xfId="0" applyFont="1" applyFill="1" applyBorder="1" applyAlignment="1">
      <alignment horizontal="center" vertical="center"/>
    </xf>
    <xf numFmtId="0" fontId="79" fillId="3" borderId="21" xfId="0" applyFont="1" applyFill="1" applyBorder="1" applyAlignment="1">
      <alignment horizontal="center" vertical="center"/>
    </xf>
    <xf numFmtId="0" fontId="81" fillId="3" borderId="32" xfId="0" applyFont="1" applyFill="1" applyBorder="1" applyAlignment="1">
      <alignment horizontal="center" vertical="center"/>
    </xf>
    <xf numFmtId="0" fontId="81" fillId="3" borderId="34" xfId="0" applyFont="1" applyFill="1" applyBorder="1" applyAlignment="1">
      <alignment horizontal="center" vertical="center"/>
    </xf>
    <xf numFmtId="0" fontId="81" fillId="3" borderId="33" xfId="0" applyFont="1" applyFill="1" applyBorder="1" applyAlignment="1">
      <alignment horizontal="center" vertical="center"/>
    </xf>
    <xf numFmtId="0" fontId="79" fillId="3" borderId="9" xfId="0" applyFont="1" applyFill="1" applyBorder="1" applyAlignment="1">
      <alignment horizontal="center" vertical="center"/>
    </xf>
    <xf numFmtId="0" fontId="79" fillId="3" borderId="10" xfId="0" applyFont="1" applyFill="1" applyBorder="1" applyAlignment="1">
      <alignment horizontal="center" vertical="center"/>
    </xf>
    <xf numFmtId="0" fontId="79" fillId="3" borderId="11" xfId="0" applyFont="1" applyFill="1" applyBorder="1" applyAlignment="1">
      <alignment horizontal="center" vertical="center"/>
    </xf>
    <xf numFmtId="0" fontId="87" fillId="3" borderId="9" xfId="0" applyFont="1" applyFill="1" applyBorder="1" applyAlignment="1">
      <alignment horizontal="center" vertical="center"/>
    </xf>
    <xf numFmtId="0" fontId="87" fillId="3" borderId="10" xfId="0" applyFont="1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83" fillId="3" borderId="83" xfId="0" applyFont="1" applyFill="1" applyBorder="1" applyAlignment="1">
      <alignment horizontal="left" vertical="center"/>
    </xf>
    <xf numFmtId="0" fontId="83" fillId="3" borderId="86" xfId="0" applyFont="1" applyFill="1" applyBorder="1" applyAlignment="1">
      <alignment horizontal="left" vertical="center"/>
    </xf>
    <xf numFmtId="3" fontId="83" fillId="6" borderId="149" xfId="0" applyNumberFormat="1" applyFont="1" applyFill="1" applyBorder="1" applyAlignment="1">
      <alignment horizontal="center" vertical="center"/>
    </xf>
    <xf numFmtId="3" fontId="83" fillId="6" borderId="87" xfId="0" applyNumberFormat="1" applyFont="1" applyFill="1" applyBorder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87" fillId="26" borderId="2" xfId="0" applyFont="1" applyFill="1" applyBorder="1" applyAlignment="1">
      <alignment horizontal="center" vertical="center"/>
    </xf>
    <xf numFmtId="0" fontId="87" fillId="26" borderId="3" xfId="0" applyFont="1" applyFill="1" applyBorder="1" applyAlignment="1">
      <alignment horizontal="center" vertical="center"/>
    </xf>
    <xf numFmtId="0" fontId="87" fillId="26" borderId="17" xfId="0" applyFont="1" applyFill="1" applyBorder="1" applyAlignment="1">
      <alignment horizontal="center" vertical="center"/>
    </xf>
    <xf numFmtId="0" fontId="87" fillId="26" borderId="14" xfId="0" applyFont="1" applyFill="1" applyBorder="1" applyAlignment="1">
      <alignment horizontal="center" vertical="center"/>
    </xf>
    <xf numFmtId="0" fontId="83" fillId="3" borderId="32" xfId="0" applyFont="1" applyFill="1" applyBorder="1" applyAlignment="1">
      <alignment horizontal="left" vertical="center"/>
    </xf>
    <xf numFmtId="0" fontId="83" fillId="3" borderId="34" xfId="0" applyFont="1" applyFill="1" applyBorder="1" applyAlignment="1">
      <alignment horizontal="left" vertical="center"/>
    </xf>
    <xf numFmtId="0" fontId="83" fillId="3" borderId="33" xfId="0" applyFont="1" applyFill="1" applyBorder="1" applyAlignment="1">
      <alignment horizontal="left" vertical="center"/>
    </xf>
    <xf numFmtId="0" fontId="45" fillId="19" borderId="3" xfId="0" applyFont="1" applyFill="1" applyBorder="1" applyAlignment="1">
      <alignment horizontal="left" vertical="center"/>
    </xf>
    <xf numFmtId="0" fontId="45" fillId="19" borderId="2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left" vertical="center"/>
    </xf>
    <xf numFmtId="3" fontId="2" fillId="3" borderId="159" xfId="0" applyNumberFormat="1" applyFont="1" applyFill="1" applyBorder="1" applyAlignment="1">
      <alignment horizontal="left" vertical="center"/>
    </xf>
    <xf numFmtId="3" fontId="2" fillId="3" borderId="0" xfId="0" applyNumberFormat="1" applyFont="1" applyFill="1" applyAlignment="1">
      <alignment horizontal="center" vertical="center"/>
    </xf>
    <xf numFmtId="171" fontId="5" fillId="3" borderId="0" xfId="0" applyNumberFormat="1" applyFont="1" applyFill="1" applyAlignment="1">
      <alignment horizontal="center" vertical="center"/>
    </xf>
    <xf numFmtId="1" fontId="83" fillId="3" borderId="151" xfId="0" applyNumberFormat="1" applyFont="1" applyFill="1" applyBorder="1" applyAlignment="1">
      <alignment horizontal="center" vertical="center"/>
    </xf>
    <xf numFmtId="1" fontId="83" fillId="3" borderId="82" xfId="0" applyNumberFormat="1" applyFont="1" applyFill="1" applyBorder="1" applyAlignment="1">
      <alignment horizontal="center" vertical="center"/>
    </xf>
    <xf numFmtId="0" fontId="83" fillId="3" borderId="11" xfId="0" applyFont="1" applyFill="1" applyBorder="1" applyAlignment="1">
      <alignment horizontal="center" vertical="center"/>
    </xf>
    <xf numFmtId="1" fontId="83" fillId="3" borderId="81" xfId="0" applyNumberFormat="1" applyFont="1" applyFill="1" applyBorder="1" applyAlignment="1">
      <alignment horizontal="center" vertical="center"/>
    </xf>
    <xf numFmtId="4" fontId="83" fillId="3" borderId="94" xfId="0" applyNumberFormat="1" applyFont="1" applyFill="1" applyBorder="1" applyAlignment="1">
      <alignment horizontal="center" vertical="center"/>
    </xf>
    <xf numFmtId="4" fontId="83" fillId="3" borderId="82" xfId="0" applyNumberFormat="1" applyFont="1" applyFill="1" applyBorder="1" applyAlignment="1">
      <alignment horizontal="center" vertical="center"/>
    </xf>
    <xf numFmtId="171" fontId="83" fillId="3" borderId="151" xfId="0" applyNumberFormat="1" applyFont="1" applyFill="1" applyBorder="1" applyAlignment="1">
      <alignment horizontal="center" vertical="center"/>
    </xf>
    <xf numFmtId="171" fontId="83" fillId="3" borderId="81" xfId="0" applyNumberFormat="1" applyFont="1" applyFill="1" applyBorder="1" applyAlignment="1">
      <alignment horizontal="center" vertical="center"/>
    </xf>
    <xf numFmtId="10" fontId="87" fillId="3" borderId="150" xfId="0" applyNumberFormat="1" applyFont="1" applyFill="1" applyBorder="1" applyAlignment="1">
      <alignment horizontal="center" vertical="center"/>
    </xf>
    <xf numFmtId="10" fontId="87" fillId="3" borderId="93" xfId="0" applyNumberFormat="1" applyFont="1" applyFill="1" applyBorder="1" applyAlignment="1">
      <alignment horizontal="center" vertical="center"/>
    </xf>
    <xf numFmtId="0" fontId="83" fillId="3" borderId="94" xfId="0" applyFont="1" applyFill="1" applyBorder="1" applyAlignment="1">
      <alignment horizontal="left" vertical="center"/>
    </xf>
    <xf numFmtId="0" fontId="83" fillId="3" borderId="152" xfId="0" applyFont="1" applyFill="1" applyBorder="1" applyAlignment="1">
      <alignment horizontal="left" vertical="center"/>
    </xf>
    <xf numFmtId="3" fontId="83" fillId="3" borderId="150" xfId="0" applyNumberFormat="1" applyFont="1" applyFill="1" applyBorder="1" applyAlignment="1">
      <alignment horizontal="center" vertical="center"/>
    </xf>
    <xf numFmtId="3" fontId="83" fillId="3" borderId="93" xfId="0" applyNumberFormat="1" applyFont="1" applyFill="1" applyBorder="1" applyAlignment="1">
      <alignment horizontal="center" vertical="center"/>
    </xf>
    <xf numFmtId="0" fontId="83" fillId="3" borderId="15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83" fillId="26" borderId="151" xfId="0" applyNumberFormat="1" applyFont="1" applyFill="1" applyBorder="1" applyAlignment="1">
      <alignment horizontal="center" vertical="center"/>
    </xf>
    <xf numFmtId="3" fontId="83" fillId="26" borderId="8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1" fillId="3" borderId="163" xfId="0" applyFont="1" applyFill="1" applyBorder="1" applyAlignment="1">
      <alignment horizontal="left" vertical="center"/>
    </xf>
    <xf numFmtId="0" fontId="81" fillId="3" borderId="153" xfId="0" applyFont="1" applyFill="1" applyBorder="1" applyAlignment="1">
      <alignment horizontal="left" vertical="center"/>
    </xf>
    <xf numFmtId="1" fontId="81" fillId="26" borderId="151" xfId="0" applyNumberFormat="1" applyFont="1" applyFill="1" applyBorder="1" applyAlignment="1">
      <alignment horizontal="center" vertical="center"/>
    </xf>
    <xf numFmtId="1" fontId="81" fillId="26" borderId="82" xfId="0" applyNumberFormat="1" applyFont="1" applyFill="1" applyBorder="1" applyAlignment="1">
      <alignment horizontal="center" vertical="center"/>
    </xf>
    <xf numFmtId="0" fontId="79" fillId="3" borderId="10" xfId="0" applyFont="1" applyFill="1" applyBorder="1" applyAlignment="1">
      <alignment horizontal="left" vertical="center"/>
    </xf>
    <xf numFmtId="0" fontId="79" fillId="3" borderId="11" xfId="0" applyFont="1" applyFill="1" applyBorder="1" applyAlignment="1">
      <alignment horizontal="left" vertical="center"/>
    </xf>
    <xf numFmtId="0" fontId="79" fillId="3" borderId="81" xfId="0" applyFont="1" applyFill="1" applyBorder="1" applyAlignment="1">
      <alignment horizontal="left" vertical="center"/>
    </xf>
    <xf numFmtId="0" fontId="79" fillId="3" borderId="82" xfId="0" applyFont="1" applyFill="1" applyBorder="1" applyAlignment="1">
      <alignment horizontal="left" vertical="center"/>
    </xf>
    <xf numFmtId="0" fontId="81" fillId="3" borderId="81" xfId="0" applyFont="1" applyFill="1" applyBorder="1" applyAlignment="1">
      <alignment horizontal="left" vertical="center"/>
    </xf>
    <xf numFmtId="0" fontId="81" fillId="3" borderId="82" xfId="0" applyFont="1" applyFill="1" applyBorder="1" applyAlignment="1">
      <alignment horizontal="left" vertical="center"/>
    </xf>
    <xf numFmtId="14" fontId="79" fillId="3" borderId="17" xfId="0" applyNumberFormat="1" applyFont="1" applyFill="1" applyBorder="1" applyAlignment="1">
      <alignment horizontal="center" vertical="center"/>
    </xf>
    <xf numFmtId="14" fontId="79" fillId="3" borderId="23" xfId="0" applyNumberFormat="1" applyFont="1" applyFill="1" applyBorder="1" applyAlignment="1">
      <alignment horizontal="center" vertical="center"/>
    </xf>
    <xf numFmtId="0" fontId="90" fillId="26" borderId="2" xfId="0" applyFont="1" applyFill="1" applyBorder="1" applyAlignment="1">
      <alignment horizontal="center" vertical="center"/>
    </xf>
    <xf numFmtId="0" fontId="90" fillId="26" borderId="3" xfId="0" applyFont="1" applyFill="1" applyBorder="1" applyAlignment="1">
      <alignment horizontal="center" vertical="center"/>
    </xf>
    <xf numFmtId="0" fontId="90" fillId="26" borderId="21" xfId="0" applyFont="1" applyFill="1" applyBorder="1" applyAlignment="1">
      <alignment horizontal="center" vertical="center"/>
    </xf>
    <xf numFmtId="0" fontId="90" fillId="26" borderId="17" xfId="0" applyFont="1" applyFill="1" applyBorder="1" applyAlignment="1">
      <alignment horizontal="center" vertical="center"/>
    </xf>
    <xf numFmtId="0" fontId="90" fillId="26" borderId="14" xfId="0" applyFont="1" applyFill="1" applyBorder="1" applyAlignment="1">
      <alignment horizontal="center" vertical="center"/>
    </xf>
    <xf numFmtId="0" fontId="90" fillId="26" borderId="2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7" fillId="0" borderId="15" xfId="0" applyFont="1" applyBorder="1"/>
    <xf numFmtId="0" fontId="4" fillId="3" borderId="1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7" fillId="3" borderId="2" xfId="0" applyFont="1" applyFill="1" applyBorder="1" applyAlignment="1">
      <alignment horizontal="center" vertical="center"/>
    </xf>
    <xf numFmtId="0" fontId="57" fillId="3" borderId="3" xfId="0" applyFont="1" applyFill="1" applyBorder="1" applyAlignment="1">
      <alignment horizontal="center" vertical="center"/>
    </xf>
    <xf numFmtId="0" fontId="57" fillId="3" borderId="21" xfId="0" applyFont="1" applyFill="1" applyBorder="1" applyAlignment="1">
      <alignment horizontal="center" vertical="center"/>
    </xf>
    <xf numFmtId="0" fontId="57" fillId="3" borderId="8" xfId="0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0" fontId="57" fillId="3" borderId="159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58" fillId="3" borderId="8" xfId="0" applyFont="1" applyFill="1" applyBorder="1" applyAlignment="1">
      <alignment horizontal="center"/>
    </xf>
    <xf numFmtId="0" fontId="58" fillId="3" borderId="0" xfId="0" applyFont="1" applyFill="1" applyAlignment="1">
      <alignment horizontal="center"/>
    </xf>
    <xf numFmtId="0" fontId="58" fillId="3" borderId="159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8" fillId="3" borderId="17" xfId="0" applyFont="1" applyFill="1" applyBorder="1" applyAlignment="1">
      <alignment horizontal="center"/>
    </xf>
    <xf numFmtId="0" fontId="58" fillId="3" borderId="14" xfId="0" applyFont="1" applyFill="1" applyBorder="1" applyAlignment="1">
      <alignment horizontal="center"/>
    </xf>
    <xf numFmtId="0" fontId="58" fillId="3" borderId="23" xfId="0" applyFont="1" applyFill="1" applyBorder="1" applyAlignment="1">
      <alignment horizontal="center"/>
    </xf>
    <xf numFmtId="14" fontId="5" fillId="20" borderId="17" xfId="0" applyNumberFormat="1" applyFont="1" applyFill="1" applyBorder="1" applyAlignment="1">
      <alignment horizontal="center" vertical="center"/>
    </xf>
    <xf numFmtId="14" fontId="5" fillId="20" borderId="23" xfId="0" applyNumberFormat="1" applyFont="1" applyFill="1" applyBorder="1" applyAlignment="1">
      <alignment horizontal="center" vertical="center"/>
    </xf>
    <xf numFmtId="0" fontId="4" fillId="3" borderId="163" xfId="0" applyFont="1" applyFill="1" applyBorder="1" applyAlignment="1">
      <alignment horizontal="left" vertical="center"/>
    </xf>
    <xf numFmtId="0" fontId="4" fillId="3" borderId="153" xfId="0" applyFont="1" applyFill="1" applyBorder="1" applyAlignment="1">
      <alignment horizontal="left" vertical="center"/>
    </xf>
    <xf numFmtId="1" fontId="4" fillId="20" borderId="151" xfId="0" applyNumberFormat="1" applyFont="1" applyFill="1" applyBorder="1" applyAlignment="1">
      <alignment horizontal="center" vertical="center"/>
    </xf>
    <xf numFmtId="1" fontId="4" fillId="20" borderId="82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5" fillId="3" borderId="81" xfId="0" applyFont="1" applyFill="1" applyBorder="1" applyAlignment="1">
      <alignment horizontal="left" vertical="center"/>
    </xf>
    <xf numFmtId="0" fontId="5" fillId="3" borderId="82" xfId="0" applyFont="1" applyFill="1" applyBorder="1" applyAlignment="1">
      <alignment horizontal="left" vertical="center"/>
    </xf>
    <xf numFmtId="0" fontId="4" fillId="3" borderId="81" xfId="0" applyFont="1" applyFill="1" applyBorder="1" applyAlignment="1">
      <alignment horizontal="left" vertical="center"/>
    </xf>
    <xf numFmtId="0" fontId="4" fillId="3" borderId="82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8" fillId="3" borderId="81" xfId="0" applyFont="1" applyFill="1" applyBorder="1" applyAlignment="1">
      <alignment horizontal="left" vertical="center"/>
    </xf>
    <xf numFmtId="0" fontId="68" fillId="3" borderId="82" xfId="0" applyFont="1" applyFill="1" applyBorder="1" applyAlignment="1">
      <alignment horizontal="left" vertical="center"/>
    </xf>
    <xf numFmtId="171" fontId="68" fillId="3" borderId="87" xfId="0" applyNumberFormat="1" applyFont="1" applyFill="1" applyBorder="1" applyAlignment="1">
      <alignment horizontal="left" vertical="center"/>
    </xf>
    <xf numFmtId="171" fontId="68" fillId="3" borderId="93" xfId="0" applyNumberFormat="1" applyFont="1" applyFill="1" applyBorder="1" applyAlignment="1">
      <alignment horizontal="left" vertical="center"/>
    </xf>
    <xf numFmtId="0" fontId="2" fillId="3" borderId="163" xfId="0" applyFont="1" applyFill="1" applyBorder="1" applyAlignment="1">
      <alignment horizontal="left" vertical="center"/>
    </xf>
    <xf numFmtId="0" fontId="2" fillId="3" borderId="153" xfId="0" applyFont="1" applyFill="1" applyBorder="1" applyAlignment="1">
      <alignment horizontal="left" vertical="center"/>
    </xf>
    <xf numFmtId="2" fontId="2" fillId="3" borderId="151" xfId="0" applyNumberFormat="1" applyFont="1" applyFill="1" applyBorder="1" applyAlignment="1">
      <alignment horizontal="center" vertical="center"/>
    </xf>
    <xf numFmtId="2" fontId="2" fillId="3" borderId="81" xfId="0" applyNumberFormat="1" applyFont="1" applyFill="1" applyBorder="1" applyAlignment="1">
      <alignment horizontal="center" vertical="center"/>
    </xf>
    <xf numFmtId="171" fontId="2" fillId="3" borderId="151" xfId="0" applyNumberFormat="1" applyFont="1" applyFill="1" applyBorder="1" applyAlignment="1">
      <alignment horizontal="center" vertical="center"/>
    </xf>
    <xf numFmtId="171" fontId="2" fillId="3" borderId="81" xfId="0" applyNumberFormat="1" applyFont="1" applyFill="1" applyBorder="1" applyAlignment="1">
      <alignment horizontal="center" vertical="center"/>
    </xf>
    <xf numFmtId="4" fontId="2" fillId="20" borderId="151" xfId="0" applyNumberFormat="1" applyFont="1" applyFill="1" applyBorder="1" applyAlignment="1">
      <alignment horizontal="center" vertical="center"/>
    </xf>
    <xf numFmtId="4" fontId="2" fillId="20" borderId="81" xfId="0" applyNumberFormat="1" applyFont="1" applyFill="1" applyBorder="1" applyAlignment="1">
      <alignment horizontal="center" vertical="center"/>
    </xf>
    <xf numFmtId="1" fontId="2" fillId="3" borderId="151" xfId="0" applyNumberFormat="1" applyFont="1" applyFill="1" applyBorder="1" applyAlignment="1">
      <alignment horizontal="center" vertical="center"/>
    </xf>
    <xf numFmtId="1" fontId="2" fillId="3" borderId="81" xfId="0" applyNumberFormat="1" applyFont="1" applyFill="1" applyBorder="1" applyAlignment="1">
      <alignment horizontal="center" vertical="center"/>
    </xf>
    <xf numFmtId="4" fontId="2" fillId="20" borderId="94" xfId="0" applyNumberFormat="1" applyFont="1" applyFill="1" applyBorder="1" applyAlignment="1">
      <alignment horizontal="center" vertical="center"/>
    </xf>
    <xf numFmtId="4" fontId="2" fillId="20" borderId="82" xfId="0" applyNumberFormat="1" applyFont="1" applyFill="1" applyBorder="1" applyAlignment="1">
      <alignment horizontal="center" vertical="center"/>
    </xf>
    <xf numFmtId="0" fontId="2" fillId="19" borderId="94" xfId="0" applyFont="1" applyFill="1" applyBorder="1" applyAlignment="1">
      <alignment horizontal="center" vertical="center"/>
    </xf>
    <xf numFmtId="0" fontId="2" fillId="19" borderId="82" xfId="0" applyFont="1" applyFill="1" applyBorder="1" applyAlignment="1">
      <alignment horizontal="center" vertical="center"/>
    </xf>
    <xf numFmtId="10" fontId="3" fillId="3" borderId="150" xfId="0" applyNumberFormat="1" applyFont="1" applyFill="1" applyBorder="1" applyAlignment="1">
      <alignment horizontal="center" vertical="center"/>
    </xf>
    <xf numFmtId="10" fontId="3" fillId="3" borderId="93" xfId="0" applyNumberFormat="1" applyFont="1" applyFill="1" applyBorder="1" applyAlignment="1">
      <alignment horizontal="center" vertical="center"/>
    </xf>
    <xf numFmtId="1" fontId="2" fillId="3" borderId="82" xfId="0" applyNumberFormat="1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3" fontId="2" fillId="20" borderId="151" xfId="0" applyNumberFormat="1" applyFont="1" applyFill="1" applyBorder="1" applyAlignment="1">
      <alignment horizontal="center" vertical="center"/>
    </xf>
    <xf numFmtId="3" fontId="2" fillId="20" borderId="81" xfId="0" applyNumberFormat="1" applyFont="1" applyFill="1" applyBorder="1" applyAlignment="1">
      <alignment horizontal="center" vertical="center"/>
    </xf>
    <xf numFmtId="3" fontId="2" fillId="0" borderId="94" xfId="0" applyNumberFormat="1" applyFont="1" applyBorder="1" applyAlignment="1">
      <alignment horizontal="center" vertical="center"/>
    </xf>
    <xf numFmtId="3" fontId="2" fillId="0" borderId="82" xfId="0" applyNumberFormat="1" applyFont="1" applyBorder="1" applyAlignment="1">
      <alignment horizontal="center" vertical="center"/>
    </xf>
    <xf numFmtId="0" fontId="2" fillId="20" borderId="151" xfId="0" applyFont="1" applyFill="1" applyBorder="1" applyAlignment="1">
      <alignment horizontal="center" vertical="center"/>
    </xf>
    <xf numFmtId="0" fontId="2" fillId="20" borderId="81" xfId="0" applyFont="1" applyFill="1" applyBorder="1" applyAlignment="1">
      <alignment horizontal="center" vertical="center"/>
    </xf>
    <xf numFmtId="3" fontId="2" fillId="19" borderId="94" xfId="0" applyNumberFormat="1" applyFont="1" applyFill="1" applyBorder="1" applyAlignment="1">
      <alignment horizontal="center" vertical="center"/>
    </xf>
    <xf numFmtId="3" fontId="2" fillId="19" borderId="82" xfId="0" applyNumberFormat="1" applyFont="1" applyFill="1" applyBorder="1" applyAlignment="1">
      <alignment horizontal="center" vertical="center"/>
    </xf>
    <xf numFmtId="3" fontId="2" fillId="3" borderId="151" xfId="0" applyNumberFormat="1" applyFont="1" applyFill="1" applyBorder="1" applyAlignment="1">
      <alignment horizontal="center" vertical="center"/>
    </xf>
    <xf numFmtId="3" fontId="2" fillId="3" borderId="81" xfId="0" applyNumberFormat="1" applyFont="1" applyFill="1" applyBorder="1" applyAlignment="1">
      <alignment horizontal="center" vertical="center"/>
    </xf>
    <xf numFmtId="0" fontId="2" fillId="3" borderId="94" xfId="0" applyFont="1" applyFill="1" applyBorder="1" applyAlignment="1">
      <alignment horizontal="left" vertical="center"/>
    </xf>
    <xf numFmtId="0" fontId="2" fillId="3" borderId="152" xfId="0" applyFont="1" applyFill="1" applyBorder="1" applyAlignment="1">
      <alignment horizontal="left" vertical="center"/>
    </xf>
    <xf numFmtId="3" fontId="2" fillId="3" borderId="150" xfId="0" applyNumberFormat="1" applyFont="1" applyFill="1" applyBorder="1" applyAlignment="1">
      <alignment horizontal="center" vertical="center"/>
    </xf>
    <xf numFmtId="3" fontId="2" fillId="3" borderId="93" xfId="0" applyNumberFormat="1" applyFont="1" applyFill="1" applyBorder="1" applyAlignment="1">
      <alignment horizontal="center" vertical="center"/>
    </xf>
    <xf numFmtId="0" fontId="2" fillId="3" borderId="151" xfId="0" applyFont="1" applyFill="1" applyBorder="1" applyAlignment="1">
      <alignment horizontal="center" vertical="center"/>
    </xf>
    <xf numFmtId="0" fontId="2" fillId="3" borderId="81" xfId="0" applyFont="1" applyFill="1" applyBorder="1" applyAlignment="1">
      <alignment horizontal="center" vertical="center"/>
    </xf>
    <xf numFmtId="0" fontId="2" fillId="3" borderId="83" xfId="0" applyFont="1" applyFill="1" applyBorder="1" applyAlignment="1">
      <alignment horizontal="left" vertical="center"/>
    </xf>
    <xf numFmtId="0" fontId="2" fillId="3" borderId="86" xfId="0" applyFont="1" applyFill="1" applyBorder="1" applyAlignment="1">
      <alignment horizontal="left" vertical="center"/>
    </xf>
    <xf numFmtId="3" fontId="2" fillId="6" borderId="149" xfId="0" applyNumberFormat="1" applyFont="1" applyFill="1" applyBorder="1" applyAlignment="1">
      <alignment horizontal="center" vertical="center"/>
    </xf>
    <xf numFmtId="3" fontId="2" fillId="6" borderId="87" xfId="0" applyNumberFormat="1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/>
    </xf>
    <xf numFmtId="0" fontId="3" fillId="19" borderId="14" xfId="0" applyFont="1" applyFill="1" applyBorder="1" applyAlignment="1">
      <alignment horizontal="center" vertical="center"/>
    </xf>
    <xf numFmtId="0" fontId="3" fillId="19" borderId="23" xfId="0" applyFont="1" applyFill="1" applyBorder="1" applyAlignment="1">
      <alignment horizontal="center" vertical="center"/>
    </xf>
    <xf numFmtId="0" fontId="45" fillId="19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center" vertical="center"/>
    </xf>
    <xf numFmtId="0" fontId="45" fillId="3" borderId="10" xfId="0" applyFont="1" applyFill="1" applyBorder="1" applyAlignment="1">
      <alignment horizontal="center" vertical="center"/>
    </xf>
    <xf numFmtId="0" fontId="45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5" fillId="3" borderId="91" xfId="0" applyNumberFormat="1" applyFont="1" applyFill="1" applyBorder="1" applyAlignment="1">
      <alignment horizontal="center" vertical="center"/>
    </xf>
    <xf numFmtId="2" fontId="3" fillId="3" borderId="91" xfId="0" applyNumberFormat="1" applyFont="1" applyFill="1" applyBorder="1" applyAlignment="1">
      <alignment horizontal="center" vertical="center"/>
    </xf>
    <xf numFmtId="0" fontId="27" fillId="3" borderId="159" xfId="0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 vertical="center"/>
    </xf>
    <xf numFmtId="0" fontId="22" fillId="3" borderId="163" xfId="0" applyFont="1" applyFill="1" applyBorder="1" applyAlignment="1">
      <alignment horizontal="left" vertical="center"/>
    </xf>
    <xf numFmtId="0" fontId="22" fillId="3" borderId="153" xfId="0" applyFont="1" applyFill="1" applyBorder="1" applyAlignment="1">
      <alignment horizontal="left" vertical="center"/>
    </xf>
    <xf numFmtId="3" fontId="22" fillId="3" borderId="94" xfId="0" applyNumberFormat="1" applyFont="1" applyFill="1" applyBorder="1" applyAlignment="1">
      <alignment horizontal="center" vertical="center"/>
    </xf>
    <xf numFmtId="3" fontId="22" fillId="3" borderId="82" xfId="0" applyNumberFormat="1" applyFont="1" applyFill="1" applyBorder="1" applyAlignment="1">
      <alignment horizontal="center" vertical="center"/>
    </xf>
    <xf numFmtId="3" fontId="45" fillId="3" borderId="150" xfId="0" applyNumberFormat="1" applyFont="1" applyFill="1" applyBorder="1" applyAlignment="1">
      <alignment horizontal="center" vertical="center"/>
    </xf>
    <xf numFmtId="3" fontId="45" fillId="3" borderId="93" xfId="0" applyNumberFormat="1" applyFont="1" applyFill="1" applyBorder="1" applyAlignment="1">
      <alignment horizontal="center" vertical="center"/>
    </xf>
    <xf numFmtId="0" fontId="22" fillId="3" borderId="155" xfId="0" applyFont="1" applyFill="1" applyBorder="1" applyAlignment="1">
      <alignment horizontal="left" vertical="center"/>
    </xf>
    <xf numFmtId="0" fontId="22" fillId="3" borderId="156" xfId="0" applyFont="1" applyFill="1" applyBorder="1" applyAlignment="1">
      <alignment horizontal="left" vertical="center"/>
    </xf>
    <xf numFmtId="171" fontId="45" fillId="3" borderId="90" xfId="0" applyNumberFormat="1" applyFont="1" applyFill="1" applyBorder="1" applyAlignment="1">
      <alignment horizontal="center" vertical="center"/>
    </xf>
    <xf numFmtId="171" fontId="45" fillId="3" borderId="92" xfId="0" applyNumberFormat="1" applyFont="1" applyFill="1" applyBorder="1" applyAlignment="1">
      <alignment horizontal="center" vertical="center"/>
    </xf>
    <xf numFmtId="0" fontId="20" fillId="3" borderId="94" xfId="0" applyFont="1" applyFill="1" applyBorder="1" applyAlignment="1">
      <alignment horizontal="left" vertical="center"/>
    </xf>
    <xf numFmtId="0" fontId="20" fillId="3" borderId="152" xfId="0" applyFont="1" applyFill="1" applyBorder="1" applyAlignment="1">
      <alignment horizontal="left" vertical="center"/>
    </xf>
    <xf numFmtId="3" fontId="22" fillId="20" borderId="94" xfId="0" applyNumberFormat="1" applyFont="1" applyFill="1" applyBorder="1" applyAlignment="1">
      <alignment horizontal="center" vertical="center"/>
    </xf>
    <xf numFmtId="3" fontId="22" fillId="20" borderId="82" xfId="0" applyNumberFormat="1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175" fontId="22" fillId="3" borderId="6" xfId="0" applyNumberFormat="1" applyFont="1" applyFill="1" applyBorder="1" applyAlignment="1">
      <alignment horizontal="center" vertical="center"/>
    </xf>
    <xf numFmtId="175" fontId="22" fillId="3" borderId="13" xfId="0" applyNumberFormat="1" applyFont="1" applyFill="1" applyBorder="1" applyAlignment="1">
      <alignment horizontal="center" vertical="center"/>
    </xf>
    <xf numFmtId="1" fontId="45" fillId="20" borderId="13" xfId="0" applyNumberFormat="1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 textRotation="90"/>
    </xf>
    <xf numFmtId="0" fontId="45" fillId="3" borderId="154" xfId="0" applyFont="1" applyFill="1" applyBorder="1" applyAlignment="1">
      <alignment horizontal="center" vertical="center" textRotation="90"/>
    </xf>
    <xf numFmtId="167" fontId="5" fillId="3" borderId="163" xfId="0" applyNumberFormat="1" applyFont="1" applyFill="1" applyBorder="1" applyAlignment="1">
      <alignment horizontal="center" vertical="distributed" textRotation="90"/>
    </xf>
    <xf numFmtId="176" fontId="22" fillId="3" borderId="151" xfId="0" applyNumberFormat="1" applyFont="1" applyFill="1" applyBorder="1" applyAlignment="1">
      <alignment horizontal="center" vertical="center"/>
    </xf>
    <xf numFmtId="176" fontId="22" fillId="3" borderId="152" xfId="0" applyNumberFormat="1" applyFont="1" applyFill="1" applyBorder="1" applyAlignment="1">
      <alignment horizontal="center" vertical="center"/>
    </xf>
    <xf numFmtId="2" fontId="45" fillId="3" borderId="89" xfId="0" applyNumberFormat="1" applyFont="1" applyFill="1" applyBorder="1" applyAlignment="1">
      <alignment horizontal="center" vertical="center"/>
    </xf>
    <xf numFmtId="2" fontId="45" fillId="3" borderId="31" xfId="0" applyNumberFormat="1" applyFont="1" applyFill="1" applyBorder="1" applyAlignment="1">
      <alignment horizontal="center" vertical="center"/>
    </xf>
    <xf numFmtId="175" fontId="22" fillId="3" borderId="151" xfId="0" applyNumberFormat="1" applyFont="1" applyFill="1" applyBorder="1" applyAlignment="1">
      <alignment horizontal="center" vertical="center"/>
    </xf>
    <xf numFmtId="175" fontId="22" fillId="3" borderId="152" xfId="0" applyNumberFormat="1" applyFont="1" applyFill="1" applyBorder="1" applyAlignment="1">
      <alignment horizontal="center" vertical="center"/>
    </xf>
    <xf numFmtId="1" fontId="45" fillId="20" borderId="19" xfId="0" applyNumberFormat="1" applyFont="1" applyFill="1" applyBorder="1" applyAlignment="1">
      <alignment horizontal="center" vertical="center"/>
    </xf>
    <xf numFmtId="1" fontId="45" fillId="20" borderId="15" xfId="0" applyNumberFormat="1" applyFont="1" applyFill="1" applyBorder="1" applyAlignment="1">
      <alignment horizontal="center" vertical="center"/>
    </xf>
    <xf numFmtId="0" fontId="22" fillId="3" borderId="163" xfId="0" applyFont="1" applyFill="1" applyBorder="1" applyAlignment="1">
      <alignment horizontal="center" vertical="distributed"/>
    </xf>
    <xf numFmtId="0" fontId="22" fillId="3" borderId="153" xfId="0" applyFont="1" applyFill="1" applyBorder="1" applyAlignment="1">
      <alignment horizontal="center" vertical="distributed"/>
    </xf>
    <xf numFmtId="0" fontId="45" fillId="3" borderId="154" xfId="0" applyFont="1" applyFill="1" applyBorder="1" applyAlignment="1">
      <alignment horizontal="center" vertical="distributed"/>
    </xf>
    <xf numFmtId="2" fontId="5" fillId="3" borderId="87" xfId="0" applyNumberFormat="1" applyFont="1" applyFill="1" applyBorder="1" applyAlignment="1">
      <alignment horizontal="center" vertical="center"/>
    </xf>
    <xf numFmtId="2" fontId="3" fillId="3" borderId="87" xfId="0" applyNumberFormat="1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left" vertical="center"/>
    </xf>
    <xf numFmtId="0" fontId="4" fillId="3" borderId="34" xfId="0" applyFont="1" applyFill="1" applyBorder="1" applyAlignment="1">
      <alignment horizontal="left" vertical="center"/>
    </xf>
    <xf numFmtId="0" fontId="5" fillId="3" borderId="34" xfId="0" applyFont="1" applyFill="1" applyBorder="1" applyAlignment="1">
      <alignment horizontal="left" vertical="center"/>
    </xf>
    <xf numFmtId="0" fontId="5" fillId="3" borderId="47" xfId="0" applyFont="1" applyFill="1" applyBorder="1" applyAlignment="1">
      <alignment horizontal="left" vertical="center"/>
    </xf>
    <xf numFmtId="0" fontId="5" fillId="3" borderId="47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26" fillId="3" borderId="32" xfId="0" applyFont="1" applyFill="1" applyBorder="1" applyAlignment="1">
      <alignment horizontal="center" vertical="center"/>
    </xf>
    <xf numFmtId="0" fontId="26" fillId="3" borderId="34" xfId="0" applyFont="1" applyFill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9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0" borderId="94" xfId="0" applyFont="1" applyBorder="1" applyAlignment="1">
      <alignment horizontal="left" vertical="center"/>
    </xf>
    <xf numFmtId="0" fontId="2" fillId="0" borderId="82" xfId="0" applyFont="1" applyBorder="1" applyAlignment="1">
      <alignment horizontal="left" vertical="center"/>
    </xf>
    <xf numFmtId="171" fontId="9" fillId="3" borderId="94" xfId="0" applyNumberFormat="1" applyFont="1" applyFill="1" applyBorder="1" applyAlignment="1">
      <alignment horizontal="right" vertical="center"/>
    </xf>
    <xf numFmtId="171" fontId="9" fillId="3" borderId="82" xfId="0" applyNumberFormat="1" applyFont="1" applyFill="1" applyBorder="1" applyAlignment="1">
      <alignment horizontal="right" vertical="center"/>
    </xf>
    <xf numFmtId="171" fontId="3" fillId="3" borderId="94" xfId="0" applyNumberFormat="1" applyFont="1" applyFill="1" applyBorder="1" applyAlignment="1">
      <alignment horizontal="center" vertical="center"/>
    </xf>
    <xf numFmtId="171" fontId="3" fillId="3" borderId="82" xfId="0" applyNumberFormat="1" applyFont="1" applyFill="1" applyBorder="1" applyAlignment="1">
      <alignment horizontal="center" vertical="center"/>
    </xf>
    <xf numFmtId="0" fontId="2" fillId="3" borderId="8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5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171" fontId="3" fillId="3" borderId="150" xfId="0" applyNumberFormat="1" applyFont="1" applyFill="1" applyBorder="1" applyAlignment="1">
      <alignment horizontal="center" vertical="center"/>
    </xf>
    <xf numFmtId="171" fontId="3" fillId="3" borderId="93" xfId="0" applyNumberFormat="1" applyFont="1" applyFill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2" fontId="46" fillId="0" borderId="2" xfId="0" applyNumberFormat="1" applyFont="1" applyBorder="1" applyAlignment="1">
      <alignment horizontal="center" vertical="center"/>
    </xf>
    <xf numFmtId="2" fontId="46" fillId="0" borderId="21" xfId="0" applyNumberFormat="1" applyFont="1" applyBorder="1" applyAlignment="1">
      <alignment horizontal="center" vertical="center"/>
    </xf>
    <xf numFmtId="2" fontId="46" fillId="0" borderId="17" xfId="0" applyNumberFormat="1" applyFont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59" xfId="0" applyFont="1" applyFill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49" fillId="3" borderId="9" xfId="0" applyFont="1" applyFill="1" applyBorder="1" applyAlignment="1">
      <alignment horizontal="center" vertical="center"/>
    </xf>
    <xf numFmtId="0" fontId="49" fillId="3" borderId="11" xfId="0" applyFont="1" applyFill="1" applyBorder="1" applyAlignment="1">
      <alignment horizontal="center" vertical="center"/>
    </xf>
    <xf numFmtId="0" fontId="16" fillId="3" borderId="90" xfId="0" applyFont="1" applyFill="1" applyBorder="1" applyAlignment="1">
      <alignment horizontal="center" vertical="center"/>
    </xf>
    <xf numFmtId="0" fontId="16" fillId="3" borderId="92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/>
    </xf>
    <xf numFmtId="0" fontId="3" fillId="6" borderId="46" xfId="0" applyFont="1" applyFill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" fillId="23" borderId="9" xfId="0" applyFont="1" applyFill="1" applyBorder="1" applyAlignment="1">
      <alignment horizontal="center" vertical="center"/>
    </xf>
    <xf numFmtId="0" fontId="2" fillId="23" borderId="10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94" xfId="0" applyFont="1" applyBorder="1" applyAlignment="1">
      <alignment vertical="center"/>
    </xf>
    <xf numFmtId="0" fontId="2" fillId="0" borderId="81" xfId="0" applyFont="1" applyBorder="1" applyAlignment="1">
      <alignment vertical="center"/>
    </xf>
    <xf numFmtId="0" fontId="2" fillId="0" borderId="81" xfId="0" applyFont="1" applyBorder="1" applyAlignment="1">
      <alignment horizontal="left" vertical="center"/>
    </xf>
    <xf numFmtId="0" fontId="2" fillId="0" borderId="150" xfId="0" applyFont="1" applyBorder="1" applyAlignment="1">
      <alignment horizontal="left" vertical="center"/>
    </xf>
    <xf numFmtId="0" fontId="2" fillId="0" borderId="87" xfId="0" applyFont="1" applyBorder="1" applyAlignment="1">
      <alignment horizontal="left" vertical="center"/>
    </xf>
    <xf numFmtId="0" fontId="2" fillId="0" borderId="93" xfId="0" applyFont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" fontId="31" fillId="3" borderId="2" xfId="10" applyNumberFormat="1" applyFont="1" applyFill="1" applyBorder="1" applyAlignment="1">
      <alignment horizontal="center" vertical="center"/>
    </xf>
    <xf numFmtId="4" fontId="31" fillId="3" borderId="3" xfId="10" applyNumberFormat="1" applyFont="1" applyFill="1" applyBorder="1" applyAlignment="1">
      <alignment horizontal="center" vertical="center"/>
    </xf>
    <xf numFmtId="4" fontId="31" fillId="3" borderId="21" xfId="10" applyNumberFormat="1" applyFont="1" applyFill="1" applyBorder="1" applyAlignment="1">
      <alignment horizontal="center" vertical="center"/>
    </xf>
    <xf numFmtId="4" fontId="31" fillId="3" borderId="8" xfId="10" applyNumberFormat="1" applyFont="1" applyFill="1" applyBorder="1" applyAlignment="1">
      <alignment horizontal="center" vertical="center"/>
    </xf>
    <xf numFmtId="4" fontId="31" fillId="3" borderId="0" xfId="10" applyNumberFormat="1" applyFont="1" applyFill="1" applyBorder="1" applyAlignment="1">
      <alignment horizontal="center" vertical="center"/>
    </xf>
    <xf numFmtId="4" fontId="31" fillId="3" borderId="159" xfId="10" applyNumberFormat="1" applyFont="1" applyFill="1" applyBorder="1" applyAlignment="1">
      <alignment horizontal="center" vertical="center"/>
    </xf>
    <xf numFmtId="182" fontId="9" fillId="3" borderId="94" xfId="0" applyNumberFormat="1" applyFont="1" applyFill="1" applyBorder="1" applyAlignment="1">
      <alignment horizontal="center" vertical="center"/>
    </xf>
    <xf numFmtId="182" fontId="9" fillId="3" borderId="81" xfId="0" applyNumberFormat="1" applyFont="1" applyFill="1" applyBorder="1" applyAlignment="1">
      <alignment horizontal="center" vertical="center"/>
    </xf>
    <xf numFmtId="182" fontId="9" fillId="3" borderId="82" xfId="0" applyNumberFormat="1" applyFont="1" applyFill="1" applyBorder="1" applyAlignment="1">
      <alignment horizontal="center" vertical="center"/>
    </xf>
    <xf numFmtId="0" fontId="2" fillId="0" borderId="150" xfId="0" applyFont="1" applyBorder="1" applyAlignment="1">
      <alignment vertical="center"/>
    </xf>
    <xf numFmtId="0" fontId="2" fillId="0" borderId="87" xfId="0" applyFont="1" applyBorder="1" applyAlignment="1">
      <alignment vertical="center"/>
    </xf>
    <xf numFmtId="0" fontId="3" fillId="22" borderId="150" xfId="0" applyFont="1" applyFill="1" applyBorder="1" applyAlignment="1">
      <alignment horizontal="center" vertical="center"/>
    </xf>
    <xf numFmtId="0" fontId="3" fillId="22" borderId="87" xfId="0" applyFont="1" applyFill="1" applyBorder="1" applyAlignment="1">
      <alignment horizontal="center" vertical="center"/>
    </xf>
    <xf numFmtId="0" fontId="3" fillId="22" borderId="93" xfId="0" applyFont="1" applyFill="1" applyBorder="1" applyAlignment="1">
      <alignment horizontal="center" vertical="center"/>
    </xf>
    <xf numFmtId="183" fontId="5" fillId="3" borderId="6" xfId="10" applyNumberFormat="1" applyFont="1" applyFill="1" applyBorder="1" applyAlignment="1">
      <alignment horizontal="center" vertical="center"/>
    </xf>
    <xf numFmtId="183" fontId="5" fillId="3" borderId="13" xfId="10" applyNumberFormat="1" applyFont="1" applyFill="1" applyBorder="1" applyAlignment="1">
      <alignment horizontal="center" vertical="center"/>
    </xf>
    <xf numFmtId="183" fontId="5" fillId="3" borderId="7" xfId="10" applyNumberFormat="1" applyFont="1" applyFill="1" applyBorder="1" applyAlignment="1">
      <alignment horizontal="center" vertical="center"/>
    </xf>
    <xf numFmtId="10" fontId="9" fillId="0" borderId="86" xfId="0" applyNumberFormat="1" applyFont="1" applyBorder="1" applyAlignment="1">
      <alignment horizontal="center" vertical="center"/>
    </xf>
    <xf numFmtId="10" fontId="9" fillId="0" borderId="84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71" fontId="5" fillId="3" borderId="9" xfId="9" applyNumberFormat="1" applyFont="1" applyFill="1" applyBorder="1" applyAlignment="1">
      <alignment horizontal="center" vertical="center"/>
    </xf>
    <xf numFmtId="171" fontId="5" fillId="3" borderId="15" xfId="9" applyNumberFormat="1" applyFont="1" applyFill="1" applyBorder="1" applyAlignment="1">
      <alignment horizontal="center" vertical="center"/>
    </xf>
    <xf numFmtId="1" fontId="5" fillId="3" borderId="94" xfId="9" applyNumberFormat="1" applyFont="1" applyFill="1" applyBorder="1" applyAlignment="1">
      <alignment horizontal="center" vertical="center"/>
    </xf>
    <xf numFmtId="1" fontId="5" fillId="3" borderId="152" xfId="9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5" fillId="3" borderId="152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152" xfId="0" applyNumberFormat="1" applyFont="1" applyFill="1" applyBorder="1" applyAlignment="1">
      <alignment horizontal="center" vertical="center"/>
    </xf>
    <xf numFmtId="0" fontId="5" fillId="3" borderId="150" xfId="0" applyFont="1" applyFill="1" applyBorder="1" applyAlignment="1">
      <alignment horizontal="center" vertical="center"/>
    </xf>
    <xf numFmtId="0" fontId="5" fillId="3" borderId="157" xfId="0" applyFont="1" applyFill="1" applyBorder="1" applyAlignment="1">
      <alignment horizontal="center" vertical="center"/>
    </xf>
    <xf numFmtId="168" fontId="3" fillId="20" borderId="95" xfId="0" applyNumberFormat="1" applyFont="1" applyFill="1" applyBorder="1" applyAlignment="1">
      <alignment horizontal="center" vertical="center"/>
    </xf>
    <xf numFmtId="168" fontId="3" fillId="20" borderId="100" xfId="0" applyNumberFormat="1" applyFont="1" applyFill="1" applyBorder="1" applyAlignment="1">
      <alignment horizontal="center" vertical="center"/>
    </xf>
    <xf numFmtId="168" fontId="3" fillId="20" borderId="103" xfId="0" applyNumberFormat="1" applyFont="1" applyFill="1" applyBorder="1" applyAlignment="1">
      <alignment horizontal="center" vertical="center"/>
    </xf>
    <xf numFmtId="0" fontId="5" fillId="20" borderId="97" xfId="0" applyFont="1" applyFill="1" applyBorder="1" applyAlignment="1">
      <alignment horizontal="center"/>
    </xf>
    <xf numFmtId="0" fontId="5" fillId="20" borderId="111" xfId="0" applyFont="1" applyFill="1" applyBorder="1" applyAlignment="1">
      <alignment horizontal="center"/>
    </xf>
    <xf numFmtId="0" fontId="42" fillId="20" borderId="95" xfId="0" applyFont="1" applyFill="1" applyBorder="1" applyAlignment="1">
      <alignment horizontal="center" vertical="center" textRotation="90"/>
    </xf>
    <xf numFmtId="0" fontId="42" fillId="20" borderId="100" xfId="0" applyFont="1" applyFill="1" applyBorder="1" applyAlignment="1">
      <alignment horizontal="center" vertical="center" textRotation="90"/>
    </xf>
    <xf numFmtId="0" fontId="42" fillId="20" borderId="103" xfId="0" applyFont="1" applyFill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distributed" textRotation="90"/>
    </xf>
    <xf numFmtId="0" fontId="2" fillId="0" borderId="0" xfId="0" applyFont="1" applyAlignment="1">
      <alignment horizontal="center" vertical="distributed" textRotation="90"/>
    </xf>
    <xf numFmtId="0" fontId="2" fillId="0" borderId="109" xfId="0" applyFont="1" applyBorder="1" applyAlignment="1">
      <alignment horizontal="center" vertical="distributed" textRotation="90"/>
    </xf>
    <xf numFmtId="0" fontId="2" fillId="0" borderId="14" xfId="0" applyFont="1" applyBorder="1" applyAlignment="1">
      <alignment horizontal="center" vertical="distributed" textRotation="90"/>
    </xf>
    <xf numFmtId="0" fontId="32" fillId="25" borderId="0" xfId="0" applyFont="1" applyFill="1" applyAlignment="1">
      <alignment horizontal="center"/>
    </xf>
    <xf numFmtId="0" fontId="9" fillId="20" borderId="3" xfId="0" applyFont="1" applyFill="1" applyBorder="1" applyAlignment="1">
      <alignment horizontal="center" vertical="distributed" textRotation="90"/>
    </xf>
    <xf numFmtId="0" fontId="9" fillId="20" borderId="0" xfId="0" applyFont="1" applyFill="1" applyAlignment="1">
      <alignment horizontal="center" vertical="distributed" textRotation="90"/>
    </xf>
    <xf numFmtId="0" fontId="39" fillId="3" borderId="2" xfId="0" applyFont="1" applyFill="1" applyBorder="1" applyAlignment="1">
      <alignment horizontal="center" vertical="center"/>
    </xf>
    <xf numFmtId="0" fontId="39" fillId="3" borderId="3" xfId="0" applyFont="1" applyFill="1" applyBorder="1" applyAlignment="1">
      <alignment horizontal="center" vertical="center"/>
    </xf>
    <xf numFmtId="0" fontId="39" fillId="3" borderId="21" xfId="0" applyFont="1" applyFill="1" applyBorder="1" applyAlignment="1">
      <alignment horizontal="center" vertical="center"/>
    </xf>
    <xf numFmtId="0" fontId="39" fillId="3" borderId="8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39" fillId="3" borderId="159" xfId="0" applyFont="1" applyFill="1" applyBorder="1" applyAlignment="1">
      <alignment horizontal="center" vertical="center"/>
    </xf>
    <xf numFmtId="0" fontId="39" fillId="3" borderId="108" xfId="0" applyFont="1" applyFill="1" applyBorder="1" applyAlignment="1">
      <alignment horizontal="center" vertical="center"/>
    </xf>
    <xf numFmtId="0" fontId="39" fillId="3" borderId="109" xfId="0" applyFont="1" applyFill="1" applyBorder="1" applyAlignment="1">
      <alignment horizontal="center" vertical="center"/>
    </xf>
    <xf numFmtId="0" fontId="39" fillId="3" borderId="131" xfId="0" applyFont="1" applyFill="1" applyBorder="1" applyAlignment="1">
      <alignment horizontal="center" vertical="center"/>
    </xf>
    <xf numFmtId="0" fontId="53" fillId="3" borderId="70" xfId="11" applyFont="1" applyFill="1" applyBorder="1" applyAlignment="1">
      <alignment horizontal="right"/>
    </xf>
    <xf numFmtId="0" fontId="53" fillId="3" borderId="69" xfId="11" applyFont="1" applyFill="1" applyBorder="1" applyAlignment="1">
      <alignment horizontal="left"/>
    </xf>
    <xf numFmtId="0" fontId="53" fillId="3" borderId="70" xfId="11" applyFont="1" applyFill="1" applyBorder="1" applyAlignment="1">
      <alignment horizontal="left"/>
    </xf>
    <xf numFmtId="0" fontId="68" fillId="0" borderId="70" xfId="11" applyFont="1" applyBorder="1" applyAlignment="1">
      <alignment horizontal="left"/>
    </xf>
    <xf numFmtId="0" fontId="68" fillId="0" borderId="79" xfId="11" applyFont="1" applyBorder="1" applyAlignment="1">
      <alignment horizontal="left"/>
    </xf>
    <xf numFmtId="0" fontId="51" fillId="3" borderId="59" xfId="7" applyFont="1" applyFill="1" applyBorder="1" applyAlignment="1">
      <alignment horizontal="center" vertical="center" textRotation="90"/>
    </xf>
    <xf numFmtId="0" fontId="51" fillId="3" borderId="61" xfId="7" applyFont="1" applyFill="1" applyBorder="1" applyAlignment="1">
      <alignment horizontal="center" vertical="center" textRotation="90"/>
    </xf>
    <xf numFmtId="0" fontId="51" fillId="3" borderId="60" xfId="7" applyFont="1" applyFill="1" applyBorder="1" applyAlignment="1">
      <alignment horizontal="center" vertical="center" textRotation="90"/>
    </xf>
    <xf numFmtId="0" fontId="50" fillId="3" borderId="57" xfId="7" applyFont="1" applyFill="1" applyBorder="1" applyAlignment="1">
      <alignment horizontal="left"/>
    </xf>
    <xf numFmtId="0" fontId="50" fillId="3" borderId="56" xfId="7" applyFont="1" applyFill="1" applyBorder="1" applyAlignment="1">
      <alignment horizontal="left"/>
    </xf>
    <xf numFmtId="0" fontId="50" fillId="3" borderId="58" xfId="7" applyFont="1" applyFill="1" applyBorder="1" applyAlignment="1">
      <alignment horizontal="left"/>
    </xf>
    <xf numFmtId="0" fontId="51" fillId="3" borderId="55" xfId="7" applyFont="1" applyFill="1" applyBorder="1" applyAlignment="1">
      <alignment horizontal="center" vertical="center" textRotation="90"/>
    </xf>
    <xf numFmtId="0" fontId="52" fillId="3" borderId="62" xfId="7" applyFont="1" applyFill="1" applyBorder="1" applyAlignment="1">
      <alignment horizontal="center" vertical="center"/>
    </xf>
    <xf numFmtId="0" fontId="52" fillId="3" borderId="63" xfId="7" applyFont="1" applyFill="1" applyBorder="1" applyAlignment="1">
      <alignment horizontal="center" vertical="center"/>
    </xf>
    <xf numFmtId="0" fontId="52" fillId="3" borderId="64" xfId="7" applyFont="1" applyFill="1" applyBorder="1" applyAlignment="1">
      <alignment horizontal="center" vertical="center"/>
    </xf>
    <xf numFmtId="0" fontId="52" fillId="3" borderId="68" xfId="7" applyFont="1" applyFill="1" applyBorder="1" applyAlignment="1">
      <alignment horizontal="center" vertical="center"/>
    </xf>
    <xf numFmtId="0" fontId="52" fillId="3" borderId="0" xfId="7" applyFont="1" applyFill="1" applyAlignment="1">
      <alignment horizontal="center" vertical="center"/>
    </xf>
    <xf numFmtId="0" fontId="52" fillId="3" borderId="170" xfId="7" applyFont="1" applyFill="1" applyBorder="1" applyAlignment="1">
      <alignment horizontal="center" vertical="center"/>
    </xf>
    <xf numFmtId="0" fontId="52" fillId="3" borderId="65" xfId="7" applyFont="1" applyFill="1" applyBorder="1" applyAlignment="1">
      <alignment horizontal="center" vertical="center"/>
    </xf>
    <xf numFmtId="0" fontId="52" fillId="3" borderId="66" xfId="7" applyFont="1" applyFill="1" applyBorder="1" applyAlignment="1">
      <alignment horizontal="center" vertical="center"/>
    </xf>
    <xf numFmtId="0" fontId="52" fillId="3" borderId="67" xfId="7" applyFont="1" applyFill="1" applyBorder="1" applyAlignment="1">
      <alignment horizontal="center" vertical="center"/>
    </xf>
    <xf numFmtId="0" fontId="68" fillId="3" borderId="72" xfId="11" applyFont="1" applyFill="1" applyBorder="1" applyAlignment="1">
      <alignment horizontal="left"/>
    </xf>
    <xf numFmtId="0" fontId="68" fillId="3" borderId="73" xfId="11" applyFont="1" applyFill="1" applyBorder="1" applyAlignment="1">
      <alignment horizontal="left"/>
    </xf>
    <xf numFmtId="0" fontId="58" fillId="3" borderId="80" xfId="0" applyFont="1" applyFill="1" applyBorder="1" applyAlignment="1">
      <alignment horizontal="center"/>
    </xf>
    <xf numFmtId="0" fontId="53" fillId="3" borderId="76" xfId="11" applyFont="1" applyFill="1" applyBorder="1" applyAlignment="1">
      <alignment horizontal="left"/>
    </xf>
    <xf numFmtId="0" fontId="53" fillId="3" borderId="77" xfId="11" applyFont="1" applyFill="1" applyBorder="1" applyAlignment="1">
      <alignment horizontal="left"/>
    </xf>
    <xf numFmtId="0" fontId="2" fillId="3" borderId="63" xfId="7" applyFont="1" applyFill="1" applyBorder="1" applyAlignment="1">
      <alignment horizontal="center"/>
    </xf>
    <xf numFmtId="0" fontId="53" fillId="3" borderId="71" xfId="11" applyFont="1" applyFill="1" applyBorder="1" applyAlignment="1">
      <alignment horizontal="left"/>
    </xf>
    <xf numFmtId="0" fontId="53" fillId="3" borderId="72" xfId="11" applyFont="1" applyFill="1" applyBorder="1" applyAlignment="1">
      <alignment horizontal="left"/>
    </xf>
    <xf numFmtId="0" fontId="5" fillId="3" borderId="72" xfId="11" applyFont="1" applyFill="1" applyBorder="1" applyAlignment="1">
      <alignment horizontal="left"/>
    </xf>
    <xf numFmtId="14" fontId="5" fillId="20" borderId="72" xfId="11" applyNumberFormat="1" applyFont="1" applyFill="1" applyBorder="1" applyAlignment="1">
      <alignment horizontal="center"/>
    </xf>
    <xf numFmtId="14" fontId="5" fillId="20" borderId="75" xfId="11" applyNumberFormat="1" applyFont="1" applyFill="1" applyBorder="1" applyAlignment="1">
      <alignment horizontal="center"/>
    </xf>
    <xf numFmtId="0" fontId="68" fillId="3" borderId="77" xfId="11" applyFont="1" applyFill="1" applyBorder="1" applyAlignment="1">
      <alignment horizontal="left"/>
    </xf>
    <xf numFmtId="0" fontId="68" fillId="3" borderId="78" xfId="11" applyFont="1" applyFill="1" applyBorder="1" applyAlignment="1">
      <alignment horizontal="left"/>
    </xf>
    <xf numFmtId="0" fontId="2" fillId="3" borderId="64" xfId="7" applyFont="1" applyFill="1" applyBorder="1" applyAlignment="1">
      <alignment horizontal="center"/>
    </xf>
    <xf numFmtId="0" fontId="3" fillId="3" borderId="62" xfId="7" applyFont="1" applyFill="1" applyBorder="1" applyAlignment="1">
      <alignment horizontal="center"/>
    </xf>
    <xf numFmtId="0" fontId="3" fillId="3" borderId="63" xfId="7" applyFont="1" applyFill="1" applyBorder="1" applyAlignment="1">
      <alignment horizontal="center"/>
    </xf>
    <xf numFmtId="190" fontId="50" fillId="3" borderId="57" xfId="13" applyNumberFormat="1" applyFont="1" applyFill="1" applyBorder="1" applyAlignment="1">
      <alignment horizontal="left"/>
    </xf>
    <xf numFmtId="190" fontId="50" fillId="3" borderId="56" xfId="13" applyNumberFormat="1" applyFont="1" applyFill="1" applyBorder="1" applyAlignment="1">
      <alignment horizontal="left"/>
    </xf>
    <xf numFmtId="190" fontId="50" fillId="3" borderId="58" xfId="13" applyNumberFormat="1" applyFont="1" applyFill="1" applyBorder="1" applyAlignment="1">
      <alignment horizontal="left"/>
    </xf>
    <xf numFmtId="0" fontId="50" fillId="3" borderId="65" xfId="7" applyFont="1" applyFill="1" applyBorder="1" applyAlignment="1">
      <alignment horizontal="center"/>
    </xf>
    <xf numFmtId="0" fontId="50" fillId="3" borderId="66" xfId="7" applyFont="1" applyFill="1" applyBorder="1" applyAlignment="1">
      <alignment horizontal="center"/>
    </xf>
    <xf numFmtId="0" fontId="50" fillId="3" borderId="67" xfId="7" applyFont="1" applyFill="1" applyBorder="1" applyAlignment="1">
      <alignment horizontal="center"/>
    </xf>
    <xf numFmtId="0" fontId="50" fillId="3" borderId="59" xfId="7" applyFont="1" applyFill="1" applyBorder="1" applyAlignment="1">
      <alignment horizontal="center" vertical="center" textRotation="90"/>
    </xf>
    <xf numFmtId="0" fontId="50" fillId="3" borderId="60" xfId="7" applyFont="1" applyFill="1" applyBorder="1" applyAlignment="1">
      <alignment horizontal="center" vertical="center" textRotation="90"/>
    </xf>
    <xf numFmtId="0" fontId="50" fillId="3" borderId="61" xfId="7" applyFont="1" applyFill="1" applyBorder="1" applyAlignment="1">
      <alignment horizontal="center" vertical="center" textRotation="90"/>
    </xf>
    <xf numFmtId="0" fontId="50" fillId="3" borderId="57" xfId="7" applyFont="1" applyFill="1" applyBorder="1" applyAlignment="1">
      <alignment horizontal="center" vertical="center"/>
    </xf>
    <xf numFmtId="0" fontId="50" fillId="3" borderId="56" xfId="7" applyFont="1" applyFill="1" applyBorder="1" applyAlignment="1">
      <alignment horizontal="center" vertical="center"/>
    </xf>
    <xf numFmtId="0" fontId="50" fillId="3" borderId="58" xfId="7" applyFont="1" applyFill="1" applyBorder="1" applyAlignment="1">
      <alignment horizontal="center" vertical="center"/>
    </xf>
    <xf numFmtId="0" fontId="50" fillId="3" borderId="62" xfId="7" applyFont="1" applyFill="1" applyBorder="1" applyAlignment="1">
      <alignment horizontal="left" vertical="justify"/>
    </xf>
    <xf numFmtId="0" fontId="50" fillId="3" borderId="63" xfId="7" applyFont="1" applyFill="1" applyBorder="1" applyAlignment="1">
      <alignment horizontal="left" vertical="justify"/>
    </xf>
    <xf numFmtId="0" fontId="50" fillId="3" borderId="64" xfId="7" applyFont="1" applyFill="1" applyBorder="1" applyAlignment="1">
      <alignment horizontal="left" vertical="justify"/>
    </xf>
    <xf numFmtId="0" fontId="50" fillId="3" borderId="65" xfId="7" applyFont="1" applyFill="1" applyBorder="1" applyAlignment="1">
      <alignment horizontal="left" vertical="justify"/>
    </xf>
    <xf numFmtId="0" fontId="50" fillId="3" borderId="66" xfId="7" applyFont="1" applyFill="1" applyBorder="1" applyAlignment="1">
      <alignment horizontal="left" vertical="justify"/>
    </xf>
    <xf numFmtId="0" fontId="50" fillId="3" borderId="67" xfId="7" applyFont="1" applyFill="1" applyBorder="1" applyAlignment="1">
      <alignment horizontal="left" vertical="justify"/>
    </xf>
    <xf numFmtId="0" fontId="50" fillId="3" borderId="57" xfId="7" applyFont="1" applyFill="1" applyBorder="1" applyAlignment="1">
      <alignment horizontal="center" vertical="justify"/>
    </xf>
    <xf numFmtId="0" fontId="50" fillId="3" borderId="56" xfId="7" applyFont="1" applyFill="1" applyBorder="1" applyAlignment="1">
      <alignment horizontal="center" vertical="justify"/>
    </xf>
    <xf numFmtId="0" fontId="51" fillId="3" borderId="57" xfId="7" applyFont="1" applyFill="1" applyBorder="1" applyAlignment="1">
      <alignment horizontal="left"/>
    </xf>
    <xf numFmtId="0" fontId="51" fillId="3" borderId="56" xfId="7" applyFont="1" applyFill="1" applyBorder="1" applyAlignment="1">
      <alignment horizontal="left"/>
    </xf>
    <xf numFmtId="0" fontId="51" fillId="3" borderId="58" xfId="7" applyFont="1" applyFill="1" applyBorder="1" applyAlignment="1">
      <alignment horizontal="left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3" fillId="0" borderId="151" xfId="0" applyFont="1" applyBorder="1" applyAlignment="1">
      <alignment horizontal="center"/>
    </xf>
    <xf numFmtId="0" fontId="3" fillId="0" borderId="81" xfId="0" applyFont="1" applyBorder="1" applyAlignment="1">
      <alignment horizontal="center"/>
    </xf>
    <xf numFmtId="0" fontId="3" fillId="0" borderId="152" xfId="0" applyFont="1" applyBorder="1" applyAlignment="1">
      <alignment horizontal="center"/>
    </xf>
    <xf numFmtId="0" fontId="34" fillId="20" borderId="2" xfId="0" applyFont="1" applyFill="1" applyBorder="1" applyAlignment="1">
      <alignment horizontal="center"/>
    </xf>
    <xf numFmtId="0" fontId="34" fillId="20" borderId="3" xfId="0" applyFont="1" applyFill="1" applyBorder="1" applyAlignment="1">
      <alignment horizontal="center"/>
    </xf>
    <xf numFmtId="0" fontId="34" fillId="20" borderId="17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13" fillId="0" borderId="2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4" fillId="20" borderId="2" xfId="0" applyFont="1" applyFill="1" applyBorder="1" applyAlignment="1">
      <alignment horizontal="center"/>
    </xf>
    <xf numFmtId="0" fontId="54" fillId="20" borderId="3" xfId="0" applyFont="1" applyFill="1" applyBorder="1" applyAlignment="1">
      <alignment horizontal="center"/>
    </xf>
    <xf numFmtId="0" fontId="54" fillId="20" borderId="21" xfId="0" applyFont="1" applyFill="1" applyBorder="1" applyAlignment="1">
      <alignment horizontal="center"/>
    </xf>
    <xf numFmtId="0" fontId="54" fillId="20" borderId="17" xfId="0" applyFont="1" applyFill="1" applyBorder="1" applyAlignment="1">
      <alignment horizontal="center"/>
    </xf>
    <xf numFmtId="0" fontId="54" fillId="20" borderId="14" xfId="0" applyFont="1" applyFill="1" applyBorder="1" applyAlignment="1">
      <alignment horizontal="center"/>
    </xf>
    <xf numFmtId="0" fontId="54" fillId="20" borderId="23" xfId="0" applyFont="1" applyFill="1" applyBorder="1" applyAlignment="1">
      <alignment horizontal="center"/>
    </xf>
    <xf numFmtId="0" fontId="63" fillId="0" borderId="32" xfId="14" applyFont="1" applyBorder="1" applyAlignment="1">
      <alignment horizontal="left" vertical="center"/>
    </xf>
    <xf numFmtId="0" fontId="63" fillId="0" borderId="34" xfId="14" applyFont="1" applyBorder="1" applyAlignment="1">
      <alignment horizontal="left" vertical="center"/>
    </xf>
    <xf numFmtId="0" fontId="30" fillId="20" borderId="34" xfId="0" applyFont="1" applyFill="1" applyBorder="1" applyAlignment="1">
      <alignment horizontal="left"/>
    </xf>
    <xf numFmtId="0" fontId="30" fillId="20" borderId="33" xfId="0" applyFont="1" applyFill="1" applyBorder="1" applyAlignment="1">
      <alignment horizontal="left"/>
    </xf>
    <xf numFmtId="0" fontId="22" fillId="0" borderId="2" xfId="14" applyFont="1" applyBorder="1" applyAlignment="1">
      <alignment horizontal="center" vertical="center"/>
    </xf>
    <xf numFmtId="0" fontId="22" fillId="0" borderId="3" xfId="14" applyFont="1" applyBorder="1" applyAlignment="1">
      <alignment horizontal="center" vertical="center"/>
    </xf>
    <xf numFmtId="0" fontId="22" fillId="0" borderId="21" xfId="14" applyFont="1" applyBorder="1" applyAlignment="1">
      <alignment horizontal="center" vertical="center"/>
    </xf>
    <xf numFmtId="0" fontId="22" fillId="0" borderId="8" xfId="14" applyFont="1" applyBorder="1" applyAlignment="1">
      <alignment horizontal="center" vertical="center"/>
    </xf>
    <xf numFmtId="0" fontId="22" fillId="0" borderId="0" xfId="14" applyFont="1" applyAlignment="1">
      <alignment horizontal="center" vertical="center"/>
    </xf>
    <xf numFmtId="0" fontId="22" fillId="0" borderId="159" xfId="14" applyFont="1" applyBorder="1" applyAlignment="1">
      <alignment horizontal="center" vertical="center"/>
    </xf>
    <xf numFmtId="0" fontId="22" fillId="0" borderId="17" xfId="14" applyFont="1" applyBorder="1" applyAlignment="1">
      <alignment horizontal="center" vertical="center"/>
    </xf>
    <xf numFmtId="0" fontId="22" fillId="0" borderId="14" xfId="14" applyFont="1" applyBorder="1" applyAlignment="1">
      <alignment horizontal="center" vertical="center"/>
    </xf>
    <xf numFmtId="0" fontId="22" fillId="0" borderId="23" xfId="14" applyFont="1" applyBorder="1" applyAlignment="1">
      <alignment horizontal="center" vertical="center"/>
    </xf>
    <xf numFmtId="0" fontId="63" fillId="0" borderId="2" xfId="14" applyFont="1" applyBorder="1" applyAlignment="1">
      <alignment horizontal="left" vertical="center"/>
    </xf>
    <xf numFmtId="0" fontId="63" fillId="0" borderId="3" xfId="14" applyFont="1" applyBorder="1" applyAlignment="1">
      <alignment horizontal="left" vertical="center"/>
    </xf>
    <xf numFmtId="0" fontId="69" fillId="20" borderId="3" xfId="14" applyFont="1" applyFill="1" applyBorder="1" applyAlignment="1">
      <alignment horizontal="left" vertical="center"/>
    </xf>
    <xf numFmtId="0" fontId="63" fillId="3" borderId="2" xfId="0" applyFont="1" applyFill="1" applyBorder="1" applyAlignment="1">
      <alignment horizontal="left"/>
    </xf>
    <xf numFmtId="0" fontId="63" fillId="3" borderId="3" xfId="0" applyFont="1" applyFill="1" applyBorder="1" applyAlignment="1">
      <alignment horizontal="left"/>
    </xf>
    <xf numFmtId="0" fontId="69" fillId="20" borderId="34" xfId="0" applyFont="1" applyFill="1" applyBorder="1" applyAlignment="1">
      <alignment horizontal="center"/>
    </xf>
    <xf numFmtId="0" fontId="49" fillId="0" borderId="34" xfId="0" applyFont="1" applyBorder="1" applyAlignment="1">
      <alignment horizontal="left"/>
    </xf>
    <xf numFmtId="0" fontId="30" fillId="20" borderId="34" xfId="14" applyFont="1" applyFill="1" applyBorder="1" applyAlignment="1">
      <alignment horizontal="center" vertical="center"/>
    </xf>
    <xf numFmtId="0" fontId="49" fillId="0" borderId="34" xfId="14" applyFont="1" applyBorder="1" applyAlignment="1">
      <alignment horizontal="left" vertical="center"/>
    </xf>
    <xf numFmtId="0" fontId="30" fillId="20" borderId="34" xfId="14" applyFont="1" applyFill="1" applyBorder="1" applyAlignment="1">
      <alignment horizontal="left" vertical="center"/>
    </xf>
    <xf numFmtId="0" fontId="30" fillId="20" borderId="33" xfId="14" applyFont="1" applyFill="1" applyBorder="1" applyAlignment="1">
      <alignment horizontal="left" vertical="center"/>
    </xf>
    <xf numFmtId="0" fontId="22" fillId="0" borderId="32" xfId="14" applyFont="1" applyBorder="1" applyAlignment="1">
      <alignment horizontal="center" vertical="center"/>
    </xf>
    <xf numFmtId="0" fontId="22" fillId="0" borderId="34" xfId="14" applyFont="1" applyBorder="1" applyAlignment="1">
      <alignment horizontal="center" vertical="center"/>
    </xf>
    <xf numFmtId="0" fontId="22" fillId="0" borderId="33" xfId="14" applyFont="1" applyBorder="1" applyAlignment="1">
      <alignment horizontal="center" vertical="center"/>
    </xf>
    <xf numFmtId="0" fontId="64" fillId="0" borderId="32" xfId="14" applyFont="1" applyBorder="1" applyAlignment="1">
      <alignment horizontal="center" vertical="center"/>
    </xf>
    <xf numFmtId="0" fontId="64" fillId="0" borderId="34" xfId="14" applyFont="1" applyBorder="1" applyAlignment="1">
      <alignment horizontal="center" vertical="center"/>
    </xf>
    <xf numFmtId="0" fontId="64" fillId="0" borderId="33" xfId="14" applyFont="1" applyBorder="1" applyAlignment="1">
      <alignment horizontal="center" vertical="center"/>
    </xf>
    <xf numFmtId="0" fontId="45" fillId="0" borderId="32" xfId="14" applyFont="1" applyBorder="1" applyAlignment="1">
      <alignment horizontal="center" vertical="center"/>
    </xf>
    <xf numFmtId="0" fontId="45" fillId="0" borderId="34" xfId="14" applyFont="1" applyBorder="1" applyAlignment="1">
      <alignment horizontal="center" vertical="center"/>
    </xf>
    <xf numFmtId="0" fontId="45" fillId="0" borderId="33" xfId="14" applyFont="1" applyBorder="1" applyAlignment="1">
      <alignment horizontal="center" vertical="center"/>
    </xf>
    <xf numFmtId="0" fontId="0" fillId="0" borderId="13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4" xfId="0" applyBorder="1" applyAlignment="1">
      <alignment horizontal="center"/>
    </xf>
    <xf numFmtId="0" fontId="73" fillId="25" borderId="144" xfId="16" applyFont="1" applyFill="1" applyBorder="1" applyAlignment="1">
      <alignment horizontal="center"/>
    </xf>
    <xf numFmtId="0" fontId="73" fillId="25" borderId="145" xfId="16" applyFont="1" applyFill="1" applyBorder="1" applyAlignment="1">
      <alignment horizontal="center"/>
    </xf>
    <xf numFmtId="0" fontId="73" fillId="29" borderId="144" xfId="16" applyFont="1" applyFill="1" applyBorder="1" applyAlignment="1">
      <alignment horizontal="center"/>
    </xf>
    <xf numFmtId="0" fontId="73" fillId="29" borderId="145" xfId="16" applyFont="1" applyFill="1" applyBorder="1" applyAlignment="1">
      <alignment horizontal="center"/>
    </xf>
    <xf numFmtId="0" fontId="70" fillId="25" borderId="138" xfId="16" applyFont="1" applyFill="1" applyBorder="1" applyAlignment="1">
      <alignment horizontal="center" vertical="center" wrapText="1"/>
    </xf>
    <xf numFmtId="0" fontId="70" fillId="25" borderId="139" xfId="16" applyFont="1" applyFill="1" applyBorder="1" applyAlignment="1">
      <alignment horizontal="center" vertical="center" wrapText="1"/>
    </xf>
    <xf numFmtId="0" fontId="70" fillId="25" borderId="140" xfId="16" applyFont="1" applyFill="1" applyBorder="1" applyAlignment="1">
      <alignment horizontal="center" vertical="center" wrapText="1"/>
    </xf>
    <xf numFmtId="0" fontId="70" fillId="25" borderId="0" xfId="16" applyFont="1" applyFill="1" applyAlignment="1">
      <alignment horizontal="center" vertical="center" wrapText="1"/>
    </xf>
    <xf numFmtId="0" fontId="70" fillId="25" borderId="141" xfId="16" applyFont="1" applyFill="1" applyBorder="1" applyAlignment="1">
      <alignment horizontal="center" vertical="center" wrapText="1"/>
    </xf>
    <xf numFmtId="0" fontId="70" fillId="25" borderId="142" xfId="16" applyFont="1" applyFill="1" applyBorder="1" applyAlignment="1">
      <alignment horizontal="center" vertical="center" wrapText="1"/>
    </xf>
    <xf numFmtId="0" fontId="70" fillId="29" borderId="138" xfId="16" applyFont="1" applyFill="1" applyBorder="1" applyAlignment="1">
      <alignment horizontal="center" vertical="center" wrapText="1"/>
    </xf>
    <xf numFmtId="0" fontId="70" fillId="29" borderId="139" xfId="16" applyFont="1" applyFill="1" applyBorder="1" applyAlignment="1">
      <alignment horizontal="center" vertical="center" wrapText="1"/>
    </xf>
    <xf numFmtId="0" fontId="70" fillId="29" borderId="140" xfId="16" applyFont="1" applyFill="1" applyBorder="1" applyAlignment="1">
      <alignment horizontal="center" vertical="center" wrapText="1"/>
    </xf>
    <xf numFmtId="0" fontId="70" fillId="29" borderId="0" xfId="16" applyFont="1" applyFill="1" applyAlignment="1">
      <alignment horizontal="center" vertical="center" wrapText="1"/>
    </xf>
    <xf numFmtId="0" fontId="70" fillId="29" borderId="141" xfId="16" applyFont="1" applyFill="1" applyBorder="1" applyAlignment="1">
      <alignment horizontal="center" vertical="center" wrapText="1"/>
    </xf>
    <xf numFmtId="0" fontId="70" fillId="29" borderId="142" xfId="16" applyFont="1" applyFill="1" applyBorder="1" applyAlignment="1">
      <alignment horizontal="center" vertical="center" wrapText="1"/>
    </xf>
    <xf numFmtId="0" fontId="71" fillId="25" borderId="138" xfId="16" applyFont="1" applyFill="1" applyBorder="1" applyAlignment="1">
      <alignment horizontal="center" vertical="center"/>
    </xf>
    <xf numFmtId="0" fontId="71" fillId="25" borderId="141" xfId="16" applyFont="1" applyFill="1" applyBorder="1" applyAlignment="1">
      <alignment horizontal="center" vertical="center"/>
    </xf>
    <xf numFmtId="0" fontId="71" fillId="25" borderId="143" xfId="16" applyFont="1" applyFill="1" applyBorder="1" applyAlignment="1">
      <alignment horizontal="center" vertical="center"/>
    </xf>
    <xf numFmtId="0" fontId="71" fillId="25" borderId="146" xfId="16" applyFont="1" applyFill="1" applyBorder="1" applyAlignment="1">
      <alignment horizontal="center" vertical="center"/>
    </xf>
    <xf numFmtId="0" fontId="71" fillId="25" borderId="139" xfId="16" applyFont="1" applyFill="1" applyBorder="1" applyAlignment="1">
      <alignment horizontal="center" vertical="center"/>
    </xf>
    <xf numFmtId="0" fontId="71" fillId="25" borderId="142" xfId="16" applyFont="1" applyFill="1" applyBorder="1" applyAlignment="1">
      <alignment horizontal="center" vertical="center"/>
    </xf>
    <xf numFmtId="0" fontId="71" fillId="29" borderId="138" xfId="16" applyFont="1" applyFill="1" applyBorder="1" applyAlignment="1">
      <alignment horizontal="center" vertical="center"/>
    </xf>
    <xf numFmtId="0" fontId="71" fillId="29" borderId="141" xfId="16" applyFont="1" applyFill="1" applyBorder="1" applyAlignment="1">
      <alignment horizontal="center" vertical="center"/>
    </xf>
    <xf numFmtId="0" fontId="71" fillId="29" borderId="143" xfId="16" applyFont="1" applyFill="1" applyBorder="1" applyAlignment="1">
      <alignment horizontal="center" vertical="center"/>
    </xf>
    <xf numFmtId="0" fontId="71" fillId="29" borderId="146" xfId="16" applyFont="1" applyFill="1" applyBorder="1" applyAlignment="1">
      <alignment horizontal="center" vertical="center"/>
    </xf>
    <xf numFmtId="0" fontId="71" fillId="29" borderId="139" xfId="16" applyFont="1" applyFill="1" applyBorder="1" applyAlignment="1">
      <alignment horizontal="center" vertical="center"/>
    </xf>
    <xf numFmtId="0" fontId="71" fillId="29" borderId="142" xfId="16" applyFont="1" applyFill="1" applyBorder="1" applyAlignment="1">
      <alignment horizontal="center" vertical="center"/>
    </xf>
  </cellXfs>
  <cellStyles count="78">
    <cellStyle name="Euro" xfId="12" xr:uid="{00000000-0005-0000-0000-000000000000}"/>
    <cellStyle name="Euro 2" xfId="13" xr:uid="{00000000-0005-0000-0000-000001000000}"/>
    <cellStyle name="Normal" xfId="0" builtinId="0"/>
    <cellStyle name="Normal 10" xfId="7" xr:uid="{00000000-0005-0000-0000-000003000000}"/>
    <cellStyle name="Normal 10 2" xfId="71" xr:uid="{00000000-0005-0000-0000-000004000000}"/>
    <cellStyle name="Normal 11" xfId="70" xr:uid="{00000000-0005-0000-0000-000005000000}"/>
    <cellStyle name="Normal 12" xfId="8" xr:uid="{00000000-0005-0000-0000-000006000000}"/>
    <cellStyle name="Normal 13" xfId="74" xr:uid="{00000000-0005-0000-0000-000007000000}"/>
    <cellStyle name="Normal 13 2" xfId="77" xr:uid="{00000000-0005-0000-0000-000008000000}"/>
    <cellStyle name="Normal 2" xfId="1" xr:uid="{00000000-0005-0000-0000-000009000000}"/>
    <cellStyle name="Normal 2 2" xfId="72" xr:uid="{00000000-0005-0000-0000-00000A000000}"/>
    <cellStyle name="Normal 2 3" xfId="75" xr:uid="{00000000-0005-0000-0000-00000B000000}"/>
    <cellStyle name="Normal 3" xfId="11" xr:uid="{00000000-0005-0000-0000-00000C000000}"/>
    <cellStyle name="Normal 3 2" xfId="15" xr:uid="{00000000-0005-0000-0000-00000D000000}"/>
    <cellStyle name="Normal 4" xfId="16" xr:uid="{00000000-0005-0000-0000-00000E000000}"/>
    <cellStyle name="Normal 43" xfId="73" xr:uid="{00000000-0005-0000-0000-00000F000000}"/>
    <cellStyle name="Normal 5" xfId="3" xr:uid="{00000000-0005-0000-0000-000010000000}"/>
    <cellStyle name="Normal 6" xfId="4" xr:uid="{00000000-0005-0000-0000-000011000000}"/>
    <cellStyle name="Normal 7" xfId="5" xr:uid="{00000000-0005-0000-0000-000012000000}"/>
    <cellStyle name="Normal 8" xfId="6" xr:uid="{00000000-0005-0000-0000-000013000000}"/>
    <cellStyle name="Normal 9" xfId="14" xr:uid="{00000000-0005-0000-0000-000014000000}"/>
    <cellStyle name="Normal 9 2" xfId="18" xr:uid="{00000000-0005-0000-0000-000015000000}"/>
    <cellStyle name="Normal 9 3" xfId="19" xr:uid="{00000000-0005-0000-0000-000016000000}"/>
    <cellStyle name="Porcentagem" xfId="9" builtinId="5"/>
    <cellStyle name="Separador de milhares 2" xfId="76" xr:uid="{00000000-0005-0000-0000-000018000000}"/>
    <cellStyle name="Separador de milhares 3" xfId="2" xr:uid="{00000000-0005-0000-0000-000019000000}"/>
    <cellStyle name="Separador de milhares 3 10" xfId="20" xr:uid="{00000000-0005-0000-0000-00001A000000}"/>
    <cellStyle name="Separador de milhares 3 10 2" xfId="21" xr:uid="{00000000-0005-0000-0000-00001B000000}"/>
    <cellStyle name="Separador de milhares 3 10 3" xfId="22" xr:uid="{00000000-0005-0000-0000-00001C000000}"/>
    <cellStyle name="Separador de milhares 3 10 4" xfId="23" xr:uid="{00000000-0005-0000-0000-00001D000000}"/>
    <cellStyle name="Separador de milhares 3 10 5" xfId="24" xr:uid="{00000000-0005-0000-0000-00001E000000}"/>
    <cellStyle name="Separador de milhares 3 11" xfId="25" xr:uid="{00000000-0005-0000-0000-00001F000000}"/>
    <cellStyle name="Separador de milhares 3 12" xfId="26" xr:uid="{00000000-0005-0000-0000-000020000000}"/>
    <cellStyle name="Separador de milhares 3 13" xfId="27" xr:uid="{00000000-0005-0000-0000-000021000000}"/>
    <cellStyle name="Separador de milhares 3 14" xfId="28" xr:uid="{00000000-0005-0000-0000-000022000000}"/>
    <cellStyle name="Separador de milhares 3 15" xfId="29" xr:uid="{00000000-0005-0000-0000-000023000000}"/>
    <cellStyle name="Separador de milhares 3 2" xfId="30" xr:uid="{00000000-0005-0000-0000-000024000000}"/>
    <cellStyle name="Separador de milhares 3 2 2" xfId="31" xr:uid="{00000000-0005-0000-0000-000025000000}"/>
    <cellStyle name="Separador de milhares 3 2 3" xfId="32" xr:uid="{00000000-0005-0000-0000-000026000000}"/>
    <cellStyle name="Separador de milhares 3 2 4" xfId="33" xr:uid="{00000000-0005-0000-0000-000027000000}"/>
    <cellStyle name="Separador de milhares 3 2 5" xfId="34" xr:uid="{00000000-0005-0000-0000-000028000000}"/>
    <cellStyle name="Separador de milhares 3 3" xfId="35" xr:uid="{00000000-0005-0000-0000-000029000000}"/>
    <cellStyle name="Separador de milhares 3 3 2" xfId="36" xr:uid="{00000000-0005-0000-0000-00002A000000}"/>
    <cellStyle name="Separador de milhares 3 3 3" xfId="37" xr:uid="{00000000-0005-0000-0000-00002B000000}"/>
    <cellStyle name="Separador de milhares 3 3 4" xfId="38" xr:uid="{00000000-0005-0000-0000-00002C000000}"/>
    <cellStyle name="Separador de milhares 3 3 5" xfId="39" xr:uid="{00000000-0005-0000-0000-00002D000000}"/>
    <cellStyle name="Separador de milhares 3 4" xfId="40" xr:uid="{00000000-0005-0000-0000-00002E000000}"/>
    <cellStyle name="Separador de milhares 3 4 2" xfId="41" xr:uid="{00000000-0005-0000-0000-00002F000000}"/>
    <cellStyle name="Separador de milhares 3 4 3" xfId="42" xr:uid="{00000000-0005-0000-0000-000030000000}"/>
    <cellStyle name="Separador de milhares 3 4 4" xfId="43" xr:uid="{00000000-0005-0000-0000-000031000000}"/>
    <cellStyle name="Separador de milhares 3 4 5" xfId="44" xr:uid="{00000000-0005-0000-0000-000032000000}"/>
    <cellStyle name="Separador de milhares 3 5" xfId="45" xr:uid="{00000000-0005-0000-0000-000033000000}"/>
    <cellStyle name="Separador de milhares 3 5 2" xfId="46" xr:uid="{00000000-0005-0000-0000-000034000000}"/>
    <cellStyle name="Separador de milhares 3 5 3" xfId="47" xr:uid="{00000000-0005-0000-0000-000035000000}"/>
    <cellStyle name="Separador de milhares 3 5 4" xfId="48" xr:uid="{00000000-0005-0000-0000-000036000000}"/>
    <cellStyle name="Separador de milhares 3 5 5" xfId="49" xr:uid="{00000000-0005-0000-0000-000037000000}"/>
    <cellStyle name="Separador de milhares 3 6" xfId="50" xr:uid="{00000000-0005-0000-0000-000038000000}"/>
    <cellStyle name="Separador de milhares 3 6 2" xfId="51" xr:uid="{00000000-0005-0000-0000-000039000000}"/>
    <cellStyle name="Separador de milhares 3 6 3" xfId="52" xr:uid="{00000000-0005-0000-0000-00003A000000}"/>
    <cellStyle name="Separador de milhares 3 6 4" xfId="53" xr:uid="{00000000-0005-0000-0000-00003B000000}"/>
    <cellStyle name="Separador de milhares 3 6 5" xfId="54" xr:uid="{00000000-0005-0000-0000-00003C000000}"/>
    <cellStyle name="Separador de milhares 3 7" xfId="55" xr:uid="{00000000-0005-0000-0000-00003D000000}"/>
    <cellStyle name="Separador de milhares 3 7 2" xfId="56" xr:uid="{00000000-0005-0000-0000-00003E000000}"/>
    <cellStyle name="Separador de milhares 3 7 3" xfId="57" xr:uid="{00000000-0005-0000-0000-00003F000000}"/>
    <cellStyle name="Separador de milhares 3 7 4" xfId="58" xr:uid="{00000000-0005-0000-0000-000040000000}"/>
    <cellStyle name="Separador de milhares 3 7 5" xfId="59" xr:uid="{00000000-0005-0000-0000-000041000000}"/>
    <cellStyle name="Separador de milhares 3 8" xfId="60" xr:uid="{00000000-0005-0000-0000-000042000000}"/>
    <cellStyle name="Separador de milhares 3 8 2" xfId="61" xr:uid="{00000000-0005-0000-0000-000043000000}"/>
    <cellStyle name="Separador de milhares 3 8 3" xfId="62" xr:uid="{00000000-0005-0000-0000-000044000000}"/>
    <cellStyle name="Separador de milhares 3 8 4" xfId="63" xr:uid="{00000000-0005-0000-0000-000045000000}"/>
    <cellStyle name="Separador de milhares 3 8 5" xfId="64" xr:uid="{00000000-0005-0000-0000-000046000000}"/>
    <cellStyle name="Separador de milhares 3 9" xfId="65" xr:uid="{00000000-0005-0000-0000-000047000000}"/>
    <cellStyle name="Separador de milhares 3 9 2" xfId="66" xr:uid="{00000000-0005-0000-0000-000048000000}"/>
    <cellStyle name="Separador de milhares 3 9 3" xfId="67" xr:uid="{00000000-0005-0000-0000-000049000000}"/>
    <cellStyle name="Separador de milhares 3 9 4" xfId="68" xr:uid="{00000000-0005-0000-0000-00004A000000}"/>
    <cellStyle name="Separador de milhares 3 9 5" xfId="69" xr:uid="{00000000-0005-0000-0000-00004B000000}"/>
    <cellStyle name="Separador de milhares_Plan2 (2)" xfId="10" xr:uid="{00000000-0005-0000-0000-00004C000000}"/>
    <cellStyle name="Vírgula" xfId="17" builtinId="3"/>
  </cellStyles>
  <dxfs count="11">
    <dxf>
      <font>
        <color theme="0"/>
      </font>
    </dxf>
    <dxf>
      <font>
        <b/>
        <i val="0"/>
      </font>
    </dxf>
    <dxf>
      <font>
        <color rgb="FFFF0000"/>
      </font>
    </dxf>
    <dxf>
      <font>
        <color rgb="FFFF0000"/>
      </font>
    </dxf>
    <dxf>
      <font>
        <b/>
        <i val="0"/>
      </font>
    </dxf>
    <dxf>
      <font>
        <color theme="0"/>
      </font>
      <fill>
        <patternFill>
          <bgColor theme="0"/>
        </patternFill>
      </fill>
    </dxf>
    <dxf>
      <font>
        <b/>
        <i val="0"/>
      </font>
    </dxf>
    <dxf>
      <font>
        <color rgb="FFFF0000"/>
      </font>
    </dxf>
    <dxf>
      <font>
        <color rgb="FFFF0000"/>
      </font>
    </dxf>
    <dxf>
      <font>
        <b/>
        <i val="0"/>
      </font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D9D9D9"/>
      <color rgb="FF0000FF"/>
      <color rgb="FFFFFFFF"/>
      <color rgb="FF283272"/>
      <color rgb="FFE6E6E6"/>
      <color rgb="FF80F0BB"/>
      <color rgb="FF00A0F0"/>
      <color rgb="FFB7F9D0"/>
      <color rgb="FFFF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baseline="0">
                <a:solidFill>
                  <a:sysClr val="windowText" lastClr="000000"/>
                </a:solidFill>
              </a:rPr>
              <a:t>Análise Gráfica</a:t>
            </a:r>
          </a:p>
        </c:rich>
      </c:tx>
      <c:layout>
        <c:manualLayout>
          <c:xMode val="edge"/>
          <c:yMode val="edge"/>
          <c:x val="0.42876193072403895"/>
          <c:y val="1.80505415162454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5587885155517"/>
          <c:y val="0.11913378401009179"/>
          <c:w val="0.7910224415351379"/>
          <c:h val="0.67870155739092808"/>
        </c:manualLayout>
      </c:layout>
      <c:scatterChart>
        <c:scatterStyle val="lineMarker"/>
        <c:varyColors val="0"/>
        <c:ser>
          <c:idx val="0"/>
          <c:order val="0"/>
          <c:tx>
            <c:v>Densidade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'FR-IMOB-55_Rev00'!$AL$19:$AQ$19</c:f>
              <c:numCache>
                <c:formatCode>0.0%</c:formatCode>
                <c:ptCount val="6"/>
                <c:pt idx="0">
                  <c:v>2.3450524309729576E-2</c:v>
                </c:pt>
                <c:pt idx="1">
                  <c:v>3.8586060232619943E-2</c:v>
                </c:pt>
                <c:pt idx="2">
                  <c:v>5.3721596155510309E-2</c:v>
                </c:pt>
                <c:pt idx="3">
                  <c:v>6.8857132078400676E-2</c:v>
                </c:pt>
                <c:pt idx="4">
                  <c:v>8.3992668001291043E-2</c:v>
                </c:pt>
                <c:pt idx="5">
                  <c:v>#N/A</c:v>
                </c:pt>
              </c:numCache>
            </c:numRef>
          </c:xVal>
          <c:yVal>
            <c:numRef>
              <c:f>'FR-IMOB-55_Rev00'!$AL$20:$AQ$20</c:f>
              <c:numCache>
                <c:formatCode>0</c:formatCode>
                <c:ptCount val="6"/>
                <c:pt idx="0">
                  <c:v>1898.326664201988</c:v>
                </c:pt>
                <c:pt idx="1">
                  <c:v>2018.6054093588696</c:v>
                </c:pt>
                <c:pt idx="2">
                  <c:v>2245.588255080645</c:v>
                </c:pt>
                <c:pt idx="3">
                  <c:v>2228.1069891827028</c:v>
                </c:pt>
                <c:pt idx="4">
                  <c:v>1980.6167760887652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9-49A4-9D5E-CAE297604FCD}"/>
            </c:ext>
          </c:extLst>
        </c:ser>
        <c:ser>
          <c:idx val="1"/>
          <c:order val="1"/>
          <c:tx>
            <c:v>Tendencia</c:v>
          </c:tx>
          <c:spPr>
            <a:ln w="15875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'FR-IMOB-55_Rev00'!$BE$7:$EZ$7</c:f>
              <c:numCache>
                <c:formatCode>0.0%</c:formatCode>
                <c:ptCount val="100"/>
                <c:pt idx="0">
                  <c:v>2.3450524309729576E-2</c:v>
                </c:pt>
                <c:pt idx="1">
                  <c:v>2.4062061114694843E-2</c:v>
                </c:pt>
                <c:pt idx="2">
                  <c:v>2.467359791966011E-2</c:v>
                </c:pt>
                <c:pt idx="3">
                  <c:v>2.5285134724625378E-2</c:v>
                </c:pt>
                <c:pt idx="4">
                  <c:v>2.5896671529590645E-2</c:v>
                </c:pt>
                <c:pt idx="5">
                  <c:v>2.6508208334555913E-2</c:v>
                </c:pt>
                <c:pt idx="6">
                  <c:v>2.711974513952118E-2</c:v>
                </c:pt>
                <c:pt idx="7">
                  <c:v>2.7731281944486447E-2</c:v>
                </c:pt>
                <c:pt idx="8">
                  <c:v>2.8342818749451715E-2</c:v>
                </c:pt>
                <c:pt idx="9">
                  <c:v>2.8954355554416982E-2</c:v>
                </c:pt>
                <c:pt idx="10">
                  <c:v>2.956589235938225E-2</c:v>
                </c:pt>
                <c:pt idx="11">
                  <c:v>3.0177429164347517E-2</c:v>
                </c:pt>
                <c:pt idx="12">
                  <c:v>3.0788965969312784E-2</c:v>
                </c:pt>
                <c:pt idx="13">
                  <c:v>3.1400502774278055E-2</c:v>
                </c:pt>
                <c:pt idx="14">
                  <c:v>3.2012039579243326E-2</c:v>
                </c:pt>
                <c:pt idx="15">
                  <c:v>3.2623576384208597E-2</c:v>
                </c:pt>
                <c:pt idx="16">
                  <c:v>3.3235113189173868E-2</c:v>
                </c:pt>
                <c:pt idx="17">
                  <c:v>3.3846649994139139E-2</c:v>
                </c:pt>
                <c:pt idx="18">
                  <c:v>3.4458186799104409E-2</c:v>
                </c:pt>
                <c:pt idx="19">
                  <c:v>3.506972360406968E-2</c:v>
                </c:pt>
                <c:pt idx="20">
                  <c:v>3.5681260409034951E-2</c:v>
                </c:pt>
                <c:pt idx="21">
                  <c:v>3.6292797214000222E-2</c:v>
                </c:pt>
                <c:pt idx="22">
                  <c:v>3.6904334018965493E-2</c:v>
                </c:pt>
                <c:pt idx="23">
                  <c:v>3.7515870823930764E-2</c:v>
                </c:pt>
                <c:pt idx="24">
                  <c:v>3.8127407628896035E-2</c:v>
                </c:pt>
                <c:pt idx="25">
                  <c:v>3.8738944433861305E-2</c:v>
                </c:pt>
                <c:pt idx="26">
                  <c:v>3.9350481238826576E-2</c:v>
                </c:pt>
                <c:pt idx="27">
                  <c:v>3.9962018043791847E-2</c:v>
                </c:pt>
                <c:pt idx="28">
                  <c:v>4.0573554848757118E-2</c:v>
                </c:pt>
                <c:pt idx="29">
                  <c:v>4.1185091653722389E-2</c:v>
                </c:pt>
                <c:pt idx="30">
                  <c:v>4.179662845868766E-2</c:v>
                </c:pt>
                <c:pt idx="31">
                  <c:v>4.240816526365293E-2</c:v>
                </c:pt>
                <c:pt idx="32">
                  <c:v>4.3019702068618201E-2</c:v>
                </c:pt>
                <c:pt idx="33">
                  <c:v>4.3631238873583472E-2</c:v>
                </c:pt>
                <c:pt idx="34">
                  <c:v>4.4242775678548743E-2</c:v>
                </c:pt>
                <c:pt idx="35">
                  <c:v>4.4854312483514014E-2</c:v>
                </c:pt>
                <c:pt idx="36">
                  <c:v>4.5465849288479285E-2</c:v>
                </c:pt>
                <c:pt idx="37">
                  <c:v>4.6077386093444556E-2</c:v>
                </c:pt>
                <c:pt idx="38">
                  <c:v>4.6688922898409826E-2</c:v>
                </c:pt>
                <c:pt idx="39">
                  <c:v>4.7300459703375097E-2</c:v>
                </c:pt>
                <c:pt idx="40">
                  <c:v>4.7911996508340368E-2</c:v>
                </c:pt>
                <c:pt idx="41">
                  <c:v>4.8523533313305639E-2</c:v>
                </c:pt>
                <c:pt idx="42">
                  <c:v>4.913507011827091E-2</c:v>
                </c:pt>
                <c:pt idx="43">
                  <c:v>4.9746606923236181E-2</c:v>
                </c:pt>
                <c:pt idx="44">
                  <c:v>5.0358143728201452E-2</c:v>
                </c:pt>
                <c:pt idx="45">
                  <c:v>5.0969680533166722E-2</c:v>
                </c:pt>
                <c:pt idx="46">
                  <c:v>5.1581217338131993E-2</c:v>
                </c:pt>
                <c:pt idx="47">
                  <c:v>5.2192754143097264E-2</c:v>
                </c:pt>
                <c:pt idx="48">
                  <c:v>5.2804290948062535E-2</c:v>
                </c:pt>
                <c:pt idx="49">
                  <c:v>5.3415827753027806E-2</c:v>
                </c:pt>
                <c:pt idx="50">
                  <c:v>5.4027364557993077E-2</c:v>
                </c:pt>
                <c:pt idx="51">
                  <c:v>5.4638901362958348E-2</c:v>
                </c:pt>
                <c:pt idx="52">
                  <c:v>5.5250438167923618E-2</c:v>
                </c:pt>
                <c:pt idx="53">
                  <c:v>5.5861974972888889E-2</c:v>
                </c:pt>
                <c:pt idx="54">
                  <c:v>5.647351177785416E-2</c:v>
                </c:pt>
                <c:pt idx="55">
                  <c:v>5.7085048582819431E-2</c:v>
                </c:pt>
                <c:pt idx="56">
                  <c:v>5.7696585387784702E-2</c:v>
                </c:pt>
                <c:pt idx="57">
                  <c:v>5.8308122192749973E-2</c:v>
                </c:pt>
                <c:pt idx="58">
                  <c:v>5.8919658997715244E-2</c:v>
                </c:pt>
                <c:pt idx="59">
                  <c:v>5.9531195802680514E-2</c:v>
                </c:pt>
                <c:pt idx="60">
                  <c:v>6.0142732607645785E-2</c:v>
                </c:pt>
                <c:pt idx="61">
                  <c:v>6.0754269412611056E-2</c:v>
                </c:pt>
                <c:pt idx="62">
                  <c:v>6.1365806217576327E-2</c:v>
                </c:pt>
                <c:pt idx="63">
                  <c:v>6.1977343022541598E-2</c:v>
                </c:pt>
                <c:pt idx="64">
                  <c:v>6.2588879827506869E-2</c:v>
                </c:pt>
                <c:pt idx="65">
                  <c:v>6.3200416632472139E-2</c:v>
                </c:pt>
                <c:pt idx="66">
                  <c:v>6.381195343743741E-2</c:v>
                </c:pt>
                <c:pt idx="67">
                  <c:v>6.4423490242402681E-2</c:v>
                </c:pt>
                <c:pt idx="68">
                  <c:v>6.5035027047367952E-2</c:v>
                </c:pt>
                <c:pt idx="69">
                  <c:v>6.5646563852333223E-2</c:v>
                </c:pt>
                <c:pt idx="70">
                  <c:v>6.6258100657298494E-2</c:v>
                </c:pt>
                <c:pt idx="71">
                  <c:v>6.6869637462263765E-2</c:v>
                </c:pt>
                <c:pt idx="72">
                  <c:v>6.7481174267229035E-2</c:v>
                </c:pt>
                <c:pt idx="73">
                  <c:v>6.8092711072194306E-2</c:v>
                </c:pt>
                <c:pt idx="74">
                  <c:v>6.8704247877159577E-2</c:v>
                </c:pt>
                <c:pt idx="75">
                  <c:v>6.9315784682124848E-2</c:v>
                </c:pt>
                <c:pt idx="76">
                  <c:v>6.9927321487090119E-2</c:v>
                </c:pt>
                <c:pt idx="77">
                  <c:v>7.053885829205539E-2</c:v>
                </c:pt>
                <c:pt idx="78">
                  <c:v>7.1150395097020661E-2</c:v>
                </c:pt>
                <c:pt idx="79">
                  <c:v>7.1761931901985931E-2</c:v>
                </c:pt>
                <c:pt idx="80">
                  <c:v>7.2373468706951202E-2</c:v>
                </c:pt>
                <c:pt idx="81">
                  <c:v>7.2985005511916473E-2</c:v>
                </c:pt>
                <c:pt idx="82">
                  <c:v>7.3596542316881744E-2</c:v>
                </c:pt>
                <c:pt idx="83">
                  <c:v>7.4208079121847015E-2</c:v>
                </c:pt>
                <c:pt idx="84">
                  <c:v>7.4819615926812286E-2</c:v>
                </c:pt>
                <c:pt idx="85">
                  <c:v>7.5431152731777557E-2</c:v>
                </c:pt>
                <c:pt idx="86">
                  <c:v>7.6042689536742827E-2</c:v>
                </c:pt>
                <c:pt idx="87">
                  <c:v>7.6654226341708098E-2</c:v>
                </c:pt>
                <c:pt idx="88">
                  <c:v>7.7265763146673369E-2</c:v>
                </c:pt>
                <c:pt idx="89">
                  <c:v>7.787729995163864E-2</c:v>
                </c:pt>
                <c:pt idx="90">
                  <c:v>7.8488836756603911E-2</c:v>
                </c:pt>
                <c:pt idx="91">
                  <c:v>7.9100373561569182E-2</c:v>
                </c:pt>
                <c:pt idx="92">
                  <c:v>7.9711910366534452E-2</c:v>
                </c:pt>
                <c:pt idx="93">
                  <c:v>8.0323447171499723E-2</c:v>
                </c:pt>
                <c:pt idx="94">
                  <c:v>8.0934983976464994E-2</c:v>
                </c:pt>
                <c:pt idx="95">
                  <c:v>8.1546520781430265E-2</c:v>
                </c:pt>
                <c:pt idx="96">
                  <c:v>8.2158057586395536E-2</c:v>
                </c:pt>
                <c:pt idx="97">
                  <c:v>8.2769594391360807E-2</c:v>
                </c:pt>
                <c:pt idx="98">
                  <c:v>8.3381131196326078E-2</c:v>
                </c:pt>
                <c:pt idx="99">
                  <c:v>8.3992668001291348E-2</c:v>
                </c:pt>
              </c:numCache>
            </c:numRef>
          </c:xVal>
          <c:yVal>
            <c:numRef>
              <c:f>'FR-IMOB-55_Rev00'!$BE$8:$EZ$8</c:f>
              <c:numCache>
                <c:formatCode>#,##0_);\(#,##0\)</c:formatCode>
                <c:ptCount val="100"/>
                <c:pt idx="0">
                  <c:v>1859.432168331494</c:v>
                </c:pt>
                <c:pt idx="1">
                  <c:v>1872.1424903978188</c:v>
                </c:pt>
                <c:pt idx="2">
                  <c:v>1884.6242638838246</c:v>
                </c:pt>
                <c:pt idx="3">
                  <c:v>1896.8774887895115</c:v>
                </c:pt>
                <c:pt idx="4">
                  <c:v>1908.9021651148794</c:v>
                </c:pt>
                <c:pt idx="5">
                  <c:v>1920.6982928599282</c:v>
                </c:pt>
                <c:pt idx="6">
                  <c:v>1932.2658720246582</c:v>
                </c:pt>
                <c:pt idx="7">
                  <c:v>1943.6049026090693</c:v>
                </c:pt>
                <c:pt idx="8">
                  <c:v>1954.7153846131614</c:v>
                </c:pt>
                <c:pt idx="9">
                  <c:v>1965.5973180369347</c:v>
                </c:pt>
                <c:pt idx="10">
                  <c:v>1976.2507028803886</c:v>
                </c:pt>
                <c:pt idx="11">
                  <c:v>1986.675539143524</c:v>
                </c:pt>
                <c:pt idx="12">
                  <c:v>1996.8718268263406</c:v>
                </c:pt>
                <c:pt idx="13">
                  <c:v>2006.8395659288381</c:v>
                </c:pt>
                <c:pt idx="14">
                  <c:v>2016.5787564510165</c:v>
                </c:pt>
                <c:pt idx="15">
                  <c:v>2026.0893983928759</c:v>
                </c:pt>
                <c:pt idx="16">
                  <c:v>2035.3714917544166</c:v>
                </c:pt>
                <c:pt idx="17">
                  <c:v>2044.4250365356384</c:v>
                </c:pt>
                <c:pt idx="18">
                  <c:v>2053.250032736541</c:v>
                </c:pt>
                <c:pt idx="19">
                  <c:v>2061.8464803571246</c:v>
                </c:pt>
                <c:pt idx="20">
                  <c:v>2070.2143793973896</c:v>
                </c:pt>
                <c:pt idx="21">
                  <c:v>2078.3537298573356</c:v>
                </c:pt>
                <c:pt idx="22">
                  <c:v>2086.2645317369625</c:v>
                </c:pt>
                <c:pt idx="23">
                  <c:v>2093.9467850362707</c:v>
                </c:pt>
                <c:pt idx="24">
                  <c:v>2101.4004897552595</c:v>
                </c:pt>
                <c:pt idx="25">
                  <c:v>2108.6256458939297</c:v>
                </c:pt>
                <c:pt idx="26">
                  <c:v>2115.6222534522808</c:v>
                </c:pt>
                <c:pt idx="27">
                  <c:v>2122.3903124303133</c:v>
                </c:pt>
                <c:pt idx="28">
                  <c:v>2128.9298228280263</c:v>
                </c:pt>
                <c:pt idx="29">
                  <c:v>2135.2407846454207</c:v>
                </c:pt>
                <c:pt idx="30">
                  <c:v>2141.3231978824961</c:v>
                </c:pt>
                <c:pt idx="31">
                  <c:v>2147.1770625392523</c:v>
                </c:pt>
                <c:pt idx="32">
                  <c:v>2152.80237861569</c:v>
                </c:pt>
                <c:pt idx="33">
                  <c:v>2158.1991461118087</c:v>
                </c:pt>
                <c:pt idx="34">
                  <c:v>2163.3673650276078</c:v>
                </c:pt>
                <c:pt idx="35">
                  <c:v>2168.3070353630887</c:v>
                </c:pt>
                <c:pt idx="36">
                  <c:v>2173.0181571182502</c:v>
                </c:pt>
                <c:pt idx="37">
                  <c:v>2177.5007302930935</c:v>
                </c:pt>
                <c:pt idx="38">
                  <c:v>2181.7547548876169</c:v>
                </c:pt>
                <c:pt idx="39">
                  <c:v>2185.7802309018216</c:v>
                </c:pt>
                <c:pt idx="40">
                  <c:v>2189.5771583357082</c:v>
                </c:pt>
                <c:pt idx="41">
                  <c:v>2193.1455371892748</c:v>
                </c:pt>
                <c:pt idx="42">
                  <c:v>2196.4853674625228</c:v>
                </c:pt>
                <c:pt idx="43">
                  <c:v>2199.5966491554518</c:v>
                </c:pt>
                <c:pt idx="44">
                  <c:v>2202.4793822680622</c:v>
                </c:pt>
                <c:pt idx="45">
                  <c:v>2205.1335668003535</c:v>
                </c:pt>
                <c:pt idx="46">
                  <c:v>2207.5592027523253</c:v>
                </c:pt>
                <c:pt idx="47">
                  <c:v>2209.7562901239789</c:v>
                </c:pt>
                <c:pt idx="48">
                  <c:v>2211.7248289153131</c:v>
                </c:pt>
                <c:pt idx="49">
                  <c:v>2213.4648191263286</c:v>
                </c:pt>
                <c:pt idx="50">
                  <c:v>2214.9762607570251</c:v>
                </c:pt>
                <c:pt idx="51">
                  <c:v>2216.259153807403</c:v>
                </c:pt>
                <c:pt idx="52">
                  <c:v>2217.3134982774613</c:v>
                </c:pt>
                <c:pt idx="53">
                  <c:v>2218.1392941672007</c:v>
                </c:pt>
                <c:pt idx="54">
                  <c:v>2218.7365414766214</c:v>
                </c:pt>
                <c:pt idx="55">
                  <c:v>2219.1052402057235</c:v>
                </c:pt>
                <c:pt idx="56">
                  <c:v>2219.2453903545061</c:v>
                </c:pt>
                <c:pt idx="57">
                  <c:v>2219.1569919229701</c:v>
                </c:pt>
                <c:pt idx="58">
                  <c:v>2218.840044911115</c:v>
                </c:pt>
                <c:pt idx="59">
                  <c:v>2218.2945493189409</c:v>
                </c:pt>
                <c:pt idx="60">
                  <c:v>2217.5205051464482</c:v>
                </c:pt>
                <c:pt idx="61">
                  <c:v>2216.5179123936359</c:v>
                </c:pt>
                <c:pt idx="62">
                  <c:v>2215.2867710605051</c:v>
                </c:pt>
                <c:pt idx="63">
                  <c:v>2213.8270811470552</c:v>
                </c:pt>
                <c:pt idx="64">
                  <c:v>2212.1388426532867</c:v>
                </c:pt>
                <c:pt idx="65">
                  <c:v>2210.2220555791982</c:v>
                </c:pt>
                <c:pt idx="66">
                  <c:v>2208.0767199247921</c:v>
                </c:pt>
                <c:pt idx="67">
                  <c:v>2205.7028356900669</c:v>
                </c:pt>
                <c:pt idx="68">
                  <c:v>2203.1004028750222</c:v>
                </c:pt>
                <c:pt idx="69">
                  <c:v>2200.2694214796584</c:v>
                </c:pt>
                <c:pt idx="70">
                  <c:v>2197.209891503976</c:v>
                </c:pt>
                <c:pt idx="71">
                  <c:v>2193.9218129479746</c:v>
                </c:pt>
                <c:pt idx="72">
                  <c:v>2190.4051858116545</c:v>
                </c:pt>
                <c:pt idx="73">
                  <c:v>2186.6600100950154</c:v>
                </c:pt>
                <c:pt idx="74">
                  <c:v>2182.6862857980568</c:v>
                </c:pt>
                <c:pt idx="75">
                  <c:v>2178.4840129207796</c:v>
                </c:pt>
                <c:pt idx="76">
                  <c:v>2174.0531914631838</c:v>
                </c:pt>
                <c:pt idx="77">
                  <c:v>2169.3938214252689</c:v>
                </c:pt>
                <c:pt idx="78">
                  <c:v>2164.5059028070345</c:v>
                </c:pt>
                <c:pt idx="79">
                  <c:v>2159.389435608482</c:v>
                </c:pt>
                <c:pt idx="80">
                  <c:v>2154.04441982961</c:v>
                </c:pt>
                <c:pt idx="81">
                  <c:v>2148.4708554704189</c:v>
                </c:pt>
                <c:pt idx="82">
                  <c:v>2142.6687425309092</c:v>
                </c:pt>
                <c:pt idx="83">
                  <c:v>2136.6380810110804</c:v>
                </c:pt>
                <c:pt idx="84">
                  <c:v>2130.3788709109331</c:v>
                </c:pt>
                <c:pt idx="85">
                  <c:v>2123.8911122304662</c:v>
                </c:pt>
                <c:pt idx="86">
                  <c:v>2117.1748049696807</c:v>
                </c:pt>
                <c:pt idx="87">
                  <c:v>2110.2299491285762</c:v>
                </c:pt>
                <c:pt idx="88">
                  <c:v>2103.0565447071531</c:v>
                </c:pt>
                <c:pt idx="89">
                  <c:v>2095.6545917054104</c:v>
                </c:pt>
                <c:pt idx="90">
                  <c:v>2088.0240901233492</c:v>
                </c:pt>
                <c:pt idx="91">
                  <c:v>2080.1650399609684</c:v>
                </c:pt>
                <c:pt idx="92">
                  <c:v>2072.0774412182691</c:v>
                </c:pt>
                <c:pt idx="93">
                  <c:v>2063.7612938952516</c:v>
                </c:pt>
                <c:pt idx="94">
                  <c:v>2055.2165979919137</c:v>
                </c:pt>
                <c:pt idx="95">
                  <c:v>2046.4433535082583</c:v>
                </c:pt>
                <c:pt idx="96">
                  <c:v>2037.4415604442834</c:v>
                </c:pt>
                <c:pt idx="97">
                  <c:v>2028.2112187999892</c:v>
                </c:pt>
                <c:pt idx="98">
                  <c:v>2018.7523285753764</c:v>
                </c:pt>
                <c:pt idx="99">
                  <c:v>2009.0648897704446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9-49A4-9D5E-CAE297604FCD}"/>
            </c:ext>
          </c:extLst>
        </c:ser>
        <c:ser>
          <c:idx val="2"/>
          <c:order val="2"/>
          <c:tx>
            <c:v>Linha</c:v>
          </c:tx>
          <c:spPr>
            <a:ln w="22225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09-49A4-9D5E-CAE297604FCD}"/>
                </c:ext>
              </c:extLst>
            </c:dLbl>
            <c:dLbl>
              <c:idx val="1"/>
              <c:layout>
                <c:manualLayout>
                  <c:x val="-0.21989021237413744"/>
                  <c:y val="1.6666666666666701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09-49A4-9D5E-CAE297604FCD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noFill/>
              </a:ln>
            </c:spPr>
            <c:txPr>
              <a:bodyPr/>
              <a:lstStyle/>
              <a:p>
                <a:pPr>
                  <a:defRPr sz="1000" b="1" baseline="0">
                    <a:solidFill>
                      <a:schemeClr val="tx1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'FR-IMOB-55_Rev00'!$AZ$21:$AZ$23</c:f>
              <c:numCache>
                <c:formatCode>0.0%</c:formatCode>
                <c:ptCount val="3"/>
                <c:pt idx="0">
                  <c:v>0</c:v>
                </c:pt>
                <c:pt idx="1">
                  <c:v>5.7765822483399835E-2</c:v>
                </c:pt>
                <c:pt idx="2">
                  <c:v>5.7765822483399835E-2</c:v>
                </c:pt>
              </c:numCache>
            </c:numRef>
          </c:xVal>
          <c:yVal>
            <c:numRef>
              <c:f>'FR-IMOB-55_Rev00'!$BA$21:$BA$23</c:f>
              <c:numCache>
                <c:formatCode>#,##0</c:formatCode>
                <c:ptCount val="3"/>
                <c:pt idx="0">
                  <c:v>2219.2468551635602</c:v>
                </c:pt>
                <c:pt idx="1">
                  <c:v>2219.2468551635602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09-49A4-9D5E-CAE297604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87552"/>
        <c:axId val="140889472"/>
      </c:scatterChart>
      <c:valAx>
        <c:axId val="140887552"/>
        <c:scaling>
          <c:orientation val="minMax"/>
          <c:max val="9.0000000000000024E-2"/>
          <c:min val="2.0000000000000004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chemeClr val="tx1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baseline="0">
                    <a:solidFill>
                      <a:schemeClr val="tx1"/>
                    </a:solidFill>
                  </a:rPr>
                  <a:t>Umidade (%)</a:t>
                </a:r>
              </a:p>
            </c:rich>
          </c:tx>
          <c:layout>
            <c:manualLayout>
              <c:xMode val="edge"/>
              <c:yMode val="edge"/>
              <c:x val="0.44340906787452788"/>
              <c:y val="0.89530837526175056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339966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40889472"/>
        <c:crossesAt val="1000"/>
        <c:crossBetween val="midCat"/>
        <c:majorUnit val="1.0000000000000005E-2"/>
        <c:minorUnit val="1.0000000000000041E-3"/>
      </c:valAx>
      <c:valAx>
        <c:axId val="140889472"/>
        <c:scaling>
          <c:orientation val="minMax"/>
          <c:max val="2350"/>
          <c:min val="18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baseline="0">
                    <a:solidFill>
                      <a:sysClr val="windowText" lastClr="000000"/>
                    </a:solidFill>
                  </a:rPr>
                  <a:t>Densidade (g/m³)</a:t>
                </a:r>
              </a:p>
            </c:rich>
          </c:tx>
          <c:layout>
            <c:manualLayout>
              <c:xMode val="edge"/>
              <c:yMode val="edge"/>
              <c:x val="5.3262316910785833E-2"/>
              <c:y val="0.310469693093478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40887552"/>
        <c:crossesAt val="0"/>
        <c:crossBetween val="midCat"/>
        <c:majorUnit val="50"/>
        <c:min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66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4939" footer="0.49212598500004939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800" baseline="0">
                <a:solidFill>
                  <a:sysClr val="windowText" lastClr="000000"/>
                </a:solidFill>
              </a:rPr>
              <a:t>Penetração</a:t>
            </a:r>
          </a:p>
        </c:rich>
      </c:tx>
      <c:layout>
        <c:manualLayout>
          <c:xMode val="edge"/>
          <c:yMode val="edge"/>
          <c:x val="0.39402173913050426"/>
          <c:y val="2.3166023166023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1349024920271"/>
          <c:y val="0.13899640103993638"/>
          <c:w val="0.83435610871219956"/>
          <c:h val="0.66023290493956799"/>
        </c:manualLayout>
      </c:layout>
      <c:scatterChart>
        <c:scatterStyle val="lineMarker"/>
        <c:varyColors val="0"/>
        <c:ser>
          <c:idx val="2"/>
          <c:order val="0"/>
          <c:tx>
            <c:strRef>
              <c:f>'FR-IMOB-55_Rev00'!$A$93:$D$93</c:f>
              <c:strCache>
                <c:ptCount val="1"/>
                <c:pt idx="0">
                  <c:v>Cilindro nº 28</c:v>
                </c:pt>
              </c:strCache>
            </c:strRef>
          </c:tx>
          <c:spPr>
            <a:ln w="22225" cmpd="sng">
              <a:noFill/>
              <a:prstDash val="sys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trendline>
            <c:spPr>
              <a:ln>
                <a:solidFill>
                  <a:srgbClr val="0000FF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'FR-IMOB-55_Rev00'!$A$103:$A$110</c:f>
              <c:numCache>
                <c:formatCode>0.00</c:formatCode>
                <c:ptCount val="8"/>
                <c:pt idx="0">
                  <c:v>0.63</c:v>
                </c:pt>
                <c:pt idx="1">
                  <c:v>1.27</c:v>
                </c:pt>
                <c:pt idx="2">
                  <c:v>1.9</c:v>
                </c:pt>
                <c:pt idx="3">
                  <c:v>2.54</c:v>
                </c:pt>
                <c:pt idx="4">
                  <c:v>3.81</c:v>
                </c:pt>
                <c:pt idx="5">
                  <c:v>5.08</c:v>
                </c:pt>
                <c:pt idx="6">
                  <c:v>6.35</c:v>
                </c:pt>
                <c:pt idx="7">
                  <c:v>7.62</c:v>
                </c:pt>
              </c:numCache>
            </c:numRef>
          </c:xVal>
          <c:yVal>
            <c:numRef>
              <c:f>'FR-IMOB-55_Rev00'!$D$103:$D$110</c:f>
              <c:numCache>
                <c:formatCode>0.0</c:formatCode>
                <c:ptCount val="8"/>
                <c:pt idx="0">
                  <c:v>9.9224806201550386</c:v>
                </c:pt>
                <c:pt idx="1">
                  <c:v>16.795865633074936</c:v>
                </c:pt>
                <c:pt idx="2">
                  <c:v>21.188630490956072</c:v>
                </c:pt>
                <c:pt idx="3">
                  <c:v>28.217054263565888</c:v>
                </c:pt>
                <c:pt idx="4">
                  <c:v>36.692506459948319</c:v>
                </c:pt>
                <c:pt idx="5">
                  <c:v>42.325581395348834</c:v>
                </c:pt>
                <c:pt idx="6">
                  <c:v>47.958656330749349</c:v>
                </c:pt>
                <c:pt idx="7">
                  <c:v>55.762273901808783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D-404B-9649-18ACBC87311C}"/>
            </c:ext>
          </c:extLst>
        </c:ser>
        <c:ser>
          <c:idx val="0"/>
          <c:order val="1"/>
          <c:tx>
            <c:v>"Tendencia Linear"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'FR-IMOB-55_Rev00'!$CB$95:$CJ$95</c:f>
              <c:numCache>
                <c:formatCode>0.00</c:formatCode>
                <c:ptCount val="9"/>
                <c:pt idx="0">
                  <c:v>0</c:v>
                </c:pt>
                <c:pt idx="1">
                  <c:v>0.63</c:v>
                </c:pt>
                <c:pt idx="2">
                  <c:v>1.27</c:v>
                </c:pt>
                <c:pt idx="3">
                  <c:v>1.9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'FR-IMOB-55_Rev00'!$CB$96:$CJ$96</c:f>
              <c:numCache>
                <c:formatCode>0.00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9D-404B-9649-18ACBC87311C}"/>
            </c:ext>
          </c:extLst>
        </c:ser>
        <c:ser>
          <c:idx val="1"/>
          <c:order val="2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(3CBR)'!$CG$85:$CH$85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'FR-IMOB-55_Rev00'!$CG$93:$CH$93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9D-404B-9649-18ACBC87311C}"/>
            </c:ext>
          </c:extLst>
        </c:ser>
        <c:ser>
          <c:idx val="3"/>
          <c:order val="3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(3CBR)'!$CI$85:$CJ$85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'FR-IMOB-55_Rev00'!$CI$93:$CJ$93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9D-404B-9649-18ACBC87311C}"/>
            </c:ext>
          </c:extLst>
        </c:ser>
        <c:ser>
          <c:idx val="4"/>
          <c:order val="4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9D-404B-9649-18ACBC873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9D-404B-9649-18ACBC87311C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'FR-IMOB-55_Rev00'!$CB$98:$CC$98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'FR-IMOB-55_Rev00'!$CB$97:$CC$97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99D-404B-9649-18ACBC87311C}"/>
            </c:ext>
          </c:extLst>
        </c:ser>
        <c:ser>
          <c:idx val="5"/>
          <c:order val="5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(3CBR)'!$CD$89:$CE$89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'FR-IMOB-55_Rev00'!$CD$97:$CE$97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99D-404B-9649-18ACBC87311C}"/>
            </c:ext>
          </c:extLst>
        </c:ser>
        <c:ser>
          <c:idx val="6"/>
          <c:order val="6"/>
          <c:tx>
            <c:v>"Correção"</c:v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(3CBR)'!$CE$89:$CF$89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'FR-IMOB-55_Rev00'!$CE$97:$CF$97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99D-404B-9649-18ACBC87311C}"/>
            </c:ext>
          </c:extLst>
        </c:ser>
        <c:ser>
          <c:idx val="7"/>
          <c:order val="7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9D-404B-9649-18ACBC873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99D-404B-9649-18ACBC87311C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'FR-IMOB-55_Rev00'!$CH$98:$CI$98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'FR-IMOB-55_Rev00'!$CH$97:$CI$97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99D-404B-9649-18ACBC87311C}"/>
            </c:ext>
          </c:extLst>
        </c:ser>
        <c:ser>
          <c:idx val="8"/>
          <c:order val="8"/>
          <c:tx>
            <c:strRef>
              <c:f>'FR-IMOB-55_Rev00'!$CG$100</c:f>
              <c:strCache>
                <c:ptCount val="1"/>
                <c:pt idx="0">
                  <c:v>0,63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99D-404B-9649-18ACBC87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'FR-IMOB-55_Rev00'!$CG$100:$CH$100</c:f>
              <c:numCache>
                <c:formatCode>0.00</c:formatCode>
                <c:ptCount val="2"/>
                <c:pt idx="0">
                  <c:v>0.63</c:v>
                </c:pt>
                <c:pt idx="1">
                  <c:v>0.63</c:v>
                </c:pt>
              </c:numCache>
            </c:numRef>
          </c:xVal>
          <c:yVal>
            <c:numRef>
              <c:f>'FR-IMOB-55_Rev00'!$CI$100:$CJ$100</c:f>
              <c:numCache>
                <c:formatCode>0.0</c:formatCode>
                <c:ptCount val="2"/>
                <c:pt idx="0">
                  <c:v>0</c:v>
                </c:pt>
                <c:pt idx="1">
                  <c:v>55.762273901808783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99D-404B-9649-18ACBC87311C}"/>
            </c:ext>
          </c:extLst>
        </c:ser>
        <c:ser>
          <c:idx val="9"/>
          <c:order val="9"/>
          <c:tx>
            <c:strRef>
              <c:f>'FR-IMOB-55_Rev00'!$CG$101</c:f>
              <c:strCache>
                <c:ptCount val="1"/>
                <c:pt idx="0">
                  <c:v>1,27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99D-404B-9649-18ACBC87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'FR-IMOB-55_Rev00'!$CG$101:$CH$101</c:f>
              <c:numCache>
                <c:formatCode>0.00</c:formatCode>
                <c:ptCount val="2"/>
                <c:pt idx="0">
                  <c:v>1.27</c:v>
                </c:pt>
                <c:pt idx="1">
                  <c:v>1.27</c:v>
                </c:pt>
              </c:numCache>
            </c:numRef>
          </c:xVal>
          <c:yVal>
            <c:numRef>
              <c:f>'FR-IMOB-55_Rev00'!$CI$101:$CJ$101</c:f>
              <c:numCache>
                <c:formatCode>0.0</c:formatCode>
                <c:ptCount val="2"/>
                <c:pt idx="0">
                  <c:v>0</c:v>
                </c:pt>
                <c:pt idx="1">
                  <c:v>55.762273901808783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99D-404B-9649-18ACBC87311C}"/>
            </c:ext>
          </c:extLst>
        </c:ser>
        <c:ser>
          <c:idx val="10"/>
          <c:order val="10"/>
          <c:tx>
            <c:strRef>
              <c:f>'FR-IMOB-55_Rev00'!$CG$102</c:f>
              <c:strCache>
                <c:ptCount val="1"/>
                <c:pt idx="0">
                  <c:v>1,90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99D-404B-9649-18ACBC87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'FR-IMOB-55_Rev00'!$CG$102:$CH$102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xVal>
          <c:yVal>
            <c:numRef>
              <c:f>'FR-IMOB-55_Rev00'!$CI$102:$CJ$102</c:f>
              <c:numCache>
                <c:formatCode>0.0</c:formatCode>
                <c:ptCount val="2"/>
                <c:pt idx="0">
                  <c:v>0</c:v>
                </c:pt>
                <c:pt idx="1">
                  <c:v>55.762273901808783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99D-404B-9649-18ACBC87311C}"/>
            </c:ext>
          </c:extLst>
        </c:ser>
        <c:ser>
          <c:idx val="11"/>
          <c:order val="11"/>
          <c:tx>
            <c:strRef>
              <c:f>'FR-IMOB-55_Rev00'!$CG$103</c:f>
              <c:strCache>
                <c:ptCount val="1"/>
                <c:pt idx="0">
                  <c:v>2,54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99D-404B-9649-18ACBC87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'FR-IMOB-55_Rev00'!$CG$103:$CH$103</c:f>
              <c:numCache>
                <c:formatCode>0.00</c:formatCode>
                <c:ptCount val="2"/>
                <c:pt idx="0">
                  <c:v>2.54</c:v>
                </c:pt>
                <c:pt idx="1">
                  <c:v>2.54</c:v>
                </c:pt>
              </c:numCache>
            </c:numRef>
          </c:xVal>
          <c:yVal>
            <c:numRef>
              <c:f>'FR-IMOB-55_Rev00'!$CI$103:$CJ$103</c:f>
              <c:numCache>
                <c:formatCode>0.0</c:formatCode>
                <c:ptCount val="2"/>
                <c:pt idx="0">
                  <c:v>0</c:v>
                </c:pt>
                <c:pt idx="1">
                  <c:v>55.762273901808783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99D-404B-9649-18ACBC87311C}"/>
            </c:ext>
          </c:extLst>
        </c:ser>
        <c:ser>
          <c:idx val="12"/>
          <c:order val="12"/>
          <c:tx>
            <c:strRef>
              <c:f>'FR-IMOB-55_Rev00'!$CG$104</c:f>
              <c:strCache>
                <c:ptCount val="1"/>
                <c:pt idx="0">
                  <c:v>3,81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99D-404B-9649-18ACBC87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'FR-IMOB-55_Rev00'!$CG$104:$CH$104</c:f>
              <c:numCache>
                <c:formatCode>0.00</c:formatCode>
                <c:ptCount val="2"/>
                <c:pt idx="0">
                  <c:v>3.81</c:v>
                </c:pt>
                <c:pt idx="1">
                  <c:v>3.81</c:v>
                </c:pt>
              </c:numCache>
            </c:numRef>
          </c:xVal>
          <c:yVal>
            <c:numRef>
              <c:f>'FR-IMOB-55_Rev00'!$CI$104:$CJ$104</c:f>
              <c:numCache>
                <c:formatCode>0.0</c:formatCode>
                <c:ptCount val="2"/>
                <c:pt idx="0">
                  <c:v>0</c:v>
                </c:pt>
                <c:pt idx="1">
                  <c:v>55.762273901808783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99D-404B-9649-18ACBC87311C}"/>
            </c:ext>
          </c:extLst>
        </c:ser>
        <c:ser>
          <c:idx val="13"/>
          <c:order val="13"/>
          <c:tx>
            <c:strRef>
              <c:f>'FR-IMOB-55_Rev00'!$CG$105</c:f>
              <c:strCache>
                <c:ptCount val="1"/>
                <c:pt idx="0">
                  <c:v>5,08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99D-404B-9649-18ACBC87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'FR-IMOB-55_Rev00'!$CG$105:$CH$105</c:f>
              <c:numCache>
                <c:formatCode>0.00</c:formatCode>
                <c:ptCount val="2"/>
                <c:pt idx="0">
                  <c:v>5.08</c:v>
                </c:pt>
                <c:pt idx="1">
                  <c:v>5.08</c:v>
                </c:pt>
              </c:numCache>
            </c:numRef>
          </c:xVal>
          <c:yVal>
            <c:numRef>
              <c:f>'FR-IMOB-55_Rev00'!$CI$105:$CJ$105</c:f>
              <c:numCache>
                <c:formatCode>0.0</c:formatCode>
                <c:ptCount val="2"/>
                <c:pt idx="0">
                  <c:v>0</c:v>
                </c:pt>
                <c:pt idx="1">
                  <c:v>55.762273901808783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99D-404B-9649-18ACBC87311C}"/>
            </c:ext>
          </c:extLst>
        </c:ser>
        <c:ser>
          <c:idx val="14"/>
          <c:order val="14"/>
          <c:tx>
            <c:strRef>
              <c:f>'FR-IMOB-55_Rev00'!$CG$106</c:f>
              <c:strCache>
                <c:ptCount val="1"/>
                <c:pt idx="0">
                  <c:v>6,35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99D-404B-9649-18ACBC87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'FR-IMOB-55_Rev00'!$CG$106:$CH$106</c:f>
              <c:numCache>
                <c:formatCode>0.00</c:formatCode>
                <c:ptCount val="2"/>
                <c:pt idx="0">
                  <c:v>6.35</c:v>
                </c:pt>
                <c:pt idx="1">
                  <c:v>6.35</c:v>
                </c:pt>
              </c:numCache>
            </c:numRef>
          </c:xVal>
          <c:yVal>
            <c:numRef>
              <c:f>'FR-IMOB-55_Rev00'!$CI$106:$CJ$106</c:f>
              <c:numCache>
                <c:formatCode>0.0</c:formatCode>
                <c:ptCount val="2"/>
                <c:pt idx="0">
                  <c:v>0</c:v>
                </c:pt>
                <c:pt idx="1">
                  <c:v>55.762273901808783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99D-404B-9649-18ACBC87311C}"/>
            </c:ext>
          </c:extLst>
        </c:ser>
        <c:ser>
          <c:idx val="15"/>
          <c:order val="15"/>
          <c:tx>
            <c:strRef>
              <c:f>'FR-IMOB-55_Rev00'!$CG$107</c:f>
              <c:strCache>
                <c:ptCount val="1"/>
                <c:pt idx="0">
                  <c:v>7,62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99D-404B-9649-18ACBC87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'FR-IMOB-55_Rev00'!$CG$107:$CH$107</c:f>
              <c:numCache>
                <c:formatCode>0.00</c:formatCode>
                <c:ptCount val="2"/>
                <c:pt idx="0">
                  <c:v>7.62</c:v>
                </c:pt>
                <c:pt idx="1">
                  <c:v>7.62</c:v>
                </c:pt>
              </c:numCache>
            </c:numRef>
          </c:xVal>
          <c:yVal>
            <c:numRef>
              <c:f>'FR-IMOB-55_Rev00'!$CI$107:$CJ$107</c:f>
              <c:numCache>
                <c:formatCode>0.0</c:formatCode>
                <c:ptCount val="2"/>
                <c:pt idx="0">
                  <c:v>0</c:v>
                </c:pt>
                <c:pt idx="1">
                  <c:v>55.762273901808783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99D-404B-9649-18ACBC87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96672"/>
        <c:axId val="149998592"/>
      </c:scatterChart>
      <c:valAx>
        <c:axId val="149996672"/>
        <c:scaling>
          <c:orientation val="minMax"/>
          <c:max val="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 baseline="0">
                    <a:solidFill>
                      <a:sysClr val="windowText" lastClr="000000"/>
                    </a:solidFill>
                  </a:rPr>
                  <a:t>Penetração. (mm)</a:t>
                </a:r>
              </a:p>
            </c:rich>
          </c:tx>
          <c:layout>
            <c:manualLayout>
              <c:xMode val="edge"/>
              <c:yMode val="edge"/>
              <c:x val="0.41123188405797101"/>
              <c:y val="0.9018990771315995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one"/>
        <c:crossAx val="149998592"/>
        <c:crosses val="autoZero"/>
        <c:crossBetween val="midCat"/>
        <c:majorUnit val="1"/>
        <c:minorUnit val="0.2"/>
      </c:valAx>
      <c:valAx>
        <c:axId val="149998592"/>
        <c:scaling>
          <c:orientation val="minMax"/>
          <c:min val="0"/>
        </c:scaling>
        <c:delete val="0"/>
        <c:axPos val="l"/>
        <c:majorGridlines>
          <c:spPr>
            <a:ln w="19050">
              <a:solidFill>
                <a:srgbClr val="339933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 baseline="0">
                    <a:solidFill>
                      <a:sysClr val="windowText" lastClr="000000"/>
                    </a:solidFill>
                  </a:rPr>
                  <a:t>Pressão (Kgf/cm²)
</a:t>
                </a:r>
              </a:p>
            </c:rich>
          </c:tx>
          <c:layout>
            <c:manualLayout>
              <c:xMode val="edge"/>
              <c:yMode val="edge"/>
              <c:x val="2.7175232128248718E-3"/>
              <c:y val="0.311248010942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49996672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622" footer="0.492125985000056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r>
              <a:rPr lang="pt-BR" baseline="0">
                <a:solidFill>
                  <a:sysClr val="windowText" lastClr="000000"/>
                </a:solidFill>
              </a:rPr>
              <a:t>Índice de Suporte Califôrnia</a:t>
            </a:r>
          </a:p>
        </c:rich>
      </c:tx>
      <c:layout>
        <c:manualLayout>
          <c:xMode val="edge"/>
          <c:yMode val="edge"/>
          <c:x val="0.11970527780414029"/>
          <c:y val="3.48412816322487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7058243167692"/>
          <c:y val="0.19246861924686193"/>
          <c:w val="0.74368840508216305"/>
          <c:h val="0.5815899581589955"/>
        </c:manualLayout>
      </c:layout>
      <c:scatterChart>
        <c:scatterStyle val="lineMarker"/>
        <c:varyColors val="0"/>
        <c:ser>
          <c:idx val="0"/>
          <c:order val="0"/>
          <c:tx>
            <c:v>ISC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'FR-IMOB-55_Rev00'!$AM$99:$AR$99</c:f>
              <c:numCache>
                <c:formatCode>0.0%</c:formatCode>
                <c:ptCount val="6"/>
                <c:pt idx="0">
                  <c:v>#N/A</c:v>
                </c:pt>
                <c:pt idx="1">
                  <c:v>3.8586060232619943E-2</c:v>
                </c:pt>
                <c:pt idx="2">
                  <c:v>5.3721596155510309E-2</c:v>
                </c:pt>
                <c:pt idx="3">
                  <c:v>6.8857132078400676E-2</c:v>
                </c:pt>
                <c:pt idx="4">
                  <c:v>8.3992668001291043E-2</c:v>
                </c:pt>
                <c:pt idx="5">
                  <c:v>#N/A</c:v>
                </c:pt>
              </c:numCache>
            </c:numRef>
          </c:xVal>
          <c:yVal>
            <c:numRef>
              <c:f>'FR-IMOB-55_Rev00'!$AM$100:$AR$100</c:f>
              <c:numCache>
                <c:formatCode>0.0</c:formatCode>
                <c:ptCount val="6"/>
                <c:pt idx="0">
                  <c:v>#N/A</c:v>
                </c:pt>
                <c:pt idx="1">
                  <c:v>40.134251275695846</c:v>
                </c:pt>
                <c:pt idx="2">
                  <c:v>53.806358853130689</c:v>
                </c:pt>
                <c:pt idx="3">
                  <c:v>44.248486859779703</c:v>
                </c:pt>
                <c:pt idx="4">
                  <c:v>#N/A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F-41ED-A18F-313E29B78AA1}"/>
            </c:ext>
          </c:extLst>
        </c:ser>
        <c:ser>
          <c:idx val="1"/>
          <c:order val="1"/>
          <c:tx>
            <c:v>Tendência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5"/>
            <c:spPr>
              <a:noFill/>
              <a:ln w="9525">
                <a:noFill/>
              </a:ln>
            </c:spPr>
          </c:marker>
          <c:xVal>
            <c:numRef>
              <c:f>'FR-IMOB-55_Rev00'!$BE$7:$EZ$7</c:f>
              <c:numCache>
                <c:formatCode>0.0%</c:formatCode>
                <c:ptCount val="100"/>
                <c:pt idx="0">
                  <c:v>2.3450524309729576E-2</c:v>
                </c:pt>
                <c:pt idx="1">
                  <c:v>2.4062061114694843E-2</c:v>
                </c:pt>
                <c:pt idx="2">
                  <c:v>2.467359791966011E-2</c:v>
                </c:pt>
                <c:pt idx="3">
                  <c:v>2.5285134724625378E-2</c:v>
                </c:pt>
                <c:pt idx="4">
                  <c:v>2.5896671529590645E-2</c:v>
                </c:pt>
                <c:pt idx="5">
                  <c:v>2.6508208334555913E-2</c:v>
                </c:pt>
                <c:pt idx="6">
                  <c:v>2.711974513952118E-2</c:v>
                </c:pt>
                <c:pt idx="7">
                  <c:v>2.7731281944486447E-2</c:v>
                </c:pt>
                <c:pt idx="8">
                  <c:v>2.8342818749451715E-2</c:v>
                </c:pt>
                <c:pt idx="9">
                  <c:v>2.8954355554416982E-2</c:v>
                </c:pt>
                <c:pt idx="10">
                  <c:v>2.956589235938225E-2</c:v>
                </c:pt>
                <c:pt idx="11">
                  <c:v>3.0177429164347517E-2</c:v>
                </c:pt>
                <c:pt idx="12">
                  <c:v>3.0788965969312784E-2</c:v>
                </c:pt>
                <c:pt idx="13">
                  <c:v>3.1400502774278055E-2</c:v>
                </c:pt>
                <c:pt idx="14">
                  <c:v>3.2012039579243326E-2</c:v>
                </c:pt>
                <c:pt idx="15">
                  <c:v>3.2623576384208597E-2</c:v>
                </c:pt>
                <c:pt idx="16">
                  <c:v>3.3235113189173868E-2</c:v>
                </c:pt>
                <c:pt idx="17">
                  <c:v>3.3846649994139139E-2</c:v>
                </c:pt>
                <c:pt idx="18">
                  <c:v>3.4458186799104409E-2</c:v>
                </c:pt>
                <c:pt idx="19">
                  <c:v>3.506972360406968E-2</c:v>
                </c:pt>
                <c:pt idx="20">
                  <c:v>3.5681260409034951E-2</c:v>
                </c:pt>
                <c:pt idx="21">
                  <c:v>3.6292797214000222E-2</c:v>
                </c:pt>
                <c:pt idx="22">
                  <c:v>3.6904334018965493E-2</c:v>
                </c:pt>
                <c:pt idx="23">
                  <c:v>3.7515870823930764E-2</c:v>
                </c:pt>
                <c:pt idx="24">
                  <c:v>3.8127407628896035E-2</c:v>
                </c:pt>
                <c:pt idx="25">
                  <c:v>3.8738944433861305E-2</c:v>
                </c:pt>
                <c:pt idx="26">
                  <c:v>3.9350481238826576E-2</c:v>
                </c:pt>
                <c:pt idx="27">
                  <c:v>3.9962018043791847E-2</c:v>
                </c:pt>
                <c:pt idx="28">
                  <c:v>4.0573554848757118E-2</c:v>
                </c:pt>
                <c:pt idx="29">
                  <c:v>4.1185091653722389E-2</c:v>
                </c:pt>
                <c:pt idx="30">
                  <c:v>4.179662845868766E-2</c:v>
                </c:pt>
                <c:pt idx="31">
                  <c:v>4.240816526365293E-2</c:v>
                </c:pt>
                <c:pt idx="32">
                  <c:v>4.3019702068618201E-2</c:v>
                </c:pt>
                <c:pt idx="33">
                  <c:v>4.3631238873583472E-2</c:v>
                </c:pt>
                <c:pt idx="34">
                  <c:v>4.4242775678548743E-2</c:v>
                </c:pt>
                <c:pt idx="35">
                  <c:v>4.4854312483514014E-2</c:v>
                </c:pt>
                <c:pt idx="36">
                  <c:v>4.5465849288479285E-2</c:v>
                </c:pt>
                <c:pt idx="37">
                  <c:v>4.6077386093444556E-2</c:v>
                </c:pt>
                <c:pt idx="38">
                  <c:v>4.6688922898409826E-2</c:v>
                </c:pt>
                <c:pt idx="39">
                  <c:v>4.7300459703375097E-2</c:v>
                </c:pt>
                <c:pt idx="40">
                  <c:v>4.7911996508340368E-2</c:v>
                </c:pt>
                <c:pt idx="41">
                  <c:v>4.8523533313305639E-2</c:v>
                </c:pt>
                <c:pt idx="42">
                  <c:v>4.913507011827091E-2</c:v>
                </c:pt>
                <c:pt idx="43">
                  <c:v>4.9746606923236181E-2</c:v>
                </c:pt>
                <c:pt idx="44">
                  <c:v>5.0358143728201452E-2</c:v>
                </c:pt>
                <c:pt idx="45">
                  <c:v>5.0969680533166722E-2</c:v>
                </c:pt>
                <c:pt idx="46">
                  <c:v>5.1581217338131993E-2</c:v>
                </c:pt>
                <c:pt idx="47">
                  <c:v>5.2192754143097264E-2</c:v>
                </c:pt>
                <c:pt idx="48">
                  <c:v>5.2804290948062535E-2</c:v>
                </c:pt>
                <c:pt idx="49">
                  <c:v>5.3415827753027806E-2</c:v>
                </c:pt>
                <c:pt idx="50">
                  <c:v>5.4027364557993077E-2</c:v>
                </c:pt>
                <c:pt idx="51">
                  <c:v>5.4638901362958348E-2</c:v>
                </c:pt>
                <c:pt idx="52">
                  <c:v>5.5250438167923618E-2</c:v>
                </c:pt>
                <c:pt idx="53">
                  <c:v>5.5861974972888889E-2</c:v>
                </c:pt>
                <c:pt idx="54">
                  <c:v>5.647351177785416E-2</c:v>
                </c:pt>
                <c:pt idx="55">
                  <c:v>5.7085048582819431E-2</c:v>
                </c:pt>
                <c:pt idx="56">
                  <c:v>5.7696585387784702E-2</c:v>
                </c:pt>
                <c:pt idx="57">
                  <c:v>5.8308122192749973E-2</c:v>
                </c:pt>
                <c:pt idx="58">
                  <c:v>5.8919658997715244E-2</c:v>
                </c:pt>
                <c:pt idx="59">
                  <c:v>5.9531195802680514E-2</c:v>
                </c:pt>
                <c:pt idx="60">
                  <c:v>6.0142732607645785E-2</c:v>
                </c:pt>
                <c:pt idx="61">
                  <c:v>6.0754269412611056E-2</c:v>
                </c:pt>
                <c:pt idx="62">
                  <c:v>6.1365806217576327E-2</c:v>
                </c:pt>
                <c:pt idx="63">
                  <c:v>6.1977343022541598E-2</c:v>
                </c:pt>
                <c:pt idx="64">
                  <c:v>6.2588879827506869E-2</c:v>
                </c:pt>
                <c:pt idx="65">
                  <c:v>6.3200416632472139E-2</c:v>
                </c:pt>
                <c:pt idx="66">
                  <c:v>6.381195343743741E-2</c:v>
                </c:pt>
                <c:pt idx="67">
                  <c:v>6.4423490242402681E-2</c:v>
                </c:pt>
                <c:pt idx="68">
                  <c:v>6.5035027047367952E-2</c:v>
                </c:pt>
                <c:pt idx="69">
                  <c:v>6.5646563852333223E-2</c:v>
                </c:pt>
                <c:pt idx="70">
                  <c:v>6.6258100657298494E-2</c:v>
                </c:pt>
                <c:pt idx="71">
                  <c:v>6.6869637462263765E-2</c:v>
                </c:pt>
                <c:pt idx="72">
                  <c:v>6.7481174267229035E-2</c:v>
                </c:pt>
                <c:pt idx="73">
                  <c:v>6.8092711072194306E-2</c:v>
                </c:pt>
                <c:pt idx="74">
                  <c:v>6.8704247877159577E-2</c:v>
                </c:pt>
                <c:pt idx="75">
                  <c:v>6.9315784682124848E-2</c:v>
                </c:pt>
                <c:pt idx="76">
                  <c:v>6.9927321487090119E-2</c:v>
                </c:pt>
                <c:pt idx="77">
                  <c:v>7.053885829205539E-2</c:v>
                </c:pt>
                <c:pt idx="78">
                  <c:v>7.1150395097020661E-2</c:v>
                </c:pt>
                <c:pt idx="79">
                  <c:v>7.1761931901985931E-2</c:v>
                </c:pt>
                <c:pt idx="80">
                  <c:v>7.2373468706951202E-2</c:v>
                </c:pt>
                <c:pt idx="81">
                  <c:v>7.2985005511916473E-2</c:v>
                </c:pt>
                <c:pt idx="82">
                  <c:v>7.3596542316881744E-2</c:v>
                </c:pt>
                <c:pt idx="83">
                  <c:v>7.4208079121847015E-2</c:v>
                </c:pt>
                <c:pt idx="84">
                  <c:v>7.4819615926812286E-2</c:v>
                </c:pt>
                <c:pt idx="85">
                  <c:v>7.5431152731777557E-2</c:v>
                </c:pt>
                <c:pt idx="86">
                  <c:v>7.6042689536742827E-2</c:v>
                </c:pt>
                <c:pt idx="87">
                  <c:v>7.6654226341708098E-2</c:v>
                </c:pt>
                <c:pt idx="88">
                  <c:v>7.7265763146673369E-2</c:v>
                </c:pt>
                <c:pt idx="89">
                  <c:v>7.787729995163864E-2</c:v>
                </c:pt>
                <c:pt idx="90">
                  <c:v>7.8488836756603911E-2</c:v>
                </c:pt>
                <c:pt idx="91">
                  <c:v>7.9100373561569182E-2</c:v>
                </c:pt>
                <c:pt idx="92">
                  <c:v>7.9711910366534452E-2</c:v>
                </c:pt>
                <c:pt idx="93">
                  <c:v>8.0323447171499723E-2</c:v>
                </c:pt>
                <c:pt idx="94">
                  <c:v>8.0934983976464994E-2</c:v>
                </c:pt>
                <c:pt idx="95">
                  <c:v>8.1546520781430265E-2</c:v>
                </c:pt>
                <c:pt idx="96">
                  <c:v>8.2158057586395536E-2</c:v>
                </c:pt>
                <c:pt idx="97">
                  <c:v>8.2769594391360807E-2</c:v>
                </c:pt>
                <c:pt idx="98">
                  <c:v>8.3381131196326078E-2</c:v>
                </c:pt>
                <c:pt idx="99">
                  <c:v>8.3992668001291348E-2</c:v>
                </c:pt>
              </c:numCache>
            </c:numRef>
          </c:xVal>
          <c:yVal>
            <c:numRef>
              <c:f>'FR-IMOB-55_Rev00'!$BE$10:$EZ$10</c:f>
              <c:numCache>
                <c:formatCode>_(* #,##0.0_);_(* \(#,##0.0\);_(* "-"?_);_(@_)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7F-41ED-A18F-313E29B78AA1}"/>
            </c:ext>
          </c:extLst>
        </c:ser>
        <c:ser>
          <c:idx val="2"/>
          <c:order val="2"/>
          <c:tx>
            <c:v>Linha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'FR-IMOB-55_Rev00'!$BA$99:$BA$101</c:f>
              <c:numCache>
                <c:formatCode>0.0%</c:formatCode>
                <c:ptCount val="3"/>
                <c:pt idx="0">
                  <c:v>0</c:v>
                </c:pt>
                <c:pt idx="1">
                  <c:v>5.7765822483399835E-2</c:v>
                </c:pt>
                <c:pt idx="2">
                  <c:v>5.7765822483399835E-2</c:v>
                </c:pt>
              </c:numCache>
            </c:numRef>
          </c:xVal>
          <c:yVal>
            <c:numRef>
              <c:f>'FR-IMOB-55_Rev00'!$BB$99:$BB$101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 formatCode="#,##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7F-41ED-A18F-313E29B78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07264"/>
        <c:axId val="150109184"/>
      </c:scatterChart>
      <c:valAx>
        <c:axId val="150107264"/>
        <c:scaling>
          <c:orientation val="minMax"/>
          <c:max val="9.0000000000000024E-2"/>
          <c:min val="2.0000000000000004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baseline="0">
                    <a:solidFill>
                      <a:sysClr val="windowText" lastClr="000000"/>
                    </a:solidFill>
                  </a:rPr>
                  <a:t>Umidade (%)</a:t>
                </a:r>
              </a:p>
            </c:rich>
          </c:tx>
          <c:layout>
            <c:manualLayout>
              <c:xMode val="edge"/>
              <c:yMode val="edge"/>
              <c:x val="0.41814945884573379"/>
              <c:y val="0.87866108786610875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50109184"/>
        <c:crosses val="autoZero"/>
        <c:crossBetween val="midCat"/>
        <c:majorUnit val="1.0000000000000005E-2"/>
        <c:minorUnit val="2.0000000000000052E-3"/>
      </c:valAx>
      <c:valAx>
        <c:axId val="15010918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ISC</a:t>
                </a:r>
              </a:p>
            </c:rich>
          </c:tx>
          <c:layout>
            <c:manualLayout>
              <c:xMode val="edge"/>
              <c:yMode val="edge"/>
              <c:x val="1.9836827625465616E-3"/>
              <c:y val="0.4015946119943059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501072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66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4873" footer="0.49212598500004873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800" baseline="0">
                <a:solidFill>
                  <a:sysClr val="windowText" lastClr="000000"/>
                </a:solidFill>
              </a:rPr>
              <a:t>Penetração</a:t>
            </a:r>
          </a:p>
        </c:rich>
      </c:tx>
      <c:layout>
        <c:manualLayout>
          <c:xMode val="edge"/>
          <c:yMode val="edge"/>
          <c:x val="0.39402173913050442"/>
          <c:y val="2.3166023166023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1349024920271"/>
          <c:y val="0.13899640103993646"/>
          <c:w val="0.83435610871219956"/>
          <c:h val="0.66023290493956799"/>
        </c:manualLayout>
      </c:layout>
      <c:scatterChart>
        <c:scatterStyle val="lineMarker"/>
        <c:varyColors val="0"/>
        <c:ser>
          <c:idx val="2"/>
          <c:order val="0"/>
          <c:tx>
            <c:strRef>
              <c:f>'FR-IMOB-55_Rev00'!$A$112:$D$112</c:f>
              <c:strCache>
                <c:ptCount val="1"/>
                <c:pt idx="0">
                  <c:v>Cilindro nº 46</c:v>
                </c:pt>
              </c:strCache>
            </c:strRef>
          </c:tx>
          <c:spPr>
            <a:ln w="22225" cmpd="sng">
              <a:noFill/>
              <a:prstDash val="sys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trendline>
            <c:spPr>
              <a:ln>
                <a:solidFill>
                  <a:srgbClr val="0000FF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'FR-IMOB-55_Rev00'!$A$122:$A$129</c:f>
              <c:numCache>
                <c:formatCode>0.00</c:formatCode>
                <c:ptCount val="8"/>
                <c:pt idx="0">
                  <c:v>0.63</c:v>
                </c:pt>
                <c:pt idx="1">
                  <c:v>1.27</c:v>
                </c:pt>
                <c:pt idx="2">
                  <c:v>1.9</c:v>
                </c:pt>
                <c:pt idx="3">
                  <c:v>2.54</c:v>
                </c:pt>
                <c:pt idx="4">
                  <c:v>3.81</c:v>
                </c:pt>
                <c:pt idx="5">
                  <c:v>5.08</c:v>
                </c:pt>
                <c:pt idx="6">
                  <c:v>6.35</c:v>
                </c:pt>
                <c:pt idx="7">
                  <c:v>7.62</c:v>
                </c:pt>
              </c:numCache>
            </c:numRef>
          </c:xVal>
          <c:yVal>
            <c:numRef>
              <c:f>'FR-IMOB-55_Rev00'!$D$122:$D$129</c:f>
              <c:numCache>
                <c:formatCode>0.0</c:formatCode>
                <c:ptCount val="8"/>
                <c:pt idx="0">
                  <c:v>10.387596899224805</c:v>
                </c:pt>
                <c:pt idx="1">
                  <c:v>21.757105943152453</c:v>
                </c:pt>
                <c:pt idx="2">
                  <c:v>32.144702842377257</c:v>
                </c:pt>
                <c:pt idx="3">
                  <c:v>37.829457364341081</c:v>
                </c:pt>
                <c:pt idx="4">
                  <c:v>47.286821705426355</c:v>
                </c:pt>
                <c:pt idx="5">
                  <c:v>56.744186046511622</c:v>
                </c:pt>
                <c:pt idx="6">
                  <c:v>65.271317829457359</c:v>
                </c:pt>
                <c:pt idx="7">
                  <c:v>71.886304909560721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44-4499-8D19-170B65A0D2F7}"/>
            </c:ext>
          </c:extLst>
        </c:ser>
        <c:ser>
          <c:idx val="0"/>
          <c:order val="1"/>
          <c:tx>
            <c:v>"Tendencia Linear"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'FR-IMOB-55_Rev00'!$CB$114:$CJ$114</c:f>
              <c:numCache>
                <c:formatCode>0.00</c:formatCode>
                <c:ptCount val="9"/>
                <c:pt idx="0">
                  <c:v>0</c:v>
                </c:pt>
                <c:pt idx="1">
                  <c:v>0.63</c:v>
                </c:pt>
                <c:pt idx="2">
                  <c:v>1.27</c:v>
                </c:pt>
                <c:pt idx="3">
                  <c:v>1.9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'FR-IMOB-55_Rev00'!$CB$115:$CJ$115</c:f>
              <c:numCache>
                <c:formatCode>0.00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44-4499-8D19-170B65A0D2F7}"/>
            </c:ext>
          </c:extLst>
        </c:ser>
        <c:ser>
          <c:idx val="1"/>
          <c:order val="2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(3CBR)'!$CG$104:$CH$104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'FR-IMOB-55_Rev00'!$CG$112:$CH$112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44-4499-8D19-170B65A0D2F7}"/>
            </c:ext>
          </c:extLst>
        </c:ser>
        <c:ser>
          <c:idx val="3"/>
          <c:order val="3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(3CBR)'!$CI$104:$CJ$104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'FR-IMOB-55_Rev00'!$CI$112:$CJ$112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44-4499-8D19-170B65A0D2F7}"/>
            </c:ext>
          </c:extLst>
        </c:ser>
        <c:ser>
          <c:idx val="4"/>
          <c:order val="4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5.4644808743169355E-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44-4499-8D19-170B65A0D2F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44-4499-8D19-170B65A0D2F7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'FR-IMOB-55_Rev00'!$CB$117:$CC$117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'FR-IMOB-55_Rev00'!$CB$116:$CC$116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344-4499-8D19-170B65A0D2F7}"/>
            </c:ext>
          </c:extLst>
        </c:ser>
        <c:ser>
          <c:idx val="5"/>
          <c:order val="5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(3CBR)'!$CD$108:$CE$108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'FR-IMOB-55_Rev00'!$CD$116:$CE$116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344-4499-8D19-170B65A0D2F7}"/>
            </c:ext>
          </c:extLst>
        </c:ser>
        <c:ser>
          <c:idx val="6"/>
          <c:order val="6"/>
          <c:tx>
            <c:v>"Correção"</c:v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(3CBR)'!$CE$108:$CF$108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'FR-IMOB-55_Rev00'!$CE$116:$CF$116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344-4499-8D19-170B65A0D2F7}"/>
            </c:ext>
          </c:extLst>
        </c:ser>
        <c:ser>
          <c:idx val="7"/>
          <c:order val="7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5138888888888888E-2"/>
                  <c:y val="2.1857923497267812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44-4499-8D19-170B65A0D2F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44-4499-8D19-170B65A0D2F7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'FR-IMOB-55_Rev00'!$CH$117:$CI$117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'FR-IMOB-55_Rev00'!$CH$116:$CI$116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344-4499-8D19-170B65A0D2F7}"/>
            </c:ext>
          </c:extLst>
        </c:ser>
        <c:ser>
          <c:idx val="8"/>
          <c:order val="8"/>
          <c:tx>
            <c:strRef>
              <c:f>'FR-IMOB-55_Rev00'!$CG$119</c:f>
              <c:strCache>
                <c:ptCount val="1"/>
                <c:pt idx="0">
                  <c:v>0,63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44-4499-8D19-170B65A0D2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'FR-IMOB-55_Rev00'!$CG$119:$CH$119</c:f>
              <c:numCache>
                <c:formatCode>0.00</c:formatCode>
                <c:ptCount val="2"/>
                <c:pt idx="0">
                  <c:v>0.63</c:v>
                </c:pt>
                <c:pt idx="1">
                  <c:v>0.63</c:v>
                </c:pt>
              </c:numCache>
            </c:numRef>
          </c:xVal>
          <c:yVal>
            <c:numRef>
              <c:f>'FR-IMOB-55_Rev00'!$CI$119:$CJ$119</c:f>
              <c:numCache>
                <c:formatCode>0.0</c:formatCode>
                <c:ptCount val="2"/>
                <c:pt idx="0">
                  <c:v>0</c:v>
                </c:pt>
                <c:pt idx="1">
                  <c:v>71.886304909560721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344-4499-8D19-170B65A0D2F7}"/>
            </c:ext>
          </c:extLst>
        </c:ser>
        <c:ser>
          <c:idx val="9"/>
          <c:order val="9"/>
          <c:tx>
            <c:strRef>
              <c:f>'FR-IMOB-55_Rev00'!$CG$120</c:f>
              <c:strCache>
                <c:ptCount val="1"/>
                <c:pt idx="0">
                  <c:v>1,27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44-4499-8D19-170B65A0D2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'FR-IMOB-55_Rev00'!$CG$120:$CH$120</c:f>
              <c:numCache>
                <c:formatCode>0.00</c:formatCode>
                <c:ptCount val="2"/>
                <c:pt idx="0">
                  <c:v>1.27</c:v>
                </c:pt>
                <c:pt idx="1">
                  <c:v>1.27</c:v>
                </c:pt>
              </c:numCache>
            </c:numRef>
          </c:xVal>
          <c:yVal>
            <c:numRef>
              <c:f>'FR-IMOB-55_Rev00'!$CI$120:$CJ$120</c:f>
              <c:numCache>
                <c:formatCode>0.0</c:formatCode>
                <c:ptCount val="2"/>
                <c:pt idx="0">
                  <c:v>0</c:v>
                </c:pt>
                <c:pt idx="1">
                  <c:v>71.886304909560721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344-4499-8D19-170B65A0D2F7}"/>
            </c:ext>
          </c:extLst>
        </c:ser>
        <c:ser>
          <c:idx val="10"/>
          <c:order val="10"/>
          <c:tx>
            <c:strRef>
              <c:f>'FR-IMOB-55_Rev00'!$CG$121</c:f>
              <c:strCache>
                <c:ptCount val="1"/>
                <c:pt idx="0">
                  <c:v>1,90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44-4499-8D19-170B65A0D2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'FR-IMOB-55_Rev00'!$CG$121:$CH$121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xVal>
          <c:yVal>
            <c:numRef>
              <c:f>'FR-IMOB-55_Rev00'!$CI$121:$CJ$121</c:f>
              <c:numCache>
                <c:formatCode>0.0</c:formatCode>
                <c:ptCount val="2"/>
                <c:pt idx="0">
                  <c:v>0</c:v>
                </c:pt>
                <c:pt idx="1">
                  <c:v>71.886304909560721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344-4499-8D19-170B65A0D2F7}"/>
            </c:ext>
          </c:extLst>
        </c:ser>
        <c:ser>
          <c:idx val="11"/>
          <c:order val="11"/>
          <c:tx>
            <c:strRef>
              <c:f>'FR-IMOB-55_Rev00'!$CG$122</c:f>
              <c:strCache>
                <c:ptCount val="1"/>
                <c:pt idx="0">
                  <c:v>2,54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44-4499-8D19-170B65A0D2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'FR-IMOB-55_Rev00'!$CG$122:$CH$122</c:f>
              <c:numCache>
                <c:formatCode>0.00</c:formatCode>
                <c:ptCount val="2"/>
                <c:pt idx="0">
                  <c:v>2.54</c:v>
                </c:pt>
                <c:pt idx="1">
                  <c:v>2.54</c:v>
                </c:pt>
              </c:numCache>
            </c:numRef>
          </c:xVal>
          <c:yVal>
            <c:numRef>
              <c:f>'FR-IMOB-55_Rev00'!$CI$122:$CJ$122</c:f>
              <c:numCache>
                <c:formatCode>0.0</c:formatCode>
                <c:ptCount val="2"/>
                <c:pt idx="0">
                  <c:v>0</c:v>
                </c:pt>
                <c:pt idx="1">
                  <c:v>71.886304909560721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344-4499-8D19-170B65A0D2F7}"/>
            </c:ext>
          </c:extLst>
        </c:ser>
        <c:ser>
          <c:idx val="12"/>
          <c:order val="12"/>
          <c:tx>
            <c:strRef>
              <c:f>'FR-IMOB-55_Rev00'!$CG$123</c:f>
              <c:strCache>
                <c:ptCount val="1"/>
                <c:pt idx="0">
                  <c:v>3,81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44-4499-8D19-170B65A0D2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'FR-IMOB-55_Rev00'!$CG$123:$CH$123</c:f>
              <c:numCache>
                <c:formatCode>0.00</c:formatCode>
                <c:ptCount val="2"/>
                <c:pt idx="0">
                  <c:v>3.81</c:v>
                </c:pt>
                <c:pt idx="1">
                  <c:v>3.81</c:v>
                </c:pt>
              </c:numCache>
            </c:numRef>
          </c:xVal>
          <c:yVal>
            <c:numRef>
              <c:f>'FR-IMOB-55_Rev00'!$CI$123:$CJ$123</c:f>
              <c:numCache>
                <c:formatCode>0.0</c:formatCode>
                <c:ptCount val="2"/>
                <c:pt idx="0">
                  <c:v>0</c:v>
                </c:pt>
                <c:pt idx="1">
                  <c:v>71.886304909560721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344-4499-8D19-170B65A0D2F7}"/>
            </c:ext>
          </c:extLst>
        </c:ser>
        <c:ser>
          <c:idx val="13"/>
          <c:order val="13"/>
          <c:tx>
            <c:strRef>
              <c:f>'FR-IMOB-55_Rev00'!$CG$124</c:f>
              <c:strCache>
                <c:ptCount val="1"/>
                <c:pt idx="0">
                  <c:v>5,08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44-4499-8D19-170B65A0D2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'FR-IMOB-55_Rev00'!$CG$124:$CH$124</c:f>
              <c:numCache>
                <c:formatCode>0.00</c:formatCode>
                <c:ptCount val="2"/>
                <c:pt idx="0">
                  <c:v>5.08</c:v>
                </c:pt>
                <c:pt idx="1">
                  <c:v>5.08</c:v>
                </c:pt>
              </c:numCache>
            </c:numRef>
          </c:xVal>
          <c:yVal>
            <c:numRef>
              <c:f>'FR-IMOB-55_Rev00'!$CI$124:$CJ$124</c:f>
              <c:numCache>
                <c:formatCode>0.0</c:formatCode>
                <c:ptCount val="2"/>
                <c:pt idx="0">
                  <c:v>0</c:v>
                </c:pt>
                <c:pt idx="1">
                  <c:v>71.886304909560721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344-4499-8D19-170B65A0D2F7}"/>
            </c:ext>
          </c:extLst>
        </c:ser>
        <c:ser>
          <c:idx val="14"/>
          <c:order val="14"/>
          <c:tx>
            <c:strRef>
              <c:f>'FR-IMOB-55_Rev00'!$CG$125</c:f>
              <c:strCache>
                <c:ptCount val="1"/>
                <c:pt idx="0">
                  <c:v>6,35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44-4499-8D19-170B65A0D2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'FR-IMOB-55_Rev00'!$CG$125:$CH$125</c:f>
              <c:numCache>
                <c:formatCode>0.00</c:formatCode>
                <c:ptCount val="2"/>
                <c:pt idx="0">
                  <c:v>6.35</c:v>
                </c:pt>
                <c:pt idx="1">
                  <c:v>6.35</c:v>
                </c:pt>
              </c:numCache>
            </c:numRef>
          </c:xVal>
          <c:yVal>
            <c:numRef>
              <c:f>'FR-IMOB-55_Rev00'!$CI$125:$CJ$125</c:f>
              <c:numCache>
                <c:formatCode>0.0</c:formatCode>
                <c:ptCount val="2"/>
                <c:pt idx="0">
                  <c:v>0</c:v>
                </c:pt>
                <c:pt idx="1">
                  <c:v>71.886304909560721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344-4499-8D19-170B65A0D2F7}"/>
            </c:ext>
          </c:extLst>
        </c:ser>
        <c:ser>
          <c:idx val="15"/>
          <c:order val="15"/>
          <c:tx>
            <c:strRef>
              <c:f>'FR-IMOB-55_Rev00'!$CG$126</c:f>
              <c:strCache>
                <c:ptCount val="1"/>
                <c:pt idx="0">
                  <c:v>7,62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44-4499-8D19-170B65A0D2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'FR-IMOB-55_Rev00'!$CG$126:$CH$126</c:f>
              <c:numCache>
                <c:formatCode>0.00</c:formatCode>
                <c:ptCount val="2"/>
                <c:pt idx="0">
                  <c:v>7.62</c:v>
                </c:pt>
                <c:pt idx="1">
                  <c:v>7.62</c:v>
                </c:pt>
              </c:numCache>
            </c:numRef>
          </c:xVal>
          <c:yVal>
            <c:numRef>
              <c:f>'FR-IMOB-55_Rev00'!$CI$126:$CJ$126</c:f>
              <c:numCache>
                <c:formatCode>0.0</c:formatCode>
                <c:ptCount val="2"/>
                <c:pt idx="0">
                  <c:v>0</c:v>
                </c:pt>
                <c:pt idx="1">
                  <c:v>71.886304909560721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344-4499-8D19-170B65A0D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8528"/>
        <c:axId val="150280448"/>
      </c:scatterChart>
      <c:valAx>
        <c:axId val="150278528"/>
        <c:scaling>
          <c:orientation val="minMax"/>
          <c:max val="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 baseline="0">
                    <a:solidFill>
                      <a:sysClr val="windowText" lastClr="000000"/>
                    </a:solidFill>
                  </a:rPr>
                  <a:t>Penetração. (mm)</a:t>
                </a:r>
              </a:p>
            </c:rich>
          </c:tx>
          <c:layout>
            <c:manualLayout>
              <c:xMode val="edge"/>
              <c:yMode val="edge"/>
              <c:x val="0.41123188405797101"/>
              <c:y val="0.9018990771316001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one"/>
        <c:crossAx val="150280448"/>
        <c:crosses val="autoZero"/>
        <c:crossBetween val="midCat"/>
        <c:majorUnit val="1"/>
        <c:minorUnit val="0.2"/>
      </c:valAx>
      <c:valAx>
        <c:axId val="150280448"/>
        <c:scaling>
          <c:orientation val="minMax"/>
          <c:min val="0"/>
        </c:scaling>
        <c:delete val="0"/>
        <c:axPos val="l"/>
        <c:majorGridlines>
          <c:spPr>
            <a:ln w="19050">
              <a:solidFill>
                <a:srgbClr val="339933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 baseline="0">
                    <a:solidFill>
                      <a:sysClr val="windowText" lastClr="000000"/>
                    </a:solidFill>
                  </a:rPr>
                  <a:t>Pressão (Kgf/cm²)
</a:t>
                </a:r>
              </a:p>
            </c:rich>
          </c:tx>
          <c:layout>
            <c:manualLayout>
              <c:xMode val="edge"/>
              <c:yMode val="edge"/>
              <c:x val="2.7175232128248735E-3"/>
              <c:y val="0.311248010942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50278528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644" footer="0.4921259850000564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800" baseline="0">
                <a:solidFill>
                  <a:sysClr val="windowText" lastClr="000000"/>
                </a:solidFill>
              </a:rPr>
              <a:t>Penetração</a:t>
            </a:r>
          </a:p>
        </c:rich>
      </c:tx>
      <c:layout>
        <c:manualLayout>
          <c:xMode val="edge"/>
          <c:yMode val="edge"/>
          <c:x val="0.39402173913050453"/>
          <c:y val="2.3166023166023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1349024920271"/>
          <c:y val="0.13899640103993652"/>
          <c:w val="0.83435610871219956"/>
          <c:h val="0.66023290493956799"/>
        </c:manualLayout>
      </c:layout>
      <c:scatterChart>
        <c:scatterStyle val="lineMarker"/>
        <c:varyColors val="0"/>
        <c:ser>
          <c:idx val="2"/>
          <c:order val="0"/>
          <c:tx>
            <c:strRef>
              <c:f>'FR-IMOB-55_Rev00'!$A$131:$D$131</c:f>
              <c:strCache>
                <c:ptCount val="1"/>
                <c:pt idx="0">
                  <c:v>Cilindro nº 48 Moldagem do ISC Ótimo</c:v>
                </c:pt>
              </c:strCache>
            </c:strRef>
          </c:tx>
          <c:spPr>
            <a:ln w="22225" cmpd="sng">
              <a:noFill/>
              <a:prstDash val="sys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trendline>
            <c:spPr>
              <a:ln>
                <a:solidFill>
                  <a:srgbClr val="0000FF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'FR-IMOB-55_Rev00'!$A$141:$A$148</c:f>
              <c:numCache>
                <c:formatCode>0.00</c:formatCode>
                <c:ptCount val="8"/>
                <c:pt idx="0">
                  <c:v>0.63</c:v>
                </c:pt>
                <c:pt idx="1">
                  <c:v>1.27</c:v>
                </c:pt>
                <c:pt idx="2">
                  <c:v>1.9</c:v>
                </c:pt>
                <c:pt idx="3">
                  <c:v>2.54</c:v>
                </c:pt>
                <c:pt idx="4">
                  <c:v>3.81</c:v>
                </c:pt>
                <c:pt idx="5">
                  <c:v>5.08</c:v>
                </c:pt>
                <c:pt idx="6">
                  <c:v>6.35</c:v>
                </c:pt>
                <c:pt idx="7">
                  <c:v>7.62</c:v>
                </c:pt>
              </c:numCache>
            </c:numRef>
          </c:xVal>
          <c:yVal>
            <c:numRef>
              <c:f>'FR-IMOB-55_Rev00'!$D$141:$D$148</c:f>
              <c:numCache>
                <c:formatCode>0.0</c:formatCode>
                <c:ptCount val="8"/>
                <c:pt idx="0">
                  <c:v>7.7519379844961236</c:v>
                </c:pt>
                <c:pt idx="1">
                  <c:v>15.555555555555554</c:v>
                </c:pt>
                <c:pt idx="2">
                  <c:v>25.633074935400515</c:v>
                </c:pt>
                <c:pt idx="3">
                  <c:v>31.111111111111107</c:v>
                </c:pt>
                <c:pt idx="4">
                  <c:v>41.963824289405679</c:v>
                </c:pt>
                <c:pt idx="5">
                  <c:v>46.614987080103354</c:v>
                </c:pt>
                <c:pt idx="6">
                  <c:v>52.86821705426356</c:v>
                </c:pt>
                <c:pt idx="7">
                  <c:v>60.620155038759684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4C-4A5B-A7EF-6A6D461A8150}"/>
            </c:ext>
          </c:extLst>
        </c:ser>
        <c:ser>
          <c:idx val="0"/>
          <c:order val="1"/>
          <c:tx>
            <c:v>"Tendencia Linear"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'FR-IMOB-55_Rev00'!$CB$133:$CJ$133</c:f>
              <c:numCache>
                <c:formatCode>0.00</c:formatCode>
                <c:ptCount val="9"/>
                <c:pt idx="0">
                  <c:v>0</c:v>
                </c:pt>
                <c:pt idx="1">
                  <c:v>0.63</c:v>
                </c:pt>
                <c:pt idx="2">
                  <c:v>1.27</c:v>
                </c:pt>
                <c:pt idx="3">
                  <c:v>1.9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'FR-IMOB-55_Rev00'!$CB$134:$CJ$134</c:f>
              <c:numCache>
                <c:formatCode>0.00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4C-4A5B-A7EF-6A6D461A8150}"/>
            </c:ext>
          </c:extLst>
        </c:ser>
        <c:ser>
          <c:idx val="1"/>
          <c:order val="2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(3CBR)'!$CG$123:$CH$123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'FR-IMOB-55_Rev00'!$CG$131:$CH$131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4C-4A5B-A7EF-6A6D461A8150}"/>
            </c:ext>
          </c:extLst>
        </c:ser>
        <c:ser>
          <c:idx val="3"/>
          <c:order val="3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(3CBR)'!$CI$123:$CJ$123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'FR-IMOB-55_Rev00'!$CI$131:$CJ$131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4C-4A5B-A7EF-6A6D461A8150}"/>
            </c:ext>
          </c:extLst>
        </c:ser>
        <c:ser>
          <c:idx val="4"/>
          <c:order val="4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5.4644808743169355E-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94C-4A5B-A7EF-6A6D461A815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4C-4A5B-A7EF-6A6D461A8150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'FR-IMOB-55_Rev00'!$CB$136:$CC$136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'FR-IMOB-55_Rev00'!$CB$135:$CC$135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94C-4A5B-A7EF-6A6D461A8150}"/>
            </c:ext>
          </c:extLst>
        </c:ser>
        <c:ser>
          <c:idx val="5"/>
          <c:order val="5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(3CBR)'!$CD$127:$CE$127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'FR-IMOB-55_Rev00'!$CD$135:$CE$135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94C-4A5B-A7EF-6A6D461A8150}"/>
            </c:ext>
          </c:extLst>
        </c:ser>
        <c:ser>
          <c:idx val="6"/>
          <c:order val="6"/>
          <c:tx>
            <c:v>"Correção"</c:v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(3CBR)'!$CE$127:$CF$127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'FR-IMOB-55_Rev00'!$CE$135:$CF$135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94C-4A5B-A7EF-6A6D461A8150}"/>
            </c:ext>
          </c:extLst>
        </c:ser>
        <c:ser>
          <c:idx val="7"/>
          <c:order val="7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5138888888888888E-2"/>
                  <c:y val="2.1857923497267812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94C-4A5B-A7EF-6A6D461A815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94C-4A5B-A7EF-6A6D461A8150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'FR-IMOB-55_Rev00'!$CH$136:$CI$136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'FR-IMOB-55_Rev00'!$CH$135:$CI$135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94C-4A5B-A7EF-6A6D461A8150}"/>
            </c:ext>
          </c:extLst>
        </c:ser>
        <c:ser>
          <c:idx val="8"/>
          <c:order val="8"/>
          <c:tx>
            <c:strRef>
              <c:f>'FR-IMOB-55_Rev00'!$CG$138</c:f>
              <c:strCache>
                <c:ptCount val="1"/>
                <c:pt idx="0">
                  <c:v>0,63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94C-4A5B-A7EF-6A6D461A81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'FR-IMOB-55_Rev00'!$CG$138:$CH$138</c:f>
              <c:numCache>
                <c:formatCode>0.00</c:formatCode>
                <c:ptCount val="2"/>
                <c:pt idx="0">
                  <c:v>0.63</c:v>
                </c:pt>
                <c:pt idx="1">
                  <c:v>0.63</c:v>
                </c:pt>
              </c:numCache>
            </c:numRef>
          </c:xVal>
          <c:yVal>
            <c:numRef>
              <c:f>'FR-IMOB-55_Rev00'!$CI$138:$CJ$138</c:f>
              <c:numCache>
                <c:formatCode>0.0</c:formatCode>
                <c:ptCount val="2"/>
                <c:pt idx="0">
                  <c:v>0</c:v>
                </c:pt>
                <c:pt idx="1">
                  <c:v>60.620155038759684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94C-4A5B-A7EF-6A6D461A8150}"/>
            </c:ext>
          </c:extLst>
        </c:ser>
        <c:ser>
          <c:idx val="9"/>
          <c:order val="9"/>
          <c:tx>
            <c:strRef>
              <c:f>'FR-IMOB-55_Rev00'!$CG$139</c:f>
              <c:strCache>
                <c:ptCount val="1"/>
                <c:pt idx="0">
                  <c:v>1,27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94C-4A5B-A7EF-6A6D461A81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'FR-IMOB-55_Rev00'!$CG$139:$CH$139</c:f>
              <c:numCache>
                <c:formatCode>0.00</c:formatCode>
                <c:ptCount val="2"/>
                <c:pt idx="0">
                  <c:v>1.27</c:v>
                </c:pt>
                <c:pt idx="1">
                  <c:v>1.27</c:v>
                </c:pt>
              </c:numCache>
            </c:numRef>
          </c:xVal>
          <c:yVal>
            <c:numRef>
              <c:f>'FR-IMOB-55_Rev00'!$CI$139:$CJ$139</c:f>
              <c:numCache>
                <c:formatCode>0.0</c:formatCode>
                <c:ptCount val="2"/>
                <c:pt idx="0">
                  <c:v>0</c:v>
                </c:pt>
                <c:pt idx="1">
                  <c:v>60.620155038759684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94C-4A5B-A7EF-6A6D461A8150}"/>
            </c:ext>
          </c:extLst>
        </c:ser>
        <c:ser>
          <c:idx val="10"/>
          <c:order val="10"/>
          <c:tx>
            <c:strRef>
              <c:f>'FR-IMOB-55_Rev00'!$CG$140</c:f>
              <c:strCache>
                <c:ptCount val="1"/>
                <c:pt idx="0">
                  <c:v>1,90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94C-4A5B-A7EF-6A6D461A81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'FR-IMOB-55_Rev00'!$CG$140:$CH$140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xVal>
          <c:yVal>
            <c:numRef>
              <c:f>'FR-IMOB-55_Rev00'!$CI$140:$CJ$140</c:f>
              <c:numCache>
                <c:formatCode>0.0</c:formatCode>
                <c:ptCount val="2"/>
                <c:pt idx="0">
                  <c:v>0</c:v>
                </c:pt>
                <c:pt idx="1">
                  <c:v>60.620155038759684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94C-4A5B-A7EF-6A6D461A8150}"/>
            </c:ext>
          </c:extLst>
        </c:ser>
        <c:ser>
          <c:idx val="11"/>
          <c:order val="11"/>
          <c:tx>
            <c:strRef>
              <c:f>'FR-IMOB-55_Rev00'!$CG$141</c:f>
              <c:strCache>
                <c:ptCount val="1"/>
                <c:pt idx="0">
                  <c:v>2,54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94C-4A5B-A7EF-6A6D461A81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'FR-IMOB-55_Rev00'!$CG$141:$CH$141</c:f>
              <c:numCache>
                <c:formatCode>0.00</c:formatCode>
                <c:ptCount val="2"/>
                <c:pt idx="0">
                  <c:v>2.54</c:v>
                </c:pt>
                <c:pt idx="1">
                  <c:v>2.54</c:v>
                </c:pt>
              </c:numCache>
            </c:numRef>
          </c:xVal>
          <c:yVal>
            <c:numRef>
              <c:f>'FR-IMOB-55_Rev00'!$CI$141:$CJ$141</c:f>
              <c:numCache>
                <c:formatCode>0.0</c:formatCode>
                <c:ptCount val="2"/>
                <c:pt idx="0">
                  <c:v>0</c:v>
                </c:pt>
                <c:pt idx="1">
                  <c:v>60.620155038759684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94C-4A5B-A7EF-6A6D461A8150}"/>
            </c:ext>
          </c:extLst>
        </c:ser>
        <c:ser>
          <c:idx val="12"/>
          <c:order val="12"/>
          <c:tx>
            <c:strRef>
              <c:f>'FR-IMOB-55_Rev00'!$CG$142</c:f>
              <c:strCache>
                <c:ptCount val="1"/>
                <c:pt idx="0">
                  <c:v>3,81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94C-4A5B-A7EF-6A6D461A81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'FR-IMOB-55_Rev00'!$CG$142:$CH$142</c:f>
              <c:numCache>
                <c:formatCode>0.00</c:formatCode>
                <c:ptCount val="2"/>
                <c:pt idx="0">
                  <c:v>3.81</c:v>
                </c:pt>
                <c:pt idx="1">
                  <c:v>3.81</c:v>
                </c:pt>
              </c:numCache>
            </c:numRef>
          </c:xVal>
          <c:yVal>
            <c:numRef>
              <c:f>'FR-IMOB-55_Rev00'!$CI$142:$CJ$142</c:f>
              <c:numCache>
                <c:formatCode>0.0</c:formatCode>
                <c:ptCount val="2"/>
                <c:pt idx="0">
                  <c:v>0</c:v>
                </c:pt>
                <c:pt idx="1">
                  <c:v>60.620155038759684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94C-4A5B-A7EF-6A6D461A8150}"/>
            </c:ext>
          </c:extLst>
        </c:ser>
        <c:ser>
          <c:idx val="13"/>
          <c:order val="13"/>
          <c:tx>
            <c:strRef>
              <c:f>'FR-IMOB-55_Rev00'!$CG$143</c:f>
              <c:strCache>
                <c:ptCount val="1"/>
                <c:pt idx="0">
                  <c:v>5,08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94C-4A5B-A7EF-6A6D461A81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'FR-IMOB-55_Rev00'!$CG$143:$CH$143</c:f>
              <c:numCache>
                <c:formatCode>0.00</c:formatCode>
                <c:ptCount val="2"/>
                <c:pt idx="0">
                  <c:v>5.08</c:v>
                </c:pt>
                <c:pt idx="1">
                  <c:v>5.08</c:v>
                </c:pt>
              </c:numCache>
            </c:numRef>
          </c:xVal>
          <c:yVal>
            <c:numRef>
              <c:f>'FR-IMOB-55_Rev00'!$CI$143:$CJ$143</c:f>
              <c:numCache>
                <c:formatCode>0.0</c:formatCode>
                <c:ptCount val="2"/>
                <c:pt idx="0">
                  <c:v>0</c:v>
                </c:pt>
                <c:pt idx="1">
                  <c:v>60.620155038759684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94C-4A5B-A7EF-6A6D461A8150}"/>
            </c:ext>
          </c:extLst>
        </c:ser>
        <c:ser>
          <c:idx val="14"/>
          <c:order val="14"/>
          <c:tx>
            <c:strRef>
              <c:f>'FR-IMOB-55_Rev00'!$CG$144</c:f>
              <c:strCache>
                <c:ptCount val="1"/>
                <c:pt idx="0">
                  <c:v>6,35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94C-4A5B-A7EF-6A6D461A81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'FR-IMOB-55_Rev00'!$CG$144:$CH$144</c:f>
              <c:numCache>
                <c:formatCode>0.00</c:formatCode>
                <c:ptCount val="2"/>
                <c:pt idx="0">
                  <c:v>6.35</c:v>
                </c:pt>
                <c:pt idx="1">
                  <c:v>6.35</c:v>
                </c:pt>
              </c:numCache>
            </c:numRef>
          </c:xVal>
          <c:yVal>
            <c:numRef>
              <c:f>'FR-IMOB-55_Rev00'!$CI$144:$CJ$144</c:f>
              <c:numCache>
                <c:formatCode>0.0</c:formatCode>
                <c:ptCount val="2"/>
                <c:pt idx="0">
                  <c:v>0</c:v>
                </c:pt>
                <c:pt idx="1">
                  <c:v>60.620155038759684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894C-4A5B-A7EF-6A6D461A8150}"/>
            </c:ext>
          </c:extLst>
        </c:ser>
        <c:ser>
          <c:idx val="15"/>
          <c:order val="15"/>
          <c:tx>
            <c:strRef>
              <c:f>'FR-IMOB-55_Rev00'!$CG$145</c:f>
              <c:strCache>
                <c:ptCount val="1"/>
                <c:pt idx="0">
                  <c:v>7,62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94C-4A5B-A7EF-6A6D461A81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'FR-IMOB-55_Rev00'!$CG$145:$CH$145</c:f>
              <c:numCache>
                <c:formatCode>0.00</c:formatCode>
                <c:ptCount val="2"/>
                <c:pt idx="0">
                  <c:v>7.62</c:v>
                </c:pt>
                <c:pt idx="1">
                  <c:v>7.62</c:v>
                </c:pt>
              </c:numCache>
            </c:numRef>
          </c:xVal>
          <c:yVal>
            <c:numRef>
              <c:f>'FR-IMOB-55_Rev00'!$CI$145:$CJ$145</c:f>
              <c:numCache>
                <c:formatCode>0.0</c:formatCode>
                <c:ptCount val="2"/>
                <c:pt idx="0">
                  <c:v>0</c:v>
                </c:pt>
                <c:pt idx="1">
                  <c:v>60.620155038759684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894C-4A5B-A7EF-6A6D461A8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58368"/>
        <c:axId val="150460288"/>
      </c:scatterChart>
      <c:valAx>
        <c:axId val="150458368"/>
        <c:scaling>
          <c:orientation val="minMax"/>
          <c:max val="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 baseline="0">
                    <a:solidFill>
                      <a:sysClr val="windowText" lastClr="000000"/>
                    </a:solidFill>
                  </a:rPr>
                  <a:t>Penetração. (mm)</a:t>
                </a:r>
              </a:p>
            </c:rich>
          </c:tx>
          <c:layout>
            <c:manualLayout>
              <c:xMode val="edge"/>
              <c:yMode val="edge"/>
              <c:x val="0.41123188405797101"/>
              <c:y val="0.9018990771316003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one"/>
        <c:crossAx val="150460288"/>
        <c:crosses val="autoZero"/>
        <c:crossBetween val="midCat"/>
        <c:majorUnit val="1"/>
        <c:minorUnit val="0.2"/>
      </c:valAx>
      <c:valAx>
        <c:axId val="150460288"/>
        <c:scaling>
          <c:orientation val="minMax"/>
          <c:min val="0"/>
        </c:scaling>
        <c:delete val="0"/>
        <c:axPos val="l"/>
        <c:majorGridlines>
          <c:spPr>
            <a:ln w="19050">
              <a:solidFill>
                <a:srgbClr val="339933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 baseline="0">
                    <a:solidFill>
                      <a:sysClr val="windowText" lastClr="000000"/>
                    </a:solidFill>
                  </a:rPr>
                  <a:t>Pressão (Kgf/cm²)
</a:t>
                </a:r>
              </a:p>
            </c:rich>
          </c:tx>
          <c:layout>
            <c:manualLayout>
              <c:xMode val="edge"/>
              <c:yMode val="edge"/>
              <c:x val="2.7175232128248752E-3"/>
              <c:y val="0.311248010942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50458368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666" footer="0.4921259850000566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r>
              <a:rPr lang="pt-BR" baseline="0">
                <a:solidFill>
                  <a:sysClr val="windowText" lastClr="000000"/>
                </a:solidFill>
              </a:rPr>
              <a:t>Expansão</a:t>
            </a:r>
          </a:p>
        </c:rich>
      </c:tx>
      <c:layout>
        <c:manualLayout>
          <c:xMode val="edge"/>
          <c:yMode val="edge"/>
          <c:x val="0.39142147446051034"/>
          <c:y val="4.16666666666666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766780599107491"/>
          <c:y val="0.17916739570067144"/>
          <c:w val="0.73726638067922157"/>
          <c:h val="0.59583575779523756"/>
        </c:manualLayout>
      </c:layout>
      <c:scatterChart>
        <c:scatterStyle val="lineMarker"/>
        <c:varyColors val="0"/>
        <c:ser>
          <c:idx val="1"/>
          <c:order val="0"/>
          <c:tx>
            <c:v>Tendência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dLbls>
            <c:delete val="1"/>
          </c:dLbls>
          <c:xVal>
            <c:numRef>
              <c:f>'FR-IMOB-55_Rev00'!$BE$7:$EZ$7</c:f>
              <c:numCache>
                <c:formatCode>0.0%</c:formatCode>
                <c:ptCount val="100"/>
                <c:pt idx="0">
                  <c:v>2.3450524309729576E-2</c:v>
                </c:pt>
                <c:pt idx="1">
                  <c:v>2.4062061114694843E-2</c:v>
                </c:pt>
                <c:pt idx="2">
                  <c:v>2.467359791966011E-2</c:v>
                </c:pt>
                <c:pt idx="3">
                  <c:v>2.5285134724625378E-2</c:v>
                </c:pt>
                <c:pt idx="4">
                  <c:v>2.5896671529590645E-2</c:v>
                </c:pt>
                <c:pt idx="5">
                  <c:v>2.6508208334555913E-2</c:v>
                </c:pt>
                <c:pt idx="6">
                  <c:v>2.711974513952118E-2</c:v>
                </c:pt>
                <c:pt idx="7">
                  <c:v>2.7731281944486447E-2</c:v>
                </c:pt>
                <c:pt idx="8">
                  <c:v>2.8342818749451715E-2</c:v>
                </c:pt>
                <c:pt idx="9">
                  <c:v>2.8954355554416982E-2</c:v>
                </c:pt>
                <c:pt idx="10">
                  <c:v>2.956589235938225E-2</c:v>
                </c:pt>
                <c:pt idx="11">
                  <c:v>3.0177429164347517E-2</c:v>
                </c:pt>
                <c:pt idx="12">
                  <c:v>3.0788965969312784E-2</c:v>
                </c:pt>
                <c:pt idx="13">
                  <c:v>3.1400502774278055E-2</c:v>
                </c:pt>
                <c:pt idx="14">
                  <c:v>3.2012039579243326E-2</c:v>
                </c:pt>
                <c:pt idx="15">
                  <c:v>3.2623576384208597E-2</c:v>
                </c:pt>
                <c:pt idx="16">
                  <c:v>3.3235113189173868E-2</c:v>
                </c:pt>
                <c:pt idx="17">
                  <c:v>3.3846649994139139E-2</c:v>
                </c:pt>
                <c:pt idx="18">
                  <c:v>3.4458186799104409E-2</c:v>
                </c:pt>
                <c:pt idx="19">
                  <c:v>3.506972360406968E-2</c:v>
                </c:pt>
                <c:pt idx="20">
                  <c:v>3.5681260409034951E-2</c:v>
                </c:pt>
                <c:pt idx="21">
                  <c:v>3.6292797214000222E-2</c:v>
                </c:pt>
                <c:pt idx="22">
                  <c:v>3.6904334018965493E-2</c:v>
                </c:pt>
                <c:pt idx="23">
                  <c:v>3.7515870823930764E-2</c:v>
                </c:pt>
                <c:pt idx="24">
                  <c:v>3.8127407628896035E-2</c:v>
                </c:pt>
                <c:pt idx="25">
                  <c:v>3.8738944433861305E-2</c:v>
                </c:pt>
                <c:pt idx="26">
                  <c:v>3.9350481238826576E-2</c:v>
                </c:pt>
                <c:pt idx="27">
                  <c:v>3.9962018043791847E-2</c:v>
                </c:pt>
                <c:pt idx="28">
                  <c:v>4.0573554848757118E-2</c:v>
                </c:pt>
                <c:pt idx="29">
                  <c:v>4.1185091653722389E-2</c:v>
                </c:pt>
                <c:pt idx="30">
                  <c:v>4.179662845868766E-2</c:v>
                </c:pt>
                <c:pt idx="31">
                  <c:v>4.240816526365293E-2</c:v>
                </c:pt>
                <c:pt idx="32">
                  <c:v>4.3019702068618201E-2</c:v>
                </c:pt>
                <c:pt idx="33">
                  <c:v>4.3631238873583472E-2</c:v>
                </c:pt>
                <c:pt idx="34">
                  <c:v>4.4242775678548743E-2</c:v>
                </c:pt>
                <c:pt idx="35">
                  <c:v>4.4854312483514014E-2</c:v>
                </c:pt>
                <c:pt idx="36">
                  <c:v>4.5465849288479285E-2</c:v>
                </c:pt>
                <c:pt idx="37">
                  <c:v>4.6077386093444556E-2</c:v>
                </c:pt>
                <c:pt idx="38">
                  <c:v>4.6688922898409826E-2</c:v>
                </c:pt>
                <c:pt idx="39">
                  <c:v>4.7300459703375097E-2</c:v>
                </c:pt>
                <c:pt idx="40">
                  <c:v>4.7911996508340368E-2</c:v>
                </c:pt>
                <c:pt idx="41">
                  <c:v>4.8523533313305639E-2</c:v>
                </c:pt>
                <c:pt idx="42">
                  <c:v>4.913507011827091E-2</c:v>
                </c:pt>
                <c:pt idx="43">
                  <c:v>4.9746606923236181E-2</c:v>
                </c:pt>
                <c:pt idx="44">
                  <c:v>5.0358143728201452E-2</c:v>
                </c:pt>
                <c:pt idx="45">
                  <c:v>5.0969680533166722E-2</c:v>
                </c:pt>
                <c:pt idx="46">
                  <c:v>5.1581217338131993E-2</c:v>
                </c:pt>
                <c:pt idx="47">
                  <c:v>5.2192754143097264E-2</c:v>
                </c:pt>
                <c:pt idx="48">
                  <c:v>5.2804290948062535E-2</c:v>
                </c:pt>
                <c:pt idx="49">
                  <c:v>5.3415827753027806E-2</c:v>
                </c:pt>
                <c:pt idx="50">
                  <c:v>5.4027364557993077E-2</c:v>
                </c:pt>
                <c:pt idx="51">
                  <c:v>5.4638901362958348E-2</c:v>
                </c:pt>
                <c:pt idx="52">
                  <c:v>5.5250438167923618E-2</c:v>
                </c:pt>
                <c:pt idx="53">
                  <c:v>5.5861974972888889E-2</c:v>
                </c:pt>
                <c:pt idx="54">
                  <c:v>5.647351177785416E-2</c:v>
                </c:pt>
                <c:pt idx="55">
                  <c:v>5.7085048582819431E-2</c:v>
                </c:pt>
                <c:pt idx="56">
                  <c:v>5.7696585387784702E-2</c:v>
                </c:pt>
                <c:pt idx="57">
                  <c:v>5.8308122192749973E-2</c:v>
                </c:pt>
                <c:pt idx="58">
                  <c:v>5.8919658997715244E-2</c:v>
                </c:pt>
                <c:pt idx="59">
                  <c:v>5.9531195802680514E-2</c:v>
                </c:pt>
                <c:pt idx="60">
                  <c:v>6.0142732607645785E-2</c:v>
                </c:pt>
                <c:pt idx="61">
                  <c:v>6.0754269412611056E-2</c:v>
                </c:pt>
                <c:pt idx="62">
                  <c:v>6.1365806217576327E-2</c:v>
                </c:pt>
                <c:pt idx="63">
                  <c:v>6.1977343022541598E-2</c:v>
                </c:pt>
                <c:pt idx="64">
                  <c:v>6.2588879827506869E-2</c:v>
                </c:pt>
                <c:pt idx="65">
                  <c:v>6.3200416632472139E-2</c:v>
                </c:pt>
                <c:pt idx="66">
                  <c:v>6.381195343743741E-2</c:v>
                </c:pt>
                <c:pt idx="67">
                  <c:v>6.4423490242402681E-2</c:v>
                </c:pt>
                <c:pt idx="68">
                  <c:v>6.5035027047367952E-2</c:v>
                </c:pt>
                <c:pt idx="69">
                  <c:v>6.5646563852333223E-2</c:v>
                </c:pt>
                <c:pt idx="70">
                  <c:v>6.6258100657298494E-2</c:v>
                </c:pt>
                <c:pt idx="71">
                  <c:v>6.6869637462263765E-2</c:v>
                </c:pt>
                <c:pt idx="72">
                  <c:v>6.7481174267229035E-2</c:v>
                </c:pt>
                <c:pt idx="73">
                  <c:v>6.8092711072194306E-2</c:v>
                </c:pt>
                <c:pt idx="74">
                  <c:v>6.8704247877159577E-2</c:v>
                </c:pt>
                <c:pt idx="75">
                  <c:v>6.9315784682124848E-2</c:v>
                </c:pt>
                <c:pt idx="76">
                  <c:v>6.9927321487090119E-2</c:v>
                </c:pt>
                <c:pt idx="77">
                  <c:v>7.053885829205539E-2</c:v>
                </c:pt>
                <c:pt idx="78">
                  <c:v>7.1150395097020661E-2</c:v>
                </c:pt>
                <c:pt idx="79">
                  <c:v>7.1761931901985931E-2</c:v>
                </c:pt>
                <c:pt idx="80">
                  <c:v>7.2373468706951202E-2</c:v>
                </c:pt>
                <c:pt idx="81">
                  <c:v>7.2985005511916473E-2</c:v>
                </c:pt>
                <c:pt idx="82">
                  <c:v>7.3596542316881744E-2</c:v>
                </c:pt>
                <c:pt idx="83">
                  <c:v>7.4208079121847015E-2</c:v>
                </c:pt>
                <c:pt idx="84">
                  <c:v>7.4819615926812286E-2</c:v>
                </c:pt>
                <c:pt idx="85">
                  <c:v>7.5431152731777557E-2</c:v>
                </c:pt>
                <c:pt idx="86">
                  <c:v>7.6042689536742827E-2</c:v>
                </c:pt>
                <c:pt idx="87">
                  <c:v>7.6654226341708098E-2</c:v>
                </c:pt>
                <c:pt idx="88">
                  <c:v>7.7265763146673369E-2</c:v>
                </c:pt>
                <c:pt idx="89">
                  <c:v>7.787729995163864E-2</c:v>
                </c:pt>
                <c:pt idx="90">
                  <c:v>7.8488836756603911E-2</c:v>
                </c:pt>
                <c:pt idx="91">
                  <c:v>7.9100373561569182E-2</c:v>
                </c:pt>
                <c:pt idx="92">
                  <c:v>7.9711910366534452E-2</c:v>
                </c:pt>
                <c:pt idx="93">
                  <c:v>8.0323447171499723E-2</c:v>
                </c:pt>
                <c:pt idx="94">
                  <c:v>8.0934983976464994E-2</c:v>
                </c:pt>
                <c:pt idx="95">
                  <c:v>8.1546520781430265E-2</c:v>
                </c:pt>
                <c:pt idx="96">
                  <c:v>8.2158057586395536E-2</c:v>
                </c:pt>
                <c:pt idx="97">
                  <c:v>8.2769594391360807E-2</c:v>
                </c:pt>
                <c:pt idx="98">
                  <c:v>8.3381131196326078E-2</c:v>
                </c:pt>
                <c:pt idx="99">
                  <c:v>8.3992668001291348E-2</c:v>
                </c:pt>
              </c:numCache>
            </c:numRef>
          </c:xVal>
          <c:yVal>
            <c:numRef>
              <c:f>'FR-IMOB-55_Rev00'!$BE$11:$EZ$11</c:f>
              <c:numCache>
                <c:formatCode>_(* #,##0.00_);_(* \(#,##0.00\);_(* "-"??_);_(@_)</c:formatCode>
                <c:ptCount val="10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5-4E30-9D07-0A0D26644105}"/>
            </c:ext>
          </c:extLst>
        </c:ser>
        <c:ser>
          <c:idx val="0"/>
          <c:order val="1"/>
          <c:tx>
            <c:v>EXP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elete val="1"/>
          </c:dLbls>
          <c:xVal>
            <c:numRef>
              <c:f>'FR-IMOB-55_Rev00'!$AM$108:$AR$108</c:f>
              <c:numCache>
                <c:formatCode>0.0%</c:formatCode>
                <c:ptCount val="6"/>
                <c:pt idx="0">
                  <c:v>2.3450524309729576E-2</c:v>
                </c:pt>
                <c:pt idx="1">
                  <c:v>3.8586060232619943E-2</c:v>
                </c:pt>
                <c:pt idx="2">
                  <c:v>5.3721596155510309E-2</c:v>
                </c:pt>
                <c:pt idx="3">
                  <c:v>6.8857132078400676E-2</c:v>
                </c:pt>
                <c:pt idx="4">
                  <c:v>8.3992668001291043E-2</c:v>
                </c:pt>
                <c:pt idx="5">
                  <c:v>#N/A</c:v>
                </c:pt>
              </c:numCache>
            </c:numRef>
          </c:xVal>
          <c:yVal>
            <c:numRef>
              <c:f>'FR-IMOB-55_Rev00'!$AM$109:$AR$109</c:f>
              <c:numCache>
                <c:formatCode>0.00</c:formatCode>
                <c:ptCount val="6"/>
                <c:pt idx="0">
                  <c:v>#N/A</c:v>
                </c:pt>
                <c:pt idx="1">
                  <c:v>0.13961605584642228</c:v>
                </c:pt>
                <c:pt idx="2">
                  <c:v>5.2447552447552483E-2</c:v>
                </c:pt>
                <c:pt idx="3">
                  <c:v>4.374453193350835E-2</c:v>
                </c:pt>
                <c:pt idx="4">
                  <c:v>#N/A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75-4E30-9D07-0A0D26644105}"/>
            </c:ext>
          </c:extLst>
        </c:ser>
        <c:ser>
          <c:idx val="2"/>
          <c:order val="2"/>
          <c:tx>
            <c:v>Linha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22225">
                <a:solidFill>
                  <a:srgbClr val="FF00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3-8075-4E30-9D07-0A0D26644105}"/>
              </c:ext>
            </c:extLst>
          </c:dPt>
          <c:dLbls>
            <c:delete val="1"/>
          </c:dLbls>
          <c:xVal>
            <c:numRef>
              <c:f>'FR-IMOB-55_Rev00'!$BA$107:$BA$109</c:f>
              <c:numCache>
                <c:formatCode>0.0%</c:formatCode>
                <c:ptCount val="3"/>
                <c:pt idx="0">
                  <c:v>0</c:v>
                </c:pt>
                <c:pt idx="1">
                  <c:v>5.7765822483399835E-2</c:v>
                </c:pt>
                <c:pt idx="2">
                  <c:v>5.7765822483399835E-2</c:v>
                </c:pt>
              </c:numCache>
            </c:numRef>
          </c:xVal>
          <c:yVal>
            <c:numRef>
              <c:f>'FR-IMOB-55_Rev00'!$BB$107:$BB$109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 formatCode="#,##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75-4E30-9D07-0A0D26644105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140943360"/>
        <c:axId val="140945280"/>
      </c:scatterChart>
      <c:valAx>
        <c:axId val="140943360"/>
        <c:scaling>
          <c:orientation val="minMax"/>
          <c:max val="9.0000000000000024E-2"/>
          <c:min val="2.0000000000000004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chemeClr val="tx1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baseline="0">
                    <a:solidFill>
                      <a:schemeClr val="tx1"/>
                    </a:solidFill>
                  </a:rPr>
                  <a:t>Umidade (%)</a:t>
                </a:r>
              </a:p>
            </c:rich>
          </c:tx>
          <c:layout>
            <c:manualLayout>
              <c:xMode val="edge"/>
              <c:yMode val="edge"/>
              <c:x val="0.4450407774095263"/>
              <c:y val="0.88750349956255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solidFill>
            <a:schemeClr val="bg1"/>
          </a:solidFill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40945280"/>
        <c:crosses val="autoZero"/>
        <c:crossBetween val="midCat"/>
        <c:majorUnit val="1.0000000000000005E-2"/>
        <c:minorUnit val="2.0000000000000052E-3"/>
      </c:valAx>
      <c:valAx>
        <c:axId val="1409452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ysClr val="windowText" lastClr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baseline="0">
                    <a:solidFill>
                      <a:sysClr val="windowText" lastClr="000000"/>
                    </a:solidFill>
                  </a:rPr>
                  <a:t>Expansão</a:t>
                </a:r>
              </a:p>
            </c:rich>
          </c:tx>
          <c:layout>
            <c:manualLayout>
              <c:xMode val="edge"/>
              <c:yMode val="edge"/>
              <c:x val="9.4317427189071767E-3"/>
              <c:y val="0.358334639449717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40943360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66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4823" footer="0.4921259850000482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234910327206727E-2"/>
          <c:y val="6.1224489795918373E-2"/>
          <c:w val="0.87279926843752142"/>
          <c:h val="0.722448979591836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'FR-IMOB-55_Rev00'!$A$205:$B$205</c:f>
              <c:strCache>
                <c:ptCount val="2"/>
                <c:pt idx="0">
                  <c:v>% de água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000099"/>
              </a:solidFill>
              <a:ln>
                <a:noFill/>
              </a:ln>
            </c:spPr>
          </c:marker>
          <c:trendline>
            <c:spPr>
              <a:ln w="15875">
                <a:solidFill>
                  <a:srgbClr val="0000FF"/>
                </a:solidFill>
              </a:ln>
            </c:spPr>
            <c:trendlineType val="exp"/>
            <c:dispRSqr val="0"/>
            <c:dispEq val="0"/>
          </c:trendline>
          <c:xVal>
            <c:strRef>
              <c:f>'Compactação Completo (3CBR)'!$C$190:$G$190</c:f>
            </c:strRef>
          </c:xVal>
          <c:yVal>
            <c:numRef>
              <c:f>'FR-IMOB-55_Rev00'!$C$206:$G$206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A4-40B2-8C01-57C01575B33A}"/>
            </c:ext>
          </c:extLst>
        </c:ser>
        <c:ser>
          <c:idx val="1"/>
          <c:order val="1"/>
          <c:tx>
            <c:v>25 Golpes</c:v>
          </c:tx>
          <c:spPr>
            <a:ln w="22225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'FR-IMOB-55_Rev00'!$BA$198:$BA$199</c:f>
              <c:numCache>
                <c:formatCode>0.00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'FR-IMOB-55_Rev00'!$AZ$198:$AZ$199</c:f>
              <c:numCache>
                <c:formatCode>0.00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A4-40B2-8C01-57C01575B33A}"/>
            </c:ext>
          </c:extLst>
        </c:ser>
        <c:ser>
          <c:idx val="2"/>
          <c:order val="2"/>
          <c:tx>
            <c:v>LL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strRef>
              <c:f>'FR-IMOB-55_Rev00'!$BA$200:$BA$201</c:f>
              <c:strCache>
                <c:ptCount val="2"/>
                <c:pt idx="0">
                  <c:v>NP</c:v>
                </c:pt>
                <c:pt idx="1">
                  <c:v>NP</c:v>
                </c:pt>
              </c:strCache>
            </c:strRef>
          </c:xVal>
          <c:yVal>
            <c:numRef>
              <c:f>'FR-IMOB-55_Rev00'!$AZ$200:$AZ$201</c:f>
              <c:numCache>
                <c:formatCode>0.00</c:formatCode>
                <c:ptCount val="2"/>
                <c:pt idx="0">
                  <c:v>10</c:v>
                </c:pt>
                <c:pt idx="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A4-40B2-8C01-57C01575B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05792"/>
        <c:axId val="149907328"/>
      </c:scatterChart>
      <c:valAx>
        <c:axId val="149905792"/>
        <c:scaling>
          <c:orientation val="minMax"/>
          <c:max val="0.61000000000000021"/>
          <c:min val="0.4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E6E6E6"/>
              </a:solidFill>
              <a:prstDash val="solid"/>
            </a:ln>
          </c:spPr>
        </c:minorGridlines>
        <c:numFmt formatCode="0%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9907328"/>
        <c:crosses val="autoZero"/>
        <c:crossBetween val="midCat"/>
        <c:majorUnit val="2.0000000000000011E-2"/>
        <c:minorUnit val="1.0000000000000041E-3"/>
      </c:valAx>
      <c:valAx>
        <c:axId val="149907328"/>
        <c:scaling>
          <c:logBase val="10"/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499057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322" footer="0.49212598500005322"/>
    <c:pageSetup paperSize="9" orientation="landscape" horizontalDpi="300" verticalDpi="30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454679967684562E-2"/>
          <c:y val="0.10438512259138349"/>
          <c:w val="0.78485102998488865"/>
          <c:h val="0.7126350425709812"/>
        </c:manualLayout>
      </c:layout>
      <c:scatterChart>
        <c:scatterStyle val="lineMarker"/>
        <c:varyColors val="0"/>
        <c:ser>
          <c:idx val="13"/>
          <c:order val="0"/>
          <c:tx>
            <c:strRef>
              <c:f>'FR-IMOB-55_Rev00'!$AN$195</c:f>
              <c:strCache>
                <c:ptCount val="1"/>
                <c:pt idx="0">
                  <c:v>nº - 100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2EFAD09D-C6AA-4975-8FB6-4B1A29F795EC}" type="SERIESNAM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[NOME DA SÉRIE]</a:t>
                    </a:fld>
                    <a:endParaRPr lang="pt-BR"/>
                  </a:p>
                </c:rich>
              </c:tx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59CC-456E-A8A7-02F3E9337EE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'FR-IMOB-55_Rev00'!$AO$195:$AQ$195</c:f>
              <c:numCache>
                <c:formatCode>#,##0.00</c:formatCode>
                <c:ptCount val="3"/>
                <c:pt idx="0">
                  <c:v>0.14899999999999999</c:v>
                </c:pt>
                <c:pt idx="1">
                  <c:v>0.14899999999999999</c:v>
                </c:pt>
                <c:pt idx="2">
                  <c:v>0.14899999999999999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79-4ADB-8B5B-F16E3D83FBFE}"/>
            </c:ext>
          </c:extLst>
        </c:ser>
        <c:ser>
          <c:idx val="18"/>
          <c:order val="1"/>
          <c:tx>
            <c:strRef>
              <c:f>'FR-IMOB-55_Rev00'!$A$184:$F$184</c:f>
              <c:strCache>
                <c:ptCount val="1"/>
                <c:pt idx="0">
                  <c:v>FAIXA : 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'FR-IMOB-55_Rev00'!$AM$183:$AM$189</c:f>
              <c:numCache>
                <c:formatCode>#,##0.00</c:formatCode>
                <c:ptCount val="7"/>
                <c:pt idx="0">
                  <c:v>50.8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'FR-IMOB-55_Rev00'!$D$186:$D$192</c:f>
              <c:numCache>
                <c:formatCode>0.0%</c:formatCode>
                <c:ptCount val="7"/>
                <c:pt idx="0">
                  <c:v>1</c:v>
                </c:pt>
                <c:pt idx="1">
                  <c:v>0.97723984107061479</c:v>
                </c:pt>
                <c:pt idx="2">
                  <c:v>0.81504073165077107</c:v>
                </c:pt>
                <c:pt idx="3">
                  <c:v>0.65427262625212845</c:v>
                </c:pt>
                <c:pt idx="4">
                  <c:v>0.52992717068920026</c:v>
                </c:pt>
                <c:pt idx="5">
                  <c:v>0.41712020886931384</c:v>
                </c:pt>
                <c:pt idx="6">
                  <c:v>0.22913159716640938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79-4ADB-8B5B-F16E3D83FBFE}"/>
            </c:ext>
          </c:extLst>
        </c:ser>
        <c:ser>
          <c:idx val="0"/>
          <c:order val="2"/>
          <c:tx>
            <c:strRef>
              <c:f>'FR-IMOB-55_Rev00'!$B$185</c:f>
              <c:strCache>
                <c:ptCount val="1"/>
                <c:pt idx="0">
                  <c:v>Tolerância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  <a:prstDash val="sysDash"/>
            </a:ln>
          </c:spPr>
          <c:marker>
            <c:symbol val="none"/>
          </c:marker>
          <c:xVal>
            <c:numRef>
              <c:f>'FR-IMOB-55_Rev00'!$AS$184:$AS$190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'FR-IMOB-55_Rev00'!$AT$184:$AT$190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79-4ADB-8B5B-F16E3D83FBFE}"/>
            </c:ext>
          </c:extLst>
        </c:ser>
        <c:ser>
          <c:idx val="1"/>
          <c:order val="3"/>
          <c:tx>
            <c:strRef>
              <c:f>'FR-IMOB-55_Rev00'!$C$185</c:f>
              <c:strCache>
                <c:ptCount val="1"/>
                <c:pt idx="0">
                  <c:v>Minímo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'FR-IMOB-55_Rev00'!$AS$184:$AS$190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'FR-IMOB-55_Rev00'!$AU$184:$AU$190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79-4ADB-8B5B-F16E3D83FBFE}"/>
            </c:ext>
          </c:extLst>
        </c:ser>
        <c:ser>
          <c:idx val="2"/>
          <c:order val="4"/>
          <c:tx>
            <c:strRef>
              <c:f>'FR-IMOB-55_Rev00'!$E$185</c:f>
              <c:strCache>
                <c:ptCount val="1"/>
                <c:pt idx="0">
                  <c:v>Máximo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'FR-IMOB-55_Rev00'!$AS$184:$AS$190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'FR-IMOB-55_Rev00'!$AV$184:$AV$190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79-4ADB-8B5B-F16E3D83FBFE}"/>
            </c:ext>
          </c:extLst>
        </c:ser>
        <c:ser>
          <c:idx val="3"/>
          <c:order val="5"/>
          <c:tx>
            <c:strRef>
              <c:f>'FR-IMOB-55_Rev00'!$F$185</c:f>
              <c:strCache>
                <c:ptCount val="1"/>
                <c:pt idx="0">
                  <c:v>Tolerância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'FR-IMOB-55_Rev00'!$AS$184:$AS$190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'FR-IMOB-55_Rev00'!$AW$184:$AW$190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79-4ADB-8B5B-F16E3D83FBFE}"/>
            </c:ext>
          </c:extLst>
        </c:ser>
        <c:ser>
          <c:idx val="4"/>
          <c:order val="6"/>
          <c:tx>
            <c:strRef>
              <c:f>'FR-IMOB-55_Rev00'!$AN$183</c:f>
              <c:strCache>
                <c:ptCount val="1"/>
                <c:pt idx="0">
                  <c:v>3"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'FR-IMOB-55_Rev00'!$AO$183:$AQ$183</c:f>
              <c:numCache>
                <c:formatCode>#,##0.00</c:formatCode>
                <c:ptCount val="3"/>
                <c:pt idx="0">
                  <c:v>76.2</c:v>
                </c:pt>
                <c:pt idx="1">
                  <c:v>76.2</c:v>
                </c:pt>
                <c:pt idx="2">
                  <c:v>76.2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79-4ADB-8B5B-F16E3D83FBFE}"/>
            </c:ext>
          </c:extLst>
        </c:ser>
        <c:ser>
          <c:idx val="5"/>
          <c:order val="7"/>
          <c:tx>
            <c:strRef>
              <c:f>'FR-IMOB-55_Rev00'!$AN$184</c:f>
              <c:strCache>
                <c:ptCount val="1"/>
                <c:pt idx="0">
                  <c:v>2"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'FR-IMOB-55_Rev00'!$AO$184:$AQ$184</c:f>
              <c:numCache>
                <c:formatCode>#,##0.00</c:formatCode>
                <c:ptCount val="3"/>
                <c:pt idx="0">
                  <c:v>50.8</c:v>
                </c:pt>
                <c:pt idx="1">
                  <c:v>50.8</c:v>
                </c:pt>
                <c:pt idx="2">
                  <c:v>50.8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879-4ADB-8B5B-F16E3D83FBFE}"/>
            </c:ext>
          </c:extLst>
        </c:ser>
        <c:ser>
          <c:idx val="6"/>
          <c:order val="8"/>
          <c:tx>
            <c:strRef>
              <c:f>'FR-IMOB-55_Rev00'!$AN$185</c:f>
              <c:strCache>
                <c:ptCount val="1"/>
                <c:pt idx="0">
                  <c:v>1.1,5"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'FR-IMOB-55_Rev00'!$AO$185:$AQ$185</c:f>
              <c:numCache>
                <c:formatCode>#,##0.00</c:formatCode>
                <c:ptCount val="3"/>
                <c:pt idx="0">
                  <c:v>38.1</c:v>
                </c:pt>
                <c:pt idx="1">
                  <c:v>38.1</c:v>
                </c:pt>
                <c:pt idx="2">
                  <c:v>38.1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879-4ADB-8B5B-F16E3D83FBFE}"/>
            </c:ext>
          </c:extLst>
        </c:ser>
        <c:ser>
          <c:idx val="7"/>
          <c:order val="9"/>
          <c:tx>
            <c:strRef>
              <c:f>'FR-IMOB-55_Rev00'!$AN$186</c:f>
              <c:strCache>
                <c:ptCount val="1"/>
                <c:pt idx="0">
                  <c:v>1"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'FR-IMOB-55_Rev00'!$AO$186:$AQ$186</c:f>
              <c:numCache>
                <c:formatCode>#,##0.00</c:formatCode>
                <c:ptCount val="3"/>
                <c:pt idx="0">
                  <c:v>25.4</c:v>
                </c:pt>
                <c:pt idx="1">
                  <c:v>25.4</c:v>
                </c:pt>
                <c:pt idx="2">
                  <c:v>25.4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879-4ADB-8B5B-F16E3D83FBFE}"/>
            </c:ext>
          </c:extLst>
        </c:ser>
        <c:ser>
          <c:idx val="8"/>
          <c:order val="10"/>
          <c:tx>
            <c:strRef>
              <c:f>'FR-IMOB-55_Rev00'!$AN$187</c:f>
              <c:strCache>
                <c:ptCount val="1"/>
                <c:pt idx="0">
                  <c:v>3/4"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'FR-IMOB-55_Rev00'!$AO$187:$AQ$187</c:f>
              <c:numCache>
                <c:formatCode>#,##0.00</c:formatCode>
                <c:ptCount val="3"/>
                <c:pt idx="0">
                  <c:v>19.100000000000001</c:v>
                </c:pt>
                <c:pt idx="1">
                  <c:v>19.100000000000001</c:v>
                </c:pt>
                <c:pt idx="2">
                  <c:v>19.100000000000001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879-4ADB-8B5B-F16E3D83FBFE}"/>
            </c:ext>
          </c:extLst>
        </c:ser>
        <c:ser>
          <c:idx val="9"/>
          <c:order val="11"/>
          <c:tx>
            <c:strRef>
              <c:f>'FR-IMOB-55_Rev00'!$AN$188</c:f>
              <c:strCache>
                <c:ptCount val="1"/>
                <c:pt idx="0">
                  <c:v>1/2"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'FR-IMOB-55_Rev00'!$AO$188:$AQ$188</c:f>
              <c:numCache>
                <c:formatCode>#,##0.00</c:formatCode>
                <c:ptCount val="3"/>
                <c:pt idx="0">
                  <c:v>12.7</c:v>
                </c:pt>
                <c:pt idx="1">
                  <c:v>12.7</c:v>
                </c:pt>
                <c:pt idx="2">
                  <c:v>12.7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879-4ADB-8B5B-F16E3D83FBFE}"/>
            </c:ext>
          </c:extLst>
        </c:ser>
        <c:ser>
          <c:idx val="10"/>
          <c:order val="12"/>
          <c:tx>
            <c:strRef>
              <c:f>'FR-IMOB-55_Rev00'!$AN$189</c:f>
              <c:strCache>
                <c:ptCount val="1"/>
                <c:pt idx="0">
                  <c:v>3/8"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'FR-IMOB-55_Rev00'!$AO$189:$AQ$189</c:f>
              <c:numCache>
                <c:formatCode>#,##0.00</c:formatCode>
                <c:ptCount val="3"/>
                <c:pt idx="0">
                  <c:v>9.52</c:v>
                </c:pt>
                <c:pt idx="1">
                  <c:v>9.52</c:v>
                </c:pt>
                <c:pt idx="2">
                  <c:v>9.52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879-4ADB-8B5B-F16E3D83FBFE}"/>
            </c:ext>
          </c:extLst>
        </c:ser>
        <c:ser>
          <c:idx val="11"/>
          <c:order val="13"/>
          <c:tx>
            <c:strRef>
              <c:f>'FR-IMOB-55_Rev00'!$AN$190</c:f>
              <c:strCache>
                <c:ptCount val="1"/>
                <c:pt idx="0">
                  <c:v>nº - 4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'FR-IMOB-55_Rev00'!$AO$190:$AQ$190</c:f>
              <c:numCache>
                <c:formatCode>#,##0.00</c:formatCode>
                <c:ptCount val="3"/>
                <c:pt idx="0">
                  <c:v>4.76</c:v>
                </c:pt>
                <c:pt idx="1">
                  <c:v>4.76</c:v>
                </c:pt>
                <c:pt idx="2">
                  <c:v>4.76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879-4ADB-8B5B-F16E3D83FBFE}"/>
            </c:ext>
          </c:extLst>
        </c:ser>
        <c:ser>
          <c:idx val="12"/>
          <c:order val="14"/>
          <c:tx>
            <c:strRef>
              <c:f>'FR-IMOB-55_Rev00'!$AN$191</c:f>
              <c:strCache>
                <c:ptCount val="1"/>
                <c:pt idx="0">
                  <c:v>nº - 10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'FR-IMOB-55_Rev00'!$AO$191:$AQ$191</c:f>
              <c:numCache>
                <c:formatCode>#,##0.00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879-4ADB-8B5B-F16E3D83FBFE}"/>
            </c:ext>
          </c:extLst>
        </c:ser>
        <c:ser>
          <c:idx val="14"/>
          <c:order val="15"/>
          <c:tx>
            <c:strRef>
              <c:f>'FR-IMOB-55_Rev00'!$AN$192</c:f>
              <c:strCache>
                <c:ptCount val="1"/>
                <c:pt idx="0">
                  <c:v>nº - 16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/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'FR-IMOB-55_Rev00'!$AO$192:$AQ$192</c:f>
              <c:numCache>
                <c:formatCode>#,##0.00</c:formatCode>
                <c:ptCount val="3"/>
                <c:pt idx="0">
                  <c:v>1.19</c:v>
                </c:pt>
                <c:pt idx="1">
                  <c:v>1.19</c:v>
                </c:pt>
                <c:pt idx="2">
                  <c:v>1.19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879-4ADB-8B5B-F16E3D83FBFE}"/>
            </c:ext>
          </c:extLst>
        </c:ser>
        <c:ser>
          <c:idx val="15"/>
          <c:order val="16"/>
          <c:tx>
            <c:strRef>
              <c:f>'FR-IMOB-55_Rev00'!$AN$193</c:f>
              <c:strCache>
                <c:ptCount val="1"/>
                <c:pt idx="0">
                  <c:v>nº - 40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'FR-IMOB-55_Rev00'!$AO$193:$AQ$193</c:f>
              <c:numCache>
                <c:formatCode>#,##0.00</c:formatCode>
                <c:ptCount val="3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879-4ADB-8B5B-F16E3D83FBFE}"/>
            </c:ext>
          </c:extLst>
        </c:ser>
        <c:ser>
          <c:idx val="16"/>
          <c:order val="17"/>
          <c:tx>
            <c:strRef>
              <c:f>'FR-IMOB-55_Rev00'!$AN$194</c:f>
              <c:strCache>
                <c:ptCount val="1"/>
                <c:pt idx="0">
                  <c:v>nº - 80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/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'FR-IMOB-55_Rev00'!$AO$194:$AQ$194</c:f>
              <c:numCache>
                <c:formatCode>#,##0.00</c:formatCode>
                <c:ptCount val="3"/>
                <c:pt idx="0">
                  <c:v>0.17699999999999999</c:v>
                </c:pt>
                <c:pt idx="1">
                  <c:v>0.17699999999999999</c:v>
                </c:pt>
                <c:pt idx="2">
                  <c:v>0.17699999999999999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879-4ADB-8B5B-F16E3D83FBFE}"/>
            </c:ext>
          </c:extLst>
        </c:ser>
        <c:ser>
          <c:idx val="17"/>
          <c:order val="18"/>
          <c:tx>
            <c:strRef>
              <c:f>'FR-IMOB-55_Rev00'!$AR$183</c:f>
              <c:strCache>
                <c:ptCount val="1"/>
                <c:pt idx="0">
                  <c:v>nº - 200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 baseline="0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'FR-IMOB-55_Rev00'!$AR$184:$AR$186</c:f>
              <c:numCache>
                <c:formatCode>#,##0.00</c:formatCode>
                <c:ptCount val="3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B879-4ADB-8B5B-F16E3D83FBFE}"/>
            </c:ext>
          </c:extLst>
        </c:ser>
        <c:ser>
          <c:idx val="19"/>
          <c:order val="19"/>
          <c:tx>
            <c:strRef>
              <c:f>'FR-IMOB-55_Rev00'!$AM$191</c:f>
              <c:strCache>
                <c:ptCount val="1"/>
                <c:pt idx="0">
                  <c:v>0,50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'FR-IMOB-55_Rev00'!$AM$193:$AM$195</c:f>
              <c:numCache>
                <c:formatCode>#,##0.00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xVal>
          <c:yVal>
            <c:numRef>
              <c:f>'FR-IMOB-55_Rev00'!$AM$190:$AM$192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879-4ADB-8B5B-F16E3D83F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28096"/>
        <c:axId val="151029632"/>
      </c:scatterChart>
      <c:valAx>
        <c:axId val="151028096"/>
        <c:scaling>
          <c:logBase val="10"/>
          <c:orientation val="minMax"/>
        </c:scaling>
        <c:delete val="1"/>
        <c:axPos val="b"/>
        <c:numFmt formatCode="#,##0.00" sourceLinked="1"/>
        <c:majorTickMark val="out"/>
        <c:minorTickMark val="none"/>
        <c:tickLblPos val="none"/>
        <c:crossAx val="151029632"/>
        <c:crosses val="autoZero"/>
        <c:crossBetween val="midCat"/>
      </c:valAx>
      <c:valAx>
        <c:axId val="151029632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8000"/>
              </a:solidFill>
              <a:prstDash val="solid"/>
            </a:ln>
          </c:spPr>
        </c:majorGridlines>
        <c:numFmt formatCode="0%" sourceLinked="0"/>
        <c:majorTickMark val="out"/>
        <c:minorTickMark val="out"/>
        <c:tickLblPos val="high"/>
        <c:spPr>
          <a:ln w="9525">
            <a:noFill/>
          </a:ln>
        </c:spPr>
        <c:txPr>
          <a:bodyPr rot="0" vert="horz"/>
          <a:lstStyle/>
          <a:p>
            <a:pPr rtl="1">
              <a:defRPr sz="800" b="1" i="0" u="none" strike="noStrike" baseline="0">
                <a:solidFill>
                  <a:sysClr val="windowText" lastClr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51028096"/>
        <c:crosses val="autoZero"/>
        <c:crossBetween val="midCat"/>
      </c:valAx>
      <c:spPr>
        <a:solidFill>
          <a:srgbClr val="D9D9D9"/>
        </a:solidFill>
        <a:ln w="3175">
          <a:solidFill>
            <a:srgbClr val="007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289" footer="0.49212598500005289"/>
    <c:pageSetup paperSize="9"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>
                <a:solidFill>
                  <a:srgbClr val="006600"/>
                </a:solidFill>
              </a:rPr>
              <a:t>Análise Gráfica</a:t>
            </a:r>
          </a:p>
        </c:rich>
      </c:tx>
      <c:layout>
        <c:manualLayout>
          <c:xMode val="edge"/>
          <c:yMode val="edge"/>
          <c:x val="0.42876193072403895"/>
          <c:y val="1.80505415162454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5587885155517"/>
          <c:y val="0.11913378401009179"/>
          <c:w val="0.7910224415351379"/>
          <c:h val="0.67870155739092808"/>
        </c:manualLayout>
      </c:layout>
      <c:scatterChart>
        <c:scatterStyle val="lineMarker"/>
        <c:varyColors val="0"/>
        <c:ser>
          <c:idx val="0"/>
          <c:order val="0"/>
          <c:tx>
            <c:v>Densidade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'Compactação Completo (3CBR)'!$AL$12:$AQ$12</c:f>
              <c:numCache>
                <c:formatCode>0.0%</c:formatCode>
                <c:ptCount val="6"/>
                <c:pt idx="0">
                  <c:v>#N/A</c:v>
                </c:pt>
                <c:pt idx="1">
                  <c:v>3.8586060232619943E-2</c:v>
                </c:pt>
                <c:pt idx="2">
                  <c:v>5.3721596155510309E-2</c:v>
                </c:pt>
                <c:pt idx="3">
                  <c:v>6.8857132078400676E-2</c:v>
                </c:pt>
                <c:pt idx="4">
                  <c:v>#N/A</c:v>
                </c:pt>
                <c:pt idx="5">
                  <c:v>#N/A</c:v>
                </c:pt>
              </c:numCache>
            </c:numRef>
          </c:xVal>
          <c:yVal>
            <c:numRef>
              <c:f>'Compactação Completo (3CBR)'!$AL$13:$AQ$13</c:f>
              <c:numCache>
                <c:formatCode>0</c:formatCode>
                <c:ptCount val="6"/>
                <c:pt idx="0">
                  <c:v>#N/A</c:v>
                </c:pt>
                <c:pt idx="1">
                  <c:v>2018.6054093588696</c:v>
                </c:pt>
                <c:pt idx="2">
                  <c:v>2245.588255080645</c:v>
                </c:pt>
                <c:pt idx="3">
                  <c:v>2228.1069891827028</c:v>
                </c:pt>
                <c:pt idx="4">
                  <c:v>#N/A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54-4FA2-A8AA-AB5DD7ED1476}"/>
            </c:ext>
          </c:extLst>
        </c:ser>
        <c:ser>
          <c:idx val="1"/>
          <c:order val="1"/>
          <c:tx>
            <c:v>Tendencia</c:v>
          </c:tx>
          <c:spPr>
            <a:ln w="15875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'Compactação Completo (3CBR)'!$BE$1:$EZ$1</c:f>
              <c:numCache>
                <c:formatCode>0.0%</c:formatCode>
                <c:ptCount val="100"/>
                <c:pt idx="0">
                  <c:v>3.8586060232619943E-2</c:v>
                </c:pt>
                <c:pt idx="1">
                  <c:v>3.8891828635102578E-2</c:v>
                </c:pt>
                <c:pt idx="2">
                  <c:v>3.9197597037585213E-2</c:v>
                </c:pt>
                <c:pt idx="3">
                  <c:v>3.9503365440067849E-2</c:v>
                </c:pt>
                <c:pt idx="4">
                  <c:v>3.9809133842550484E-2</c:v>
                </c:pt>
                <c:pt idx="5">
                  <c:v>4.011490224503312E-2</c:v>
                </c:pt>
                <c:pt idx="6">
                  <c:v>4.0420670647515755E-2</c:v>
                </c:pt>
                <c:pt idx="7">
                  <c:v>4.0726439049998391E-2</c:v>
                </c:pt>
                <c:pt idx="8">
                  <c:v>4.1032207452481026E-2</c:v>
                </c:pt>
                <c:pt idx="9">
                  <c:v>4.1337975854963661E-2</c:v>
                </c:pt>
                <c:pt idx="10">
                  <c:v>4.1643744257446297E-2</c:v>
                </c:pt>
                <c:pt idx="11">
                  <c:v>4.1949512659928932E-2</c:v>
                </c:pt>
                <c:pt idx="12">
                  <c:v>4.2255281062411568E-2</c:v>
                </c:pt>
                <c:pt idx="13">
                  <c:v>4.2561049464894203E-2</c:v>
                </c:pt>
                <c:pt idx="14">
                  <c:v>4.2866817867376839E-2</c:v>
                </c:pt>
                <c:pt idx="15">
                  <c:v>4.3172586269859474E-2</c:v>
                </c:pt>
                <c:pt idx="16">
                  <c:v>4.3478354672342109E-2</c:v>
                </c:pt>
                <c:pt idx="17">
                  <c:v>4.3784123074824745E-2</c:v>
                </c:pt>
                <c:pt idx="18">
                  <c:v>4.408989147730738E-2</c:v>
                </c:pt>
                <c:pt idx="19">
                  <c:v>4.4395659879790016E-2</c:v>
                </c:pt>
                <c:pt idx="20">
                  <c:v>4.4701428282272651E-2</c:v>
                </c:pt>
                <c:pt idx="21">
                  <c:v>4.5007196684755287E-2</c:v>
                </c:pt>
                <c:pt idx="22">
                  <c:v>4.5312965087237922E-2</c:v>
                </c:pt>
                <c:pt idx="23">
                  <c:v>4.5618733489720557E-2</c:v>
                </c:pt>
                <c:pt idx="24">
                  <c:v>4.5924501892203193E-2</c:v>
                </c:pt>
                <c:pt idx="25">
                  <c:v>4.6230270294685828E-2</c:v>
                </c:pt>
                <c:pt idx="26">
                  <c:v>4.6536038697168464E-2</c:v>
                </c:pt>
                <c:pt idx="27">
                  <c:v>4.6841807099651099E-2</c:v>
                </c:pt>
                <c:pt idx="28">
                  <c:v>4.7147575502133734E-2</c:v>
                </c:pt>
                <c:pt idx="29">
                  <c:v>4.745334390461637E-2</c:v>
                </c:pt>
                <c:pt idx="30">
                  <c:v>4.7759112307099005E-2</c:v>
                </c:pt>
                <c:pt idx="31">
                  <c:v>4.8064880709581641E-2</c:v>
                </c:pt>
                <c:pt idx="32">
                  <c:v>4.8370649112064276E-2</c:v>
                </c:pt>
                <c:pt idx="33">
                  <c:v>4.8676417514546912E-2</c:v>
                </c:pt>
                <c:pt idx="34">
                  <c:v>4.8982185917029547E-2</c:v>
                </c:pt>
                <c:pt idx="35">
                  <c:v>4.9287954319512182E-2</c:v>
                </c:pt>
                <c:pt idx="36">
                  <c:v>4.9593722721994818E-2</c:v>
                </c:pt>
                <c:pt idx="37">
                  <c:v>4.9899491124477453E-2</c:v>
                </c:pt>
                <c:pt idx="38">
                  <c:v>5.0205259526960089E-2</c:v>
                </c:pt>
                <c:pt idx="39">
                  <c:v>5.0511027929442724E-2</c:v>
                </c:pt>
                <c:pt idx="40">
                  <c:v>5.081679633192536E-2</c:v>
                </c:pt>
                <c:pt idx="41">
                  <c:v>5.1122564734407995E-2</c:v>
                </c:pt>
                <c:pt idx="42">
                  <c:v>5.142833313689063E-2</c:v>
                </c:pt>
                <c:pt idx="43">
                  <c:v>5.1734101539373266E-2</c:v>
                </c:pt>
                <c:pt idx="44">
                  <c:v>5.2039869941855901E-2</c:v>
                </c:pt>
                <c:pt idx="45">
                  <c:v>5.2345638344338537E-2</c:v>
                </c:pt>
                <c:pt idx="46">
                  <c:v>5.2651406746821172E-2</c:v>
                </c:pt>
                <c:pt idx="47">
                  <c:v>5.2957175149303808E-2</c:v>
                </c:pt>
                <c:pt idx="48">
                  <c:v>5.3262943551786443E-2</c:v>
                </c:pt>
                <c:pt idx="49">
                  <c:v>5.3568711954269078E-2</c:v>
                </c:pt>
                <c:pt idx="50">
                  <c:v>5.3874480356751714E-2</c:v>
                </c:pt>
                <c:pt idx="51">
                  <c:v>5.4180248759234349E-2</c:v>
                </c:pt>
                <c:pt idx="52">
                  <c:v>5.4486017161716985E-2</c:v>
                </c:pt>
                <c:pt idx="53">
                  <c:v>5.479178556419962E-2</c:v>
                </c:pt>
                <c:pt idx="54">
                  <c:v>5.5097553966682256E-2</c:v>
                </c:pt>
                <c:pt idx="55">
                  <c:v>5.5403322369164891E-2</c:v>
                </c:pt>
                <c:pt idx="56">
                  <c:v>5.5709090771647526E-2</c:v>
                </c:pt>
                <c:pt idx="57">
                  <c:v>5.6014859174130162E-2</c:v>
                </c:pt>
                <c:pt idx="58">
                  <c:v>5.6320627576612797E-2</c:v>
                </c:pt>
                <c:pt idx="59">
                  <c:v>5.6626395979095433E-2</c:v>
                </c:pt>
                <c:pt idx="60">
                  <c:v>5.6932164381578068E-2</c:v>
                </c:pt>
                <c:pt idx="61">
                  <c:v>5.7237932784060704E-2</c:v>
                </c:pt>
                <c:pt idx="62">
                  <c:v>5.7543701186543339E-2</c:v>
                </c:pt>
                <c:pt idx="63">
                  <c:v>5.7849469589025974E-2</c:v>
                </c:pt>
                <c:pt idx="64">
                  <c:v>5.815523799150861E-2</c:v>
                </c:pt>
                <c:pt idx="65">
                  <c:v>5.8461006393991245E-2</c:v>
                </c:pt>
                <c:pt idx="66">
                  <c:v>5.8766774796473881E-2</c:v>
                </c:pt>
                <c:pt idx="67">
                  <c:v>5.9072543198956516E-2</c:v>
                </c:pt>
                <c:pt idx="68">
                  <c:v>5.9378311601439152E-2</c:v>
                </c:pt>
                <c:pt idx="69">
                  <c:v>5.9684080003921787E-2</c:v>
                </c:pt>
                <c:pt idx="70">
                  <c:v>5.9989848406404422E-2</c:v>
                </c:pt>
                <c:pt idx="71">
                  <c:v>6.0295616808887058E-2</c:v>
                </c:pt>
                <c:pt idx="72">
                  <c:v>6.0601385211369693E-2</c:v>
                </c:pt>
                <c:pt idx="73">
                  <c:v>6.0907153613852329E-2</c:v>
                </c:pt>
                <c:pt idx="74">
                  <c:v>6.1212922016334964E-2</c:v>
                </c:pt>
                <c:pt idx="75">
                  <c:v>6.15186904188176E-2</c:v>
                </c:pt>
                <c:pt idx="76">
                  <c:v>6.1824458821300235E-2</c:v>
                </c:pt>
                <c:pt idx="77">
                  <c:v>6.213022722378287E-2</c:v>
                </c:pt>
                <c:pt idx="78">
                  <c:v>6.2435995626265506E-2</c:v>
                </c:pt>
                <c:pt idx="79">
                  <c:v>6.2741764028748134E-2</c:v>
                </c:pt>
                <c:pt idx="80">
                  <c:v>6.3047532431230763E-2</c:v>
                </c:pt>
                <c:pt idx="81">
                  <c:v>6.3353300833713391E-2</c:v>
                </c:pt>
                <c:pt idx="82">
                  <c:v>6.365906923619602E-2</c:v>
                </c:pt>
                <c:pt idx="83">
                  <c:v>6.3964837638678648E-2</c:v>
                </c:pt>
                <c:pt idx="84">
                  <c:v>6.4270606041161277E-2</c:v>
                </c:pt>
                <c:pt idx="85">
                  <c:v>6.4576374443643905E-2</c:v>
                </c:pt>
                <c:pt idx="86">
                  <c:v>6.4882142846126534E-2</c:v>
                </c:pt>
                <c:pt idx="87">
                  <c:v>6.5187911248609162E-2</c:v>
                </c:pt>
                <c:pt idx="88">
                  <c:v>6.5493679651091791E-2</c:v>
                </c:pt>
                <c:pt idx="89">
                  <c:v>6.5799448053574419E-2</c:v>
                </c:pt>
                <c:pt idx="90">
                  <c:v>6.6105216456057048E-2</c:v>
                </c:pt>
                <c:pt idx="91">
                  <c:v>6.6410984858539676E-2</c:v>
                </c:pt>
                <c:pt idx="92">
                  <c:v>6.6716753261022305E-2</c:v>
                </c:pt>
                <c:pt idx="93">
                  <c:v>6.7022521663504933E-2</c:v>
                </c:pt>
                <c:pt idx="94">
                  <c:v>6.7328290065987562E-2</c:v>
                </c:pt>
                <c:pt idx="95">
                  <c:v>6.763405846847019E-2</c:v>
                </c:pt>
                <c:pt idx="96">
                  <c:v>6.7939826870952819E-2</c:v>
                </c:pt>
                <c:pt idx="97">
                  <c:v>6.8245595273435447E-2</c:v>
                </c:pt>
                <c:pt idx="98">
                  <c:v>6.8551363675918076E-2</c:v>
                </c:pt>
                <c:pt idx="99">
                  <c:v>6.8857132078400704E-2</c:v>
                </c:pt>
              </c:numCache>
            </c:numRef>
          </c:xVal>
          <c:yVal>
            <c:numRef>
              <c:f>'Compactação Completo (3CBR)'!$BE$2:$EZ$2</c:f>
              <c:numCache>
                <c:formatCode>#,##0_);\(#,##0\)</c:formatCode>
                <c:ptCount val="100"/>
                <c:pt idx="0">
                  <c:v>2018.6054093588718</c:v>
                </c:pt>
                <c:pt idx="1">
                  <c:v>2025.6103703097972</c:v>
                </c:pt>
                <c:pt idx="2">
                  <c:v>2032.5155601713977</c:v>
                </c:pt>
                <c:pt idx="3">
                  <c:v>2039.3209789436721</c:v>
                </c:pt>
                <c:pt idx="4">
                  <c:v>2046.0266266266215</c:v>
                </c:pt>
                <c:pt idx="5">
                  <c:v>2052.6325032202449</c:v>
                </c:pt>
                <c:pt idx="6">
                  <c:v>2059.1386087245437</c:v>
                </c:pt>
                <c:pt idx="7">
                  <c:v>2065.5449431395164</c:v>
                </c:pt>
                <c:pt idx="8">
                  <c:v>2071.8515064651638</c:v>
                </c:pt>
                <c:pt idx="9">
                  <c:v>2078.0582987014859</c:v>
                </c:pt>
                <c:pt idx="10">
                  <c:v>2084.1653198484828</c:v>
                </c:pt>
                <c:pt idx="11">
                  <c:v>2090.1725699061535</c:v>
                </c:pt>
                <c:pt idx="12">
                  <c:v>2096.080048874499</c:v>
                </c:pt>
                <c:pt idx="13">
                  <c:v>2101.8877567535192</c:v>
                </c:pt>
                <c:pt idx="14">
                  <c:v>2107.5956935432141</c:v>
                </c:pt>
                <c:pt idx="15">
                  <c:v>2113.2038592435829</c:v>
                </c:pt>
                <c:pt idx="16">
                  <c:v>2118.7122538546264</c:v>
                </c:pt>
                <c:pt idx="17">
                  <c:v>2124.1208773763447</c:v>
                </c:pt>
                <c:pt idx="18">
                  <c:v>2129.4297298087376</c:v>
                </c:pt>
                <c:pt idx="19">
                  <c:v>2134.6388111518054</c:v>
                </c:pt>
                <c:pt idx="20">
                  <c:v>2139.748121405547</c:v>
                </c:pt>
                <c:pt idx="21">
                  <c:v>2144.7576605699633</c:v>
                </c:pt>
                <c:pt idx="22">
                  <c:v>2149.6674286450543</c:v>
                </c:pt>
                <c:pt idx="23">
                  <c:v>2154.4774256308201</c:v>
                </c:pt>
                <c:pt idx="24">
                  <c:v>2159.1876515272602</c:v>
                </c:pt>
                <c:pt idx="25">
                  <c:v>2163.7981063343741</c:v>
                </c:pt>
                <c:pt idx="26">
                  <c:v>2168.3087900521641</c:v>
                </c:pt>
                <c:pt idx="27">
                  <c:v>2172.7197026806271</c:v>
                </c:pt>
                <c:pt idx="28">
                  <c:v>2177.0308442197656</c:v>
                </c:pt>
                <c:pt idx="29">
                  <c:v>2181.2422146695781</c:v>
                </c:pt>
                <c:pt idx="30">
                  <c:v>2185.3538140300657</c:v>
                </c:pt>
                <c:pt idx="31">
                  <c:v>2189.3656423012271</c:v>
                </c:pt>
                <c:pt idx="32">
                  <c:v>2193.2776994830638</c:v>
                </c:pt>
                <c:pt idx="33">
                  <c:v>2197.0899855755747</c:v>
                </c:pt>
                <c:pt idx="34">
                  <c:v>2200.8025005787604</c:v>
                </c:pt>
                <c:pt idx="35">
                  <c:v>2204.4152444926203</c:v>
                </c:pt>
                <c:pt idx="36">
                  <c:v>2207.928217317155</c:v>
                </c:pt>
                <c:pt idx="37">
                  <c:v>2211.3414190523636</c:v>
                </c:pt>
                <c:pt idx="38">
                  <c:v>2214.6548496982477</c:v>
                </c:pt>
                <c:pt idx="39">
                  <c:v>2217.8685092548058</c:v>
                </c:pt>
                <c:pt idx="40">
                  <c:v>2220.9823977220385</c:v>
                </c:pt>
                <c:pt idx="41">
                  <c:v>2223.9965150999451</c:v>
                </c:pt>
                <c:pt idx="42">
                  <c:v>2226.9108613885273</c:v>
                </c:pt>
                <c:pt idx="43">
                  <c:v>2229.7254365877834</c:v>
                </c:pt>
                <c:pt idx="44">
                  <c:v>2232.4402406977147</c:v>
                </c:pt>
                <c:pt idx="45">
                  <c:v>2235.0552737183198</c:v>
                </c:pt>
                <c:pt idx="46">
                  <c:v>2237.5705356496001</c:v>
                </c:pt>
                <c:pt idx="47">
                  <c:v>2239.9860264915542</c:v>
                </c:pt>
                <c:pt idx="48">
                  <c:v>2242.3017462441835</c:v>
                </c:pt>
                <c:pt idx="49">
                  <c:v>2244.5176949074867</c:v>
                </c:pt>
                <c:pt idx="50">
                  <c:v>2246.633872481465</c:v>
                </c:pt>
                <c:pt idx="51">
                  <c:v>2248.6502789661172</c:v>
                </c:pt>
                <c:pt idx="52">
                  <c:v>2250.566914361445</c:v>
                </c:pt>
                <c:pt idx="53">
                  <c:v>2252.3837786674467</c:v>
                </c:pt>
                <c:pt idx="54">
                  <c:v>2254.1008718841231</c:v>
                </c:pt>
                <c:pt idx="55">
                  <c:v>2255.7181940114733</c:v>
                </c:pt>
                <c:pt idx="56">
                  <c:v>2257.2357450494992</c:v>
                </c:pt>
                <c:pt idx="57">
                  <c:v>2258.6535249981989</c:v>
                </c:pt>
                <c:pt idx="58">
                  <c:v>2259.9715338575734</c:v>
                </c:pt>
                <c:pt idx="59">
                  <c:v>2261.1897716276217</c:v>
                </c:pt>
                <c:pt idx="60">
                  <c:v>2262.3082383083456</c:v>
                </c:pt>
                <c:pt idx="61">
                  <c:v>2263.3269338997434</c:v>
                </c:pt>
                <c:pt idx="62">
                  <c:v>2264.2458584018163</c:v>
                </c:pt>
                <c:pt idx="63">
                  <c:v>2265.0650118145631</c:v>
                </c:pt>
                <c:pt idx="64">
                  <c:v>2265.7843941379851</c:v>
                </c:pt>
                <c:pt idx="65">
                  <c:v>2266.404005372081</c:v>
                </c:pt>
                <c:pt idx="66">
                  <c:v>2266.923845516852</c:v>
                </c:pt>
                <c:pt idx="67">
                  <c:v>2267.3439145722969</c:v>
                </c:pt>
                <c:pt idx="68">
                  <c:v>2267.6642125384169</c:v>
                </c:pt>
                <c:pt idx="69">
                  <c:v>2267.8847394152112</c:v>
                </c:pt>
                <c:pt idx="70">
                  <c:v>2268.0054952026803</c:v>
                </c:pt>
                <c:pt idx="71">
                  <c:v>2268.0264799008237</c:v>
                </c:pt>
                <c:pt idx="72">
                  <c:v>2267.9476935096418</c:v>
                </c:pt>
                <c:pt idx="73">
                  <c:v>2267.7691360291337</c:v>
                </c:pt>
                <c:pt idx="74">
                  <c:v>2267.4908074593013</c:v>
                </c:pt>
                <c:pt idx="75">
                  <c:v>2267.1127078001427</c:v>
                </c:pt>
                <c:pt idx="76">
                  <c:v>2266.6348370516589</c:v>
                </c:pt>
                <c:pt idx="77">
                  <c:v>2266.0571952138498</c:v>
                </c:pt>
                <c:pt idx="78">
                  <c:v>2265.3797822867155</c:v>
                </c:pt>
                <c:pt idx="79">
                  <c:v>2264.6025982702549</c:v>
                </c:pt>
                <c:pt idx="80">
                  <c:v>2263.7256431644691</c:v>
                </c:pt>
                <c:pt idx="81">
                  <c:v>2262.7489169693572</c:v>
                </c:pt>
                <c:pt idx="82">
                  <c:v>2261.6724196849209</c:v>
                </c:pt>
                <c:pt idx="83">
                  <c:v>2260.4961513111593</c:v>
                </c:pt>
                <c:pt idx="84">
                  <c:v>2259.2201118480716</c:v>
                </c:pt>
                <c:pt idx="85">
                  <c:v>2257.8443012956586</c:v>
                </c:pt>
                <c:pt idx="86">
                  <c:v>2256.3687196539204</c:v>
                </c:pt>
                <c:pt idx="87">
                  <c:v>2254.7933669228569</c:v>
                </c:pt>
                <c:pt idx="88">
                  <c:v>2253.1182431024672</c:v>
                </c:pt>
                <c:pt idx="89">
                  <c:v>2251.3433481927523</c:v>
                </c:pt>
                <c:pt idx="90">
                  <c:v>2249.4686821937121</c:v>
                </c:pt>
                <c:pt idx="91">
                  <c:v>2247.4942451053466</c:v>
                </c:pt>
                <c:pt idx="92">
                  <c:v>2245.4200369276559</c:v>
                </c:pt>
                <c:pt idx="93">
                  <c:v>2243.2460576606381</c:v>
                </c:pt>
                <c:pt idx="94">
                  <c:v>2240.9723073042969</c:v>
                </c:pt>
                <c:pt idx="95">
                  <c:v>2238.5987858586295</c:v>
                </c:pt>
                <c:pt idx="96">
                  <c:v>2236.1254933236369</c:v>
                </c:pt>
                <c:pt idx="97">
                  <c:v>2233.5524296993171</c:v>
                </c:pt>
                <c:pt idx="98">
                  <c:v>2230.879594985674</c:v>
                </c:pt>
                <c:pt idx="99">
                  <c:v>2228.1069891827046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54-4FA2-A8AA-AB5DD7ED1476}"/>
            </c:ext>
          </c:extLst>
        </c:ser>
        <c:ser>
          <c:idx val="2"/>
          <c:order val="2"/>
          <c:tx>
            <c:v>Linha</c:v>
          </c:tx>
          <c:spPr>
            <a:ln w="22225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54-4FA2-A8AA-AB5DD7ED1476}"/>
                </c:ext>
              </c:extLst>
            </c:dLbl>
            <c:dLbl>
              <c:idx val="1"/>
              <c:layout>
                <c:manualLayout>
                  <c:x val="-0.21989021237413744"/>
                  <c:y val="1.6666666666666701E-2"/>
                </c:manualLayout>
              </c:layout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54-4FA2-A8AA-AB5DD7ED1476}"/>
                </c:ext>
              </c:extLst>
            </c:dLbl>
            <c:spPr>
              <a:solidFill>
                <a:srgbClr val="66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(3CBR)'!$AZ$14:$AZ$16</c:f>
              <c:numCache>
                <c:formatCode>0.0%</c:formatCode>
                <c:ptCount val="3"/>
                <c:pt idx="0">
                  <c:v>0</c:v>
                </c:pt>
                <c:pt idx="1">
                  <c:v>6.0207044400483523E-2</c:v>
                </c:pt>
                <c:pt idx="2">
                  <c:v>6.0207044400483523E-2</c:v>
                </c:pt>
              </c:numCache>
            </c:numRef>
          </c:xVal>
          <c:yVal>
            <c:numRef>
              <c:f>'Compactação Completo (3CBR)'!$BA$14:$BA$16</c:f>
              <c:numCache>
                <c:formatCode>#,##0</c:formatCode>
                <c:ptCount val="3"/>
                <c:pt idx="0">
                  <c:v>2268.0306657773899</c:v>
                </c:pt>
                <c:pt idx="1">
                  <c:v>2268.0306657773899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54-4FA2-A8AA-AB5DD7ED1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75424"/>
        <c:axId val="104377344"/>
      </c:scatterChart>
      <c:valAx>
        <c:axId val="104375424"/>
        <c:scaling>
          <c:orientation val="minMax"/>
          <c:max val="9.0000000000000024E-2"/>
          <c:min val="2.0000000000000004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Umidade (%)</a:t>
                </a:r>
              </a:p>
            </c:rich>
          </c:tx>
          <c:layout>
            <c:manualLayout>
              <c:xMode val="edge"/>
              <c:yMode val="edge"/>
              <c:x val="0.44340906787452788"/>
              <c:y val="0.89530837526175056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339966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4377344"/>
        <c:crossesAt val="1000"/>
        <c:crossBetween val="midCat"/>
        <c:majorUnit val="1.0000000000000005E-2"/>
        <c:minorUnit val="1.0000000000000041E-3"/>
      </c:valAx>
      <c:valAx>
        <c:axId val="104377344"/>
        <c:scaling>
          <c:orientation val="minMax"/>
          <c:max val="2350"/>
          <c:min val="18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Densidade (g/m³)</a:t>
                </a:r>
              </a:p>
            </c:rich>
          </c:tx>
          <c:layout>
            <c:manualLayout>
              <c:xMode val="edge"/>
              <c:yMode val="edge"/>
              <c:x val="5.3262316910785833E-2"/>
              <c:y val="0.310469693093478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4375424"/>
        <c:crossesAt val="0"/>
        <c:crossBetween val="midCat"/>
        <c:majorUnit val="50"/>
        <c:min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66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4939" footer="0.49212598500004939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800">
                <a:solidFill>
                  <a:srgbClr val="006600"/>
                </a:solidFill>
              </a:rPr>
              <a:t>Penetração</a:t>
            </a:r>
          </a:p>
        </c:rich>
      </c:tx>
      <c:layout>
        <c:manualLayout>
          <c:xMode val="edge"/>
          <c:yMode val="edge"/>
          <c:x val="0.39402173913050426"/>
          <c:y val="2.3166023166023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1349024920271"/>
          <c:y val="0.13899640103993638"/>
          <c:w val="0.83435610871219956"/>
          <c:h val="0.66023290493956799"/>
        </c:manualLayout>
      </c:layout>
      <c:scatterChart>
        <c:scatterStyle val="lineMarker"/>
        <c:varyColors val="0"/>
        <c:ser>
          <c:idx val="2"/>
          <c:order val="0"/>
          <c:tx>
            <c:strRef>
              <c:f>'Compactação Completo (3CBR)'!$A$84:$D$84</c:f>
              <c:strCache>
                <c:ptCount val="1"/>
                <c:pt idx="0">
                  <c:v>Cilindro nº 28</c:v>
                </c:pt>
              </c:strCache>
            </c:strRef>
          </c:tx>
          <c:spPr>
            <a:ln w="22225" cmpd="sng">
              <a:noFill/>
              <a:prstDash val="sys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trendline>
            <c:spPr>
              <a:ln>
                <a:solidFill>
                  <a:srgbClr val="0000FF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'Compactação Completo (3CBR)'!$A$94:$A$101</c:f>
              <c:numCache>
                <c:formatCode>0.00</c:formatCode>
                <c:ptCount val="8"/>
                <c:pt idx="0">
                  <c:v>0.63</c:v>
                </c:pt>
                <c:pt idx="1">
                  <c:v>1.27</c:v>
                </c:pt>
                <c:pt idx="2">
                  <c:v>1.9</c:v>
                </c:pt>
                <c:pt idx="3">
                  <c:v>2.54</c:v>
                </c:pt>
                <c:pt idx="4">
                  <c:v>3.81</c:v>
                </c:pt>
                <c:pt idx="5">
                  <c:v>5.08</c:v>
                </c:pt>
                <c:pt idx="6">
                  <c:v>6.35</c:v>
                </c:pt>
                <c:pt idx="7">
                  <c:v>7.62</c:v>
                </c:pt>
              </c:numCache>
            </c:numRef>
          </c:xVal>
          <c:yVal>
            <c:numRef>
              <c:f>'Compactação Completo (3CBR)'!$D$94:$D$101</c:f>
              <c:numCache>
                <c:formatCode>0.0</c:formatCode>
                <c:ptCount val="8"/>
                <c:pt idx="0">
                  <c:v>3715.2000000000003</c:v>
                </c:pt>
                <c:pt idx="1">
                  <c:v>6288.7500000000009</c:v>
                </c:pt>
                <c:pt idx="2">
                  <c:v>7933.5000000000009</c:v>
                </c:pt>
                <c:pt idx="3">
                  <c:v>10565.1</c:v>
                </c:pt>
                <c:pt idx="4">
                  <c:v>13738.500000000002</c:v>
                </c:pt>
                <c:pt idx="5">
                  <c:v>15847.650000000001</c:v>
                </c:pt>
                <c:pt idx="6">
                  <c:v>17956.800000000003</c:v>
                </c:pt>
                <c:pt idx="7">
                  <c:v>20878.650000000001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97-415C-AF77-D3369A2922C4}"/>
            </c:ext>
          </c:extLst>
        </c:ser>
        <c:ser>
          <c:idx val="0"/>
          <c:order val="1"/>
          <c:tx>
            <c:v>"Tendencia Linear"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'Compactação Completo (3CBR)'!$CB$86:$CJ$86</c:f>
              <c:numCache>
                <c:formatCode>0.00</c:formatCode>
                <c:ptCount val="9"/>
                <c:pt idx="0">
                  <c:v>0</c:v>
                </c:pt>
                <c:pt idx="1">
                  <c:v>0.63</c:v>
                </c:pt>
                <c:pt idx="2">
                  <c:v>1.27</c:v>
                </c:pt>
                <c:pt idx="3">
                  <c:v>1.9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'Compactação Completo (3CBR)'!$CB$87:$CJ$87</c:f>
              <c:numCache>
                <c:formatCode>0.00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97-415C-AF77-D3369A2922C4}"/>
            </c:ext>
          </c:extLst>
        </c:ser>
        <c:ser>
          <c:idx val="1"/>
          <c:order val="2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(3CBR)'!$CG$85:$CH$85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(3CBR)'!$CG$84:$CH$84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97-415C-AF77-D3369A2922C4}"/>
            </c:ext>
          </c:extLst>
        </c:ser>
        <c:ser>
          <c:idx val="3"/>
          <c:order val="3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(3CBR)'!$CI$85:$CJ$85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(3CBR)'!$CI$84:$CJ$84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97-415C-AF77-D3369A2922C4}"/>
            </c:ext>
          </c:extLst>
        </c:ser>
        <c:ser>
          <c:idx val="4"/>
          <c:order val="4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397-415C-AF77-D3369A2922C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97-415C-AF77-D3369A2922C4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(3CBR)'!$CB$89:$CC$89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(3CBR)'!$CB$88:$CC$88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97-415C-AF77-D3369A2922C4}"/>
            </c:ext>
          </c:extLst>
        </c:ser>
        <c:ser>
          <c:idx val="5"/>
          <c:order val="5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(3CBR)'!$CD$89:$CE$89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(3CBR)'!$CD$88:$CE$88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97-415C-AF77-D3369A2922C4}"/>
            </c:ext>
          </c:extLst>
        </c:ser>
        <c:ser>
          <c:idx val="6"/>
          <c:order val="6"/>
          <c:tx>
            <c:v>"Correção"</c:v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(3CBR)'!$CE$89:$CF$89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(3CBR)'!$CE$88:$CF$88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397-415C-AF77-D3369A2922C4}"/>
            </c:ext>
          </c:extLst>
        </c:ser>
        <c:ser>
          <c:idx val="7"/>
          <c:order val="7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397-415C-AF77-D3369A2922C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397-415C-AF77-D3369A2922C4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(3CBR)'!$CH$89:$CI$89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(3CBR)'!$CH$88:$CI$88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397-415C-AF77-D3369A2922C4}"/>
            </c:ext>
          </c:extLst>
        </c:ser>
        <c:ser>
          <c:idx val="8"/>
          <c:order val="8"/>
          <c:tx>
            <c:strRef>
              <c:f>'Compactação Completo (3CBR)'!$CG$91</c:f>
              <c:strCache>
                <c:ptCount val="1"/>
                <c:pt idx="0">
                  <c:v>0,63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(3CBR)'!$CG$91:$CH$91</c:f>
              <c:numCache>
                <c:formatCode>0.00</c:formatCode>
                <c:ptCount val="2"/>
                <c:pt idx="0">
                  <c:v>0.63</c:v>
                </c:pt>
                <c:pt idx="1">
                  <c:v>0.63</c:v>
                </c:pt>
              </c:numCache>
            </c:numRef>
          </c:xVal>
          <c:yVal>
            <c:numRef>
              <c:f>'Compactação Completo (3CBR)'!$CI$91:$CJ$91</c:f>
              <c:numCache>
                <c:formatCode>0.0</c:formatCode>
                <c:ptCount val="2"/>
                <c:pt idx="0">
                  <c:v>0</c:v>
                </c:pt>
                <c:pt idx="1">
                  <c:v>20878.650000000001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397-415C-AF77-D3369A2922C4}"/>
            </c:ext>
          </c:extLst>
        </c:ser>
        <c:ser>
          <c:idx val="9"/>
          <c:order val="9"/>
          <c:tx>
            <c:strRef>
              <c:f>'Compactação Completo (3CBR)'!$CG$92</c:f>
              <c:strCache>
                <c:ptCount val="1"/>
                <c:pt idx="0">
                  <c:v>1,27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(3CBR)'!$CG$92:$CH$92</c:f>
              <c:numCache>
                <c:formatCode>0.00</c:formatCode>
                <c:ptCount val="2"/>
                <c:pt idx="0">
                  <c:v>1.27</c:v>
                </c:pt>
                <c:pt idx="1">
                  <c:v>1.27</c:v>
                </c:pt>
              </c:numCache>
            </c:numRef>
          </c:xVal>
          <c:yVal>
            <c:numRef>
              <c:f>'Compactação Completo (3CBR)'!$CI$92:$CJ$92</c:f>
              <c:numCache>
                <c:formatCode>0.0</c:formatCode>
                <c:ptCount val="2"/>
                <c:pt idx="0">
                  <c:v>0</c:v>
                </c:pt>
                <c:pt idx="1">
                  <c:v>20878.650000000001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397-415C-AF77-D3369A2922C4}"/>
            </c:ext>
          </c:extLst>
        </c:ser>
        <c:ser>
          <c:idx val="10"/>
          <c:order val="10"/>
          <c:tx>
            <c:strRef>
              <c:f>'Compactação Completo (3CBR)'!$CG$93</c:f>
              <c:strCache>
                <c:ptCount val="1"/>
                <c:pt idx="0">
                  <c:v>1,90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(3CBR)'!$CG$93:$CH$93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xVal>
          <c:yVal>
            <c:numRef>
              <c:f>'Compactação Completo (3CBR)'!$CI$93:$CJ$93</c:f>
              <c:numCache>
                <c:formatCode>0.0</c:formatCode>
                <c:ptCount val="2"/>
                <c:pt idx="0">
                  <c:v>0</c:v>
                </c:pt>
                <c:pt idx="1">
                  <c:v>20878.650000000001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397-415C-AF77-D3369A2922C4}"/>
            </c:ext>
          </c:extLst>
        </c:ser>
        <c:ser>
          <c:idx val="11"/>
          <c:order val="11"/>
          <c:tx>
            <c:strRef>
              <c:f>'Compactação Completo (3CBR)'!$CG$94</c:f>
              <c:strCache>
                <c:ptCount val="1"/>
                <c:pt idx="0">
                  <c:v>2,54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(3CBR)'!$CG$94:$CH$94</c:f>
              <c:numCache>
                <c:formatCode>0.00</c:formatCode>
                <c:ptCount val="2"/>
                <c:pt idx="0">
                  <c:v>2.54</c:v>
                </c:pt>
                <c:pt idx="1">
                  <c:v>2.54</c:v>
                </c:pt>
              </c:numCache>
            </c:numRef>
          </c:xVal>
          <c:yVal>
            <c:numRef>
              <c:f>'Compactação Completo (3CBR)'!$CI$94:$CJ$94</c:f>
              <c:numCache>
                <c:formatCode>0.0</c:formatCode>
                <c:ptCount val="2"/>
                <c:pt idx="0">
                  <c:v>0</c:v>
                </c:pt>
                <c:pt idx="1">
                  <c:v>20878.650000000001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397-415C-AF77-D3369A2922C4}"/>
            </c:ext>
          </c:extLst>
        </c:ser>
        <c:ser>
          <c:idx val="12"/>
          <c:order val="12"/>
          <c:tx>
            <c:strRef>
              <c:f>'Compactação Completo (3CBR)'!$CG$95</c:f>
              <c:strCache>
                <c:ptCount val="1"/>
                <c:pt idx="0">
                  <c:v>3,81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(3CBR)'!$CG$95:$CH$95</c:f>
              <c:numCache>
                <c:formatCode>0.00</c:formatCode>
                <c:ptCount val="2"/>
                <c:pt idx="0">
                  <c:v>3.81</c:v>
                </c:pt>
                <c:pt idx="1">
                  <c:v>3.81</c:v>
                </c:pt>
              </c:numCache>
            </c:numRef>
          </c:xVal>
          <c:yVal>
            <c:numRef>
              <c:f>'Compactação Completo (3CBR)'!$CI$95:$CJ$95</c:f>
              <c:numCache>
                <c:formatCode>0.0</c:formatCode>
                <c:ptCount val="2"/>
                <c:pt idx="0">
                  <c:v>0</c:v>
                </c:pt>
                <c:pt idx="1">
                  <c:v>20878.650000000001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397-415C-AF77-D3369A2922C4}"/>
            </c:ext>
          </c:extLst>
        </c:ser>
        <c:ser>
          <c:idx val="13"/>
          <c:order val="13"/>
          <c:tx>
            <c:strRef>
              <c:f>'Compactação Completo (3CBR)'!$CG$96</c:f>
              <c:strCache>
                <c:ptCount val="1"/>
                <c:pt idx="0">
                  <c:v>5,08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(3CBR)'!$CG$96:$CH$96</c:f>
              <c:numCache>
                <c:formatCode>0.00</c:formatCode>
                <c:ptCount val="2"/>
                <c:pt idx="0">
                  <c:v>5.08</c:v>
                </c:pt>
                <c:pt idx="1">
                  <c:v>5.08</c:v>
                </c:pt>
              </c:numCache>
            </c:numRef>
          </c:xVal>
          <c:yVal>
            <c:numRef>
              <c:f>'Compactação Completo (3CBR)'!$CI$96:$CJ$96</c:f>
              <c:numCache>
                <c:formatCode>0.0</c:formatCode>
                <c:ptCount val="2"/>
                <c:pt idx="0">
                  <c:v>0</c:v>
                </c:pt>
                <c:pt idx="1">
                  <c:v>20878.650000000001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397-415C-AF77-D3369A2922C4}"/>
            </c:ext>
          </c:extLst>
        </c:ser>
        <c:ser>
          <c:idx val="14"/>
          <c:order val="14"/>
          <c:tx>
            <c:strRef>
              <c:f>'Compactação Completo (3CBR)'!$CG$97</c:f>
              <c:strCache>
                <c:ptCount val="1"/>
                <c:pt idx="0">
                  <c:v>6,35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(3CBR)'!$CG$97:$CH$97</c:f>
              <c:numCache>
                <c:formatCode>0.00</c:formatCode>
                <c:ptCount val="2"/>
                <c:pt idx="0">
                  <c:v>6.35</c:v>
                </c:pt>
                <c:pt idx="1">
                  <c:v>6.35</c:v>
                </c:pt>
              </c:numCache>
            </c:numRef>
          </c:xVal>
          <c:yVal>
            <c:numRef>
              <c:f>'Compactação Completo (3CBR)'!$CI$97:$CJ$97</c:f>
              <c:numCache>
                <c:formatCode>0.0</c:formatCode>
                <c:ptCount val="2"/>
                <c:pt idx="0">
                  <c:v>0</c:v>
                </c:pt>
                <c:pt idx="1">
                  <c:v>20878.650000000001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397-415C-AF77-D3369A2922C4}"/>
            </c:ext>
          </c:extLst>
        </c:ser>
        <c:ser>
          <c:idx val="15"/>
          <c:order val="15"/>
          <c:tx>
            <c:strRef>
              <c:f>'Compactação Completo (3CBR)'!$CG$98</c:f>
              <c:strCache>
                <c:ptCount val="1"/>
                <c:pt idx="0">
                  <c:v>7,62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397-415C-AF77-D3369A2922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(3CBR)'!$CG$98:$CH$98</c:f>
              <c:numCache>
                <c:formatCode>0.00</c:formatCode>
                <c:ptCount val="2"/>
                <c:pt idx="0">
                  <c:v>7.62</c:v>
                </c:pt>
                <c:pt idx="1">
                  <c:v>7.62</c:v>
                </c:pt>
              </c:numCache>
            </c:numRef>
          </c:xVal>
          <c:yVal>
            <c:numRef>
              <c:f>'Compactação Completo (3CBR)'!$CI$98:$CJ$98</c:f>
              <c:numCache>
                <c:formatCode>0.0</c:formatCode>
                <c:ptCount val="2"/>
                <c:pt idx="0">
                  <c:v>0</c:v>
                </c:pt>
                <c:pt idx="1">
                  <c:v>20878.650000000001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397-415C-AF77-D3369A292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20224"/>
        <c:axId val="105622144"/>
      </c:scatterChart>
      <c:valAx>
        <c:axId val="105620224"/>
        <c:scaling>
          <c:orientation val="minMax"/>
          <c:max val="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Penetração. (mm)</a:t>
                </a:r>
              </a:p>
            </c:rich>
          </c:tx>
          <c:layout>
            <c:manualLayout>
              <c:xMode val="edge"/>
              <c:yMode val="edge"/>
              <c:x val="0.41123188405797101"/>
              <c:y val="0.9018990771315995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one"/>
        <c:crossAx val="105622144"/>
        <c:crosses val="autoZero"/>
        <c:crossBetween val="midCat"/>
        <c:majorUnit val="1"/>
        <c:minorUnit val="0.2"/>
      </c:valAx>
      <c:valAx>
        <c:axId val="105622144"/>
        <c:scaling>
          <c:orientation val="minMax"/>
          <c:min val="0"/>
        </c:scaling>
        <c:delete val="0"/>
        <c:axPos val="l"/>
        <c:majorGridlines>
          <c:spPr>
            <a:ln w="19050">
              <a:solidFill>
                <a:srgbClr val="339933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Pressão (Kgf/cm²)
</a:t>
                </a:r>
              </a:p>
            </c:rich>
          </c:tx>
          <c:layout>
            <c:manualLayout>
              <c:xMode val="edge"/>
              <c:yMode val="edge"/>
              <c:x val="2.7175232128248718E-3"/>
              <c:y val="0.311248010942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5620224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622" footer="0.4921259850000562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6600"/>
                </a:solidFill>
                <a:latin typeface="Arial"/>
                <a:ea typeface="Arial"/>
                <a:cs typeface="Arial"/>
              </a:defRPr>
            </a:pPr>
            <a:r>
              <a:rPr lang="pt-BR">
                <a:solidFill>
                  <a:srgbClr val="006600"/>
                </a:solidFill>
              </a:rPr>
              <a:t>Índice de Suporte Califôrnia</a:t>
            </a:r>
          </a:p>
        </c:rich>
      </c:tx>
      <c:layout>
        <c:manualLayout>
          <c:xMode val="edge"/>
          <c:yMode val="edge"/>
          <c:x val="0.11970527780414029"/>
          <c:y val="3.48412816322487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7058243167692"/>
          <c:y val="0.19246861924686193"/>
          <c:w val="0.74368840508216305"/>
          <c:h val="0.5815899581589955"/>
        </c:manualLayout>
      </c:layout>
      <c:scatterChart>
        <c:scatterStyle val="lineMarker"/>
        <c:varyColors val="0"/>
        <c:ser>
          <c:idx val="0"/>
          <c:order val="0"/>
          <c:tx>
            <c:v>ISC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'Compactação Completo (3CBR)'!$AM$90:$AR$90</c:f>
              <c:numCache>
                <c:formatCode>0.0%</c:formatCode>
                <c:ptCount val="6"/>
                <c:pt idx="0">
                  <c:v>#N/A</c:v>
                </c:pt>
                <c:pt idx="1">
                  <c:v>3.8586060232619943E-2</c:v>
                </c:pt>
                <c:pt idx="2">
                  <c:v>5.3721596155510309E-2</c:v>
                </c:pt>
                <c:pt idx="3">
                  <c:v>6.8857132078400676E-2</c:v>
                </c:pt>
                <c:pt idx="4">
                  <c:v>#N/A</c:v>
                </c:pt>
                <c:pt idx="5">
                  <c:v>#N/A</c:v>
                </c:pt>
              </c:numCache>
            </c:numRef>
          </c:xVal>
          <c:yVal>
            <c:numRef>
              <c:f>'Compactação Completo (3CBR)'!$AM$91:$AR$91</c:f>
              <c:numCache>
                <c:formatCode>0.0</c:formatCode>
                <c:ptCount val="6"/>
                <c:pt idx="0">
                  <c:v>#N/A</c:v>
                </c:pt>
                <c:pt idx="1">
                  <c:v>15027.166698274228</c:v>
                </c:pt>
                <c:pt idx="2">
                  <c:v>20146.311397686331</c:v>
                </c:pt>
                <c:pt idx="3">
                  <c:v>16567.629071255869</c:v>
                </c:pt>
                <c:pt idx="4">
                  <c:v>#N/A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A-42EA-8662-DE7BE71554C0}"/>
            </c:ext>
          </c:extLst>
        </c:ser>
        <c:ser>
          <c:idx val="1"/>
          <c:order val="1"/>
          <c:tx>
            <c:v>Tendência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5"/>
            <c:spPr>
              <a:noFill/>
              <a:ln w="9525">
                <a:noFill/>
              </a:ln>
            </c:spPr>
          </c:marker>
          <c:xVal>
            <c:numRef>
              <c:f>'Compactação Completo (3CBR)'!$BE$1:$EZ$1</c:f>
              <c:numCache>
                <c:formatCode>0.0%</c:formatCode>
                <c:ptCount val="100"/>
                <c:pt idx="0">
                  <c:v>3.8586060232619943E-2</c:v>
                </c:pt>
                <c:pt idx="1">
                  <c:v>3.8891828635102578E-2</c:v>
                </c:pt>
                <c:pt idx="2">
                  <c:v>3.9197597037585213E-2</c:v>
                </c:pt>
                <c:pt idx="3">
                  <c:v>3.9503365440067849E-2</c:v>
                </c:pt>
                <c:pt idx="4">
                  <c:v>3.9809133842550484E-2</c:v>
                </c:pt>
                <c:pt idx="5">
                  <c:v>4.011490224503312E-2</c:v>
                </c:pt>
                <c:pt idx="6">
                  <c:v>4.0420670647515755E-2</c:v>
                </c:pt>
                <c:pt idx="7">
                  <c:v>4.0726439049998391E-2</c:v>
                </c:pt>
                <c:pt idx="8">
                  <c:v>4.1032207452481026E-2</c:v>
                </c:pt>
                <c:pt idx="9">
                  <c:v>4.1337975854963661E-2</c:v>
                </c:pt>
                <c:pt idx="10">
                  <c:v>4.1643744257446297E-2</c:v>
                </c:pt>
                <c:pt idx="11">
                  <c:v>4.1949512659928932E-2</c:v>
                </c:pt>
                <c:pt idx="12">
                  <c:v>4.2255281062411568E-2</c:v>
                </c:pt>
                <c:pt idx="13">
                  <c:v>4.2561049464894203E-2</c:v>
                </c:pt>
                <c:pt idx="14">
                  <c:v>4.2866817867376839E-2</c:v>
                </c:pt>
                <c:pt idx="15">
                  <c:v>4.3172586269859474E-2</c:v>
                </c:pt>
                <c:pt idx="16">
                  <c:v>4.3478354672342109E-2</c:v>
                </c:pt>
                <c:pt idx="17">
                  <c:v>4.3784123074824745E-2</c:v>
                </c:pt>
                <c:pt idx="18">
                  <c:v>4.408989147730738E-2</c:v>
                </c:pt>
                <c:pt idx="19">
                  <c:v>4.4395659879790016E-2</c:v>
                </c:pt>
                <c:pt idx="20">
                  <c:v>4.4701428282272651E-2</c:v>
                </c:pt>
                <c:pt idx="21">
                  <c:v>4.5007196684755287E-2</c:v>
                </c:pt>
                <c:pt idx="22">
                  <c:v>4.5312965087237922E-2</c:v>
                </c:pt>
                <c:pt idx="23">
                  <c:v>4.5618733489720557E-2</c:v>
                </c:pt>
                <c:pt idx="24">
                  <c:v>4.5924501892203193E-2</c:v>
                </c:pt>
                <c:pt idx="25">
                  <c:v>4.6230270294685828E-2</c:v>
                </c:pt>
                <c:pt idx="26">
                  <c:v>4.6536038697168464E-2</c:v>
                </c:pt>
                <c:pt idx="27">
                  <c:v>4.6841807099651099E-2</c:v>
                </c:pt>
                <c:pt idx="28">
                  <c:v>4.7147575502133734E-2</c:v>
                </c:pt>
                <c:pt idx="29">
                  <c:v>4.745334390461637E-2</c:v>
                </c:pt>
                <c:pt idx="30">
                  <c:v>4.7759112307099005E-2</c:v>
                </c:pt>
                <c:pt idx="31">
                  <c:v>4.8064880709581641E-2</c:v>
                </c:pt>
                <c:pt idx="32">
                  <c:v>4.8370649112064276E-2</c:v>
                </c:pt>
                <c:pt idx="33">
                  <c:v>4.8676417514546912E-2</c:v>
                </c:pt>
                <c:pt idx="34">
                  <c:v>4.8982185917029547E-2</c:v>
                </c:pt>
                <c:pt idx="35">
                  <c:v>4.9287954319512182E-2</c:v>
                </c:pt>
                <c:pt idx="36">
                  <c:v>4.9593722721994818E-2</c:v>
                </c:pt>
                <c:pt idx="37">
                  <c:v>4.9899491124477453E-2</c:v>
                </c:pt>
                <c:pt idx="38">
                  <c:v>5.0205259526960089E-2</c:v>
                </c:pt>
                <c:pt idx="39">
                  <c:v>5.0511027929442724E-2</c:v>
                </c:pt>
                <c:pt idx="40">
                  <c:v>5.081679633192536E-2</c:v>
                </c:pt>
                <c:pt idx="41">
                  <c:v>5.1122564734407995E-2</c:v>
                </c:pt>
                <c:pt idx="42">
                  <c:v>5.142833313689063E-2</c:v>
                </c:pt>
                <c:pt idx="43">
                  <c:v>5.1734101539373266E-2</c:v>
                </c:pt>
                <c:pt idx="44">
                  <c:v>5.2039869941855901E-2</c:v>
                </c:pt>
                <c:pt idx="45">
                  <c:v>5.2345638344338537E-2</c:v>
                </c:pt>
                <c:pt idx="46">
                  <c:v>5.2651406746821172E-2</c:v>
                </c:pt>
                <c:pt idx="47">
                  <c:v>5.2957175149303808E-2</c:v>
                </c:pt>
                <c:pt idx="48">
                  <c:v>5.3262943551786443E-2</c:v>
                </c:pt>
                <c:pt idx="49">
                  <c:v>5.3568711954269078E-2</c:v>
                </c:pt>
                <c:pt idx="50">
                  <c:v>5.3874480356751714E-2</c:v>
                </c:pt>
                <c:pt idx="51">
                  <c:v>5.4180248759234349E-2</c:v>
                </c:pt>
                <c:pt idx="52">
                  <c:v>5.4486017161716985E-2</c:v>
                </c:pt>
                <c:pt idx="53">
                  <c:v>5.479178556419962E-2</c:v>
                </c:pt>
                <c:pt idx="54">
                  <c:v>5.5097553966682256E-2</c:v>
                </c:pt>
                <c:pt idx="55">
                  <c:v>5.5403322369164891E-2</c:v>
                </c:pt>
                <c:pt idx="56">
                  <c:v>5.5709090771647526E-2</c:v>
                </c:pt>
                <c:pt idx="57">
                  <c:v>5.6014859174130162E-2</c:v>
                </c:pt>
                <c:pt idx="58">
                  <c:v>5.6320627576612797E-2</c:v>
                </c:pt>
                <c:pt idx="59">
                  <c:v>5.6626395979095433E-2</c:v>
                </c:pt>
                <c:pt idx="60">
                  <c:v>5.6932164381578068E-2</c:v>
                </c:pt>
                <c:pt idx="61">
                  <c:v>5.7237932784060704E-2</c:v>
                </c:pt>
                <c:pt idx="62">
                  <c:v>5.7543701186543339E-2</c:v>
                </c:pt>
                <c:pt idx="63">
                  <c:v>5.7849469589025974E-2</c:v>
                </c:pt>
                <c:pt idx="64">
                  <c:v>5.815523799150861E-2</c:v>
                </c:pt>
                <c:pt idx="65">
                  <c:v>5.8461006393991245E-2</c:v>
                </c:pt>
                <c:pt idx="66">
                  <c:v>5.8766774796473881E-2</c:v>
                </c:pt>
                <c:pt idx="67">
                  <c:v>5.9072543198956516E-2</c:v>
                </c:pt>
                <c:pt idx="68">
                  <c:v>5.9378311601439152E-2</c:v>
                </c:pt>
                <c:pt idx="69">
                  <c:v>5.9684080003921787E-2</c:v>
                </c:pt>
                <c:pt idx="70">
                  <c:v>5.9989848406404422E-2</c:v>
                </c:pt>
                <c:pt idx="71">
                  <c:v>6.0295616808887058E-2</c:v>
                </c:pt>
                <c:pt idx="72">
                  <c:v>6.0601385211369693E-2</c:v>
                </c:pt>
                <c:pt idx="73">
                  <c:v>6.0907153613852329E-2</c:v>
                </c:pt>
                <c:pt idx="74">
                  <c:v>6.1212922016334964E-2</c:v>
                </c:pt>
                <c:pt idx="75">
                  <c:v>6.15186904188176E-2</c:v>
                </c:pt>
                <c:pt idx="76">
                  <c:v>6.1824458821300235E-2</c:v>
                </c:pt>
                <c:pt idx="77">
                  <c:v>6.213022722378287E-2</c:v>
                </c:pt>
                <c:pt idx="78">
                  <c:v>6.2435995626265506E-2</c:v>
                </c:pt>
                <c:pt idx="79">
                  <c:v>6.2741764028748134E-2</c:v>
                </c:pt>
                <c:pt idx="80">
                  <c:v>6.3047532431230763E-2</c:v>
                </c:pt>
                <c:pt idx="81">
                  <c:v>6.3353300833713391E-2</c:v>
                </c:pt>
                <c:pt idx="82">
                  <c:v>6.365906923619602E-2</c:v>
                </c:pt>
                <c:pt idx="83">
                  <c:v>6.3964837638678648E-2</c:v>
                </c:pt>
                <c:pt idx="84">
                  <c:v>6.4270606041161277E-2</c:v>
                </c:pt>
                <c:pt idx="85">
                  <c:v>6.4576374443643905E-2</c:v>
                </c:pt>
                <c:pt idx="86">
                  <c:v>6.4882142846126534E-2</c:v>
                </c:pt>
                <c:pt idx="87">
                  <c:v>6.5187911248609162E-2</c:v>
                </c:pt>
                <c:pt idx="88">
                  <c:v>6.5493679651091791E-2</c:v>
                </c:pt>
                <c:pt idx="89">
                  <c:v>6.5799448053574419E-2</c:v>
                </c:pt>
                <c:pt idx="90">
                  <c:v>6.6105216456057048E-2</c:v>
                </c:pt>
                <c:pt idx="91">
                  <c:v>6.6410984858539676E-2</c:v>
                </c:pt>
                <c:pt idx="92">
                  <c:v>6.6716753261022305E-2</c:v>
                </c:pt>
                <c:pt idx="93">
                  <c:v>6.7022521663504933E-2</c:v>
                </c:pt>
                <c:pt idx="94">
                  <c:v>6.7328290065987562E-2</c:v>
                </c:pt>
                <c:pt idx="95">
                  <c:v>6.763405846847019E-2</c:v>
                </c:pt>
                <c:pt idx="96">
                  <c:v>6.7939826870952819E-2</c:v>
                </c:pt>
                <c:pt idx="97">
                  <c:v>6.8245595273435447E-2</c:v>
                </c:pt>
                <c:pt idx="98">
                  <c:v>6.8551363675918076E-2</c:v>
                </c:pt>
                <c:pt idx="99">
                  <c:v>6.8857132078400704E-2</c:v>
                </c:pt>
              </c:numCache>
            </c:numRef>
          </c:xVal>
          <c:yVal>
            <c:numRef>
              <c:f>'Compactação Completo (3CBR)'!$BE$3:$EZ$3</c:f>
              <c:numCache>
                <c:formatCode>_(* #,##0.0_);_(* \(#,##0.0\);_(* "-"?_);_(@_)</c:formatCode>
                <c:ptCount val="100"/>
                <c:pt idx="0">
                  <c:v>15027.166698274305</c:v>
                </c:pt>
                <c:pt idx="1">
                  <c:v>15216.665715924566</c:v>
                </c:pt>
                <c:pt idx="2">
                  <c:v>15402.614962316446</c:v>
                </c:pt>
                <c:pt idx="3">
                  <c:v>15585.014437449965</c:v>
                </c:pt>
                <c:pt idx="4">
                  <c:v>15763.864141325088</c:v>
                </c:pt>
                <c:pt idx="5">
                  <c:v>15939.164073941844</c:v>
                </c:pt>
                <c:pt idx="6">
                  <c:v>16110.91423530021</c:v>
                </c:pt>
                <c:pt idx="7">
                  <c:v>16279.114625400194</c:v>
                </c:pt>
                <c:pt idx="8">
                  <c:v>16443.765244241818</c:v>
                </c:pt>
                <c:pt idx="9">
                  <c:v>16604.866091825053</c:v>
                </c:pt>
                <c:pt idx="10">
                  <c:v>16762.417168149921</c:v>
                </c:pt>
                <c:pt idx="11">
                  <c:v>16916.418473216385</c:v>
                </c:pt>
                <c:pt idx="12">
                  <c:v>17066.870007024496</c:v>
                </c:pt>
                <c:pt idx="13">
                  <c:v>17213.77176957421</c:v>
                </c:pt>
                <c:pt idx="14">
                  <c:v>17357.12376086555</c:v>
                </c:pt>
                <c:pt idx="15">
                  <c:v>17496.925980898523</c:v>
                </c:pt>
                <c:pt idx="16">
                  <c:v>17633.178429673098</c:v>
                </c:pt>
                <c:pt idx="17">
                  <c:v>17765.881107189314</c:v>
                </c:pt>
                <c:pt idx="18">
                  <c:v>17895.034013447141</c:v>
                </c:pt>
                <c:pt idx="19">
                  <c:v>18020.637148446585</c:v>
                </c:pt>
                <c:pt idx="20">
                  <c:v>18142.690512187663</c:v>
                </c:pt>
                <c:pt idx="21">
                  <c:v>18261.19410467035</c:v>
                </c:pt>
                <c:pt idx="22">
                  <c:v>18376.147925894671</c:v>
                </c:pt>
                <c:pt idx="23">
                  <c:v>18487.551975860602</c:v>
                </c:pt>
                <c:pt idx="24">
                  <c:v>18595.406254568166</c:v>
                </c:pt>
                <c:pt idx="25">
                  <c:v>18699.710762017334</c:v>
                </c:pt>
                <c:pt idx="26">
                  <c:v>18800.465498208134</c:v>
                </c:pt>
                <c:pt idx="27">
                  <c:v>18897.670463140559</c:v>
                </c:pt>
                <c:pt idx="28">
                  <c:v>18991.325656814603</c:v>
                </c:pt>
                <c:pt idx="29">
                  <c:v>19081.431079230264</c:v>
                </c:pt>
                <c:pt idx="30">
                  <c:v>19167.986730387544</c:v>
                </c:pt>
                <c:pt idx="31">
                  <c:v>19250.992610286448</c:v>
                </c:pt>
                <c:pt idx="32">
                  <c:v>19330.448718926986</c:v>
                </c:pt>
                <c:pt idx="33">
                  <c:v>19406.355056309127</c:v>
                </c:pt>
                <c:pt idx="34">
                  <c:v>19478.711622432907</c:v>
                </c:pt>
                <c:pt idx="35">
                  <c:v>19547.518417298292</c:v>
                </c:pt>
                <c:pt idx="36">
                  <c:v>19612.775440905294</c:v>
                </c:pt>
                <c:pt idx="37">
                  <c:v>19674.482693253944</c:v>
                </c:pt>
                <c:pt idx="38">
                  <c:v>19732.640174344197</c:v>
                </c:pt>
                <c:pt idx="39">
                  <c:v>19787.247884176082</c:v>
                </c:pt>
                <c:pt idx="40">
                  <c:v>19838.305822749571</c:v>
                </c:pt>
                <c:pt idx="41">
                  <c:v>19885.8139900647</c:v>
                </c:pt>
                <c:pt idx="42">
                  <c:v>19929.772386121433</c:v>
                </c:pt>
                <c:pt idx="43">
                  <c:v>19970.18101091979</c:v>
                </c:pt>
                <c:pt idx="44">
                  <c:v>20007.039864459788</c:v>
                </c:pt>
                <c:pt idx="45">
                  <c:v>20040.348946741382</c:v>
                </c:pt>
                <c:pt idx="46">
                  <c:v>20070.108257764623</c:v>
                </c:pt>
                <c:pt idx="47">
                  <c:v>20096.31779752946</c:v>
                </c:pt>
                <c:pt idx="48">
                  <c:v>20118.97756603593</c:v>
                </c:pt>
                <c:pt idx="49">
                  <c:v>20138.087563284033</c:v>
                </c:pt>
                <c:pt idx="50">
                  <c:v>20153.647789273731</c:v>
                </c:pt>
                <c:pt idx="51">
                  <c:v>20165.65824400507</c:v>
                </c:pt>
                <c:pt idx="52">
                  <c:v>20174.118927478026</c:v>
                </c:pt>
                <c:pt idx="53">
                  <c:v>20179.029839692594</c:v>
                </c:pt>
                <c:pt idx="54">
                  <c:v>20180.390980648801</c:v>
                </c:pt>
                <c:pt idx="55">
                  <c:v>20178.202350346619</c:v>
                </c:pt>
                <c:pt idx="56">
                  <c:v>20172.46394878607</c:v>
                </c:pt>
                <c:pt idx="57">
                  <c:v>20163.175775967124</c:v>
                </c:pt>
                <c:pt idx="58">
                  <c:v>20150.337831889818</c:v>
                </c:pt>
                <c:pt idx="59">
                  <c:v>20133.950116554108</c:v>
                </c:pt>
                <c:pt idx="60">
                  <c:v>20114.012629960038</c:v>
                </c:pt>
                <c:pt idx="61">
                  <c:v>20090.525372107593</c:v>
                </c:pt>
                <c:pt idx="62">
                  <c:v>20063.488342996752</c:v>
                </c:pt>
                <c:pt idx="63">
                  <c:v>20032.901542627558</c:v>
                </c:pt>
                <c:pt idx="64">
                  <c:v>19998.76497099996</c:v>
                </c:pt>
                <c:pt idx="65">
                  <c:v>19961.078628113981</c:v>
                </c:pt>
                <c:pt idx="66">
                  <c:v>19919.842513969648</c:v>
                </c:pt>
                <c:pt idx="67">
                  <c:v>19875.056628566919</c:v>
                </c:pt>
                <c:pt idx="68">
                  <c:v>19826.720971905816</c:v>
                </c:pt>
                <c:pt idx="69">
                  <c:v>19774.835543986337</c:v>
                </c:pt>
                <c:pt idx="70">
                  <c:v>19719.400344808484</c:v>
                </c:pt>
                <c:pt idx="71">
                  <c:v>19660.415374372242</c:v>
                </c:pt>
                <c:pt idx="72">
                  <c:v>19597.88063267761</c:v>
                </c:pt>
                <c:pt idx="73">
                  <c:v>19531.796119724633</c:v>
                </c:pt>
                <c:pt idx="74">
                  <c:v>19462.161835513252</c:v>
                </c:pt>
                <c:pt idx="75">
                  <c:v>19388.977780043497</c:v>
                </c:pt>
                <c:pt idx="76">
                  <c:v>19312.243953315367</c:v>
                </c:pt>
                <c:pt idx="77">
                  <c:v>19231.960355328847</c:v>
                </c:pt>
                <c:pt idx="78">
                  <c:v>19148.126986083967</c:v>
                </c:pt>
                <c:pt idx="79">
                  <c:v>19060.743845580713</c:v>
                </c:pt>
                <c:pt idx="80">
                  <c:v>18969.810933819055</c:v>
                </c:pt>
                <c:pt idx="81">
                  <c:v>18875.328250799022</c:v>
                </c:pt>
                <c:pt idx="82">
                  <c:v>18777.295796520644</c:v>
                </c:pt>
                <c:pt idx="83">
                  <c:v>18675.713570983833</c:v>
                </c:pt>
                <c:pt idx="84">
                  <c:v>18570.581574188705</c:v>
                </c:pt>
                <c:pt idx="85">
                  <c:v>18461.899806135174</c:v>
                </c:pt>
                <c:pt idx="86">
                  <c:v>18349.668266823268</c:v>
                </c:pt>
                <c:pt idx="87">
                  <c:v>18233.886956252943</c:v>
                </c:pt>
                <c:pt idx="88">
                  <c:v>18114.555874424288</c:v>
                </c:pt>
                <c:pt idx="89">
                  <c:v>17991.675021337243</c:v>
                </c:pt>
                <c:pt idx="90">
                  <c:v>17865.244396991795</c:v>
                </c:pt>
                <c:pt idx="91">
                  <c:v>17735.264001388001</c:v>
                </c:pt>
                <c:pt idx="92">
                  <c:v>17601.733834525818</c:v>
                </c:pt>
                <c:pt idx="93">
                  <c:v>17464.65389640526</c:v>
                </c:pt>
                <c:pt idx="94">
                  <c:v>17324.024187026313</c:v>
                </c:pt>
                <c:pt idx="95">
                  <c:v>17179.844706388991</c:v>
                </c:pt>
                <c:pt idx="96">
                  <c:v>17032.115454493309</c:v>
                </c:pt>
                <c:pt idx="97">
                  <c:v>16880.836431339209</c:v>
                </c:pt>
                <c:pt idx="98">
                  <c:v>16726.007636926748</c:v>
                </c:pt>
                <c:pt idx="99">
                  <c:v>16567.629071255928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FA-42EA-8662-DE7BE71554C0}"/>
            </c:ext>
          </c:extLst>
        </c:ser>
        <c:ser>
          <c:idx val="2"/>
          <c:order val="2"/>
          <c:tx>
            <c:v>Linha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(3CBR)'!$BA$90:$BA$92</c:f>
              <c:numCache>
                <c:formatCode>0.0%</c:formatCode>
                <c:ptCount val="3"/>
                <c:pt idx="0">
                  <c:v>0</c:v>
                </c:pt>
                <c:pt idx="1">
                  <c:v>6.0207044400483523E-2</c:v>
                </c:pt>
                <c:pt idx="2">
                  <c:v>6.0207044400483523E-2</c:v>
                </c:pt>
              </c:numCache>
            </c:numRef>
          </c:xVal>
          <c:yVal>
            <c:numRef>
              <c:f>'Compactação Completo (3CBR)'!$BB$90:$BB$92</c:f>
              <c:numCache>
                <c:formatCode>#,##0.00</c:formatCode>
                <c:ptCount val="3"/>
                <c:pt idx="0">
                  <c:v>19677.86684635804</c:v>
                </c:pt>
                <c:pt idx="1">
                  <c:v>19677.86684635804</c:v>
                </c:pt>
                <c:pt idx="2" formatCode="#,##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FA-42EA-8662-DE7BE7155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55008"/>
        <c:axId val="105756928"/>
      </c:scatterChart>
      <c:valAx>
        <c:axId val="105755008"/>
        <c:scaling>
          <c:orientation val="minMax"/>
          <c:max val="9.0000000000000024E-2"/>
          <c:min val="2.0000000000000004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Umidade (%)</a:t>
                </a:r>
              </a:p>
            </c:rich>
          </c:tx>
          <c:layout>
            <c:manualLayout>
              <c:xMode val="edge"/>
              <c:yMode val="edge"/>
              <c:x val="0.41814945884573379"/>
              <c:y val="0.87866108786610875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5756928"/>
        <c:crosses val="autoZero"/>
        <c:crossBetween val="midCat"/>
        <c:majorUnit val="1.0000000000000005E-2"/>
        <c:minorUnit val="2.0000000000000052E-3"/>
      </c:valAx>
      <c:valAx>
        <c:axId val="10575692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ISC</a:t>
                </a:r>
              </a:p>
            </c:rich>
          </c:tx>
          <c:layout>
            <c:manualLayout>
              <c:xMode val="edge"/>
              <c:yMode val="edge"/>
              <c:x val="1.9836827625465616E-3"/>
              <c:y val="0.4015946119943059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57550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66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4873" footer="0.49212598500004873"/>
    <c:pageSetup paperSize="9" orientation="landscape" horizontalDpi="300" verticalDpi="3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800">
                <a:solidFill>
                  <a:srgbClr val="006600"/>
                </a:solidFill>
              </a:rPr>
              <a:t>Penetração</a:t>
            </a:r>
          </a:p>
        </c:rich>
      </c:tx>
      <c:layout>
        <c:manualLayout>
          <c:xMode val="edge"/>
          <c:yMode val="edge"/>
          <c:x val="0.39402173913050442"/>
          <c:y val="2.3166023166023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1349024920271"/>
          <c:y val="0.13899640103993646"/>
          <c:w val="0.83435610871219956"/>
          <c:h val="0.66023290493956799"/>
        </c:manualLayout>
      </c:layout>
      <c:scatterChart>
        <c:scatterStyle val="lineMarker"/>
        <c:varyColors val="0"/>
        <c:ser>
          <c:idx val="2"/>
          <c:order val="0"/>
          <c:tx>
            <c:strRef>
              <c:f>'Compactação Completo (3CBR)'!$A$103:$D$103</c:f>
              <c:strCache>
                <c:ptCount val="1"/>
                <c:pt idx="0">
                  <c:v>Cilindro nº 46</c:v>
                </c:pt>
              </c:strCache>
            </c:strRef>
          </c:tx>
          <c:spPr>
            <a:ln w="22225" cmpd="sng">
              <a:noFill/>
              <a:prstDash val="sys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trendline>
            <c:spPr>
              <a:ln>
                <a:solidFill>
                  <a:srgbClr val="0000FF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'Compactação Completo (3CBR)'!$A$113:$A$120</c:f>
              <c:numCache>
                <c:formatCode>0.00</c:formatCode>
                <c:ptCount val="8"/>
                <c:pt idx="0">
                  <c:v>0.63</c:v>
                </c:pt>
                <c:pt idx="1">
                  <c:v>1.27</c:v>
                </c:pt>
                <c:pt idx="2">
                  <c:v>1.9</c:v>
                </c:pt>
                <c:pt idx="3">
                  <c:v>2.54</c:v>
                </c:pt>
                <c:pt idx="4">
                  <c:v>3.81</c:v>
                </c:pt>
                <c:pt idx="5">
                  <c:v>5.08</c:v>
                </c:pt>
                <c:pt idx="6">
                  <c:v>6.35</c:v>
                </c:pt>
                <c:pt idx="7">
                  <c:v>7.62</c:v>
                </c:pt>
              </c:numCache>
            </c:numRef>
          </c:xVal>
          <c:yVal>
            <c:numRef>
              <c:f>'Compactação Completo (3CBR)'!$D$113:$D$120</c:f>
              <c:numCache>
                <c:formatCode>0.0</c:formatCode>
                <c:ptCount val="8"/>
                <c:pt idx="0">
                  <c:v>3889.3500000000004</c:v>
                </c:pt>
                <c:pt idx="1">
                  <c:v>8146.35</c:v>
                </c:pt>
                <c:pt idx="2">
                  <c:v>12035.7</c:v>
                </c:pt>
                <c:pt idx="3">
                  <c:v>14164.2</c:v>
                </c:pt>
                <c:pt idx="4">
                  <c:v>17705.25</c:v>
                </c:pt>
                <c:pt idx="5">
                  <c:v>21246.300000000003</c:v>
                </c:pt>
                <c:pt idx="6">
                  <c:v>24439.050000000003</c:v>
                </c:pt>
                <c:pt idx="7">
                  <c:v>26915.850000000002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34-4869-A182-50861C5B349D}"/>
            </c:ext>
          </c:extLst>
        </c:ser>
        <c:ser>
          <c:idx val="0"/>
          <c:order val="1"/>
          <c:tx>
            <c:v>"Tendencia Linear"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'Compactação Completo (3CBR)'!$CB$105:$CJ$105</c:f>
              <c:numCache>
                <c:formatCode>0.00</c:formatCode>
                <c:ptCount val="9"/>
                <c:pt idx="0">
                  <c:v>0</c:v>
                </c:pt>
                <c:pt idx="1">
                  <c:v>0.63</c:v>
                </c:pt>
                <c:pt idx="2">
                  <c:v>1.27</c:v>
                </c:pt>
                <c:pt idx="3">
                  <c:v>1.9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'Compactação Completo (3CBR)'!$CB$106:$CJ$106</c:f>
              <c:numCache>
                <c:formatCode>0.00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34-4869-A182-50861C5B349D}"/>
            </c:ext>
          </c:extLst>
        </c:ser>
        <c:ser>
          <c:idx val="1"/>
          <c:order val="2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(3CBR)'!$CG$104:$CH$104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(3CBR)'!$CG$103:$CH$103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34-4869-A182-50861C5B349D}"/>
            </c:ext>
          </c:extLst>
        </c:ser>
        <c:ser>
          <c:idx val="3"/>
          <c:order val="3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(3CBR)'!$CI$104:$CJ$104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(3CBR)'!$CI$103:$CJ$103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34-4869-A182-50861C5B349D}"/>
            </c:ext>
          </c:extLst>
        </c:ser>
        <c:ser>
          <c:idx val="4"/>
          <c:order val="4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5.4644808743169355E-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534-4869-A182-50861C5B349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34-4869-A182-50861C5B349D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(3CBR)'!$CB$108:$CC$108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(3CBR)'!$CB$107:$CC$107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34-4869-A182-50861C5B349D}"/>
            </c:ext>
          </c:extLst>
        </c:ser>
        <c:ser>
          <c:idx val="5"/>
          <c:order val="5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(3CBR)'!$CD$108:$CE$108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(3CBR)'!$CD$107:$CE$107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534-4869-A182-50861C5B349D}"/>
            </c:ext>
          </c:extLst>
        </c:ser>
        <c:ser>
          <c:idx val="6"/>
          <c:order val="6"/>
          <c:tx>
            <c:v>"Correção"</c:v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(3CBR)'!$CE$108:$CF$108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(3CBR)'!$CE$107:$CF$107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534-4869-A182-50861C5B349D}"/>
            </c:ext>
          </c:extLst>
        </c:ser>
        <c:ser>
          <c:idx val="7"/>
          <c:order val="7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5138888888888888E-2"/>
                  <c:y val="2.1857923497267812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34-4869-A182-50861C5B349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534-4869-A182-50861C5B349D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(3CBR)'!$CH$108:$CI$108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(3CBR)'!$CH$107:$CI$107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534-4869-A182-50861C5B349D}"/>
            </c:ext>
          </c:extLst>
        </c:ser>
        <c:ser>
          <c:idx val="8"/>
          <c:order val="8"/>
          <c:tx>
            <c:strRef>
              <c:f>'Compactação Completo (3CBR)'!$CG$110</c:f>
              <c:strCache>
                <c:ptCount val="1"/>
                <c:pt idx="0">
                  <c:v>0,63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(3CBR)'!$CG$110:$CH$110</c:f>
              <c:numCache>
                <c:formatCode>0.00</c:formatCode>
                <c:ptCount val="2"/>
                <c:pt idx="0">
                  <c:v>0.63</c:v>
                </c:pt>
                <c:pt idx="1">
                  <c:v>0.63</c:v>
                </c:pt>
              </c:numCache>
            </c:numRef>
          </c:xVal>
          <c:yVal>
            <c:numRef>
              <c:f>'Compactação Completo (3CBR)'!$CI$110:$CJ$110</c:f>
              <c:numCache>
                <c:formatCode>0.0</c:formatCode>
                <c:ptCount val="2"/>
                <c:pt idx="0">
                  <c:v>0</c:v>
                </c:pt>
                <c:pt idx="1">
                  <c:v>26915.850000000002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534-4869-A182-50861C5B349D}"/>
            </c:ext>
          </c:extLst>
        </c:ser>
        <c:ser>
          <c:idx val="9"/>
          <c:order val="9"/>
          <c:tx>
            <c:strRef>
              <c:f>'Compactação Completo (3CBR)'!$CG$111</c:f>
              <c:strCache>
                <c:ptCount val="1"/>
                <c:pt idx="0">
                  <c:v>1,27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(3CBR)'!$CG$111:$CH$111</c:f>
              <c:numCache>
                <c:formatCode>0.00</c:formatCode>
                <c:ptCount val="2"/>
                <c:pt idx="0">
                  <c:v>1.27</c:v>
                </c:pt>
                <c:pt idx="1">
                  <c:v>1.27</c:v>
                </c:pt>
              </c:numCache>
            </c:numRef>
          </c:xVal>
          <c:yVal>
            <c:numRef>
              <c:f>'Compactação Completo (3CBR)'!$CI$111:$CJ$111</c:f>
              <c:numCache>
                <c:formatCode>0.0</c:formatCode>
                <c:ptCount val="2"/>
                <c:pt idx="0">
                  <c:v>0</c:v>
                </c:pt>
                <c:pt idx="1">
                  <c:v>26915.850000000002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534-4869-A182-50861C5B349D}"/>
            </c:ext>
          </c:extLst>
        </c:ser>
        <c:ser>
          <c:idx val="10"/>
          <c:order val="10"/>
          <c:tx>
            <c:strRef>
              <c:f>'Compactação Completo (3CBR)'!$CG$112</c:f>
              <c:strCache>
                <c:ptCount val="1"/>
                <c:pt idx="0">
                  <c:v>1,90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(3CBR)'!$CG$112:$CH$112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xVal>
          <c:yVal>
            <c:numRef>
              <c:f>'Compactação Completo (3CBR)'!$CI$112:$CJ$112</c:f>
              <c:numCache>
                <c:formatCode>0.0</c:formatCode>
                <c:ptCount val="2"/>
                <c:pt idx="0">
                  <c:v>0</c:v>
                </c:pt>
                <c:pt idx="1">
                  <c:v>26915.850000000002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534-4869-A182-50861C5B349D}"/>
            </c:ext>
          </c:extLst>
        </c:ser>
        <c:ser>
          <c:idx val="11"/>
          <c:order val="11"/>
          <c:tx>
            <c:strRef>
              <c:f>'Compactação Completo (3CBR)'!$CG$113</c:f>
              <c:strCache>
                <c:ptCount val="1"/>
                <c:pt idx="0">
                  <c:v>2,54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(3CBR)'!$CG$113:$CH$113</c:f>
              <c:numCache>
                <c:formatCode>0.00</c:formatCode>
                <c:ptCount val="2"/>
                <c:pt idx="0">
                  <c:v>2.54</c:v>
                </c:pt>
                <c:pt idx="1">
                  <c:v>2.54</c:v>
                </c:pt>
              </c:numCache>
            </c:numRef>
          </c:xVal>
          <c:yVal>
            <c:numRef>
              <c:f>'Compactação Completo (3CBR)'!$CI$113:$CJ$113</c:f>
              <c:numCache>
                <c:formatCode>0.0</c:formatCode>
                <c:ptCount val="2"/>
                <c:pt idx="0">
                  <c:v>0</c:v>
                </c:pt>
                <c:pt idx="1">
                  <c:v>26915.850000000002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534-4869-A182-50861C5B349D}"/>
            </c:ext>
          </c:extLst>
        </c:ser>
        <c:ser>
          <c:idx val="12"/>
          <c:order val="12"/>
          <c:tx>
            <c:strRef>
              <c:f>'Compactação Completo (3CBR)'!$CG$114</c:f>
              <c:strCache>
                <c:ptCount val="1"/>
                <c:pt idx="0">
                  <c:v>3,81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(3CBR)'!$CG$114:$CH$114</c:f>
              <c:numCache>
                <c:formatCode>0.00</c:formatCode>
                <c:ptCount val="2"/>
                <c:pt idx="0">
                  <c:v>3.81</c:v>
                </c:pt>
                <c:pt idx="1">
                  <c:v>3.81</c:v>
                </c:pt>
              </c:numCache>
            </c:numRef>
          </c:xVal>
          <c:yVal>
            <c:numRef>
              <c:f>'Compactação Completo (3CBR)'!$CI$114:$CJ$114</c:f>
              <c:numCache>
                <c:formatCode>0.0</c:formatCode>
                <c:ptCount val="2"/>
                <c:pt idx="0">
                  <c:v>0</c:v>
                </c:pt>
                <c:pt idx="1">
                  <c:v>26915.850000000002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534-4869-A182-50861C5B349D}"/>
            </c:ext>
          </c:extLst>
        </c:ser>
        <c:ser>
          <c:idx val="13"/>
          <c:order val="13"/>
          <c:tx>
            <c:strRef>
              <c:f>'Compactação Completo (3CBR)'!$CG$115</c:f>
              <c:strCache>
                <c:ptCount val="1"/>
                <c:pt idx="0">
                  <c:v>5,08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(3CBR)'!$CG$115:$CH$115</c:f>
              <c:numCache>
                <c:formatCode>0.00</c:formatCode>
                <c:ptCount val="2"/>
                <c:pt idx="0">
                  <c:v>5.08</c:v>
                </c:pt>
                <c:pt idx="1">
                  <c:v>5.08</c:v>
                </c:pt>
              </c:numCache>
            </c:numRef>
          </c:xVal>
          <c:yVal>
            <c:numRef>
              <c:f>'Compactação Completo (3CBR)'!$CI$115:$CJ$115</c:f>
              <c:numCache>
                <c:formatCode>0.0</c:formatCode>
                <c:ptCount val="2"/>
                <c:pt idx="0">
                  <c:v>0</c:v>
                </c:pt>
                <c:pt idx="1">
                  <c:v>26915.850000000002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534-4869-A182-50861C5B349D}"/>
            </c:ext>
          </c:extLst>
        </c:ser>
        <c:ser>
          <c:idx val="14"/>
          <c:order val="14"/>
          <c:tx>
            <c:strRef>
              <c:f>'Compactação Completo (3CBR)'!$CG$116</c:f>
              <c:strCache>
                <c:ptCount val="1"/>
                <c:pt idx="0">
                  <c:v>6,35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(3CBR)'!$CG$116:$CH$116</c:f>
              <c:numCache>
                <c:formatCode>0.00</c:formatCode>
                <c:ptCount val="2"/>
                <c:pt idx="0">
                  <c:v>6.35</c:v>
                </c:pt>
                <c:pt idx="1">
                  <c:v>6.35</c:v>
                </c:pt>
              </c:numCache>
            </c:numRef>
          </c:xVal>
          <c:yVal>
            <c:numRef>
              <c:f>'Compactação Completo (3CBR)'!$CI$116:$CJ$116</c:f>
              <c:numCache>
                <c:formatCode>0.0</c:formatCode>
                <c:ptCount val="2"/>
                <c:pt idx="0">
                  <c:v>0</c:v>
                </c:pt>
                <c:pt idx="1">
                  <c:v>26915.850000000002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534-4869-A182-50861C5B349D}"/>
            </c:ext>
          </c:extLst>
        </c:ser>
        <c:ser>
          <c:idx val="15"/>
          <c:order val="15"/>
          <c:tx>
            <c:strRef>
              <c:f>'Compactação Completo (3CBR)'!$CG$117</c:f>
              <c:strCache>
                <c:ptCount val="1"/>
                <c:pt idx="0">
                  <c:v>7,62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534-4869-A182-50861C5B3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(3CBR)'!$CG$117:$CH$117</c:f>
              <c:numCache>
                <c:formatCode>0.00</c:formatCode>
                <c:ptCount val="2"/>
                <c:pt idx="0">
                  <c:v>7.62</c:v>
                </c:pt>
                <c:pt idx="1">
                  <c:v>7.62</c:v>
                </c:pt>
              </c:numCache>
            </c:numRef>
          </c:xVal>
          <c:yVal>
            <c:numRef>
              <c:f>'Compactação Completo (3CBR)'!$CI$117:$CJ$117</c:f>
              <c:numCache>
                <c:formatCode>0.0</c:formatCode>
                <c:ptCount val="2"/>
                <c:pt idx="0">
                  <c:v>0</c:v>
                </c:pt>
                <c:pt idx="1">
                  <c:v>26915.850000000002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534-4869-A182-50861C5B3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51936"/>
        <c:axId val="106153856"/>
      </c:scatterChart>
      <c:valAx>
        <c:axId val="106151936"/>
        <c:scaling>
          <c:orientation val="minMax"/>
          <c:max val="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Penetração. (mm)</a:t>
                </a:r>
              </a:p>
            </c:rich>
          </c:tx>
          <c:layout>
            <c:manualLayout>
              <c:xMode val="edge"/>
              <c:yMode val="edge"/>
              <c:x val="0.41123188405797101"/>
              <c:y val="0.9018990771316001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one"/>
        <c:crossAx val="106153856"/>
        <c:crosses val="autoZero"/>
        <c:crossBetween val="midCat"/>
        <c:majorUnit val="1"/>
        <c:minorUnit val="0.2"/>
      </c:valAx>
      <c:valAx>
        <c:axId val="106153856"/>
        <c:scaling>
          <c:orientation val="minMax"/>
          <c:min val="0"/>
        </c:scaling>
        <c:delete val="0"/>
        <c:axPos val="l"/>
        <c:majorGridlines>
          <c:spPr>
            <a:ln w="19050">
              <a:solidFill>
                <a:srgbClr val="339933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Pressão (Kgf/cm²)
</a:t>
                </a:r>
              </a:p>
            </c:rich>
          </c:tx>
          <c:layout>
            <c:manualLayout>
              <c:xMode val="edge"/>
              <c:yMode val="edge"/>
              <c:x val="2.7175232128248735E-3"/>
              <c:y val="0.311248010942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6151936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644" footer="0.4921259850000564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800">
                <a:solidFill>
                  <a:srgbClr val="006600"/>
                </a:solidFill>
              </a:rPr>
              <a:t>Penetração</a:t>
            </a:r>
          </a:p>
        </c:rich>
      </c:tx>
      <c:layout>
        <c:manualLayout>
          <c:xMode val="edge"/>
          <c:yMode val="edge"/>
          <c:x val="0.39402173913050453"/>
          <c:y val="2.31660231660231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1349024920271"/>
          <c:y val="0.13899640103993652"/>
          <c:w val="0.83435610871219956"/>
          <c:h val="0.66023290493956799"/>
        </c:manualLayout>
      </c:layout>
      <c:scatterChart>
        <c:scatterStyle val="lineMarker"/>
        <c:varyColors val="0"/>
        <c:ser>
          <c:idx val="2"/>
          <c:order val="0"/>
          <c:tx>
            <c:strRef>
              <c:f>'Compactação Completo (3CBR)'!$A$122:$D$122</c:f>
              <c:strCache>
                <c:ptCount val="1"/>
                <c:pt idx="0">
                  <c:v>Cilindro nº 48 Moldagem do ISC Ótimo</c:v>
                </c:pt>
              </c:strCache>
            </c:strRef>
          </c:tx>
          <c:spPr>
            <a:ln w="22225" cmpd="sng">
              <a:noFill/>
              <a:prstDash val="sysDash"/>
            </a:ln>
          </c:spPr>
          <c:marker>
            <c:symbol val="circle"/>
            <c:size val="3"/>
            <c:spPr>
              <a:solidFill>
                <a:srgbClr val="0000FF"/>
              </a:solidFill>
              <a:ln>
                <a:noFill/>
              </a:ln>
            </c:spPr>
          </c:marker>
          <c:trendline>
            <c:spPr>
              <a:ln>
                <a:solidFill>
                  <a:srgbClr val="0000FF"/>
                </a:solidFill>
              </a:ln>
            </c:spPr>
            <c:trendlineType val="poly"/>
            <c:order val="2"/>
            <c:dispRSqr val="0"/>
            <c:dispEq val="0"/>
          </c:trendline>
          <c:xVal>
            <c:numRef>
              <c:f>'Compactação Completo (3CBR)'!$A$132:$A$139</c:f>
              <c:numCache>
                <c:formatCode>0.00</c:formatCode>
                <c:ptCount val="8"/>
                <c:pt idx="0">
                  <c:v>0.63</c:v>
                </c:pt>
                <c:pt idx="1">
                  <c:v>1.27</c:v>
                </c:pt>
                <c:pt idx="2">
                  <c:v>1.9</c:v>
                </c:pt>
                <c:pt idx="3">
                  <c:v>2.54</c:v>
                </c:pt>
                <c:pt idx="4">
                  <c:v>3.81</c:v>
                </c:pt>
                <c:pt idx="5">
                  <c:v>5.08</c:v>
                </c:pt>
                <c:pt idx="6">
                  <c:v>6.35</c:v>
                </c:pt>
                <c:pt idx="7">
                  <c:v>7.62</c:v>
                </c:pt>
              </c:numCache>
            </c:numRef>
          </c:xVal>
          <c:yVal>
            <c:numRef>
              <c:f>'Compactação Completo (3CBR)'!$D$132:$D$139</c:f>
              <c:numCache>
                <c:formatCode>0.0</c:formatCode>
                <c:ptCount val="8"/>
                <c:pt idx="0">
                  <c:v>2902.5</c:v>
                </c:pt>
                <c:pt idx="1">
                  <c:v>5824.35</c:v>
                </c:pt>
                <c:pt idx="2">
                  <c:v>9597.6</c:v>
                </c:pt>
                <c:pt idx="3">
                  <c:v>11648.7</c:v>
                </c:pt>
                <c:pt idx="4">
                  <c:v>15712.2</c:v>
                </c:pt>
                <c:pt idx="5">
                  <c:v>17453.7</c:v>
                </c:pt>
                <c:pt idx="6">
                  <c:v>19795.050000000003</c:v>
                </c:pt>
                <c:pt idx="7">
                  <c:v>22697.550000000003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19-4E0B-93F8-4B4982572B38}"/>
            </c:ext>
          </c:extLst>
        </c:ser>
        <c:ser>
          <c:idx val="0"/>
          <c:order val="1"/>
          <c:tx>
            <c:v>"Tendencia Linear"</c:v>
          </c:tx>
          <c:spPr>
            <a:ln w="28575">
              <a:noFill/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'Compactação Completo (3CBR)'!$CB$124:$CJ$124</c:f>
              <c:numCache>
                <c:formatCode>0.00</c:formatCode>
                <c:ptCount val="9"/>
                <c:pt idx="0">
                  <c:v>0</c:v>
                </c:pt>
                <c:pt idx="1">
                  <c:v>0.63</c:v>
                </c:pt>
                <c:pt idx="2">
                  <c:v>1.27</c:v>
                </c:pt>
                <c:pt idx="3">
                  <c:v>1.9</c:v>
                </c:pt>
                <c:pt idx="4">
                  <c:v>2.54</c:v>
                </c:pt>
                <c:pt idx="5">
                  <c:v>3.81</c:v>
                </c:pt>
                <c:pt idx="6">
                  <c:v>5.08</c:v>
                </c:pt>
                <c:pt idx="7">
                  <c:v>6.35</c:v>
                </c:pt>
                <c:pt idx="8">
                  <c:v>7.62</c:v>
                </c:pt>
              </c:numCache>
            </c:numRef>
          </c:xVal>
          <c:yVal>
            <c:numRef>
              <c:f>'Compactação Completo (3CBR)'!$CB$125:$CJ$125</c:f>
              <c:numCache>
                <c:formatCode>0.00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19-4E0B-93F8-4B4982572B38}"/>
            </c:ext>
          </c:extLst>
        </c:ser>
        <c:ser>
          <c:idx val="1"/>
          <c:order val="2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(3CBR)'!$CG$123:$CH$123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(3CBR)'!$CG$122:$CH$122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19-4E0B-93F8-4B4982572B38}"/>
            </c:ext>
          </c:extLst>
        </c:ser>
        <c:ser>
          <c:idx val="3"/>
          <c:order val="3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(3CBR)'!$CI$123:$CJ$123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(3CBR)'!$CI$122:$CJ$122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19-4E0B-93F8-4B4982572B38}"/>
            </c:ext>
          </c:extLst>
        </c:ser>
        <c:ser>
          <c:idx val="4"/>
          <c:order val="4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2083333333334134E-2"/>
                  <c:y val="5.4644808743169355E-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19-4E0B-93F8-4B4982572B3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19-4E0B-93F8-4B4982572B38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(3CBR)'!$CB$127:$CC$127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(3CBR)'!$CB$126:$CC$126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19-4E0B-93F8-4B4982572B38}"/>
            </c:ext>
          </c:extLst>
        </c:ser>
        <c:ser>
          <c:idx val="5"/>
          <c:order val="5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(3CBR)'!$CD$127:$CE$127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(3CBR)'!$CD$126:$CE$126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19-4E0B-93F8-4B4982572B38}"/>
            </c:ext>
          </c:extLst>
        </c:ser>
        <c:ser>
          <c:idx val="6"/>
          <c:order val="6"/>
          <c:tx>
            <c:v>"Correção"</c:v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(3CBR)'!$CE$127:$CF$127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(3CBR)'!$CE$126:$CF$126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E19-4E0B-93F8-4B4982572B38}"/>
            </c:ext>
          </c:extLst>
        </c:ser>
        <c:ser>
          <c:idx val="7"/>
          <c:order val="7"/>
          <c:tx>
            <c:v>"Correção"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4.5138888888888888E-2"/>
                  <c:y val="2.1857923497267812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19-4E0B-93F8-4B4982572B3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19-4E0B-93F8-4B4982572B38}"/>
                </c:ext>
              </c:extLst>
            </c:dLbl>
            <c:numFmt formatCode="#,##0.0" sourceLinked="0"/>
            <c:spPr>
              <a:solidFill>
                <a:srgbClr val="66FFFF"/>
              </a:solidFill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(3CBR)'!$CH$127:$CI$127</c:f>
              <c:numCache>
                <c:formatCode>0.00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xVal>
          <c:yVal>
            <c:numRef>
              <c:f>'Compactação Completo (3CBR)'!$CH$126:$CI$126</c:f>
              <c:numCache>
                <c:formatCode>0.00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E19-4E0B-93F8-4B4982572B38}"/>
            </c:ext>
          </c:extLst>
        </c:ser>
        <c:ser>
          <c:idx val="8"/>
          <c:order val="8"/>
          <c:tx>
            <c:strRef>
              <c:f>'Compactação Completo (3CBR)'!$CG$129</c:f>
              <c:strCache>
                <c:ptCount val="1"/>
                <c:pt idx="0">
                  <c:v>0,63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(3CBR)'!$CG$129:$CH$129</c:f>
              <c:numCache>
                <c:formatCode>0.00</c:formatCode>
                <c:ptCount val="2"/>
                <c:pt idx="0">
                  <c:v>0.63</c:v>
                </c:pt>
                <c:pt idx="1">
                  <c:v>0.63</c:v>
                </c:pt>
              </c:numCache>
            </c:numRef>
          </c:xVal>
          <c:yVal>
            <c:numRef>
              <c:f>'Compactação Completo (3CBR)'!$CI$129:$CJ$129</c:f>
              <c:numCache>
                <c:formatCode>0.0</c:formatCode>
                <c:ptCount val="2"/>
                <c:pt idx="0">
                  <c:v>0</c:v>
                </c:pt>
                <c:pt idx="1">
                  <c:v>22697.550000000003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E19-4E0B-93F8-4B4982572B38}"/>
            </c:ext>
          </c:extLst>
        </c:ser>
        <c:ser>
          <c:idx val="9"/>
          <c:order val="9"/>
          <c:tx>
            <c:strRef>
              <c:f>'Compactação Completo (3CBR)'!$CG$130</c:f>
              <c:strCache>
                <c:ptCount val="1"/>
                <c:pt idx="0">
                  <c:v>1,27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(3CBR)'!$CG$130:$CH$130</c:f>
              <c:numCache>
                <c:formatCode>0.00</c:formatCode>
                <c:ptCount val="2"/>
                <c:pt idx="0">
                  <c:v>1.27</c:v>
                </c:pt>
                <c:pt idx="1">
                  <c:v>1.27</c:v>
                </c:pt>
              </c:numCache>
            </c:numRef>
          </c:xVal>
          <c:yVal>
            <c:numRef>
              <c:f>'Compactação Completo (3CBR)'!$CI$130:$CJ$130</c:f>
              <c:numCache>
                <c:formatCode>0.0</c:formatCode>
                <c:ptCount val="2"/>
                <c:pt idx="0">
                  <c:v>0</c:v>
                </c:pt>
                <c:pt idx="1">
                  <c:v>22697.550000000003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E19-4E0B-93F8-4B4982572B38}"/>
            </c:ext>
          </c:extLst>
        </c:ser>
        <c:ser>
          <c:idx val="10"/>
          <c:order val="10"/>
          <c:tx>
            <c:strRef>
              <c:f>'Compactação Completo (3CBR)'!$CG$131</c:f>
              <c:strCache>
                <c:ptCount val="1"/>
                <c:pt idx="0">
                  <c:v>1,90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(3CBR)'!$CG$131:$CH$131</c:f>
              <c:numCache>
                <c:formatCode>0.00</c:formatCode>
                <c:ptCount val="2"/>
                <c:pt idx="0">
                  <c:v>1.9</c:v>
                </c:pt>
                <c:pt idx="1">
                  <c:v>1.9</c:v>
                </c:pt>
              </c:numCache>
            </c:numRef>
          </c:xVal>
          <c:yVal>
            <c:numRef>
              <c:f>'Compactação Completo (3CBR)'!$CI$131:$CJ$131</c:f>
              <c:numCache>
                <c:formatCode>0.0</c:formatCode>
                <c:ptCount val="2"/>
                <c:pt idx="0">
                  <c:v>0</c:v>
                </c:pt>
                <c:pt idx="1">
                  <c:v>22697.550000000003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E19-4E0B-93F8-4B4982572B38}"/>
            </c:ext>
          </c:extLst>
        </c:ser>
        <c:ser>
          <c:idx val="11"/>
          <c:order val="11"/>
          <c:tx>
            <c:strRef>
              <c:f>'Compactação Completo (3CBR)'!$CG$132</c:f>
              <c:strCache>
                <c:ptCount val="1"/>
                <c:pt idx="0">
                  <c:v>2,54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(3CBR)'!$CG$132:$CH$132</c:f>
              <c:numCache>
                <c:formatCode>0.00</c:formatCode>
                <c:ptCount val="2"/>
                <c:pt idx="0">
                  <c:v>2.54</c:v>
                </c:pt>
                <c:pt idx="1">
                  <c:v>2.54</c:v>
                </c:pt>
              </c:numCache>
            </c:numRef>
          </c:xVal>
          <c:yVal>
            <c:numRef>
              <c:f>'Compactação Completo (3CBR)'!$CI$132:$CJ$132</c:f>
              <c:numCache>
                <c:formatCode>0.0</c:formatCode>
                <c:ptCount val="2"/>
                <c:pt idx="0">
                  <c:v>0</c:v>
                </c:pt>
                <c:pt idx="1">
                  <c:v>22697.550000000003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E19-4E0B-93F8-4B4982572B38}"/>
            </c:ext>
          </c:extLst>
        </c:ser>
        <c:ser>
          <c:idx val="12"/>
          <c:order val="12"/>
          <c:tx>
            <c:strRef>
              <c:f>'Compactação Completo (3CBR)'!$CG$133</c:f>
              <c:strCache>
                <c:ptCount val="1"/>
                <c:pt idx="0">
                  <c:v>3,81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(3CBR)'!$CG$133:$CH$133</c:f>
              <c:numCache>
                <c:formatCode>0.00</c:formatCode>
                <c:ptCount val="2"/>
                <c:pt idx="0">
                  <c:v>3.81</c:v>
                </c:pt>
                <c:pt idx="1">
                  <c:v>3.81</c:v>
                </c:pt>
              </c:numCache>
            </c:numRef>
          </c:xVal>
          <c:yVal>
            <c:numRef>
              <c:f>'Compactação Completo (3CBR)'!$CI$133:$CJ$133</c:f>
              <c:numCache>
                <c:formatCode>0.0</c:formatCode>
                <c:ptCount val="2"/>
                <c:pt idx="0">
                  <c:v>0</c:v>
                </c:pt>
                <c:pt idx="1">
                  <c:v>22697.550000000003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E19-4E0B-93F8-4B4982572B38}"/>
            </c:ext>
          </c:extLst>
        </c:ser>
        <c:ser>
          <c:idx val="13"/>
          <c:order val="13"/>
          <c:tx>
            <c:strRef>
              <c:f>'Compactação Completo (3CBR)'!$CG$134</c:f>
              <c:strCache>
                <c:ptCount val="1"/>
                <c:pt idx="0">
                  <c:v>5,08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(3CBR)'!$CG$134:$CH$134</c:f>
              <c:numCache>
                <c:formatCode>0.00</c:formatCode>
                <c:ptCount val="2"/>
                <c:pt idx="0">
                  <c:v>5.08</c:v>
                </c:pt>
                <c:pt idx="1">
                  <c:v>5.08</c:v>
                </c:pt>
              </c:numCache>
            </c:numRef>
          </c:xVal>
          <c:yVal>
            <c:numRef>
              <c:f>'Compactação Completo (3CBR)'!$CI$134:$CJ$134</c:f>
              <c:numCache>
                <c:formatCode>0.0</c:formatCode>
                <c:ptCount val="2"/>
                <c:pt idx="0">
                  <c:v>0</c:v>
                </c:pt>
                <c:pt idx="1">
                  <c:v>22697.550000000003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E19-4E0B-93F8-4B4982572B38}"/>
            </c:ext>
          </c:extLst>
        </c:ser>
        <c:ser>
          <c:idx val="14"/>
          <c:order val="14"/>
          <c:tx>
            <c:strRef>
              <c:f>'Compactação Completo (3CBR)'!$CG$135</c:f>
              <c:strCache>
                <c:ptCount val="1"/>
                <c:pt idx="0">
                  <c:v>6,35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(3CBR)'!$CG$135:$CH$135</c:f>
              <c:numCache>
                <c:formatCode>0.00</c:formatCode>
                <c:ptCount val="2"/>
                <c:pt idx="0">
                  <c:v>6.35</c:v>
                </c:pt>
                <c:pt idx="1">
                  <c:v>6.35</c:v>
                </c:pt>
              </c:numCache>
            </c:numRef>
          </c:xVal>
          <c:yVal>
            <c:numRef>
              <c:f>'Compactação Completo (3CBR)'!$CI$135:$CJ$135</c:f>
              <c:numCache>
                <c:formatCode>0.0</c:formatCode>
                <c:ptCount val="2"/>
                <c:pt idx="0">
                  <c:v>0</c:v>
                </c:pt>
                <c:pt idx="1">
                  <c:v>22697.550000000003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E19-4E0B-93F8-4B4982572B38}"/>
            </c:ext>
          </c:extLst>
        </c:ser>
        <c:ser>
          <c:idx val="15"/>
          <c:order val="15"/>
          <c:tx>
            <c:strRef>
              <c:f>'Compactação Completo (3CBR)'!$CG$136</c:f>
              <c:strCache>
                <c:ptCount val="1"/>
                <c:pt idx="0">
                  <c:v>7,62</c:v>
                </c:pt>
              </c:strCache>
            </c:strRef>
          </c:tx>
          <c:spPr>
            <a:ln w="12700">
              <a:solidFill>
                <a:srgbClr val="0066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E19-4E0B-93F8-4B4982572B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66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(3CBR)'!$CG$136:$CH$136</c:f>
              <c:numCache>
                <c:formatCode>0.00</c:formatCode>
                <c:ptCount val="2"/>
                <c:pt idx="0">
                  <c:v>7.62</c:v>
                </c:pt>
                <c:pt idx="1">
                  <c:v>7.62</c:v>
                </c:pt>
              </c:numCache>
            </c:numRef>
          </c:xVal>
          <c:yVal>
            <c:numRef>
              <c:f>'Compactação Completo (3CBR)'!$CI$136:$CJ$136</c:f>
              <c:numCache>
                <c:formatCode>0.0</c:formatCode>
                <c:ptCount val="2"/>
                <c:pt idx="0">
                  <c:v>0</c:v>
                </c:pt>
                <c:pt idx="1">
                  <c:v>22697.550000000003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E19-4E0B-93F8-4B4982572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15904"/>
        <c:axId val="105917824"/>
      </c:scatterChart>
      <c:valAx>
        <c:axId val="105915904"/>
        <c:scaling>
          <c:orientation val="minMax"/>
          <c:max val="8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Penetração. (mm)</a:t>
                </a:r>
              </a:p>
            </c:rich>
          </c:tx>
          <c:layout>
            <c:manualLayout>
              <c:xMode val="edge"/>
              <c:yMode val="edge"/>
              <c:x val="0.41123188405797101"/>
              <c:y val="0.9018990771316003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one"/>
        <c:crossAx val="105917824"/>
        <c:crosses val="autoZero"/>
        <c:crossBetween val="midCat"/>
        <c:majorUnit val="1"/>
        <c:minorUnit val="0.2"/>
      </c:valAx>
      <c:valAx>
        <c:axId val="105917824"/>
        <c:scaling>
          <c:orientation val="minMax"/>
          <c:min val="0"/>
        </c:scaling>
        <c:delete val="0"/>
        <c:axPos val="l"/>
        <c:majorGridlines>
          <c:spPr>
            <a:ln w="19050">
              <a:solidFill>
                <a:srgbClr val="339933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 sz="800" b="1">
                    <a:solidFill>
                      <a:srgbClr val="006600"/>
                    </a:solidFill>
                  </a:rPr>
                  <a:t>Pressão (Kgf/cm²)
</a:t>
                </a:r>
              </a:p>
            </c:rich>
          </c:tx>
          <c:layout>
            <c:manualLayout>
              <c:xMode val="edge"/>
              <c:yMode val="edge"/>
              <c:x val="2.7175232128248752E-3"/>
              <c:y val="0.311248010942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5915904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666" footer="0.4921259850000566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6600"/>
                </a:solidFill>
                <a:latin typeface="Arial"/>
                <a:ea typeface="Arial"/>
                <a:cs typeface="Arial"/>
              </a:defRPr>
            </a:pPr>
            <a:r>
              <a:rPr lang="pt-BR">
                <a:solidFill>
                  <a:srgbClr val="006600"/>
                </a:solidFill>
              </a:rPr>
              <a:t>Expansão</a:t>
            </a:r>
          </a:p>
        </c:rich>
      </c:tx>
      <c:layout>
        <c:manualLayout>
          <c:xMode val="edge"/>
          <c:yMode val="edge"/>
          <c:x val="0.39142147446051034"/>
          <c:y val="4.16666666666666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766780599107491"/>
          <c:y val="0.17916739570067144"/>
          <c:w val="0.73726638067922157"/>
          <c:h val="0.59583575779523756"/>
        </c:manualLayout>
      </c:layout>
      <c:scatterChart>
        <c:scatterStyle val="lineMarker"/>
        <c:varyColors val="0"/>
        <c:ser>
          <c:idx val="1"/>
          <c:order val="0"/>
          <c:tx>
            <c:v>Tendência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dLbls>
            <c:delete val="1"/>
          </c:dLbls>
          <c:xVal>
            <c:numRef>
              <c:f>'Compactação Completo (3CBR)'!$BE$1:$EZ$1</c:f>
              <c:numCache>
                <c:formatCode>0.0%</c:formatCode>
                <c:ptCount val="100"/>
                <c:pt idx="0">
                  <c:v>3.8586060232619943E-2</c:v>
                </c:pt>
                <c:pt idx="1">
                  <c:v>3.8891828635102578E-2</c:v>
                </c:pt>
                <c:pt idx="2">
                  <c:v>3.9197597037585213E-2</c:v>
                </c:pt>
                <c:pt idx="3">
                  <c:v>3.9503365440067849E-2</c:v>
                </c:pt>
                <c:pt idx="4">
                  <c:v>3.9809133842550484E-2</c:v>
                </c:pt>
                <c:pt idx="5">
                  <c:v>4.011490224503312E-2</c:v>
                </c:pt>
                <c:pt idx="6">
                  <c:v>4.0420670647515755E-2</c:v>
                </c:pt>
                <c:pt idx="7">
                  <c:v>4.0726439049998391E-2</c:v>
                </c:pt>
                <c:pt idx="8">
                  <c:v>4.1032207452481026E-2</c:v>
                </c:pt>
                <c:pt idx="9">
                  <c:v>4.1337975854963661E-2</c:v>
                </c:pt>
                <c:pt idx="10">
                  <c:v>4.1643744257446297E-2</c:v>
                </c:pt>
                <c:pt idx="11">
                  <c:v>4.1949512659928932E-2</c:v>
                </c:pt>
                <c:pt idx="12">
                  <c:v>4.2255281062411568E-2</c:v>
                </c:pt>
                <c:pt idx="13">
                  <c:v>4.2561049464894203E-2</c:v>
                </c:pt>
                <c:pt idx="14">
                  <c:v>4.2866817867376839E-2</c:v>
                </c:pt>
                <c:pt idx="15">
                  <c:v>4.3172586269859474E-2</c:v>
                </c:pt>
                <c:pt idx="16">
                  <c:v>4.3478354672342109E-2</c:v>
                </c:pt>
                <c:pt idx="17">
                  <c:v>4.3784123074824745E-2</c:v>
                </c:pt>
                <c:pt idx="18">
                  <c:v>4.408989147730738E-2</c:v>
                </c:pt>
                <c:pt idx="19">
                  <c:v>4.4395659879790016E-2</c:v>
                </c:pt>
                <c:pt idx="20">
                  <c:v>4.4701428282272651E-2</c:v>
                </c:pt>
                <c:pt idx="21">
                  <c:v>4.5007196684755287E-2</c:v>
                </c:pt>
                <c:pt idx="22">
                  <c:v>4.5312965087237922E-2</c:v>
                </c:pt>
                <c:pt idx="23">
                  <c:v>4.5618733489720557E-2</c:v>
                </c:pt>
                <c:pt idx="24">
                  <c:v>4.5924501892203193E-2</c:v>
                </c:pt>
                <c:pt idx="25">
                  <c:v>4.6230270294685828E-2</c:v>
                </c:pt>
                <c:pt idx="26">
                  <c:v>4.6536038697168464E-2</c:v>
                </c:pt>
                <c:pt idx="27">
                  <c:v>4.6841807099651099E-2</c:v>
                </c:pt>
                <c:pt idx="28">
                  <c:v>4.7147575502133734E-2</c:v>
                </c:pt>
                <c:pt idx="29">
                  <c:v>4.745334390461637E-2</c:v>
                </c:pt>
                <c:pt idx="30">
                  <c:v>4.7759112307099005E-2</c:v>
                </c:pt>
                <c:pt idx="31">
                  <c:v>4.8064880709581641E-2</c:v>
                </c:pt>
                <c:pt idx="32">
                  <c:v>4.8370649112064276E-2</c:v>
                </c:pt>
                <c:pt idx="33">
                  <c:v>4.8676417514546912E-2</c:v>
                </c:pt>
                <c:pt idx="34">
                  <c:v>4.8982185917029547E-2</c:v>
                </c:pt>
                <c:pt idx="35">
                  <c:v>4.9287954319512182E-2</c:v>
                </c:pt>
                <c:pt idx="36">
                  <c:v>4.9593722721994818E-2</c:v>
                </c:pt>
                <c:pt idx="37">
                  <c:v>4.9899491124477453E-2</c:v>
                </c:pt>
                <c:pt idx="38">
                  <c:v>5.0205259526960089E-2</c:v>
                </c:pt>
                <c:pt idx="39">
                  <c:v>5.0511027929442724E-2</c:v>
                </c:pt>
                <c:pt idx="40">
                  <c:v>5.081679633192536E-2</c:v>
                </c:pt>
                <c:pt idx="41">
                  <c:v>5.1122564734407995E-2</c:v>
                </c:pt>
                <c:pt idx="42">
                  <c:v>5.142833313689063E-2</c:v>
                </c:pt>
                <c:pt idx="43">
                  <c:v>5.1734101539373266E-2</c:v>
                </c:pt>
                <c:pt idx="44">
                  <c:v>5.2039869941855901E-2</c:v>
                </c:pt>
                <c:pt idx="45">
                  <c:v>5.2345638344338537E-2</c:v>
                </c:pt>
                <c:pt idx="46">
                  <c:v>5.2651406746821172E-2</c:v>
                </c:pt>
                <c:pt idx="47">
                  <c:v>5.2957175149303808E-2</c:v>
                </c:pt>
                <c:pt idx="48">
                  <c:v>5.3262943551786443E-2</c:v>
                </c:pt>
                <c:pt idx="49">
                  <c:v>5.3568711954269078E-2</c:v>
                </c:pt>
                <c:pt idx="50">
                  <c:v>5.3874480356751714E-2</c:v>
                </c:pt>
                <c:pt idx="51">
                  <c:v>5.4180248759234349E-2</c:v>
                </c:pt>
                <c:pt idx="52">
                  <c:v>5.4486017161716985E-2</c:v>
                </c:pt>
                <c:pt idx="53">
                  <c:v>5.479178556419962E-2</c:v>
                </c:pt>
                <c:pt idx="54">
                  <c:v>5.5097553966682256E-2</c:v>
                </c:pt>
                <c:pt idx="55">
                  <c:v>5.5403322369164891E-2</c:v>
                </c:pt>
                <c:pt idx="56">
                  <c:v>5.5709090771647526E-2</c:v>
                </c:pt>
                <c:pt idx="57">
                  <c:v>5.6014859174130162E-2</c:v>
                </c:pt>
                <c:pt idx="58">
                  <c:v>5.6320627576612797E-2</c:v>
                </c:pt>
                <c:pt idx="59">
                  <c:v>5.6626395979095433E-2</c:v>
                </c:pt>
                <c:pt idx="60">
                  <c:v>5.6932164381578068E-2</c:v>
                </c:pt>
                <c:pt idx="61">
                  <c:v>5.7237932784060704E-2</c:v>
                </c:pt>
                <c:pt idx="62">
                  <c:v>5.7543701186543339E-2</c:v>
                </c:pt>
                <c:pt idx="63">
                  <c:v>5.7849469589025974E-2</c:v>
                </c:pt>
                <c:pt idx="64">
                  <c:v>5.815523799150861E-2</c:v>
                </c:pt>
                <c:pt idx="65">
                  <c:v>5.8461006393991245E-2</c:v>
                </c:pt>
                <c:pt idx="66">
                  <c:v>5.8766774796473881E-2</c:v>
                </c:pt>
                <c:pt idx="67">
                  <c:v>5.9072543198956516E-2</c:v>
                </c:pt>
                <c:pt idx="68">
                  <c:v>5.9378311601439152E-2</c:v>
                </c:pt>
                <c:pt idx="69">
                  <c:v>5.9684080003921787E-2</c:v>
                </c:pt>
                <c:pt idx="70">
                  <c:v>5.9989848406404422E-2</c:v>
                </c:pt>
                <c:pt idx="71">
                  <c:v>6.0295616808887058E-2</c:v>
                </c:pt>
                <c:pt idx="72">
                  <c:v>6.0601385211369693E-2</c:v>
                </c:pt>
                <c:pt idx="73">
                  <c:v>6.0907153613852329E-2</c:v>
                </c:pt>
                <c:pt idx="74">
                  <c:v>6.1212922016334964E-2</c:v>
                </c:pt>
                <c:pt idx="75">
                  <c:v>6.15186904188176E-2</c:v>
                </c:pt>
                <c:pt idx="76">
                  <c:v>6.1824458821300235E-2</c:v>
                </c:pt>
                <c:pt idx="77">
                  <c:v>6.213022722378287E-2</c:v>
                </c:pt>
                <c:pt idx="78">
                  <c:v>6.2435995626265506E-2</c:v>
                </c:pt>
                <c:pt idx="79">
                  <c:v>6.2741764028748134E-2</c:v>
                </c:pt>
                <c:pt idx="80">
                  <c:v>6.3047532431230763E-2</c:v>
                </c:pt>
                <c:pt idx="81">
                  <c:v>6.3353300833713391E-2</c:v>
                </c:pt>
                <c:pt idx="82">
                  <c:v>6.365906923619602E-2</c:v>
                </c:pt>
                <c:pt idx="83">
                  <c:v>6.3964837638678648E-2</c:v>
                </c:pt>
                <c:pt idx="84">
                  <c:v>6.4270606041161277E-2</c:v>
                </c:pt>
                <c:pt idx="85">
                  <c:v>6.4576374443643905E-2</c:v>
                </c:pt>
                <c:pt idx="86">
                  <c:v>6.4882142846126534E-2</c:v>
                </c:pt>
                <c:pt idx="87">
                  <c:v>6.5187911248609162E-2</c:v>
                </c:pt>
                <c:pt idx="88">
                  <c:v>6.5493679651091791E-2</c:v>
                </c:pt>
                <c:pt idx="89">
                  <c:v>6.5799448053574419E-2</c:v>
                </c:pt>
                <c:pt idx="90">
                  <c:v>6.6105216456057048E-2</c:v>
                </c:pt>
                <c:pt idx="91">
                  <c:v>6.6410984858539676E-2</c:v>
                </c:pt>
                <c:pt idx="92">
                  <c:v>6.6716753261022305E-2</c:v>
                </c:pt>
                <c:pt idx="93">
                  <c:v>6.7022521663504933E-2</c:v>
                </c:pt>
                <c:pt idx="94">
                  <c:v>6.7328290065987562E-2</c:v>
                </c:pt>
                <c:pt idx="95">
                  <c:v>6.763405846847019E-2</c:v>
                </c:pt>
                <c:pt idx="96">
                  <c:v>6.7939826870952819E-2</c:v>
                </c:pt>
                <c:pt idx="97">
                  <c:v>6.8245595273435447E-2</c:v>
                </c:pt>
                <c:pt idx="98">
                  <c:v>6.8551363675918076E-2</c:v>
                </c:pt>
                <c:pt idx="99">
                  <c:v>6.8857132078400704E-2</c:v>
                </c:pt>
              </c:numCache>
            </c:numRef>
          </c:xVal>
          <c:yVal>
            <c:numRef>
              <c:f>'Compactação Completo (3CBR)'!$BE$4:$EZ$4</c:f>
              <c:numCache>
                <c:formatCode>_(* #,##0.00_);_(* \(#,##0.00\);_(* "-"??_);_(@_)</c:formatCode>
                <c:ptCount val="100"/>
                <c:pt idx="0" formatCode="General">
                  <c:v>0.13961605584642167</c:v>
                </c:pt>
                <c:pt idx="1">
                  <c:v>0.13707850707458169</c:v>
                </c:pt>
                <c:pt idx="2">
                  <c:v>0.13457298176274979</c:v>
                </c:pt>
                <c:pt idx="3">
                  <c:v>0.13209947991092597</c:v>
                </c:pt>
                <c:pt idx="4">
                  <c:v>0.12965800151911022</c:v>
                </c:pt>
                <c:pt idx="5">
                  <c:v>0.12724854658730267</c:v>
                </c:pt>
                <c:pt idx="6">
                  <c:v>0.12487111511550308</c:v>
                </c:pt>
                <c:pt idx="7">
                  <c:v>0.12252570710371169</c:v>
                </c:pt>
                <c:pt idx="8">
                  <c:v>0.12021232255192826</c:v>
                </c:pt>
                <c:pt idx="9">
                  <c:v>0.11793096146015314</c:v>
                </c:pt>
                <c:pt idx="10">
                  <c:v>0.11568162382838587</c:v>
                </c:pt>
                <c:pt idx="11">
                  <c:v>0.11346430965662679</c:v>
                </c:pt>
                <c:pt idx="12">
                  <c:v>0.1112790189448758</c:v>
                </c:pt>
                <c:pt idx="13">
                  <c:v>0.10912575169313299</c:v>
                </c:pt>
                <c:pt idx="14">
                  <c:v>0.10700450790139815</c:v>
                </c:pt>
                <c:pt idx="15">
                  <c:v>0.1049152875696715</c:v>
                </c:pt>
                <c:pt idx="16">
                  <c:v>0.10285809069795293</c:v>
                </c:pt>
                <c:pt idx="17">
                  <c:v>0.10083291728624233</c:v>
                </c:pt>
                <c:pt idx="18">
                  <c:v>9.8839767334539919E-2</c:v>
                </c:pt>
                <c:pt idx="19">
                  <c:v>9.6878640842845476E-2</c:v>
                </c:pt>
                <c:pt idx="20">
                  <c:v>9.4949537811159335E-2</c:v>
                </c:pt>
                <c:pt idx="21">
                  <c:v>9.3052458239481162E-2</c:v>
                </c:pt>
                <c:pt idx="22">
                  <c:v>9.1187402127810957E-2</c:v>
                </c:pt>
                <c:pt idx="23">
                  <c:v>8.9354369476148943E-2</c:v>
                </c:pt>
                <c:pt idx="24">
                  <c:v>8.7553360284495119E-2</c:v>
                </c:pt>
                <c:pt idx="25">
                  <c:v>8.5784374552849263E-2</c:v>
                </c:pt>
                <c:pt idx="26">
                  <c:v>8.4047412281211598E-2</c:v>
                </c:pt>
                <c:pt idx="27">
                  <c:v>8.2342473469582012E-2</c:v>
                </c:pt>
                <c:pt idx="28">
                  <c:v>8.0669558117960394E-2</c:v>
                </c:pt>
                <c:pt idx="29">
                  <c:v>7.9028666226347077E-2</c:v>
                </c:pt>
                <c:pt idx="30">
                  <c:v>7.7419797794741729E-2</c:v>
                </c:pt>
                <c:pt idx="31">
                  <c:v>7.5842952823144349E-2</c:v>
                </c:pt>
                <c:pt idx="32">
                  <c:v>7.429813131155516E-2</c:v>
                </c:pt>
                <c:pt idx="33">
                  <c:v>7.278533325997405E-2</c:v>
                </c:pt>
                <c:pt idx="34">
                  <c:v>7.1304558668401019E-2</c:v>
                </c:pt>
                <c:pt idx="35">
                  <c:v>6.9855807536836068E-2</c:v>
                </c:pt>
                <c:pt idx="36">
                  <c:v>6.8439079865279306E-2</c:v>
                </c:pt>
                <c:pt idx="37">
                  <c:v>6.7054375653730514E-2</c:v>
                </c:pt>
                <c:pt idx="38">
                  <c:v>6.57016949021898E-2</c:v>
                </c:pt>
                <c:pt idx="39">
                  <c:v>6.4381037610657277E-2</c:v>
                </c:pt>
                <c:pt idx="40">
                  <c:v>6.3092403779132833E-2</c:v>
                </c:pt>
                <c:pt idx="41">
                  <c:v>6.1835793407616468E-2</c:v>
                </c:pt>
                <c:pt idx="42">
                  <c:v>6.0611206496108183E-2</c:v>
                </c:pt>
                <c:pt idx="43">
                  <c:v>5.9418643044607977E-2</c:v>
                </c:pt>
                <c:pt idx="44">
                  <c:v>5.8258103053115851E-2</c:v>
                </c:pt>
                <c:pt idx="45">
                  <c:v>5.7129586521631803E-2</c:v>
                </c:pt>
                <c:pt idx="46">
                  <c:v>5.6033093450155835E-2</c:v>
                </c:pt>
                <c:pt idx="47">
                  <c:v>5.4968623838688058E-2</c:v>
                </c:pt>
                <c:pt idx="48">
                  <c:v>5.3936177687228248E-2</c:v>
                </c:pt>
                <c:pt idx="49">
                  <c:v>5.2935754995776518E-2</c:v>
                </c:pt>
                <c:pt idx="50">
                  <c:v>5.1967355764332979E-2</c:v>
                </c:pt>
                <c:pt idx="51">
                  <c:v>5.1030979992897629E-2</c:v>
                </c:pt>
                <c:pt idx="52">
                  <c:v>5.0126627681470137E-2</c:v>
                </c:pt>
                <c:pt idx="53">
                  <c:v>4.9254298830050836E-2</c:v>
                </c:pt>
                <c:pt idx="54">
                  <c:v>4.8413993438639613E-2</c:v>
                </c:pt>
                <c:pt idx="55">
                  <c:v>4.760571150723647E-2</c:v>
                </c:pt>
                <c:pt idx="56">
                  <c:v>4.6829453035841406E-2</c:v>
                </c:pt>
                <c:pt idx="57">
                  <c:v>4.6085218024454533E-2</c:v>
                </c:pt>
                <c:pt idx="58">
                  <c:v>4.5373006473075628E-2</c:v>
                </c:pt>
                <c:pt idx="59">
                  <c:v>4.4692818381704913E-2</c:v>
                </c:pt>
                <c:pt idx="60">
                  <c:v>4.4044653750342166E-2</c:v>
                </c:pt>
                <c:pt idx="61">
                  <c:v>4.342851257898761E-2</c:v>
                </c:pt>
                <c:pt idx="62">
                  <c:v>4.2844394867641133E-2</c:v>
                </c:pt>
                <c:pt idx="63">
                  <c:v>4.2292300616302736E-2</c:v>
                </c:pt>
                <c:pt idx="64">
                  <c:v>4.1772229824972418E-2</c:v>
                </c:pt>
                <c:pt idx="65">
                  <c:v>4.1284182493650179E-2</c:v>
                </c:pt>
                <c:pt idx="66">
                  <c:v>4.0828158622336352E-2</c:v>
                </c:pt>
                <c:pt idx="67">
                  <c:v>4.0404158211030272E-2</c:v>
                </c:pt>
                <c:pt idx="68">
                  <c:v>4.0012181259732271E-2</c:v>
                </c:pt>
                <c:pt idx="69">
                  <c:v>3.9652227768442461E-2</c:v>
                </c:pt>
                <c:pt idx="70">
                  <c:v>3.9324297737160618E-2</c:v>
                </c:pt>
                <c:pt idx="71">
                  <c:v>3.9028391165886966E-2</c:v>
                </c:pt>
                <c:pt idx="72">
                  <c:v>3.8764508054621394E-2</c:v>
                </c:pt>
                <c:pt idx="73">
                  <c:v>3.8532648403363901E-2</c:v>
                </c:pt>
                <c:pt idx="74">
                  <c:v>3.8332812212114376E-2</c:v>
                </c:pt>
                <c:pt idx="75">
                  <c:v>3.8164999480873152E-2</c:v>
                </c:pt>
                <c:pt idx="76">
                  <c:v>3.8029210209639785E-2</c:v>
                </c:pt>
                <c:pt idx="77">
                  <c:v>3.792544439841472E-2</c:v>
                </c:pt>
                <c:pt idx="78">
                  <c:v>3.7853702047197624E-2</c:v>
                </c:pt>
                <c:pt idx="79">
                  <c:v>3.7813983155988495E-2</c:v>
                </c:pt>
                <c:pt idx="80">
                  <c:v>3.7806287724787668E-2</c:v>
                </c:pt>
                <c:pt idx="81">
                  <c:v>3.7830615753595032E-2</c:v>
                </c:pt>
                <c:pt idx="82">
                  <c:v>3.7886967242410363E-2</c:v>
                </c:pt>
                <c:pt idx="83">
                  <c:v>3.7975342191233663E-2</c:v>
                </c:pt>
                <c:pt idx="84">
                  <c:v>3.8095740600065042E-2</c:v>
                </c:pt>
                <c:pt idx="85">
                  <c:v>3.8248162468904723E-2</c:v>
                </c:pt>
                <c:pt idx="86">
                  <c:v>3.843260779775215E-2</c:v>
                </c:pt>
                <c:pt idx="87">
                  <c:v>3.86490765866081E-2</c:v>
                </c:pt>
                <c:pt idx="88">
                  <c:v>3.8897568835471907E-2</c:v>
                </c:pt>
                <c:pt idx="89">
                  <c:v>3.9178084544343683E-2</c:v>
                </c:pt>
                <c:pt idx="90">
                  <c:v>3.949062371322376E-2</c:v>
                </c:pt>
                <c:pt idx="91">
                  <c:v>3.9835186342111917E-2</c:v>
                </c:pt>
                <c:pt idx="92">
                  <c:v>4.0211772431008153E-2</c:v>
                </c:pt>
                <c:pt idx="93">
                  <c:v>4.0620381979912246E-2</c:v>
                </c:pt>
                <c:pt idx="94">
                  <c:v>4.106101498882464E-2</c:v>
                </c:pt>
                <c:pt idx="95">
                  <c:v>4.1533671457745225E-2</c:v>
                </c:pt>
                <c:pt idx="96">
                  <c:v>4.2038351386673556E-2</c:v>
                </c:pt>
                <c:pt idx="97">
                  <c:v>4.2575054775610299E-2</c:v>
                </c:pt>
                <c:pt idx="98">
                  <c:v>4.3143781624555122E-2</c:v>
                </c:pt>
                <c:pt idx="99">
                  <c:v>4.3744531933507691E-2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7-4FD8-A4E7-1801A59DFD9B}"/>
            </c:ext>
          </c:extLst>
        </c:ser>
        <c:ser>
          <c:idx val="0"/>
          <c:order val="1"/>
          <c:tx>
            <c:v>EXP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elete val="1"/>
          </c:dLbls>
          <c:xVal>
            <c:numRef>
              <c:f>'Compactação Completo (3CBR)'!$AM$99:$AR$99</c:f>
              <c:numCache>
                <c:formatCode>0.0%</c:formatCode>
                <c:ptCount val="6"/>
                <c:pt idx="0">
                  <c:v>#N/A</c:v>
                </c:pt>
                <c:pt idx="1">
                  <c:v>3.8586060232619943E-2</c:v>
                </c:pt>
                <c:pt idx="2">
                  <c:v>5.3721596155510309E-2</c:v>
                </c:pt>
                <c:pt idx="3">
                  <c:v>6.8857132078400676E-2</c:v>
                </c:pt>
                <c:pt idx="4">
                  <c:v>#N/A</c:v>
                </c:pt>
                <c:pt idx="5">
                  <c:v>#N/A</c:v>
                </c:pt>
              </c:numCache>
            </c:numRef>
          </c:xVal>
          <c:yVal>
            <c:numRef>
              <c:f>'Compactação Completo (3CBR)'!$AM$100:$AR$100</c:f>
              <c:numCache>
                <c:formatCode>0.00</c:formatCode>
                <c:ptCount val="6"/>
                <c:pt idx="0">
                  <c:v>#N/A</c:v>
                </c:pt>
                <c:pt idx="1">
                  <c:v>0.13961605584642228</c:v>
                </c:pt>
                <c:pt idx="2">
                  <c:v>5.2447552447552483E-2</c:v>
                </c:pt>
                <c:pt idx="3">
                  <c:v>4.374453193350835E-2</c:v>
                </c:pt>
                <c:pt idx="4">
                  <c:v>#N/A</c:v>
                </c:pt>
                <c:pt idx="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7-4FD8-A4E7-1801A59DFD9B}"/>
            </c:ext>
          </c:extLst>
        </c:ser>
        <c:ser>
          <c:idx val="2"/>
          <c:order val="2"/>
          <c:tx>
            <c:v>Linha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22225">
                <a:solidFill>
                  <a:srgbClr val="FF00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3-B4D7-4FD8-A4E7-1801A59DFD9B}"/>
              </c:ext>
            </c:extLst>
          </c:dPt>
          <c:dLbls>
            <c:delete val="1"/>
          </c:dLbls>
          <c:xVal>
            <c:numRef>
              <c:f>'Compactação Completo (3CBR)'!$BA$98:$BA$100</c:f>
              <c:numCache>
                <c:formatCode>0.0%</c:formatCode>
                <c:ptCount val="3"/>
                <c:pt idx="0">
                  <c:v>0</c:v>
                </c:pt>
                <c:pt idx="1">
                  <c:v>6.0207044400483523E-2</c:v>
                </c:pt>
                <c:pt idx="2">
                  <c:v>6.0207044400483523E-2</c:v>
                </c:pt>
              </c:numCache>
            </c:numRef>
          </c:xVal>
          <c:yVal>
            <c:numRef>
              <c:f>'Compactação Completo (3CBR)'!$BB$98:$BB$100</c:f>
              <c:numCache>
                <c:formatCode>#,##0.00</c:formatCode>
                <c:ptCount val="3"/>
                <c:pt idx="0">
                  <c:v>3.9110812277608487E-2</c:v>
                </c:pt>
                <c:pt idx="1">
                  <c:v>3.9110812277608487E-2</c:v>
                </c:pt>
                <c:pt idx="2" formatCode="#,##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D7-4FD8-A4E7-1801A59DFD9B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106502016"/>
        <c:axId val="106504192"/>
      </c:scatterChart>
      <c:valAx>
        <c:axId val="106502016"/>
        <c:scaling>
          <c:orientation val="minMax"/>
          <c:max val="9.0000000000000024E-2"/>
          <c:min val="2.0000000000000004E-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Umidade (%)</a:t>
                </a:r>
              </a:p>
            </c:rich>
          </c:tx>
          <c:layout>
            <c:manualLayout>
              <c:xMode val="edge"/>
              <c:yMode val="edge"/>
              <c:x val="0.4450407774095263"/>
              <c:y val="0.88750349956255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6504192"/>
        <c:crossesAt val="0"/>
        <c:crossBetween val="midCat"/>
        <c:majorUnit val="1.0000000000000005E-2"/>
        <c:minorUnit val="2.0000000000000052E-3"/>
      </c:valAx>
      <c:valAx>
        <c:axId val="106504192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6600"/>
                    </a:solidFill>
                    <a:latin typeface="Arial Narrow"/>
                    <a:ea typeface="Arial Narrow"/>
                    <a:cs typeface="Arial Narrow"/>
                  </a:defRPr>
                </a:pPr>
                <a:r>
                  <a:rPr lang="pt-BR">
                    <a:solidFill>
                      <a:srgbClr val="006600"/>
                    </a:solidFill>
                  </a:rPr>
                  <a:t>Expansão</a:t>
                </a:r>
              </a:p>
            </c:rich>
          </c:tx>
          <c:layout>
            <c:manualLayout>
              <c:xMode val="edge"/>
              <c:yMode val="edge"/>
              <c:x val="9.4317427189071767E-3"/>
              <c:y val="0.358334639449717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06502016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66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4823" footer="0.49212598500004823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234910327206727E-2"/>
          <c:y val="6.1224489795918373E-2"/>
          <c:w val="0.87279926843752142"/>
          <c:h val="0.722448979591836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'Compactação Completo (3CBR)'!$A$190:$B$190</c:f>
              <c:strCache>
                <c:ptCount val="2"/>
                <c:pt idx="0">
                  <c:v>% de água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000099"/>
              </a:solidFill>
              <a:ln>
                <a:noFill/>
              </a:ln>
            </c:spPr>
          </c:marker>
          <c:trendline>
            <c:spPr>
              <a:ln w="15875">
                <a:solidFill>
                  <a:srgbClr val="0000FF"/>
                </a:solidFill>
              </a:ln>
            </c:spPr>
            <c:trendlineType val="exp"/>
            <c:dispRSqr val="0"/>
            <c:dispEq val="0"/>
          </c:trendline>
          <c:xVal>
            <c:strRef>
              <c:f>'Compactação Completo (3CBR)'!$C$190:$G$190</c:f>
            </c:strRef>
          </c:xVal>
          <c:yVal>
            <c:numRef>
              <c:f>'Compactação Completo (3CBR)'!$C$191:$G$191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12-4DE0-855B-CEC6495A3BE5}"/>
            </c:ext>
          </c:extLst>
        </c:ser>
        <c:ser>
          <c:idx val="1"/>
          <c:order val="1"/>
          <c:tx>
            <c:v>25 Golpes</c:v>
          </c:tx>
          <c:spPr>
            <a:ln w="22225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(3CBR)'!$BA$183:$BA$184</c:f>
              <c:numCache>
                <c:formatCode>0.00</c:formatCode>
                <c:ptCount val="2"/>
                <c:pt idx="0">
                  <c:v>0</c:v>
                </c:pt>
                <c:pt idx="1">
                  <c:v>0.8</c:v>
                </c:pt>
              </c:numCache>
            </c:numRef>
          </c:xVal>
          <c:yVal>
            <c:numRef>
              <c:f>'Compactação Completo (3CBR)'!$AZ$183:$AZ$184</c:f>
              <c:numCache>
                <c:formatCode>0.00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12-4DE0-855B-CEC6495A3BE5}"/>
            </c:ext>
          </c:extLst>
        </c:ser>
        <c:ser>
          <c:idx val="2"/>
          <c:order val="2"/>
          <c:tx>
            <c:v>LL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strRef>
              <c:f>'Compactação Completo (3CBR)'!$BA$185:$BA$186</c:f>
              <c:strCache>
                <c:ptCount val="2"/>
                <c:pt idx="0">
                  <c:v>NP</c:v>
                </c:pt>
                <c:pt idx="1">
                  <c:v>NP</c:v>
                </c:pt>
              </c:strCache>
            </c:strRef>
          </c:xVal>
          <c:yVal>
            <c:numRef>
              <c:f>'Compactação Completo (3CBR)'!$AZ$185:$AZ$186</c:f>
              <c:numCache>
                <c:formatCode>0.00</c:formatCode>
                <c:ptCount val="2"/>
                <c:pt idx="0">
                  <c:v>10</c:v>
                </c:pt>
                <c:pt idx="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12-4DE0-855B-CEC6495A3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47840"/>
        <c:axId val="106557824"/>
      </c:scatterChart>
      <c:valAx>
        <c:axId val="106547840"/>
        <c:scaling>
          <c:orientation val="minMax"/>
          <c:max val="0.61000000000000021"/>
          <c:min val="0.4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339966"/>
              </a:solidFill>
              <a:prstDash val="solid"/>
            </a:ln>
          </c:spPr>
        </c:minorGridlines>
        <c:numFmt formatCode="0%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06557824"/>
        <c:crosses val="autoZero"/>
        <c:crossBetween val="midCat"/>
        <c:majorUnit val="2.0000000000000011E-2"/>
        <c:minorUnit val="1.0000000000000041E-3"/>
      </c:valAx>
      <c:valAx>
        <c:axId val="106557824"/>
        <c:scaling>
          <c:logBase val="10"/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66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065478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322" footer="0.49212598500005322"/>
    <c:pageSetup paperSize="9" orientation="landscape" horizontalDpi="300" verticalDpi="300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454679967684562E-2"/>
          <c:y val="0.10438512259138349"/>
          <c:w val="0.78485102998488865"/>
          <c:h val="0.7126350425709812"/>
        </c:manualLayout>
      </c:layout>
      <c:scatterChart>
        <c:scatterStyle val="lineMarker"/>
        <c:varyColors val="0"/>
        <c:ser>
          <c:idx val="13"/>
          <c:order val="0"/>
          <c:tx>
            <c:strRef>
              <c:f>'Compactação Completo (3CBR)'!$AN$180</c:f>
              <c:strCache>
                <c:ptCount val="1"/>
                <c:pt idx="0">
                  <c:v>nº - 100</c:v>
                </c:pt>
              </c:strCache>
            </c:strRef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'Compactação Completo (3CBR)'!$AO$180:$AQ$180</c:f>
              <c:numCache>
                <c:formatCode>#,##0.00</c:formatCode>
                <c:ptCount val="3"/>
                <c:pt idx="0">
                  <c:v>0.14899999999999999</c:v>
                </c:pt>
                <c:pt idx="1">
                  <c:v>0.14899999999999999</c:v>
                </c:pt>
                <c:pt idx="2">
                  <c:v>0.14899999999999999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F-44B6-90F8-04F884F8A665}"/>
            </c:ext>
          </c:extLst>
        </c:ser>
        <c:ser>
          <c:idx val="18"/>
          <c:order val="1"/>
          <c:tx>
            <c:strRef>
              <c:f>'Compactação Completo (3CBR)'!$A$169:$F$169</c:f>
              <c:strCache>
                <c:ptCount val="1"/>
                <c:pt idx="0">
                  <c:v>FAIXA : 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63030303030312729"/>
                  <c:y val="6.5040650406504074E-3"/>
                </c:manualLayout>
              </c:layout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4F-44B6-90F8-04F884F8A6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4F-44B6-90F8-04F884F8A6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4F-44B6-90F8-04F884F8A6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4F-44B6-90F8-04F884F8A66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4F-44B6-90F8-04F884F8A66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4F-44B6-90F8-04F884F8A665}"/>
                </c:ext>
              </c:extLst>
            </c:dLbl>
            <c:spPr>
              <a:solidFill>
                <a:srgbClr val="66FFFF"/>
              </a:solidFill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(3CBR)'!$AM$168:$AM$174</c:f>
              <c:numCache>
                <c:formatCode>#,##0.00</c:formatCode>
                <c:ptCount val="7"/>
                <c:pt idx="0">
                  <c:v>50.8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'Compactação Completo (3CBR)'!$D$171:$D$177</c:f>
              <c:numCache>
                <c:formatCode>0.0%</c:formatCode>
                <c:ptCount val="7"/>
                <c:pt idx="0">
                  <c:v>1</c:v>
                </c:pt>
                <c:pt idx="1">
                  <c:v>0.97723984107061479</c:v>
                </c:pt>
                <c:pt idx="2">
                  <c:v>0.81504073165077107</c:v>
                </c:pt>
                <c:pt idx="3">
                  <c:v>0.65427262625212845</c:v>
                </c:pt>
                <c:pt idx="4">
                  <c:v>0.52992717068920026</c:v>
                </c:pt>
                <c:pt idx="5">
                  <c:v>0.35658799315676282</c:v>
                </c:pt>
                <c:pt idx="6">
                  <c:v>6.772469241407976E-2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4F-44B6-90F8-04F884F8A665}"/>
            </c:ext>
          </c:extLst>
        </c:ser>
        <c:ser>
          <c:idx val="0"/>
          <c:order val="2"/>
          <c:tx>
            <c:strRef>
              <c:f>'Compactação Completo (3CBR)'!$B$170</c:f>
              <c:strCache>
                <c:ptCount val="1"/>
                <c:pt idx="0">
                  <c:v>Tolerância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(3CBR)'!$AS$169:$AS$175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'Compactação Completo (3CBR)'!$AT$169:$AT$175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4F-44B6-90F8-04F884F8A665}"/>
            </c:ext>
          </c:extLst>
        </c:ser>
        <c:ser>
          <c:idx val="1"/>
          <c:order val="3"/>
          <c:tx>
            <c:strRef>
              <c:f>'Compactação Completo (3CBR)'!$C$170</c:f>
              <c:strCache>
                <c:ptCount val="1"/>
                <c:pt idx="0">
                  <c:v>Minímo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'Compactação Completo (3CBR)'!$AS$169:$AS$175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'Compactação Completo (3CBR)'!$AU$169:$AU$175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4F-44B6-90F8-04F884F8A665}"/>
            </c:ext>
          </c:extLst>
        </c:ser>
        <c:ser>
          <c:idx val="2"/>
          <c:order val="4"/>
          <c:tx>
            <c:strRef>
              <c:f>'Compactação Completo (3CBR)'!$E$170</c:f>
              <c:strCache>
                <c:ptCount val="1"/>
                <c:pt idx="0">
                  <c:v>Máximo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'Compactação Completo (3CBR)'!$AS$169:$AS$175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'Compactação Completo (3CBR)'!$AV$169:$AV$175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4F-44B6-90F8-04F884F8A665}"/>
            </c:ext>
          </c:extLst>
        </c:ser>
        <c:ser>
          <c:idx val="3"/>
          <c:order val="5"/>
          <c:tx>
            <c:strRef>
              <c:f>'Compactação Completo (3CBR)'!$F$170</c:f>
              <c:strCache>
                <c:ptCount val="1"/>
                <c:pt idx="0">
                  <c:v>Tolerância</c:v>
                </c:pt>
              </c:strCache>
            </c:strRef>
          </c:tx>
          <c:spPr>
            <a:ln w="25400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'Compactação Completo (3CBR)'!$AS$169:$AS$175</c:f>
              <c:numCache>
                <c:formatCode>General</c:formatCode>
                <c:ptCount val="7"/>
                <c:pt idx="0">
                  <c:v>0</c:v>
                </c:pt>
                <c:pt idx="1">
                  <c:v>25.4</c:v>
                </c:pt>
                <c:pt idx="2">
                  <c:v>9.52</c:v>
                </c:pt>
                <c:pt idx="3">
                  <c:v>4.76</c:v>
                </c:pt>
                <c:pt idx="4" formatCode="0.0">
                  <c:v>2</c:v>
                </c:pt>
                <c:pt idx="5">
                  <c:v>0.42</c:v>
                </c:pt>
                <c:pt idx="6">
                  <c:v>7.3999999999999996E-2</c:v>
                </c:pt>
              </c:numCache>
            </c:numRef>
          </c:xVal>
          <c:yVal>
            <c:numRef>
              <c:f>'Compactação Completo (3CBR)'!$AW$169:$AW$175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64F-44B6-90F8-04F884F8A665}"/>
            </c:ext>
          </c:extLst>
        </c:ser>
        <c:ser>
          <c:idx val="4"/>
          <c:order val="6"/>
          <c:tx>
            <c:strRef>
              <c:f>'Compactação Completo (3CBR)'!$AN$168</c:f>
              <c:strCache>
                <c:ptCount val="1"/>
                <c:pt idx="0">
                  <c:v>3"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(3CBR)'!$AO$168:$AQ$168</c:f>
              <c:numCache>
                <c:formatCode>#,##0.00</c:formatCode>
                <c:ptCount val="3"/>
                <c:pt idx="0">
                  <c:v>76.2</c:v>
                </c:pt>
                <c:pt idx="1">
                  <c:v>76.2</c:v>
                </c:pt>
                <c:pt idx="2">
                  <c:v>76.2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64F-44B6-90F8-04F884F8A665}"/>
            </c:ext>
          </c:extLst>
        </c:ser>
        <c:ser>
          <c:idx val="5"/>
          <c:order val="7"/>
          <c:tx>
            <c:strRef>
              <c:f>'Compactação Completo (3CBR)'!$AN$169</c:f>
              <c:strCache>
                <c:ptCount val="1"/>
                <c:pt idx="0">
                  <c:v>2"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(3CBR)'!$AO$169:$AQ$169</c:f>
              <c:numCache>
                <c:formatCode>#,##0.00</c:formatCode>
                <c:ptCount val="3"/>
                <c:pt idx="0">
                  <c:v>50.8</c:v>
                </c:pt>
                <c:pt idx="1">
                  <c:v>50.8</c:v>
                </c:pt>
                <c:pt idx="2">
                  <c:v>50.8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64F-44B6-90F8-04F884F8A665}"/>
            </c:ext>
          </c:extLst>
        </c:ser>
        <c:ser>
          <c:idx val="6"/>
          <c:order val="8"/>
          <c:tx>
            <c:strRef>
              <c:f>'Compactação Completo (3CBR)'!$AN$170</c:f>
              <c:strCache>
                <c:ptCount val="1"/>
                <c:pt idx="0">
                  <c:v>1.1,5"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(3CBR)'!$AO$170:$AQ$170</c:f>
              <c:numCache>
                <c:formatCode>#,##0.00</c:formatCode>
                <c:ptCount val="3"/>
                <c:pt idx="0">
                  <c:v>38.1</c:v>
                </c:pt>
                <c:pt idx="1">
                  <c:v>38.1</c:v>
                </c:pt>
                <c:pt idx="2">
                  <c:v>38.1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64F-44B6-90F8-04F884F8A665}"/>
            </c:ext>
          </c:extLst>
        </c:ser>
        <c:ser>
          <c:idx val="7"/>
          <c:order val="9"/>
          <c:tx>
            <c:strRef>
              <c:f>'Compactação Completo (3CBR)'!$AN$171</c:f>
              <c:strCache>
                <c:ptCount val="1"/>
                <c:pt idx="0">
                  <c:v>1"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(3CBR)'!$AO$171:$AQ$171</c:f>
              <c:numCache>
                <c:formatCode>#,##0.00</c:formatCode>
                <c:ptCount val="3"/>
                <c:pt idx="0">
                  <c:v>25.4</c:v>
                </c:pt>
                <c:pt idx="1">
                  <c:v>25.4</c:v>
                </c:pt>
                <c:pt idx="2">
                  <c:v>25.4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64F-44B6-90F8-04F884F8A665}"/>
            </c:ext>
          </c:extLst>
        </c:ser>
        <c:ser>
          <c:idx val="8"/>
          <c:order val="10"/>
          <c:tx>
            <c:strRef>
              <c:f>'Compactação Completo (3CBR)'!$AN$172</c:f>
              <c:strCache>
                <c:ptCount val="1"/>
                <c:pt idx="0">
                  <c:v>3/4"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(3CBR)'!$AO$172:$AQ$172</c:f>
              <c:numCache>
                <c:formatCode>#,##0.00</c:formatCode>
                <c:ptCount val="3"/>
                <c:pt idx="0">
                  <c:v>19.100000000000001</c:v>
                </c:pt>
                <c:pt idx="1">
                  <c:v>19.100000000000001</c:v>
                </c:pt>
                <c:pt idx="2">
                  <c:v>19.100000000000001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64F-44B6-90F8-04F884F8A665}"/>
            </c:ext>
          </c:extLst>
        </c:ser>
        <c:ser>
          <c:idx val="9"/>
          <c:order val="11"/>
          <c:tx>
            <c:strRef>
              <c:f>'Compactação Completo (3CBR)'!$AN$173</c:f>
              <c:strCache>
                <c:ptCount val="1"/>
                <c:pt idx="0">
                  <c:v>1/2"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'Compactação Completo (3CBR)'!$AO$173:$AQ$173</c:f>
              <c:numCache>
                <c:formatCode>#,##0.00</c:formatCode>
                <c:ptCount val="3"/>
                <c:pt idx="0">
                  <c:v>12.7</c:v>
                </c:pt>
                <c:pt idx="1">
                  <c:v>12.7</c:v>
                </c:pt>
                <c:pt idx="2">
                  <c:v>12.7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64F-44B6-90F8-04F884F8A665}"/>
            </c:ext>
          </c:extLst>
        </c:ser>
        <c:ser>
          <c:idx val="10"/>
          <c:order val="12"/>
          <c:tx>
            <c:strRef>
              <c:f>'Compactação Completo (3CBR)'!$AN$174</c:f>
              <c:strCache>
                <c:ptCount val="1"/>
                <c:pt idx="0">
                  <c:v>3/8"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(3CBR)'!$AO$174:$AQ$174</c:f>
              <c:numCache>
                <c:formatCode>#,##0.00</c:formatCode>
                <c:ptCount val="3"/>
                <c:pt idx="0">
                  <c:v>9.52</c:v>
                </c:pt>
                <c:pt idx="1">
                  <c:v>9.52</c:v>
                </c:pt>
                <c:pt idx="2">
                  <c:v>9.52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64F-44B6-90F8-04F884F8A665}"/>
            </c:ext>
          </c:extLst>
        </c:ser>
        <c:ser>
          <c:idx val="11"/>
          <c:order val="13"/>
          <c:tx>
            <c:strRef>
              <c:f>'Compactação Completo (3CBR)'!$AN$175</c:f>
              <c:strCache>
                <c:ptCount val="1"/>
                <c:pt idx="0">
                  <c:v>nº - 4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(3CBR)'!$AO$175:$AQ$175</c:f>
              <c:numCache>
                <c:formatCode>#,##0.00</c:formatCode>
                <c:ptCount val="3"/>
                <c:pt idx="0">
                  <c:v>4.76</c:v>
                </c:pt>
                <c:pt idx="1">
                  <c:v>4.76</c:v>
                </c:pt>
                <c:pt idx="2">
                  <c:v>4.76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64F-44B6-90F8-04F884F8A665}"/>
            </c:ext>
          </c:extLst>
        </c:ser>
        <c:ser>
          <c:idx val="12"/>
          <c:order val="14"/>
          <c:tx>
            <c:strRef>
              <c:f>'Compactação Completo (3CBR)'!$AN$176</c:f>
              <c:strCache>
                <c:ptCount val="1"/>
                <c:pt idx="0">
                  <c:v>nº - 10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(3CBR)'!$AO$176:$AQ$176</c:f>
              <c:numCache>
                <c:formatCode>#,##0.00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64F-44B6-90F8-04F884F8A665}"/>
            </c:ext>
          </c:extLst>
        </c:ser>
        <c:ser>
          <c:idx val="14"/>
          <c:order val="15"/>
          <c:tx>
            <c:strRef>
              <c:f>'Compactação Completo (3CBR)'!$AN$177</c:f>
              <c:strCache>
                <c:ptCount val="1"/>
                <c:pt idx="0">
                  <c:v>nº - 16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/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(3CBR)'!$AO$177:$AQ$177</c:f>
              <c:numCache>
                <c:formatCode>#,##0.00</c:formatCode>
                <c:ptCount val="3"/>
                <c:pt idx="0">
                  <c:v>1.19</c:v>
                </c:pt>
                <c:pt idx="1">
                  <c:v>1.19</c:v>
                </c:pt>
                <c:pt idx="2">
                  <c:v>1.19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64F-44B6-90F8-04F884F8A665}"/>
            </c:ext>
          </c:extLst>
        </c:ser>
        <c:ser>
          <c:idx val="15"/>
          <c:order val="16"/>
          <c:tx>
            <c:strRef>
              <c:f>'Compactação Completo (3CBR)'!$AN$178</c:f>
              <c:strCache>
                <c:ptCount val="1"/>
                <c:pt idx="0">
                  <c:v>nº - 40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(3CBR)'!$AO$178:$AQ$178</c:f>
              <c:numCache>
                <c:formatCode>#,##0.00</c:formatCode>
                <c:ptCount val="3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64F-44B6-90F8-04F884F8A665}"/>
            </c:ext>
          </c:extLst>
        </c:ser>
        <c:ser>
          <c:idx val="16"/>
          <c:order val="17"/>
          <c:tx>
            <c:strRef>
              <c:f>'Compactação Completo (3CBR)'!$AN$179</c:f>
              <c:strCache>
                <c:ptCount val="1"/>
                <c:pt idx="0">
                  <c:v>nº - 80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/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(3CBR)'!$AO$179:$AQ$179</c:f>
              <c:numCache>
                <c:formatCode>#,##0.00</c:formatCode>
                <c:ptCount val="3"/>
                <c:pt idx="0">
                  <c:v>0.17699999999999999</c:v>
                </c:pt>
                <c:pt idx="1">
                  <c:v>0.17699999999999999</c:v>
                </c:pt>
                <c:pt idx="2">
                  <c:v>0.17699999999999999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D64F-44B6-90F8-04F884F8A665}"/>
            </c:ext>
          </c:extLst>
        </c:ser>
        <c:ser>
          <c:idx val="17"/>
          <c:order val="18"/>
          <c:tx>
            <c:strRef>
              <c:f>'Compactação Completo (3CBR)'!$AR$168</c:f>
              <c:strCache>
                <c:ptCount val="1"/>
                <c:pt idx="0">
                  <c:v>nº - 200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64F-44B6-90F8-04F884F8A6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64F-44B6-90F8-04F884F8A6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7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'Compactação Completo (3CBR)'!$AR$169:$AR$171</c:f>
              <c:numCache>
                <c:formatCode>#,##0.00</c:formatCode>
                <c:ptCount val="3"/>
                <c:pt idx="0">
                  <c:v>7.3999999999999996E-2</c:v>
                </c:pt>
                <c:pt idx="1">
                  <c:v>7.3999999999999996E-2</c:v>
                </c:pt>
                <c:pt idx="2">
                  <c:v>7.3999999999999996E-2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64F-44B6-90F8-04F884F8A665}"/>
            </c:ext>
          </c:extLst>
        </c:ser>
        <c:ser>
          <c:idx val="19"/>
          <c:order val="19"/>
          <c:tx>
            <c:strRef>
              <c:f>'Compactação Completo (3CBR)'!$AM$176</c:f>
              <c:strCache>
                <c:ptCount val="1"/>
                <c:pt idx="0">
                  <c:v>0,50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'Compactação Completo (3CBR)'!$AM$178:$AM$180</c:f>
              <c:numCache>
                <c:formatCode>#,##0.00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xVal>
          <c:yVal>
            <c:numRef>
              <c:f>'Compactação Completo (3CBR)'!$AM$175:$AM$177</c:f>
              <c:numCache>
                <c:formatCode>#,##0.00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64F-44B6-90F8-04F884F8A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69696"/>
        <c:axId val="106283776"/>
      </c:scatterChart>
      <c:valAx>
        <c:axId val="106269696"/>
        <c:scaling>
          <c:logBase val="10"/>
          <c:orientation val="minMax"/>
        </c:scaling>
        <c:delete val="1"/>
        <c:axPos val="b"/>
        <c:numFmt formatCode="#,##0.00" sourceLinked="1"/>
        <c:majorTickMark val="out"/>
        <c:minorTickMark val="none"/>
        <c:tickLblPos val="none"/>
        <c:crossAx val="106283776"/>
        <c:crosses val="autoZero"/>
        <c:crossBetween val="midCat"/>
      </c:valAx>
      <c:valAx>
        <c:axId val="106283776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8000"/>
              </a:solidFill>
              <a:prstDash val="solid"/>
            </a:ln>
          </c:spPr>
        </c:majorGridlines>
        <c:numFmt formatCode="0%" sourceLinked="0"/>
        <c:majorTickMark val="out"/>
        <c:minorTickMark val="out"/>
        <c:tickLblPos val="high"/>
        <c:spPr>
          <a:ln w="9525">
            <a:noFill/>
          </a:ln>
        </c:spPr>
        <c:txPr>
          <a:bodyPr rot="0" vert="horz"/>
          <a:lstStyle/>
          <a:p>
            <a:pPr rtl="1">
              <a:defRPr sz="800" b="1" i="0" u="none" strike="noStrike" baseline="0">
                <a:solidFill>
                  <a:srgbClr val="0066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06269696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5289" footer="0.49212598500005289"/>
    <c:pageSetup paperSize="9" orientation="landscape"/>
  </c:printSettings>
  <c:userShapes r:id="rId1"/>
</c:chartSpace>
</file>

<file path=xl/ctrlProps/ctrlProp1.xml><?xml version="1.0" encoding="utf-8"?>
<formControlPr xmlns="http://schemas.microsoft.com/office/spreadsheetml/2009/9/main" objectType="Spin" dx="16" fmlaLink="$N$8" max="30000" page="10"/>
</file>

<file path=xl/ctrlProps/ctrlProp2.xml><?xml version="1.0" encoding="utf-8"?>
<formControlPr xmlns="http://schemas.microsoft.com/office/spreadsheetml/2009/9/main" objectType="CheckBox" checked="Checked" fmlaLink="$AL$7" lockText="1"/>
</file>

<file path=xl/ctrlProps/ctrlProp3.xml><?xml version="1.0" encoding="utf-8"?>
<formControlPr xmlns="http://schemas.microsoft.com/office/spreadsheetml/2009/9/main" objectType="CheckBox" fmlaLink="$AL$8" lockText="1"/>
</file>

<file path=xl/ctrlProps/ctrlProp4.xml><?xml version="1.0" encoding="utf-8"?>
<formControlPr xmlns="http://schemas.microsoft.com/office/spreadsheetml/2009/9/main" objectType="CheckBox" checked="Checked" fmlaLink="$AL$10" lockText="1"/>
</file>

<file path=xl/ctrlProps/ctrlProp5.xml><?xml version="1.0" encoding="utf-8"?>
<formControlPr xmlns="http://schemas.microsoft.com/office/spreadsheetml/2009/9/main" objectType="CheckBox" checked="Checked" fmlaLink="$AM$7" lockText="1"/>
</file>

<file path=xl/ctrlProps/ctrlProp6.xml><?xml version="1.0" encoding="utf-8"?>
<formControlPr xmlns="http://schemas.microsoft.com/office/spreadsheetml/2009/9/main" objectType="CheckBox" checked="Checked" fmlaLink="$AM$8" lockText="1"/>
</file>

<file path=xl/ctrlProps/ctrlProp7.xml><?xml version="1.0" encoding="utf-8"?>
<formControlPr xmlns="http://schemas.microsoft.com/office/spreadsheetml/2009/9/main" objectType="CheckBox" checked="Checked" fmlaLink="$AM$10" lockText="1"/>
</file>

<file path=xl/ctrlProps/ctrlProp8.xml><?xml version="1.0" encoding="utf-8"?>
<formControlPr xmlns="http://schemas.microsoft.com/office/spreadsheetml/2009/9/main" objectType="CheckBox" checked="Checked" fmlaLink="$AN$7" lockText="1"/>
</file>

<file path=xl/ctrlProps/ctrlProp9.xml><?xml version="1.0" encoding="utf-8"?>
<formControlPr xmlns="http://schemas.microsoft.com/office/spreadsheetml/2009/9/main" objectType="CheckBox" checked="Checked" fmlaLink="$AN$8" lockText="1"/>
</file>

<file path=xl/ctrlProps/ctrlProp10.xml><?xml version="1.0" encoding="utf-8"?>
<formControlPr xmlns="http://schemas.microsoft.com/office/spreadsheetml/2009/9/main" objectType="CheckBox" checked="Checked" fmlaLink="$AN$10" lockText="1"/>
</file>

<file path=xl/ctrlProps/ctrlProp11.xml><?xml version="1.0" encoding="utf-8"?>
<formControlPr xmlns="http://schemas.microsoft.com/office/spreadsheetml/2009/9/main" objectType="CheckBox" checked="Checked" fmlaLink="$AO$7" lockText="1"/>
</file>

<file path=xl/ctrlProps/ctrlProp12.xml><?xml version="1.0" encoding="utf-8"?>
<formControlPr xmlns="http://schemas.microsoft.com/office/spreadsheetml/2009/9/main" objectType="CheckBox" checked="Checked" fmlaLink="$AO$8" lockText="1"/>
</file>

<file path=xl/ctrlProps/ctrlProp13.xml><?xml version="1.0" encoding="utf-8"?>
<formControlPr xmlns="http://schemas.microsoft.com/office/spreadsheetml/2009/9/main" objectType="CheckBox" checked="Checked" fmlaLink="$AO$10" lockText="1"/>
</file>

<file path=xl/ctrlProps/ctrlProp14.xml><?xml version="1.0" encoding="utf-8"?>
<formControlPr xmlns="http://schemas.microsoft.com/office/spreadsheetml/2009/9/main" objectType="CheckBox" checked="Checked" fmlaLink="$AP$7" lockText="1"/>
</file>

<file path=xl/ctrlProps/ctrlProp15.xml><?xml version="1.0" encoding="utf-8"?>
<formControlPr xmlns="http://schemas.microsoft.com/office/spreadsheetml/2009/9/main" objectType="CheckBox" checked="Checked" fmlaLink="$AP$8" lockText="1"/>
</file>

<file path=xl/ctrlProps/ctrlProp16.xml><?xml version="1.0" encoding="utf-8"?>
<formControlPr xmlns="http://schemas.microsoft.com/office/spreadsheetml/2009/9/main" objectType="CheckBox" checked="Checked" fmlaLink="$AP$10" lockText="1"/>
</file>

<file path=xl/ctrlProps/ctrlProp17.xml><?xml version="1.0" encoding="utf-8"?>
<formControlPr xmlns="http://schemas.microsoft.com/office/spreadsheetml/2009/9/main" objectType="CheckBox" checked="Checked" fmlaLink="$AQ$7" lockText="1"/>
</file>

<file path=xl/ctrlProps/ctrlProp18.xml><?xml version="1.0" encoding="utf-8"?>
<formControlPr xmlns="http://schemas.microsoft.com/office/spreadsheetml/2009/9/main" objectType="CheckBox" checked="Checked" fmlaLink="$AQ$8" lockText="1"/>
</file>

<file path=xl/ctrlProps/ctrlProp19.xml><?xml version="1.0" encoding="utf-8"?>
<formControlPr xmlns="http://schemas.microsoft.com/office/spreadsheetml/2009/9/main" objectType="CheckBox" checked="Checked" fmlaLink="$AQ$10" lockText="1"/>
</file>

<file path=xl/ctrlProps/ctrlProp20.xml><?xml version="1.0" encoding="utf-8"?>
<formControlPr xmlns="http://schemas.microsoft.com/office/spreadsheetml/2009/9/main" objectType="CheckBox" checked="Checked" fmlaLink="$AS$7" lockText="1"/>
</file>

<file path=xl/ctrlProps/ctrlProp21.xml><?xml version="1.0" encoding="utf-8"?>
<formControlPr xmlns="http://schemas.microsoft.com/office/spreadsheetml/2009/9/main" objectType="CheckBox" fmlaLink="$AS$8" lockText="1"/>
</file>

<file path=xl/ctrlProps/ctrlProp22.xml><?xml version="1.0" encoding="utf-8"?>
<formControlPr xmlns="http://schemas.microsoft.com/office/spreadsheetml/2009/9/main" objectType="CheckBox" fmlaLink="$AU$7" lockText="1"/>
</file>

<file path=xl/ctrlProps/ctrlProp23.xml><?xml version="1.0" encoding="utf-8"?>
<formControlPr xmlns="http://schemas.microsoft.com/office/spreadsheetml/2009/9/main" objectType="CheckBox" checked="Checked" fmlaLink="$AU$8" lockText="1"/>
</file>

<file path=xl/ctrlProps/ctrlProp24.xml><?xml version="1.0" encoding="utf-8"?>
<formControlPr xmlns="http://schemas.microsoft.com/office/spreadsheetml/2009/9/main" objectType="Spin" dx="16" fmlaLink="$N$2" max="30000" page="10"/>
</file>

<file path=xl/ctrlProps/ctrlProp25.xml><?xml version="1.0" encoding="utf-8"?>
<formControlPr xmlns="http://schemas.microsoft.com/office/spreadsheetml/2009/9/main" objectType="CheckBox" fmlaLink="$AL$1" lockText="1"/>
</file>

<file path=xl/ctrlProps/ctrlProp26.xml><?xml version="1.0" encoding="utf-8"?>
<formControlPr xmlns="http://schemas.microsoft.com/office/spreadsheetml/2009/9/main" objectType="CheckBox" fmlaLink="$AL$2" lockText="1"/>
</file>

<file path=xl/ctrlProps/ctrlProp27.xml><?xml version="1.0" encoding="utf-8"?>
<formControlPr xmlns="http://schemas.microsoft.com/office/spreadsheetml/2009/9/main" objectType="CheckBox" fmlaLink="$AL$3" lockText="1"/>
</file>

<file path=xl/ctrlProps/ctrlProp28.xml><?xml version="1.0" encoding="utf-8"?>
<formControlPr xmlns="http://schemas.microsoft.com/office/spreadsheetml/2009/9/main" objectType="CheckBox" checked="Checked" fmlaLink="$AM$1" lockText="1"/>
</file>

<file path=xl/ctrlProps/ctrlProp29.xml><?xml version="1.0" encoding="utf-8"?>
<formControlPr xmlns="http://schemas.microsoft.com/office/spreadsheetml/2009/9/main" objectType="CheckBox" checked="Checked" fmlaLink="$AM$2" lockText="1"/>
</file>

<file path=xl/ctrlProps/ctrlProp30.xml><?xml version="1.0" encoding="utf-8"?>
<formControlPr xmlns="http://schemas.microsoft.com/office/spreadsheetml/2009/9/main" objectType="CheckBox" checked="Checked" fmlaLink="$AM$3" lockText="1"/>
</file>

<file path=xl/ctrlProps/ctrlProp31.xml><?xml version="1.0" encoding="utf-8"?>
<formControlPr xmlns="http://schemas.microsoft.com/office/spreadsheetml/2009/9/main" objectType="CheckBox" checked="Checked" fmlaLink="$AN$1" lockText="1"/>
</file>

<file path=xl/ctrlProps/ctrlProp32.xml><?xml version="1.0" encoding="utf-8"?>
<formControlPr xmlns="http://schemas.microsoft.com/office/spreadsheetml/2009/9/main" objectType="CheckBox" checked="Checked" fmlaLink="$AN$2" lockText="1"/>
</file>

<file path=xl/ctrlProps/ctrlProp33.xml><?xml version="1.0" encoding="utf-8"?>
<formControlPr xmlns="http://schemas.microsoft.com/office/spreadsheetml/2009/9/main" objectType="CheckBox" checked="Checked" fmlaLink="$AN$3" lockText="1"/>
</file>

<file path=xl/ctrlProps/ctrlProp34.xml><?xml version="1.0" encoding="utf-8"?>
<formControlPr xmlns="http://schemas.microsoft.com/office/spreadsheetml/2009/9/main" objectType="CheckBox" checked="Checked" fmlaLink="$AO$1" lockText="1"/>
</file>

<file path=xl/ctrlProps/ctrlProp35.xml><?xml version="1.0" encoding="utf-8"?>
<formControlPr xmlns="http://schemas.microsoft.com/office/spreadsheetml/2009/9/main" objectType="CheckBox" checked="Checked" fmlaLink="$AO$2" lockText="1"/>
</file>

<file path=xl/ctrlProps/ctrlProp36.xml><?xml version="1.0" encoding="utf-8"?>
<formControlPr xmlns="http://schemas.microsoft.com/office/spreadsheetml/2009/9/main" objectType="CheckBox" checked="Checked" fmlaLink="$AO$3" lockText="1"/>
</file>

<file path=xl/ctrlProps/ctrlProp37.xml><?xml version="1.0" encoding="utf-8"?>
<formControlPr xmlns="http://schemas.microsoft.com/office/spreadsheetml/2009/9/main" objectType="CheckBox" fmlaLink="$AP$1" lockText="1"/>
</file>

<file path=xl/ctrlProps/ctrlProp38.xml><?xml version="1.0" encoding="utf-8"?>
<formControlPr xmlns="http://schemas.microsoft.com/office/spreadsheetml/2009/9/main" objectType="CheckBox" fmlaLink="$AP$2" lockText="1"/>
</file>

<file path=xl/ctrlProps/ctrlProp39.xml><?xml version="1.0" encoding="utf-8"?>
<formControlPr xmlns="http://schemas.microsoft.com/office/spreadsheetml/2009/9/main" objectType="CheckBox" fmlaLink="$AP$3" lockText="1"/>
</file>

<file path=xl/ctrlProps/ctrlProp40.xml><?xml version="1.0" encoding="utf-8"?>
<formControlPr xmlns="http://schemas.microsoft.com/office/spreadsheetml/2009/9/main" objectType="CheckBox" fmlaLink="$AQ$1" lockText="1"/>
</file>

<file path=xl/ctrlProps/ctrlProp41.xml><?xml version="1.0" encoding="utf-8"?>
<formControlPr xmlns="http://schemas.microsoft.com/office/spreadsheetml/2009/9/main" objectType="CheckBox" fmlaLink="$AQ$2" lockText="1"/>
</file>

<file path=xl/ctrlProps/ctrlProp42.xml><?xml version="1.0" encoding="utf-8"?>
<formControlPr xmlns="http://schemas.microsoft.com/office/spreadsheetml/2009/9/main" objectType="CheckBox" fmlaLink="$AQ$3" lockText="1"/>
</file>

<file path=xl/ctrlProps/ctrlProp43.xml><?xml version="1.0" encoding="utf-8"?>
<formControlPr xmlns="http://schemas.microsoft.com/office/spreadsheetml/2009/9/main" objectType="CheckBox" checked="Checked" fmlaLink="$AS$1" lockText="1"/>
</file>

<file path=xl/ctrlProps/ctrlProp44.xml><?xml version="1.0" encoding="utf-8"?>
<formControlPr xmlns="http://schemas.microsoft.com/office/spreadsheetml/2009/9/main" objectType="CheckBox" fmlaLink="$AS$2" lockText="1"/>
</file>

<file path=xl/ctrlProps/ctrlProp45.xml><?xml version="1.0" encoding="utf-8"?>
<formControlPr xmlns="http://schemas.microsoft.com/office/spreadsheetml/2009/9/main" objectType="CheckBox" fmlaLink="$AU$1" lockText="1"/>
</file>

<file path=xl/ctrlProps/ctrlProp46.xml><?xml version="1.0" encoding="utf-8"?>
<formControlPr xmlns="http://schemas.microsoft.com/office/spreadsheetml/2009/9/main" objectType="CheckBox" checked="Checked" fmlaLink="$AU$2" lockText="1"/>
</file>

<file path=xl/ctrlProps/ctrlProp47.xml><?xml version="1.0" encoding="utf-8"?>
<formControlPr xmlns="http://schemas.microsoft.com/office/spreadsheetml/2009/9/main" objectType="Spin" dx="16" fmlaLink="$N$2" max="30000" page="10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image" Target="../media/image3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40</xdr:row>
      <xdr:rowOff>52917</xdr:rowOff>
    </xdr:from>
    <xdr:to>
      <xdr:col>11</xdr:col>
      <xdr:colOff>504265</xdr:colOff>
      <xdr:row>55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92</xdr:row>
      <xdr:rowOff>19050</xdr:rowOff>
    </xdr:from>
    <xdr:to>
      <xdr:col>11</xdr:col>
      <xdr:colOff>495300</xdr:colOff>
      <xdr:row>109</xdr:row>
      <xdr:rowOff>76200</xdr:rowOff>
    </xdr:to>
    <xdr:graphicFrame macro="">
      <xdr:nvGraphicFramePr>
        <xdr:cNvPr id="3" name="Chart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19049</xdr:colOff>
      <xdr:row>55</xdr:row>
      <xdr:rowOff>85725</xdr:rowOff>
    </xdr:from>
    <xdr:to>
      <xdr:col>5</xdr:col>
      <xdr:colOff>504824</xdr:colOff>
      <xdr:row>68</xdr:row>
      <xdr:rowOff>123826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111</xdr:row>
      <xdr:rowOff>47625</xdr:rowOff>
    </xdr:from>
    <xdr:to>
      <xdr:col>11</xdr:col>
      <xdr:colOff>495300</xdr:colOff>
      <xdr:row>128</xdr:row>
      <xdr:rowOff>104775</xdr:rowOff>
    </xdr:to>
    <xdr:graphicFrame macro="">
      <xdr:nvGraphicFramePr>
        <xdr:cNvPr id="5" name="Chart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28575</xdr:colOff>
      <xdr:row>130</xdr:row>
      <xdr:rowOff>38100</xdr:rowOff>
    </xdr:from>
    <xdr:to>
      <xdr:col>11</xdr:col>
      <xdr:colOff>485775</xdr:colOff>
      <xdr:row>147</xdr:row>
      <xdr:rowOff>95250</xdr:rowOff>
    </xdr:to>
    <xdr:graphicFrame macro="">
      <xdr:nvGraphicFramePr>
        <xdr:cNvPr id="6" name="Chart 1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</xdr:colOff>
      <xdr:row>55</xdr:row>
      <xdr:rowOff>85726</xdr:rowOff>
    </xdr:from>
    <xdr:to>
      <xdr:col>11</xdr:col>
      <xdr:colOff>495301</xdr:colOff>
      <xdr:row>68</xdr:row>
      <xdr:rowOff>123826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</xdr:colOff>
      <xdr:row>206</xdr:row>
      <xdr:rowOff>57150</xdr:rowOff>
    </xdr:from>
    <xdr:to>
      <xdr:col>8</xdr:col>
      <xdr:colOff>371475</xdr:colOff>
      <xdr:row>219</xdr:row>
      <xdr:rowOff>180975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52668</xdr:colOff>
      <xdr:row>182</xdr:row>
      <xdr:rowOff>41461</xdr:rowOff>
    </xdr:from>
    <xdr:to>
      <xdr:col>11</xdr:col>
      <xdr:colOff>538442</xdr:colOff>
      <xdr:row>194</xdr:row>
      <xdr:rowOff>50986</xdr:rowOff>
    </xdr:to>
    <xdr:graphicFrame macro="">
      <xdr:nvGraphicFramePr>
        <xdr:cNvPr id="9" name="Chart 16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260350</xdr:colOff>
          <xdr:row>6</xdr:row>
          <xdr:rowOff>19050</xdr:rowOff>
        </xdr:from>
        <xdr:to>
          <xdr:col>14</xdr:col>
          <xdr:colOff>488950</xdr:colOff>
          <xdr:row>10</xdr:row>
          <xdr:rowOff>171450</xdr:rowOff>
        </xdr:to>
        <xdr:sp macro="" textlink="">
          <xdr:nvSpPr>
            <xdr:cNvPr id="18433" name="Spinner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241300</xdr:colOff>
          <xdr:row>13</xdr:row>
          <xdr:rowOff>114300</xdr:rowOff>
        </xdr:from>
        <xdr:to>
          <xdr:col>18</xdr:col>
          <xdr:colOff>533400</xdr:colOff>
          <xdr:row>14</xdr:row>
          <xdr:rowOff>146050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241300</xdr:colOff>
          <xdr:row>14</xdr:row>
          <xdr:rowOff>165100</xdr:rowOff>
        </xdr:from>
        <xdr:to>
          <xdr:col>18</xdr:col>
          <xdr:colOff>431800</xdr:colOff>
          <xdr:row>15</xdr:row>
          <xdr:rowOff>133350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260350</xdr:colOff>
          <xdr:row>15</xdr:row>
          <xdr:rowOff>95250</xdr:rowOff>
        </xdr:from>
        <xdr:to>
          <xdr:col>18</xdr:col>
          <xdr:colOff>508000</xdr:colOff>
          <xdr:row>16</xdr:row>
          <xdr:rowOff>114300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469900</xdr:colOff>
          <xdr:row>13</xdr:row>
          <xdr:rowOff>95250</xdr:rowOff>
        </xdr:from>
        <xdr:to>
          <xdr:col>19</xdr:col>
          <xdr:colOff>0</xdr:colOff>
          <xdr:row>14</xdr:row>
          <xdr:rowOff>107950</xdr:rowOff>
        </xdr:to>
        <xdr:sp macro="" textlink="">
          <xdr:nvSpPr>
            <xdr:cNvPr id="18437" name="Check Box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00000000-0008-0000-0100-00000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469900</xdr:colOff>
          <xdr:row>14</xdr:row>
          <xdr:rowOff>95250</xdr:rowOff>
        </xdr:from>
        <xdr:to>
          <xdr:col>19</xdr:col>
          <xdr:colOff>0</xdr:colOff>
          <xdr:row>15</xdr:row>
          <xdr:rowOff>88900</xdr:rowOff>
        </xdr:to>
        <xdr:sp macro="" textlink="">
          <xdr:nvSpPr>
            <xdr:cNvPr id="18438" name="Check Box 6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:a16="http://schemas.microsoft.com/office/drawing/2014/main" id="{00000000-0008-0000-0100-00000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18</xdr:col>
          <xdr:colOff>469900</xdr:colOff>
          <xdr:row>15</xdr:row>
          <xdr:rowOff>57150</xdr:rowOff>
        </xdr:from>
        <xdr:to>
          <xdr:col>19</xdr:col>
          <xdr:colOff>12700</xdr:colOff>
          <xdr:row>16</xdr:row>
          <xdr:rowOff>88900</xdr:rowOff>
        </xdr:to>
        <xdr:sp macro="" textlink="">
          <xdr:nvSpPr>
            <xdr:cNvPr id="18439" name="Check Box 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00000000-0008-0000-0100-00000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12700</xdr:colOff>
          <xdr:row>13</xdr:row>
          <xdr:rowOff>76200</xdr:rowOff>
        </xdr:from>
        <xdr:to>
          <xdr:col>19</xdr:col>
          <xdr:colOff>127000</xdr:colOff>
          <xdr:row>14</xdr:row>
          <xdr:rowOff>127000</xdr:rowOff>
        </xdr:to>
        <xdr:sp macro="" textlink="">
          <xdr:nvSpPr>
            <xdr:cNvPr id="18440" name="Check Box 8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:a16="http://schemas.microsoft.com/office/drawing/2014/main" id="{00000000-0008-0000-0100-00000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12700</xdr:colOff>
          <xdr:row>14</xdr:row>
          <xdr:rowOff>88900</xdr:rowOff>
        </xdr:from>
        <xdr:to>
          <xdr:col>19</xdr:col>
          <xdr:colOff>279400</xdr:colOff>
          <xdr:row>15</xdr:row>
          <xdr:rowOff>133350</xdr:rowOff>
        </xdr:to>
        <xdr:sp macro="" textlink="">
          <xdr:nvSpPr>
            <xdr:cNvPr id="18441" name="Check Box 9" hidden="1">
              <a:extLst>
                <a:ext uri="{63B3BB69-23CF-44E3-9099-C40C66FF867C}">
                  <a14:compatExt spid="_x0000_s18441"/>
                </a:ext>
                <a:ext uri="{FF2B5EF4-FFF2-40B4-BE49-F238E27FC236}">
                  <a16:creationId xmlns:a16="http://schemas.microsoft.com/office/drawing/2014/main" id="{00000000-0008-0000-0100-00000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12700</xdr:colOff>
          <xdr:row>15</xdr:row>
          <xdr:rowOff>95250</xdr:rowOff>
        </xdr:from>
        <xdr:to>
          <xdr:col>19</xdr:col>
          <xdr:colOff>247650</xdr:colOff>
          <xdr:row>16</xdr:row>
          <xdr:rowOff>95250</xdr:rowOff>
        </xdr:to>
        <xdr:sp macro="" textlink="">
          <xdr:nvSpPr>
            <xdr:cNvPr id="18442" name="Check Box 10" hidden="1">
              <a:extLst>
                <a:ext uri="{63B3BB69-23CF-44E3-9099-C40C66FF867C}">
                  <a14:compatExt spid="_x0000_s18442"/>
                </a:ext>
                <a:ext uri="{FF2B5EF4-FFF2-40B4-BE49-F238E27FC236}">
                  <a16:creationId xmlns:a16="http://schemas.microsoft.com/office/drawing/2014/main" id="{00000000-0008-0000-0100-00000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184150</xdr:colOff>
          <xdr:row>13</xdr:row>
          <xdr:rowOff>95250</xdr:rowOff>
        </xdr:from>
        <xdr:to>
          <xdr:col>19</xdr:col>
          <xdr:colOff>514350</xdr:colOff>
          <xdr:row>14</xdr:row>
          <xdr:rowOff>127000</xdr:rowOff>
        </xdr:to>
        <xdr:sp macro="" textlink="">
          <xdr:nvSpPr>
            <xdr:cNvPr id="18443" name="Check Box 11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00000000-0008-0000-0100-00000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241300</xdr:colOff>
          <xdr:row>14</xdr:row>
          <xdr:rowOff>95250</xdr:rowOff>
        </xdr:from>
        <xdr:to>
          <xdr:col>19</xdr:col>
          <xdr:colOff>533400</xdr:colOff>
          <xdr:row>15</xdr:row>
          <xdr:rowOff>127000</xdr:rowOff>
        </xdr:to>
        <xdr:sp macro="" textlink="">
          <xdr:nvSpPr>
            <xdr:cNvPr id="18444" name="Check Box 12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00000000-0008-0000-0100-00000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247650</xdr:colOff>
          <xdr:row>15</xdr:row>
          <xdr:rowOff>76200</xdr:rowOff>
        </xdr:from>
        <xdr:to>
          <xdr:col>19</xdr:col>
          <xdr:colOff>419100</xdr:colOff>
          <xdr:row>16</xdr:row>
          <xdr:rowOff>133350</xdr:rowOff>
        </xdr:to>
        <xdr:sp macro="" textlink="">
          <xdr:nvSpPr>
            <xdr:cNvPr id="18445" name="Check Box 13" hidden="1">
              <a:extLst>
                <a:ext uri="{63B3BB69-23CF-44E3-9099-C40C66FF867C}">
                  <a14:compatExt spid="_x0000_s18445"/>
                </a:ext>
                <a:ext uri="{FF2B5EF4-FFF2-40B4-BE49-F238E27FC236}">
                  <a16:creationId xmlns:a16="http://schemas.microsoft.com/office/drawing/2014/main" id="{00000000-0008-0000-0100-00000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450850</xdr:colOff>
          <xdr:row>13</xdr:row>
          <xdr:rowOff>88900</xdr:rowOff>
        </xdr:from>
        <xdr:to>
          <xdr:col>20</xdr:col>
          <xdr:colOff>31750</xdr:colOff>
          <xdr:row>14</xdr:row>
          <xdr:rowOff>133350</xdr:rowOff>
        </xdr:to>
        <xdr:sp macro="" textlink="">
          <xdr:nvSpPr>
            <xdr:cNvPr id="18446" name="Check Box 14" hidden="1">
              <a:extLst>
                <a:ext uri="{63B3BB69-23CF-44E3-9099-C40C66FF867C}">
                  <a14:compatExt spid="_x0000_s18446"/>
                </a:ext>
                <a:ext uri="{FF2B5EF4-FFF2-40B4-BE49-F238E27FC236}">
                  <a16:creationId xmlns:a16="http://schemas.microsoft.com/office/drawing/2014/main" id="{00000000-0008-0000-0100-00000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469900</xdr:colOff>
          <xdr:row>14</xdr:row>
          <xdr:rowOff>88900</xdr:rowOff>
        </xdr:from>
        <xdr:to>
          <xdr:col>20</xdr:col>
          <xdr:colOff>12700</xdr:colOff>
          <xdr:row>15</xdr:row>
          <xdr:rowOff>133350</xdr:rowOff>
        </xdr:to>
        <xdr:sp macro="" textlink="">
          <xdr:nvSpPr>
            <xdr:cNvPr id="18447" name="Check Box 15" hidden="1">
              <a:extLst>
                <a:ext uri="{63B3BB69-23CF-44E3-9099-C40C66FF867C}">
                  <a14:compatExt spid="_x0000_s18447"/>
                </a:ext>
                <a:ext uri="{FF2B5EF4-FFF2-40B4-BE49-F238E27FC236}">
                  <a16:creationId xmlns:a16="http://schemas.microsoft.com/office/drawing/2014/main" id="{00000000-0008-0000-0100-00000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19</xdr:col>
          <xdr:colOff>488950</xdr:colOff>
          <xdr:row>15</xdr:row>
          <xdr:rowOff>127000</xdr:rowOff>
        </xdr:from>
        <xdr:to>
          <xdr:col>20</xdr:col>
          <xdr:colOff>69850</xdr:colOff>
          <xdr:row>16</xdr:row>
          <xdr:rowOff>95250</xdr:rowOff>
        </xdr:to>
        <xdr:sp macro="" textlink="">
          <xdr:nvSpPr>
            <xdr:cNvPr id="18448" name="Check Box 16" hidden="1">
              <a:extLst>
                <a:ext uri="{63B3BB69-23CF-44E3-9099-C40C66FF867C}">
                  <a14:compatExt spid="_x0000_s18448"/>
                </a:ext>
                <a:ext uri="{FF2B5EF4-FFF2-40B4-BE49-F238E27FC236}">
                  <a16:creationId xmlns:a16="http://schemas.microsoft.com/office/drawing/2014/main" id="{00000000-0008-0000-0100-000010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50800</xdr:colOff>
          <xdr:row>13</xdr:row>
          <xdr:rowOff>88900</xdr:rowOff>
        </xdr:from>
        <xdr:to>
          <xdr:col>20</xdr:col>
          <xdr:colOff>298450</xdr:colOff>
          <xdr:row>14</xdr:row>
          <xdr:rowOff>165100</xdr:rowOff>
        </xdr:to>
        <xdr:sp macro="" textlink="">
          <xdr:nvSpPr>
            <xdr:cNvPr id="18449" name="Check Box 17" hidden="1">
              <a:extLst>
                <a:ext uri="{63B3BB69-23CF-44E3-9099-C40C66FF867C}">
                  <a14:compatExt spid="_x0000_s18449"/>
                </a:ext>
                <a:ext uri="{FF2B5EF4-FFF2-40B4-BE49-F238E27FC236}">
                  <a16:creationId xmlns:a16="http://schemas.microsoft.com/office/drawing/2014/main" id="{00000000-0008-0000-0100-00001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50800</xdr:colOff>
          <xdr:row>14</xdr:row>
          <xdr:rowOff>95250</xdr:rowOff>
        </xdr:from>
        <xdr:to>
          <xdr:col>20</xdr:col>
          <xdr:colOff>279400</xdr:colOff>
          <xdr:row>15</xdr:row>
          <xdr:rowOff>107950</xdr:rowOff>
        </xdr:to>
        <xdr:sp macro="" textlink="">
          <xdr:nvSpPr>
            <xdr:cNvPr id="18450" name="Check Box 18" hidden="1">
              <a:extLst>
                <a:ext uri="{63B3BB69-23CF-44E3-9099-C40C66FF867C}">
                  <a14:compatExt spid="_x0000_s18450"/>
                </a:ext>
                <a:ext uri="{FF2B5EF4-FFF2-40B4-BE49-F238E27FC236}">
                  <a16:creationId xmlns:a16="http://schemas.microsoft.com/office/drawing/2014/main" id="{00000000-0008-0000-0100-00001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20</xdr:col>
          <xdr:colOff>88900</xdr:colOff>
          <xdr:row>15</xdr:row>
          <xdr:rowOff>76200</xdr:rowOff>
        </xdr:from>
        <xdr:to>
          <xdr:col>20</xdr:col>
          <xdr:colOff>304800</xdr:colOff>
          <xdr:row>16</xdr:row>
          <xdr:rowOff>152400</xdr:rowOff>
        </xdr:to>
        <xdr:sp macro="" textlink="">
          <xdr:nvSpPr>
            <xdr:cNvPr id="18451" name="Check Box 19" hidden="1">
              <a:extLst>
                <a:ext uri="{63B3BB69-23CF-44E3-9099-C40C66FF867C}">
                  <a14:compatExt spid="_x0000_s18451"/>
                </a:ext>
                <a:ext uri="{FF2B5EF4-FFF2-40B4-BE49-F238E27FC236}">
                  <a16:creationId xmlns:a16="http://schemas.microsoft.com/office/drawing/2014/main" id="{00000000-0008-0000-0100-00001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412750</xdr:colOff>
          <xdr:row>14</xdr:row>
          <xdr:rowOff>171450</xdr:rowOff>
        </xdr:from>
        <xdr:to>
          <xdr:col>23</xdr:col>
          <xdr:colOff>88900</xdr:colOff>
          <xdr:row>16</xdr:row>
          <xdr:rowOff>12700</xdr:rowOff>
        </xdr:to>
        <xdr:sp macro="" textlink="">
          <xdr:nvSpPr>
            <xdr:cNvPr id="18452" name="Check Box 20" hidden="1">
              <a:extLst>
                <a:ext uri="{63B3BB69-23CF-44E3-9099-C40C66FF867C}">
                  <a14:compatExt spid="_x0000_s18452"/>
                </a:ext>
                <a:ext uri="{FF2B5EF4-FFF2-40B4-BE49-F238E27FC236}">
                  <a16:creationId xmlns:a16="http://schemas.microsoft.com/office/drawing/2014/main" id="{00000000-0008-0000-0100-00001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22</xdr:col>
          <xdr:colOff>419100</xdr:colOff>
          <xdr:row>15</xdr:row>
          <xdr:rowOff>152400</xdr:rowOff>
        </xdr:from>
        <xdr:to>
          <xdr:col>23</xdr:col>
          <xdr:colOff>88900</xdr:colOff>
          <xdr:row>16</xdr:row>
          <xdr:rowOff>184150</xdr:rowOff>
        </xdr:to>
        <xdr:sp macro="" textlink="">
          <xdr:nvSpPr>
            <xdr:cNvPr id="18453" name="Check Box 21" hidden="1">
              <a:extLst>
                <a:ext uri="{63B3BB69-23CF-44E3-9099-C40C66FF867C}">
                  <a14:compatExt spid="_x0000_s18453"/>
                </a:ext>
                <a:ext uri="{FF2B5EF4-FFF2-40B4-BE49-F238E27FC236}">
                  <a16:creationId xmlns:a16="http://schemas.microsoft.com/office/drawing/2014/main" id="{00000000-0008-0000-0100-00001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260350</xdr:colOff>
          <xdr:row>14</xdr:row>
          <xdr:rowOff>171450</xdr:rowOff>
        </xdr:from>
        <xdr:to>
          <xdr:col>24</xdr:col>
          <xdr:colOff>584200</xdr:colOff>
          <xdr:row>16</xdr:row>
          <xdr:rowOff>12700</xdr:rowOff>
        </xdr:to>
        <xdr:sp macro="" textlink="">
          <xdr:nvSpPr>
            <xdr:cNvPr id="18454" name="Check Box 22" hidden="1">
              <a:extLst>
                <a:ext uri="{63B3BB69-23CF-44E3-9099-C40C66FF867C}">
                  <a14:compatExt spid="_x0000_s18454"/>
                </a:ext>
                <a:ext uri="{FF2B5EF4-FFF2-40B4-BE49-F238E27FC236}">
                  <a16:creationId xmlns:a16="http://schemas.microsoft.com/office/drawing/2014/main" id="{00000000-0008-0000-0100-00001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24</xdr:col>
          <xdr:colOff>260350</xdr:colOff>
          <xdr:row>15</xdr:row>
          <xdr:rowOff>146050</xdr:rowOff>
        </xdr:from>
        <xdr:to>
          <xdr:col>24</xdr:col>
          <xdr:colOff>584200</xdr:colOff>
          <xdr:row>16</xdr:row>
          <xdr:rowOff>171450</xdr:rowOff>
        </xdr:to>
        <xdr:sp macro="" textlink="">
          <xdr:nvSpPr>
            <xdr:cNvPr id="18455" name="Check Box 23" hidden="1">
              <a:extLst>
                <a:ext uri="{63B3BB69-23CF-44E3-9099-C40C66FF867C}">
                  <a14:compatExt spid="_x0000_s18455"/>
                </a:ext>
                <a:ext uri="{FF2B5EF4-FFF2-40B4-BE49-F238E27FC236}">
                  <a16:creationId xmlns:a16="http://schemas.microsoft.com/office/drawing/2014/main" id="{00000000-0008-0000-0100-00001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672973</xdr:colOff>
      <xdr:row>0</xdr:row>
      <xdr:rowOff>55350</xdr:rowOff>
    </xdr:from>
    <xdr:to>
      <xdr:col>12</xdr:col>
      <xdr:colOff>5466</xdr:colOff>
      <xdr:row>0</xdr:row>
      <xdr:rowOff>807264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B4A72C6-CE4A-4F57-9E32-CD0D2158D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2337" y="55350"/>
          <a:ext cx="1462629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0.00688</cdr:x>
      <cdr:y>0.53875</cdr:y>
    </cdr:from>
    <cdr:to>
      <cdr:x>0.06193</cdr:x>
      <cdr:y>0.59779</cdr:y>
    </cdr:to>
    <cdr:sp macro="" textlink="">
      <cdr:nvSpPr>
        <cdr:cNvPr id="2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V="1">
          <a:off x="28575" y="1390650"/>
          <a:ext cx="228600" cy="152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20</a:t>
          </a:r>
        </a:p>
      </cdr:txBody>
    </cdr:sp>
  </cdr:relSizeAnchor>
  <cdr:relSizeAnchor xmlns:cdr="http://schemas.openxmlformats.org/drawingml/2006/chartDrawing">
    <cdr:from>
      <cdr:x>0.01147</cdr:x>
      <cdr:y>0.4059</cdr:y>
    </cdr:from>
    <cdr:to>
      <cdr:x>0.05963</cdr:x>
      <cdr:y>0.46125</cdr:y>
    </cdr:to>
    <cdr:sp macro="" textlink="">
      <cdr:nvSpPr>
        <cdr:cNvPr id="3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625" y="1047750"/>
          <a:ext cx="200025" cy="142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30</a:t>
          </a:r>
        </a:p>
      </cdr:txBody>
    </cdr:sp>
  </cdr:relSizeAnchor>
  <cdr:relSizeAnchor xmlns:cdr="http://schemas.openxmlformats.org/drawingml/2006/chartDrawing">
    <cdr:from>
      <cdr:x>0.00688</cdr:x>
      <cdr:y>0.30996</cdr:y>
    </cdr:from>
    <cdr:to>
      <cdr:x>0.06193</cdr:x>
      <cdr:y>0.36162</cdr:y>
    </cdr:to>
    <cdr:sp macro="" textlink="">
      <cdr:nvSpPr>
        <cdr:cNvPr id="4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575" y="800100"/>
          <a:ext cx="228600" cy="1333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40</a:t>
          </a:r>
        </a:p>
      </cdr:txBody>
    </cdr:sp>
  </cdr:relSizeAnchor>
  <cdr:relSizeAnchor xmlns:cdr="http://schemas.openxmlformats.org/drawingml/2006/chartDrawing">
    <cdr:from>
      <cdr:x>0.00459</cdr:x>
      <cdr:y>0.24723</cdr:y>
    </cdr:from>
    <cdr:to>
      <cdr:x>0.05963</cdr:x>
      <cdr:y>0.30258</cdr:y>
    </cdr:to>
    <cdr:sp macro="" textlink="">
      <cdr:nvSpPr>
        <cdr:cNvPr id="5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50" y="638175"/>
          <a:ext cx="228600" cy="142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50</a:t>
          </a:r>
        </a:p>
      </cdr:txBody>
    </cdr:sp>
  </cdr:relSizeAnchor>
  <cdr:relSizeAnchor xmlns:cdr="http://schemas.openxmlformats.org/drawingml/2006/chartDrawing">
    <cdr:from>
      <cdr:x>0.00229</cdr:x>
      <cdr:y>0.1845</cdr:y>
    </cdr:from>
    <cdr:to>
      <cdr:x>0.05963</cdr:x>
      <cdr:y>0.24354</cdr:y>
    </cdr:to>
    <cdr:sp macro="" textlink="">
      <cdr:nvSpPr>
        <cdr:cNvPr id="6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476250"/>
          <a:ext cx="238125" cy="152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 baseline="0">
              <a:solidFill>
                <a:sysClr val="windowText" lastClr="000000"/>
              </a:solidFill>
              <a:latin typeface="Arial"/>
              <a:cs typeface="Arial"/>
            </a:rPr>
            <a:t>60</a:t>
          </a:r>
        </a:p>
      </cdr:txBody>
    </cdr:sp>
  </cdr:relSizeAnchor>
  <cdr:relSizeAnchor xmlns:cdr="http://schemas.openxmlformats.org/drawingml/2006/chartDrawing">
    <cdr:from>
      <cdr:x>0</cdr:x>
      <cdr:y>0.09225</cdr:y>
    </cdr:from>
    <cdr:to>
      <cdr:x>0.05734</cdr:x>
      <cdr:y>0.1476</cdr:y>
    </cdr:to>
    <cdr:sp macro="" textlink="">
      <cdr:nvSpPr>
        <cdr:cNvPr id="7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238125"/>
          <a:ext cx="238125" cy="142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 baseline="0">
              <a:solidFill>
                <a:sysClr val="windowText" lastClr="000000"/>
              </a:solidFill>
              <a:latin typeface="Arial"/>
              <a:cs typeface="Arial"/>
            </a:rPr>
            <a:t>80</a:t>
          </a:r>
        </a:p>
      </cdr:txBody>
    </cdr:sp>
  </cdr:relSizeAnchor>
  <cdr:relSizeAnchor xmlns:cdr="http://schemas.openxmlformats.org/drawingml/2006/chartDrawing">
    <cdr:from>
      <cdr:x>0.3905</cdr:x>
      <cdr:y>0.89954</cdr:y>
    </cdr:from>
    <cdr:to>
      <cdr:x>0.58489</cdr:x>
      <cdr:y>0.98138</cdr:y>
    </cdr:to>
    <cdr:pic>
      <cdr:nvPicPr>
        <cdr:cNvPr id="10" name="chart">
          <a:extLst xmlns:a="http://schemas.openxmlformats.org/drawingml/2006/main">
            <a:ext uri="{FF2B5EF4-FFF2-40B4-BE49-F238E27FC236}">
              <a16:creationId xmlns:a16="http://schemas.microsoft.com/office/drawing/2014/main" id="{38193D64-9C58-C444-25CB-1B80F4E62F6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lum bright="-5000" contrast="100000"/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800225" y="1876425"/>
          <a:ext cx="896190" cy="170703"/>
        </a:xfrm>
        <a:prstGeom xmlns:a="http://schemas.openxmlformats.org/drawingml/2006/main" prst="rect">
          <a:avLst/>
        </a:prstGeom>
        <a:solidFill xmlns:a="http://schemas.openxmlformats.org/drawingml/2006/main">
          <a:srgbClr val="80F0BB"/>
        </a:solidFill>
        <a:ln xmlns:a="http://schemas.openxmlformats.org/drawingml/2006/main">
          <a:noFill/>
        </a:ln>
      </cdr:spPr>
    </cdr:pic>
  </cdr:relSizeAnchor>
  <cdr:relSizeAnchor xmlns:cdr="http://schemas.openxmlformats.org/drawingml/2006/chartDrawing">
    <cdr:from>
      <cdr:x>0.00207</cdr:x>
      <cdr:y>0.30594</cdr:y>
    </cdr:from>
    <cdr:to>
      <cdr:x>0.02893</cdr:x>
      <cdr:y>0.68493</cdr:y>
    </cdr:to>
    <cdr:sp macro="" textlink="">
      <cdr:nvSpPr>
        <cdr:cNvPr id="11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638175"/>
          <a:ext cx="123825" cy="790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270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 </a:t>
          </a:r>
          <a:r>
            <a:rPr lang="pt-BR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Nº</a:t>
          </a: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 </a:t>
          </a:r>
          <a:r>
            <a:rPr lang="pt-BR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GOLPES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0.93656</cdr:x>
      <cdr:y>0.02927</cdr:y>
    </cdr:from>
    <cdr:to>
      <cdr:x>0.98788</cdr:x>
      <cdr:y>0.96891</cdr:y>
    </cdr:to>
    <cdr:sp macro="" textlink="">
      <cdr:nvSpPr>
        <cdr:cNvPr id="2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2750" y="53808"/>
          <a:ext cx="161812" cy="1727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270" wrap="square" lIns="27432" tIns="22860" rIns="0" bIns="0" anchor="b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pt-BR" sz="800" b="1" i="0" strike="noStrike">
              <a:solidFill>
                <a:srgbClr val="0000FF"/>
              </a:solidFill>
              <a:latin typeface="Arial"/>
              <a:cs typeface="Arial"/>
            </a:rPr>
            <a:t>%</a:t>
          </a:r>
          <a:r>
            <a:rPr lang="pt-BR" sz="800" b="1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t-BR" sz="900" b="1" i="0" strike="noStrike" baseline="0">
              <a:solidFill>
                <a:srgbClr val="0000FF"/>
              </a:solidFill>
              <a:latin typeface="Arial"/>
              <a:cs typeface="Arial"/>
            </a:rPr>
            <a:t>Que</a:t>
          </a:r>
          <a:r>
            <a:rPr lang="pt-BR" sz="800" b="1" i="0" strike="noStrike" baseline="0">
              <a:solidFill>
                <a:srgbClr val="0000FF"/>
              </a:solidFill>
              <a:latin typeface="Arial"/>
              <a:cs typeface="Arial"/>
            </a:rPr>
            <a:t> Passa da Amostra Total</a:t>
          </a:r>
          <a:endParaRPr lang="pt-BR" sz="800" b="1" i="0" strike="noStrike">
            <a:solidFill>
              <a:srgbClr val="0000FF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0.01818</cdr:x>
      <cdr:y>0.86829</cdr:y>
    </cdr:from>
    <cdr:to>
      <cdr:x>0.18182</cdr:x>
      <cdr:y>0.96585</cdr:y>
    </cdr:to>
    <cdr:sp macro="" textlink="">
      <cdr:nvSpPr>
        <cdr:cNvPr id="3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50" y="1695450"/>
          <a:ext cx="514349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horz" wrap="square" lIns="27432" tIns="22860" rIns="0" bIns="0" anchor="b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pt-BR" sz="800" b="1" i="0" strike="noStrike">
              <a:solidFill>
                <a:sysClr val="windowText" lastClr="000000"/>
              </a:solidFill>
              <a:latin typeface="Arial"/>
              <a:cs typeface="Arial"/>
            </a:rPr>
            <a:t>Peneiras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33</xdr:row>
      <xdr:rowOff>19051</xdr:rowOff>
    </xdr:from>
    <xdr:to>
      <xdr:col>12</xdr:col>
      <xdr:colOff>0</xdr:colOff>
      <xdr:row>48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83</xdr:row>
      <xdr:rowOff>19050</xdr:rowOff>
    </xdr:from>
    <xdr:to>
      <xdr:col>11</xdr:col>
      <xdr:colOff>495300</xdr:colOff>
      <xdr:row>100</xdr:row>
      <xdr:rowOff>76200</xdr:rowOff>
    </xdr:to>
    <xdr:graphicFrame macro="">
      <xdr:nvGraphicFramePr>
        <xdr:cNvPr id="3" name="Chart 1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19049</xdr:colOff>
      <xdr:row>48</xdr:row>
      <xdr:rowOff>85725</xdr:rowOff>
    </xdr:from>
    <xdr:to>
      <xdr:col>5</xdr:col>
      <xdr:colOff>504824</xdr:colOff>
      <xdr:row>61</xdr:row>
      <xdr:rowOff>123826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102</xdr:row>
      <xdr:rowOff>47625</xdr:rowOff>
    </xdr:from>
    <xdr:to>
      <xdr:col>11</xdr:col>
      <xdr:colOff>495300</xdr:colOff>
      <xdr:row>119</xdr:row>
      <xdr:rowOff>104775</xdr:rowOff>
    </xdr:to>
    <xdr:graphicFrame macro="">
      <xdr:nvGraphicFramePr>
        <xdr:cNvPr id="5" name="Chart 1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28575</xdr:colOff>
      <xdr:row>121</xdr:row>
      <xdr:rowOff>38100</xdr:rowOff>
    </xdr:from>
    <xdr:to>
      <xdr:col>11</xdr:col>
      <xdr:colOff>485775</xdr:colOff>
      <xdr:row>138</xdr:row>
      <xdr:rowOff>95250</xdr:rowOff>
    </xdr:to>
    <xdr:graphicFrame macro="">
      <xdr:nvGraphicFramePr>
        <xdr:cNvPr id="6" name="Chart 1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</xdr:colOff>
      <xdr:row>48</xdr:row>
      <xdr:rowOff>85726</xdr:rowOff>
    </xdr:from>
    <xdr:to>
      <xdr:col>11</xdr:col>
      <xdr:colOff>495301</xdr:colOff>
      <xdr:row>61</xdr:row>
      <xdr:rowOff>123826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</xdr:colOff>
      <xdr:row>191</xdr:row>
      <xdr:rowOff>57150</xdr:rowOff>
    </xdr:from>
    <xdr:to>
      <xdr:col>8</xdr:col>
      <xdr:colOff>371475</xdr:colOff>
      <xdr:row>204</xdr:row>
      <xdr:rowOff>180975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19050</xdr:colOff>
      <xdr:row>167</xdr:row>
      <xdr:rowOff>19049</xdr:rowOff>
    </xdr:from>
    <xdr:to>
      <xdr:col>11</xdr:col>
      <xdr:colOff>504824</xdr:colOff>
      <xdr:row>179</xdr:row>
      <xdr:rowOff>28574</xdr:rowOff>
    </xdr:to>
    <xdr:graphicFrame macro="">
      <xdr:nvGraphicFramePr>
        <xdr:cNvPr id="12" name="Chart 167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247650</xdr:colOff>
          <xdr:row>0</xdr:row>
          <xdr:rowOff>19050</xdr:rowOff>
        </xdr:from>
        <xdr:to>
          <xdr:col>14</xdr:col>
          <xdr:colOff>476250</xdr:colOff>
          <xdr:row>3</xdr:row>
          <xdr:rowOff>171450</xdr:rowOff>
        </xdr:to>
        <xdr:sp macro="" textlink="">
          <xdr:nvSpPr>
            <xdr:cNvPr id="13313" name="Spinner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2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698500</xdr:colOff>
          <xdr:row>29</xdr:row>
          <xdr:rowOff>114300</xdr:rowOff>
        </xdr:from>
        <xdr:to>
          <xdr:col>5</xdr:col>
          <xdr:colOff>19050</xdr:colOff>
          <xdr:row>31</xdr:row>
          <xdr:rowOff>38100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2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698500</xdr:colOff>
          <xdr:row>30</xdr:row>
          <xdr:rowOff>95250</xdr:rowOff>
        </xdr:from>
        <xdr:to>
          <xdr:col>5</xdr:col>
          <xdr:colOff>19050</xdr:colOff>
          <xdr:row>32</xdr:row>
          <xdr:rowOff>19050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2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647700</xdr:colOff>
          <xdr:row>31</xdr:row>
          <xdr:rowOff>114300</xdr:rowOff>
        </xdr:from>
        <xdr:to>
          <xdr:col>4</xdr:col>
          <xdr:colOff>952500</xdr:colOff>
          <xdr:row>33</xdr:row>
          <xdr:rowOff>38100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2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876300</xdr:colOff>
          <xdr:row>29</xdr:row>
          <xdr:rowOff>114300</xdr:rowOff>
        </xdr:from>
        <xdr:to>
          <xdr:col>5</xdr:col>
          <xdr:colOff>203200</xdr:colOff>
          <xdr:row>31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2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876300</xdr:colOff>
          <xdr:row>30</xdr:row>
          <xdr:rowOff>95250</xdr:rowOff>
        </xdr:from>
        <xdr:to>
          <xdr:col>5</xdr:col>
          <xdr:colOff>203200</xdr:colOff>
          <xdr:row>32</xdr:row>
          <xdr:rowOff>19050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2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831850</xdr:colOff>
          <xdr:row>31</xdr:row>
          <xdr:rowOff>114300</xdr:rowOff>
        </xdr:from>
        <xdr:to>
          <xdr:col>5</xdr:col>
          <xdr:colOff>152400</xdr:colOff>
          <xdr:row>33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2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76200</xdr:colOff>
          <xdr:row>29</xdr:row>
          <xdr:rowOff>114300</xdr:rowOff>
        </xdr:from>
        <xdr:to>
          <xdr:col>5</xdr:col>
          <xdr:colOff>381000</xdr:colOff>
          <xdr:row>31</xdr:row>
          <xdr:rowOff>38100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2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76200</xdr:colOff>
          <xdr:row>30</xdr:row>
          <xdr:rowOff>95250</xdr:rowOff>
        </xdr:from>
        <xdr:to>
          <xdr:col>5</xdr:col>
          <xdr:colOff>381000</xdr:colOff>
          <xdr:row>32</xdr:row>
          <xdr:rowOff>19050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2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31750</xdr:colOff>
          <xdr:row>31</xdr:row>
          <xdr:rowOff>114300</xdr:rowOff>
        </xdr:from>
        <xdr:to>
          <xdr:col>5</xdr:col>
          <xdr:colOff>336550</xdr:colOff>
          <xdr:row>33</xdr:row>
          <xdr:rowOff>38100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2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266700</xdr:colOff>
          <xdr:row>29</xdr:row>
          <xdr:rowOff>114300</xdr:rowOff>
        </xdr:from>
        <xdr:to>
          <xdr:col>5</xdr:col>
          <xdr:colOff>571500</xdr:colOff>
          <xdr:row>31</xdr:row>
          <xdr:rowOff>38100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2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266700</xdr:colOff>
          <xdr:row>30</xdr:row>
          <xdr:rowOff>95250</xdr:rowOff>
        </xdr:from>
        <xdr:to>
          <xdr:col>5</xdr:col>
          <xdr:colOff>571500</xdr:colOff>
          <xdr:row>32</xdr:row>
          <xdr:rowOff>19050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2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222250</xdr:colOff>
          <xdr:row>31</xdr:row>
          <xdr:rowOff>114300</xdr:rowOff>
        </xdr:from>
        <xdr:to>
          <xdr:col>5</xdr:col>
          <xdr:colOff>527050</xdr:colOff>
          <xdr:row>33</xdr:row>
          <xdr:rowOff>38100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2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438150</xdr:colOff>
          <xdr:row>29</xdr:row>
          <xdr:rowOff>114300</xdr:rowOff>
        </xdr:from>
        <xdr:to>
          <xdr:col>5</xdr:col>
          <xdr:colOff>742950</xdr:colOff>
          <xdr:row>31</xdr:row>
          <xdr:rowOff>38100</xdr:rowOff>
        </xdr:to>
        <xdr:sp macro="" textlink="">
          <xdr:nvSpPr>
            <xdr:cNvPr id="13326" name="Check Box 14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2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438150</xdr:colOff>
          <xdr:row>30</xdr:row>
          <xdr:rowOff>95250</xdr:rowOff>
        </xdr:from>
        <xdr:to>
          <xdr:col>5</xdr:col>
          <xdr:colOff>742950</xdr:colOff>
          <xdr:row>32</xdr:row>
          <xdr:rowOff>19050</xdr:rowOff>
        </xdr:to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2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393700</xdr:colOff>
          <xdr:row>31</xdr:row>
          <xdr:rowOff>114300</xdr:rowOff>
        </xdr:from>
        <xdr:to>
          <xdr:col>5</xdr:col>
          <xdr:colOff>698500</xdr:colOff>
          <xdr:row>33</xdr:row>
          <xdr:rowOff>38100</xdr:rowOff>
        </xdr:to>
        <xdr:sp macro="" textlink="">
          <xdr:nvSpPr>
            <xdr:cNvPr id="13328" name="Check Box 16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00000000-0008-0000-0200-00001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609600</xdr:colOff>
          <xdr:row>29</xdr:row>
          <xdr:rowOff>114300</xdr:rowOff>
        </xdr:from>
        <xdr:to>
          <xdr:col>6</xdr:col>
          <xdr:colOff>146050</xdr:colOff>
          <xdr:row>31</xdr:row>
          <xdr:rowOff>38100</xdr:rowOff>
        </xdr:to>
        <xdr:sp macro="" textlink="">
          <xdr:nvSpPr>
            <xdr:cNvPr id="13329" name="Check Box 17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0000000-0008-0000-0200-00001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609600</xdr:colOff>
          <xdr:row>30</xdr:row>
          <xdr:rowOff>95250</xdr:rowOff>
        </xdr:from>
        <xdr:to>
          <xdr:col>6</xdr:col>
          <xdr:colOff>146050</xdr:colOff>
          <xdr:row>32</xdr:row>
          <xdr:rowOff>19050</xdr:rowOff>
        </xdr:to>
        <xdr:sp macro="" textlink="">
          <xdr:nvSpPr>
            <xdr:cNvPr id="13330" name="Check Box 18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2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565150</xdr:colOff>
          <xdr:row>31</xdr:row>
          <xdr:rowOff>114300</xdr:rowOff>
        </xdr:from>
        <xdr:to>
          <xdr:col>6</xdr:col>
          <xdr:colOff>95250</xdr:colOff>
          <xdr:row>33</xdr:row>
          <xdr:rowOff>38100</xdr:rowOff>
        </xdr:to>
        <xdr:sp macro="" textlink="">
          <xdr:nvSpPr>
            <xdr:cNvPr id="13331" name="Check Box 19" hidden="1">
              <a:extLst>
                <a:ext uri="{63B3BB69-23CF-44E3-9099-C40C66FF867C}">
                  <a14:compatExt spid="_x0000_s13331"/>
                </a:ext>
                <a:ext uri="{FF2B5EF4-FFF2-40B4-BE49-F238E27FC236}">
                  <a16:creationId xmlns:a16="http://schemas.microsoft.com/office/drawing/2014/main" id="{00000000-0008-0000-0200-00001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336550</xdr:colOff>
          <xdr:row>29</xdr:row>
          <xdr:rowOff>127000</xdr:rowOff>
        </xdr:from>
        <xdr:to>
          <xdr:col>8</xdr:col>
          <xdr:colOff>127000</xdr:colOff>
          <xdr:row>31</xdr:row>
          <xdr:rowOff>50800</xdr:rowOff>
        </xdr:to>
        <xdr:sp macro="" textlink="">
          <xdr:nvSpPr>
            <xdr:cNvPr id="13332" name="Check Box 20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00000000-0008-0000-0200-00001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336550</xdr:colOff>
          <xdr:row>30</xdr:row>
          <xdr:rowOff>127000</xdr:rowOff>
        </xdr:from>
        <xdr:to>
          <xdr:col>8</xdr:col>
          <xdr:colOff>127000</xdr:colOff>
          <xdr:row>32</xdr:row>
          <xdr:rowOff>50800</xdr:rowOff>
        </xdr:to>
        <xdr:sp macro="" textlink="">
          <xdr:nvSpPr>
            <xdr:cNvPr id="13333" name="Check Box 21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00000000-0008-0000-0200-00001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304800</xdr:colOff>
          <xdr:row>29</xdr:row>
          <xdr:rowOff>114300</xdr:rowOff>
        </xdr:from>
        <xdr:to>
          <xdr:col>10</xdr:col>
          <xdr:colOff>95250</xdr:colOff>
          <xdr:row>31</xdr:row>
          <xdr:rowOff>38100</xdr:rowOff>
        </xdr:to>
        <xdr:sp macro="" textlink="">
          <xdr:nvSpPr>
            <xdr:cNvPr id="13334" name="Check Box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2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304800</xdr:colOff>
          <xdr:row>30</xdr:row>
          <xdr:rowOff>114300</xdr:rowOff>
        </xdr:from>
        <xdr:to>
          <xdr:col>10</xdr:col>
          <xdr:colOff>95250</xdr:colOff>
          <xdr:row>32</xdr:row>
          <xdr:rowOff>38100</xdr:rowOff>
        </xdr:to>
        <xdr:sp macro="" textlink="">
          <xdr:nvSpPr>
            <xdr:cNvPr id="13335" name="Check Box 23" hidden="1">
              <a:extLst>
                <a:ext uri="{63B3BB69-23CF-44E3-9099-C40C66FF867C}">
                  <a14:compatExt spid="_x0000_s13335"/>
                </a:ext>
                <a:ext uri="{FF2B5EF4-FFF2-40B4-BE49-F238E27FC236}">
                  <a16:creationId xmlns:a16="http://schemas.microsoft.com/office/drawing/2014/main" id="{00000000-0008-0000-0200-00001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209551</xdr:colOff>
      <xdr:row>141</xdr:row>
      <xdr:rowOff>57151</xdr:rowOff>
    </xdr:from>
    <xdr:to>
      <xdr:col>2</xdr:col>
      <xdr:colOff>390525</xdr:colOff>
      <xdr:row>144</xdr:row>
      <xdr:rowOff>152401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19992976"/>
          <a:ext cx="1476374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66</xdr:row>
      <xdr:rowOff>66675</xdr:rowOff>
    </xdr:from>
    <xdr:to>
      <xdr:col>2</xdr:col>
      <xdr:colOff>333374</xdr:colOff>
      <xdr:row>69</xdr:row>
      <xdr:rowOff>104775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182225"/>
          <a:ext cx="1476374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85725</xdr:rowOff>
    </xdr:from>
    <xdr:to>
      <xdr:col>2</xdr:col>
      <xdr:colOff>238124</xdr:colOff>
      <xdr:row>3</xdr:row>
      <xdr:rowOff>123825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5725"/>
          <a:ext cx="1476374" cy="6096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0.00688</cdr:x>
      <cdr:y>0.53875</cdr:y>
    </cdr:from>
    <cdr:to>
      <cdr:x>0.06193</cdr:x>
      <cdr:y>0.59779</cdr:y>
    </cdr:to>
    <cdr:sp macro="" textlink="">
      <cdr:nvSpPr>
        <cdr:cNvPr id="2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V="1">
          <a:off x="28575" y="1390650"/>
          <a:ext cx="228600" cy="152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20</a:t>
          </a:r>
        </a:p>
      </cdr:txBody>
    </cdr:sp>
  </cdr:relSizeAnchor>
  <cdr:relSizeAnchor xmlns:cdr="http://schemas.openxmlformats.org/drawingml/2006/chartDrawing">
    <cdr:from>
      <cdr:x>0.01147</cdr:x>
      <cdr:y>0.4059</cdr:y>
    </cdr:from>
    <cdr:to>
      <cdr:x>0.05963</cdr:x>
      <cdr:y>0.46125</cdr:y>
    </cdr:to>
    <cdr:sp macro="" textlink="">
      <cdr:nvSpPr>
        <cdr:cNvPr id="3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625" y="1047750"/>
          <a:ext cx="200025" cy="142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30</a:t>
          </a:r>
        </a:p>
      </cdr:txBody>
    </cdr:sp>
  </cdr:relSizeAnchor>
  <cdr:relSizeAnchor xmlns:cdr="http://schemas.openxmlformats.org/drawingml/2006/chartDrawing">
    <cdr:from>
      <cdr:x>0.00688</cdr:x>
      <cdr:y>0.30996</cdr:y>
    </cdr:from>
    <cdr:to>
      <cdr:x>0.06193</cdr:x>
      <cdr:y>0.36162</cdr:y>
    </cdr:to>
    <cdr:sp macro="" textlink="">
      <cdr:nvSpPr>
        <cdr:cNvPr id="4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575" y="800100"/>
          <a:ext cx="228600" cy="1333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40</a:t>
          </a:r>
        </a:p>
      </cdr:txBody>
    </cdr:sp>
  </cdr:relSizeAnchor>
  <cdr:relSizeAnchor xmlns:cdr="http://schemas.openxmlformats.org/drawingml/2006/chartDrawing">
    <cdr:from>
      <cdr:x>0.00459</cdr:x>
      <cdr:y>0.24723</cdr:y>
    </cdr:from>
    <cdr:to>
      <cdr:x>0.05963</cdr:x>
      <cdr:y>0.30258</cdr:y>
    </cdr:to>
    <cdr:sp macro="" textlink="">
      <cdr:nvSpPr>
        <cdr:cNvPr id="5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50" y="638175"/>
          <a:ext cx="228600" cy="142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50</a:t>
          </a:r>
        </a:p>
      </cdr:txBody>
    </cdr:sp>
  </cdr:relSizeAnchor>
  <cdr:relSizeAnchor xmlns:cdr="http://schemas.openxmlformats.org/drawingml/2006/chartDrawing">
    <cdr:from>
      <cdr:x>0.00229</cdr:x>
      <cdr:y>0.1845</cdr:y>
    </cdr:from>
    <cdr:to>
      <cdr:x>0.05963</cdr:x>
      <cdr:y>0.24354</cdr:y>
    </cdr:to>
    <cdr:sp macro="" textlink="">
      <cdr:nvSpPr>
        <cdr:cNvPr id="6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476250"/>
          <a:ext cx="238125" cy="152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60</a:t>
          </a:r>
        </a:p>
      </cdr:txBody>
    </cdr:sp>
  </cdr:relSizeAnchor>
  <cdr:relSizeAnchor xmlns:cdr="http://schemas.openxmlformats.org/drawingml/2006/chartDrawing">
    <cdr:from>
      <cdr:x>0</cdr:x>
      <cdr:y>0.09225</cdr:y>
    </cdr:from>
    <cdr:to>
      <cdr:x>0.05734</cdr:x>
      <cdr:y>0.1476</cdr:y>
    </cdr:to>
    <cdr:sp macro="" textlink="">
      <cdr:nvSpPr>
        <cdr:cNvPr id="7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238125"/>
          <a:ext cx="238125" cy="142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0" tIns="22860" rIns="27432" bIns="0" anchor="t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80</a:t>
          </a:r>
        </a:p>
      </cdr:txBody>
    </cdr:sp>
  </cdr:relSizeAnchor>
  <cdr:relSizeAnchor xmlns:cdr="http://schemas.openxmlformats.org/drawingml/2006/chartDrawing">
    <cdr:from>
      <cdr:x>0.3905</cdr:x>
      <cdr:y>0.89954</cdr:y>
    </cdr:from>
    <cdr:to>
      <cdr:x>0.58489</cdr:x>
      <cdr:y>0.98138</cdr:y>
    </cdr:to>
    <cdr:pic>
      <cdr:nvPicPr>
        <cdr:cNvPr id="10" name="chart">
          <a:extLst xmlns:a="http://schemas.openxmlformats.org/drawingml/2006/main">
            <a:ext uri="{FF2B5EF4-FFF2-40B4-BE49-F238E27FC236}">
              <a16:creationId xmlns:a16="http://schemas.microsoft.com/office/drawing/2014/main" id="{396B0038-4458-2911-7631-474330BD1A6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lum bright="-5000" contrast="100000"/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800225" y="1876425"/>
          <a:ext cx="896190" cy="170703"/>
        </a:xfrm>
        <a:prstGeom xmlns:a="http://schemas.openxmlformats.org/drawingml/2006/main" prst="rect">
          <a:avLst/>
        </a:prstGeom>
        <a:solidFill xmlns:a="http://schemas.openxmlformats.org/drawingml/2006/main">
          <a:srgbClr val="80F0BB"/>
        </a:solidFill>
        <a:ln xmlns:a="http://schemas.openxmlformats.org/drawingml/2006/main">
          <a:noFill/>
        </a:ln>
      </cdr:spPr>
    </cdr:pic>
  </cdr:relSizeAnchor>
  <cdr:relSizeAnchor xmlns:cdr="http://schemas.openxmlformats.org/drawingml/2006/chartDrawing">
    <cdr:from>
      <cdr:x>0.00207</cdr:x>
      <cdr:y>0.30594</cdr:y>
    </cdr:from>
    <cdr:to>
      <cdr:x>0.02893</cdr:x>
      <cdr:y>0.68493</cdr:y>
    </cdr:to>
    <cdr:sp macro="" textlink="">
      <cdr:nvSpPr>
        <cdr:cNvPr id="11" name="Text Box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638175"/>
          <a:ext cx="123825" cy="7905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270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pt-BR" sz="800" b="1" i="0" strike="noStrike">
              <a:solidFill>
                <a:srgbClr val="006600"/>
              </a:solidFill>
              <a:latin typeface="Arial"/>
              <a:cs typeface="Arial"/>
            </a:rPr>
            <a:t> Nº GOLPES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0.93656</cdr:x>
      <cdr:y>0.02927</cdr:y>
    </cdr:from>
    <cdr:to>
      <cdr:x>0.98788</cdr:x>
      <cdr:y>0.96891</cdr:y>
    </cdr:to>
    <cdr:sp macro="" textlink="">
      <cdr:nvSpPr>
        <cdr:cNvPr id="2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2750" y="53808"/>
          <a:ext cx="161812" cy="1727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vert270" wrap="square" lIns="27432" tIns="22860" rIns="0" bIns="0" anchor="b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pt-BR" sz="800" b="1" i="0" strike="noStrike">
              <a:solidFill>
                <a:srgbClr val="FF0000"/>
              </a:solidFill>
              <a:latin typeface="Arial"/>
              <a:cs typeface="Arial"/>
            </a:rPr>
            <a:t>%</a:t>
          </a:r>
          <a:r>
            <a:rPr lang="pt-BR" sz="800" b="1" i="0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  <a:r>
            <a:rPr lang="pt-BR" sz="900" b="1" i="0" strike="noStrike" baseline="0">
              <a:solidFill>
                <a:srgbClr val="FF0000"/>
              </a:solidFill>
              <a:latin typeface="Arial"/>
              <a:cs typeface="Arial"/>
            </a:rPr>
            <a:t>Que</a:t>
          </a:r>
          <a:r>
            <a:rPr lang="pt-BR" sz="800" b="1" i="0" strike="noStrike" baseline="0">
              <a:solidFill>
                <a:srgbClr val="FF0000"/>
              </a:solidFill>
              <a:latin typeface="Arial"/>
              <a:cs typeface="Arial"/>
            </a:rPr>
            <a:t> Passa da Amostra Total</a:t>
          </a:r>
          <a:endParaRPr lang="pt-BR" sz="800" b="1" i="0" strike="noStrike">
            <a:solidFill>
              <a:srgbClr val="FF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0.01818</cdr:x>
      <cdr:y>0.86829</cdr:y>
    </cdr:from>
    <cdr:to>
      <cdr:x>0.18182</cdr:x>
      <cdr:y>0.96585</cdr:y>
    </cdr:to>
    <cdr:sp macro="" textlink="">
      <cdr:nvSpPr>
        <cdr:cNvPr id="3" name="Text Box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150" y="1695450"/>
          <a:ext cx="514349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horz" wrap="square" lIns="27432" tIns="22860" rIns="0" bIns="0" anchor="b" anchorCtr="0" upright="1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pt-BR" sz="800" b="1" i="0" strike="noStrike">
              <a:solidFill>
                <a:srgbClr val="FF0000"/>
              </a:solidFill>
              <a:latin typeface="Arial"/>
              <a:cs typeface="Arial"/>
            </a:rPr>
            <a:t>Peneiras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876300</xdr:colOff>
      <xdr:row>34</xdr:row>
      <xdr:rowOff>142875</xdr:rowOff>
    </xdr:from>
    <xdr:to>
      <xdr:col>4</xdr:col>
      <xdr:colOff>1133475</xdr:colOff>
      <xdr:row>34</xdr:row>
      <xdr:rowOff>142875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ShapeType="1"/>
        </xdr:cNvSpPr>
      </xdr:nvSpPr>
      <xdr:spPr bwMode="auto">
        <a:xfrm>
          <a:off x="2238375" y="7991475"/>
          <a:ext cx="257175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</xdr:spPr>
    </xdr:sp>
    <xdr:clientData/>
  </xdr:twoCellAnchor>
  <xdr:twoCellAnchor>
    <xdr:from>
      <xdr:col>4</xdr:col>
      <xdr:colOff>876300</xdr:colOff>
      <xdr:row>34</xdr:row>
      <xdr:rowOff>142875</xdr:rowOff>
    </xdr:from>
    <xdr:to>
      <xdr:col>4</xdr:col>
      <xdr:colOff>1133475</xdr:colOff>
      <xdr:row>34</xdr:row>
      <xdr:rowOff>142875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ShapeType="1"/>
        </xdr:cNvSpPr>
      </xdr:nvSpPr>
      <xdr:spPr bwMode="auto">
        <a:xfrm>
          <a:off x="2238375" y="7991475"/>
          <a:ext cx="257175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</xdr:spPr>
    </xdr:sp>
    <xdr:clientData/>
  </xdr:twoCellAnchor>
  <xdr:twoCellAnchor>
    <xdr:from>
      <xdr:col>5</xdr:col>
      <xdr:colOff>47625</xdr:colOff>
      <xdr:row>40</xdr:row>
      <xdr:rowOff>85725</xdr:rowOff>
    </xdr:from>
    <xdr:to>
      <xdr:col>7</xdr:col>
      <xdr:colOff>533400</xdr:colOff>
      <xdr:row>40</xdr:row>
      <xdr:rowOff>85725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ShapeType="1"/>
        </xdr:cNvSpPr>
      </xdr:nvSpPr>
      <xdr:spPr bwMode="auto">
        <a:xfrm>
          <a:off x="2819400" y="9648825"/>
          <a:ext cx="1590675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</xdr:spPr>
    </xdr:sp>
    <xdr:clientData/>
  </xdr:twoCellAnchor>
  <xdr:twoCellAnchor>
    <xdr:from>
      <xdr:col>9</xdr:col>
      <xdr:colOff>47625</xdr:colOff>
      <xdr:row>40</xdr:row>
      <xdr:rowOff>85725</xdr:rowOff>
    </xdr:from>
    <xdr:to>
      <xdr:col>11</xdr:col>
      <xdr:colOff>533400</xdr:colOff>
      <xdr:row>40</xdr:row>
      <xdr:rowOff>85725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ShapeType="1"/>
        </xdr:cNvSpPr>
      </xdr:nvSpPr>
      <xdr:spPr bwMode="auto">
        <a:xfrm>
          <a:off x="5029200" y="9648825"/>
          <a:ext cx="1590675" cy="0"/>
        </a:xfrm>
        <a:prstGeom prst="line">
          <a:avLst/>
        </a:prstGeom>
        <a:noFill/>
        <a:ln w="12700">
          <a:solidFill>
            <a:srgbClr val="008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165100</xdr:colOff>
          <xdr:row>0</xdr:row>
          <xdr:rowOff>19050</xdr:rowOff>
        </xdr:from>
        <xdr:to>
          <xdr:col>14</xdr:col>
          <xdr:colOff>393700</xdr:colOff>
          <xdr:row>3</xdr:row>
          <xdr:rowOff>50800</xdr:rowOff>
        </xdr:to>
        <xdr:sp macro="" textlink="">
          <xdr:nvSpPr>
            <xdr:cNvPr id="12290" name="Spinner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4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103909</xdr:colOff>
      <xdr:row>1</xdr:row>
      <xdr:rowOff>103909</xdr:rowOff>
    </xdr:from>
    <xdr:to>
      <xdr:col>3</xdr:col>
      <xdr:colOff>450273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614" y="216477"/>
          <a:ext cx="1316182" cy="4450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103909</xdr:colOff>
      <xdr:row>1</xdr:row>
      <xdr:rowOff>103909</xdr:rowOff>
    </xdr:from>
    <xdr:to>
      <xdr:col>3</xdr:col>
      <xdr:colOff>450273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284" y="218209"/>
          <a:ext cx="1317914" cy="4485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c\Meus%20Documentos\TRACBUQ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bras\CST\Diamantino\MP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01"/>
      <sheetName val="PAG02"/>
      <sheetName val="PAG03"/>
      <sheetName val="PAG04"/>
      <sheetName val="PAG05"/>
      <sheetName val="PAG06"/>
      <sheetName val="PAG07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âmetros Gerais"/>
      <sheetName val="Medição Completa det"/>
      <sheetName val="Medição Completa"/>
      <sheetName val="Medição"/>
      <sheetName val="CAPA"/>
      <sheetName val="Boletim"/>
      <sheetName val="Medição Líquida"/>
      <sheetName val="Memória de Cálculo - Resumo"/>
      <sheetName val="Memória de Cálculo"/>
      <sheetName val="Distribuição de Massas"/>
      <sheetName val="Quadro de Const Rodoviaria"/>
      <sheetName val="Boletim de Desempenho Parcial"/>
      <sheetName val="Pessoal"/>
      <sheetName val="Equipamentos"/>
      <sheetName val="Mapa de Chuva"/>
      <sheetName val="CAPA (2)"/>
      <sheetName val="CAPA (3)"/>
      <sheetName val="CAPA (8)"/>
      <sheetName val="CAPA (4)"/>
      <sheetName val="CAPA (9)"/>
      <sheetName val="CAPA (5)"/>
      <sheetName val="CAPA (7)"/>
      <sheetName val="DNER"/>
      <sheetName val="Crédito"/>
      <sheetName val="Quadro Const Rodoviaria"/>
      <sheetName val="CAPA (6)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13" Type="http://schemas.openxmlformats.org/officeDocument/2006/relationships/ctrlProp" Target="../ctrlProps/ctrlProp33.xml"/><Relationship Id="rId18" Type="http://schemas.openxmlformats.org/officeDocument/2006/relationships/ctrlProp" Target="../ctrlProps/ctrlProp38.xml"/><Relationship Id="rId26" Type="http://schemas.openxmlformats.org/officeDocument/2006/relationships/ctrlProp" Target="../ctrlProps/ctrlProp46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1.xml"/><Relationship Id="rId7" Type="http://schemas.openxmlformats.org/officeDocument/2006/relationships/ctrlProp" Target="../ctrlProps/ctrlProp27.xml"/><Relationship Id="rId12" Type="http://schemas.openxmlformats.org/officeDocument/2006/relationships/ctrlProp" Target="../ctrlProps/ctrlProp32.xml"/><Relationship Id="rId17" Type="http://schemas.openxmlformats.org/officeDocument/2006/relationships/ctrlProp" Target="../ctrlProps/ctrlProp37.xml"/><Relationship Id="rId25" Type="http://schemas.openxmlformats.org/officeDocument/2006/relationships/ctrlProp" Target="../ctrlProps/ctrlProp4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36.xml"/><Relationship Id="rId20" Type="http://schemas.openxmlformats.org/officeDocument/2006/relationships/ctrlProp" Target="../ctrlProps/ctrlProp40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6.xml"/><Relationship Id="rId11" Type="http://schemas.openxmlformats.org/officeDocument/2006/relationships/ctrlProp" Target="../ctrlProps/ctrlProp31.xml"/><Relationship Id="rId24" Type="http://schemas.openxmlformats.org/officeDocument/2006/relationships/ctrlProp" Target="../ctrlProps/ctrlProp44.xml"/><Relationship Id="rId5" Type="http://schemas.openxmlformats.org/officeDocument/2006/relationships/ctrlProp" Target="../ctrlProps/ctrlProp25.xml"/><Relationship Id="rId15" Type="http://schemas.openxmlformats.org/officeDocument/2006/relationships/ctrlProp" Target="../ctrlProps/ctrlProp35.xml"/><Relationship Id="rId23" Type="http://schemas.openxmlformats.org/officeDocument/2006/relationships/ctrlProp" Target="../ctrlProps/ctrlProp43.xml"/><Relationship Id="rId10" Type="http://schemas.openxmlformats.org/officeDocument/2006/relationships/ctrlProp" Target="../ctrlProps/ctrlProp30.xml"/><Relationship Id="rId19" Type="http://schemas.openxmlformats.org/officeDocument/2006/relationships/ctrlProp" Target="../ctrlProps/ctrlProp39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Relationship Id="rId14" Type="http://schemas.openxmlformats.org/officeDocument/2006/relationships/ctrlProp" Target="../ctrlProps/ctrlProp34.xml"/><Relationship Id="rId22" Type="http://schemas.openxmlformats.org/officeDocument/2006/relationships/ctrlProp" Target="../ctrlProps/ctrlProp4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4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7">
    <tabColor rgb="FF00B050"/>
  </sheetPr>
  <dimension ref="A1:EZ372"/>
  <sheetViews>
    <sheetView tabSelected="1" view="pageBreakPreview" zoomScaleNormal="100" zoomScaleSheetLayoutView="100" workbookViewId="0">
      <selection activeCell="W4" sqref="W4"/>
    </sheetView>
  </sheetViews>
  <sheetFormatPr defaultColWidth="9.1796875" defaultRowHeight="14" x14ac:dyDescent="0.35"/>
  <cols>
    <col min="1" max="2" width="10.54296875" style="16" customWidth="1"/>
    <col min="3" max="5" width="10.1796875" style="16" customWidth="1"/>
    <col min="6" max="6" width="11.7265625" style="16" customWidth="1"/>
    <col min="7" max="12" width="10.1796875" style="16" customWidth="1"/>
    <col min="13" max="13" width="1.81640625" style="16" customWidth="1"/>
    <col min="14" max="14" width="9.1796875" style="16" customWidth="1"/>
    <col min="15" max="15" width="9.81640625" style="16" customWidth="1"/>
    <col min="16" max="25" width="9.1796875" style="16" customWidth="1"/>
    <col min="26" max="26" width="3.453125" style="16" customWidth="1"/>
    <col min="27" max="34" width="9.1796875" style="16" customWidth="1"/>
    <col min="35" max="35" width="4.81640625" style="16" customWidth="1"/>
    <col min="36" max="36" width="4.1796875" style="16" customWidth="1"/>
    <col min="37" max="37" width="2.7265625" style="356" bestFit="1" customWidth="1"/>
    <col min="38" max="43" width="9.453125" style="251" bestFit="1" customWidth="1"/>
    <col min="44" max="44" width="9.1796875" style="251"/>
    <col min="45" max="45" width="9.453125" style="251" bestFit="1" customWidth="1"/>
    <col min="46" max="46" width="7.1796875" style="251" bestFit="1" customWidth="1"/>
    <col min="47" max="47" width="9.453125" style="251" bestFit="1" customWidth="1"/>
    <col min="48" max="48" width="5.81640625" style="251" bestFit="1" customWidth="1"/>
    <col min="49" max="49" width="7.1796875" style="251" bestFit="1" customWidth="1"/>
    <col min="50" max="55" width="9.1796875" style="251"/>
    <col min="56" max="56" width="8.1796875" style="251" bestFit="1" customWidth="1"/>
    <col min="57" max="61" width="5.54296875" style="251" bestFit="1" customWidth="1"/>
    <col min="62" max="155" width="9.1796875" style="251"/>
    <col min="156" max="156" width="9.1796875" style="296"/>
    <col min="157" max="16384" width="9.1796875" style="16"/>
  </cols>
  <sheetData>
    <row r="1" spans="1:156" ht="66" customHeight="1" x14ac:dyDescent="0.3">
      <c r="A1" s="1453" t="s">
        <v>143</v>
      </c>
      <c r="B1" s="1453"/>
      <c r="C1" s="1453"/>
      <c r="D1" s="1453"/>
      <c r="E1" s="1453"/>
      <c r="F1" s="1453"/>
      <c r="G1" s="1453"/>
      <c r="H1" s="1453"/>
      <c r="I1" s="1453"/>
      <c r="J1" s="1453"/>
      <c r="K1" s="1453"/>
      <c r="L1" s="1453"/>
    </row>
    <row r="2" spans="1:156" ht="12.65" customHeight="1" x14ac:dyDescent="0.35">
      <c r="A2" s="1457"/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</row>
    <row r="3" spans="1:156" ht="30" customHeight="1" x14ac:dyDescent="0.35">
      <c r="A3" s="1454" t="s">
        <v>144</v>
      </c>
      <c r="B3" s="1454"/>
      <c r="C3" s="1454"/>
      <c r="D3" s="1454"/>
      <c r="E3" s="1454"/>
      <c r="F3" s="1454"/>
      <c r="G3" s="1454"/>
      <c r="H3" s="1455" t="s">
        <v>145</v>
      </c>
      <c r="I3" s="1455"/>
      <c r="J3" s="1455"/>
      <c r="K3" s="1455"/>
      <c r="L3" s="1455"/>
    </row>
    <row r="4" spans="1:156" ht="30" customHeight="1" x14ac:dyDescent="0.35">
      <c r="A4" s="1455" t="s">
        <v>146</v>
      </c>
      <c r="B4" s="1455"/>
      <c r="C4" s="1455"/>
      <c r="D4" s="1455"/>
      <c r="E4" s="1455"/>
      <c r="F4" s="1455"/>
      <c r="G4" s="1455"/>
      <c r="H4" s="1455" t="s">
        <v>147</v>
      </c>
      <c r="I4" s="1455"/>
      <c r="J4" s="1455"/>
      <c r="K4" s="1455"/>
      <c r="L4" s="1455"/>
    </row>
    <row r="5" spans="1:156" ht="31.5" customHeight="1" x14ac:dyDescent="0.35">
      <c r="A5" s="1456" t="s">
        <v>148</v>
      </c>
      <c r="B5" s="1456"/>
      <c r="C5" s="1456"/>
      <c r="D5" s="1456"/>
      <c r="E5" s="1456"/>
      <c r="F5" s="1456"/>
      <c r="G5" s="1456"/>
      <c r="H5" s="1456" t="s">
        <v>149</v>
      </c>
      <c r="I5" s="1456"/>
      <c r="J5" s="1456"/>
      <c r="K5" s="1456"/>
      <c r="L5" s="1456"/>
    </row>
    <row r="6" spans="1:156" ht="15" customHeight="1" x14ac:dyDescent="0.35">
      <c r="A6" s="1471"/>
      <c r="B6" s="1471"/>
      <c r="C6" s="1471"/>
      <c r="D6" s="1471"/>
      <c r="E6" s="1471"/>
      <c r="F6" s="1471"/>
      <c r="G6" s="1471"/>
      <c r="H6" s="1471"/>
      <c r="I6" s="1471"/>
      <c r="J6" s="1471"/>
      <c r="K6" s="1471"/>
      <c r="L6" s="1471"/>
      <c r="EZ6" s="251"/>
    </row>
    <row r="7" spans="1:156" ht="15" customHeight="1" x14ac:dyDescent="0.25">
      <c r="A7" s="1476" t="s">
        <v>150</v>
      </c>
      <c r="B7" s="1477"/>
      <c r="C7" s="1477"/>
      <c r="D7" s="1477"/>
      <c r="E7" s="1477"/>
      <c r="F7" s="1477"/>
      <c r="G7" s="1477"/>
      <c r="H7" s="1477"/>
      <c r="I7" s="1477"/>
      <c r="J7" s="1478"/>
      <c r="K7" s="1472" t="s">
        <v>151</v>
      </c>
      <c r="L7" s="1473"/>
      <c r="M7" s="636"/>
      <c r="N7" s="342" t="s">
        <v>152</v>
      </c>
      <c r="AK7" s="357">
        <f>(N8-1)*7+4</f>
        <v>4</v>
      </c>
      <c r="AL7" s="358" t="b">
        <v>1</v>
      </c>
      <c r="AM7" s="358" t="b">
        <v>1</v>
      </c>
      <c r="AN7" s="358" t="b">
        <v>1</v>
      </c>
      <c r="AO7" s="358" t="b">
        <v>1</v>
      </c>
      <c r="AP7" s="358" t="b">
        <v>1</v>
      </c>
      <c r="AQ7" s="358" t="b">
        <v>1</v>
      </c>
      <c r="AR7" s="358"/>
      <c r="AS7" s="358" t="b">
        <v>1</v>
      </c>
      <c r="AT7" s="358" t="b">
        <f>IF(AS7=FALSE,AS8=FALSE)</f>
        <v>0</v>
      </c>
      <c r="AU7" s="358" t="b">
        <v>0</v>
      </c>
      <c r="AV7" s="358"/>
      <c r="AW7" s="358"/>
      <c r="AX7" s="358"/>
      <c r="AY7" s="358"/>
      <c r="AZ7" s="358"/>
      <c r="BA7" s="358"/>
      <c r="BB7" s="359"/>
      <c r="BC7" s="358"/>
      <c r="BD7" s="361">
        <f ca="1">MIN($AL13:$AQ13)</f>
        <v>2.3450524309729576E-2</v>
      </c>
      <c r="BE7" s="391">
        <f ca="1">BD7</f>
        <v>2.3450524309729576E-2</v>
      </c>
      <c r="BF7" s="361">
        <f ca="1">BE7+$BC$8</f>
        <v>2.4062061114694843E-2</v>
      </c>
      <c r="BG7" s="361">
        <f t="shared" ref="BG7:DR7" ca="1" si="0">BF7+$BC$8</f>
        <v>2.467359791966011E-2</v>
      </c>
      <c r="BH7" s="361">
        <f t="shared" ca="1" si="0"/>
        <v>2.5285134724625378E-2</v>
      </c>
      <c r="BI7" s="361">
        <f t="shared" ca="1" si="0"/>
        <v>2.5896671529590645E-2</v>
      </c>
      <c r="BJ7" s="361">
        <f t="shared" ca="1" si="0"/>
        <v>2.6508208334555913E-2</v>
      </c>
      <c r="BK7" s="361">
        <f t="shared" ca="1" si="0"/>
        <v>2.711974513952118E-2</v>
      </c>
      <c r="BL7" s="361">
        <f t="shared" ca="1" si="0"/>
        <v>2.7731281944486447E-2</v>
      </c>
      <c r="BM7" s="361">
        <f t="shared" ca="1" si="0"/>
        <v>2.8342818749451715E-2</v>
      </c>
      <c r="BN7" s="361">
        <f t="shared" ca="1" si="0"/>
        <v>2.8954355554416982E-2</v>
      </c>
      <c r="BO7" s="361">
        <f t="shared" ca="1" si="0"/>
        <v>2.956589235938225E-2</v>
      </c>
      <c r="BP7" s="361">
        <f t="shared" ca="1" si="0"/>
        <v>3.0177429164347517E-2</v>
      </c>
      <c r="BQ7" s="361">
        <f t="shared" ca="1" si="0"/>
        <v>3.0788965969312784E-2</v>
      </c>
      <c r="BR7" s="361">
        <f t="shared" ca="1" si="0"/>
        <v>3.1400502774278055E-2</v>
      </c>
      <c r="BS7" s="361">
        <f t="shared" ca="1" si="0"/>
        <v>3.2012039579243326E-2</v>
      </c>
      <c r="BT7" s="361">
        <f t="shared" ca="1" si="0"/>
        <v>3.2623576384208597E-2</v>
      </c>
      <c r="BU7" s="361">
        <f t="shared" ca="1" si="0"/>
        <v>3.3235113189173868E-2</v>
      </c>
      <c r="BV7" s="361">
        <f t="shared" ca="1" si="0"/>
        <v>3.3846649994139139E-2</v>
      </c>
      <c r="BW7" s="361">
        <f t="shared" ca="1" si="0"/>
        <v>3.4458186799104409E-2</v>
      </c>
      <c r="BX7" s="361">
        <f t="shared" ca="1" si="0"/>
        <v>3.506972360406968E-2</v>
      </c>
      <c r="BY7" s="361">
        <f t="shared" ca="1" si="0"/>
        <v>3.5681260409034951E-2</v>
      </c>
      <c r="BZ7" s="361">
        <f t="shared" ca="1" si="0"/>
        <v>3.6292797214000222E-2</v>
      </c>
      <c r="CA7" s="361">
        <f t="shared" ca="1" si="0"/>
        <v>3.6904334018965493E-2</v>
      </c>
      <c r="CB7" s="361">
        <f t="shared" ca="1" si="0"/>
        <v>3.7515870823930764E-2</v>
      </c>
      <c r="CC7" s="361">
        <f t="shared" ca="1" si="0"/>
        <v>3.8127407628896035E-2</v>
      </c>
      <c r="CD7" s="361">
        <f t="shared" ca="1" si="0"/>
        <v>3.8738944433861305E-2</v>
      </c>
      <c r="CE7" s="361">
        <f t="shared" ca="1" si="0"/>
        <v>3.9350481238826576E-2</v>
      </c>
      <c r="CF7" s="361">
        <f t="shared" ca="1" si="0"/>
        <v>3.9962018043791847E-2</v>
      </c>
      <c r="CG7" s="361">
        <f t="shared" ca="1" si="0"/>
        <v>4.0573554848757118E-2</v>
      </c>
      <c r="CH7" s="361">
        <f t="shared" ca="1" si="0"/>
        <v>4.1185091653722389E-2</v>
      </c>
      <c r="CI7" s="361">
        <f t="shared" ca="1" si="0"/>
        <v>4.179662845868766E-2</v>
      </c>
      <c r="CJ7" s="361">
        <f t="shared" ca="1" si="0"/>
        <v>4.240816526365293E-2</v>
      </c>
      <c r="CK7" s="361">
        <f t="shared" ca="1" si="0"/>
        <v>4.3019702068618201E-2</v>
      </c>
      <c r="CL7" s="361">
        <f t="shared" ca="1" si="0"/>
        <v>4.3631238873583472E-2</v>
      </c>
      <c r="CM7" s="361">
        <f t="shared" ca="1" si="0"/>
        <v>4.4242775678548743E-2</v>
      </c>
      <c r="CN7" s="361">
        <f t="shared" ca="1" si="0"/>
        <v>4.4854312483514014E-2</v>
      </c>
      <c r="CO7" s="361">
        <f t="shared" ca="1" si="0"/>
        <v>4.5465849288479285E-2</v>
      </c>
      <c r="CP7" s="361">
        <f t="shared" ca="1" si="0"/>
        <v>4.6077386093444556E-2</v>
      </c>
      <c r="CQ7" s="361">
        <f t="shared" ca="1" si="0"/>
        <v>4.6688922898409826E-2</v>
      </c>
      <c r="CR7" s="361">
        <f t="shared" ca="1" si="0"/>
        <v>4.7300459703375097E-2</v>
      </c>
      <c r="CS7" s="361">
        <f t="shared" ca="1" si="0"/>
        <v>4.7911996508340368E-2</v>
      </c>
      <c r="CT7" s="361">
        <f t="shared" ca="1" si="0"/>
        <v>4.8523533313305639E-2</v>
      </c>
      <c r="CU7" s="361">
        <f t="shared" ca="1" si="0"/>
        <v>4.913507011827091E-2</v>
      </c>
      <c r="CV7" s="361">
        <f t="shared" ca="1" si="0"/>
        <v>4.9746606923236181E-2</v>
      </c>
      <c r="CW7" s="361">
        <f t="shared" ca="1" si="0"/>
        <v>5.0358143728201452E-2</v>
      </c>
      <c r="CX7" s="361">
        <f t="shared" ca="1" si="0"/>
        <v>5.0969680533166722E-2</v>
      </c>
      <c r="CY7" s="361">
        <f t="shared" ca="1" si="0"/>
        <v>5.1581217338131993E-2</v>
      </c>
      <c r="CZ7" s="361">
        <f t="shared" ca="1" si="0"/>
        <v>5.2192754143097264E-2</v>
      </c>
      <c r="DA7" s="361">
        <f t="shared" ca="1" si="0"/>
        <v>5.2804290948062535E-2</v>
      </c>
      <c r="DB7" s="361">
        <f t="shared" ca="1" si="0"/>
        <v>5.3415827753027806E-2</v>
      </c>
      <c r="DC7" s="361">
        <f t="shared" ca="1" si="0"/>
        <v>5.4027364557993077E-2</v>
      </c>
      <c r="DD7" s="361">
        <f t="shared" ca="1" si="0"/>
        <v>5.4638901362958348E-2</v>
      </c>
      <c r="DE7" s="361">
        <f t="shared" ca="1" si="0"/>
        <v>5.5250438167923618E-2</v>
      </c>
      <c r="DF7" s="361">
        <f t="shared" ca="1" si="0"/>
        <v>5.5861974972888889E-2</v>
      </c>
      <c r="DG7" s="361">
        <f t="shared" ca="1" si="0"/>
        <v>5.647351177785416E-2</v>
      </c>
      <c r="DH7" s="361">
        <f t="shared" ca="1" si="0"/>
        <v>5.7085048582819431E-2</v>
      </c>
      <c r="DI7" s="361">
        <f t="shared" ca="1" si="0"/>
        <v>5.7696585387784702E-2</v>
      </c>
      <c r="DJ7" s="361">
        <f t="shared" ca="1" si="0"/>
        <v>5.8308122192749973E-2</v>
      </c>
      <c r="DK7" s="361">
        <f t="shared" ca="1" si="0"/>
        <v>5.8919658997715244E-2</v>
      </c>
      <c r="DL7" s="361">
        <f t="shared" ca="1" si="0"/>
        <v>5.9531195802680514E-2</v>
      </c>
      <c r="DM7" s="361">
        <f t="shared" ca="1" si="0"/>
        <v>6.0142732607645785E-2</v>
      </c>
      <c r="DN7" s="361">
        <f t="shared" ca="1" si="0"/>
        <v>6.0754269412611056E-2</v>
      </c>
      <c r="DO7" s="361">
        <f t="shared" ca="1" si="0"/>
        <v>6.1365806217576327E-2</v>
      </c>
      <c r="DP7" s="361">
        <f t="shared" ca="1" si="0"/>
        <v>6.1977343022541598E-2</v>
      </c>
      <c r="DQ7" s="361">
        <f t="shared" ca="1" si="0"/>
        <v>6.2588879827506869E-2</v>
      </c>
      <c r="DR7" s="361">
        <f t="shared" ca="1" si="0"/>
        <v>6.3200416632472139E-2</v>
      </c>
      <c r="DS7" s="361">
        <f t="shared" ref="DS7:EZ7" ca="1" si="1">DR7+$BC$8</f>
        <v>6.381195343743741E-2</v>
      </c>
      <c r="DT7" s="361">
        <f t="shared" ca="1" si="1"/>
        <v>6.4423490242402681E-2</v>
      </c>
      <c r="DU7" s="361">
        <f t="shared" ca="1" si="1"/>
        <v>6.5035027047367952E-2</v>
      </c>
      <c r="DV7" s="361">
        <f t="shared" ca="1" si="1"/>
        <v>6.5646563852333223E-2</v>
      </c>
      <c r="DW7" s="361">
        <f t="shared" ca="1" si="1"/>
        <v>6.6258100657298494E-2</v>
      </c>
      <c r="DX7" s="361">
        <f t="shared" ca="1" si="1"/>
        <v>6.6869637462263765E-2</v>
      </c>
      <c r="DY7" s="361">
        <f t="shared" ca="1" si="1"/>
        <v>6.7481174267229035E-2</v>
      </c>
      <c r="DZ7" s="361">
        <f t="shared" ca="1" si="1"/>
        <v>6.8092711072194306E-2</v>
      </c>
      <c r="EA7" s="361">
        <f t="shared" ca="1" si="1"/>
        <v>6.8704247877159577E-2</v>
      </c>
      <c r="EB7" s="361">
        <f t="shared" ca="1" si="1"/>
        <v>6.9315784682124848E-2</v>
      </c>
      <c r="EC7" s="361">
        <f t="shared" ca="1" si="1"/>
        <v>6.9927321487090119E-2</v>
      </c>
      <c r="ED7" s="361">
        <f t="shared" ca="1" si="1"/>
        <v>7.053885829205539E-2</v>
      </c>
      <c r="EE7" s="361">
        <f t="shared" ca="1" si="1"/>
        <v>7.1150395097020661E-2</v>
      </c>
      <c r="EF7" s="361">
        <f t="shared" ca="1" si="1"/>
        <v>7.1761931901985931E-2</v>
      </c>
      <c r="EG7" s="361">
        <f t="shared" ca="1" si="1"/>
        <v>7.2373468706951202E-2</v>
      </c>
      <c r="EH7" s="361">
        <f t="shared" ca="1" si="1"/>
        <v>7.2985005511916473E-2</v>
      </c>
      <c r="EI7" s="361">
        <f t="shared" ca="1" si="1"/>
        <v>7.3596542316881744E-2</v>
      </c>
      <c r="EJ7" s="361">
        <f t="shared" ca="1" si="1"/>
        <v>7.4208079121847015E-2</v>
      </c>
      <c r="EK7" s="361">
        <f t="shared" ca="1" si="1"/>
        <v>7.4819615926812286E-2</v>
      </c>
      <c r="EL7" s="361">
        <f t="shared" ca="1" si="1"/>
        <v>7.5431152731777557E-2</v>
      </c>
      <c r="EM7" s="361">
        <f t="shared" ca="1" si="1"/>
        <v>7.6042689536742827E-2</v>
      </c>
      <c r="EN7" s="361">
        <f t="shared" ca="1" si="1"/>
        <v>7.6654226341708098E-2</v>
      </c>
      <c r="EO7" s="361">
        <f t="shared" ca="1" si="1"/>
        <v>7.7265763146673369E-2</v>
      </c>
      <c r="EP7" s="361">
        <f t="shared" ca="1" si="1"/>
        <v>7.787729995163864E-2</v>
      </c>
      <c r="EQ7" s="361">
        <f t="shared" ca="1" si="1"/>
        <v>7.8488836756603911E-2</v>
      </c>
      <c r="ER7" s="361">
        <f t="shared" ca="1" si="1"/>
        <v>7.9100373561569182E-2</v>
      </c>
      <c r="ES7" s="361">
        <f t="shared" ca="1" si="1"/>
        <v>7.9711910366534452E-2</v>
      </c>
      <c r="ET7" s="361">
        <f t="shared" ca="1" si="1"/>
        <v>8.0323447171499723E-2</v>
      </c>
      <c r="EU7" s="361">
        <f t="shared" ca="1" si="1"/>
        <v>8.0934983976464994E-2</v>
      </c>
      <c r="EV7" s="361">
        <f t="shared" ca="1" si="1"/>
        <v>8.1546520781430265E-2</v>
      </c>
      <c r="EW7" s="361">
        <f t="shared" ca="1" si="1"/>
        <v>8.2158057586395536E-2</v>
      </c>
      <c r="EX7" s="361">
        <f t="shared" ca="1" si="1"/>
        <v>8.2769594391360807E-2</v>
      </c>
      <c r="EY7" s="361">
        <f t="shared" ca="1" si="1"/>
        <v>8.3381131196326078E-2</v>
      </c>
      <c r="EZ7" s="1133">
        <f t="shared" ca="1" si="1"/>
        <v>8.3992668001291348E-2</v>
      </c>
    </row>
    <row r="8" spans="1:156" ht="15" customHeight="1" x14ac:dyDescent="0.25">
      <c r="A8" s="1479"/>
      <c r="B8" s="1480"/>
      <c r="C8" s="1480"/>
      <c r="D8" s="1480"/>
      <c r="E8" s="1480"/>
      <c r="F8" s="1480"/>
      <c r="G8" s="1480"/>
      <c r="H8" s="1480"/>
      <c r="I8" s="1480"/>
      <c r="J8" s="1481"/>
      <c r="K8" s="1139"/>
      <c r="L8" s="1138">
        <f ca="1">IF(OR($N$8="",$N$8=0),"",IF(INDIRECT(ADDRESS(($AK8),COLUMN()-7,,,"Digitar Dados dos Ensaios"))&lt;&gt;"",INDIRECT(ADDRESS(($AK8),COLUMN()-7,,,"Digitar Dados dos Ensaios")),""))</f>
        <v>1</v>
      </c>
      <c r="M8" s="637"/>
      <c r="N8" s="343">
        <v>1</v>
      </c>
      <c r="AK8" s="357">
        <f>AK7+2</f>
        <v>6</v>
      </c>
      <c r="AL8" s="358" t="b">
        <v>0</v>
      </c>
      <c r="AM8" s="358" t="b">
        <v>1</v>
      </c>
      <c r="AN8" s="358" t="b">
        <v>1</v>
      </c>
      <c r="AO8" s="358" t="b">
        <v>1</v>
      </c>
      <c r="AP8" s="358" t="b">
        <v>1</v>
      </c>
      <c r="AQ8" s="358" t="b">
        <v>1</v>
      </c>
      <c r="AR8" s="358"/>
      <c r="AS8" s="358" t="b">
        <v>0</v>
      </c>
      <c r="AT8" s="358"/>
      <c r="AU8" s="358" t="b">
        <v>1</v>
      </c>
      <c r="AV8" s="358"/>
      <c r="AW8" s="358"/>
      <c r="AX8" s="358"/>
      <c r="AY8" s="358"/>
      <c r="AZ8" s="358"/>
      <c r="BA8" s="358"/>
      <c r="BB8" s="359"/>
      <c r="BC8" s="360">
        <f ca="1">($BD$8-$BD$7)/99</f>
        <v>6.1153680496526738E-4</v>
      </c>
      <c r="BD8" s="361">
        <f ca="1">MAX($AL13:$AQ13)</f>
        <v>8.3992668001291043E-2</v>
      </c>
      <c r="BE8" s="362">
        <f ca="1">$AT$19*BE7^2+$AV$19*BE7+$AX$19</f>
        <v>1859.432168331494</v>
      </c>
      <c r="BF8" s="362">
        <f ca="1">$AT$19*BF7^2+$AV$19*BF7+$AX$19</f>
        <v>1872.1424903978188</v>
      </c>
      <c r="BG8" s="362">
        <f t="shared" ref="BG8:DR8" ca="1" si="2">$AT$19*BG7^2+$AV$19*BG7+$AX$19</f>
        <v>1884.6242638838246</v>
      </c>
      <c r="BH8" s="362">
        <f t="shared" ca="1" si="2"/>
        <v>1896.8774887895115</v>
      </c>
      <c r="BI8" s="362">
        <f t="shared" ca="1" si="2"/>
        <v>1908.9021651148794</v>
      </c>
      <c r="BJ8" s="362">
        <f t="shared" ca="1" si="2"/>
        <v>1920.6982928599282</v>
      </c>
      <c r="BK8" s="362">
        <f t="shared" ca="1" si="2"/>
        <v>1932.2658720246582</v>
      </c>
      <c r="BL8" s="362">
        <f t="shared" ca="1" si="2"/>
        <v>1943.6049026090693</v>
      </c>
      <c r="BM8" s="362">
        <f t="shared" ca="1" si="2"/>
        <v>1954.7153846131614</v>
      </c>
      <c r="BN8" s="362">
        <f t="shared" ca="1" si="2"/>
        <v>1965.5973180369347</v>
      </c>
      <c r="BO8" s="362">
        <f t="shared" ca="1" si="2"/>
        <v>1976.2507028803886</v>
      </c>
      <c r="BP8" s="362">
        <f t="shared" ca="1" si="2"/>
        <v>1986.675539143524</v>
      </c>
      <c r="BQ8" s="362">
        <f t="shared" ca="1" si="2"/>
        <v>1996.8718268263406</v>
      </c>
      <c r="BR8" s="362">
        <f t="shared" ca="1" si="2"/>
        <v>2006.8395659288381</v>
      </c>
      <c r="BS8" s="362">
        <f t="shared" ca="1" si="2"/>
        <v>2016.5787564510165</v>
      </c>
      <c r="BT8" s="362">
        <f t="shared" ca="1" si="2"/>
        <v>2026.0893983928759</v>
      </c>
      <c r="BU8" s="362">
        <f t="shared" ca="1" si="2"/>
        <v>2035.3714917544166</v>
      </c>
      <c r="BV8" s="362">
        <f t="shared" ca="1" si="2"/>
        <v>2044.4250365356384</v>
      </c>
      <c r="BW8" s="362">
        <f t="shared" ca="1" si="2"/>
        <v>2053.250032736541</v>
      </c>
      <c r="BX8" s="362">
        <f t="shared" ca="1" si="2"/>
        <v>2061.8464803571246</v>
      </c>
      <c r="BY8" s="362">
        <f t="shared" ca="1" si="2"/>
        <v>2070.2143793973896</v>
      </c>
      <c r="BZ8" s="362">
        <f t="shared" ca="1" si="2"/>
        <v>2078.3537298573356</v>
      </c>
      <c r="CA8" s="362">
        <f t="shared" ca="1" si="2"/>
        <v>2086.2645317369625</v>
      </c>
      <c r="CB8" s="362">
        <f t="shared" ca="1" si="2"/>
        <v>2093.9467850362707</v>
      </c>
      <c r="CC8" s="362">
        <f t="shared" ca="1" si="2"/>
        <v>2101.4004897552595</v>
      </c>
      <c r="CD8" s="362">
        <f t="shared" ca="1" si="2"/>
        <v>2108.6256458939297</v>
      </c>
      <c r="CE8" s="362">
        <f t="shared" ca="1" si="2"/>
        <v>2115.6222534522808</v>
      </c>
      <c r="CF8" s="362">
        <f t="shared" ca="1" si="2"/>
        <v>2122.3903124303133</v>
      </c>
      <c r="CG8" s="362">
        <f t="shared" ca="1" si="2"/>
        <v>2128.9298228280263</v>
      </c>
      <c r="CH8" s="362">
        <f t="shared" ca="1" si="2"/>
        <v>2135.2407846454207</v>
      </c>
      <c r="CI8" s="362">
        <f t="shared" ca="1" si="2"/>
        <v>2141.3231978824961</v>
      </c>
      <c r="CJ8" s="362">
        <f t="shared" ca="1" si="2"/>
        <v>2147.1770625392523</v>
      </c>
      <c r="CK8" s="362">
        <f t="shared" ca="1" si="2"/>
        <v>2152.80237861569</v>
      </c>
      <c r="CL8" s="362">
        <f t="shared" ca="1" si="2"/>
        <v>2158.1991461118087</v>
      </c>
      <c r="CM8" s="362">
        <f t="shared" ca="1" si="2"/>
        <v>2163.3673650276078</v>
      </c>
      <c r="CN8" s="362">
        <f t="shared" ca="1" si="2"/>
        <v>2168.3070353630887</v>
      </c>
      <c r="CO8" s="362">
        <f t="shared" ca="1" si="2"/>
        <v>2173.0181571182502</v>
      </c>
      <c r="CP8" s="362">
        <f t="shared" ca="1" si="2"/>
        <v>2177.5007302930935</v>
      </c>
      <c r="CQ8" s="362">
        <f t="shared" ca="1" si="2"/>
        <v>2181.7547548876169</v>
      </c>
      <c r="CR8" s="362">
        <f t="shared" ca="1" si="2"/>
        <v>2185.7802309018216</v>
      </c>
      <c r="CS8" s="362">
        <f t="shared" ca="1" si="2"/>
        <v>2189.5771583357082</v>
      </c>
      <c r="CT8" s="362">
        <f t="shared" ca="1" si="2"/>
        <v>2193.1455371892748</v>
      </c>
      <c r="CU8" s="362">
        <f t="shared" ca="1" si="2"/>
        <v>2196.4853674625228</v>
      </c>
      <c r="CV8" s="362">
        <f t="shared" ca="1" si="2"/>
        <v>2199.5966491554518</v>
      </c>
      <c r="CW8" s="362">
        <f t="shared" ca="1" si="2"/>
        <v>2202.4793822680622</v>
      </c>
      <c r="CX8" s="362">
        <f t="shared" ca="1" si="2"/>
        <v>2205.1335668003535</v>
      </c>
      <c r="CY8" s="362">
        <f t="shared" ca="1" si="2"/>
        <v>2207.5592027523253</v>
      </c>
      <c r="CZ8" s="362">
        <f t="shared" ca="1" si="2"/>
        <v>2209.7562901239789</v>
      </c>
      <c r="DA8" s="362">
        <f t="shared" ca="1" si="2"/>
        <v>2211.7248289153131</v>
      </c>
      <c r="DB8" s="362">
        <f t="shared" ca="1" si="2"/>
        <v>2213.4648191263286</v>
      </c>
      <c r="DC8" s="362">
        <f t="shared" ca="1" si="2"/>
        <v>2214.9762607570251</v>
      </c>
      <c r="DD8" s="362">
        <f t="shared" ca="1" si="2"/>
        <v>2216.259153807403</v>
      </c>
      <c r="DE8" s="362">
        <f t="shared" ca="1" si="2"/>
        <v>2217.3134982774613</v>
      </c>
      <c r="DF8" s="362">
        <f t="shared" ca="1" si="2"/>
        <v>2218.1392941672007</v>
      </c>
      <c r="DG8" s="362">
        <f t="shared" ca="1" si="2"/>
        <v>2218.7365414766214</v>
      </c>
      <c r="DH8" s="362">
        <f t="shared" ca="1" si="2"/>
        <v>2219.1052402057235</v>
      </c>
      <c r="DI8" s="362">
        <f t="shared" ca="1" si="2"/>
        <v>2219.2453903545061</v>
      </c>
      <c r="DJ8" s="362">
        <f t="shared" ca="1" si="2"/>
        <v>2219.1569919229701</v>
      </c>
      <c r="DK8" s="362">
        <f t="shared" ca="1" si="2"/>
        <v>2218.840044911115</v>
      </c>
      <c r="DL8" s="362">
        <f t="shared" ca="1" si="2"/>
        <v>2218.2945493189409</v>
      </c>
      <c r="DM8" s="362">
        <f t="shared" ca="1" si="2"/>
        <v>2217.5205051464482</v>
      </c>
      <c r="DN8" s="362">
        <f t="shared" ca="1" si="2"/>
        <v>2216.5179123936359</v>
      </c>
      <c r="DO8" s="362">
        <f t="shared" ca="1" si="2"/>
        <v>2215.2867710605051</v>
      </c>
      <c r="DP8" s="362">
        <f t="shared" ca="1" si="2"/>
        <v>2213.8270811470552</v>
      </c>
      <c r="DQ8" s="362">
        <f t="shared" ca="1" si="2"/>
        <v>2212.1388426532867</v>
      </c>
      <c r="DR8" s="362">
        <f t="shared" ca="1" si="2"/>
        <v>2210.2220555791982</v>
      </c>
      <c r="DS8" s="362">
        <f t="shared" ref="DS8:EZ8" ca="1" si="3">$AT$19*DS7^2+$AV$19*DS7+$AX$19</f>
        <v>2208.0767199247921</v>
      </c>
      <c r="DT8" s="362">
        <f t="shared" ca="1" si="3"/>
        <v>2205.7028356900669</v>
      </c>
      <c r="DU8" s="362">
        <f t="shared" ca="1" si="3"/>
        <v>2203.1004028750222</v>
      </c>
      <c r="DV8" s="362">
        <f t="shared" ca="1" si="3"/>
        <v>2200.2694214796584</v>
      </c>
      <c r="DW8" s="362">
        <f t="shared" ca="1" si="3"/>
        <v>2197.209891503976</v>
      </c>
      <c r="DX8" s="362">
        <f t="shared" ca="1" si="3"/>
        <v>2193.9218129479746</v>
      </c>
      <c r="DY8" s="362">
        <f t="shared" ca="1" si="3"/>
        <v>2190.4051858116545</v>
      </c>
      <c r="DZ8" s="362">
        <f t="shared" ca="1" si="3"/>
        <v>2186.6600100950154</v>
      </c>
      <c r="EA8" s="362">
        <f t="shared" ca="1" si="3"/>
        <v>2182.6862857980568</v>
      </c>
      <c r="EB8" s="362">
        <f t="shared" ca="1" si="3"/>
        <v>2178.4840129207796</v>
      </c>
      <c r="EC8" s="362">
        <f t="shared" ca="1" si="3"/>
        <v>2174.0531914631838</v>
      </c>
      <c r="ED8" s="362">
        <f t="shared" ca="1" si="3"/>
        <v>2169.3938214252689</v>
      </c>
      <c r="EE8" s="362">
        <f t="shared" ca="1" si="3"/>
        <v>2164.5059028070345</v>
      </c>
      <c r="EF8" s="362">
        <f t="shared" ca="1" si="3"/>
        <v>2159.389435608482</v>
      </c>
      <c r="EG8" s="362">
        <f t="shared" ca="1" si="3"/>
        <v>2154.04441982961</v>
      </c>
      <c r="EH8" s="362">
        <f t="shared" ca="1" si="3"/>
        <v>2148.4708554704189</v>
      </c>
      <c r="EI8" s="362">
        <f t="shared" ca="1" si="3"/>
        <v>2142.6687425309092</v>
      </c>
      <c r="EJ8" s="362">
        <f t="shared" ca="1" si="3"/>
        <v>2136.6380810110804</v>
      </c>
      <c r="EK8" s="362">
        <f t="shared" ca="1" si="3"/>
        <v>2130.3788709109331</v>
      </c>
      <c r="EL8" s="362">
        <f t="shared" ca="1" si="3"/>
        <v>2123.8911122304662</v>
      </c>
      <c r="EM8" s="362">
        <f t="shared" ca="1" si="3"/>
        <v>2117.1748049696807</v>
      </c>
      <c r="EN8" s="362">
        <f t="shared" ca="1" si="3"/>
        <v>2110.2299491285762</v>
      </c>
      <c r="EO8" s="362">
        <f t="shared" ca="1" si="3"/>
        <v>2103.0565447071531</v>
      </c>
      <c r="EP8" s="362">
        <f t="shared" ca="1" si="3"/>
        <v>2095.6545917054104</v>
      </c>
      <c r="EQ8" s="362">
        <f t="shared" ca="1" si="3"/>
        <v>2088.0240901233492</v>
      </c>
      <c r="ER8" s="362">
        <f t="shared" ca="1" si="3"/>
        <v>2080.1650399609684</v>
      </c>
      <c r="ES8" s="362">
        <f t="shared" ca="1" si="3"/>
        <v>2072.0774412182691</v>
      </c>
      <c r="ET8" s="362">
        <f t="shared" ca="1" si="3"/>
        <v>2063.7612938952516</v>
      </c>
      <c r="EU8" s="362">
        <f t="shared" ca="1" si="3"/>
        <v>2055.2165979919137</v>
      </c>
      <c r="EV8" s="362">
        <f t="shared" ca="1" si="3"/>
        <v>2046.4433535082583</v>
      </c>
      <c r="EW8" s="362">
        <f t="shared" ca="1" si="3"/>
        <v>2037.4415604442834</v>
      </c>
      <c r="EX8" s="362">
        <f t="shared" ca="1" si="3"/>
        <v>2028.2112187999892</v>
      </c>
      <c r="EY8" s="362">
        <f t="shared" ca="1" si="3"/>
        <v>2018.7523285753764</v>
      </c>
      <c r="EZ8" s="363">
        <f t="shared" ca="1" si="3"/>
        <v>2009.0648897704446</v>
      </c>
    </row>
    <row r="9" spans="1:156" ht="15" customHeight="1" x14ac:dyDescent="0.25">
      <c r="A9" s="1479"/>
      <c r="B9" s="1480"/>
      <c r="C9" s="1480"/>
      <c r="D9" s="1480"/>
      <c r="E9" s="1480"/>
      <c r="F9" s="1480"/>
      <c r="G9" s="1480"/>
      <c r="H9" s="1480"/>
      <c r="I9" s="1480"/>
      <c r="J9" s="1481"/>
      <c r="K9" s="1458" t="s">
        <v>57</v>
      </c>
      <c r="L9" s="1459"/>
      <c r="M9" s="637"/>
      <c r="N9" s="343"/>
      <c r="AK9" s="357"/>
      <c r="AL9" s="358"/>
      <c r="AM9" s="358"/>
      <c r="AN9" s="358"/>
      <c r="AO9" s="358"/>
      <c r="AP9" s="358"/>
      <c r="AQ9" s="358"/>
      <c r="AR9" s="358"/>
      <c r="AS9" s="358"/>
      <c r="AT9" s="358"/>
      <c r="AU9" s="358"/>
      <c r="AV9" s="358"/>
      <c r="AW9" s="358"/>
      <c r="AX9" s="358"/>
      <c r="AY9" s="358"/>
      <c r="AZ9" s="358"/>
      <c r="BA9" s="358"/>
      <c r="BB9" s="359"/>
      <c r="BC9" s="360"/>
      <c r="BD9" s="361"/>
      <c r="BE9" s="362"/>
      <c r="BF9" s="362"/>
      <c r="BG9" s="362"/>
      <c r="BH9" s="362"/>
      <c r="BI9" s="362"/>
      <c r="BJ9" s="362"/>
      <c r="BK9" s="362"/>
      <c r="BL9" s="362"/>
      <c r="BM9" s="362"/>
      <c r="BN9" s="362"/>
      <c r="BO9" s="362"/>
      <c r="BP9" s="362"/>
      <c r="BQ9" s="362"/>
      <c r="BR9" s="362"/>
      <c r="BS9" s="362"/>
      <c r="BT9" s="362"/>
      <c r="BU9" s="362"/>
      <c r="BV9" s="362"/>
      <c r="BW9" s="362"/>
      <c r="BX9" s="362"/>
      <c r="BY9" s="362"/>
      <c r="BZ9" s="362"/>
      <c r="CA9" s="362"/>
      <c r="CB9" s="362"/>
      <c r="CC9" s="362"/>
      <c r="CD9" s="362"/>
      <c r="CE9" s="362"/>
      <c r="CF9" s="362"/>
      <c r="CG9" s="362"/>
      <c r="CH9" s="362"/>
      <c r="CI9" s="362"/>
      <c r="CJ9" s="362"/>
      <c r="CK9" s="362"/>
      <c r="CL9" s="362"/>
      <c r="CM9" s="362"/>
      <c r="CN9" s="362"/>
      <c r="CO9" s="362"/>
      <c r="CP9" s="362"/>
      <c r="CQ9" s="362"/>
      <c r="CR9" s="362"/>
      <c r="CS9" s="362"/>
      <c r="CT9" s="362"/>
      <c r="CU9" s="362"/>
      <c r="CV9" s="362"/>
      <c r="CW9" s="362"/>
      <c r="CX9" s="362"/>
      <c r="CY9" s="362"/>
      <c r="CZ9" s="362"/>
      <c r="DA9" s="362"/>
      <c r="DB9" s="362"/>
      <c r="DC9" s="362"/>
      <c r="DD9" s="362"/>
      <c r="DE9" s="362"/>
      <c r="DF9" s="362"/>
      <c r="DG9" s="362"/>
      <c r="DH9" s="362"/>
      <c r="DI9" s="362"/>
      <c r="DJ9" s="362"/>
      <c r="DK9" s="362"/>
      <c r="DL9" s="362"/>
      <c r="DM9" s="362"/>
      <c r="DN9" s="362"/>
      <c r="DO9" s="362"/>
      <c r="DP9" s="362"/>
      <c r="DQ9" s="362"/>
      <c r="DR9" s="362"/>
      <c r="DS9" s="362"/>
      <c r="DT9" s="362"/>
      <c r="DU9" s="362"/>
      <c r="DV9" s="362"/>
      <c r="DW9" s="362"/>
      <c r="DX9" s="362"/>
      <c r="DY9" s="362"/>
      <c r="DZ9" s="362"/>
      <c r="EA9" s="362"/>
      <c r="EB9" s="362"/>
      <c r="EC9" s="362"/>
      <c r="ED9" s="362"/>
      <c r="EE9" s="362"/>
      <c r="EF9" s="362"/>
      <c r="EG9" s="362"/>
      <c r="EH9" s="362"/>
      <c r="EI9" s="362"/>
      <c r="EJ9" s="362"/>
      <c r="EK9" s="362"/>
      <c r="EL9" s="362"/>
      <c r="EM9" s="362"/>
      <c r="EN9" s="362"/>
      <c r="EO9" s="362"/>
      <c r="EP9" s="362"/>
      <c r="EQ9" s="362"/>
      <c r="ER9" s="362"/>
      <c r="ES9" s="362"/>
      <c r="ET9" s="362"/>
      <c r="EU9" s="362"/>
      <c r="EV9" s="362"/>
      <c r="EW9" s="362"/>
      <c r="EX9" s="362"/>
      <c r="EY9" s="362"/>
      <c r="EZ9" s="363"/>
    </row>
    <row r="10" spans="1:156" ht="15" customHeight="1" x14ac:dyDescent="0.25">
      <c r="A10" s="1482"/>
      <c r="B10" s="1483"/>
      <c r="C10" s="1483"/>
      <c r="D10" s="1483"/>
      <c r="E10" s="1483"/>
      <c r="F10" s="1483"/>
      <c r="G10" s="1483"/>
      <c r="H10" s="1483"/>
      <c r="I10" s="1483"/>
      <c r="J10" s="1484"/>
      <c r="K10" s="1458"/>
      <c r="L10" s="1459"/>
      <c r="M10" s="244"/>
      <c r="AK10" s="357"/>
      <c r="AL10" s="358" t="b">
        <v>1</v>
      </c>
      <c r="AM10" s="358" t="b">
        <v>1</v>
      </c>
      <c r="AN10" s="358" t="b">
        <v>1</v>
      </c>
      <c r="AO10" s="358" t="b">
        <v>1</v>
      </c>
      <c r="AP10" s="358" t="b">
        <v>1</v>
      </c>
      <c r="AQ10" s="358" t="b">
        <v>1</v>
      </c>
      <c r="AR10" s="358"/>
      <c r="AS10" s="358"/>
      <c r="AT10" s="358"/>
      <c r="AU10" s="358"/>
      <c r="AV10" s="358"/>
      <c r="AW10" s="358"/>
      <c r="AX10" s="358"/>
      <c r="AY10" s="358"/>
      <c r="AZ10" s="358"/>
      <c r="BA10" s="358"/>
      <c r="BB10" s="364"/>
      <c r="BC10" s="358"/>
      <c r="BD10" s="358"/>
      <c r="BE10" s="365" t="e">
        <f t="shared" ref="BE10:CJ10" ca="1" si="4">($AU$99*BE7^2+$AW$99*BE7+$AY$99)</f>
        <v>#REF!</v>
      </c>
      <c r="BF10" s="365" t="e">
        <f t="shared" ca="1" si="4"/>
        <v>#REF!</v>
      </c>
      <c r="BG10" s="365" t="e">
        <f t="shared" ca="1" si="4"/>
        <v>#REF!</v>
      </c>
      <c r="BH10" s="365" t="e">
        <f t="shared" ca="1" si="4"/>
        <v>#REF!</v>
      </c>
      <c r="BI10" s="365" t="e">
        <f t="shared" ca="1" si="4"/>
        <v>#REF!</v>
      </c>
      <c r="BJ10" s="365" t="e">
        <f t="shared" ca="1" si="4"/>
        <v>#REF!</v>
      </c>
      <c r="BK10" s="365" t="e">
        <f t="shared" ca="1" si="4"/>
        <v>#REF!</v>
      </c>
      <c r="BL10" s="365" t="e">
        <f t="shared" ca="1" si="4"/>
        <v>#REF!</v>
      </c>
      <c r="BM10" s="365" t="e">
        <f t="shared" ca="1" si="4"/>
        <v>#REF!</v>
      </c>
      <c r="BN10" s="365" t="e">
        <f t="shared" ca="1" si="4"/>
        <v>#REF!</v>
      </c>
      <c r="BO10" s="365" t="e">
        <f t="shared" ca="1" si="4"/>
        <v>#REF!</v>
      </c>
      <c r="BP10" s="365" t="e">
        <f t="shared" ca="1" si="4"/>
        <v>#REF!</v>
      </c>
      <c r="BQ10" s="365" t="e">
        <f t="shared" ca="1" si="4"/>
        <v>#REF!</v>
      </c>
      <c r="BR10" s="365" t="e">
        <f t="shared" ca="1" si="4"/>
        <v>#REF!</v>
      </c>
      <c r="BS10" s="365" t="e">
        <f t="shared" ca="1" si="4"/>
        <v>#REF!</v>
      </c>
      <c r="BT10" s="365" t="e">
        <f t="shared" ca="1" si="4"/>
        <v>#REF!</v>
      </c>
      <c r="BU10" s="365" t="e">
        <f t="shared" ca="1" si="4"/>
        <v>#REF!</v>
      </c>
      <c r="BV10" s="365" t="e">
        <f t="shared" ca="1" si="4"/>
        <v>#REF!</v>
      </c>
      <c r="BW10" s="365" t="e">
        <f t="shared" ca="1" si="4"/>
        <v>#REF!</v>
      </c>
      <c r="BX10" s="365" t="e">
        <f t="shared" ca="1" si="4"/>
        <v>#REF!</v>
      </c>
      <c r="BY10" s="365" t="e">
        <f t="shared" ca="1" si="4"/>
        <v>#REF!</v>
      </c>
      <c r="BZ10" s="365" t="e">
        <f t="shared" ca="1" si="4"/>
        <v>#REF!</v>
      </c>
      <c r="CA10" s="365" t="e">
        <f t="shared" ca="1" si="4"/>
        <v>#REF!</v>
      </c>
      <c r="CB10" s="365" t="e">
        <f t="shared" ca="1" si="4"/>
        <v>#REF!</v>
      </c>
      <c r="CC10" s="365" t="e">
        <f t="shared" ca="1" si="4"/>
        <v>#REF!</v>
      </c>
      <c r="CD10" s="365" t="e">
        <f t="shared" ca="1" si="4"/>
        <v>#REF!</v>
      </c>
      <c r="CE10" s="365" t="e">
        <f t="shared" ca="1" si="4"/>
        <v>#REF!</v>
      </c>
      <c r="CF10" s="365" t="e">
        <f t="shared" ca="1" si="4"/>
        <v>#REF!</v>
      </c>
      <c r="CG10" s="365" t="e">
        <f t="shared" ca="1" si="4"/>
        <v>#REF!</v>
      </c>
      <c r="CH10" s="365" t="e">
        <f t="shared" ca="1" si="4"/>
        <v>#REF!</v>
      </c>
      <c r="CI10" s="365" t="e">
        <f t="shared" ca="1" si="4"/>
        <v>#REF!</v>
      </c>
      <c r="CJ10" s="365" t="e">
        <f t="shared" ca="1" si="4"/>
        <v>#REF!</v>
      </c>
      <c r="CK10" s="365" t="e">
        <f t="shared" ref="CK10:DP10" ca="1" si="5">($AU$99*CK7^2+$AW$99*CK7+$AY$99)</f>
        <v>#REF!</v>
      </c>
      <c r="CL10" s="365" t="e">
        <f t="shared" ca="1" si="5"/>
        <v>#REF!</v>
      </c>
      <c r="CM10" s="365" t="e">
        <f t="shared" ca="1" si="5"/>
        <v>#REF!</v>
      </c>
      <c r="CN10" s="365" t="e">
        <f t="shared" ca="1" si="5"/>
        <v>#REF!</v>
      </c>
      <c r="CO10" s="365" t="e">
        <f t="shared" ca="1" si="5"/>
        <v>#REF!</v>
      </c>
      <c r="CP10" s="365" t="e">
        <f t="shared" ca="1" si="5"/>
        <v>#REF!</v>
      </c>
      <c r="CQ10" s="365" t="e">
        <f t="shared" ca="1" si="5"/>
        <v>#REF!</v>
      </c>
      <c r="CR10" s="365" t="e">
        <f t="shared" ca="1" si="5"/>
        <v>#REF!</v>
      </c>
      <c r="CS10" s="365" t="e">
        <f t="shared" ca="1" si="5"/>
        <v>#REF!</v>
      </c>
      <c r="CT10" s="365" t="e">
        <f t="shared" ca="1" si="5"/>
        <v>#REF!</v>
      </c>
      <c r="CU10" s="365" t="e">
        <f t="shared" ca="1" si="5"/>
        <v>#REF!</v>
      </c>
      <c r="CV10" s="365" t="e">
        <f t="shared" ca="1" si="5"/>
        <v>#REF!</v>
      </c>
      <c r="CW10" s="365" t="e">
        <f t="shared" ca="1" si="5"/>
        <v>#REF!</v>
      </c>
      <c r="CX10" s="365" t="e">
        <f t="shared" ca="1" si="5"/>
        <v>#REF!</v>
      </c>
      <c r="CY10" s="365" t="e">
        <f t="shared" ca="1" si="5"/>
        <v>#REF!</v>
      </c>
      <c r="CZ10" s="365" t="e">
        <f t="shared" ca="1" si="5"/>
        <v>#REF!</v>
      </c>
      <c r="DA10" s="365" t="e">
        <f t="shared" ca="1" si="5"/>
        <v>#REF!</v>
      </c>
      <c r="DB10" s="365" t="e">
        <f t="shared" ca="1" si="5"/>
        <v>#REF!</v>
      </c>
      <c r="DC10" s="365" t="e">
        <f t="shared" ca="1" si="5"/>
        <v>#REF!</v>
      </c>
      <c r="DD10" s="365" t="e">
        <f t="shared" ca="1" si="5"/>
        <v>#REF!</v>
      </c>
      <c r="DE10" s="365" t="e">
        <f t="shared" ca="1" si="5"/>
        <v>#REF!</v>
      </c>
      <c r="DF10" s="365" t="e">
        <f t="shared" ca="1" si="5"/>
        <v>#REF!</v>
      </c>
      <c r="DG10" s="365" t="e">
        <f t="shared" ca="1" si="5"/>
        <v>#REF!</v>
      </c>
      <c r="DH10" s="365" t="e">
        <f t="shared" ca="1" si="5"/>
        <v>#REF!</v>
      </c>
      <c r="DI10" s="365" t="e">
        <f t="shared" ca="1" si="5"/>
        <v>#REF!</v>
      </c>
      <c r="DJ10" s="365" t="e">
        <f t="shared" ca="1" si="5"/>
        <v>#REF!</v>
      </c>
      <c r="DK10" s="365" t="e">
        <f t="shared" ca="1" si="5"/>
        <v>#REF!</v>
      </c>
      <c r="DL10" s="365" t="e">
        <f t="shared" ca="1" si="5"/>
        <v>#REF!</v>
      </c>
      <c r="DM10" s="365" t="e">
        <f t="shared" ca="1" si="5"/>
        <v>#REF!</v>
      </c>
      <c r="DN10" s="365" t="e">
        <f t="shared" ca="1" si="5"/>
        <v>#REF!</v>
      </c>
      <c r="DO10" s="365" t="e">
        <f t="shared" ca="1" si="5"/>
        <v>#REF!</v>
      </c>
      <c r="DP10" s="365" t="e">
        <f t="shared" ca="1" si="5"/>
        <v>#REF!</v>
      </c>
      <c r="DQ10" s="365" t="e">
        <f t="shared" ref="DQ10:EZ10" ca="1" si="6">($AU$99*DQ7^2+$AW$99*DQ7+$AY$99)</f>
        <v>#REF!</v>
      </c>
      <c r="DR10" s="365" t="e">
        <f t="shared" ca="1" si="6"/>
        <v>#REF!</v>
      </c>
      <c r="DS10" s="365" t="e">
        <f t="shared" ca="1" si="6"/>
        <v>#REF!</v>
      </c>
      <c r="DT10" s="365" t="e">
        <f t="shared" ca="1" si="6"/>
        <v>#REF!</v>
      </c>
      <c r="DU10" s="365" t="e">
        <f t="shared" ca="1" si="6"/>
        <v>#REF!</v>
      </c>
      <c r="DV10" s="365" t="e">
        <f t="shared" ca="1" si="6"/>
        <v>#REF!</v>
      </c>
      <c r="DW10" s="365" t="e">
        <f t="shared" ca="1" si="6"/>
        <v>#REF!</v>
      </c>
      <c r="DX10" s="365" t="e">
        <f t="shared" ca="1" si="6"/>
        <v>#REF!</v>
      </c>
      <c r="DY10" s="365" t="e">
        <f t="shared" ca="1" si="6"/>
        <v>#REF!</v>
      </c>
      <c r="DZ10" s="365" t="e">
        <f t="shared" ca="1" si="6"/>
        <v>#REF!</v>
      </c>
      <c r="EA10" s="365" t="e">
        <f t="shared" ca="1" si="6"/>
        <v>#REF!</v>
      </c>
      <c r="EB10" s="365" t="e">
        <f t="shared" ca="1" si="6"/>
        <v>#REF!</v>
      </c>
      <c r="EC10" s="365" t="e">
        <f t="shared" ca="1" si="6"/>
        <v>#REF!</v>
      </c>
      <c r="ED10" s="365" t="e">
        <f t="shared" ca="1" si="6"/>
        <v>#REF!</v>
      </c>
      <c r="EE10" s="365" t="e">
        <f t="shared" ca="1" si="6"/>
        <v>#REF!</v>
      </c>
      <c r="EF10" s="365" t="e">
        <f t="shared" ca="1" si="6"/>
        <v>#REF!</v>
      </c>
      <c r="EG10" s="365" t="e">
        <f t="shared" ca="1" si="6"/>
        <v>#REF!</v>
      </c>
      <c r="EH10" s="365" t="e">
        <f t="shared" ca="1" si="6"/>
        <v>#REF!</v>
      </c>
      <c r="EI10" s="365" t="e">
        <f t="shared" ca="1" si="6"/>
        <v>#REF!</v>
      </c>
      <c r="EJ10" s="365" t="e">
        <f t="shared" ca="1" si="6"/>
        <v>#REF!</v>
      </c>
      <c r="EK10" s="365" t="e">
        <f t="shared" ca="1" si="6"/>
        <v>#REF!</v>
      </c>
      <c r="EL10" s="365" t="e">
        <f t="shared" ca="1" si="6"/>
        <v>#REF!</v>
      </c>
      <c r="EM10" s="365" t="e">
        <f t="shared" ca="1" si="6"/>
        <v>#REF!</v>
      </c>
      <c r="EN10" s="365" t="e">
        <f t="shared" ca="1" si="6"/>
        <v>#REF!</v>
      </c>
      <c r="EO10" s="365" t="e">
        <f t="shared" ca="1" si="6"/>
        <v>#REF!</v>
      </c>
      <c r="EP10" s="365" t="e">
        <f t="shared" ca="1" si="6"/>
        <v>#REF!</v>
      </c>
      <c r="EQ10" s="365" t="e">
        <f t="shared" ca="1" si="6"/>
        <v>#REF!</v>
      </c>
      <c r="ER10" s="365" t="e">
        <f t="shared" ca="1" si="6"/>
        <v>#REF!</v>
      </c>
      <c r="ES10" s="365" t="e">
        <f t="shared" ca="1" si="6"/>
        <v>#REF!</v>
      </c>
      <c r="ET10" s="365" t="e">
        <f t="shared" ca="1" si="6"/>
        <v>#REF!</v>
      </c>
      <c r="EU10" s="365" t="e">
        <f t="shared" ca="1" si="6"/>
        <v>#REF!</v>
      </c>
      <c r="EV10" s="365" t="e">
        <f t="shared" ca="1" si="6"/>
        <v>#REF!</v>
      </c>
      <c r="EW10" s="365" t="e">
        <f t="shared" ca="1" si="6"/>
        <v>#REF!</v>
      </c>
      <c r="EX10" s="365" t="e">
        <f t="shared" ca="1" si="6"/>
        <v>#REF!</v>
      </c>
      <c r="EY10" s="365" t="e">
        <f t="shared" ca="1" si="6"/>
        <v>#REF!</v>
      </c>
      <c r="EZ10" s="366" t="e">
        <f t="shared" ca="1" si="6"/>
        <v>#REF!</v>
      </c>
    </row>
    <row r="11" spans="1:156" ht="20" x14ac:dyDescent="0.25">
      <c r="A11" s="1460" t="s">
        <v>153</v>
      </c>
      <c r="B11" s="1461"/>
      <c r="C11" s="1461"/>
      <c r="D11" s="1461"/>
      <c r="E11" s="1461"/>
      <c r="F11" s="1461"/>
      <c r="G11" s="1461"/>
      <c r="H11" s="1461"/>
      <c r="I11" s="1461"/>
      <c r="J11" s="1461"/>
      <c r="K11" s="1461"/>
      <c r="L11" s="1462"/>
      <c r="AK11" s="357">
        <f>AK7+3</f>
        <v>7</v>
      </c>
      <c r="AL11" s="358"/>
      <c r="AM11" s="358"/>
      <c r="AN11" s="358"/>
      <c r="AO11" s="358"/>
      <c r="AP11" s="358"/>
      <c r="AQ11" s="358"/>
      <c r="AR11" s="358"/>
      <c r="AS11" s="358"/>
      <c r="AT11" s="358"/>
      <c r="AU11" s="358"/>
      <c r="AV11" s="358"/>
      <c r="AW11" s="358"/>
      <c r="AX11" s="358"/>
      <c r="AY11" s="358"/>
      <c r="AZ11" s="358"/>
      <c r="BA11" s="358"/>
      <c r="BB11" s="367"/>
      <c r="BC11" s="358"/>
      <c r="BD11" s="358"/>
      <c r="BE11" s="368" t="e">
        <f t="shared" ref="BE11:CJ11" ca="1" si="7">$AU$108*BE7^2+$AW$108*BE7+$AY$108</f>
        <v>#REF!</v>
      </c>
      <c r="BF11" s="369" t="e">
        <f t="shared" ca="1" si="7"/>
        <v>#REF!</v>
      </c>
      <c r="BG11" s="369" t="e">
        <f t="shared" ca="1" si="7"/>
        <v>#REF!</v>
      </c>
      <c r="BH11" s="369" t="e">
        <f t="shared" ca="1" si="7"/>
        <v>#REF!</v>
      </c>
      <c r="BI11" s="369" t="e">
        <f t="shared" ca="1" si="7"/>
        <v>#REF!</v>
      </c>
      <c r="BJ11" s="369" t="e">
        <f t="shared" ca="1" si="7"/>
        <v>#REF!</v>
      </c>
      <c r="BK11" s="369" t="e">
        <f t="shared" ca="1" si="7"/>
        <v>#REF!</v>
      </c>
      <c r="BL11" s="369" t="e">
        <f t="shared" ca="1" si="7"/>
        <v>#REF!</v>
      </c>
      <c r="BM11" s="369" t="e">
        <f t="shared" ca="1" si="7"/>
        <v>#REF!</v>
      </c>
      <c r="BN11" s="369" t="e">
        <f t="shared" ca="1" si="7"/>
        <v>#REF!</v>
      </c>
      <c r="BO11" s="369" t="e">
        <f t="shared" ca="1" si="7"/>
        <v>#REF!</v>
      </c>
      <c r="BP11" s="369" t="e">
        <f t="shared" ca="1" si="7"/>
        <v>#REF!</v>
      </c>
      <c r="BQ11" s="369" t="e">
        <f t="shared" ca="1" si="7"/>
        <v>#REF!</v>
      </c>
      <c r="BR11" s="369" t="e">
        <f t="shared" ca="1" si="7"/>
        <v>#REF!</v>
      </c>
      <c r="BS11" s="369" t="e">
        <f t="shared" ca="1" si="7"/>
        <v>#REF!</v>
      </c>
      <c r="BT11" s="369" t="e">
        <f t="shared" ca="1" si="7"/>
        <v>#REF!</v>
      </c>
      <c r="BU11" s="369" t="e">
        <f t="shared" ca="1" si="7"/>
        <v>#REF!</v>
      </c>
      <c r="BV11" s="369" t="e">
        <f t="shared" ca="1" si="7"/>
        <v>#REF!</v>
      </c>
      <c r="BW11" s="369" t="e">
        <f t="shared" ca="1" si="7"/>
        <v>#REF!</v>
      </c>
      <c r="BX11" s="369" t="e">
        <f t="shared" ca="1" si="7"/>
        <v>#REF!</v>
      </c>
      <c r="BY11" s="369" t="e">
        <f t="shared" ca="1" si="7"/>
        <v>#REF!</v>
      </c>
      <c r="BZ11" s="369" t="e">
        <f t="shared" ca="1" si="7"/>
        <v>#REF!</v>
      </c>
      <c r="CA11" s="369" t="e">
        <f t="shared" ca="1" si="7"/>
        <v>#REF!</v>
      </c>
      <c r="CB11" s="369" t="e">
        <f t="shared" ca="1" si="7"/>
        <v>#REF!</v>
      </c>
      <c r="CC11" s="369" t="e">
        <f t="shared" ca="1" si="7"/>
        <v>#REF!</v>
      </c>
      <c r="CD11" s="369" t="e">
        <f t="shared" ca="1" si="7"/>
        <v>#REF!</v>
      </c>
      <c r="CE11" s="369" t="e">
        <f t="shared" ca="1" si="7"/>
        <v>#REF!</v>
      </c>
      <c r="CF11" s="369" t="e">
        <f t="shared" ca="1" si="7"/>
        <v>#REF!</v>
      </c>
      <c r="CG11" s="369" t="e">
        <f t="shared" ca="1" si="7"/>
        <v>#REF!</v>
      </c>
      <c r="CH11" s="369" t="e">
        <f t="shared" ca="1" si="7"/>
        <v>#REF!</v>
      </c>
      <c r="CI11" s="369" t="e">
        <f t="shared" ca="1" si="7"/>
        <v>#REF!</v>
      </c>
      <c r="CJ11" s="369" t="e">
        <f t="shared" ca="1" si="7"/>
        <v>#REF!</v>
      </c>
      <c r="CK11" s="369" t="e">
        <f t="shared" ref="CK11:DP11" ca="1" si="8">$AU$108*CK7^2+$AW$108*CK7+$AY$108</f>
        <v>#REF!</v>
      </c>
      <c r="CL11" s="369" t="e">
        <f t="shared" ca="1" si="8"/>
        <v>#REF!</v>
      </c>
      <c r="CM11" s="369" t="e">
        <f t="shared" ca="1" si="8"/>
        <v>#REF!</v>
      </c>
      <c r="CN11" s="369" t="e">
        <f t="shared" ca="1" si="8"/>
        <v>#REF!</v>
      </c>
      <c r="CO11" s="369" t="e">
        <f t="shared" ca="1" si="8"/>
        <v>#REF!</v>
      </c>
      <c r="CP11" s="369" t="e">
        <f t="shared" ca="1" si="8"/>
        <v>#REF!</v>
      </c>
      <c r="CQ11" s="369" t="e">
        <f t="shared" ca="1" si="8"/>
        <v>#REF!</v>
      </c>
      <c r="CR11" s="369" t="e">
        <f t="shared" ca="1" si="8"/>
        <v>#REF!</v>
      </c>
      <c r="CS11" s="369" t="e">
        <f t="shared" ca="1" si="8"/>
        <v>#REF!</v>
      </c>
      <c r="CT11" s="369" t="e">
        <f t="shared" ca="1" si="8"/>
        <v>#REF!</v>
      </c>
      <c r="CU11" s="369" t="e">
        <f t="shared" ca="1" si="8"/>
        <v>#REF!</v>
      </c>
      <c r="CV11" s="369" t="e">
        <f t="shared" ca="1" si="8"/>
        <v>#REF!</v>
      </c>
      <c r="CW11" s="369" t="e">
        <f t="shared" ca="1" si="8"/>
        <v>#REF!</v>
      </c>
      <c r="CX11" s="369" t="e">
        <f t="shared" ca="1" si="8"/>
        <v>#REF!</v>
      </c>
      <c r="CY11" s="369" t="e">
        <f t="shared" ca="1" si="8"/>
        <v>#REF!</v>
      </c>
      <c r="CZ11" s="369" t="e">
        <f t="shared" ca="1" si="8"/>
        <v>#REF!</v>
      </c>
      <c r="DA11" s="369" t="e">
        <f t="shared" ca="1" si="8"/>
        <v>#REF!</v>
      </c>
      <c r="DB11" s="369" t="e">
        <f t="shared" ca="1" si="8"/>
        <v>#REF!</v>
      </c>
      <c r="DC11" s="369" t="e">
        <f t="shared" ca="1" si="8"/>
        <v>#REF!</v>
      </c>
      <c r="DD11" s="369" t="e">
        <f t="shared" ca="1" si="8"/>
        <v>#REF!</v>
      </c>
      <c r="DE11" s="369" t="e">
        <f t="shared" ca="1" si="8"/>
        <v>#REF!</v>
      </c>
      <c r="DF11" s="369" t="e">
        <f t="shared" ca="1" si="8"/>
        <v>#REF!</v>
      </c>
      <c r="DG11" s="369" t="e">
        <f t="shared" ca="1" si="8"/>
        <v>#REF!</v>
      </c>
      <c r="DH11" s="369" t="e">
        <f t="shared" ca="1" si="8"/>
        <v>#REF!</v>
      </c>
      <c r="DI11" s="369" t="e">
        <f t="shared" ca="1" si="8"/>
        <v>#REF!</v>
      </c>
      <c r="DJ11" s="369" t="e">
        <f t="shared" ca="1" si="8"/>
        <v>#REF!</v>
      </c>
      <c r="DK11" s="369" t="e">
        <f t="shared" ca="1" si="8"/>
        <v>#REF!</v>
      </c>
      <c r="DL11" s="369" t="e">
        <f t="shared" ca="1" si="8"/>
        <v>#REF!</v>
      </c>
      <c r="DM11" s="369" t="e">
        <f t="shared" ca="1" si="8"/>
        <v>#REF!</v>
      </c>
      <c r="DN11" s="369" t="e">
        <f t="shared" ca="1" si="8"/>
        <v>#REF!</v>
      </c>
      <c r="DO11" s="369" t="e">
        <f t="shared" ca="1" si="8"/>
        <v>#REF!</v>
      </c>
      <c r="DP11" s="369" t="e">
        <f t="shared" ca="1" si="8"/>
        <v>#REF!</v>
      </c>
      <c r="DQ11" s="369" t="e">
        <f t="shared" ref="DQ11:EZ11" ca="1" si="9">$AU$108*DQ7^2+$AW$108*DQ7+$AY$108</f>
        <v>#REF!</v>
      </c>
      <c r="DR11" s="369" t="e">
        <f t="shared" ca="1" si="9"/>
        <v>#REF!</v>
      </c>
      <c r="DS11" s="369" t="e">
        <f t="shared" ca="1" si="9"/>
        <v>#REF!</v>
      </c>
      <c r="DT11" s="369" t="e">
        <f t="shared" ca="1" si="9"/>
        <v>#REF!</v>
      </c>
      <c r="DU11" s="369" t="e">
        <f t="shared" ca="1" si="9"/>
        <v>#REF!</v>
      </c>
      <c r="DV11" s="369" t="e">
        <f t="shared" ca="1" si="9"/>
        <v>#REF!</v>
      </c>
      <c r="DW11" s="369" t="e">
        <f t="shared" ca="1" si="9"/>
        <v>#REF!</v>
      </c>
      <c r="DX11" s="369" t="e">
        <f t="shared" ca="1" si="9"/>
        <v>#REF!</v>
      </c>
      <c r="DY11" s="369" t="e">
        <f t="shared" ca="1" si="9"/>
        <v>#REF!</v>
      </c>
      <c r="DZ11" s="369" t="e">
        <f t="shared" ca="1" si="9"/>
        <v>#REF!</v>
      </c>
      <c r="EA11" s="369" t="e">
        <f t="shared" ca="1" si="9"/>
        <v>#REF!</v>
      </c>
      <c r="EB11" s="369" t="e">
        <f t="shared" ca="1" si="9"/>
        <v>#REF!</v>
      </c>
      <c r="EC11" s="369" t="e">
        <f t="shared" ca="1" si="9"/>
        <v>#REF!</v>
      </c>
      <c r="ED11" s="369" t="e">
        <f t="shared" ca="1" si="9"/>
        <v>#REF!</v>
      </c>
      <c r="EE11" s="369" t="e">
        <f t="shared" ca="1" si="9"/>
        <v>#REF!</v>
      </c>
      <c r="EF11" s="369" t="e">
        <f t="shared" ca="1" si="9"/>
        <v>#REF!</v>
      </c>
      <c r="EG11" s="369" t="e">
        <f t="shared" ca="1" si="9"/>
        <v>#REF!</v>
      </c>
      <c r="EH11" s="369" t="e">
        <f t="shared" ca="1" si="9"/>
        <v>#REF!</v>
      </c>
      <c r="EI11" s="369" t="e">
        <f t="shared" ca="1" si="9"/>
        <v>#REF!</v>
      </c>
      <c r="EJ11" s="369" t="e">
        <f t="shared" ca="1" si="9"/>
        <v>#REF!</v>
      </c>
      <c r="EK11" s="369" t="e">
        <f t="shared" ca="1" si="9"/>
        <v>#REF!</v>
      </c>
      <c r="EL11" s="369" t="e">
        <f t="shared" ca="1" si="9"/>
        <v>#REF!</v>
      </c>
      <c r="EM11" s="369" t="e">
        <f t="shared" ca="1" si="9"/>
        <v>#REF!</v>
      </c>
      <c r="EN11" s="369" t="e">
        <f t="shared" ca="1" si="9"/>
        <v>#REF!</v>
      </c>
      <c r="EO11" s="369" t="e">
        <f t="shared" ca="1" si="9"/>
        <v>#REF!</v>
      </c>
      <c r="EP11" s="369" t="e">
        <f t="shared" ca="1" si="9"/>
        <v>#REF!</v>
      </c>
      <c r="EQ11" s="369" t="e">
        <f t="shared" ca="1" si="9"/>
        <v>#REF!</v>
      </c>
      <c r="ER11" s="369" t="e">
        <f t="shared" ca="1" si="9"/>
        <v>#REF!</v>
      </c>
      <c r="ES11" s="369" t="e">
        <f t="shared" ca="1" si="9"/>
        <v>#REF!</v>
      </c>
      <c r="ET11" s="369" t="e">
        <f t="shared" ca="1" si="9"/>
        <v>#REF!</v>
      </c>
      <c r="EU11" s="369" t="e">
        <f t="shared" ca="1" si="9"/>
        <v>#REF!</v>
      </c>
      <c r="EV11" s="369" t="e">
        <f t="shared" ca="1" si="9"/>
        <v>#REF!</v>
      </c>
      <c r="EW11" s="369" t="e">
        <f t="shared" ca="1" si="9"/>
        <v>#REF!</v>
      </c>
      <c r="EX11" s="369" t="e">
        <f t="shared" ca="1" si="9"/>
        <v>#REF!</v>
      </c>
      <c r="EY11" s="369" t="e">
        <f t="shared" ca="1" si="9"/>
        <v>#REF!</v>
      </c>
      <c r="EZ11" s="370" t="e">
        <f t="shared" ca="1" si="9"/>
        <v>#REF!</v>
      </c>
    </row>
    <row r="12" spans="1:156" x14ac:dyDescent="0.25">
      <c r="A12" s="1485" t="s">
        <v>154</v>
      </c>
      <c r="B12" s="1486"/>
      <c r="C12" s="1486"/>
      <c r="D12" s="1486"/>
      <c r="E12" s="1486"/>
      <c r="F12" s="1486"/>
      <c r="G12" s="1486"/>
      <c r="H12" s="1486"/>
      <c r="I12" s="1486"/>
      <c r="J12" s="1486"/>
      <c r="K12" s="1486"/>
      <c r="L12" s="1487"/>
      <c r="AK12" s="357"/>
      <c r="AL12" s="358"/>
      <c r="AM12" s="358"/>
      <c r="AN12" s="358"/>
      <c r="AO12" s="358"/>
      <c r="AP12" s="358"/>
      <c r="AQ12" s="358"/>
      <c r="AR12" s="358"/>
      <c r="AS12" s="358"/>
      <c r="AT12" s="358"/>
      <c r="AU12" s="358"/>
      <c r="AV12" s="358"/>
      <c r="AW12" s="358"/>
      <c r="AX12" s="358"/>
      <c r="AY12" s="358"/>
      <c r="AZ12" s="358"/>
      <c r="BA12" s="358"/>
      <c r="BB12" s="367"/>
      <c r="BC12" s="358"/>
      <c r="BD12" s="358"/>
      <c r="BE12" s="358"/>
      <c r="BF12" s="358"/>
      <c r="BG12" s="358"/>
      <c r="BH12" s="358"/>
      <c r="BI12" s="358"/>
      <c r="BJ12" s="358"/>
      <c r="BK12" s="358"/>
      <c r="BL12" s="358"/>
      <c r="BM12" s="358"/>
      <c r="BN12" s="358"/>
      <c r="BO12" s="358"/>
      <c r="BP12" s="358"/>
      <c r="BQ12" s="358"/>
      <c r="BR12" s="358"/>
      <c r="BS12" s="358"/>
      <c r="BT12" s="358"/>
      <c r="BU12" s="358"/>
      <c r="BV12" s="358"/>
      <c r="BW12" s="358"/>
      <c r="BX12" s="358"/>
      <c r="BY12" s="358"/>
      <c r="BZ12" s="358"/>
      <c r="CA12" s="358"/>
      <c r="CB12" s="358"/>
      <c r="CC12" s="358"/>
      <c r="CD12" s="358"/>
      <c r="CE12" s="358"/>
      <c r="CF12" s="358"/>
      <c r="CG12" s="358"/>
      <c r="CH12" s="358"/>
      <c r="CI12" s="358"/>
      <c r="CJ12" s="358"/>
      <c r="CK12" s="358"/>
      <c r="CL12" s="358"/>
      <c r="CM12" s="358"/>
      <c r="CN12" s="358"/>
      <c r="CO12" s="358"/>
      <c r="CP12" s="358"/>
      <c r="CQ12" s="358"/>
      <c r="CR12" s="358"/>
      <c r="CS12" s="358"/>
      <c r="CT12" s="358"/>
      <c r="CU12" s="358"/>
      <c r="CV12" s="358"/>
      <c r="CW12" s="358"/>
      <c r="CX12" s="358"/>
      <c r="CY12" s="358"/>
      <c r="CZ12" s="358"/>
      <c r="DA12" s="358"/>
      <c r="DB12" s="358"/>
      <c r="DC12" s="358"/>
      <c r="DD12" s="358"/>
      <c r="DE12" s="358"/>
      <c r="DF12" s="358"/>
      <c r="DG12" s="358"/>
      <c r="DH12" s="358"/>
      <c r="DI12" s="358"/>
      <c r="DJ12" s="358"/>
      <c r="DK12" s="358"/>
      <c r="DL12" s="358"/>
      <c r="DM12" s="358"/>
      <c r="DN12" s="358"/>
      <c r="DO12" s="358"/>
      <c r="DP12" s="358"/>
      <c r="DQ12" s="358"/>
      <c r="DR12" s="358"/>
      <c r="DS12" s="358"/>
      <c r="DT12" s="358"/>
      <c r="DU12" s="358"/>
      <c r="DV12" s="358"/>
      <c r="DW12" s="358"/>
      <c r="DX12" s="358"/>
      <c r="DY12" s="358"/>
      <c r="DZ12" s="358"/>
      <c r="EA12" s="358"/>
      <c r="EB12" s="358"/>
      <c r="EC12" s="358"/>
      <c r="ED12" s="358"/>
      <c r="EE12" s="358"/>
      <c r="EF12" s="358"/>
      <c r="EG12" s="358"/>
      <c r="EH12" s="358"/>
      <c r="EI12" s="358"/>
      <c r="EJ12" s="358"/>
      <c r="EK12" s="358"/>
      <c r="EL12" s="358"/>
      <c r="EM12" s="358"/>
      <c r="EN12" s="358"/>
      <c r="EO12" s="358"/>
      <c r="EP12" s="358"/>
      <c r="EQ12" s="358"/>
      <c r="ER12" s="358"/>
      <c r="ES12" s="358"/>
      <c r="ET12" s="358"/>
      <c r="EU12" s="358"/>
      <c r="EV12" s="358"/>
      <c r="EW12" s="358"/>
      <c r="EX12" s="358"/>
      <c r="EY12" s="358"/>
      <c r="EZ12" s="371"/>
    </row>
    <row r="13" spans="1:156" ht="15" customHeight="1" x14ac:dyDescent="0.25">
      <c r="A13" s="922" t="s">
        <v>155</v>
      </c>
      <c r="B13" s="1641" t="str">
        <f ca="1">IF(OR($N$8="",$N$8=0),"",IF(INDIRECT(ADDRESS(($AK13),COLUMN()+1,,,"Digitar Dados dos Ensaios"))&lt;&gt;"",INDIRECT(ADDRESS(($AK13),COLUMN()+1,,,"Digitar Dados dos Ensaios")),""))</f>
        <v/>
      </c>
      <c r="C13" s="1642"/>
      <c r="D13" s="923" t="s">
        <v>156</v>
      </c>
      <c r="E13" s="1688" t="str">
        <f ca="1">IF(OR($N$8="",$N$8=0),"",IF(INDIRECT(ADDRESS(($AK13)+1,COLUMN()-2,,,"Digitar Dados dos Ensaios"))&lt;&gt;"",INDIRECT(ADDRESS(($AK13)+1,COLUMN()-2,,,"Digitar Dados dos Ensaios")),""))</f>
        <v>-</v>
      </c>
      <c r="F13" s="1689" t="str">
        <f ca="1">IF(OR($N$8="",$N$8=0),"",IF(INDIRECT(ADDRESS(($AK13),COLUMN(),,,"Digitar Dados dos Ensaios"))&lt;&gt;"",INDIRECT(ADDRESS(($AK13),COLUMN(),,,"Digitar Dados dos Ensaios")),""))</f>
        <v>Marque com X se a Compactação é</v>
      </c>
      <c r="G13" s="924" t="s">
        <v>157</v>
      </c>
      <c r="H13" s="1688" t="str">
        <f ca="1">IF(OR($N$8="",$N$8=0),"",IF(INDIRECT(ADDRESS(($AK15),COLUMN()-5,,,"Digitar Dados dos Ensaios"))&lt;&gt;"",INDIRECT(ADDRESS(($AK15),COLUMN()-5,,,"Digitar Dados dos Ensaios")),""))</f>
        <v>AVALIAR</v>
      </c>
      <c r="I13" s="1688" t="str">
        <f t="shared" ref="I13:L14" ca="1" si="10">IF(OR($N$8="",$N$8=0),"",IF(INDIRECT(ADDRESS(($AK13),COLUMN()-2,,,"Digitar Dados dos Ensaios"))&lt;&gt;"",INDIRECT(ADDRESS(($AK13),COLUMN()-2,,,"Digitar Dados dos Ensaios")),""))</f>
        <v>Simples</v>
      </c>
      <c r="J13" s="1688" t="str">
        <f t="shared" ca="1" si="10"/>
        <v/>
      </c>
      <c r="K13" s="1688" t="str">
        <f t="shared" ca="1" si="10"/>
        <v>Nº da Cápsula</v>
      </c>
      <c r="L13" s="1689" t="str">
        <f t="shared" ca="1" si="10"/>
        <v/>
      </c>
      <c r="AK13" s="357">
        <f>AK7+2</f>
        <v>6</v>
      </c>
      <c r="AL13" s="372">
        <f t="shared" ref="AL13:AQ13" ca="1" si="11">IF(AL14="","",IF($AS$7=TRUE,D26,IF($AS8=TRUE,D25,"")))</f>
        <v>2.3450524309729576E-2</v>
      </c>
      <c r="AM13" s="372">
        <f t="shared" ca="1" si="11"/>
        <v>3.8586060232619943E-2</v>
      </c>
      <c r="AN13" s="372">
        <f t="shared" ca="1" si="11"/>
        <v>5.3721596155510309E-2</v>
      </c>
      <c r="AO13" s="372">
        <f t="shared" ca="1" si="11"/>
        <v>6.8857132078400676E-2</v>
      </c>
      <c r="AP13" s="372">
        <f t="shared" ca="1" si="11"/>
        <v>8.3992668001291043E-2</v>
      </c>
      <c r="AQ13" s="372" t="str">
        <f t="shared" ca="1" si="11"/>
        <v/>
      </c>
      <c r="AR13" s="373">
        <f ca="1">AVERAGE(AL13:AQ13)</f>
        <v>5.3721596155510309E-2</v>
      </c>
      <c r="AS13" s="374">
        <f t="shared" ref="AS13:AX13" ca="1" si="12">IF(ISNUMBER(AL16),AL16^2,"")</f>
        <v>9.1633779069241902E-4</v>
      </c>
      <c r="AT13" s="374">
        <f t="shared" ca="1" si="12"/>
        <v>2.2908444767310475E-4</v>
      </c>
      <c r="AU13" s="374">
        <f t="shared" ca="1" si="12"/>
        <v>0</v>
      </c>
      <c r="AV13" s="374">
        <f t="shared" ca="1" si="12"/>
        <v>2.2908444767310475E-4</v>
      </c>
      <c r="AW13" s="374">
        <f t="shared" ca="1" si="12"/>
        <v>9.1633779069241902E-4</v>
      </c>
      <c r="AX13" s="374" t="str">
        <f t="shared" ca="1" si="12"/>
        <v/>
      </c>
      <c r="AY13" s="375">
        <f ca="1">SUM(AS13:AX13)</f>
        <v>2.2908444767310476E-3</v>
      </c>
      <c r="AZ13" s="376" t="s">
        <v>28</v>
      </c>
      <c r="BA13" s="377">
        <f ca="1">-AV19/(2*AT19)</f>
        <v>5.7765822483399835E-2</v>
      </c>
      <c r="BB13" s="367"/>
      <c r="BC13" s="358"/>
      <c r="BD13" s="358"/>
      <c r="BE13" s="358"/>
      <c r="BF13" s="358"/>
      <c r="BG13" s="358"/>
      <c r="BH13" s="358"/>
      <c r="BI13" s="358"/>
      <c r="BJ13" s="358"/>
      <c r="BK13" s="358"/>
      <c r="BL13" s="358"/>
      <c r="BM13" s="358"/>
      <c r="BN13" s="358"/>
      <c r="BO13" s="358"/>
      <c r="BP13" s="358"/>
      <c r="BQ13" s="358"/>
      <c r="BR13" s="358"/>
      <c r="BS13" s="358"/>
      <c r="BT13" s="358"/>
      <c r="BU13" s="358"/>
      <c r="BV13" s="358"/>
      <c r="BW13" s="358"/>
      <c r="BX13" s="358"/>
      <c r="BY13" s="358"/>
      <c r="BZ13" s="358"/>
      <c r="CA13" s="358"/>
      <c r="CB13" s="358"/>
      <c r="CC13" s="358"/>
      <c r="CD13" s="358"/>
      <c r="CE13" s="358"/>
      <c r="CF13" s="358"/>
      <c r="CG13" s="358"/>
      <c r="CH13" s="358"/>
      <c r="CI13" s="358"/>
      <c r="CJ13" s="358"/>
      <c r="CK13" s="358"/>
      <c r="CL13" s="358"/>
      <c r="CM13" s="358"/>
      <c r="CN13" s="358"/>
      <c r="CO13" s="358"/>
      <c r="CP13" s="358"/>
      <c r="CQ13" s="358"/>
      <c r="CR13" s="358"/>
      <c r="CS13" s="358"/>
      <c r="CT13" s="358"/>
      <c r="CU13" s="358"/>
      <c r="CV13" s="358"/>
      <c r="CW13" s="358"/>
      <c r="CX13" s="358"/>
      <c r="CY13" s="358"/>
      <c r="CZ13" s="358"/>
      <c r="DA13" s="358"/>
      <c r="DB13" s="358"/>
      <c r="DC13" s="358"/>
      <c r="DD13" s="358"/>
      <c r="DE13" s="358"/>
      <c r="DF13" s="358"/>
      <c r="DG13" s="358"/>
      <c r="DH13" s="358"/>
      <c r="DI13" s="358"/>
      <c r="DJ13" s="358"/>
      <c r="DK13" s="358"/>
      <c r="DL13" s="358"/>
      <c r="DM13" s="358"/>
      <c r="DN13" s="358"/>
      <c r="DO13" s="358"/>
      <c r="DP13" s="358"/>
      <c r="DQ13" s="358"/>
      <c r="DR13" s="358"/>
      <c r="DS13" s="358"/>
      <c r="DT13" s="358"/>
      <c r="DU13" s="358"/>
      <c r="DV13" s="358"/>
      <c r="DW13" s="358"/>
      <c r="DX13" s="358"/>
      <c r="DY13" s="358"/>
      <c r="DZ13" s="358"/>
      <c r="EA13" s="358"/>
      <c r="EB13" s="358"/>
      <c r="EC13" s="358"/>
      <c r="ED13" s="358"/>
      <c r="EE13" s="358"/>
      <c r="EF13" s="358"/>
      <c r="EG13" s="358"/>
      <c r="EH13" s="358"/>
      <c r="EI13" s="358"/>
      <c r="EJ13" s="358"/>
      <c r="EK13" s="358"/>
      <c r="EL13" s="358"/>
      <c r="EM13" s="358"/>
      <c r="EN13" s="358"/>
      <c r="EO13" s="358"/>
      <c r="EP13" s="358"/>
      <c r="EQ13" s="358"/>
      <c r="ER13" s="358"/>
      <c r="ES13" s="358"/>
      <c r="ET13" s="358"/>
      <c r="EU13" s="358"/>
      <c r="EV13" s="358"/>
      <c r="EW13" s="358"/>
      <c r="EX13" s="358"/>
      <c r="EY13" s="358"/>
      <c r="EZ13" s="371"/>
    </row>
    <row r="14" spans="1:156" ht="15" customHeight="1" x14ac:dyDescent="0.25">
      <c r="A14" s="924" t="s">
        <v>158</v>
      </c>
      <c r="B14" s="1690" t="str">
        <f ca="1">IF(OR($N$8="",$N$8=0),"",IF(INDIRECT(ADDRESS(($AK$14-1),COLUMN()+1,,,"Digitar Dados dos Ensaios"))&lt;&gt;"",INDIRECT(ADDRESS(($AK$14-1),COLUMN()+1,,,"Digitar Dados dos Ensaios")),""))</f>
        <v>MODIFICADO</v>
      </c>
      <c r="C14" s="1691" t="str">
        <f ca="1">IF(OR($M$8="",$M$8=0),"",IF(INDIRECT(ADDRESS(($M$8-1)*4+4,COLUMN(),,,"Digitar Dados dos Ensaios"))&lt;&gt;"",INDIRECT(ADDRESS(($M$8-1)*4+4,COLUMN(),,,"Digitar Dados dos Ensaios")),""))</f>
        <v/>
      </c>
      <c r="D14" s="924" t="s">
        <v>159</v>
      </c>
      <c r="E14" s="925">
        <f ca="1">IF(OR($N$8="",$N$8=0),"",IF(INDIRECT(ADDRESS(($AK14),COLUMN()-2,,,"Digitar Dados dos Ensaios"))&lt;&gt;"",INDIRECT(ADDRESS(($AK14),COLUMN()-2,,,"Digitar Dados dos Ensaios")),""))</f>
        <v>55</v>
      </c>
      <c r="F14" s="926" t="str">
        <f ca="1">IF(OR($N$8="",$N$8=0),"",IF(INDIRECT(ADDRESS(($AK14),COLUMN(),,,"Digitar Dados dos Ensaios"))&lt;&gt;"",INDIRECT(ADDRESS(($AK14),COLUMN(),,,"Digitar Dados dos Ensaios")),""))</f>
        <v/>
      </c>
      <c r="G14" s="924" t="s">
        <v>160</v>
      </c>
      <c r="H14" s="1692" t="str">
        <f>'Digitar Dados dos Ensaios'!A1</f>
        <v>BR -163</v>
      </c>
      <c r="I14" s="1692" t="str">
        <f t="shared" ca="1" si="10"/>
        <v>Pela Higroscópica</v>
      </c>
      <c r="J14" s="1692" t="str">
        <f t="shared" ca="1" si="10"/>
        <v>X</v>
      </c>
      <c r="K14" s="1692" t="str">
        <f t="shared" ca="1" si="10"/>
        <v>Peso Bruto</v>
      </c>
      <c r="L14" s="1693">
        <f t="shared" ca="1" si="10"/>
        <v>9575</v>
      </c>
      <c r="AK14" s="357">
        <f>AK13+5</f>
        <v>11</v>
      </c>
      <c r="AL14" s="378">
        <f t="shared" ref="AL14:AQ14" ca="1" si="13">IF(AL$7=TRUE,D36,"")</f>
        <v>1898.326664201988</v>
      </c>
      <c r="AM14" s="378">
        <f t="shared" ca="1" si="13"/>
        <v>2018.6054093588696</v>
      </c>
      <c r="AN14" s="378">
        <f t="shared" ca="1" si="13"/>
        <v>2245.588255080645</v>
      </c>
      <c r="AO14" s="378">
        <f t="shared" ca="1" si="13"/>
        <v>2228.1069891827028</v>
      </c>
      <c r="AP14" s="378">
        <f t="shared" ca="1" si="13"/>
        <v>1980.6167760887652</v>
      </c>
      <c r="AQ14" s="378" t="str">
        <f t="shared" ca="1" si="13"/>
        <v/>
      </c>
      <c r="AR14" s="374">
        <f ca="1">AVERAGE(AL14:AQ14)</f>
        <v>2074.2488187825938</v>
      </c>
      <c r="AS14" s="374">
        <f t="shared" ref="AS14:AX14" ca="1" si="14">IF(ISNUMBER(AL18),AL18^2,"")</f>
        <v>7.8078425542389158E-6</v>
      </c>
      <c r="AT14" s="374">
        <f t="shared" ca="1" si="14"/>
        <v>3.4421185892163551E-6</v>
      </c>
      <c r="AU14" s="374">
        <f t="shared" ca="1" si="14"/>
        <v>2.0991873666276597E-7</v>
      </c>
      <c r="AV14" s="374">
        <f t="shared" ca="1" si="14"/>
        <v>1.9519606385597285E-6</v>
      </c>
      <c r="AW14" s="374">
        <f t="shared" ca="1" si="14"/>
        <v>1.3768474356865417E-5</v>
      </c>
      <c r="AX14" s="374" t="str">
        <f t="shared" ca="1" si="14"/>
        <v/>
      </c>
      <c r="AY14" s="375">
        <f ca="1">SUM(AS14:AX14)</f>
        <v>2.7180314875543181E-5</v>
      </c>
      <c r="AZ14" s="376" t="s">
        <v>47</v>
      </c>
      <c r="BA14" s="379">
        <f ca="1">AT19*BA13^2+AV19*BA13+AX19</f>
        <v>2219.2468551635602</v>
      </c>
      <c r="BB14" s="367"/>
      <c r="BC14" s="358"/>
      <c r="BD14" s="358"/>
      <c r="BE14" s="358"/>
      <c r="BF14" s="358"/>
      <c r="BG14" s="358"/>
      <c r="BH14" s="358"/>
      <c r="BI14" s="358"/>
      <c r="BJ14" s="358"/>
      <c r="BK14" s="358"/>
      <c r="BL14" s="358"/>
      <c r="BM14" s="358"/>
      <c r="BN14" s="358"/>
      <c r="BO14" s="358"/>
      <c r="BP14" s="358"/>
      <c r="BQ14" s="358"/>
      <c r="BR14" s="358"/>
      <c r="BS14" s="358"/>
      <c r="BT14" s="358"/>
      <c r="BU14" s="358"/>
      <c r="BV14" s="358"/>
      <c r="BW14" s="358"/>
      <c r="BX14" s="358"/>
      <c r="BY14" s="358"/>
      <c r="BZ14" s="358"/>
      <c r="CA14" s="358"/>
      <c r="CB14" s="358"/>
      <c r="CC14" s="358"/>
      <c r="CD14" s="358"/>
      <c r="CE14" s="358"/>
      <c r="CF14" s="358"/>
      <c r="CG14" s="358"/>
      <c r="CH14" s="358"/>
      <c r="CI14" s="358"/>
      <c r="CJ14" s="358"/>
      <c r="CK14" s="358"/>
      <c r="CL14" s="358"/>
      <c r="CM14" s="358"/>
      <c r="CN14" s="358"/>
      <c r="CO14" s="358"/>
      <c r="CP14" s="358"/>
      <c r="CQ14" s="358"/>
      <c r="CR14" s="358"/>
      <c r="CS14" s="358"/>
      <c r="CT14" s="358"/>
      <c r="CU14" s="358"/>
      <c r="CV14" s="358"/>
      <c r="CW14" s="358"/>
      <c r="CX14" s="358"/>
      <c r="CY14" s="358"/>
      <c r="CZ14" s="358"/>
      <c r="DA14" s="358"/>
      <c r="DB14" s="358"/>
      <c r="DC14" s="358"/>
      <c r="DD14" s="358"/>
      <c r="DE14" s="358"/>
      <c r="DF14" s="358"/>
      <c r="DG14" s="358"/>
      <c r="DH14" s="358"/>
      <c r="DI14" s="358"/>
      <c r="DJ14" s="358"/>
      <c r="DK14" s="358"/>
      <c r="DL14" s="358"/>
      <c r="DM14" s="358"/>
      <c r="DN14" s="358"/>
      <c r="DO14" s="358"/>
      <c r="DP14" s="358"/>
      <c r="DQ14" s="358"/>
      <c r="DR14" s="358"/>
      <c r="DS14" s="358"/>
      <c r="DT14" s="358"/>
      <c r="DU14" s="358"/>
      <c r="DV14" s="358"/>
      <c r="DW14" s="358"/>
      <c r="DX14" s="358"/>
      <c r="DY14" s="358"/>
      <c r="DZ14" s="358"/>
      <c r="EA14" s="358"/>
      <c r="EB14" s="358"/>
      <c r="EC14" s="358"/>
      <c r="ED14" s="358"/>
      <c r="EE14" s="358"/>
      <c r="EF14" s="358"/>
      <c r="EG14" s="358"/>
      <c r="EH14" s="358"/>
      <c r="EI14" s="358"/>
      <c r="EJ14" s="358"/>
      <c r="EK14" s="358"/>
      <c r="EL14" s="358"/>
      <c r="EM14" s="358"/>
      <c r="EN14" s="358"/>
      <c r="EO14" s="358"/>
      <c r="EP14" s="358"/>
      <c r="EQ14" s="358"/>
      <c r="ER14" s="358"/>
      <c r="ES14" s="358"/>
      <c r="ET14" s="358"/>
      <c r="EU14" s="358"/>
      <c r="EV14" s="358"/>
      <c r="EW14" s="358"/>
      <c r="EX14" s="358"/>
      <c r="EY14" s="358"/>
      <c r="EZ14" s="371"/>
    </row>
    <row r="15" spans="1:156" ht="15" customHeight="1" x14ac:dyDescent="0.25">
      <c r="A15" s="924" t="s">
        <v>161</v>
      </c>
      <c r="B15" s="1692" t="str">
        <f>'Digitar Dados dos Ensaios'!A2</f>
        <v>Nova Mutum- MT</v>
      </c>
      <c r="C15" s="1692"/>
      <c r="D15" s="1692"/>
      <c r="E15" s="1692"/>
      <c r="F15" s="1692"/>
      <c r="G15" s="1692"/>
      <c r="H15" s="1692"/>
      <c r="I15" s="1692"/>
      <c r="J15" s="1692"/>
      <c r="K15" s="1692"/>
      <c r="L15" s="1693"/>
      <c r="AK15" s="357">
        <f>AK7+4</f>
        <v>8</v>
      </c>
      <c r="AL15" s="380">
        <f t="shared" ref="AL15:AQ15" ca="1" si="15">IF(ISNUMBER(AL13),AL13^2,"")</f>
        <v>5.4992709040121784E-4</v>
      </c>
      <c r="AM15" s="380">
        <f t="shared" ca="1" si="15"/>
        <v>1.4888840442753742E-3</v>
      </c>
      <c r="AN15" s="380">
        <f t="shared" ca="1" si="15"/>
        <v>2.8860098934957402E-3</v>
      </c>
      <c r="AO15" s="380">
        <f t="shared" ca="1" si="15"/>
        <v>4.7413046380623157E-3</v>
      </c>
      <c r="AP15" s="380">
        <f t="shared" ca="1" si="15"/>
        <v>7.0547682779751007E-3</v>
      </c>
      <c r="AQ15" s="381" t="str">
        <f t="shared" ca="1" si="15"/>
        <v/>
      </c>
      <c r="AR15" s="374">
        <f ca="1">AVERAGE(AL15:AQ15)</f>
        <v>3.3441787888419498E-3</v>
      </c>
      <c r="AS15" s="374">
        <f t="shared" ref="AS15:AX15" ca="1" si="16">IF(ISERROR(AL17*AL17),"",AL16*AL17)</f>
        <v>5.3253521805740629</v>
      </c>
      <c r="AT15" s="374">
        <f t="shared" ca="1" si="16"/>
        <v>0.84219282220487524</v>
      </c>
      <c r="AU15" s="374">
        <f t="shared" ca="1" si="16"/>
        <v>0</v>
      </c>
      <c r="AV15" s="374">
        <f t="shared" ca="1" si="16"/>
        <v>2.3287258651210365</v>
      </c>
      <c r="AW15" s="374">
        <f t="shared" ca="1" si="16"/>
        <v>-2.834342291452097</v>
      </c>
      <c r="AX15" s="374" t="str">
        <f t="shared" ca="1" si="16"/>
        <v/>
      </c>
      <c r="AY15" s="375">
        <f ca="1">SUM(AS15:AX15)</f>
        <v>5.6619285764478775</v>
      </c>
      <c r="AZ15" s="382"/>
      <c r="BA15" s="383"/>
      <c r="BB15" s="367"/>
      <c r="BC15" s="358"/>
      <c r="BD15" s="358"/>
      <c r="BE15" s="358"/>
      <c r="BF15" s="358"/>
      <c r="BG15" s="358"/>
      <c r="BH15" s="358"/>
      <c r="BI15" s="358"/>
      <c r="BJ15" s="358"/>
      <c r="BK15" s="358"/>
      <c r="BL15" s="358"/>
      <c r="BM15" s="358"/>
      <c r="BN15" s="358"/>
      <c r="BO15" s="358"/>
      <c r="BP15" s="358"/>
      <c r="BQ15" s="358"/>
      <c r="BR15" s="358"/>
      <c r="BS15" s="358"/>
      <c r="BT15" s="358"/>
      <c r="BU15" s="358"/>
      <c r="BV15" s="358"/>
      <c r="BW15" s="358"/>
      <c r="BX15" s="358"/>
      <c r="BY15" s="358"/>
      <c r="BZ15" s="358"/>
      <c r="CA15" s="358"/>
      <c r="CB15" s="358"/>
      <c r="CC15" s="358"/>
      <c r="CD15" s="358"/>
      <c r="CE15" s="358"/>
      <c r="CF15" s="358"/>
      <c r="CG15" s="358"/>
      <c r="CH15" s="358"/>
      <c r="CI15" s="358"/>
      <c r="CJ15" s="358"/>
      <c r="CK15" s="358"/>
      <c r="CL15" s="358"/>
      <c r="CM15" s="358"/>
      <c r="CN15" s="358"/>
      <c r="CO15" s="358"/>
      <c r="CP15" s="358"/>
      <c r="CQ15" s="358"/>
      <c r="CR15" s="358"/>
      <c r="CS15" s="358"/>
      <c r="CT15" s="358"/>
      <c r="CU15" s="358"/>
      <c r="CV15" s="358"/>
      <c r="CW15" s="358"/>
      <c r="CX15" s="358"/>
      <c r="CY15" s="358"/>
      <c r="CZ15" s="358"/>
      <c r="DA15" s="358"/>
      <c r="DB15" s="358"/>
      <c r="DC15" s="358"/>
      <c r="DD15" s="358"/>
      <c r="DE15" s="358"/>
      <c r="DF15" s="358"/>
      <c r="DG15" s="358"/>
      <c r="DH15" s="358"/>
      <c r="DI15" s="358"/>
      <c r="DJ15" s="358"/>
      <c r="DK15" s="358"/>
      <c r="DL15" s="358"/>
      <c r="DM15" s="358"/>
      <c r="DN15" s="358"/>
      <c r="DO15" s="358"/>
      <c r="DP15" s="358"/>
      <c r="DQ15" s="358"/>
      <c r="DR15" s="358"/>
      <c r="DS15" s="358"/>
      <c r="DT15" s="358"/>
      <c r="DU15" s="358"/>
      <c r="DV15" s="358"/>
      <c r="DW15" s="358"/>
      <c r="DX15" s="358"/>
      <c r="DY15" s="358"/>
      <c r="DZ15" s="358"/>
      <c r="EA15" s="358"/>
      <c r="EB15" s="358"/>
      <c r="EC15" s="358"/>
      <c r="ED15" s="358"/>
      <c r="EE15" s="358"/>
      <c r="EF15" s="358"/>
      <c r="EG15" s="358"/>
      <c r="EH15" s="358"/>
      <c r="EI15" s="358"/>
      <c r="EJ15" s="358"/>
      <c r="EK15" s="358"/>
      <c r="EL15" s="358"/>
      <c r="EM15" s="358"/>
      <c r="EN15" s="358"/>
      <c r="EO15" s="358"/>
      <c r="EP15" s="358"/>
      <c r="EQ15" s="358"/>
      <c r="ER15" s="358"/>
      <c r="ES15" s="358"/>
      <c r="ET15" s="358"/>
      <c r="EU15" s="358"/>
      <c r="EV15" s="358"/>
      <c r="EW15" s="358"/>
      <c r="EX15" s="358"/>
      <c r="EY15" s="358"/>
      <c r="EZ15" s="371"/>
    </row>
    <row r="16" spans="1:156" ht="15" customHeight="1" x14ac:dyDescent="0.25">
      <c r="A16" s="1150" t="s">
        <v>162</v>
      </c>
      <c r="B16" s="1557">
        <f>'Digitar Dados dos Ensaios'!A3</f>
        <v>0</v>
      </c>
      <c r="C16" s="1557"/>
      <c r="D16" s="1557"/>
      <c r="E16" s="1557"/>
      <c r="F16" s="1557"/>
      <c r="G16" s="1557"/>
      <c r="H16" s="1557"/>
      <c r="I16" s="1557"/>
      <c r="J16" s="1557"/>
      <c r="K16" s="1557"/>
      <c r="L16" s="1558"/>
      <c r="AK16" s="357">
        <f>AK15+1</f>
        <v>9</v>
      </c>
      <c r="AL16" s="380">
        <f ca="1">IF(ISNUMBER(AL13),AL13-$AR13,"")</f>
        <v>-3.0271071845780734E-2</v>
      </c>
      <c r="AM16" s="380">
        <f t="shared" ref="AM16:AQ18" ca="1" si="17">IF(ISNUMBER(AM13),AM13-$AR13,"")</f>
        <v>-1.5135535922890367E-2</v>
      </c>
      <c r="AN16" s="380">
        <f t="shared" ca="1" si="17"/>
        <v>0</v>
      </c>
      <c r="AO16" s="380">
        <f t="shared" ca="1" si="17"/>
        <v>1.5135535922890367E-2</v>
      </c>
      <c r="AP16" s="380">
        <f t="shared" ca="1" si="17"/>
        <v>3.0271071845780734E-2</v>
      </c>
      <c r="AQ16" s="380" t="str">
        <f t="shared" ca="1" si="17"/>
        <v/>
      </c>
      <c r="AR16" s="384"/>
      <c r="AS16" s="374">
        <f t="shared" ref="AS16:AX16" ca="1" si="18">IF(ISERROR(AL17*AL18),"",AL17*AL18)</f>
        <v>0.49157077923021081</v>
      </c>
      <c r="AT16" s="374">
        <f t="shared" ca="1" si="18"/>
        <v>0.10323492507360192</v>
      </c>
      <c r="AU16" s="374">
        <f t="shared" ca="1" si="18"/>
        <v>-7.8502400257920352E-2</v>
      </c>
      <c r="AV16" s="374">
        <f t="shared" ca="1" si="18"/>
        <v>0.21495922697974401</v>
      </c>
      <c r="AW16" s="374">
        <f t="shared" ca="1" si="18"/>
        <v>-0.34743007346578714</v>
      </c>
      <c r="AX16" s="374" t="str">
        <f t="shared" ca="1" si="18"/>
        <v/>
      </c>
      <c r="AY16" s="375">
        <f ca="1">SUM(AS16:AX16)</f>
        <v>0.38383245755984929</v>
      </c>
      <c r="AZ16" s="709"/>
      <c r="BA16" s="385"/>
      <c r="BB16" s="367"/>
      <c r="BC16" s="358"/>
      <c r="BD16" s="358"/>
      <c r="BE16" s="358"/>
      <c r="BF16" s="358"/>
      <c r="BG16" s="358"/>
      <c r="BH16" s="358"/>
      <c r="BI16" s="358"/>
      <c r="BJ16" s="358"/>
      <c r="BK16" s="358"/>
      <c r="BL16" s="358"/>
      <c r="BM16" s="358"/>
      <c r="BN16" s="358"/>
      <c r="BO16" s="358"/>
      <c r="BP16" s="358"/>
      <c r="BQ16" s="358"/>
      <c r="BR16" s="358"/>
      <c r="BS16" s="358"/>
      <c r="BT16" s="358"/>
      <c r="BU16" s="358"/>
      <c r="BV16" s="358"/>
      <c r="BW16" s="358"/>
      <c r="BX16" s="358"/>
      <c r="BY16" s="358"/>
      <c r="BZ16" s="358"/>
      <c r="CA16" s="358"/>
      <c r="CB16" s="358"/>
      <c r="CC16" s="358"/>
      <c r="CD16" s="358"/>
      <c r="CE16" s="358"/>
      <c r="CF16" s="358"/>
      <c r="CG16" s="358"/>
      <c r="CH16" s="358"/>
      <c r="CI16" s="358"/>
      <c r="CJ16" s="358"/>
      <c r="CK16" s="358"/>
      <c r="CL16" s="358"/>
      <c r="CM16" s="358"/>
      <c r="CN16" s="358"/>
      <c r="CO16" s="358"/>
      <c r="CP16" s="358"/>
      <c r="CQ16" s="358"/>
      <c r="CR16" s="358"/>
      <c r="CS16" s="358"/>
      <c r="CT16" s="358"/>
      <c r="CU16" s="358"/>
      <c r="CV16" s="358"/>
      <c r="CW16" s="358"/>
      <c r="CX16" s="358"/>
      <c r="CY16" s="358"/>
      <c r="CZ16" s="358"/>
      <c r="DA16" s="358"/>
      <c r="DB16" s="358"/>
      <c r="DC16" s="358"/>
      <c r="DD16" s="358"/>
      <c r="DE16" s="358"/>
      <c r="DF16" s="358"/>
      <c r="DG16" s="358"/>
      <c r="DH16" s="358"/>
      <c r="DI16" s="358"/>
      <c r="DJ16" s="358"/>
      <c r="DK16" s="358"/>
      <c r="DL16" s="358"/>
      <c r="DM16" s="358"/>
      <c r="DN16" s="358"/>
      <c r="DO16" s="358"/>
      <c r="DP16" s="358"/>
      <c r="DQ16" s="358"/>
      <c r="DR16" s="358"/>
      <c r="DS16" s="358"/>
      <c r="DT16" s="358"/>
      <c r="DU16" s="358"/>
      <c r="DV16" s="358"/>
      <c r="DW16" s="358"/>
      <c r="DX16" s="358"/>
      <c r="DY16" s="358"/>
      <c r="DZ16" s="358"/>
      <c r="EA16" s="358"/>
      <c r="EB16" s="358"/>
      <c r="EC16" s="358"/>
      <c r="ED16" s="358"/>
      <c r="EE16" s="358"/>
      <c r="EF16" s="358"/>
      <c r="EG16" s="358"/>
      <c r="EH16" s="358"/>
      <c r="EI16" s="358"/>
      <c r="EJ16" s="358"/>
      <c r="EK16" s="358"/>
      <c r="EL16" s="358"/>
      <c r="EM16" s="358"/>
      <c r="EN16" s="358"/>
      <c r="EO16" s="358"/>
      <c r="EP16" s="358"/>
      <c r="EQ16" s="358"/>
      <c r="ER16" s="358"/>
      <c r="ES16" s="358"/>
      <c r="ET16" s="358"/>
      <c r="EU16" s="358"/>
      <c r="EV16" s="358"/>
      <c r="EW16" s="358"/>
      <c r="EX16" s="358"/>
      <c r="EY16" s="358"/>
      <c r="EZ16" s="371"/>
    </row>
    <row r="17" spans="1:156" ht="15" customHeight="1" x14ac:dyDescent="0.25">
      <c r="A17" s="1135"/>
      <c r="B17" s="1136"/>
      <c r="C17" s="1136"/>
      <c r="D17" s="1136"/>
      <c r="E17" s="1136"/>
      <c r="F17" s="1136"/>
      <c r="G17" s="1136"/>
      <c r="H17" s="1136"/>
      <c r="I17" s="1136"/>
      <c r="J17" s="1136"/>
      <c r="K17" s="1136"/>
      <c r="L17" s="1137"/>
      <c r="AK17" s="357"/>
      <c r="AL17" s="384">
        <f ca="1">IF(ISNUMBER(AL14),AL14-$AR14,"")</f>
        <v>-175.92215458060582</v>
      </c>
      <c r="AM17" s="384">
        <f t="shared" ca="1" si="17"/>
        <v>-55.643409423724279</v>
      </c>
      <c r="AN17" s="384">
        <f t="shared" ca="1" si="17"/>
        <v>171.33943629805117</v>
      </c>
      <c r="AO17" s="384">
        <f t="shared" ca="1" si="17"/>
        <v>153.85817040010897</v>
      </c>
      <c r="AP17" s="384">
        <f t="shared" ca="1" si="17"/>
        <v>-93.63204269382868</v>
      </c>
      <c r="AQ17" s="386" t="str">
        <f t="shared" ca="1" si="17"/>
        <v/>
      </c>
      <c r="AR17" s="386"/>
      <c r="AS17" s="384">
        <f t="shared" ref="AS17:AX17" ca="1" si="19">IF(ISERROR(AL16*AL18),"",AL16*AL18)</f>
        <v>8.4584993918694244E-5</v>
      </c>
      <c r="AT17" s="384">
        <f t="shared" ca="1" si="19"/>
        <v>2.8080880253937113E-5</v>
      </c>
      <c r="AU17" s="384">
        <f t="shared" ca="1" si="19"/>
        <v>0</v>
      </c>
      <c r="AV17" s="384">
        <f t="shared" ca="1" si="19"/>
        <v>2.1146248479673557E-5</v>
      </c>
      <c r="AW17" s="384">
        <f t="shared" ca="1" si="19"/>
        <v>1.1232352101574844E-4</v>
      </c>
      <c r="AX17" s="384" t="str">
        <f t="shared" ca="1" si="19"/>
        <v/>
      </c>
      <c r="AY17" s="375">
        <f ca="1">SUM(AS17:AX17)</f>
        <v>2.4613564366805335E-4</v>
      </c>
      <c r="AZ17" s="709"/>
      <c r="BA17" s="385"/>
      <c r="BB17" s="367"/>
      <c r="BC17" s="358"/>
      <c r="BD17" s="358"/>
      <c r="BE17" s="358"/>
      <c r="BF17" s="358"/>
      <c r="BG17" s="358"/>
      <c r="BH17" s="358"/>
      <c r="BI17" s="358"/>
      <c r="BJ17" s="358"/>
      <c r="BK17" s="358"/>
      <c r="BL17" s="358"/>
      <c r="BM17" s="358"/>
      <c r="BN17" s="358"/>
      <c r="BO17" s="358"/>
      <c r="BP17" s="358"/>
      <c r="BQ17" s="358"/>
      <c r="BR17" s="358"/>
      <c r="BS17" s="358"/>
      <c r="BT17" s="358"/>
      <c r="BU17" s="358"/>
      <c r="BV17" s="358"/>
      <c r="BW17" s="358"/>
      <c r="BX17" s="358"/>
      <c r="BY17" s="358"/>
      <c r="BZ17" s="358"/>
      <c r="CA17" s="358"/>
      <c r="CB17" s="358"/>
      <c r="CC17" s="358"/>
      <c r="CD17" s="358"/>
      <c r="CE17" s="358"/>
      <c r="CF17" s="358"/>
      <c r="CG17" s="358"/>
      <c r="CH17" s="358"/>
      <c r="CI17" s="358"/>
      <c r="CJ17" s="358"/>
      <c r="CK17" s="358"/>
      <c r="CL17" s="358"/>
      <c r="CM17" s="358"/>
      <c r="CN17" s="358"/>
      <c r="CO17" s="358"/>
      <c r="CP17" s="358"/>
      <c r="CQ17" s="358"/>
      <c r="CR17" s="358"/>
      <c r="CS17" s="358"/>
      <c r="CT17" s="358"/>
      <c r="CU17" s="358"/>
      <c r="CV17" s="358"/>
      <c r="CW17" s="358"/>
      <c r="CX17" s="358"/>
      <c r="CY17" s="358"/>
      <c r="CZ17" s="358"/>
      <c r="DA17" s="358"/>
      <c r="DB17" s="358"/>
      <c r="DC17" s="358"/>
      <c r="DD17" s="358"/>
      <c r="DE17" s="358"/>
      <c r="DF17" s="358"/>
      <c r="DG17" s="358"/>
      <c r="DH17" s="358"/>
      <c r="DI17" s="358"/>
      <c r="DJ17" s="358"/>
      <c r="DK17" s="358"/>
      <c r="DL17" s="358"/>
      <c r="DM17" s="358"/>
      <c r="DN17" s="358"/>
      <c r="DO17" s="358"/>
      <c r="DP17" s="358"/>
      <c r="DQ17" s="358"/>
      <c r="DR17" s="358"/>
      <c r="DS17" s="358"/>
      <c r="DT17" s="358"/>
      <c r="DU17" s="358"/>
      <c r="DV17" s="358"/>
      <c r="DW17" s="358"/>
      <c r="DX17" s="358"/>
      <c r="DY17" s="358"/>
      <c r="DZ17" s="358"/>
      <c r="EA17" s="358"/>
      <c r="EB17" s="358"/>
      <c r="EC17" s="358"/>
      <c r="ED17" s="358"/>
      <c r="EE17" s="358"/>
      <c r="EF17" s="358"/>
      <c r="EG17" s="358"/>
      <c r="EH17" s="358"/>
      <c r="EI17" s="358"/>
      <c r="EJ17" s="358"/>
      <c r="EK17" s="358"/>
      <c r="EL17" s="358"/>
      <c r="EM17" s="358"/>
      <c r="EN17" s="358"/>
      <c r="EO17" s="358"/>
      <c r="EP17" s="358"/>
      <c r="EQ17" s="358"/>
      <c r="ER17" s="358"/>
      <c r="ES17" s="358"/>
      <c r="ET17" s="358"/>
      <c r="EU17" s="358"/>
      <c r="EV17" s="358"/>
      <c r="EW17" s="358"/>
      <c r="EX17" s="358"/>
      <c r="EY17" s="358"/>
      <c r="EZ17" s="371"/>
    </row>
    <row r="18" spans="1:156" ht="15" customHeight="1" x14ac:dyDescent="0.25">
      <c r="A18" s="1530" t="s">
        <v>163</v>
      </c>
      <c r="B18" s="1531"/>
      <c r="C18" s="930" t="s">
        <v>164</v>
      </c>
      <c r="D18" s="930">
        <f ca="1">IF(OR($N$8="",$N$8=0),"",IF(INDIRECT(ADDRESS(($AK18),COLUMN()+6,,,"Digitar Dados dos Ensaios"))&lt;&gt;"",INDIRECT(ADDRESS(($AK18),COLUMN()+6,,,"Digitar Dados dos Ensaios")),""))</f>
        <v>1</v>
      </c>
      <c r="E18" s="930">
        <f t="shared" ref="E18:J21" ca="1" si="20">IF(OR($N$8="",$N$8=0),"",IF(INDIRECT(ADDRESS(($AK18),COLUMN()+6,,,"Digitar Dados dos Ensaios"))&lt;&gt;"",INDIRECT(ADDRESS(($AK18),COLUMN()+6,,,"Digitar Dados dos Ensaios")),""))</f>
        <v>2</v>
      </c>
      <c r="F18" s="930">
        <f t="shared" ca="1" si="20"/>
        <v>3</v>
      </c>
      <c r="G18" s="930">
        <f t="shared" ca="1" si="20"/>
        <v>4</v>
      </c>
      <c r="H18" s="930">
        <f t="shared" ca="1" si="20"/>
        <v>5</v>
      </c>
      <c r="I18" s="1532" t="str">
        <f t="shared" ca="1" si="20"/>
        <v/>
      </c>
      <c r="J18" s="1533" t="str">
        <f t="shared" ca="1" si="20"/>
        <v>Umidade Higroscópica</v>
      </c>
      <c r="K18" s="931" t="s">
        <v>12</v>
      </c>
      <c r="L18" s="932"/>
      <c r="M18" s="1683" t="s">
        <v>165</v>
      </c>
      <c r="N18" s="1683"/>
      <c r="AK18" s="357">
        <f>AK7+1</f>
        <v>5</v>
      </c>
      <c r="AL18" s="374">
        <f ca="1">IF(ISNUMBER(AL15),AL15-$AR15,"")</f>
        <v>-2.7942516984407321E-3</v>
      </c>
      <c r="AM18" s="374">
        <f t="shared" ca="1" si="17"/>
        <v>-1.8552947445665757E-3</v>
      </c>
      <c r="AN18" s="374">
        <f t="shared" ca="1" si="17"/>
        <v>-4.5816889534620962E-4</v>
      </c>
      <c r="AO18" s="374">
        <f t="shared" ca="1" si="17"/>
        <v>1.3971258492203658E-3</v>
      </c>
      <c r="AP18" s="374">
        <f t="shared" ca="1" si="17"/>
        <v>3.7105894891331509E-3</v>
      </c>
      <c r="AQ18" s="387" t="str">
        <f t="shared" ca="1" si="17"/>
        <v/>
      </c>
      <c r="AR18" s="387"/>
      <c r="AS18" s="386"/>
      <c r="AT18" s="386"/>
      <c r="AU18" s="386"/>
      <c r="AV18" s="386"/>
      <c r="AW18" s="386"/>
      <c r="AX18" s="386"/>
      <c r="AY18" s="386"/>
      <c r="AZ18" s="375"/>
      <c r="BA18" s="388"/>
      <c r="BB18" s="367"/>
      <c r="BC18" s="358"/>
      <c r="BD18" s="358"/>
      <c r="BE18" s="358"/>
      <c r="BF18" s="358"/>
      <c r="BG18" s="358"/>
      <c r="BH18" s="358"/>
      <c r="BI18" s="358"/>
      <c r="BJ18" s="358"/>
      <c r="BK18" s="358"/>
      <c r="BL18" s="358"/>
      <c r="BM18" s="358"/>
      <c r="BN18" s="358"/>
      <c r="BO18" s="358"/>
      <c r="BP18" s="358"/>
      <c r="BQ18" s="358"/>
      <c r="BR18" s="358"/>
      <c r="BS18" s="358"/>
      <c r="BT18" s="358"/>
      <c r="BU18" s="358"/>
      <c r="BV18" s="358"/>
      <c r="BW18" s="358"/>
      <c r="BX18" s="358"/>
      <c r="BY18" s="358"/>
      <c r="BZ18" s="358"/>
      <c r="CA18" s="358"/>
      <c r="CB18" s="358"/>
      <c r="CC18" s="358"/>
      <c r="CD18" s="358"/>
      <c r="CE18" s="358"/>
      <c r="CF18" s="358"/>
      <c r="CG18" s="358"/>
      <c r="CH18" s="358"/>
      <c r="CI18" s="358"/>
      <c r="CJ18" s="358"/>
      <c r="CK18" s="358"/>
      <c r="CL18" s="358"/>
      <c r="CM18" s="358"/>
      <c r="CN18" s="358"/>
      <c r="CO18" s="358"/>
      <c r="CP18" s="358"/>
      <c r="CQ18" s="358"/>
      <c r="CR18" s="358"/>
      <c r="CS18" s="358"/>
      <c r="CT18" s="358"/>
      <c r="CU18" s="358"/>
      <c r="CV18" s="358"/>
      <c r="CW18" s="358"/>
      <c r="CX18" s="358"/>
      <c r="CY18" s="358"/>
      <c r="CZ18" s="358"/>
      <c r="DA18" s="358"/>
      <c r="DB18" s="358"/>
      <c r="DC18" s="358"/>
      <c r="DD18" s="358"/>
      <c r="DE18" s="358"/>
      <c r="DF18" s="358"/>
      <c r="DG18" s="358"/>
      <c r="DH18" s="358"/>
      <c r="DI18" s="358"/>
      <c r="DJ18" s="358"/>
      <c r="DK18" s="358"/>
      <c r="DL18" s="358"/>
      <c r="DM18" s="358"/>
      <c r="DN18" s="358"/>
      <c r="DO18" s="358"/>
      <c r="DP18" s="358"/>
      <c r="DQ18" s="358"/>
      <c r="DR18" s="358"/>
      <c r="DS18" s="358"/>
      <c r="DT18" s="358"/>
      <c r="DU18" s="358"/>
      <c r="DV18" s="358"/>
      <c r="DW18" s="358"/>
      <c r="DX18" s="358"/>
      <c r="DY18" s="358"/>
      <c r="DZ18" s="358"/>
      <c r="EA18" s="358"/>
      <c r="EB18" s="358"/>
      <c r="EC18" s="358"/>
      <c r="ED18" s="358"/>
      <c r="EE18" s="358"/>
      <c r="EF18" s="358"/>
      <c r="EG18" s="358"/>
      <c r="EH18" s="358"/>
      <c r="EI18" s="358"/>
      <c r="EJ18" s="358"/>
      <c r="EK18" s="358"/>
      <c r="EL18" s="358"/>
      <c r="EM18" s="358"/>
      <c r="EN18" s="358"/>
      <c r="EO18" s="358"/>
      <c r="EP18" s="358"/>
      <c r="EQ18" s="358"/>
      <c r="ER18" s="358"/>
      <c r="ES18" s="358"/>
      <c r="ET18" s="358"/>
      <c r="EU18" s="358"/>
      <c r="EV18" s="358"/>
      <c r="EW18" s="358"/>
      <c r="EX18" s="358"/>
      <c r="EY18" s="358"/>
      <c r="EZ18" s="371"/>
    </row>
    <row r="19" spans="1:156" ht="15" customHeight="1" x14ac:dyDescent="0.25">
      <c r="A19" s="1684" t="s">
        <v>166</v>
      </c>
      <c r="B19" s="1685"/>
      <c r="C19" s="933" t="s">
        <v>56</v>
      </c>
      <c r="D19" s="934" t="str">
        <f ca="1">IF(OR($N$8="",$N$8=0),"",IF(INDIRECT(ADDRESS(($AK19),COLUMN()+6,,,"Digitar Dados dos Ensaios"))&lt;&gt;"",INDIRECT(ADDRESS(($AK19),COLUMN()+6,,,"Digitar Dados dos Ensaios")),""))</f>
        <v/>
      </c>
      <c r="E19" s="934" t="str">
        <f t="shared" ca="1" si="20"/>
        <v/>
      </c>
      <c r="F19" s="934" t="str">
        <f t="shared" ca="1" si="20"/>
        <v/>
      </c>
      <c r="G19" s="934" t="str">
        <f t="shared" ca="1" si="20"/>
        <v/>
      </c>
      <c r="H19" s="934" t="str">
        <f t="shared" ca="1" si="20"/>
        <v/>
      </c>
      <c r="I19" s="1686" t="str">
        <f t="shared" ca="1" si="20"/>
        <v/>
      </c>
      <c r="J19" s="1687">
        <f t="shared" ca="1" si="20"/>
        <v>10</v>
      </c>
      <c r="K19" s="935">
        <f t="shared" ref="K19:L21" ca="1" si="21">IF(OR($N$8="",$N$8=0),"",IF(INDIRECT(ADDRESS(($AK19),COLUMN()+5,,,"Digitar Dados dos Ensaios"))&lt;&gt;"",INDIRECT(ADDRESS(($AK19),COLUMN()+5,,,"Digitar Dados dos Ensaios")),""))</f>
        <v>10</v>
      </c>
      <c r="L19" s="936">
        <f t="shared" ca="1" si="21"/>
        <v>21</v>
      </c>
      <c r="M19" s="23"/>
      <c r="N19" s="23"/>
      <c r="AK19" s="357">
        <f>AK7+2</f>
        <v>6</v>
      </c>
      <c r="AL19" s="372">
        <f ca="1">IF(OR(AL13="",AL13=0),NA(),AL13)</f>
        <v>2.3450524309729576E-2</v>
      </c>
      <c r="AM19" s="372">
        <f t="shared" ref="AM19:AQ20" ca="1" si="22">IF(OR(AM13="",AM13=0),NA(),AM13)</f>
        <v>3.8586060232619943E-2</v>
      </c>
      <c r="AN19" s="372">
        <f t="shared" ca="1" si="22"/>
        <v>5.3721596155510309E-2</v>
      </c>
      <c r="AO19" s="372">
        <f t="shared" ca="1" si="22"/>
        <v>6.8857132078400676E-2</v>
      </c>
      <c r="AP19" s="372">
        <f t="shared" ca="1" si="22"/>
        <v>8.3992668001291043E-2</v>
      </c>
      <c r="AQ19" s="372" t="e">
        <f ca="1">IF(OR(AQ13="",AQ13=0),NA(),AQ13)</f>
        <v>#N/A</v>
      </c>
      <c r="AR19" s="387"/>
      <c r="AS19" s="375" t="s">
        <v>101</v>
      </c>
      <c r="AT19" s="389">
        <f ca="1">(AY15*AY17-AY16*AY13)/(AY17^2-AY14*AY13)</f>
        <v>-305564.80623991921</v>
      </c>
      <c r="AU19" s="375" t="s">
        <v>102</v>
      </c>
      <c r="AV19" s="390">
        <f ca="1">(AY16-AT19*AY14)/AY17</f>
        <v>35302.404708859278</v>
      </c>
      <c r="AW19" s="375" t="s">
        <v>103</v>
      </c>
      <c r="AX19" s="389">
        <f ca="1">AR14-AV19*AR13-AT19*AR15</f>
        <v>1199.6106333390085</v>
      </c>
      <c r="AY19" s="387"/>
      <c r="AZ19" s="359" t="s">
        <v>167</v>
      </c>
      <c r="BA19" s="359"/>
      <c r="BB19" s="367"/>
      <c r="BC19" s="358"/>
      <c r="BD19" s="358"/>
      <c r="BE19" s="358"/>
      <c r="BF19" s="358"/>
      <c r="BG19" s="358"/>
      <c r="BH19" s="358"/>
      <c r="BI19" s="358"/>
      <c r="BJ19" s="358"/>
      <c r="BK19" s="358"/>
      <c r="BL19" s="358"/>
      <c r="BM19" s="358"/>
      <c r="BN19" s="358"/>
      <c r="BO19" s="358"/>
      <c r="BP19" s="358"/>
      <c r="BQ19" s="358"/>
      <c r="BR19" s="358"/>
      <c r="BS19" s="358"/>
      <c r="BT19" s="358"/>
      <c r="BU19" s="358"/>
      <c r="BV19" s="358"/>
      <c r="BW19" s="358"/>
      <c r="BX19" s="358"/>
      <c r="BY19" s="358"/>
      <c r="BZ19" s="358"/>
      <c r="CA19" s="358"/>
      <c r="CB19" s="358"/>
      <c r="CC19" s="358"/>
      <c r="CD19" s="358"/>
      <c r="CE19" s="358"/>
      <c r="CF19" s="358"/>
      <c r="CG19" s="358"/>
      <c r="CH19" s="358"/>
      <c r="CI19" s="358"/>
      <c r="CJ19" s="358"/>
      <c r="CK19" s="358"/>
      <c r="CL19" s="358"/>
      <c r="CM19" s="358"/>
      <c r="CN19" s="358"/>
      <c r="CO19" s="358"/>
      <c r="CP19" s="358"/>
      <c r="CQ19" s="358"/>
      <c r="CR19" s="358"/>
      <c r="CS19" s="358"/>
      <c r="CT19" s="358"/>
      <c r="CU19" s="358"/>
      <c r="CV19" s="358"/>
      <c r="CW19" s="358"/>
      <c r="CX19" s="358"/>
      <c r="CY19" s="358"/>
      <c r="CZ19" s="358"/>
      <c r="DA19" s="358"/>
      <c r="DB19" s="358"/>
      <c r="DC19" s="358"/>
      <c r="DD19" s="358"/>
      <c r="DE19" s="358"/>
      <c r="DF19" s="358"/>
      <c r="DG19" s="358"/>
      <c r="DH19" s="358"/>
      <c r="DI19" s="358"/>
      <c r="DJ19" s="358"/>
      <c r="DK19" s="358"/>
      <c r="DL19" s="358"/>
      <c r="DM19" s="358"/>
      <c r="DN19" s="358"/>
      <c r="DO19" s="358"/>
      <c r="DP19" s="358"/>
      <c r="DQ19" s="358"/>
      <c r="DR19" s="358"/>
      <c r="DS19" s="358"/>
      <c r="DT19" s="358"/>
      <c r="DU19" s="358"/>
      <c r="DV19" s="358"/>
      <c r="DW19" s="358"/>
      <c r="DX19" s="358"/>
      <c r="DY19" s="358"/>
      <c r="DZ19" s="358"/>
      <c r="EA19" s="358"/>
      <c r="EB19" s="358"/>
      <c r="EC19" s="358"/>
      <c r="ED19" s="358"/>
      <c r="EE19" s="358"/>
      <c r="EF19" s="358"/>
      <c r="EG19" s="358"/>
      <c r="EH19" s="358"/>
      <c r="EI19" s="358"/>
      <c r="EJ19" s="358"/>
      <c r="EK19" s="358"/>
      <c r="EL19" s="358"/>
      <c r="EM19" s="358"/>
      <c r="EN19" s="358"/>
      <c r="EO19" s="358"/>
      <c r="EP19" s="358"/>
      <c r="EQ19" s="358"/>
      <c r="ER19" s="358"/>
      <c r="ES19" s="358"/>
      <c r="ET19" s="358"/>
      <c r="EU19" s="358"/>
      <c r="EV19" s="358"/>
      <c r="EW19" s="358"/>
      <c r="EX19" s="358"/>
      <c r="EY19" s="358"/>
      <c r="EZ19" s="371"/>
    </row>
    <row r="20" spans="1:156" ht="15" customHeight="1" x14ac:dyDescent="0.25">
      <c r="A20" s="1467" t="s">
        <v>60</v>
      </c>
      <c r="B20" s="1468"/>
      <c r="C20" s="939" t="s">
        <v>168</v>
      </c>
      <c r="D20" s="940" t="str">
        <f ca="1">IF(OR($N$8="",$N$8=0),"",IF(INDIRECT(ADDRESS(($AK20),COLUMN()+6,,,"Digitar Dados dos Ensaios"))&lt;&gt;"",INDIRECT(ADDRESS(($AK20),COLUMN()+6,,,"Digitar Dados dos Ensaios")),""))</f>
        <v/>
      </c>
      <c r="E20" s="940" t="str">
        <f t="shared" ca="1" si="20"/>
        <v/>
      </c>
      <c r="F20" s="940" t="str">
        <f t="shared" ca="1" si="20"/>
        <v/>
      </c>
      <c r="G20" s="940" t="str">
        <f t="shared" ca="1" si="20"/>
        <v/>
      </c>
      <c r="H20" s="940" t="str">
        <f t="shared" ca="1" si="20"/>
        <v/>
      </c>
      <c r="I20" s="1474" t="str">
        <f t="shared" ca="1" si="20"/>
        <v/>
      </c>
      <c r="J20" s="1475">
        <f t="shared" ca="1" si="20"/>
        <v>186.55</v>
      </c>
      <c r="K20" s="941">
        <f t="shared" ca="1" si="21"/>
        <v>186.55</v>
      </c>
      <c r="L20" s="942">
        <f t="shared" ca="1" si="21"/>
        <v>201.76</v>
      </c>
      <c r="M20" s="17"/>
      <c r="N20" s="23"/>
      <c r="AK20" s="357">
        <f>AK19+1</f>
        <v>7</v>
      </c>
      <c r="AL20" s="378">
        <f ca="1">IF(OR(AL14="",AL14=0),NA(),AL14)</f>
        <v>1898.326664201988</v>
      </c>
      <c r="AM20" s="378">
        <f t="shared" ca="1" si="22"/>
        <v>2018.6054093588696</v>
      </c>
      <c r="AN20" s="378">
        <f t="shared" ca="1" si="22"/>
        <v>2245.588255080645</v>
      </c>
      <c r="AO20" s="378">
        <f t="shared" ca="1" si="22"/>
        <v>2228.1069891827028</v>
      </c>
      <c r="AP20" s="378">
        <f t="shared" ca="1" si="22"/>
        <v>1980.6167760887652</v>
      </c>
      <c r="AQ20" s="378" t="e">
        <f t="shared" ca="1" si="22"/>
        <v>#N/A</v>
      </c>
      <c r="AR20" s="358"/>
      <c r="AS20" s="358"/>
      <c r="AT20" s="358"/>
      <c r="AU20" s="358"/>
      <c r="AV20" s="358"/>
      <c r="AW20" s="358"/>
      <c r="AX20" s="358"/>
      <c r="AY20" s="358"/>
      <c r="AZ20" s="364" t="s">
        <v>169</v>
      </c>
      <c r="BA20" s="364" t="s">
        <v>170</v>
      </c>
      <c r="BB20" s="367"/>
      <c r="BC20" s="358"/>
      <c r="BD20" s="358"/>
      <c r="BE20" s="358"/>
      <c r="BF20" s="358"/>
      <c r="BG20" s="358"/>
      <c r="BH20" s="358"/>
      <c r="BI20" s="358"/>
      <c r="BJ20" s="358"/>
      <c r="BK20" s="358"/>
      <c r="BL20" s="358"/>
      <c r="BM20" s="358"/>
      <c r="BN20" s="358"/>
      <c r="BO20" s="358"/>
      <c r="BP20" s="358"/>
      <c r="BQ20" s="358"/>
      <c r="BR20" s="358"/>
      <c r="BS20" s="358"/>
      <c r="BT20" s="358"/>
      <c r="BU20" s="358"/>
      <c r="BV20" s="358"/>
      <c r="BW20" s="358"/>
      <c r="BX20" s="358"/>
      <c r="BY20" s="358"/>
      <c r="BZ20" s="358"/>
      <c r="CA20" s="358"/>
      <c r="CB20" s="358"/>
      <c r="CC20" s="358"/>
      <c r="CD20" s="358"/>
      <c r="CE20" s="358"/>
      <c r="CF20" s="358"/>
      <c r="CG20" s="358"/>
      <c r="CH20" s="358"/>
      <c r="CI20" s="358"/>
      <c r="CJ20" s="358"/>
      <c r="CK20" s="358"/>
      <c r="CL20" s="358"/>
      <c r="CM20" s="358"/>
      <c r="CN20" s="358"/>
      <c r="CO20" s="358"/>
      <c r="CP20" s="358"/>
      <c r="CQ20" s="358"/>
      <c r="CR20" s="358"/>
      <c r="CS20" s="358"/>
      <c r="CT20" s="358"/>
      <c r="CU20" s="358"/>
      <c r="CV20" s="358"/>
      <c r="CW20" s="358"/>
      <c r="CX20" s="358"/>
      <c r="CY20" s="358"/>
      <c r="CZ20" s="358"/>
      <c r="DA20" s="358"/>
      <c r="DB20" s="358"/>
      <c r="DC20" s="358"/>
      <c r="DD20" s="358"/>
      <c r="DE20" s="358"/>
      <c r="DF20" s="358"/>
      <c r="DG20" s="358"/>
      <c r="DH20" s="358"/>
      <c r="DI20" s="358"/>
      <c r="DJ20" s="358"/>
      <c r="DK20" s="358"/>
      <c r="DL20" s="358"/>
      <c r="DM20" s="358"/>
      <c r="DN20" s="358"/>
      <c r="DO20" s="358"/>
      <c r="DP20" s="358"/>
      <c r="DQ20" s="358"/>
      <c r="DR20" s="358"/>
      <c r="DS20" s="358"/>
      <c r="DT20" s="358"/>
      <c r="DU20" s="358"/>
      <c r="DV20" s="358"/>
      <c r="DW20" s="358"/>
      <c r="DX20" s="358"/>
      <c r="DY20" s="358"/>
      <c r="DZ20" s="358"/>
      <c r="EA20" s="358"/>
      <c r="EB20" s="358"/>
      <c r="EC20" s="358"/>
      <c r="ED20" s="358"/>
      <c r="EE20" s="358"/>
      <c r="EF20" s="358"/>
      <c r="EG20" s="358"/>
      <c r="EH20" s="358"/>
      <c r="EI20" s="358"/>
      <c r="EJ20" s="358"/>
      <c r="EK20" s="358"/>
      <c r="EL20" s="358"/>
      <c r="EM20" s="358"/>
      <c r="EN20" s="358"/>
      <c r="EO20" s="358"/>
      <c r="EP20" s="358"/>
      <c r="EQ20" s="358"/>
      <c r="ER20" s="358"/>
      <c r="ES20" s="358"/>
      <c r="ET20" s="358"/>
      <c r="EU20" s="358"/>
      <c r="EV20" s="358"/>
      <c r="EW20" s="358"/>
      <c r="EX20" s="358"/>
      <c r="EY20" s="358"/>
      <c r="EZ20" s="371"/>
    </row>
    <row r="21" spans="1:156" ht="15" customHeight="1" x14ac:dyDescent="0.25">
      <c r="A21" s="1467" t="s">
        <v>94</v>
      </c>
      <c r="B21" s="1468"/>
      <c r="C21" s="939" t="s">
        <v>168</v>
      </c>
      <c r="D21" s="940" t="str">
        <f ca="1">IF(OR($N$8="",$N$8=0),"",IF(INDIRECT(ADDRESS(($AK21),COLUMN()+6,,,"Digitar Dados dos Ensaios"))&lt;&gt;"",INDIRECT(ADDRESS(($AK21),COLUMN()+6,,,"Digitar Dados dos Ensaios")),""))</f>
        <v/>
      </c>
      <c r="E21" s="940" t="str">
        <f t="shared" ca="1" si="20"/>
        <v/>
      </c>
      <c r="F21" s="940" t="str">
        <f t="shared" ca="1" si="20"/>
        <v/>
      </c>
      <c r="G21" s="940" t="str">
        <f t="shared" ca="1" si="20"/>
        <v/>
      </c>
      <c r="H21" s="940" t="str">
        <f t="shared" ca="1" si="20"/>
        <v/>
      </c>
      <c r="I21" s="1474" t="str">
        <f t="shared" ca="1" si="20"/>
        <v/>
      </c>
      <c r="J21" s="1475">
        <f t="shared" ca="1" si="20"/>
        <v>185.17</v>
      </c>
      <c r="K21" s="941">
        <f t="shared" ca="1" si="21"/>
        <v>185.17</v>
      </c>
      <c r="L21" s="942">
        <f t="shared" ca="1" si="21"/>
        <v>200</v>
      </c>
      <c r="M21" s="17"/>
      <c r="N21" s="23"/>
      <c r="AK21" s="357">
        <f>AK20+1</f>
        <v>8</v>
      </c>
      <c r="AL21" s="358"/>
      <c r="AM21" s="358"/>
      <c r="AN21" s="358"/>
      <c r="AO21" s="358"/>
      <c r="AP21" s="358"/>
      <c r="AQ21" s="358"/>
      <c r="AR21" s="358"/>
      <c r="AS21" s="358"/>
      <c r="AT21" s="358"/>
      <c r="AU21" s="358"/>
      <c r="AV21" s="358"/>
      <c r="AW21" s="358"/>
      <c r="AX21" s="358"/>
      <c r="AY21" s="358"/>
      <c r="AZ21" s="391">
        <v>0</v>
      </c>
      <c r="BA21" s="392">
        <f ca="1">BA14</f>
        <v>2219.2468551635602</v>
      </c>
      <c r="BB21" s="367"/>
      <c r="BC21" s="358"/>
      <c r="BD21" s="358"/>
      <c r="BE21" s="358"/>
      <c r="BF21" s="358"/>
      <c r="BG21" s="358"/>
      <c r="BH21" s="358"/>
      <c r="BI21" s="358"/>
      <c r="BJ21" s="358"/>
      <c r="BK21" s="358"/>
      <c r="BL21" s="358"/>
      <c r="BM21" s="358"/>
      <c r="BN21" s="358"/>
      <c r="BO21" s="358"/>
      <c r="BP21" s="358"/>
      <c r="BQ21" s="358"/>
      <c r="BR21" s="358"/>
      <c r="BS21" s="358"/>
      <c r="BT21" s="358"/>
      <c r="BU21" s="358"/>
      <c r="BV21" s="358"/>
      <c r="BW21" s="358"/>
      <c r="BX21" s="358"/>
      <c r="BY21" s="358"/>
      <c r="BZ21" s="358"/>
      <c r="CA21" s="358"/>
      <c r="CB21" s="358"/>
      <c r="CC21" s="358"/>
      <c r="CD21" s="358"/>
      <c r="CE21" s="358"/>
      <c r="CF21" s="358"/>
      <c r="CG21" s="358"/>
      <c r="CH21" s="358"/>
      <c r="CI21" s="358"/>
      <c r="CJ21" s="358"/>
      <c r="CK21" s="358"/>
      <c r="CL21" s="358"/>
      <c r="CM21" s="358"/>
      <c r="CN21" s="358"/>
      <c r="CO21" s="358"/>
      <c r="CP21" s="358"/>
      <c r="CQ21" s="358"/>
      <c r="CR21" s="358"/>
      <c r="CS21" s="358"/>
      <c r="CT21" s="358"/>
      <c r="CU21" s="358"/>
      <c r="CV21" s="358"/>
      <c r="CW21" s="358"/>
      <c r="CX21" s="358"/>
      <c r="CY21" s="358"/>
      <c r="CZ21" s="358"/>
      <c r="DA21" s="358"/>
      <c r="DB21" s="358"/>
      <c r="DC21" s="358"/>
      <c r="DD21" s="358"/>
      <c r="DE21" s="358"/>
      <c r="DF21" s="358"/>
      <c r="DG21" s="358"/>
      <c r="DH21" s="358"/>
      <c r="DI21" s="358"/>
      <c r="DJ21" s="358"/>
      <c r="DK21" s="358"/>
      <c r="DL21" s="358"/>
      <c r="DM21" s="358"/>
      <c r="DN21" s="358"/>
      <c r="DO21" s="358"/>
      <c r="DP21" s="358"/>
      <c r="DQ21" s="358"/>
      <c r="DR21" s="358"/>
      <c r="DS21" s="358"/>
      <c r="DT21" s="358"/>
      <c r="DU21" s="358"/>
      <c r="DV21" s="358"/>
      <c r="DW21" s="358"/>
      <c r="DX21" s="358"/>
      <c r="DY21" s="358"/>
      <c r="DZ21" s="358"/>
      <c r="EA21" s="358"/>
      <c r="EB21" s="358"/>
      <c r="EC21" s="358"/>
      <c r="ED21" s="358"/>
      <c r="EE21" s="358"/>
      <c r="EF21" s="358"/>
      <c r="EG21" s="358"/>
      <c r="EH21" s="358"/>
      <c r="EI21" s="358"/>
      <c r="EJ21" s="358"/>
      <c r="EK21" s="358"/>
      <c r="EL21" s="358"/>
      <c r="EM21" s="358"/>
      <c r="EN21" s="358"/>
      <c r="EO21" s="358"/>
      <c r="EP21" s="358"/>
      <c r="EQ21" s="358"/>
      <c r="ER21" s="358"/>
      <c r="ES21" s="358"/>
      <c r="ET21" s="358"/>
      <c r="EU21" s="358"/>
      <c r="EV21" s="358"/>
      <c r="EW21" s="358"/>
      <c r="EX21" s="358"/>
      <c r="EY21" s="358"/>
      <c r="EZ21" s="371"/>
    </row>
    <row r="22" spans="1:156" ht="15" customHeight="1" x14ac:dyDescent="0.25">
      <c r="A22" s="1467" t="s">
        <v>26</v>
      </c>
      <c r="B22" s="1468"/>
      <c r="C22" s="939" t="s">
        <v>168</v>
      </c>
      <c r="D22" s="943" t="str">
        <f ca="1">IF(D19&lt;&gt;"",D20-D21,"")</f>
        <v/>
      </c>
      <c r="E22" s="943" t="str">
        <f ca="1">IF(E19&lt;&gt;"",E20-E21,"")</f>
        <v/>
      </c>
      <c r="F22" s="943" t="str">
        <f ca="1">IF(F19&lt;&gt;"",F20-F21,"")</f>
        <v/>
      </c>
      <c r="G22" s="943" t="str">
        <f ca="1">IF(G19&lt;&gt;"",G20-G21,"")</f>
        <v/>
      </c>
      <c r="H22" s="943" t="str">
        <f ca="1">IF(H19&lt;&gt;"",H20-H21,"")</f>
        <v/>
      </c>
      <c r="I22" s="1555" t="str">
        <f ca="1">IF(I18&lt;&gt;"",I20-I21,"")</f>
        <v/>
      </c>
      <c r="J22" s="1556">
        <f ca="1">IF(J19&lt;&gt;"",J20-J21,"")</f>
        <v>1.3800000000000239</v>
      </c>
      <c r="K22" s="944">
        <f ca="1">IF(K19&lt;&gt;"",K20-K21,"")</f>
        <v>1.3800000000000239</v>
      </c>
      <c r="L22" s="945">
        <f ca="1">IF(L19&lt;&gt;"",L20-L21,"")</f>
        <v>1.7599999999999909</v>
      </c>
      <c r="M22" s="24"/>
      <c r="N22" s="23"/>
      <c r="AK22" s="357"/>
      <c r="AL22" s="358"/>
      <c r="AM22" s="358"/>
      <c r="AN22" s="358"/>
      <c r="AO22" s="358"/>
      <c r="AP22" s="358"/>
      <c r="AQ22" s="358"/>
      <c r="AR22" s="358"/>
      <c r="AS22" s="358"/>
      <c r="AT22" s="358"/>
      <c r="AU22" s="358"/>
      <c r="AV22" s="358"/>
      <c r="AW22" s="358"/>
      <c r="AX22" s="358"/>
      <c r="AY22" s="358"/>
      <c r="AZ22" s="391">
        <f ca="1">BA13</f>
        <v>5.7765822483399835E-2</v>
      </c>
      <c r="BA22" s="392">
        <f ca="1">BA21</f>
        <v>2219.2468551635602</v>
      </c>
      <c r="BB22" s="367"/>
      <c r="BC22" s="358"/>
      <c r="BD22" s="358"/>
      <c r="BE22" s="358"/>
      <c r="BF22" s="358"/>
      <c r="BG22" s="358"/>
      <c r="BH22" s="358"/>
      <c r="BI22" s="358"/>
      <c r="BJ22" s="358"/>
      <c r="BK22" s="358"/>
      <c r="BL22" s="358"/>
      <c r="BM22" s="358"/>
      <c r="BN22" s="358"/>
      <c r="BO22" s="358"/>
      <c r="BP22" s="358"/>
      <c r="BQ22" s="358"/>
      <c r="BR22" s="358"/>
      <c r="BS22" s="358"/>
      <c r="BT22" s="358"/>
      <c r="BU22" s="358"/>
      <c r="BV22" s="358"/>
      <c r="BW22" s="358"/>
      <c r="BX22" s="358"/>
      <c r="BY22" s="358"/>
      <c r="BZ22" s="358"/>
      <c r="CA22" s="358"/>
      <c r="CB22" s="358"/>
      <c r="CC22" s="358"/>
      <c r="CD22" s="358"/>
      <c r="CE22" s="358"/>
      <c r="CF22" s="358"/>
      <c r="CG22" s="358"/>
      <c r="CH22" s="358"/>
      <c r="CI22" s="358"/>
      <c r="CJ22" s="358"/>
      <c r="CK22" s="358"/>
      <c r="CL22" s="358"/>
      <c r="CM22" s="358"/>
      <c r="CN22" s="358"/>
      <c r="CO22" s="358"/>
      <c r="CP22" s="358"/>
      <c r="CQ22" s="358"/>
      <c r="CR22" s="358"/>
      <c r="CS22" s="358"/>
      <c r="CT22" s="358"/>
      <c r="CU22" s="358"/>
      <c r="CV22" s="358"/>
      <c r="CW22" s="358"/>
      <c r="CX22" s="358"/>
      <c r="CY22" s="358"/>
      <c r="CZ22" s="358"/>
      <c r="DA22" s="358"/>
      <c r="DB22" s="358"/>
      <c r="DC22" s="358"/>
      <c r="DD22" s="358"/>
      <c r="DE22" s="358"/>
      <c r="DF22" s="358"/>
      <c r="DG22" s="358"/>
      <c r="DH22" s="358"/>
      <c r="DI22" s="358"/>
      <c r="DJ22" s="358"/>
      <c r="DK22" s="358"/>
      <c r="DL22" s="358"/>
      <c r="DM22" s="358"/>
      <c r="DN22" s="358"/>
      <c r="DO22" s="358"/>
      <c r="DP22" s="358"/>
      <c r="DQ22" s="358"/>
      <c r="DR22" s="358"/>
      <c r="DS22" s="358"/>
      <c r="DT22" s="358"/>
      <c r="DU22" s="358"/>
      <c r="DV22" s="358"/>
      <c r="DW22" s="358"/>
      <c r="DX22" s="358"/>
      <c r="DY22" s="358"/>
      <c r="DZ22" s="358"/>
      <c r="EA22" s="358"/>
      <c r="EB22" s="358"/>
      <c r="EC22" s="358"/>
      <c r="ED22" s="358"/>
      <c r="EE22" s="358"/>
      <c r="EF22" s="358"/>
      <c r="EG22" s="358"/>
      <c r="EH22" s="358"/>
      <c r="EI22" s="358"/>
      <c r="EJ22" s="358"/>
      <c r="EK22" s="358"/>
      <c r="EL22" s="358"/>
      <c r="EM22" s="358"/>
      <c r="EN22" s="358"/>
      <c r="EO22" s="358"/>
      <c r="EP22" s="358"/>
      <c r="EQ22" s="358"/>
      <c r="ER22" s="358"/>
      <c r="ES22" s="358"/>
      <c r="ET22" s="358"/>
      <c r="EU22" s="358"/>
      <c r="EV22" s="358"/>
      <c r="EW22" s="358"/>
      <c r="EX22" s="358"/>
      <c r="EY22" s="358"/>
      <c r="EZ22" s="371"/>
    </row>
    <row r="23" spans="1:156" ht="15" customHeight="1" x14ac:dyDescent="0.25">
      <c r="A23" s="1467" t="s">
        <v>45</v>
      </c>
      <c r="B23" s="1468"/>
      <c r="C23" s="939" t="s">
        <v>168</v>
      </c>
      <c r="D23" s="943" t="str">
        <f ca="1">IF(D19&lt;&gt;"",LOOKUP(D19,Tara!$C$6:$C$185,Tara!$D$6:$D$185),"")</f>
        <v/>
      </c>
      <c r="E23" s="943" t="str">
        <f ca="1">IF(E19&lt;&gt;"",LOOKUP(E19,Tara!$C$6:$C$185,Tara!$D$6:$D$185),"")</f>
        <v/>
      </c>
      <c r="F23" s="943" t="str">
        <f ca="1">IF(F19&lt;&gt;"",LOOKUP(F19,Tara!$C$6:$C$185,Tara!$D$6:$D$185),"")</f>
        <v/>
      </c>
      <c r="G23" s="943" t="str">
        <f ca="1">IF(G19&lt;&gt;"",LOOKUP(G19,Tara!$C$6:$C$185,Tara!$D$6:$D$185),"")</f>
        <v/>
      </c>
      <c r="H23" s="943" t="str">
        <f ca="1">IF(H19&lt;&gt;"",LOOKUP(H19,Tara!$C$6:$C$185,Tara!$D$6:$D$185),"")</f>
        <v/>
      </c>
      <c r="I23" s="1555" t="str">
        <f ca="1">IF(I18&lt;&gt;"",LOOKUP(I19,Tara!$C$6:$C$185,Tara!$D$6:$D$185),"")</f>
        <v/>
      </c>
      <c r="J23" s="1556">
        <f ca="1">IF(J19&lt;&gt;"",LOOKUP(J19,Tara!$C$6:$C$185,Tara!$D$6:$D$185),"")</f>
        <v>24.1</v>
      </c>
      <c r="K23" s="946">
        <f ca="1">IF(K19&lt;&gt;"",LOOKUP(K19,Tara!$C$6:$C$185,Tara!$D$6:$D$185),"")</f>
        <v>24.1</v>
      </c>
      <c r="L23" s="945">
        <f ca="1">IF(L19&lt;&gt;"",LOOKUP(L19,Tara!$C$6:$C$185,Tara!$D$6:$D$185),"")</f>
        <v>14.81</v>
      </c>
      <c r="M23" s="17"/>
      <c r="N23" s="23"/>
      <c r="AK23" s="357"/>
      <c r="AL23" s="358"/>
      <c r="AM23" s="358"/>
      <c r="AN23" s="358"/>
      <c r="AO23" s="358"/>
      <c r="AP23" s="358"/>
      <c r="AQ23" s="358"/>
      <c r="AR23" s="358"/>
      <c r="AS23" s="358"/>
      <c r="AT23" s="358"/>
      <c r="AU23" s="358"/>
      <c r="AV23" s="358"/>
      <c r="AW23" s="358"/>
      <c r="AX23" s="358"/>
      <c r="AY23" s="358"/>
      <c r="AZ23" s="391">
        <f ca="1">AZ22</f>
        <v>5.7765822483399835E-2</v>
      </c>
      <c r="BA23" s="392">
        <v>0</v>
      </c>
      <c r="BB23" s="367"/>
      <c r="BC23" s="358"/>
      <c r="BD23" s="358"/>
      <c r="BE23" s="358"/>
      <c r="BF23" s="358"/>
      <c r="BG23" s="358"/>
      <c r="BH23" s="358"/>
      <c r="BI23" s="358"/>
      <c r="BJ23" s="358"/>
      <c r="BK23" s="358"/>
      <c r="BL23" s="358"/>
      <c r="BM23" s="358"/>
      <c r="BN23" s="358"/>
      <c r="BO23" s="358"/>
      <c r="BP23" s="358"/>
      <c r="BQ23" s="358"/>
      <c r="BR23" s="358"/>
      <c r="BS23" s="358"/>
      <c r="BT23" s="358"/>
      <c r="BU23" s="358"/>
      <c r="BV23" s="358"/>
      <c r="BW23" s="358"/>
      <c r="BX23" s="358"/>
      <c r="BY23" s="358"/>
      <c r="BZ23" s="358"/>
      <c r="CA23" s="358"/>
      <c r="CB23" s="358"/>
      <c r="CC23" s="358"/>
      <c r="CD23" s="358"/>
      <c r="CE23" s="358"/>
      <c r="CF23" s="358"/>
      <c r="CG23" s="358"/>
      <c r="CH23" s="358"/>
      <c r="CI23" s="358"/>
      <c r="CJ23" s="358"/>
      <c r="CK23" s="358"/>
      <c r="CL23" s="358"/>
      <c r="CM23" s="358"/>
      <c r="CN23" s="358"/>
      <c r="CO23" s="358"/>
      <c r="CP23" s="358"/>
      <c r="CQ23" s="358"/>
      <c r="CR23" s="358"/>
      <c r="CS23" s="358"/>
      <c r="CT23" s="358"/>
      <c r="CU23" s="358"/>
      <c r="CV23" s="358"/>
      <c r="CW23" s="358"/>
      <c r="CX23" s="358"/>
      <c r="CY23" s="358"/>
      <c r="CZ23" s="358"/>
      <c r="DA23" s="358"/>
      <c r="DB23" s="358"/>
      <c r="DC23" s="358"/>
      <c r="DD23" s="358"/>
      <c r="DE23" s="358"/>
      <c r="DF23" s="358"/>
      <c r="DG23" s="358"/>
      <c r="DH23" s="358"/>
      <c r="DI23" s="358"/>
      <c r="DJ23" s="358"/>
      <c r="DK23" s="358"/>
      <c r="DL23" s="358"/>
      <c r="DM23" s="358"/>
      <c r="DN23" s="358"/>
      <c r="DO23" s="358"/>
      <c r="DP23" s="358"/>
      <c r="DQ23" s="358"/>
      <c r="DR23" s="358"/>
      <c r="DS23" s="358"/>
      <c r="DT23" s="358"/>
      <c r="DU23" s="358"/>
      <c r="DV23" s="358"/>
      <c r="DW23" s="358"/>
      <c r="DX23" s="358"/>
      <c r="DY23" s="358"/>
      <c r="DZ23" s="358"/>
      <c r="EA23" s="358"/>
      <c r="EB23" s="358"/>
      <c r="EC23" s="358"/>
      <c r="ED23" s="358"/>
      <c r="EE23" s="358"/>
      <c r="EF23" s="358"/>
      <c r="EG23" s="358"/>
      <c r="EH23" s="358"/>
      <c r="EI23" s="358"/>
      <c r="EJ23" s="358"/>
      <c r="EK23" s="358"/>
      <c r="EL23" s="358"/>
      <c r="EM23" s="358"/>
      <c r="EN23" s="358"/>
      <c r="EO23" s="358"/>
      <c r="EP23" s="358"/>
      <c r="EQ23" s="358"/>
      <c r="ER23" s="358"/>
      <c r="ES23" s="358"/>
      <c r="ET23" s="358"/>
      <c r="EU23" s="358"/>
      <c r="EV23" s="358"/>
      <c r="EW23" s="358"/>
      <c r="EX23" s="358"/>
      <c r="EY23" s="358"/>
      <c r="EZ23" s="371"/>
    </row>
    <row r="24" spans="1:156" ht="15" customHeight="1" x14ac:dyDescent="0.25">
      <c r="A24" s="1467" t="s">
        <v>67</v>
      </c>
      <c r="B24" s="1468"/>
      <c r="C24" s="939" t="s">
        <v>168</v>
      </c>
      <c r="D24" s="943" t="str">
        <f ca="1">IF(D19&lt;&gt;"",D21-D23,"")</f>
        <v/>
      </c>
      <c r="E24" s="939" t="str">
        <f ca="1">IF(E19&lt;&gt;"",E21-E23,"")</f>
        <v/>
      </c>
      <c r="F24" s="939" t="str">
        <f ca="1">IF(F19&lt;&gt;"",F21-F23,"")</f>
        <v/>
      </c>
      <c r="G24" s="939" t="str">
        <f ca="1">IF(G19&lt;&gt;"",G21-G23,"")</f>
        <v/>
      </c>
      <c r="H24" s="939" t="str">
        <f ca="1">IF(H19&lt;&gt;"",H21-H23,"")</f>
        <v/>
      </c>
      <c r="I24" s="1555" t="str">
        <f ca="1">IF(I18&lt;&gt;"",I21-I23,"")</f>
        <v/>
      </c>
      <c r="J24" s="1556">
        <f ca="1">IF(J19&lt;&gt;"",J21-J23,"")</f>
        <v>161.07</v>
      </c>
      <c r="K24" s="944">
        <f ca="1">IF(K19&lt;&gt;"",K21-K23,"")</f>
        <v>161.07</v>
      </c>
      <c r="L24" s="947">
        <f ca="1">IF(L19&lt;&gt;"",L21-L23,"")</f>
        <v>185.19</v>
      </c>
      <c r="M24" s="713"/>
      <c r="N24" s="713"/>
      <c r="AK24" s="357"/>
      <c r="AL24" s="358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8"/>
      <c r="AX24" s="358"/>
      <c r="AY24" s="358"/>
      <c r="AZ24" s="358"/>
      <c r="BA24" s="358"/>
      <c r="BB24" s="367"/>
      <c r="BC24" s="358"/>
      <c r="BD24" s="358"/>
      <c r="BE24" s="358"/>
      <c r="BF24" s="358"/>
      <c r="BG24" s="358"/>
      <c r="BH24" s="358"/>
      <c r="BI24" s="358"/>
      <c r="BJ24" s="358"/>
      <c r="BK24" s="358"/>
      <c r="BL24" s="358"/>
      <c r="BM24" s="358"/>
      <c r="BN24" s="358"/>
      <c r="BO24" s="358"/>
      <c r="BP24" s="358"/>
      <c r="BQ24" s="358"/>
      <c r="BR24" s="358"/>
      <c r="BS24" s="358"/>
      <c r="BT24" s="358"/>
      <c r="BU24" s="358"/>
      <c r="BV24" s="358"/>
      <c r="BW24" s="358"/>
      <c r="BX24" s="358"/>
      <c r="BY24" s="358"/>
      <c r="BZ24" s="358"/>
      <c r="CA24" s="358"/>
      <c r="CB24" s="358"/>
      <c r="CC24" s="358"/>
      <c r="CD24" s="358"/>
      <c r="CE24" s="358"/>
      <c r="CF24" s="358"/>
      <c r="CG24" s="358"/>
      <c r="CH24" s="358"/>
      <c r="CI24" s="358"/>
      <c r="CJ24" s="358"/>
      <c r="CK24" s="358"/>
      <c r="CL24" s="358"/>
      <c r="CM24" s="358"/>
      <c r="CN24" s="358"/>
      <c r="CO24" s="358"/>
      <c r="CP24" s="358"/>
      <c r="CQ24" s="358"/>
      <c r="CR24" s="358"/>
      <c r="CS24" s="358"/>
      <c r="CT24" s="358"/>
      <c r="CU24" s="358"/>
      <c r="CV24" s="358"/>
      <c r="CW24" s="358"/>
      <c r="CX24" s="358"/>
      <c r="CY24" s="358"/>
      <c r="CZ24" s="358"/>
      <c r="DA24" s="358"/>
      <c r="DB24" s="358"/>
      <c r="DC24" s="358"/>
      <c r="DD24" s="358"/>
      <c r="DE24" s="358"/>
      <c r="DF24" s="358"/>
      <c r="DG24" s="358"/>
      <c r="DH24" s="358"/>
      <c r="DI24" s="358"/>
      <c r="DJ24" s="358"/>
      <c r="DK24" s="358"/>
      <c r="DL24" s="358"/>
      <c r="DM24" s="358"/>
      <c r="DN24" s="358"/>
      <c r="DO24" s="358"/>
      <c r="DP24" s="358"/>
      <c r="DQ24" s="358"/>
      <c r="DR24" s="358"/>
      <c r="DS24" s="358"/>
      <c r="DT24" s="358"/>
      <c r="DU24" s="358"/>
      <c r="DV24" s="358"/>
      <c r="DW24" s="358"/>
      <c r="DX24" s="358"/>
      <c r="DY24" s="358"/>
      <c r="DZ24" s="358"/>
      <c r="EA24" s="358"/>
      <c r="EB24" s="358"/>
      <c r="EC24" s="358"/>
      <c r="ED24" s="358"/>
      <c r="EE24" s="358"/>
      <c r="EF24" s="358"/>
      <c r="EG24" s="358"/>
      <c r="EH24" s="358"/>
      <c r="EI24" s="358"/>
      <c r="EJ24" s="358"/>
      <c r="EK24" s="358"/>
      <c r="EL24" s="358"/>
      <c r="EM24" s="358"/>
      <c r="EN24" s="358"/>
      <c r="EO24" s="358"/>
      <c r="EP24" s="358"/>
      <c r="EQ24" s="358"/>
      <c r="ER24" s="358"/>
      <c r="ES24" s="358"/>
      <c r="ET24" s="358"/>
      <c r="EU24" s="358"/>
      <c r="EV24" s="358"/>
      <c r="EW24" s="358"/>
      <c r="EX24" s="358"/>
      <c r="EY24" s="358"/>
      <c r="EZ24" s="371"/>
    </row>
    <row r="25" spans="1:156" ht="15" customHeight="1" x14ac:dyDescent="0.25">
      <c r="A25" s="1467" t="s">
        <v>97</v>
      </c>
      <c r="B25" s="1468"/>
      <c r="C25" s="939" t="s">
        <v>171</v>
      </c>
      <c r="D25" s="948" t="str">
        <f ca="1">IF(D19&lt;&gt;"",D22/D24,"")</f>
        <v/>
      </c>
      <c r="E25" s="948" t="str">
        <f ca="1">IF(E19&lt;&gt;"",E22/E24,"")</f>
        <v/>
      </c>
      <c r="F25" s="948" t="str">
        <f ca="1">IF(F19&lt;&gt;"",F22/F24,"")</f>
        <v/>
      </c>
      <c r="G25" s="948" t="str">
        <f ca="1">IF(G19&lt;&gt;"",G22/G24,"")</f>
        <v/>
      </c>
      <c r="H25" s="948" t="str">
        <f ca="1">IF(H19&lt;&gt;"",H22/H24,"")</f>
        <v/>
      </c>
      <c r="I25" s="1671" t="str">
        <f ca="1">IF(I18&lt;&gt;"",I22/I24,"")</f>
        <v/>
      </c>
      <c r="J25" s="1672">
        <f ca="1">IF(J19&lt;&gt;"",J22/J24,"")</f>
        <v>8.5677034829578693E-3</v>
      </c>
      <c r="K25" s="949">
        <f ca="1">IF(K19&lt;&gt;"",K22/K24,"")</f>
        <v>8.5677034829578693E-3</v>
      </c>
      <c r="L25" s="950">
        <f ca="1">IF(L19&lt;&gt;"",L22/L24,"")</f>
        <v>9.5037529024244883E-3</v>
      </c>
      <c r="M25" s="25"/>
      <c r="N25" s="25"/>
      <c r="AK25" s="357"/>
      <c r="AL25" s="358"/>
      <c r="AM25" s="358"/>
      <c r="AN25" s="358"/>
      <c r="AO25" s="358"/>
      <c r="AP25" s="358"/>
      <c r="AQ25" s="358"/>
      <c r="AR25" s="358"/>
      <c r="AS25" s="358"/>
      <c r="AT25" s="358"/>
      <c r="AU25" s="358"/>
      <c r="AV25" s="358"/>
      <c r="AW25" s="358"/>
      <c r="AX25" s="358"/>
      <c r="AY25" s="358"/>
      <c r="AZ25" s="358"/>
      <c r="BA25" s="358"/>
      <c r="BB25" s="367"/>
      <c r="BC25" s="358"/>
      <c r="BD25" s="358"/>
      <c r="BE25" s="358"/>
      <c r="BF25" s="358"/>
      <c r="BG25" s="358"/>
      <c r="BH25" s="358"/>
      <c r="BI25" s="358"/>
      <c r="BJ25" s="358"/>
      <c r="BK25" s="358"/>
      <c r="BL25" s="358"/>
      <c r="BM25" s="358"/>
      <c r="BN25" s="358"/>
      <c r="BO25" s="358"/>
      <c r="BP25" s="358"/>
      <c r="BQ25" s="358"/>
      <c r="BR25" s="358"/>
      <c r="BS25" s="358"/>
      <c r="BT25" s="358"/>
      <c r="BU25" s="358"/>
      <c r="BV25" s="358"/>
      <c r="BW25" s="358"/>
      <c r="BX25" s="358"/>
      <c r="BY25" s="358"/>
      <c r="BZ25" s="358"/>
      <c r="CA25" s="358"/>
      <c r="CB25" s="358"/>
      <c r="CC25" s="358"/>
      <c r="CD25" s="358"/>
      <c r="CE25" s="358"/>
      <c r="CF25" s="358"/>
      <c r="CG25" s="358"/>
      <c r="CH25" s="358"/>
      <c r="CI25" s="358"/>
      <c r="CJ25" s="358"/>
      <c r="CK25" s="358"/>
      <c r="CL25" s="358"/>
      <c r="CM25" s="358"/>
      <c r="CN25" s="358"/>
      <c r="CO25" s="358"/>
      <c r="CP25" s="358"/>
      <c r="CQ25" s="358"/>
      <c r="CR25" s="358"/>
      <c r="CS25" s="358"/>
      <c r="CT25" s="358"/>
      <c r="CU25" s="358"/>
      <c r="CV25" s="358"/>
      <c r="CW25" s="358"/>
      <c r="CX25" s="358"/>
      <c r="CY25" s="358"/>
      <c r="CZ25" s="358"/>
      <c r="DA25" s="358"/>
      <c r="DB25" s="358"/>
      <c r="DC25" s="358"/>
      <c r="DD25" s="358"/>
      <c r="DE25" s="358"/>
      <c r="DF25" s="358"/>
      <c r="DG25" s="358"/>
      <c r="DH25" s="358"/>
      <c r="DI25" s="358"/>
      <c r="DJ25" s="358"/>
      <c r="DK25" s="358"/>
      <c r="DL25" s="358"/>
      <c r="DM25" s="358"/>
      <c r="DN25" s="358"/>
      <c r="DO25" s="358"/>
      <c r="DP25" s="358"/>
      <c r="DQ25" s="358"/>
      <c r="DR25" s="358"/>
      <c r="DS25" s="358"/>
      <c r="DT25" s="358"/>
      <c r="DU25" s="358"/>
      <c r="DV25" s="358"/>
      <c r="DW25" s="358"/>
      <c r="DX25" s="358"/>
      <c r="DY25" s="358"/>
      <c r="DZ25" s="358"/>
      <c r="EA25" s="358"/>
      <c r="EB25" s="358"/>
      <c r="EC25" s="358"/>
      <c r="ED25" s="358"/>
      <c r="EE25" s="358"/>
      <c r="EF25" s="358"/>
      <c r="EG25" s="358"/>
      <c r="EH25" s="358"/>
      <c r="EI25" s="358"/>
      <c r="EJ25" s="358"/>
      <c r="EK25" s="358"/>
      <c r="EL25" s="358"/>
      <c r="EM25" s="358"/>
      <c r="EN25" s="358"/>
      <c r="EO25" s="358"/>
      <c r="EP25" s="358"/>
      <c r="EQ25" s="358"/>
      <c r="ER25" s="358"/>
      <c r="ES25" s="358"/>
      <c r="ET25" s="358"/>
      <c r="EU25" s="358"/>
      <c r="EV25" s="358"/>
      <c r="EW25" s="358"/>
      <c r="EX25" s="358"/>
      <c r="EY25" s="358"/>
      <c r="EZ25" s="371"/>
    </row>
    <row r="26" spans="1:156" ht="15" customHeight="1" x14ac:dyDescent="0.25">
      <c r="A26" s="1467" t="s">
        <v>172</v>
      </c>
      <c r="B26" s="1468"/>
      <c r="C26" s="939" t="s">
        <v>171</v>
      </c>
      <c r="D26" s="948">
        <f ca="1">IF(ISNUMBER(D27),(D27/$K$30),"")</f>
        <v>2.3450524309729576E-2</v>
      </c>
      <c r="E26" s="948">
        <f t="shared" ref="E26:J26" ca="1" si="23">IF(ISNUMBER(E27),(E27/$K$30),"")</f>
        <v>3.8586060232619943E-2</v>
      </c>
      <c r="F26" s="948">
        <f t="shared" ca="1" si="23"/>
        <v>5.3721596155510309E-2</v>
      </c>
      <c r="G26" s="948">
        <f t="shared" ca="1" si="23"/>
        <v>6.8857132078400676E-2</v>
      </c>
      <c r="H26" s="948">
        <f t="shared" ca="1" si="23"/>
        <v>8.3992668001291043E-2</v>
      </c>
      <c r="I26" s="1671" t="str">
        <f t="shared" ca="1" si="23"/>
        <v/>
      </c>
      <c r="J26" s="1672" t="str">
        <f t="shared" ca="1" si="23"/>
        <v/>
      </c>
      <c r="K26" s="1673">
        <f ca="1">IF(ISNUMBER(K25),AVERAGE(K25:L25),"")</f>
        <v>9.0357281926911788E-3</v>
      </c>
      <c r="L26" s="1674"/>
      <c r="M26" s="1664"/>
      <c r="N26" s="1664"/>
      <c r="S26" s="7" t="s">
        <v>1</v>
      </c>
      <c r="T26" s="919"/>
      <c r="U26" s="919"/>
      <c r="V26" s="919"/>
      <c r="W26" s="1658" t="s">
        <v>173</v>
      </c>
      <c r="X26" s="1658"/>
      <c r="Y26" s="1658" t="s">
        <v>43</v>
      </c>
      <c r="Z26" s="1659"/>
      <c r="AB26" s="298">
        <f>IF(F234+I234&gt;H234,H234,F234+I234)</f>
        <v>0</v>
      </c>
      <c r="AK26" s="357"/>
      <c r="AL26" s="358"/>
      <c r="AM26" s="358"/>
      <c r="AN26" s="358"/>
      <c r="AO26" s="358"/>
      <c r="AP26" s="358"/>
      <c r="AQ26" s="358"/>
      <c r="AR26" s="358"/>
      <c r="AS26" s="358"/>
      <c r="AT26" s="358"/>
      <c r="AU26" s="358"/>
      <c r="AV26" s="358"/>
      <c r="AW26" s="358"/>
      <c r="AX26" s="358"/>
      <c r="AY26" s="358"/>
      <c r="AZ26" s="358"/>
      <c r="BA26" s="358"/>
      <c r="BB26" s="367"/>
      <c r="BC26" s="358"/>
      <c r="BD26" s="358"/>
      <c r="BE26" s="358"/>
      <c r="BF26" s="358"/>
      <c r="BG26" s="358"/>
      <c r="BH26" s="358"/>
      <c r="BI26" s="358"/>
      <c r="BJ26" s="358"/>
      <c r="BK26" s="358"/>
      <c r="BL26" s="358"/>
      <c r="BM26" s="358"/>
      <c r="BN26" s="358"/>
      <c r="BO26" s="358"/>
      <c r="BP26" s="358"/>
      <c r="BQ26" s="358"/>
      <c r="BR26" s="358"/>
      <c r="BS26" s="358"/>
      <c r="BT26" s="358"/>
      <c r="BU26" s="358"/>
      <c r="BV26" s="358"/>
      <c r="BW26" s="358"/>
      <c r="BX26" s="358"/>
      <c r="BY26" s="358"/>
      <c r="BZ26" s="358"/>
      <c r="CA26" s="358"/>
      <c r="CB26" s="358"/>
      <c r="CC26" s="358"/>
      <c r="CD26" s="358"/>
      <c r="CE26" s="358"/>
      <c r="CF26" s="358"/>
      <c r="CG26" s="358"/>
      <c r="CH26" s="358"/>
      <c r="CI26" s="358"/>
      <c r="CJ26" s="358"/>
      <c r="CK26" s="358"/>
      <c r="CL26" s="358"/>
      <c r="CM26" s="358"/>
      <c r="CN26" s="358"/>
      <c r="CO26" s="358"/>
      <c r="CP26" s="358"/>
      <c r="CQ26" s="358"/>
      <c r="CR26" s="358"/>
      <c r="CS26" s="358"/>
      <c r="CT26" s="358"/>
      <c r="CU26" s="358"/>
      <c r="CV26" s="358"/>
      <c r="CW26" s="358"/>
      <c r="CX26" s="358"/>
      <c r="CY26" s="358"/>
      <c r="CZ26" s="358"/>
      <c r="DA26" s="358"/>
      <c r="DB26" s="358"/>
      <c r="DC26" s="358"/>
      <c r="DD26" s="358"/>
      <c r="DE26" s="358"/>
      <c r="DF26" s="358"/>
      <c r="DG26" s="358"/>
      <c r="DH26" s="358"/>
      <c r="DI26" s="358"/>
      <c r="DJ26" s="358"/>
      <c r="DK26" s="358"/>
      <c r="DL26" s="358"/>
      <c r="DM26" s="358"/>
      <c r="DN26" s="358"/>
      <c r="DO26" s="358"/>
      <c r="DP26" s="358"/>
      <c r="DQ26" s="358"/>
      <c r="DR26" s="358"/>
      <c r="DS26" s="358"/>
      <c r="DT26" s="358"/>
      <c r="DU26" s="358"/>
      <c r="DV26" s="358"/>
      <c r="DW26" s="358"/>
      <c r="DX26" s="358"/>
      <c r="DY26" s="358"/>
      <c r="DZ26" s="358"/>
      <c r="EA26" s="358"/>
      <c r="EB26" s="358"/>
      <c r="EC26" s="358"/>
      <c r="ED26" s="358"/>
      <c r="EE26" s="358"/>
      <c r="EF26" s="358"/>
      <c r="EG26" s="358"/>
      <c r="EH26" s="358"/>
      <c r="EI26" s="358"/>
      <c r="EJ26" s="358"/>
      <c r="EK26" s="358"/>
      <c r="EL26" s="358"/>
      <c r="EM26" s="358"/>
      <c r="EN26" s="358"/>
      <c r="EO26" s="358"/>
      <c r="EP26" s="358"/>
      <c r="EQ26" s="358"/>
      <c r="ER26" s="358"/>
      <c r="ES26" s="358"/>
      <c r="ET26" s="358"/>
      <c r="EU26" s="358"/>
      <c r="EV26" s="358"/>
      <c r="EW26" s="358"/>
      <c r="EX26" s="358"/>
      <c r="EY26" s="358"/>
      <c r="EZ26" s="371"/>
    </row>
    <row r="27" spans="1:156" ht="15" customHeight="1" x14ac:dyDescent="0.25">
      <c r="A27" s="1467" t="s">
        <v>113</v>
      </c>
      <c r="B27" s="1468"/>
      <c r="C27" s="939" t="s">
        <v>168</v>
      </c>
      <c r="D27" s="951">
        <f ca="1">IF(AND(ISNUMBER(D28),ISNUMBER($K$32)),D28+$K$32,"")</f>
        <v>162.68370443346612</v>
      </c>
      <c r="E27" s="951">
        <f t="shared" ref="E27:J27" ca="1" si="24">IF(AND(ISNUMBER(E28),ISNUMBER($K$32)),E28+$K$32,"")</f>
        <v>267.68370443346612</v>
      </c>
      <c r="F27" s="951">
        <f t="shared" ca="1" si="24"/>
        <v>372.68370443346612</v>
      </c>
      <c r="G27" s="951">
        <f t="shared" ca="1" si="24"/>
        <v>477.68370443346612</v>
      </c>
      <c r="H27" s="951">
        <f t="shared" ca="1" si="24"/>
        <v>582.68370443346612</v>
      </c>
      <c r="I27" s="1665" t="str">
        <f ca="1">IF(AND(ISNUMBER(I18),ISNUMBER($K$32)),I28+$K$32,"")</f>
        <v/>
      </c>
      <c r="J27" s="1666" t="str">
        <f t="shared" ca="1" si="24"/>
        <v/>
      </c>
      <c r="K27" s="1601" t="s">
        <v>174</v>
      </c>
      <c r="L27" s="1667"/>
      <c r="M27" s="26"/>
      <c r="N27" s="26"/>
      <c r="S27" s="2" t="s">
        <v>175</v>
      </c>
      <c r="T27" s="3"/>
      <c r="U27" s="3"/>
      <c r="V27" s="3"/>
      <c r="W27" s="1660" t="s">
        <v>176</v>
      </c>
      <c r="X27" s="1660"/>
      <c r="Y27" s="1661" t="s">
        <v>93</v>
      </c>
      <c r="Z27" s="1662"/>
      <c r="AK27" s="357"/>
      <c r="AL27" s="358"/>
      <c r="AM27" s="358"/>
      <c r="AN27" s="358"/>
      <c r="AO27" s="358"/>
      <c r="AP27" s="358"/>
      <c r="AQ27" s="358"/>
      <c r="AR27" s="358"/>
      <c r="AS27" s="358"/>
      <c r="AT27" s="358"/>
      <c r="AU27" s="358"/>
      <c r="AV27" s="358"/>
      <c r="AW27" s="358"/>
      <c r="AX27" s="358"/>
      <c r="AY27" s="358"/>
      <c r="AZ27" s="358"/>
      <c r="BA27" s="358"/>
      <c r="BB27" s="367"/>
      <c r="BC27" s="358"/>
      <c r="BD27" s="358"/>
      <c r="BE27" s="358"/>
      <c r="BF27" s="358"/>
      <c r="BG27" s="358"/>
      <c r="BH27" s="358"/>
      <c r="BI27" s="358"/>
      <c r="BJ27" s="358"/>
      <c r="BK27" s="358"/>
      <c r="BL27" s="358"/>
      <c r="BM27" s="358"/>
      <c r="BN27" s="358"/>
      <c r="BO27" s="358"/>
      <c r="BP27" s="358"/>
      <c r="BQ27" s="358"/>
      <c r="BR27" s="358"/>
      <c r="BS27" s="358"/>
      <c r="BT27" s="358"/>
      <c r="BU27" s="358"/>
      <c r="BV27" s="358"/>
      <c r="BW27" s="358"/>
      <c r="BX27" s="358"/>
      <c r="BY27" s="358"/>
      <c r="BZ27" s="358"/>
      <c r="CA27" s="358"/>
      <c r="CB27" s="358"/>
      <c r="CC27" s="358"/>
      <c r="CD27" s="358"/>
      <c r="CE27" s="358"/>
      <c r="CF27" s="358"/>
      <c r="CG27" s="358"/>
      <c r="CH27" s="358"/>
      <c r="CI27" s="358"/>
      <c r="CJ27" s="358"/>
      <c r="CK27" s="358"/>
      <c r="CL27" s="358"/>
      <c r="CM27" s="358"/>
      <c r="CN27" s="358"/>
      <c r="CO27" s="358"/>
      <c r="CP27" s="358"/>
      <c r="CQ27" s="358"/>
      <c r="CR27" s="358"/>
      <c r="CS27" s="358"/>
      <c r="CT27" s="358"/>
      <c r="CU27" s="358"/>
      <c r="CV27" s="358"/>
      <c r="CW27" s="358"/>
      <c r="CX27" s="358"/>
      <c r="CY27" s="358"/>
      <c r="CZ27" s="358"/>
      <c r="DA27" s="358"/>
      <c r="DB27" s="358"/>
      <c r="DC27" s="358"/>
      <c r="DD27" s="358"/>
      <c r="DE27" s="358"/>
      <c r="DF27" s="358"/>
      <c r="DG27" s="358"/>
      <c r="DH27" s="358"/>
      <c r="DI27" s="358"/>
      <c r="DJ27" s="358"/>
      <c r="DK27" s="358"/>
      <c r="DL27" s="358"/>
      <c r="DM27" s="358"/>
      <c r="DN27" s="358"/>
      <c r="DO27" s="358"/>
      <c r="DP27" s="358"/>
      <c r="DQ27" s="358"/>
      <c r="DR27" s="358"/>
      <c r="DS27" s="358"/>
      <c r="DT27" s="358"/>
      <c r="DU27" s="358"/>
      <c r="DV27" s="358"/>
      <c r="DW27" s="358"/>
      <c r="DX27" s="358"/>
      <c r="DY27" s="358"/>
      <c r="DZ27" s="358"/>
      <c r="EA27" s="358"/>
      <c r="EB27" s="358"/>
      <c r="EC27" s="358"/>
      <c r="ED27" s="358"/>
      <c r="EE27" s="358"/>
      <c r="EF27" s="358"/>
      <c r="EG27" s="358"/>
      <c r="EH27" s="358"/>
      <c r="EI27" s="358"/>
      <c r="EJ27" s="358"/>
      <c r="EK27" s="358"/>
      <c r="EL27" s="358"/>
      <c r="EM27" s="358"/>
      <c r="EN27" s="358"/>
      <c r="EO27" s="358"/>
      <c r="EP27" s="358"/>
      <c r="EQ27" s="358"/>
      <c r="ER27" s="358"/>
      <c r="ES27" s="358"/>
      <c r="ET27" s="358"/>
      <c r="EU27" s="358"/>
      <c r="EV27" s="358"/>
      <c r="EW27" s="358"/>
      <c r="EX27" s="358"/>
      <c r="EY27" s="358"/>
      <c r="EZ27" s="371"/>
    </row>
    <row r="28" spans="1:156" ht="15" customHeight="1" x14ac:dyDescent="0.25">
      <c r="A28" s="1467" t="s">
        <v>126</v>
      </c>
      <c r="B28" s="1468"/>
      <c r="C28" s="939" t="s">
        <v>168</v>
      </c>
      <c r="D28" s="952">
        <f ca="1">IF(OR($N$8="",$N$8=0),"",IF(INDIRECT(ADDRESS(($AK28),COLUMN()+7,,,"Digitar Dados dos Ensaios"))&lt;&gt;"",INDIRECT(ADDRESS(($AK28),COLUMN()+7,,,"Digitar Dados dos Ensaios")),""))</f>
        <v>100</v>
      </c>
      <c r="E28" s="951">
        <f ca="1">IF(AND(ISNUMBER(E29),ISNUMBER($K$28)),E29*$K$28,"")</f>
        <v>204.99999999999997</v>
      </c>
      <c r="F28" s="951">
        <f ca="1">IF(AND(ISNUMBER(F29),ISNUMBER($K$28)),F29*$K$28,"")</f>
        <v>310</v>
      </c>
      <c r="G28" s="951">
        <f ca="1">IF(AND(ISNUMBER(G29),ISNUMBER($K$28)),G29*$K$28,"")</f>
        <v>415</v>
      </c>
      <c r="H28" s="951">
        <f ca="1">IF(AND(ISNUMBER(H29),ISNUMBER($K$28)),H29*$K$28,"")</f>
        <v>520</v>
      </c>
      <c r="I28" s="1665" t="str">
        <f ca="1">IF(AND(ISNUMBER(I18),ISNUMBER($K$28)),I29*$K$28,"")</f>
        <v/>
      </c>
      <c r="J28" s="1668" t="str">
        <f ca="1">IF(AND(ISNUMBER(J29),ISNUMBER($K$28)),J29*$K$28,"")</f>
        <v/>
      </c>
      <c r="K28" s="1669">
        <f ca="1">IF(OR($N$8="",$N$8=0),"",IF(INDIRECT(ADDRESS(($AK28),COLUMN()+6,,,"Digitar Dados dos Ensaios"))&lt;&gt;"",INDIRECT(ADDRESS(($AK28),COLUMN()+6,,,"Digitar Dados dos Ensaios")),""))</f>
        <v>7000</v>
      </c>
      <c r="L28" s="1670" t="str">
        <f ca="1">IF(OR($N$8="",$N$8=0),"",IF(INDIRECT(ADDRESS(($AK28),COLUMN()+6,,,"Digitar Dados dos Ensaios"))&lt;&gt;"",INDIRECT(ADDRESS(($AK28),COLUMN()+6,,,"Digitar Dados dos Ensaios")),""))</f>
        <v>Moldagem do ISC Ótimo</v>
      </c>
      <c r="M28" s="26"/>
      <c r="N28" s="26"/>
      <c r="S28" s="2" t="s">
        <v>177</v>
      </c>
      <c r="T28" s="3"/>
      <c r="U28" s="3"/>
      <c r="V28" s="3"/>
      <c r="W28" s="1660" t="s">
        <v>178</v>
      </c>
      <c r="X28" s="1660"/>
      <c r="Y28" s="1661" t="s">
        <v>179</v>
      </c>
      <c r="Z28" s="1662"/>
      <c r="AK28" s="357">
        <f>AK21+1</f>
        <v>9</v>
      </c>
      <c r="AL28" s="393">
        <f ca="1">IF(OR($N$8="",$N$8=0),"",IF(INDIRECT(ADDRESS(($AK28),COLUMN()-24,,,"Digitar Dados dos Ensaios"))&lt;&gt;"",INDIRECT(ADDRESS(($AK28),COLUMN()-24,,,"Digitar Dados dos Ensaios")),""))</f>
        <v>1.4999999999999999E-2</v>
      </c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8"/>
      <c r="AX28" s="358"/>
      <c r="AY28" s="358"/>
      <c r="AZ28" s="358"/>
      <c r="BA28" s="358"/>
      <c r="BB28" s="367"/>
      <c r="BC28" s="358"/>
      <c r="BD28" s="358"/>
      <c r="BE28" s="358"/>
      <c r="BF28" s="358"/>
      <c r="BG28" s="358"/>
      <c r="BH28" s="358"/>
      <c r="BI28" s="358"/>
      <c r="BJ28" s="358"/>
      <c r="BK28" s="358"/>
      <c r="BL28" s="358"/>
      <c r="BM28" s="358"/>
      <c r="BN28" s="358"/>
      <c r="BO28" s="358"/>
      <c r="BP28" s="358"/>
      <c r="BQ28" s="358"/>
      <c r="BR28" s="358"/>
      <c r="BS28" s="358"/>
      <c r="BT28" s="358"/>
      <c r="BU28" s="358"/>
      <c r="BV28" s="358"/>
      <c r="BW28" s="358"/>
      <c r="BX28" s="358"/>
      <c r="BY28" s="358"/>
      <c r="BZ28" s="358"/>
      <c r="CA28" s="358"/>
      <c r="CB28" s="358"/>
      <c r="CC28" s="358"/>
      <c r="CD28" s="358"/>
      <c r="CE28" s="358"/>
      <c r="CF28" s="358"/>
      <c r="CG28" s="358"/>
      <c r="CH28" s="358"/>
      <c r="CI28" s="358"/>
      <c r="CJ28" s="358"/>
      <c r="CK28" s="358"/>
      <c r="CL28" s="358"/>
      <c r="CM28" s="358"/>
      <c r="CN28" s="358"/>
      <c r="CO28" s="358"/>
      <c r="CP28" s="358"/>
      <c r="CQ28" s="358"/>
      <c r="CR28" s="358"/>
      <c r="CS28" s="358"/>
      <c r="CT28" s="358"/>
      <c r="CU28" s="358"/>
      <c r="CV28" s="358"/>
      <c r="CW28" s="358"/>
      <c r="CX28" s="358"/>
      <c r="CY28" s="358"/>
      <c r="CZ28" s="358"/>
      <c r="DA28" s="358"/>
      <c r="DB28" s="358"/>
      <c r="DC28" s="358"/>
      <c r="DD28" s="358"/>
      <c r="DE28" s="358"/>
      <c r="DF28" s="358"/>
      <c r="DG28" s="358"/>
      <c r="DH28" s="358"/>
      <c r="DI28" s="358"/>
      <c r="DJ28" s="358"/>
      <c r="DK28" s="358"/>
      <c r="DL28" s="358"/>
      <c r="DM28" s="358"/>
      <c r="DN28" s="358"/>
      <c r="DO28" s="358"/>
      <c r="DP28" s="358"/>
      <c r="DQ28" s="358"/>
      <c r="DR28" s="358"/>
      <c r="DS28" s="358"/>
      <c r="DT28" s="358"/>
      <c r="DU28" s="358"/>
      <c r="DV28" s="358"/>
      <c r="DW28" s="358"/>
      <c r="DX28" s="358"/>
      <c r="DY28" s="358"/>
      <c r="DZ28" s="358"/>
      <c r="EA28" s="358"/>
      <c r="EB28" s="358"/>
      <c r="EC28" s="358"/>
      <c r="ED28" s="358"/>
      <c r="EE28" s="358"/>
      <c r="EF28" s="358"/>
      <c r="EG28" s="358"/>
      <c r="EH28" s="358"/>
      <c r="EI28" s="358"/>
      <c r="EJ28" s="358"/>
      <c r="EK28" s="358"/>
      <c r="EL28" s="358"/>
      <c r="EM28" s="358"/>
      <c r="EN28" s="358"/>
      <c r="EO28" s="358"/>
      <c r="EP28" s="358"/>
      <c r="EQ28" s="358"/>
      <c r="ER28" s="358"/>
      <c r="ES28" s="358"/>
      <c r="ET28" s="358"/>
      <c r="EU28" s="358"/>
      <c r="EV28" s="358"/>
      <c r="EW28" s="358"/>
      <c r="EX28" s="358"/>
      <c r="EY28" s="358"/>
      <c r="EZ28" s="371"/>
    </row>
    <row r="29" spans="1:156" ht="15" customHeight="1" x14ac:dyDescent="0.25">
      <c r="A29" s="1467" t="s">
        <v>136</v>
      </c>
      <c r="B29" s="1468"/>
      <c r="C29" s="939" t="s">
        <v>171</v>
      </c>
      <c r="D29" s="948">
        <f ca="1">IF(AND(D31&lt;&gt;0,ISNUMBER(D28)),D28/K28,"")</f>
        <v>1.4285714285714285E-2</v>
      </c>
      <c r="E29" s="948">
        <f ca="1">IF(AND(ISNUMBER($AL$28),ISNUMBER(E18),E31&lt;&gt;0),D29+$AL$28,"")</f>
        <v>2.9285714285714283E-2</v>
      </c>
      <c r="F29" s="948">
        <f ca="1">IF(AND(ISNUMBER($AL$28),ISNUMBER(F18),F31&lt;&gt;0),E29+$AL$28,"")</f>
        <v>4.4285714285714282E-2</v>
      </c>
      <c r="G29" s="948">
        <f ca="1">IF(AND(ISNUMBER($AL$28),ISNUMBER(G18),G31&lt;&gt;0),F29+$AL$28,"")</f>
        <v>5.9285714285714282E-2</v>
      </c>
      <c r="H29" s="948">
        <f ca="1">IF(AND(ISNUMBER($AL$28),ISNUMBER(H18),H31&lt;&gt;0),G29+$AL$28,"")</f>
        <v>7.4285714285714288E-2</v>
      </c>
      <c r="I29" s="1671" t="str">
        <f ca="1">IF(AND(ISNUMBER($AL$28),ISNUMBER(I18),I31&lt;&gt;0),H29+$AL$28,"")</f>
        <v/>
      </c>
      <c r="J29" s="1672" t="str">
        <f ca="1">IF(AND(ISNUMBER($AL$28),ISNUMBER(I29),J31&lt;&gt;0),I29+$AL$28,"")</f>
        <v/>
      </c>
      <c r="K29" s="1522" t="s">
        <v>180</v>
      </c>
      <c r="L29" s="1523"/>
      <c r="M29" s="1680"/>
      <c r="N29" s="1680"/>
      <c r="S29" s="909"/>
      <c r="T29" s="10"/>
      <c r="U29" s="10"/>
      <c r="V29" s="10"/>
      <c r="W29" s="10"/>
      <c r="X29" s="10"/>
      <c r="Y29" s="10"/>
      <c r="Z29" s="11"/>
      <c r="AK29" s="357"/>
      <c r="AL29" s="358"/>
      <c r="AM29" s="358"/>
      <c r="AN29" s="358"/>
      <c r="AO29" s="358"/>
      <c r="AP29" s="358"/>
      <c r="AQ29" s="358"/>
      <c r="AR29" s="358"/>
      <c r="AS29" s="358"/>
      <c r="AT29" s="358"/>
      <c r="AU29" s="358"/>
      <c r="AV29" s="358"/>
      <c r="AW29" s="358"/>
      <c r="AX29" s="358"/>
      <c r="AY29" s="358"/>
      <c r="AZ29" s="358"/>
      <c r="BA29" s="358"/>
      <c r="BB29" s="367"/>
      <c r="BC29" s="358"/>
      <c r="BD29" s="358"/>
      <c r="BE29" s="358"/>
      <c r="BF29" s="358"/>
      <c r="BG29" s="358"/>
      <c r="BH29" s="358"/>
      <c r="BI29" s="358"/>
      <c r="BJ29" s="358"/>
      <c r="BK29" s="358"/>
      <c r="BL29" s="358"/>
      <c r="BM29" s="358"/>
      <c r="BN29" s="358"/>
      <c r="BO29" s="358"/>
      <c r="BP29" s="358"/>
      <c r="BQ29" s="358"/>
      <c r="BR29" s="358"/>
      <c r="BS29" s="358"/>
      <c r="BT29" s="358"/>
      <c r="BU29" s="358"/>
      <c r="BV29" s="358"/>
      <c r="BW29" s="358"/>
      <c r="BX29" s="358"/>
      <c r="BY29" s="358"/>
      <c r="BZ29" s="358"/>
      <c r="CA29" s="358"/>
      <c r="CB29" s="358"/>
      <c r="CC29" s="358"/>
      <c r="CD29" s="358"/>
      <c r="CE29" s="358"/>
      <c r="CF29" s="358"/>
      <c r="CG29" s="358"/>
      <c r="CH29" s="358"/>
      <c r="CI29" s="358"/>
      <c r="CJ29" s="358"/>
      <c r="CK29" s="358"/>
      <c r="CL29" s="358"/>
      <c r="CM29" s="358"/>
      <c r="CN29" s="358"/>
      <c r="CO29" s="358"/>
      <c r="CP29" s="358"/>
      <c r="CQ29" s="358"/>
      <c r="CR29" s="358"/>
      <c r="CS29" s="358"/>
      <c r="CT29" s="358"/>
      <c r="CU29" s="358"/>
      <c r="CV29" s="358"/>
      <c r="CW29" s="358"/>
      <c r="CX29" s="358"/>
      <c r="CY29" s="358"/>
      <c r="CZ29" s="358"/>
      <c r="DA29" s="358"/>
      <c r="DB29" s="358"/>
      <c r="DC29" s="358"/>
      <c r="DD29" s="358"/>
      <c r="DE29" s="358"/>
      <c r="DF29" s="358"/>
      <c r="DG29" s="358"/>
      <c r="DH29" s="358"/>
      <c r="DI29" s="358"/>
      <c r="DJ29" s="358"/>
      <c r="DK29" s="358"/>
      <c r="DL29" s="358"/>
      <c r="DM29" s="358"/>
      <c r="DN29" s="358"/>
      <c r="DO29" s="358"/>
      <c r="DP29" s="358"/>
      <c r="DQ29" s="358"/>
      <c r="DR29" s="358"/>
      <c r="DS29" s="358"/>
      <c r="DT29" s="358"/>
      <c r="DU29" s="358"/>
      <c r="DV29" s="358"/>
      <c r="DW29" s="358"/>
      <c r="DX29" s="358"/>
      <c r="DY29" s="358"/>
      <c r="DZ29" s="358"/>
      <c r="EA29" s="358"/>
      <c r="EB29" s="358"/>
      <c r="EC29" s="358"/>
      <c r="ED29" s="358"/>
      <c r="EE29" s="358"/>
      <c r="EF29" s="358"/>
      <c r="EG29" s="358"/>
      <c r="EH29" s="358"/>
      <c r="EI29" s="358"/>
      <c r="EJ29" s="358"/>
      <c r="EK29" s="358"/>
      <c r="EL29" s="358"/>
      <c r="EM29" s="358"/>
      <c r="EN29" s="358"/>
      <c r="EO29" s="358"/>
      <c r="EP29" s="358"/>
      <c r="EQ29" s="358"/>
      <c r="ER29" s="358"/>
      <c r="ES29" s="358"/>
      <c r="ET29" s="358"/>
      <c r="EU29" s="358"/>
      <c r="EV29" s="358"/>
      <c r="EW29" s="358"/>
      <c r="EX29" s="358"/>
      <c r="EY29" s="358"/>
      <c r="EZ29" s="371"/>
    </row>
    <row r="30" spans="1:156" ht="15" customHeight="1" x14ac:dyDescent="0.25">
      <c r="A30" s="1467" t="s">
        <v>15</v>
      </c>
      <c r="B30" s="1468"/>
      <c r="C30" s="939" t="s">
        <v>56</v>
      </c>
      <c r="D30" s="954">
        <f ca="1">IF(OR($N$8="",$N$8=0),"",IF(INDIRECT(ADDRESS(($AK30),COLUMN()+6,,,"Digitar Dados dos Ensaios"))&lt;&gt;"",INDIRECT(ADDRESS(($AK30),COLUMN()+6,,,"Digitar Dados dos Ensaios")),""))</f>
        <v>41</v>
      </c>
      <c r="E30" s="954">
        <f t="shared" ref="E30:J31" ca="1" si="25">IF(OR($N$8="",$N$8=0),"",IF(INDIRECT(ADDRESS(($AK30),COLUMN()+6,,,"Digitar Dados dos Ensaios"))&lt;&gt;"",INDIRECT(ADDRESS(($AK30),COLUMN()+6,,,"Digitar Dados dos Ensaios")),""))</f>
        <v>28</v>
      </c>
      <c r="F30" s="954">
        <f t="shared" ca="1" si="25"/>
        <v>46</v>
      </c>
      <c r="G30" s="954">
        <f t="shared" ca="1" si="25"/>
        <v>48</v>
      </c>
      <c r="H30" s="954">
        <f t="shared" ca="1" si="25"/>
        <v>41</v>
      </c>
      <c r="I30" s="1681" t="str">
        <f t="shared" ca="1" si="25"/>
        <v/>
      </c>
      <c r="J30" s="1682" t="str">
        <f t="shared" ca="1" si="25"/>
        <v>% Ret.#3/4"</v>
      </c>
      <c r="K30" s="1465">
        <f ca="1">IF(ISNUMBER(K28),K28/(K26+1),"")</f>
        <v>6937.3162955665339</v>
      </c>
      <c r="L30" s="1466"/>
      <c r="M30" s="1663"/>
      <c r="N30" s="1663"/>
      <c r="T30" s="594"/>
      <c r="AK30" s="357">
        <f>AK28+1</f>
        <v>10</v>
      </c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8"/>
      <c r="AX30" s="358"/>
      <c r="AY30" s="358"/>
      <c r="AZ30" s="358"/>
      <c r="BA30" s="358"/>
      <c r="BB30" s="367"/>
      <c r="BC30" s="358"/>
      <c r="BD30" s="358"/>
      <c r="BE30" s="358"/>
      <c r="BF30" s="358"/>
      <c r="BG30" s="358"/>
      <c r="BH30" s="358"/>
      <c r="BI30" s="358"/>
      <c r="BJ30" s="358"/>
      <c r="BK30" s="358"/>
      <c r="BL30" s="358"/>
      <c r="BM30" s="358"/>
      <c r="BN30" s="358"/>
      <c r="BO30" s="358"/>
      <c r="BP30" s="358"/>
      <c r="BQ30" s="358"/>
      <c r="BR30" s="358"/>
      <c r="BS30" s="358"/>
      <c r="BT30" s="358"/>
      <c r="BU30" s="358"/>
      <c r="BV30" s="358"/>
      <c r="BW30" s="358"/>
      <c r="BX30" s="358"/>
      <c r="BY30" s="358"/>
      <c r="BZ30" s="358"/>
      <c r="CA30" s="358"/>
      <c r="CB30" s="358"/>
      <c r="CC30" s="358"/>
      <c r="CD30" s="358"/>
      <c r="CE30" s="358"/>
      <c r="CF30" s="358"/>
      <c r="CG30" s="358"/>
      <c r="CH30" s="358"/>
      <c r="CI30" s="358"/>
      <c r="CJ30" s="358"/>
      <c r="CK30" s="358"/>
      <c r="CL30" s="358"/>
      <c r="CM30" s="358"/>
      <c r="CN30" s="358"/>
      <c r="CO30" s="358"/>
      <c r="CP30" s="358"/>
      <c r="CQ30" s="358"/>
      <c r="CR30" s="358"/>
      <c r="CS30" s="358"/>
      <c r="CT30" s="358"/>
      <c r="CU30" s="358"/>
      <c r="CV30" s="358"/>
      <c r="CW30" s="358"/>
      <c r="CX30" s="358"/>
      <c r="CY30" s="358"/>
      <c r="CZ30" s="358"/>
      <c r="DA30" s="358"/>
      <c r="DB30" s="358"/>
      <c r="DC30" s="358"/>
      <c r="DD30" s="358"/>
      <c r="DE30" s="358"/>
      <c r="DF30" s="358"/>
      <c r="DG30" s="358"/>
      <c r="DH30" s="358"/>
      <c r="DI30" s="358"/>
      <c r="DJ30" s="358"/>
      <c r="DK30" s="358"/>
      <c r="DL30" s="358"/>
      <c r="DM30" s="358"/>
      <c r="DN30" s="358"/>
      <c r="DO30" s="358"/>
      <c r="DP30" s="358"/>
      <c r="DQ30" s="358"/>
      <c r="DR30" s="358"/>
      <c r="DS30" s="358"/>
      <c r="DT30" s="358"/>
      <c r="DU30" s="358"/>
      <c r="DV30" s="358"/>
      <c r="DW30" s="358"/>
      <c r="DX30" s="358"/>
      <c r="DY30" s="358"/>
      <c r="DZ30" s="358"/>
      <c r="EA30" s="358"/>
      <c r="EB30" s="358"/>
      <c r="EC30" s="358"/>
      <c r="ED30" s="358"/>
      <c r="EE30" s="358"/>
      <c r="EF30" s="358"/>
      <c r="EG30" s="358"/>
      <c r="EH30" s="358"/>
      <c r="EI30" s="358"/>
      <c r="EJ30" s="358"/>
      <c r="EK30" s="358"/>
      <c r="EL30" s="358"/>
      <c r="EM30" s="358"/>
      <c r="EN30" s="358"/>
      <c r="EO30" s="358"/>
      <c r="EP30" s="358"/>
      <c r="EQ30" s="358"/>
      <c r="ER30" s="358"/>
      <c r="ES30" s="358"/>
      <c r="ET30" s="358"/>
      <c r="EU30" s="358"/>
      <c r="EV30" s="358"/>
      <c r="EW30" s="358"/>
      <c r="EX30" s="358"/>
      <c r="EY30" s="358"/>
      <c r="EZ30" s="371"/>
    </row>
    <row r="31" spans="1:156" ht="15" customHeight="1" x14ac:dyDescent="0.25">
      <c r="A31" s="1467" t="s">
        <v>60</v>
      </c>
      <c r="B31" s="1468"/>
      <c r="C31" s="939" t="s">
        <v>168</v>
      </c>
      <c r="D31" s="952">
        <f ca="1">IF(OR($N$8="",$N$8=0),"",IF(INDIRECT(ADDRESS(($AK31),COLUMN()+6,,,"Digitar Dados dos Ensaios"))&lt;&gt;"",INDIRECT(ADDRESS(($AK31),COLUMN()+6,,,"Digitar Dados dos Ensaios")),""))</f>
        <v>9575</v>
      </c>
      <c r="E31" s="952">
        <f t="shared" ca="1" si="25"/>
        <v>9661</v>
      </c>
      <c r="F31" s="952">
        <f t="shared" ca="1" si="25"/>
        <v>10042</v>
      </c>
      <c r="G31" s="952">
        <f t="shared" ca="1" si="25"/>
        <v>10055</v>
      </c>
      <c r="H31" s="952">
        <f t="shared" ca="1" si="25"/>
        <v>10000</v>
      </c>
      <c r="I31" s="1463" t="str">
        <f t="shared" ca="1" si="25"/>
        <v/>
      </c>
      <c r="J31" s="1464" t="str">
        <f t="shared" ca="1" si="25"/>
        <v>% Ret.# nº4</v>
      </c>
      <c r="K31" s="1465" t="s">
        <v>181</v>
      </c>
      <c r="L31" s="1466"/>
      <c r="M31" s="1663"/>
      <c r="N31" s="1663"/>
      <c r="T31" s="594"/>
      <c r="AK31" s="357">
        <f>AK30+1</f>
        <v>11</v>
      </c>
      <c r="AL31" s="358"/>
      <c r="AM31" s="358"/>
      <c r="AN31" s="358"/>
      <c r="AO31" s="358"/>
      <c r="AP31" s="358"/>
      <c r="AQ31" s="358"/>
      <c r="AR31" s="358"/>
      <c r="AS31" s="358"/>
      <c r="AT31" s="358"/>
      <c r="AU31" s="358"/>
      <c r="AV31" s="358"/>
      <c r="AW31" s="358"/>
      <c r="AX31" s="358"/>
      <c r="AY31" s="358"/>
      <c r="AZ31" s="358"/>
      <c r="BA31" s="358"/>
      <c r="BB31" s="367"/>
      <c r="BC31" s="358"/>
      <c r="BD31" s="358"/>
      <c r="BE31" s="358"/>
      <c r="BF31" s="358"/>
      <c r="BG31" s="358"/>
      <c r="BH31" s="358"/>
      <c r="BI31" s="358"/>
      <c r="BJ31" s="358"/>
      <c r="BK31" s="358"/>
      <c r="BL31" s="358"/>
      <c r="BM31" s="358"/>
      <c r="BN31" s="358"/>
      <c r="BO31" s="358"/>
      <c r="BP31" s="358"/>
      <c r="BQ31" s="358"/>
      <c r="BR31" s="358"/>
      <c r="BS31" s="358"/>
      <c r="BT31" s="358"/>
      <c r="BU31" s="358"/>
      <c r="BV31" s="358"/>
      <c r="BW31" s="358"/>
      <c r="BX31" s="358"/>
      <c r="BY31" s="358"/>
      <c r="BZ31" s="358"/>
      <c r="CA31" s="358"/>
      <c r="CB31" s="358"/>
      <c r="CC31" s="358"/>
      <c r="CD31" s="358"/>
      <c r="CE31" s="358"/>
      <c r="CF31" s="358"/>
      <c r="CG31" s="358"/>
      <c r="CH31" s="358"/>
      <c r="CI31" s="358"/>
      <c r="CJ31" s="358"/>
      <c r="CK31" s="358"/>
      <c r="CL31" s="358"/>
      <c r="CM31" s="358"/>
      <c r="CN31" s="358"/>
      <c r="CO31" s="358"/>
      <c r="CP31" s="358"/>
      <c r="CQ31" s="358"/>
      <c r="CR31" s="358"/>
      <c r="CS31" s="358"/>
      <c r="CT31" s="358"/>
      <c r="CU31" s="358"/>
      <c r="CV31" s="358"/>
      <c r="CW31" s="358"/>
      <c r="CX31" s="358"/>
      <c r="CY31" s="358"/>
      <c r="CZ31" s="358"/>
      <c r="DA31" s="358"/>
      <c r="DB31" s="358"/>
      <c r="DC31" s="358"/>
      <c r="DD31" s="358"/>
      <c r="DE31" s="358"/>
      <c r="DF31" s="358"/>
      <c r="DG31" s="358"/>
      <c r="DH31" s="358"/>
      <c r="DI31" s="358"/>
      <c r="DJ31" s="358"/>
      <c r="DK31" s="358"/>
      <c r="DL31" s="358"/>
      <c r="DM31" s="358"/>
      <c r="DN31" s="358"/>
      <c r="DO31" s="358"/>
      <c r="DP31" s="358"/>
      <c r="DQ31" s="358"/>
      <c r="DR31" s="358"/>
      <c r="DS31" s="358"/>
      <c r="DT31" s="358"/>
      <c r="DU31" s="358"/>
      <c r="DV31" s="358"/>
      <c r="DW31" s="358"/>
      <c r="DX31" s="358"/>
      <c r="DY31" s="358"/>
      <c r="DZ31" s="358"/>
      <c r="EA31" s="358"/>
      <c r="EB31" s="358"/>
      <c r="EC31" s="358"/>
      <c r="ED31" s="358"/>
      <c r="EE31" s="358"/>
      <c r="EF31" s="358"/>
      <c r="EG31" s="358"/>
      <c r="EH31" s="358"/>
      <c r="EI31" s="358"/>
      <c r="EJ31" s="358"/>
      <c r="EK31" s="358"/>
      <c r="EL31" s="358"/>
      <c r="EM31" s="358"/>
      <c r="EN31" s="358"/>
      <c r="EO31" s="358"/>
      <c r="EP31" s="358"/>
      <c r="EQ31" s="358"/>
      <c r="ER31" s="358"/>
      <c r="ES31" s="358"/>
      <c r="ET31" s="358"/>
      <c r="EU31" s="358"/>
      <c r="EV31" s="358"/>
      <c r="EW31" s="358"/>
      <c r="EX31" s="358"/>
      <c r="EY31" s="358"/>
      <c r="EZ31" s="371"/>
    </row>
    <row r="32" spans="1:156" ht="15" customHeight="1" x14ac:dyDescent="0.25">
      <c r="A32" s="1675" t="s">
        <v>46</v>
      </c>
      <c r="B32" s="1676"/>
      <c r="C32" s="939" t="s">
        <v>168</v>
      </c>
      <c r="D32" s="951">
        <f ca="1">IF(D30&lt;&gt;"",LOOKUP(D30,Tara!$G$6:$G$185,Tara!$H$6:$H$185),"")</f>
        <v>5530</v>
      </c>
      <c r="E32" s="951">
        <f ca="1">IF(E30&lt;&gt;"",LOOKUP(E30,Tara!$G$6:$G$185,Tara!$H$6:$H$185),"")</f>
        <v>5294</v>
      </c>
      <c r="F32" s="951">
        <f ca="1">IF(F30&lt;&gt;"",LOOKUP(F30,Tara!$G$6:$G$185,Tara!$H$6:$H$185),"")</f>
        <v>5222</v>
      </c>
      <c r="G32" s="951">
        <f ca="1">IF(G30&lt;&gt;"",LOOKUP(G30,Tara!$G$6:$G$185,Tara!$H$6:$H$185),"")</f>
        <v>5130</v>
      </c>
      <c r="H32" s="951">
        <f ca="1">IF(H30&lt;&gt;"",LOOKUP(H30,Tara!$G$6:$G$185,Tara!$H$6:$H$185),"")</f>
        <v>5530</v>
      </c>
      <c r="I32" s="1469" t="str">
        <f ca="1">IF(I18&lt;&gt;"",LOOKUP(I30,Tara!$G$6:$G$185,Tara!$H$6:$H$185),"")</f>
        <v/>
      </c>
      <c r="J32" s="1470" t="e">
        <f ca="1">IF(J30&lt;&gt;"",LOOKUP(J30,Tara!$G$6:$G$185,Tara!$H$6:$H$185),"")</f>
        <v>#N/A</v>
      </c>
      <c r="K32" s="1677">
        <f ca="1">IF(K28&lt;&gt;"",K28-K30,"")</f>
        <v>62.683704433466119</v>
      </c>
      <c r="L32" s="1678" t="str">
        <f ca="1">IF(ISNUMBER(J30),J30-J32,"")</f>
        <v/>
      </c>
      <c r="M32" s="1663"/>
      <c r="N32" s="1663"/>
      <c r="T32" s="594"/>
      <c r="AK32" s="357"/>
      <c r="AL32" s="358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8"/>
      <c r="AX32" s="358"/>
      <c r="AY32" s="358"/>
      <c r="AZ32" s="358"/>
      <c r="BA32" s="358"/>
      <c r="BB32" s="367"/>
      <c r="BC32" s="358"/>
      <c r="BD32" s="358"/>
      <c r="BE32" s="358"/>
      <c r="BF32" s="358"/>
      <c r="BG32" s="358"/>
      <c r="BH32" s="358"/>
      <c r="BI32" s="358"/>
      <c r="BJ32" s="358"/>
      <c r="BK32" s="358"/>
      <c r="BL32" s="358"/>
      <c r="BM32" s="358"/>
      <c r="BN32" s="358"/>
      <c r="BO32" s="358"/>
      <c r="BP32" s="358"/>
      <c r="BQ32" s="358"/>
      <c r="BR32" s="358"/>
      <c r="BS32" s="358"/>
      <c r="BT32" s="358"/>
      <c r="BU32" s="358"/>
      <c r="BV32" s="358"/>
      <c r="BW32" s="358"/>
      <c r="BX32" s="358"/>
      <c r="BY32" s="358"/>
      <c r="BZ32" s="358"/>
      <c r="CA32" s="358"/>
      <c r="CB32" s="358"/>
      <c r="CC32" s="358"/>
      <c r="CD32" s="358"/>
      <c r="CE32" s="358"/>
      <c r="CF32" s="358"/>
      <c r="CG32" s="358"/>
      <c r="CH32" s="358"/>
      <c r="CI32" s="358"/>
      <c r="CJ32" s="358"/>
      <c r="CK32" s="358"/>
      <c r="CL32" s="358"/>
      <c r="CM32" s="358"/>
      <c r="CN32" s="358"/>
      <c r="CO32" s="358"/>
      <c r="CP32" s="358"/>
      <c r="CQ32" s="358"/>
      <c r="CR32" s="358"/>
      <c r="CS32" s="358"/>
      <c r="CT32" s="358"/>
      <c r="CU32" s="358"/>
      <c r="CV32" s="358"/>
      <c r="CW32" s="358"/>
      <c r="CX32" s="358"/>
      <c r="CY32" s="358"/>
      <c r="CZ32" s="358"/>
      <c r="DA32" s="358"/>
      <c r="DB32" s="358"/>
      <c r="DC32" s="358"/>
      <c r="DD32" s="358"/>
      <c r="DE32" s="358"/>
      <c r="DF32" s="358"/>
      <c r="DG32" s="358"/>
      <c r="DH32" s="358"/>
      <c r="DI32" s="358"/>
      <c r="DJ32" s="358"/>
      <c r="DK32" s="358"/>
      <c r="DL32" s="358"/>
      <c r="DM32" s="358"/>
      <c r="DN32" s="358"/>
      <c r="DO32" s="358"/>
      <c r="DP32" s="358"/>
      <c r="DQ32" s="358"/>
      <c r="DR32" s="358"/>
      <c r="DS32" s="358"/>
      <c r="DT32" s="358"/>
      <c r="DU32" s="358"/>
      <c r="DV32" s="358"/>
      <c r="DW32" s="358"/>
      <c r="DX32" s="358"/>
      <c r="DY32" s="358"/>
      <c r="DZ32" s="358"/>
      <c r="EA32" s="358"/>
      <c r="EB32" s="358"/>
      <c r="EC32" s="358"/>
      <c r="ED32" s="358"/>
      <c r="EE32" s="358"/>
      <c r="EF32" s="358"/>
      <c r="EG32" s="358"/>
      <c r="EH32" s="358"/>
      <c r="EI32" s="358"/>
      <c r="EJ32" s="358"/>
      <c r="EK32" s="358"/>
      <c r="EL32" s="358"/>
      <c r="EM32" s="358"/>
      <c r="EN32" s="358"/>
      <c r="EO32" s="358"/>
      <c r="EP32" s="358"/>
      <c r="EQ32" s="358"/>
      <c r="ER32" s="358"/>
      <c r="ES32" s="358"/>
      <c r="ET32" s="358"/>
      <c r="EU32" s="358"/>
      <c r="EV32" s="358"/>
      <c r="EW32" s="358"/>
      <c r="EX32" s="358"/>
      <c r="EY32" s="358"/>
      <c r="EZ32" s="371"/>
    </row>
    <row r="33" spans="1:156" ht="15" customHeight="1" x14ac:dyDescent="0.25">
      <c r="A33" s="1675" t="s">
        <v>182</v>
      </c>
      <c r="B33" s="1676"/>
      <c r="C33" s="939"/>
      <c r="D33" s="951">
        <f ca="1">IF(D30&lt;&gt;"",LOOKUP(D30,Tara!$G$6:$G$185,Tara!$I$6:$I$185),"")</f>
        <v>2082</v>
      </c>
      <c r="E33" s="951">
        <f ca="1">IF(E30&lt;&gt;"",LOOKUP(E30,Tara!$G$6:$G$185,Tara!$I$6:$I$185),"")</f>
        <v>2083</v>
      </c>
      <c r="F33" s="951">
        <f ca="1">IF(F30&lt;&gt;"",LOOKUP(F30,Tara!$G$6:$G$185,Tara!$I$6:$I$185),"")</f>
        <v>2037</v>
      </c>
      <c r="G33" s="951">
        <f ca="1">IF(G30&lt;&gt;"",LOOKUP(G30,Tara!$G$6:$G$185,Tara!$I$6:$I$185),"")</f>
        <v>2068</v>
      </c>
      <c r="H33" s="951">
        <f ca="1">IF(H30&lt;&gt;"",LOOKUP(H30,Tara!$G$6:$G$185,Tara!$I$6:$I$185),"")</f>
        <v>2082</v>
      </c>
      <c r="I33" s="1679" t="str">
        <f ca="1">IF(I18&lt;&gt;"",LOOKUP(I30,Tara!$G$6:$G$185,Tara!$I$6:$I$185),"")</f>
        <v/>
      </c>
      <c r="J33" s="1603" t="e">
        <f ca="1">IF(J30&lt;&gt;"",LOOKUP(J30,Tara!$G$6:$G$185,Tara!$I$6:$I$185),"")</f>
        <v>#N/A</v>
      </c>
      <c r="K33" s="956"/>
      <c r="L33" s="957"/>
      <c r="M33" s="1663"/>
      <c r="N33" s="1663"/>
      <c r="T33" s="594"/>
      <c r="AK33" s="357"/>
      <c r="AL33" s="358"/>
      <c r="AM33" s="358"/>
      <c r="AN33" s="358"/>
      <c r="AO33" s="358"/>
      <c r="AP33" s="358"/>
      <c r="AQ33" s="358"/>
      <c r="AR33" s="358"/>
      <c r="AS33" s="358"/>
      <c r="AT33" s="358"/>
      <c r="AU33" s="358"/>
      <c r="AV33" s="358"/>
      <c r="AW33" s="358"/>
      <c r="AX33" s="358"/>
      <c r="AY33" s="358"/>
      <c r="AZ33" s="358"/>
      <c r="BA33" s="358"/>
      <c r="BB33" s="367"/>
      <c r="BC33" s="358"/>
      <c r="BD33" s="358"/>
      <c r="BE33" s="358"/>
      <c r="BF33" s="358"/>
      <c r="BG33" s="358"/>
      <c r="BH33" s="358"/>
      <c r="BI33" s="358"/>
      <c r="BJ33" s="358"/>
      <c r="BK33" s="358"/>
      <c r="BL33" s="358"/>
      <c r="BM33" s="358"/>
      <c r="BN33" s="358"/>
      <c r="BO33" s="358"/>
      <c r="BP33" s="358"/>
      <c r="BQ33" s="358"/>
      <c r="BR33" s="358"/>
      <c r="BS33" s="358"/>
      <c r="BT33" s="358"/>
      <c r="BU33" s="358"/>
      <c r="BV33" s="358"/>
      <c r="BW33" s="358"/>
      <c r="BX33" s="358"/>
      <c r="BY33" s="358"/>
      <c r="BZ33" s="358"/>
      <c r="CA33" s="358"/>
      <c r="CB33" s="358"/>
      <c r="CC33" s="358"/>
      <c r="CD33" s="358"/>
      <c r="CE33" s="358"/>
      <c r="CF33" s="358"/>
      <c r="CG33" s="358"/>
      <c r="CH33" s="358"/>
      <c r="CI33" s="358"/>
      <c r="CJ33" s="358"/>
      <c r="CK33" s="358"/>
      <c r="CL33" s="358"/>
      <c r="CM33" s="358"/>
      <c r="CN33" s="358"/>
      <c r="CO33" s="358"/>
      <c r="CP33" s="358"/>
      <c r="CQ33" s="358"/>
      <c r="CR33" s="358"/>
      <c r="CS33" s="358"/>
      <c r="CT33" s="358"/>
      <c r="CU33" s="358"/>
      <c r="CV33" s="358"/>
      <c r="CW33" s="358"/>
      <c r="CX33" s="358"/>
      <c r="CY33" s="358"/>
      <c r="CZ33" s="358"/>
      <c r="DA33" s="358"/>
      <c r="DB33" s="358"/>
      <c r="DC33" s="358"/>
      <c r="DD33" s="358"/>
      <c r="DE33" s="358"/>
      <c r="DF33" s="358"/>
      <c r="DG33" s="358"/>
      <c r="DH33" s="358"/>
      <c r="DI33" s="358"/>
      <c r="DJ33" s="358"/>
      <c r="DK33" s="358"/>
      <c r="DL33" s="358"/>
      <c r="DM33" s="358"/>
      <c r="DN33" s="358"/>
      <c r="DO33" s="358"/>
      <c r="DP33" s="358"/>
      <c r="DQ33" s="358"/>
      <c r="DR33" s="358"/>
      <c r="DS33" s="358"/>
      <c r="DT33" s="358"/>
      <c r="DU33" s="358"/>
      <c r="DV33" s="358"/>
      <c r="DW33" s="358"/>
      <c r="DX33" s="358"/>
      <c r="DY33" s="358"/>
      <c r="DZ33" s="358"/>
      <c r="EA33" s="358"/>
      <c r="EB33" s="358"/>
      <c r="EC33" s="358"/>
      <c r="ED33" s="358"/>
      <c r="EE33" s="358"/>
      <c r="EF33" s="358"/>
      <c r="EG33" s="358"/>
      <c r="EH33" s="358"/>
      <c r="EI33" s="358"/>
      <c r="EJ33" s="358"/>
      <c r="EK33" s="358"/>
      <c r="EL33" s="358"/>
      <c r="EM33" s="358"/>
      <c r="EN33" s="358"/>
      <c r="EO33" s="358"/>
      <c r="EP33" s="358"/>
      <c r="EQ33" s="358"/>
      <c r="ER33" s="358"/>
      <c r="ES33" s="358"/>
      <c r="ET33" s="358"/>
      <c r="EU33" s="358"/>
      <c r="EV33" s="358"/>
      <c r="EW33" s="358"/>
      <c r="EX33" s="358"/>
      <c r="EY33" s="358"/>
      <c r="EZ33" s="371"/>
    </row>
    <row r="34" spans="1:156" ht="15" customHeight="1" x14ac:dyDescent="0.25">
      <c r="A34" s="1467" t="s">
        <v>98</v>
      </c>
      <c r="B34" s="1468"/>
      <c r="C34" s="939" t="s">
        <v>168</v>
      </c>
      <c r="D34" s="951">
        <f ca="1">IF(D31&lt;&gt;"",D31-D32,"")</f>
        <v>4045</v>
      </c>
      <c r="E34" s="951">
        <f ca="1">IF(E31&lt;&gt;"",E31-E32,"")</f>
        <v>4367</v>
      </c>
      <c r="F34" s="951">
        <f ca="1">IF(F31&lt;&gt;"",F31-F32,"")</f>
        <v>4820</v>
      </c>
      <c r="G34" s="951">
        <f ca="1">IF(G31&lt;&gt;"",G31-G32,"")</f>
        <v>4925</v>
      </c>
      <c r="H34" s="951">
        <f ca="1">IF(H31&lt;&gt;"",H31-H32,"")</f>
        <v>4470</v>
      </c>
      <c r="I34" s="1469" t="str">
        <f ca="1">IF(I18&lt;&gt;"",I31-I32,"")</f>
        <v/>
      </c>
      <c r="J34" s="1470" t="e">
        <f ca="1">IF(J31&lt;&gt;"",J31-J32,"")</f>
        <v>#VALUE!</v>
      </c>
      <c r="K34" s="1210"/>
      <c r="L34" s="958"/>
      <c r="M34" s="1663"/>
      <c r="N34" s="1663"/>
      <c r="AC34" s="593">
        <f ca="1">D26</f>
        <v>2.3450524309729576E-2</v>
      </c>
      <c r="AD34" s="593">
        <f ca="1">E26</f>
        <v>3.8586060232619943E-2</v>
      </c>
      <c r="AE34" s="593">
        <f ca="1">F26</f>
        <v>5.3721596155510309E-2</v>
      </c>
      <c r="AF34" s="593">
        <f ca="1">G26</f>
        <v>6.8857132078400676E-2</v>
      </c>
      <c r="AG34" s="593">
        <f ca="1">H26</f>
        <v>8.3992668001291043E-2</v>
      </c>
      <c r="AK34" s="357"/>
      <c r="AL34" s="358"/>
      <c r="AM34" s="358"/>
      <c r="AN34" s="358"/>
      <c r="AO34" s="358"/>
      <c r="AP34" s="358"/>
      <c r="AQ34" s="358"/>
      <c r="AR34" s="358"/>
      <c r="AS34" s="358"/>
      <c r="AT34" s="358"/>
      <c r="AU34" s="358"/>
      <c r="AV34" s="358"/>
      <c r="AW34" s="358"/>
      <c r="AX34" s="358"/>
      <c r="AY34" s="358"/>
      <c r="AZ34" s="358"/>
      <c r="BA34" s="358"/>
      <c r="BB34" s="367"/>
      <c r="BC34" s="358"/>
      <c r="BD34" s="358"/>
      <c r="BE34" s="358"/>
      <c r="BF34" s="358"/>
      <c r="BG34" s="358"/>
      <c r="BH34" s="358"/>
      <c r="BI34" s="358"/>
      <c r="BJ34" s="358"/>
      <c r="BK34" s="358"/>
      <c r="BL34" s="358"/>
      <c r="BM34" s="358"/>
      <c r="BN34" s="358"/>
      <c r="BO34" s="358"/>
      <c r="BP34" s="358"/>
      <c r="BQ34" s="358"/>
      <c r="BR34" s="358"/>
      <c r="BS34" s="358"/>
      <c r="BT34" s="358"/>
      <c r="BU34" s="358"/>
      <c r="BV34" s="358"/>
      <c r="BW34" s="358"/>
      <c r="BX34" s="358"/>
      <c r="BY34" s="358"/>
      <c r="BZ34" s="358"/>
      <c r="CA34" s="358"/>
      <c r="CB34" s="358"/>
      <c r="CC34" s="358"/>
      <c r="CD34" s="358"/>
      <c r="CE34" s="358"/>
      <c r="CF34" s="358"/>
      <c r="CG34" s="358"/>
      <c r="CH34" s="358"/>
      <c r="CI34" s="358"/>
      <c r="CJ34" s="358"/>
      <c r="CK34" s="358"/>
      <c r="CL34" s="358"/>
      <c r="CM34" s="358"/>
      <c r="CN34" s="358"/>
      <c r="CO34" s="358"/>
      <c r="CP34" s="358"/>
      <c r="CQ34" s="358"/>
      <c r="CR34" s="358"/>
      <c r="CS34" s="358"/>
      <c r="CT34" s="358"/>
      <c r="CU34" s="358"/>
      <c r="CV34" s="358"/>
      <c r="CW34" s="358"/>
      <c r="CX34" s="358"/>
      <c r="CY34" s="358"/>
      <c r="CZ34" s="358"/>
      <c r="DA34" s="358"/>
      <c r="DB34" s="358"/>
      <c r="DC34" s="358"/>
      <c r="DD34" s="358"/>
      <c r="DE34" s="358"/>
      <c r="DF34" s="358"/>
      <c r="DG34" s="358"/>
      <c r="DH34" s="358"/>
      <c r="DI34" s="358"/>
      <c r="DJ34" s="358"/>
      <c r="DK34" s="358"/>
      <c r="DL34" s="358"/>
      <c r="DM34" s="358"/>
      <c r="DN34" s="358"/>
      <c r="DO34" s="358"/>
      <c r="DP34" s="358"/>
      <c r="DQ34" s="358"/>
      <c r="DR34" s="358"/>
      <c r="DS34" s="358"/>
      <c r="DT34" s="358"/>
      <c r="DU34" s="358"/>
      <c r="DV34" s="358"/>
      <c r="DW34" s="358"/>
      <c r="DX34" s="358"/>
      <c r="DY34" s="358"/>
      <c r="DZ34" s="358"/>
      <c r="EA34" s="358"/>
      <c r="EB34" s="358"/>
      <c r="EC34" s="358"/>
      <c r="ED34" s="358"/>
      <c r="EE34" s="358"/>
      <c r="EF34" s="358"/>
      <c r="EG34" s="358"/>
      <c r="EH34" s="358"/>
      <c r="EI34" s="358"/>
      <c r="EJ34" s="358"/>
      <c r="EK34" s="358"/>
      <c r="EL34" s="358"/>
      <c r="EM34" s="358"/>
      <c r="EN34" s="358"/>
      <c r="EO34" s="358"/>
      <c r="EP34" s="358"/>
      <c r="EQ34" s="358"/>
      <c r="ER34" s="358"/>
      <c r="ES34" s="358"/>
      <c r="ET34" s="358"/>
      <c r="EU34" s="358"/>
      <c r="EV34" s="358"/>
      <c r="EW34" s="358"/>
      <c r="EX34" s="358"/>
      <c r="EY34" s="358"/>
      <c r="EZ34" s="371"/>
    </row>
    <row r="35" spans="1:156" ht="15" customHeight="1" x14ac:dyDescent="0.25">
      <c r="A35" s="1467" t="s">
        <v>114</v>
      </c>
      <c r="B35" s="1468"/>
      <c r="C35" s="939" t="s">
        <v>183</v>
      </c>
      <c r="D35" s="951">
        <f ca="1">IF(D34&lt;&gt;"",D34*1000/D33,"")</f>
        <v>1942.8434197886647</v>
      </c>
      <c r="E35" s="951">
        <f t="shared" ref="E35:J35" ca="1" si="26">IF(E34&lt;&gt;"",E34*1000/E33,"")</f>
        <v>2096.4954392702834</v>
      </c>
      <c r="F35" s="951">
        <f t="shared" ca="1" si="26"/>
        <v>2366.2248404516445</v>
      </c>
      <c r="G35" s="951">
        <f t="shared" ca="1" si="26"/>
        <v>2381.5280464216635</v>
      </c>
      <c r="H35" s="951">
        <f t="shared" ca="1" si="26"/>
        <v>2146.9740634005761</v>
      </c>
      <c r="I35" s="1469" t="str">
        <f t="shared" ca="1" si="26"/>
        <v/>
      </c>
      <c r="J35" s="1470" t="e">
        <f t="shared" ca="1" si="26"/>
        <v>#VALUE!</v>
      </c>
      <c r="K35" s="1210"/>
      <c r="L35" s="958"/>
      <c r="M35" s="1663"/>
      <c r="N35" s="1663"/>
      <c r="AC35" s="594"/>
      <c r="AD35" s="594"/>
      <c r="AE35" s="594"/>
      <c r="AF35" s="594"/>
      <c r="AG35" s="594"/>
      <c r="AK35" s="357"/>
      <c r="AL35" s="358"/>
      <c r="AM35" s="358"/>
      <c r="AN35" s="358"/>
      <c r="AO35" s="358"/>
      <c r="AP35" s="358"/>
      <c r="AQ35" s="358"/>
      <c r="AR35" s="358"/>
      <c r="AS35" s="358"/>
      <c r="AT35" s="358"/>
      <c r="AU35" s="358"/>
      <c r="AV35" s="358"/>
      <c r="AW35" s="358"/>
      <c r="AX35" s="358"/>
      <c r="AY35" s="358"/>
      <c r="AZ35" s="358"/>
      <c r="BA35" s="358"/>
      <c r="BB35" s="367"/>
      <c r="BC35" s="358"/>
      <c r="BD35" s="358"/>
      <c r="BE35" s="358"/>
      <c r="BF35" s="358"/>
      <c r="BG35" s="358"/>
      <c r="BH35" s="358"/>
      <c r="BI35" s="358"/>
      <c r="BJ35" s="358"/>
      <c r="BK35" s="358"/>
      <c r="BL35" s="358"/>
      <c r="BM35" s="358"/>
      <c r="BN35" s="358"/>
      <c r="BO35" s="358"/>
      <c r="BP35" s="358"/>
      <c r="BQ35" s="358"/>
      <c r="BR35" s="358"/>
      <c r="BS35" s="358"/>
      <c r="BT35" s="358"/>
      <c r="BU35" s="358"/>
      <c r="BV35" s="358"/>
      <c r="BW35" s="358"/>
      <c r="BX35" s="358"/>
      <c r="BY35" s="358"/>
      <c r="BZ35" s="358"/>
      <c r="CA35" s="358"/>
      <c r="CB35" s="358"/>
      <c r="CC35" s="358"/>
      <c r="CD35" s="358"/>
      <c r="CE35" s="358"/>
      <c r="CF35" s="358"/>
      <c r="CG35" s="358"/>
      <c r="CH35" s="358"/>
      <c r="CI35" s="358"/>
      <c r="CJ35" s="358"/>
      <c r="CK35" s="358"/>
      <c r="CL35" s="358"/>
      <c r="CM35" s="358"/>
      <c r="CN35" s="358"/>
      <c r="CO35" s="358"/>
      <c r="CP35" s="358"/>
      <c r="CQ35" s="358"/>
      <c r="CR35" s="358"/>
      <c r="CS35" s="358"/>
      <c r="CT35" s="358"/>
      <c r="CU35" s="358"/>
      <c r="CV35" s="358"/>
      <c r="CW35" s="358"/>
      <c r="CX35" s="358"/>
      <c r="CY35" s="358"/>
      <c r="CZ35" s="358"/>
      <c r="DA35" s="358"/>
      <c r="DB35" s="358"/>
      <c r="DC35" s="358"/>
      <c r="DD35" s="358"/>
      <c r="DE35" s="358"/>
      <c r="DF35" s="358"/>
      <c r="DG35" s="358"/>
      <c r="DH35" s="358"/>
      <c r="DI35" s="358"/>
      <c r="DJ35" s="358"/>
      <c r="DK35" s="358"/>
      <c r="DL35" s="358"/>
      <c r="DM35" s="358"/>
      <c r="DN35" s="358"/>
      <c r="DO35" s="358"/>
      <c r="DP35" s="358"/>
      <c r="DQ35" s="358"/>
      <c r="DR35" s="358"/>
      <c r="DS35" s="358"/>
      <c r="DT35" s="358"/>
      <c r="DU35" s="358"/>
      <c r="DV35" s="358"/>
      <c r="DW35" s="358"/>
      <c r="DX35" s="358"/>
      <c r="DY35" s="358"/>
      <c r="DZ35" s="358"/>
      <c r="EA35" s="358"/>
      <c r="EB35" s="358"/>
      <c r="EC35" s="358"/>
      <c r="ED35" s="358"/>
      <c r="EE35" s="358"/>
      <c r="EF35" s="358"/>
      <c r="EG35" s="358"/>
      <c r="EH35" s="358"/>
      <c r="EI35" s="358"/>
      <c r="EJ35" s="358"/>
      <c r="EK35" s="358"/>
      <c r="EL35" s="358"/>
      <c r="EM35" s="358"/>
      <c r="EN35" s="358"/>
      <c r="EO35" s="358"/>
      <c r="EP35" s="358"/>
      <c r="EQ35" s="358"/>
      <c r="ER35" s="358"/>
      <c r="ES35" s="358"/>
      <c r="ET35" s="358"/>
      <c r="EU35" s="358"/>
      <c r="EV35" s="358"/>
      <c r="EW35" s="358"/>
      <c r="EX35" s="358"/>
      <c r="EY35" s="358"/>
      <c r="EZ35" s="371"/>
    </row>
    <row r="36" spans="1:156" ht="15" customHeight="1" x14ac:dyDescent="0.25">
      <c r="A36" s="1646" t="s">
        <v>184</v>
      </c>
      <c r="B36" s="1647"/>
      <c r="C36" s="959" t="s">
        <v>183</v>
      </c>
      <c r="D36" s="960">
        <f ca="1">IF(D35="","",IF($AS$7=TRUE,D35/(1+D26),IF($AS$8=TRUE,D35/(1+D25),"")))</f>
        <v>1898.326664201988</v>
      </c>
      <c r="E36" s="960">
        <f t="shared" ref="E36:J36" ca="1" si="27">IF(E35="","",IF($AS$7=TRUE,E35/(1+E26),IF($AS$8=TRUE,E35/(1+E25),"")))</f>
        <v>2018.6054093588696</v>
      </c>
      <c r="F36" s="960">
        <f ca="1">IF(F35="","",IF($AS$7=TRUE,F35/(1+F26),IF($AS$8=TRUE,F35/(1+F25),"")))</f>
        <v>2245.588255080645</v>
      </c>
      <c r="G36" s="960">
        <f t="shared" ca="1" si="27"/>
        <v>2228.1069891827028</v>
      </c>
      <c r="H36" s="960">
        <f t="shared" ca="1" si="27"/>
        <v>1980.6167760887652</v>
      </c>
      <c r="I36" s="1648" t="str">
        <f ca="1">IF(I35="","",IF($AS$7=TRUE,I35/(1+I26),IF($AS$8=TRUE,I35/(1+I25),"")))</f>
        <v/>
      </c>
      <c r="J36" s="1649" t="e">
        <f t="shared" ca="1" si="27"/>
        <v>#VALUE!</v>
      </c>
      <c r="K36" s="961"/>
      <c r="L36" s="962"/>
      <c r="M36" s="1650"/>
      <c r="N36" s="1650"/>
      <c r="AC36" s="594"/>
      <c r="AD36" s="594"/>
      <c r="AE36" s="594"/>
      <c r="AF36" s="594"/>
      <c r="AG36" s="594"/>
      <c r="AK36" s="357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8"/>
      <c r="AX36" s="358"/>
      <c r="AY36" s="358"/>
      <c r="AZ36" s="358"/>
      <c r="BA36" s="358"/>
      <c r="BB36" s="367"/>
      <c r="BC36" s="358"/>
      <c r="BD36" s="358"/>
      <c r="BE36" s="358"/>
      <c r="BF36" s="358"/>
      <c r="BG36" s="358"/>
      <c r="BH36" s="358"/>
      <c r="BI36" s="358"/>
      <c r="BJ36" s="358"/>
      <c r="BK36" s="358"/>
      <c r="BL36" s="358"/>
      <c r="BM36" s="358"/>
      <c r="BN36" s="358"/>
      <c r="BO36" s="358"/>
      <c r="BP36" s="358"/>
      <c r="BQ36" s="358"/>
      <c r="BR36" s="358"/>
      <c r="BS36" s="358"/>
      <c r="BT36" s="358"/>
      <c r="BU36" s="358"/>
      <c r="BV36" s="358"/>
      <c r="BW36" s="358"/>
      <c r="BX36" s="358"/>
      <c r="BY36" s="358"/>
      <c r="BZ36" s="358"/>
      <c r="CA36" s="358"/>
      <c r="CB36" s="358"/>
      <c r="CC36" s="358"/>
      <c r="CD36" s="358"/>
      <c r="CE36" s="358"/>
      <c r="CF36" s="358"/>
      <c r="CG36" s="358"/>
      <c r="CH36" s="358"/>
      <c r="CI36" s="358"/>
      <c r="CJ36" s="358"/>
      <c r="CK36" s="358"/>
      <c r="CL36" s="358"/>
      <c r="CM36" s="358"/>
      <c r="CN36" s="358"/>
      <c r="CO36" s="358"/>
      <c r="CP36" s="358"/>
      <c r="CQ36" s="358"/>
      <c r="CR36" s="358"/>
      <c r="CS36" s="358"/>
      <c r="CT36" s="358"/>
      <c r="CU36" s="358"/>
      <c r="CV36" s="358"/>
      <c r="CW36" s="358"/>
      <c r="CX36" s="358"/>
      <c r="CY36" s="358"/>
      <c r="CZ36" s="358"/>
      <c r="DA36" s="358"/>
      <c r="DB36" s="358"/>
      <c r="DC36" s="358"/>
      <c r="DD36" s="358"/>
      <c r="DE36" s="358"/>
      <c r="DF36" s="358"/>
      <c r="DG36" s="358"/>
      <c r="DH36" s="358"/>
      <c r="DI36" s="358"/>
      <c r="DJ36" s="358"/>
      <c r="DK36" s="358"/>
      <c r="DL36" s="358"/>
      <c r="DM36" s="358"/>
      <c r="DN36" s="358"/>
      <c r="DO36" s="358"/>
      <c r="DP36" s="358"/>
      <c r="DQ36" s="358"/>
      <c r="DR36" s="358"/>
      <c r="DS36" s="358"/>
      <c r="DT36" s="358"/>
      <c r="DU36" s="358"/>
      <c r="DV36" s="358"/>
      <c r="DW36" s="358"/>
      <c r="DX36" s="358"/>
      <c r="DY36" s="358"/>
      <c r="DZ36" s="358"/>
      <c r="EA36" s="358"/>
      <c r="EB36" s="358"/>
      <c r="EC36" s="358"/>
      <c r="ED36" s="358"/>
      <c r="EE36" s="358"/>
      <c r="EF36" s="358"/>
      <c r="EG36" s="358"/>
      <c r="EH36" s="358"/>
      <c r="EI36" s="358"/>
      <c r="EJ36" s="358"/>
      <c r="EK36" s="358"/>
      <c r="EL36" s="358"/>
      <c r="EM36" s="358"/>
      <c r="EN36" s="358"/>
      <c r="EO36" s="358"/>
      <c r="EP36" s="358"/>
      <c r="EQ36" s="358"/>
      <c r="ER36" s="358"/>
      <c r="ES36" s="358"/>
      <c r="ET36" s="358"/>
      <c r="EU36" s="358"/>
      <c r="EV36" s="358"/>
      <c r="EW36" s="358"/>
      <c r="EX36" s="358"/>
      <c r="EY36" s="358"/>
      <c r="EZ36" s="371"/>
    </row>
    <row r="37" spans="1:156" ht="10.5" customHeight="1" x14ac:dyDescent="0.25">
      <c r="A37" s="1651" t="s">
        <v>185</v>
      </c>
      <c r="B37" s="1652"/>
      <c r="C37" s="1652"/>
      <c r="D37" s="1652"/>
      <c r="E37" s="1140" t="s">
        <v>186</v>
      </c>
      <c r="F37" s="1141"/>
      <c r="G37" s="1141"/>
      <c r="H37" s="1141"/>
      <c r="I37" s="1141"/>
      <c r="J37" s="1141"/>
      <c r="K37" s="1141"/>
      <c r="L37" s="1142"/>
      <c r="N37" s="591"/>
      <c r="AC37" s="594"/>
      <c r="AD37" s="594"/>
      <c r="AE37" s="594"/>
      <c r="AF37" s="594"/>
      <c r="AG37" s="594"/>
      <c r="AK37" s="357"/>
      <c r="AL37" s="358"/>
      <c r="AM37" s="358"/>
      <c r="AN37" s="358"/>
      <c r="AO37" s="358"/>
      <c r="AP37" s="358"/>
      <c r="AQ37" s="358"/>
      <c r="AR37" s="358"/>
      <c r="AS37" s="358"/>
      <c r="AT37" s="358"/>
      <c r="AU37" s="358"/>
      <c r="AV37" s="358"/>
      <c r="AW37" s="358"/>
      <c r="AX37" s="358"/>
      <c r="AY37" s="358"/>
      <c r="AZ37" s="358"/>
      <c r="BA37" s="358"/>
      <c r="BB37" s="367"/>
      <c r="BC37" s="358"/>
      <c r="BD37" s="358"/>
      <c r="BE37" s="358"/>
      <c r="BF37" s="358"/>
      <c r="BG37" s="358"/>
      <c r="BH37" s="358"/>
      <c r="BI37" s="358"/>
      <c r="BJ37" s="358"/>
      <c r="BK37" s="358"/>
      <c r="BL37" s="358"/>
      <c r="BM37" s="358"/>
      <c r="BN37" s="358"/>
      <c r="BO37" s="358"/>
      <c r="BP37" s="358"/>
      <c r="BQ37" s="358"/>
      <c r="BR37" s="358"/>
      <c r="BS37" s="358"/>
      <c r="BT37" s="358"/>
      <c r="BU37" s="358"/>
      <c r="BV37" s="358"/>
      <c r="BW37" s="358"/>
      <c r="BX37" s="358"/>
      <c r="BY37" s="358"/>
      <c r="BZ37" s="358"/>
      <c r="CA37" s="358"/>
      <c r="CB37" s="358"/>
      <c r="CC37" s="358"/>
      <c r="CD37" s="358"/>
      <c r="CE37" s="358"/>
      <c r="CF37" s="358"/>
      <c r="CG37" s="358"/>
      <c r="CH37" s="358"/>
      <c r="CI37" s="358"/>
      <c r="CJ37" s="358"/>
      <c r="CK37" s="358"/>
      <c r="CL37" s="358"/>
      <c r="CM37" s="358"/>
      <c r="CN37" s="358"/>
      <c r="CO37" s="358"/>
      <c r="CP37" s="358"/>
      <c r="CQ37" s="358"/>
      <c r="CR37" s="358"/>
      <c r="CS37" s="358"/>
      <c r="CT37" s="358"/>
      <c r="CU37" s="358"/>
      <c r="CV37" s="358"/>
      <c r="CW37" s="358"/>
      <c r="CX37" s="358"/>
      <c r="CY37" s="358"/>
      <c r="CZ37" s="358"/>
      <c r="DA37" s="358"/>
      <c r="DB37" s="358"/>
      <c r="DC37" s="358"/>
      <c r="DD37" s="358"/>
      <c r="DE37" s="358"/>
      <c r="DF37" s="358"/>
      <c r="DG37" s="358"/>
      <c r="DH37" s="358"/>
      <c r="DI37" s="358"/>
      <c r="DJ37" s="358"/>
      <c r="DK37" s="358"/>
      <c r="DL37" s="358"/>
      <c r="DM37" s="358"/>
      <c r="DN37" s="358"/>
      <c r="DO37" s="358"/>
      <c r="DP37" s="358"/>
      <c r="DQ37" s="358"/>
      <c r="DR37" s="358"/>
      <c r="DS37" s="358"/>
      <c r="DT37" s="358"/>
      <c r="DU37" s="358"/>
      <c r="DV37" s="358"/>
      <c r="DW37" s="358"/>
      <c r="DX37" s="358"/>
      <c r="DY37" s="358"/>
      <c r="DZ37" s="358"/>
      <c r="EA37" s="358"/>
      <c r="EB37" s="358"/>
      <c r="EC37" s="358"/>
      <c r="ED37" s="358"/>
      <c r="EE37" s="358"/>
      <c r="EF37" s="358"/>
      <c r="EG37" s="358"/>
      <c r="EH37" s="358"/>
      <c r="EI37" s="358"/>
      <c r="EJ37" s="358"/>
      <c r="EK37" s="358"/>
      <c r="EL37" s="358"/>
      <c r="EM37" s="358"/>
      <c r="EN37" s="358"/>
      <c r="EO37" s="358"/>
      <c r="EP37" s="358"/>
      <c r="EQ37" s="358"/>
      <c r="ER37" s="358"/>
      <c r="ES37" s="358"/>
      <c r="ET37" s="358"/>
      <c r="EU37" s="358"/>
      <c r="EV37" s="358"/>
      <c r="EW37" s="358"/>
      <c r="EX37" s="358"/>
      <c r="EY37" s="358"/>
      <c r="EZ37" s="371"/>
    </row>
    <row r="38" spans="1:156" ht="2.25" hidden="1" customHeight="1" x14ac:dyDescent="0.25">
      <c r="A38" s="1653"/>
      <c r="B38" s="1654"/>
      <c r="C38" s="1654"/>
      <c r="D38" s="1654"/>
      <c r="E38" s="1211"/>
      <c r="F38" s="1143"/>
      <c r="G38" s="1143"/>
      <c r="H38" s="1143"/>
      <c r="I38" s="1143"/>
      <c r="J38" s="1143"/>
      <c r="K38" s="1143"/>
      <c r="L38" s="1144"/>
      <c r="N38" s="591"/>
      <c r="T38" s="594"/>
      <c r="AC38" s="594"/>
      <c r="AD38" s="594"/>
      <c r="AE38" s="594"/>
      <c r="AF38" s="594"/>
      <c r="AG38" s="594"/>
      <c r="AK38" s="357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8"/>
      <c r="AX38" s="358"/>
      <c r="AY38" s="358"/>
      <c r="AZ38" s="358"/>
      <c r="BA38" s="358"/>
      <c r="BB38" s="367"/>
      <c r="BC38" s="358"/>
      <c r="BD38" s="358"/>
      <c r="BE38" s="358"/>
      <c r="BF38" s="358"/>
      <c r="BG38" s="358"/>
      <c r="BH38" s="358"/>
      <c r="BI38" s="358"/>
      <c r="BJ38" s="358"/>
      <c r="BK38" s="358"/>
      <c r="BL38" s="358"/>
      <c r="BM38" s="358"/>
      <c r="BN38" s="358"/>
      <c r="BO38" s="358"/>
      <c r="BP38" s="358"/>
      <c r="BQ38" s="358"/>
      <c r="BR38" s="358"/>
      <c r="BS38" s="358"/>
      <c r="BT38" s="358"/>
      <c r="BU38" s="358"/>
      <c r="BV38" s="358"/>
      <c r="BW38" s="358"/>
      <c r="BX38" s="358"/>
      <c r="BY38" s="358"/>
      <c r="BZ38" s="358"/>
      <c r="CA38" s="358"/>
      <c r="CB38" s="358"/>
      <c r="CC38" s="358"/>
      <c r="CD38" s="358"/>
      <c r="CE38" s="358"/>
      <c r="CF38" s="358"/>
      <c r="CG38" s="358"/>
      <c r="CH38" s="358"/>
      <c r="CI38" s="358"/>
      <c r="CJ38" s="358"/>
      <c r="CK38" s="358"/>
      <c r="CL38" s="358"/>
      <c r="CM38" s="358"/>
      <c r="CN38" s="358"/>
      <c r="CO38" s="358"/>
      <c r="CP38" s="358"/>
      <c r="CQ38" s="358"/>
      <c r="CR38" s="358"/>
      <c r="CS38" s="358"/>
      <c r="CT38" s="358"/>
      <c r="CU38" s="358"/>
      <c r="CV38" s="358"/>
      <c r="CW38" s="358"/>
      <c r="CX38" s="358"/>
      <c r="CY38" s="358"/>
      <c r="CZ38" s="358"/>
      <c r="DA38" s="358"/>
      <c r="DB38" s="358"/>
      <c r="DC38" s="358"/>
      <c r="DD38" s="358"/>
      <c r="DE38" s="358"/>
      <c r="DF38" s="358"/>
      <c r="DG38" s="358"/>
      <c r="DH38" s="358"/>
      <c r="DI38" s="358"/>
      <c r="DJ38" s="358"/>
      <c r="DK38" s="358"/>
      <c r="DL38" s="358"/>
      <c r="DM38" s="358"/>
      <c r="DN38" s="358"/>
      <c r="DO38" s="358"/>
      <c r="DP38" s="358"/>
      <c r="DQ38" s="358"/>
      <c r="DR38" s="358"/>
      <c r="DS38" s="358"/>
      <c r="DT38" s="358"/>
      <c r="DU38" s="358"/>
      <c r="DV38" s="358"/>
      <c r="DW38" s="358"/>
      <c r="DX38" s="358"/>
      <c r="DY38" s="358"/>
      <c r="DZ38" s="358"/>
      <c r="EA38" s="358"/>
      <c r="EB38" s="358"/>
      <c r="EC38" s="358"/>
      <c r="ED38" s="358"/>
      <c r="EE38" s="358"/>
      <c r="EF38" s="358"/>
      <c r="EG38" s="358"/>
      <c r="EH38" s="358"/>
      <c r="EI38" s="358"/>
      <c r="EJ38" s="358"/>
      <c r="EK38" s="358"/>
      <c r="EL38" s="358"/>
      <c r="EM38" s="358"/>
      <c r="EN38" s="358"/>
      <c r="EO38" s="358"/>
      <c r="EP38" s="358"/>
      <c r="EQ38" s="358"/>
      <c r="ER38" s="358"/>
      <c r="ES38" s="358"/>
      <c r="ET38" s="358"/>
      <c r="EU38" s="358"/>
      <c r="EV38" s="358"/>
      <c r="EW38" s="358"/>
      <c r="EX38" s="358"/>
      <c r="EY38" s="358"/>
      <c r="EZ38" s="371"/>
    </row>
    <row r="39" spans="1:156" ht="12" customHeight="1" x14ac:dyDescent="0.25">
      <c r="A39" s="963" t="s">
        <v>187</v>
      </c>
      <c r="B39" s="964" t="s">
        <v>188</v>
      </c>
      <c r="C39" s="964" t="s">
        <v>86</v>
      </c>
      <c r="D39" s="965" t="s">
        <v>189</v>
      </c>
      <c r="E39" s="1211"/>
      <c r="F39" s="1143"/>
      <c r="G39" s="1143"/>
      <c r="H39" s="1143"/>
      <c r="I39" s="1143"/>
      <c r="J39" s="1143"/>
      <c r="K39" s="1143"/>
      <c r="L39" s="1144"/>
      <c r="T39" s="594"/>
      <c r="AC39" s="594"/>
      <c r="AD39" s="594"/>
      <c r="AE39" s="594"/>
      <c r="AF39" s="594"/>
      <c r="AG39" s="594"/>
      <c r="AK39" s="357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58"/>
      <c r="BB39" s="367"/>
      <c r="BC39" s="358"/>
      <c r="BD39" s="358"/>
      <c r="BE39" s="358"/>
      <c r="BF39" s="358"/>
      <c r="BG39" s="358"/>
      <c r="BH39" s="358"/>
      <c r="BI39" s="358"/>
      <c r="BJ39" s="358"/>
      <c r="BK39" s="358"/>
      <c r="BL39" s="358"/>
      <c r="BM39" s="358"/>
      <c r="BN39" s="358"/>
      <c r="BO39" s="358"/>
      <c r="BP39" s="358"/>
      <c r="BQ39" s="358"/>
      <c r="BR39" s="358"/>
      <c r="BS39" s="358"/>
      <c r="BT39" s="358"/>
      <c r="BU39" s="358"/>
      <c r="BV39" s="358"/>
      <c r="BW39" s="358"/>
      <c r="BX39" s="358"/>
      <c r="BY39" s="358"/>
      <c r="BZ39" s="358"/>
      <c r="CA39" s="358"/>
      <c r="CB39" s="358"/>
      <c r="CC39" s="358"/>
      <c r="CD39" s="358"/>
      <c r="CE39" s="358"/>
      <c r="CF39" s="358"/>
      <c r="CG39" s="358"/>
      <c r="CH39" s="358"/>
      <c r="CI39" s="358"/>
      <c r="CJ39" s="358"/>
      <c r="CK39" s="358"/>
      <c r="CL39" s="358"/>
      <c r="CM39" s="358"/>
      <c r="CN39" s="358"/>
      <c r="CO39" s="358"/>
      <c r="CP39" s="358"/>
      <c r="CQ39" s="358"/>
      <c r="CR39" s="358"/>
      <c r="CS39" s="358"/>
      <c r="CT39" s="358"/>
      <c r="CU39" s="358"/>
      <c r="CV39" s="358"/>
      <c r="CW39" s="358"/>
      <c r="CX39" s="358"/>
      <c r="CY39" s="358"/>
      <c r="CZ39" s="358"/>
      <c r="DA39" s="358"/>
      <c r="DB39" s="358"/>
      <c r="DC39" s="358"/>
      <c r="DD39" s="358"/>
      <c r="DE39" s="358"/>
      <c r="DF39" s="358"/>
      <c r="DG39" s="358"/>
      <c r="DH39" s="358"/>
      <c r="DI39" s="358"/>
      <c r="DJ39" s="358"/>
      <c r="DK39" s="358"/>
      <c r="DL39" s="358"/>
      <c r="DM39" s="358"/>
      <c r="DN39" s="358"/>
      <c r="DO39" s="358"/>
      <c r="DP39" s="358"/>
      <c r="DQ39" s="358"/>
      <c r="DR39" s="358"/>
      <c r="DS39" s="358"/>
      <c r="DT39" s="358"/>
      <c r="DU39" s="358"/>
      <c r="DV39" s="358"/>
      <c r="DW39" s="358"/>
      <c r="DX39" s="358"/>
      <c r="DY39" s="358"/>
      <c r="DZ39" s="358"/>
      <c r="EA39" s="358"/>
      <c r="EB39" s="358"/>
      <c r="EC39" s="358"/>
      <c r="ED39" s="358"/>
      <c r="EE39" s="358"/>
      <c r="EF39" s="358"/>
      <c r="EG39" s="358"/>
      <c r="EH39" s="358"/>
      <c r="EI39" s="358"/>
      <c r="EJ39" s="358"/>
      <c r="EK39" s="358"/>
      <c r="EL39" s="358"/>
      <c r="EM39" s="358"/>
      <c r="EN39" s="358"/>
      <c r="EO39" s="358"/>
      <c r="EP39" s="358"/>
      <c r="EQ39" s="358"/>
      <c r="ER39" s="358"/>
      <c r="ES39" s="358"/>
      <c r="ET39" s="358"/>
      <c r="EU39" s="358"/>
      <c r="EV39" s="358"/>
      <c r="EW39" s="358"/>
      <c r="EX39" s="358"/>
      <c r="EY39" s="358"/>
      <c r="EZ39" s="371"/>
    </row>
    <row r="40" spans="1:156" ht="12" customHeight="1" x14ac:dyDescent="0.25">
      <c r="A40" s="966">
        <f ca="1">IF(ISERROR(BA13),"",BA13)</f>
        <v>5.7765822483399835E-2</v>
      </c>
      <c r="B40" s="967">
        <f ca="1">IF(ISERROR(BA14),"",BA14)</f>
        <v>2219.2468551635602</v>
      </c>
      <c r="C40" s="968" t="str">
        <f ca="1">IF(ISERROR(BB94),"",BB94)</f>
        <v/>
      </c>
      <c r="D40" s="969" t="str">
        <f ca="1">IF(ISERROR(BB103),"",BB103)</f>
        <v/>
      </c>
      <c r="E40" s="1145"/>
      <c r="F40" s="1146"/>
      <c r="G40" s="1146"/>
      <c r="H40" s="1146"/>
      <c r="I40" s="1146"/>
      <c r="J40" s="1146"/>
      <c r="K40" s="1146"/>
      <c r="L40" s="1147"/>
      <c r="T40" s="594"/>
      <c r="AC40" s="595">
        <f t="shared" ref="AC40:AG41" ca="1" si="28">D32</f>
        <v>5530</v>
      </c>
      <c r="AD40" s="595">
        <f t="shared" ca="1" si="28"/>
        <v>5294</v>
      </c>
      <c r="AE40" s="595">
        <f t="shared" ca="1" si="28"/>
        <v>5222</v>
      </c>
      <c r="AF40" s="595">
        <f t="shared" ca="1" si="28"/>
        <v>5130</v>
      </c>
      <c r="AG40" s="595">
        <f t="shared" ca="1" si="28"/>
        <v>5530</v>
      </c>
      <c r="AK40" s="357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A40" s="358"/>
      <c r="BB40" s="367"/>
      <c r="BC40" s="358"/>
      <c r="BD40" s="358"/>
      <c r="BE40" s="358"/>
      <c r="BF40" s="358"/>
      <c r="BG40" s="358"/>
      <c r="BH40" s="358"/>
      <c r="BI40" s="358"/>
      <c r="BJ40" s="358"/>
      <c r="BK40" s="358"/>
      <c r="BL40" s="358"/>
      <c r="BM40" s="358"/>
      <c r="BN40" s="358"/>
      <c r="BO40" s="358"/>
      <c r="BP40" s="358"/>
      <c r="BQ40" s="358"/>
      <c r="BR40" s="358"/>
      <c r="BS40" s="358"/>
      <c r="BT40" s="358"/>
      <c r="BU40" s="358"/>
      <c r="BV40" s="358"/>
      <c r="BW40" s="358"/>
      <c r="BX40" s="358"/>
      <c r="BY40" s="358"/>
      <c r="BZ40" s="358"/>
      <c r="CA40" s="358"/>
      <c r="CB40" s="358"/>
      <c r="CC40" s="358"/>
      <c r="CD40" s="358"/>
      <c r="CE40" s="358"/>
      <c r="CF40" s="358"/>
      <c r="CG40" s="358"/>
      <c r="CH40" s="358"/>
      <c r="CI40" s="358"/>
      <c r="CJ40" s="358"/>
      <c r="CK40" s="358"/>
      <c r="CL40" s="358"/>
      <c r="CM40" s="358"/>
      <c r="CN40" s="358"/>
      <c r="CO40" s="358"/>
      <c r="CP40" s="358"/>
      <c r="CQ40" s="358"/>
      <c r="CR40" s="358"/>
      <c r="CS40" s="358"/>
      <c r="CT40" s="358"/>
      <c r="CU40" s="358"/>
      <c r="CV40" s="358"/>
      <c r="CW40" s="358"/>
      <c r="CX40" s="358"/>
      <c r="CY40" s="358"/>
      <c r="CZ40" s="358"/>
      <c r="DA40" s="358"/>
      <c r="DB40" s="358"/>
      <c r="DC40" s="358"/>
      <c r="DD40" s="358"/>
      <c r="DE40" s="358"/>
      <c r="DF40" s="358"/>
      <c r="DG40" s="358"/>
      <c r="DH40" s="358"/>
      <c r="DI40" s="358"/>
      <c r="DJ40" s="358"/>
      <c r="DK40" s="358"/>
      <c r="DL40" s="358"/>
      <c r="DM40" s="358"/>
      <c r="DN40" s="358"/>
      <c r="DO40" s="358"/>
      <c r="DP40" s="358"/>
      <c r="DQ40" s="358"/>
      <c r="DR40" s="358"/>
      <c r="DS40" s="358"/>
      <c r="DT40" s="358"/>
      <c r="DU40" s="358"/>
      <c r="DV40" s="358"/>
      <c r="DW40" s="358"/>
      <c r="DX40" s="358"/>
      <c r="DY40" s="358"/>
      <c r="DZ40" s="358"/>
      <c r="EA40" s="358"/>
      <c r="EB40" s="358"/>
      <c r="EC40" s="358"/>
      <c r="ED40" s="358"/>
      <c r="EE40" s="358"/>
      <c r="EF40" s="358"/>
      <c r="EG40" s="358"/>
      <c r="EH40" s="358"/>
      <c r="EI40" s="358"/>
      <c r="EJ40" s="358"/>
      <c r="EK40" s="358"/>
      <c r="EL40" s="358"/>
      <c r="EM40" s="358"/>
      <c r="EN40" s="358"/>
      <c r="EO40" s="358"/>
      <c r="EP40" s="358"/>
      <c r="EQ40" s="358"/>
      <c r="ER40" s="358"/>
      <c r="ES40" s="358"/>
      <c r="ET40" s="358"/>
      <c r="EU40" s="358"/>
      <c r="EV40" s="358"/>
      <c r="EW40" s="358"/>
      <c r="EX40" s="358"/>
      <c r="EY40" s="358"/>
      <c r="EZ40" s="371"/>
    </row>
    <row r="41" spans="1:156" ht="12" customHeight="1" x14ac:dyDescent="0.25">
      <c r="A41" s="970"/>
      <c r="B41" s="971"/>
      <c r="C41" s="971"/>
      <c r="D41" s="971"/>
      <c r="E41" s="971"/>
      <c r="F41" s="971"/>
      <c r="G41" s="971"/>
      <c r="H41" s="971"/>
      <c r="I41" s="971"/>
      <c r="J41" s="971"/>
      <c r="K41" s="971"/>
      <c r="L41" s="972"/>
      <c r="O41" s="594"/>
      <c r="P41" s="594"/>
      <c r="Q41" s="594"/>
      <c r="R41" s="594"/>
      <c r="S41" s="594"/>
      <c r="T41" s="594"/>
      <c r="AC41" s="595">
        <f t="shared" ca="1" si="28"/>
        <v>2082</v>
      </c>
      <c r="AD41" s="595">
        <f t="shared" ca="1" si="28"/>
        <v>2083</v>
      </c>
      <c r="AE41" s="595">
        <f t="shared" ca="1" si="28"/>
        <v>2037</v>
      </c>
      <c r="AF41" s="595">
        <f t="shared" ca="1" si="28"/>
        <v>2068</v>
      </c>
      <c r="AG41" s="595">
        <f t="shared" ca="1" si="28"/>
        <v>2082</v>
      </c>
      <c r="AK41" s="357"/>
      <c r="AL41" s="358"/>
      <c r="AM41" s="358"/>
      <c r="AN41" s="358"/>
      <c r="AO41" s="358"/>
      <c r="AP41" s="358"/>
      <c r="AQ41" s="358"/>
      <c r="AR41" s="358"/>
      <c r="AS41" s="358"/>
      <c r="AT41" s="358"/>
      <c r="AU41" s="358"/>
      <c r="AV41" s="358"/>
      <c r="AW41" s="358"/>
      <c r="AX41" s="358"/>
      <c r="AY41" s="358"/>
      <c r="AZ41" s="358"/>
      <c r="BA41" s="358"/>
      <c r="BB41" s="367"/>
      <c r="BC41" s="358"/>
      <c r="BD41" s="358"/>
      <c r="BE41" s="358"/>
      <c r="BF41" s="358"/>
      <c r="BG41" s="358"/>
      <c r="BH41" s="358"/>
      <c r="BI41" s="358"/>
      <c r="BJ41" s="358"/>
      <c r="BK41" s="358"/>
      <c r="BL41" s="358"/>
      <c r="BM41" s="358"/>
      <c r="BN41" s="358"/>
      <c r="BO41" s="358"/>
      <c r="BP41" s="358"/>
      <c r="BQ41" s="358"/>
      <c r="BR41" s="358"/>
      <c r="BS41" s="358"/>
      <c r="BT41" s="358"/>
      <c r="BU41" s="358"/>
      <c r="BV41" s="358"/>
      <c r="BW41" s="358"/>
      <c r="BX41" s="358"/>
      <c r="BY41" s="358"/>
      <c r="BZ41" s="358"/>
      <c r="CA41" s="358"/>
      <c r="CB41" s="358"/>
      <c r="CC41" s="358"/>
      <c r="CD41" s="358"/>
      <c r="CE41" s="358"/>
      <c r="CF41" s="358"/>
      <c r="CG41" s="358"/>
      <c r="CH41" s="358"/>
      <c r="CI41" s="358"/>
      <c r="CJ41" s="358"/>
      <c r="CK41" s="358"/>
      <c r="CL41" s="358"/>
      <c r="CM41" s="358"/>
      <c r="CN41" s="358"/>
      <c r="CO41" s="358"/>
      <c r="CP41" s="358"/>
      <c r="CQ41" s="358"/>
      <c r="CR41" s="358"/>
      <c r="CS41" s="358"/>
      <c r="CT41" s="358"/>
      <c r="CU41" s="358"/>
      <c r="CV41" s="358"/>
      <c r="CW41" s="358"/>
      <c r="CX41" s="358"/>
      <c r="CY41" s="358"/>
      <c r="CZ41" s="358"/>
      <c r="DA41" s="358"/>
      <c r="DB41" s="358"/>
      <c r="DC41" s="358"/>
      <c r="DD41" s="358"/>
      <c r="DE41" s="358"/>
      <c r="DF41" s="358"/>
      <c r="DG41" s="358"/>
      <c r="DH41" s="358"/>
      <c r="DI41" s="358"/>
      <c r="DJ41" s="358"/>
      <c r="DK41" s="358"/>
      <c r="DL41" s="358"/>
      <c r="DM41" s="358"/>
      <c r="DN41" s="358"/>
      <c r="DO41" s="358"/>
      <c r="DP41" s="358"/>
      <c r="DQ41" s="358"/>
      <c r="DR41" s="358"/>
      <c r="DS41" s="358"/>
      <c r="DT41" s="358"/>
      <c r="DU41" s="358"/>
      <c r="DV41" s="358"/>
      <c r="DW41" s="358"/>
      <c r="DX41" s="358"/>
      <c r="DY41" s="358"/>
      <c r="DZ41" s="358"/>
      <c r="EA41" s="358"/>
      <c r="EB41" s="358"/>
      <c r="EC41" s="358"/>
      <c r="ED41" s="358"/>
      <c r="EE41" s="358"/>
      <c r="EF41" s="358"/>
      <c r="EG41" s="358"/>
      <c r="EH41" s="358"/>
      <c r="EI41" s="358"/>
      <c r="EJ41" s="358"/>
      <c r="EK41" s="358"/>
      <c r="EL41" s="358"/>
      <c r="EM41" s="358"/>
      <c r="EN41" s="358"/>
      <c r="EO41" s="358"/>
      <c r="EP41" s="358"/>
      <c r="EQ41" s="358"/>
      <c r="ER41" s="358"/>
      <c r="ES41" s="358"/>
      <c r="ET41" s="358"/>
      <c r="EU41" s="358"/>
      <c r="EV41" s="358"/>
      <c r="EW41" s="358"/>
      <c r="EX41" s="358"/>
      <c r="EY41" s="358"/>
      <c r="EZ41" s="371"/>
    </row>
    <row r="42" spans="1:156" ht="12" customHeight="1" x14ac:dyDescent="0.25">
      <c r="A42" s="1212"/>
      <c r="B42" s="973"/>
      <c r="C42" s="973"/>
      <c r="D42" s="973"/>
      <c r="E42" s="973"/>
      <c r="F42" s="973"/>
      <c r="G42" s="973"/>
      <c r="H42" s="973"/>
      <c r="I42" s="973"/>
      <c r="J42" s="973"/>
      <c r="K42" s="973"/>
      <c r="L42" s="974"/>
      <c r="AC42" s="594"/>
      <c r="AD42" s="594"/>
      <c r="AE42" s="594"/>
      <c r="AF42" s="594"/>
      <c r="AG42" s="594"/>
      <c r="AK42" s="357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8"/>
      <c r="AX42" s="358"/>
      <c r="AY42" s="358"/>
      <c r="AZ42" s="358"/>
      <c r="BA42" s="358"/>
      <c r="BB42" s="367"/>
      <c r="BC42" s="358"/>
      <c r="BD42" s="358"/>
      <c r="BE42" s="358"/>
      <c r="BF42" s="358"/>
      <c r="BG42" s="358"/>
      <c r="BH42" s="358"/>
      <c r="BI42" s="358"/>
      <c r="BJ42" s="358"/>
      <c r="BK42" s="358"/>
      <c r="BL42" s="358"/>
      <c r="BM42" s="358"/>
      <c r="BN42" s="358"/>
      <c r="BO42" s="358"/>
      <c r="BP42" s="358"/>
      <c r="BQ42" s="358"/>
      <c r="BR42" s="358"/>
      <c r="BS42" s="358"/>
      <c r="BT42" s="358"/>
      <c r="BU42" s="358"/>
      <c r="BV42" s="358"/>
      <c r="BW42" s="358"/>
      <c r="BX42" s="358"/>
      <c r="BY42" s="358"/>
      <c r="BZ42" s="358"/>
      <c r="CA42" s="358"/>
      <c r="CB42" s="358"/>
      <c r="CC42" s="358"/>
      <c r="CD42" s="358"/>
      <c r="CE42" s="358"/>
      <c r="CF42" s="358"/>
      <c r="CG42" s="358"/>
      <c r="CH42" s="358"/>
      <c r="CI42" s="358"/>
      <c r="CJ42" s="358"/>
      <c r="CK42" s="358"/>
      <c r="CL42" s="358"/>
      <c r="CM42" s="358"/>
      <c r="CN42" s="358"/>
      <c r="CO42" s="358"/>
      <c r="CP42" s="358"/>
      <c r="CQ42" s="358"/>
      <c r="CR42" s="358"/>
      <c r="CS42" s="358"/>
      <c r="CT42" s="358"/>
      <c r="CU42" s="358"/>
      <c r="CV42" s="358"/>
      <c r="CW42" s="358"/>
      <c r="CX42" s="358"/>
      <c r="CY42" s="358"/>
      <c r="CZ42" s="358"/>
      <c r="DA42" s="358"/>
      <c r="DB42" s="358"/>
      <c r="DC42" s="358"/>
      <c r="DD42" s="358"/>
      <c r="DE42" s="358"/>
      <c r="DF42" s="358"/>
      <c r="DG42" s="358"/>
      <c r="DH42" s="358"/>
      <c r="DI42" s="358"/>
      <c r="DJ42" s="358"/>
      <c r="DK42" s="358"/>
      <c r="DL42" s="358"/>
      <c r="DM42" s="358"/>
      <c r="DN42" s="358"/>
      <c r="DO42" s="358"/>
      <c r="DP42" s="358"/>
      <c r="DQ42" s="358"/>
      <c r="DR42" s="358"/>
      <c r="DS42" s="358"/>
      <c r="DT42" s="358"/>
      <c r="DU42" s="358"/>
      <c r="DV42" s="358"/>
      <c r="DW42" s="358"/>
      <c r="DX42" s="358"/>
      <c r="DY42" s="358"/>
      <c r="DZ42" s="358"/>
      <c r="EA42" s="358"/>
      <c r="EB42" s="358"/>
      <c r="EC42" s="358"/>
      <c r="ED42" s="358"/>
      <c r="EE42" s="358"/>
      <c r="EF42" s="358"/>
      <c r="EG42" s="358"/>
      <c r="EH42" s="358"/>
      <c r="EI42" s="358"/>
      <c r="EJ42" s="358"/>
      <c r="EK42" s="358"/>
      <c r="EL42" s="358"/>
      <c r="EM42" s="358"/>
      <c r="EN42" s="358"/>
      <c r="EO42" s="358"/>
      <c r="EP42" s="358"/>
      <c r="EQ42" s="358"/>
      <c r="ER42" s="358"/>
      <c r="ES42" s="358"/>
      <c r="ET42" s="358"/>
      <c r="EU42" s="358"/>
      <c r="EV42" s="358"/>
      <c r="EW42" s="358"/>
      <c r="EX42" s="358"/>
      <c r="EY42" s="358"/>
      <c r="EZ42" s="371"/>
    </row>
    <row r="43" spans="1:156" ht="12" customHeight="1" x14ac:dyDescent="0.25">
      <c r="A43" s="1212"/>
      <c r="B43" s="973"/>
      <c r="C43" s="973"/>
      <c r="D43" s="973"/>
      <c r="E43" s="973"/>
      <c r="F43" s="973"/>
      <c r="G43" s="973"/>
      <c r="H43" s="973"/>
      <c r="I43" s="973"/>
      <c r="J43" s="973"/>
      <c r="K43" s="973"/>
      <c r="L43" s="974"/>
      <c r="AC43" s="596">
        <f ca="1">AC44+AC40</f>
        <v>9689.2586941927293</v>
      </c>
      <c r="AD43" s="596">
        <f ca="1">AD44+AD40</f>
        <v>9734.8344460679691</v>
      </c>
      <c r="AE43" s="596">
        <f ca="1">AE44+AE40</f>
        <v>9710.1869938521086</v>
      </c>
      <c r="AF43" s="596">
        <f ca="1">AF44+AF40</f>
        <v>9702.4844349763844</v>
      </c>
      <c r="AG43" s="596">
        <f ca="1">AG44+AG40</f>
        <v>10019.299701156073</v>
      </c>
      <c r="AK43" s="357"/>
      <c r="AL43" s="358"/>
      <c r="AM43" s="358"/>
      <c r="AN43" s="358"/>
      <c r="AO43" s="358"/>
      <c r="AP43" s="358"/>
      <c r="AQ43" s="358"/>
      <c r="AR43" s="358"/>
      <c r="AS43" s="358"/>
      <c r="AT43" s="358"/>
      <c r="AU43" s="358"/>
      <c r="AV43" s="358"/>
      <c r="AW43" s="358"/>
      <c r="AX43" s="358"/>
      <c r="AY43" s="358"/>
      <c r="AZ43" s="358"/>
      <c r="BA43" s="358"/>
      <c r="BB43" s="367"/>
      <c r="BC43" s="358"/>
      <c r="BD43" s="358"/>
      <c r="BE43" s="358"/>
      <c r="BF43" s="358"/>
      <c r="BG43" s="358"/>
      <c r="BH43" s="358"/>
      <c r="BI43" s="358"/>
      <c r="BJ43" s="358"/>
      <c r="BK43" s="358"/>
      <c r="BL43" s="358"/>
      <c r="BM43" s="358"/>
      <c r="BN43" s="358"/>
      <c r="BO43" s="358"/>
      <c r="BP43" s="358"/>
      <c r="BQ43" s="358"/>
      <c r="BR43" s="358"/>
      <c r="BS43" s="358"/>
      <c r="BT43" s="358"/>
      <c r="BU43" s="358"/>
      <c r="BV43" s="358"/>
      <c r="BW43" s="358"/>
      <c r="BX43" s="358"/>
      <c r="BY43" s="358"/>
      <c r="BZ43" s="358"/>
      <c r="CA43" s="358"/>
      <c r="CB43" s="358"/>
      <c r="CC43" s="358"/>
      <c r="CD43" s="358"/>
      <c r="CE43" s="358"/>
      <c r="CF43" s="358"/>
      <c r="CG43" s="358"/>
      <c r="CH43" s="358"/>
      <c r="CI43" s="358"/>
      <c r="CJ43" s="358"/>
      <c r="CK43" s="358"/>
      <c r="CL43" s="358"/>
      <c r="CM43" s="358"/>
      <c r="CN43" s="358"/>
      <c r="CO43" s="358"/>
      <c r="CP43" s="358"/>
      <c r="CQ43" s="358"/>
      <c r="CR43" s="358"/>
      <c r="CS43" s="358"/>
      <c r="CT43" s="358"/>
      <c r="CU43" s="358"/>
      <c r="CV43" s="358"/>
      <c r="CW43" s="358"/>
      <c r="CX43" s="358"/>
      <c r="CY43" s="358"/>
      <c r="CZ43" s="358"/>
      <c r="DA43" s="358"/>
      <c r="DB43" s="358"/>
      <c r="DC43" s="358"/>
      <c r="DD43" s="358"/>
      <c r="DE43" s="358"/>
      <c r="DF43" s="358"/>
      <c r="DG43" s="358"/>
      <c r="DH43" s="358"/>
      <c r="DI43" s="358"/>
      <c r="DJ43" s="358"/>
      <c r="DK43" s="358"/>
      <c r="DL43" s="358"/>
      <c r="DM43" s="358"/>
      <c r="DN43" s="358"/>
      <c r="DO43" s="358"/>
      <c r="DP43" s="358"/>
      <c r="DQ43" s="358"/>
      <c r="DR43" s="358"/>
      <c r="DS43" s="358"/>
      <c r="DT43" s="358"/>
      <c r="DU43" s="358"/>
      <c r="DV43" s="358"/>
      <c r="DW43" s="358"/>
      <c r="DX43" s="358"/>
      <c r="DY43" s="358"/>
      <c r="DZ43" s="358"/>
      <c r="EA43" s="358"/>
      <c r="EB43" s="358"/>
      <c r="EC43" s="358"/>
      <c r="ED43" s="358"/>
      <c r="EE43" s="358"/>
      <c r="EF43" s="358"/>
      <c r="EG43" s="358"/>
      <c r="EH43" s="358"/>
      <c r="EI43" s="358"/>
      <c r="EJ43" s="358"/>
      <c r="EK43" s="358"/>
      <c r="EL43" s="358"/>
      <c r="EM43" s="358"/>
      <c r="EN43" s="358"/>
      <c r="EO43" s="358"/>
      <c r="EP43" s="358"/>
      <c r="EQ43" s="358"/>
      <c r="ER43" s="358"/>
      <c r="ES43" s="358"/>
      <c r="ET43" s="358"/>
      <c r="EU43" s="358"/>
      <c r="EV43" s="358"/>
      <c r="EW43" s="358"/>
      <c r="EX43" s="358"/>
      <c r="EY43" s="358"/>
      <c r="EZ43" s="371"/>
    </row>
    <row r="44" spans="1:156" ht="12" customHeight="1" x14ac:dyDescent="0.25">
      <c r="A44" s="1212"/>
      <c r="B44" s="973"/>
      <c r="C44" s="973"/>
      <c r="D44" s="973"/>
      <c r="E44" s="973"/>
      <c r="F44" s="973"/>
      <c r="G44" s="973"/>
      <c r="H44" s="973"/>
      <c r="I44" s="973"/>
      <c r="J44" s="973"/>
      <c r="K44" s="973"/>
      <c r="L44" s="974"/>
      <c r="AC44" s="596">
        <f ca="1">AC45*AC41/1000</f>
        <v>4159.2586941927293</v>
      </c>
      <c r="AD44" s="596">
        <f ca="1">AD45*AD41/1000</f>
        <v>4440.8344460679682</v>
      </c>
      <c r="AE44" s="596">
        <f ca="1">AE45*AE41/1000</f>
        <v>4488.1869938521077</v>
      </c>
      <c r="AF44" s="596">
        <f ca="1">AF45*AF41/1000</f>
        <v>4572.4844349763844</v>
      </c>
      <c r="AG44" s="596">
        <f ca="1">AG45*AG41/1000</f>
        <v>4489.2997011560728</v>
      </c>
      <c r="AK44" s="357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A44" s="358"/>
      <c r="BB44" s="367"/>
      <c r="BC44" s="358"/>
      <c r="BD44" s="358"/>
      <c r="BE44" s="358"/>
      <c r="BF44" s="358"/>
      <c r="BG44" s="358"/>
      <c r="BH44" s="358"/>
      <c r="BI44" s="358"/>
      <c r="BJ44" s="358"/>
      <c r="BK44" s="358"/>
      <c r="BL44" s="358"/>
      <c r="BM44" s="358"/>
      <c r="BN44" s="358"/>
      <c r="BO44" s="358"/>
      <c r="BP44" s="358"/>
      <c r="BQ44" s="358"/>
      <c r="BR44" s="358"/>
      <c r="BS44" s="358"/>
      <c r="BT44" s="358"/>
      <c r="BU44" s="358"/>
      <c r="BV44" s="358"/>
      <c r="BW44" s="358"/>
      <c r="BX44" s="358"/>
      <c r="BY44" s="358"/>
      <c r="BZ44" s="358"/>
      <c r="CA44" s="358"/>
      <c r="CB44" s="358"/>
      <c r="CC44" s="358"/>
      <c r="CD44" s="358"/>
      <c r="CE44" s="358"/>
      <c r="CF44" s="358"/>
      <c r="CG44" s="358"/>
      <c r="CH44" s="358"/>
      <c r="CI44" s="358"/>
      <c r="CJ44" s="358"/>
      <c r="CK44" s="358"/>
      <c r="CL44" s="358"/>
      <c r="CM44" s="358"/>
      <c r="CN44" s="358"/>
      <c r="CO44" s="358"/>
      <c r="CP44" s="358"/>
      <c r="CQ44" s="358"/>
      <c r="CR44" s="358"/>
      <c r="CS44" s="358"/>
      <c r="CT44" s="358"/>
      <c r="CU44" s="358"/>
      <c r="CV44" s="358"/>
      <c r="CW44" s="358"/>
      <c r="CX44" s="358"/>
      <c r="CY44" s="358"/>
      <c r="CZ44" s="358"/>
      <c r="DA44" s="358"/>
      <c r="DB44" s="358"/>
      <c r="DC44" s="358"/>
      <c r="DD44" s="358"/>
      <c r="DE44" s="358"/>
      <c r="DF44" s="358"/>
      <c r="DG44" s="358"/>
      <c r="DH44" s="358"/>
      <c r="DI44" s="358"/>
      <c r="DJ44" s="358"/>
      <c r="DK44" s="358"/>
      <c r="DL44" s="358"/>
      <c r="DM44" s="358"/>
      <c r="DN44" s="358"/>
      <c r="DO44" s="358"/>
      <c r="DP44" s="358"/>
      <c r="DQ44" s="358"/>
      <c r="DR44" s="358"/>
      <c r="DS44" s="358"/>
      <c r="DT44" s="358"/>
      <c r="DU44" s="358"/>
      <c r="DV44" s="358"/>
      <c r="DW44" s="358"/>
      <c r="DX44" s="358"/>
      <c r="DY44" s="358"/>
      <c r="DZ44" s="358"/>
      <c r="EA44" s="358"/>
      <c r="EB44" s="358"/>
      <c r="EC44" s="358"/>
      <c r="ED44" s="358"/>
      <c r="EE44" s="358"/>
      <c r="EF44" s="358"/>
      <c r="EG44" s="358"/>
      <c r="EH44" s="358"/>
      <c r="EI44" s="358"/>
      <c r="EJ44" s="358"/>
      <c r="EK44" s="358"/>
      <c r="EL44" s="358"/>
      <c r="EM44" s="358"/>
      <c r="EN44" s="358"/>
      <c r="EO44" s="358"/>
      <c r="EP44" s="358"/>
      <c r="EQ44" s="358"/>
      <c r="ER44" s="358"/>
      <c r="ES44" s="358"/>
      <c r="ET44" s="358"/>
      <c r="EU44" s="358"/>
      <c r="EV44" s="358"/>
      <c r="EW44" s="358"/>
      <c r="EX44" s="358"/>
      <c r="EY44" s="358"/>
      <c r="EZ44" s="371"/>
    </row>
    <row r="45" spans="1:156" ht="12" customHeight="1" x14ac:dyDescent="0.25">
      <c r="A45" s="1212"/>
      <c r="B45" s="973"/>
      <c r="C45" s="973"/>
      <c r="D45" s="973"/>
      <c r="E45" s="973"/>
      <c r="F45" s="973"/>
      <c r="G45" s="973"/>
      <c r="H45" s="973"/>
      <c r="I45" s="973"/>
      <c r="J45" s="973"/>
      <c r="K45" s="973"/>
      <c r="L45" s="974"/>
      <c r="AC45" s="596">
        <f ca="1">AC46*(AC34+100%)</f>
        <v>1997.7227157505902</v>
      </c>
      <c r="AD45" s="596">
        <f ca="1">AD46*(AD34+100%)</f>
        <v>2131.941644775789</v>
      </c>
      <c r="AE45" s="596">
        <f ca="1">AE46*(AE34+100%)</f>
        <v>2203.331857561172</v>
      </c>
      <c r="AF45" s="596">
        <f ca="1">AF46*(AF34+100%)</f>
        <v>2211.0659743599535</v>
      </c>
      <c r="AG45" s="596">
        <f ca="1">AG46*(AG34+100%)</f>
        <v>2156.2438526205924</v>
      </c>
      <c r="AK45" s="357"/>
      <c r="AL45" s="358"/>
      <c r="AM45" s="358"/>
      <c r="AN45" s="358"/>
      <c r="AO45" s="358"/>
      <c r="AP45" s="358"/>
      <c r="AQ45" s="358"/>
      <c r="AR45" s="358"/>
      <c r="AS45" s="358"/>
      <c r="AT45" s="358"/>
      <c r="AU45" s="358"/>
      <c r="AV45" s="358"/>
      <c r="AW45" s="358"/>
      <c r="AX45" s="358"/>
      <c r="AY45" s="358"/>
      <c r="AZ45" s="358"/>
      <c r="BA45" s="358"/>
      <c r="BB45" s="367"/>
      <c r="BC45" s="358"/>
      <c r="BD45" s="358"/>
      <c r="BE45" s="358"/>
      <c r="BF45" s="358"/>
      <c r="BG45" s="358"/>
      <c r="BH45" s="358"/>
      <c r="BI45" s="358"/>
      <c r="BJ45" s="358"/>
      <c r="BK45" s="358"/>
      <c r="BL45" s="358"/>
      <c r="BM45" s="358"/>
      <c r="BN45" s="358"/>
      <c r="BO45" s="358"/>
      <c r="BP45" s="358"/>
      <c r="BQ45" s="358"/>
      <c r="BR45" s="358"/>
      <c r="BS45" s="358"/>
      <c r="BT45" s="358"/>
      <c r="BU45" s="358"/>
      <c r="BV45" s="358"/>
      <c r="BW45" s="358"/>
      <c r="BX45" s="358"/>
      <c r="BY45" s="358"/>
      <c r="BZ45" s="358"/>
      <c r="CA45" s="358"/>
      <c r="CB45" s="358"/>
      <c r="CC45" s="358"/>
      <c r="CD45" s="358"/>
      <c r="CE45" s="358"/>
      <c r="CF45" s="358"/>
      <c r="CG45" s="358"/>
      <c r="CH45" s="358"/>
      <c r="CI45" s="358"/>
      <c r="CJ45" s="358"/>
      <c r="CK45" s="358"/>
      <c r="CL45" s="358"/>
      <c r="CM45" s="358"/>
      <c r="CN45" s="358"/>
      <c r="CO45" s="358"/>
      <c r="CP45" s="358"/>
      <c r="CQ45" s="358"/>
      <c r="CR45" s="358"/>
      <c r="CS45" s="358"/>
      <c r="CT45" s="358"/>
      <c r="CU45" s="358"/>
      <c r="CV45" s="358"/>
      <c r="CW45" s="358"/>
      <c r="CX45" s="358"/>
      <c r="CY45" s="358"/>
      <c r="CZ45" s="358"/>
      <c r="DA45" s="358"/>
      <c r="DB45" s="358"/>
      <c r="DC45" s="358"/>
      <c r="DD45" s="358"/>
      <c r="DE45" s="358"/>
      <c r="DF45" s="358"/>
      <c r="DG45" s="358"/>
      <c r="DH45" s="358"/>
      <c r="DI45" s="358"/>
      <c r="DJ45" s="358"/>
      <c r="DK45" s="358"/>
      <c r="DL45" s="358"/>
      <c r="DM45" s="358"/>
      <c r="DN45" s="358"/>
      <c r="DO45" s="358"/>
      <c r="DP45" s="358"/>
      <c r="DQ45" s="358"/>
      <c r="DR45" s="358"/>
      <c r="DS45" s="358"/>
      <c r="DT45" s="358"/>
      <c r="DU45" s="358"/>
      <c r="DV45" s="358"/>
      <c r="DW45" s="358"/>
      <c r="DX45" s="358"/>
      <c r="DY45" s="358"/>
      <c r="DZ45" s="358"/>
      <c r="EA45" s="358"/>
      <c r="EB45" s="358"/>
      <c r="EC45" s="358"/>
      <c r="ED45" s="358"/>
      <c r="EE45" s="358"/>
      <c r="EF45" s="358"/>
      <c r="EG45" s="358"/>
      <c r="EH45" s="358"/>
      <c r="EI45" s="358"/>
      <c r="EJ45" s="358"/>
      <c r="EK45" s="358"/>
      <c r="EL45" s="358"/>
      <c r="EM45" s="358"/>
      <c r="EN45" s="358"/>
      <c r="EO45" s="358"/>
      <c r="EP45" s="358"/>
      <c r="EQ45" s="358"/>
      <c r="ER45" s="358"/>
      <c r="ES45" s="358"/>
      <c r="ET45" s="358"/>
      <c r="EU45" s="358"/>
      <c r="EV45" s="358"/>
      <c r="EW45" s="358"/>
      <c r="EX45" s="358"/>
      <c r="EY45" s="358"/>
      <c r="EZ45" s="371"/>
    </row>
    <row r="46" spans="1:156" ht="12" customHeight="1" x14ac:dyDescent="0.25">
      <c r="A46" s="1212"/>
      <c r="B46" s="973"/>
      <c r="C46" s="973"/>
      <c r="D46" s="973"/>
      <c r="E46" s="973"/>
      <c r="F46" s="973"/>
      <c r="G46" s="973"/>
      <c r="H46" s="973"/>
      <c r="I46" s="973"/>
      <c r="J46" s="973"/>
      <c r="K46" s="973"/>
      <c r="L46" s="974"/>
      <c r="AC46" s="596">
        <f ca="1">AC47*$AE$46%</f>
        <v>1951.9485</v>
      </c>
      <c r="AD46" s="596">
        <f ca="1">AD47*$AE$46%</f>
        <v>2052.7347</v>
      </c>
      <c r="AE46" s="594">
        <v>2091</v>
      </c>
      <c r="AF46" s="596">
        <f ca="1">AF47*$AE$46%</f>
        <v>2068.6263000000004</v>
      </c>
      <c r="AG46" s="596">
        <f ca="1">AG47*$AE$46%</f>
        <v>1989.1682999999998</v>
      </c>
      <c r="AK46" s="357"/>
      <c r="AL46" s="358"/>
      <c r="AM46" s="358"/>
      <c r="AN46" s="358"/>
      <c r="AO46" s="358"/>
      <c r="AP46" s="358"/>
      <c r="AQ46" s="358"/>
      <c r="AR46" s="358"/>
      <c r="AS46" s="358"/>
      <c r="AT46" s="358"/>
      <c r="AU46" s="358"/>
      <c r="AV46" s="358"/>
      <c r="AW46" s="358"/>
      <c r="AX46" s="358"/>
      <c r="AY46" s="358"/>
      <c r="AZ46" s="358"/>
      <c r="BA46" s="358"/>
      <c r="BB46" s="367"/>
      <c r="BC46" s="358"/>
      <c r="BD46" s="358"/>
      <c r="BE46" s="358"/>
      <c r="BF46" s="358"/>
      <c r="BG46" s="358"/>
      <c r="BH46" s="358"/>
      <c r="BI46" s="358"/>
      <c r="BJ46" s="358"/>
      <c r="BK46" s="358"/>
      <c r="BL46" s="358"/>
      <c r="BM46" s="358"/>
      <c r="BN46" s="358"/>
      <c r="BO46" s="358"/>
      <c r="BP46" s="358"/>
      <c r="BQ46" s="358"/>
      <c r="BR46" s="358"/>
      <c r="BS46" s="358"/>
      <c r="BT46" s="358"/>
      <c r="BU46" s="358"/>
      <c r="BV46" s="358"/>
      <c r="BW46" s="358"/>
      <c r="BX46" s="358"/>
      <c r="BY46" s="358"/>
      <c r="BZ46" s="358"/>
      <c r="CA46" s="358"/>
      <c r="CB46" s="358"/>
      <c r="CC46" s="358"/>
      <c r="CD46" s="358"/>
      <c r="CE46" s="358"/>
      <c r="CF46" s="358"/>
      <c r="CG46" s="358"/>
      <c r="CH46" s="358"/>
      <c r="CI46" s="358"/>
      <c r="CJ46" s="358"/>
      <c r="CK46" s="358"/>
      <c r="CL46" s="358"/>
      <c r="CM46" s="358"/>
      <c r="CN46" s="358"/>
      <c r="CO46" s="358"/>
      <c r="CP46" s="358"/>
      <c r="CQ46" s="358"/>
      <c r="CR46" s="358"/>
      <c r="CS46" s="358"/>
      <c r="CT46" s="358"/>
      <c r="CU46" s="358"/>
      <c r="CV46" s="358"/>
      <c r="CW46" s="358"/>
      <c r="CX46" s="358"/>
      <c r="CY46" s="358"/>
      <c r="CZ46" s="358"/>
      <c r="DA46" s="358"/>
      <c r="DB46" s="358"/>
      <c r="DC46" s="358"/>
      <c r="DD46" s="358"/>
      <c r="DE46" s="358"/>
      <c r="DF46" s="358"/>
      <c r="DG46" s="358"/>
      <c r="DH46" s="358"/>
      <c r="DI46" s="358"/>
      <c r="DJ46" s="358"/>
      <c r="DK46" s="358"/>
      <c r="DL46" s="358"/>
      <c r="DM46" s="358"/>
      <c r="DN46" s="358"/>
      <c r="DO46" s="358"/>
      <c r="DP46" s="358"/>
      <c r="DQ46" s="358"/>
      <c r="DR46" s="358"/>
      <c r="DS46" s="358"/>
      <c r="DT46" s="358"/>
      <c r="DU46" s="358"/>
      <c r="DV46" s="358"/>
      <c r="DW46" s="358"/>
      <c r="DX46" s="358"/>
      <c r="DY46" s="358"/>
      <c r="DZ46" s="358"/>
      <c r="EA46" s="358"/>
      <c r="EB46" s="358"/>
      <c r="EC46" s="358"/>
      <c r="ED46" s="358"/>
      <c r="EE46" s="358"/>
      <c r="EF46" s="358"/>
      <c r="EG46" s="358"/>
      <c r="EH46" s="358"/>
      <c r="EI46" s="358"/>
      <c r="EJ46" s="358"/>
      <c r="EK46" s="358"/>
      <c r="EL46" s="358"/>
      <c r="EM46" s="358"/>
      <c r="EN46" s="358"/>
      <c r="EO46" s="358"/>
      <c r="EP46" s="358"/>
      <c r="EQ46" s="358"/>
      <c r="ER46" s="358"/>
      <c r="ES46" s="358"/>
      <c r="ET46" s="358"/>
      <c r="EU46" s="358"/>
      <c r="EV46" s="358"/>
      <c r="EW46" s="358"/>
      <c r="EX46" s="358"/>
      <c r="EY46" s="358"/>
      <c r="EZ46" s="371"/>
    </row>
    <row r="47" spans="1:156" ht="12" customHeight="1" x14ac:dyDescent="0.25">
      <c r="A47" s="1212"/>
      <c r="B47" s="973"/>
      <c r="C47" s="973"/>
      <c r="D47" s="973"/>
      <c r="E47" s="973"/>
      <c r="F47" s="973"/>
      <c r="G47" s="973"/>
      <c r="H47" s="973"/>
      <c r="I47" s="973"/>
      <c r="J47" s="973"/>
      <c r="K47" s="973"/>
      <c r="L47" s="974"/>
      <c r="AC47" s="594">
        <f ca="1">RANDBETWEEN(92.8*100,93.9*100)/100</f>
        <v>93.35</v>
      </c>
      <c r="AD47" s="594">
        <f ca="1">RANDBETWEEN(97.7*100,98.5*100)/100</f>
        <v>98.17</v>
      </c>
      <c r="AE47" s="594"/>
      <c r="AF47" s="594">
        <f ca="1">RANDBETWEEN(98.8*100,99.3*100)/100</f>
        <v>98.93</v>
      </c>
      <c r="AG47" s="594">
        <f ca="1">RANDBETWEEN(94.8*100,95.3*100)/100</f>
        <v>95.13</v>
      </c>
      <c r="AK47" s="357"/>
      <c r="AL47" s="358"/>
      <c r="AM47" s="358"/>
      <c r="AN47" s="358"/>
      <c r="AO47" s="358"/>
      <c r="AP47" s="358"/>
      <c r="AQ47" s="358"/>
      <c r="AR47" s="358"/>
      <c r="AS47" s="358"/>
      <c r="AT47" s="358"/>
      <c r="AU47" s="358"/>
      <c r="AV47" s="358"/>
      <c r="AW47" s="358"/>
      <c r="AX47" s="358"/>
      <c r="AY47" s="358"/>
      <c r="AZ47" s="358"/>
      <c r="BA47" s="358"/>
      <c r="BB47" s="367"/>
      <c r="BC47" s="358"/>
      <c r="BD47" s="358"/>
      <c r="BE47" s="358"/>
      <c r="BF47" s="358"/>
      <c r="BG47" s="358"/>
      <c r="BH47" s="358"/>
      <c r="BI47" s="358"/>
      <c r="BJ47" s="358"/>
      <c r="BK47" s="358"/>
      <c r="BL47" s="358"/>
      <c r="BM47" s="358"/>
      <c r="BN47" s="358"/>
      <c r="BO47" s="358"/>
      <c r="BP47" s="358"/>
      <c r="BQ47" s="358"/>
      <c r="BR47" s="358"/>
      <c r="BS47" s="358"/>
      <c r="BT47" s="358"/>
      <c r="BU47" s="358"/>
      <c r="BV47" s="358"/>
      <c r="BW47" s="358"/>
      <c r="BX47" s="358"/>
      <c r="BY47" s="358"/>
      <c r="BZ47" s="358"/>
      <c r="CA47" s="358"/>
      <c r="CB47" s="358"/>
      <c r="CC47" s="358"/>
      <c r="CD47" s="358"/>
      <c r="CE47" s="358"/>
      <c r="CF47" s="358"/>
      <c r="CG47" s="358"/>
      <c r="CH47" s="358"/>
      <c r="CI47" s="358"/>
      <c r="CJ47" s="358"/>
      <c r="CK47" s="358"/>
      <c r="CL47" s="358"/>
      <c r="CM47" s="358"/>
      <c r="CN47" s="358"/>
      <c r="CO47" s="358"/>
      <c r="CP47" s="358"/>
      <c r="CQ47" s="358"/>
      <c r="CR47" s="358"/>
      <c r="CS47" s="358"/>
      <c r="CT47" s="358"/>
      <c r="CU47" s="358"/>
      <c r="CV47" s="358"/>
      <c r="CW47" s="358"/>
      <c r="CX47" s="358"/>
      <c r="CY47" s="358"/>
      <c r="CZ47" s="358"/>
      <c r="DA47" s="358"/>
      <c r="DB47" s="358"/>
      <c r="DC47" s="358"/>
      <c r="DD47" s="358"/>
      <c r="DE47" s="358"/>
      <c r="DF47" s="358"/>
      <c r="DG47" s="358"/>
      <c r="DH47" s="358"/>
      <c r="DI47" s="358"/>
      <c r="DJ47" s="358"/>
      <c r="DK47" s="358"/>
      <c r="DL47" s="358"/>
      <c r="DM47" s="358"/>
      <c r="DN47" s="358"/>
      <c r="DO47" s="358"/>
      <c r="DP47" s="358"/>
      <c r="DQ47" s="358"/>
      <c r="DR47" s="358"/>
      <c r="DS47" s="358"/>
      <c r="DT47" s="358"/>
      <c r="DU47" s="358"/>
      <c r="DV47" s="358"/>
      <c r="DW47" s="358"/>
      <c r="DX47" s="358"/>
      <c r="DY47" s="358"/>
      <c r="DZ47" s="358"/>
      <c r="EA47" s="358"/>
      <c r="EB47" s="358"/>
      <c r="EC47" s="358"/>
      <c r="ED47" s="358"/>
      <c r="EE47" s="358"/>
      <c r="EF47" s="358"/>
      <c r="EG47" s="358"/>
      <c r="EH47" s="358"/>
      <c r="EI47" s="358"/>
      <c r="EJ47" s="358"/>
      <c r="EK47" s="358"/>
      <c r="EL47" s="358"/>
      <c r="EM47" s="358"/>
      <c r="EN47" s="358"/>
      <c r="EO47" s="358"/>
      <c r="EP47" s="358"/>
      <c r="EQ47" s="358"/>
      <c r="ER47" s="358"/>
      <c r="ES47" s="358"/>
      <c r="ET47" s="358"/>
      <c r="EU47" s="358"/>
      <c r="EV47" s="358"/>
      <c r="EW47" s="358"/>
      <c r="EX47" s="358"/>
      <c r="EY47" s="358"/>
      <c r="EZ47" s="371"/>
    </row>
    <row r="48" spans="1:156" ht="12" customHeight="1" x14ac:dyDescent="0.25">
      <c r="A48" s="1212"/>
      <c r="B48" s="973"/>
      <c r="C48" s="973"/>
      <c r="D48" s="973"/>
      <c r="E48" s="973"/>
      <c r="F48" s="973"/>
      <c r="G48" s="973"/>
      <c r="H48" s="973"/>
      <c r="I48" s="973"/>
      <c r="J48" s="973"/>
      <c r="K48" s="973"/>
      <c r="L48" s="974"/>
      <c r="AC48" s="594"/>
      <c r="AD48" s="594"/>
      <c r="AE48" s="594"/>
      <c r="AF48" s="594"/>
      <c r="AG48" s="594"/>
      <c r="AK48" s="357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8"/>
      <c r="AX48" s="358"/>
      <c r="AY48" s="358"/>
      <c r="AZ48" s="358"/>
      <c r="BA48" s="358"/>
      <c r="BB48" s="367"/>
      <c r="BC48" s="358"/>
      <c r="BD48" s="358"/>
      <c r="BE48" s="358"/>
      <c r="BF48" s="358"/>
      <c r="BG48" s="358"/>
      <c r="BH48" s="358"/>
      <c r="BI48" s="358"/>
      <c r="BJ48" s="358"/>
      <c r="BK48" s="358"/>
      <c r="BL48" s="358"/>
      <c r="BM48" s="358"/>
      <c r="BN48" s="358"/>
      <c r="BO48" s="358"/>
      <c r="BP48" s="358"/>
      <c r="BQ48" s="358"/>
      <c r="BR48" s="358"/>
      <c r="BS48" s="358"/>
      <c r="BT48" s="358"/>
      <c r="BU48" s="358"/>
      <c r="BV48" s="358"/>
      <c r="BW48" s="358"/>
      <c r="BX48" s="358"/>
      <c r="BY48" s="358"/>
      <c r="BZ48" s="358"/>
      <c r="CA48" s="358"/>
      <c r="CB48" s="358"/>
      <c r="CC48" s="358"/>
      <c r="CD48" s="358"/>
      <c r="CE48" s="358"/>
      <c r="CF48" s="358"/>
      <c r="CG48" s="358"/>
      <c r="CH48" s="358"/>
      <c r="CI48" s="358"/>
      <c r="CJ48" s="358"/>
      <c r="CK48" s="358"/>
      <c r="CL48" s="358"/>
      <c r="CM48" s="358"/>
      <c r="CN48" s="358"/>
      <c r="CO48" s="358"/>
      <c r="CP48" s="358"/>
      <c r="CQ48" s="358"/>
      <c r="CR48" s="358"/>
      <c r="CS48" s="358"/>
      <c r="CT48" s="358"/>
      <c r="CU48" s="358"/>
      <c r="CV48" s="358"/>
      <c r="CW48" s="358"/>
      <c r="CX48" s="358"/>
      <c r="CY48" s="358"/>
      <c r="CZ48" s="358"/>
      <c r="DA48" s="358"/>
      <c r="DB48" s="358"/>
      <c r="DC48" s="358"/>
      <c r="DD48" s="358"/>
      <c r="DE48" s="358"/>
      <c r="DF48" s="358"/>
      <c r="DG48" s="358"/>
      <c r="DH48" s="358"/>
      <c r="DI48" s="358"/>
      <c r="DJ48" s="358"/>
      <c r="DK48" s="358"/>
      <c r="DL48" s="358"/>
      <c r="DM48" s="358"/>
      <c r="DN48" s="358"/>
      <c r="DO48" s="358"/>
      <c r="DP48" s="358"/>
      <c r="DQ48" s="358"/>
      <c r="DR48" s="358"/>
      <c r="DS48" s="358"/>
      <c r="DT48" s="358"/>
      <c r="DU48" s="358"/>
      <c r="DV48" s="358"/>
      <c r="DW48" s="358"/>
      <c r="DX48" s="358"/>
      <c r="DY48" s="358"/>
      <c r="DZ48" s="358"/>
      <c r="EA48" s="358"/>
      <c r="EB48" s="358"/>
      <c r="EC48" s="358"/>
      <c r="ED48" s="358"/>
      <c r="EE48" s="358"/>
      <c r="EF48" s="358"/>
      <c r="EG48" s="358"/>
      <c r="EH48" s="358"/>
      <c r="EI48" s="358"/>
      <c r="EJ48" s="358"/>
      <c r="EK48" s="358"/>
      <c r="EL48" s="358"/>
      <c r="EM48" s="358"/>
      <c r="EN48" s="358"/>
      <c r="EO48" s="358"/>
      <c r="EP48" s="358"/>
      <c r="EQ48" s="358"/>
      <c r="ER48" s="358"/>
      <c r="ES48" s="358"/>
      <c r="ET48" s="358"/>
      <c r="EU48" s="358"/>
      <c r="EV48" s="358"/>
      <c r="EW48" s="358"/>
      <c r="EX48" s="358"/>
      <c r="EY48" s="358"/>
      <c r="EZ48" s="371"/>
    </row>
    <row r="49" spans="1:156" ht="12" customHeight="1" x14ac:dyDescent="0.25">
      <c r="A49" s="1212"/>
      <c r="B49" s="973"/>
      <c r="C49" s="973"/>
      <c r="D49" s="973"/>
      <c r="E49" s="973"/>
      <c r="F49" s="973"/>
      <c r="G49" s="973"/>
      <c r="H49" s="973"/>
      <c r="I49" s="973"/>
      <c r="J49" s="973"/>
      <c r="K49" s="973"/>
      <c r="L49" s="974"/>
      <c r="AK49" s="357"/>
      <c r="AL49" s="358"/>
      <c r="AM49" s="358"/>
      <c r="AN49" s="358"/>
      <c r="AO49" s="358"/>
      <c r="AP49" s="358"/>
      <c r="AQ49" s="358"/>
      <c r="AR49" s="358"/>
      <c r="AS49" s="358"/>
      <c r="AT49" s="358"/>
      <c r="AU49" s="358"/>
      <c r="AV49" s="358"/>
      <c r="AW49" s="358"/>
      <c r="AX49" s="358"/>
      <c r="AY49" s="358"/>
      <c r="AZ49" s="358"/>
      <c r="BA49" s="358"/>
      <c r="BB49" s="367"/>
      <c r="BC49" s="358"/>
      <c r="BD49" s="358"/>
      <c r="BE49" s="358"/>
      <c r="BF49" s="358"/>
      <c r="BG49" s="358"/>
      <c r="BH49" s="358"/>
      <c r="BI49" s="358"/>
      <c r="BJ49" s="358"/>
      <c r="BK49" s="358"/>
      <c r="BL49" s="358"/>
      <c r="BM49" s="358"/>
      <c r="BN49" s="358"/>
      <c r="BO49" s="358"/>
      <c r="BP49" s="358"/>
      <c r="BQ49" s="358"/>
      <c r="BR49" s="358"/>
      <c r="BS49" s="358"/>
      <c r="BT49" s="358"/>
      <c r="BU49" s="358"/>
      <c r="BV49" s="358"/>
      <c r="BW49" s="358"/>
      <c r="BX49" s="358"/>
      <c r="BY49" s="358"/>
      <c r="BZ49" s="358"/>
      <c r="CA49" s="358"/>
      <c r="CB49" s="358"/>
      <c r="CC49" s="358"/>
      <c r="CD49" s="358"/>
      <c r="CE49" s="358"/>
      <c r="CF49" s="358"/>
      <c r="CG49" s="358"/>
      <c r="CH49" s="358"/>
      <c r="CI49" s="358"/>
      <c r="CJ49" s="358"/>
      <c r="CK49" s="358"/>
      <c r="CL49" s="358"/>
      <c r="CM49" s="358"/>
      <c r="CN49" s="358"/>
      <c r="CO49" s="358"/>
      <c r="CP49" s="358"/>
      <c r="CQ49" s="358"/>
      <c r="CR49" s="358"/>
      <c r="CS49" s="358"/>
      <c r="CT49" s="358"/>
      <c r="CU49" s="358"/>
      <c r="CV49" s="358"/>
      <c r="CW49" s="358"/>
      <c r="CX49" s="358"/>
      <c r="CY49" s="358"/>
      <c r="CZ49" s="358"/>
      <c r="DA49" s="358"/>
      <c r="DB49" s="358"/>
      <c r="DC49" s="358"/>
      <c r="DD49" s="358"/>
      <c r="DE49" s="358"/>
      <c r="DF49" s="358"/>
      <c r="DG49" s="358"/>
      <c r="DH49" s="358"/>
      <c r="DI49" s="358"/>
      <c r="DJ49" s="358"/>
      <c r="DK49" s="358"/>
      <c r="DL49" s="358"/>
      <c r="DM49" s="358"/>
      <c r="DN49" s="358"/>
      <c r="DO49" s="358"/>
      <c r="DP49" s="358"/>
      <c r="DQ49" s="358"/>
      <c r="DR49" s="358"/>
      <c r="DS49" s="358"/>
      <c r="DT49" s="358"/>
      <c r="DU49" s="358"/>
      <c r="DV49" s="358"/>
      <c r="DW49" s="358"/>
      <c r="DX49" s="358"/>
      <c r="DY49" s="358"/>
      <c r="DZ49" s="358"/>
      <c r="EA49" s="358"/>
      <c r="EB49" s="358"/>
      <c r="EC49" s="358"/>
      <c r="ED49" s="358"/>
      <c r="EE49" s="358"/>
      <c r="EF49" s="358"/>
      <c r="EG49" s="358"/>
      <c r="EH49" s="358"/>
      <c r="EI49" s="358"/>
      <c r="EJ49" s="358"/>
      <c r="EK49" s="358"/>
      <c r="EL49" s="358"/>
      <c r="EM49" s="358"/>
      <c r="EN49" s="358"/>
      <c r="EO49" s="358"/>
      <c r="EP49" s="358"/>
      <c r="EQ49" s="358"/>
      <c r="ER49" s="358"/>
      <c r="ES49" s="358"/>
      <c r="ET49" s="358"/>
      <c r="EU49" s="358"/>
      <c r="EV49" s="358"/>
      <c r="EW49" s="358"/>
      <c r="EX49" s="358"/>
      <c r="EY49" s="358"/>
      <c r="EZ49" s="371"/>
    </row>
    <row r="50" spans="1:156" ht="12" customHeight="1" x14ac:dyDescent="0.25">
      <c r="A50" s="1212"/>
      <c r="B50" s="973"/>
      <c r="C50" s="973"/>
      <c r="D50" s="973"/>
      <c r="E50" s="973"/>
      <c r="F50" s="973"/>
      <c r="G50" s="973"/>
      <c r="H50" s="973"/>
      <c r="I50" s="973"/>
      <c r="J50" s="973"/>
      <c r="K50" s="973"/>
      <c r="L50" s="974"/>
      <c r="M50" s="16" t="s">
        <v>165</v>
      </c>
      <c r="AK50" s="357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8"/>
      <c r="AX50" s="358"/>
      <c r="AY50" s="358"/>
      <c r="AZ50" s="358"/>
      <c r="BA50" s="358"/>
      <c r="BB50" s="367"/>
      <c r="BC50" s="358"/>
      <c r="BD50" s="358"/>
      <c r="BE50" s="358"/>
      <c r="BF50" s="358"/>
      <c r="BG50" s="358"/>
      <c r="BH50" s="358"/>
      <c r="BI50" s="358"/>
      <c r="BJ50" s="358"/>
      <c r="BK50" s="358"/>
      <c r="BL50" s="358"/>
      <c r="BM50" s="358"/>
      <c r="BN50" s="358"/>
      <c r="BO50" s="358"/>
      <c r="BP50" s="358"/>
      <c r="BQ50" s="358"/>
      <c r="BR50" s="358"/>
      <c r="BS50" s="358"/>
      <c r="BT50" s="358"/>
      <c r="BU50" s="358"/>
      <c r="BV50" s="358"/>
      <c r="BW50" s="358"/>
      <c r="BX50" s="358"/>
      <c r="BY50" s="358"/>
      <c r="BZ50" s="358"/>
      <c r="CA50" s="358"/>
      <c r="CB50" s="358"/>
      <c r="CC50" s="358"/>
      <c r="CD50" s="358"/>
      <c r="CE50" s="358"/>
      <c r="CF50" s="358"/>
      <c r="CG50" s="358"/>
      <c r="CH50" s="358"/>
      <c r="CI50" s="358"/>
      <c r="CJ50" s="358"/>
      <c r="CK50" s="358"/>
      <c r="CL50" s="358"/>
      <c r="CM50" s="358"/>
      <c r="CN50" s="358"/>
      <c r="CO50" s="358"/>
      <c r="CP50" s="358"/>
      <c r="CQ50" s="358"/>
      <c r="CR50" s="358"/>
      <c r="CS50" s="358"/>
      <c r="CT50" s="358"/>
      <c r="CU50" s="358"/>
      <c r="CV50" s="358"/>
      <c r="CW50" s="358"/>
      <c r="CX50" s="358"/>
      <c r="CY50" s="358"/>
      <c r="CZ50" s="358"/>
      <c r="DA50" s="358"/>
      <c r="DB50" s="358"/>
      <c r="DC50" s="358"/>
      <c r="DD50" s="358"/>
      <c r="DE50" s="358"/>
      <c r="DF50" s="358"/>
      <c r="DG50" s="358"/>
      <c r="DH50" s="358"/>
      <c r="DI50" s="358"/>
      <c r="DJ50" s="358"/>
      <c r="DK50" s="358"/>
      <c r="DL50" s="358"/>
      <c r="DM50" s="358"/>
      <c r="DN50" s="358"/>
      <c r="DO50" s="358"/>
      <c r="DP50" s="358"/>
      <c r="DQ50" s="358"/>
      <c r="DR50" s="358"/>
      <c r="DS50" s="358"/>
      <c r="DT50" s="358"/>
      <c r="DU50" s="358"/>
      <c r="DV50" s="358"/>
      <c r="DW50" s="358"/>
      <c r="DX50" s="358"/>
      <c r="DY50" s="358"/>
      <c r="DZ50" s="358"/>
      <c r="EA50" s="358"/>
      <c r="EB50" s="358"/>
      <c r="EC50" s="358"/>
      <c r="ED50" s="358"/>
      <c r="EE50" s="358"/>
      <c r="EF50" s="358"/>
      <c r="EG50" s="358"/>
      <c r="EH50" s="358"/>
      <c r="EI50" s="358"/>
      <c r="EJ50" s="358"/>
      <c r="EK50" s="358"/>
      <c r="EL50" s="358"/>
      <c r="EM50" s="358"/>
      <c r="EN50" s="358"/>
      <c r="EO50" s="358"/>
      <c r="EP50" s="358"/>
      <c r="EQ50" s="358"/>
      <c r="ER50" s="358"/>
      <c r="ES50" s="358"/>
      <c r="ET50" s="358"/>
      <c r="EU50" s="358"/>
      <c r="EV50" s="358"/>
      <c r="EW50" s="358"/>
      <c r="EX50" s="358"/>
      <c r="EY50" s="358"/>
      <c r="EZ50" s="371"/>
    </row>
    <row r="51" spans="1:156" ht="12" customHeight="1" x14ac:dyDescent="0.25">
      <c r="A51" s="1212"/>
      <c r="B51" s="973"/>
      <c r="C51" s="973"/>
      <c r="D51" s="973"/>
      <c r="E51" s="973"/>
      <c r="F51" s="973"/>
      <c r="G51" s="973"/>
      <c r="H51" s="973"/>
      <c r="I51" s="973"/>
      <c r="J51" s="973"/>
      <c r="K51" s="973"/>
      <c r="L51" s="974"/>
      <c r="AK51" s="357"/>
      <c r="AL51" s="358"/>
      <c r="AM51" s="358"/>
      <c r="AN51" s="358"/>
      <c r="AO51" s="358"/>
      <c r="AP51" s="358"/>
      <c r="AQ51" s="358"/>
      <c r="AR51" s="358"/>
      <c r="AS51" s="358"/>
      <c r="AT51" s="358"/>
      <c r="AU51" s="358"/>
      <c r="AV51" s="358"/>
      <c r="AW51" s="358"/>
      <c r="AX51" s="358"/>
      <c r="AY51" s="358"/>
      <c r="AZ51" s="358"/>
      <c r="BA51" s="358"/>
      <c r="BB51" s="367"/>
      <c r="BC51" s="358"/>
      <c r="BD51" s="358"/>
      <c r="BE51" s="358"/>
      <c r="BF51" s="358"/>
      <c r="BG51" s="358"/>
      <c r="BH51" s="358"/>
      <c r="BI51" s="358"/>
      <c r="BJ51" s="358"/>
      <c r="BK51" s="358"/>
      <c r="BL51" s="358"/>
      <c r="BM51" s="358"/>
      <c r="BN51" s="358"/>
      <c r="BO51" s="358"/>
      <c r="BP51" s="358"/>
      <c r="BQ51" s="358"/>
      <c r="BR51" s="358"/>
      <c r="BS51" s="358"/>
      <c r="BT51" s="358"/>
      <c r="BU51" s="358"/>
      <c r="BV51" s="358"/>
      <c r="BW51" s="358"/>
      <c r="BX51" s="358"/>
      <c r="BY51" s="358"/>
      <c r="BZ51" s="358"/>
      <c r="CA51" s="358"/>
      <c r="CB51" s="358"/>
      <c r="CC51" s="358"/>
      <c r="CD51" s="358"/>
      <c r="CE51" s="358"/>
      <c r="CF51" s="358"/>
      <c r="CG51" s="358"/>
      <c r="CH51" s="358"/>
      <c r="CI51" s="358"/>
      <c r="CJ51" s="358"/>
      <c r="CK51" s="358"/>
      <c r="CL51" s="358"/>
      <c r="CM51" s="358"/>
      <c r="CN51" s="358"/>
      <c r="CO51" s="358"/>
      <c r="CP51" s="358"/>
      <c r="CQ51" s="358"/>
      <c r="CR51" s="358"/>
      <c r="CS51" s="358"/>
      <c r="CT51" s="358"/>
      <c r="CU51" s="358"/>
      <c r="CV51" s="358"/>
      <c r="CW51" s="358"/>
      <c r="CX51" s="358"/>
      <c r="CY51" s="358"/>
      <c r="CZ51" s="358"/>
      <c r="DA51" s="358"/>
      <c r="DB51" s="358"/>
      <c r="DC51" s="358"/>
      <c r="DD51" s="358"/>
      <c r="DE51" s="358"/>
      <c r="DF51" s="358"/>
      <c r="DG51" s="358"/>
      <c r="DH51" s="358"/>
      <c r="DI51" s="358"/>
      <c r="DJ51" s="358"/>
      <c r="DK51" s="358"/>
      <c r="DL51" s="358"/>
      <c r="DM51" s="358"/>
      <c r="DN51" s="358"/>
      <c r="DO51" s="358"/>
      <c r="DP51" s="358"/>
      <c r="DQ51" s="358"/>
      <c r="DR51" s="358"/>
      <c r="DS51" s="358"/>
      <c r="DT51" s="358"/>
      <c r="DU51" s="358"/>
      <c r="DV51" s="358"/>
      <c r="DW51" s="358"/>
      <c r="DX51" s="358"/>
      <c r="DY51" s="358"/>
      <c r="DZ51" s="358"/>
      <c r="EA51" s="358"/>
      <c r="EB51" s="358"/>
      <c r="EC51" s="358"/>
      <c r="ED51" s="358"/>
      <c r="EE51" s="358"/>
      <c r="EF51" s="358"/>
      <c r="EG51" s="358"/>
      <c r="EH51" s="358"/>
      <c r="EI51" s="358"/>
      <c r="EJ51" s="358"/>
      <c r="EK51" s="358"/>
      <c r="EL51" s="358"/>
      <c r="EM51" s="358"/>
      <c r="EN51" s="358"/>
      <c r="EO51" s="358"/>
      <c r="EP51" s="358"/>
      <c r="EQ51" s="358"/>
      <c r="ER51" s="358"/>
      <c r="ES51" s="358"/>
      <c r="ET51" s="358"/>
      <c r="EU51" s="358"/>
      <c r="EV51" s="358"/>
      <c r="EW51" s="358"/>
      <c r="EX51" s="358"/>
      <c r="EY51" s="358"/>
      <c r="EZ51" s="371"/>
    </row>
    <row r="52" spans="1:156" ht="12" customHeight="1" x14ac:dyDescent="0.25">
      <c r="A52" s="1212"/>
      <c r="B52" s="973"/>
      <c r="C52" s="973"/>
      <c r="D52" s="973"/>
      <c r="E52" s="973"/>
      <c r="F52" s="973"/>
      <c r="G52" s="973"/>
      <c r="H52" s="973"/>
      <c r="I52" s="973"/>
      <c r="J52" s="973"/>
      <c r="K52" s="973"/>
      <c r="L52" s="974"/>
      <c r="AK52" s="357"/>
      <c r="AL52" s="358"/>
      <c r="AM52" s="358"/>
      <c r="AN52" s="358"/>
      <c r="AO52" s="358"/>
      <c r="AP52" s="358"/>
      <c r="AQ52" s="358"/>
      <c r="AR52" s="358"/>
      <c r="AS52" s="358"/>
      <c r="AT52" s="358"/>
      <c r="AU52" s="358"/>
      <c r="AV52" s="358"/>
      <c r="AW52" s="358"/>
      <c r="AX52" s="358"/>
      <c r="AY52" s="358"/>
      <c r="AZ52" s="358"/>
      <c r="BA52" s="358"/>
      <c r="BB52" s="367"/>
      <c r="BC52" s="358"/>
      <c r="BD52" s="358"/>
      <c r="BE52" s="358"/>
      <c r="BF52" s="358"/>
      <c r="BG52" s="358"/>
      <c r="BH52" s="358"/>
      <c r="BI52" s="358"/>
      <c r="BJ52" s="358"/>
      <c r="BK52" s="358"/>
      <c r="BL52" s="358"/>
      <c r="BM52" s="358"/>
      <c r="BN52" s="358"/>
      <c r="BO52" s="358"/>
      <c r="BP52" s="358"/>
      <c r="BQ52" s="358"/>
      <c r="BR52" s="358"/>
      <c r="BS52" s="358"/>
      <c r="BT52" s="358"/>
      <c r="BU52" s="358"/>
      <c r="BV52" s="358"/>
      <c r="BW52" s="358"/>
      <c r="BX52" s="358"/>
      <c r="BY52" s="358"/>
      <c r="BZ52" s="358"/>
      <c r="CA52" s="358"/>
      <c r="CB52" s="358"/>
      <c r="CC52" s="358"/>
      <c r="CD52" s="358"/>
      <c r="CE52" s="358"/>
      <c r="CF52" s="358"/>
      <c r="CG52" s="358"/>
      <c r="CH52" s="358"/>
      <c r="CI52" s="358"/>
      <c r="CJ52" s="358"/>
      <c r="CK52" s="358"/>
      <c r="CL52" s="358"/>
      <c r="CM52" s="358"/>
      <c r="CN52" s="358"/>
      <c r="CO52" s="358"/>
      <c r="CP52" s="358"/>
      <c r="CQ52" s="358"/>
      <c r="CR52" s="358"/>
      <c r="CS52" s="358"/>
      <c r="CT52" s="358"/>
      <c r="CU52" s="358"/>
      <c r="CV52" s="358"/>
      <c r="CW52" s="358"/>
      <c r="CX52" s="358"/>
      <c r="CY52" s="358"/>
      <c r="CZ52" s="358"/>
      <c r="DA52" s="358"/>
      <c r="DB52" s="358"/>
      <c r="DC52" s="358"/>
      <c r="DD52" s="358"/>
      <c r="DE52" s="358"/>
      <c r="DF52" s="358"/>
      <c r="DG52" s="358"/>
      <c r="DH52" s="358"/>
      <c r="DI52" s="358"/>
      <c r="DJ52" s="358"/>
      <c r="DK52" s="358"/>
      <c r="DL52" s="358"/>
      <c r="DM52" s="358"/>
      <c r="DN52" s="358"/>
      <c r="DO52" s="358"/>
      <c r="DP52" s="358"/>
      <c r="DQ52" s="358"/>
      <c r="DR52" s="358"/>
      <c r="DS52" s="358"/>
      <c r="DT52" s="358"/>
      <c r="DU52" s="358"/>
      <c r="DV52" s="358"/>
      <c r="DW52" s="358"/>
      <c r="DX52" s="358"/>
      <c r="DY52" s="358"/>
      <c r="DZ52" s="358"/>
      <c r="EA52" s="358"/>
      <c r="EB52" s="358"/>
      <c r="EC52" s="358"/>
      <c r="ED52" s="358"/>
      <c r="EE52" s="358"/>
      <c r="EF52" s="358"/>
      <c r="EG52" s="358"/>
      <c r="EH52" s="358"/>
      <c r="EI52" s="358"/>
      <c r="EJ52" s="358"/>
      <c r="EK52" s="358"/>
      <c r="EL52" s="358"/>
      <c r="EM52" s="358"/>
      <c r="EN52" s="358"/>
      <c r="EO52" s="358"/>
      <c r="EP52" s="358"/>
      <c r="EQ52" s="358"/>
      <c r="ER52" s="358"/>
      <c r="ES52" s="358"/>
      <c r="ET52" s="358"/>
      <c r="EU52" s="358"/>
      <c r="EV52" s="358"/>
      <c r="EW52" s="358"/>
      <c r="EX52" s="358"/>
      <c r="EY52" s="358"/>
      <c r="EZ52" s="371"/>
    </row>
    <row r="53" spans="1:156" ht="12" customHeight="1" x14ac:dyDescent="0.25">
      <c r="A53" s="1212"/>
      <c r="B53" s="973"/>
      <c r="C53" s="973"/>
      <c r="D53" s="973"/>
      <c r="E53" s="973"/>
      <c r="F53" s="973"/>
      <c r="G53" s="973"/>
      <c r="H53" s="973"/>
      <c r="I53" s="973"/>
      <c r="J53" s="973"/>
      <c r="K53" s="973"/>
      <c r="L53" s="974"/>
      <c r="AK53" s="357"/>
      <c r="AL53" s="358"/>
      <c r="AM53" s="358"/>
      <c r="AN53" s="358"/>
      <c r="AO53" s="358"/>
      <c r="AP53" s="358"/>
      <c r="AQ53" s="358"/>
      <c r="AR53" s="358"/>
      <c r="AS53" s="358"/>
      <c r="AT53" s="358"/>
      <c r="AU53" s="358"/>
      <c r="AV53" s="358"/>
      <c r="AW53" s="358"/>
      <c r="AX53" s="358"/>
      <c r="AY53" s="358"/>
      <c r="AZ53" s="358"/>
      <c r="BA53" s="358"/>
      <c r="BB53" s="367"/>
      <c r="BC53" s="358"/>
      <c r="BD53" s="358"/>
      <c r="BE53" s="358"/>
      <c r="BF53" s="358"/>
      <c r="BG53" s="358"/>
      <c r="BH53" s="358"/>
      <c r="BI53" s="358"/>
      <c r="BJ53" s="358"/>
      <c r="BK53" s="358"/>
      <c r="BL53" s="358"/>
      <c r="BM53" s="358"/>
      <c r="BN53" s="358"/>
      <c r="BO53" s="358"/>
      <c r="BP53" s="358"/>
      <c r="BQ53" s="358"/>
      <c r="BR53" s="358"/>
      <c r="BS53" s="358"/>
      <c r="BT53" s="358"/>
      <c r="BU53" s="358"/>
      <c r="BV53" s="358"/>
      <c r="BW53" s="358"/>
      <c r="BX53" s="358"/>
      <c r="BY53" s="358"/>
      <c r="BZ53" s="358"/>
      <c r="CA53" s="358"/>
      <c r="CB53" s="358"/>
      <c r="CC53" s="358"/>
      <c r="CD53" s="358"/>
      <c r="CE53" s="358"/>
      <c r="CF53" s="358"/>
      <c r="CG53" s="358"/>
      <c r="CH53" s="358"/>
      <c r="CI53" s="358"/>
      <c r="CJ53" s="358"/>
      <c r="CK53" s="358"/>
      <c r="CL53" s="358"/>
      <c r="CM53" s="358"/>
      <c r="CN53" s="358"/>
      <c r="CO53" s="358"/>
      <c r="CP53" s="358"/>
      <c r="CQ53" s="358"/>
      <c r="CR53" s="358"/>
      <c r="CS53" s="358"/>
      <c r="CT53" s="358"/>
      <c r="CU53" s="358"/>
      <c r="CV53" s="358"/>
      <c r="CW53" s="358"/>
      <c r="CX53" s="358"/>
      <c r="CY53" s="358"/>
      <c r="CZ53" s="358"/>
      <c r="DA53" s="358"/>
      <c r="DB53" s="358"/>
      <c r="DC53" s="358"/>
      <c r="DD53" s="358"/>
      <c r="DE53" s="358"/>
      <c r="DF53" s="358"/>
      <c r="DG53" s="358"/>
      <c r="DH53" s="358"/>
      <c r="DI53" s="358"/>
      <c r="DJ53" s="358"/>
      <c r="DK53" s="358"/>
      <c r="DL53" s="358"/>
      <c r="DM53" s="358"/>
      <c r="DN53" s="358"/>
      <c r="DO53" s="358"/>
      <c r="DP53" s="358"/>
      <c r="DQ53" s="358"/>
      <c r="DR53" s="358"/>
      <c r="DS53" s="358"/>
      <c r="DT53" s="358"/>
      <c r="DU53" s="358"/>
      <c r="DV53" s="358"/>
      <c r="DW53" s="358"/>
      <c r="DX53" s="358"/>
      <c r="DY53" s="358"/>
      <c r="DZ53" s="358"/>
      <c r="EA53" s="358"/>
      <c r="EB53" s="358"/>
      <c r="EC53" s="358"/>
      <c r="ED53" s="358"/>
      <c r="EE53" s="358"/>
      <c r="EF53" s="358"/>
      <c r="EG53" s="358"/>
      <c r="EH53" s="358"/>
      <c r="EI53" s="358"/>
      <c r="EJ53" s="358"/>
      <c r="EK53" s="358"/>
      <c r="EL53" s="358"/>
      <c r="EM53" s="358"/>
      <c r="EN53" s="358"/>
      <c r="EO53" s="358"/>
      <c r="EP53" s="358"/>
      <c r="EQ53" s="358"/>
      <c r="ER53" s="358"/>
      <c r="ES53" s="358"/>
      <c r="ET53" s="358"/>
      <c r="EU53" s="358"/>
      <c r="EV53" s="358"/>
      <c r="EW53" s="358"/>
      <c r="EX53" s="358"/>
      <c r="EY53" s="358"/>
      <c r="EZ53" s="371"/>
    </row>
    <row r="54" spans="1:156" ht="12" customHeight="1" x14ac:dyDescent="0.25">
      <c r="A54" s="1212"/>
      <c r="B54" s="973"/>
      <c r="C54" s="973"/>
      <c r="D54" s="973"/>
      <c r="E54" s="973"/>
      <c r="F54" s="973"/>
      <c r="G54" s="973"/>
      <c r="H54" s="973"/>
      <c r="I54" s="973"/>
      <c r="J54" s="973"/>
      <c r="K54" s="973"/>
      <c r="L54" s="974"/>
      <c r="AK54" s="357"/>
      <c r="AL54" s="358"/>
      <c r="AM54" s="358"/>
      <c r="AN54" s="358"/>
      <c r="AO54" s="358"/>
      <c r="AP54" s="358"/>
      <c r="AQ54" s="358"/>
      <c r="AR54" s="358"/>
      <c r="AS54" s="358"/>
      <c r="AT54" s="358"/>
      <c r="AU54" s="358"/>
      <c r="AV54" s="358"/>
      <c r="AW54" s="358"/>
      <c r="AX54" s="358"/>
      <c r="AY54" s="358"/>
      <c r="AZ54" s="358"/>
      <c r="BA54" s="358"/>
      <c r="BB54" s="367"/>
      <c r="BC54" s="358"/>
      <c r="BD54" s="358"/>
      <c r="BE54" s="358"/>
      <c r="BF54" s="358"/>
      <c r="BG54" s="358"/>
      <c r="BH54" s="358"/>
      <c r="BI54" s="358"/>
      <c r="BJ54" s="358"/>
      <c r="BK54" s="358"/>
      <c r="BL54" s="358"/>
      <c r="BM54" s="358"/>
      <c r="BN54" s="358"/>
      <c r="BO54" s="358"/>
      <c r="BP54" s="358"/>
      <c r="BQ54" s="358"/>
      <c r="BR54" s="358"/>
      <c r="BS54" s="358"/>
      <c r="BT54" s="358"/>
      <c r="BU54" s="358"/>
      <c r="BV54" s="358"/>
      <c r="BW54" s="358"/>
      <c r="BX54" s="358"/>
      <c r="BY54" s="358"/>
      <c r="BZ54" s="358"/>
      <c r="CA54" s="358"/>
      <c r="CB54" s="358"/>
      <c r="CC54" s="358"/>
      <c r="CD54" s="358"/>
      <c r="CE54" s="358"/>
      <c r="CF54" s="358"/>
      <c r="CG54" s="358"/>
      <c r="CH54" s="358"/>
      <c r="CI54" s="358"/>
      <c r="CJ54" s="358"/>
      <c r="CK54" s="358"/>
      <c r="CL54" s="358"/>
      <c r="CM54" s="358"/>
      <c r="CN54" s="358"/>
      <c r="CO54" s="358"/>
      <c r="CP54" s="358"/>
      <c r="CQ54" s="358"/>
      <c r="CR54" s="358"/>
      <c r="CS54" s="358"/>
      <c r="CT54" s="358"/>
      <c r="CU54" s="358"/>
      <c r="CV54" s="358"/>
      <c r="CW54" s="358"/>
      <c r="CX54" s="358"/>
      <c r="CY54" s="358"/>
      <c r="CZ54" s="358"/>
      <c r="DA54" s="358"/>
      <c r="DB54" s="358"/>
      <c r="DC54" s="358"/>
      <c r="DD54" s="358"/>
      <c r="DE54" s="358"/>
      <c r="DF54" s="358"/>
      <c r="DG54" s="358"/>
      <c r="DH54" s="358"/>
      <c r="DI54" s="358"/>
      <c r="DJ54" s="358"/>
      <c r="DK54" s="358"/>
      <c r="DL54" s="358"/>
      <c r="DM54" s="358"/>
      <c r="DN54" s="358"/>
      <c r="DO54" s="358"/>
      <c r="DP54" s="358"/>
      <c r="DQ54" s="358"/>
      <c r="DR54" s="358"/>
      <c r="DS54" s="358"/>
      <c r="DT54" s="358"/>
      <c r="DU54" s="358"/>
      <c r="DV54" s="358"/>
      <c r="DW54" s="358"/>
      <c r="DX54" s="358"/>
      <c r="DY54" s="358"/>
      <c r="DZ54" s="358"/>
      <c r="EA54" s="358"/>
      <c r="EB54" s="358"/>
      <c r="EC54" s="358"/>
      <c r="ED54" s="358"/>
      <c r="EE54" s="358"/>
      <c r="EF54" s="358"/>
      <c r="EG54" s="358"/>
      <c r="EH54" s="358"/>
      <c r="EI54" s="358"/>
      <c r="EJ54" s="358"/>
      <c r="EK54" s="358"/>
      <c r="EL54" s="358"/>
      <c r="EM54" s="358"/>
      <c r="EN54" s="358"/>
      <c r="EO54" s="358"/>
      <c r="EP54" s="358"/>
      <c r="EQ54" s="358"/>
      <c r="ER54" s="358"/>
      <c r="ES54" s="358"/>
      <c r="ET54" s="358"/>
      <c r="EU54" s="358"/>
      <c r="EV54" s="358"/>
      <c r="EW54" s="358"/>
      <c r="EX54" s="358"/>
      <c r="EY54" s="358"/>
      <c r="EZ54" s="371"/>
    </row>
    <row r="55" spans="1:156" ht="12" customHeight="1" x14ac:dyDescent="0.25">
      <c r="A55" s="1212"/>
      <c r="B55" s="973"/>
      <c r="C55" s="973"/>
      <c r="D55" s="973"/>
      <c r="E55" s="973"/>
      <c r="F55" s="973"/>
      <c r="G55" s="973"/>
      <c r="H55" s="973"/>
      <c r="I55" s="973"/>
      <c r="J55" s="973"/>
      <c r="K55" s="973"/>
      <c r="L55" s="974"/>
      <c r="AK55" s="357"/>
      <c r="AL55" s="358"/>
      <c r="AM55" s="358"/>
      <c r="AN55" s="358"/>
      <c r="AO55" s="358"/>
      <c r="AP55" s="358"/>
      <c r="AQ55" s="358"/>
      <c r="AR55" s="358"/>
      <c r="AS55" s="358"/>
      <c r="AT55" s="358"/>
      <c r="AU55" s="358"/>
      <c r="AV55" s="358"/>
      <c r="AW55" s="358"/>
      <c r="AX55" s="358"/>
      <c r="AY55" s="358"/>
      <c r="AZ55" s="358"/>
      <c r="BA55" s="358"/>
      <c r="BB55" s="367"/>
      <c r="BC55" s="358"/>
      <c r="BD55" s="358"/>
      <c r="BE55" s="358"/>
      <c r="BF55" s="358"/>
      <c r="BG55" s="358"/>
      <c r="BH55" s="358"/>
      <c r="BI55" s="358"/>
      <c r="BJ55" s="358"/>
      <c r="BK55" s="358"/>
      <c r="BL55" s="358"/>
      <c r="BM55" s="358"/>
      <c r="BN55" s="358"/>
      <c r="BO55" s="358"/>
      <c r="BP55" s="358"/>
      <c r="BQ55" s="358"/>
      <c r="BR55" s="358"/>
      <c r="BS55" s="358"/>
      <c r="BT55" s="358"/>
      <c r="BU55" s="358"/>
      <c r="BV55" s="358"/>
      <c r="BW55" s="358"/>
      <c r="BX55" s="358"/>
      <c r="BY55" s="358"/>
      <c r="BZ55" s="358"/>
      <c r="CA55" s="358"/>
      <c r="CB55" s="358"/>
      <c r="CC55" s="358"/>
      <c r="CD55" s="358"/>
      <c r="CE55" s="358"/>
      <c r="CF55" s="358"/>
      <c r="CG55" s="358"/>
      <c r="CH55" s="358"/>
      <c r="CI55" s="358"/>
      <c r="CJ55" s="358"/>
      <c r="CK55" s="358"/>
      <c r="CL55" s="358"/>
      <c r="CM55" s="358"/>
      <c r="CN55" s="358"/>
      <c r="CO55" s="358"/>
      <c r="CP55" s="358"/>
      <c r="CQ55" s="358"/>
      <c r="CR55" s="358"/>
      <c r="CS55" s="358"/>
      <c r="CT55" s="358"/>
      <c r="CU55" s="358"/>
      <c r="CV55" s="358"/>
      <c r="CW55" s="358"/>
      <c r="CX55" s="358"/>
      <c r="CY55" s="358"/>
      <c r="CZ55" s="358"/>
      <c r="DA55" s="358"/>
      <c r="DB55" s="358"/>
      <c r="DC55" s="358"/>
      <c r="DD55" s="358"/>
      <c r="DE55" s="358"/>
      <c r="DF55" s="358"/>
      <c r="DG55" s="358"/>
      <c r="DH55" s="358"/>
      <c r="DI55" s="358"/>
      <c r="DJ55" s="358"/>
      <c r="DK55" s="358"/>
      <c r="DL55" s="358"/>
      <c r="DM55" s="358"/>
      <c r="DN55" s="358"/>
      <c r="DO55" s="358"/>
      <c r="DP55" s="358"/>
      <c r="DQ55" s="358"/>
      <c r="DR55" s="358"/>
      <c r="DS55" s="358"/>
      <c r="DT55" s="358"/>
      <c r="DU55" s="358"/>
      <c r="DV55" s="358"/>
      <c r="DW55" s="358"/>
      <c r="DX55" s="358"/>
      <c r="DY55" s="358"/>
      <c r="DZ55" s="358"/>
      <c r="EA55" s="358"/>
      <c r="EB55" s="358"/>
      <c r="EC55" s="358"/>
      <c r="ED55" s="358"/>
      <c r="EE55" s="358"/>
      <c r="EF55" s="358"/>
      <c r="EG55" s="358"/>
      <c r="EH55" s="358"/>
      <c r="EI55" s="358"/>
      <c r="EJ55" s="358"/>
      <c r="EK55" s="358"/>
      <c r="EL55" s="358"/>
      <c r="EM55" s="358"/>
      <c r="EN55" s="358"/>
      <c r="EO55" s="358"/>
      <c r="EP55" s="358"/>
      <c r="EQ55" s="358"/>
      <c r="ER55" s="358"/>
      <c r="ES55" s="358"/>
      <c r="ET55" s="358"/>
      <c r="EU55" s="358"/>
      <c r="EV55" s="358"/>
      <c r="EW55" s="358"/>
      <c r="EX55" s="358"/>
      <c r="EY55" s="358"/>
      <c r="EZ55" s="371"/>
    </row>
    <row r="56" spans="1:156" ht="12" customHeight="1" x14ac:dyDescent="0.25">
      <c r="A56" s="1212"/>
      <c r="B56" s="973"/>
      <c r="C56" s="973"/>
      <c r="D56" s="973"/>
      <c r="E56" s="973"/>
      <c r="F56" s="973"/>
      <c r="G56" s="973"/>
      <c r="H56" s="973"/>
      <c r="I56" s="973"/>
      <c r="J56" s="973"/>
      <c r="K56" s="973"/>
      <c r="L56" s="974"/>
      <c r="AK56" s="357"/>
      <c r="AL56" s="358"/>
      <c r="AM56" s="358"/>
      <c r="AN56" s="358"/>
      <c r="AO56" s="358"/>
      <c r="AP56" s="358"/>
      <c r="AQ56" s="358"/>
      <c r="AR56" s="358"/>
      <c r="AS56" s="358"/>
      <c r="AT56" s="358"/>
      <c r="AU56" s="358"/>
      <c r="AV56" s="358"/>
      <c r="AW56" s="358"/>
      <c r="AX56" s="358"/>
      <c r="AY56" s="358"/>
      <c r="AZ56" s="358"/>
      <c r="BA56" s="358"/>
      <c r="BB56" s="367"/>
      <c r="BC56" s="358"/>
      <c r="BD56" s="358"/>
      <c r="BE56" s="358"/>
      <c r="BF56" s="358"/>
      <c r="BG56" s="358"/>
      <c r="BH56" s="358"/>
      <c r="BI56" s="358"/>
      <c r="BJ56" s="358"/>
      <c r="BK56" s="358"/>
      <c r="BL56" s="358"/>
      <c r="BM56" s="358"/>
      <c r="BN56" s="358"/>
      <c r="BO56" s="358"/>
      <c r="BP56" s="358"/>
      <c r="BQ56" s="358"/>
      <c r="BR56" s="358"/>
      <c r="BS56" s="358"/>
      <c r="BT56" s="358"/>
      <c r="BU56" s="358"/>
      <c r="BV56" s="358"/>
      <c r="BW56" s="358"/>
      <c r="BX56" s="358"/>
      <c r="BY56" s="358"/>
      <c r="BZ56" s="358"/>
      <c r="CA56" s="358"/>
      <c r="CB56" s="358"/>
      <c r="CC56" s="358"/>
      <c r="CD56" s="358"/>
      <c r="CE56" s="358"/>
      <c r="CF56" s="358"/>
      <c r="CG56" s="358"/>
      <c r="CH56" s="358"/>
      <c r="CI56" s="358"/>
      <c r="CJ56" s="358"/>
      <c r="CK56" s="358"/>
      <c r="CL56" s="358"/>
      <c r="CM56" s="358"/>
      <c r="CN56" s="358"/>
      <c r="CO56" s="358"/>
      <c r="CP56" s="358"/>
      <c r="CQ56" s="358"/>
      <c r="CR56" s="358"/>
      <c r="CS56" s="358"/>
      <c r="CT56" s="358"/>
      <c r="CU56" s="358"/>
      <c r="CV56" s="358"/>
      <c r="CW56" s="358"/>
      <c r="CX56" s="358"/>
      <c r="CY56" s="358"/>
      <c r="CZ56" s="358"/>
      <c r="DA56" s="358"/>
      <c r="DB56" s="358"/>
      <c r="DC56" s="358"/>
      <c r="DD56" s="358"/>
      <c r="DE56" s="358"/>
      <c r="DF56" s="358"/>
      <c r="DG56" s="358"/>
      <c r="DH56" s="358"/>
      <c r="DI56" s="358"/>
      <c r="DJ56" s="358"/>
      <c r="DK56" s="358"/>
      <c r="DL56" s="358"/>
      <c r="DM56" s="358"/>
      <c r="DN56" s="358"/>
      <c r="DO56" s="358"/>
      <c r="DP56" s="358"/>
      <c r="DQ56" s="358"/>
      <c r="DR56" s="358"/>
      <c r="DS56" s="358"/>
      <c r="DT56" s="358"/>
      <c r="DU56" s="358"/>
      <c r="DV56" s="358"/>
      <c r="DW56" s="358"/>
      <c r="DX56" s="358"/>
      <c r="DY56" s="358"/>
      <c r="DZ56" s="358"/>
      <c r="EA56" s="358"/>
      <c r="EB56" s="358"/>
      <c r="EC56" s="358"/>
      <c r="ED56" s="358"/>
      <c r="EE56" s="358"/>
      <c r="EF56" s="358"/>
      <c r="EG56" s="358"/>
      <c r="EH56" s="358"/>
      <c r="EI56" s="358"/>
      <c r="EJ56" s="358"/>
      <c r="EK56" s="358"/>
      <c r="EL56" s="358"/>
      <c r="EM56" s="358"/>
      <c r="EN56" s="358"/>
      <c r="EO56" s="358"/>
      <c r="EP56" s="358"/>
      <c r="EQ56" s="358"/>
      <c r="ER56" s="358"/>
      <c r="ES56" s="358"/>
      <c r="ET56" s="358"/>
      <c r="EU56" s="358"/>
      <c r="EV56" s="358"/>
      <c r="EW56" s="358"/>
      <c r="EX56" s="358"/>
      <c r="EY56" s="358"/>
      <c r="EZ56" s="371"/>
    </row>
    <row r="57" spans="1:156" ht="12" customHeight="1" x14ac:dyDescent="0.25">
      <c r="A57" s="1212"/>
      <c r="B57" s="973"/>
      <c r="C57" s="973"/>
      <c r="D57" s="973"/>
      <c r="E57" s="973"/>
      <c r="F57" s="973"/>
      <c r="G57" s="973"/>
      <c r="H57" s="973"/>
      <c r="I57" s="973"/>
      <c r="J57" s="973"/>
      <c r="K57" s="973"/>
      <c r="L57" s="974"/>
      <c r="AK57" s="357"/>
      <c r="AL57" s="358"/>
      <c r="AM57" s="358"/>
      <c r="AN57" s="358"/>
      <c r="AO57" s="358"/>
      <c r="AP57" s="358"/>
      <c r="AQ57" s="358"/>
      <c r="AR57" s="358"/>
      <c r="AS57" s="358"/>
      <c r="AT57" s="358"/>
      <c r="AU57" s="358"/>
      <c r="AV57" s="358"/>
      <c r="AW57" s="358"/>
      <c r="AX57" s="358"/>
      <c r="AY57" s="358"/>
      <c r="AZ57" s="358"/>
      <c r="BA57" s="358"/>
      <c r="BB57" s="367"/>
      <c r="BC57" s="358"/>
      <c r="BD57" s="358"/>
      <c r="BE57" s="358"/>
      <c r="BF57" s="358"/>
      <c r="BG57" s="358"/>
      <c r="BH57" s="358"/>
      <c r="BI57" s="358"/>
      <c r="BJ57" s="358"/>
      <c r="BK57" s="358"/>
      <c r="BL57" s="358"/>
      <c r="BM57" s="358"/>
      <c r="BN57" s="358"/>
      <c r="BO57" s="358"/>
      <c r="BP57" s="358"/>
      <c r="BQ57" s="358"/>
      <c r="BR57" s="358"/>
      <c r="BS57" s="358"/>
      <c r="BT57" s="358"/>
      <c r="BU57" s="358"/>
      <c r="BV57" s="358"/>
      <c r="BW57" s="358"/>
      <c r="BX57" s="358"/>
      <c r="BY57" s="358"/>
      <c r="BZ57" s="358"/>
      <c r="CA57" s="358"/>
      <c r="CB57" s="358"/>
      <c r="CC57" s="358"/>
      <c r="CD57" s="358"/>
      <c r="CE57" s="358"/>
      <c r="CF57" s="358"/>
      <c r="CG57" s="358"/>
      <c r="CH57" s="358"/>
      <c r="CI57" s="358"/>
      <c r="CJ57" s="358"/>
      <c r="CK57" s="358"/>
      <c r="CL57" s="358"/>
      <c r="CM57" s="358"/>
      <c r="CN57" s="358"/>
      <c r="CO57" s="358"/>
      <c r="CP57" s="358"/>
      <c r="CQ57" s="358"/>
      <c r="CR57" s="358"/>
      <c r="CS57" s="358"/>
      <c r="CT57" s="358"/>
      <c r="CU57" s="358"/>
      <c r="CV57" s="358"/>
      <c r="CW57" s="358"/>
      <c r="CX57" s="358"/>
      <c r="CY57" s="358"/>
      <c r="CZ57" s="358"/>
      <c r="DA57" s="358"/>
      <c r="DB57" s="358"/>
      <c r="DC57" s="358"/>
      <c r="DD57" s="358"/>
      <c r="DE57" s="358"/>
      <c r="DF57" s="358"/>
      <c r="DG57" s="358"/>
      <c r="DH57" s="358"/>
      <c r="DI57" s="358"/>
      <c r="DJ57" s="358"/>
      <c r="DK57" s="358"/>
      <c r="DL57" s="358"/>
      <c r="DM57" s="358"/>
      <c r="DN57" s="358"/>
      <c r="DO57" s="358"/>
      <c r="DP57" s="358"/>
      <c r="DQ57" s="358"/>
      <c r="DR57" s="358"/>
      <c r="DS57" s="358"/>
      <c r="DT57" s="358"/>
      <c r="DU57" s="358"/>
      <c r="DV57" s="358"/>
      <c r="DW57" s="358"/>
      <c r="DX57" s="358"/>
      <c r="DY57" s="358"/>
      <c r="DZ57" s="358"/>
      <c r="EA57" s="358"/>
      <c r="EB57" s="358"/>
      <c r="EC57" s="358"/>
      <c r="ED57" s="358"/>
      <c r="EE57" s="358"/>
      <c r="EF57" s="358"/>
      <c r="EG57" s="358"/>
      <c r="EH57" s="358"/>
      <c r="EI57" s="358"/>
      <c r="EJ57" s="358"/>
      <c r="EK57" s="358"/>
      <c r="EL57" s="358"/>
      <c r="EM57" s="358"/>
      <c r="EN57" s="358"/>
      <c r="EO57" s="358"/>
      <c r="EP57" s="358"/>
      <c r="EQ57" s="358"/>
      <c r="ER57" s="358"/>
      <c r="ES57" s="358"/>
      <c r="ET57" s="358"/>
      <c r="EU57" s="358"/>
      <c r="EV57" s="358"/>
      <c r="EW57" s="358"/>
      <c r="EX57" s="358"/>
      <c r="EY57" s="358"/>
      <c r="EZ57" s="371"/>
    </row>
    <row r="58" spans="1:156" ht="12" customHeight="1" x14ac:dyDescent="0.25">
      <c r="A58" s="1212"/>
      <c r="B58" s="973"/>
      <c r="C58" s="973"/>
      <c r="D58" s="973"/>
      <c r="E58" s="973"/>
      <c r="F58" s="973"/>
      <c r="G58" s="973"/>
      <c r="H58" s="973"/>
      <c r="I58" s="973"/>
      <c r="J58" s="973"/>
      <c r="K58" s="973"/>
      <c r="L58" s="974"/>
      <c r="AK58" s="357"/>
      <c r="AL58" s="358"/>
      <c r="AM58" s="358"/>
      <c r="AN58" s="358"/>
      <c r="AO58" s="358"/>
      <c r="AP58" s="358"/>
      <c r="AQ58" s="358"/>
      <c r="AR58" s="358"/>
      <c r="AS58" s="358"/>
      <c r="AT58" s="358"/>
      <c r="AU58" s="358"/>
      <c r="AV58" s="358"/>
      <c r="AW58" s="358"/>
      <c r="AX58" s="358"/>
      <c r="AY58" s="358"/>
      <c r="AZ58" s="358"/>
      <c r="BA58" s="358"/>
      <c r="BB58" s="367"/>
      <c r="BC58" s="358"/>
      <c r="BD58" s="358"/>
      <c r="BE58" s="358"/>
      <c r="BF58" s="358"/>
      <c r="BG58" s="358"/>
      <c r="BH58" s="358"/>
      <c r="BI58" s="358"/>
      <c r="BJ58" s="358"/>
      <c r="BK58" s="358"/>
      <c r="BL58" s="358"/>
      <c r="BM58" s="358"/>
      <c r="BN58" s="358"/>
      <c r="BO58" s="358"/>
      <c r="BP58" s="358"/>
      <c r="BQ58" s="358"/>
      <c r="BR58" s="358"/>
      <c r="BS58" s="358"/>
      <c r="BT58" s="358"/>
      <c r="BU58" s="358"/>
      <c r="BV58" s="358"/>
      <c r="BW58" s="358"/>
      <c r="BX58" s="358"/>
      <c r="BY58" s="358"/>
      <c r="BZ58" s="358"/>
      <c r="CA58" s="358"/>
      <c r="CB58" s="358"/>
      <c r="CC58" s="358"/>
      <c r="CD58" s="358"/>
      <c r="CE58" s="358"/>
      <c r="CF58" s="358"/>
      <c r="CG58" s="358"/>
      <c r="CH58" s="358"/>
      <c r="CI58" s="358"/>
      <c r="CJ58" s="358"/>
      <c r="CK58" s="358"/>
      <c r="CL58" s="358"/>
      <c r="CM58" s="358"/>
      <c r="CN58" s="358"/>
      <c r="CO58" s="358"/>
      <c r="CP58" s="358"/>
      <c r="CQ58" s="358"/>
      <c r="CR58" s="358"/>
      <c r="CS58" s="358"/>
      <c r="CT58" s="358"/>
      <c r="CU58" s="358"/>
      <c r="CV58" s="358"/>
      <c r="CW58" s="358"/>
      <c r="CX58" s="358"/>
      <c r="CY58" s="358"/>
      <c r="CZ58" s="358"/>
      <c r="DA58" s="358"/>
      <c r="DB58" s="358"/>
      <c r="DC58" s="358"/>
      <c r="DD58" s="358"/>
      <c r="DE58" s="358"/>
      <c r="DF58" s="358"/>
      <c r="DG58" s="358"/>
      <c r="DH58" s="358"/>
      <c r="DI58" s="358"/>
      <c r="DJ58" s="358"/>
      <c r="DK58" s="358"/>
      <c r="DL58" s="358"/>
      <c r="DM58" s="358"/>
      <c r="DN58" s="358"/>
      <c r="DO58" s="358"/>
      <c r="DP58" s="358"/>
      <c r="DQ58" s="358"/>
      <c r="DR58" s="358"/>
      <c r="DS58" s="358"/>
      <c r="DT58" s="358"/>
      <c r="DU58" s="358"/>
      <c r="DV58" s="358"/>
      <c r="DW58" s="358"/>
      <c r="DX58" s="358"/>
      <c r="DY58" s="358"/>
      <c r="DZ58" s="358"/>
      <c r="EA58" s="358"/>
      <c r="EB58" s="358"/>
      <c r="EC58" s="358"/>
      <c r="ED58" s="358"/>
      <c r="EE58" s="358"/>
      <c r="EF58" s="358"/>
      <c r="EG58" s="358"/>
      <c r="EH58" s="358"/>
      <c r="EI58" s="358"/>
      <c r="EJ58" s="358"/>
      <c r="EK58" s="358"/>
      <c r="EL58" s="358"/>
      <c r="EM58" s="358"/>
      <c r="EN58" s="358"/>
      <c r="EO58" s="358"/>
      <c r="EP58" s="358"/>
      <c r="EQ58" s="358"/>
      <c r="ER58" s="358"/>
      <c r="ES58" s="358"/>
      <c r="ET58" s="358"/>
      <c r="EU58" s="358"/>
      <c r="EV58" s="358"/>
      <c r="EW58" s="358"/>
      <c r="EX58" s="358"/>
      <c r="EY58" s="358"/>
      <c r="EZ58" s="371"/>
    </row>
    <row r="59" spans="1:156" ht="12" customHeight="1" x14ac:dyDescent="0.25">
      <c r="A59" s="1212"/>
      <c r="B59" s="973"/>
      <c r="C59" s="973"/>
      <c r="D59" s="973"/>
      <c r="E59" s="973"/>
      <c r="F59" s="973"/>
      <c r="G59" s="973"/>
      <c r="H59" s="973"/>
      <c r="I59" s="973"/>
      <c r="J59" s="973"/>
      <c r="K59" s="973"/>
      <c r="L59" s="974"/>
      <c r="AK59" s="357"/>
      <c r="AL59" s="358"/>
      <c r="AM59" s="358"/>
      <c r="AN59" s="358"/>
      <c r="AO59" s="358"/>
      <c r="AP59" s="358"/>
      <c r="AQ59" s="358"/>
      <c r="AR59" s="358"/>
      <c r="AS59" s="358"/>
      <c r="AT59" s="358"/>
      <c r="AU59" s="358"/>
      <c r="AV59" s="358"/>
      <c r="AW59" s="358"/>
      <c r="AX59" s="358"/>
      <c r="AY59" s="358"/>
      <c r="AZ59" s="358"/>
      <c r="BA59" s="358"/>
      <c r="BB59" s="367"/>
      <c r="BC59" s="358"/>
      <c r="BD59" s="358"/>
      <c r="BE59" s="358"/>
      <c r="BF59" s="358"/>
      <c r="BG59" s="358"/>
      <c r="BH59" s="358"/>
      <c r="BI59" s="358"/>
      <c r="BJ59" s="358"/>
      <c r="BK59" s="358"/>
      <c r="BL59" s="358"/>
      <c r="BM59" s="358"/>
      <c r="BN59" s="358"/>
      <c r="BO59" s="358"/>
      <c r="BP59" s="358"/>
      <c r="BQ59" s="358"/>
      <c r="BR59" s="358"/>
      <c r="BS59" s="358"/>
      <c r="BT59" s="358"/>
      <c r="BU59" s="358"/>
      <c r="BV59" s="358"/>
      <c r="BW59" s="358"/>
      <c r="BX59" s="358"/>
      <c r="BY59" s="358"/>
      <c r="BZ59" s="358"/>
      <c r="CA59" s="358"/>
      <c r="CB59" s="358"/>
      <c r="CC59" s="358"/>
      <c r="CD59" s="358"/>
      <c r="CE59" s="358"/>
      <c r="CF59" s="358"/>
      <c r="CG59" s="358"/>
      <c r="CH59" s="358"/>
      <c r="CI59" s="358"/>
      <c r="CJ59" s="358"/>
      <c r="CK59" s="358"/>
      <c r="CL59" s="358"/>
      <c r="CM59" s="358"/>
      <c r="CN59" s="358"/>
      <c r="CO59" s="358"/>
      <c r="CP59" s="358"/>
      <c r="CQ59" s="358"/>
      <c r="CR59" s="358"/>
      <c r="CS59" s="358"/>
      <c r="CT59" s="358"/>
      <c r="CU59" s="358"/>
      <c r="CV59" s="358"/>
      <c r="CW59" s="358"/>
      <c r="CX59" s="358"/>
      <c r="CY59" s="358"/>
      <c r="CZ59" s="358"/>
      <c r="DA59" s="358"/>
      <c r="DB59" s="358"/>
      <c r="DC59" s="358"/>
      <c r="DD59" s="358"/>
      <c r="DE59" s="358"/>
      <c r="DF59" s="358"/>
      <c r="DG59" s="358"/>
      <c r="DH59" s="358"/>
      <c r="DI59" s="358"/>
      <c r="DJ59" s="358"/>
      <c r="DK59" s="358"/>
      <c r="DL59" s="358"/>
      <c r="DM59" s="358"/>
      <c r="DN59" s="358"/>
      <c r="DO59" s="358"/>
      <c r="DP59" s="358"/>
      <c r="DQ59" s="358"/>
      <c r="DR59" s="358"/>
      <c r="DS59" s="358"/>
      <c r="DT59" s="358"/>
      <c r="DU59" s="358"/>
      <c r="DV59" s="358"/>
      <c r="DW59" s="358"/>
      <c r="DX59" s="358"/>
      <c r="DY59" s="358"/>
      <c r="DZ59" s="358"/>
      <c r="EA59" s="358"/>
      <c r="EB59" s="358"/>
      <c r="EC59" s="358"/>
      <c r="ED59" s="358"/>
      <c r="EE59" s="358"/>
      <c r="EF59" s="358"/>
      <c r="EG59" s="358"/>
      <c r="EH59" s="358"/>
      <c r="EI59" s="358"/>
      <c r="EJ59" s="358"/>
      <c r="EK59" s="358"/>
      <c r="EL59" s="358"/>
      <c r="EM59" s="358"/>
      <c r="EN59" s="358"/>
      <c r="EO59" s="358"/>
      <c r="EP59" s="358"/>
      <c r="EQ59" s="358"/>
      <c r="ER59" s="358"/>
      <c r="ES59" s="358"/>
      <c r="ET59" s="358"/>
      <c r="EU59" s="358"/>
      <c r="EV59" s="358"/>
      <c r="EW59" s="358"/>
      <c r="EX59" s="358"/>
      <c r="EY59" s="358"/>
      <c r="EZ59" s="371"/>
    </row>
    <row r="60" spans="1:156" ht="12" customHeight="1" x14ac:dyDescent="0.25">
      <c r="A60" s="1212"/>
      <c r="B60" s="973"/>
      <c r="C60" s="973"/>
      <c r="D60" s="973"/>
      <c r="E60" s="973"/>
      <c r="F60" s="973"/>
      <c r="G60" s="973"/>
      <c r="H60" s="973"/>
      <c r="I60" s="973"/>
      <c r="J60" s="973"/>
      <c r="K60" s="973"/>
      <c r="L60" s="974"/>
      <c r="AK60" s="357"/>
      <c r="AL60" s="358"/>
      <c r="AM60" s="358"/>
      <c r="AN60" s="358"/>
      <c r="AO60" s="358"/>
      <c r="AP60" s="358"/>
      <c r="AQ60" s="358"/>
      <c r="AR60" s="358"/>
      <c r="AS60" s="358"/>
      <c r="AT60" s="358"/>
      <c r="AU60" s="358"/>
      <c r="AV60" s="358"/>
      <c r="AW60" s="358"/>
      <c r="AX60" s="358"/>
      <c r="AY60" s="358"/>
      <c r="AZ60" s="358"/>
      <c r="BA60" s="358"/>
      <c r="BB60" s="367"/>
      <c r="BC60" s="358"/>
      <c r="BD60" s="358"/>
      <c r="BE60" s="358"/>
      <c r="BF60" s="358"/>
      <c r="BG60" s="358"/>
      <c r="BH60" s="358"/>
      <c r="BI60" s="358"/>
      <c r="BJ60" s="358"/>
      <c r="BK60" s="358"/>
      <c r="BL60" s="358"/>
      <c r="BM60" s="358"/>
      <c r="BN60" s="358"/>
      <c r="BO60" s="358"/>
      <c r="BP60" s="358"/>
      <c r="BQ60" s="358"/>
      <c r="BR60" s="358"/>
      <c r="BS60" s="358"/>
      <c r="BT60" s="358"/>
      <c r="BU60" s="358"/>
      <c r="BV60" s="358"/>
      <c r="BW60" s="358"/>
      <c r="BX60" s="358"/>
      <c r="BY60" s="358"/>
      <c r="BZ60" s="358"/>
      <c r="CA60" s="358"/>
      <c r="CB60" s="358"/>
      <c r="CC60" s="358"/>
      <c r="CD60" s="358"/>
      <c r="CE60" s="358"/>
      <c r="CF60" s="358"/>
      <c r="CG60" s="358"/>
      <c r="CH60" s="358"/>
      <c r="CI60" s="358"/>
      <c r="CJ60" s="358"/>
      <c r="CK60" s="358"/>
      <c r="CL60" s="358"/>
      <c r="CM60" s="358"/>
      <c r="CN60" s="358"/>
      <c r="CO60" s="358"/>
      <c r="CP60" s="358"/>
      <c r="CQ60" s="358"/>
      <c r="CR60" s="358"/>
      <c r="CS60" s="358"/>
      <c r="CT60" s="358"/>
      <c r="CU60" s="358"/>
      <c r="CV60" s="358"/>
      <c r="CW60" s="358"/>
      <c r="CX60" s="358"/>
      <c r="CY60" s="358"/>
      <c r="CZ60" s="358"/>
      <c r="DA60" s="358"/>
      <c r="DB60" s="358"/>
      <c r="DC60" s="358"/>
      <c r="DD60" s="358"/>
      <c r="DE60" s="358"/>
      <c r="DF60" s="358"/>
      <c r="DG60" s="358"/>
      <c r="DH60" s="358"/>
      <c r="DI60" s="358"/>
      <c r="DJ60" s="358"/>
      <c r="DK60" s="358"/>
      <c r="DL60" s="358"/>
      <c r="DM60" s="358"/>
      <c r="DN60" s="358"/>
      <c r="DO60" s="358"/>
      <c r="DP60" s="358"/>
      <c r="DQ60" s="358"/>
      <c r="DR60" s="358"/>
      <c r="DS60" s="358"/>
      <c r="DT60" s="358"/>
      <c r="DU60" s="358"/>
      <c r="DV60" s="358"/>
      <c r="DW60" s="358"/>
      <c r="DX60" s="358"/>
      <c r="DY60" s="358"/>
      <c r="DZ60" s="358"/>
      <c r="EA60" s="358"/>
      <c r="EB60" s="358"/>
      <c r="EC60" s="358"/>
      <c r="ED60" s="358"/>
      <c r="EE60" s="358"/>
      <c r="EF60" s="358"/>
      <c r="EG60" s="358"/>
      <c r="EH60" s="358"/>
      <c r="EI60" s="358"/>
      <c r="EJ60" s="358"/>
      <c r="EK60" s="358"/>
      <c r="EL60" s="358"/>
      <c r="EM60" s="358"/>
      <c r="EN60" s="358"/>
      <c r="EO60" s="358"/>
      <c r="EP60" s="358"/>
      <c r="EQ60" s="358"/>
      <c r="ER60" s="358"/>
      <c r="ES60" s="358"/>
      <c r="ET60" s="358"/>
      <c r="EU60" s="358"/>
      <c r="EV60" s="358"/>
      <c r="EW60" s="358"/>
      <c r="EX60" s="358"/>
      <c r="EY60" s="358"/>
      <c r="EZ60" s="371"/>
    </row>
    <row r="61" spans="1:156" ht="12" customHeight="1" x14ac:dyDescent="0.25">
      <c r="A61" s="1212"/>
      <c r="B61" s="973"/>
      <c r="C61" s="973"/>
      <c r="D61" s="973"/>
      <c r="E61" s="973"/>
      <c r="F61" s="973"/>
      <c r="G61" s="973"/>
      <c r="H61" s="973"/>
      <c r="I61" s="973"/>
      <c r="J61" s="973"/>
      <c r="K61" s="973"/>
      <c r="L61" s="974"/>
      <c r="AK61" s="357"/>
      <c r="AL61" s="358"/>
      <c r="AM61" s="358"/>
      <c r="AN61" s="358"/>
      <c r="AO61" s="358"/>
      <c r="AP61" s="358"/>
      <c r="AQ61" s="358"/>
      <c r="AR61" s="358"/>
      <c r="AS61" s="358"/>
      <c r="AT61" s="358"/>
      <c r="AU61" s="358"/>
      <c r="AV61" s="358"/>
      <c r="AW61" s="358"/>
      <c r="AX61" s="358"/>
      <c r="AY61" s="358"/>
      <c r="AZ61" s="358"/>
      <c r="BA61" s="358"/>
      <c r="BB61" s="367"/>
      <c r="BC61" s="358"/>
      <c r="BD61" s="358"/>
      <c r="BE61" s="358"/>
      <c r="BF61" s="358"/>
      <c r="BG61" s="358"/>
      <c r="BH61" s="358"/>
      <c r="BI61" s="358"/>
      <c r="BJ61" s="358"/>
      <c r="BK61" s="358"/>
      <c r="BL61" s="358"/>
      <c r="BM61" s="358"/>
      <c r="BN61" s="358"/>
      <c r="BO61" s="358"/>
      <c r="BP61" s="358"/>
      <c r="BQ61" s="358"/>
      <c r="BR61" s="358"/>
      <c r="BS61" s="358"/>
      <c r="BT61" s="358"/>
      <c r="BU61" s="358"/>
      <c r="BV61" s="358"/>
      <c r="BW61" s="358"/>
      <c r="BX61" s="358"/>
      <c r="BY61" s="358"/>
      <c r="BZ61" s="358"/>
      <c r="CA61" s="358"/>
      <c r="CB61" s="358"/>
      <c r="CC61" s="358"/>
      <c r="CD61" s="358"/>
      <c r="CE61" s="358"/>
      <c r="CF61" s="358"/>
      <c r="CG61" s="358"/>
      <c r="CH61" s="358"/>
      <c r="CI61" s="358"/>
      <c r="CJ61" s="358"/>
      <c r="CK61" s="358"/>
      <c r="CL61" s="358"/>
      <c r="CM61" s="358"/>
      <c r="CN61" s="358"/>
      <c r="CO61" s="358"/>
      <c r="CP61" s="358"/>
      <c r="CQ61" s="358"/>
      <c r="CR61" s="358"/>
      <c r="CS61" s="358"/>
      <c r="CT61" s="358"/>
      <c r="CU61" s="358"/>
      <c r="CV61" s="358"/>
      <c r="CW61" s="358"/>
      <c r="CX61" s="358"/>
      <c r="CY61" s="358"/>
      <c r="CZ61" s="358"/>
      <c r="DA61" s="358"/>
      <c r="DB61" s="358"/>
      <c r="DC61" s="358"/>
      <c r="DD61" s="358"/>
      <c r="DE61" s="358"/>
      <c r="DF61" s="358"/>
      <c r="DG61" s="358"/>
      <c r="DH61" s="358"/>
      <c r="DI61" s="358"/>
      <c r="DJ61" s="358"/>
      <c r="DK61" s="358"/>
      <c r="DL61" s="358"/>
      <c r="DM61" s="358"/>
      <c r="DN61" s="358"/>
      <c r="DO61" s="358"/>
      <c r="DP61" s="358"/>
      <c r="DQ61" s="358"/>
      <c r="DR61" s="358"/>
      <c r="DS61" s="358"/>
      <c r="DT61" s="358"/>
      <c r="DU61" s="358"/>
      <c r="DV61" s="358"/>
      <c r="DW61" s="358"/>
      <c r="DX61" s="358"/>
      <c r="DY61" s="358"/>
      <c r="DZ61" s="358"/>
      <c r="EA61" s="358"/>
      <c r="EB61" s="358"/>
      <c r="EC61" s="358"/>
      <c r="ED61" s="358"/>
      <c r="EE61" s="358"/>
      <c r="EF61" s="358"/>
      <c r="EG61" s="358"/>
      <c r="EH61" s="358"/>
      <c r="EI61" s="358"/>
      <c r="EJ61" s="358"/>
      <c r="EK61" s="358"/>
      <c r="EL61" s="358"/>
      <c r="EM61" s="358"/>
      <c r="EN61" s="358"/>
      <c r="EO61" s="358"/>
      <c r="EP61" s="358"/>
      <c r="EQ61" s="358"/>
      <c r="ER61" s="358"/>
      <c r="ES61" s="358"/>
      <c r="ET61" s="358"/>
      <c r="EU61" s="358"/>
      <c r="EV61" s="358"/>
      <c r="EW61" s="358"/>
      <c r="EX61" s="358"/>
      <c r="EY61" s="358"/>
      <c r="EZ61" s="371"/>
    </row>
    <row r="62" spans="1:156" ht="12" customHeight="1" x14ac:dyDescent="0.25">
      <c r="A62" s="1212"/>
      <c r="B62" s="973"/>
      <c r="C62" s="973"/>
      <c r="D62" s="973"/>
      <c r="E62" s="973"/>
      <c r="F62" s="973"/>
      <c r="G62" s="973"/>
      <c r="H62" s="973"/>
      <c r="I62" s="973"/>
      <c r="J62" s="973"/>
      <c r="K62" s="973"/>
      <c r="L62" s="974"/>
      <c r="AK62" s="357"/>
      <c r="AL62" s="358"/>
      <c r="AM62" s="358"/>
      <c r="AN62" s="358"/>
      <c r="AO62" s="358"/>
      <c r="AP62" s="358"/>
      <c r="AQ62" s="358"/>
      <c r="AR62" s="358"/>
      <c r="AS62" s="358"/>
      <c r="AT62" s="358"/>
      <c r="AU62" s="358"/>
      <c r="AV62" s="358"/>
      <c r="AW62" s="358"/>
      <c r="AX62" s="358"/>
      <c r="AY62" s="358"/>
      <c r="AZ62" s="358"/>
      <c r="BA62" s="358"/>
      <c r="BB62" s="367"/>
      <c r="BC62" s="358"/>
      <c r="BD62" s="358"/>
      <c r="BE62" s="358"/>
      <c r="BF62" s="358"/>
      <c r="BG62" s="358"/>
      <c r="BH62" s="358"/>
      <c r="BI62" s="358"/>
      <c r="BJ62" s="358"/>
      <c r="BK62" s="358"/>
      <c r="BL62" s="358"/>
      <c r="BM62" s="358"/>
      <c r="BN62" s="358"/>
      <c r="BO62" s="358"/>
      <c r="BP62" s="358"/>
      <c r="BQ62" s="358"/>
      <c r="BR62" s="358"/>
      <c r="BS62" s="358"/>
      <c r="BT62" s="358"/>
      <c r="BU62" s="358"/>
      <c r="BV62" s="358"/>
      <c r="BW62" s="358"/>
      <c r="BX62" s="358"/>
      <c r="BY62" s="358"/>
      <c r="BZ62" s="358"/>
      <c r="CA62" s="358"/>
      <c r="CB62" s="358"/>
      <c r="CC62" s="358"/>
      <c r="CD62" s="358"/>
      <c r="CE62" s="358"/>
      <c r="CF62" s="358"/>
      <c r="CG62" s="358"/>
      <c r="CH62" s="358"/>
      <c r="CI62" s="358"/>
      <c r="CJ62" s="358"/>
      <c r="CK62" s="358"/>
      <c r="CL62" s="358"/>
      <c r="CM62" s="358"/>
      <c r="CN62" s="358"/>
      <c r="CO62" s="358"/>
      <c r="CP62" s="358"/>
      <c r="CQ62" s="358"/>
      <c r="CR62" s="358"/>
      <c r="CS62" s="358"/>
      <c r="CT62" s="358"/>
      <c r="CU62" s="358"/>
      <c r="CV62" s="358"/>
      <c r="CW62" s="358"/>
      <c r="CX62" s="358"/>
      <c r="CY62" s="358"/>
      <c r="CZ62" s="358"/>
      <c r="DA62" s="358"/>
      <c r="DB62" s="358"/>
      <c r="DC62" s="358"/>
      <c r="DD62" s="358"/>
      <c r="DE62" s="358"/>
      <c r="DF62" s="358"/>
      <c r="DG62" s="358"/>
      <c r="DH62" s="358"/>
      <c r="DI62" s="358"/>
      <c r="DJ62" s="358"/>
      <c r="DK62" s="358"/>
      <c r="DL62" s="358"/>
      <c r="DM62" s="358"/>
      <c r="DN62" s="358"/>
      <c r="DO62" s="358"/>
      <c r="DP62" s="358"/>
      <c r="DQ62" s="358"/>
      <c r="DR62" s="358"/>
      <c r="DS62" s="358"/>
      <c r="DT62" s="358"/>
      <c r="DU62" s="358"/>
      <c r="DV62" s="358"/>
      <c r="DW62" s="358"/>
      <c r="DX62" s="358"/>
      <c r="DY62" s="358"/>
      <c r="DZ62" s="358"/>
      <c r="EA62" s="358"/>
      <c r="EB62" s="358"/>
      <c r="EC62" s="358"/>
      <c r="ED62" s="358"/>
      <c r="EE62" s="358"/>
      <c r="EF62" s="358"/>
      <c r="EG62" s="358"/>
      <c r="EH62" s="358"/>
      <c r="EI62" s="358"/>
      <c r="EJ62" s="358"/>
      <c r="EK62" s="358"/>
      <c r="EL62" s="358"/>
      <c r="EM62" s="358"/>
      <c r="EN62" s="358"/>
      <c r="EO62" s="358"/>
      <c r="EP62" s="358"/>
      <c r="EQ62" s="358"/>
      <c r="ER62" s="358"/>
      <c r="ES62" s="358"/>
      <c r="ET62" s="358"/>
      <c r="EU62" s="358"/>
      <c r="EV62" s="358"/>
      <c r="EW62" s="358"/>
      <c r="EX62" s="358"/>
      <c r="EY62" s="358"/>
      <c r="EZ62" s="371"/>
    </row>
    <row r="63" spans="1:156" ht="12" customHeight="1" x14ac:dyDescent="0.25">
      <c r="A63" s="1212"/>
      <c r="B63" s="973"/>
      <c r="C63" s="973"/>
      <c r="D63" s="973"/>
      <c r="E63" s="973"/>
      <c r="F63" s="973"/>
      <c r="G63" s="973"/>
      <c r="H63" s="973"/>
      <c r="I63" s="973"/>
      <c r="J63" s="973"/>
      <c r="K63" s="973"/>
      <c r="L63" s="974"/>
      <c r="AK63" s="357"/>
      <c r="AL63" s="358"/>
      <c r="AM63" s="358"/>
      <c r="AN63" s="358"/>
      <c r="AO63" s="358"/>
      <c r="AP63" s="358"/>
      <c r="AQ63" s="358"/>
      <c r="AR63" s="358"/>
      <c r="AS63" s="358"/>
      <c r="AT63" s="358"/>
      <c r="AU63" s="358"/>
      <c r="AV63" s="358"/>
      <c r="AW63" s="358"/>
      <c r="AX63" s="358"/>
      <c r="AY63" s="358"/>
      <c r="AZ63" s="358"/>
      <c r="BA63" s="358"/>
      <c r="BB63" s="367"/>
      <c r="BC63" s="358"/>
      <c r="BD63" s="358"/>
      <c r="BE63" s="358"/>
      <c r="BF63" s="358"/>
      <c r="BG63" s="358"/>
      <c r="BH63" s="358"/>
      <c r="BI63" s="358"/>
      <c r="BJ63" s="358"/>
      <c r="BK63" s="358"/>
      <c r="BL63" s="358"/>
      <c r="BM63" s="358"/>
      <c r="BN63" s="358"/>
      <c r="BO63" s="358"/>
      <c r="BP63" s="358"/>
      <c r="BQ63" s="358"/>
      <c r="BR63" s="358"/>
      <c r="BS63" s="358"/>
      <c r="BT63" s="358"/>
      <c r="BU63" s="358"/>
      <c r="BV63" s="358"/>
      <c r="BW63" s="358"/>
      <c r="BX63" s="358"/>
      <c r="BY63" s="358"/>
      <c r="BZ63" s="358"/>
      <c r="CA63" s="358"/>
      <c r="CB63" s="358"/>
      <c r="CC63" s="358"/>
      <c r="CD63" s="358"/>
      <c r="CE63" s="358"/>
      <c r="CF63" s="358"/>
      <c r="CG63" s="358"/>
      <c r="CH63" s="358"/>
      <c r="CI63" s="358"/>
      <c r="CJ63" s="358"/>
      <c r="CK63" s="358"/>
      <c r="CL63" s="358"/>
      <c r="CM63" s="358"/>
      <c r="CN63" s="358"/>
      <c r="CO63" s="358"/>
      <c r="CP63" s="358"/>
      <c r="CQ63" s="358"/>
      <c r="CR63" s="358"/>
      <c r="CS63" s="358"/>
      <c r="CT63" s="358"/>
      <c r="CU63" s="358"/>
      <c r="CV63" s="358"/>
      <c r="CW63" s="358"/>
      <c r="CX63" s="358"/>
      <c r="CY63" s="358"/>
      <c r="CZ63" s="358"/>
      <c r="DA63" s="358"/>
      <c r="DB63" s="358"/>
      <c r="DC63" s="358"/>
      <c r="DD63" s="358"/>
      <c r="DE63" s="358"/>
      <c r="DF63" s="358"/>
      <c r="DG63" s="358"/>
      <c r="DH63" s="358"/>
      <c r="DI63" s="358"/>
      <c r="DJ63" s="358"/>
      <c r="DK63" s="358"/>
      <c r="DL63" s="358"/>
      <c r="DM63" s="358"/>
      <c r="DN63" s="358"/>
      <c r="DO63" s="358"/>
      <c r="DP63" s="358"/>
      <c r="DQ63" s="358"/>
      <c r="DR63" s="358"/>
      <c r="DS63" s="358"/>
      <c r="DT63" s="358"/>
      <c r="DU63" s="358"/>
      <c r="DV63" s="358"/>
      <c r="DW63" s="358"/>
      <c r="DX63" s="358"/>
      <c r="DY63" s="358"/>
      <c r="DZ63" s="358"/>
      <c r="EA63" s="358"/>
      <c r="EB63" s="358"/>
      <c r="EC63" s="358"/>
      <c r="ED63" s="358"/>
      <c r="EE63" s="358"/>
      <c r="EF63" s="358"/>
      <c r="EG63" s="358"/>
      <c r="EH63" s="358"/>
      <c r="EI63" s="358"/>
      <c r="EJ63" s="358"/>
      <c r="EK63" s="358"/>
      <c r="EL63" s="358"/>
      <c r="EM63" s="358"/>
      <c r="EN63" s="358"/>
      <c r="EO63" s="358"/>
      <c r="EP63" s="358"/>
      <c r="EQ63" s="358"/>
      <c r="ER63" s="358"/>
      <c r="ES63" s="358"/>
      <c r="ET63" s="358"/>
      <c r="EU63" s="358"/>
      <c r="EV63" s="358"/>
      <c r="EW63" s="358"/>
      <c r="EX63" s="358"/>
      <c r="EY63" s="358"/>
      <c r="EZ63" s="371"/>
    </row>
    <row r="64" spans="1:156" ht="12" customHeight="1" x14ac:dyDescent="0.25">
      <c r="A64" s="1212"/>
      <c r="B64" s="973"/>
      <c r="C64" s="973"/>
      <c r="D64" s="973"/>
      <c r="E64" s="973"/>
      <c r="F64" s="973"/>
      <c r="G64" s="973"/>
      <c r="H64" s="973"/>
      <c r="I64" s="973"/>
      <c r="J64" s="973"/>
      <c r="K64" s="973"/>
      <c r="L64" s="974"/>
      <c r="AK64" s="357"/>
      <c r="AL64" s="358"/>
      <c r="AM64" s="358"/>
      <c r="AN64" s="358"/>
      <c r="AO64" s="358"/>
      <c r="AP64" s="358"/>
      <c r="AQ64" s="358"/>
      <c r="AR64" s="358"/>
      <c r="AS64" s="358"/>
      <c r="AT64" s="358"/>
      <c r="AU64" s="358"/>
      <c r="AV64" s="358"/>
      <c r="AW64" s="358"/>
      <c r="AX64" s="358"/>
      <c r="AY64" s="358"/>
      <c r="AZ64" s="358"/>
      <c r="BA64" s="358"/>
      <c r="BB64" s="367"/>
      <c r="BC64" s="358"/>
      <c r="BD64" s="358"/>
      <c r="BE64" s="358"/>
      <c r="BF64" s="358"/>
      <c r="BG64" s="358"/>
      <c r="BH64" s="358"/>
      <c r="BI64" s="358"/>
      <c r="BJ64" s="358"/>
      <c r="BK64" s="358"/>
      <c r="BL64" s="358"/>
      <c r="BM64" s="358"/>
      <c r="BN64" s="358"/>
      <c r="BO64" s="358"/>
      <c r="BP64" s="358"/>
      <c r="BQ64" s="358"/>
      <c r="BR64" s="358"/>
      <c r="BS64" s="358"/>
      <c r="BT64" s="358"/>
      <c r="BU64" s="358"/>
      <c r="BV64" s="358"/>
      <c r="BW64" s="358"/>
      <c r="BX64" s="358"/>
      <c r="BY64" s="358"/>
      <c r="BZ64" s="358"/>
      <c r="CA64" s="358"/>
      <c r="CB64" s="358"/>
      <c r="CC64" s="358"/>
      <c r="CD64" s="358"/>
      <c r="CE64" s="358"/>
      <c r="CF64" s="358"/>
      <c r="CG64" s="358"/>
      <c r="CH64" s="358"/>
      <c r="CI64" s="358"/>
      <c r="CJ64" s="358"/>
      <c r="CK64" s="358"/>
      <c r="CL64" s="358"/>
      <c r="CM64" s="358"/>
      <c r="CN64" s="358"/>
      <c r="CO64" s="358"/>
      <c r="CP64" s="358"/>
      <c r="CQ64" s="358"/>
      <c r="CR64" s="358"/>
      <c r="CS64" s="358"/>
      <c r="CT64" s="358"/>
      <c r="CU64" s="358"/>
      <c r="CV64" s="358"/>
      <c r="CW64" s="358"/>
      <c r="CX64" s="358"/>
      <c r="CY64" s="358"/>
      <c r="CZ64" s="358"/>
      <c r="DA64" s="358"/>
      <c r="DB64" s="358"/>
      <c r="DC64" s="358"/>
      <c r="DD64" s="358"/>
      <c r="DE64" s="358"/>
      <c r="DF64" s="358"/>
      <c r="DG64" s="358"/>
      <c r="DH64" s="358"/>
      <c r="DI64" s="358"/>
      <c r="DJ64" s="358"/>
      <c r="DK64" s="358"/>
      <c r="DL64" s="358"/>
      <c r="DM64" s="358"/>
      <c r="DN64" s="358"/>
      <c r="DO64" s="358"/>
      <c r="DP64" s="358"/>
      <c r="DQ64" s="358"/>
      <c r="DR64" s="358"/>
      <c r="DS64" s="358"/>
      <c r="DT64" s="358"/>
      <c r="DU64" s="358"/>
      <c r="DV64" s="358"/>
      <c r="DW64" s="358"/>
      <c r="DX64" s="358"/>
      <c r="DY64" s="358"/>
      <c r="DZ64" s="358"/>
      <c r="EA64" s="358"/>
      <c r="EB64" s="358"/>
      <c r="EC64" s="358"/>
      <c r="ED64" s="358"/>
      <c r="EE64" s="358"/>
      <c r="EF64" s="358"/>
      <c r="EG64" s="358"/>
      <c r="EH64" s="358"/>
      <c r="EI64" s="358"/>
      <c r="EJ64" s="358"/>
      <c r="EK64" s="358"/>
      <c r="EL64" s="358"/>
      <c r="EM64" s="358"/>
      <c r="EN64" s="358"/>
      <c r="EO64" s="358"/>
      <c r="EP64" s="358"/>
      <c r="EQ64" s="358"/>
      <c r="ER64" s="358"/>
      <c r="ES64" s="358"/>
      <c r="ET64" s="358"/>
      <c r="EU64" s="358"/>
      <c r="EV64" s="358"/>
      <c r="EW64" s="358"/>
      <c r="EX64" s="358"/>
      <c r="EY64" s="358"/>
      <c r="EZ64" s="371"/>
    </row>
    <row r="65" spans="1:156" ht="12" customHeight="1" x14ac:dyDescent="0.25">
      <c r="A65" s="1212"/>
      <c r="B65" s="973"/>
      <c r="C65" s="973"/>
      <c r="D65" s="973"/>
      <c r="E65" s="973"/>
      <c r="F65" s="973"/>
      <c r="G65" s="973"/>
      <c r="H65" s="973"/>
      <c r="I65" s="973"/>
      <c r="J65" s="973"/>
      <c r="K65" s="973"/>
      <c r="L65" s="974"/>
      <c r="AK65" s="357"/>
      <c r="AL65" s="358"/>
      <c r="AM65" s="358"/>
      <c r="AN65" s="358"/>
      <c r="AO65" s="358"/>
      <c r="AP65" s="358"/>
      <c r="AQ65" s="358"/>
      <c r="AR65" s="358"/>
      <c r="AS65" s="358"/>
      <c r="AT65" s="358"/>
      <c r="AU65" s="358"/>
      <c r="AV65" s="358"/>
      <c r="AW65" s="358"/>
      <c r="AX65" s="358"/>
      <c r="AY65" s="358"/>
      <c r="AZ65" s="358"/>
      <c r="BA65" s="358"/>
      <c r="BB65" s="367"/>
      <c r="BC65" s="358"/>
      <c r="BD65" s="358"/>
      <c r="BE65" s="358"/>
      <c r="BF65" s="358"/>
      <c r="BG65" s="358"/>
      <c r="BH65" s="358"/>
      <c r="BI65" s="358"/>
      <c r="BJ65" s="358"/>
      <c r="BK65" s="358"/>
      <c r="BL65" s="358"/>
      <c r="BM65" s="358"/>
      <c r="BN65" s="358"/>
      <c r="BO65" s="358"/>
      <c r="BP65" s="358"/>
      <c r="BQ65" s="358"/>
      <c r="BR65" s="358"/>
      <c r="BS65" s="358"/>
      <c r="BT65" s="358"/>
      <c r="BU65" s="358"/>
      <c r="BV65" s="358"/>
      <c r="BW65" s="358"/>
      <c r="BX65" s="358"/>
      <c r="BY65" s="358"/>
      <c r="BZ65" s="358"/>
      <c r="CA65" s="358"/>
      <c r="CB65" s="358"/>
      <c r="CC65" s="358"/>
      <c r="CD65" s="358"/>
      <c r="CE65" s="358"/>
      <c r="CF65" s="358"/>
      <c r="CG65" s="358"/>
      <c r="CH65" s="358"/>
      <c r="CI65" s="358"/>
      <c r="CJ65" s="358"/>
      <c r="CK65" s="358"/>
      <c r="CL65" s="358"/>
      <c r="CM65" s="358"/>
      <c r="CN65" s="358"/>
      <c r="CO65" s="358"/>
      <c r="CP65" s="358"/>
      <c r="CQ65" s="358"/>
      <c r="CR65" s="358"/>
      <c r="CS65" s="358"/>
      <c r="CT65" s="358"/>
      <c r="CU65" s="358"/>
      <c r="CV65" s="358"/>
      <c r="CW65" s="358"/>
      <c r="CX65" s="358"/>
      <c r="CY65" s="358"/>
      <c r="CZ65" s="358"/>
      <c r="DA65" s="358"/>
      <c r="DB65" s="358"/>
      <c r="DC65" s="358"/>
      <c r="DD65" s="358"/>
      <c r="DE65" s="358"/>
      <c r="DF65" s="358"/>
      <c r="DG65" s="358"/>
      <c r="DH65" s="358"/>
      <c r="DI65" s="358"/>
      <c r="DJ65" s="358"/>
      <c r="DK65" s="358"/>
      <c r="DL65" s="358"/>
      <c r="DM65" s="358"/>
      <c r="DN65" s="358"/>
      <c r="DO65" s="358"/>
      <c r="DP65" s="358"/>
      <c r="DQ65" s="358"/>
      <c r="DR65" s="358"/>
      <c r="DS65" s="358"/>
      <c r="DT65" s="358"/>
      <c r="DU65" s="358"/>
      <c r="DV65" s="358"/>
      <c r="DW65" s="358"/>
      <c r="DX65" s="358"/>
      <c r="DY65" s="358"/>
      <c r="DZ65" s="358"/>
      <c r="EA65" s="358"/>
      <c r="EB65" s="358"/>
      <c r="EC65" s="358"/>
      <c r="ED65" s="358"/>
      <c r="EE65" s="358"/>
      <c r="EF65" s="358"/>
      <c r="EG65" s="358"/>
      <c r="EH65" s="358"/>
      <c r="EI65" s="358"/>
      <c r="EJ65" s="358"/>
      <c r="EK65" s="358"/>
      <c r="EL65" s="358"/>
      <c r="EM65" s="358"/>
      <c r="EN65" s="358"/>
      <c r="EO65" s="358"/>
      <c r="EP65" s="358"/>
      <c r="EQ65" s="358"/>
      <c r="ER65" s="358"/>
      <c r="ES65" s="358"/>
      <c r="ET65" s="358"/>
      <c r="EU65" s="358"/>
      <c r="EV65" s="358"/>
      <c r="EW65" s="358"/>
      <c r="EX65" s="358"/>
      <c r="EY65" s="358"/>
      <c r="EZ65" s="371"/>
    </row>
    <row r="66" spans="1:156" ht="12" customHeight="1" x14ac:dyDescent="0.25">
      <c r="A66" s="1212"/>
      <c r="B66" s="973"/>
      <c r="C66" s="973"/>
      <c r="D66" s="973"/>
      <c r="E66" s="973"/>
      <c r="F66" s="973"/>
      <c r="G66" s="973"/>
      <c r="H66" s="973"/>
      <c r="I66" s="973"/>
      <c r="J66" s="973"/>
      <c r="K66" s="973"/>
      <c r="L66" s="974"/>
      <c r="AK66" s="357"/>
      <c r="AL66" s="358"/>
      <c r="AM66" s="358"/>
      <c r="AN66" s="358"/>
      <c r="AO66" s="358"/>
      <c r="AP66" s="358"/>
      <c r="AQ66" s="358"/>
      <c r="AR66" s="358"/>
      <c r="AS66" s="358"/>
      <c r="AT66" s="358"/>
      <c r="AU66" s="358"/>
      <c r="AV66" s="358"/>
      <c r="AW66" s="358"/>
      <c r="AX66" s="358"/>
      <c r="AY66" s="358"/>
      <c r="AZ66" s="358"/>
      <c r="BA66" s="358"/>
      <c r="BB66" s="367"/>
      <c r="BC66" s="358"/>
      <c r="BD66" s="358"/>
      <c r="BE66" s="358"/>
      <c r="BF66" s="358"/>
      <c r="BG66" s="358"/>
      <c r="BH66" s="358"/>
      <c r="BI66" s="358"/>
      <c r="BJ66" s="358"/>
      <c r="BK66" s="358"/>
      <c r="BL66" s="358"/>
      <c r="BM66" s="358"/>
      <c r="BN66" s="358"/>
      <c r="BO66" s="358"/>
      <c r="BP66" s="358"/>
      <c r="BQ66" s="358"/>
      <c r="BR66" s="358"/>
      <c r="BS66" s="358"/>
      <c r="BT66" s="358"/>
      <c r="BU66" s="358"/>
      <c r="BV66" s="358"/>
      <c r="BW66" s="358"/>
      <c r="BX66" s="358"/>
      <c r="BY66" s="358"/>
      <c r="BZ66" s="358"/>
      <c r="CA66" s="358"/>
      <c r="CB66" s="358"/>
      <c r="CC66" s="358"/>
      <c r="CD66" s="358"/>
      <c r="CE66" s="358"/>
      <c r="CF66" s="358"/>
      <c r="CG66" s="358"/>
      <c r="CH66" s="358"/>
      <c r="CI66" s="358"/>
      <c r="CJ66" s="358"/>
      <c r="CK66" s="358"/>
      <c r="CL66" s="358"/>
      <c r="CM66" s="358"/>
      <c r="CN66" s="358"/>
      <c r="CO66" s="358"/>
      <c r="CP66" s="358"/>
      <c r="CQ66" s="358"/>
      <c r="CR66" s="358"/>
      <c r="CS66" s="358"/>
      <c r="CT66" s="358"/>
      <c r="CU66" s="358"/>
      <c r="CV66" s="358"/>
      <c r="CW66" s="358"/>
      <c r="CX66" s="358"/>
      <c r="CY66" s="358"/>
      <c r="CZ66" s="358"/>
      <c r="DA66" s="358"/>
      <c r="DB66" s="358"/>
      <c r="DC66" s="358"/>
      <c r="DD66" s="358"/>
      <c r="DE66" s="358"/>
      <c r="DF66" s="358"/>
      <c r="DG66" s="358"/>
      <c r="DH66" s="358"/>
      <c r="DI66" s="358"/>
      <c r="DJ66" s="358"/>
      <c r="DK66" s="358"/>
      <c r="DL66" s="358"/>
      <c r="DM66" s="358"/>
      <c r="DN66" s="358"/>
      <c r="DO66" s="358"/>
      <c r="DP66" s="358"/>
      <c r="DQ66" s="358"/>
      <c r="DR66" s="358"/>
      <c r="DS66" s="358"/>
      <c r="DT66" s="358"/>
      <c r="DU66" s="358"/>
      <c r="DV66" s="358"/>
      <c r="DW66" s="358"/>
      <c r="DX66" s="358"/>
      <c r="DY66" s="358"/>
      <c r="DZ66" s="358"/>
      <c r="EA66" s="358"/>
      <c r="EB66" s="358"/>
      <c r="EC66" s="358"/>
      <c r="ED66" s="358"/>
      <c r="EE66" s="358"/>
      <c r="EF66" s="358"/>
      <c r="EG66" s="358"/>
      <c r="EH66" s="358"/>
      <c r="EI66" s="358"/>
      <c r="EJ66" s="358"/>
      <c r="EK66" s="358"/>
      <c r="EL66" s="358"/>
      <c r="EM66" s="358"/>
      <c r="EN66" s="358"/>
      <c r="EO66" s="358"/>
      <c r="EP66" s="358"/>
      <c r="EQ66" s="358"/>
      <c r="ER66" s="358"/>
      <c r="ES66" s="358"/>
      <c r="ET66" s="358"/>
      <c r="EU66" s="358"/>
      <c r="EV66" s="358"/>
      <c r="EW66" s="358"/>
      <c r="EX66" s="358"/>
      <c r="EY66" s="358"/>
      <c r="EZ66" s="371"/>
    </row>
    <row r="67" spans="1:156" ht="12" customHeight="1" x14ac:dyDescent="0.25">
      <c r="A67" s="1212"/>
      <c r="B67" s="973"/>
      <c r="C67" s="973"/>
      <c r="D67" s="973"/>
      <c r="E67" s="973"/>
      <c r="F67" s="973"/>
      <c r="G67" s="973"/>
      <c r="H67" s="973"/>
      <c r="I67" s="973"/>
      <c r="J67" s="973"/>
      <c r="K67" s="973"/>
      <c r="L67" s="974"/>
      <c r="AK67" s="357"/>
      <c r="AL67" s="358"/>
      <c r="AM67" s="358"/>
      <c r="AN67" s="358"/>
      <c r="AO67" s="358"/>
      <c r="AP67" s="358"/>
      <c r="AQ67" s="358"/>
      <c r="AR67" s="358"/>
      <c r="AS67" s="358"/>
      <c r="AT67" s="358"/>
      <c r="AU67" s="358"/>
      <c r="AV67" s="358"/>
      <c r="AW67" s="358"/>
      <c r="AX67" s="358"/>
      <c r="AY67" s="358"/>
      <c r="AZ67" s="358"/>
      <c r="BA67" s="358"/>
      <c r="BB67" s="367"/>
      <c r="BC67" s="358"/>
      <c r="BD67" s="358"/>
      <c r="BE67" s="358"/>
      <c r="BF67" s="358"/>
      <c r="BG67" s="358"/>
      <c r="BH67" s="358"/>
      <c r="BI67" s="358"/>
      <c r="BJ67" s="358"/>
      <c r="BK67" s="358"/>
      <c r="BL67" s="358"/>
      <c r="BM67" s="358"/>
      <c r="BN67" s="358"/>
      <c r="BO67" s="358"/>
      <c r="BP67" s="358"/>
      <c r="BQ67" s="358"/>
      <c r="BR67" s="358"/>
      <c r="BS67" s="358"/>
      <c r="BT67" s="358"/>
      <c r="BU67" s="358"/>
      <c r="BV67" s="358"/>
      <c r="BW67" s="358"/>
      <c r="BX67" s="358"/>
      <c r="BY67" s="358"/>
      <c r="BZ67" s="358"/>
      <c r="CA67" s="358"/>
      <c r="CB67" s="358"/>
      <c r="CC67" s="358"/>
      <c r="CD67" s="358"/>
      <c r="CE67" s="358"/>
      <c r="CF67" s="358"/>
      <c r="CG67" s="358"/>
      <c r="CH67" s="358"/>
      <c r="CI67" s="358"/>
      <c r="CJ67" s="358"/>
      <c r="CK67" s="358"/>
      <c r="CL67" s="358"/>
      <c r="CM67" s="358"/>
      <c r="CN67" s="358"/>
      <c r="CO67" s="358"/>
      <c r="CP67" s="358"/>
      <c r="CQ67" s="358"/>
      <c r="CR67" s="358"/>
      <c r="CS67" s="358"/>
      <c r="CT67" s="358"/>
      <c r="CU67" s="358"/>
      <c r="CV67" s="358"/>
      <c r="CW67" s="358"/>
      <c r="CX67" s="358"/>
      <c r="CY67" s="358"/>
      <c r="CZ67" s="358"/>
      <c r="DA67" s="358"/>
      <c r="DB67" s="358"/>
      <c r="DC67" s="358"/>
      <c r="DD67" s="358"/>
      <c r="DE67" s="358"/>
      <c r="DF67" s="358"/>
      <c r="DG67" s="358"/>
      <c r="DH67" s="358"/>
      <c r="DI67" s="358"/>
      <c r="DJ67" s="358"/>
      <c r="DK67" s="358"/>
      <c r="DL67" s="358"/>
      <c r="DM67" s="358"/>
      <c r="DN67" s="358"/>
      <c r="DO67" s="358"/>
      <c r="DP67" s="358"/>
      <c r="DQ67" s="358"/>
      <c r="DR67" s="358"/>
      <c r="DS67" s="358"/>
      <c r="DT67" s="358"/>
      <c r="DU67" s="358"/>
      <c r="DV67" s="358"/>
      <c r="DW67" s="358"/>
      <c r="DX67" s="358"/>
      <c r="DY67" s="358"/>
      <c r="DZ67" s="358"/>
      <c r="EA67" s="358"/>
      <c r="EB67" s="358"/>
      <c r="EC67" s="358"/>
      <c r="ED67" s="358"/>
      <c r="EE67" s="358"/>
      <c r="EF67" s="358"/>
      <c r="EG67" s="358"/>
      <c r="EH67" s="358"/>
      <c r="EI67" s="358"/>
      <c r="EJ67" s="358"/>
      <c r="EK67" s="358"/>
      <c r="EL67" s="358"/>
      <c r="EM67" s="358"/>
      <c r="EN67" s="358"/>
      <c r="EO67" s="358"/>
      <c r="EP67" s="358"/>
      <c r="EQ67" s="358"/>
      <c r="ER67" s="358"/>
      <c r="ES67" s="358"/>
      <c r="ET67" s="358"/>
      <c r="EU67" s="358"/>
      <c r="EV67" s="358"/>
      <c r="EW67" s="358"/>
      <c r="EX67" s="358"/>
      <c r="EY67" s="358"/>
      <c r="EZ67" s="371"/>
    </row>
    <row r="68" spans="1:156" ht="12" customHeight="1" x14ac:dyDescent="0.25">
      <c r="A68" s="1212"/>
      <c r="B68" s="973"/>
      <c r="C68" s="973"/>
      <c r="D68" s="973"/>
      <c r="E68" s="973"/>
      <c r="F68" s="973"/>
      <c r="G68" s="973"/>
      <c r="H68" s="973"/>
      <c r="I68" s="973"/>
      <c r="J68" s="973"/>
      <c r="K68" s="973"/>
      <c r="L68" s="974"/>
      <c r="AK68" s="357"/>
      <c r="AL68" s="358"/>
      <c r="AM68" s="358"/>
      <c r="AN68" s="358"/>
      <c r="AO68" s="358"/>
      <c r="AP68" s="358"/>
      <c r="AQ68" s="358"/>
      <c r="AR68" s="358"/>
      <c r="AS68" s="358"/>
      <c r="AT68" s="358"/>
      <c r="AU68" s="358"/>
      <c r="AV68" s="358"/>
      <c r="AW68" s="358"/>
      <c r="AX68" s="358"/>
      <c r="AY68" s="358"/>
      <c r="AZ68" s="358"/>
      <c r="BA68" s="358"/>
      <c r="BB68" s="367"/>
      <c r="BC68" s="358"/>
      <c r="BD68" s="358"/>
      <c r="BE68" s="358"/>
      <c r="BF68" s="358"/>
      <c r="BG68" s="358"/>
      <c r="BH68" s="358"/>
      <c r="BI68" s="358"/>
      <c r="BJ68" s="358"/>
      <c r="BK68" s="358"/>
      <c r="BL68" s="358"/>
      <c r="BM68" s="358"/>
      <c r="BN68" s="358"/>
      <c r="BO68" s="358"/>
      <c r="BP68" s="358"/>
      <c r="BQ68" s="358"/>
      <c r="BR68" s="358"/>
      <c r="BS68" s="358"/>
      <c r="BT68" s="358"/>
      <c r="BU68" s="358"/>
      <c r="BV68" s="358"/>
      <c r="BW68" s="358"/>
      <c r="BX68" s="358"/>
      <c r="BY68" s="358"/>
      <c r="BZ68" s="358"/>
      <c r="CA68" s="358"/>
      <c r="CB68" s="358"/>
      <c r="CC68" s="358"/>
      <c r="CD68" s="358"/>
      <c r="CE68" s="358"/>
      <c r="CF68" s="358"/>
      <c r="CG68" s="358"/>
      <c r="CH68" s="358"/>
      <c r="CI68" s="358"/>
      <c r="CJ68" s="358"/>
      <c r="CK68" s="358"/>
      <c r="CL68" s="358"/>
      <c r="CM68" s="358"/>
      <c r="CN68" s="358"/>
      <c r="CO68" s="358"/>
      <c r="CP68" s="358"/>
      <c r="CQ68" s="358"/>
      <c r="CR68" s="358"/>
      <c r="CS68" s="358"/>
      <c r="CT68" s="358"/>
      <c r="CU68" s="358"/>
      <c r="CV68" s="358"/>
      <c r="CW68" s="358"/>
      <c r="CX68" s="358"/>
      <c r="CY68" s="358"/>
      <c r="CZ68" s="358"/>
      <c r="DA68" s="358"/>
      <c r="DB68" s="358"/>
      <c r="DC68" s="358"/>
      <c r="DD68" s="358"/>
      <c r="DE68" s="358"/>
      <c r="DF68" s="358"/>
      <c r="DG68" s="358"/>
      <c r="DH68" s="358"/>
      <c r="DI68" s="358"/>
      <c r="DJ68" s="358"/>
      <c r="DK68" s="358"/>
      <c r="DL68" s="358"/>
      <c r="DM68" s="358"/>
      <c r="DN68" s="358"/>
      <c r="DO68" s="358"/>
      <c r="DP68" s="358"/>
      <c r="DQ68" s="358"/>
      <c r="DR68" s="358"/>
      <c r="DS68" s="358"/>
      <c r="DT68" s="358"/>
      <c r="DU68" s="358"/>
      <c r="DV68" s="358"/>
      <c r="DW68" s="358"/>
      <c r="DX68" s="358"/>
      <c r="DY68" s="358"/>
      <c r="DZ68" s="358"/>
      <c r="EA68" s="358"/>
      <c r="EB68" s="358"/>
      <c r="EC68" s="358"/>
      <c r="ED68" s="358"/>
      <c r="EE68" s="358"/>
      <c r="EF68" s="358"/>
      <c r="EG68" s="358"/>
      <c r="EH68" s="358"/>
      <c r="EI68" s="358"/>
      <c r="EJ68" s="358"/>
      <c r="EK68" s="358"/>
      <c r="EL68" s="358"/>
      <c r="EM68" s="358"/>
      <c r="EN68" s="358"/>
      <c r="EO68" s="358"/>
      <c r="EP68" s="358"/>
      <c r="EQ68" s="358"/>
      <c r="ER68" s="358"/>
      <c r="ES68" s="358"/>
      <c r="ET68" s="358"/>
      <c r="EU68" s="358"/>
      <c r="EV68" s="358"/>
      <c r="EW68" s="358"/>
      <c r="EX68" s="358"/>
      <c r="EY68" s="358"/>
      <c r="EZ68" s="371"/>
    </row>
    <row r="69" spans="1:156" ht="12" customHeight="1" x14ac:dyDescent="0.25">
      <c r="A69" s="1212"/>
      <c r="B69" s="973"/>
      <c r="C69" s="973"/>
      <c r="D69" s="973"/>
      <c r="E69" s="973"/>
      <c r="F69" s="973"/>
      <c r="G69" s="973"/>
      <c r="H69" s="973"/>
      <c r="I69" s="973"/>
      <c r="J69" s="973"/>
      <c r="K69" s="973"/>
      <c r="L69" s="974"/>
      <c r="AK69" s="357"/>
      <c r="AL69" s="358"/>
      <c r="AM69" s="358"/>
      <c r="AN69" s="358"/>
      <c r="AO69" s="358"/>
      <c r="AP69" s="358"/>
      <c r="AQ69" s="358"/>
      <c r="AR69" s="358"/>
      <c r="AS69" s="358"/>
      <c r="AT69" s="358"/>
      <c r="AU69" s="358"/>
      <c r="AV69" s="358"/>
      <c r="AW69" s="358"/>
      <c r="AX69" s="358"/>
      <c r="AY69" s="358"/>
      <c r="AZ69" s="358"/>
      <c r="BA69" s="358"/>
      <c r="BB69" s="367"/>
      <c r="BC69" s="358"/>
      <c r="BD69" s="358"/>
      <c r="BE69" s="358"/>
      <c r="BF69" s="358"/>
      <c r="BG69" s="358"/>
      <c r="BH69" s="358"/>
      <c r="BI69" s="358"/>
      <c r="BJ69" s="358"/>
      <c r="BK69" s="358"/>
      <c r="BL69" s="358"/>
      <c r="BM69" s="358"/>
      <c r="BN69" s="358"/>
      <c r="BO69" s="358"/>
      <c r="BP69" s="358"/>
      <c r="BQ69" s="358"/>
      <c r="BR69" s="358"/>
      <c r="BS69" s="358"/>
      <c r="BT69" s="358"/>
      <c r="BU69" s="358"/>
      <c r="BV69" s="358"/>
      <c r="BW69" s="358"/>
      <c r="BX69" s="358"/>
      <c r="BY69" s="358"/>
      <c r="BZ69" s="358"/>
      <c r="CA69" s="358"/>
      <c r="CB69" s="358"/>
      <c r="CC69" s="358"/>
      <c r="CD69" s="358"/>
      <c r="CE69" s="358"/>
      <c r="CF69" s="358"/>
      <c r="CG69" s="358"/>
      <c r="CH69" s="358"/>
      <c r="CI69" s="358"/>
      <c r="CJ69" s="358"/>
      <c r="CK69" s="358"/>
      <c r="CL69" s="358"/>
      <c r="CM69" s="358"/>
      <c r="CN69" s="358"/>
      <c r="CO69" s="358"/>
      <c r="CP69" s="358"/>
      <c r="CQ69" s="358"/>
      <c r="CR69" s="358"/>
      <c r="CS69" s="358"/>
      <c r="CT69" s="358"/>
      <c r="CU69" s="358"/>
      <c r="CV69" s="358"/>
      <c r="CW69" s="358"/>
      <c r="CX69" s="358"/>
      <c r="CY69" s="358"/>
      <c r="CZ69" s="358"/>
      <c r="DA69" s="358"/>
      <c r="DB69" s="358"/>
      <c r="DC69" s="358"/>
      <c r="DD69" s="358"/>
      <c r="DE69" s="358"/>
      <c r="DF69" s="358"/>
      <c r="DG69" s="358"/>
      <c r="DH69" s="358"/>
      <c r="DI69" s="358"/>
      <c r="DJ69" s="358"/>
      <c r="DK69" s="358"/>
      <c r="DL69" s="358"/>
      <c r="DM69" s="358"/>
      <c r="DN69" s="358"/>
      <c r="DO69" s="358"/>
      <c r="DP69" s="358"/>
      <c r="DQ69" s="358"/>
      <c r="DR69" s="358"/>
      <c r="DS69" s="358"/>
      <c r="DT69" s="358"/>
      <c r="DU69" s="358"/>
      <c r="DV69" s="358"/>
      <c r="DW69" s="358"/>
      <c r="DX69" s="358"/>
      <c r="DY69" s="358"/>
      <c r="DZ69" s="358"/>
      <c r="EA69" s="358"/>
      <c r="EB69" s="358"/>
      <c r="EC69" s="358"/>
      <c r="ED69" s="358"/>
      <c r="EE69" s="358"/>
      <c r="EF69" s="358"/>
      <c r="EG69" s="358"/>
      <c r="EH69" s="358"/>
      <c r="EI69" s="358"/>
      <c r="EJ69" s="358"/>
      <c r="EK69" s="358"/>
      <c r="EL69" s="358"/>
      <c r="EM69" s="358"/>
      <c r="EN69" s="358"/>
      <c r="EO69" s="358"/>
      <c r="EP69" s="358"/>
      <c r="EQ69" s="358"/>
      <c r="ER69" s="358"/>
      <c r="ES69" s="358"/>
      <c r="ET69" s="358"/>
      <c r="EU69" s="358"/>
      <c r="EV69" s="358"/>
      <c r="EW69" s="358"/>
      <c r="EX69" s="358"/>
      <c r="EY69" s="358"/>
      <c r="EZ69" s="371"/>
    </row>
    <row r="70" spans="1:156" ht="12" customHeight="1" x14ac:dyDescent="0.25">
      <c r="A70" s="1212"/>
      <c r="B70" s="973"/>
      <c r="C70" s="973"/>
      <c r="D70" s="973"/>
      <c r="E70" s="973"/>
      <c r="F70" s="973"/>
      <c r="G70" s="973"/>
      <c r="H70" s="973"/>
      <c r="I70" s="973"/>
      <c r="J70" s="973"/>
      <c r="K70" s="973"/>
      <c r="L70" s="974"/>
      <c r="Q70" s="915"/>
      <c r="R70" s="915"/>
      <c r="S70" s="915"/>
      <c r="T70" s="915"/>
      <c r="U70" s="915"/>
      <c r="V70" s="915"/>
      <c r="W70" s="915"/>
      <c r="X70" s="915"/>
      <c r="Y70" s="915"/>
      <c r="Z70" s="915"/>
      <c r="AA70" s="915"/>
      <c r="AB70" s="915"/>
      <c r="AC70" s="915"/>
      <c r="AD70" s="915"/>
      <c r="AE70" s="915"/>
      <c r="AF70" s="915"/>
      <c r="AG70" s="915"/>
      <c r="AH70" s="915"/>
      <c r="AI70" s="915"/>
      <c r="AK70" s="357"/>
      <c r="AL70" s="358"/>
      <c r="AM70" s="358"/>
      <c r="AN70" s="358"/>
      <c r="AO70" s="358"/>
      <c r="AP70" s="358"/>
      <c r="AQ70" s="358"/>
      <c r="AR70" s="358"/>
      <c r="AS70" s="358"/>
      <c r="AT70" s="358"/>
      <c r="AU70" s="358"/>
      <c r="AV70" s="358"/>
      <c r="AW70" s="358"/>
      <c r="AX70" s="358"/>
      <c r="AY70" s="358"/>
      <c r="AZ70" s="358"/>
      <c r="BA70" s="358"/>
      <c r="BB70" s="367"/>
      <c r="BC70" s="358"/>
      <c r="BD70" s="358"/>
      <c r="BE70" s="358"/>
      <c r="BF70" s="358"/>
      <c r="BG70" s="358"/>
      <c r="BH70" s="358"/>
      <c r="BI70" s="358"/>
      <c r="BJ70" s="358"/>
      <c r="BK70" s="358"/>
      <c r="BL70" s="358"/>
      <c r="BM70" s="358"/>
      <c r="BN70" s="358"/>
      <c r="BO70" s="358"/>
      <c r="BP70" s="358"/>
      <c r="BQ70" s="358"/>
      <c r="BR70" s="358"/>
      <c r="BS70" s="358"/>
      <c r="BT70" s="358"/>
      <c r="BU70" s="358"/>
      <c r="BV70" s="358"/>
      <c r="BW70" s="358"/>
      <c r="BX70" s="358"/>
      <c r="BY70" s="358"/>
      <c r="BZ70" s="358"/>
      <c r="CA70" s="358"/>
      <c r="CB70" s="358"/>
      <c r="CC70" s="358"/>
      <c r="CD70" s="358"/>
      <c r="CE70" s="358"/>
      <c r="CF70" s="358"/>
      <c r="CG70" s="358"/>
      <c r="CH70" s="358"/>
      <c r="CI70" s="358"/>
      <c r="CJ70" s="358"/>
      <c r="CK70" s="358"/>
      <c r="CL70" s="358"/>
      <c r="CM70" s="358"/>
      <c r="CN70" s="358"/>
      <c r="CO70" s="358"/>
      <c r="CP70" s="358"/>
      <c r="CQ70" s="358"/>
      <c r="CR70" s="358"/>
      <c r="CS70" s="358"/>
      <c r="CT70" s="358"/>
      <c r="CU70" s="358"/>
      <c r="CV70" s="358"/>
      <c r="CW70" s="358"/>
      <c r="CX70" s="358"/>
      <c r="CY70" s="358"/>
      <c r="CZ70" s="358"/>
      <c r="DA70" s="358"/>
      <c r="DB70" s="358"/>
      <c r="DC70" s="358"/>
      <c r="DD70" s="358"/>
      <c r="DE70" s="358"/>
      <c r="DF70" s="358"/>
      <c r="DG70" s="358"/>
      <c r="DH70" s="358"/>
      <c r="DI70" s="358"/>
      <c r="DJ70" s="358"/>
      <c r="DK70" s="358"/>
      <c r="DL70" s="358"/>
      <c r="DM70" s="358"/>
      <c r="DN70" s="358"/>
      <c r="DO70" s="358"/>
      <c r="DP70" s="358"/>
      <c r="DQ70" s="358"/>
      <c r="DR70" s="358"/>
      <c r="DS70" s="358"/>
      <c r="DT70" s="358"/>
      <c r="DU70" s="358"/>
      <c r="DV70" s="358"/>
      <c r="DW70" s="358"/>
      <c r="DX70" s="358"/>
      <c r="DY70" s="358"/>
      <c r="DZ70" s="358"/>
      <c r="EA70" s="358"/>
      <c r="EB70" s="358"/>
      <c r="EC70" s="358"/>
      <c r="ED70" s="358"/>
      <c r="EE70" s="358"/>
      <c r="EF70" s="358"/>
      <c r="EG70" s="358"/>
      <c r="EH70" s="358"/>
      <c r="EI70" s="358"/>
      <c r="EJ70" s="358"/>
      <c r="EK70" s="358"/>
      <c r="EL70" s="358"/>
      <c r="EM70" s="358"/>
      <c r="EN70" s="358"/>
      <c r="EO70" s="358"/>
      <c r="EP70" s="358"/>
      <c r="EQ70" s="358"/>
      <c r="ER70" s="358"/>
      <c r="ES70" s="358"/>
      <c r="ET70" s="358"/>
      <c r="EU70" s="358"/>
      <c r="EV70" s="358"/>
      <c r="EW70" s="358"/>
      <c r="EX70" s="358"/>
      <c r="EY70" s="358"/>
      <c r="EZ70" s="371"/>
    </row>
    <row r="71" spans="1:156" ht="12" customHeight="1" x14ac:dyDescent="0.25">
      <c r="A71" s="1212"/>
      <c r="B71" s="973"/>
      <c r="C71" s="973"/>
      <c r="D71" s="973"/>
      <c r="E71" s="973"/>
      <c r="F71" s="973"/>
      <c r="G71" s="973"/>
      <c r="H71" s="973"/>
      <c r="I71" s="973"/>
      <c r="J71" s="973"/>
      <c r="K71" s="973"/>
      <c r="L71" s="974"/>
      <c r="Q71" s="916"/>
      <c r="R71" s="916"/>
      <c r="S71" s="916"/>
      <c r="T71" s="916"/>
      <c r="U71" s="916"/>
      <c r="V71" s="916"/>
      <c r="W71" s="916"/>
      <c r="X71" s="916"/>
      <c r="Z71" s="916"/>
      <c r="AA71" s="916"/>
      <c r="AB71" s="916"/>
      <c r="AC71" s="916"/>
      <c r="AD71" s="916"/>
      <c r="AF71" s="917"/>
      <c r="AG71" s="917"/>
      <c r="AH71" s="917"/>
      <c r="AI71" s="917"/>
      <c r="AK71" s="357"/>
      <c r="AL71" s="358"/>
      <c r="AM71" s="358"/>
      <c r="AN71" s="358"/>
      <c r="AO71" s="358"/>
      <c r="AP71" s="358"/>
      <c r="AQ71" s="358"/>
      <c r="AR71" s="358"/>
      <c r="AS71" s="358"/>
      <c r="AT71" s="358"/>
      <c r="AU71" s="358"/>
      <c r="AV71" s="358"/>
      <c r="AW71" s="358"/>
      <c r="AX71" s="358"/>
      <c r="AY71" s="358"/>
      <c r="AZ71" s="358"/>
      <c r="BA71" s="358"/>
      <c r="BB71" s="367"/>
      <c r="BC71" s="358"/>
      <c r="BD71" s="358"/>
      <c r="BE71" s="358"/>
      <c r="BF71" s="358"/>
      <c r="BG71" s="358"/>
      <c r="BH71" s="358"/>
      <c r="BI71" s="358"/>
      <c r="BJ71" s="358"/>
      <c r="BK71" s="358"/>
      <c r="BL71" s="358"/>
      <c r="BM71" s="358"/>
      <c r="BN71" s="358"/>
      <c r="BO71" s="358"/>
      <c r="BP71" s="358"/>
      <c r="BQ71" s="358"/>
      <c r="BR71" s="358"/>
      <c r="BS71" s="358"/>
      <c r="BT71" s="358"/>
      <c r="BU71" s="358"/>
      <c r="BV71" s="358"/>
      <c r="BW71" s="358"/>
      <c r="BX71" s="358"/>
      <c r="BY71" s="358"/>
      <c r="BZ71" s="358"/>
      <c r="CA71" s="358"/>
      <c r="CB71" s="358"/>
      <c r="CC71" s="358"/>
      <c r="CD71" s="358"/>
      <c r="CE71" s="358"/>
      <c r="CF71" s="358"/>
      <c r="CG71" s="358"/>
      <c r="CH71" s="358"/>
      <c r="CI71" s="358"/>
      <c r="CJ71" s="358"/>
      <c r="CK71" s="358"/>
      <c r="CL71" s="358"/>
      <c r="CM71" s="358"/>
      <c r="CN71" s="358"/>
      <c r="CO71" s="358"/>
      <c r="CP71" s="358"/>
      <c r="CQ71" s="358"/>
      <c r="CR71" s="358"/>
      <c r="CS71" s="358"/>
      <c r="CT71" s="358"/>
      <c r="CU71" s="358"/>
      <c r="CV71" s="358"/>
      <c r="CW71" s="358"/>
      <c r="CX71" s="358"/>
      <c r="CY71" s="358"/>
      <c r="CZ71" s="358"/>
      <c r="DA71" s="358"/>
      <c r="DB71" s="358"/>
      <c r="DC71" s="358"/>
      <c r="DD71" s="358"/>
      <c r="DE71" s="358"/>
      <c r="DF71" s="358"/>
      <c r="DG71" s="358"/>
      <c r="DH71" s="358"/>
      <c r="DI71" s="358"/>
      <c r="DJ71" s="358"/>
      <c r="DK71" s="358"/>
      <c r="DL71" s="358"/>
      <c r="DM71" s="358"/>
      <c r="DN71" s="358"/>
      <c r="DO71" s="358"/>
      <c r="DP71" s="358"/>
      <c r="DQ71" s="358"/>
      <c r="DR71" s="358"/>
      <c r="DS71" s="358"/>
      <c r="DT71" s="358"/>
      <c r="DU71" s="358"/>
      <c r="DV71" s="358"/>
      <c r="DW71" s="358"/>
      <c r="DX71" s="358"/>
      <c r="DY71" s="358"/>
      <c r="DZ71" s="358"/>
      <c r="EA71" s="358"/>
      <c r="EB71" s="358"/>
      <c r="EC71" s="358"/>
      <c r="ED71" s="358"/>
      <c r="EE71" s="358"/>
      <c r="EF71" s="358"/>
      <c r="EG71" s="358"/>
      <c r="EH71" s="358"/>
      <c r="EI71" s="358"/>
      <c r="EJ71" s="358"/>
      <c r="EK71" s="358"/>
      <c r="EL71" s="358"/>
      <c r="EM71" s="358"/>
      <c r="EN71" s="358"/>
      <c r="EO71" s="358"/>
      <c r="EP71" s="358"/>
      <c r="EQ71" s="358"/>
      <c r="ER71" s="358"/>
      <c r="ES71" s="358"/>
      <c r="ET71" s="358"/>
      <c r="EU71" s="358"/>
      <c r="EV71" s="358"/>
      <c r="EW71" s="358"/>
      <c r="EX71" s="358"/>
      <c r="EY71" s="358"/>
      <c r="EZ71" s="371"/>
    </row>
    <row r="72" spans="1:156" ht="12" customHeight="1" x14ac:dyDescent="0.25">
      <c r="A72" s="1213"/>
      <c r="B72" s="1425"/>
      <c r="C72" s="1425"/>
      <c r="D72" s="1425"/>
      <c r="E72" s="1425"/>
      <c r="F72" s="912"/>
      <c r="G72" s="1425"/>
      <c r="H72" s="1425"/>
      <c r="I72" s="1425"/>
      <c r="J72" s="1425"/>
      <c r="K72" s="1425"/>
      <c r="L72" s="974"/>
      <c r="Q72" s="918"/>
      <c r="R72" s="918"/>
      <c r="S72" s="918"/>
      <c r="T72" s="918"/>
      <c r="U72" s="918"/>
      <c r="V72" s="918"/>
      <c r="W72" s="918"/>
      <c r="X72" s="918"/>
      <c r="Z72" s="918"/>
      <c r="AA72" s="918"/>
      <c r="AB72" s="918"/>
      <c r="AC72" s="918"/>
      <c r="AD72" s="918"/>
      <c r="AF72" s="918"/>
      <c r="AG72" s="918"/>
      <c r="AH72" s="918"/>
      <c r="AI72" s="918"/>
      <c r="AK72" s="357"/>
      <c r="AL72" s="358"/>
      <c r="AM72" s="358"/>
      <c r="AN72" s="358"/>
      <c r="AO72" s="358"/>
      <c r="AP72" s="358"/>
      <c r="AQ72" s="358"/>
      <c r="AR72" s="358"/>
      <c r="AS72" s="358"/>
      <c r="AT72" s="358"/>
      <c r="AU72" s="358"/>
      <c r="AV72" s="358"/>
      <c r="AW72" s="358"/>
      <c r="AX72" s="358"/>
      <c r="AY72" s="358"/>
      <c r="AZ72" s="358"/>
      <c r="BA72" s="358"/>
      <c r="BB72" s="367"/>
      <c r="BC72" s="358"/>
      <c r="BD72" s="358"/>
      <c r="BE72" s="358"/>
      <c r="BF72" s="358"/>
      <c r="BG72" s="358"/>
      <c r="BH72" s="358"/>
      <c r="BI72" s="358"/>
      <c r="BJ72" s="358"/>
      <c r="BK72" s="358"/>
      <c r="BL72" s="358"/>
      <c r="BM72" s="358"/>
      <c r="BN72" s="358"/>
      <c r="BO72" s="358"/>
      <c r="BP72" s="358"/>
      <c r="BQ72" s="358"/>
      <c r="BR72" s="358"/>
      <c r="BS72" s="358"/>
      <c r="BT72" s="358"/>
      <c r="BU72" s="358"/>
      <c r="BV72" s="358"/>
      <c r="BW72" s="358"/>
      <c r="BX72" s="358"/>
      <c r="BY72" s="358"/>
      <c r="BZ72" s="358"/>
      <c r="CA72" s="358"/>
      <c r="CB72" s="358"/>
      <c r="CC72" s="358"/>
      <c r="CD72" s="358"/>
      <c r="CE72" s="358"/>
      <c r="CF72" s="358"/>
      <c r="CG72" s="358"/>
      <c r="CH72" s="358"/>
      <c r="CI72" s="358"/>
      <c r="CJ72" s="358"/>
      <c r="CK72" s="358"/>
      <c r="CL72" s="358"/>
      <c r="CM72" s="358"/>
      <c r="CN72" s="358"/>
      <c r="CO72" s="358"/>
      <c r="CP72" s="358"/>
      <c r="CQ72" s="358"/>
      <c r="CR72" s="358"/>
      <c r="CS72" s="358"/>
      <c r="CT72" s="358"/>
      <c r="CU72" s="358"/>
      <c r="CV72" s="358"/>
      <c r="CW72" s="358"/>
      <c r="CX72" s="358"/>
      <c r="CY72" s="358"/>
      <c r="CZ72" s="358"/>
      <c r="DA72" s="358"/>
      <c r="DB72" s="358"/>
      <c r="DC72" s="358"/>
      <c r="DD72" s="358"/>
      <c r="DE72" s="358"/>
      <c r="DF72" s="358"/>
      <c r="DG72" s="358"/>
      <c r="DH72" s="358"/>
      <c r="DI72" s="358"/>
      <c r="DJ72" s="358"/>
      <c r="DK72" s="358"/>
      <c r="DL72" s="358"/>
      <c r="DM72" s="358"/>
      <c r="DN72" s="358"/>
      <c r="DO72" s="358"/>
      <c r="DP72" s="358"/>
      <c r="DQ72" s="358"/>
      <c r="DR72" s="358"/>
      <c r="DS72" s="358"/>
      <c r="DT72" s="358"/>
      <c r="DU72" s="358"/>
      <c r="DV72" s="358"/>
      <c r="DW72" s="358"/>
      <c r="DX72" s="358"/>
      <c r="DY72" s="358"/>
      <c r="DZ72" s="358"/>
      <c r="EA72" s="358"/>
      <c r="EB72" s="358"/>
      <c r="EC72" s="358"/>
      <c r="ED72" s="358"/>
      <c r="EE72" s="358"/>
      <c r="EF72" s="358"/>
      <c r="EG72" s="358"/>
      <c r="EH72" s="358"/>
      <c r="EI72" s="358"/>
      <c r="EJ72" s="358"/>
      <c r="EK72" s="358"/>
      <c r="EL72" s="358"/>
      <c r="EM72" s="358"/>
      <c r="EN72" s="358"/>
      <c r="EO72" s="358"/>
      <c r="EP72" s="358"/>
      <c r="EQ72" s="358"/>
      <c r="ER72" s="358"/>
      <c r="ES72" s="358"/>
      <c r="ET72" s="358"/>
      <c r="EU72" s="358"/>
      <c r="EV72" s="358"/>
      <c r="EW72" s="358"/>
      <c r="EX72" s="358"/>
      <c r="EY72" s="358"/>
      <c r="EZ72" s="371"/>
    </row>
    <row r="73" spans="1:156" ht="12" customHeight="1" x14ac:dyDescent="0.25">
      <c r="A73" s="1214"/>
      <c r="B73" s="1418" t="s">
        <v>190</v>
      </c>
      <c r="C73" s="1418"/>
      <c r="D73" s="1418"/>
      <c r="E73" s="1418"/>
      <c r="F73" s="913"/>
      <c r="G73" s="1418" t="s">
        <v>191</v>
      </c>
      <c r="H73" s="1418"/>
      <c r="I73" s="1418"/>
      <c r="J73" s="1418"/>
      <c r="K73" s="1418"/>
      <c r="L73" s="974"/>
      <c r="AK73" s="357"/>
      <c r="AL73" s="358"/>
      <c r="AM73" s="358"/>
      <c r="AN73" s="358"/>
      <c r="AO73" s="358"/>
      <c r="AP73" s="358"/>
      <c r="AQ73" s="358"/>
      <c r="AR73" s="358"/>
      <c r="AS73" s="358"/>
      <c r="AT73" s="358"/>
      <c r="AU73" s="358"/>
      <c r="AV73" s="358"/>
      <c r="AW73" s="358"/>
      <c r="AX73" s="358"/>
      <c r="AY73" s="358"/>
      <c r="AZ73" s="358"/>
      <c r="BA73" s="358"/>
      <c r="BB73" s="367"/>
      <c r="BC73" s="358"/>
      <c r="BD73" s="358"/>
      <c r="BE73" s="358"/>
      <c r="BF73" s="358"/>
      <c r="BG73" s="358"/>
      <c r="BH73" s="358"/>
      <c r="BI73" s="358"/>
      <c r="BJ73" s="358"/>
      <c r="BK73" s="358"/>
      <c r="BL73" s="358"/>
      <c r="BM73" s="358"/>
      <c r="BN73" s="358"/>
      <c r="BO73" s="358"/>
      <c r="BP73" s="358"/>
      <c r="BQ73" s="358"/>
      <c r="BR73" s="358"/>
      <c r="BS73" s="358"/>
      <c r="BT73" s="358"/>
      <c r="BU73" s="358"/>
      <c r="BV73" s="358"/>
      <c r="BW73" s="358"/>
      <c r="BX73" s="358"/>
      <c r="BY73" s="358"/>
      <c r="BZ73" s="358"/>
      <c r="CA73" s="358"/>
      <c r="CB73" s="358"/>
      <c r="CC73" s="358"/>
      <c r="CD73" s="358"/>
      <c r="CE73" s="358"/>
      <c r="CF73" s="358"/>
      <c r="CG73" s="358"/>
      <c r="CH73" s="358"/>
      <c r="CI73" s="358"/>
      <c r="CJ73" s="358"/>
      <c r="CK73" s="358"/>
      <c r="CL73" s="358"/>
      <c r="CM73" s="358"/>
      <c r="CN73" s="358"/>
      <c r="CO73" s="358"/>
      <c r="CP73" s="358"/>
      <c r="CQ73" s="358"/>
      <c r="CR73" s="358"/>
      <c r="CS73" s="358"/>
      <c r="CT73" s="358"/>
      <c r="CU73" s="358"/>
      <c r="CV73" s="358"/>
      <c r="CW73" s="358"/>
      <c r="CX73" s="358"/>
      <c r="CY73" s="358"/>
      <c r="CZ73" s="358"/>
      <c r="DA73" s="358"/>
      <c r="DB73" s="358"/>
      <c r="DC73" s="358"/>
      <c r="DD73" s="358"/>
      <c r="DE73" s="358"/>
      <c r="DF73" s="358"/>
      <c r="DG73" s="358"/>
      <c r="DH73" s="358"/>
      <c r="DI73" s="358"/>
      <c r="DJ73" s="358"/>
      <c r="DK73" s="358"/>
      <c r="DL73" s="358"/>
      <c r="DM73" s="358"/>
      <c r="DN73" s="358"/>
      <c r="DO73" s="358"/>
      <c r="DP73" s="358"/>
      <c r="DQ73" s="358"/>
      <c r="DR73" s="358"/>
      <c r="DS73" s="358"/>
      <c r="DT73" s="358"/>
      <c r="DU73" s="358"/>
      <c r="DV73" s="358"/>
      <c r="DW73" s="358"/>
      <c r="DX73" s="358"/>
      <c r="DY73" s="358"/>
      <c r="DZ73" s="358"/>
      <c r="EA73" s="358"/>
      <c r="EB73" s="358"/>
      <c r="EC73" s="358"/>
      <c r="ED73" s="358"/>
      <c r="EE73" s="358"/>
      <c r="EF73" s="358"/>
      <c r="EG73" s="358"/>
      <c r="EH73" s="358"/>
      <c r="EI73" s="358"/>
      <c r="EJ73" s="358"/>
      <c r="EK73" s="358"/>
      <c r="EL73" s="358"/>
      <c r="EM73" s="358"/>
      <c r="EN73" s="358"/>
      <c r="EO73" s="358"/>
      <c r="EP73" s="358"/>
      <c r="EQ73" s="358"/>
      <c r="ER73" s="358"/>
      <c r="ES73" s="358"/>
      <c r="ET73" s="358"/>
      <c r="EU73" s="358"/>
      <c r="EV73" s="358"/>
      <c r="EW73" s="358"/>
      <c r="EX73" s="358"/>
      <c r="EY73" s="358"/>
      <c r="EZ73" s="371"/>
    </row>
    <row r="74" spans="1:156" ht="12" customHeight="1" x14ac:dyDescent="0.25">
      <c r="A74" s="1212"/>
      <c r="B74" s="973"/>
      <c r="C74" s="973"/>
      <c r="D74" s="973"/>
      <c r="E74" s="973"/>
      <c r="F74" s="973"/>
      <c r="G74" s="973"/>
      <c r="H74" s="973"/>
      <c r="I74" s="973"/>
      <c r="J74" s="973"/>
      <c r="K74" s="973"/>
      <c r="L74" s="974"/>
      <c r="AK74" s="357"/>
      <c r="AL74" s="358"/>
      <c r="AM74" s="358"/>
      <c r="AN74" s="358"/>
      <c r="AO74" s="358"/>
      <c r="AP74" s="358"/>
      <c r="AQ74" s="358"/>
      <c r="AR74" s="358"/>
      <c r="AS74" s="358"/>
      <c r="AT74" s="358"/>
      <c r="AU74" s="358"/>
      <c r="AV74" s="358"/>
      <c r="AW74" s="358"/>
      <c r="AX74" s="358"/>
      <c r="AY74" s="358"/>
      <c r="AZ74" s="358"/>
      <c r="BA74" s="358"/>
      <c r="BB74" s="367"/>
      <c r="BC74" s="358"/>
      <c r="BD74" s="358"/>
      <c r="BE74" s="358"/>
      <c r="BF74" s="358"/>
      <c r="BG74" s="358"/>
      <c r="BH74" s="358"/>
      <c r="BI74" s="358"/>
      <c r="BJ74" s="358"/>
      <c r="BK74" s="358"/>
      <c r="BL74" s="358"/>
      <c r="BM74" s="358"/>
      <c r="BN74" s="358"/>
      <c r="BO74" s="358"/>
      <c r="BP74" s="358"/>
      <c r="BQ74" s="358"/>
      <c r="BR74" s="358"/>
      <c r="BS74" s="358"/>
      <c r="BT74" s="358"/>
      <c r="BU74" s="358"/>
      <c r="BV74" s="358"/>
      <c r="BW74" s="358"/>
      <c r="BX74" s="358"/>
      <c r="BY74" s="358"/>
      <c r="BZ74" s="358"/>
      <c r="CA74" s="358"/>
      <c r="CB74" s="358"/>
      <c r="CC74" s="358"/>
      <c r="CD74" s="358"/>
      <c r="CE74" s="358"/>
      <c r="CF74" s="358"/>
      <c r="CG74" s="358"/>
      <c r="CH74" s="358"/>
      <c r="CI74" s="358"/>
      <c r="CJ74" s="358"/>
      <c r="CK74" s="358"/>
      <c r="CL74" s="358"/>
      <c r="CM74" s="358"/>
      <c r="CN74" s="358"/>
      <c r="CO74" s="358"/>
      <c r="CP74" s="358"/>
      <c r="CQ74" s="358"/>
      <c r="CR74" s="358"/>
      <c r="CS74" s="358"/>
      <c r="CT74" s="358"/>
      <c r="CU74" s="358"/>
      <c r="CV74" s="358"/>
      <c r="CW74" s="358"/>
      <c r="CX74" s="358"/>
      <c r="CY74" s="358"/>
      <c r="CZ74" s="358"/>
      <c r="DA74" s="358"/>
      <c r="DB74" s="358"/>
      <c r="DC74" s="358"/>
      <c r="DD74" s="358"/>
      <c r="DE74" s="358"/>
      <c r="DF74" s="358"/>
      <c r="DG74" s="358"/>
      <c r="DH74" s="358"/>
      <c r="DI74" s="358"/>
      <c r="DJ74" s="358"/>
      <c r="DK74" s="358"/>
      <c r="DL74" s="358"/>
      <c r="DM74" s="358"/>
      <c r="DN74" s="358"/>
      <c r="DO74" s="358"/>
      <c r="DP74" s="358"/>
      <c r="DQ74" s="358"/>
      <c r="DR74" s="358"/>
      <c r="DS74" s="358"/>
      <c r="DT74" s="358"/>
      <c r="DU74" s="358"/>
      <c r="DV74" s="358"/>
      <c r="DW74" s="358"/>
      <c r="DX74" s="358"/>
      <c r="DY74" s="358"/>
      <c r="DZ74" s="358"/>
      <c r="EA74" s="358"/>
      <c r="EB74" s="358"/>
      <c r="EC74" s="358"/>
      <c r="ED74" s="358"/>
      <c r="EE74" s="358"/>
      <c r="EF74" s="358"/>
      <c r="EG74" s="358"/>
      <c r="EH74" s="358"/>
      <c r="EI74" s="358"/>
      <c r="EJ74" s="358"/>
      <c r="EK74" s="358"/>
      <c r="EL74" s="358"/>
      <c r="EM74" s="358"/>
      <c r="EN74" s="358"/>
      <c r="EO74" s="358"/>
      <c r="EP74" s="358"/>
      <c r="EQ74" s="358"/>
      <c r="ER74" s="358"/>
      <c r="ES74" s="358"/>
      <c r="ET74" s="358"/>
      <c r="EU74" s="358"/>
      <c r="EV74" s="358"/>
      <c r="EW74" s="358"/>
      <c r="EX74" s="358"/>
      <c r="EY74" s="358"/>
      <c r="EZ74" s="371"/>
    </row>
    <row r="75" spans="1:156" ht="15" customHeight="1" x14ac:dyDescent="0.25">
      <c r="A75" s="1696" t="s">
        <v>192</v>
      </c>
      <c r="B75" s="1697"/>
      <c r="C75" s="1697"/>
      <c r="D75" s="1697"/>
      <c r="E75" s="1697"/>
      <c r="F75" s="1697"/>
      <c r="G75" s="1697"/>
      <c r="H75" s="1697"/>
      <c r="I75" s="1697"/>
      <c r="J75" s="1698"/>
      <c r="K75" s="1472" t="s">
        <v>151</v>
      </c>
      <c r="L75" s="1473"/>
      <c r="R75" s="910"/>
      <c r="S75" s="910"/>
      <c r="T75" s="910"/>
      <c r="U75" s="910"/>
      <c r="V75" s="910"/>
      <c r="W75" s="910"/>
      <c r="X75" s="910"/>
      <c r="Y75" s="910"/>
      <c r="Z75" s="910"/>
      <c r="AA75" s="910"/>
      <c r="AB75" s="910"/>
      <c r="AC75" s="910"/>
      <c r="AD75" s="910"/>
      <c r="AE75" s="910"/>
      <c r="AF75" s="911"/>
      <c r="AG75" s="911"/>
      <c r="AH75" s="910"/>
      <c r="AK75" s="357"/>
      <c r="AL75" s="358"/>
      <c r="AM75" s="358"/>
      <c r="AN75" s="358"/>
      <c r="AO75" s="358"/>
      <c r="AP75" s="358"/>
      <c r="AQ75" s="358"/>
      <c r="AR75" s="358"/>
      <c r="AS75" s="358"/>
      <c r="AT75" s="358"/>
      <c r="AU75" s="358"/>
      <c r="AV75" s="358"/>
      <c r="AW75" s="358"/>
      <c r="AX75" s="358"/>
      <c r="AY75" s="358"/>
      <c r="AZ75" s="358"/>
      <c r="BA75" s="358"/>
      <c r="BB75" s="367"/>
      <c r="BC75" s="358"/>
      <c r="BD75" s="358"/>
      <c r="BE75" s="358"/>
      <c r="BF75" s="358"/>
      <c r="BG75" s="358"/>
      <c r="BH75" s="358"/>
      <c r="BI75" s="358"/>
      <c r="BJ75" s="358"/>
      <c r="BK75" s="358"/>
      <c r="BL75" s="358"/>
      <c r="BM75" s="358"/>
      <c r="BN75" s="358"/>
      <c r="BO75" s="358"/>
      <c r="BP75" s="358"/>
      <c r="BQ75" s="358"/>
      <c r="BR75" s="358"/>
      <c r="BS75" s="358"/>
      <c r="BT75" s="358"/>
      <c r="BU75" s="358"/>
      <c r="BV75" s="358"/>
      <c r="BW75" s="358"/>
      <c r="BX75" s="358"/>
      <c r="BY75" s="358"/>
      <c r="BZ75" s="358"/>
      <c r="CA75" s="358"/>
      <c r="CB75" s="358"/>
      <c r="CC75" s="358"/>
      <c r="CD75" s="358"/>
      <c r="CE75" s="358"/>
      <c r="CF75" s="358"/>
      <c r="CG75" s="358"/>
      <c r="CH75" s="358"/>
      <c r="CI75" s="358"/>
      <c r="CJ75" s="358"/>
      <c r="CK75" s="358"/>
      <c r="CL75" s="358"/>
      <c r="CM75" s="358"/>
      <c r="CN75" s="358"/>
      <c r="CO75" s="358"/>
      <c r="CP75" s="358"/>
      <c r="CQ75" s="358"/>
      <c r="CR75" s="358"/>
      <c r="CS75" s="358"/>
      <c r="CT75" s="358"/>
      <c r="CU75" s="358"/>
      <c r="CV75" s="358"/>
      <c r="CW75" s="358"/>
      <c r="CX75" s="358"/>
      <c r="CY75" s="358"/>
      <c r="CZ75" s="358"/>
      <c r="DA75" s="358"/>
      <c r="DB75" s="358"/>
      <c r="DC75" s="358"/>
      <c r="DD75" s="358"/>
      <c r="DE75" s="358"/>
      <c r="DF75" s="358"/>
      <c r="DG75" s="358"/>
      <c r="DH75" s="358"/>
      <c r="DI75" s="358"/>
      <c r="DJ75" s="358"/>
      <c r="DK75" s="358"/>
      <c r="DL75" s="358"/>
      <c r="DM75" s="358"/>
      <c r="DN75" s="358"/>
      <c r="DO75" s="358"/>
      <c r="DP75" s="358"/>
      <c r="DQ75" s="358"/>
      <c r="DR75" s="358"/>
      <c r="DS75" s="358"/>
      <c r="DT75" s="358"/>
      <c r="DU75" s="358"/>
      <c r="DV75" s="358"/>
      <c r="DW75" s="358"/>
      <c r="DX75" s="358"/>
      <c r="DY75" s="358"/>
      <c r="DZ75" s="358"/>
      <c r="EA75" s="358"/>
      <c r="EB75" s="358"/>
      <c r="EC75" s="358"/>
      <c r="ED75" s="358"/>
      <c r="EE75" s="358"/>
      <c r="EF75" s="358"/>
      <c r="EG75" s="358"/>
      <c r="EH75" s="358"/>
      <c r="EI75" s="358"/>
      <c r="EJ75" s="358"/>
      <c r="EK75" s="358"/>
      <c r="EL75" s="358"/>
      <c r="EM75" s="358"/>
      <c r="EN75" s="358"/>
      <c r="EO75" s="358"/>
      <c r="EP75" s="358"/>
      <c r="EQ75" s="358"/>
      <c r="ER75" s="358"/>
      <c r="ES75" s="358"/>
      <c r="ET75" s="358"/>
      <c r="EU75" s="358"/>
      <c r="EV75" s="358"/>
      <c r="EW75" s="358"/>
      <c r="EX75" s="358"/>
      <c r="EY75" s="358"/>
      <c r="EZ75" s="371"/>
    </row>
    <row r="76" spans="1:156" ht="15" customHeight="1" x14ac:dyDescent="0.25">
      <c r="A76" s="1607"/>
      <c r="B76" s="1608"/>
      <c r="C76" s="1608"/>
      <c r="D76" s="1608"/>
      <c r="E76" s="1608"/>
      <c r="F76" s="1608"/>
      <c r="G76" s="1608"/>
      <c r="H76" s="1608"/>
      <c r="I76" s="1608"/>
      <c r="J76" s="1609"/>
      <c r="K76" s="1139"/>
      <c r="L76" s="1149">
        <f ca="1">IF(OR($N$8="",$N$8=0),"",IF(INDIRECT(ADDRESS(($AK157),COLUMN()-7,,,"Digitar Dados dos Ensaios"))&lt;&gt;"",INDIRECT(ADDRESS(($AK157),COLUMN()-7,,,"Digitar Dados dos Ensaios")),""))</f>
        <v>1</v>
      </c>
      <c r="AK76" s="357"/>
      <c r="AL76" s="358"/>
      <c r="AM76" s="358"/>
      <c r="AN76" s="358"/>
      <c r="AO76" s="358"/>
      <c r="AP76" s="358"/>
      <c r="AQ76" s="358"/>
      <c r="AR76" s="358"/>
      <c r="AS76" s="358"/>
      <c r="AT76" s="358"/>
      <c r="AU76" s="358"/>
      <c r="AV76" s="358"/>
      <c r="AW76" s="358"/>
      <c r="AX76" s="358"/>
      <c r="AY76" s="358"/>
      <c r="AZ76" s="358"/>
      <c r="BA76" s="358"/>
      <c r="BB76" s="367"/>
      <c r="BC76" s="358"/>
      <c r="BD76" s="358"/>
      <c r="BE76" s="358"/>
      <c r="BF76" s="358"/>
      <c r="BG76" s="358"/>
      <c r="BH76" s="358"/>
      <c r="BI76" s="358"/>
      <c r="BJ76" s="358"/>
      <c r="BK76" s="358"/>
      <c r="BL76" s="358"/>
      <c r="BM76" s="358"/>
      <c r="BN76" s="358"/>
      <c r="BO76" s="358"/>
      <c r="BP76" s="358"/>
      <c r="BQ76" s="358"/>
      <c r="BR76" s="358"/>
      <c r="BS76" s="358"/>
      <c r="BT76" s="358"/>
      <c r="BU76" s="358"/>
      <c r="BV76" s="358"/>
      <c r="BW76" s="358"/>
      <c r="BX76" s="358"/>
      <c r="BY76" s="358"/>
      <c r="BZ76" s="358"/>
      <c r="CA76" s="358"/>
      <c r="CB76" s="358"/>
      <c r="CC76" s="358"/>
      <c r="CD76" s="358"/>
      <c r="CE76" s="358"/>
      <c r="CF76" s="358"/>
      <c r="CG76" s="358"/>
      <c r="CH76" s="358"/>
      <c r="CI76" s="358"/>
      <c r="CJ76" s="358"/>
      <c r="CK76" s="358"/>
      <c r="CL76" s="358"/>
      <c r="CM76" s="358"/>
      <c r="CN76" s="358"/>
      <c r="CO76" s="358"/>
      <c r="CP76" s="358"/>
      <c r="CQ76" s="358"/>
      <c r="CR76" s="358"/>
      <c r="CS76" s="358"/>
      <c r="CT76" s="358"/>
      <c r="CU76" s="358"/>
      <c r="CV76" s="358"/>
      <c r="CW76" s="358"/>
      <c r="CX76" s="358"/>
      <c r="CY76" s="358"/>
      <c r="CZ76" s="358"/>
      <c r="DA76" s="358"/>
      <c r="DB76" s="358"/>
      <c r="DC76" s="358"/>
      <c r="DD76" s="358"/>
      <c r="DE76" s="358"/>
      <c r="DF76" s="358"/>
      <c r="DG76" s="358"/>
      <c r="DH76" s="358"/>
      <c r="DI76" s="358"/>
      <c r="DJ76" s="358"/>
      <c r="DK76" s="358"/>
      <c r="DL76" s="358"/>
      <c r="DM76" s="358"/>
      <c r="DN76" s="358"/>
      <c r="DO76" s="358"/>
      <c r="DP76" s="358"/>
      <c r="DQ76" s="358"/>
      <c r="DR76" s="358"/>
      <c r="DS76" s="358"/>
      <c r="DT76" s="358"/>
      <c r="DU76" s="358"/>
      <c r="DV76" s="358"/>
      <c r="DW76" s="358"/>
      <c r="DX76" s="358"/>
      <c r="DY76" s="358"/>
      <c r="DZ76" s="358"/>
      <c r="EA76" s="358"/>
      <c r="EB76" s="358"/>
      <c r="EC76" s="358"/>
      <c r="ED76" s="358"/>
      <c r="EE76" s="358"/>
      <c r="EF76" s="358"/>
      <c r="EG76" s="358"/>
      <c r="EH76" s="358"/>
      <c r="EI76" s="358"/>
      <c r="EJ76" s="358"/>
      <c r="EK76" s="358"/>
      <c r="EL76" s="358"/>
      <c r="EM76" s="358"/>
      <c r="EN76" s="358"/>
      <c r="EO76" s="358"/>
      <c r="EP76" s="358"/>
      <c r="EQ76" s="358"/>
      <c r="ER76" s="358"/>
      <c r="ES76" s="358"/>
      <c r="ET76" s="358"/>
      <c r="EU76" s="358"/>
      <c r="EV76" s="358"/>
      <c r="EW76" s="358"/>
      <c r="EX76" s="358"/>
      <c r="EY76" s="358"/>
      <c r="EZ76" s="371"/>
    </row>
    <row r="77" spans="1:156" ht="15" customHeight="1" x14ac:dyDescent="0.25">
      <c r="A77" s="1607"/>
      <c r="B77" s="1608"/>
      <c r="C77" s="1608"/>
      <c r="D77" s="1608"/>
      <c r="E77" s="1608"/>
      <c r="F77" s="1608"/>
      <c r="G77" s="1608"/>
      <c r="H77" s="1608"/>
      <c r="I77" s="1608"/>
      <c r="J77" s="1608"/>
      <c r="K77" s="1458" t="s">
        <v>57</v>
      </c>
      <c r="L77" s="1459"/>
      <c r="AK77" s="357"/>
      <c r="AL77" s="358"/>
      <c r="AM77" s="358"/>
      <c r="AN77" s="358"/>
      <c r="AO77" s="358"/>
      <c r="AP77" s="358"/>
      <c r="AQ77" s="358"/>
      <c r="AR77" s="358"/>
      <c r="AS77" s="358"/>
      <c r="AT77" s="358"/>
      <c r="AU77" s="358"/>
      <c r="AV77" s="358"/>
      <c r="AW77" s="358"/>
      <c r="AX77" s="358"/>
      <c r="AY77" s="358"/>
      <c r="AZ77" s="358"/>
      <c r="BA77" s="358"/>
      <c r="BB77" s="367"/>
      <c r="BC77" s="358"/>
      <c r="BD77" s="358"/>
      <c r="BE77" s="358"/>
      <c r="BF77" s="358"/>
      <c r="BG77" s="358"/>
      <c r="BH77" s="358"/>
      <c r="BI77" s="358"/>
      <c r="BJ77" s="358"/>
      <c r="BK77" s="358"/>
      <c r="BL77" s="358"/>
      <c r="BM77" s="358"/>
      <c r="BN77" s="358"/>
      <c r="BO77" s="358"/>
      <c r="BP77" s="358"/>
      <c r="BQ77" s="358"/>
      <c r="BR77" s="358"/>
      <c r="BS77" s="358"/>
      <c r="BT77" s="358"/>
      <c r="BU77" s="358"/>
      <c r="BV77" s="358"/>
      <c r="BW77" s="358"/>
      <c r="BX77" s="358"/>
      <c r="BY77" s="358"/>
      <c r="BZ77" s="358"/>
      <c r="CA77" s="358"/>
      <c r="CB77" s="358"/>
      <c r="CC77" s="358"/>
      <c r="CD77" s="358"/>
      <c r="CE77" s="358"/>
      <c r="CF77" s="358"/>
      <c r="CG77" s="358"/>
      <c r="CH77" s="358"/>
      <c r="CI77" s="358"/>
      <c r="CJ77" s="358"/>
      <c r="CK77" s="358"/>
      <c r="CL77" s="358"/>
      <c r="CM77" s="358"/>
      <c r="CN77" s="358"/>
      <c r="CO77" s="358"/>
      <c r="CP77" s="358"/>
      <c r="CQ77" s="358"/>
      <c r="CR77" s="358"/>
      <c r="CS77" s="358"/>
      <c r="CT77" s="358"/>
      <c r="CU77" s="358"/>
      <c r="CV77" s="358"/>
      <c r="CW77" s="358"/>
      <c r="CX77" s="358"/>
      <c r="CY77" s="358"/>
      <c r="CZ77" s="358"/>
      <c r="DA77" s="358"/>
      <c r="DB77" s="358"/>
      <c r="DC77" s="358"/>
      <c r="DD77" s="358"/>
      <c r="DE77" s="358"/>
      <c r="DF77" s="358"/>
      <c r="DG77" s="358"/>
      <c r="DH77" s="358"/>
      <c r="DI77" s="358"/>
      <c r="DJ77" s="358"/>
      <c r="DK77" s="358"/>
      <c r="DL77" s="358"/>
      <c r="DM77" s="358"/>
      <c r="DN77" s="358"/>
      <c r="DO77" s="358"/>
      <c r="DP77" s="358"/>
      <c r="DQ77" s="358"/>
      <c r="DR77" s="358"/>
      <c r="DS77" s="358"/>
      <c r="DT77" s="358"/>
      <c r="DU77" s="358"/>
      <c r="DV77" s="358"/>
      <c r="DW77" s="358"/>
      <c r="DX77" s="358"/>
      <c r="DY77" s="358"/>
      <c r="DZ77" s="358"/>
      <c r="EA77" s="358"/>
      <c r="EB77" s="358"/>
      <c r="EC77" s="358"/>
      <c r="ED77" s="358"/>
      <c r="EE77" s="358"/>
      <c r="EF77" s="358"/>
      <c r="EG77" s="358"/>
      <c r="EH77" s="358"/>
      <c r="EI77" s="358"/>
      <c r="EJ77" s="358"/>
      <c r="EK77" s="358"/>
      <c r="EL77" s="358"/>
      <c r="EM77" s="358"/>
      <c r="EN77" s="358"/>
      <c r="EO77" s="358"/>
      <c r="EP77" s="358"/>
      <c r="EQ77" s="358"/>
      <c r="ER77" s="358"/>
      <c r="ES77" s="358"/>
      <c r="ET77" s="358"/>
      <c r="EU77" s="358"/>
      <c r="EV77" s="358"/>
      <c r="EW77" s="358"/>
      <c r="EX77" s="358"/>
      <c r="EY77" s="358"/>
      <c r="EZ77" s="371"/>
    </row>
    <row r="78" spans="1:156" ht="15" customHeight="1" x14ac:dyDescent="0.25">
      <c r="A78" s="1699"/>
      <c r="B78" s="1700"/>
      <c r="C78" s="1700"/>
      <c r="D78" s="1700"/>
      <c r="E78" s="1700"/>
      <c r="F78" s="1700"/>
      <c r="G78" s="1700"/>
      <c r="H78" s="1700"/>
      <c r="I78" s="1700"/>
      <c r="J78" s="1701"/>
      <c r="K78" s="1694" t="str">
        <f>IF(K11&lt;&gt;"",K11,"")</f>
        <v/>
      </c>
      <c r="L78" s="1695" t="str">
        <f>IF(E77&lt;&gt;0,E77,"")</f>
        <v/>
      </c>
      <c r="AK78" s="357"/>
      <c r="AL78" s="358"/>
      <c r="AM78" s="358"/>
      <c r="AN78" s="358"/>
      <c r="AO78" s="358"/>
      <c r="AP78" s="358"/>
      <c r="AQ78" s="358"/>
      <c r="AR78" s="358"/>
      <c r="AS78" s="358"/>
      <c r="AT78" s="358"/>
      <c r="AU78" s="358"/>
      <c r="AV78" s="358"/>
      <c r="AW78" s="358"/>
      <c r="AX78" s="358"/>
      <c r="AY78" s="358"/>
      <c r="AZ78" s="358"/>
      <c r="BA78" s="358"/>
      <c r="BB78" s="367"/>
      <c r="BC78" s="358"/>
      <c r="BD78" s="358"/>
      <c r="BE78" s="358"/>
      <c r="BF78" s="358"/>
      <c r="BG78" s="358"/>
      <c r="BH78" s="358"/>
      <c r="BI78" s="358"/>
      <c r="BJ78" s="358"/>
      <c r="BK78" s="358"/>
      <c r="BL78" s="358"/>
      <c r="BM78" s="358"/>
      <c r="BN78" s="358"/>
      <c r="BO78" s="358"/>
      <c r="BP78" s="358"/>
      <c r="BQ78" s="358"/>
      <c r="BR78" s="358"/>
      <c r="BS78" s="358"/>
      <c r="BT78" s="358"/>
      <c r="BU78" s="358"/>
      <c r="BV78" s="358"/>
      <c r="BW78" s="358"/>
      <c r="BX78" s="358"/>
      <c r="BY78" s="358"/>
      <c r="BZ78" s="358"/>
      <c r="CA78" s="358"/>
      <c r="CB78" s="358"/>
      <c r="CC78" s="358"/>
      <c r="CD78" s="358"/>
      <c r="CE78" s="358"/>
      <c r="CF78" s="358"/>
      <c r="CG78" s="358"/>
      <c r="CH78" s="358"/>
      <c r="CI78" s="358"/>
      <c r="CJ78" s="358"/>
      <c r="CK78" s="358"/>
      <c r="CL78" s="358"/>
      <c r="CM78" s="358"/>
      <c r="CN78" s="358"/>
      <c r="CO78" s="358"/>
      <c r="CP78" s="358"/>
      <c r="CQ78" s="358"/>
      <c r="CR78" s="358"/>
      <c r="CS78" s="358"/>
      <c r="CT78" s="358"/>
      <c r="CU78" s="358"/>
      <c r="CV78" s="358"/>
      <c r="CW78" s="358"/>
      <c r="CX78" s="358"/>
      <c r="CY78" s="358"/>
      <c r="CZ78" s="358"/>
      <c r="DA78" s="358"/>
      <c r="DB78" s="358"/>
      <c r="DC78" s="358"/>
      <c r="DD78" s="358"/>
      <c r="DE78" s="358"/>
      <c r="DF78" s="358"/>
      <c r="DG78" s="358"/>
      <c r="DH78" s="358"/>
      <c r="DI78" s="358"/>
      <c r="DJ78" s="358"/>
      <c r="DK78" s="358"/>
      <c r="DL78" s="358"/>
      <c r="DM78" s="358"/>
      <c r="DN78" s="358"/>
      <c r="DO78" s="358"/>
      <c r="DP78" s="358"/>
      <c r="DQ78" s="358"/>
      <c r="DR78" s="358"/>
      <c r="DS78" s="358"/>
      <c r="DT78" s="358"/>
      <c r="DU78" s="358"/>
      <c r="DV78" s="358"/>
      <c r="DW78" s="358"/>
      <c r="DX78" s="358"/>
      <c r="DY78" s="358"/>
      <c r="DZ78" s="358"/>
      <c r="EA78" s="358"/>
      <c r="EB78" s="358"/>
      <c r="EC78" s="358"/>
      <c r="ED78" s="358"/>
      <c r="EE78" s="358"/>
      <c r="EF78" s="358"/>
      <c r="EG78" s="358"/>
      <c r="EH78" s="358"/>
      <c r="EI78" s="358"/>
      <c r="EJ78" s="358"/>
      <c r="EK78" s="358"/>
      <c r="EL78" s="358"/>
      <c r="EM78" s="358"/>
      <c r="EN78" s="358"/>
      <c r="EO78" s="358"/>
      <c r="EP78" s="358"/>
      <c r="EQ78" s="358"/>
      <c r="ER78" s="358"/>
      <c r="ES78" s="358"/>
      <c r="ET78" s="358"/>
      <c r="EU78" s="358"/>
      <c r="EV78" s="358"/>
      <c r="EW78" s="358"/>
      <c r="EX78" s="358"/>
      <c r="EY78" s="358"/>
      <c r="EZ78" s="371"/>
    </row>
    <row r="79" spans="1:156" ht="20" x14ac:dyDescent="0.25">
      <c r="A79" s="1460" t="s">
        <v>193</v>
      </c>
      <c r="B79" s="1461"/>
      <c r="C79" s="1461"/>
      <c r="D79" s="1461"/>
      <c r="E79" s="1461"/>
      <c r="F79" s="1461"/>
      <c r="G79" s="1461"/>
      <c r="H79" s="1461"/>
      <c r="I79" s="1461"/>
      <c r="J79" s="1461"/>
      <c r="K79" s="1461"/>
      <c r="L79" s="1462"/>
      <c r="AK79" s="357"/>
      <c r="AL79" s="358"/>
      <c r="AM79" s="358"/>
      <c r="AN79" s="358"/>
      <c r="AO79" s="358"/>
      <c r="AP79" s="358"/>
      <c r="AQ79" s="358"/>
      <c r="AR79" s="358"/>
      <c r="AS79" s="358"/>
      <c r="AT79" s="358"/>
      <c r="AU79" s="358"/>
      <c r="AV79" s="358"/>
      <c r="AW79" s="358"/>
      <c r="AX79" s="358"/>
      <c r="AY79" s="358"/>
      <c r="AZ79" s="358"/>
      <c r="BA79" s="358"/>
      <c r="BB79" s="367"/>
      <c r="BC79" s="358"/>
      <c r="BD79" s="358"/>
      <c r="BE79" s="358"/>
      <c r="BF79" s="358"/>
      <c r="BG79" s="358"/>
      <c r="BH79" s="358"/>
      <c r="BI79" s="358"/>
      <c r="BJ79" s="358"/>
      <c r="BK79" s="358"/>
      <c r="BL79" s="358"/>
      <c r="BM79" s="358"/>
      <c r="BN79" s="358"/>
      <c r="BO79" s="358"/>
      <c r="BP79" s="358"/>
      <c r="BQ79" s="358"/>
      <c r="BR79" s="358"/>
      <c r="BS79" s="358"/>
      <c r="BT79" s="358"/>
      <c r="BU79" s="358"/>
      <c r="BV79" s="358"/>
      <c r="BW79" s="358"/>
      <c r="BX79" s="358"/>
      <c r="BY79" s="358"/>
      <c r="BZ79" s="358"/>
      <c r="CA79" s="358"/>
      <c r="CB79" s="358"/>
      <c r="CC79" s="358"/>
      <c r="CD79" s="358"/>
      <c r="CE79" s="358"/>
      <c r="CF79" s="358"/>
      <c r="CG79" s="358"/>
      <c r="CH79" s="358"/>
      <c r="CI79" s="358"/>
      <c r="CJ79" s="358"/>
      <c r="CK79" s="358"/>
      <c r="CL79" s="358"/>
      <c r="CM79" s="358"/>
      <c r="CN79" s="358"/>
      <c r="CO79" s="358"/>
      <c r="CP79" s="358"/>
      <c r="CQ79" s="358"/>
      <c r="CR79" s="358"/>
      <c r="CS79" s="358"/>
      <c r="CT79" s="358"/>
      <c r="CU79" s="358"/>
      <c r="CV79" s="358"/>
      <c r="CW79" s="358"/>
      <c r="CX79" s="358"/>
      <c r="CY79" s="358"/>
      <c r="CZ79" s="358"/>
      <c r="DA79" s="358"/>
      <c r="DB79" s="358"/>
      <c r="DC79" s="358"/>
      <c r="DD79" s="358"/>
      <c r="DE79" s="358"/>
      <c r="DF79" s="358"/>
      <c r="DG79" s="358"/>
      <c r="DH79" s="358"/>
      <c r="DI79" s="358"/>
      <c r="DJ79" s="358"/>
      <c r="DK79" s="358"/>
      <c r="DL79" s="358"/>
      <c r="DM79" s="358"/>
      <c r="DN79" s="358"/>
      <c r="DO79" s="358"/>
      <c r="DP79" s="358"/>
      <c r="DQ79" s="358"/>
      <c r="DR79" s="358"/>
      <c r="DS79" s="358"/>
      <c r="DT79" s="358"/>
      <c r="DU79" s="358"/>
      <c r="DV79" s="358"/>
      <c r="DW79" s="358"/>
      <c r="DX79" s="358"/>
      <c r="DY79" s="358"/>
      <c r="DZ79" s="358"/>
      <c r="EA79" s="358"/>
      <c r="EB79" s="358"/>
      <c r="EC79" s="358"/>
      <c r="ED79" s="358"/>
      <c r="EE79" s="358"/>
      <c r="EF79" s="358"/>
      <c r="EG79" s="358"/>
      <c r="EH79" s="358"/>
      <c r="EI79" s="358"/>
      <c r="EJ79" s="358"/>
      <c r="EK79" s="358"/>
      <c r="EL79" s="358"/>
      <c r="EM79" s="358"/>
      <c r="EN79" s="358"/>
      <c r="EO79" s="358"/>
      <c r="EP79" s="358"/>
      <c r="EQ79" s="358"/>
      <c r="ER79" s="358"/>
      <c r="ES79" s="358"/>
      <c r="ET79" s="358"/>
      <c r="EU79" s="358"/>
      <c r="EV79" s="358"/>
      <c r="EW79" s="358"/>
      <c r="EX79" s="358"/>
      <c r="EY79" s="358"/>
      <c r="EZ79" s="371"/>
    </row>
    <row r="80" spans="1:156" x14ac:dyDescent="0.25">
      <c r="A80" s="1655" t="s">
        <v>194</v>
      </c>
      <c r="B80" s="1656"/>
      <c r="C80" s="1656"/>
      <c r="D80" s="1656"/>
      <c r="E80" s="1656"/>
      <c r="F80" s="1656"/>
      <c r="G80" s="1656"/>
      <c r="H80" s="1656"/>
      <c r="I80" s="1656"/>
      <c r="J80" s="1656"/>
      <c r="K80" s="1656"/>
      <c r="L80" s="1657"/>
      <c r="AK80" s="357"/>
      <c r="AL80" s="358"/>
      <c r="AM80" s="358"/>
      <c r="AN80" s="358"/>
      <c r="AO80" s="358"/>
      <c r="AP80" s="358"/>
      <c r="AQ80" s="358"/>
      <c r="AR80" s="358"/>
      <c r="AS80" s="358"/>
      <c r="AT80" s="358"/>
      <c r="AU80" s="358"/>
      <c r="AV80" s="358"/>
      <c r="AW80" s="358"/>
      <c r="AX80" s="358"/>
      <c r="AY80" s="358"/>
      <c r="AZ80" s="358"/>
      <c r="BA80" s="358"/>
      <c r="BB80" s="367"/>
      <c r="BC80" s="358"/>
      <c r="BD80" s="358"/>
      <c r="BE80" s="358"/>
      <c r="BF80" s="358"/>
      <c r="BG80" s="358"/>
      <c r="BH80" s="358"/>
      <c r="BI80" s="358"/>
      <c r="BJ80" s="358"/>
      <c r="BK80" s="358"/>
      <c r="BL80" s="358"/>
      <c r="BM80" s="358"/>
      <c r="BN80" s="358"/>
      <c r="BO80" s="358"/>
      <c r="BP80" s="358"/>
      <c r="BQ80" s="358"/>
      <c r="BR80" s="358"/>
      <c r="BS80" s="358"/>
      <c r="BT80" s="358"/>
      <c r="BU80" s="358"/>
      <c r="BV80" s="358"/>
      <c r="BW80" s="358"/>
      <c r="BX80" s="358"/>
      <c r="BY80" s="358"/>
      <c r="BZ80" s="358"/>
      <c r="CA80" s="358"/>
      <c r="CB80" s="358"/>
      <c r="CC80" s="358"/>
      <c r="CD80" s="358"/>
      <c r="CE80" s="358"/>
      <c r="CF80" s="358"/>
      <c r="CG80" s="358"/>
      <c r="CH80" s="358"/>
      <c r="CI80" s="358"/>
      <c r="CJ80" s="358"/>
      <c r="CK80" s="358"/>
      <c r="CL80" s="358"/>
      <c r="CM80" s="358"/>
      <c r="CN80" s="358"/>
      <c r="CO80" s="358"/>
      <c r="CP80" s="358"/>
      <c r="CQ80" s="358"/>
      <c r="CR80" s="358"/>
      <c r="CS80" s="358"/>
      <c r="CT80" s="358"/>
      <c r="CU80" s="358"/>
      <c r="CV80" s="358"/>
      <c r="CW80" s="358"/>
      <c r="CX80" s="358"/>
      <c r="CY80" s="358"/>
      <c r="CZ80" s="358"/>
      <c r="DA80" s="358"/>
      <c r="DB80" s="358"/>
      <c r="DC80" s="358"/>
      <c r="DD80" s="358"/>
      <c r="DE80" s="358"/>
      <c r="DF80" s="358"/>
      <c r="DG80" s="358"/>
      <c r="DH80" s="358"/>
      <c r="DI80" s="358"/>
      <c r="DJ80" s="358"/>
      <c r="DK80" s="358"/>
      <c r="DL80" s="358"/>
      <c r="DM80" s="358"/>
      <c r="DN80" s="358"/>
      <c r="DO80" s="358"/>
      <c r="DP80" s="358"/>
      <c r="DQ80" s="358"/>
      <c r="DR80" s="358"/>
      <c r="DS80" s="358"/>
      <c r="DT80" s="358"/>
      <c r="DU80" s="358"/>
      <c r="DV80" s="358"/>
      <c r="DW80" s="358"/>
      <c r="DX80" s="358"/>
      <c r="DY80" s="358"/>
      <c r="DZ80" s="358"/>
      <c r="EA80" s="358"/>
      <c r="EB80" s="358"/>
      <c r="EC80" s="358"/>
      <c r="ED80" s="358"/>
      <c r="EE80" s="358"/>
      <c r="EF80" s="358"/>
      <c r="EG80" s="358"/>
      <c r="EH80" s="358"/>
      <c r="EI80" s="358"/>
      <c r="EJ80" s="358"/>
      <c r="EK80" s="358"/>
      <c r="EL80" s="358"/>
      <c r="EM80" s="358"/>
      <c r="EN80" s="358"/>
      <c r="EO80" s="358"/>
      <c r="EP80" s="358"/>
      <c r="EQ80" s="358"/>
      <c r="ER80" s="358"/>
      <c r="ES80" s="358"/>
      <c r="ET80" s="358"/>
      <c r="EU80" s="358"/>
      <c r="EV80" s="358"/>
      <c r="EW80" s="358"/>
      <c r="EX80" s="358"/>
      <c r="EY80" s="358"/>
      <c r="EZ80" s="371"/>
    </row>
    <row r="81" spans="1:156" ht="15.75" customHeight="1" x14ac:dyDescent="0.25">
      <c r="A81" s="1631" t="s">
        <v>195</v>
      </c>
      <c r="B81" s="1632"/>
      <c r="C81" s="976" t="str">
        <f ca="1">IF(B13&lt;&gt;"",B13,"")</f>
        <v/>
      </c>
      <c r="D81" s="975" t="s">
        <v>156</v>
      </c>
      <c r="E81" s="1633" t="str">
        <f ca="1">IF(E13&lt;&gt;"",E13,"")</f>
        <v>-</v>
      </c>
      <c r="F81" s="1634" t="str">
        <f ca="1">IF(F13&lt;&gt;"",F13,"")</f>
        <v>Marque com X se a Compactação é</v>
      </c>
      <c r="G81" s="975" t="s">
        <v>196</v>
      </c>
      <c r="H81" s="1635" t="str">
        <f ca="1">IF(H13&lt;&gt;"",H13,"")</f>
        <v>AVALIAR</v>
      </c>
      <c r="I81" s="1635"/>
      <c r="J81" s="1635"/>
      <c r="K81" s="1635"/>
      <c r="L81" s="1636"/>
      <c r="AK81" s="357"/>
      <c r="AL81" s="358"/>
      <c r="AM81" s="358"/>
      <c r="AN81" s="358"/>
      <c r="AO81" s="358"/>
      <c r="AP81" s="358"/>
      <c r="AQ81" s="358"/>
      <c r="AR81" s="358"/>
      <c r="AS81" s="358"/>
      <c r="AT81" s="358"/>
      <c r="AU81" s="358"/>
      <c r="AV81" s="358"/>
      <c r="AW81" s="358"/>
      <c r="AX81" s="358"/>
      <c r="AY81" s="358"/>
      <c r="AZ81" s="358"/>
      <c r="BA81" s="358"/>
      <c r="BB81" s="367"/>
      <c r="BC81" s="358"/>
      <c r="BD81" s="358"/>
      <c r="BE81" s="358"/>
      <c r="BF81" s="358"/>
      <c r="BG81" s="358"/>
      <c r="BH81" s="358"/>
      <c r="BI81" s="358"/>
      <c r="BJ81" s="358"/>
      <c r="BK81" s="358"/>
      <c r="BL81" s="358"/>
      <c r="BM81" s="358"/>
      <c r="BN81" s="358"/>
      <c r="BO81" s="358"/>
      <c r="BP81" s="358"/>
      <c r="BQ81" s="358"/>
      <c r="BR81" s="358"/>
      <c r="BS81" s="358"/>
      <c r="BT81" s="358"/>
      <c r="BU81" s="358"/>
      <c r="BV81" s="358"/>
      <c r="BW81" s="358"/>
      <c r="BX81" s="358"/>
      <c r="BY81" s="358"/>
      <c r="BZ81" s="358"/>
      <c r="CA81" s="358"/>
      <c r="CB81" s="358"/>
      <c r="CC81" s="358"/>
      <c r="CD81" s="358"/>
      <c r="CE81" s="358"/>
      <c r="CF81" s="358"/>
      <c r="CG81" s="358"/>
      <c r="CH81" s="358"/>
      <c r="CI81" s="358"/>
      <c r="CJ81" s="358"/>
      <c r="CK81" s="358"/>
      <c r="CL81" s="358"/>
      <c r="CM81" s="358"/>
      <c r="CN81" s="358"/>
      <c r="CO81" s="358"/>
      <c r="CP81" s="358"/>
      <c r="CQ81" s="358"/>
      <c r="CR81" s="358"/>
      <c r="CS81" s="358"/>
      <c r="CT81" s="358"/>
      <c r="CU81" s="358"/>
      <c r="CV81" s="358"/>
      <c r="CW81" s="358"/>
      <c r="CX81" s="358"/>
      <c r="CY81" s="358"/>
      <c r="CZ81" s="358"/>
      <c r="DA81" s="358"/>
      <c r="DB81" s="358"/>
      <c r="DC81" s="358"/>
      <c r="DD81" s="358"/>
      <c r="DE81" s="358"/>
      <c r="DF81" s="358"/>
      <c r="DG81" s="358"/>
      <c r="DH81" s="358"/>
      <c r="DI81" s="358"/>
      <c r="DJ81" s="358"/>
      <c r="DK81" s="358"/>
      <c r="DL81" s="358"/>
      <c r="DM81" s="358"/>
      <c r="DN81" s="358"/>
      <c r="DO81" s="358"/>
      <c r="DP81" s="358"/>
      <c r="DQ81" s="358"/>
      <c r="DR81" s="358"/>
      <c r="DS81" s="358"/>
      <c r="DT81" s="358"/>
      <c r="DU81" s="358"/>
      <c r="DV81" s="358"/>
      <c r="DW81" s="358"/>
      <c r="DX81" s="358"/>
      <c r="DY81" s="358"/>
      <c r="DZ81" s="358"/>
      <c r="EA81" s="358"/>
      <c r="EB81" s="358"/>
      <c r="EC81" s="358"/>
      <c r="ED81" s="358"/>
      <c r="EE81" s="358"/>
      <c r="EF81" s="358"/>
      <c r="EG81" s="358"/>
      <c r="EH81" s="358"/>
      <c r="EI81" s="358"/>
      <c r="EJ81" s="358"/>
      <c r="EK81" s="358"/>
      <c r="EL81" s="358"/>
      <c r="EM81" s="358"/>
      <c r="EN81" s="358"/>
      <c r="EO81" s="358"/>
      <c r="EP81" s="358"/>
      <c r="EQ81" s="358"/>
      <c r="ER81" s="358"/>
      <c r="ES81" s="358"/>
      <c r="ET81" s="358"/>
      <c r="EU81" s="358"/>
      <c r="EV81" s="358"/>
      <c r="EW81" s="358"/>
      <c r="EX81" s="358"/>
      <c r="EY81" s="358"/>
      <c r="EZ81" s="371"/>
    </row>
    <row r="82" spans="1:156" ht="4.5" customHeight="1" x14ac:dyDescent="0.25">
      <c r="A82" s="1637"/>
      <c r="B82" s="1638"/>
      <c r="C82" s="1638"/>
      <c r="D82" s="1638"/>
      <c r="E82" s="1638"/>
      <c r="F82" s="1638"/>
      <c r="G82" s="1638"/>
      <c r="H82" s="1638"/>
      <c r="I82" s="1638"/>
      <c r="J82" s="1638"/>
      <c r="K82" s="1638"/>
      <c r="L82" s="1639"/>
      <c r="AK82" s="357"/>
      <c r="AL82" s="358"/>
      <c r="AM82" s="358"/>
      <c r="AN82" s="358"/>
      <c r="AO82" s="358"/>
      <c r="AP82" s="358"/>
      <c r="AQ82" s="358"/>
      <c r="AR82" s="358"/>
      <c r="AS82" s="358"/>
      <c r="AT82" s="358"/>
      <c r="AU82" s="358"/>
      <c r="AV82" s="358"/>
      <c r="AW82" s="358"/>
      <c r="AX82" s="358"/>
      <c r="AY82" s="358"/>
      <c r="AZ82" s="358"/>
      <c r="BA82" s="358"/>
      <c r="BB82" s="367"/>
      <c r="BC82" s="358"/>
      <c r="BD82" s="358"/>
      <c r="BE82" s="358"/>
      <c r="BF82" s="358"/>
      <c r="BG82" s="358"/>
      <c r="BH82" s="358"/>
      <c r="BI82" s="358"/>
      <c r="BJ82" s="358"/>
      <c r="BK82" s="358"/>
      <c r="BL82" s="358"/>
      <c r="BM82" s="358"/>
      <c r="BN82" s="358"/>
      <c r="BO82" s="358"/>
      <c r="BP82" s="358"/>
      <c r="BQ82" s="358"/>
      <c r="BR82" s="358"/>
      <c r="BS82" s="358"/>
      <c r="BT82" s="358"/>
      <c r="BU82" s="358"/>
      <c r="BV82" s="358"/>
      <c r="BW82" s="358"/>
      <c r="BX82" s="358"/>
      <c r="BY82" s="358"/>
      <c r="BZ82" s="358"/>
      <c r="CA82" s="358"/>
      <c r="CB82" s="358"/>
      <c r="CC82" s="358"/>
      <c r="CD82" s="358"/>
      <c r="CE82" s="358"/>
      <c r="CF82" s="358"/>
      <c r="CG82" s="358"/>
      <c r="CH82" s="358"/>
      <c r="CI82" s="358"/>
      <c r="CJ82" s="358"/>
      <c r="CK82" s="358"/>
      <c r="CL82" s="358"/>
      <c r="CM82" s="358"/>
      <c r="CN82" s="358"/>
      <c r="CO82" s="358"/>
      <c r="CP82" s="358"/>
      <c r="CQ82" s="358"/>
      <c r="CR82" s="358"/>
      <c r="CS82" s="358"/>
      <c r="CT82" s="358"/>
      <c r="CU82" s="358"/>
      <c r="CV82" s="358"/>
      <c r="CW82" s="358"/>
      <c r="CX82" s="358"/>
      <c r="CY82" s="358"/>
      <c r="CZ82" s="358"/>
      <c r="DA82" s="358"/>
      <c r="DB82" s="358"/>
      <c r="DC82" s="358"/>
      <c r="DD82" s="358"/>
      <c r="DE82" s="358"/>
      <c r="DF82" s="358"/>
      <c r="DG82" s="358"/>
      <c r="DH82" s="358"/>
      <c r="DI82" s="358"/>
      <c r="DJ82" s="358"/>
      <c r="DK82" s="358"/>
      <c r="DL82" s="358"/>
      <c r="DM82" s="358"/>
      <c r="DN82" s="358"/>
      <c r="DO82" s="358"/>
      <c r="DP82" s="358"/>
      <c r="DQ82" s="358"/>
      <c r="DR82" s="358"/>
      <c r="DS82" s="358"/>
      <c r="DT82" s="358"/>
      <c r="DU82" s="358"/>
      <c r="DV82" s="358"/>
      <c r="DW82" s="358"/>
      <c r="DX82" s="358"/>
      <c r="DY82" s="358"/>
      <c r="DZ82" s="358"/>
      <c r="EA82" s="358"/>
      <c r="EB82" s="358"/>
      <c r="EC82" s="358"/>
      <c r="ED82" s="358"/>
      <c r="EE82" s="358"/>
      <c r="EF82" s="358"/>
      <c r="EG82" s="358"/>
      <c r="EH82" s="358"/>
      <c r="EI82" s="358"/>
      <c r="EJ82" s="358"/>
      <c r="EK82" s="358"/>
      <c r="EL82" s="358"/>
      <c r="EM82" s="358"/>
      <c r="EN82" s="358"/>
      <c r="EO82" s="358"/>
      <c r="EP82" s="358"/>
      <c r="EQ82" s="358"/>
      <c r="ER82" s="358"/>
      <c r="ES82" s="358"/>
      <c r="ET82" s="358"/>
      <c r="EU82" s="358"/>
      <c r="EV82" s="358"/>
      <c r="EW82" s="358"/>
      <c r="EX82" s="358"/>
      <c r="EY82" s="358"/>
      <c r="EZ82" s="371"/>
    </row>
    <row r="83" spans="1:156" s="262" customFormat="1" ht="10" customHeight="1" x14ac:dyDescent="0.25">
      <c r="A83" s="1640" t="s">
        <v>197</v>
      </c>
      <c r="B83" s="1641"/>
      <c r="C83" s="1641"/>
      <c r="D83" s="1641"/>
      <c r="E83" s="1642"/>
      <c r="F83" s="1151"/>
      <c r="G83" s="1643" t="s">
        <v>198</v>
      </c>
      <c r="H83" s="1644"/>
      <c r="I83" s="1644"/>
      <c r="J83" s="1644"/>
      <c r="K83" s="1644"/>
      <c r="L83" s="1645"/>
      <c r="AK83" s="357"/>
      <c r="AL83" s="358"/>
      <c r="AM83" s="358"/>
      <c r="AN83" s="358"/>
      <c r="AO83" s="358"/>
      <c r="AP83" s="358"/>
      <c r="AQ83" s="358"/>
      <c r="AR83" s="358"/>
      <c r="AS83" s="358"/>
      <c r="AT83" s="358"/>
      <c r="AU83" s="358"/>
      <c r="AV83" s="358"/>
      <c r="AW83" s="358"/>
      <c r="AX83" s="358"/>
      <c r="AY83" s="358"/>
      <c r="AZ83" s="358"/>
      <c r="BA83" s="358"/>
      <c r="BB83" s="367"/>
      <c r="BC83" s="358"/>
      <c r="BD83" s="358"/>
      <c r="BE83" s="358"/>
      <c r="BF83" s="358"/>
      <c r="BG83" s="358"/>
      <c r="BH83" s="358"/>
      <c r="BI83" s="358"/>
      <c r="BJ83" s="358"/>
      <c r="BK83" s="358"/>
      <c r="BL83" s="358"/>
      <c r="BM83" s="358"/>
      <c r="BN83" s="358"/>
      <c r="BO83" s="358"/>
      <c r="BP83" s="358"/>
      <c r="BQ83" s="358"/>
      <c r="BR83" s="358"/>
      <c r="BS83" s="358"/>
      <c r="BT83" s="358"/>
      <c r="BU83" s="358"/>
      <c r="BV83" s="358"/>
      <c r="BW83" s="358"/>
      <c r="BX83" s="358"/>
      <c r="BY83" s="358"/>
      <c r="BZ83" s="358"/>
      <c r="CA83" s="358"/>
      <c r="CB83" s="358"/>
      <c r="CC83" s="358"/>
      <c r="CD83" s="358"/>
      <c r="CE83" s="358"/>
      <c r="CF83" s="358"/>
      <c r="CG83" s="358"/>
      <c r="CH83" s="358"/>
      <c r="CI83" s="358"/>
      <c r="CJ83" s="358"/>
      <c r="CK83" s="358"/>
      <c r="CL83" s="358"/>
      <c r="CM83" s="358"/>
      <c r="CN83" s="358"/>
      <c r="CO83" s="358"/>
      <c r="CP83" s="358"/>
      <c r="CQ83" s="358"/>
      <c r="CR83" s="358"/>
      <c r="CS83" s="358"/>
      <c r="CT83" s="358"/>
      <c r="CU83" s="358"/>
      <c r="CV83" s="358"/>
      <c r="CW83" s="358"/>
      <c r="CX83" s="358"/>
      <c r="CY83" s="358"/>
      <c r="CZ83" s="358"/>
      <c r="DA83" s="358"/>
      <c r="DB83" s="358"/>
      <c r="DC83" s="358"/>
      <c r="DD83" s="358"/>
      <c r="DE83" s="358"/>
      <c r="DF83" s="358"/>
      <c r="DG83" s="358"/>
      <c r="DH83" s="358"/>
      <c r="DI83" s="358"/>
      <c r="DJ83" s="358"/>
      <c r="DK83" s="358"/>
      <c r="DL83" s="358"/>
      <c r="DM83" s="358"/>
      <c r="DN83" s="358"/>
      <c r="DO83" s="358"/>
      <c r="DP83" s="358"/>
      <c r="DQ83" s="358"/>
      <c r="DR83" s="358"/>
      <c r="DS83" s="358"/>
      <c r="DT83" s="358"/>
      <c r="DU83" s="358"/>
      <c r="DV83" s="358"/>
      <c r="DW83" s="358"/>
      <c r="DX83" s="358"/>
      <c r="DY83" s="358"/>
      <c r="DZ83" s="358"/>
      <c r="EA83" s="358"/>
      <c r="EB83" s="358"/>
      <c r="EC83" s="358"/>
      <c r="ED83" s="358"/>
      <c r="EE83" s="358"/>
      <c r="EF83" s="358"/>
      <c r="EG83" s="358"/>
      <c r="EH83" s="358"/>
      <c r="EI83" s="358"/>
      <c r="EJ83" s="358"/>
      <c r="EK83" s="358"/>
      <c r="EL83" s="358"/>
      <c r="EM83" s="358"/>
      <c r="EN83" s="358"/>
      <c r="EO83" s="358"/>
      <c r="EP83" s="358"/>
      <c r="EQ83" s="358"/>
      <c r="ER83" s="358"/>
      <c r="ES83" s="358"/>
      <c r="ET83" s="358"/>
      <c r="EU83" s="358"/>
      <c r="EV83" s="358"/>
      <c r="EW83" s="358"/>
      <c r="EX83" s="358"/>
      <c r="EY83" s="358"/>
      <c r="EZ83" s="371"/>
    </row>
    <row r="84" spans="1:156" s="262" customFormat="1" ht="10" customHeight="1" x14ac:dyDescent="0.25">
      <c r="A84" s="1627" t="s">
        <v>166</v>
      </c>
      <c r="B84" s="1628"/>
      <c r="C84" s="933" t="s">
        <v>56</v>
      </c>
      <c r="D84" s="935" t="str">
        <f t="shared" ref="D84:E86" ca="1" si="29">IF(OR($N$8="",$N$8=0),"",IF(INDIRECT(ADDRESS(($AK84),COLUMN()+14,,,"Digitar Dados dos Ensaios"))&lt;&gt;"",INDIRECT(ADDRESS(($AK84),COLUMN()+14,,,"Digitar Dados dos Ensaios")),""))</f>
        <v/>
      </c>
      <c r="E84" s="936" t="str">
        <f t="shared" ca="1" si="29"/>
        <v/>
      </c>
      <c r="F84" s="1151"/>
      <c r="G84" s="955" t="s">
        <v>15</v>
      </c>
      <c r="H84" s="1152"/>
      <c r="I84" s="1153"/>
      <c r="J84" s="939" t="s">
        <v>56</v>
      </c>
      <c r="K84" s="1629" t="str">
        <f ca="1">IF(OR($N$8="",$N$8=0),"",IF(INDIRECT(ADDRESS(($AK84)+4,COLUMN()+8,,,"Digitar Dados dos Ensaios"))&lt;&gt;"",INDIRECT(ADDRESS(($AK84)+4,COLUMN()+8,,,"Digitar Dados dos Ensaios")),""))</f>
        <v/>
      </c>
      <c r="L84" s="1630" t="str">
        <f ca="1">IF(OR($N$8="",$N$8=0),"",IF(INDIRECT(ADDRESS(($AK84),COLUMN()+14,,,"Digitar Dados dos Ensaios"))&lt;&gt;"",INDIRECT(ADDRESS(($AK84),COLUMN()+14,,,"Digitar Dados dos Ensaios")),""))</f>
        <v/>
      </c>
      <c r="AK84" s="357">
        <f>AK7+2</f>
        <v>6</v>
      </c>
      <c r="AL84" s="358"/>
      <c r="AM84" s="358"/>
      <c r="AN84" s="358"/>
      <c r="AO84" s="358"/>
      <c r="AP84" s="358"/>
      <c r="AQ84" s="358"/>
      <c r="AR84" s="358"/>
      <c r="AS84" s="358"/>
      <c r="AT84" s="358"/>
      <c r="AU84" s="358"/>
      <c r="AV84" s="358"/>
      <c r="AW84" s="358"/>
      <c r="AX84" s="358"/>
      <c r="AY84" s="358"/>
      <c r="AZ84" s="358"/>
      <c r="BA84" s="358"/>
      <c r="BB84" s="367"/>
      <c r="BC84" s="358"/>
      <c r="BD84" s="358"/>
      <c r="BE84" s="358"/>
      <c r="BF84" s="358"/>
      <c r="BG84" s="358"/>
      <c r="BH84" s="358"/>
      <c r="BI84" s="358"/>
      <c r="BJ84" s="358"/>
      <c r="BK84" s="358"/>
      <c r="BL84" s="358"/>
      <c r="BM84" s="358"/>
      <c r="BN84" s="358"/>
      <c r="BO84" s="358"/>
      <c r="BP84" s="358"/>
      <c r="BQ84" s="358"/>
      <c r="BR84" s="358"/>
      <c r="BS84" s="358"/>
      <c r="BT84" s="358"/>
      <c r="BU84" s="358"/>
      <c r="BV84" s="358"/>
      <c r="BW84" s="358"/>
      <c r="BX84" s="358"/>
      <c r="BY84" s="358"/>
      <c r="BZ84" s="358"/>
      <c r="CA84" s="358"/>
      <c r="CB84" s="358"/>
      <c r="CC84" s="358"/>
      <c r="CD84" s="358"/>
      <c r="CE84" s="358"/>
      <c r="CF84" s="358"/>
      <c r="CG84" s="358"/>
      <c r="CH84" s="358"/>
      <c r="CI84" s="358"/>
      <c r="CJ84" s="358"/>
      <c r="CK84" s="358"/>
      <c r="CL84" s="358"/>
      <c r="CM84" s="358"/>
      <c r="CN84" s="358"/>
      <c r="CO84" s="358"/>
      <c r="CP84" s="358"/>
      <c r="CQ84" s="358"/>
      <c r="CR84" s="358"/>
      <c r="CS84" s="358"/>
      <c r="CT84" s="358"/>
      <c r="CU84" s="358"/>
      <c r="CV84" s="358"/>
      <c r="CW84" s="358"/>
      <c r="CX84" s="358"/>
      <c r="CY84" s="358"/>
      <c r="CZ84" s="358"/>
      <c r="DA84" s="358"/>
      <c r="DB84" s="358"/>
      <c r="DC84" s="358"/>
      <c r="DD84" s="358"/>
      <c r="DE84" s="358"/>
      <c r="DF84" s="358"/>
      <c r="DG84" s="358"/>
      <c r="DH84" s="358"/>
      <c r="DI84" s="358"/>
      <c r="DJ84" s="358"/>
      <c r="DK84" s="358"/>
      <c r="DL84" s="358"/>
      <c r="DM84" s="358"/>
      <c r="DN84" s="358"/>
      <c r="DO84" s="358"/>
      <c r="DP84" s="358"/>
      <c r="DQ84" s="358"/>
      <c r="DR84" s="358"/>
      <c r="DS84" s="358"/>
      <c r="DT84" s="358"/>
      <c r="DU84" s="358"/>
      <c r="DV84" s="358"/>
      <c r="DW84" s="358"/>
      <c r="DX84" s="358"/>
      <c r="DY84" s="358"/>
      <c r="DZ84" s="358"/>
      <c r="EA84" s="358"/>
      <c r="EB84" s="358"/>
      <c r="EC84" s="358"/>
      <c r="ED84" s="358"/>
      <c r="EE84" s="358"/>
      <c r="EF84" s="358"/>
      <c r="EG84" s="358"/>
      <c r="EH84" s="358"/>
      <c r="EI84" s="358"/>
      <c r="EJ84" s="358"/>
      <c r="EK84" s="358"/>
      <c r="EL84" s="358"/>
      <c r="EM84" s="358"/>
      <c r="EN84" s="358"/>
      <c r="EO84" s="358"/>
      <c r="EP84" s="358"/>
      <c r="EQ84" s="358"/>
      <c r="ER84" s="358"/>
      <c r="ES84" s="358"/>
      <c r="ET84" s="358"/>
      <c r="EU84" s="358"/>
      <c r="EV84" s="358"/>
      <c r="EW84" s="358"/>
      <c r="EX84" s="358"/>
      <c r="EY84" s="358"/>
      <c r="EZ84" s="371"/>
    </row>
    <row r="85" spans="1:156" s="262" customFormat="1" ht="10" customHeight="1" x14ac:dyDescent="0.25">
      <c r="A85" s="937" t="s">
        <v>60</v>
      </c>
      <c r="B85" s="938"/>
      <c r="C85" s="939" t="s">
        <v>168</v>
      </c>
      <c r="D85" s="941" t="str">
        <f t="shared" ca="1" si="29"/>
        <v/>
      </c>
      <c r="E85" s="1154" t="str">
        <f t="shared" ca="1" si="29"/>
        <v/>
      </c>
      <c r="F85" s="1151"/>
      <c r="G85" s="955" t="s">
        <v>60</v>
      </c>
      <c r="H85" s="1152"/>
      <c r="I85" s="1153"/>
      <c r="J85" s="939" t="s">
        <v>168</v>
      </c>
      <c r="K85" s="1629" t="str">
        <f ca="1">IF(OR($N$8="",$N$8=0),"",IF(INDIRECT(ADDRESS(($AK85)+4,COLUMN()+8,,,"Digitar Dados dos Ensaios"))&lt;&gt;"",INDIRECT(ADDRESS(($AK85)+4,COLUMN()+8,,,"Digitar Dados dos Ensaios")),""))</f>
        <v/>
      </c>
      <c r="L85" s="1630">
        <f ca="1">IF(OR($N$8="",$N$8=0),"",IF(INDIRECT(ADDRESS(($AK85),COLUMN()+14,,,"Digitar Dados dos Ensaios"))&lt;&gt;"",INDIRECT(ADDRESS(($AK85),COLUMN()+14,,,"Digitar Dados dos Ensaios")),""))</f>
        <v>1</v>
      </c>
      <c r="AK85" s="357">
        <f>AK84+1</f>
        <v>7</v>
      </c>
      <c r="AL85" s="358"/>
      <c r="AM85" s="358"/>
      <c r="AN85" s="358"/>
      <c r="AO85" s="358"/>
      <c r="AP85" s="358"/>
      <c r="AQ85" s="358"/>
      <c r="AR85" s="358"/>
      <c r="AS85" s="358"/>
      <c r="AT85" s="358"/>
      <c r="AU85" s="358"/>
      <c r="AV85" s="358"/>
      <c r="AW85" s="358"/>
      <c r="AX85" s="358"/>
      <c r="AY85" s="358"/>
      <c r="AZ85" s="358"/>
      <c r="BA85" s="358"/>
      <c r="BB85" s="367"/>
      <c r="BC85" s="358"/>
      <c r="BD85" s="358"/>
      <c r="BE85" s="358"/>
      <c r="BF85" s="358"/>
      <c r="BG85" s="358"/>
      <c r="BH85" s="358"/>
      <c r="BI85" s="358"/>
      <c r="BJ85" s="358"/>
      <c r="BK85" s="358"/>
      <c r="BL85" s="358"/>
      <c r="BM85" s="358"/>
      <c r="BN85" s="358"/>
      <c r="BO85" s="358"/>
      <c r="BP85" s="358"/>
      <c r="BQ85" s="358"/>
      <c r="BR85" s="358"/>
      <c r="BS85" s="358"/>
      <c r="BT85" s="358"/>
      <c r="BU85" s="358"/>
      <c r="BV85" s="358"/>
      <c r="BW85" s="358"/>
      <c r="BX85" s="358"/>
      <c r="BY85" s="358"/>
      <c r="BZ85" s="358"/>
      <c r="CA85" s="358"/>
      <c r="CB85" s="358"/>
      <c r="CC85" s="358"/>
      <c r="CD85" s="358"/>
      <c r="CE85" s="358"/>
      <c r="CF85" s="358"/>
      <c r="CG85" s="358"/>
      <c r="CH85" s="358"/>
      <c r="CI85" s="358"/>
      <c r="CJ85" s="358"/>
      <c r="CK85" s="358"/>
      <c r="CL85" s="358"/>
      <c r="CM85" s="358"/>
      <c r="CN85" s="358"/>
      <c r="CO85" s="358"/>
      <c r="CP85" s="358"/>
      <c r="CQ85" s="358"/>
      <c r="CR85" s="358"/>
      <c r="CS85" s="358"/>
      <c r="CT85" s="358"/>
      <c r="CU85" s="358"/>
      <c r="CV85" s="358"/>
      <c r="CW85" s="358"/>
      <c r="CX85" s="358"/>
      <c r="CY85" s="358"/>
      <c r="CZ85" s="358"/>
      <c r="DA85" s="358"/>
      <c r="DB85" s="358"/>
      <c r="DC85" s="358"/>
      <c r="DD85" s="358"/>
      <c r="DE85" s="358"/>
      <c r="DF85" s="358"/>
      <c r="DG85" s="358"/>
      <c r="DH85" s="358"/>
      <c r="DI85" s="358"/>
      <c r="DJ85" s="358"/>
      <c r="DK85" s="358"/>
      <c r="DL85" s="358"/>
      <c r="DM85" s="358"/>
      <c r="DN85" s="358"/>
      <c r="DO85" s="358"/>
      <c r="DP85" s="358"/>
      <c r="DQ85" s="358"/>
      <c r="DR85" s="358"/>
      <c r="DS85" s="358"/>
      <c r="DT85" s="358"/>
      <c r="DU85" s="358"/>
      <c r="DV85" s="358"/>
      <c r="DW85" s="358"/>
      <c r="DX85" s="358"/>
      <c r="DY85" s="358"/>
      <c r="DZ85" s="358"/>
      <c r="EA85" s="358"/>
      <c r="EB85" s="358"/>
      <c r="EC85" s="358"/>
      <c r="ED85" s="358"/>
      <c r="EE85" s="358"/>
      <c r="EF85" s="358"/>
      <c r="EG85" s="358"/>
      <c r="EH85" s="358"/>
      <c r="EI85" s="358"/>
      <c r="EJ85" s="358"/>
      <c r="EK85" s="358"/>
      <c r="EL85" s="358"/>
      <c r="EM85" s="358"/>
      <c r="EN85" s="358"/>
      <c r="EO85" s="358"/>
      <c r="EP85" s="358"/>
      <c r="EQ85" s="358"/>
      <c r="ER85" s="358"/>
      <c r="ES85" s="358"/>
      <c r="ET85" s="358"/>
      <c r="EU85" s="358"/>
      <c r="EV85" s="358"/>
      <c r="EW85" s="358"/>
      <c r="EX85" s="358"/>
      <c r="EY85" s="358"/>
      <c r="EZ85" s="371"/>
    </row>
    <row r="86" spans="1:156" s="262" customFormat="1" ht="10" customHeight="1" x14ac:dyDescent="0.25">
      <c r="A86" s="937" t="s">
        <v>94</v>
      </c>
      <c r="B86" s="938"/>
      <c r="C86" s="939" t="s">
        <v>168</v>
      </c>
      <c r="D86" s="941" t="str">
        <f t="shared" ca="1" si="29"/>
        <v/>
      </c>
      <c r="E86" s="1154" t="str">
        <f t="shared" ca="1" si="29"/>
        <v/>
      </c>
      <c r="F86" s="1151"/>
      <c r="G86" s="955" t="s">
        <v>46</v>
      </c>
      <c r="H86" s="1152"/>
      <c r="I86" s="1153"/>
      <c r="J86" s="939" t="s">
        <v>168</v>
      </c>
      <c r="K86" s="1465" t="str">
        <f ca="1">IF(K84&lt;&gt;"",LOOKUP(K84,Tara!$G$6:$G$185,Tara!$H$6:$H$185),"")</f>
        <v/>
      </c>
      <c r="L86" s="1466" t="str">
        <f ca="1">IF(L84&lt;&gt;"",LOOKUP(L84,Tara!$G$6:$G$185,Tara!$H$6:$H$185),"")</f>
        <v/>
      </c>
      <c r="AK86" s="357">
        <f>AK85+1</f>
        <v>8</v>
      </c>
      <c r="AL86" s="358"/>
      <c r="AM86" s="358"/>
      <c r="AN86" s="358"/>
      <c r="AO86" s="358"/>
      <c r="AP86" s="358"/>
      <c r="AQ86" s="358"/>
      <c r="AR86" s="358"/>
      <c r="AS86" s="358"/>
      <c r="AT86" s="358"/>
      <c r="AU86" s="358"/>
      <c r="AV86" s="358"/>
      <c r="AW86" s="358"/>
      <c r="AX86" s="358"/>
      <c r="AY86" s="358"/>
      <c r="AZ86" s="358"/>
      <c r="BA86" s="358"/>
      <c r="BB86" s="367"/>
      <c r="BC86" s="358"/>
      <c r="BD86" s="358"/>
      <c r="BE86" s="358"/>
      <c r="BF86" s="358"/>
      <c r="BG86" s="358"/>
      <c r="BH86" s="358"/>
      <c r="BI86" s="358"/>
      <c r="BJ86" s="358"/>
      <c r="BK86" s="358"/>
      <c r="BL86" s="358"/>
      <c r="BM86" s="358"/>
      <c r="BN86" s="358"/>
      <c r="BO86" s="358"/>
      <c r="BP86" s="358"/>
      <c r="BQ86" s="358"/>
      <c r="BR86" s="358"/>
      <c r="BS86" s="358"/>
      <c r="BT86" s="358"/>
      <c r="BU86" s="358"/>
      <c r="BV86" s="358"/>
      <c r="BW86" s="358"/>
      <c r="BX86" s="358"/>
      <c r="BY86" s="358"/>
      <c r="BZ86" s="358"/>
      <c r="CA86" s="358"/>
      <c r="CB86" s="358"/>
      <c r="CC86" s="358"/>
      <c r="CD86" s="358"/>
      <c r="CE86" s="358"/>
      <c r="CF86" s="358"/>
      <c r="CG86" s="358"/>
      <c r="CH86" s="358"/>
      <c r="CI86" s="358"/>
      <c r="CJ86" s="358"/>
      <c r="CK86" s="358"/>
      <c r="CL86" s="358"/>
      <c r="CM86" s="358"/>
      <c r="CN86" s="358"/>
      <c r="CO86" s="358"/>
      <c r="CP86" s="358"/>
      <c r="CQ86" s="358"/>
      <c r="CR86" s="358"/>
      <c r="CS86" s="358"/>
      <c r="CT86" s="358"/>
      <c r="CU86" s="358"/>
      <c r="CV86" s="358"/>
      <c r="CW86" s="358"/>
      <c r="CX86" s="358"/>
      <c r="CY86" s="358"/>
      <c r="CZ86" s="358"/>
      <c r="DA86" s="358"/>
      <c r="DB86" s="358"/>
      <c r="DC86" s="358"/>
      <c r="DD86" s="358"/>
      <c r="DE86" s="358"/>
      <c r="DF86" s="358"/>
      <c r="DG86" s="358"/>
      <c r="DH86" s="358"/>
      <c r="DI86" s="358"/>
      <c r="DJ86" s="358"/>
      <c r="DK86" s="358"/>
      <c r="DL86" s="358"/>
      <c r="DM86" s="358"/>
      <c r="DN86" s="358"/>
      <c r="DO86" s="358"/>
      <c r="DP86" s="358"/>
      <c r="DQ86" s="358"/>
      <c r="DR86" s="358"/>
      <c r="DS86" s="358"/>
      <c r="DT86" s="358"/>
      <c r="DU86" s="358"/>
      <c r="DV86" s="358"/>
      <c r="DW86" s="358"/>
      <c r="DX86" s="358"/>
      <c r="DY86" s="358"/>
      <c r="DZ86" s="358"/>
      <c r="EA86" s="358"/>
      <c r="EB86" s="358"/>
      <c r="EC86" s="358"/>
      <c r="ED86" s="358"/>
      <c r="EE86" s="358"/>
      <c r="EF86" s="358"/>
      <c r="EG86" s="358"/>
      <c r="EH86" s="358"/>
      <c r="EI86" s="358"/>
      <c r="EJ86" s="358"/>
      <c r="EK86" s="358"/>
      <c r="EL86" s="358"/>
      <c r="EM86" s="358"/>
      <c r="EN86" s="358"/>
      <c r="EO86" s="358"/>
      <c r="EP86" s="358"/>
      <c r="EQ86" s="358"/>
      <c r="ER86" s="358"/>
      <c r="ES86" s="358"/>
      <c r="ET86" s="358"/>
      <c r="EU86" s="358"/>
      <c r="EV86" s="358"/>
      <c r="EW86" s="358"/>
      <c r="EX86" s="358"/>
      <c r="EY86" s="358"/>
      <c r="EZ86" s="371"/>
    </row>
    <row r="87" spans="1:156" s="262" customFormat="1" ht="10" customHeight="1" x14ac:dyDescent="0.25">
      <c r="A87" s="937" t="s">
        <v>26</v>
      </c>
      <c r="B87" s="938"/>
      <c r="C87" s="939" t="s">
        <v>168</v>
      </c>
      <c r="D87" s="944" t="str">
        <f ca="1">IF(D84&lt;&gt;"",D85-D86,"")</f>
        <v/>
      </c>
      <c r="E87" s="947" t="str">
        <f ca="1">IF(E84&lt;&gt;"",E85-E86,"")</f>
        <v/>
      </c>
      <c r="F87" s="1151"/>
      <c r="G87" s="955" t="s">
        <v>182</v>
      </c>
      <c r="H87" s="1152"/>
      <c r="I87" s="1153"/>
      <c r="J87" s="939"/>
      <c r="K87" s="1465" t="str">
        <f ca="1">IF(K84&lt;&gt;"",LOOKUP(K84,Tara!$G$6:$G$185,Tara!$I$6:$I$185),"")</f>
        <v/>
      </c>
      <c r="L87" s="1466" t="str">
        <f ca="1">IF(L84&lt;&gt;"",LOOKUP(L84,Tara!$G$6:$G$185,Tara!$I$6:$I$185),"")</f>
        <v/>
      </c>
      <c r="AK87" s="357"/>
      <c r="AL87" s="358"/>
      <c r="AM87" s="358"/>
      <c r="AN87" s="358"/>
      <c r="AO87" s="358"/>
      <c r="AP87" s="358"/>
      <c r="AQ87" s="358"/>
      <c r="AR87" s="358"/>
      <c r="AS87" s="358"/>
      <c r="AT87" s="358"/>
      <c r="AU87" s="358"/>
      <c r="AV87" s="358"/>
      <c r="AW87" s="358"/>
      <c r="AX87" s="358"/>
      <c r="AY87" s="358"/>
      <c r="AZ87" s="358"/>
      <c r="BA87" s="358"/>
      <c r="BB87" s="367"/>
      <c r="BC87" s="358"/>
      <c r="BD87" s="358"/>
      <c r="BE87" s="358"/>
      <c r="BF87" s="358"/>
      <c r="BG87" s="358"/>
      <c r="BH87" s="358"/>
      <c r="BI87" s="358"/>
      <c r="BJ87" s="358"/>
      <c r="BK87" s="358"/>
      <c r="BL87" s="358"/>
      <c r="BM87" s="358"/>
      <c r="BN87" s="358"/>
      <c r="BO87" s="358"/>
      <c r="BP87" s="358"/>
      <c r="BQ87" s="358"/>
      <c r="BR87" s="358"/>
      <c r="BS87" s="358"/>
      <c r="BT87" s="358"/>
      <c r="BU87" s="358"/>
      <c r="BV87" s="358"/>
      <c r="BW87" s="358"/>
      <c r="BX87" s="358"/>
      <c r="BY87" s="358"/>
      <c r="BZ87" s="358"/>
      <c r="CA87" s="358"/>
      <c r="CB87" s="358"/>
      <c r="CC87" s="358"/>
      <c r="CD87" s="358"/>
      <c r="CE87" s="358"/>
      <c r="CF87" s="358"/>
      <c r="CG87" s="358"/>
      <c r="CH87" s="358"/>
      <c r="CI87" s="358"/>
      <c r="CJ87" s="358"/>
      <c r="CK87" s="358"/>
      <c r="CL87" s="358"/>
      <c r="CM87" s="358"/>
      <c r="CN87" s="358"/>
      <c r="CO87" s="358"/>
      <c r="CP87" s="358"/>
      <c r="CQ87" s="358"/>
      <c r="CR87" s="358"/>
      <c r="CS87" s="358"/>
      <c r="CT87" s="358"/>
      <c r="CU87" s="358"/>
      <c r="CV87" s="358"/>
      <c r="CW87" s="358"/>
      <c r="CX87" s="358"/>
      <c r="CY87" s="358"/>
      <c r="CZ87" s="358"/>
      <c r="DA87" s="358"/>
      <c r="DB87" s="358"/>
      <c r="DC87" s="358"/>
      <c r="DD87" s="358"/>
      <c r="DE87" s="358"/>
      <c r="DF87" s="358"/>
      <c r="DG87" s="358"/>
      <c r="DH87" s="358"/>
      <c r="DI87" s="358"/>
      <c r="DJ87" s="358"/>
      <c r="DK87" s="358"/>
      <c r="DL87" s="358"/>
      <c r="DM87" s="358"/>
      <c r="DN87" s="358"/>
      <c r="DO87" s="358"/>
      <c r="DP87" s="358"/>
      <c r="DQ87" s="358"/>
      <c r="DR87" s="358"/>
      <c r="DS87" s="358"/>
      <c r="DT87" s="358"/>
      <c r="DU87" s="358"/>
      <c r="DV87" s="358"/>
      <c r="DW87" s="358"/>
      <c r="DX87" s="358"/>
      <c r="DY87" s="358"/>
      <c r="DZ87" s="358"/>
      <c r="EA87" s="358"/>
      <c r="EB87" s="358"/>
      <c r="EC87" s="358"/>
      <c r="ED87" s="358"/>
      <c r="EE87" s="358"/>
      <c r="EF87" s="358"/>
      <c r="EG87" s="358"/>
      <c r="EH87" s="358"/>
      <c r="EI87" s="358"/>
      <c r="EJ87" s="358"/>
      <c r="EK87" s="358"/>
      <c r="EL87" s="358"/>
      <c r="EM87" s="358"/>
      <c r="EN87" s="358"/>
      <c r="EO87" s="358"/>
      <c r="EP87" s="358"/>
      <c r="EQ87" s="358"/>
      <c r="ER87" s="358"/>
      <c r="ES87" s="358"/>
      <c r="ET87" s="358"/>
      <c r="EU87" s="358"/>
      <c r="EV87" s="358"/>
      <c r="EW87" s="358"/>
      <c r="EX87" s="358"/>
      <c r="EY87" s="358"/>
      <c r="EZ87" s="371"/>
    </row>
    <row r="88" spans="1:156" s="262" customFormat="1" ht="10" customHeight="1" x14ac:dyDescent="0.25">
      <c r="A88" s="1467" t="s">
        <v>45</v>
      </c>
      <c r="B88" s="1468"/>
      <c r="C88" s="939" t="s">
        <v>168</v>
      </c>
      <c r="D88" s="946" t="str">
        <f ca="1">IF(D84&lt;&gt;"",LOOKUP(D84,Tara!$C$6:$C$185,Tara!$D$6:$D$185),"")</f>
        <v/>
      </c>
      <c r="E88" s="1155" t="str">
        <f ca="1">IF(E84&lt;&gt;"",LOOKUP(E84,Tara!$C$6:$C$185,Tara!$D$6:$D$185),"")</f>
        <v/>
      </c>
      <c r="F88" s="1151"/>
      <c r="G88" s="955" t="s">
        <v>98</v>
      </c>
      <c r="H88" s="1152"/>
      <c r="I88" s="1153"/>
      <c r="J88" s="939" t="s">
        <v>168</v>
      </c>
      <c r="K88" s="1465" t="str">
        <f ca="1">IF(K85&lt;&gt;"",K85-K86,"")</f>
        <v/>
      </c>
      <c r="L88" s="1466" t="e">
        <f ca="1">IF(L85&lt;&gt;"",L85-L86,"")</f>
        <v>#VALUE!</v>
      </c>
      <c r="AK88" s="357"/>
      <c r="AL88" s="358"/>
      <c r="AM88" s="358"/>
      <c r="AN88" s="358"/>
      <c r="AO88" s="358"/>
      <c r="AP88" s="358"/>
      <c r="AQ88" s="358"/>
      <c r="AR88" s="358"/>
      <c r="AS88" s="358"/>
      <c r="AT88" s="358"/>
      <c r="AU88" s="358"/>
      <c r="AV88" s="358"/>
      <c r="AW88" s="358"/>
      <c r="AX88" s="358"/>
      <c r="AY88" s="358"/>
      <c r="AZ88" s="358"/>
      <c r="BA88" s="358"/>
      <c r="BB88" s="367"/>
      <c r="BC88" s="358"/>
      <c r="BD88" s="358"/>
      <c r="BE88" s="358"/>
      <c r="BF88" s="358"/>
      <c r="BG88" s="358"/>
      <c r="BH88" s="358"/>
      <c r="BI88" s="358"/>
      <c r="BJ88" s="358"/>
      <c r="BK88" s="358"/>
      <c r="BL88" s="358"/>
      <c r="BM88" s="358"/>
      <c r="BN88" s="358"/>
      <c r="BO88" s="358"/>
      <c r="BP88" s="358"/>
      <c r="BQ88" s="358"/>
      <c r="BR88" s="358"/>
      <c r="BS88" s="358"/>
      <c r="BT88" s="358"/>
      <c r="BU88" s="358"/>
      <c r="BV88" s="358"/>
      <c r="BW88" s="358"/>
      <c r="BX88" s="358"/>
      <c r="BY88" s="358"/>
      <c r="BZ88" s="358"/>
      <c r="CA88" s="358"/>
      <c r="CB88" s="358"/>
      <c r="CC88" s="358"/>
      <c r="CD88" s="358"/>
      <c r="CE88" s="358"/>
      <c r="CF88" s="358"/>
      <c r="CG88" s="358"/>
      <c r="CH88" s="358"/>
      <c r="CI88" s="358"/>
      <c r="CJ88" s="358"/>
      <c r="CK88" s="358"/>
      <c r="CL88" s="358"/>
      <c r="CM88" s="358"/>
      <c r="CN88" s="358"/>
      <c r="CO88" s="358"/>
      <c r="CP88" s="358"/>
      <c r="CQ88" s="358"/>
      <c r="CR88" s="358"/>
      <c r="CS88" s="358"/>
      <c r="CT88" s="358"/>
      <c r="CU88" s="358"/>
      <c r="CV88" s="358"/>
      <c r="CW88" s="358"/>
      <c r="CX88" s="358"/>
      <c r="CY88" s="358"/>
      <c r="CZ88" s="358"/>
      <c r="DA88" s="358"/>
      <c r="DB88" s="358"/>
      <c r="DC88" s="358"/>
      <c r="DD88" s="358"/>
      <c r="DE88" s="358"/>
      <c r="DF88" s="358"/>
      <c r="DG88" s="358"/>
      <c r="DH88" s="358"/>
      <c r="DI88" s="358"/>
      <c r="DJ88" s="358"/>
      <c r="DK88" s="358"/>
      <c r="DL88" s="358"/>
      <c r="DM88" s="358"/>
      <c r="DN88" s="358"/>
      <c r="DO88" s="358"/>
      <c r="DP88" s="358"/>
      <c r="DQ88" s="358"/>
      <c r="DR88" s="358"/>
      <c r="DS88" s="358"/>
      <c r="DT88" s="358"/>
      <c r="DU88" s="358"/>
      <c r="DV88" s="358"/>
      <c r="DW88" s="358"/>
      <c r="DX88" s="358"/>
      <c r="DY88" s="358"/>
      <c r="DZ88" s="358"/>
      <c r="EA88" s="358"/>
      <c r="EB88" s="358"/>
      <c r="EC88" s="358"/>
      <c r="ED88" s="358"/>
      <c r="EE88" s="358"/>
      <c r="EF88" s="358"/>
      <c r="EG88" s="358"/>
      <c r="EH88" s="358"/>
      <c r="EI88" s="358"/>
      <c r="EJ88" s="358"/>
      <c r="EK88" s="358"/>
      <c r="EL88" s="358"/>
      <c r="EM88" s="358"/>
      <c r="EN88" s="358"/>
      <c r="EO88" s="358"/>
      <c r="EP88" s="358"/>
      <c r="EQ88" s="358"/>
      <c r="ER88" s="358"/>
      <c r="ES88" s="358"/>
      <c r="ET88" s="358"/>
      <c r="EU88" s="358"/>
      <c r="EV88" s="358"/>
      <c r="EW88" s="358"/>
      <c r="EX88" s="358"/>
      <c r="EY88" s="358"/>
      <c r="EZ88" s="371"/>
    </row>
    <row r="89" spans="1:156" s="262" customFormat="1" ht="10" customHeight="1" x14ac:dyDescent="0.25">
      <c r="A89" s="1467" t="s">
        <v>67</v>
      </c>
      <c r="B89" s="1468"/>
      <c r="C89" s="939" t="s">
        <v>168</v>
      </c>
      <c r="D89" s="944" t="str">
        <f ca="1">IF(D84&lt;&gt;"",D86-D88,"")</f>
        <v/>
      </c>
      <c r="E89" s="947" t="str">
        <f ca="1">IF(E84&lt;&gt;"",E86-E88,"")</f>
        <v/>
      </c>
      <c r="F89" s="1151"/>
      <c r="G89" s="955" t="s">
        <v>114</v>
      </c>
      <c r="H89" s="1152"/>
      <c r="I89" s="1153"/>
      <c r="J89" s="939" t="s">
        <v>183</v>
      </c>
      <c r="K89" s="1465" t="str">
        <f ca="1">IF(K88&lt;&gt;"",K88*1000/K87,"")</f>
        <v/>
      </c>
      <c r="L89" s="1466" t="e">
        <f ca="1">IF(L88&lt;&gt;"",L88*1000/L87,"")</f>
        <v>#VALUE!</v>
      </c>
      <c r="AK89" s="357"/>
      <c r="AL89" s="358"/>
      <c r="AM89" s="358"/>
      <c r="AN89" s="358"/>
      <c r="AO89" s="358"/>
      <c r="AP89" s="358"/>
      <c r="AQ89" s="358"/>
      <c r="AR89" s="358"/>
      <c r="AS89" s="358"/>
      <c r="AT89" s="358"/>
      <c r="AU89" s="358"/>
      <c r="AV89" s="358"/>
      <c r="AW89" s="358"/>
      <c r="AX89" s="358"/>
      <c r="AY89" s="358"/>
      <c r="AZ89" s="358"/>
      <c r="BA89" s="358"/>
      <c r="BB89" s="367"/>
      <c r="BC89" s="358"/>
      <c r="BD89" s="358"/>
      <c r="BE89" s="358"/>
      <c r="BF89" s="358"/>
      <c r="BG89" s="358"/>
      <c r="BH89" s="358"/>
      <c r="BI89" s="358"/>
      <c r="BJ89" s="358"/>
      <c r="BK89" s="358"/>
      <c r="BL89" s="358"/>
      <c r="BM89" s="358"/>
      <c r="BN89" s="358"/>
      <c r="BO89" s="358"/>
      <c r="BP89" s="358"/>
      <c r="BQ89" s="358"/>
      <c r="BR89" s="358"/>
      <c r="BS89" s="358"/>
      <c r="BT89" s="358"/>
      <c r="BU89" s="358"/>
      <c r="BV89" s="358"/>
      <c r="BW89" s="358"/>
      <c r="BX89" s="358"/>
      <c r="BY89" s="358"/>
      <c r="BZ89" s="358"/>
      <c r="CA89" s="358"/>
      <c r="CB89" s="358"/>
      <c r="CC89" s="358"/>
      <c r="CD89" s="358"/>
      <c r="CE89" s="358"/>
      <c r="CF89" s="358"/>
      <c r="CG89" s="358"/>
      <c r="CH89" s="358"/>
      <c r="CI89" s="358"/>
      <c r="CJ89" s="358"/>
      <c r="CK89" s="358"/>
      <c r="CL89" s="358"/>
      <c r="CM89" s="358"/>
      <c r="CN89" s="358"/>
      <c r="CO89" s="358"/>
      <c r="CP89" s="358"/>
      <c r="CQ89" s="358"/>
      <c r="CR89" s="358"/>
      <c r="CS89" s="358"/>
      <c r="CT89" s="358"/>
      <c r="CU89" s="358"/>
      <c r="CV89" s="358"/>
      <c r="CW89" s="358"/>
      <c r="CX89" s="358"/>
      <c r="CY89" s="358"/>
      <c r="CZ89" s="358"/>
      <c r="DA89" s="358"/>
      <c r="DB89" s="358"/>
      <c r="DC89" s="358"/>
      <c r="DD89" s="358"/>
      <c r="DE89" s="358"/>
      <c r="DF89" s="358"/>
      <c r="DG89" s="358"/>
      <c r="DH89" s="358"/>
      <c r="DI89" s="358"/>
      <c r="DJ89" s="358"/>
      <c r="DK89" s="358"/>
      <c r="DL89" s="358"/>
      <c r="DM89" s="358"/>
      <c r="DN89" s="358"/>
      <c r="DO89" s="358"/>
      <c r="DP89" s="358"/>
      <c r="DQ89" s="358"/>
      <c r="DR89" s="358"/>
      <c r="DS89" s="358"/>
      <c r="DT89" s="358"/>
      <c r="DU89" s="358"/>
      <c r="DV89" s="358"/>
      <c r="DW89" s="358"/>
      <c r="DX89" s="358"/>
      <c r="DY89" s="358"/>
      <c r="DZ89" s="358"/>
      <c r="EA89" s="358"/>
      <c r="EB89" s="358"/>
      <c r="EC89" s="358"/>
      <c r="ED89" s="358"/>
      <c r="EE89" s="358"/>
      <c r="EF89" s="358"/>
      <c r="EG89" s="358"/>
      <c r="EH89" s="358"/>
      <c r="EI89" s="358"/>
      <c r="EJ89" s="358"/>
      <c r="EK89" s="358"/>
      <c r="EL89" s="358"/>
      <c r="EM89" s="358"/>
      <c r="EN89" s="358"/>
      <c r="EO89" s="358"/>
      <c r="EP89" s="358"/>
      <c r="EQ89" s="358"/>
      <c r="ER89" s="358"/>
      <c r="ES89" s="358"/>
      <c r="ET89" s="358"/>
      <c r="EU89" s="358"/>
      <c r="EV89" s="358"/>
      <c r="EW89" s="358"/>
      <c r="EX89" s="358"/>
      <c r="EY89" s="358"/>
      <c r="EZ89" s="371"/>
    </row>
    <row r="90" spans="1:156" s="262" customFormat="1" ht="10" customHeight="1" x14ac:dyDescent="0.25">
      <c r="A90" s="1467" t="s">
        <v>97</v>
      </c>
      <c r="B90" s="1468"/>
      <c r="C90" s="939" t="s">
        <v>171</v>
      </c>
      <c r="D90" s="949" t="str">
        <f ca="1">IF(D84&lt;&gt;"",D87/D89,"")</f>
        <v/>
      </c>
      <c r="E90" s="1156" t="str">
        <f ca="1">IF(E84&lt;&gt;"",E87/E89,"")</f>
        <v/>
      </c>
      <c r="F90" s="1157"/>
      <c r="G90" s="1158" t="s">
        <v>184</v>
      </c>
      <c r="H90" s="1159"/>
      <c r="I90" s="1160"/>
      <c r="J90" s="959" t="s">
        <v>183</v>
      </c>
      <c r="K90" s="1621" t="str">
        <f ca="1">IF(K84&lt;&gt;"",K89/(1+D91),"")</f>
        <v/>
      </c>
      <c r="L90" s="1622" t="str">
        <f ca="1">IF(ISNUMBER(L89),L89/(1+L83),"")</f>
        <v/>
      </c>
      <c r="AK90" s="357"/>
      <c r="AL90" s="358"/>
      <c r="AM90" s="358"/>
      <c r="AN90" s="358"/>
      <c r="AO90" s="358"/>
      <c r="AP90" s="358"/>
      <c r="AQ90" s="358"/>
      <c r="AR90" s="358"/>
      <c r="AS90" s="358"/>
      <c r="AT90" s="358"/>
      <c r="AU90" s="358"/>
      <c r="AV90" s="358"/>
      <c r="AW90" s="358"/>
      <c r="AX90" s="358"/>
      <c r="AY90" s="358"/>
      <c r="AZ90" s="358"/>
      <c r="BA90" s="358"/>
      <c r="BB90" s="367"/>
      <c r="BC90" s="358"/>
      <c r="BD90" s="358"/>
      <c r="BE90" s="358"/>
      <c r="BF90" s="358"/>
      <c r="BG90" s="358"/>
      <c r="BH90" s="358"/>
      <c r="BI90" s="358"/>
      <c r="BJ90" s="358"/>
      <c r="BK90" s="358"/>
      <c r="BL90" s="358"/>
      <c r="BM90" s="358"/>
      <c r="BN90" s="358"/>
      <c r="BO90" s="358"/>
      <c r="BP90" s="358"/>
      <c r="BQ90" s="358"/>
      <c r="BR90" s="358"/>
      <c r="BS90" s="358"/>
      <c r="BT90" s="358"/>
      <c r="BU90" s="358"/>
      <c r="BV90" s="358"/>
      <c r="BW90" s="358"/>
      <c r="BX90" s="358"/>
      <c r="BY90" s="358"/>
      <c r="BZ90" s="358"/>
      <c r="CA90" s="358"/>
      <c r="CB90" s="358"/>
      <c r="CC90" s="358"/>
      <c r="CD90" s="358"/>
      <c r="CE90" s="358"/>
      <c r="CF90" s="358"/>
      <c r="CG90" s="358"/>
      <c r="CH90" s="358"/>
      <c r="CI90" s="358"/>
      <c r="CJ90" s="358"/>
      <c r="CK90" s="358"/>
      <c r="CL90" s="358"/>
      <c r="CM90" s="358"/>
      <c r="CN90" s="358"/>
      <c r="CO90" s="358"/>
      <c r="CP90" s="358"/>
      <c r="CQ90" s="358"/>
      <c r="CR90" s="358"/>
      <c r="CS90" s="358"/>
      <c r="CT90" s="358"/>
      <c r="CU90" s="358"/>
      <c r="CV90" s="358"/>
      <c r="CW90" s="358"/>
      <c r="CX90" s="358"/>
      <c r="CY90" s="358"/>
      <c r="CZ90" s="358"/>
      <c r="DA90" s="358"/>
      <c r="DB90" s="358"/>
      <c r="DC90" s="358"/>
      <c r="DD90" s="358"/>
      <c r="DE90" s="358"/>
      <c r="DF90" s="358"/>
      <c r="DG90" s="358"/>
      <c r="DH90" s="358"/>
      <c r="DI90" s="358"/>
      <c r="DJ90" s="358"/>
      <c r="DK90" s="358"/>
      <c r="DL90" s="358"/>
      <c r="DM90" s="358"/>
      <c r="DN90" s="358"/>
      <c r="DO90" s="358"/>
      <c r="DP90" s="358"/>
      <c r="DQ90" s="358"/>
      <c r="DR90" s="358"/>
      <c r="DS90" s="358"/>
      <c r="DT90" s="358"/>
      <c r="DU90" s="358"/>
      <c r="DV90" s="358"/>
      <c r="DW90" s="358"/>
      <c r="DX90" s="358"/>
      <c r="DY90" s="358"/>
      <c r="DZ90" s="358"/>
      <c r="EA90" s="358"/>
      <c r="EB90" s="358"/>
      <c r="EC90" s="358"/>
      <c r="ED90" s="358"/>
      <c r="EE90" s="358"/>
      <c r="EF90" s="358"/>
      <c r="EG90" s="358"/>
      <c r="EH90" s="358"/>
      <c r="EI90" s="358"/>
      <c r="EJ90" s="358"/>
      <c r="EK90" s="358"/>
      <c r="EL90" s="358"/>
      <c r="EM90" s="358"/>
      <c r="EN90" s="358"/>
      <c r="EO90" s="358"/>
      <c r="EP90" s="358"/>
      <c r="EQ90" s="358"/>
      <c r="ER90" s="358"/>
      <c r="ES90" s="358"/>
      <c r="ET90" s="358"/>
      <c r="EU90" s="358"/>
      <c r="EV90" s="358"/>
      <c r="EW90" s="358"/>
      <c r="EX90" s="358"/>
      <c r="EY90" s="358"/>
      <c r="EZ90" s="371"/>
    </row>
    <row r="91" spans="1:156" s="262" customFormat="1" ht="10" customHeight="1" x14ac:dyDescent="0.25">
      <c r="A91" s="1623" t="s">
        <v>172</v>
      </c>
      <c r="B91" s="1624"/>
      <c r="C91" s="1161" t="s">
        <v>168</v>
      </c>
      <c r="D91" s="1625" t="str">
        <f ca="1">IF(ISNUMBER(D90),AVERAGE(D90:E90),"")</f>
        <v/>
      </c>
      <c r="E91" s="1626"/>
      <c r="F91" s="1151"/>
      <c r="G91" s="1162"/>
      <c r="H91" s="1163"/>
      <c r="I91" s="1163"/>
      <c r="J91" s="1163"/>
      <c r="K91" s="1163"/>
      <c r="L91" s="1164"/>
      <c r="AK91" s="357"/>
      <c r="AL91" s="358"/>
      <c r="AM91" s="358"/>
      <c r="AN91" s="358"/>
      <c r="AO91" s="358"/>
      <c r="AP91" s="358"/>
      <c r="AQ91" s="358"/>
      <c r="AR91" s="358"/>
      <c r="AS91" s="358"/>
      <c r="AT91" s="358"/>
      <c r="AU91" s="358"/>
      <c r="AV91" s="358"/>
      <c r="AW91" s="358"/>
      <c r="AX91" s="358"/>
      <c r="AY91" s="358"/>
      <c r="AZ91" s="358"/>
      <c r="BA91" s="358"/>
      <c r="BB91" s="367"/>
      <c r="BC91" s="358"/>
      <c r="BD91" s="358"/>
      <c r="BE91" s="358"/>
      <c r="BF91" s="358"/>
      <c r="BG91" s="358"/>
      <c r="BH91" s="358"/>
      <c r="BI91" s="358"/>
      <c r="BJ91" s="358"/>
      <c r="BK91" s="358"/>
      <c r="BL91" s="358"/>
      <c r="BM91" s="358"/>
      <c r="BN91" s="358"/>
      <c r="BO91" s="358"/>
      <c r="BP91" s="358"/>
      <c r="BQ91" s="358"/>
      <c r="BR91" s="358"/>
      <c r="BS91" s="358"/>
      <c r="BT91" s="358"/>
      <c r="BU91" s="358"/>
      <c r="BV91" s="358"/>
      <c r="BW91" s="358"/>
      <c r="BX91" s="358"/>
      <c r="BY91" s="358"/>
      <c r="BZ91" s="358"/>
      <c r="CA91" s="358"/>
      <c r="CB91" s="358"/>
      <c r="CC91" s="358"/>
      <c r="CD91" s="358"/>
      <c r="CE91" s="358"/>
      <c r="CF91" s="358"/>
      <c r="CG91" s="358"/>
      <c r="CH91" s="358"/>
      <c r="CI91" s="358"/>
      <c r="CJ91" s="358"/>
      <c r="CK91" s="358"/>
      <c r="CL91" s="358"/>
      <c r="CM91" s="358"/>
      <c r="CN91" s="358"/>
      <c r="CO91" s="358"/>
      <c r="CP91" s="358"/>
      <c r="CQ91" s="358"/>
      <c r="CR91" s="358"/>
      <c r="CS91" s="358"/>
      <c r="CT91" s="358"/>
      <c r="CU91" s="358"/>
      <c r="CV91" s="358"/>
      <c r="CW91" s="358"/>
      <c r="CX91" s="358"/>
      <c r="CY91" s="358"/>
      <c r="CZ91" s="358"/>
      <c r="DA91" s="358"/>
      <c r="DB91" s="358"/>
      <c r="DC91" s="358"/>
      <c r="DD91" s="358"/>
      <c r="DE91" s="358"/>
      <c r="DF91" s="358"/>
      <c r="DG91" s="358"/>
      <c r="DH91" s="358"/>
      <c r="DI91" s="358"/>
      <c r="DJ91" s="358"/>
      <c r="DK91" s="358"/>
      <c r="DL91" s="358"/>
      <c r="DM91" s="358"/>
      <c r="DN91" s="358"/>
      <c r="DO91" s="358"/>
      <c r="DP91" s="358"/>
      <c r="DQ91" s="358"/>
      <c r="DR91" s="358"/>
      <c r="DS91" s="358"/>
      <c r="DT91" s="358"/>
      <c r="DU91" s="358"/>
      <c r="DV91" s="358"/>
      <c r="DW91" s="358"/>
      <c r="DX91" s="358"/>
      <c r="DY91" s="358"/>
      <c r="DZ91" s="358"/>
      <c r="EA91" s="358"/>
      <c r="EB91" s="358"/>
      <c r="EC91" s="358"/>
      <c r="ED91" s="358"/>
      <c r="EE91" s="358"/>
      <c r="EF91" s="358"/>
      <c r="EG91" s="358"/>
      <c r="EH91" s="358"/>
      <c r="EI91" s="358"/>
      <c r="EJ91" s="358"/>
      <c r="EK91" s="358"/>
      <c r="EL91" s="358"/>
      <c r="EM91" s="358"/>
      <c r="EN91" s="358"/>
      <c r="EO91" s="358"/>
      <c r="EP91" s="358"/>
      <c r="EQ91" s="358"/>
      <c r="ER91" s="358"/>
      <c r="ES91" s="358"/>
      <c r="ET91" s="358"/>
      <c r="EU91" s="358"/>
      <c r="EV91" s="358"/>
      <c r="EW91" s="358"/>
      <c r="EX91" s="358"/>
      <c r="EY91" s="358"/>
      <c r="EZ91" s="371"/>
    </row>
    <row r="92" spans="1:156" ht="5.15" customHeight="1" x14ac:dyDescent="0.25">
      <c r="A92" s="1617"/>
      <c r="B92" s="1618"/>
      <c r="C92" s="1618"/>
      <c r="D92" s="1618"/>
      <c r="E92" s="1618"/>
      <c r="F92" s="1618"/>
      <c r="G92" s="1618"/>
      <c r="H92" s="1618"/>
      <c r="I92" s="1618"/>
      <c r="J92" s="1618"/>
      <c r="K92" s="1618"/>
      <c r="L92" s="1619"/>
      <c r="AK92" s="357"/>
      <c r="AL92" s="358"/>
      <c r="AM92" s="358"/>
      <c r="AN92" s="358"/>
      <c r="AO92" s="358"/>
      <c r="AP92" s="358"/>
      <c r="AQ92" s="358"/>
      <c r="AR92" s="358"/>
      <c r="AS92" s="358"/>
      <c r="AT92" s="358"/>
      <c r="AU92" s="358"/>
      <c r="AV92" s="358"/>
      <c r="AW92" s="358"/>
      <c r="AX92" s="358"/>
      <c r="AY92" s="358"/>
      <c r="AZ92" s="358"/>
      <c r="BA92" s="358"/>
      <c r="BB92" s="367"/>
      <c r="BC92" s="358"/>
      <c r="BD92" s="358"/>
      <c r="BE92" s="358"/>
      <c r="BF92" s="358"/>
      <c r="BG92" s="358"/>
      <c r="BH92" s="358"/>
      <c r="BI92" s="358"/>
      <c r="BJ92" s="358"/>
      <c r="BK92" s="358"/>
      <c r="BL92" s="358"/>
      <c r="BM92" s="358"/>
      <c r="BN92" s="358"/>
      <c r="BO92" s="358"/>
      <c r="BP92" s="358"/>
      <c r="BQ92" s="358"/>
      <c r="BR92" s="358"/>
      <c r="BS92" s="358"/>
      <c r="BT92" s="358"/>
      <c r="BU92" s="358"/>
      <c r="BV92" s="358"/>
      <c r="BW92" s="358"/>
      <c r="BX92" s="358"/>
      <c r="BY92" s="358"/>
      <c r="BZ92" s="358"/>
      <c r="CA92" s="358"/>
      <c r="CB92" s="358"/>
      <c r="CC92" s="358"/>
      <c r="CD92" s="358"/>
      <c r="CE92" s="358"/>
      <c r="CF92" s="358"/>
      <c r="CG92" s="358"/>
      <c r="CH92" s="358"/>
      <c r="CI92" s="358"/>
      <c r="CJ92" s="358"/>
      <c r="CK92" s="358"/>
      <c r="CL92" s="358"/>
      <c r="CM92" s="358"/>
      <c r="CN92" s="358"/>
      <c r="CO92" s="358"/>
      <c r="CP92" s="358"/>
      <c r="CQ92" s="358"/>
      <c r="CR92" s="358"/>
      <c r="CS92" s="358"/>
      <c r="CT92" s="358"/>
      <c r="CU92" s="358"/>
      <c r="CV92" s="358"/>
      <c r="CW92" s="358"/>
      <c r="CX92" s="358"/>
      <c r="CY92" s="358"/>
      <c r="CZ92" s="358"/>
      <c r="DA92" s="358"/>
      <c r="DB92" s="358"/>
      <c r="DC92" s="358"/>
      <c r="DD92" s="358"/>
      <c r="DE92" s="358"/>
      <c r="DF92" s="358"/>
      <c r="DG92" s="358"/>
      <c r="DH92" s="358"/>
      <c r="DI92" s="358"/>
      <c r="DJ92" s="358"/>
      <c r="DK92" s="358"/>
      <c r="DL92" s="358"/>
      <c r="DM92" s="358"/>
      <c r="DN92" s="358"/>
      <c r="DO92" s="358"/>
      <c r="DP92" s="358"/>
      <c r="DQ92" s="358"/>
      <c r="DR92" s="358"/>
      <c r="DS92" s="358"/>
      <c r="DT92" s="358"/>
      <c r="DU92" s="358"/>
      <c r="DV92" s="358"/>
      <c r="DW92" s="358"/>
      <c r="DX92" s="358"/>
      <c r="DY92" s="358"/>
      <c r="DZ92" s="358"/>
      <c r="EA92" s="358"/>
      <c r="EB92" s="358"/>
      <c r="EC92" s="358"/>
      <c r="ED92" s="358"/>
      <c r="EE92" s="358"/>
      <c r="EF92" s="358"/>
      <c r="EG92" s="358"/>
      <c r="EH92" s="358"/>
      <c r="EI92" s="358"/>
      <c r="EJ92" s="358"/>
      <c r="EK92" s="358"/>
      <c r="EL92" s="358"/>
      <c r="EM92" s="358"/>
      <c r="EN92" s="358"/>
      <c r="EO92" s="358"/>
      <c r="EP92" s="358"/>
      <c r="EQ92" s="358"/>
      <c r="ER92" s="358"/>
      <c r="ES92" s="358"/>
      <c r="ET92" s="358"/>
      <c r="EU92" s="358"/>
      <c r="EV92" s="358"/>
      <c r="EW92" s="358"/>
      <c r="EX92" s="358"/>
      <c r="EY92" s="358"/>
      <c r="EZ92" s="371"/>
    </row>
    <row r="93" spans="1:156" ht="11.15" customHeight="1" x14ac:dyDescent="0.25">
      <c r="A93" s="1547" t="s">
        <v>199</v>
      </c>
      <c r="B93" s="1548"/>
      <c r="C93" s="1549">
        <f ca="1">IF(OR($N$8="",$N$8=0),"",IF(INDIRECT(ADDRESS(($AK93),COLUMN()+18,,,"Digitar Dados dos Ensaios"))&lt;&gt;"",INDIRECT(ADDRESS(($AK93),COLUMN()+18,,,"Digitar Dados dos Ensaios")),""))</f>
        <v>28</v>
      </c>
      <c r="D93" s="1549" t="str">
        <f ca="1">IF(OR($N$8="",$N$8=0),"",IF(INDIRECT(ADDRESS(($AK93),COLUMN()+14,,,"Digitar Dados dos Ensaios"))&lt;&gt;"",INDIRECT(ADDRESS(($AK93),COLUMN()+14,,,"Digitar Dados dos Ensaios")),""))</f>
        <v/>
      </c>
      <c r="E93" s="1550" t="s">
        <v>200</v>
      </c>
      <c r="F93" s="978"/>
      <c r="G93" s="978"/>
      <c r="H93" s="978"/>
      <c r="I93" s="978"/>
      <c r="J93" s="978"/>
      <c r="K93" s="978"/>
      <c r="L93" s="979"/>
      <c r="AK93" s="357">
        <f>AK7+3</f>
        <v>7</v>
      </c>
      <c r="AL93" s="358"/>
      <c r="AM93" s="372" t="str">
        <f>IF(AL8=TRUE,MAX(AL13),IF(AL8=FALSE,""))</f>
        <v/>
      </c>
      <c r="AN93" s="372">
        <f ca="1">IF(AM8=TRUE,MAX(AM13),IF(AM8=FALSE,""))</f>
        <v>3.8586060232619943E-2</v>
      </c>
      <c r="AO93" s="372">
        <f ca="1">IF(AU7=TRUE,D91,IF(AN8=TRUE,MAX(AN13),IF(AN8=FALSE,"")))</f>
        <v>5.3721596155510309E-2</v>
      </c>
      <c r="AP93" s="372">
        <f ca="1">IF(AO8=TRUE,MAX(AO13),IF(AO8=FALSE,""))</f>
        <v>6.8857132078400676E-2</v>
      </c>
      <c r="AQ93" s="372">
        <f ca="1">IF(AP8=TRUE,MAX(AP13),IF(AP8=FALSE,""))</f>
        <v>8.3992668001291043E-2</v>
      </c>
      <c r="AR93" s="372">
        <f ca="1">IF(AQ8=TRUE,MAX(AQ13),IF(AQ8=FALSE,""))</f>
        <v>0</v>
      </c>
      <c r="AS93" s="373">
        <f ca="1">AVERAGE(AM93:AR93)</f>
        <v>4.9031491293564392E-2</v>
      </c>
      <c r="AT93" s="374" t="str">
        <f t="shared" ref="AT93:AY93" si="30">IF(ISNUMBER(AM96),AM96^2,"")</f>
        <v/>
      </c>
      <c r="AU93" s="374">
        <f t="shared" ca="1" si="30"/>
        <v>1.0910703004894308E-4</v>
      </c>
      <c r="AV93" s="374">
        <f t="shared" ca="1" si="30"/>
        <v>2.1997083616048736E-5</v>
      </c>
      <c r="AW93" s="374">
        <f t="shared" ca="1" si="30"/>
        <v>3.9305603252936389E-4</v>
      </c>
      <c r="AX93" s="374">
        <f t="shared" ca="1" si="30"/>
        <v>1.2222838767888885E-3</v>
      </c>
      <c r="AY93" s="374">
        <f t="shared" ca="1" si="30"/>
        <v>2.4040871384708807E-3</v>
      </c>
      <c r="AZ93" s="375">
        <f ca="1">SUM(AT93:AY93)</f>
        <v>4.1505311614541251E-3</v>
      </c>
      <c r="BA93" s="376" t="s">
        <v>28</v>
      </c>
      <c r="BB93" s="377">
        <f ca="1">IF(AU8=TRUE,IF(BA13&lt;&gt;"",BA13,""),IF(AU8=FALSE,D91))</f>
        <v>5.7765822483399835E-2</v>
      </c>
      <c r="BC93" s="358"/>
      <c r="BD93" s="394">
        <v>0.63</v>
      </c>
      <c r="BE93" s="395">
        <v>0.63</v>
      </c>
      <c r="BF93" s="395">
        <v>0.63</v>
      </c>
      <c r="BG93" s="396">
        <f ca="1">IF(D110&lt;&gt;"",D110,"")</f>
        <v>55.762273901808783</v>
      </c>
      <c r="BH93" s="396">
        <v>0</v>
      </c>
      <c r="BI93" s="396">
        <f ca="1">IF(D103&lt;&gt;"",D103,"")</f>
        <v>9.9224806201550386</v>
      </c>
      <c r="BJ93" s="395">
        <v>0.63</v>
      </c>
      <c r="BK93" s="395">
        <v>1.27</v>
      </c>
      <c r="BL93" s="395">
        <v>1.9</v>
      </c>
      <c r="BM93" s="395">
        <v>2.54</v>
      </c>
      <c r="BN93" s="395">
        <v>3.81</v>
      </c>
      <c r="BO93" s="395">
        <v>5.08</v>
      </c>
      <c r="BP93" s="395">
        <v>6.35</v>
      </c>
      <c r="BQ93" s="395">
        <v>7.62</v>
      </c>
      <c r="BR93" s="397">
        <f ca="1">IF(BJ94&lt;&gt;"",AVERAGE(BJ93:BQ93),"")</f>
        <v>3.65</v>
      </c>
      <c r="BS93" s="398">
        <f ca="1">IF(ISNUMBER(BJ98),BJ98^2,"")</f>
        <v>340.42833049000006</v>
      </c>
      <c r="BT93" s="398">
        <f t="shared" ref="BT93:BZ93" ca="1" si="31">IF(ISNUMBER(BK98),BK98^2,"")</f>
        <v>297.03488408999999</v>
      </c>
      <c r="BU93" s="398">
        <f t="shared" ca="1" si="31"/>
        <v>232.18445376000003</v>
      </c>
      <c r="BV93" s="398">
        <f t="shared" ca="1" si="31"/>
        <v>153.66081600000001</v>
      </c>
      <c r="BW93" s="398">
        <f t="shared" ca="1" si="31"/>
        <v>18.761892250000002</v>
      </c>
      <c r="BX93" s="398">
        <f t="shared" ca="1" si="31"/>
        <v>48.424897440000002</v>
      </c>
      <c r="BY93" s="398">
        <f t="shared" ca="1" si="31"/>
        <v>461.17133000999991</v>
      </c>
      <c r="BZ93" s="398">
        <f t="shared" ca="1" si="31"/>
        <v>1537.95740224</v>
      </c>
      <c r="CA93" s="398">
        <f ca="1">IF(BS93&lt;&gt;"",SUM(BS93:BZ93),"")</f>
        <v>3089.6240062799998</v>
      </c>
      <c r="CB93" s="399">
        <v>0</v>
      </c>
      <c r="CC93" s="399">
        <f ca="1">IF(CB94="","",IF(CB94&gt;0,CF96,-1))</f>
        <v>-1</v>
      </c>
      <c r="CD93" s="399">
        <f ca="1">IF(CB94="","",IF(CB94&gt;0,CH96,-1))</f>
        <v>-1</v>
      </c>
      <c r="CE93" s="399">
        <f ca="1">IF(CB94="","",IF(CB94&gt;0,(BV97*CE94)+BV98,-1))</f>
        <v>-1</v>
      </c>
      <c r="CF93" s="399">
        <f ca="1">IF(CB94="","",IF(CB94&gt;0,(BV97*CF94)+BV98,-1))</f>
        <v>-1</v>
      </c>
      <c r="CG93" s="399">
        <f ca="1">IF(CB94="","",IF(CB94&gt;0,CF96,-1))</f>
        <v>-1</v>
      </c>
      <c r="CH93" s="399">
        <f ca="1">IF(CB94="","",IF(CB94&gt;0,CF96,-1))</f>
        <v>-1</v>
      </c>
      <c r="CI93" s="399">
        <f ca="1">IF(CB94="","",IF(CB94&gt;0,CF96,-1))</f>
        <v>-1</v>
      </c>
      <c r="CJ93" s="400">
        <f ca="1">IF(CB94="","",IF(CB94&gt;0,CE93,-1))</f>
        <v>-1</v>
      </c>
      <c r="CK93" s="358"/>
      <c r="CL93" s="358"/>
      <c r="CM93" s="358"/>
      <c r="CN93" s="358"/>
      <c r="CO93" s="358"/>
      <c r="CP93" s="358"/>
      <c r="CQ93" s="358"/>
      <c r="CR93" s="358"/>
      <c r="CS93" s="358"/>
      <c r="CT93" s="358"/>
      <c r="CU93" s="358"/>
      <c r="CV93" s="358"/>
      <c r="CW93" s="358"/>
      <c r="CX93" s="358"/>
      <c r="CY93" s="358"/>
      <c r="CZ93" s="358"/>
      <c r="DA93" s="358"/>
      <c r="DB93" s="358"/>
      <c r="DC93" s="358"/>
      <c r="DD93" s="358"/>
      <c r="DE93" s="358"/>
      <c r="DF93" s="358"/>
      <c r="DG93" s="358"/>
      <c r="DH93" s="358"/>
      <c r="DI93" s="358"/>
      <c r="DJ93" s="358"/>
      <c r="DK93" s="358"/>
      <c r="DL93" s="358"/>
      <c r="DM93" s="358"/>
      <c r="DN93" s="358"/>
      <c r="DO93" s="358"/>
      <c r="DP93" s="358"/>
      <c r="DQ93" s="358"/>
      <c r="DR93" s="358"/>
      <c r="DS93" s="358"/>
      <c r="DT93" s="358"/>
      <c r="DU93" s="358"/>
      <c r="DV93" s="358"/>
      <c r="DW93" s="358"/>
      <c r="DX93" s="358"/>
      <c r="DY93" s="358"/>
      <c r="DZ93" s="358"/>
      <c r="EA93" s="358"/>
      <c r="EB93" s="358"/>
      <c r="EC93" s="358"/>
      <c r="ED93" s="358"/>
      <c r="EE93" s="358"/>
      <c r="EF93" s="358"/>
      <c r="EG93" s="358"/>
      <c r="EH93" s="358"/>
      <c r="EI93" s="358"/>
      <c r="EJ93" s="358"/>
      <c r="EK93" s="358"/>
      <c r="EL93" s="358"/>
      <c r="EM93" s="358"/>
      <c r="EN93" s="358"/>
      <c r="EO93" s="358"/>
      <c r="EP93" s="358"/>
      <c r="EQ93" s="358"/>
      <c r="ER93" s="358"/>
      <c r="ES93" s="358"/>
      <c r="ET93" s="358"/>
      <c r="EU93" s="358"/>
      <c r="EV93" s="358"/>
      <c r="EW93" s="358"/>
      <c r="EX93" s="358"/>
      <c r="EY93" s="358"/>
      <c r="EZ93" s="371"/>
    </row>
    <row r="94" spans="1:156" s="230" customFormat="1" ht="11.15" customHeight="1" x14ac:dyDescent="0.25">
      <c r="A94" s="980">
        <f ca="1">IF(OR($N$8="",$N$8=0),"",IF(INDIRECT(ADDRESS(($AK94),COLUMN()+22,,,"Digitar Dados dos Ensaios"))&lt;&gt;"",INDIRECT(ADDRESS(($AK94),COLUMN()+22,,,"Digitar Dados dos Ensaios")),""))</f>
        <v>19.350000000000001</v>
      </c>
      <c r="B94" s="977" t="s">
        <v>57</v>
      </c>
      <c r="C94" s="977" t="s">
        <v>201</v>
      </c>
      <c r="D94" s="977" t="s">
        <v>17</v>
      </c>
      <c r="E94" s="1551"/>
      <c r="F94" s="981"/>
      <c r="G94" s="981"/>
      <c r="H94" s="981"/>
      <c r="I94" s="981"/>
      <c r="J94" s="981"/>
      <c r="K94" s="981"/>
      <c r="L94" s="982"/>
      <c r="AK94" s="357">
        <f>AK93+2</f>
        <v>9</v>
      </c>
      <c r="AL94" s="358"/>
      <c r="AM94" s="401"/>
      <c r="AN94" s="401">
        <f ca="1">IF(AN93&lt;&gt;"",MAX(E103:E110)*100,"")</f>
        <v>40.134251275695846</v>
      </c>
      <c r="AO94" s="401">
        <f ca="1">IF(AO93&lt;&gt;"",MAX(E122:E129)*100,"")</f>
        <v>53.806358853130689</v>
      </c>
      <c r="AP94" s="401">
        <f ca="1">IF(AP93&lt;&gt;"",MAX(E141:E148)*100,"")</f>
        <v>44.248486859779703</v>
      </c>
      <c r="AQ94" s="401"/>
      <c r="AR94" s="401" t="e">
        <f ca="1">IF(AR93&lt;&gt;"",MAX(#REF!)*100,"")</f>
        <v>#REF!</v>
      </c>
      <c r="AS94" s="374" t="e">
        <f ca="1">AVERAGE(AM94:AR94)</f>
        <v>#REF!</v>
      </c>
      <c r="AT94" s="374" t="str">
        <f t="shared" ref="AT94:AY94" si="32">IF(ISNUMBER(AM98),AM98^2,"")</f>
        <v/>
      </c>
      <c r="AU94" s="374">
        <f t="shared" ca="1" si="32"/>
        <v>3.0461046451201759E-6</v>
      </c>
      <c r="AV94" s="374">
        <f t="shared" ca="1" si="32"/>
        <v>1.212317338410198E-7</v>
      </c>
      <c r="AW94" s="374">
        <f t="shared" ca="1" si="32"/>
        <v>2.2713843720244475E-6</v>
      </c>
      <c r="AX94" s="374">
        <f t="shared" ca="1" si="32"/>
        <v>1.4596792621628634E-5</v>
      </c>
      <c r="AY94" s="374">
        <f t="shared" ca="1" si="32"/>
        <v>1.0460006759478971E-5</v>
      </c>
      <c r="AZ94" s="375">
        <f ca="1">SUM(AT94:AY94)</f>
        <v>3.0495520132093248E-5</v>
      </c>
      <c r="BA94" s="376" t="s">
        <v>47</v>
      </c>
      <c r="BB94" s="402" t="e">
        <f ca="1">IF(AU7=TRUE,AO94,(AU99*BB93^2+AW99*BB93+AY99))</f>
        <v>#REF!</v>
      </c>
      <c r="BC94" s="358"/>
      <c r="BD94" s="403">
        <v>1.27</v>
      </c>
      <c r="BE94" s="404">
        <v>1.27</v>
      </c>
      <c r="BF94" s="404">
        <v>1.27</v>
      </c>
      <c r="BG94" s="401">
        <f t="shared" ref="BG94:BG100" ca="1" si="33">IF(BG93&lt;&gt;"",BG93,"")</f>
        <v>55.762273901808783</v>
      </c>
      <c r="BH94" s="401">
        <v>0</v>
      </c>
      <c r="BI94" s="401">
        <f t="shared" ref="BI94:BI100" ca="1" si="34">IF(D104&lt;&gt;"",D104,"")</f>
        <v>16.795865633074936</v>
      </c>
      <c r="BJ94" s="405">
        <f ca="1">IF(ISNUMBER($BI93),$BI93,"")</f>
        <v>9.9224806201550386</v>
      </c>
      <c r="BK94" s="405">
        <f ca="1">IF(ISNUMBER($BI94),$BI94,"")</f>
        <v>16.795865633074936</v>
      </c>
      <c r="BL94" s="405">
        <f ca="1">IF(ISNUMBER($BI95),$BI95,"")</f>
        <v>21.188630490956072</v>
      </c>
      <c r="BM94" s="405">
        <f ca="1">IF(ISNUMBER($BI96),$BI96,"")</f>
        <v>28.217054263565888</v>
      </c>
      <c r="BN94" s="405">
        <f ca="1">IF(ISNUMBER($BI97),$BI97,"")</f>
        <v>36.692506459948319</v>
      </c>
      <c r="BO94" s="405">
        <f ca="1">IF(ISNUMBER($BI98),$BI98,"")</f>
        <v>42.325581395348834</v>
      </c>
      <c r="BP94" s="405">
        <f ca="1">IF(ISNUMBER($BI99),$BI99,"")</f>
        <v>47.958656330749349</v>
      </c>
      <c r="BQ94" s="405">
        <f ca="1">IF(ISNUMBER($BI100),$BI100,"")</f>
        <v>55.762273901808783</v>
      </c>
      <c r="BR94" s="405">
        <f ca="1">IF(BJ94&lt;&gt;"",AVERAGE(BJ94:BQ94),"")</f>
        <v>32.357881136950901</v>
      </c>
      <c r="BS94" s="406">
        <f ca="1">IF(ISERROR(BJ96*BJ97),"",BJ96*BJ97)</f>
        <v>67.754909560723505</v>
      </c>
      <c r="BT94" s="406">
        <f t="shared" ref="BT94:BZ95" ca="1" si="35">IF(ISERROR(BK96*BK97),"",BK96*BK97)</f>
        <v>37.037596899224795</v>
      </c>
      <c r="BU94" s="406">
        <f t="shared" ca="1" si="35"/>
        <v>19.546188630490953</v>
      </c>
      <c r="BV94" s="406">
        <f t="shared" ca="1" si="35"/>
        <v>4.5963178294573641</v>
      </c>
      <c r="BW94" s="406">
        <f t="shared" ca="1" si="35"/>
        <v>0.69354005167958754</v>
      </c>
      <c r="BX94" s="406">
        <f t="shared" ca="1" si="35"/>
        <v>14.253811369509046</v>
      </c>
      <c r="BY94" s="406">
        <f t="shared" ca="1" si="35"/>
        <v>42.122093023255808</v>
      </c>
      <c r="BZ94" s="406">
        <f t="shared" ca="1" si="35"/>
        <v>92.915439276485799</v>
      </c>
      <c r="CA94" s="406">
        <f ca="1">IF(BS94&lt;&gt;"",SUM(BS94:BZ94),"")</f>
        <v>278.91989664082683</v>
      </c>
      <c r="CB94" s="407">
        <f ca="1">IF(BV98&lt;&gt;"",(CB93-BV98)/BV97,"")</f>
        <v>-1.5568998821121192</v>
      </c>
      <c r="CC94" s="408">
        <f ca="1">IF(CB94="","",IF(CB94&gt;0,(CF95+CB94),-1))</f>
        <v>-1</v>
      </c>
      <c r="CD94" s="408">
        <f ca="1">IF(CB94="","",IF(CB94&gt;0,CH95+CB94,-1))</f>
        <v>-1</v>
      </c>
      <c r="CE94" s="408">
        <f ca="1">IF(CB94="","",IF(CB94&gt;0,CC94,-1))</f>
        <v>-1</v>
      </c>
      <c r="CF94" s="408">
        <f ca="1">IF(CB94="","",IF(CB94&gt;0,CD94,-1))</f>
        <v>-1</v>
      </c>
      <c r="CG94" s="408">
        <f ca="1">IF(CB94="","",IF(CB94&gt;0,CF95,-1))</f>
        <v>-1</v>
      </c>
      <c r="CH94" s="408">
        <f ca="1">IF(CB94="","",IF(CB94&gt;0,CC94,-1))</f>
        <v>-1</v>
      </c>
      <c r="CI94" s="408">
        <f ca="1">IF(CB94="","",IF(CB94&gt;0,CE94,-1))</f>
        <v>-1</v>
      </c>
      <c r="CJ94" s="409">
        <f ca="1">IF(CB94="","",IF(CB94&gt;0,CE94,-1))</f>
        <v>-1</v>
      </c>
      <c r="CK94" s="358"/>
      <c r="CL94" s="358"/>
      <c r="CM94" s="358"/>
      <c r="CN94" s="358"/>
      <c r="CO94" s="358"/>
      <c r="CP94" s="358"/>
      <c r="CQ94" s="358"/>
      <c r="CR94" s="358"/>
      <c r="CS94" s="358"/>
      <c r="CT94" s="358"/>
      <c r="CU94" s="358"/>
      <c r="CV94" s="358"/>
      <c r="CW94" s="358"/>
      <c r="CX94" s="358"/>
      <c r="CY94" s="358"/>
      <c r="CZ94" s="358"/>
      <c r="DA94" s="358"/>
      <c r="DB94" s="358"/>
      <c r="DC94" s="358"/>
      <c r="DD94" s="358"/>
      <c r="DE94" s="358"/>
      <c r="DF94" s="358"/>
      <c r="DG94" s="358"/>
      <c r="DH94" s="358"/>
      <c r="DI94" s="358"/>
      <c r="DJ94" s="358"/>
      <c r="DK94" s="358"/>
      <c r="DL94" s="358"/>
      <c r="DM94" s="358"/>
      <c r="DN94" s="358"/>
      <c r="DO94" s="358"/>
      <c r="DP94" s="358"/>
      <c r="DQ94" s="358"/>
      <c r="DR94" s="358"/>
      <c r="DS94" s="358"/>
      <c r="DT94" s="358"/>
      <c r="DU94" s="358"/>
      <c r="DV94" s="358"/>
      <c r="DW94" s="358"/>
      <c r="DX94" s="358"/>
      <c r="DY94" s="358"/>
      <c r="DZ94" s="358"/>
      <c r="EA94" s="358"/>
      <c r="EB94" s="358"/>
      <c r="EC94" s="358"/>
      <c r="ED94" s="358"/>
      <c r="EE94" s="358"/>
      <c r="EF94" s="358"/>
      <c r="EG94" s="358"/>
      <c r="EH94" s="358"/>
      <c r="EI94" s="358"/>
      <c r="EJ94" s="358"/>
      <c r="EK94" s="358"/>
      <c r="EL94" s="358"/>
      <c r="EM94" s="358"/>
      <c r="EN94" s="358"/>
      <c r="EO94" s="358"/>
      <c r="EP94" s="358"/>
      <c r="EQ94" s="358"/>
      <c r="ER94" s="358"/>
      <c r="ES94" s="358"/>
      <c r="ET94" s="358"/>
      <c r="EU94" s="358"/>
      <c r="EV94" s="358"/>
      <c r="EW94" s="358"/>
      <c r="EX94" s="358"/>
      <c r="EY94" s="358"/>
      <c r="EZ94" s="371"/>
    </row>
    <row r="95" spans="1:156" s="20" customFormat="1" ht="11.15" customHeight="1" x14ac:dyDescent="0.25">
      <c r="A95" s="1552" t="s">
        <v>202</v>
      </c>
      <c r="B95" s="983" t="str">
        <f>IF($K$78&lt;&gt;"",$K$78,"")</f>
        <v/>
      </c>
      <c r="C95" s="984" t="str">
        <f ca="1">IF(OR($N$8="",$N$8=0),"",IF(INDIRECT(ADDRESS(($AK95),COLUMN()+19,,,"Digitar Dados dos Ensaios"))&lt;&gt;"",INDIRECT(ADDRESS(($AK95),COLUMN()+19,,,"Digitar Dados dos Ensaios")),""))</f>
        <v/>
      </c>
      <c r="D95" s="985">
        <f ca="1">IF(OR($N$8="",$N$8=0),"",IF(INDIRECT(ADDRESS(($AL95),COLUMN()+22,,,"Digitar Dados dos Ensaios"))&lt;&gt;"",INDIRECT(ADDRESS(($AL95),COLUMN()+22,,,"Digitar Dados dos Ensaios")),""))</f>
        <v>1</v>
      </c>
      <c r="E95" s="1551"/>
      <c r="F95" s="981"/>
      <c r="G95" s="981"/>
      <c r="H95" s="981"/>
      <c r="I95" s="981"/>
      <c r="J95" s="981"/>
      <c r="K95" s="981"/>
      <c r="L95" s="982"/>
      <c r="N95" s="268"/>
      <c r="AK95" s="357">
        <f>AK93</f>
        <v>7</v>
      </c>
      <c r="AL95" s="368">
        <f>AK7+3</f>
        <v>7</v>
      </c>
      <c r="AM95" s="380" t="str">
        <f t="shared" ref="AM95:AR95" si="36">IF(ISNUMBER(AM93),AM93^2,"")</f>
        <v/>
      </c>
      <c r="AN95" s="380">
        <f t="shared" ca="1" si="36"/>
        <v>1.4888840442753742E-3</v>
      </c>
      <c r="AO95" s="380">
        <f t="shared" ca="1" si="36"/>
        <v>2.8860098934957402E-3</v>
      </c>
      <c r="AP95" s="380">
        <f t="shared" ca="1" si="36"/>
        <v>4.7413046380623157E-3</v>
      </c>
      <c r="AQ95" s="380">
        <f t="shared" ca="1" si="36"/>
        <v>7.0547682779751007E-3</v>
      </c>
      <c r="AR95" s="381">
        <f t="shared" ca="1" si="36"/>
        <v>0</v>
      </c>
      <c r="AS95" s="374">
        <f ca="1">AVERAGE(AM95:AR95)</f>
        <v>3.2341933707617067E-3</v>
      </c>
      <c r="AT95" s="374" t="str">
        <f t="shared" ref="AT95:AY95" si="37">IF(ISERROR(AM97*AM97),"",AM96*AM97)</f>
        <v/>
      </c>
      <c r="AU95" s="374" t="str">
        <f t="shared" ca="1" si="37"/>
        <v/>
      </c>
      <c r="AV95" s="374" t="str">
        <f t="shared" ca="1" si="37"/>
        <v/>
      </c>
      <c r="AW95" s="374" t="str">
        <f t="shared" ca="1" si="37"/>
        <v/>
      </c>
      <c r="AX95" s="374" t="str">
        <f t="shared" si="37"/>
        <v/>
      </c>
      <c r="AY95" s="374" t="str">
        <f t="shared" ca="1" si="37"/>
        <v/>
      </c>
      <c r="AZ95" s="375">
        <f ca="1">SUM(AT95:AY95)</f>
        <v>0</v>
      </c>
      <c r="BA95" s="382"/>
      <c r="BB95" s="383"/>
      <c r="BC95" s="358"/>
      <c r="BD95" s="403">
        <v>1.9</v>
      </c>
      <c r="BE95" s="404">
        <v>1.9</v>
      </c>
      <c r="BF95" s="404">
        <v>1.9</v>
      </c>
      <c r="BG95" s="401">
        <f t="shared" ca="1" si="33"/>
        <v>55.762273901808783</v>
      </c>
      <c r="BH95" s="401">
        <v>0</v>
      </c>
      <c r="BI95" s="401">
        <f t="shared" ca="1" si="34"/>
        <v>21.188630490956072</v>
      </c>
      <c r="BJ95" s="405">
        <f ca="1">IF(BJ94&lt;&gt;"",BJ93^2,"")</f>
        <v>0.39690000000000003</v>
      </c>
      <c r="BK95" s="405">
        <f t="shared" ref="BK95:BQ95" ca="1" si="38">IF(BK94&lt;&gt;"",BK93^2,"")</f>
        <v>1.6129</v>
      </c>
      <c r="BL95" s="405">
        <f t="shared" ca="1" si="38"/>
        <v>3.61</v>
      </c>
      <c r="BM95" s="405">
        <f t="shared" ca="1" si="38"/>
        <v>6.4516</v>
      </c>
      <c r="BN95" s="405">
        <f t="shared" ca="1" si="38"/>
        <v>14.5161</v>
      </c>
      <c r="BO95" s="405">
        <f t="shared" ca="1" si="38"/>
        <v>25.8064</v>
      </c>
      <c r="BP95" s="405">
        <f t="shared" ca="1" si="38"/>
        <v>40.322499999999998</v>
      </c>
      <c r="BQ95" s="405">
        <f t="shared" ca="1" si="38"/>
        <v>58.064399999999999</v>
      </c>
      <c r="BR95" s="405">
        <f ca="1">IF(BJ95&lt;&gt;"",AVERAGE(BJ95:BQ95),"")</f>
        <v>18.8476</v>
      </c>
      <c r="BS95" s="406">
        <f ca="1">IF(ISERROR(BJ97*BJ98),"",BJ97*BJ98)</f>
        <v>413.94884431524542</v>
      </c>
      <c r="BT95" s="406">
        <f t="shared" ca="1" si="35"/>
        <v>268.2066686046511</v>
      </c>
      <c r="BU95" s="406">
        <f t="shared" ca="1" si="35"/>
        <v>170.19257364341081</v>
      </c>
      <c r="BV95" s="406">
        <f t="shared" ca="1" si="35"/>
        <v>51.329689922480625</v>
      </c>
      <c r="BW95" s="406">
        <f t="shared" ca="1" si="35"/>
        <v>-18.775429586563316</v>
      </c>
      <c r="BX95" s="406">
        <f t="shared" ca="1" si="35"/>
        <v>69.363232558139543</v>
      </c>
      <c r="BY95" s="406">
        <f t="shared" ca="1" si="35"/>
        <v>335.02508720930228</v>
      </c>
      <c r="BZ95" s="406">
        <f t="shared" ca="1" si="35"/>
        <v>917.84539018087855</v>
      </c>
      <c r="CA95" s="406">
        <f ca="1">IF(BS95&lt;&gt;"",SUM(BS95:BZ95),"")</f>
        <v>2207.1360568475452</v>
      </c>
      <c r="CB95" s="408">
        <v>0</v>
      </c>
      <c r="CC95" s="408">
        <v>0.63</v>
      </c>
      <c r="CD95" s="408">
        <v>1.27</v>
      </c>
      <c r="CE95" s="408">
        <v>1.9</v>
      </c>
      <c r="CF95" s="408">
        <v>2.54</v>
      </c>
      <c r="CG95" s="408">
        <v>3.81</v>
      </c>
      <c r="CH95" s="408">
        <v>5.08</v>
      </c>
      <c r="CI95" s="408">
        <v>6.35</v>
      </c>
      <c r="CJ95" s="409">
        <v>7.62</v>
      </c>
      <c r="CK95" s="358"/>
      <c r="CL95" s="358"/>
      <c r="CM95" s="358"/>
      <c r="CN95" s="358"/>
      <c r="CO95" s="358"/>
      <c r="CP95" s="358"/>
      <c r="CQ95" s="358"/>
      <c r="CR95" s="358"/>
      <c r="CS95" s="358"/>
      <c r="CT95" s="358"/>
      <c r="CU95" s="358"/>
      <c r="CV95" s="358"/>
      <c r="CW95" s="358"/>
      <c r="CX95" s="358"/>
      <c r="CY95" s="358"/>
      <c r="CZ95" s="358"/>
      <c r="DA95" s="358"/>
      <c r="DB95" s="358"/>
      <c r="DC95" s="358"/>
      <c r="DD95" s="358"/>
      <c r="DE95" s="358"/>
      <c r="DF95" s="358"/>
      <c r="DG95" s="358"/>
      <c r="DH95" s="358"/>
      <c r="DI95" s="358"/>
      <c r="DJ95" s="358"/>
      <c r="DK95" s="358"/>
      <c r="DL95" s="358"/>
      <c r="DM95" s="358"/>
      <c r="DN95" s="358"/>
      <c r="DO95" s="358"/>
      <c r="DP95" s="358"/>
      <c r="DQ95" s="358"/>
      <c r="DR95" s="358"/>
      <c r="DS95" s="358"/>
      <c r="DT95" s="358"/>
      <c r="DU95" s="358"/>
      <c r="DV95" s="358"/>
      <c r="DW95" s="358"/>
      <c r="DX95" s="358"/>
      <c r="DY95" s="358"/>
      <c r="DZ95" s="358"/>
      <c r="EA95" s="358"/>
      <c r="EB95" s="358"/>
      <c r="EC95" s="358"/>
      <c r="ED95" s="358"/>
      <c r="EE95" s="358"/>
      <c r="EF95" s="358"/>
      <c r="EG95" s="358"/>
      <c r="EH95" s="358"/>
      <c r="EI95" s="358"/>
      <c r="EJ95" s="358"/>
      <c r="EK95" s="358"/>
      <c r="EL95" s="358"/>
      <c r="EM95" s="358"/>
      <c r="EN95" s="358"/>
      <c r="EO95" s="358"/>
      <c r="EP95" s="358"/>
      <c r="EQ95" s="358"/>
      <c r="ER95" s="358"/>
      <c r="ES95" s="358"/>
      <c r="ET95" s="358"/>
      <c r="EU95" s="358"/>
      <c r="EV95" s="358"/>
      <c r="EW95" s="358"/>
      <c r="EX95" s="358"/>
      <c r="EY95" s="358"/>
      <c r="EZ95" s="371"/>
    </row>
    <row r="96" spans="1:156" s="20" customFormat="1" ht="11.15" customHeight="1" x14ac:dyDescent="0.25">
      <c r="A96" s="1552"/>
      <c r="B96" s="983" t="str">
        <f>IF(ISNUMBER(B95),B95+1,"")</f>
        <v/>
      </c>
      <c r="C96" s="984" t="str">
        <f ca="1">IF(OR($N$8="",$N$8=0),"",IF(INDIRECT(ADDRESS(($AK96),COLUMN()+20,,,"Digitar Dados dos Ensaios"))&lt;&gt;"",INDIRECT(ADDRESS(($AK96),COLUMN()+20,,,"Digitar Dados dos Ensaios")),""))</f>
        <v/>
      </c>
      <c r="D96" s="985">
        <f ca="1">IF(OR($N$8="",$N$8=0),"",IF(INDIRECT(ADDRESS(($AL96),COLUMN()+23,,,"Digitar Dados dos Ensaios"))&lt;&gt;"",INDIRECT(ADDRESS(($AL96),COLUMN()+23,,,"Digitar Dados dos Ensaios")),""))</f>
        <v>1</v>
      </c>
      <c r="E96" s="1551"/>
      <c r="F96" s="981"/>
      <c r="G96" s="981"/>
      <c r="H96" s="981"/>
      <c r="I96" s="981"/>
      <c r="J96" s="981"/>
      <c r="K96" s="981"/>
      <c r="L96" s="982"/>
      <c r="AK96" s="357">
        <f t="shared" ref="AK96:AL98" si="39">AK95</f>
        <v>7</v>
      </c>
      <c r="AL96" s="368">
        <f t="shared" si="39"/>
        <v>7</v>
      </c>
      <c r="AM96" s="380" t="str">
        <f>IF(ISNUMBER(AM93),AM93-$AS93,"")</f>
        <v/>
      </c>
      <c r="AN96" s="380">
        <f t="shared" ref="AN96:AR98" ca="1" si="40">IF(ISNUMBER(AN93),AN93-$AS93,"")</f>
        <v>-1.0445431060944449E-2</v>
      </c>
      <c r="AO96" s="380">
        <f t="shared" ca="1" si="40"/>
        <v>4.6901048619459179E-3</v>
      </c>
      <c r="AP96" s="380">
        <f t="shared" ca="1" si="40"/>
        <v>1.9825640784836285E-2</v>
      </c>
      <c r="AQ96" s="380">
        <f t="shared" ca="1" si="40"/>
        <v>3.4961176707726652E-2</v>
      </c>
      <c r="AR96" s="380">
        <f t="shared" ca="1" si="40"/>
        <v>-4.9031491293564392E-2</v>
      </c>
      <c r="AS96" s="384"/>
      <c r="AT96" s="374" t="str">
        <f t="shared" ref="AT96:AY96" si="41">IF(ISERROR(AM97*AM98),"",AM97*AM98)</f>
        <v/>
      </c>
      <c r="AU96" s="374" t="str">
        <f t="shared" ca="1" si="41"/>
        <v/>
      </c>
      <c r="AV96" s="374" t="str">
        <f t="shared" ca="1" si="41"/>
        <v/>
      </c>
      <c r="AW96" s="374" t="str">
        <f t="shared" ca="1" si="41"/>
        <v/>
      </c>
      <c r="AX96" s="374" t="str">
        <f t="shared" ca="1" si="41"/>
        <v/>
      </c>
      <c r="AY96" s="374" t="str">
        <f t="shared" ca="1" si="41"/>
        <v/>
      </c>
      <c r="AZ96" s="375">
        <f ca="1">SUM(AT96:AY96)</f>
        <v>0</v>
      </c>
      <c r="BA96" s="709"/>
      <c r="BB96" s="385"/>
      <c r="BC96" s="358"/>
      <c r="BD96" s="403">
        <v>2.54</v>
      </c>
      <c r="BE96" s="404">
        <v>2.54</v>
      </c>
      <c r="BF96" s="404">
        <v>2.54</v>
      </c>
      <c r="BG96" s="401">
        <f t="shared" ca="1" si="33"/>
        <v>55.762273901808783</v>
      </c>
      <c r="BH96" s="401">
        <v>0</v>
      </c>
      <c r="BI96" s="401">
        <f t="shared" ca="1" si="34"/>
        <v>28.217054263565888</v>
      </c>
      <c r="BJ96" s="410">
        <f ca="1">IF(ISNUMBER(BJ94),BJ93-BR93,"")</f>
        <v>-3.02</v>
      </c>
      <c r="BK96" s="410">
        <f ca="1">IF(ISNUMBER(BK94),BK93-BR93,"")</f>
        <v>-2.38</v>
      </c>
      <c r="BL96" s="410">
        <f ca="1">IF(ISNUMBER(BL94),BL93-BR93,"")</f>
        <v>-1.75</v>
      </c>
      <c r="BM96" s="410">
        <f ca="1">IF(ISNUMBER(BM94),BM93-BR93,"")</f>
        <v>-1.1099999999999999</v>
      </c>
      <c r="BN96" s="410">
        <f ca="1">IF(ISNUMBER(BN94),BN93-BR93,"")</f>
        <v>0.16000000000000014</v>
      </c>
      <c r="BO96" s="410">
        <f ca="1">IF(ISNUMBER(BO94),BO93-BR93,"")</f>
        <v>1.4300000000000002</v>
      </c>
      <c r="BP96" s="410">
        <f ca="1">IF(ISNUMBER(BP94),BP93-BR93,"")</f>
        <v>2.6999999999999997</v>
      </c>
      <c r="BQ96" s="410">
        <f ca="1">IF(ISNUMBER(BQ94),BQ93-BR93,"")</f>
        <v>3.97</v>
      </c>
      <c r="BR96" s="411">
        <f ca="1">IF(BJ96&lt;&gt;"",SUM(BJ96:BQ96),"")</f>
        <v>0</v>
      </c>
      <c r="BS96" s="406">
        <f ca="1">IF(ISERROR(BJ96*BJ98),"",BJ96*BJ98)</f>
        <v>55.721114000000007</v>
      </c>
      <c r="BT96" s="406">
        <f t="shared" ref="BT96:BZ96" ca="1" si="42">IF(ISERROR(BK96*BK98),"",BK96*BK98)</f>
        <v>41.018585999999999</v>
      </c>
      <c r="BU96" s="406">
        <f t="shared" ca="1" si="42"/>
        <v>26.665800000000001</v>
      </c>
      <c r="BV96" s="406">
        <f t="shared" ca="1" si="42"/>
        <v>13.759559999999999</v>
      </c>
      <c r="BW96" s="406">
        <f t="shared" ca="1" si="42"/>
        <v>-0.69304000000000066</v>
      </c>
      <c r="BX96" s="406">
        <f t="shared" ca="1" si="42"/>
        <v>9.9510840000000016</v>
      </c>
      <c r="BY96" s="406">
        <f t="shared" ca="1" si="42"/>
        <v>57.982229999999987</v>
      </c>
      <c r="BZ96" s="406">
        <f t="shared" ca="1" si="42"/>
        <v>155.690696</v>
      </c>
      <c r="CA96" s="412">
        <f ca="1">IF(BS96&lt;&gt;"",SUM(BS96:BZ96),"")</f>
        <v>360.09603000000004</v>
      </c>
      <c r="CB96" s="408">
        <f ca="1">IF(CB94="","",IF(CB94&gt;0,(BV97*CB95)+BV98,-1))</f>
        <v>-1</v>
      </c>
      <c r="CC96" s="408">
        <f ca="1">IF(CB94="","",IF(CB94&gt;0,(BV97*CC95)+BV98,-1))</f>
        <v>-1</v>
      </c>
      <c r="CD96" s="408">
        <f ca="1">IF(CB94="","",IF(CB94&gt;0,(BV97*CD95)+BV98,-1))</f>
        <v>-1</v>
      </c>
      <c r="CE96" s="408">
        <f ca="1">IF(CB94="","",IF(CB94&gt;0,(BV97*CE95)+BV98,-1))</f>
        <v>-1</v>
      </c>
      <c r="CF96" s="408">
        <f ca="1">IF(CB94="","",IF(CB94&gt;0,(BV97*CF95)+BV98,-1))</f>
        <v>-1</v>
      </c>
      <c r="CG96" s="408">
        <f ca="1">IF(CB94="","",IF(CB94&gt;0,(BV97*CG95)+BV98,-1))</f>
        <v>-1</v>
      </c>
      <c r="CH96" s="408">
        <f ca="1">IF(CB94="","",IF(CB94&gt;0,(BV97*CH95)+BV98,-1))</f>
        <v>-1</v>
      </c>
      <c r="CI96" s="408">
        <f ca="1">IF(CB94="","",IF(CB94&gt;0,(BV97*CI95)+BV98,-1))</f>
        <v>-1</v>
      </c>
      <c r="CJ96" s="409">
        <f ca="1">IF(CB94="","",IF(CB94&gt;0,(BV97*CJ95)+BV98,-1))</f>
        <v>-1</v>
      </c>
      <c r="CK96" s="358"/>
      <c r="CL96" s="358"/>
      <c r="CM96" s="358"/>
      <c r="CN96" s="358"/>
      <c r="CO96" s="358"/>
      <c r="CP96" s="358"/>
      <c r="CQ96" s="358"/>
      <c r="CR96" s="358"/>
      <c r="CS96" s="358"/>
      <c r="CT96" s="358"/>
      <c r="CU96" s="358"/>
      <c r="CV96" s="358"/>
      <c r="CW96" s="358"/>
      <c r="CX96" s="358"/>
      <c r="CY96" s="358"/>
      <c r="CZ96" s="358"/>
      <c r="DA96" s="358"/>
      <c r="DB96" s="358"/>
      <c r="DC96" s="358"/>
      <c r="DD96" s="358"/>
      <c r="DE96" s="358"/>
      <c r="DF96" s="358"/>
      <c r="DG96" s="358"/>
      <c r="DH96" s="358"/>
      <c r="DI96" s="358"/>
      <c r="DJ96" s="358"/>
      <c r="DK96" s="358"/>
      <c r="DL96" s="358"/>
      <c r="DM96" s="358"/>
      <c r="DN96" s="358"/>
      <c r="DO96" s="358"/>
      <c r="DP96" s="358"/>
      <c r="DQ96" s="358"/>
      <c r="DR96" s="358"/>
      <c r="DS96" s="358"/>
      <c r="DT96" s="358"/>
      <c r="DU96" s="358"/>
      <c r="DV96" s="358"/>
      <c r="DW96" s="358"/>
      <c r="DX96" s="358"/>
      <c r="DY96" s="358"/>
      <c r="DZ96" s="358"/>
      <c r="EA96" s="358"/>
      <c r="EB96" s="358"/>
      <c r="EC96" s="358"/>
      <c r="ED96" s="358"/>
      <c r="EE96" s="358"/>
      <c r="EF96" s="358"/>
      <c r="EG96" s="358"/>
      <c r="EH96" s="358"/>
      <c r="EI96" s="358"/>
      <c r="EJ96" s="358"/>
      <c r="EK96" s="358"/>
      <c r="EL96" s="358"/>
      <c r="EM96" s="358"/>
      <c r="EN96" s="358"/>
      <c r="EO96" s="358"/>
      <c r="EP96" s="358"/>
      <c r="EQ96" s="358"/>
      <c r="ER96" s="358"/>
      <c r="ES96" s="358"/>
      <c r="ET96" s="358"/>
      <c r="EU96" s="358"/>
      <c r="EV96" s="358"/>
      <c r="EW96" s="358"/>
      <c r="EX96" s="358"/>
      <c r="EY96" s="358"/>
      <c r="EZ96" s="371"/>
    </row>
    <row r="97" spans="1:156" s="20" customFormat="1" ht="11.15" customHeight="1" x14ac:dyDescent="0.25">
      <c r="A97" s="1552"/>
      <c r="B97" s="983" t="str">
        <f>IF(ISNUMBER(B96),B96+1,"")</f>
        <v/>
      </c>
      <c r="C97" s="984" t="str">
        <f ca="1">IF(OR($N$8="",$N$8=0),"",IF(INDIRECT(ADDRESS(($AK97),COLUMN()+21,,,"Digitar Dados dos Ensaios"))&lt;&gt;"",INDIRECT(ADDRESS(($AK97),COLUMN()+21,,,"Digitar Dados dos Ensaios")),""))</f>
        <v/>
      </c>
      <c r="D97" s="985">
        <f ca="1">IF(OR($N$8="",$N$8=0),"",IF(INDIRECT(ADDRESS(($AL97),COLUMN()+24,,,"Digitar Dados dos Ensaios"))&lt;&gt;"",INDIRECT(ADDRESS(($AL97),COLUMN()+24,,,"Digitar Dados dos Ensaios")),""))</f>
        <v>1</v>
      </c>
      <c r="E97" s="1551"/>
      <c r="F97" s="981"/>
      <c r="G97" s="981"/>
      <c r="H97" s="981"/>
      <c r="I97" s="981"/>
      <c r="J97" s="981"/>
      <c r="K97" s="981"/>
      <c r="L97" s="982"/>
      <c r="AK97" s="357">
        <f t="shared" si="39"/>
        <v>7</v>
      </c>
      <c r="AL97" s="368">
        <f t="shared" si="39"/>
        <v>7</v>
      </c>
      <c r="AM97" s="384" t="str">
        <f>IF(ISNUMBER(AM94),AM94-$AS94,"")</f>
        <v/>
      </c>
      <c r="AN97" s="384" t="e">
        <f t="shared" ca="1" si="40"/>
        <v>#REF!</v>
      </c>
      <c r="AO97" s="384" t="e">
        <f t="shared" ca="1" si="40"/>
        <v>#REF!</v>
      </c>
      <c r="AP97" s="384" t="e">
        <f t="shared" ca="1" si="40"/>
        <v>#REF!</v>
      </c>
      <c r="AQ97" s="384" t="str">
        <f t="shared" si="40"/>
        <v/>
      </c>
      <c r="AR97" s="384" t="str">
        <f t="shared" ca="1" si="40"/>
        <v/>
      </c>
      <c r="AS97" s="386"/>
      <c r="AT97" s="384" t="str">
        <f t="shared" ref="AT97:AY97" si="43">IF(ISERROR(AM96*AM98),"",AM96*AM98)</f>
        <v/>
      </c>
      <c r="AU97" s="384">
        <f t="shared" ca="1" si="43"/>
        <v>1.8230508249836376E-5</v>
      </c>
      <c r="AV97" s="384">
        <f t="shared" ca="1" si="43"/>
        <v>-1.6330170195743454E-6</v>
      </c>
      <c r="AW97" s="384">
        <f t="shared" ca="1" si="43"/>
        <v>2.9879446608281254E-5</v>
      </c>
      <c r="AX97" s="384">
        <f t="shared" ca="1" si="43"/>
        <v>1.3357179445619384E-4</v>
      </c>
      <c r="AY97" s="384">
        <f t="shared" ca="1" si="43"/>
        <v>1.585773241002063E-4</v>
      </c>
      <c r="AZ97" s="375">
        <f ca="1">SUM(AT97:AY97)</f>
        <v>3.3862605639494342E-4</v>
      </c>
      <c r="BA97" s="1620" t="s">
        <v>86</v>
      </c>
      <c r="BB97" s="1620"/>
      <c r="BC97" s="358"/>
      <c r="BD97" s="403">
        <v>3.81</v>
      </c>
      <c r="BE97" s="404">
        <v>3.81</v>
      </c>
      <c r="BF97" s="404">
        <v>3.81</v>
      </c>
      <c r="BG97" s="401">
        <f t="shared" ca="1" si="33"/>
        <v>55.762273901808783</v>
      </c>
      <c r="BH97" s="401">
        <v>0</v>
      </c>
      <c r="BI97" s="401">
        <f t="shared" ca="1" si="34"/>
        <v>36.692506459948319</v>
      </c>
      <c r="BJ97" s="410">
        <f ca="1">IF(ISNUMBER(BJ94),BJ94-BR94,"")</f>
        <v>-22.435400516795863</v>
      </c>
      <c r="BK97" s="410">
        <f ca="1">IF(ISNUMBER(BK94),BK94-BR94,"")</f>
        <v>-15.562015503875966</v>
      </c>
      <c r="BL97" s="410">
        <f ca="1">IF(ISNUMBER(BL94),BL94-BR94,"")</f>
        <v>-11.169250645994829</v>
      </c>
      <c r="BM97" s="410">
        <f ca="1">IF(ISNUMBER(BM94),BM94-BR94,"")</f>
        <v>-4.1408268733850129</v>
      </c>
      <c r="BN97" s="410">
        <f ca="1">IF(ISNUMBER(BN94),BN94-BR94,"")</f>
        <v>4.3346253229974181</v>
      </c>
      <c r="BO97" s="410">
        <f ca="1">IF(ISNUMBER(BO94),BO94-BR94,"")</f>
        <v>9.9677002583979331</v>
      </c>
      <c r="BP97" s="410">
        <f ca="1">IF(ISNUMBER(BP94),BP94-BR94,"")</f>
        <v>15.600775193798448</v>
      </c>
      <c r="BQ97" s="410">
        <f ca="1">IF(ISNUMBER(BQ94),BQ94-BR94,"")</f>
        <v>23.404392764857882</v>
      </c>
      <c r="BR97" s="411">
        <f ca="1">IF(BJ97&lt;&gt;"",SUM(BJ97:BQ97),"")</f>
        <v>0</v>
      </c>
      <c r="BS97" s="413" t="s">
        <v>115</v>
      </c>
      <c r="BT97" s="414">
        <f ca="1">IF(BR99&lt;&gt;"",(CA94*CA96-CA95*BR99)/(CA96^2-CA93*BR99),"")</f>
        <v>-0.41782343394374027</v>
      </c>
      <c r="BU97" s="413" t="s">
        <v>116</v>
      </c>
      <c r="BV97" s="405">
        <f ca="1">IF(BX97&lt;&gt;"",SLOPE(BX97:BX98,BW97:BW98),"")</f>
        <v>6.5304090773762988</v>
      </c>
      <c r="BW97" s="405">
        <v>2.54</v>
      </c>
      <c r="BX97" s="405">
        <f ca="1">IF(BT97&lt;&gt;"",BT97*BW97^2+BT98*BW97+BT99,"")</f>
        <v>26.754432179246873</v>
      </c>
      <c r="BY97" s="405">
        <v>2.54</v>
      </c>
      <c r="BZ97" s="405">
        <v>5.08</v>
      </c>
      <c r="CA97" s="406"/>
      <c r="CB97" s="408">
        <f ca="1">IF(CB94="","",IF(CB94&gt;0,CE93,-1))</f>
        <v>-1</v>
      </c>
      <c r="CC97" s="408">
        <f ca="1">IF(CB94="","",IF(CB94&gt;0,CE93,-1))</f>
        <v>-1</v>
      </c>
      <c r="CD97" s="408">
        <f ca="1">IF(CB94="","",IF(CB94&gt;0,CH96,-1))</f>
        <v>-1</v>
      </c>
      <c r="CE97" s="408">
        <f ca="1">IF(CB94="","",IF(CB94&gt;0,CH96,-1))</f>
        <v>-1</v>
      </c>
      <c r="CF97" s="408">
        <f ca="1">IF(CB94="","",IF(CB94&gt;0,CF93,-1))</f>
        <v>-1</v>
      </c>
      <c r="CG97" s="408">
        <f ca="1">IF(CB94="","",IF(CB94&gt;0,CF93,-1))</f>
        <v>-1</v>
      </c>
      <c r="CH97" s="408">
        <f ca="1">IF(CB94="","",IF(CB94&gt;0,CF93,-1))</f>
        <v>-1</v>
      </c>
      <c r="CI97" s="408">
        <f ca="1">IF(CB94="","",IF(CB94&gt;0,CF93,-1))</f>
        <v>-1</v>
      </c>
      <c r="CJ97" s="409"/>
      <c r="CK97" s="358"/>
      <c r="CL97" s="358"/>
      <c r="CM97" s="358"/>
      <c r="CN97" s="358"/>
      <c r="CO97" s="358"/>
      <c r="CP97" s="358"/>
      <c r="CQ97" s="358"/>
      <c r="CR97" s="358"/>
      <c r="CS97" s="358"/>
      <c r="CT97" s="358"/>
      <c r="CU97" s="358"/>
      <c r="CV97" s="358"/>
      <c r="CW97" s="358"/>
      <c r="CX97" s="358"/>
      <c r="CY97" s="358"/>
      <c r="CZ97" s="358"/>
      <c r="DA97" s="358"/>
      <c r="DB97" s="358"/>
      <c r="DC97" s="358"/>
      <c r="DD97" s="358"/>
      <c r="DE97" s="358"/>
      <c r="DF97" s="358"/>
      <c r="DG97" s="358"/>
      <c r="DH97" s="358"/>
      <c r="DI97" s="358"/>
      <c r="DJ97" s="358"/>
      <c r="DK97" s="358"/>
      <c r="DL97" s="358"/>
      <c r="DM97" s="358"/>
      <c r="DN97" s="358"/>
      <c r="DO97" s="358"/>
      <c r="DP97" s="358"/>
      <c r="DQ97" s="358"/>
      <c r="DR97" s="358"/>
      <c r="DS97" s="358"/>
      <c r="DT97" s="358"/>
      <c r="DU97" s="358"/>
      <c r="DV97" s="358"/>
      <c r="DW97" s="358"/>
      <c r="DX97" s="358"/>
      <c r="DY97" s="358"/>
      <c r="DZ97" s="358"/>
      <c r="EA97" s="358"/>
      <c r="EB97" s="358"/>
      <c r="EC97" s="358"/>
      <c r="ED97" s="358"/>
      <c r="EE97" s="358"/>
      <c r="EF97" s="358"/>
      <c r="EG97" s="358"/>
      <c r="EH97" s="358"/>
      <c r="EI97" s="358"/>
      <c r="EJ97" s="358"/>
      <c r="EK97" s="358"/>
      <c r="EL97" s="358"/>
      <c r="EM97" s="358"/>
      <c r="EN97" s="358"/>
      <c r="EO97" s="358"/>
      <c r="EP97" s="358"/>
      <c r="EQ97" s="358"/>
      <c r="ER97" s="358"/>
      <c r="ES97" s="358"/>
      <c r="ET97" s="358"/>
      <c r="EU97" s="358"/>
      <c r="EV97" s="358"/>
      <c r="EW97" s="358"/>
      <c r="EX97" s="358"/>
      <c r="EY97" s="358"/>
      <c r="EZ97" s="371"/>
    </row>
    <row r="98" spans="1:156" s="20" customFormat="1" ht="11.15" customHeight="1" x14ac:dyDescent="0.25">
      <c r="A98" s="1552"/>
      <c r="B98" s="983" t="str">
        <f>IF(ISNUMBER(B97),B97+1,"")</f>
        <v/>
      </c>
      <c r="C98" s="984" t="str">
        <f ca="1">IF(OR($N$8="",$N$8=0),"",IF(INDIRECT(ADDRESS(($AK98),COLUMN()+22,,,"Digitar Dados dos Ensaios"))&lt;&gt;"",INDIRECT(ADDRESS(($AK98),COLUMN()+22,,,"Digitar Dados dos Ensaios")),""))</f>
        <v/>
      </c>
      <c r="D98" s="985">
        <f ca="1">IF(OR($N$8="",$N$8=0),"",IF(INDIRECT(ADDRESS(($AL98),COLUMN()+25,,,"Digitar Dados dos Ensaios"))&lt;&gt;"",INDIRECT(ADDRESS(($AL98),COLUMN()+25,,,"Digitar Dados dos Ensaios")),""))</f>
        <v>1.1599999999999999</v>
      </c>
      <c r="E98" s="1551"/>
      <c r="F98" s="981"/>
      <c r="G98" s="981"/>
      <c r="H98" s="981"/>
      <c r="I98" s="981"/>
      <c r="J98" s="981"/>
      <c r="K98" s="981"/>
      <c r="L98" s="982"/>
      <c r="AK98" s="357">
        <f t="shared" si="39"/>
        <v>7</v>
      </c>
      <c r="AL98" s="368">
        <f t="shared" si="39"/>
        <v>7</v>
      </c>
      <c r="AM98" s="374" t="str">
        <f>IF(ISNUMBER(AM95),AM95-$AS95,"")</f>
        <v/>
      </c>
      <c r="AN98" s="374">
        <f t="shared" ca="1" si="40"/>
        <v>-1.7453093264863326E-3</v>
      </c>
      <c r="AO98" s="374">
        <f t="shared" ca="1" si="40"/>
        <v>-3.481834772659665E-4</v>
      </c>
      <c r="AP98" s="374">
        <f t="shared" ca="1" si="40"/>
        <v>1.5071112673006089E-3</v>
      </c>
      <c r="AQ98" s="374">
        <f t="shared" ca="1" si="40"/>
        <v>3.820574907213394E-3</v>
      </c>
      <c r="AR98" s="374">
        <f t="shared" ca="1" si="40"/>
        <v>-3.2341933707617067E-3</v>
      </c>
      <c r="AS98" s="387"/>
      <c r="AT98" s="386"/>
      <c r="AU98" s="386"/>
      <c r="AV98" s="386"/>
      <c r="AW98" s="386"/>
      <c r="AX98" s="386"/>
      <c r="AY98" s="386"/>
      <c r="AZ98" s="386"/>
      <c r="BA98" s="364" t="s">
        <v>169</v>
      </c>
      <c r="BB98" s="364" t="s">
        <v>170</v>
      </c>
      <c r="BC98" s="358"/>
      <c r="BD98" s="403">
        <v>5.08</v>
      </c>
      <c r="BE98" s="404">
        <v>5.08</v>
      </c>
      <c r="BF98" s="404">
        <v>5.08</v>
      </c>
      <c r="BG98" s="401">
        <f t="shared" ca="1" si="33"/>
        <v>55.762273901808783</v>
      </c>
      <c r="BH98" s="401">
        <v>0</v>
      </c>
      <c r="BI98" s="401">
        <f t="shared" ca="1" si="34"/>
        <v>42.325581395348834</v>
      </c>
      <c r="BJ98" s="410">
        <f ca="1">IF(ISNUMBER(BJ95),BJ95-BR95,"")</f>
        <v>-18.450700000000001</v>
      </c>
      <c r="BK98" s="410">
        <f ca="1">IF(ISNUMBER(BK95),BK95-BR95,"")</f>
        <v>-17.2347</v>
      </c>
      <c r="BL98" s="410">
        <f ca="1">IF(ISNUMBER(BL95),BL95-BR95,"")</f>
        <v>-15.2376</v>
      </c>
      <c r="BM98" s="410">
        <f ca="1">IF(ISNUMBER(BM95),BM95-BR95,"")</f>
        <v>-12.396000000000001</v>
      </c>
      <c r="BN98" s="410">
        <f ca="1">IF(ISNUMBER(BN95),BN95-BR95,"")</f>
        <v>-4.3315000000000001</v>
      </c>
      <c r="BO98" s="410">
        <f ca="1">IF(ISNUMBER(BO95),BO95-BR95,"")</f>
        <v>6.9588000000000001</v>
      </c>
      <c r="BP98" s="410">
        <f ca="1">IF(ISNUMBER(BP95),BP95-BR95,"")</f>
        <v>21.474899999999998</v>
      </c>
      <c r="BQ98" s="410">
        <f ca="1">IF(ISNUMBER(BQ95),BQ95-BR95,"")</f>
        <v>39.216799999999999</v>
      </c>
      <c r="BR98" s="411">
        <f ca="1">IF(BJ98&lt;&gt;"",SUM(BJ98:BQ98),"")</f>
        <v>0</v>
      </c>
      <c r="BS98" s="710" t="s">
        <v>128</v>
      </c>
      <c r="BT98" s="415">
        <f ca="1">IF(BT97&lt;&gt;"",(CA95-BT97*CA93)/CA96,"")</f>
        <v>9.7142236440275962</v>
      </c>
      <c r="BU98" s="710" t="s">
        <v>128</v>
      </c>
      <c r="BV98" s="415">
        <f ca="1">IF(BX97&lt;&gt;"",INTERCEPT(BX97:BX98,BW97:BW98),"")</f>
        <v>10.167193122711073</v>
      </c>
      <c r="BW98" s="405">
        <v>5.08</v>
      </c>
      <c r="BX98" s="405">
        <f ca="1">IF(BT97&lt;&gt;"",BT97*BW98^2+BT98*BW98+BT99,"")</f>
        <v>43.34167123578267</v>
      </c>
      <c r="BY98" s="416" t="str">
        <f ca="1">IF(CB94="","",IF(CB94&gt;0,CE93,""))</f>
        <v/>
      </c>
      <c r="BZ98" s="416" t="str">
        <f ca="1">IF(CB94="","",IF(CB94&gt;0,CF93,""))</f>
        <v/>
      </c>
      <c r="CA98" s="359"/>
      <c r="CB98" s="407">
        <v>0</v>
      </c>
      <c r="CC98" s="407">
        <f ca="1">IF(CB94="","",IF(CB94&gt;0,CH94,-1))</f>
        <v>-1</v>
      </c>
      <c r="CD98" s="407">
        <f ca="1">IF(CB94="","",IF(CB94&gt;0,CH95,-1))</f>
        <v>-1</v>
      </c>
      <c r="CE98" s="407">
        <f ca="1">IF(CB94="","",IF(CB94&gt;0,CD94,-1))</f>
        <v>-1</v>
      </c>
      <c r="CF98" s="407">
        <f ca="1">IF(CB94="","",IF(CB94&gt;0,CD94,-1))</f>
        <v>-1</v>
      </c>
      <c r="CG98" s="407">
        <f ca="1">IF(CB94="","",IF(CB94&gt;0,CD94,-1))</f>
        <v>-1</v>
      </c>
      <c r="CH98" s="407">
        <v>0</v>
      </c>
      <c r="CI98" s="407">
        <f ca="1">IF(CB94="","",IF(CB94&gt;0,CD94,-1))</f>
        <v>-1</v>
      </c>
      <c r="CJ98" s="417"/>
      <c r="CK98" s="358"/>
      <c r="CL98" s="358"/>
      <c r="CM98" s="358"/>
      <c r="CN98" s="358"/>
      <c r="CO98" s="358"/>
      <c r="CP98" s="358"/>
      <c r="CQ98" s="358"/>
      <c r="CR98" s="358"/>
      <c r="CS98" s="358"/>
      <c r="CT98" s="358"/>
      <c r="CU98" s="358"/>
      <c r="CV98" s="358"/>
      <c r="CW98" s="358"/>
      <c r="CX98" s="358"/>
      <c r="CY98" s="358"/>
      <c r="CZ98" s="358"/>
      <c r="DA98" s="358"/>
      <c r="DB98" s="358"/>
      <c r="DC98" s="358"/>
      <c r="DD98" s="358"/>
      <c r="DE98" s="358"/>
      <c r="DF98" s="358"/>
      <c r="DG98" s="358"/>
      <c r="DH98" s="358"/>
      <c r="DI98" s="358"/>
      <c r="DJ98" s="358"/>
      <c r="DK98" s="358"/>
      <c r="DL98" s="358"/>
      <c r="DM98" s="358"/>
      <c r="DN98" s="358"/>
      <c r="DO98" s="358"/>
      <c r="DP98" s="358"/>
      <c r="DQ98" s="358"/>
      <c r="DR98" s="358"/>
      <c r="DS98" s="358"/>
      <c r="DT98" s="358"/>
      <c r="DU98" s="358"/>
      <c r="DV98" s="358"/>
      <c r="DW98" s="358"/>
      <c r="DX98" s="358"/>
      <c r="DY98" s="358"/>
      <c r="DZ98" s="358"/>
      <c r="EA98" s="358"/>
      <c r="EB98" s="358"/>
      <c r="EC98" s="358"/>
      <c r="ED98" s="358"/>
      <c r="EE98" s="358"/>
      <c r="EF98" s="358"/>
      <c r="EG98" s="358"/>
      <c r="EH98" s="358"/>
      <c r="EI98" s="358"/>
      <c r="EJ98" s="358"/>
      <c r="EK98" s="358"/>
      <c r="EL98" s="358"/>
      <c r="EM98" s="358"/>
      <c r="EN98" s="358"/>
      <c r="EO98" s="358"/>
      <c r="EP98" s="358"/>
      <c r="EQ98" s="358"/>
      <c r="ER98" s="358"/>
      <c r="ES98" s="358"/>
      <c r="ET98" s="358"/>
      <c r="EU98" s="358"/>
      <c r="EV98" s="358"/>
      <c r="EW98" s="358"/>
      <c r="EX98" s="358"/>
      <c r="EY98" s="358"/>
      <c r="EZ98" s="371"/>
    </row>
    <row r="99" spans="1:156" s="20" customFormat="1" ht="11.15" customHeight="1" x14ac:dyDescent="0.25">
      <c r="A99" s="1552"/>
      <c r="B99" s="1553" t="s">
        <v>203</v>
      </c>
      <c r="C99" s="1554"/>
      <c r="D99" s="986">
        <f ca="1">IF(ISNUMBER(D95),MAX(D95:D98)-MIN(D95:D98),"")</f>
        <v>0.15999999999999992</v>
      </c>
      <c r="E99" s="1610">
        <f ca="1">IF(ISNUMBER(C93),D99/D100*10,"")</f>
        <v>0.13961605584642228</v>
      </c>
      <c r="F99" s="981"/>
      <c r="G99" s="981"/>
      <c r="H99" s="981"/>
      <c r="I99" s="981"/>
      <c r="J99" s="981"/>
      <c r="K99" s="981"/>
      <c r="L99" s="982"/>
      <c r="M99" s="35"/>
      <c r="AK99" s="357"/>
      <c r="AL99" s="358"/>
      <c r="AM99" s="372" t="e">
        <f>IF(OR(AM93="",AM93=0),NA(),AM93)</f>
        <v>#N/A</v>
      </c>
      <c r="AN99" s="372">
        <f t="shared" ref="AN99:AR100" ca="1" si="44">IF(OR(AN93="",AN93=0),NA(),AN93)</f>
        <v>3.8586060232619943E-2</v>
      </c>
      <c r="AO99" s="372">
        <f t="shared" ca="1" si="44"/>
        <v>5.3721596155510309E-2</v>
      </c>
      <c r="AP99" s="372">
        <f t="shared" ca="1" si="44"/>
        <v>6.8857132078400676E-2</v>
      </c>
      <c r="AQ99" s="372">
        <f t="shared" ca="1" si="44"/>
        <v>8.3992668001291043E-2</v>
      </c>
      <c r="AR99" s="372" t="e">
        <f ca="1">IF(OR(AR93="",AR93=0),NA(),AR93)</f>
        <v>#N/A</v>
      </c>
      <c r="AS99" s="358"/>
      <c r="AT99" s="375" t="s">
        <v>101</v>
      </c>
      <c r="AU99" s="389">
        <f ca="1">(AZ95*AZ97-AZ96*AZ93)/(AZ97^2-AZ94*AZ93)</f>
        <v>0</v>
      </c>
      <c r="AV99" s="375" t="s">
        <v>102</v>
      </c>
      <c r="AW99" s="390">
        <f ca="1">(AZ96-AU99*AZ94)/AZ97</f>
        <v>0</v>
      </c>
      <c r="AX99" s="375" t="s">
        <v>103</v>
      </c>
      <c r="AY99" s="389" t="e">
        <f ca="1">AS94-AW99*AS93-AU99*AS95</f>
        <v>#REF!</v>
      </c>
      <c r="AZ99" s="358"/>
      <c r="BA99" s="391">
        <v>0</v>
      </c>
      <c r="BB99" s="418" t="e">
        <f ca="1">BB94</f>
        <v>#REF!</v>
      </c>
      <c r="BC99" s="358"/>
      <c r="BD99" s="403">
        <v>6.35</v>
      </c>
      <c r="BE99" s="404">
        <v>6.35</v>
      </c>
      <c r="BF99" s="404">
        <v>6.35</v>
      </c>
      <c r="BG99" s="401">
        <f t="shared" ca="1" si="33"/>
        <v>55.762273901808783</v>
      </c>
      <c r="BH99" s="401">
        <v>0</v>
      </c>
      <c r="BI99" s="401">
        <f t="shared" ca="1" si="34"/>
        <v>47.958656330749349</v>
      </c>
      <c r="BJ99" s="405">
        <f ca="1">IF(ISNUMBER(BJ96),BJ96^2,"")</f>
        <v>9.1204000000000001</v>
      </c>
      <c r="BK99" s="405">
        <f t="shared" ref="BK99:BQ99" ca="1" si="45">IF(ISNUMBER(BK96),BK96^2,"")</f>
        <v>5.6643999999999997</v>
      </c>
      <c r="BL99" s="405">
        <f t="shared" ca="1" si="45"/>
        <v>3.0625</v>
      </c>
      <c r="BM99" s="405">
        <f t="shared" ca="1" si="45"/>
        <v>1.2320999999999998</v>
      </c>
      <c r="BN99" s="405">
        <f t="shared" ca="1" si="45"/>
        <v>2.5600000000000046E-2</v>
      </c>
      <c r="BO99" s="405">
        <f t="shared" ca="1" si="45"/>
        <v>2.0449000000000006</v>
      </c>
      <c r="BP99" s="405">
        <f t="shared" ca="1" si="45"/>
        <v>7.2899999999999983</v>
      </c>
      <c r="BQ99" s="405">
        <f t="shared" ca="1" si="45"/>
        <v>15.760900000000001</v>
      </c>
      <c r="BR99" s="411">
        <f ca="1">IF(BJ99&lt;&gt;"",SUM(BJ99:BQ99),"")</f>
        <v>44.200800000000001</v>
      </c>
      <c r="BS99" s="710" t="s">
        <v>138</v>
      </c>
      <c r="BT99" s="414">
        <f ca="1">IF(BT97&lt;&gt;"",BR94-BT98*BR93-BT97*BR95,"")</f>
        <v>4.7759337898482137</v>
      </c>
      <c r="BU99" s="710"/>
      <c r="BV99" s="359"/>
      <c r="BW99" s="359"/>
      <c r="BX99" s="359"/>
      <c r="BY99" s="361" t="str">
        <f ca="1">IF(CB94="","",IF(CB94&gt;0,BY98/70.31,""))</f>
        <v/>
      </c>
      <c r="BZ99" s="361" t="str">
        <f ca="1">IF(CB94="","",IF(CB94&gt;0,BZ98/105.46,""))</f>
        <v/>
      </c>
      <c r="CA99" s="359"/>
      <c r="CB99" s="710">
        <v>2.54</v>
      </c>
      <c r="CC99" s="361">
        <f ca="1">IF(BM94&lt;&gt;"",BM94/70.31,"")</f>
        <v>0.40132348547242053</v>
      </c>
      <c r="CD99" s="405">
        <v>5.08</v>
      </c>
      <c r="CE99" s="361">
        <f ca="1">IF(BO94&lt;&gt;"",BO94/105.46,"")</f>
        <v>0.40134251275695842</v>
      </c>
      <c r="CF99" s="416">
        <f ca="1">IF(CH99&lt;&gt;"",MAX(CH99,CJ99),"")</f>
        <v>40.134251275695846</v>
      </c>
      <c r="CG99" s="364">
        <v>2.54</v>
      </c>
      <c r="CH99" s="402">
        <f ca="1">IF(BM94&lt;&gt;"",MAX(BY99,CC99)*100,"")</f>
        <v>40.132348547242053</v>
      </c>
      <c r="CI99" s="364">
        <v>5.08</v>
      </c>
      <c r="CJ99" s="419">
        <f ca="1">IF(BO94&lt;&gt;"",MAX(BZ99,CE99)*100,"")</f>
        <v>40.134251275695846</v>
      </c>
      <c r="CK99" s="358"/>
      <c r="CL99" s="358"/>
      <c r="CM99" s="358"/>
      <c r="CN99" s="358"/>
      <c r="CO99" s="358"/>
      <c r="CP99" s="358"/>
      <c r="CQ99" s="358"/>
      <c r="CR99" s="358"/>
      <c r="CS99" s="358"/>
      <c r="CT99" s="358"/>
      <c r="CU99" s="358"/>
      <c r="CV99" s="358"/>
      <c r="CW99" s="358"/>
      <c r="CX99" s="358"/>
      <c r="CY99" s="358"/>
      <c r="CZ99" s="358"/>
      <c r="DA99" s="358"/>
      <c r="DB99" s="358"/>
      <c r="DC99" s="358"/>
      <c r="DD99" s="358"/>
      <c r="DE99" s="358"/>
      <c r="DF99" s="358"/>
      <c r="DG99" s="358"/>
      <c r="DH99" s="358"/>
      <c r="DI99" s="358"/>
      <c r="DJ99" s="358"/>
      <c r="DK99" s="358"/>
      <c r="DL99" s="358"/>
      <c r="DM99" s="358"/>
      <c r="DN99" s="358"/>
      <c r="DO99" s="358"/>
      <c r="DP99" s="358"/>
      <c r="DQ99" s="358"/>
      <c r="DR99" s="358"/>
      <c r="DS99" s="358"/>
      <c r="DT99" s="358"/>
      <c r="DU99" s="358"/>
      <c r="DV99" s="358"/>
      <c r="DW99" s="358"/>
      <c r="DX99" s="358"/>
      <c r="DY99" s="358"/>
      <c r="DZ99" s="358"/>
      <c r="EA99" s="358"/>
      <c r="EB99" s="358"/>
      <c r="EC99" s="358"/>
      <c r="ED99" s="358"/>
      <c r="EE99" s="358"/>
      <c r="EF99" s="358"/>
      <c r="EG99" s="358"/>
      <c r="EH99" s="358"/>
      <c r="EI99" s="358"/>
      <c r="EJ99" s="358"/>
      <c r="EK99" s="358"/>
      <c r="EL99" s="358"/>
      <c r="EM99" s="358"/>
      <c r="EN99" s="358"/>
      <c r="EO99" s="358"/>
      <c r="EP99" s="358"/>
      <c r="EQ99" s="358"/>
      <c r="ER99" s="358"/>
      <c r="ES99" s="358"/>
      <c r="ET99" s="358"/>
      <c r="EU99" s="358"/>
      <c r="EV99" s="358"/>
      <c r="EW99" s="358"/>
      <c r="EX99" s="358"/>
      <c r="EY99" s="358"/>
      <c r="EZ99" s="371"/>
    </row>
    <row r="100" spans="1:156" s="20" customFormat="1" ht="11.15" customHeight="1" x14ac:dyDescent="0.25">
      <c r="A100" s="1552"/>
      <c r="B100" s="1612" t="s">
        <v>204</v>
      </c>
      <c r="C100" s="1613"/>
      <c r="D100" s="986">
        <f ca="1">IF(C93&lt;&gt;"",LOOKUP(C93,Tara!$G$6:$G$185,Tara!$J$6:$J$185)/10,"")</f>
        <v>11.459999999999999</v>
      </c>
      <c r="E100" s="1611"/>
      <c r="F100" s="981"/>
      <c r="G100" s="981"/>
      <c r="H100" s="981"/>
      <c r="I100" s="981"/>
      <c r="J100" s="981"/>
      <c r="K100" s="981"/>
      <c r="L100" s="982"/>
      <c r="AK100" s="357"/>
      <c r="AL100" s="358"/>
      <c r="AM100" s="401" t="e">
        <f>IF(OR(AM94="",AM94=0),NA(),AM94)</f>
        <v>#N/A</v>
      </c>
      <c r="AN100" s="401">
        <f ca="1">IF(OR(AN94="",AN94=0),NA(),AN94)</f>
        <v>40.134251275695846</v>
      </c>
      <c r="AO100" s="401">
        <f ca="1">IF(OR(AO94="",AO94=0),NA(),AO94)</f>
        <v>53.806358853130689</v>
      </c>
      <c r="AP100" s="401">
        <f ca="1">IF(OR(AP94="",AP94=0),NA(),AP94)</f>
        <v>44.248486859779703</v>
      </c>
      <c r="AQ100" s="401" t="e">
        <f t="shared" si="44"/>
        <v>#N/A</v>
      </c>
      <c r="AR100" s="401" t="e">
        <f t="shared" ca="1" si="44"/>
        <v>#REF!</v>
      </c>
      <c r="AS100" s="358"/>
      <c r="AT100" s="358"/>
      <c r="AU100" s="358"/>
      <c r="AV100" s="358"/>
      <c r="AW100" s="358"/>
      <c r="AX100" s="358"/>
      <c r="AY100" s="358"/>
      <c r="AZ100" s="358"/>
      <c r="BA100" s="391">
        <f ca="1">BB93</f>
        <v>5.7765822483399835E-2</v>
      </c>
      <c r="BB100" s="418" t="e">
        <f ca="1">BB99</f>
        <v>#REF!</v>
      </c>
      <c r="BC100" s="358"/>
      <c r="BD100" s="403">
        <v>7.62</v>
      </c>
      <c r="BE100" s="404">
        <v>7.62</v>
      </c>
      <c r="BF100" s="404">
        <v>7.62</v>
      </c>
      <c r="BG100" s="401">
        <f t="shared" ca="1" si="33"/>
        <v>55.762273901808783</v>
      </c>
      <c r="BH100" s="401">
        <v>0</v>
      </c>
      <c r="BI100" s="401">
        <f t="shared" ca="1" si="34"/>
        <v>55.762273901808783</v>
      </c>
      <c r="BJ100" s="358"/>
      <c r="BK100" s="358"/>
      <c r="BL100" s="358"/>
      <c r="BM100" s="358"/>
      <c r="BN100" s="358"/>
      <c r="BO100" s="358"/>
      <c r="BP100" s="358"/>
      <c r="BQ100" s="358"/>
      <c r="BR100" s="358"/>
      <c r="BS100" s="358"/>
      <c r="BT100" s="358"/>
      <c r="BU100" s="358"/>
      <c r="BV100" s="358"/>
      <c r="BW100" s="358"/>
      <c r="BX100" s="358"/>
      <c r="BY100" s="358"/>
      <c r="BZ100" s="358"/>
      <c r="CA100" s="358"/>
      <c r="CB100" s="358"/>
      <c r="CC100" s="358"/>
      <c r="CD100" s="358"/>
      <c r="CE100" s="358"/>
      <c r="CF100" s="358"/>
      <c r="CG100" s="395">
        <v>0.63</v>
      </c>
      <c r="CH100" s="395">
        <v>0.63</v>
      </c>
      <c r="CI100" s="396">
        <v>0</v>
      </c>
      <c r="CJ100" s="420">
        <f ca="1">IF(BI93&lt;&gt;"",MAX(BI93:BI100),"")</f>
        <v>55.762273901808783</v>
      </c>
      <c r="CK100" s="358"/>
      <c r="CL100" s="358"/>
      <c r="CM100" s="358"/>
      <c r="CN100" s="358"/>
      <c r="CO100" s="358"/>
      <c r="CP100" s="358"/>
      <c r="CQ100" s="358"/>
      <c r="CR100" s="358"/>
      <c r="CS100" s="358"/>
      <c r="CT100" s="358"/>
      <c r="CU100" s="358"/>
      <c r="CV100" s="358"/>
      <c r="CW100" s="358"/>
      <c r="CX100" s="358"/>
      <c r="CY100" s="358"/>
      <c r="CZ100" s="358"/>
      <c r="DA100" s="358"/>
      <c r="DB100" s="358"/>
      <c r="DC100" s="358"/>
      <c r="DD100" s="358"/>
      <c r="DE100" s="358"/>
      <c r="DF100" s="358"/>
      <c r="DG100" s="358"/>
      <c r="DH100" s="358"/>
      <c r="DI100" s="358"/>
      <c r="DJ100" s="358"/>
      <c r="DK100" s="358"/>
      <c r="DL100" s="358"/>
      <c r="DM100" s="358"/>
      <c r="DN100" s="358"/>
      <c r="DO100" s="358"/>
      <c r="DP100" s="358"/>
      <c r="DQ100" s="358"/>
      <c r="DR100" s="358"/>
      <c r="DS100" s="358"/>
      <c r="DT100" s="358"/>
      <c r="DU100" s="358"/>
      <c r="DV100" s="358"/>
      <c r="DW100" s="358"/>
      <c r="DX100" s="358"/>
      <c r="DY100" s="358"/>
      <c r="DZ100" s="358"/>
      <c r="EA100" s="358"/>
      <c r="EB100" s="358"/>
      <c r="EC100" s="358"/>
      <c r="ED100" s="358"/>
      <c r="EE100" s="358"/>
      <c r="EF100" s="358"/>
      <c r="EG100" s="358"/>
      <c r="EH100" s="358"/>
      <c r="EI100" s="358"/>
      <c r="EJ100" s="358"/>
      <c r="EK100" s="358"/>
      <c r="EL100" s="358"/>
      <c r="EM100" s="358"/>
      <c r="EN100" s="358"/>
      <c r="EO100" s="358"/>
      <c r="EP100" s="358"/>
      <c r="EQ100" s="358"/>
      <c r="ER100" s="358"/>
      <c r="ES100" s="358"/>
      <c r="ET100" s="358"/>
      <c r="EU100" s="358"/>
      <c r="EV100" s="358"/>
      <c r="EW100" s="358"/>
      <c r="EX100" s="358"/>
      <c r="EY100" s="358"/>
      <c r="EZ100" s="371"/>
    </row>
    <row r="101" spans="1:156" s="20" customFormat="1" ht="11.15" customHeight="1" x14ac:dyDescent="0.25">
      <c r="A101" s="1544" t="s">
        <v>205</v>
      </c>
      <c r="B101" s="1545" t="s">
        <v>206</v>
      </c>
      <c r="C101" s="1545" t="s">
        <v>17</v>
      </c>
      <c r="D101" s="1545" t="s">
        <v>207</v>
      </c>
      <c r="E101" s="1546" t="s">
        <v>90</v>
      </c>
      <c r="F101" s="981"/>
      <c r="G101" s="981"/>
      <c r="H101" s="981"/>
      <c r="I101" s="981"/>
      <c r="J101" s="981"/>
      <c r="K101" s="981"/>
      <c r="L101" s="982"/>
      <c r="AK101" s="357"/>
      <c r="AL101" s="358"/>
      <c r="AM101" s="358"/>
      <c r="AN101" s="358"/>
      <c r="AO101" s="358"/>
      <c r="AP101" s="358"/>
      <c r="AQ101" s="358"/>
      <c r="AR101" s="358"/>
      <c r="AS101" s="358"/>
      <c r="AT101" s="358"/>
      <c r="AU101" s="358"/>
      <c r="AV101" s="358"/>
      <c r="AW101" s="358"/>
      <c r="AX101" s="358"/>
      <c r="AY101" s="358"/>
      <c r="AZ101" s="358"/>
      <c r="BA101" s="391">
        <f ca="1">BA100</f>
        <v>5.7765822483399835E-2</v>
      </c>
      <c r="BB101" s="392">
        <v>0</v>
      </c>
      <c r="BC101" s="358"/>
      <c r="BD101" s="421"/>
      <c r="BE101" s="358"/>
      <c r="BF101" s="358"/>
      <c r="BG101" s="358"/>
      <c r="BH101" s="358"/>
      <c r="BI101" s="358"/>
      <c r="BJ101" s="358"/>
      <c r="BK101" s="358"/>
      <c r="BL101" s="358"/>
      <c r="BM101" s="358"/>
      <c r="BN101" s="358"/>
      <c r="BO101" s="358"/>
      <c r="BP101" s="358"/>
      <c r="BQ101" s="358"/>
      <c r="BR101" s="358"/>
      <c r="BS101" s="358"/>
      <c r="BT101" s="358"/>
      <c r="BU101" s="358"/>
      <c r="BV101" s="358"/>
      <c r="BW101" s="358"/>
      <c r="BX101" s="358"/>
      <c r="BY101" s="358"/>
      <c r="BZ101" s="358"/>
      <c r="CA101" s="358"/>
      <c r="CB101" s="358"/>
      <c r="CC101" s="358"/>
      <c r="CD101" s="358"/>
      <c r="CE101" s="358"/>
      <c r="CF101" s="358"/>
      <c r="CG101" s="404">
        <v>1.27</v>
      </c>
      <c r="CH101" s="404">
        <v>1.27</v>
      </c>
      <c r="CI101" s="401">
        <v>0</v>
      </c>
      <c r="CJ101" s="422">
        <f t="shared" ref="CJ101:CJ107" ca="1" si="46">IF(CJ100&lt;&gt;"",CJ100,"")</f>
        <v>55.762273901808783</v>
      </c>
      <c r="CK101" s="358"/>
      <c r="CL101" s="358"/>
      <c r="CM101" s="358"/>
      <c r="CN101" s="358"/>
      <c r="CO101" s="358"/>
      <c r="CP101" s="358"/>
      <c r="CQ101" s="358"/>
      <c r="CR101" s="358"/>
      <c r="CS101" s="358"/>
      <c r="CT101" s="358"/>
      <c r="CU101" s="358"/>
      <c r="CV101" s="358"/>
      <c r="CW101" s="358"/>
      <c r="CX101" s="358"/>
      <c r="CY101" s="358"/>
      <c r="CZ101" s="358"/>
      <c r="DA101" s="358"/>
      <c r="DB101" s="358"/>
      <c r="DC101" s="358"/>
      <c r="DD101" s="358"/>
      <c r="DE101" s="358"/>
      <c r="DF101" s="358"/>
      <c r="DG101" s="358"/>
      <c r="DH101" s="358"/>
      <c r="DI101" s="358"/>
      <c r="DJ101" s="358"/>
      <c r="DK101" s="358"/>
      <c r="DL101" s="358"/>
      <c r="DM101" s="358"/>
      <c r="DN101" s="358"/>
      <c r="DO101" s="358"/>
      <c r="DP101" s="358"/>
      <c r="DQ101" s="358"/>
      <c r="DR101" s="358"/>
      <c r="DS101" s="358"/>
      <c r="DT101" s="358"/>
      <c r="DU101" s="358"/>
      <c r="DV101" s="358"/>
      <c r="DW101" s="358"/>
      <c r="DX101" s="358"/>
      <c r="DY101" s="358"/>
      <c r="DZ101" s="358"/>
      <c r="EA101" s="358"/>
      <c r="EB101" s="358"/>
      <c r="EC101" s="358"/>
      <c r="ED101" s="358"/>
      <c r="EE101" s="358"/>
      <c r="EF101" s="358"/>
      <c r="EG101" s="358"/>
      <c r="EH101" s="358"/>
      <c r="EI101" s="358"/>
      <c r="EJ101" s="358"/>
      <c r="EK101" s="358"/>
      <c r="EL101" s="358"/>
      <c r="EM101" s="358"/>
      <c r="EN101" s="358"/>
      <c r="EO101" s="358"/>
      <c r="EP101" s="358"/>
      <c r="EQ101" s="358"/>
      <c r="ER101" s="358"/>
      <c r="ES101" s="358"/>
      <c r="ET101" s="358"/>
      <c r="EU101" s="358"/>
      <c r="EV101" s="358"/>
      <c r="EW101" s="358"/>
      <c r="EX101" s="358"/>
      <c r="EY101" s="358"/>
      <c r="EZ101" s="371"/>
    </row>
    <row r="102" spans="1:156" s="20" customFormat="1" ht="11.15" customHeight="1" x14ac:dyDescent="0.25">
      <c r="A102" s="1544"/>
      <c r="B102" s="1545"/>
      <c r="C102" s="1545"/>
      <c r="D102" s="1545"/>
      <c r="E102" s="1546"/>
      <c r="F102" s="981"/>
      <c r="G102" s="981"/>
      <c r="H102" s="981"/>
      <c r="I102" s="981"/>
      <c r="J102" s="981"/>
      <c r="K102" s="981"/>
      <c r="L102" s="982"/>
      <c r="AK102" s="357"/>
      <c r="AL102" s="358"/>
      <c r="AM102" s="372">
        <f ca="1">IF(AL10=TRUE,MAX(AL13),IF(AL10=FALSE,""))</f>
        <v>2.3450524309729576E-2</v>
      </c>
      <c r="AN102" s="372">
        <f ca="1">IF(AM10=TRUE,MAX(AM13),IF(AM10=FALSE,""))</f>
        <v>3.8586060232619943E-2</v>
      </c>
      <c r="AO102" s="372">
        <f ca="1">IF(AU7=TRUE,D91,IF(AN10=TRUE,MAX(AN13),IF(AN10=FALSE,"")))</f>
        <v>5.3721596155510309E-2</v>
      </c>
      <c r="AP102" s="372">
        <f ca="1">IF(AO10=TRUE,MAX(AO13),IF(AO10=FALSE,""))</f>
        <v>6.8857132078400676E-2</v>
      </c>
      <c r="AQ102" s="372">
        <f ca="1">IF(AP10=TRUE,MAX(AP13),IF(AP10=FALSE,""))</f>
        <v>8.3992668001291043E-2</v>
      </c>
      <c r="AR102" s="372">
        <f ca="1">IF(AQ10=TRUE,MAX(AQ13),IF(AQ10=FALSE,""))</f>
        <v>0</v>
      </c>
      <c r="AS102" s="373">
        <f ca="1">AVERAGE(AM102:AR102)</f>
        <v>4.4767996796258591E-2</v>
      </c>
      <c r="AT102" s="374">
        <f t="shared" ref="AT102:AY102" ca="1" si="47">IF(ISNUMBER(AM105),AM105^2,"")</f>
        <v>4.5443463321392154E-4</v>
      </c>
      <c r="AU102" s="374">
        <f t="shared" ca="1" si="47"/>
        <v>3.8216339676852422E-5</v>
      </c>
      <c r="AV102" s="374">
        <f t="shared" ca="1" si="47"/>
        <v>8.0166941485992782E-5</v>
      </c>
      <c r="AW102" s="374">
        <f t="shared" ca="1" si="47"/>
        <v>5.802864386413426E-4</v>
      </c>
      <c r="AX102" s="374">
        <f t="shared" ca="1" si="47"/>
        <v>1.5385748311429019E-3</v>
      </c>
      <c r="AY102" s="374">
        <f t="shared" ca="1" si="47"/>
        <v>2.0041735371498196E-3</v>
      </c>
      <c r="AZ102" s="375">
        <f ca="1">SUM(AT102:AY102)</f>
        <v>4.6958527213108309E-3</v>
      </c>
      <c r="BA102" s="376" t="s">
        <v>28</v>
      </c>
      <c r="BB102" s="377">
        <f ca="1">IF(AU8=TRUE,IF(BA13&lt;&gt;"",BA13,""),IF(AU8=FALSE,D91))</f>
        <v>5.7765822483399835E-2</v>
      </c>
      <c r="BC102" s="358"/>
      <c r="BD102" s="421"/>
      <c r="BE102" s="358"/>
      <c r="BF102" s="358"/>
      <c r="BG102" s="358"/>
      <c r="BH102" s="358"/>
      <c r="BI102" s="358"/>
      <c r="BJ102" s="358"/>
      <c r="BK102" s="358"/>
      <c r="BL102" s="358"/>
      <c r="BM102" s="358"/>
      <c r="BN102" s="358"/>
      <c r="BO102" s="358"/>
      <c r="BP102" s="358"/>
      <c r="BQ102" s="358"/>
      <c r="BR102" s="358"/>
      <c r="BS102" s="358"/>
      <c r="BT102" s="358"/>
      <c r="BU102" s="358"/>
      <c r="BV102" s="358"/>
      <c r="BW102" s="358"/>
      <c r="BX102" s="358"/>
      <c r="BY102" s="358"/>
      <c r="BZ102" s="358"/>
      <c r="CA102" s="358"/>
      <c r="CB102" s="358"/>
      <c r="CC102" s="358"/>
      <c r="CD102" s="358"/>
      <c r="CE102" s="358"/>
      <c r="CF102" s="358"/>
      <c r="CG102" s="404">
        <v>1.9</v>
      </c>
      <c r="CH102" s="404">
        <v>1.9</v>
      </c>
      <c r="CI102" s="401">
        <v>0</v>
      </c>
      <c r="CJ102" s="422">
        <f t="shared" ca="1" si="46"/>
        <v>55.762273901808783</v>
      </c>
      <c r="CK102" s="358"/>
      <c r="CL102" s="358"/>
      <c r="CM102" s="358"/>
      <c r="CN102" s="358"/>
      <c r="CO102" s="358"/>
      <c r="CP102" s="358"/>
      <c r="CQ102" s="358"/>
      <c r="CR102" s="358"/>
      <c r="CS102" s="358"/>
      <c r="CT102" s="358"/>
      <c r="CU102" s="358"/>
      <c r="CV102" s="358"/>
      <c r="CW102" s="358"/>
      <c r="CX102" s="358"/>
      <c r="CY102" s="358"/>
      <c r="CZ102" s="358"/>
      <c r="DA102" s="358"/>
      <c r="DB102" s="358"/>
      <c r="DC102" s="358"/>
      <c r="DD102" s="358"/>
      <c r="DE102" s="358"/>
      <c r="DF102" s="358"/>
      <c r="DG102" s="358"/>
      <c r="DH102" s="358"/>
      <c r="DI102" s="358"/>
      <c r="DJ102" s="358"/>
      <c r="DK102" s="358"/>
      <c r="DL102" s="358"/>
      <c r="DM102" s="358"/>
      <c r="DN102" s="358"/>
      <c r="DO102" s="358"/>
      <c r="DP102" s="358"/>
      <c r="DQ102" s="358"/>
      <c r="DR102" s="358"/>
      <c r="DS102" s="358"/>
      <c r="DT102" s="358"/>
      <c r="DU102" s="358"/>
      <c r="DV102" s="358"/>
      <c r="DW102" s="358"/>
      <c r="DX102" s="358"/>
      <c r="DY102" s="358"/>
      <c r="DZ102" s="358"/>
      <c r="EA102" s="358"/>
      <c r="EB102" s="358"/>
      <c r="EC102" s="358"/>
      <c r="ED102" s="358"/>
      <c r="EE102" s="358"/>
      <c r="EF102" s="358"/>
      <c r="EG102" s="358"/>
      <c r="EH102" s="358"/>
      <c r="EI102" s="358"/>
      <c r="EJ102" s="358"/>
      <c r="EK102" s="358"/>
      <c r="EL102" s="358"/>
      <c r="EM102" s="358"/>
      <c r="EN102" s="358"/>
      <c r="EO102" s="358"/>
      <c r="EP102" s="358"/>
      <c r="EQ102" s="358"/>
      <c r="ER102" s="358"/>
      <c r="ES102" s="358"/>
      <c r="ET102" s="358"/>
      <c r="EU102" s="358"/>
      <c r="EV102" s="358"/>
      <c r="EW102" s="358"/>
      <c r="EX102" s="358"/>
      <c r="EY102" s="358"/>
      <c r="EZ102" s="371"/>
    </row>
    <row r="103" spans="1:156" s="20" customFormat="1" ht="11.15" customHeight="1" x14ac:dyDescent="0.25">
      <c r="A103" s="987">
        <v>0.63</v>
      </c>
      <c r="B103" s="988">
        <v>0.5</v>
      </c>
      <c r="C103" s="989">
        <f ca="1">IF(OR($N$8="",$N$8=0),"",IF(INDIRECT(ADDRESS(($AK103),COLUMN()+27,,,"Digitar Dados dos Ensaios"))&lt;&gt;"",INDIRECT(ADDRESS(($AK103),COLUMN()+27,,,"Digitar Dados dos Ensaios")),""))</f>
        <v>192</v>
      </c>
      <c r="D103" s="990">
        <f ca="1">IF(C103&lt;&gt;"",C103/$A$94,"")</f>
        <v>9.9224806201550386</v>
      </c>
      <c r="E103" s="991"/>
      <c r="F103" s="981"/>
      <c r="G103" s="981"/>
      <c r="H103" s="981"/>
      <c r="I103" s="981"/>
      <c r="J103" s="981"/>
      <c r="K103" s="981"/>
      <c r="L103" s="982"/>
      <c r="AK103" s="357">
        <f>AK7+3</f>
        <v>7</v>
      </c>
      <c r="AL103" s="358"/>
      <c r="AM103" s="404"/>
      <c r="AN103" s="404">
        <f ca="1">IF(AN102&lt;&gt;"",E99,"")</f>
        <v>0.13961605584642228</v>
      </c>
      <c r="AO103" s="404">
        <f ca="1">IF(AO102&lt;&gt;"",E118,"")</f>
        <v>5.2447552447552483E-2</v>
      </c>
      <c r="AP103" s="404">
        <f ca="1">IF(AP102&lt;&gt;"",E137,"")</f>
        <v>4.374453193350835E-2</v>
      </c>
      <c r="AQ103" s="404"/>
      <c r="AR103" s="404" t="e">
        <f ca="1">IF(AR102&lt;&gt;"",#REF!,"")</f>
        <v>#REF!</v>
      </c>
      <c r="AS103" s="374" t="e">
        <f ca="1">AVERAGE(AM103:AR103)</f>
        <v>#REF!</v>
      </c>
      <c r="AT103" s="374">
        <f t="shared" ref="AT103:AY103" ca="1" si="48">IF(ISNUMBER(AM107),AM107^2,"")</f>
        <v>5.0036704610280092E-6</v>
      </c>
      <c r="AU103" s="374">
        <f t="shared" ca="1" si="48"/>
        <v>1.6846264722659826E-6</v>
      </c>
      <c r="AV103" s="374">
        <f t="shared" ca="1" si="48"/>
        <v>9.8394964809080468E-9</v>
      </c>
      <c r="AW103" s="374">
        <f t="shared" ca="1" si="48"/>
        <v>3.8200271756543658E-6</v>
      </c>
      <c r="AX103" s="374">
        <f t="shared" ca="1" si="48"/>
        <v>1.8215419571744529E-5</v>
      </c>
      <c r="AY103" s="374">
        <f t="shared" ca="1" si="48"/>
        <v>7.7663415081530621E-6</v>
      </c>
      <c r="AZ103" s="375">
        <f ca="1">SUM(AT103:AY103)</f>
        <v>3.6499924685326861E-5</v>
      </c>
      <c r="BA103" s="376" t="s">
        <v>47</v>
      </c>
      <c r="BB103" s="423" t="e">
        <f ca="1">IF(AU7=TRUE,AO103,(AU108*BB102^2+AW108*BB102+AY108))</f>
        <v>#REF!</v>
      </c>
      <c r="BC103" s="358"/>
      <c r="BD103" s="421"/>
      <c r="BE103" s="358"/>
      <c r="BF103" s="358"/>
      <c r="BG103" s="358"/>
      <c r="BH103" s="358"/>
      <c r="BI103" s="358"/>
      <c r="BJ103" s="358"/>
      <c r="BK103" s="358"/>
      <c r="BL103" s="358"/>
      <c r="BM103" s="358"/>
      <c r="BN103" s="358"/>
      <c r="BO103" s="358"/>
      <c r="BP103" s="358"/>
      <c r="BQ103" s="358"/>
      <c r="BR103" s="358"/>
      <c r="BS103" s="358"/>
      <c r="BT103" s="358"/>
      <c r="BU103" s="358"/>
      <c r="BV103" s="358"/>
      <c r="BW103" s="358"/>
      <c r="BX103" s="358"/>
      <c r="BY103" s="358"/>
      <c r="BZ103" s="358"/>
      <c r="CA103" s="358"/>
      <c r="CB103" s="358"/>
      <c r="CC103" s="358"/>
      <c r="CD103" s="424"/>
      <c r="CE103" s="358"/>
      <c r="CF103" s="358"/>
      <c r="CG103" s="404">
        <v>2.54</v>
      </c>
      <c r="CH103" s="404">
        <v>2.54</v>
      </c>
      <c r="CI103" s="401">
        <v>0</v>
      </c>
      <c r="CJ103" s="422">
        <f t="shared" ca="1" si="46"/>
        <v>55.762273901808783</v>
      </c>
      <c r="CK103" s="358"/>
      <c r="CL103" s="358"/>
      <c r="CM103" s="358"/>
      <c r="CN103" s="358"/>
      <c r="CO103" s="358"/>
      <c r="CP103" s="358"/>
      <c r="CQ103" s="358"/>
      <c r="CR103" s="358"/>
      <c r="CS103" s="358"/>
      <c r="CT103" s="358"/>
      <c r="CU103" s="358"/>
      <c r="CV103" s="358"/>
      <c r="CW103" s="358"/>
      <c r="CX103" s="358"/>
      <c r="CY103" s="358"/>
      <c r="CZ103" s="358"/>
      <c r="DA103" s="358"/>
      <c r="DB103" s="358"/>
      <c r="DC103" s="358"/>
      <c r="DD103" s="358"/>
      <c r="DE103" s="358"/>
      <c r="DF103" s="358"/>
      <c r="DG103" s="358"/>
      <c r="DH103" s="358"/>
      <c r="DI103" s="358"/>
      <c r="DJ103" s="358"/>
      <c r="DK103" s="358"/>
      <c r="DL103" s="358"/>
      <c r="DM103" s="358"/>
      <c r="DN103" s="358"/>
      <c r="DO103" s="358"/>
      <c r="DP103" s="358"/>
      <c r="DQ103" s="358"/>
      <c r="DR103" s="358"/>
      <c r="DS103" s="358"/>
      <c r="DT103" s="358"/>
      <c r="DU103" s="358"/>
      <c r="DV103" s="358"/>
      <c r="DW103" s="358"/>
      <c r="DX103" s="358"/>
      <c r="DY103" s="358"/>
      <c r="DZ103" s="358"/>
      <c r="EA103" s="358"/>
      <c r="EB103" s="358"/>
      <c r="EC103" s="358"/>
      <c r="ED103" s="358"/>
      <c r="EE103" s="358"/>
      <c r="EF103" s="358"/>
      <c r="EG103" s="358"/>
      <c r="EH103" s="358"/>
      <c r="EI103" s="358"/>
      <c r="EJ103" s="358"/>
      <c r="EK103" s="358"/>
      <c r="EL103" s="358"/>
      <c r="EM103" s="358"/>
      <c r="EN103" s="358"/>
      <c r="EO103" s="358"/>
      <c r="EP103" s="358"/>
      <c r="EQ103" s="358"/>
      <c r="ER103" s="358"/>
      <c r="ES103" s="358"/>
      <c r="ET103" s="358"/>
      <c r="EU103" s="358"/>
      <c r="EV103" s="358"/>
      <c r="EW103" s="358"/>
      <c r="EX103" s="358"/>
      <c r="EY103" s="358"/>
      <c r="EZ103" s="371"/>
    </row>
    <row r="104" spans="1:156" s="20" customFormat="1" ht="11.15" customHeight="1" x14ac:dyDescent="0.25">
      <c r="A104" s="987">
        <v>1.27</v>
      </c>
      <c r="B104" s="988">
        <v>1</v>
      </c>
      <c r="C104" s="989">
        <f ca="1">IF(OR($N$8="",$N$8=0),"",IF(INDIRECT(ADDRESS(($AK104),COLUMN()+28,,,"Digitar Dados dos Ensaios"))&lt;&gt;"",INDIRECT(ADDRESS(($AK104),COLUMN()+28,,,"Digitar Dados dos Ensaios")),""))</f>
        <v>325</v>
      </c>
      <c r="D104" s="990">
        <f t="shared" ref="D104:D110" ca="1" si="49">IF(C104&lt;&gt;"",C104/$A$94,"")</f>
        <v>16.795865633074936</v>
      </c>
      <c r="E104" s="992" t="str">
        <f ca="1">IF(E105="","","Corrigido")</f>
        <v/>
      </c>
      <c r="F104" s="981"/>
      <c r="G104" s="981"/>
      <c r="H104" s="981"/>
      <c r="I104" s="981"/>
      <c r="J104" s="981"/>
      <c r="K104" s="981"/>
      <c r="L104" s="982"/>
      <c r="AK104" s="357">
        <f>AK103</f>
        <v>7</v>
      </c>
      <c r="AL104" s="358"/>
      <c r="AM104" s="380">
        <f t="shared" ref="AM104:AR104" ca="1" si="50">IF(ISNUMBER(AM102),AM102^2,"")</f>
        <v>5.4992709040121784E-4</v>
      </c>
      <c r="AN104" s="380">
        <f t="shared" ca="1" si="50"/>
        <v>1.4888840442753742E-3</v>
      </c>
      <c r="AO104" s="380">
        <f t="shared" ca="1" si="50"/>
        <v>2.8860098934957402E-3</v>
      </c>
      <c r="AP104" s="380">
        <f t="shared" ca="1" si="50"/>
        <v>4.7413046380623157E-3</v>
      </c>
      <c r="AQ104" s="380">
        <f t="shared" ca="1" si="50"/>
        <v>7.0547682779751007E-3</v>
      </c>
      <c r="AR104" s="381">
        <f t="shared" ca="1" si="50"/>
        <v>0</v>
      </c>
      <c r="AS104" s="374">
        <f ca="1">AVERAGE(AM104:AR104)</f>
        <v>2.7868156573682915E-3</v>
      </c>
      <c r="AT104" s="374" t="str">
        <f t="shared" ref="AT104:AY104" si="51">IF(ISERROR(AM106*AM106),"",AM105*AM106)</f>
        <v/>
      </c>
      <c r="AU104" s="374" t="str">
        <f t="shared" ca="1" si="51"/>
        <v/>
      </c>
      <c r="AV104" s="374" t="str">
        <f t="shared" ca="1" si="51"/>
        <v/>
      </c>
      <c r="AW104" s="374" t="str">
        <f t="shared" ca="1" si="51"/>
        <v/>
      </c>
      <c r="AX104" s="374" t="str">
        <f t="shared" si="51"/>
        <v/>
      </c>
      <c r="AY104" s="374" t="str">
        <f t="shared" ca="1" si="51"/>
        <v/>
      </c>
      <c r="AZ104" s="375">
        <f ca="1">SUM(AT104:AY104)</f>
        <v>0</v>
      </c>
      <c r="BA104" s="382"/>
      <c r="BB104" s="383"/>
      <c r="BC104" s="358"/>
      <c r="BD104" s="421"/>
      <c r="BE104" s="358"/>
      <c r="BF104" s="358"/>
      <c r="BG104" s="358"/>
      <c r="BH104" s="358"/>
      <c r="BI104" s="358"/>
      <c r="BJ104" s="358"/>
      <c r="BK104" s="358"/>
      <c r="BL104" s="358"/>
      <c r="BM104" s="358"/>
      <c r="BN104" s="358"/>
      <c r="BO104" s="358"/>
      <c r="BP104" s="358"/>
      <c r="BQ104" s="358"/>
      <c r="BR104" s="358"/>
      <c r="BS104" s="358"/>
      <c r="BT104" s="358"/>
      <c r="BU104" s="358"/>
      <c r="BV104" s="358"/>
      <c r="BW104" s="358"/>
      <c r="BX104" s="358"/>
      <c r="BY104" s="358"/>
      <c r="BZ104" s="358"/>
      <c r="CA104" s="358"/>
      <c r="CB104" s="358"/>
      <c r="CC104" s="358"/>
      <c r="CD104" s="358"/>
      <c r="CE104" s="358"/>
      <c r="CF104" s="358"/>
      <c r="CG104" s="404">
        <v>3.81</v>
      </c>
      <c r="CH104" s="404">
        <v>3.81</v>
      </c>
      <c r="CI104" s="401">
        <v>0</v>
      </c>
      <c r="CJ104" s="422">
        <f t="shared" ca="1" si="46"/>
        <v>55.762273901808783</v>
      </c>
      <c r="CK104" s="358"/>
      <c r="CL104" s="358"/>
      <c r="CM104" s="358"/>
      <c r="CN104" s="358"/>
      <c r="CO104" s="358"/>
      <c r="CP104" s="358"/>
      <c r="CQ104" s="358"/>
      <c r="CR104" s="358"/>
      <c r="CS104" s="358"/>
      <c r="CT104" s="358"/>
      <c r="CU104" s="358"/>
      <c r="CV104" s="358"/>
      <c r="CW104" s="358"/>
      <c r="CX104" s="358"/>
      <c r="CY104" s="358"/>
      <c r="CZ104" s="358"/>
      <c r="DA104" s="358"/>
      <c r="DB104" s="358"/>
      <c r="DC104" s="358"/>
      <c r="DD104" s="358"/>
      <c r="DE104" s="358"/>
      <c r="DF104" s="358"/>
      <c r="DG104" s="358"/>
      <c r="DH104" s="358"/>
      <c r="DI104" s="358"/>
      <c r="DJ104" s="358"/>
      <c r="DK104" s="358"/>
      <c r="DL104" s="358"/>
      <c r="DM104" s="358"/>
      <c r="DN104" s="358"/>
      <c r="DO104" s="358"/>
      <c r="DP104" s="358"/>
      <c r="DQ104" s="358"/>
      <c r="DR104" s="358"/>
      <c r="DS104" s="358"/>
      <c r="DT104" s="358"/>
      <c r="DU104" s="358"/>
      <c r="DV104" s="358"/>
      <c r="DW104" s="358"/>
      <c r="DX104" s="358"/>
      <c r="DY104" s="358"/>
      <c r="DZ104" s="358"/>
      <c r="EA104" s="358"/>
      <c r="EB104" s="358"/>
      <c r="EC104" s="358"/>
      <c r="ED104" s="358"/>
      <c r="EE104" s="358"/>
      <c r="EF104" s="358"/>
      <c r="EG104" s="358"/>
      <c r="EH104" s="358"/>
      <c r="EI104" s="358"/>
      <c r="EJ104" s="358"/>
      <c r="EK104" s="358"/>
      <c r="EL104" s="358"/>
      <c r="EM104" s="358"/>
      <c r="EN104" s="358"/>
      <c r="EO104" s="358"/>
      <c r="EP104" s="358"/>
      <c r="EQ104" s="358"/>
      <c r="ER104" s="358"/>
      <c r="ES104" s="358"/>
      <c r="ET104" s="358"/>
      <c r="EU104" s="358"/>
      <c r="EV104" s="358"/>
      <c r="EW104" s="358"/>
      <c r="EX104" s="358"/>
      <c r="EY104" s="358"/>
      <c r="EZ104" s="371"/>
    </row>
    <row r="105" spans="1:156" ht="11.15" customHeight="1" x14ac:dyDescent="0.25">
      <c r="A105" s="987">
        <v>1.9</v>
      </c>
      <c r="B105" s="988">
        <v>1.5</v>
      </c>
      <c r="C105" s="989">
        <f ca="1">IF(OR($N$8="",$N$8=0),"",IF(INDIRECT(ADDRESS(($AK105),COLUMN()+29,,,"Digitar Dados dos Ensaios"))&lt;&gt;"",INDIRECT(ADDRESS(($AK105),COLUMN()+29,,,"Digitar Dados dos Ensaios")),""))</f>
        <v>410</v>
      </c>
      <c r="D105" s="990">
        <f t="shared" ca="1" si="49"/>
        <v>21.188630490956072</v>
      </c>
      <c r="E105" s="993" t="str">
        <f ca="1">IF(BY99="","",IF(BY99&gt;0,BY99,""))</f>
        <v/>
      </c>
      <c r="F105" s="981"/>
      <c r="G105" s="981"/>
      <c r="H105" s="981"/>
      <c r="I105" s="981"/>
      <c r="J105" s="981"/>
      <c r="K105" s="981"/>
      <c r="L105" s="982"/>
      <c r="AK105" s="357">
        <f t="shared" ref="AK105:AK110" si="52">AK104</f>
        <v>7</v>
      </c>
      <c r="AL105" s="358"/>
      <c r="AM105" s="380">
        <f ca="1">IF(ISNUMBER(AM102),AM102-$AS102,"")</f>
        <v>-2.1317472486529015E-2</v>
      </c>
      <c r="AN105" s="380">
        <f t="shared" ref="AN105:AR107" ca="1" si="53">IF(ISNUMBER(AN102),AN102-$AS102,"")</f>
        <v>-6.1819365636386486E-3</v>
      </c>
      <c r="AO105" s="380">
        <f t="shared" ca="1" si="53"/>
        <v>8.9535993592517182E-3</v>
      </c>
      <c r="AP105" s="380">
        <f t="shared" ca="1" si="53"/>
        <v>2.4089135282142085E-2</v>
      </c>
      <c r="AQ105" s="380">
        <f t="shared" ca="1" si="53"/>
        <v>3.9224671205032452E-2</v>
      </c>
      <c r="AR105" s="380">
        <f t="shared" ca="1" si="53"/>
        <v>-4.4767996796258591E-2</v>
      </c>
      <c r="AS105" s="384"/>
      <c r="AT105" s="374" t="str">
        <f t="shared" ref="AT105:AY105" ca="1" si="54">IF(ISERROR(AM106*AM107),"",AM106*AM107)</f>
        <v/>
      </c>
      <c r="AU105" s="374" t="str">
        <f t="shared" ca="1" si="54"/>
        <v/>
      </c>
      <c r="AV105" s="374" t="str">
        <f t="shared" ca="1" si="54"/>
        <v/>
      </c>
      <c r="AW105" s="374" t="str">
        <f t="shared" ca="1" si="54"/>
        <v/>
      </c>
      <c r="AX105" s="374" t="str">
        <f t="shared" ca="1" si="54"/>
        <v/>
      </c>
      <c r="AY105" s="374" t="str">
        <f t="shared" ca="1" si="54"/>
        <v/>
      </c>
      <c r="AZ105" s="375">
        <f ca="1">SUM(AT105:AY105)</f>
        <v>0</v>
      </c>
      <c r="BA105" s="1616" t="s">
        <v>189</v>
      </c>
      <c r="BB105" s="1616"/>
      <c r="BC105" s="358"/>
      <c r="BD105" s="421"/>
      <c r="BE105" s="358"/>
      <c r="BF105" s="358"/>
      <c r="BG105" s="358"/>
      <c r="BH105" s="358"/>
      <c r="BI105" s="358"/>
      <c r="BJ105" s="358"/>
      <c r="BK105" s="358"/>
      <c r="BL105" s="358"/>
      <c r="BM105" s="358"/>
      <c r="BN105" s="358"/>
      <c r="BO105" s="358"/>
      <c r="BP105" s="358"/>
      <c r="BQ105" s="358"/>
      <c r="BR105" s="358"/>
      <c r="BS105" s="358"/>
      <c r="BT105" s="358"/>
      <c r="BU105" s="358"/>
      <c r="BV105" s="358"/>
      <c r="BW105" s="358"/>
      <c r="BX105" s="358"/>
      <c r="BY105" s="358"/>
      <c r="BZ105" s="358"/>
      <c r="CA105" s="358"/>
      <c r="CB105" s="358"/>
      <c r="CC105" s="358"/>
      <c r="CD105" s="358"/>
      <c r="CE105" s="358"/>
      <c r="CF105" s="358"/>
      <c r="CG105" s="404">
        <v>5.08</v>
      </c>
      <c r="CH105" s="404">
        <v>5.08</v>
      </c>
      <c r="CI105" s="401">
        <v>0</v>
      </c>
      <c r="CJ105" s="422">
        <f t="shared" ca="1" si="46"/>
        <v>55.762273901808783</v>
      </c>
      <c r="CK105" s="358"/>
      <c r="CL105" s="358"/>
      <c r="CM105" s="358"/>
      <c r="CN105" s="358"/>
      <c r="CO105" s="358"/>
      <c r="CP105" s="358"/>
      <c r="CQ105" s="358"/>
      <c r="CR105" s="358"/>
      <c r="CS105" s="358"/>
      <c r="CT105" s="358"/>
      <c r="CU105" s="358"/>
      <c r="CV105" s="358"/>
      <c r="CW105" s="358"/>
      <c r="CX105" s="358"/>
      <c r="CY105" s="358"/>
      <c r="CZ105" s="358"/>
      <c r="DA105" s="358"/>
      <c r="DB105" s="358"/>
      <c r="DC105" s="358"/>
      <c r="DD105" s="358"/>
      <c r="DE105" s="358"/>
      <c r="DF105" s="358"/>
      <c r="DG105" s="358"/>
      <c r="DH105" s="358"/>
      <c r="DI105" s="358"/>
      <c r="DJ105" s="358"/>
      <c r="DK105" s="358"/>
      <c r="DL105" s="358"/>
      <c r="DM105" s="358"/>
      <c r="DN105" s="358"/>
      <c r="DO105" s="358"/>
      <c r="DP105" s="358"/>
      <c r="DQ105" s="358"/>
      <c r="DR105" s="358"/>
      <c r="DS105" s="358"/>
      <c r="DT105" s="358"/>
      <c r="DU105" s="358"/>
      <c r="DV105" s="358"/>
      <c r="DW105" s="358"/>
      <c r="DX105" s="358"/>
      <c r="DY105" s="358"/>
      <c r="DZ105" s="358"/>
      <c r="EA105" s="358"/>
      <c r="EB105" s="358"/>
      <c r="EC105" s="358"/>
      <c r="ED105" s="358"/>
      <c r="EE105" s="358"/>
      <c r="EF105" s="358"/>
      <c r="EG105" s="358"/>
      <c r="EH105" s="358"/>
      <c r="EI105" s="358"/>
      <c r="EJ105" s="358"/>
      <c r="EK105" s="358"/>
      <c r="EL105" s="358"/>
      <c r="EM105" s="358"/>
      <c r="EN105" s="358"/>
      <c r="EO105" s="358"/>
      <c r="EP105" s="358"/>
      <c r="EQ105" s="358"/>
      <c r="ER105" s="358"/>
      <c r="ES105" s="358"/>
      <c r="ET105" s="358"/>
      <c r="EU105" s="358"/>
      <c r="EV105" s="358"/>
      <c r="EW105" s="358"/>
      <c r="EX105" s="358"/>
      <c r="EY105" s="358"/>
      <c r="EZ105" s="371"/>
    </row>
    <row r="106" spans="1:156" ht="11.15" customHeight="1" x14ac:dyDescent="0.25">
      <c r="A106" s="987">
        <v>2.54</v>
      </c>
      <c r="B106" s="988">
        <v>2</v>
      </c>
      <c r="C106" s="989">
        <f ca="1">IF(OR($N$8="",$N$8=0),"",IF(INDIRECT(ADDRESS(($AK106),COLUMN()+30,,,"Digitar Dados dos Ensaios"))&lt;&gt;"",INDIRECT(ADDRESS(($AK106),COLUMN()+30,,,"Digitar Dados dos Ensaios")),""))</f>
        <v>546</v>
      </c>
      <c r="D106" s="990">
        <f t="shared" ca="1" si="49"/>
        <v>28.217054263565888</v>
      </c>
      <c r="E106" s="994">
        <f ca="1">IF(C106&lt;&gt;"",D106/70.31,"")</f>
        <v>0.40132348547242053</v>
      </c>
      <c r="F106" s="981"/>
      <c r="G106" s="981"/>
      <c r="H106" s="981"/>
      <c r="I106" s="981"/>
      <c r="J106" s="981"/>
      <c r="K106" s="981"/>
      <c r="L106" s="982"/>
      <c r="AK106" s="357">
        <f t="shared" si="52"/>
        <v>7</v>
      </c>
      <c r="AL106" s="358"/>
      <c r="AM106" s="384" t="str">
        <f>IF(ISNUMBER(AM103),AM103-$AS103,"")</f>
        <v/>
      </c>
      <c r="AN106" s="384" t="e">
        <f t="shared" ca="1" si="53"/>
        <v>#REF!</v>
      </c>
      <c r="AO106" s="384" t="e">
        <f t="shared" ca="1" si="53"/>
        <v>#REF!</v>
      </c>
      <c r="AP106" s="384" t="e">
        <f t="shared" ca="1" si="53"/>
        <v>#REF!</v>
      </c>
      <c r="AQ106" s="384" t="str">
        <f t="shared" si="53"/>
        <v/>
      </c>
      <c r="AR106" s="384" t="str">
        <f t="shared" ca="1" si="53"/>
        <v/>
      </c>
      <c r="AS106" s="386"/>
      <c r="AT106" s="384">
        <f t="shared" ref="AT106:AY106" ca="1" si="55">IF(ISERROR(AM105*AM107),"",AM105*AM107)</f>
        <v>4.7684810481751915E-5</v>
      </c>
      <c r="AU106" s="384">
        <f t="shared" ca="1" si="55"/>
        <v>8.0237308960815974E-6</v>
      </c>
      <c r="AV106" s="384">
        <f t="shared" ca="1" si="55"/>
        <v>8.8814544903218824E-7</v>
      </c>
      <c r="AW106" s="384">
        <f t="shared" ca="1" si="55"/>
        <v>4.7081949463394339E-5</v>
      </c>
      <c r="AX106" s="384">
        <f t="shared" ca="1" si="55"/>
        <v>1.6740903826195871E-4</v>
      </c>
      <c r="AY106" s="384">
        <f t="shared" ca="1" si="55"/>
        <v>1.2476015442082695E-4</v>
      </c>
      <c r="AZ106" s="375">
        <f ca="1">SUM(AT106:AY106)</f>
        <v>3.958478289730457E-4</v>
      </c>
      <c r="BA106" s="364" t="s">
        <v>169</v>
      </c>
      <c r="BB106" s="364" t="s">
        <v>170</v>
      </c>
      <c r="BC106" s="358"/>
      <c r="BD106" s="421"/>
      <c r="BE106" s="358"/>
      <c r="BF106" s="358"/>
      <c r="BG106" s="358"/>
      <c r="BH106" s="358"/>
      <c r="BI106" s="358"/>
      <c r="BJ106" s="358"/>
      <c r="BK106" s="358"/>
      <c r="BL106" s="358"/>
      <c r="BM106" s="358"/>
      <c r="BN106" s="358"/>
      <c r="BO106" s="358"/>
      <c r="BP106" s="358"/>
      <c r="BQ106" s="358"/>
      <c r="BR106" s="358"/>
      <c r="BS106" s="358"/>
      <c r="BT106" s="358"/>
      <c r="BU106" s="358"/>
      <c r="BV106" s="358"/>
      <c r="BW106" s="358"/>
      <c r="BX106" s="358"/>
      <c r="BY106" s="358"/>
      <c r="BZ106" s="358"/>
      <c r="CA106" s="358"/>
      <c r="CB106" s="358"/>
      <c r="CC106" s="358"/>
      <c r="CD106" s="358"/>
      <c r="CE106" s="358"/>
      <c r="CF106" s="358"/>
      <c r="CG106" s="404">
        <v>6.35</v>
      </c>
      <c r="CH106" s="404">
        <v>6.35</v>
      </c>
      <c r="CI106" s="401">
        <v>0</v>
      </c>
      <c r="CJ106" s="422">
        <f t="shared" ca="1" si="46"/>
        <v>55.762273901808783</v>
      </c>
      <c r="CK106" s="358"/>
      <c r="CL106" s="358"/>
      <c r="CM106" s="358"/>
      <c r="CN106" s="358"/>
      <c r="CO106" s="358"/>
      <c r="CP106" s="358"/>
      <c r="CQ106" s="358"/>
      <c r="CR106" s="358"/>
      <c r="CS106" s="358"/>
      <c r="CT106" s="358"/>
      <c r="CU106" s="358"/>
      <c r="CV106" s="358"/>
      <c r="CW106" s="358"/>
      <c r="CX106" s="358"/>
      <c r="CY106" s="358"/>
      <c r="CZ106" s="358"/>
      <c r="DA106" s="358"/>
      <c r="DB106" s="358"/>
      <c r="DC106" s="358"/>
      <c r="DD106" s="358"/>
      <c r="DE106" s="358"/>
      <c r="DF106" s="358"/>
      <c r="DG106" s="358"/>
      <c r="DH106" s="358"/>
      <c r="DI106" s="358"/>
      <c r="DJ106" s="358"/>
      <c r="DK106" s="358"/>
      <c r="DL106" s="358"/>
      <c r="DM106" s="358"/>
      <c r="DN106" s="358"/>
      <c r="DO106" s="358"/>
      <c r="DP106" s="358"/>
      <c r="DQ106" s="358"/>
      <c r="DR106" s="358"/>
      <c r="DS106" s="358"/>
      <c r="DT106" s="358"/>
      <c r="DU106" s="358"/>
      <c r="DV106" s="358"/>
      <c r="DW106" s="358"/>
      <c r="DX106" s="358"/>
      <c r="DY106" s="358"/>
      <c r="DZ106" s="358"/>
      <c r="EA106" s="358"/>
      <c r="EB106" s="358"/>
      <c r="EC106" s="358"/>
      <c r="ED106" s="358"/>
      <c r="EE106" s="358"/>
      <c r="EF106" s="358"/>
      <c r="EG106" s="358"/>
      <c r="EH106" s="358"/>
      <c r="EI106" s="358"/>
      <c r="EJ106" s="358"/>
      <c r="EK106" s="358"/>
      <c r="EL106" s="358"/>
      <c r="EM106" s="358"/>
      <c r="EN106" s="358"/>
      <c r="EO106" s="358"/>
      <c r="EP106" s="358"/>
      <c r="EQ106" s="358"/>
      <c r="ER106" s="358"/>
      <c r="ES106" s="358"/>
      <c r="ET106" s="358"/>
      <c r="EU106" s="358"/>
      <c r="EV106" s="358"/>
      <c r="EW106" s="358"/>
      <c r="EX106" s="358"/>
      <c r="EY106" s="358"/>
      <c r="EZ106" s="371"/>
    </row>
    <row r="107" spans="1:156" ht="11.15" customHeight="1" x14ac:dyDescent="0.25">
      <c r="A107" s="987">
        <v>3.81</v>
      </c>
      <c r="B107" s="988">
        <v>3</v>
      </c>
      <c r="C107" s="989">
        <f ca="1">IF(OR($N$8="",$N$8=0),"",IF(INDIRECT(ADDRESS(($AK107),COLUMN()+31,,,"Digitar Dados dos Ensaios"))&lt;&gt;"",INDIRECT(ADDRESS(($AK107),COLUMN()+31,,,"Digitar Dados dos Ensaios")),""))</f>
        <v>710</v>
      </c>
      <c r="D107" s="990">
        <f t="shared" ca="1" si="49"/>
        <v>36.692506459948319</v>
      </c>
      <c r="E107" s="991"/>
      <c r="F107" s="981"/>
      <c r="G107" s="981"/>
      <c r="H107" s="981"/>
      <c r="I107" s="981"/>
      <c r="J107" s="981"/>
      <c r="K107" s="981"/>
      <c r="L107" s="982"/>
      <c r="AK107" s="357">
        <f t="shared" si="52"/>
        <v>7</v>
      </c>
      <c r="AL107" s="358"/>
      <c r="AM107" s="374">
        <f ca="1">IF(ISNUMBER(AM104),AM104-$AS104,"")</f>
        <v>-2.2368885669670738E-3</v>
      </c>
      <c r="AN107" s="374">
        <f t="shared" ca="1" si="53"/>
        <v>-1.2979316130929174E-3</v>
      </c>
      <c r="AO107" s="374">
        <f t="shared" ca="1" si="53"/>
        <v>9.9194236127448689E-5</v>
      </c>
      <c r="AP107" s="374">
        <f t="shared" ca="1" si="53"/>
        <v>1.9544889806940241E-3</v>
      </c>
      <c r="AQ107" s="374">
        <f t="shared" ca="1" si="53"/>
        <v>4.2679526206068092E-3</v>
      </c>
      <c r="AR107" s="374">
        <f t="shared" ca="1" si="53"/>
        <v>-2.7868156573682915E-3</v>
      </c>
      <c r="AS107" s="387"/>
      <c r="AT107" s="386"/>
      <c r="AU107" s="386"/>
      <c r="AV107" s="386"/>
      <c r="AW107" s="386"/>
      <c r="AX107" s="386"/>
      <c r="AY107" s="386"/>
      <c r="AZ107" s="386"/>
      <c r="BA107" s="391">
        <v>0</v>
      </c>
      <c r="BB107" s="418" t="e">
        <f ca="1">BB103</f>
        <v>#REF!</v>
      </c>
      <c r="BC107" s="358"/>
      <c r="BD107" s="421"/>
      <c r="BE107" s="358"/>
      <c r="BF107" s="358"/>
      <c r="BG107" s="358"/>
      <c r="BH107" s="358"/>
      <c r="BI107" s="358"/>
      <c r="BJ107" s="358"/>
      <c r="BK107" s="358"/>
      <c r="BL107" s="358"/>
      <c r="BM107" s="358"/>
      <c r="BN107" s="358"/>
      <c r="BO107" s="358"/>
      <c r="BP107" s="358"/>
      <c r="BQ107" s="358"/>
      <c r="BR107" s="358"/>
      <c r="BS107" s="358"/>
      <c r="BT107" s="358"/>
      <c r="BU107" s="358"/>
      <c r="BV107" s="358"/>
      <c r="BW107" s="358"/>
      <c r="BX107" s="358"/>
      <c r="BY107" s="358"/>
      <c r="BZ107" s="358"/>
      <c r="CA107" s="358"/>
      <c r="CB107" s="358"/>
      <c r="CC107" s="358"/>
      <c r="CD107" s="358"/>
      <c r="CE107" s="358"/>
      <c r="CF107" s="358"/>
      <c r="CG107" s="404">
        <v>7.62</v>
      </c>
      <c r="CH107" s="404">
        <v>7.62</v>
      </c>
      <c r="CI107" s="401">
        <v>0</v>
      </c>
      <c r="CJ107" s="422">
        <f t="shared" ca="1" si="46"/>
        <v>55.762273901808783</v>
      </c>
      <c r="CK107" s="358"/>
      <c r="CL107" s="358"/>
      <c r="CM107" s="358"/>
      <c r="CN107" s="358"/>
      <c r="CO107" s="358"/>
      <c r="CP107" s="358"/>
      <c r="CQ107" s="358"/>
      <c r="CR107" s="358"/>
      <c r="CS107" s="358"/>
      <c r="CT107" s="358"/>
      <c r="CU107" s="358"/>
      <c r="CV107" s="358"/>
      <c r="CW107" s="358"/>
      <c r="CX107" s="358"/>
      <c r="CY107" s="358"/>
      <c r="CZ107" s="358"/>
      <c r="DA107" s="358"/>
      <c r="DB107" s="358"/>
      <c r="DC107" s="358"/>
      <c r="DD107" s="358"/>
      <c r="DE107" s="358"/>
      <c r="DF107" s="358"/>
      <c r="DG107" s="358"/>
      <c r="DH107" s="358"/>
      <c r="DI107" s="358"/>
      <c r="DJ107" s="358"/>
      <c r="DK107" s="358"/>
      <c r="DL107" s="358"/>
      <c r="DM107" s="358"/>
      <c r="DN107" s="358"/>
      <c r="DO107" s="358"/>
      <c r="DP107" s="358"/>
      <c r="DQ107" s="358"/>
      <c r="DR107" s="358"/>
      <c r="DS107" s="358"/>
      <c r="DT107" s="358"/>
      <c r="DU107" s="358"/>
      <c r="DV107" s="358"/>
      <c r="DW107" s="358"/>
      <c r="DX107" s="358"/>
      <c r="DY107" s="358"/>
      <c r="DZ107" s="358"/>
      <c r="EA107" s="358"/>
      <c r="EB107" s="358"/>
      <c r="EC107" s="358"/>
      <c r="ED107" s="358"/>
      <c r="EE107" s="358"/>
      <c r="EF107" s="358"/>
      <c r="EG107" s="358"/>
      <c r="EH107" s="358"/>
      <c r="EI107" s="358"/>
      <c r="EJ107" s="358"/>
      <c r="EK107" s="358"/>
      <c r="EL107" s="358"/>
      <c r="EM107" s="358"/>
      <c r="EN107" s="358"/>
      <c r="EO107" s="358"/>
      <c r="EP107" s="358"/>
      <c r="EQ107" s="358"/>
      <c r="ER107" s="358"/>
      <c r="ES107" s="358"/>
      <c r="ET107" s="358"/>
      <c r="EU107" s="358"/>
      <c r="EV107" s="358"/>
      <c r="EW107" s="358"/>
      <c r="EX107" s="358"/>
      <c r="EY107" s="358"/>
      <c r="EZ107" s="371"/>
    </row>
    <row r="108" spans="1:156" ht="11.15" customHeight="1" x14ac:dyDescent="0.25">
      <c r="A108" s="987">
        <v>5.08</v>
      </c>
      <c r="B108" s="988">
        <v>4</v>
      </c>
      <c r="C108" s="989">
        <f ca="1">IF(OR($N$8="",$N$8=0),"",IF(INDIRECT(ADDRESS(($AK108),COLUMN()+32,,,"Digitar Dados dos Ensaios"))&lt;&gt;"",INDIRECT(ADDRESS(($AK108),COLUMN()+32,,,"Digitar Dados dos Ensaios")),""))</f>
        <v>819</v>
      </c>
      <c r="D108" s="990">
        <f t="shared" ca="1" si="49"/>
        <v>42.325581395348834</v>
      </c>
      <c r="E108" s="994">
        <f ca="1">IF(C108&lt;&gt;"",D108/105.46,"")</f>
        <v>0.40134251275695842</v>
      </c>
      <c r="F108" s="981"/>
      <c r="G108" s="981"/>
      <c r="H108" s="981"/>
      <c r="I108" s="981"/>
      <c r="J108" s="981"/>
      <c r="K108" s="981"/>
      <c r="L108" s="982"/>
      <c r="AK108" s="357">
        <f t="shared" si="52"/>
        <v>7</v>
      </c>
      <c r="AL108" s="358"/>
      <c r="AM108" s="372">
        <f ca="1">IF(OR(AM102="",AM102=0),NA(),AM102)</f>
        <v>2.3450524309729576E-2</v>
      </c>
      <c r="AN108" s="372">
        <f t="shared" ref="AN108:AR109" ca="1" si="56">IF(OR(AN102="",AN102=0),NA(),AN102)</f>
        <v>3.8586060232619943E-2</v>
      </c>
      <c r="AO108" s="372">
        <f t="shared" ca="1" si="56"/>
        <v>5.3721596155510309E-2</v>
      </c>
      <c r="AP108" s="372">
        <f t="shared" ca="1" si="56"/>
        <v>6.8857132078400676E-2</v>
      </c>
      <c r="AQ108" s="372">
        <f t="shared" ca="1" si="56"/>
        <v>8.3992668001291043E-2</v>
      </c>
      <c r="AR108" s="372" t="e">
        <f ca="1">IF(OR(AR102="",AR102=0),NA(),AR102)</f>
        <v>#N/A</v>
      </c>
      <c r="AS108" s="358"/>
      <c r="AT108" s="375" t="s">
        <v>101</v>
      </c>
      <c r="AU108" s="389">
        <f ca="1">(AZ104*AZ106-AZ105*AZ102)/(AZ106^2-AZ103*AZ102)</f>
        <v>0</v>
      </c>
      <c r="AV108" s="375" t="s">
        <v>102</v>
      </c>
      <c r="AW108" s="390">
        <f ca="1">(AZ105-AU108*AZ103)/AZ106</f>
        <v>0</v>
      </c>
      <c r="AX108" s="375" t="s">
        <v>103</v>
      </c>
      <c r="AY108" s="389" t="e">
        <f ca="1">AS103-AW108*AS102-AU108*AS104</f>
        <v>#REF!</v>
      </c>
      <c r="AZ108" s="358"/>
      <c r="BA108" s="391">
        <f ca="1">BB102</f>
        <v>5.7765822483399835E-2</v>
      </c>
      <c r="BB108" s="418" t="e">
        <f ca="1">BB107</f>
        <v>#REF!</v>
      </c>
      <c r="BC108" s="358"/>
      <c r="BD108" s="421"/>
      <c r="BE108" s="358"/>
      <c r="BF108" s="358"/>
      <c r="BG108" s="358"/>
      <c r="BH108" s="358"/>
      <c r="BI108" s="358"/>
      <c r="BJ108" s="358"/>
      <c r="BK108" s="358"/>
      <c r="BL108" s="358"/>
      <c r="BM108" s="358"/>
      <c r="BN108" s="358"/>
      <c r="BO108" s="358"/>
      <c r="BP108" s="358"/>
      <c r="BQ108" s="358"/>
      <c r="BR108" s="358"/>
      <c r="BS108" s="358"/>
      <c r="BT108" s="358"/>
      <c r="BU108" s="358"/>
      <c r="BV108" s="358"/>
      <c r="BW108" s="358"/>
      <c r="BX108" s="358"/>
      <c r="BY108" s="358"/>
      <c r="BZ108" s="358"/>
      <c r="CA108" s="358"/>
      <c r="CB108" s="358"/>
      <c r="CC108" s="358"/>
      <c r="CD108" s="358"/>
      <c r="CE108" s="358"/>
      <c r="CF108" s="358"/>
      <c r="CG108" s="358"/>
      <c r="CH108" s="358"/>
      <c r="CI108" s="358"/>
      <c r="CJ108" s="371"/>
      <c r="CK108" s="358"/>
      <c r="CL108" s="358"/>
      <c r="CM108" s="358"/>
      <c r="CN108" s="358"/>
      <c r="CO108" s="358"/>
      <c r="CP108" s="358"/>
      <c r="CQ108" s="358"/>
      <c r="CR108" s="358"/>
      <c r="CS108" s="358"/>
      <c r="CT108" s="358"/>
      <c r="CU108" s="358"/>
      <c r="CV108" s="358"/>
      <c r="CW108" s="358"/>
      <c r="CX108" s="358"/>
      <c r="CY108" s="358"/>
      <c r="CZ108" s="358"/>
      <c r="DA108" s="358"/>
      <c r="DB108" s="358"/>
      <c r="DC108" s="358"/>
      <c r="DD108" s="358"/>
      <c r="DE108" s="358"/>
      <c r="DF108" s="358"/>
      <c r="DG108" s="358"/>
      <c r="DH108" s="358"/>
      <c r="DI108" s="358"/>
      <c r="DJ108" s="358"/>
      <c r="DK108" s="358"/>
      <c r="DL108" s="358"/>
      <c r="DM108" s="358"/>
      <c r="DN108" s="358"/>
      <c r="DO108" s="358"/>
      <c r="DP108" s="358"/>
      <c r="DQ108" s="358"/>
      <c r="DR108" s="358"/>
      <c r="DS108" s="358"/>
      <c r="DT108" s="358"/>
      <c r="DU108" s="358"/>
      <c r="DV108" s="358"/>
      <c r="DW108" s="358"/>
      <c r="DX108" s="358"/>
      <c r="DY108" s="358"/>
      <c r="DZ108" s="358"/>
      <c r="EA108" s="358"/>
      <c r="EB108" s="358"/>
      <c r="EC108" s="358"/>
      <c r="ED108" s="358"/>
      <c r="EE108" s="358"/>
      <c r="EF108" s="358"/>
      <c r="EG108" s="358"/>
      <c r="EH108" s="358"/>
      <c r="EI108" s="358"/>
      <c r="EJ108" s="358"/>
      <c r="EK108" s="358"/>
      <c r="EL108" s="358"/>
      <c r="EM108" s="358"/>
      <c r="EN108" s="358"/>
      <c r="EO108" s="358"/>
      <c r="EP108" s="358"/>
      <c r="EQ108" s="358"/>
      <c r="ER108" s="358"/>
      <c r="ES108" s="358"/>
      <c r="ET108" s="358"/>
      <c r="EU108" s="358"/>
      <c r="EV108" s="358"/>
      <c r="EW108" s="358"/>
      <c r="EX108" s="358"/>
      <c r="EY108" s="358"/>
      <c r="EZ108" s="371"/>
    </row>
    <row r="109" spans="1:156" ht="11.15" customHeight="1" x14ac:dyDescent="0.25">
      <c r="A109" s="987">
        <v>6.35</v>
      </c>
      <c r="B109" s="988">
        <v>5</v>
      </c>
      <c r="C109" s="989">
        <f ca="1">IF(OR($N$8="",$N$8=0),"",IF(INDIRECT(ADDRESS(($AK109),COLUMN()+33,,,"Digitar Dados dos Ensaios"))&lt;&gt;"",INDIRECT(ADDRESS(($AK109),COLUMN()+33,,,"Digitar Dados dos Ensaios")),""))</f>
        <v>928</v>
      </c>
      <c r="D109" s="990">
        <f t="shared" ca="1" si="49"/>
        <v>47.958656330749349</v>
      </c>
      <c r="E109" s="992" t="str">
        <f ca="1">IF(E110="","","Corrigido")</f>
        <v/>
      </c>
      <c r="F109" s="981"/>
      <c r="G109" s="981"/>
      <c r="H109" s="981"/>
      <c r="I109" s="981"/>
      <c r="J109" s="981"/>
      <c r="K109" s="981"/>
      <c r="L109" s="982"/>
      <c r="AK109" s="357">
        <f t="shared" si="52"/>
        <v>7</v>
      </c>
      <c r="AL109" s="358"/>
      <c r="AM109" s="404" t="e">
        <f>IF(OR(AM103="",AM103=0),NA(),AM103)</f>
        <v>#N/A</v>
      </c>
      <c r="AN109" s="404">
        <f t="shared" ca="1" si="56"/>
        <v>0.13961605584642228</v>
      </c>
      <c r="AO109" s="404">
        <f t="shared" ca="1" si="56"/>
        <v>5.2447552447552483E-2</v>
      </c>
      <c r="AP109" s="404">
        <f ca="1">IF(OR(AP103="",AP103=0),NA(),AP103)</f>
        <v>4.374453193350835E-2</v>
      </c>
      <c r="AQ109" s="404" t="e">
        <f t="shared" si="56"/>
        <v>#N/A</v>
      </c>
      <c r="AR109" s="404" t="e">
        <f t="shared" ca="1" si="56"/>
        <v>#REF!</v>
      </c>
      <c r="AS109" s="358"/>
      <c r="AT109" s="358"/>
      <c r="AU109" s="358"/>
      <c r="AV109" s="358"/>
      <c r="AW109" s="358"/>
      <c r="AX109" s="358"/>
      <c r="AY109" s="358"/>
      <c r="AZ109" s="358"/>
      <c r="BA109" s="391">
        <f ca="1">BA108</f>
        <v>5.7765822483399835E-2</v>
      </c>
      <c r="BB109" s="392">
        <v>0</v>
      </c>
      <c r="BC109" s="358"/>
      <c r="BD109" s="421"/>
      <c r="BE109" s="358"/>
      <c r="BF109" s="358"/>
      <c r="BG109" s="358"/>
      <c r="BH109" s="358"/>
      <c r="BI109" s="358"/>
      <c r="BJ109" s="358"/>
      <c r="BK109" s="358"/>
      <c r="BL109" s="358"/>
      <c r="BM109" s="358"/>
      <c r="BN109" s="358"/>
      <c r="BO109" s="358"/>
      <c r="BP109" s="358"/>
      <c r="BQ109" s="358"/>
      <c r="BR109" s="358"/>
      <c r="BS109" s="358"/>
      <c r="BT109" s="358"/>
      <c r="BU109" s="358"/>
      <c r="BV109" s="358"/>
      <c r="BW109" s="358"/>
      <c r="BX109" s="358"/>
      <c r="BY109" s="358"/>
      <c r="BZ109" s="358"/>
      <c r="CA109" s="358"/>
      <c r="CB109" s="358"/>
      <c r="CC109" s="358"/>
      <c r="CD109" s="358"/>
      <c r="CE109" s="358"/>
      <c r="CF109" s="358"/>
      <c r="CG109" s="358"/>
      <c r="CH109" s="358"/>
      <c r="CI109" s="358"/>
      <c r="CJ109" s="371"/>
      <c r="CK109" s="358"/>
      <c r="CL109" s="358"/>
      <c r="CM109" s="358"/>
      <c r="CN109" s="358"/>
      <c r="CO109" s="358"/>
      <c r="CP109" s="358"/>
      <c r="CQ109" s="358"/>
      <c r="CR109" s="358"/>
      <c r="CS109" s="358"/>
      <c r="CT109" s="358"/>
      <c r="CU109" s="358"/>
      <c r="CV109" s="358"/>
      <c r="CW109" s="358"/>
      <c r="CX109" s="358"/>
      <c r="CY109" s="358"/>
      <c r="CZ109" s="358"/>
      <c r="DA109" s="358"/>
      <c r="DB109" s="358"/>
      <c r="DC109" s="358"/>
      <c r="DD109" s="358"/>
      <c r="DE109" s="358"/>
      <c r="DF109" s="358"/>
      <c r="DG109" s="358"/>
      <c r="DH109" s="358"/>
      <c r="DI109" s="358"/>
      <c r="DJ109" s="358"/>
      <c r="DK109" s="358"/>
      <c r="DL109" s="358"/>
      <c r="DM109" s="358"/>
      <c r="DN109" s="358"/>
      <c r="DO109" s="358"/>
      <c r="DP109" s="358"/>
      <c r="DQ109" s="358"/>
      <c r="DR109" s="358"/>
      <c r="DS109" s="358"/>
      <c r="DT109" s="358"/>
      <c r="DU109" s="358"/>
      <c r="DV109" s="358"/>
      <c r="DW109" s="358"/>
      <c r="DX109" s="358"/>
      <c r="DY109" s="358"/>
      <c r="DZ109" s="358"/>
      <c r="EA109" s="358"/>
      <c r="EB109" s="358"/>
      <c r="EC109" s="358"/>
      <c r="ED109" s="358"/>
      <c r="EE109" s="358"/>
      <c r="EF109" s="358"/>
      <c r="EG109" s="358"/>
      <c r="EH109" s="358"/>
      <c r="EI109" s="358"/>
      <c r="EJ109" s="358"/>
      <c r="EK109" s="358"/>
      <c r="EL109" s="358"/>
      <c r="EM109" s="358"/>
      <c r="EN109" s="358"/>
      <c r="EO109" s="358"/>
      <c r="EP109" s="358"/>
      <c r="EQ109" s="358"/>
      <c r="ER109" s="358"/>
      <c r="ES109" s="358"/>
      <c r="ET109" s="358"/>
      <c r="EU109" s="358"/>
      <c r="EV109" s="358"/>
      <c r="EW109" s="358"/>
      <c r="EX109" s="358"/>
      <c r="EY109" s="358"/>
      <c r="EZ109" s="371"/>
    </row>
    <row r="110" spans="1:156" ht="11.15" customHeight="1" x14ac:dyDescent="0.25">
      <c r="A110" s="995">
        <v>7.62</v>
      </c>
      <c r="B110" s="996">
        <v>6</v>
      </c>
      <c r="C110" s="997">
        <f ca="1">IF(OR($N$8="",$N$8=0),"",IF(INDIRECT(ADDRESS(($AK110),COLUMN()+34,,,"Digitar Dados dos Ensaios"))&lt;&gt;"",INDIRECT(ADDRESS(($AK110),COLUMN()+34,,,"Digitar Dados dos Ensaios")),""))</f>
        <v>1079</v>
      </c>
      <c r="D110" s="990">
        <f t="shared" ca="1" si="49"/>
        <v>55.762273901808783</v>
      </c>
      <c r="E110" s="998" t="str">
        <f ca="1">IF(BZ99="","",IF(BZ99&gt;0,BZ99,""))</f>
        <v/>
      </c>
      <c r="F110" s="999"/>
      <c r="G110" s="999"/>
      <c r="H110" s="999"/>
      <c r="I110" s="999"/>
      <c r="J110" s="999"/>
      <c r="K110" s="999"/>
      <c r="L110" s="1000"/>
      <c r="AK110" s="357">
        <f t="shared" si="52"/>
        <v>7</v>
      </c>
      <c r="AL110" s="358"/>
      <c r="AM110" s="358"/>
      <c r="AN110" s="358"/>
      <c r="AO110" s="358"/>
      <c r="AP110" s="358"/>
      <c r="AQ110" s="358"/>
      <c r="AR110" s="358"/>
      <c r="AS110" s="358"/>
      <c r="AT110" s="358"/>
      <c r="AU110" s="358"/>
      <c r="AV110" s="358"/>
      <c r="AW110" s="358"/>
      <c r="AX110" s="358"/>
      <c r="AY110" s="358"/>
      <c r="AZ110" s="358"/>
      <c r="BA110" s="358"/>
      <c r="BB110" s="367"/>
      <c r="BC110" s="358"/>
      <c r="BD110" s="425"/>
      <c r="BE110" s="426"/>
      <c r="BF110" s="426"/>
      <c r="BG110" s="426"/>
      <c r="BH110" s="426"/>
      <c r="BI110" s="426"/>
      <c r="BJ110" s="426"/>
      <c r="BK110" s="426"/>
      <c r="BL110" s="426"/>
      <c r="BM110" s="426"/>
      <c r="BN110" s="426"/>
      <c r="BO110" s="426"/>
      <c r="BP110" s="426"/>
      <c r="BQ110" s="426"/>
      <c r="BR110" s="426"/>
      <c r="BS110" s="426"/>
      <c r="BT110" s="426"/>
      <c r="BU110" s="426"/>
      <c r="BV110" s="426"/>
      <c r="BW110" s="426"/>
      <c r="BX110" s="426"/>
      <c r="BY110" s="426"/>
      <c r="BZ110" s="426"/>
      <c r="CA110" s="426"/>
      <c r="CB110" s="426"/>
      <c r="CC110" s="426"/>
      <c r="CD110" s="426"/>
      <c r="CE110" s="426"/>
      <c r="CF110" s="426"/>
      <c r="CG110" s="426"/>
      <c r="CH110" s="426"/>
      <c r="CI110" s="426"/>
      <c r="CJ110" s="427"/>
      <c r="CK110" s="358"/>
      <c r="CL110" s="358"/>
      <c r="CM110" s="358"/>
      <c r="CN110" s="358"/>
      <c r="CO110" s="358"/>
      <c r="CP110" s="358"/>
      <c r="CQ110" s="358"/>
      <c r="CR110" s="358"/>
      <c r="CS110" s="358"/>
      <c r="CT110" s="358"/>
      <c r="CU110" s="358"/>
      <c r="CV110" s="358"/>
      <c r="CW110" s="358"/>
      <c r="CX110" s="358"/>
      <c r="CY110" s="358"/>
      <c r="CZ110" s="358"/>
      <c r="DA110" s="358"/>
      <c r="DB110" s="358"/>
      <c r="DC110" s="358"/>
      <c r="DD110" s="358"/>
      <c r="DE110" s="358"/>
      <c r="DF110" s="358"/>
      <c r="DG110" s="358"/>
      <c r="DH110" s="358"/>
      <c r="DI110" s="358"/>
      <c r="DJ110" s="358"/>
      <c r="DK110" s="358"/>
      <c r="DL110" s="358"/>
      <c r="DM110" s="358"/>
      <c r="DN110" s="358"/>
      <c r="DO110" s="358"/>
      <c r="DP110" s="358"/>
      <c r="DQ110" s="358"/>
      <c r="DR110" s="358"/>
      <c r="DS110" s="358"/>
      <c r="DT110" s="358"/>
      <c r="DU110" s="358"/>
      <c r="DV110" s="358"/>
      <c r="DW110" s="358"/>
      <c r="DX110" s="358"/>
      <c r="DY110" s="358"/>
      <c r="DZ110" s="358"/>
      <c r="EA110" s="358"/>
      <c r="EB110" s="358"/>
      <c r="EC110" s="358"/>
      <c r="ED110" s="358"/>
      <c r="EE110" s="358"/>
      <c r="EF110" s="358"/>
      <c r="EG110" s="358"/>
      <c r="EH110" s="358"/>
      <c r="EI110" s="358"/>
      <c r="EJ110" s="358"/>
      <c r="EK110" s="358"/>
      <c r="EL110" s="358"/>
      <c r="EM110" s="358"/>
      <c r="EN110" s="358"/>
      <c r="EO110" s="358"/>
      <c r="EP110" s="358"/>
      <c r="EQ110" s="358"/>
      <c r="ER110" s="358"/>
      <c r="ES110" s="358"/>
      <c r="ET110" s="358"/>
      <c r="EU110" s="358"/>
      <c r="EV110" s="358"/>
      <c r="EW110" s="358"/>
      <c r="EX110" s="358"/>
      <c r="EY110" s="358"/>
      <c r="EZ110" s="371"/>
    </row>
    <row r="111" spans="1:156" ht="5.15" customHeight="1" x14ac:dyDescent="0.25">
      <c r="A111" s="1001"/>
      <c r="B111" s="1002"/>
      <c r="C111" s="1002"/>
      <c r="D111" s="1002"/>
      <c r="E111" s="1002"/>
      <c r="F111" s="1002"/>
      <c r="G111" s="1002"/>
      <c r="H111" s="1002"/>
      <c r="I111" s="1002"/>
      <c r="J111" s="1002"/>
      <c r="K111" s="1002"/>
      <c r="L111" s="1003"/>
      <c r="AK111" s="357"/>
      <c r="AL111" s="358"/>
      <c r="AM111" s="358"/>
      <c r="AN111" s="358"/>
      <c r="AO111" s="358"/>
      <c r="AP111" s="358"/>
      <c r="AQ111" s="358"/>
      <c r="AR111" s="358"/>
      <c r="AS111" s="358"/>
      <c r="AT111" s="358"/>
      <c r="AU111" s="358"/>
      <c r="AV111" s="358"/>
      <c r="AW111" s="358"/>
      <c r="AX111" s="358"/>
      <c r="AY111" s="358"/>
      <c r="AZ111" s="358"/>
      <c r="BA111" s="358"/>
      <c r="BB111" s="367"/>
      <c r="BC111" s="358"/>
      <c r="BD111" s="421"/>
      <c r="BE111" s="358"/>
      <c r="BF111" s="358"/>
      <c r="BG111" s="358"/>
      <c r="BH111" s="358"/>
      <c r="BI111" s="358"/>
      <c r="BJ111" s="358"/>
      <c r="BK111" s="358"/>
      <c r="BL111" s="358"/>
      <c r="BM111" s="358"/>
      <c r="BN111" s="358"/>
      <c r="BO111" s="358"/>
      <c r="BP111" s="358"/>
      <c r="BQ111" s="358"/>
      <c r="BR111" s="358"/>
      <c r="BS111" s="358"/>
      <c r="BT111" s="358"/>
      <c r="BU111" s="358"/>
      <c r="BV111" s="358"/>
      <c r="BW111" s="358"/>
      <c r="BX111" s="358"/>
      <c r="BY111" s="358"/>
      <c r="BZ111" s="358"/>
      <c r="CA111" s="358"/>
      <c r="CB111" s="358"/>
      <c r="CC111" s="358"/>
      <c r="CD111" s="358"/>
      <c r="CE111" s="358"/>
      <c r="CF111" s="358"/>
      <c r="CG111" s="358"/>
      <c r="CH111" s="358"/>
      <c r="CI111" s="358"/>
      <c r="CJ111" s="371"/>
      <c r="CK111" s="358"/>
      <c r="CL111" s="358"/>
      <c r="CM111" s="358"/>
      <c r="CN111" s="358"/>
      <c r="CO111" s="358"/>
      <c r="CP111" s="358"/>
      <c r="CQ111" s="358"/>
      <c r="CR111" s="358"/>
      <c r="CS111" s="358"/>
      <c r="CT111" s="358"/>
      <c r="CU111" s="358"/>
      <c r="CV111" s="358"/>
      <c r="CW111" s="358"/>
      <c r="CX111" s="358"/>
      <c r="CY111" s="358"/>
      <c r="CZ111" s="358"/>
      <c r="DA111" s="358"/>
      <c r="DB111" s="358"/>
      <c r="DC111" s="358"/>
      <c r="DD111" s="358"/>
      <c r="DE111" s="358"/>
      <c r="DF111" s="358"/>
      <c r="DG111" s="358"/>
      <c r="DH111" s="358"/>
      <c r="DI111" s="358"/>
      <c r="DJ111" s="358"/>
      <c r="DK111" s="358"/>
      <c r="DL111" s="358"/>
      <c r="DM111" s="358"/>
      <c r="DN111" s="358"/>
      <c r="DO111" s="358"/>
      <c r="DP111" s="358"/>
      <c r="DQ111" s="358"/>
      <c r="DR111" s="358"/>
      <c r="DS111" s="358"/>
      <c r="DT111" s="358"/>
      <c r="DU111" s="358"/>
      <c r="DV111" s="358"/>
      <c r="DW111" s="358"/>
      <c r="DX111" s="358"/>
      <c r="DY111" s="358"/>
      <c r="DZ111" s="358"/>
      <c r="EA111" s="358"/>
      <c r="EB111" s="358"/>
      <c r="EC111" s="358"/>
      <c r="ED111" s="358"/>
      <c r="EE111" s="358"/>
      <c r="EF111" s="358"/>
      <c r="EG111" s="358"/>
      <c r="EH111" s="358"/>
      <c r="EI111" s="358"/>
      <c r="EJ111" s="358"/>
      <c r="EK111" s="358"/>
      <c r="EL111" s="358"/>
      <c r="EM111" s="358"/>
      <c r="EN111" s="358"/>
      <c r="EO111" s="358"/>
      <c r="EP111" s="358"/>
      <c r="EQ111" s="358"/>
      <c r="ER111" s="358"/>
      <c r="ES111" s="358"/>
      <c r="ET111" s="358"/>
      <c r="EU111" s="358"/>
      <c r="EV111" s="358"/>
      <c r="EW111" s="358"/>
      <c r="EX111" s="358"/>
      <c r="EY111" s="358"/>
      <c r="EZ111" s="371"/>
    </row>
    <row r="112" spans="1:156" ht="11.15" customHeight="1" x14ac:dyDescent="0.25">
      <c r="A112" s="1547" t="s">
        <v>199</v>
      </c>
      <c r="B112" s="1548"/>
      <c r="C112" s="1614">
        <f ca="1">IF(OR($N$8="",$N$8=0),"",IF(INDIRECT(ADDRESS(($AK112),COLUMN()+18,,,"Digitar Dados dos Ensaios"))&lt;&gt;"",INDIRECT(ADDRESS(($AK112),COLUMN()+18,,,"Digitar Dados dos Ensaios")),""))</f>
        <v>46</v>
      </c>
      <c r="D112" s="1615"/>
      <c r="E112" s="1550" t="s">
        <v>200</v>
      </c>
      <c r="F112" s="978"/>
      <c r="G112" s="978"/>
      <c r="H112" s="978"/>
      <c r="I112" s="978"/>
      <c r="J112" s="978"/>
      <c r="K112" s="978"/>
      <c r="L112" s="979"/>
      <c r="AK112" s="357">
        <f>AK93+1</f>
        <v>8</v>
      </c>
      <c r="AL112" s="358"/>
      <c r="AM112" s="358"/>
      <c r="AN112" s="358"/>
      <c r="AO112" s="358"/>
      <c r="AP112" s="358"/>
      <c r="AQ112" s="358"/>
      <c r="AR112" s="358"/>
      <c r="AS112" s="358"/>
      <c r="AT112" s="358"/>
      <c r="AU112" s="358"/>
      <c r="AV112" s="358"/>
      <c r="AW112" s="358"/>
      <c r="AX112" s="358"/>
      <c r="AY112" s="358"/>
      <c r="AZ112" s="358"/>
      <c r="BA112" s="358"/>
      <c r="BB112" s="367"/>
      <c r="BC112" s="358"/>
      <c r="BD112" s="394">
        <v>0.63</v>
      </c>
      <c r="BE112" s="395">
        <v>0.63</v>
      </c>
      <c r="BF112" s="395">
        <v>0.63</v>
      </c>
      <c r="BG112" s="396">
        <f ca="1">IF(D129&lt;&gt;"",D129,"")</f>
        <v>71.886304909560721</v>
      </c>
      <c r="BH112" s="396">
        <v>0</v>
      </c>
      <c r="BI112" s="396">
        <f ca="1">IF(D122&lt;&gt;"",D122,"")</f>
        <v>10.387596899224805</v>
      </c>
      <c r="BJ112" s="395">
        <v>0.63</v>
      </c>
      <c r="BK112" s="395">
        <v>1.27</v>
      </c>
      <c r="BL112" s="395">
        <v>1.9</v>
      </c>
      <c r="BM112" s="395">
        <v>2.54</v>
      </c>
      <c r="BN112" s="395">
        <v>3.81</v>
      </c>
      <c r="BO112" s="395">
        <v>5.08</v>
      </c>
      <c r="BP112" s="395">
        <v>6.35</v>
      </c>
      <c r="BQ112" s="395">
        <v>7.62</v>
      </c>
      <c r="BR112" s="397">
        <f ca="1">IF(BJ113&lt;&gt;"",AVERAGE(BJ112:BQ112),"")</f>
        <v>3.65</v>
      </c>
      <c r="BS112" s="398">
        <f ca="1">IF(ISNUMBER(BJ117),BJ117^2,"")</f>
        <v>340.42833049000006</v>
      </c>
      <c r="BT112" s="398">
        <f t="shared" ref="BT112:BZ112" ca="1" si="57">IF(ISNUMBER(BK117),BK117^2,"")</f>
        <v>297.03488408999999</v>
      </c>
      <c r="BU112" s="398">
        <f t="shared" ca="1" si="57"/>
        <v>232.18445376000003</v>
      </c>
      <c r="BV112" s="398">
        <f t="shared" ca="1" si="57"/>
        <v>153.66081600000001</v>
      </c>
      <c r="BW112" s="398">
        <f t="shared" ca="1" si="57"/>
        <v>18.761892250000002</v>
      </c>
      <c r="BX112" s="398">
        <f t="shared" ca="1" si="57"/>
        <v>48.424897440000002</v>
      </c>
      <c r="BY112" s="398">
        <f t="shared" ca="1" si="57"/>
        <v>461.17133000999991</v>
      </c>
      <c r="BZ112" s="398">
        <f t="shared" ca="1" si="57"/>
        <v>1537.95740224</v>
      </c>
      <c r="CA112" s="398">
        <f ca="1">IF(BS112&lt;&gt;"",SUM(BS112:BZ112),"")</f>
        <v>3089.6240062799998</v>
      </c>
      <c r="CB112" s="399">
        <v>0</v>
      </c>
      <c r="CC112" s="399">
        <f ca="1">IF(CB113="","",IF(CB113&gt;0,CF115,-1))</f>
        <v>-1</v>
      </c>
      <c r="CD112" s="399">
        <f ca="1">IF(CB113="","",IF(CB113&gt;0,CH115,-1))</f>
        <v>-1</v>
      </c>
      <c r="CE112" s="399">
        <f ca="1">IF(CB113="","",IF(CB113&gt;0,(BV116*CE113)+BV117,-1))</f>
        <v>-1</v>
      </c>
      <c r="CF112" s="399">
        <f ca="1">IF(CB113="","",IF(CB113&gt;0,(BV116*CF113)+BV117,-1))</f>
        <v>-1</v>
      </c>
      <c r="CG112" s="399">
        <f ca="1">IF(CB113="","",IF(CB113&gt;0,CF115,-1))</f>
        <v>-1</v>
      </c>
      <c r="CH112" s="399">
        <f ca="1">IF(CB113="","",IF(CB113&gt;0,CF115,-1))</f>
        <v>-1</v>
      </c>
      <c r="CI112" s="399">
        <f ca="1">IF(CB113="","",IF(CB113&gt;0,CF115,-1))</f>
        <v>-1</v>
      </c>
      <c r="CJ112" s="400">
        <f ca="1">IF(CB113="","",IF(CB113&gt;0,CE112,-1))</f>
        <v>-1</v>
      </c>
      <c r="CK112" s="358"/>
      <c r="CL112" s="358"/>
      <c r="CM112" s="358"/>
      <c r="CN112" s="358"/>
      <c r="CO112" s="358"/>
      <c r="CP112" s="358"/>
      <c r="CQ112" s="358"/>
      <c r="CR112" s="358"/>
      <c r="CS112" s="358"/>
      <c r="CT112" s="358"/>
      <c r="CU112" s="358"/>
      <c r="CV112" s="358"/>
      <c r="CW112" s="358"/>
      <c r="CX112" s="358"/>
      <c r="CY112" s="358"/>
      <c r="CZ112" s="358"/>
      <c r="DA112" s="358"/>
      <c r="DB112" s="358"/>
      <c r="DC112" s="358"/>
      <c r="DD112" s="358"/>
      <c r="DE112" s="358"/>
      <c r="DF112" s="358"/>
      <c r="DG112" s="358"/>
      <c r="DH112" s="358"/>
      <c r="DI112" s="358"/>
      <c r="DJ112" s="358"/>
      <c r="DK112" s="358"/>
      <c r="DL112" s="358"/>
      <c r="DM112" s="358"/>
      <c r="DN112" s="358"/>
      <c r="DO112" s="358"/>
      <c r="DP112" s="358"/>
      <c r="DQ112" s="358"/>
      <c r="DR112" s="358"/>
      <c r="DS112" s="358"/>
      <c r="DT112" s="358"/>
      <c r="DU112" s="358"/>
      <c r="DV112" s="358"/>
      <c r="DW112" s="358"/>
      <c r="DX112" s="358"/>
      <c r="DY112" s="358"/>
      <c r="DZ112" s="358"/>
      <c r="EA112" s="358"/>
      <c r="EB112" s="358"/>
      <c r="EC112" s="358"/>
      <c r="ED112" s="358"/>
      <c r="EE112" s="358"/>
      <c r="EF112" s="358"/>
      <c r="EG112" s="358"/>
      <c r="EH112" s="358"/>
      <c r="EI112" s="358"/>
      <c r="EJ112" s="358"/>
      <c r="EK112" s="358"/>
      <c r="EL112" s="358"/>
      <c r="EM112" s="358"/>
      <c r="EN112" s="358"/>
      <c r="EO112" s="358"/>
      <c r="EP112" s="358"/>
      <c r="EQ112" s="358"/>
      <c r="ER112" s="358"/>
      <c r="ES112" s="358"/>
      <c r="ET112" s="358"/>
      <c r="EU112" s="358"/>
      <c r="EV112" s="358"/>
      <c r="EW112" s="358"/>
      <c r="EX112" s="358"/>
      <c r="EY112" s="358"/>
      <c r="EZ112" s="371"/>
    </row>
    <row r="113" spans="1:156" ht="11.15" customHeight="1" x14ac:dyDescent="0.25">
      <c r="A113" s="980">
        <f ca="1">IF(OR($N$8="",$N$8=0),"",IF(INDIRECT(ADDRESS(($AK113),COLUMN()+22,,,"Digitar Dados dos Ensaios"))&lt;&gt;"",INDIRECT(ADDRESS(($AK113),COLUMN()+22,,,"Digitar Dados dos Ensaios")),""))</f>
        <v>19.350000000000001</v>
      </c>
      <c r="B113" s="977" t="s">
        <v>57</v>
      </c>
      <c r="C113" s="977" t="s">
        <v>201</v>
      </c>
      <c r="D113" s="977" t="s">
        <v>17</v>
      </c>
      <c r="E113" s="1551"/>
      <c r="F113" s="981"/>
      <c r="G113" s="981"/>
      <c r="H113" s="981"/>
      <c r="I113" s="981"/>
      <c r="J113" s="981"/>
      <c r="K113" s="981"/>
      <c r="L113" s="982"/>
      <c r="AK113" s="357">
        <f>AK94</f>
        <v>9</v>
      </c>
      <c r="AL113" s="368">
        <f>AL95+1</f>
        <v>8</v>
      </c>
      <c r="AM113" s="358"/>
      <c r="AN113" s="358"/>
      <c r="AO113" s="358"/>
      <c r="AP113" s="358"/>
      <c r="AQ113" s="358"/>
      <c r="AR113" s="358"/>
      <c r="AS113" s="358"/>
      <c r="AT113" s="358"/>
      <c r="AU113" s="358"/>
      <c r="AV113" s="358"/>
      <c r="AW113" s="358"/>
      <c r="AX113" s="358"/>
      <c r="AY113" s="358"/>
      <c r="AZ113" s="358"/>
      <c r="BA113" s="358"/>
      <c r="BB113" s="358"/>
      <c r="BC113" s="358"/>
      <c r="BD113" s="403">
        <v>1.27</v>
      </c>
      <c r="BE113" s="404">
        <v>1.27</v>
      </c>
      <c r="BF113" s="404">
        <v>1.27</v>
      </c>
      <c r="BG113" s="401">
        <f t="shared" ref="BG113:BG119" ca="1" si="58">IF(BG112&lt;&gt;"",BG112,"")</f>
        <v>71.886304909560721</v>
      </c>
      <c r="BH113" s="401">
        <v>0</v>
      </c>
      <c r="BI113" s="401">
        <f t="shared" ref="BI113:BI119" ca="1" si="59">IF(D123&lt;&gt;"",D123,"")</f>
        <v>21.757105943152453</v>
      </c>
      <c r="BJ113" s="405">
        <f ca="1">IF(ISNUMBER($BI112),$BI112,"")</f>
        <v>10.387596899224805</v>
      </c>
      <c r="BK113" s="405">
        <f ca="1">IF(ISNUMBER($BI113),$BI113,"")</f>
        <v>21.757105943152453</v>
      </c>
      <c r="BL113" s="405">
        <f ca="1">IF(ISNUMBER($BI114),$BI114,"")</f>
        <v>32.144702842377257</v>
      </c>
      <c r="BM113" s="405">
        <f ca="1">IF(ISNUMBER($BI115),$BI115,"")</f>
        <v>37.829457364341081</v>
      </c>
      <c r="BN113" s="405">
        <f ca="1">IF(ISNUMBER($BI116),$BI116,"")</f>
        <v>47.286821705426355</v>
      </c>
      <c r="BO113" s="405">
        <f ca="1">IF(ISNUMBER($BI117),$BI117,"")</f>
        <v>56.744186046511622</v>
      </c>
      <c r="BP113" s="405">
        <f ca="1">IF(ISNUMBER($BI118),$BI118,"")</f>
        <v>65.271317829457359</v>
      </c>
      <c r="BQ113" s="405">
        <f ca="1">IF(ISNUMBER($BI119),$BI119,"")</f>
        <v>71.886304909560721</v>
      </c>
      <c r="BR113" s="405">
        <f ca="1">IF(BJ113&lt;&gt;"",AVERAGE(BJ113:BQ113),"")</f>
        <v>42.913436692506465</v>
      </c>
      <c r="BS113" s="406">
        <f ca="1">IF(ISERROR(BJ115*BJ116),"",BJ115*BJ116)</f>
        <v>98.228036175710614</v>
      </c>
      <c r="BT113" s="406">
        <f t="shared" ref="BT113:BZ114" ca="1" si="60">IF(ISERROR(BK115*BK116),"",BK115*BK116)</f>
        <v>50.352067183462545</v>
      </c>
      <c r="BU113" s="406">
        <f t="shared" ca="1" si="60"/>
        <v>18.845284237726116</v>
      </c>
      <c r="BV113" s="406">
        <f t="shared" ca="1" si="60"/>
        <v>5.6432170542635758</v>
      </c>
      <c r="BW113" s="406">
        <f t="shared" ca="1" si="60"/>
        <v>0.69974160206718305</v>
      </c>
      <c r="BX113" s="406">
        <f t="shared" ca="1" si="60"/>
        <v>19.777971576227376</v>
      </c>
      <c r="BY113" s="406">
        <f t="shared" ca="1" si="60"/>
        <v>60.366279069767408</v>
      </c>
      <c r="BZ113" s="406">
        <f t="shared" ca="1" si="60"/>
        <v>115.02228682170541</v>
      </c>
      <c r="CA113" s="406">
        <f ca="1">IF(BS113&lt;&gt;"",SUM(BS113:BZ113),"")</f>
        <v>368.9348837209302</v>
      </c>
      <c r="CB113" s="428">
        <f ca="1">IF(BV117&lt;&gt;"",(CB112-BV117)/BV116,"")</f>
        <v>-1.5994704036685916</v>
      </c>
      <c r="CC113" s="408">
        <f ca="1">IF(CB113="","",IF(CB113&gt;0,(CF114+CB113),-1))</f>
        <v>-1</v>
      </c>
      <c r="CD113" s="408">
        <f ca="1">IF(CB113="","",IF(CB113&gt;0,CH114+CB113,-1))</f>
        <v>-1</v>
      </c>
      <c r="CE113" s="408">
        <f ca="1">IF(CB113="","",IF(CB113&gt;0,CC113,-1))</f>
        <v>-1</v>
      </c>
      <c r="CF113" s="408">
        <f ca="1">IF(CB113="","",IF(CB113&gt;0,CD113,-1))</f>
        <v>-1</v>
      </c>
      <c r="CG113" s="408">
        <f ca="1">IF(CB113="","",IF(CB113&gt;0,CF114,-1))</f>
        <v>-1</v>
      </c>
      <c r="CH113" s="408">
        <f ca="1">IF(CB113="","",IF(CB113&gt;0,CC113,-1))</f>
        <v>-1</v>
      </c>
      <c r="CI113" s="408">
        <f ca="1">IF(CB113="","",IF(CB113&gt;0,CE113,-1))</f>
        <v>-1</v>
      </c>
      <c r="CJ113" s="409">
        <f ca="1">IF(CB113="","",IF(CB113&gt;0,CE113,-1))</f>
        <v>-1</v>
      </c>
      <c r="CK113" s="358"/>
      <c r="CL113" s="358"/>
      <c r="CM113" s="358"/>
      <c r="CN113" s="358"/>
      <c r="CO113" s="358"/>
      <c r="CP113" s="358"/>
      <c r="CQ113" s="358"/>
      <c r="CR113" s="358"/>
      <c r="CS113" s="358"/>
      <c r="CT113" s="358"/>
      <c r="CU113" s="358"/>
      <c r="CV113" s="358"/>
      <c r="CW113" s="358"/>
      <c r="CX113" s="358"/>
      <c r="CY113" s="358"/>
      <c r="CZ113" s="358"/>
      <c r="DA113" s="358"/>
      <c r="DB113" s="358"/>
      <c r="DC113" s="358"/>
      <c r="DD113" s="358"/>
      <c r="DE113" s="358"/>
      <c r="DF113" s="358"/>
      <c r="DG113" s="358"/>
      <c r="DH113" s="358"/>
      <c r="DI113" s="358"/>
      <c r="DJ113" s="358"/>
      <c r="DK113" s="358"/>
      <c r="DL113" s="358"/>
      <c r="DM113" s="358"/>
      <c r="DN113" s="358"/>
      <c r="DO113" s="358"/>
      <c r="DP113" s="358"/>
      <c r="DQ113" s="358"/>
      <c r="DR113" s="358"/>
      <c r="DS113" s="358"/>
      <c r="DT113" s="358"/>
      <c r="DU113" s="358"/>
      <c r="DV113" s="358"/>
      <c r="DW113" s="358"/>
      <c r="DX113" s="358"/>
      <c r="DY113" s="358"/>
      <c r="DZ113" s="358"/>
      <c r="EA113" s="358"/>
      <c r="EB113" s="358"/>
      <c r="EC113" s="358"/>
      <c r="ED113" s="358"/>
      <c r="EE113" s="358"/>
      <c r="EF113" s="358"/>
      <c r="EG113" s="358"/>
      <c r="EH113" s="358"/>
      <c r="EI113" s="358"/>
      <c r="EJ113" s="358"/>
      <c r="EK113" s="358"/>
      <c r="EL113" s="358"/>
      <c r="EM113" s="358"/>
      <c r="EN113" s="358"/>
      <c r="EO113" s="358"/>
      <c r="EP113" s="358"/>
      <c r="EQ113" s="358"/>
      <c r="ER113" s="358"/>
      <c r="ES113" s="358"/>
      <c r="ET113" s="358"/>
      <c r="EU113" s="358"/>
      <c r="EV113" s="358"/>
      <c r="EW113" s="358"/>
      <c r="EX113" s="358"/>
      <c r="EY113" s="358"/>
      <c r="EZ113" s="371"/>
    </row>
    <row r="114" spans="1:156" ht="11.15" customHeight="1" x14ac:dyDescent="0.25">
      <c r="A114" s="1552" t="s">
        <v>202</v>
      </c>
      <c r="B114" s="983" t="str">
        <f>IF($K$78&lt;&gt;"",$K$78,"")</f>
        <v/>
      </c>
      <c r="C114" s="984" t="str">
        <f ca="1">IF(OR($N$8="",$N$8=0),"",IF(INDIRECT(ADDRESS(($AK114),COLUMN()+19,,,"Digitar Dados dos Ensaios"))&lt;&gt;"",INDIRECT(ADDRESS(($AK114),COLUMN()+19,,,"Digitar Dados dos Ensaios")),""))</f>
        <v/>
      </c>
      <c r="D114" s="985">
        <f ca="1">IF(OR($N$8="",$N$8=0),"",IF(INDIRECT(ADDRESS(($AL114),COLUMN()+22,,,"Digitar Dados dos Ensaios"))&lt;&gt;"",INDIRECT(ADDRESS(($AL114),COLUMN()+22,,,"Digitar Dados dos Ensaios")),""))</f>
        <v>1</v>
      </c>
      <c r="E114" s="1551"/>
      <c r="F114" s="981"/>
      <c r="G114" s="981"/>
      <c r="H114" s="981"/>
      <c r="I114" s="981"/>
      <c r="J114" s="981"/>
      <c r="K114" s="981"/>
      <c r="L114" s="982"/>
      <c r="AK114" s="357">
        <f>AK97</f>
        <v>7</v>
      </c>
      <c r="AL114" s="368">
        <f>AL113</f>
        <v>8</v>
      </c>
      <c r="AM114" s="358"/>
      <c r="AN114" s="358"/>
      <c r="AO114" s="358"/>
      <c r="AP114" s="358"/>
      <c r="AQ114" s="358"/>
      <c r="AR114" s="358"/>
      <c r="AS114" s="358"/>
      <c r="AT114" s="358"/>
      <c r="AU114" s="358"/>
      <c r="AV114" s="358"/>
      <c r="AW114" s="358"/>
      <c r="AX114" s="358"/>
      <c r="AY114" s="358"/>
      <c r="AZ114" s="358"/>
      <c r="BA114" s="358"/>
      <c r="BB114" s="358"/>
      <c r="BC114" s="358"/>
      <c r="BD114" s="403">
        <v>1.9</v>
      </c>
      <c r="BE114" s="404">
        <v>1.9</v>
      </c>
      <c r="BF114" s="404">
        <v>1.9</v>
      </c>
      <c r="BG114" s="401">
        <f t="shared" ca="1" si="58"/>
        <v>71.886304909560721</v>
      </c>
      <c r="BH114" s="401">
        <v>0</v>
      </c>
      <c r="BI114" s="401">
        <f t="shared" ca="1" si="59"/>
        <v>32.144702842377257</v>
      </c>
      <c r="BJ114" s="405">
        <f ca="1">IF(BJ113&lt;&gt;"",BJ112^2,"")</f>
        <v>0.39690000000000003</v>
      </c>
      <c r="BK114" s="405">
        <f t="shared" ref="BK114:BQ114" ca="1" si="61">IF(BK113&lt;&gt;"",BK112^2,"")</f>
        <v>1.6129</v>
      </c>
      <c r="BL114" s="405">
        <f t="shared" ca="1" si="61"/>
        <v>3.61</v>
      </c>
      <c r="BM114" s="405">
        <f t="shared" ca="1" si="61"/>
        <v>6.4516</v>
      </c>
      <c r="BN114" s="405">
        <f t="shared" ca="1" si="61"/>
        <v>14.5161</v>
      </c>
      <c r="BO114" s="405">
        <f t="shared" ca="1" si="61"/>
        <v>25.8064</v>
      </c>
      <c r="BP114" s="405">
        <f t="shared" ca="1" si="61"/>
        <v>40.322499999999998</v>
      </c>
      <c r="BQ114" s="405">
        <f t="shared" ca="1" si="61"/>
        <v>58.064399999999999</v>
      </c>
      <c r="BR114" s="405">
        <f ca="1">IF(BJ114&lt;&gt;"",AVERAGE(BJ114:BQ114),"")</f>
        <v>18.8476</v>
      </c>
      <c r="BS114" s="406">
        <f ca="1">IF(ISERROR(BJ116*BJ117),"",BJ116*BJ117)</f>
        <v>600.12451227390204</v>
      </c>
      <c r="BT114" s="406">
        <f t="shared" ca="1" si="60"/>
        <v>364.6230135658916</v>
      </c>
      <c r="BU114" s="406">
        <f t="shared" ca="1" si="60"/>
        <v>164.08965891472883</v>
      </c>
      <c r="BV114" s="406">
        <f t="shared" ca="1" si="60"/>
        <v>63.021007751938107</v>
      </c>
      <c r="BW114" s="406">
        <f t="shared" ca="1" si="60"/>
        <v>-18.943317183462504</v>
      </c>
      <c r="BX114" s="406">
        <f t="shared" ca="1" si="60"/>
        <v>96.245418604651093</v>
      </c>
      <c r="BY114" s="406">
        <f t="shared" ca="1" si="60"/>
        <v>480.13326162790673</v>
      </c>
      <c r="BZ114" s="406">
        <f t="shared" ca="1" si="60"/>
        <v>1136.2231782945732</v>
      </c>
      <c r="CA114" s="406">
        <f ca="1">IF(BS114&lt;&gt;"",SUM(BS114:BZ114),"")</f>
        <v>2885.5167338501292</v>
      </c>
      <c r="CB114" s="408">
        <v>0</v>
      </c>
      <c r="CC114" s="408">
        <v>0.63</v>
      </c>
      <c r="CD114" s="408">
        <v>1.27</v>
      </c>
      <c r="CE114" s="408">
        <v>1.9</v>
      </c>
      <c r="CF114" s="408">
        <v>2.54</v>
      </c>
      <c r="CG114" s="408">
        <v>3.81</v>
      </c>
      <c r="CH114" s="408">
        <v>5.08</v>
      </c>
      <c r="CI114" s="408">
        <v>6.35</v>
      </c>
      <c r="CJ114" s="409">
        <v>7.62</v>
      </c>
      <c r="CK114" s="358"/>
      <c r="CL114" s="358"/>
      <c r="CM114" s="358"/>
      <c r="CN114" s="358"/>
      <c r="CO114" s="358"/>
      <c r="CP114" s="358"/>
      <c r="CQ114" s="358"/>
      <c r="CR114" s="358"/>
      <c r="CS114" s="358"/>
      <c r="CT114" s="358"/>
      <c r="CU114" s="358"/>
      <c r="CV114" s="358"/>
      <c r="CW114" s="358"/>
      <c r="CX114" s="358"/>
      <c r="CY114" s="358"/>
      <c r="CZ114" s="358"/>
      <c r="DA114" s="358"/>
      <c r="DB114" s="358"/>
      <c r="DC114" s="358"/>
      <c r="DD114" s="358"/>
      <c r="DE114" s="358"/>
      <c r="DF114" s="358"/>
      <c r="DG114" s="358"/>
      <c r="DH114" s="358"/>
      <c r="DI114" s="358"/>
      <c r="DJ114" s="358"/>
      <c r="DK114" s="358"/>
      <c r="DL114" s="358"/>
      <c r="DM114" s="358"/>
      <c r="DN114" s="358"/>
      <c r="DO114" s="358"/>
      <c r="DP114" s="358"/>
      <c r="DQ114" s="358"/>
      <c r="DR114" s="358"/>
      <c r="DS114" s="358"/>
      <c r="DT114" s="358"/>
      <c r="DU114" s="358"/>
      <c r="DV114" s="358"/>
      <c r="DW114" s="358"/>
      <c r="DX114" s="358"/>
      <c r="DY114" s="358"/>
      <c r="DZ114" s="358"/>
      <c r="EA114" s="358"/>
      <c r="EB114" s="358"/>
      <c r="EC114" s="358"/>
      <c r="ED114" s="358"/>
      <c r="EE114" s="358"/>
      <c r="EF114" s="358"/>
      <c r="EG114" s="358"/>
      <c r="EH114" s="358"/>
      <c r="EI114" s="358"/>
      <c r="EJ114" s="358"/>
      <c r="EK114" s="358"/>
      <c r="EL114" s="358"/>
      <c r="EM114" s="358"/>
      <c r="EN114" s="358"/>
      <c r="EO114" s="358"/>
      <c r="EP114" s="358"/>
      <c r="EQ114" s="358"/>
      <c r="ER114" s="358"/>
      <c r="ES114" s="358"/>
      <c r="ET114" s="358"/>
      <c r="EU114" s="358"/>
      <c r="EV114" s="358"/>
      <c r="EW114" s="358"/>
      <c r="EX114" s="358"/>
      <c r="EY114" s="358"/>
      <c r="EZ114" s="371"/>
    </row>
    <row r="115" spans="1:156" s="230" customFormat="1" ht="11.15" customHeight="1" x14ac:dyDescent="0.25">
      <c r="A115" s="1552"/>
      <c r="B115" s="983" t="str">
        <f>IF(ISNUMBER(B114),B114+1,"")</f>
        <v/>
      </c>
      <c r="C115" s="984" t="str">
        <f ca="1">IF(OR($N$8="",$N$8=0),"",IF(INDIRECT(ADDRESS(($AK115),COLUMN()+20,,,"Digitar Dados dos Ensaios"))&lt;&gt;"",INDIRECT(ADDRESS(($AK115),COLUMN()+20,,,"Digitar Dados dos Ensaios")),""))</f>
        <v/>
      </c>
      <c r="D115" s="985">
        <f ca="1">IF(OR($N$8="",$N$8=0),"",IF(INDIRECT(ADDRESS(($AL115),COLUMN()+23,,,"Digitar Dados dos Ensaios"))&lt;&gt;"",INDIRECT(ADDRESS(($AL115),COLUMN()+23,,,"Digitar Dados dos Ensaios")),""))</f>
        <v>1</v>
      </c>
      <c r="E115" s="1551"/>
      <c r="F115" s="981"/>
      <c r="G115" s="981"/>
      <c r="H115" s="981"/>
      <c r="I115" s="981"/>
      <c r="J115" s="981"/>
      <c r="K115" s="981"/>
      <c r="L115" s="982"/>
      <c r="AK115" s="357">
        <f>AK114</f>
        <v>7</v>
      </c>
      <c r="AL115" s="368">
        <f>AL114</f>
        <v>8</v>
      </c>
      <c r="AM115" s="358"/>
      <c r="AN115" s="358"/>
      <c r="AO115" s="358"/>
      <c r="AP115" s="358"/>
      <c r="AQ115" s="358"/>
      <c r="AR115" s="358"/>
      <c r="AS115" s="358"/>
      <c r="AT115" s="358"/>
      <c r="AU115" s="358"/>
      <c r="AV115" s="358"/>
      <c r="AW115" s="358"/>
      <c r="AX115" s="358"/>
      <c r="AY115" s="358"/>
      <c r="AZ115" s="358"/>
      <c r="BA115" s="358"/>
      <c r="BB115" s="358"/>
      <c r="BC115" s="358"/>
      <c r="BD115" s="403">
        <v>2.54</v>
      </c>
      <c r="BE115" s="404">
        <v>2.54</v>
      </c>
      <c r="BF115" s="404">
        <v>2.54</v>
      </c>
      <c r="BG115" s="401">
        <f t="shared" ca="1" si="58"/>
        <v>71.886304909560721</v>
      </c>
      <c r="BH115" s="401">
        <v>0</v>
      </c>
      <c r="BI115" s="401">
        <f t="shared" ca="1" si="59"/>
        <v>37.829457364341081</v>
      </c>
      <c r="BJ115" s="410">
        <f ca="1">IF(ISNUMBER(BJ113),BJ112-BR112,"")</f>
        <v>-3.02</v>
      </c>
      <c r="BK115" s="410">
        <f ca="1">IF(ISNUMBER(BK113),BK112-BR112,"")</f>
        <v>-2.38</v>
      </c>
      <c r="BL115" s="410">
        <f ca="1">IF(ISNUMBER(BL113),BL112-BR112,"")</f>
        <v>-1.75</v>
      </c>
      <c r="BM115" s="410">
        <f ca="1">IF(ISNUMBER(BM113),BM112-BR112,"")</f>
        <v>-1.1099999999999999</v>
      </c>
      <c r="BN115" s="410">
        <f ca="1">IF(ISNUMBER(BN113),BN112-BR112,"")</f>
        <v>0.16000000000000014</v>
      </c>
      <c r="BO115" s="410">
        <f ca="1">IF(ISNUMBER(BO113),BO112-BR112,"")</f>
        <v>1.4300000000000002</v>
      </c>
      <c r="BP115" s="410">
        <f ca="1">IF(ISNUMBER(BP113),BP112-BR112,"")</f>
        <v>2.6999999999999997</v>
      </c>
      <c r="BQ115" s="410">
        <f ca="1">IF(ISNUMBER(BQ113),BQ112-BR112,"")</f>
        <v>3.97</v>
      </c>
      <c r="BR115" s="411">
        <f ca="1">IF(BJ115&lt;&gt;"",SUM(BJ115:BQ115),"")</f>
        <v>0</v>
      </c>
      <c r="BS115" s="406">
        <f ca="1">IF(ISERROR(BJ115*BJ117),"",BJ115*BJ117)</f>
        <v>55.721114000000007</v>
      </c>
      <c r="BT115" s="406">
        <f t="shared" ref="BT115:BZ115" ca="1" si="62">IF(ISERROR(BK115*BK117),"",BK115*BK117)</f>
        <v>41.018585999999999</v>
      </c>
      <c r="BU115" s="406">
        <f t="shared" ca="1" si="62"/>
        <v>26.665800000000001</v>
      </c>
      <c r="BV115" s="406">
        <f t="shared" ca="1" si="62"/>
        <v>13.759559999999999</v>
      </c>
      <c r="BW115" s="406">
        <f t="shared" ca="1" si="62"/>
        <v>-0.69304000000000066</v>
      </c>
      <c r="BX115" s="406">
        <f t="shared" ca="1" si="62"/>
        <v>9.9510840000000016</v>
      </c>
      <c r="BY115" s="406">
        <f t="shared" ca="1" si="62"/>
        <v>57.982229999999987</v>
      </c>
      <c r="BZ115" s="406">
        <f t="shared" ca="1" si="62"/>
        <v>155.690696</v>
      </c>
      <c r="CA115" s="412">
        <f ca="1">IF(BS115&lt;&gt;"",SUM(BS115:BZ115),"")</f>
        <v>360.09603000000004</v>
      </c>
      <c r="CB115" s="408">
        <f ca="1">IF(CB113="","",IF(CB113&gt;0,(BV116*CB114)+BV117,-1))</f>
        <v>-1</v>
      </c>
      <c r="CC115" s="408">
        <f ca="1">IF(CB113="","",IF(CB113&gt;0,(BV116*CC114)+BV117,-1))</f>
        <v>-1</v>
      </c>
      <c r="CD115" s="408">
        <f ca="1">IF(CB113="","",IF(CB113&gt;0,(BV116*CD114)+BV117,-1))</f>
        <v>-1</v>
      </c>
      <c r="CE115" s="408">
        <f ca="1">IF(CB113="","",IF(CB113&gt;0,(BV116*CE114)+BV117,-1))</f>
        <v>-1</v>
      </c>
      <c r="CF115" s="408">
        <f ca="1">IF(CB113="","",IF(CB113&gt;0,(BV116*CF114)+BV117,-1))</f>
        <v>-1</v>
      </c>
      <c r="CG115" s="408">
        <f ca="1">IF(CB113="","",IF(CB113&gt;0,(BV116*CG114)+BV117,-1))</f>
        <v>-1</v>
      </c>
      <c r="CH115" s="408">
        <f ca="1">IF(CB113="","",IF(CB113&gt;0,(BV116*CH114)+BV117,-1))</f>
        <v>-1</v>
      </c>
      <c r="CI115" s="408">
        <f ca="1">IF(CB113="","",IF(CB113&gt;0,(BV116*CI114)+BV117,-1))</f>
        <v>-1</v>
      </c>
      <c r="CJ115" s="409">
        <f ca="1">IF(CB113="","",IF(CB113&gt;0,(BV116*CJ114)+BV117,-1))</f>
        <v>-1</v>
      </c>
      <c r="CK115" s="358"/>
      <c r="CL115" s="358"/>
      <c r="CM115" s="358"/>
      <c r="CN115" s="358"/>
      <c r="CO115" s="358"/>
      <c r="CP115" s="358"/>
      <c r="CQ115" s="358"/>
      <c r="CR115" s="358"/>
      <c r="CS115" s="358"/>
      <c r="CT115" s="358"/>
      <c r="CU115" s="358"/>
      <c r="CV115" s="358"/>
      <c r="CW115" s="358"/>
      <c r="CX115" s="358"/>
      <c r="CY115" s="358"/>
      <c r="CZ115" s="358"/>
      <c r="DA115" s="358"/>
      <c r="DB115" s="358"/>
      <c r="DC115" s="358"/>
      <c r="DD115" s="358"/>
      <c r="DE115" s="358"/>
      <c r="DF115" s="358"/>
      <c r="DG115" s="358"/>
      <c r="DH115" s="358"/>
      <c r="DI115" s="358"/>
      <c r="DJ115" s="358"/>
      <c r="DK115" s="358"/>
      <c r="DL115" s="358"/>
      <c r="DM115" s="358"/>
      <c r="DN115" s="358"/>
      <c r="DO115" s="358"/>
      <c r="DP115" s="358"/>
      <c r="DQ115" s="358"/>
      <c r="DR115" s="358"/>
      <c r="DS115" s="358"/>
      <c r="DT115" s="358"/>
      <c r="DU115" s="358"/>
      <c r="DV115" s="358"/>
      <c r="DW115" s="358"/>
      <c r="DX115" s="358"/>
      <c r="DY115" s="358"/>
      <c r="DZ115" s="358"/>
      <c r="EA115" s="358"/>
      <c r="EB115" s="358"/>
      <c r="EC115" s="358"/>
      <c r="ED115" s="358"/>
      <c r="EE115" s="358"/>
      <c r="EF115" s="358"/>
      <c r="EG115" s="358"/>
      <c r="EH115" s="358"/>
      <c r="EI115" s="358"/>
      <c r="EJ115" s="358"/>
      <c r="EK115" s="358"/>
      <c r="EL115" s="358"/>
      <c r="EM115" s="358"/>
      <c r="EN115" s="358"/>
      <c r="EO115" s="358"/>
      <c r="EP115" s="358"/>
      <c r="EQ115" s="358"/>
      <c r="ER115" s="358"/>
      <c r="ES115" s="358"/>
      <c r="ET115" s="358"/>
      <c r="EU115" s="358"/>
      <c r="EV115" s="358"/>
      <c r="EW115" s="358"/>
      <c r="EX115" s="358"/>
      <c r="EY115" s="358"/>
      <c r="EZ115" s="371"/>
    </row>
    <row r="116" spans="1:156" ht="11.15" customHeight="1" x14ac:dyDescent="0.25">
      <c r="A116" s="1552"/>
      <c r="B116" s="983" t="str">
        <f>IF(ISNUMBER(B115),B115+1,"")</f>
        <v/>
      </c>
      <c r="C116" s="984" t="str">
        <f ca="1">IF(OR($N$8="",$N$8=0),"",IF(INDIRECT(ADDRESS(($AK116),COLUMN()+21,,,"Digitar Dados dos Ensaios"))&lt;&gt;"",INDIRECT(ADDRESS(($AK116),COLUMN()+21,,,"Digitar Dados dos Ensaios")),""))</f>
        <v/>
      </c>
      <c r="D116" s="985">
        <f ca="1">IF(OR($N$8="",$N$8=0),"",IF(INDIRECT(ADDRESS(($AL116),COLUMN()+24,,,"Digitar Dados dos Ensaios"))&lt;&gt;"",INDIRECT(ADDRESS(($AL116),COLUMN()+24,,,"Digitar Dados dos Ensaios")),""))</f>
        <v>1</v>
      </c>
      <c r="E116" s="1551"/>
      <c r="F116" s="981"/>
      <c r="G116" s="981"/>
      <c r="H116" s="981"/>
      <c r="I116" s="981"/>
      <c r="J116" s="981"/>
      <c r="K116" s="981"/>
      <c r="L116" s="982"/>
      <c r="AK116" s="357">
        <f>AK115</f>
        <v>7</v>
      </c>
      <c r="AL116" s="368">
        <f>AL115</f>
        <v>8</v>
      </c>
      <c r="AM116" s="358"/>
      <c r="AN116" s="358"/>
      <c r="AO116" s="358"/>
      <c r="AP116" s="358"/>
      <c r="AQ116" s="358"/>
      <c r="AR116" s="358"/>
      <c r="AS116" s="358"/>
      <c r="AT116" s="358"/>
      <c r="AU116" s="358"/>
      <c r="AV116" s="358"/>
      <c r="AW116" s="358"/>
      <c r="AX116" s="358"/>
      <c r="AY116" s="358"/>
      <c r="AZ116" s="358"/>
      <c r="BA116" s="358"/>
      <c r="BB116" s="358"/>
      <c r="BC116" s="358"/>
      <c r="BD116" s="403">
        <v>3.81</v>
      </c>
      <c r="BE116" s="404">
        <v>3.81</v>
      </c>
      <c r="BF116" s="404">
        <v>3.81</v>
      </c>
      <c r="BG116" s="401">
        <f t="shared" ca="1" si="58"/>
        <v>71.886304909560721</v>
      </c>
      <c r="BH116" s="401">
        <v>0</v>
      </c>
      <c r="BI116" s="401">
        <f t="shared" ca="1" si="59"/>
        <v>47.286821705426355</v>
      </c>
      <c r="BJ116" s="410">
        <f ca="1">IF(ISNUMBER(BJ113),BJ113-BR113,"")</f>
        <v>-32.525839793281662</v>
      </c>
      <c r="BK116" s="410">
        <f ca="1">IF(ISNUMBER(BK113),BK113-BR113,"")</f>
        <v>-21.156330749354012</v>
      </c>
      <c r="BL116" s="410">
        <f ca="1">IF(ISNUMBER(BL113),BL113-BR113,"")</f>
        <v>-10.768733850129209</v>
      </c>
      <c r="BM116" s="410">
        <f ca="1">IF(ISNUMBER(BM113),BM113-BR113,"")</f>
        <v>-5.083979328165384</v>
      </c>
      <c r="BN116" s="410">
        <f ca="1">IF(ISNUMBER(BN113),BN113-BR113,"")</f>
        <v>4.3733850129198899</v>
      </c>
      <c r="BO116" s="410">
        <f ca="1">IF(ISNUMBER(BO113),BO113-BR113,"")</f>
        <v>13.830749354005157</v>
      </c>
      <c r="BP116" s="410">
        <f ca="1">IF(ISNUMBER(BP113),BP113-BR113,"")</f>
        <v>22.357881136950894</v>
      </c>
      <c r="BQ116" s="410">
        <f ca="1">IF(ISNUMBER(BQ113),BQ113-BR113,"")</f>
        <v>28.972868217054256</v>
      </c>
      <c r="BR116" s="411">
        <f ca="1">IF(BJ116&lt;&gt;"",SUM(BJ116:BQ116),"")</f>
        <v>-7.815970093361102E-14</v>
      </c>
      <c r="BS116" s="413" t="s">
        <v>115</v>
      </c>
      <c r="BT116" s="414">
        <f ca="1">IF(BR118&lt;&gt;"",(CA113*CA115-CA114*BR118)/(CA115^2-CA112*BR118),"")</f>
        <v>-0.77013320394360019</v>
      </c>
      <c r="BU116" s="413" t="s">
        <v>116</v>
      </c>
      <c r="BV116" s="405">
        <f ca="1">IF(BX116&lt;&gt;"",SLOPE(BX116:BX117,BW116:BW117),"")</f>
        <v>8.7525147662297851</v>
      </c>
      <c r="BW116" s="405">
        <v>2.54</v>
      </c>
      <c r="BX116" s="405">
        <f ca="1">IF(BT116&lt;&gt;"",BT116*BW116^2+BT117*BW116+BT118,"")</f>
        <v>36.230775832480518</v>
      </c>
      <c r="BY116" s="405">
        <v>2.54</v>
      </c>
      <c r="BZ116" s="405">
        <v>5.08</v>
      </c>
      <c r="CA116" s="406"/>
      <c r="CB116" s="408">
        <f ca="1">IF(CB113="","",IF(CB113&gt;0,CE112,-1))</f>
        <v>-1</v>
      </c>
      <c r="CC116" s="408">
        <f ca="1">IF(CB113="","",IF(CB113&gt;0,CE112,-1))</f>
        <v>-1</v>
      </c>
      <c r="CD116" s="408">
        <f ca="1">IF(CB113="","",IF(CB113&gt;0,CH115,-1))</f>
        <v>-1</v>
      </c>
      <c r="CE116" s="408">
        <f ca="1">IF(CB113="","",IF(CB113&gt;0,CH115,-1))</f>
        <v>-1</v>
      </c>
      <c r="CF116" s="408">
        <f ca="1">IF(CB113="","",IF(CB113&gt;0,CF112,-1))</f>
        <v>-1</v>
      </c>
      <c r="CG116" s="408">
        <f ca="1">IF(CB113="","",IF(CB113&gt;0,CF112,-1))</f>
        <v>-1</v>
      </c>
      <c r="CH116" s="408">
        <f ca="1">IF(CB113="","",IF(CB113&gt;0,CF112,-1))</f>
        <v>-1</v>
      </c>
      <c r="CI116" s="408">
        <f ca="1">IF(CB113="","",IF(CB113&gt;0,CF112,-1))</f>
        <v>-1</v>
      </c>
      <c r="CJ116" s="409"/>
      <c r="CK116" s="358"/>
      <c r="CL116" s="358"/>
      <c r="CM116" s="358"/>
      <c r="CN116" s="358"/>
      <c r="CO116" s="358"/>
      <c r="CP116" s="358"/>
      <c r="CQ116" s="358"/>
      <c r="CR116" s="358"/>
      <c r="CS116" s="358"/>
      <c r="CT116" s="358"/>
      <c r="CU116" s="358"/>
      <c r="CV116" s="358"/>
      <c r="CW116" s="358"/>
      <c r="CX116" s="358"/>
      <c r="CY116" s="358"/>
      <c r="CZ116" s="358"/>
      <c r="DA116" s="358"/>
      <c r="DB116" s="358"/>
      <c r="DC116" s="358"/>
      <c r="DD116" s="358"/>
      <c r="DE116" s="358"/>
      <c r="DF116" s="358"/>
      <c r="DG116" s="358"/>
      <c r="DH116" s="358"/>
      <c r="DI116" s="358"/>
      <c r="DJ116" s="358"/>
      <c r="DK116" s="358"/>
      <c r="DL116" s="358"/>
      <c r="DM116" s="358"/>
      <c r="DN116" s="358"/>
      <c r="DO116" s="358"/>
      <c r="DP116" s="358"/>
      <c r="DQ116" s="358"/>
      <c r="DR116" s="358"/>
      <c r="DS116" s="358"/>
      <c r="DT116" s="358"/>
      <c r="DU116" s="358"/>
      <c r="DV116" s="358"/>
      <c r="DW116" s="358"/>
      <c r="DX116" s="358"/>
      <c r="DY116" s="358"/>
      <c r="DZ116" s="358"/>
      <c r="EA116" s="358"/>
      <c r="EB116" s="358"/>
      <c r="EC116" s="358"/>
      <c r="ED116" s="358"/>
      <c r="EE116" s="358"/>
      <c r="EF116" s="358"/>
      <c r="EG116" s="358"/>
      <c r="EH116" s="358"/>
      <c r="EI116" s="358"/>
      <c r="EJ116" s="358"/>
      <c r="EK116" s="358"/>
      <c r="EL116" s="358"/>
      <c r="EM116" s="358"/>
      <c r="EN116" s="358"/>
      <c r="EO116" s="358"/>
      <c r="EP116" s="358"/>
      <c r="EQ116" s="358"/>
      <c r="ER116" s="358"/>
      <c r="ES116" s="358"/>
      <c r="ET116" s="358"/>
      <c r="EU116" s="358"/>
      <c r="EV116" s="358"/>
      <c r="EW116" s="358"/>
      <c r="EX116" s="358"/>
      <c r="EY116" s="358"/>
      <c r="EZ116" s="371"/>
    </row>
    <row r="117" spans="1:156" ht="11.15" customHeight="1" x14ac:dyDescent="0.25">
      <c r="A117" s="1552"/>
      <c r="B117" s="983" t="str">
        <f>IF(ISNUMBER(B116),B116+1,"")</f>
        <v/>
      </c>
      <c r="C117" s="984" t="str">
        <f ca="1">IF(OR($N$8="",$N$8=0),"",IF(INDIRECT(ADDRESS(($AK117),COLUMN()+22,,,"Digitar Dados dos Ensaios"))&lt;&gt;"",INDIRECT(ADDRESS(($AK117),COLUMN()+22,,,"Digitar Dados dos Ensaios")),""))</f>
        <v/>
      </c>
      <c r="D117" s="985">
        <f ca="1">IF(OR($N$8="",$N$8=0),"",IF(INDIRECT(ADDRESS(($AL117),COLUMN()+25,,,"Digitar Dados dos Ensaios"))&lt;&gt;"",INDIRECT(ADDRESS(($AL117),COLUMN()+25,,,"Digitar Dados dos Ensaios")),""))</f>
        <v>1.06</v>
      </c>
      <c r="E117" s="1551"/>
      <c r="F117" s="981"/>
      <c r="G117" s="981"/>
      <c r="H117" s="981"/>
      <c r="I117" s="981"/>
      <c r="J117" s="981"/>
      <c r="K117" s="981"/>
      <c r="L117" s="982"/>
      <c r="AK117" s="357">
        <f>AK116</f>
        <v>7</v>
      </c>
      <c r="AL117" s="368">
        <f>AL116</f>
        <v>8</v>
      </c>
      <c r="AM117" s="358"/>
      <c r="AN117" s="358"/>
      <c r="AO117" s="358"/>
      <c r="AP117" s="358"/>
      <c r="AQ117" s="358"/>
      <c r="AR117" s="358"/>
      <c r="AS117" s="358"/>
      <c r="AT117" s="358"/>
      <c r="AU117" s="358"/>
      <c r="AV117" s="358"/>
      <c r="AW117" s="358"/>
      <c r="AX117" s="358"/>
      <c r="AY117" s="358"/>
      <c r="AZ117" s="358"/>
      <c r="BA117" s="358"/>
      <c r="BB117" s="358"/>
      <c r="BC117" s="358"/>
      <c r="BD117" s="403">
        <v>5.08</v>
      </c>
      <c r="BE117" s="404">
        <v>5.08</v>
      </c>
      <c r="BF117" s="404">
        <v>5.08</v>
      </c>
      <c r="BG117" s="401">
        <f t="shared" ca="1" si="58"/>
        <v>71.886304909560721</v>
      </c>
      <c r="BH117" s="401">
        <v>0</v>
      </c>
      <c r="BI117" s="401">
        <f t="shared" ca="1" si="59"/>
        <v>56.744186046511622</v>
      </c>
      <c r="BJ117" s="410">
        <f ca="1">IF(ISNUMBER(BJ114),BJ114-BR114,"")</f>
        <v>-18.450700000000001</v>
      </c>
      <c r="BK117" s="410">
        <f ca="1">IF(ISNUMBER(BK114),BK114-BR114,"")</f>
        <v>-17.2347</v>
      </c>
      <c r="BL117" s="410">
        <f ca="1">IF(ISNUMBER(BL114),BL114-BR114,"")</f>
        <v>-15.2376</v>
      </c>
      <c r="BM117" s="410">
        <f ca="1">IF(ISNUMBER(BM114),BM114-BR114,"")</f>
        <v>-12.396000000000001</v>
      </c>
      <c r="BN117" s="410">
        <f ca="1">IF(ISNUMBER(BN114),BN114-BR114,"")</f>
        <v>-4.3315000000000001</v>
      </c>
      <c r="BO117" s="410">
        <f ca="1">IF(ISNUMBER(BO114),BO114-BR114,"")</f>
        <v>6.9588000000000001</v>
      </c>
      <c r="BP117" s="410">
        <f ca="1">IF(ISNUMBER(BP114),BP114-BR114,"")</f>
        <v>21.474899999999998</v>
      </c>
      <c r="BQ117" s="410">
        <f ca="1">IF(ISNUMBER(BQ114),BQ114-BR114,"")</f>
        <v>39.216799999999999</v>
      </c>
      <c r="BR117" s="411">
        <f ca="1">IF(BJ117&lt;&gt;"",SUM(BJ117:BQ117),"")</f>
        <v>0</v>
      </c>
      <c r="BS117" s="710" t="s">
        <v>128</v>
      </c>
      <c r="BT117" s="415">
        <f ca="1">IF(BT116&lt;&gt;"",(CA114-BT116*CA112)/CA115,"")</f>
        <v>14.620929780280019</v>
      </c>
      <c r="BU117" s="710" t="s">
        <v>128</v>
      </c>
      <c r="BV117" s="415">
        <f ca="1">IF(BX116&lt;&gt;"",INTERCEPT(BX116:BX117,BW116:BW117),"")</f>
        <v>13.999388326256863</v>
      </c>
      <c r="BW117" s="405">
        <v>5.08</v>
      </c>
      <c r="BX117" s="405">
        <f ca="1">IF(BT116&lt;&gt;"",BT116*BW117^2+BT117*BW117+BT118,"")</f>
        <v>58.462163338704173</v>
      </c>
      <c r="BY117" s="416" t="str">
        <f ca="1">IF(CB113="","",IF(CB113&gt;0,CE112,""))</f>
        <v/>
      </c>
      <c r="BZ117" s="416" t="str">
        <f ca="1">IF(CB113="","",IF(CB113&gt;0,CF112,""))</f>
        <v/>
      </c>
      <c r="CA117" s="359"/>
      <c r="CB117" s="407">
        <v>0</v>
      </c>
      <c r="CC117" s="407">
        <f ca="1">IF(CB113="","",IF(CB113&gt;0,CH113,-1))</f>
        <v>-1</v>
      </c>
      <c r="CD117" s="407">
        <f ca="1">IF(CB113="","",IF(CB113&gt;0,CH114,-1))</f>
        <v>-1</v>
      </c>
      <c r="CE117" s="407">
        <f ca="1">IF(CB113="","",IF(CB113&gt;0,CD113,-1))</f>
        <v>-1</v>
      </c>
      <c r="CF117" s="407">
        <f ca="1">IF(CB113="","",IF(CB113&gt;0,CD113,-1))</f>
        <v>-1</v>
      </c>
      <c r="CG117" s="407">
        <f ca="1">IF(CB113="","",IF(CB113&gt;0,CD113,-1))</f>
        <v>-1</v>
      </c>
      <c r="CH117" s="407">
        <v>0</v>
      </c>
      <c r="CI117" s="407">
        <f ca="1">IF(CB113="","",IF(CB113&gt;0,CD113,-1))</f>
        <v>-1</v>
      </c>
      <c r="CJ117" s="417"/>
      <c r="CK117" s="358"/>
      <c r="CL117" s="358"/>
      <c r="CM117" s="358"/>
      <c r="CN117" s="358"/>
      <c r="CO117" s="358"/>
      <c r="CP117" s="358"/>
      <c r="CQ117" s="358"/>
      <c r="CR117" s="358"/>
      <c r="CS117" s="358"/>
      <c r="CT117" s="358"/>
      <c r="CU117" s="358"/>
      <c r="CV117" s="358"/>
      <c r="CW117" s="358"/>
      <c r="CX117" s="358"/>
      <c r="CY117" s="358"/>
      <c r="CZ117" s="358"/>
      <c r="DA117" s="358"/>
      <c r="DB117" s="358"/>
      <c r="DC117" s="358"/>
      <c r="DD117" s="358"/>
      <c r="DE117" s="358"/>
      <c r="DF117" s="358"/>
      <c r="DG117" s="358"/>
      <c r="DH117" s="358"/>
      <c r="DI117" s="358"/>
      <c r="DJ117" s="358"/>
      <c r="DK117" s="358"/>
      <c r="DL117" s="358"/>
      <c r="DM117" s="358"/>
      <c r="DN117" s="358"/>
      <c r="DO117" s="358"/>
      <c r="DP117" s="358"/>
      <c r="DQ117" s="358"/>
      <c r="DR117" s="358"/>
      <c r="DS117" s="358"/>
      <c r="DT117" s="358"/>
      <c r="DU117" s="358"/>
      <c r="DV117" s="358"/>
      <c r="DW117" s="358"/>
      <c r="DX117" s="358"/>
      <c r="DY117" s="358"/>
      <c r="DZ117" s="358"/>
      <c r="EA117" s="358"/>
      <c r="EB117" s="358"/>
      <c r="EC117" s="358"/>
      <c r="ED117" s="358"/>
      <c r="EE117" s="358"/>
      <c r="EF117" s="358"/>
      <c r="EG117" s="358"/>
      <c r="EH117" s="358"/>
      <c r="EI117" s="358"/>
      <c r="EJ117" s="358"/>
      <c r="EK117" s="358"/>
      <c r="EL117" s="358"/>
      <c r="EM117" s="358"/>
      <c r="EN117" s="358"/>
      <c r="EO117" s="358"/>
      <c r="EP117" s="358"/>
      <c r="EQ117" s="358"/>
      <c r="ER117" s="358"/>
      <c r="ES117" s="358"/>
      <c r="ET117" s="358"/>
      <c r="EU117" s="358"/>
      <c r="EV117" s="358"/>
      <c r="EW117" s="358"/>
      <c r="EX117" s="358"/>
      <c r="EY117" s="358"/>
      <c r="EZ117" s="371"/>
    </row>
    <row r="118" spans="1:156" ht="11.15" customHeight="1" x14ac:dyDescent="0.25">
      <c r="A118" s="1552"/>
      <c r="B118" s="1553" t="s">
        <v>203</v>
      </c>
      <c r="C118" s="1554"/>
      <c r="D118" s="986">
        <f ca="1">IF(ISNUMBER(D114),MAX(D114:D117)-MIN(D114:D117),"")</f>
        <v>6.0000000000000053E-2</v>
      </c>
      <c r="E118" s="1610">
        <f ca="1">IF(ISNUMBER(C112),D118/D119*10,"")</f>
        <v>5.2447552447552483E-2</v>
      </c>
      <c r="F118" s="981"/>
      <c r="G118" s="981"/>
      <c r="H118" s="981"/>
      <c r="I118" s="981"/>
      <c r="J118" s="981"/>
      <c r="K118" s="981"/>
      <c r="L118" s="982"/>
      <c r="AK118" s="357"/>
      <c r="AL118" s="368"/>
      <c r="AM118" s="358"/>
      <c r="AN118" s="358"/>
      <c r="AO118" s="358"/>
      <c r="AP118" s="358"/>
      <c r="AQ118" s="358"/>
      <c r="AR118" s="358"/>
      <c r="AS118" s="358"/>
      <c r="AT118" s="358"/>
      <c r="AU118" s="358"/>
      <c r="AV118" s="358"/>
      <c r="AW118" s="358"/>
      <c r="AX118" s="358"/>
      <c r="AY118" s="358"/>
      <c r="AZ118" s="358"/>
      <c r="BA118" s="358"/>
      <c r="BB118" s="358"/>
      <c r="BC118" s="358"/>
      <c r="BD118" s="403">
        <v>6.35</v>
      </c>
      <c r="BE118" s="404">
        <v>6.35</v>
      </c>
      <c r="BF118" s="404">
        <v>6.35</v>
      </c>
      <c r="BG118" s="401">
        <f t="shared" ca="1" si="58"/>
        <v>71.886304909560721</v>
      </c>
      <c r="BH118" s="401">
        <v>0</v>
      </c>
      <c r="BI118" s="401">
        <f t="shared" ca="1" si="59"/>
        <v>65.271317829457359</v>
      </c>
      <c r="BJ118" s="405">
        <f ca="1">IF(ISNUMBER(BJ115),BJ115^2,"")</f>
        <v>9.1204000000000001</v>
      </c>
      <c r="BK118" s="405">
        <f t="shared" ref="BK118:BQ118" ca="1" si="63">IF(ISNUMBER(BK115),BK115^2,"")</f>
        <v>5.6643999999999997</v>
      </c>
      <c r="BL118" s="405">
        <f t="shared" ca="1" si="63"/>
        <v>3.0625</v>
      </c>
      <c r="BM118" s="405">
        <f t="shared" ca="1" si="63"/>
        <v>1.2320999999999998</v>
      </c>
      <c r="BN118" s="405">
        <f t="shared" ca="1" si="63"/>
        <v>2.5600000000000046E-2</v>
      </c>
      <c r="BO118" s="405">
        <f t="shared" ca="1" si="63"/>
        <v>2.0449000000000006</v>
      </c>
      <c r="BP118" s="405">
        <f t="shared" ca="1" si="63"/>
        <v>7.2899999999999983</v>
      </c>
      <c r="BQ118" s="405">
        <f t="shared" ca="1" si="63"/>
        <v>15.760900000000001</v>
      </c>
      <c r="BR118" s="411">
        <f ca="1">IF(BJ118&lt;&gt;"",SUM(BJ118:BQ118),"")</f>
        <v>44.200800000000001</v>
      </c>
      <c r="BS118" s="710" t="s">
        <v>138</v>
      </c>
      <c r="BT118" s="414">
        <f ca="1">IF(BT116&lt;&gt;"",BR113-BT117*BR112-BT116*BR114,"")</f>
        <v>4.0622055691317982</v>
      </c>
      <c r="BU118" s="710"/>
      <c r="BV118" s="359"/>
      <c r="BW118" s="359"/>
      <c r="BX118" s="359"/>
      <c r="BY118" s="361" t="str">
        <f ca="1">IF(CB113="","",IF(CB113&gt;0,BY117/70.31,""))</f>
        <v/>
      </c>
      <c r="BZ118" s="361" t="str">
        <f ca="1">IF(CB113="","",IF(CB113&gt;0,BZ117/105.46,""))</f>
        <v/>
      </c>
      <c r="CA118" s="359"/>
      <c r="CB118" s="710">
        <v>2.54</v>
      </c>
      <c r="CC118" s="361">
        <f ca="1">IF(BM113&lt;&gt;"",BM113/70.31,"")</f>
        <v>0.53803807942456383</v>
      </c>
      <c r="CD118" s="405">
        <v>5.08</v>
      </c>
      <c r="CE118" s="361">
        <f ca="1">IF(BO113&lt;&gt;"",BO113/105.46,"")</f>
        <v>0.53806358853130687</v>
      </c>
      <c r="CF118" s="416">
        <f ca="1">IF(CH118&lt;&gt;"",MAX(CH118,CJ118),"")</f>
        <v>53.806358853130689</v>
      </c>
      <c r="CG118" s="364">
        <v>2.54</v>
      </c>
      <c r="CH118" s="402">
        <f ca="1">IF(BM113&lt;&gt;"",MAX(BY118,CC118)*100,"")</f>
        <v>53.80380794245638</v>
      </c>
      <c r="CI118" s="364">
        <v>5.08</v>
      </c>
      <c r="CJ118" s="419">
        <f ca="1">IF(BO113&lt;&gt;"",MAX(BZ118,CE118)*100,"")</f>
        <v>53.806358853130689</v>
      </c>
      <c r="CK118" s="358"/>
      <c r="CL118" s="358"/>
      <c r="CM118" s="358"/>
      <c r="CN118" s="358"/>
      <c r="CO118" s="358"/>
      <c r="CP118" s="358"/>
      <c r="CQ118" s="358"/>
      <c r="CR118" s="358"/>
      <c r="CS118" s="358"/>
      <c r="CT118" s="358"/>
      <c r="CU118" s="358"/>
      <c r="CV118" s="358"/>
      <c r="CW118" s="358"/>
      <c r="CX118" s="358"/>
      <c r="CY118" s="358"/>
      <c r="CZ118" s="358"/>
      <c r="DA118" s="358"/>
      <c r="DB118" s="358"/>
      <c r="DC118" s="358"/>
      <c r="DD118" s="358"/>
      <c r="DE118" s="358"/>
      <c r="DF118" s="358"/>
      <c r="DG118" s="358"/>
      <c r="DH118" s="358"/>
      <c r="DI118" s="358"/>
      <c r="DJ118" s="358"/>
      <c r="DK118" s="358"/>
      <c r="DL118" s="358"/>
      <c r="DM118" s="358"/>
      <c r="DN118" s="358"/>
      <c r="DO118" s="358"/>
      <c r="DP118" s="358"/>
      <c r="DQ118" s="358"/>
      <c r="DR118" s="358"/>
      <c r="DS118" s="358"/>
      <c r="DT118" s="358"/>
      <c r="DU118" s="358"/>
      <c r="DV118" s="358"/>
      <c r="DW118" s="358"/>
      <c r="DX118" s="358"/>
      <c r="DY118" s="358"/>
      <c r="DZ118" s="358"/>
      <c r="EA118" s="358"/>
      <c r="EB118" s="358"/>
      <c r="EC118" s="358"/>
      <c r="ED118" s="358"/>
      <c r="EE118" s="358"/>
      <c r="EF118" s="358"/>
      <c r="EG118" s="358"/>
      <c r="EH118" s="358"/>
      <c r="EI118" s="358"/>
      <c r="EJ118" s="358"/>
      <c r="EK118" s="358"/>
      <c r="EL118" s="358"/>
      <c r="EM118" s="358"/>
      <c r="EN118" s="358"/>
      <c r="EO118" s="358"/>
      <c r="EP118" s="358"/>
      <c r="EQ118" s="358"/>
      <c r="ER118" s="358"/>
      <c r="ES118" s="358"/>
      <c r="ET118" s="358"/>
      <c r="EU118" s="358"/>
      <c r="EV118" s="358"/>
      <c r="EW118" s="358"/>
      <c r="EX118" s="358"/>
      <c r="EY118" s="358"/>
      <c r="EZ118" s="371"/>
    </row>
    <row r="119" spans="1:156" ht="11.15" customHeight="1" x14ac:dyDescent="0.35">
      <c r="A119" s="1552"/>
      <c r="B119" s="1612" t="s">
        <v>204</v>
      </c>
      <c r="C119" s="1613"/>
      <c r="D119" s="986">
        <f ca="1">IF(C112&lt;&gt;"",LOOKUP(C112,Tara!$G$6:$G$185,Tara!$J$6:$J$185)/10,"")</f>
        <v>11.440000000000001</v>
      </c>
      <c r="E119" s="1611"/>
      <c r="F119" s="981"/>
      <c r="G119" s="981"/>
      <c r="H119" s="981"/>
      <c r="I119" s="981"/>
      <c r="J119" s="981"/>
      <c r="K119" s="981"/>
      <c r="L119" s="982"/>
      <c r="AK119" s="357"/>
      <c r="AL119" s="358"/>
      <c r="AM119" s="358"/>
      <c r="AN119" s="358"/>
      <c r="AO119" s="358"/>
      <c r="AP119" s="358"/>
      <c r="AQ119" s="358"/>
      <c r="AR119" s="358"/>
      <c r="AS119" s="358"/>
      <c r="AT119" s="358"/>
      <c r="AU119" s="358"/>
      <c r="AV119" s="358"/>
      <c r="AW119" s="358"/>
      <c r="AX119" s="358"/>
      <c r="AY119" s="358"/>
      <c r="AZ119" s="358"/>
      <c r="BA119" s="358"/>
      <c r="BB119" s="358"/>
      <c r="BC119" s="358"/>
      <c r="BD119" s="403">
        <v>7.62</v>
      </c>
      <c r="BE119" s="404">
        <v>7.62</v>
      </c>
      <c r="BF119" s="404">
        <v>7.62</v>
      </c>
      <c r="BG119" s="401">
        <f t="shared" ca="1" si="58"/>
        <v>71.886304909560721</v>
      </c>
      <c r="BH119" s="401">
        <v>0</v>
      </c>
      <c r="BI119" s="401">
        <f t="shared" ca="1" si="59"/>
        <v>71.886304909560721</v>
      </c>
      <c r="BJ119" s="358"/>
      <c r="BK119" s="358"/>
      <c r="BL119" s="358"/>
      <c r="BM119" s="358"/>
      <c r="BN119" s="358"/>
      <c r="BO119" s="358"/>
      <c r="BP119" s="358"/>
      <c r="BQ119" s="358"/>
      <c r="BR119" s="358"/>
      <c r="BS119" s="358"/>
      <c r="BT119" s="358"/>
      <c r="BU119" s="358"/>
      <c r="BV119" s="358"/>
      <c r="BW119" s="358"/>
      <c r="BX119" s="358"/>
      <c r="BY119" s="358"/>
      <c r="BZ119" s="358"/>
      <c r="CA119" s="358"/>
      <c r="CB119" s="358"/>
      <c r="CC119" s="358"/>
      <c r="CD119" s="358"/>
      <c r="CE119" s="358"/>
      <c r="CF119" s="358"/>
      <c r="CG119" s="395">
        <v>0.63</v>
      </c>
      <c r="CH119" s="395">
        <v>0.63</v>
      </c>
      <c r="CI119" s="396">
        <v>0</v>
      </c>
      <c r="CJ119" s="420">
        <f ca="1">IF(BI112&lt;&gt;"",MAX(BI112:BI119),"")</f>
        <v>71.886304909560721</v>
      </c>
      <c r="CK119" s="358"/>
      <c r="CL119" s="358"/>
      <c r="CM119" s="358"/>
      <c r="CN119" s="358"/>
      <c r="CO119" s="358"/>
      <c r="CP119" s="358"/>
      <c r="CQ119" s="358"/>
      <c r="CR119" s="358"/>
      <c r="CS119" s="358"/>
      <c r="CT119" s="358"/>
      <c r="CU119" s="358"/>
      <c r="CV119" s="358"/>
      <c r="CW119" s="358"/>
      <c r="CX119" s="358"/>
      <c r="CY119" s="358"/>
      <c r="CZ119" s="358"/>
      <c r="DA119" s="358"/>
      <c r="DB119" s="358"/>
      <c r="DC119" s="358"/>
      <c r="DD119" s="358"/>
      <c r="DE119" s="358"/>
      <c r="DF119" s="358"/>
      <c r="DG119" s="358"/>
      <c r="DH119" s="358"/>
      <c r="DI119" s="358"/>
      <c r="DJ119" s="358"/>
      <c r="DK119" s="358"/>
      <c r="DL119" s="358"/>
      <c r="DM119" s="358"/>
      <c r="DN119" s="358"/>
      <c r="DO119" s="358"/>
      <c r="DP119" s="358"/>
      <c r="DQ119" s="358"/>
      <c r="DR119" s="358"/>
      <c r="DS119" s="358"/>
      <c r="DT119" s="358"/>
      <c r="DU119" s="358"/>
      <c r="DV119" s="358"/>
      <c r="DW119" s="358"/>
      <c r="DX119" s="358"/>
      <c r="DY119" s="358"/>
      <c r="DZ119" s="358"/>
      <c r="EA119" s="358"/>
      <c r="EB119" s="358"/>
      <c r="EC119" s="358"/>
      <c r="ED119" s="358"/>
      <c r="EE119" s="358"/>
      <c r="EF119" s="358"/>
      <c r="EG119" s="358"/>
      <c r="EH119" s="358"/>
      <c r="EI119" s="358"/>
      <c r="EJ119" s="358"/>
      <c r="EK119" s="358"/>
      <c r="EL119" s="358"/>
      <c r="EM119" s="358"/>
      <c r="EN119" s="358"/>
      <c r="EO119" s="358"/>
      <c r="EP119" s="358"/>
      <c r="EQ119" s="358"/>
      <c r="ER119" s="358"/>
      <c r="ES119" s="358"/>
      <c r="ET119" s="358"/>
      <c r="EU119" s="358"/>
      <c r="EV119" s="358"/>
      <c r="EW119" s="358"/>
      <c r="EX119" s="358"/>
      <c r="EY119" s="358"/>
      <c r="EZ119" s="371"/>
    </row>
    <row r="120" spans="1:156" ht="11.15" customHeight="1" x14ac:dyDescent="0.35">
      <c r="A120" s="1544" t="s">
        <v>205</v>
      </c>
      <c r="B120" s="1545" t="s">
        <v>206</v>
      </c>
      <c r="C120" s="1545" t="s">
        <v>17</v>
      </c>
      <c r="D120" s="1545" t="s">
        <v>207</v>
      </c>
      <c r="E120" s="1546" t="s">
        <v>90</v>
      </c>
      <c r="F120" s="981"/>
      <c r="G120" s="981"/>
      <c r="H120" s="981"/>
      <c r="I120" s="981"/>
      <c r="J120" s="981"/>
      <c r="K120" s="981"/>
      <c r="L120" s="982"/>
      <c r="AK120" s="357"/>
      <c r="AL120" s="358"/>
      <c r="AM120" s="358"/>
      <c r="AN120" s="358"/>
      <c r="AO120" s="358"/>
      <c r="AP120" s="358"/>
      <c r="AQ120" s="358"/>
      <c r="AR120" s="358"/>
      <c r="AS120" s="358"/>
      <c r="AT120" s="358"/>
      <c r="AU120" s="358"/>
      <c r="AV120" s="358"/>
      <c r="AW120" s="358"/>
      <c r="AX120" s="358"/>
      <c r="AY120" s="358"/>
      <c r="AZ120" s="358"/>
      <c r="BA120" s="358"/>
      <c r="BB120" s="358"/>
      <c r="BC120" s="358"/>
      <c r="BD120" s="421"/>
      <c r="BE120" s="358"/>
      <c r="BF120" s="358"/>
      <c r="BG120" s="358"/>
      <c r="BH120" s="358"/>
      <c r="BI120" s="358"/>
      <c r="BJ120" s="358"/>
      <c r="BK120" s="358"/>
      <c r="BL120" s="358"/>
      <c r="BM120" s="358"/>
      <c r="BN120" s="358"/>
      <c r="BO120" s="358"/>
      <c r="BP120" s="358"/>
      <c r="BQ120" s="358"/>
      <c r="BR120" s="358"/>
      <c r="BS120" s="358"/>
      <c r="BT120" s="358"/>
      <c r="BU120" s="358"/>
      <c r="BV120" s="358"/>
      <c r="BW120" s="358"/>
      <c r="BX120" s="358"/>
      <c r="BY120" s="358"/>
      <c r="BZ120" s="358"/>
      <c r="CA120" s="358"/>
      <c r="CB120" s="358"/>
      <c r="CC120" s="358"/>
      <c r="CD120" s="358"/>
      <c r="CE120" s="358"/>
      <c r="CF120" s="358"/>
      <c r="CG120" s="404">
        <v>1.27</v>
      </c>
      <c r="CH120" s="404">
        <v>1.27</v>
      </c>
      <c r="CI120" s="401">
        <v>0</v>
      </c>
      <c r="CJ120" s="422">
        <f t="shared" ref="CJ120:CJ126" ca="1" si="64">IF(CJ119&lt;&gt;"",CJ119,"")</f>
        <v>71.886304909560721</v>
      </c>
      <c r="CK120" s="358"/>
      <c r="CL120" s="358"/>
      <c r="CM120" s="358"/>
      <c r="CN120" s="358"/>
      <c r="CO120" s="358"/>
      <c r="CP120" s="358"/>
      <c r="CQ120" s="358"/>
      <c r="CR120" s="358"/>
      <c r="CS120" s="358"/>
      <c r="CT120" s="358"/>
      <c r="CU120" s="358"/>
      <c r="CV120" s="358"/>
      <c r="CW120" s="358"/>
      <c r="CX120" s="358"/>
      <c r="CY120" s="358"/>
      <c r="CZ120" s="358"/>
      <c r="DA120" s="358"/>
      <c r="DB120" s="358"/>
      <c r="DC120" s="358"/>
      <c r="DD120" s="358"/>
      <c r="DE120" s="358"/>
      <c r="DF120" s="358"/>
      <c r="DG120" s="358"/>
      <c r="DH120" s="358"/>
      <c r="DI120" s="358"/>
      <c r="DJ120" s="358"/>
      <c r="DK120" s="358"/>
      <c r="DL120" s="358"/>
      <c r="DM120" s="358"/>
      <c r="DN120" s="358"/>
      <c r="DO120" s="358"/>
      <c r="DP120" s="358"/>
      <c r="DQ120" s="358"/>
      <c r="DR120" s="358"/>
      <c r="DS120" s="358"/>
      <c r="DT120" s="358"/>
      <c r="DU120" s="358"/>
      <c r="DV120" s="358"/>
      <c r="DW120" s="358"/>
      <c r="DX120" s="358"/>
      <c r="DY120" s="358"/>
      <c r="DZ120" s="358"/>
      <c r="EA120" s="358"/>
      <c r="EB120" s="358"/>
      <c r="EC120" s="358"/>
      <c r="ED120" s="358"/>
      <c r="EE120" s="358"/>
      <c r="EF120" s="358"/>
      <c r="EG120" s="358"/>
      <c r="EH120" s="358"/>
      <c r="EI120" s="358"/>
      <c r="EJ120" s="358"/>
      <c r="EK120" s="358"/>
      <c r="EL120" s="358"/>
      <c r="EM120" s="358"/>
      <c r="EN120" s="358"/>
      <c r="EO120" s="358"/>
      <c r="EP120" s="358"/>
      <c r="EQ120" s="358"/>
      <c r="ER120" s="358"/>
      <c r="ES120" s="358"/>
      <c r="ET120" s="358"/>
      <c r="EU120" s="358"/>
      <c r="EV120" s="358"/>
      <c r="EW120" s="358"/>
      <c r="EX120" s="358"/>
      <c r="EY120" s="358"/>
      <c r="EZ120" s="371"/>
    </row>
    <row r="121" spans="1:156" ht="11.15" customHeight="1" x14ac:dyDescent="0.35">
      <c r="A121" s="1544"/>
      <c r="B121" s="1545"/>
      <c r="C121" s="1545"/>
      <c r="D121" s="1545"/>
      <c r="E121" s="1546"/>
      <c r="F121" s="981"/>
      <c r="G121" s="981"/>
      <c r="H121" s="981"/>
      <c r="I121" s="981"/>
      <c r="J121" s="981"/>
      <c r="K121" s="981"/>
      <c r="L121" s="982"/>
      <c r="AK121" s="357"/>
      <c r="AL121" s="358"/>
      <c r="AM121" s="358"/>
      <c r="AN121" s="358"/>
      <c r="AO121" s="358"/>
      <c r="AP121" s="358"/>
      <c r="AQ121" s="358"/>
      <c r="AR121" s="358"/>
      <c r="AS121" s="358"/>
      <c r="AT121" s="358"/>
      <c r="AU121" s="358"/>
      <c r="AV121" s="358"/>
      <c r="AW121" s="358"/>
      <c r="AX121" s="358"/>
      <c r="AY121" s="358"/>
      <c r="AZ121" s="358"/>
      <c r="BA121" s="358"/>
      <c r="BB121" s="358"/>
      <c r="BC121" s="358"/>
      <c r="BD121" s="421"/>
      <c r="BE121" s="358"/>
      <c r="BF121" s="358"/>
      <c r="BG121" s="358"/>
      <c r="BH121" s="358"/>
      <c r="BI121" s="358"/>
      <c r="BJ121" s="358"/>
      <c r="BK121" s="358"/>
      <c r="BL121" s="358"/>
      <c r="BM121" s="358"/>
      <c r="BN121" s="358"/>
      <c r="BO121" s="358"/>
      <c r="BP121" s="358"/>
      <c r="BQ121" s="358"/>
      <c r="BR121" s="358"/>
      <c r="BS121" s="358"/>
      <c r="BT121" s="358"/>
      <c r="BU121" s="358"/>
      <c r="BV121" s="358"/>
      <c r="BW121" s="358"/>
      <c r="BX121" s="358"/>
      <c r="BY121" s="358"/>
      <c r="BZ121" s="358"/>
      <c r="CA121" s="358"/>
      <c r="CB121" s="358"/>
      <c r="CC121" s="358"/>
      <c r="CD121" s="358"/>
      <c r="CE121" s="358"/>
      <c r="CF121" s="358"/>
      <c r="CG121" s="404">
        <v>1.9</v>
      </c>
      <c r="CH121" s="404">
        <v>1.9</v>
      </c>
      <c r="CI121" s="401">
        <v>0</v>
      </c>
      <c r="CJ121" s="422">
        <f t="shared" ca="1" si="64"/>
        <v>71.886304909560721</v>
      </c>
      <c r="CK121" s="358"/>
      <c r="CL121" s="358"/>
      <c r="CM121" s="358"/>
      <c r="CN121" s="358"/>
      <c r="CO121" s="358"/>
      <c r="CP121" s="358"/>
      <c r="CQ121" s="358"/>
      <c r="CR121" s="358"/>
      <c r="CS121" s="358"/>
      <c r="CT121" s="358"/>
      <c r="CU121" s="358"/>
      <c r="CV121" s="358"/>
      <c r="CW121" s="358"/>
      <c r="CX121" s="358"/>
      <c r="CY121" s="358"/>
      <c r="CZ121" s="358"/>
      <c r="DA121" s="358"/>
      <c r="DB121" s="358"/>
      <c r="DC121" s="358"/>
      <c r="DD121" s="358"/>
      <c r="DE121" s="358"/>
      <c r="DF121" s="358"/>
      <c r="DG121" s="358"/>
      <c r="DH121" s="358"/>
      <c r="DI121" s="358"/>
      <c r="DJ121" s="358"/>
      <c r="DK121" s="358"/>
      <c r="DL121" s="358"/>
      <c r="DM121" s="358"/>
      <c r="DN121" s="358"/>
      <c r="DO121" s="358"/>
      <c r="DP121" s="358"/>
      <c r="DQ121" s="358"/>
      <c r="DR121" s="358"/>
      <c r="DS121" s="358"/>
      <c r="DT121" s="358"/>
      <c r="DU121" s="358"/>
      <c r="DV121" s="358"/>
      <c r="DW121" s="358"/>
      <c r="DX121" s="358"/>
      <c r="DY121" s="358"/>
      <c r="DZ121" s="358"/>
      <c r="EA121" s="358"/>
      <c r="EB121" s="358"/>
      <c r="EC121" s="358"/>
      <c r="ED121" s="358"/>
      <c r="EE121" s="358"/>
      <c r="EF121" s="358"/>
      <c r="EG121" s="358"/>
      <c r="EH121" s="358"/>
      <c r="EI121" s="358"/>
      <c r="EJ121" s="358"/>
      <c r="EK121" s="358"/>
      <c r="EL121" s="358"/>
      <c r="EM121" s="358"/>
      <c r="EN121" s="358"/>
      <c r="EO121" s="358"/>
      <c r="EP121" s="358"/>
      <c r="EQ121" s="358"/>
      <c r="ER121" s="358"/>
      <c r="ES121" s="358"/>
      <c r="ET121" s="358"/>
      <c r="EU121" s="358"/>
      <c r="EV121" s="358"/>
      <c r="EW121" s="358"/>
      <c r="EX121" s="358"/>
      <c r="EY121" s="358"/>
      <c r="EZ121" s="371"/>
    </row>
    <row r="122" spans="1:156" ht="11.15" customHeight="1" x14ac:dyDescent="0.35">
      <c r="A122" s="987">
        <v>0.63</v>
      </c>
      <c r="B122" s="988">
        <v>0.5</v>
      </c>
      <c r="C122" s="989">
        <f ca="1">IF(OR($N$8="",$N$8=0),"",IF(INDIRECT(ADDRESS(($AK122),COLUMN()+27,,,"Digitar Dados dos Ensaios"))&lt;&gt;"",INDIRECT(ADDRESS(($AK122),COLUMN()+27,,,"Digitar Dados dos Ensaios")),""))</f>
        <v>201</v>
      </c>
      <c r="D122" s="990">
        <f ca="1">IF(C122&lt;&gt;"",C122/$A$113,"")</f>
        <v>10.387596899224805</v>
      </c>
      <c r="E122" s="991"/>
      <c r="F122" s="981"/>
      <c r="G122" s="981"/>
      <c r="H122" s="981"/>
      <c r="I122" s="981"/>
      <c r="J122" s="981"/>
      <c r="K122" s="981"/>
      <c r="L122" s="982"/>
      <c r="AK122" s="357">
        <f>AK103+1</f>
        <v>8</v>
      </c>
      <c r="AL122" s="358"/>
      <c r="AM122" s="358"/>
      <c r="AN122" s="358"/>
      <c r="AO122" s="358"/>
      <c r="AP122" s="358"/>
      <c r="AQ122" s="358"/>
      <c r="AR122" s="358"/>
      <c r="AS122" s="358"/>
      <c r="AT122" s="358"/>
      <c r="AU122" s="358"/>
      <c r="AV122" s="358"/>
      <c r="AW122" s="358"/>
      <c r="AX122" s="358"/>
      <c r="AY122" s="358"/>
      <c r="AZ122" s="358"/>
      <c r="BA122" s="358"/>
      <c r="BB122" s="358"/>
      <c r="BC122" s="358"/>
      <c r="BD122" s="421"/>
      <c r="BE122" s="358"/>
      <c r="BF122" s="358"/>
      <c r="BG122" s="358"/>
      <c r="BH122" s="358"/>
      <c r="BI122" s="358"/>
      <c r="BJ122" s="358"/>
      <c r="BK122" s="358"/>
      <c r="BL122" s="358"/>
      <c r="BM122" s="358"/>
      <c r="BN122" s="358"/>
      <c r="BO122" s="358"/>
      <c r="BP122" s="358"/>
      <c r="BQ122" s="358"/>
      <c r="BR122" s="358"/>
      <c r="BS122" s="358"/>
      <c r="BT122" s="358"/>
      <c r="BU122" s="358"/>
      <c r="BV122" s="358"/>
      <c r="BW122" s="358"/>
      <c r="BX122" s="358"/>
      <c r="BY122" s="358"/>
      <c r="BZ122" s="358"/>
      <c r="CA122" s="358"/>
      <c r="CB122" s="358"/>
      <c r="CC122" s="358"/>
      <c r="CD122" s="358"/>
      <c r="CE122" s="358"/>
      <c r="CF122" s="358"/>
      <c r="CG122" s="404">
        <v>2.54</v>
      </c>
      <c r="CH122" s="404">
        <v>2.54</v>
      </c>
      <c r="CI122" s="401">
        <v>0</v>
      </c>
      <c r="CJ122" s="422">
        <f t="shared" ca="1" si="64"/>
        <v>71.886304909560721</v>
      </c>
      <c r="CK122" s="358"/>
      <c r="CL122" s="358"/>
      <c r="CM122" s="358"/>
      <c r="CN122" s="358"/>
      <c r="CO122" s="358"/>
      <c r="CP122" s="358"/>
      <c r="CQ122" s="358"/>
      <c r="CR122" s="358"/>
      <c r="CS122" s="358"/>
      <c r="CT122" s="358"/>
      <c r="CU122" s="358"/>
      <c r="CV122" s="358"/>
      <c r="CW122" s="358"/>
      <c r="CX122" s="358"/>
      <c r="CY122" s="358"/>
      <c r="CZ122" s="358"/>
      <c r="DA122" s="358"/>
      <c r="DB122" s="358"/>
      <c r="DC122" s="358"/>
      <c r="DD122" s="358"/>
      <c r="DE122" s="358"/>
      <c r="DF122" s="358"/>
      <c r="DG122" s="358"/>
      <c r="DH122" s="358"/>
      <c r="DI122" s="358"/>
      <c r="DJ122" s="358"/>
      <c r="DK122" s="358"/>
      <c r="DL122" s="358"/>
      <c r="DM122" s="358"/>
      <c r="DN122" s="358"/>
      <c r="DO122" s="358"/>
      <c r="DP122" s="358"/>
      <c r="DQ122" s="358"/>
      <c r="DR122" s="358"/>
      <c r="DS122" s="358"/>
      <c r="DT122" s="358"/>
      <c r="DU122" s="358"/>
      <c r="DV122" s="358"/>
      <c r="DW122" s="358"/>
      <c r="DX122" s="358"/>
      <c r="DY122" s="358"/>
      <c r="DZ122" s="358"/>
      <c r="EA122" s="358"/>
      <c r="EB122" s="358"/>
      <c r="EC122" s="358"/>
      <c r="ED122" s="358"/>
      <c r="EE122" s="358"/>
      <c r="EF122" s="358"/>
      <c r="EG122" s="358"/>
      <c r="EH122" s="358"/>
      <c r="EI122" s="358"/>
      <c r="EJ122" s="358"/>
      <c r="EK122" s="358"/>
      <c r="EL122" s="358"/>
      <c r="EM122" s="358"/>
      <c r="EN122" s="358"/>
      <c r="EO122" s="358"/>
      <c r="EP122" s="358"/>
      <c r="EQ122" s="358"/>
      <c r="ER122" s="358"/>
      <c r="ES122" s="358"/>
      <c r="ET122" s="358"/>
      <c r="EU122" s="358"/>
      <c r="EV122" s="358"/>
      <c r="EW122" s="358"/>
      <c r="EX122" s="358"/>
      <c r="EY122" s="358"/>
      <c r="EZ122" s="371"/>
    </row>
    <row r="123" spans="1:156" ht="11.15" customHeight="1" x14ac:dyDescent="0.35">
      <c r="A123" s="987">
        <v>1.27</v>
      </c>
      <c r="B123" s="988">
        <v>1</v>
      </c>
      <c r="C123" s="989">
        <f ca="1">IF(OR($N$8="",$N$8=0),"",IF(INDIRECT(ADDRESS(($AK123),COLUMN()+28,,,"Digitar Dados dos Ensaios"))&lt;&gt;"",INDIRECT(ADDRESS(($AK123),COLUMN()+28,,,"Digitar Dados dos Ensaios")),""))</f>
        <v>421</v>
      </c>
      <c r="D123" s="990">
        <f t="shared" ref="D123:D129" ca="1" si="65">IF(C123&lt;&gt;"",C123/$A$113,"")</f>
        <v>21.757105943152453</v>
      </c>
      <c r="E123" s="992" t="str">
        <f ca="1">IF(E124="","","Corrigido")</f>
        <v/>
      </c>
      <c r="F123" s="981"/>
      <c r="G123" s="981"/>
      <c r="H123" s="981"/>
      <c r="I123" s="981"/>
      <c r="J123" s="981"/>
      <c r="K123" s="981"/>
      <c r="L123" s="982"/>
      <c r="AK123" s="357">
        <f>AK122</f>
        <v>8</v>
      </c>
      <c r="AL123" s="358"/>
      <c r="AM123" s="358"/>
      <c r="AN123" s="358"/>
      <c r="AO123" s="358"/>
      <c r="AP123" s="358"/>
      <c r="AQ123" s="358"/>
      <c r="AR123" s="358"/>
      <c r="AS123" s="358"/>
      <c r="AT123" s="358"/>
      <c r="AU123" s="358"/>
      <c r="AV123" s="358"/>
      <c r="AW123" s="358"/>
      <c r="AX123" s="358"/>
      <c r="AY123" s="358"/>
      <c r="AZ123" s="358"/>
      <c r="BA123" s="358"/>
      <c r="BB123" s="358"/>
      <c r="BC123" s="358"/>
      <c r="BD123" s="421"/>
      <c r="BE123" s="358"/>
      <c r="BF123" s="358"/>
      <c r="BG123" s="358"/>
      <c r="BH123" s="358"/>
      <c r="BI123" s="358"/>
      <c r="BJ123" s="358"/>
      <c r="BK123" s="358"/>
      <c r="BL123" s="358"/>
      <c r="BM123" s="358"/>
      <c r="BN123" s="358"/>
      <c r="BO123" s="358"/>
      <c r="BP123" s="358"/>
      <c r="BQ123" s="358"/>
      <c r="BR123" s="358"/>
      <c r="BS123" s="358"/>
      <c r="BT123" s="358"/>
      <c r="BU123" s="358"/>
      <c r="BV123" s="358"/>
      <c r="BW123" s="358"/>
      <c r="BX123" s="358"/>
      <c r="BY123" s="358"/>
      <c r="BZ123" s="358"/>
      <c r="CA123" s="358"/>
      <c r="CB123" s="358"/>
      <c r="CC123" s="358"/>
      <c r="CD123" s="358"/>
      <c r="CE123" s="358"/>
      <c r="CF123" s="358"/>
      <c r="CG123" s="404">
        <v>3.81</v>
      </c>
      <c r="CH123" s="404">
        <v>3.81</v>
      </c>
      <c r="CI123" s="401">
        <v>0</v>
      </c>
      <c r="CJ123" s="422">
        <f t="shared" ca="1" si="64"/>
        <v>71.886304909560721</v>
      </c>
      <c r="CK123" s="358"/>
      <c r="CL123" s="358"/>
      <c r="CM123" s="358"/>
      <c r="CN123" s="358"/>
      <c r="CO123" s="358"/>
      <c r="CP123" s="358"/>
      <c r="CQ123" s="358"/>
      <c r="CR123" s="358"/>
      <c r="CS123" s="358"/>
      <c r="CT123" s="358"/>
      <c r="CU123" s="358"/>
      <c r="CV123" s="358"/>
      <c r="CW123" s="358"/>
      <c r="CX123" s="358"/>
      <c r="CY123" s="358"/>
      <c r="CZ123" s="358"/>
      <c r="DA123" s="358"/>
      <c r="DB123" s="358"/>
      <c r="DC123" s="358"/>
      <c r="DD123" s="358"/>
      <c r="DE123" s="358"/>
      <c r="DF123" s="358"/>
      <c r="DG123" s="358"/>
      <c r="DH123" s="358"/>
      <c r="DI123" s="358"/>
      <c r="DJ123" s="358"/>
      <c r="DK123" s="358"/>
      <c r="DL123" s="358"/>
      <c r="DM123" s="358"/>
      <c r="DN123" s="358"/>
      <c r="DO123" s="358"/>
      <c r="DP123" s="358"/>
      <c r="DQ123" s="358"/>
      <c r="DR123" s="358"/>
      <c r="DS123" s="358"/>
      <c r="DT123" s="358"/>
      <c r="DU123" s="358"/>
      <c r="DV123" s="358"/>
      <c r="DW123" s="358"/>
      <c r="DX123" s="358"/>
      <c r="DY123" s="358"/>
      <c r="DZ123" s="358"/>
      <c r="EA123" s="358"/>
      <c r="EB123" s="358"/>
      <c r="EC123" s="358"/>
      <c r="ED123" s="358"/>
      <c r="EE123" s="358"/>
      <c r="EF123" s="358"/>
      <c r="EG123" s="358"/>
      <c r="EH123" s="358"/>
      <c r="EI123" s="358"/>
      <c r="EJ123" s="358"/>
      <c r="EK123" s="358"/>
      <c r="EL123" s="358"/>
      <c r="EM123" s="358"/>
      <c r="EN123" s="358"/>
      <c r="EO123" s="358"/>
      <c r="EP123" s="358"/>
      <c r="EQ123" s="358"/>
      <c r="ER123" s="358"/>
      <c r="ES123" s="358"/>
      <c r="ET123" s="358"/>
      <c r="EU123" s="358"/>
      <c r="EV123" s="358"/>
      <c r="EW123" s="358"/>
      <c r="EX123" s="358"/>
      <c r="EY123" s="358"/>
      <c r="EZ123" s="371"/>
    </row>
    <row r="124" spans="1:156" ht="11.15" customHeight="1" x14ac:dyDescent="0.35">
      <c r="A124" s="987">
        <v>1.9</v>
      </c>
      <c r="B124" s="988">
        <v>1.5</v>
      </c>
      <c r="C124" s="989">
        <f ca="1">IF(OR($N$8="",$N$8=0),"",IF(INDIRECT(ADDRESS(($AK124),COLUMN()+29,,,"Digitar Dados dos Ensaios"))&lt;&gt;"",INDIRECT(ADDRESS(($AK124),COLUMN()+29,,,"Digitar Dados dos Ensaios")),""))</f>
        <v>622</v>
      </c>
      <c r="D124" s="990">
        <f t="shared" ca="1" si="65"/>
        <v>32.144702842377257</v>
      </c>
      <c r="E124" s="993" t="str">
        <f ca="1">IF(BY118="","",IF(BY118&gt;0,BY118,""))</f>
        <v/>
      </c>
      <c r="F124" s="981"/>
      <c r="G124" s="981"/>
      <c r="H124" s="981"/>
      <c r="I124" s="981"/>
      <c r="J124" s="981"/>
      <c r="K124" s="981"/>
      <c r="L124" s="982"/>
      <c r="AK124" s="357">
        <f t="shared" ref="AK124:AK129" si="66">AK123</f>
        <v>8</v>
      </c>
      <c r="AL124" s="358"/>
      <c r="AM124" s="358"/>
      <c r="AN124" s="358"/>
      <c r="AO124" s="358"/>
      <c r="AP124" s="358"/>
      <c r="AQ124" s="358"/>
      <c r="AR124" s="358"/>
      <c r="AS124" s="358"/>
      <c r="AT124" s="358"/>
      <c r="AU124" s="358"/>
      <c r="AV124" s="358"/>
      <c r="AW124" s="358"/>
      <c r="AX124" s="358"/>
      <c r="AY124" s="358"/>
      <c r="AZ124" s="358"/>
      <c r="BA124" s="358"/>
      <c r="BB124" s="358"/>
      <c r="BC124" s="358"/>
      <c r="BD124" s="421"/>
      <c r="BE124" s="358"/>
      <c r="BF124" s="358"/>
      <c r="BG124" s="358"/>
      <c r="BH124" s="358"/>
      <c r="BI124" s="358"/>
      <c r="BJ124" s="358"/>
      <c r="BK124" s="358"/>
      <c r="BL124" s="358"/>
      <c r="BM124" s="358"/>
      <c r="BN124" s="358"/>
      <c r="BO124" s="358"/>
      <c r="BP124" s="358"/>
      <c r="BQ124" s="358"/>
      <c r="BR124" s="358"/>
      <c r="BS124" s="358"/>
      <c r="BT124" s="358"/>
      <c r="BU124" s="358"/>
      <c r="BV124" s="358"/>
      <c r="BW124" s="358"/>
      <c r="BX124" s="358"/>
      <c r="BY124" s="358"/>
      <c r="BZ124" s="358"/>
      <c r="CA124" s="358"/>
      <c r="CB124" s="358"/>
      <c r="CC124" s="358"/>
      <c r="CD124" s="358"/>
      <c r="CE124" s="358"/>
      <c r="CF124" s="358"/>
      <c r="CG124" s="404">
        <v>5.08</v>
      </c>
      <c r="CH124" s="404">
        <v>5.08</v>
      </c>
      <c r="CI124" s="401">
        <v>0</v>
      </c>
      <c r="CJ124" s="422">
        <f t="shared" ca="1" si="64"/>
        <v>71.886304909560721</v>
      </c>
      <c r="CK124" s="358"/>
      <c r="CL124" s="358"/>
      <c r="CM124" s="358"/>
      <c r="CN124" s="358"/>
      <c r="CO124" s="358"/>
      <c r="CP124" s="358"/>
      <c r="CQ124" s="358"/>
      <c r="CR124" s="358"/>
      <c r="CS124" s="358"/>
      <c r="CT124" s="358"/>
      <c r="CU124" s="358"/>
      <c r="CV124" s="358"/>
      <c r="CW124" s="358"/>
      <c r="CX124" s="358"/>
      <c r="CY124" s="358"/>
      <c r="CZ124" s="358"/>
      <c r="DA124" s="358"/>
      <c r="DB124" s="358"/>
      <c r="DC124" s="358"/>
      <c r="DD124" s="358"/>
      <c r="DE124" s="358"/>
      <c r="DF124" s="358"/>
      <c r="DG124" s="358"/>
      <c r="DH124" s="358"/>
      <c r="DI124" s="358"/>
      <c r="DJ124" s="358"/>
      <c r="DK124" s="358"/>
      <c r="DL124" s="358"/>
      <c r="DM124" s="358"/>
      <c r="DN124" s="358"/>
      <c r="DO124" s="358"/>
      <c r="DP124" s="358"/>
      <c r="DQ124" s="358"/>
      <c r="DR124" s="358"/>
      <c r="DS124" s="358"/>
      <c r="DT124" s="358"/>
      <c r="DU124" s="358"/>
      <c r="DV124" s="358"/>
      <c r="DW124" s="358"/>
      <c r="DX124" s="358"/>
      <c r="DY124" s="358"/>
      <c r="DZ124" s="358"/>
      <c r="EA124" s="358"/>
      <c r="EB124" s="358"/>
      <c r="EC124" s="358"/>
      <c r="ED124" s="358"/>
      <c r="EE124" s="358"/>
      <c r="EF124" s="358"/>
      <c r="EG124" s="358"/>
      <c r="EH124" s="358"/>
      <c r="EI124" s="358"/>
      <c r="EJ124" s="358"/>
      <c r="EK124" s="358"/>
      <c r="EL124" s="358"/>
      <c r="EM124" s="358"/>
      <c r="EN124" s="358"/>
      <c r="EO124" s="358"/>
      <c r="EP124" s="358"/>
      <c r="EQ124" s="358"/>
      <c r="ER124" s="358"/>
      <c r="ES124" s="358"/>
      <c r="ET124" s="358"/>
      <c r="EU124" s="358"/>
      <c r="EV124" s="358"/>
      <c r="EW124" s="358"/>
      <c r="EX124" s="358"/>
      <c r="EY124" s="358"/>
      <c r="EZ124" s="371"/>
    </row>
    <row r="125" spans="1:156" ht="11.15" customHeight="1" x14ac:dyDescent="0.35">
      <c r="A125" s="987">
        <v>2.54</v>
      </c>
      <c r="B125" s="988">
        <v>2</v>
      </c>
      <c r="C125" s="989">
        <f ca="1">IF(OR($N$8="",$N$8=0),"",IF(INDIRECT(ADDRESS(($AK125),COLUMN()+30,,,"Digitar Dados dos Ensaios"))&lt;&gt;"",INDIRECT(ADDRESS(($AK125),COLUMN()+30,,,"Digitar Dados dos Ensaios")),""))</f>
        <v>732</v>
      </c>
      <c r="D125" s="990">
        <f t="shared" ca="1" si="65"/>
        <v>37.829457364341081</v>
      </c>
      <c r="E125" s="994">
        <f ca="1">IF(C125&lt;&gt;"",D125/70.31,"")</f>
        <v>0.53803807942456383</v>
      </c>
      <c r="F125" s="981"/>
      <c r="G125" s="981"/>
      <c r="H125" s="981"/>
      <c r="I125" s="981"/>
      <c r="J125" s="981"/>
      <c r="K125" s="981"/>
      <c r="L125" s="982"/>
      <c r="AK125" s="357">
        <f t="shared" si="66"/>
        <v>8</v>
      </c>
      <c r="AL125" s="358"/>
      <c r="AM125" s="358"/>
      <c r="AN125" s="358"/>
      <c r="AO125" s="358"/>
      <c r="AP125" s="358"/>
      <c r="AQ125" s="358"/>
      <c r="AR125" s="358"/>
      <c r="AS125" s="358"/>
      <c r="AT125" s="358"/>
      <c r="AU125" s="358"/>
      <c r="AV125" s="358"/>
      <c r="AW125" s="358"/>
      <c r="AX125" s="358"/>
      <c r="AY125" s="358"/>
      <c r="AZ125" s="358"/>
      <c r="BA125" s="358"/>
      <c r="BB125" s="358"/>
      <c r="BC125" s="358"/>
      <c r="BD125" s="421"/>
      <c r="BE125" s="358"/>
      <c r="BF125" s="358"/>
      <c r="BG125" s="358"/>
      <c r="BH125" s="358"/>
      <c r="BI125" s="358"/>
      <c r="BJ125" s="358"/>
      <c r="BK125" s="358"/>
      <c r="BL125" s="358"/>
      <c r="BM125" s="358"/>
      <c r="BN125" s="358"/>
      <c r="BO125" s="358"/>
      <c r="BP125" s="358"/>
      <c r="BQ125" s="358"/>
      <c r="BR125" s="358"/>
      <c r="BS125" s="358"/>
      <c r="BT125" s="358"/>
      <c r="BU125" s="358"/>
      <c r="BV125" s="358"/>
      <c r="BW125" s="358"/>
      <c r="BX125" s="358"/>
      <c r="BY125" s="358"/>
      <c r="BZ125" s="358"/>
      <c r="CA125" s="358"/>
      <c r="CB125" s="358"/>
      <c r="CC125" s="358"/>
      <c r="CD125" s="358"/>
      <c r="CE125" s="358"/>
      <c r="CF125" s="358"/>
      <c r="CG125" s="404">
        <v>6.35</v>
      </c>
      <c r="CH125" s="404">
        <v>6.35</v>
      </c>
      <c r="CI125" s="401">
        <v>0</v>
      </c>
      <c r="CJ125" s="422">
        <f t="shared" ca="1" si="64"/>
        <v>71.886304909560721</v>
      </c>
      <c r="CK125" s="358"/>
      <c r="CL125" s="358"/>
      <c r="CM125" s="358"/>
      <c r="CN125" s="358"/>
      <c r="CO125" s="358"/>
      <c r="CP125" s="358"/>
      <c r="CQ125" s="358"/>
      <c r="CR125" s="358"/>
      <c r="CS125" s="358"/>
      <c r="CT125" s="358"/>
      <c r="CU125" s="358"/>
      <c r="CV125" s="358"/>
      <c r="CW125" s="358"/>
      <c r="CX125" s="358"/>
      <c r="CY125" s="358"/>
      <c r="CZ125" s="358"/>
      <c r="DA125" s="358"/>
      <c r="DB125" s="358"/>
      <c r="DC125" s="358"/>
      <c r="DD125" s="358"/>
      <c r="DE125" s="358"/>
      <c r="DF125" s="358"/>
      <c r="DG125" s="358"/>
      <c r="DH125" s="358"/>
      <c r="DI125" s="358"/>
      <c r="DJ125" s="358"/>
      <c r="DK125" s="358"/>
      <c r="DL125" s="358"/>
      <c r="DM125" s="358"/>
      <c r="DN125" s="358"/>
      <c r="DO125" s="358"/>
      <c r="DP125" s="358"/>
      <c r="DQ125" s="358"/>
      <c r="DR125" s="358"/>
      <c r="DS125" s="358"/>
      <c r="DT125" s="358"/>
      <c r="DU125" s="358"/>
      <c r="DV125" s="358"/>
      <c r="DW125" s="358"/>
      <c r="DX125" s="358"/>
      <c r="DY125" s="358"/>
      <c r="DZ125" s="358"/>
      <c r="EA125" s="358"/>
      <c r="EB125" s="358"/>
      <c r="EC125" s="358"/>
      <c r="ED125" s="358"/>
      <c r="EE125" s="358"/>
      <c r="EF125" s="358"/>
      <c r="EG125" s="358"/>
      <c r="EH125" s="358"/>
      <c r="EI125" s="358"/>
      <c r="EJ125" s="358"/>
      <c r="EK125" s="358"/>
      <c r="EL125" s="358"/>
      <c r="EM125" s="358"/>
      <c r="EN125" s="358"/>
      <c r="EO125" s="358"/>
      <c r="EP125" s="358"/>
      <c r="EQ125" s="358"/>
      <c r="ER125" s="358"/>
      <c r="ES125" s="358"/>
      <c r="ET125" s="358"/>
      <c r="EU125" s="358"/>
      <c r="EV125" s="358"/>
      <c r="EW125" s="358"/>
      <c r="EX125" s="358"/>
      <c r="EY125" s="358"/>
      <c r="EZ125" s="371"/>
    </row>
    <row r="126" spans="1:156" ht="11.15" customHeight="1" x14ac:dyDescent="0.35">
      <c r="A126" s="987">
        <v>3.81</v>
      </c>
      <c r="B126" s="988">
        <v>3</v>
      </c>
      <c r="C126" s="989">
        <f ca="1">IF(OR($N$8="",$N$8=0),"",IF(INDIRECT(ADDRESS(($AK126),COLUMN()+31,,,"Digitar Dados dos Ensaios"))&lt;&gt;"",INDIRECT(ADDRESS(($AK126),COLUMN()+31,,,"Digitar Dados dos Ensaios")),""))</f>
        <v>915</v>
      </c>
      <c r="D126" s="990">
        <f t="shared" ca="1" si="65"/>
        <v>47.286821705426355</v>
      </c>
      <c r="E126" s="991"/>
      <c r="F126" s="981"/>
      <c r="G126" s="981"/>
      <c r="H126" s="981"/>
      <c r="I126" s="981"/>
      <c r="J126" s="981"/>
      <c r="K126" s="981"/>
      <c r="L126" s="982"/>
      <c r="AK126" s="357">
        <f t="shared" si="66"/>
        <v>8</v>
      </c>
      <c r="AL126" s="358"/>
      <c r="AM126" s="358"/>
      <c r="AN126" s="358"/>
      <c r="AO126" s="358"/>
      <c r="AP126" s="358"/>
      <c r="AQ126" s="358"/>
      <c r="AR126" s="358"/>
      <c r="AS126" s="358"/>
      <c r="AT126" s="358"/>
      <c r="AU126" s="358"/>
      <c r="AV126" s="358"/>
      <c r="AW126" s="358"/>
      <c r="AX126" s="358"/>
      <c r="AY126" s="358"/>
      <c r="AZ126" s="358"/>
      <c r="BA126" s="358"/>
      <c r="BB126" s="358"/>
      <c r="BC126" s="358"/>
      <c r="BD126" s="421"/>
      <c r="BE126" s="358"/>
      <c r="BF126" s="358"/>
      <c r="BG126" s="358"/>
      <c r="BH126" s="358"/>
      <c r="BI126" s="358"/>
      <c r="BJ126" s="358"/>
      <c r="BK126" s="358"/>
      <c r="BL126" s="358"/>
      <c r="BM126" s="358"/>
      <c r="BN126" s="358"/>
      <c r="BO126" s="358"/>
      <c r="BP126" s="358"/>
      <c r="BQ126" s="358"/>
      <c r="BR126" s="358"/>
      <c r="BS126" s="358"/>
      <c r="BT126" s="358"/>
      <c r="BU126" s="358"/>
      <c r="BV126" s="358"/>
      <c r="BW126" s="358"/>
      <c r="BX126" s="358"/>
      <c r="BY126" s="358"/>
      <c r="BZ126" s="358"/>
      <c r="CA126" s="358"/>
      <c r="CB126" s="358"/>
      <c r="CC126" s="358"/>
      <c r="CD126" s="358"/>
      <c r="CE126" s="358"/>
      <c r="CF126" s="358"/>
      <c r="CG126" s="404">
        <v>7.62</v>
      </c>
      <c r="CH126" s="404">
        <v>7.62</v>
      </c>
      <c r="CI126" s="401">
        <v>0</v>
      </c>
      <c r="CJ126" s="422">
        <f t="shared" ca="1" si="64"/>
        <v>71.886304909560721</v>
      </c>
      <c r="CK126" s="358"/>
      <c r="CL126" s="358"/>
      <c r="CM126" s="358"/>
      <c r="CN126" s="358"/>
      <c r="CO126" s="358"/>
      <c r="CP126" s="358"/>
      <c r="CQ126" s="358"/>
      <c r="CR126" s="358"/>
      <c r="CS126" s="358"/>
      <c r="CT126" s="358"/>
      <c r="CU126" s="358"/>
      <c r="CV126" s="358"/>
      <c r="CW126" s="358"/>
      <c r="CX126" s="358"/>
      <c r="CY126" s="358"/>
      <c r="CZ126" s="358"/>
      <c r="DA126" s="358"/>
      <c r="DB126" s="358"/>
      <c r="DC126" s="358"/>
      <c r="DD126" s="358"/>
      <c r="DE126" s="358"/>
      <c r="DF126" s="358"/>
      <c r="DG126" s="358"/>
      <c r="DH126" s="358"/>
      <c r="DI126" s="358"/>
      <c r="DJ126" s="358"/>
      <c r="DK126" s="358"/>
      <c r="DL126" s="358"/>
      <c r="DM126" s="358"/>
      <c r="DN126" s="358"/>
      <c r="DO126" s="358"/>
      <c r="DP126" s="358"/>
      <c r="DQ126" s="358"/>
      <c r="DR126" s="358"/>
      <c r="DS126" s="358"/>
      <c r="DT126" s="358"/>
      <c r="DU126" s="358"/>
      <c r="DV126" s="358"/>
      <c r="DW126" s="358"/>
      <c r="DX126" s="358"/>
      <c r="DY126" s="358"/>
      <c r="DZ126" s="358"/>
      <c r="EA126" s="358"/>
      <c r="EB126" s="358"/>
      <c r="EC126" s="358"/>
      <c r="ED126" s="358"/>
      <c r="EE126" s="358"/>
      <c r="EF126" s="358"/>
      <c r="EG126" s="358"/>
      <c r="EH126" s="358"/>
      <c r="EI126" s="358"/>
      <c r="EJ126" s="358"/>
      <c r="EK126" s="358"/>
      <c r="EL126" s="358"/>
      <c r="EM126" s="358"/>
      <c r="EN126" s="358"/>
      <c r="EO126" s="358"/>
      <c r="EP126" s="358"/>
      <c r="EQ126" s="358"/>
      <c r="ER126" s="358"/>
      <c r="ES126" s="358"/>
      <c r="ET126" s="358"/>
      <c r="EU126" s="358"/>
      <c r="EV126" s="358"/>
      <c r="EW126" s="358"/>
      <c r="EX126" s="358"/>
      <c r="EY126" s="358"/>
      <c r="EZ126" s="371"/>
    </row>
    <row r="127" spans="1:156" ht="11.15" customHeight="1" x14ac:dyDescent="0.35">
      <c r="A127" s="987">
        <v>5.08</v>
      </c>
      <c r="B127" s="988">
        <v>4</v>
      </c>
      <c r="C127" s="989">
        <f ca="1">IF(OR($N$8="",$N$8=0),"",IF(INDIRECT(ADDRESS(($AK127),COLUMN()+32,,,"Digitar Dados dos Ensaios"))&lt;&gt;"",INDIRECT(ADDRESS(($AK127),COLUMN()+32,,,"Digitar Dados dos Ensaios")),""))</f>
        <v>1098</v>
      </c>
      <c r="D127" s="990">
        <f t="shared" ca="1" si="65"/>
        <v>56.744186046511622</v>
      </c>
      <c r="E127" s="994">
        <f ca="1">IF(C127&lt;&gt;"",D127/105.46,"")</f>
        <v>0.53806358853130687</v>
      </c>
      <c r="F127" s="981"/>
      <c r="G127" s="981"/>
      <c r="H127" s="981"/>
      <c r="I127" s="981"/>
      <c r="J127" s="981"/>
      <c r="K127" s="981"/>
      <c r="L127" s="982"/>
      <c r="AK127" s="357">
        <f t="shared" si="66"/>
        <v>8</v>
      </c>
      <c r="AL127" s="358"/>
      <c r="AM127" s="358"/>
      <c r="AN127" s="358"/>
      <c r="AO127" s="358"/>
      <c r="AP127" s="358"/>
      <c r="AQ127" s="358"/>
      <c r="AR127" s="358"/>
      <c r="AS127" s="358"/>
      <c r="AT127" s="358"/>
      <c r="AU127" s="358"/>
      <c r="AV127" s="358"/>
      <c r="AW127" s="358"/>
      <c r="AX127" s="358"/>
      <c r="AY127" s="358"/>
      <c r="AZ127" s="358"/>
      <c r="BA127" s="358"/>
      <c r="BB127" s="358"/>
      <c r="BC127" s="358"/>
      <c r="BD127" s="421"/>
      <c r="BE127" s="358"/>
      <c r="BF127" s="358"/>
      <c r="BG127" s="358"/>
      <c r="BH127" s="358"/>
      <c r="BI127" s="358"/>
      <c r="BJ127" s="358"/>
      <c r="BK127" s="358"/>
      <c r="BL127" s="358"/>
      <c r="BM127" s="358"/>
      <c r="BN127" s="358"/>
      <c r="BO127" s="358"/>
      <c r="BP127" s="358"/>
      <c r="BQ127" s="358"/>
      <c r="BR127" s="358"/>
      <c r="BS127" s="358"/>
      <c r="BT127" s="358"/>
      <c r="BU127" s="358"/>
      <c r="BV127" s="358"/>
      <c r="BW127" s="358"/>
      <c r="BX127" s="358"/>
      <c r="BY127" s="358"/>
      <c r="BZ127" s="358"/>
      <c r="CA127" s="358"/>
      <c r="CB127" s="358"/>
      <c r="CC127" s="358"/>
      <c r="CD127" s="358"/>
      <c r="CE127" s="358"/>
      <c r="CF127" s="358"/>
      <c r="CG127" s="358"/>
      <c r="CH127" s="358"/>
      <c r="CI127" s="358"/>
      <c r="CJ127" s="371"/>
      <c r="CK127" s="358"/>
      <c r="CL127" s="358"/>
      <c r="CM127" s="358"/>
      <c r="CN127" s="358"/>
      <c r="CO127" s="358"/>
      <c r="CP127" s="358"/>
      <c r="CQ127" s="358"/>
      <c r="CR127" s="358"/>
      <c r="CS127" s="358"/>
      <c r="CT127" s="358"/>
      <c r="CU127" s="358"/>
      <c r="CV127" s="358"/>
      <c r="CW127" s="358"/>
      <c r="CX127" s="358"/>
      <c r="CY127" s="358"/>
      <c r="CZ127" s="358"/>
      <c r="DA127" s="358"/>
      <c r="DB127" s="358"/>
      <c r="DC127" s="358"/>
      <c r="DD127" s="358"/>
      <c r="DE127" s="358"/>
      <c r="DF127" s="358"/>
      <c r="DG127" s="358"/>
      <c r="DH127" s="358"/>
      <c r="DI127" s="358"/>
      <c r="DJ127" s="358"/>
      <c r="DK127" s="358"/>
      <c r="DL127" s="358"/>
      <c r="DM127" s="358"/>
      <c r="DN127" s="358"/>
      <c r="DO127" s="358"/>
      <c r="DP127" s="358"/>
      <c r="DQ127" s="358"/>
      <c r="DR127" s="358"/>
      <c r="DS127" s="358"/>
      <c r="DT127" s="358"/>
      <c r="DU127" s="358"/>
      <c r="DV127" s="358"/>
      <c r="DW127" s="358"/>
      <c r="DX127" s="358"/>
      <c r="DY127" s="358"/>
      <c r="DZ127" s="358"/>
      <c r="EA127" s="358"/>
      <c r="EB127" s="358"/>
      <c r="EC127" s="358"/>
      <c r="ED127" s="358"/>
      <c r="EE127" s="358"/>
      <c r="EF127" s="358"/>
      <c r="EG127" s="358"/>
      <c r="EH127" s="358"/>
      <c r="EI127" s="358"/>
      <c r="EJ127" s="358"/>
      <c r="EK127" s="358"/>
      <c r="EL127" s="358"/>
      <c r="EM127" s="358"/>
      <c r="EN127" s="358"/>
      <c r="EO127" s="358"/>
      <c r="EP127" s="358"/>
      <c r="EQ127" s="358"/>
      <c r="ER127" s="358"/>
      <c r="ES127" s="358"/>
      <c r="ET127" s="358"/>
      <c r="EU127" s="358"/>
      <c r="EV127" s="358"/>
      <c r="EW127" s="358"/>
      <c r="EX127" s="358"/>
      <c r="EY127" s="358"/>
      <c r="EZ127" s="371"/>
    </row>
    <row r="128" spans="1:156" ht="11.15" customHeight="1" x14ac:dyDescent="0.35">
      <c r="A128" s="987">
        <v>6.35</v>
      </c>
      <c r="B128" s="988">
        <v>5</v>
      </c>
      <c r="C128" s="989">
        <f ca="1">IF(OR($N$8="",$N$8=0),"",IF(INDIRECT(ADDRESS(($AK128),COLUMN()+33,,,"Digitar Dados dos Ensaios"))&lt;&gt;"",INDIRECT(ADDRESS(($AK128),COLUMN()+33,,,"Digitar Dados dos Ensaios")),""))</f>
        <v>1263</v>
      </c>
      <c r="D128" s="990">
        <f t="shared" ca="1" si="65"/>
        <v>65.271317829457359</v>
      </c>
      <c r="E128" s="992" t="str">
        <f ca="1">IF(E129="","","Corrigido")</f>
        <v/>
      </c>
      <c r="F128" s="981"/>
      <c r="G128" s="981"/>
      <c r="H128" s="981"/>
      <c r="I128" s="981"/>
      <c r="J128" s="981"/>
      <c r="K128" s="981"/>
      <c r="L128" s="982"/>
      <c r="AK128" s="357">
        <f t="shared" si="66"/>
        <v>8</v>
      </c>
      <c r="AL128" s="358"/>
      <c r="AM128" s="358"/>
      <c r="AN128" s="358"/>
      <c r="AO128" s="358"/>
      <c r="AP128" s="358"/>
      <c r="AQ128" s="358"/>
      <c r="AR128" s="358"/>
      <c r="AS128" s="358"/>
      <c r="AT128" s="358"/>
      <c r="AU128" s="358"/>
      <c r="AV128" s="358"/>
      <c r="AW128" s="358"/>
      <c r="AX128" s="358"/>
      <c r="AY128" s="358"/>
      <c r="AZ128" s="358"/>
      <c r="BA128" s="358"/>
      <c r="BB128" s="358"/>
      <c r="BC128" s="358"/>
      <c r="BD128" s="421"/>
      <c r="BE128" s="358"/>
      <c r="BF128" s="358"/>
      <c r="BG128" s="358"/>
      <c r="BH128" s="358"/>
      <c r="BI128" s="358"/>
      <c r="BJ128" s="358"/>
      <c r="BK128" s="358"/>
      <c r="BL128" s="358"/>
      <c r="BM128" s="358"/>
      <c r="BN128" s="358"/>
      <c r="BO128" s="358"/>
      <c r="BP128" s="358"/>
      <c r="BQ128" s="358"/>
      <c r="BR128" s="358"/>
      <c r="BS128" s="358"/>
      <c r="BT128" s="358"/>
      <c r="BU128" s="358"/>
      <c r="BV128" s="358"/>
      <c r="BW128" s="358"/>
      <c r="BX128" s="358"/>
      <c r="BY128" s="358"/>
      <c r="BZ128" s="358"/>
      <c r="CA128" s="358"/>
      <c r="CB128" s="358"/>
      <c r="CC128" s="358"/>
      <c r="CD128" s="358"/>
      <c r="CE128" s="358"/>
      <c r="CF128" s="358"/>
      <c r="CG128" s="358"/>
      <c r="CH128" s="358"/>
      <c r="CI128" s="358"/>
      <c r="CJ128" s="371"/>
      <c r="CK128" s="358"/>
      <c r="CL128" s="358"/>
      <c r="CM128" s="358"/>
      <c r="CN128" s="358"/>
      <c r="CO128" s="358"/>
      <c r="CP128" s="358"/>
      <c r="CQ128" s="358"/>
      <c r="CR128" s="358"/>
      <c r="CS128" s="358"/>
      <c r="CT128" s="358"/>
      <c r="CU128" s="358"/>
      <c r="CV128" s="358"/>
      <c r="CW128" s="358"/>
      <c r="CX128" s="358"/>
      <c r="CY128" s="358"/>
      <c r="CZ128" s="358"/>
      <c r="DA128" s="358"/>
      <c r="DB128" s="358"/>
      <c r="DC128" s="358"/>
      <c r="DD128" s="358"/>
      <c r="DE128" s="358"/>
      <c r="DF128" s="358"/>
      <c r="DG128" s="358"/>
      <c r="DH128" s="358"/>
      <c r="DI128" s="358"/>
      <c r="DJ128" s="358"/>
      <c r="DK128" s="358"/>
      <c r="DL128" s="358"/>
      <c r="DM128" s="358"/>
      <c r="DN128" s="358"/>
      <c r="DO128" s="358"/>
      <c r="DP128" s="358"/>
      <c r="DQ128" s="358"/>
      <c r="DR128" s="358"/>
      <c r="DS128" s="358"/>
      <c r="DT128" s="358"/>
      <c r="DU128" s="358"/>
      <c r="DV128" s="358"/>
      <c r="DW128" s="358"/>
      <c r="DX128" s="358"/>
      <c r="DY128" s="358"/>
      <c r="DZ128" s="358"/>
      <c r="EA128" s="358"/>
      <c r="EB128" s="358"/>
      <c r="EC128" s="358"/>
      <c r="ED128" s="358"/>
      <c r="EE128" s="358"/>
      <c r="EF128" s="358"/>
      <c r="EG128" s="358"/>
      <c r="EH128" s="358"/>
      <c r="EI128" s="358"/>
      <c r="EJ128" s="358"/>
      <c r="EK128" s="358"/>
      <c r="EL128" s="358"/>
      <c r="EM128" s="358"/>
      <c r="EN128" s="358"/>
      <c r="EO128" s="358"/>
      <c r="EP128" s="358"/>
      <c r="EQ128" s="358"/>
      <c r="ER128" s="358"/>
      <c r="ES128" s="358"/>
      <c r="ET128" s="358"/>
      <c r="EU128" s="358"/>
      <c r="EV128" s="358"/>
      <c r="EW128" s="358"/>
      <c r="EX128" s="358"/>
      <c r="EY128" s="358"/>
      <c r="EZ128" s="371"/>
    </row>
    <row r="129" spans="1:156" ht="11.15" customHeight="1" x14ac:dyDescent="0.35">
      <c r="A129" s="1004">
        <v>7.62</v>
      </c>
      <c r="B129" s="1005">
        <v>6</v>
      </c>
      <c r="C129" s="1006">
        <f ca="1">IF(OR($N$8="",$N$8=0),"",IF(INDIRECT(ADDRESS(($AK129),COLUMN()+34,,,"Digitar Dados dos Ensaios"))&lt;&gt;"",INDIRECT(ADDRESS(($AK129),COLUMN()+34,,,"Digitar Dados dos Ensaios")),""))</f>
        <v>1391</v>
      </c>
      <c r="D129" s="990">
        <f t="shared" ca="1" si="65"/>
        <v>71.886304909560721</v>
      </c>
      <c r="E129" s="998" t="str">
        <f ca="1">IF(BZ118="","",IF(BZ118&gt;0,BZ118,""))</f>
        <v/>
      </c>
      <c r="F129" s="999"/>
      <c r="G129" s="999"/>
      <c r="H129" s="999"/>
      <c r="I129" s="999"/>
      <c r="J129" s="999"/>
      <c r="K129" s="999"/>
      <c r="L129" s="1000"/>
      <c r="AK129" s="357">
        <f t="shared" si="66"/>
        <v>8</v>
      </c>
      <c r="AL129" s="358"/>
      <c r="AM129" s="358"/>
      <c r="AN129" s="358"/>
      <c r="AO129" s="358"/>
      <c r="AP129" s="358"/>
      <c r="AQ129" s="358"/>
      <c r="AR129" s="358"/>
      <c r="AS129" s="358"/>
      <c r="AT129" s="358"/>
      <c r="AU129" s="358"/>
      <c r="AV129" s="358"/>
      <c r="AW129" s="358"/>
      <c r="AX129" s="358"/>
      <c r="AY129" s="358"/>
      <c r="AZ129" s="358"/>
      <c r="BA129" s="358"/>
      <c r="BB129" s="358"/>
      <c r="BC129" s="358"/>
      <c r="BD129" s="425"/>
      <c r="BE129" s="426"/>
      <c r="BF129" s="426"/>
      <c r="BG129" s="426"/>
      <c r="BH129" s="426"/>
      <c r="BI129" s="426"/>
      <c r="BJ129" s="426"/>
      <c r="BK129" s="426"/>
      <c r="BL129" s="426"/>
      <c r="BM129" s="426"/>
      <c r="BN129" s="426"/>
      <c r="BO129" s="426"/>
      <c r="BP129" s="426"/>
      <c r="BQ129" s="426"/>
      <c r="BR129" s="426"/>
      <c r="BS129" s="426"/>
      <c r="BT129" s="426"/>
      <c r="BU129" s="426"/>
      <c r="BV129" s="426"/>
      <c r="BW129" s="426"/>
      <c r="BX129" s="426"/>
      <c r="BY129" s="426"/>
      <c r="BZ129" s="426"/>
      <c r="CA129" s="426"/>
      <c r="CB129" s="426"/>
      <c r="CC129" s="426"/>
      <c r="CD129" s="426"/>
      <c r="CE129" s="426"/>
      <c r="CF129" s="426"/>
      <c r="CG129" s="426"/>
      <c r="CH129" s="426"/>
      <c r="CI129" s="426"/>
      <c r="CJ129" s="427"/>
      <c r="CK129" s="358"/>
      <c r="CL129" s="358"/>
      <c r="CM129" s="358"/>
      <c r="CN129" s="358"/>
      <c r="CO129" s="358"/>
      <c r="CP129" s="358"/>
      <c r="CQ129" s="358"/>
      <c r="CR129" s="358"/>
      <c r="CS129" s="358"/>
      <c r="CT129" s="358"/>
      <c r="CU129" s="358"/>
      <c r="CV129" s="358"/>
      <c r="CW129" s="358"/>
      <c r="CX129" s="358"/>
      <c r="CY129" s="358"/>
      <c r="CZ129" s="358"/>
      <c r="DA129" s="358"/>
      <c r="DB129" s="358"/>
      <c r="DC129" s="358"/>
      <c r="DD129" s="358"/>
      <c r="DE129" s="358"/>
      <c r="DF129" s="358"/>
      <c r="DG129" s="358"/>
      <c r="DH129" s="358"/>
      <c r="DI129" s="358"/>
      <c r="DJ129" s="358"/>
      <c r="DK129" s="358"/>
      <c r="DL129" s="358"/>
      <c r="DM129" s="358"/>
      <c r="DN129" s="358"/>
      <c r="DO129" s="358"/>
      <c r="DP129" s="358"/>
      <c r="DQ129" s="358"/>
      <c r="DR129" s="358"/>
      <c r="DS129" s="358"/>
      <c r="DT129" s="358"/>
      <c r="DU129" s="358"/>
      <c r="DV129" s="358"/>
      <c r="DW129" s="358"/>
      <c r="DX129" s="358"/>
      <c r="DY129" s="358"/>
      <c r="DZ129" s="358"/>
      <c r="EA129" s="358"/>
      <c r="EB129" s="358"/>
      <c r="EC129" s="358"/>
      <c r="ED129" s="358"/>
      <c r="EE129" s="358"/>
      <c r="EF129" s="358"/>
      <c r="EG129" s="358"/>
      <c r="EH129" s="358"/>
      <c r="EI129" s="358"/>
      <c r="EJ129" s="358"/>
      <c r="EK129" s="358"/>
      <c r="EL129" s="358"/>
      <c r="EM129" s="358"/>
      <c r="EN129" s="358"/>
      <c r="EO129" s="358"/>
      <c r="EP129" s="358"/>
      <c r="EQ129" s="358"/>
      <c r="ER129" s="358"/>
      <c r="ES129" s="358"/>
      <c r="ET129" s="358"/>
      <c r="EU129" s="358"/>
      <c r="EV129" s="358"/>
      <c r="EW129" s="358"/>
      <c r="EX129" s="358"/>
      <c r="EY129" s="358"/>
      <c r="EZ129" s="371"/>
    </row>
    <row r="130" spans="1:156" ht="5.15" customHeight="1" x14ac:dyDescent="0.35">
      <c r="A130" s="1215"/>
      <c r="B130" s="981"/>
      <c r="C130" s="981"/>
      <c r="D130" s="981"/>
      <c r="E130" s="981"/>
      <c r="F130" s="981"/>
      <c r="G130" s="981"/>
      <c r="H130" s="981"/>
      <c r="I130" s="981"/>
      <c r="J130" s="981"/>
      <c r="K130" s="981"/>
      <c r="L130" s="982"/>
      <c r="AK130" s="357"/>
      <c r="AL130" s="358"/>
      <c r="AM130" s="358"/>
      <c r="AN130" s="358"/>
      <c r="AO130" s="358"/>
      <c r="AP130" s="358"/>
      <c r="AQ130" s="358"/>
      <c r="AR130" s="358"/>
      <c r="AS130" s="358"/>
      <c r="AT130" s="358"/>
      <c r="AU130" s="358"/>
      <c r="AV130" s="358"/>
      <c r="AW130" s="358"/>
      <c r="AX130" s="358"/>
      <c r="AY130" s="358"/>
      <c r="AZ130" s="358"/>
      <c r="BA130" s="358"/>
      <c r="BB130" s="358"/>
      <c r="BC130" s="358"/>
      <c r="BD130" s="421"/>
      <c r="BE130" s="358"/>
      <c r="BF130" s="358"/>
      <c r="BG130" s="358"/>
      <c r="BH130" s="358"/>
      <c r="BI130" s="358"/>
      <c r="BJ130" s="358"/>
      <c r="BK130" s="358"/>
      <c r="BL130" s="358"/>
      <c r="BM130" s="358"/>
      <c r="BN130" s="358"/>
      <c r="BO130" s="358"/>
      <c r="BP130" s="358"/>
      <c r="BQ130" s="358"/>
      <c r="BR130" s="358"/>
      <c r="BS130" s="358"/>
      <c r="BT130" s="358"/>
      <c r="BU130" s="358"/>
      <c r="BV130" s="358"/>
      <c r="BW130" s="358"/>
      <c r="BX130" s="358"/>
      <c r="BY130" s="358"/>
      <c r="BZ130" s="358"/>
      <c r="CA130" s="358"/>
      <c r="CB130" s="358"/>
      <c r="CC130" s="358"/>
      <c r="CD130" s="358"/>
      <c r="CE130" s="358"/>
      <c r="CF130" s="358"/>
      <c r="CG130" s="358"/>
      <c r="CH130" s="358"/>
      <c r="CI130" s="358"/>
      <c r="CJ130" s="371"/>
      <c r="CK130" s="358"/>
      <c r="CL130" s="358"/>
      <c r="CM130" s="358"/>
      <c r="CN130" s="358"/>
      <c r="CO130" s="358"/>
      <c r="CP130" s="358"/>
      <c r="CQ130" s="358"/>
      <c r="CR130" s="358"/>
      <c r="CS130" s="358"/>
      <c r="CT130" s="358"/>
      <c r="CU130" s="358"/>
      <c r="CV130" s="358"/>
      <c r="CW130" s="358"/>
      <c r="CX130" s="358"/>
      <c r="CY130" s="358"/>
      <c r="CZ130" s="358"/>
      <c r="DA130" s="358"/>
      <c r="DB130" s="358"/>
      <c r="DC130" s="358"/>
      <c r="DD130" s="358"/>
      <c r="DE130" s="358"/>
      <c r="DF130" s="358"/>
      <c r="DG130" s="358"/>
      <c r="DH130" s="358"/>
      <c r="DI130" s="358"/>
      <c r="DJ130" s="358"/>
      <c r="DK130" s="358"/>
      <c r="DL130" s="358"/>
      <c r="DM130" s="358"/>
      <c r="DN130" s="358"/>
      <c r="DO130" s="358"/>
      <c r="DP130" s="358"/>
      <c r="DQ130" s="358"/>
      <c r="DR130" s="358"/>
      <c r="DS130" s="358"/>
      <c r="DT130" s="358"/>
      <c r="DU130" s="358"/>
      <c r="DV130" s="358"/>
      <c r="DW130" s="358"/>
      <c r="DX130" s="358"/>
      <c r="DY130" s="358"/>
      <c r="DZ130" s="358"/>
      <c r="EA130" s="358"/>
      <c r="EB130" s="358"/>
      <c r="EC130" s="358"/>
      <c r="ED130" s="358"/>
      <c r="EE130" s="358"/>
      <c r="EF130" s="358"/>
      <c r="EG130" s="358"/>
      <c r="EH130" s="358"/>
      <c r="EI130" s="358"/>
      <c r="EJ130" s="358"/>
      <c r="EK130" s="358"/>
      <c r="EL130" s="358"/>
      <c r="EM130" s="358"/>
      <c r="EN130" s="358"/>
      <c r="EO130" s="358"/>
      <c r="EP130" s="358"/>
      <c r="EQ130" s="358"/>
      <c r="ER130" s="358"/>
      <c r="ES130" s="358"/>
      <c r="ET130" s="358"/>
      <c r="EU130" s="358"/>
      <c r="EV130" s="358"/>
      <c r="EW130" s="358"/>
      <c r="EX130" s="358"/>
      <c r="EY130" s="358"/>
      <c r="EZ130" s="371"/>
    </row>
    <row r="131" spans="1:156" ht="11.15" customHeight="1" x14ac:dyDescent="0.25">
      <c r="A131" s="1547" t="s">
        <v>199</v>
      </c>
      <c r="B131" s="1548"/>
      <c r="C131" s="1549">
        <f ca="1">IF(OR($N$8="",$N$8=0),"",IF(INDIRECT(ADDRESS(($AK131),COLUMN()+18,,,"Digitar Dados dos Ensaios"))&lt;&gt;"",INDIRECT(ADDRESS(($AK131),COLUMN()+18,,,"Digitar Dados dos Ensaios")),""))</f>
        <v>48</v>
      </c>
      <c r="D131" s="1549" t="str">
        <f ca="1">IF(OR($N$8="",$N$8=0),"",IF(INDIRECT(ADDRESS(($AK131),COLUMN()+14,,,"Digitar Dados dos Ensaios"))&lt;&gt;"",INDIRECT(ADDRESS(($AK131),COLUMN()+14,,,"Digitar Dados dos Ensaios")),""))</f>
        <v>Moldagem do ISC Ótimo</v>
      </c>
      <c r="E131" s="1550" t="s">
        <v>200</v>
      </c>
      <c r="F131" s="978"/>
      <c r="G131" s="978"/>
      <c r="H131" s="978"/>
      <c r="I131" s="978"/>
      <c r="J131" s="978"/>
      <c r="K131" s="978"/>
      <c r="L131" s="979"/>
      <c r="AK131" s="357">
        <f>AK112+1</f>
        <v>9</v>
      </c>
      <c r="AL131" s="358"/>
      <c r="AM131" s="358"/>
      <c r="AN131" s="358"/>
      <c r="AO131" s="358"/>
      <c r="AP131" s="358"/>
      <c r="AQ131" s="358"/>
      <c r="AR131" s="358"/>
      <c r="AS131" s="358"/>
      <c r="AT131" s="358"/>
      <c r="AU131" s="358"/>
      <c r="AV131" s="358"/>
      <c r="AW131" s="358"/>
      <c r="AX131" s="358"/>
      <c r="AY131" s="358"/>
      <c r="AZ131" s="358"/>
      <c r="BA131" s="358"/>
      <c r="BB131" s="358"/>
      <c r="BC131" s="358"/>
      <c r="BD131" s="394">
        <v>0.63</v>
      </c>
      <c r="BE131" s="395">
        <v>0.63</v>
      </c>
      <c r="BF131" s="395">
        <v>0.63</v>
      </c>
      <c r="BG131" s="396">
        <f ca="1">IF(D148&lt;&gt;"",D148,"")</f>
        <v>60.620155038759684</v>
      </c>
      <c r="BH131" s="396">
        <v>0</v>
      </c>
      <c r="BI131" s="396">
        <f ca="1">IF(D141&lt;&gt;"",D141,"")</f>
        <v>7.7519379844961236</v>
      </c>
      <c r="BJ131" s="395">
        <v>0.63</v>
      </c>
      <c r="BK131" s="395">
        <v>1.27</v>
      </c>
      <c r="BL131" s="395">
        <v>1.9</v>
      </c>
      <c r="BM131" s="395">
        <v>2.54</v>
      </c>
      <c r="BN131" s="395">
        <v>3.81</v>
      </c>
      <c r="BO131" s="395">
        <v>5.08</v>
      </c>
      <c r="BP131" s="395">
        <v>6.35</v>
      </c>
      <c r="BQ131" s="395">
        <v>7.62</v>
      </c>
      <c r="BR131" s="397">
        <f ca="1">IF(BJ132&lt;&gt;"",AVERAGE(BJ131:BQ131),"")</f>
        <v>3.65</v>
      </c>
      <c r="BS131" s="398">
        <f ca="1">IF(ISNUMBER(BJ136),BJ136^2,"")</f>
        <v>340.42833049000006</v>
      </c>
      <c r="BT131" s="398">
        <f t="shared" ref="BT131:BZ131" ca="1" si="67">IF(ISNUMBER(BK136),BK136^2,"")</f>
        <v>297.03488408999999</v>
      </c>
      <c r="BU131" s="398">
        <f t="shared" ca="1" si="67"/>
        <v>232.18445376000003</v>
      </c>
      <c r="BV131" s="398">
        <f t="shared" ca="1" si="67"/>
        <v>153.66081600000001</v>
      </c>
      <c r="BW131" s="398">
        <f t="shared" ca="1" si="67"/>
        <v>18.761892250000002</v>
      </c>
      <c r="BX131" s="398">
        <f t="shared" ca="1" si="67"/>
        <v>48.424897440000002</v>
      </c>
      <c r="BY131" s="398">
        <f t="shared" ca="1" si="67"/>
        <v>461.17133000999991</v>
      </c>
      <c r="BZ131" s="398">
        <f t="shared" ca="1" si="67"/>
        <v>1537.95740224</v>
      </c>
      <c r="CA131" s="398">
        <f ca="1">IF(BS131&lt;&gt;"",SUM(BS131:BZ131),"")</f>
        <v>3089.6240062799998</v>
      </c>
      <c r="CB131" s="399">
        <v>0</v>
      </c>
      <c r="CC131" s="399">
        <f ca="1">IF(CB132="","",IF(CB132&gt;0,CF134,-1))</f>
        <v>-1</v>
      </c>
      <c r="CD131" s="399">
        <f ca="1">IF(CB132="","",IF(CB132&gt;0,CH134,-1))</f>
        <v>-1</v>
      </c>
      <c r="CE131" s="399">
        <f ca="1">IF(CB132="","",IF(CB132&gt;0,(BV135*CE132)+BV136,-1))</f>
        <v>-1</v>
      </c>
      <c r="CF131" s="399">
        <f ca="1">IF(CB132="","",IF(CB132&gt;0,(BV135*CF132)+BV136,-1))</f>
        <v>-1</v>
      </c>
      <c r="CG131" s="399">
        <f ca="1">IF(CB132="","",IF(CB132&gt;0,CF134,-1))</f>
        <v>-1</v>
      </c>
      <c r="CH131" s="399">
        <f ca="1">IF(CB132="","",IF(CB132&gt;0,CF134,-1))</f>
        <v>-1</v>
      </c>
      <c r="CI131" s="399">
        <f ca="1">IF(CB132="","",IF(CB132&gt;0,CF134,-1))</f>
        <v>-1</v>
      </c>
      <c r="CJ131" s="400">
        <f ca="1">IF(CB132="","",IF(CB132&gt;0,CE131,-1))</f>
        <v>-1</v>
      </c>
      <c r="CK131" s="358"/>
      <c r="CL131" s="358"/>
      <c r="CM131" s="358"/>
      <c r="CN131" s="358"/>
      <c r="CO131" s="358"/>
      <c r="CP131" s="358"/>
      <c r="CQ131" s="358"/>
      <c r="CR131" s="358"/>
      <c r="CS131" s="358"/>
      <c r="CT131" s="358"/>
      <c r="CU131" s="358"/>
      <c r="CV131" s="358"/>
      <c r="CW131" s="358"/>
      <c r="CX131" s="358"/>
      <c r="CY131" s="358"/>
      <c r="CZ131" s="358"/>
      <c r="DA131" s="358"/>
      <c r="DB131" s="358"/>
      <c r="DC131" s="358"/>
      <c r="DD131" s="358"/>
      <c r="DE131" s="358"/>
      <c r="DF131" s="358"/>
      <c r="DG131" s="358"/>
      <c r="DH131" s="358"/>
      <c r="DI131" s="358"/>
      <c r="DJ131" s="358"/>
      <c r="DK131" s="358"/>
      <c r="DL131" s="358"/>
      <c r="DM131" s="358"/>
      <c r="DN131" s="358"/>
      <c r="DO131" s="358"/>
      <c r="DP131" s="358"/>
      <c r="DQ131" s="358"/>
      <c r="DR131" s="358"/>
      <c r="DS131" s="358"/>
      <c r="DT131" s="358"/>
      <c r="DU131" s="358"/>
      <c r="DV131" s="358"/>
      <c r="DW131" s="358"/>
      <c r="DX131" s="358"/>
      <c r="DY131" s="358"/>
      <c r="DZ131" s="358"/>
      <c r="EA131" s="358"/>
      <c r="EB131" s="358"/>
      <c r="EC131" s="358"/>
      <c r="ED131" s="358"/>
      <c r="EE131" s="358"/>
      <c r="EF131" s="358"/>
      <c r="EG131" s="358"/>
      <c r="EH131" s="358"/>
      <c r="EI131" s="358"/>
      <c r="EJ131" s="358"/>
      <c r="EK131" s="358"/>
      <c r="EL131" s="358"/>
      <c r="EM131" s="358"/>
      <c r="EN131" s="358"/>
      <c r="EO131" s="358"/>
      <c r="EP131" s="358"/>
      <c r="EQ131" s="358"/>
      <c r="ER131" s="358"/>
      <c r="ES131" s="358"/>
      <c r="ET131" s="358"/>
      <c r="EU131" s="358"/>
      <c r="EV131" s="358"/>
      <c r="EW131" s="358"/>
      <c r="EX131" s="358"/>
      <c r="EY131" s="358"/>
      <c r="EZ131" s="371"/>
    </row>
    <row r="132" spans="1:156" ht="11.15" customHeight="1" x14ac:dyDescent="0.25">
      <c r="A132" s="980">
        <f ca="1">IF(OR($N$8="",$N$8=0),"",IF(INDIRECT(ADDRESS(($AK132),COLUMN()+22,,,"Digitar Dados dos Ensaios"))&lt;&gt;"",INDIRECT(ADDRESS(($AK132),COLUMN()+22,,,"Digitar Dados dos Ensaios")),""))</f>
        <v>19.350000000000001</v>
      </c>
      <c r="B132" s="977" t="s">
        <v>57</v>
      </c>
      <c r="C132" s="977" t="s">
        <v>201</v>
      </c>
      <c r="D132" s="977" t="s">
        <v>17</v>
      </c>
      <c r="E132" s="1551"/>
      <c r="F132" s="981"/>
      <c r="G132" s="981"/>
      <c r="H132" s="981"/>
      <c r="I132" s="981"/>
      <c r="J132" s="981"/>
      <c r="K132" s="981"/>
      <c r="L132" s="982"/>
      <c r="AK132" s="357">
        <f>AK113</f>
        <v>9</v>
      </c>
      <c r="AL132" s="368">
        <f>AL114+1</f>
        <v>9</v>
      </c>
      <c r="AM132" s="358"/>
      <c r="AN132" s="358"/>
      <c r="AO132" s="358"/>
      <c r="AP132" s="358"/>
      <c r="AQ132" s="358"/>
      <c r="AR132" s="358"/>
      <c r="AS132" s="358"/>
      <c r="AT132" s="358"/>
      <c r="AU132" s="358"/>
      <c r="AV132" s="358"/>
      <c r="AW132" s="358"/>
      <c r="AX132" s="358"/>
      <c r="AY132" s="358"/>
      <c r="AZ132" s="358"/>
      <c r="BA132" s="358"/>
      <c r="BB132" s="358"/>
      <c r="BC132" s="358"/>
      <c r="BD132" s="403">
        <v>1.27</v>
      </c>
      <c r="BE132" s="404">
        <v>1.27</v>
      </c>
      <c r="BF132" s="404">
        <v>1.27</v>
      </c>
      <c r="BG132" s="401">
        <f t="shared" ref="BG132:BG138" ca="1" si="68">IF(BG131&lt;&gt;"",BG131,"")</f>
        <v>60.620155038759684</v>
      </c>
      <c r="BH132" s="401">
        <v>0</v>
      </c>
      <c r="BI132" s="401">
        <f t="shared" ref="BI132:BI138" ca="1" si="69">IF(D142&lt;&gt;"",D142,"")</f>
        <v>15.555555555555554</v>
      </c>
      <c r="BJ132" s="405">
        <f ca="1">IF(ISNUMBER($BI131),$BI131,"")</f>
        <v>7.7519379844961236</v>
      </c>
      <c r="BK132" s="405">
        <f ca="1">IF(ISNUMBER($BI132),$BI132,"")</f>
        <v>15.555555555555554</v>
      </c>
      <c r="BL132" s="405">
        <f ca="1">IF(ISNUMBER($BI133),$BI133,"")</f>
        <v>25.633074935400515</v>
      </c>
      <c r="BM132" s="405">
        <f ca="1">IF(ISNUMBER($BI134),$BI134,"")</f>
        <v>31.111111111111107</v>
      </c>
      <c r="BN132" s="405">
        <f ca="1">IF(ISNUMBER($BI135),$BI135,"")</f>
        <v>41.963824289405679</v>
      </c>
      <c r="BO132" s="405">
        <f ca="1">IF(ISNUMBER($BI136),$BI136,"")</f>
        <v>46.614987080103354</v>
      </c>
      <c r="BP132" s="405">
        <f ca="1">IF(ISNUMBER($BI137),$BI137,"")</f>
        <v>52.86821705426356</v>
      </c>
      <c r="BQ132" s="405">
        <f ca="1">IF(ISNUMBER($BI138),$BI138,"")</f>
        <v>60.620155038759684</v>
      </c>
      <c r="BR132" s="405">
        <f ca="1">IF(BJ132&lt;&gt;"",AVERAGE(BJ132:BQ132),"")</f>
        <v>35.264857881136948</v>
      </c>
      <c r="BS132" s="406">
        <f ca="1">IF(ISERROR(BJ134*BJ135),"",BJ134*BJ135)</f>
        <v>83.089018087855294</v>
      </c>
      <c r="BT132" s="406">
        <f t="shared" ref="BT132:BZ133" ca="1" si="70">IF(ISERROR(BK134*BK135),"",BK134*BK135)</f>
        <v>46.908139534883716</v>
      </c>
      <c r="BU132" s="406">
        <f t="shared" ca="1" si="70"/>
        <v>16.855620155038757</v>
      </c>
      <c r="BV132" s="406">
        <f t="shared" ca="1" si="70"/>
        <v>4.6106589147286821</v>
      </c>
      <c r="BW132" s="406">
        <f t="shared" ca="1" si="70"/>
        <v>1.071834625322998</v>
      </c>
      <c r="BX132" s="406">
        <f t="shared" ca="1" si="70"/>
        <v>16.230684754521963</v>
      </c>
      <c r="BY132" s="406">
        <f t="shared" ca="1" si="70"/>
        <v>47.529069767441847</v>
      </c>
      <c r="BZ132" s="406">
        <f t="shared" ca="1" si="70"/>
        <v>100.66052971576227</v>
      </c>
      <c r="CA132" s="406">
        <f ca="1">IF(BS132&lt;&gt;"",SUM(BS132:BZ132),"")</f>
        <v>316.95555555555552</v>
      </c>
      <c r="CB132" s="428">
        <f ca="1">IF(BV136&lt;&gt;"",(CB131-BV136)/BV135,"")</f>
        <v>-1.3984002906804744</v>
      </c>
      <c r="CC132" s="408">
        <f ca="1">IF(CB132="","",IF(CB132&gt;0,(CF133+CB132),-1))</f>
        <v>-1</v>
      </c>
      <c r="CD132" s="408">
        <f ca="1">IF(CB132="","",IF(CB132&gt;0,CH133+CB132,-1))</f>
        <v>-1</v>
      </c>
      <c r="CE132" s="408">
        <f ca="1">IF(CB132="","",IF(CB132&gt;0,CC132,-1))</f>
        <v>-1</v>
      </c>
      <c r="CF132" s="408">
        <f ca="1">IF(CB132="","",IF(CB132&gt;0,CD132,-1))</f>
        <v>-1</v>
      </c>
      <c r="CG132" s="408">
        <f ca="1">IF(CB132="","",IF(CB132&gt;0,CF133,-1))</f>
        <v>-1</v>
      </c>
      <c r="CH132" s="408">
        <f ca="1">IF(CB132="","",IF(CB132&gt;0,CC132,-1))</f>
        <v>-1</v>
      </c>
      <c r="CI132" s="408">
        <f ca="1">IF(CB132="","",IF(CB132&gt;0,CE132,-1))</f>
        <v>-1</v>
      </c>
      <c r="CJ132" s="409">
        <f ca="1">IF(CB132="","",IF(CB132&gt;0,CE132,-1))</f>
        <v>-1</v>
      </c>
      <c r="CK132" s="358"/>
      <c r="CL132" s="358"/>
      <c r="CM132" s="358"/>
      <c r="CN132" s="358"/>
      <c r="CO132" s="358"/>
      <c r="CP132" s="358"/>
      <c r="CQ132" s="358"/>
      <c r="CR132" s="358"/>
      <c r="CS132" s="358"/>
      <c r="CT132" s="358"/>
      <c r="CU132" s="358"/>
      <c r="CV132" s="358"/>
      <c r="CW132" s="358"/>
      <c r="CX132" s="358"/>
      <c r="CY132" s="358"/>
      <c r="CZ132" s="358"/>
      <c r="DA132" s="358"/>
      <c r="DB132" s="358"/>
      <c r="DC132" s="358"/>
      <c r="DD132" s="358"/>
      <c r="DE132" s="358"/>
      <c r="DF132" s="358"/>
      <c r="DG132" s="358"/>
      <c r="DH132" s="358"/>
      <c r="DI132" s="358"/>
      <c r="DJ132" s="358"/>
      <c r="DK132" s="358"/>
      <c r="DL132" s="358"/>
      <c r="DM132" s="358"/>
      <c r="DN132" s="358"/>
      <c r="DO132" s="358"/>
      <c r="DP132" s="358"/>
      <c r="DQ132" s="358"/>
      <c r="DR132" s="358"/>
      <c r="DS132" s="358"/>
      <c r="DT132" s="358"/>
      <c r="DU132" s="358"/>
      <c r="DV132" s="358"/>
      <c r="DW132" s="358"/>
      <c r="DX132" s="358"/>
      <c r="DY132" s="358"/>
      <c r="DZ132" s="358"/>
      <c r="EA132" s="358"/>
      <c r="EB132" s="358"/>
      <c r="EC132" s="358"/>
      <c r="ED132" s="358"/>
      <c r="EE132" s="358"/>
      <c r="EF132" s="358"/>
      <c r="EG132" s="358"/>
      <c r="EH132" s="358"/>
      <c r="EI132" s="358"/>
      <c r="EJ132" s="358"/>
      <c r="EK132" s="358"/>
      <c r="EL132" s="358"/>
      <c r="EM132" s="358"/>
      <c r="EN132" s="358"/>
      <c r="EO132" s="358"/>
      <c r="EP132" s="358"/>
      <c r="EQ132" s="358"/>
      <c r="ER132" s="358"/>
      <c r="ES132" s="358"/>
      <c r="ET132" s="358"/>
      <c r="EU132" s="358"/>
      <c r="EV132" s="358"/>
      <c r="EW132" s="358"/>
      <c r="EX132" s="358"/>
      <c r="EY132" s="358"/>
      <c r="EZ132" s="371"/>
    </row>
    <row r="133" spans="1:156" ht="11.15" customHeight="1" x14ac:dyDescent="0.25">
      <c r="A133" s="1552" t="s">
        <v>202</v>
      </c>
      <c r="B133" s="983" t="str">
        <f>IF($K$78&lt;&gt;"",$K$78,"")</f>
        <v/>
      </c>
      <c r="C133" s="984" t="str">
        <f ca="1">IF(OR($N$8="",$N$8=0),"",IF(INDIRECT(ADDRESS(($AK133),COLUMN()+19,,,"Digitar Dados dos Ensaios"))&lt;&gt;"",INDIRECT(ADDRESS(($AK133),COLUMN()+19,,,"Digitar Dados dos Ensaios")),""))</f>
        <v/>
      </c>
      <c r="D133" s="985">
        <f ca="1">IF(OR($N$8="",$N$8=0),"",IF(INDIRECT(ADDRESS(($AL133),COLUMN()+22,,,"Digitar Dados dos Ensaios"))&lt;&gt;"",INDIRECT(ADDRESS(($AL133),COLUMN()+22,,,"Digitar Dados dos Ensaios")),""))</f>
        <v>1</v>
      </c>
      <c r="E133" s="1551"/>
      <c r="F133" s="981"/>
      <c r="G133" s="981"/>
      <c r="H133" s="981"/>
      <c r="I133" s="981"/>
      <c r="J133" s="981"/>
      <c r="K133" s="981"/>
      <c r="L133" s="982"/>
      <c r="AK133" s="357">
        <f>AK116</f>
        <v>7</v>
      </c>
      <c r="AL133" s="368">
        <f>AL132</f>
        <v>9</v>
      </c>
      <c r="AM133" s="358"/>
      <c r="AN133" s="358"/>
      <c r="AO133" s="358"/>
      <c r="AP133" s="358"/>
      <c r="AQ133" s="358"/>
      <c r="AR133" s="358"/>
      <c r="AS133" s="358"/>
      <c r="AT133" s="358"/>
      <c r="AU133" s="358"/>
      <c r="AV133" s="358"/>
      <c r="AW133" s="358"/>
      <c r="AX133" s="358"/>
      <c r="AY133" s="358"/>
      <c r="AZ133" s="358"/>
      <c r="BA133" s="358"/>
      <c r="BB133" s="358"/>
      <c r="BC133" s="358"/>
      <c r="BD133" s="403">
        <v>1.9</v>
      </c>
      <c r="BE133" s="404">
        <v>1.9</v>
      </c>
      <c r="BF133" s="404">
        <v>1.9</v>
      </c>
      <c r="BG133" s="401">
        <f t="shared" ca="1" si="68"/>
        <v>60.620155038759684</v>
      </c>
      <c r="BH133" s="401">
        <v>0</v>
      </c>
      <c r="BI133" s="401">
        <f t="shared" ca="1" si="69"/>
        <v>25.633074935400515</v>
      </c>
      <c r="BJ133" s="405">
        <f ca="1">IF(BJ132&lt;&gt;"",BJ131^2,"")</f>
        <v>0.39690000000000003</v>
      </c>
      <c r="BK133" s="405">
        <f t="shared" ref="BK133:BQ133" ca="1" si="71">IF(BK132&lt;&gt;"",BK131^2,"")</f>
        <v>1.6129</v>
      </c>
      <c r="BL133" s="405">
        <f t="shared" ca="1" si="71"/>
        <v>3.61</v>
      </c>
      <c r="BM133" s="405">
        <f t="shared" ca="1" si="71"/>
        <v>6.4516</v>
      </c>
      <c r="BN133" s="405">
        <f t="shared" ca="1" si="71"/>
        <v>14.5161</v>
      </c>
      <c r="BO133" s="405">
        <f t="shared" ca="1" si="71"/>
        <v>25.8064</v>
      </c>
      <c r="BP133" s="405">
        <f t="shared" ca="1" si="71"/>
        <v>40.322499999999998</v>
      </c>
      <c r="BQ133" s="405">
        <f t="shared" ca="1" si="71"/>
        <v>58.064399999999999</v>
      </c>
      <c r="BR133" s="405">
        <f ca="1">IF(BJ133&lt;&gt;"",AVERAGE(BJ133:BQ133),"")</f>
        <v>18.8476</v>
      </c>
      <c r="BS133" s="406">
        <f ca="1">IF(ISERROR(BJ135*BJ136),"",BJ135*BJ136)</f>
        <v>507.63263113695086</v>
      </c>
      <c r="BT133" s="406">
        <f t="shared" ca="1" si="70"/>
        <v>339.68391279069766</v>
      </c>
      <c r="BU133" s="406">
        <f t="shared" ca="1" si="70"/>
        <v>146.76525581395347</v>
      </c>
      <c r="BV133" s="406">
        <f t="shared" ca="1" si="70"/>
        <v>51.489844961240323</v>
      </c>
      <c r="BW133" s="406">
        <f t="shared" ca="1" si="70"/>
        <v>-29.016572997416009</v>
      </c>
      <c r="BX133" s="406">
        <f t="shared" ca="1" si="70"/>
        <v>78.983279069767434</v>
      </c>
      <c r="BY133" s="406">
        <f t="shared" ca="1" si="70"/>
        <v>378.03037790697664</v>
      </c>
      <c r="BZ133" s="406">
        <f t="shared" ca="1" si="70"/>
        <v>994.35361757105932</v>
      </c>
      <c r="CA133" s="406">
        <f ca="1">IF(BS133&lt;&gt;"",SUM(BS133:BZ133),"")</f>
        <v>2467.9223462532295</v>
      </c>
      <c r="CB133" s="408">
        <v>0</v>
      </c>
      <c r="CC133" s="408">
        <v>0.63</v>
      </c>
      <c r="CD133" s="408">
        <v>1.27</v>
      </c>
      <c r="CE133" s="408">
        <v>1.9</v>
      </c>
      <c r="CF133" s="408">
        <v>2.54</v>
      </c>
      <c r="CG133" s="408">
        <v>3.81</v>
      </c>
      <c r="CH133" s="408">
        <v>5.08</v>
      </c>
      <c r="CI133" s="408">
        <v>6.35</v>
      </c>
      <c r="CJ133" s="409">
        <v>7.62</v>
      </c>
      <c r="CK133" s="358"/>
      <c r="CL133" s="358"/>
      <c r="CM133" s="358"/>
      <c r="CN133" s="358"/>
      <c r="CO133" s="358"/>
      <c r="CP133" s="358"/>
      <c r="CQ133" s="358"/>
      <c r="CR133" s="358"/>
      <c r="CS133" s="358"/>
      <c r="CT133" s="358"/>
      <c r="CU133" s="358"/>
      <c r="CV133" s="358"/>
      <c r="CW133" s="358"/>
      <c r="CX133" s="358"/>
      <c r="CY133" s="358"/>
      <c r="CZ133" s="358"/>
      <c r="DA133" s="358"/>
      <c r="DB133" s="358"/>
      <c r="DC133" s="358"/>
      <c r="DD133" s="358"/>
      <c r="DE133" s="358"/>
      <c r="DF133" s="358"/>
      <c r="DG133" s="358"/>
      <c r="DH133" s="358"/>
      <c r="DI133" s="358"/>
      <c r="DJ133" s="358"/>
      <c r="DK133" s="358"/>
      <c r="DL133" s="358"/>
      <c r="DM133" s="358"/>
      <c r="DN133" s="358"/>
      <c r="DO133" s="358"/>
      <c r="DP133" s="358"/>
      <c r="DQ133" s="358"/>
      <c r="DR133" s="358"/>
      <c r="DS133" s="358"/>
      <c r="DT133" s="358"/>
      <c r="DU133" s="358"/>
      <c r="DV133" s="358"/>
      <c r="DW133" s="358"/>
      <c r="DX133" s="358"/>
      <c r="DY133" s="358"/>
      <c r="DZ133" s="358"/>
      <c r="EA133" s="358"/>
      <c r="EB133" s="358"/>
      <c r="EC133" s="358"/>
      <c r="ED133" s="358"/>
      <c r="EE133" s="358"/>
      <c r="EF133" s="358"/>
      <c r="EG133" s="358"/>
      <c r="EH133" s="358"/>
      <c r="EI133" s="358"/>
      <c r="EJ133" s="358"/>
      <c r="EK133" s="358"/>
      <c r="EL133" s="358"/>
      <c r="EM133" s="358"/>
      <c r="EN133" s="358"/>
      <c r="EO133" s="358"/>
      <c r="EP133" s="358"/>
      <c r="EQ133" s="358"/>
      <c r="ER133" s="358"/>
      <c r="ES133" s="358"/>
      <c r="ET133" s="358"/>
      <c r="EU133" s="358"/>
      <c r="EV133" s="358"/>
      <c r="EW133" s="358"/>
      <c r="EX133" s="358"/>
      <c r="EY133" s="358"/>
      <c r="EZ133" s="371"/>
    </row>
    <row r="134" spans="1:156" ht="11.15" customHeight="1" x14ac:dyDescent="0.25">
      <c r="A134" s="1552"/>
      <c r="B134" s="983" t="str">
        <f>IF(ISNUMBER(B133),B133+1,"")</f>
        <v/>
      </c>
      <c r="C134" s="984" t="str">
        <f ca="1">IF(OR($N$8="",$N$8=0),"",IF(INDIRECT(ADDRESS(($AK134),COLUMN()+20,,,"Digitar Dados dos Ensaios"))&lt;&gt;"",INDIRECT(ADDRESS(($AK134),COLUMN()+20,,,"Digitar Dados dos Ensaios")),""))</f>
        <v/>
      </c>
      <c r="D134" s="985">
        <f ca="1">IF(OR($N$8="",$N$8=0),"",IF(INDIRECT(ADDRESS(($AL134),COLUMN()+23,,,"Digitar Dados dos Ensaios"))&lt;&gt;"",INDIRECT(ADDRESS(($AL134),COLUMN()+23,,,"Digitar Dados dos Ensaios")),""))</f>
        <v>1</v>
      </c>
      <c r="E134" s="1551"/>
      <c r="F134" s="981"/>
      <c r="G134" s="981"/>
      <c r="H134" s="981"/>
      <c r="I134" s="981"/>
      <c r="J134" s="981"/>
      <c r="K134" s="981"/>
      <c r="L134" s="982"/>
      <c r="AK134" s="357">
        <f>AK133</f>
        <v>7</v>
      </c>
      <c r="AL134" s="368">
        <f>AL133</f>
        <v>9</v>
      </c>
      <c r="AM134" s="358"/>
      <c r="AN134" s="358"/>
      <c r="AO134" s="358"/>
      <c r="AP134" s="358"/>
      <c r="AQ134" s="358"/>
      <c r="AR134" s="358"/>
      <c r="AS134" s="358"/>
      <c r="AT134" s="358"/>
      <c r="AU134" s="358"/>
      <c r="AV134" s="358"/>
      <c r="AW134" s="358"/>
      <c r="AX134" s="358"/>
      <c r="AY134" s="358"/>
      <c r="AZ134" s="358"/>
      <c r="BA134" s="358"/>
      <c r="BB134" s="358"/>
      <c r="BC134" s="358"/>
      <c r="BD134" s="403">
        <v>2.54</v>
      </c>
      <c r="BE134" s="404">
        <v>2.54</v>
      </c>
      <c r="BF134" s="404">
        <v>2.54</v>
      </c>
      <c r="BG134" s="401">
        <f t="shared" ca="1" si="68"/>
        <v>60.620155038759684</v>
      </c>
      <c r="BH134" s="401">
        <v>0</v>
      </c>
      <c r="BI134" s="401">
        <f t="shared" ca="1" si="69"/>
        <v>31.111111111111107</v>
      </c>
      <c r="BJ134" s="410">
        <f ca="1">IF(ISNUMBER(BJ132),BJ131-BR131,"")</f>
        <v>-3.02</v>
      </c>
      <c r="BK134" s="410">
        <f ca="1">IF(ISNUMBER(BK132),BK131-BR131,"")</f>
        <v>-2.38</v>
      </c>
      <c r="BL134" s="410">
        <f ca="1">IF(ISNUMBER(BL132),BL131-BR131,"")</f>
        <v>-1.75</v>
      </c>
      <c r="BM134" s="410">
        <f ca="1">IF(ISNUMBER(BM132),BM131-BR131,"")</f>
        <v>-1.1099999999999999</v>
      </c>
      <c r="BN134" s="410">
        <f ca="1">IF(ISNUMBER(BN132),BN131-BR131,"")</f>
        <v>0.16000000000000014</v>
      </c>
      <c r="BO134" s="410">
        <f ca="1">IF(ISNUMBER(BO132),BO131-BR131,"")</f>
        <v>1.4300000000000002</v>
      </c>
      <c r="BP134" s="410">
        <f ca="1">IF(ISNUMBER(BP132),BP131-BR131,"")</f>
        <v>2.6999999999999997</v>
      </c>
      <c r="BQ134" s="410">
        <f ca="1">IF(ISNUMBER(BQ132),BQ131-BR131,"")</f>
        <v>3.97</v>
      </c>
      <c r="BR134" s="411">
        <f ca="1">IF(BJ134&lt;&gt;"",SUM(BJ134:BQ134),"")</f>
        <v>0</v>
      </c>
      <c r="BS134" s="406">
        <f ca="1">IF(ISERROR(BJ134*BJ136),"",BJ134*BJ136)</f>
        <v>55.721114000000007</v>
      </c>
      <c r="BT134" s="406">
        <f t="shared" ref="BT134:BZ134" ca="1" si="72">IF(ISERROR(BK134*BK136),"",BK134*BK136)</f>
        <v>41.018585999999999</v>
      </c>
      <c r="BU134" s="406">
        <f t="shared" ca="1" si="72"/>
        <v>26.665800000000001</v>
      </c>
      <c r="BV134" s="406">
        <f t="shared" ca="1" si="72"/>
        <v>13.759559999999999</v>
      </c>
      <c r="BW134" s="406">
        <f t="shared" ca="1" si="72"/>
        <v>-0.69304000000000066</v>
      </c>
      <c r="BX134" s="406">
        <f t="shared" ca="1" si="72"/>
        <v>9.9510840000000016</v>
      </c>
      <c r="BY134" s="406">
        <f t="shared" ca="1" si="72"/>
        <v>57.982229999999987</v>
      </c>
      <c r="BZ134" s="406">
        <f t="shared" ca="1" si="72"/>
        <v>155.690696</v>
      </c>
      <c r="CA134" s="412">
        <f ca="1">IF(BS134&lt;&gt;"",SUM(BS134:BZ134),"")</f>
        <v>360.09603000000004</v>
      </c>
      <c r="CB134" s="408">
        <f ca="1">IF(CB132="","",IF(CB132&gt;0,(BV135*CB133)+BV136,-1))</f>
        <v>-1</v>
      </c>
      <c r="CC134" s="408">
        <f ca="1">IF(CB132="","",IF(CB132&gt;0,(BV135*CC133)+BV136,-1))</f>
        <v>-1</v>
      </c>
      <c r="CD134" s="408">
        <f ca="1">IF(CB132="","",IF(CB132&gt;0,(BV135*CD133)+BV136,-1))</f>
        <v>-1</v>
      </c>
      <c r="CE134" s="408">
        <f ca="1">IF(CB132="","",IF(CB132&gt;0,(BV135*CE133)+BV136,-1))</f>
        <v>-1</v>
      </c>
      <c r="CF134" s="408">
        <f ca="1">IF(CB132="","",IF(CB132&gt;0,(BV135*CF133)+BV136,-1))</f>
        <v>-1</v>
      </c>
      <c r="CG134" s="408">
        <f ca="1">IF(CB132="","",IF(CB132&gt;0,(BV135*CG133)+BV136,-1))</f>
        <v>-1</v>
      </c>
      <c r="CH134" s="408">
        <f ca="1">IF(CB132="","",IF(CB132&gt;0,(BV135*CH133)+BV136,-1))</f>
        <v>-1</v>
      </c>
      <c r="CI134" s="408">
        <f ca="1">IF(CB132="","",IF(CB132&gt;0,(BV135*CI133)+BV136,-1))</f>
        <v>-1</v>
      </c>
      <c r="CJ134" s="409">
        <f ca="1">IF(CB132="","",IF(CB132&gt;0,(BV135*CJ133)+BV136,-1))</f>
        <v>-1</v>
      </c>
      <c r="CK134" s="358"/>
      <c r="CL134" s="358"/>
      <c r="CM134" s="358"/>
      <c r="CN134" s="358"/>
      <c r="CO134" s="358"/>
      <c r="CP134" s="358"/>
      <c r="CQ134" s="358"/>
      <c r="CR134" s="358"/>
      <c r="CS134" s="358"/>
      <c r="CT134" s="358"/>
      <c r="CU134" s="358"/>
      <c r="CV134" s="358"/>
      <c r="CW134" s="358"/>
      <c r="CX134" s="358"/>
      <c r="CY134" s="358"/>
      <c r="CZ134" s="358"/>
      <c r="DA134" s="358"/>
      <c r="DB134" s="358"/>
      <c r="DC134" s="358"/>
      <c r="DD134" s="358"/>
      <c r="DE134" s="358"/>
      <c r="DF134" s="358"/>
      <c r="DG134" s="358"/>
      <c r="DH134" s="358"/>
      <c r="DI134" s="358"/>
      <c r="DJ134" s="358"/>
      <c r="DK134" s="358"/>
      <c r="DL134" s="358"/>
      <c r="DM134" s="358"/>
      <c r="DN134" s="358"/>
      <c r="DO134" s="358"/>
      <c r="DP134" s="358"/>
      <c r="DQ134" s="358"/>
      <c r="DR134" s="358"/>
      <c r="DS134" s="358"/>
      <c r="DT134" s="358"/>
      <c r="DU134" s="358"/>
      <c r="DV134" s="358"/>
      <c r="DW134" s="358"/>
      <c r="DX134" s="358"/>
      <c r="DY134" s="358"/>
      <c r="DZ134" s="358"/>
      <c r="EA134" s="358"/>
      <c r="EB134" s="358"/>
      <c r="EC134" s="358"/>
      <c r="ED134" s="358"/>
      <c r="EE134" s="358"/>
      <c r="EF134" s="358"/>
      <c r="EG134" s="358"/>
      <c r="EH134" s="358"/>
      <c r="EI134" s="358"/>
      <c r="EJ134" s="358"/>
      <c r="EK134" s="358"/>
      <c r="EL134" s="358"/>
      <c r="EM134" s="358"/>
      <c r="EN134" s="358"/>
      <c r="EO134" s="358"/>
      <c r="EP134" s="358"/>
      <c r="EQ134" s="358"/>
      <c r="ER134" s="358"/>
      <c r="ES134" s="358"/>
      <c r="ET134" s="358"/>
      <c r="EU134" s="358"/>
      <c r="EV134" s="358"/>
      <c r="EW134" s="358"/>
      <c r="EX134" s="358"/>
      <c r="EY134" s="358"/>
      <c r="EZ134" s="371"/>
    </row>
    <row r="135" spans="1:156" ht="11.15" customHeight="1" x14ac:dyDescent="0.25">
      <c r="A135" s="1552"/>
      <c r="B135" s="983" t="str">
        <f>IF(ISNUMBER(B134),B134+1,"")</f>
        <v/>
      </c>
      <c r="C135" s="984" t="str">
        <f ca="1">IF(OR($N$8="",$N$8=0),"",IF(INDIRECT(ADDRESS(($AK135),COLUMN()+21,,,"Digitar Dados dos Ensaios"))&lt;&gt;"",INDIRECT(ADDRESS(($AK135),COLUMN()+21,,,"Digitar Dados dos Ensaios")),""))</f>
        <v/>
      </c>
      <c r="D135" s="985">
        <f ca="1">IF(OR($N$8="",$N$8=0),"",IF(INDIRECT(ADDRESS(($AL135),COLUMN()+24,,,"Digitar Dados dos Ensaios"))&lt;&gt;"",INDIRECT(ADDRESS(($AL135),COLUMN()+24,,,"Digitar Dados dos Ensaios")),""))</f>
        <v>1</v>
      </c>
      <c r="E135" s="1551"/>
      <c r="F135" s="981"/>
      <c r="G135" s="981"/>
      <c r="H135" s="981"/>
      <c r="I135" s="981"/>
      <c r="J135" s="981"/>
      <c r="K135" s="981"/>
      <c r="L135" s="982"/>
      <c r="AK135" s="357">
        <f>AK134</f>
        <v>7</v>
      </c>
      <c r="AL135" s="368">
        <f>AL134</f>
        <v>9</v>
      </c>
      <c r="AM135" s="358"/>
      <c r="AN135" s="358"/>
      <c r="AO135" s="358"/>
      <c r="AP135" s="358"/>
      <c r="AQ135" s="358"/>
      <c r="AR135" s="358"/>
      <c r="AS135" s="358"/>
      <c r="AT135" s="358"/>
      <c r="AU135" s="358"/>
      <c r="AV135" s="358"/>
      <c r="AW135" s="358"/>
      <c r="AX135" s="358"/>
      <c r="AY135" s="358"/>
      <c r="AZ135" s="358"/>
      <c r="BA135" s="358"/>
      <c r="BB135" s="358"/>
      <c r="BC135" s="358"/>
      <c r="BD135" s="403">
        <v>3.81</v>
      </c>
      <c r="BE135" s="404">
        <v>3.81</v>
      </c>
      <c r="BF135" s="404">
        <v>3.81</v>
      </c>
      <c r="BG135" s="401">
        <f t="shared" ca="1" si="68"/>
        <v>60.620155038759684</v>
      </c>
      <c r="BH135" s="401">
        <v>0</v>
      </c>
      <c r="BI135" s="401">
        <f t="shared" ca="1" si="69"/>
        <v>41.963824289405679</v>
      </c>
      <c r="BJ135" s="410">
        <f ca="1">IF(ISNUMBER(BJ132),BJ132-BR132,"")</f>
        <v>-27.512919896640824</v>
      </c>
      <c r="BK135" s="410">
        <f ca="1">IF(ISNUMBER(BK132),BK132-BR132,"")</f>
        <v>-19.709302325581394</v>
      </c>
      <c r="BL135" s="410">
        <f ca="1">IF(ISNUMBER(BL132),BL132-BR132,"")</f>
        <v>-9.6317829457364326</v>
      </c>
      <c r="BM135" s="410">
        <f ca="1">IF(ISNUMBER(BM132),BM132-BR132,"")</f>
        <v>-4.1537467700258404</v>
      </c>
      <c r="BN135" s="410">
        <f ca="1">IF(ISNUMBER(BN132),BN132-BR132,"")</f>
        <v>6.6989664082687312</v>
      </c>
      <c r="BO135" s="410">
        <f ca="1">IF(ISNUMBER(BO132),BO132-BR132,"")</f>
        <v>11.350129198966407</v>
      </c>
      <c r="BP135" s="410">
        <f ca="1">IF(ISNUMBER(BP132),BP132-BR132,"")</f>
        <v>17.603359173126613</v>
      </c>
      <c r="BQ135" s="410">
        <f ca="1">IF(ISNUMBER(BQ132),BQ132-BR132,"")</f>
        <v>25.355297157622736</v>
      </c>
      <c r="BR135" s="411">
        <f ca="1">IF(BJ135&lt;&gt;"",SUM(BJ135:BQ135),"")</f>
        <v>0</v>
      </c>
      <c r="BS135" s="413" t="s">
        <v>115</v>
      </c>
      <c r="BT135" s="414">
        <f ca="1">IF(BR137&lt;&gt;"",(CA132*CA134-CA133*BR137)/(CA134^2-CA131*BR137),"")</f>
        <v>-0.73248926968526762</v>
      </c>
      <c r="BU135" s="413" t="s">
        <v>116</v>
      </c>
      <c r="BV135" s="405">
        <f ca="1">IF(BX135&lt;&gt;"",SLOPE(BX135:BX136,BW135:BW136),"")</f>
        <v>7.5567015154738177</v>
      </c>
      <c r="BW135" s="405">
        <v>2.54</v>
      </c>
      <c r="BX135" s="405">
        <f ca="1">IF(BT135&lt;&gt;"",BT135*BW135^2+BT136*BW135+BT137,"")</f>
        <v>29.761315445127664</v>
      </c>
      <c r="BY135" s="405">
        <v>2.54</v>
      </c>
      <c r="BZ135" s="405">
        <v>5.08</v>
      </c>
      <c r="CA135" s="406"/>
      <c r="CB135" s="408">
        <f ca="1">IF(CB132="","",IF(CB132&gt;0,CE131,-1))</f>
        <v>-1</v>
      </c>
      <c r="CC135" s="408">
        <f ca="1">IF(CB132="","",IF(CB132&gt;0,CE131,-1))</f>
        <v>-1</v>
      </c>
      <c r="CD135" s="408">
        <f ca="1">IF(CB132="","",IF(CB132&gt;0,CH134,-1))</f>
        <v>-1</v>
      </c>
      <c r="CE135" s="408">
        <f ca="1">IF(CB132="","",IF(CB132&gt;0,CH134,-1))</f>
        <v>-1</v>
      </c>
      <c r="CF135" s="408">
        <f ca="1">IF(CB132="","",IF(CB132&gt;0,CF131,-1))</f>
        <v>-1</v>
      </c>
      <c r="CG135" s="408">
        <f ca="1">IF(CB132="","",IF(CB132&gt;0,CF131,-1))</f>
        <v>-1</v>
      </c>
      <c r="CH135" s="408">
        <f ca="1">IF(CB132="","",IF(CB132&gt;0,CF131,-1))</f>
        <v>-1</v>
      </c>
      <c r="CI135" s="408">
        <f ca="1">IF(CB132="","",IF(CB132&gt;0,CF131,-1))</f>
        <v>-1</v>
      </c>
      <c r="CJ135" s="409"/>
      <c r="CK135" s="358"/>
      <c r="CL135" s="358"/>
      <c r="CM135" s="358"/>
      <c r="CN135" s="358"/>
      <c r="CO135" s="358"/>
      <c r="CP135" s="358"/>
      <c r="CQ135" s="358"/>
      <c r="CR135" s="358"/>
      <c r="CS135" s="358"/>
      <c r="CT135" s="358"/>
      <c r="CU135" s="358"/>
      <c r="CV135" s="358"/>
      <c r="CW135" s="358"/>
      <c r="CX135" s="358"/>
      <c r="CY135" s="358"/>
      <c r="CZ135" s="358"/>
      <c r="DA135" s="358"/>
      <c r="DB135" s="358"/>
      <c r="DC135" s="358"/>
      <c r="DD135" s="358"/>
      <c r="DE135" s="358"/>
      <c r="DF135" s="358"/>
      <c r="DG135" s="358"/>
      <c r="DH135" s="358"/>
      <c r="DI135" s="358"/>
      <c r="DJ135" s="358"/>
      <c r="DK135" s="358"/>
      <c r="DL135" s="358"/>
      <c r="DM135" s="358"/>
      <c r="DN135" s="358"/>
      <c r="DO135" s="358"/>
      <c r="DP135" s="358"/>
      <c r="DQ135" s="358"/>
      <c r="DR135" s="358"/>
      <c r="DS135" s="358"/>
      <c r="DT135" s="358"/>
      <c r="DU135" s="358"/>
      <c r="DV135" s="358"/>
      <c r="DW135" s="358"/>
      <c r="DX135" s="358"/>
      <c r="DY135" s="358"/>
      <c r="DZ135" s="358"/>
      <c r="EA135" s="358"/>
      <c r="EB135" s="358"/>
      <c r="EC135" s="358"/>
      <c r="ED135" s="358"/>
      <c r="EE135" s="358"/>
      <c r="EF135" s="358"/>
      <c r="EG135" s="358"/>
      <c r="EH135" s="358"/>
      <c r="EI135" s="358"/>
      <c r="EJ135" s="358"/>
      <c r="EK135" s="358"/>
      <c r="EL135" s="358"/>
      <c r="EM135" s="358"/>
      <c r="EN135" s="358"/>
      <c r="EO135" s="358"/>
      <c r="EP135" s="358"/>
      <c r="EQ135" s="358"/>
      <c r="ER135" s="358"/>
      <c r="ES135" s="358"/>
      <c r="ET135" s="358"/>
      <c r="EU135" s="358"/>
      <c r="EV135" s="358"/>
      <c r="EW135" s="358"/>
      <c r="EX135" s="358"/>
      <c r="EY135" s="358"/>
      <c r="EZ135" s="371"/>
    </row>
    <row r="136" spans="1:156" ht="11.15" customHeight="1" x14ac:dyDescent="0.25">
      <c r="A136" s="1552"/>
      <c r="B136" s="983" t="str">
        <f>IF(ISNUMBER(B135),B135+1,"")</f>
        <v/>
      </c>
      <c r="C136" s="984" t="str">
        <f ca="1">IF(OR($N$8="",$N$8=0),"",IF(INDIRECT(ADDRESS(($AK136),COLUMN()+22,,,"Digitar Dados dos Ensaios"))&lt;&gt;"",INDIRECT(ADDRESS(($AK136),COLUMN()+22,,,"Digitar Dados dos Ensaios")),""))</f>
        <v/>
      </c>
      <c r="D136" s="985">
        <f ca="1">IF(OR($N$8="",$N$8=0),"",IF(INDIRECT(ADDRESS(($AL136),COLUMN()+25,,,"Digitar Dados dos Ensaios"))&lt;&gt;"",INDIRECT(ADDRESS(($AL136),COLUMN()+25,,,"Digitar Dados dos Ensaios")),""))</f>
        <v>1.05</v>
      </c>
      <c r="E136" s="1551"/>
      <c r="F136" s="981"/>
      <c r="G136" s="981"/>
      <c r="H136" s="981"/>
      <c r="I136" s="981"/>
      <c r="J136" s="981"/>
      <c r="K136" s="981"/>
      <c r="L136" s="982"/>
      <c r="AK136" s="357">
        <f>AK135</f>
        <v>7</v>
      </c>
      <c r="AL136" s="368">
        <f>AL135</f>
        <v>9</v>
      </c>
      <c r="AM136" s="358"/>
      <c r="AN136" s="358"/>
      <c r="AO136" s="358"/>
      <c r="AP136" s="358"/>
      <c r="AQ136" s="358"/>
      <c r="AR136" s="358"/>
      <c r="AS136" s="358"/>
      <c r="AT136" s="358"/>
      <c r="AU136" s="358"/>
      <c r="AV136" s="358"/>
      <c r="AW136" s="358"/>
      <c r="AX136" s="358"/>
      <c r="AY136" s="358"/>
      <c r="AZ136" s="358"/>
      <c r="BA136" s="358"/>
      <c r="BB136" s="358"/>
      <c r="BC136" s="358"/>
      <c r="BD136" s="403">
        <v>5.08</v>
      </c>
      <c r="BE136" s="404">
        <v>5.08</v>
      </c>
      <c r="BF136" s="404">
        <v>5.08</v>
      </c>
      <c r="BG136" s="401">
        <f t="shared" ca="1" si="68"/>
        <v>60.620155038759684</v>
      </c>
      <c r="BH136" s="401">
        <v>0</v>
      </c>
      <c r="BI136" s="401">
        <f t="shared" ca="1" si="69"/>
        <v>46.614987080103354</v>
      </c>
      <c r="BJ136" s="410">
        <f ca="1">IF(ISNUMBER(BJ133),BJ133-BR133,"")</f>
        <v>-18.450700000000001</v>
      </c>
      <c r="BK136" s="410">
        <f ca="1">IF(ISNUMBER(BK133),BK133-BR133,"")</f>
        <v>-17.2347</v>
      </c>
      <c r="BL136" s="410">
        <f ca="1">IF(ISNUMBER(BL133),BL133-BR133,"")</f>
        <v>-15.2376</v>
      </c>
      <c r="BM136" s="410">
        <f ca="1">IF(ISNUMBER(BM133),BM133-BR133,"")</f>
        <v>-12.396000000000001</v>
      </c>
      <c r="BN136" s="410">
        <f ca="1">IF(ISNUMBER(BN133),BN133-BR133,"")</f>
        <v>-4.3315000000000001</v>
      </c>
      <c r="BO136" s="410">
        <f ca="1">IF(ISNUMBER(BO133),BO133-BR133,"")</f>
        <v>6.9588000000000001</v>
      </c>
      <c r="BP136" s="410">
        <f ca="1">IF(ISNUMBER(BP133),BP133-BR133,"")</f>
        <v>21.474899999999998</v>
      </c>
      <c r="BQ136" s="410">
        <f ca="1">IF(ISNUMBER(BQ133),BQ133-BR133,"")</f>
        <v>39.216799999999999</v>
      </c>
      <c r="BR136" s="411">
        <f ca="1">IF(BJ136&lt;&gt;"",SUM(BJ136:BQ136),"")</f>
        <v>0</v>
      </c>
      <c r="BS136" s="710" t="s">
        <v>128</v>
      </c>
      <c r="BT136" s="415">
        <f ca="1">IF(BT135&lt;&gt;"",(CA133-BT135*CA131)/CA134,"")</f>
        <v>13.138269750475553</v>
      </c>
      <c r="BU136" s="710" t="s">
        <v>128</v>
      </c>
      <c r="BV136" s="415">
        <f ca="1">IF(BX135&lt;&gt;"",INTERCEPT(BX135:BX136,BW135:BW136),"")</f>
        <v>10.567293595824168</v>
      </c>
      <c r="BW136" s="405">
        <v>5.08</v>
      </c>
      <c r="BX136" s="405">
        <f ca="1">IF(BT135&lt;&gt;"",BT135*BW136^2+BT136*BW136+BT137,"")</f>
        <v>48.95533729443116</v>
      </c>
      <c r="BY136" s="416" t="str">
        <f ca="1">IF(CB132="","",IF(CB132&gt;0,CE131,""))</f>
        <v/>
      </c>
      <c r="BZ136" s="416" t="str">
        <f ca="1">IF(CB132="","",IF(CB132&gt;0,CF131,""))</f>
        <v/>
      </c>
      <c r="CA136" s="359"/>
      <c r="CB136" s="407">
        <v>0</v>
      </c>
      <c r="CC136" s="407">
        <f ca="1">IF(CB132="","",IF(CB132&gt;0,CH132,-1))</f>
        <v>-1</v>
      </c>
      <c r="CD136" s="407">
        <f ca="1">IF(CB132="","",IF(CB132&gt;0,CH133,-1))</f>
        <v>-1</v>
      </c>
      <c r="CE136" s="407">
        <f ca="1">IF(CB132="","",IF(CB132&gt;0,CD132,-1))</f>
        <v>-1</v>
      </c>
      <c r="CF136" s="407">
        <f ca="1">IF(CB132="","",IF(CB132&gt;0,CD132,-1))</f>
        <v>-1</v>
      </c>
      <c r="CG136" s="407">
        <f ca="1">IF(CB132="","",IF(CB132&gt;0,CD132,-1))</f>
        <v>-1</v>
      </c>
      <c r="CH136" s="407">
        <v>0</v>
      </c>
      <c r="CI136" s="407">
        <f ca="1">IF(CB132="","",IF(CB132&gt;0,CD132,-1))</f>
        <v>-1</v>
      </c>
      <c r="CJ136" s="417"/>
      <c r="CK136" s="358"/>
      <c r="CL136" s="358"/>
      <c r="CM136" s="358"/>
      <c r="CN136" s="358"/>
      <c r="CO136" s="358"/>
      <c r="CP136" s="358"/>
      <c r="CQ136" s="358"/>
      <c r="CR136" s="358"/>
      <c r="CS136" s="358"/>
      <c r="CT136" s="358"/>
      <c r="CU136" s="358"/>
      <c r="CV136" s="358"/>
      <c r="CW136" s="358"/>
      <c r="CX136" s="358"/>
      <c r="CY136" s="358"/>
      <c r="CZ136" s="358"/>
      <c r="DA136" s="358"/>
      <c r="DB136" s="358"/>
      <c r="DC136" s="358"/>
      <c r="DD136" s="358"/>
      <c r="DE136" s="358"/>
      <c r="DF136" s="358"/>
      <c r="DG136" s="358"/>
      <c r="DH136" s="358"/>
      <c r="DI136" s="358"/>
      <c r="DJ136" s="358"/>
      <c r="DK136" s="358"/>
      <c r="DL136" s="358"/>
      <c r="DM136" s="358"/>
      <c r="DN136" s="358"/>
      <c r="DO136" s="358"/>
      <c r="DP136" s="358"/>
      <c r="DQ136" s="358"/>
      <c r="DR136" s="358"/>
      <c r="DS136" s="358"/>
      <c r="DT136" s="358"/>
      <c r="DU136" s="358"/>
      <c r="DV136" s="358"/>
      <c r="DW136" s="358"/>
      <c r="DX136" s="358"/>
      <c r="DY136" s="358"/>
      <c r="DZ136" s="358"/>
      <c r="EA136" s="358"/>
      <c r="EB136" s="358"/>
      <c r="EC136" s="358"/>
      <c r="ED136" s="358"/>
      <c r="EE136" s="358"/>
      <c r="EF136" s="358"/>
      <c r="EG136" s="358"/>
      <c r="EH136" s="358"/>
      <c r="EI136" s="358"/>
      <c r="EJ136" s="358"/>
      <c r="EK136" s="358"/>
      <c r="EL136" s="358"/>
      <c r="EM136" s="358"/>
      <c r="EN136" s="358"/>
      <c r="EO136" s="358"/>
      <c r="EP136" s="358"/>
      <c r="EQ136" s="358"/>
      <c r="ER136" s="358"/>
      <c r="ES136" s="358"/>
      <c r="ET136" s="358"/>
      <c r="EU136" s="358"/>
      <c r="EV136" s="358"/>
      <c r="EW136" s="358"/>
      <c r="EX136" s="358"/>
      <c r="EY136" s="358"/>
      <c r="EZ136" s="371"/>
    </row>
    <row r="137" spans="1:156" ht="11.15" customHeight="1" x14ac:dyDescent="0.25">
      <c r="A137" s="1552"/>
      <c r="B137" s="1553" t="s">
        <v>203</v>
      </c>
      <c r="C137" s="1554"/>
      <c r="D137" s="986">
        <f ca="1">IF(ISNUMBER(D133),MAX(D133:D136)-MIN(D133:D136),"")</f>
        <v>5.0000000000000044E-2</v>
      </c>
      <c r="E137" s="1610">
        <f ca="1">IF(ISNUMBER(C131),D137/D138*10,"")</f>
        <v>4.374453193350835E-2</v>
      </c>
      <c r="F137" s="981"/>
      <c r="G137" s="981"/>
      <c r="H137" s="981"/>
      <c r="I137" s="981"/>
      <c r="J137" s="981"/>
      <c r="K137" s="981"/>
      <c r="L137" s="982"/>
      <c r="AK137" s="357"/>
      <c r="AL137" s="368"/>
      <c r="AM137" s="358"/>
      <c r="AN137" s="358"/>
      <c r="AO137" s="358"/>
      <c r="AP137" s="358"/>
      <c r="AQ137" s="358"/>
      <c r="AR137" s="358"/>
      <c r="AS137" s="358"/>
      <c r="AT137" s="358"/>
      <c r="AU137" s="358"/>
      <c r="AV137" s="358"/>
      <c r="AW137" s="358"/>
      <c r="AX137" s="358"/>
      <c r="AY137" s="358"/>
      <c r="AZ137" s="358"/>
      <c r="BA137" s="358"/>
      <c r="BB137" s="358"/>
      <c r="BC137" s="358"/>
      <c r="BD137" s="403">
        <v>6.35</v>
      </c>
      <c r="BE137" s="404">
        <v>6.35</v>
      </c>
      <c r="BF137" s="404">
        <v>6.35</v>
      </c>
      <c r="BG137" s="401">
        <f t="shared" ca="1" si="68"/>
        <v>60.620155038759684</v>
      </c>
      <c r="BH137" s="401">
        <v>0</v>
      </c>
      <c r="BI137" s="401">
        <f t="shared" ca="1" si="69"/>
        <v>52.86821705426356</v>
      </c>
      <c r="BJ137" s="405">
        <f ca="1">IF(ISNUMBER(BJ134),BJ134^2,"")</f>
        <v>9.1204000000000001</v>
      </c>
      <c r="BK137" s="405">
        <f t="shared" ref="BK137:BQ137" ca="1" si="73">IF(ISNUMBER(BK134),BK134^2,"")</f>
        <v>5.6643999999999997</v>
      </c>
      <c r="BL137" s="405">
        <f t="shared" ca="1" si="73"/>
        <v>3.0625</v>
      </c>
      <c r="BM137" s="405">
        <f t="shared" ca="1" si="73"/>
        <v>1.2320999999999998</v>
      </c>
      <c r="BN137" s="405">
        <f t="shared" ca="1" si="73"/>
        <v>2.5600000000000046E-2</v>
      </c>
      <c r="BO137" s="405">
        <f t="shared" ca="1" si="73"/>
        <v>2.0449000000000006</v>
      </c>
      <c r="BP137" s="405">
        <f t="shared" ca="1" si="73"/>
        <v>7.2899999999999983</v>
      </c>
      <c r="BQ137" s="405">
        <f t="shared" ca="1" si="73"/>
        <v>15.760900000000001</v>
      </c>
      <c r="BR137" s="411">
        <f ca="1">IF(BJ137&lt;&gt;"",SUM(BJ137:BQ137),"")</f>
        <v>44.200800000000001</v>
      </c>
      <c r="BS137" s="710" t="s">
        <v>138</v>
      </c>
      <c r="BT137" s="414">
        <f ca="1">IF(BT135&lt;&gt;"",BR132-BT136*BR131-BT135*BR133,"")</f>
        <v>1.11583805122123</v>
      </c>
      <c r="BU137" s="710"/>
      <c r="BV137" s="359"/>
      <c r="BW137" s="359"/>
      <c r="BX137" s="359"/>
      <c r="BY137" s="361" t="str">
        <f ca="1">IF(CB132="","",IF(CB132&gt;0,BY136/70.31,""))</f>
        <v/>
      </c>
      <c r="BZ137" s="361" t="str">
        <f ca="1">IF(CB132="","",IF(CB132&gt;0,BZ136/105.46,""))</f>
        <v/>
      </c>
      <c r="CA137" s="359"/>
      <c r="CB137" s="710">
        <v>2.54</v>
      </c>
      <c r="CC137" s="361">
        <f ca="1">IF(BM132&lt;&gt;"",BM132/70.31,"")</f>
        <v>0.44248486859779701</v>
      </c>
      <c r="CD137" s="405">
        <v>5.08</v>
      </c>
      <c r="CE137" s="361">
        <f ca="1">IF(BO132&lt;&gt;"",BO132/105.46,"")</f>
        <v>0.4420158077005818</v>
      </c>
      <c r="CF137" s="416">
        <f ca="1">IF(CH137&lt;&gt;"",MAX(CH137,CJ137),"")</f>
        <v>44.248486859779703</v>
      </c>
      <c r="CG137" s="364">
        <v>2.54</v>
      </c>
      <c r="CH137" s="402">
        <f ca="1">IF(BM132&lt;&gt;"",MAX(BY137,CC137)*100,"")</f>
        <v>44.248486859779703</v>
      </c>
      <c r="CI137" s="364">
        <v>5.08</v>
      </c>
      <c r="CJ137" s="419">
        <f ca="1">IF(BO132&lt;&gt;"",MAX(BZ137,CE137)*100,"")</f>
        <v>44.201580770058179</v>
      </c>
      <c r="CK137" s="358"/>
      <c r="CL137" s="358"/>
      <c r="CM137" s="358"/>
      <c r="CN137" s="358"/>
      <c r="CO137" s="358"/>
      <c r="CP137" s="358"/>
      <c r="CQ137" s="358"/>
      <c r="CR137" s="358"/>
      <c r="CS137" s="358"/>
      <c r="CT137" s="358"/>
      <c r="CU137" s="358"/>
      <c r="CV137" s="358"/>
      <c r="CW137" s="358"/>
      <c r="CX137" s="358"/>
      <c r="CY137" s="358"/>
      <c r="CZ137" s="358"/>
      <c r="DA137" s="358"/>
      <c r="DB137" s="358"/>
      <c r="DC137" s="358"/>
      <c r="DD137" s="358"/>
      <c r="DE137" s="358"/>
      <c r="DF137" s="358"/>
      <c r="DG137" s="358"/>
      <c r="DH137" s="358"/>
      <c r="DI137" s="358"/>
      <c r="DJ137" s="358"/>
      <c r="DK137" s="358"/>
      <c r="DL137" s="358"/>
      <c r="DM137" s="358"/>
      <c r="DN137" s="358"/>
      <c r="DO137" s="358"/>
      <c r="DP137" s="358"/>
      <c r="DQ137" s="358"/>
      <c r="DR137" s="358"/>
      <c r="DS137" s="358"/>
      <c r="DT137" s="358"/>
      <c r="DU137" s="358"/>
      <c r="DV137" s="358"/>
      <c r="DW137" s="358"/>
      <c r="DX137" s="358"/>
      <c r="DY137" s="358"/>
      <c r="DZ137" s="358"/>
      <c r="EA137" s="358"/>
      <c r="EB137" s="358"/>
      <c r="EC137" s="358"/>
      <c r="ED137" s="358"/>
      <c r="EE137" s="358"/>
      <c r="EF137" s="358"/>
      <c r="EG137" s="358"/>
      <c r="EH137" s="358"/>
      <c r="EI137" s="358"/>
      <c r="EJ137" s="358"/>
      <c r="EK137" s="358"/>
      <c r="EL137" s="358"/>
      <c r="EM137" s="358"/>
      <c r="EN137" s="358"/>
      <c r="EO137" s="358"/>
      <c r="EP137" s="358"/>
      <c r="EQ137" s="358"/>
      <c r="ER137" s="358"/>
      <c r="ES137" s="358"/>
      <c r="ET137" s="358"/>
      <c r="EU137" s="358"/>
      <c r="EV137" s="358"/>
      <c r="EW137" s="358"/>
      <c r="EX137" s="358"/>
      <c r="EY137" s="358"/>
      <c r="EZ137" s="371"/>
    </row>
    <row r="138" spans="1:156" ht="11.15" customHeight="1" x14ac:dyDescent="0.35">
      <c r="A138" s="1552"/>
      <c r="B138" s="1612" t="s">
        <v>204</v>
      </c>
      <c r="C138" s="1613"/>
      <c r="D138" s="986">
        <f ca="1">IF(C131&lt;&gt;"",LOOKUP(C131,Tara!$G$6:$G$185,Tara!$J$6:$J$185)/10,"")</f>
        <v>11.43</v>
      </c>
      <c r="E138" s="1611"/>
      <c r="F138" s="981"/>
      <c r="G138" s="981"/>
      <c r="H138" s="981"/>
      <c r="I138" s="981"/>
      <c r="J138" s="981"/>
      <c r="K138" s="981"/>
      <c r="L138" s="982"/>
      <c r="AK138" s="357"/>
      <c r="AL138" s="358"/>
      <c r="AM138" s="358"/>
      <c r="AN138" s="358"/>
      <c r="AO138" s="358"/>
      <c r="AP138" s="358"/>
      <c r="AQ138" s="358"/>
      <c r="AR138" s="358"/>
      <c r="AS138" s="358"/>
      <c r="AT138" s="358"/>
      <c r="AU138" s="358"/>
      <c r="AV138" s="358"/>
      <c r="AW138" s="358"/>
      <c r="AX138" s="358"/>
      <c r="AY138" s="358"/>
      <c r="AZ138" s="358"/>
      <c r="BA138" s="358"/>
      <c r="BB138" s="358"/>
      <c r="BC138" s="358"/>
      <c r="BD138" s="403">
        <v>7.62</v>
      </c>
      <c r="BE138" s="404">
        <v>7.62</v>
      </c>
      <c r="BF138" s="404">
        <v>7.62</v>
      </c>
      <c r="BG138" s="401">
        <f t="shared" ca="1" si="68"/>
        <v>60.620155038759684</v>
      </c>
      <c r="BH138" s="401">
        <v>0</v>
      </c>
      <c r="BI138" s="401">
        <f t="shared" ca="1" si="69"/>
        <v>60.620155038759684</v>
      </c>
      <c r="BJ138" s="358"/>
      <c r="BK138" s="358"/>
      <c r="BL138" s="358"/>
      <c r="BM138" s="358"/>
      <c r="BN138" s="358"/>
      <c r="BO138" s="358"/>
      <c r="BP138" s="358"/>
      <c r="BQ138" s="358"/>
      <c r="BR138" s="358"/>
      <c r="BS138" s="358"/>
      <c r="BT138" s="358"/>
      <c r="BU138" s="358"/>
      <c r="BV138" s="358"/>
      <c r="BW138" s="358"/>
      <c r="BX138" s="358"/>
      <c r="BY138" s="358"/>
      <c r="BZ138" s="358"/>
      <c r="CA138" s="358"/>
      <c r="CB138" s="358"/>
      <c r="CC138" s="358"/>
      <c r="CD138" s="358"/>
      <c r="CE138" s="358"/>
      <c r="CF138" s="358"/>
      <c r="CG138" s="395">
        <v>0.63</v>
      </c>
      <c r="CH138" s="395">
        <v>0.63</v>
      </c>
      <c r="CI138" s="396">
        <v>0</v>
      </c>
      <c r="CJ138" s="420">
        <f ca="1">IF(BI131&lt;&gt;"",MAX(BI131:BI138),"")</f>
        <v>60.620155038759684</v>
      </c>
      <c r="CK138" s="358"/>
      <c r="CL138" s="358"/>
      <c r="CM138" s="358"/>
      <c r="CN138" s="358"/>
      <c r="CO138" s="358"/>
      <c r="CP138" s="358"/>
      <c r="CQ138" s="358"/>
      <c r="CR138" s="358"/>
      <c r="CS138" s="358"/>
      <c r="CT138" s="358"/>
      <c r="CU138" s="358"/>
      <c r="CV138" s="358"/>
      <c r="CW138" s="358"/>
      <c r="CX138" s="358"/>
      <c r="CY138" s="358"/>
      <c r="CZ138" s="358"/>
      <c r="DA138" s="358"/>
      <c r="DB138" s="358"/>
      <c r="DC138" s="358"/>
      <c r="DD138" s="358"/>
      <c r="DE138" s="358"/>
      <c r="DF138" s="358"/>
      <c r="DG138" s="358"/>
      <c r="DH138" s="358"/>
      <c r="DI138" s="358"/>
      <c r="DJ138" s="358"/>
      <c r="DK138" s="358"/>
      <c r="DL138" s="358"/>
      <c r="DM138" s="358"/>
      <c r="DN138" s="358"/>
      <c r="DO138" s="358"/>
      <c r="DP138" s="358"/>
      <c r="DQ138" s="358"/>
      <c r="DR138" s="358"/>
      <c r="DS138" s="358"/>
      <c r="DT138" s="358"/>
      <c r="DU138" s="358"/>
      <c r="DV138" s="358"/>
      <c r="DW138" s="358"/>
      <c r="DX138" s="358"/>
      <c r="DY138" s="358"/>
      <c r="DZ138" s="358"/>
      <c r="EA138" s="358"/>
      <c r="EB138" s="358"/>
      <c r="EC138" s="358"/>
      <c r="ED138" s="358"/>
      <c r="EE138" s="358"/>
      <c r="EF138" s="358"/>
      <c r="EG138" s="358"/>
      <c r="EH138" s="358"/>
      <c r="EI138" s="358"/>
      <c r="EJ138" s="358"/>
      <c r="EK138" s="358"/>
      <c r="EL138" s="358"/>
      <c r="EM138" s="358"/>
      <c r="EN138" s="358"/>
      <c r="EO138" s="358"/>
      <c r="EP138" s="358"/>
      <c r="EQ138" s="358"/>
      <c r="ER138" s="358"/>
      <c r="ES138" s="358"/>
      <c r="ET138" s="358"/>
      <c r="EU138" s="358"/>
      <c r="EV138" s="358"/>
      <c r="EW138" s="358"/>
      <c r="EX138" s="358"/>
      <c r="EY138" s="358"/>
      <c r="EZ138" s="371"/>
    </row>
    <row r="139" spans="1:156" ht="11.15" customHeight="1" x14ac:dyDescent="0.35">
      <c r="A139" s="1544" t="s">
        <v>205</v>
      </c>
      <c r="B139" s="1545" t="s">
        <v>206</v>
      </c>
      <c r="C139" s="1545" t="s">
        <v>17</v>
      </c>
      <c r="D139" s="1545" t="s">
        <v>207</v>
      </c>
      <c r="E139" s="1546" t="s">
        <v>90</v>
      </c>
      <c r="F139" s="981"/>
      <c r="G139" s="981"/>
      <c r="H139" s="981"/>
      <c r="I139" s="981"/>
      <c r="J139" s="981"/>
      <c r="K139" s="981"/>
      <c r="L139" s="982"/>
      <c r="AK139" s="357"/>
      <c r="AL139" s="358"/>
      <c r="AM139" s="358"/>
      <c r="AN139" s="358"/>
      <c r="AO139" s="358"/>
      <c r="AP139" s="358"/>
      <c r="AQ139" s="358"/>
      <c r="AR139" s="358"/>
      <c r="AS139" s="358"/>
      <c r="AT139" s="358"/>
      <c r="AU139" s="358"/>
      <c r="AV139" s="358"/>
      <c r="AW139" s="358"/>
      <c r="AX139" s="358"/>
      <c r="AY139" s="358"/>
      <c r="AZ139" s="358"/>
      <c r="BA139" s="358"/>
      <c r="BB139" s="358"/>
      <c r="BC139" s="358"/>
      <c r="BD139" s="421"/>
      <c r="BE139" s="358"/>
      <c r="BF139" s="358"/>
      <c r="BG139" s="358"/>
      <c r="BH139" s="358"/>
      <c r="BI139" s="358"/>
      <c r="BJ139" s="358"/>
      <c r="BK139" s="358"/>
      <c r="BL139" s="358"/>
      <c r="BM139" s="358"/>
      <c r="BN139" s="358"/>
      <c r="BO139" s="358"/>
      <c r="BP139" s="358"/>
      <c r="BQ139" s="358"/>
      <c r="BR139" s="358"/>
      <c r="BS139" s="358"/>
      <c r="BT139" s="358"/>
      <c r="BU139" s="358"/>
      <c r="BV139" s="358"/>
      <c r="BW139" s="358"/>
      <c r="BX139" s="358"/>
      <c r="BY139" s="358"/>
      <c r="BZ139" s="358"/>
      <c r="CA139" s="358"/>
      <c r="CB139" s="358"/>
      <c r="CC139" s="358"/>
      <c r="CD139" s="358"/>
      <c r="CE139" s="358"/>
      <c r="CF139" s="358"/>
      <c r="CG139" s="404">
        <v>1.27</v>
      </c>
      <c r="CH139" s="404">
        <v>1.27</v>
      </c>
      <c r="CI139" s="401">
        <v>0</v>
      </c>
      <c r="CJ139" s="422">
        <f t="shared" ref="CJ139:CJ145" ca="1" si="74">IF(CJ138&lt;&gt;"",CJ138,"")</f>
        <v>60.620155038759684</v>
      </c>
      <c r="CK139" s="358"/>
      <c r="CL139" s="358"/>
      <c r="CM139" s="358"/>
      <c r="CN139" s="358"/>
      <c r="CO139" s="358"/>
      <c r="CP139" s="358"/>
      <c r="CQ139" s="358"/>
      <c r="CR139" s="358"/>
      <c r="CS139" s="358"/>
      <c r="CT139" s="358"/>
      <c r="CU139" s="358"/>
      <c r="CV139" s="358"/>
      <c r="CW139" s="358"/>
      <c r="CX139" s="358"/>
      <c r="CY139" s="358"/>
      <c r="CZ139" s="358"/>
      <c r="DA139" s="358"/>
      <c r="DB139" s="358"/>
      <c r="DC139" s="358"/>
      <c r="DD139" s="358"/>
      <c r="DE139" s="358"/>
      <c r="DF139" s="358"/>
      <c r="DG139" s="358"/>
      <c r="DH139" s="358"/>
      <c r="DI139" s="358"/>
      <c r="DJ139" s="358"/>
      <c r="DK139" s="358"/>
      <c r="DL139" s="358"/>
      <c r="DM139" s="358"/>
      <c r="DN139" s="358"/>
      <c r="DO139" s="358"/>
      <c r="DP139" s="358"/>
      <c r="DQ139" s="358"/>
      <c r="DR139" s="358"/>
      <c r="DS139" s="358"/>
      <c r="DT139" s="358"/>
      <c r="DU139" s="358"/>
      <c r="DV139" s="358"/>
      <c r="DW139" s="358"/>
      <c r="DX139" s="358"/>
      <c r="DY139" s="358"/>
      <c r="DZ139" s="358"/>
      <c r="EA139" s="358"/>
      <c r="EB139" s="358"/>
      <c r="EC139" s="358"/>
      <c r="ED139" s="358"/>
      <c r="EE139" s="358"/>
      <c r="EF139" s="358"/>
      <c r="EG139" s="358"/>
      <c r="EH139" s="358"/>
      <c r="EI139" s="358"/>
      <c r="EJ139" s="358"/>
      <c r="EK139" s="358"/>
      <c r="EL139" s="358"/>
      <c r="EM139" s="358"/>
      <c r="EN139" s="358"/>
      <c r="EO139" s="358"/>
      <c r="EP139" s="358"/>
      <c r="EQ139" s="358"/>
      <c r="ER139" s="358"/>
      <c r="ES139" s="358"/>
      <c r="ET139" s="358"/>
      <c r="EU139" s="358"/>
      <c r="EV139" s="358"/>
      <c r="EW139" s="358"/>
      <c r="EX139" s="358"/>
      <c r="EY139" s="358"/>
      <c r="EZ139" s="371"/>
    </row>
    <row r="140" spans="1:156" ht="11.15" customHeight="1" x14ac:dyDescent="0.35">
      <c r="A140" s="1544"/>
      <c r="B140" s="1545"/>
      <c r="C140" s="1545"/>
      <c r="D140" s="1545"/>
      <c r="E140" s="1546"/>
      <c r="F140" s="981"/>
      <c r="G140" s="981"/>
      <c r="H140" s="981"/>
      <c r="I140" s="981"/>
      <c r="J140" s="981"/>
      <c r="K140" s="981"/>
      <c r="L140" s="982"/>
      <c r="AK140" s="357"/>
      <c r="AL140" s="358"/>
      <c r="AM140" s="358"/>
      <c r="AN140" s="358"/>
      <c r="AO140" s="358"/>
      <c r="AP140" s="358"/>
      <c r="AQ140" s="358"/>
      <c r="AR140" s="358"/>
      <c r="AS140" s="358"/>
      <c r="AT140" s="358"/>
      <c r="AU140" s="358"/>
      <c r="AV140" s="358"/>
      <c r="AW140" s="358"/>
      <c r="AX140" s="358"/>
      <c r="AY140" s="358"/>
      <c r="AZ140" s="358"/>
      <c r="BA140" s="358"/>
      <c r="BB140" s="358"/>
      <c r="BC140" s="358"/>
      <c r="BD140" s="421"/>
      <c r="BE140" s="358"/>
      <c r="BF140" s="358"/>
      <c r="BG140" s="358"/>
      <c r="BH140" s="358"/>
      <c r="BI140" s="358"/>
      <c r="BJ140" s="358"/>
      <c r="BK140" s="358"/>
      <c r="BL140" s="358"/>
      <c r="BM140" s="358"/>
      <c r="BN140" s="358"/>
      <c r="BO140" s="358"/>
      <c r="BP140" s="358"/>
      <c r="BQ140" s="358"/>
      <c r="BR140" s="358"/>
      <c r="BS140" s="358"/>
      <c r="BT140" s="358"/>
      <c r="BU140" s="358"/>
      <c r="BV140" s="358"/>
      <c r="BW140" s="358"/>
      <c r="BX140" s="358"/>
      <c r="BY140" s="358"/>
      <c r="BZ140" s="358"/>
      <c r="CA140" s="358"/>
      <c r="CB140" s="358"/>
      <c r="CC140" s="358"/>
      <c r="CD140" s="358"/>
      <c r="CE140" s="358"/>
      <c r="CF140" s="358"/>
      <c r="CG140" s="404">
        <v>1.9</v>
      </c>
      <c r="CH140" s="404">
        <v>1.9</v>
      </c>
      <c r="CI140" s="401">
        <v>0</v>
      </c>
      <c r="CJ140" s="422">
        <f t="shared" ca="1" si="74"/>
        <v>60.620155038759684</v>
      </c>
      <c r="CK140" s="358"/>
      <c r="CL140" s="358"/>
      <c r="CM140" s="358"/>
      <c r="CN140" s="358"/>
      <c r="CO140" s="358"/>
      <c r="CP140" s="358"/>
      <c r="CQ140" s="358"/>
      <c r="CR140" s="358"/>
      <c r="CS140" s="358"/>
      <c r="CT140" s="358"/>
      <c r="CU140" s="358"/>
      <c r="CV140" s="358"/>
      <c r="CW140" s="358"/>
      <c r="CX140" s="358"/>
      <c r="CY140" s="358"/>
      <c r="CZ140" s="358"/>
      <c r="DA140" s="358"/>
      <c r="DB140" s="358"/>
      <c r="DC140" s="358"/>
      <c r="DD140" s="358"/>
      <c r="DE140" s="358"/>
      <c r="DF140" s="358"/>
      <c r="DG140" s="358"/>
      <c r="DH140" s="358"/>
      <c r="DI140" s="358"/>
      <c r="DJ140" s="358"/>
      <c r="DK140" s="358"/>
      <c r="DL140" s="358"/>
      <c r="DM140" s="358"/>
      <c r="DN140" s="358"/>
      <c r="DO140" s="358"/>
      <c r="DP140" s="358"/>
      <c r="DQ140" s="358"/>
      <c r="DR140" s="358"/>
      <c r="DS140" s="358"/>
      <c r="DT140" s="358"/>
      <c r="DU140" s="358"/>
      <c r="DV140" s="358"/>
      <c r="DW140" s="358"/>
      <c r="DX140" s="358"/>
      <c r="DY140" s="358"/>
      <c r="DZ140" s="358"/>
      <c r="EA140" s="358"/>
      <c r="EB140" s="358"/>
      <c r="EC140" s="358"/>
      <c r="ED140" s="358"/>
      <c r="EE140" s="358"/>
      <c r="EF140" s="358"/>
      <c r="EG140" s="358"/>
      <c r="EH140" s="358"/>
      <c r="EI140" s="358"/>
      <c r="EJ140" s="358"/>
      <c r="EK140" s="358"/>
      <c r="EL140" s="358"/>
      <c r="EM140" s="358"/>
      <c r="EN140" s="358"/>
      <c r="EO140" s="358"/>
      <c r="EP140" s="358"/>
      <c r="EQ140" s="358"/>
      <c r="ER140" s="358"/>
      <c r="ES140" s="358"/>
      <c r="ET140" s="358"/>
      <c r="EU140" s="358"/>
      <c r="EV140" s="358"/>
      <c r="EW140" s="358"/>
      <c r="EX140" s="358"/>
      <c r="EY140" s="358"/>
      <c r="EZ140" s="371"/>
    </row>
    <row r="141" spans="1:156" ht="11.15" customHeight="1" x14ac:dyDescent="0.35">
      <c r="A141" s="987">
        <v>0.63</v>
      </c>
      <c r="B141" s="988">
        <v>0.5</v>
      </c>
      <c r="C141" s="989">
        <f ca="1">IF(OR($N$8="",$N$8=0),"",IF(INDIRECT(ADDRESS(($AK141),COLUMN()+27,,,"Digitar Dados dos Ensaios"))&lt;&gt;"",INDIRECT(ADDRESS(($AK141),COLUMN()+27,,,"Digitar Dados dos Ensaios")),""))</f>
        <v>150</v>
      </c>
      <c r="D141" s="990">
        <f ca="1">IF(C141&lt;&gt;"",C141/$A$132,"")</f>
        <v>7.7519379844961236</v>
      </c>
      <c r="E141" s="991"/>
      <c r="F141" s="981"/>
      <c r="G141" s="981"/>
      <c r="H141" s="981"/>
      <c r="I141" s="981"/>
      <c r="J141" s="981"/>
      <c r="K141" s="981"/>
      <c r="L141" s="982"/>
      <c r="AK141" s="357">
        <f>AK122+1</f>
        <v>9</v>
      </c>
      <c r="AL141" s="358"/>
      <c r="AM141" s="358"/>
      <c r="AN141" s="358"/>
      <c r="AO141" s="358"/>
      <c r="AP141" s="358"/>
      <c r="AQ141" s="358"/>
      <c r="AR141" s="358"/>
      <c r="AS141" s="358"/>
      <c r="AT141" s="358"/>
      <c r="AU141" s="358"/>
      <c r="AV141" s="358"/>
      <c r="AW141" s="358"/>
      <c r="AX141" s="358"/>
      <c r="AY141" s="358"/>
      <c r="AZ141" s="358"/>
      <c r="BA141" s="358"/>
      <c r="BB141" s="358"/>
      <c r="BC141" s="358"/>
      <c r="BD141" s="421"/>
      <c r="BE141" s="358"/>
      <c r="BF141" s="358"/>
      <c r="BG141" s="358"/>
      <c r="BH141" s="358"/>
      <c r="BI141" s="358"/>
      <c r="BJ141" s="358"/>
      <c r="BK141" s="358"/>
      <c r="BL141" s="358"/>
      <c r="BM141" s="358"/>
      <c r="BN141" s="358"/>
      <c r="BO141" s="358"/>
      <c r="BP141" s="358"/>
      <c r="BQ141" s="358"/>
      <c r="BR141" s="358"/>
      <c r="BS141" s="358"/>
      <c r="BT141" s="358"/>
      <c r="BU141" s="358"/>
      <c r="BV141" s="358"/>
      <c r="BW141" s="358"/>
      <c r="BX141" s="358"/>
      <c r="BY141" s="358"/>
      <c r="BZ141" s="358"/>
      <c r="CA141" s="358"/>
      <c r="CB141" s="358"/>
      <c r="CC141" s="358"/>
      <c r="CD141" s="358"/>
      <c r="CE141" s="358"/>
      <c r="CF141" s="358"/>
      <c r="CG141" s="404">
        <v>2.54</v>
      </c>
      <c r="CH141" s="404">
        <v>2.54</v>
      </c>
      <c r="CI141" s="401">
        <v>0</v>
      </c>
      <c r="CJ141" s="422">
        <f t="shared" ca="1" si="74"/>
        <v>60.620155038759684</v>
      </c>
      <c r="CK141" s="358"/>
      <c r="CL141" s="358"/>
      <c r="CM141" s="358"/>
      <c r="CN141" s="358"/>
      <c r="CO141" s="358"/>
      <c r="CP141" s="358"/>
      <c r="CQ141" s="358"/>
      <c r="CR141" s="358"/>
      <c r="CS141" s="358"/>
      <c r="CT141" s="358"/>
      <c r="CU141" s="358"/>
      <c r="CV141" s="358"/>
      <c r="CW141" s="358"/>
      <c r="CX141" s="358"/>
      <c r="CY141" s="358"/>
      <c r="CZ141" s="358"/>
      <c r="DA141" s="358"/>
      <c r="DB141" s="358"/>
      <c r="DC141" s="358"/>
      <c r="DD141" s="358"/>
      <c r="DE141" s="358"/>
      <c r="DF141" s="358"/>
      <c r="DG141" s="358"/>
      <c r="DH141" s="358"/>
      <c r="DI141" s="358"/>
      <c r="DJ141" s="358"/>
      <c r="DK141" s="358"/>
      <c r="DL141" s="358"/>
      <c r="DM141" s="358"/>
      <c r="DN141" s="358"/>
      <c r="DO141" s="358"/>
      <c r="DP141" s="358"/>
      <c r="DQ141" s="358"/>
      <c r="DR141" s="358"/>
      <c r="DS141" s="358"/>
      <c r="DT141" s="358"/>
      <c r="DU141" s="358"/>
      <c r="DV141" s="358"/>
      <c r="DW141" s="358"/>
      <c r="DX141" s="358"/>
      <c r="DY141" s="358"/>
      <c r="DZ141" s="358"/>
      <c r="EA141" s="358"/>
      <c r="EB141" s="358"/>
      <c r="EC141" s="358"/>
      <c r="ED141" s="358"/>
      <c r="EE141" s="358"/>
      <c r="EF141" s="358"/>
      <c r="EG141" s="358"/>
      <c r="EH141" s="358"/>
      <c r="EI141" s="358"/>
      <c r="EJ141" s="358"/>
      <c r="EK141" s="358"/>
      <c r="EL141" s="358"/>
      <c r="EM141" s="358"/>
      <c r="EN141" s="358"/>
      <c r="EO141" s="358"/>
      <c r="EP141" s="358"/>
      <c r="EQ141" s="358"/>
      <c r="ER141" s="358"/>
      <c r="ES141" s="358"/>
      <c r="ET141" s="358"/>
      <c r="EU141" s="358"/>
      <c r="EV141" s="358"/>
      <c r="EW141" s="358"/>
      <c r="EX141" s="358"/>
      <c r="EY141" s="358"/>
      <c r="EZ141" s="371"/>
    </row>
    <row r="142" spans="1:156" ht="11.15" customHeight="1" x14ac:dyDescent="0.35">
      <c r="A142" s="987">
        <v>1.27</v>
      </c>
      <c r="B142" s="988">
        <v>1</v>
      </c>
      <c r="C142" s="989">
        <f ca="1">IF(OR($N$8="",$N$8=0),"",IF(INDIRECT(ADDRESS(($AK142),COLUMN()+28,,,"Digitar Dados dos Ensaios"))&lt;&gt;"",INDIRECT(ADDRESS(($AK142),COLUMN()+28,,,"Digitar Dados dos Ensaios")),""))</f>
        <v>301</v>
      </c>
      <c r="D142" s="990">
        <f t="shared" ref="D142:D148" ca="1" si="75">IF(C142&lt;&gt;"",C142/$A$132,"")</f>
        <v>15.555555555555554</v>
      </c>
      <c r="E142" s="992" t="str">
        <f ca="1">IF(E143="","","Corrigido")</f>
        <v/>
      </c>
      <c r="F142" s="981"/>
      <c r="G142" s="981"/>
      <c r="H142" s="981"/>
      <c r="I142" s="981"/>
      <c r="J142" s="981"/>
      <c r="K142" s="981"/>
      <c r="L142" s="982"/>
      <c r="AK142" s="357">
        <f>AK141</f>
        <v>9</v>
      </c>
      <c r="AL142" s="358"/>
      <c r="AM142" s="358"/>
      <c r="AN142" s="358"/>
      <c r="AO142" s="358"/>
      <c r="AP142" s="358"/>
      <c r="AQ142" s="358"/>
      <c r="AR142" s="358"/>
      <c r="AS142" s="358"/>
      <c r="AT142" s="358"/>
      <c r="AU142" s="358"/>
      <c r="AV142" s="358"/>
      <c r="AW142" s="358"/>
      <c r="AX142" s="358"/>
      <c r="AY142" s="358"/>
      <c r="AZ142" s="358"/>
      <c r="BA142" s="358"/>
      <c r="BB142" s="358"/>
      <c r="BC142" s="358"/>
      <c r="BD142" s="421"/>
      <c r="BE142" s="358"/>
      <c r="BF142" s="358"/>
      <c r="BG142" s="358"/>
      <c r="BH142" s="358"/>
      <c r="BI142" s="358"/>
      <c r="BJ142" s="358"/>
      <c r="BK142" s="358"/>
      <c r="BL142" s="358"/>
      <c r="BM142" s="358"/>
      <c r="BN142" s="358"/>
      <c r="BO142" s="358"/>
      <c r="BP142" s="358"/>
      <c r="BQ142" s="358"/>
      <c r="BR142" s="358"/>
      <c r="BS142" s="358"/>
      <c r="BT142" s="358"/>
      <c r="BU142" s="358"/>
      <c r="BV142" s="358"/>
      <c r="BW142" s="358"/>
      <c r="BX142" s="358"/>
      <c r="BY142" s="358"/>
      <c r="BZ142" s="358"/>
      <c r="CA142" s="358"/>
      <c r="CB142" s="358"/>
      <c r="CC142" s="358"/>
      <c r="CD142" s="358"/>
      <c r="CE142" s="358"/>
      <c r="CF142" s="358"/>
      <c r="CG142" s="404">
        <v>3.81</v>
      </c>
      <c r="CH142" s="404">
        <v>3.81</v>
      </c>
      <c r="CI142" s="401">
        <v>0</v>
      </c>
      <c r="CJ142" s="422">
        <f t="shared" ca="1" si="74"/>
        <v>60.620155038759684</v>
      </c>
      <c r="CK142" s="358"/>
      <c r="CL142" s="358"/>
      <c r="CM142" s="358"/>
      <c r="CN142" s="358"/>
      <c r="CO142" s="358"/>
      <c r="CP142" s="358"/>
      <c r="CQ142" s="358"/>
      <c r="CR142" s="358"/>
      <c r="CS142" s="358"/>
      <c r="CT142" s="358"/>
      <c r="CU142" s="358"/>
      <c r="CV142" s="358"/>
      <c r="CW142" s="358"/>
      <c r="CX142" s="358"/>
      <c r="CY142" s="358"/>
      <c r="CZ142" s="358"/>
      <c r="DA142" s="358"/>
      <c r="DB142" s="358"/>
      <c r="DC142" s="358"/>
      <c r="DD142" s="358"/>
      <c r="DE142" s="358"/>
      <c r="DF142" s="358"/>
      <c r="DG142" s="358"/>
      <c r="DH142" s="358"/>
      <c r="DI142" s="358"/>
      <c r="DJ142" s="358"/>
      <c r="DK142" s="358"/>
      <c r="DL142" s="358"/>
      <c r="DM142" s="358"/>
      <c r="DN142" s="358"/>
      <c r="DO142" s="358"/>
      <c r="DP142" s="358"/>
      <c r="DQ142" s="358"/>
      <c r="DR142" s="358"/>
      <c r="DS142" s="358"/>
      <c r="DT142" s="358"/>
      <c r="DU142" s="358"/>
      <c r="DV142" s="358"/>
      <c r="DW142" s="358"/>
      <c r="DX142" s="358"/>
      <c r="DY142" s="358"/>
      <c r="DZ142" s="358"/>
      <c r="EA142" s="358"/>
      <c r="EB142" s="358"/>
      <c r="EC142" s="358"/>
      <c r="ED142" s="358"/>
      <c r="EE142" s="358"/>
      <c r="EF142" s="358"/>
      <c r="EG142" s="358"/>
      <c r="EH142" s="358"/>
      <c r="EI142" s="358"/>
      <c r="EJ142" s="358"/>
      <c r="EK142" s="358"/>
      <c r="EL142" s="358"/>
      <c r="EM142" s="358"/>
      <c r="EN142" s="358"/>
      <c r="EO142" s="358"/>
      <c r="EP142" s="358"/>
      <c r="EQ142" s="358"/>
      <c r="ER142" s="358"/>
      <c r="ES142" s="358"/>
      <c r="ET142" s="358"/>
      <c r="EU142" s="358"/>
      <c r="EV142" s="358"/>
      <c r="EW142" s="358"/>
      <c r="EX142" s="358"/>
      <c r="EY142" s="358"/>
      <c r="EZ142" s="371"/>
    </row>
    <row r="143" spans="1:156" ht="11.15" customHeight="1" x14ac:dyDescent="0.35">
      <c r="A143" s="987">
        <v>1.9</v>
      </c>
      <c r="B143" s="988">
        <v>1.5</v>
      </c>
      <c r="C143" s="989">
        <f ca="1">IF(OR($N$8="",$N$8=0),"",IF(INDIRECT(ADDRESS(($AK143),COLUMN()+29,,,"Digitar Dados dos Ensaios"))&lt;&gt;"",INDIRECT(ADDRESS(($AK143),COLUMN()+29,,,"Digitar Dados dos Ensaios")),""))</f>
        <v>496</v>
      </c>
      <c r="D143" s="990">
        <f t="shared" ca="1" si="75"/>
        <v>25.633074935400515</v>
      </c>
      <c r="E143" s="993" t="str">
        <f ca="1">IF(BY137="","",IF(BY137&gt;0,BY137,""))</f>
        <v/>
      </c>
      <c r="F143" s="981"/>
      <c r="G143" s="981"/>
      <c r="H143" s="981"/>
      <c r="I143" s="981"/>
      <c r="J143" s="981"/>
      <c r="K143" s="981"/>
      <c r="L143" s="982"/>
      <c r="AK143" s="357">
        <f t="shared" ref="AK143:AK148" si="76">AK142</f>
        <v>9</v>
      </c>
      <c r="AL143" s="358"/>
      <c r="AM143" s="358"/>
      <c r="AN143" s="358"/>
      <c r="AO143" s="358"/>
      <c r="AP143" s="358"/>
      <c r="AQ143" s="358"/>
      <c r="AR143" s="358"/>
      <c r="AS143" s="358"/>
      <c r="AT143" s="358"/>
      <c r="AU143" s="358"/>
      <c r="AV143" s="358"/>
      <c r="AW143" s="358"/>
      <c r="AX143" s="358"/>
      <c r="AY143" s="358"/>
      <c r="AZ143" s="358"/>
      <c r="BA143" s="358"/>
      <c r="BB143" s="358"/>
      <c r="BC143" s="358"/>
      <c r="BD143" s="421"/>
      <c r="BE143" s="358"/>
      <c r="BF143" s="358"/>
      <c r="BG143" s="358"/>
      <c r="BH143" s="358"/>
      <c r="BI143" s="358"/>
      <c r="BJ143" s="358"/>
      <c r="BK143" s="358"/>
      <c r="BL143" s="358"/>
      <c r="BM143" s="358"/>
      <c r="BN143" s="358"/>
      <c r="BO143" s="358"/>
      <c r="BP143" s="358"/>
      <c r="BQ143" s="358"/>
      <c r="BR143" s="358"/>
      <c r="BS143" s="358"/>
      <c r="BT143" s="358"/>
      <c r="BU143" s="358"/>
      <c r="BV143" s="358"/>
      <c r="BW143" s="358"/>
      <c r="BX143" s="358"/>
      <c r="BY143" s="358"/>
      <c r="BZ143" s="358"/>
      <c r="CA143" s="358"/>
      <c r="CB143" s="358"/>
      <c r="CC143" s="358"/>
      <c r="CD143" s="358"/>
      <c r="CE143" s="358"/>
      <c r="CF143" s="358"/>
      <c r="CG143" s="404">
        <v>5.08</v>
      </c>
      <c r="CH143" s="404">
        <v>5.08</v>
      </c>
      <c r="CI143" s="401">
        <v>0</v>
      </c>
      <c r="CJ143" s="422">
        <f t="shared" ca="1" si="74"/>
        <v>60.620155038759684</v>
      </c>
      <c r="CK143" s="358"/>
      <c r="CL143" s="358"/>
      <c r="CM143" s="358"/>
      <c r="CN143" s="358"/>
      <c r="CO143" s="358"/>
      <c r="CP143" s="358"/>
      <c r="CQ143" s="358"/>
      <c r="CR143" s="358"/>
      <c r="CS143" s="358"/>
      <c r="CT143" s="358"/>
      <c r="CU143" s="358"/>
      <c r="CV143" s="358"/>
      <c r="CW143" s="358"/>
      <c r="CX143" s="358"/>
      <c r="CY143" s="358"/>
      <c r="CZ143" s="358"/>
      <c r="DA143" s="358"/>
      <c r="DB143" s="358"/>
      <c r="DC143" s="358"/>
      <c r="DD143" s="358"/>
      <c r="DE143" s="358"/>
      <c r="DF143" s="358"/>
      <c r="DG143" s="358"/>
      <c r="DH143" s="358"/>
      <c r="DI143" s="358"/>
      <c r="DJ143" s="358"/>
      <c r="DK143" s="358"/>
      <c r="DL143" s="358"/>
      <c r="DM143" s="358"/>
      <c r="DN143" s="358"/>
      <c r="DO143" s="358"/>
      <c r="DP143" s="358"/>
      <c r="DQ143" s="358"/>
      <c r="DR143" s="358"/>
      <c r="DS143" s="358"/>
      <c r="DT143" s="358"/>
      <c r="DU143" s="358"/>
      <c r="DV143" s="358"/>
      <c r="DW143" s="358"/>
      <c r="DX143" s="358"/>
      <c r="DY143" s="358"/>
      <c r="DZ143" s="358"/>
      <c r="EA143" s="358"/>
      <c r="EB143" s="358"/>
      <c r="EC143" s="358"/>
      <c r="ED143" s="358"/>
      <c r="EE143" s="358"/>
      <c r="EF143" s="358"/>
      <c r="EG143" s="358"/>
      <c r="EH143" s="358"/>
      <c r="EI143" s="358"/>
      <c r="EJ143" s="358"/>
      <c r="EK143" s="358"/>
      <c r="EL143" s="358"/>
      <c r="EM143" s="358"/>
      <c r="EN143" s="358"/>
      <c r="EO143" s="358"/>
      <c r="EP143" s="358"/>
      <c r="EQ143" s="358"/>
      <c r="ER143" s="358"/>
      <c r="ES143" s="358"/>
      <c r="ET143" s="358"/>
      <c r="EU143" s="358"/>
      <c r="EV143" s="358"/>
      <c r="EW143" s="358"/>
      <c r="EX143" s="358"/>
      <c r="EY143" s="358"/>
      <c r="EZ143" s="371"/>
    </row>
    <row r="144" spans="1:156" ht="11.15" customHeight="1" x14ac:dyDescent="0.35">
      <c r="A144" s="987">
        <v>2.54</v>
      </c>
      <c r="B144" s="988">
        <v>2</v>
      </c>
      <c r="C144" s="989">
        <f ca="1">IF(OR($N$8="",$N$8=0),"",IF(INDIRECT(ADDRESS(($AK144),COLUMN()+30,,,"Digitar Dados dos Ensaios"))&lt;&gt;"",INDIRECT(ADDRESS(($AK144),COLUMN()+30,,,"Digitar Dados dos Ensaios")),""))</f>
        <v>602</v>
      </c>
      <c r="D144" s="990">
        <f t="shared" ca="1" si="75"/>
        <v>31.111111111111107</v>
      </c>
      <c r="E144" s="994">
        <f ca="1">IF(C144&lt;&gt;"",D144/70.31,"")</f>
        <v>0.44248486859779701</v>
      </c>
      <c r="F144" s="981"/>
      <c r="G144" s="981"/>
      <c r="H144" s="981"/>
      <c r="I144" s="981"/>
      <c r="J144" s="981"/>
      <c r="K144" s="981"/>
      <c r="L144" s="982"/>
      <c r="AK144" s="357">
        <f t="shared" si="76"/>
        <v>9</v>
      </c>
      <c r="AL144" s="358"/>
      <c r="AM144" s="358"/>
      <c r="AN144" s="358"/>
      <c r="AO144" s="358"/>
      <c r="AP144" s="358"/>
      <c r="AQ144" s="358"/>
      <c r="AR144" s="358"/>
      <c r="AS144" s="358"/>
      <c r="AT144" s="358"/>
      <c r="AU144" s="358"/>
      <c r="AV144" s="358"/>
      <c r="AW144" s="358"/>
      <c r="AX144" s="358"/>
      <c r="AY144" s="358"/>
      <c r="AZ144" s="358"/>
      <c r="BA144" s="358"/>
      <c r="BB144" s="358"/>
      <c r="BC144" s="358"/>
      <c r="BD144" s="421"/>
      <c r="BE144" s="358"/>
      <c r="BF144" s="358"/>
      <c r="BG144" s="358"/>
      <c r="BH144" s="358"/>
      <c r="BI144" s="358"/>
      <c r="BJ144" s="358"/>
      <c r="BK144" s="358"/>
      <c r="BL144" s="358"/>
      <c r="BM144" s="358"/>
      <c r="BN144" s="358"/>
      <c r="BO144" s="358"/>
      <c r="BP144" s="358"/>
      <c r="BQ144" s="358"/>
      <c r="BR144" s="358"/>
      <c r="BS144" s="358"/>
      <c r="BT144" s="358"/>
      <c r="BU144" s="358"/>
      <c r="BV144" s="358"/>
      <c r="BW144" s="358"/>
      <c r="BX144" s="358"/>
      <c r="BY144" s="358"/>
      <c r="BZ144" s="358"/>
      <c r="CA144" s="358"/>
      <c r="CB144" s="358"/>
      <c r="CC144" s="358"/>
      <c r="CD144" s="358"/>
      <c r="CE144" s="358"/>
      <c r="CF144" s="358"/>
      <c r="CG144" s="404">
        <v>6.35</v>
      </c>
      <c r="CH144" s="404">
        <v>6.35</v>
      </c>
      <c r="CI144" s="401">
        <v>0</v>
      </c>
      <c r="CJ144" s="422">
        <f t="shared" ca="1" si="74"/>
        <v>60.620155038759684</v>
      </c>
      <c r="CK144" s="358"/>
      <c r="CL144" s="358"/>
      <c r="CM144" s="358"/>
      <c r="CN144" s="358"/>
      <c r="CO144" s="358"/>
      <c r="CP144" s="358"/>
      <c r="CQ144" s="358"/>
      <c r="CR144" s="358"/>
      <c r="CS144" s="358"/>
      <c r="CT144" s="358"/>
      <c r="CU144" s="358"/>
      <c r="CV144" s="358"/>
      <c r="CW144" s="358"/>
      <c r="CX144" s="358"/>
      <c r="CY144" s="358"/>
      <c r="CZ144" s="358"/>
      <c r="DA144" s="358"/>
      <c r="DB144" s="358"/>
      <c r="DC144" s="358"/>
      <c r="DD144" s="358"/>
      <c r="DE144" s="358"/>
      <c r="DF144" s="358"/>
      <c r="DG144" s="358"/>
      <c r="DH144" s="358"/>
      <c r="DI144" s="358"/>
      <c r="DJ144" s="358"/>
      <c r="DK144" s="358"/>
      <c r="DL144" s="358"/>
      <c r="DM144" s="358"/>
      <c r="DN144" s="358"/>
      <c r="DO144" s="358"/>
      <c r="DP144" s="358"/>
      <c r="DQ144" s="358"/>
      <c r="DR144" s="358"/>
      <c r="DS144" s="358"/>
      <c r="DT144" s="358"/>
      <c r="DU144" s="358"/>
      <c r="DV144" s="358"/>
      <c r="DW144" s="358"/>
      <c r="DX144" s="358"/>
      <c r="DY144" s="358"/>
      <c r="DZ144" s="358"/>
      <c r="EA144" s="358"/>
      <c r="EB144" s="358"/>
      <c r="EC144" s="358"/>
      <c r="ED144" s="358"/>
      <c r="EE144" s="358"/>
      <c r="EF144" s="358"/>
      <c r="EG144" s="358"/>
      <c r="EH144" s="358"/>
      <c r="EI144" s="358"/>
      <c r="EJ144" s="358"/>
      <c r="EK144" s="358"/>
      <c r="EL144" s="358"/>
      <c r="EM144" s="358"/>
      <c r="EN144" s="358"/>
      <c r="EO144" s="358"/>
      <c r="EP144" s="358"/>
      <c r="EQ144" s="358"/>
      <c r="ER144" s="358"/>
      <c r="ES144" s="358"/>
      <c r="ET144" s="358"/>
      <c r="EU144" s="358"/>
      <c r="EV144" s="358"/>
      <c r="EW144" s="358"/>
      <c r="EX144" s="358"/>
      <c r="EY144" s="358"/>
      <c r="EZ144" s="371"/>
    </row>
    <row r="145" spans="1:156" ht="11.15" customHeight="1" x14ac:dyDescent="0.35">
      <c r="A145" s="987">
        <v>3.81</v>
      </c>
      <c r="B145" s="988">
        <v>3</v>
      </c>
      <c r="C145" s="989">
        <f ca="1">IF(OR($N$8="",$N$8=0),"",IF(INDIRECT(ADDRESS(($AK145),COLUMN()+31,,,"Digitar Dados dos Ensaios"))&lt;&gt;"",INDIRECT(ADDRESS(($AK145),COLUMN()+31,,,"Digitar Dados dos Ensaios")),""))</f>
        <v>812</v>
      </c>
      <c r="D145" s="990">
        <f t="shared" ca="1" si="75"/>
        <v>41.963824289405679</v>
      </c>
      <c r="E145" s="991"/>
      <c r="F145" s="981"/>
      <c r="G145" s="981"/>
      <c r="H145" s="981"/>
      <c r="I145" s="981"/>
      <c r="J145" s="981"/>
      <c r="K145" s="981"/>
      <c r="L145" s="982"/>
      <c r="AK145" s="357">
        <f t="shared" si="76"/>
        <v>9</v>
      </c>
      <c r="AL145" s="358"/>
      <c r="AM145" s="358"/>
      <c r="AN145" s="358"/>
      <c r="AO145" s="358"/>
      <c r="AP145" s="358"/>
      <c r="AQ145" s="358"/>
      <c r="AR145" s="358"/>
      <c r="AS145" s="358"/>
      <c r="AT145" s="358"/>
      <c r="AU145" s="358"/>
      <c r="AV145" s="358"/>
      <c r="AW145" s="358"/>
      <c r="AX145" s="358"/>
      <c r="AY145" s="358"/>
      <c r="AZ145" s="358"/>
      <c r="BA145" s="358"/>
      <c r="BB145" s="358"/>
      <c r="BC145" s="358"/>
      <c r="BD145" s="421"/>
      <c r="BE145" s="358"/>
      <c r="BF145" s="358"/>
      <c r="BG145" s="358"/>
      <c r="BH145" s="358"/>
      <c r="BI145" s="358"/>
      <c r="BJ145" s="358"/>
      <c r="BK145" s="358"/>
      <c r="BL145" s="358"/>
      <c r="BM145" s="358"/>
      <c r="BN145" s="358"/>
      <c r="BO145" s="358"/>
      <c r="BP145" s="358"/>
      <c r="BQ145" s="358"/>
      <c r="BR145" s="358"/>
      <c r="BS145" s="358"/>
      <c r="BT145" s="358"/>
      <c r="BU145" s="358"/>
      <c r="BV145" s="358"/>
      <c r="BW145" s="358"/>
      <c r="BX145" s="358"/>
      <c r="BY145" s="358"/>
      <c r="BZ145" s="358"/>
      <c r="CA145" s="358"/>
      <c r="CB145" s="358"/>
      <c r="CC145" s="358"/>
      <c r="CD145" s="358"/>
      <c r="CE145" s="358"/>
      <c r="CF145" s="358"/>
      <c r="CG145" s="404">
        <v>7.62</v>
      </c>
      <c r="CH145" s="404">
        <v>7.62</v>
      </c>
      <c r="CI145" s="401">
        <v>0</v>
      </c>
      <c r="CJ145" s="422">
        <f t="shared" ca="1" si="74"/>
        <v>60.620155038759684</v>
      </c>
      <c r="CK145" s="358"/>
      <c r="CL145" s="358"/>
      <c r="CM145" s="358"/>
      <c r="CN145" s="358"/>
      <c r="CO145" s="358"/>
      <c r="CP145" s="358"/>
      <c r="CQ145" s="358"/>
      <c r="CR145" s="358"/>
      <c r="CS145" s="358"/>
      <c r="CT145" s="358"/>
      <c r="CU145" s="358"/>
      <c r="CV145" s="358"/>
      <c r="CW145" s="358"/>
      <c r="CX145" s="358"/>
      <c r="CY145" s="358"/>
      <c r="CZ145" s="358"/>
      <c r="DA145" s="358"/>
      <c r="DB145" s="358"/>
      <c r="DC145" s="358"/>
      <c r="DD145" s="358"/>
      <c r="DE145" s="358"/>
      <c r="DF145" s="358"/>
      <c r="DG145" s="358"/>
      <c r="DH145" s="358"/>
      <c r="DI145" s="358"/>
      <c r="DJ145" s="358"/>
      <c r="DK145" s="358"/>
      <c r="DL145" s="358"/>
      <c r="DM145" s="358"/>
      <c r="DN145" s="358"/>
      <c r="DO145" s="358"/>
      <c r="DP145" s="358"/>
      <c r="DQ145" s="358"/>
      <c r="DR145" s="358"/>
      <c r="DS145" s="358"/>
      <c r="DT145" s="358"/>
      <c r="DU145" s="358"/>
      <c r="DV145" s="358"/>
      <c r="DW145" s="358"/>
      <c r="DX145" s="358"/>
      <c r="DY145" s="358"/>
      <c r="DZ145" s="358"/>
      <c r="EA145" s="358"/>
      <c r="EB145" s="358"/>
      <c r="EC145" s="358"/>
      <c r="ED145" s="358"/>
      <c r="EE145" s="358"/>
      <c r="EF145" s="358"/>
      <c r="EG145" s="358"/>
      <c r="EH145" s="358"/>
      <c r="EI145" s="358"/>
      <c r="EJ145" s="358"/>
      <c r="EK145" s="358"/>
      <c r="EL145" s="358"/>
      <c r="EM145" s="358"/>
      <c r="EN145" s="358"/>
      <c r="EO145" s="358"/>
      <c r="EP145" s="358"/>
      <c r="EQ145" s="358"/>
      <c r="ER145" s="358"/>
      <c r="ES145" s="358"/>
      <c r="ET145" s="358"/>
      <c r="EU145" s="358"/>
      <c r="EV145" s="358"/>
      <c r="EW145" s="358"/>
      <c r="EX145" s="358"/>
      <c r="EY145" s="358"/>
      <c r="EZ145" s="371"/>
    </row>
    <row r="146" spans="1:156" ht="11.15" customHeight="1" x14ac:dyDescent="0.35">
      <c r="A146" s="987">
        <v>5.08</v>
      </c>
      <c r="B146" s="988">
        <v>4</v>
      </c>
      <c r="C146" s="989">
        <f ca="1">IF(OR($N$8="",$N$8=0),"",IF(INDIRECT(ADDRESS(($AK146),COLUMN()+32,,,"Digitar Dados dos Ensaios"))&lt;&gt;"",INDIRECT(ADDRESS(($AK146),COLUMN()+32,,,"Digitar Dados dos Ensaios")),""))</f>
        <v>902</v>
      </c>
      <c r="D146" s="990">
        <f t="shared" ca="1" si="75"/>
        <v>46.614987080103354</v>
      </c>
      <c r="E146" s="994">
        <f ca="1">IF(C146&lt;&gt;"",D146/105.46,"")</f>
        <v>0.4420158077005818</v>
      </c>
      <c r="F146" s="981"/>
      <c r="G146" s="981"/>
      <c r="H146" s="981"/>
      <c r="I146" s="981"/>
      <c r="J146" s="981"/>
      <c r="K146" s="981"/>
      <c r="L146" s="982"/>
      <c r="AK146" s="357">
        <f t="shared" si="76"/>
        <v>9</v>
      </c>
      <c r="AL146" s="358"/>
      <c r="AM146" s="358"/>
      <c r="AN146" s="358"/>
      <c r="AO146" s="358"/>
      <c r="AP146" s="358"/>
      <c r="AQ146" s="358"/>
      <c r="AR146" s="358"/>
      <c r="AS146" s="358"/>
      <c r="AT146" s="358"/>
      <c r="AU146" s="358"/>
      <c r="AV146" s="358"/>
      <c r="AW146" s="358"/>
      <c r="AX146" s="358"/>
      <c r="AY146" s="358"/>
      <c r="AZ146" s="358"/>
      <c r="BA146" s="358"/>
      <c r="BB146" s="358"/>
      <c r="BC146" s="358"/>
      <c r="BD146" s="421"/>
      <c r="BE146" s="358"/>
      <c r="BF146" s="358"/>
      <c r="BG146" s="358"/>
      <c r="BH146" s="358"/>
      <c r="BI146" s="358"/>
      <c r="BJ146" s="358"/>
      <c r="BK146" s="358"/>
      <c r="BL146" s="358"/>
      <c r="BM146" s="358"/>
      <c r="BN146" s="358"/>
      <c r="BO146" s="358"/>
      <c r="BP146" s="358"/>
      <c r="BQ146" s="358"/>
      <c r="BR146" s="358"/>
      <c r="BS146" s="358"/>
      <c r="BT146" s="358"/>
      <c r="BU146" s="358"/>
      <c r="BV146" s="358"/>
      <c r="BW146" s="358"/>
      <c r="BX146" s="358"/>
      <c r="BY146" s="358"/>
      <c r="BZ146" s="358"/>
      <c r="CA146" s="358"/>
      <c r="CB146" s="358"/>
      <c r="CC146" s="358"/>
      <c r="CD146" s="358"/>
      <c r="CE146" s="358"/>
      <c r="CF146" s="358"/>
      <c r="CG146" s="358"/>
      <c r="CH146" s="358"/>
      <c r="CI146" s="358"/>
      <c r="CJ146" s="371"/>
      <c r="CK146" s="358"/>
      <c r="CL146" s="358"/>
      <c r="CM146" s="358"/>
      <c r="CN146" s="358"/>
      <c r="CO146" s="358"/>
      <c r="CP146" s="358"/>
      <c r="CQ146" s="358"/>
      <c r="CR146" s="358"/>
      <c r="CS146" s="358"/>
      <c r="CT146" s="358"/>
      <c r="CU146" s="358"/>
      <c r="CV146" s="358"/>
      <c r="CW146" s="358"/>
      <c r="CX146" s="358"/>
      <c r="CY146" s="358"/>
      <c r="CZ146" s="358"/>
      <c r="DA146" s="358"/>
      <c r="DB146" s="358"/>
      <c r="DC146" s="358"/>
      <c r="DD146" s="358"/>
      <c r="DE146" s="358"/>
      <c r="DF146" s="358"/>
      <c r="DG146" s="358"/>
      <c r="DH146" s="358"/>
      <c r="DI146" s="358"/>
      <c r="DJ146" s="358"/>
      <c r="DK146" s="358"/>
      <c r="DL146" s="358"/>
      <c r="DM146" s="358"/>
      <c r="DN146" s="358"/>
      <c r="DO146" s="358"/>
      <c r="DP146" s="358"/>
      <c r="DQ146" s="358"/>
      <c r="DR146" s="358"/>
      <c r="DS146" s="358"/>
      <c r="DT146" s="358"/>
      <c r="DU146" s="358"/>
      <c r="DV146" s="358"/>
      <c r="DW146" s="358"/>
      <c r="DX146" s="358"/>
      <c r="DY146" s="358"/>
      <c r="DZ146" s="358"/>
      <c r="EA146" s="358"/>
      <c r="EB146" s="358"/>
      <c r="EC146" s="358"/>
      <c r="ED146" s="358"/>
      <c r="EE146" s="358"/>
      <c r="EF146" s="358"/>
      <c r="EG146" s="358"/>
      <c r="EH146" s="358"/>
      <c r="EI146" s="358"/>
      <c r="EJ146" s="358"/>
      <c r="EK146" s="358"/>
      <c r="EL146" s="358"/>
      <c r="EM146" s="358"/>
      <c r="EN146" s="358"/>
      <c r="EO146" s="358"/>
      <c r="EP146" s="358"/>
      <c r="EQ146" s="358"/>
      <c r="ER146" s="358"/>
      <c r="ES146" s="358"/>
      <c r="ET146" s="358"/>
      <c r="EU146" s="358"/>
      <c r="EV146" s="358"/>
      <c r="EW146" s="358"/>
      <c r="EX146" s="358"/>
      <c r="EY146" s="358"/>
      <c r="EZ146" s="371"/>
    </row>
    <row r="147" spans="1:156" ht="11.15" customHeight="1" x14ac:dyDescent="0.35">
      <c r="A147" s="987">
        <v>6.35</v>
      </c>
      <c r="B147" s="988">
        <v>5</v>
      </c>
      <c r="C147" s="989">
        <f ca="1">IF(OR($N$8="",$N$8=0),"",IF(INDIRECT(ADDRESS(($AK147),COLUMN()+33,,,"Digitar Dados dos Ensaios"))&lt;&gt;"",INDIRECT(ADDRESS(($AK147),COLUMN()+33,,,"Digitar Dados dos Ensaios")),""))</f>
        <v>1023</v>
      </c>
      <c r="D147" s="990">
        <f t="shared" ca="1" si="75"/>
        <v>52.86821705426356</v>
      </c>
      <c r="E147" s="992" t="str">
        <f ca="1">IF(E148="","","Corrigido")</f>
        <v/>
      </c>
      <c r="F147" s="981"/>
      <c r="G147" s="981"/>
      <c r="H147" s="981"/>
      <c r="I147" s="981"/>
      <c r="J147" s="981"/>
      <c r="K147" s="981"/>
      <c r="L147" s="982"/>
      <c r="AK147" s="357">
        <f t="shared" si="76"/>
        <v>9</v>
      </c>
      <c r="AL147" s="358"/>
      <c r="AM147" s="358"/>
      <c r="AN147" s="358"/>
      <c r="AO147" s="358"/>
      <c r="AP147" s="358"/>
      <c r="AQ147" s="358"/>
      <c r="AR147" s="358"/>
      <c r="AS147" s="358"/>
      <c r="AT147" s="358"/>
      <c r="AU147" s="358"/>
      <c r="AV147" s="358"/>
      <c r="AW147" s="358"/>
      <c r="AX147" s="358"/>
      <c r="AY147" s="358"/>
      <c r="AZ147" s="358"/>
      <c r="BA147" s="358"/>
      <c r="BB147" s="358"/>
      <c r="BC147" s="358"/>
      <c r="BD147" s="421"/>
      <c r="BE147" s="358"/>
      <c r="BF147" s="358"/>
      <c r="BG147" s="358"/>
      <c r="BH147" s="358"/>
      <c r="BI147" s="358"/>
      <c r="BJ147" s="358"/>
      <c r="BK147" s="358"/>
      <c r="BL147" s="358"/>
      <c r="BM147" s="358"/>
      <c r="BN147" s="358"/>
      <c r="BO147" s="358"/>
      <c r="BP147" s="358"/>
      <c r="BQ147" s="358"/>
      <c r="BR147" s="358"/>
      <c r="BS147" s="358"/>
      <c r="BT147" s="358"/>
      <c r="BU147" s="358"/>
      <c r="BV147" s="358"/>
      <c r="BW147" s="358"/>
      <c r="BX147" s="358"/>
      <c r="BY147" s="358"/>
      <c r="BZ147" s="358"/>
      <c r="CA147" s="358"/>
      <c r="CB147" s="358"/>
      <c r="CC147" s="358"/>
      <c r="CD147" s="358"/>
      <c r="CE147" s="358"/>
      <c r="CF147" s="358"/>
      <c r="CG147" s="358"/>
      <c r="CH147" s="358"/>
      <c r="CI147" s="358"/>
      <c r="CJ147" s="371"/>
      <c r="CK147" s="358"/>
      <c r="CL147" s="358"/>
      <c r="CM147" s="358"/>
      <c r="CN147" s="358"/>
      <c r="CO147" s="358"/>
      <c r="CP147" s="358"/>
      <c r="CQ147" s="358"/>
      <c r="CR147" s="358"/>
      <c r="CS147" s="358"/>
      <c r="CT147" s="358"/>
      <c r="CU147" s="358"/>
      <c r="CV147" s="358"/>
      <c r="CW147" s="358"/>
      <c r="CX147" s="358"/>
      <c r="CY147" s="358"/>
      <c r="CZ147" s="358"/>
      <c r="DA147" s="358"/>
      <c r="DB147" s="358"/>
      <c r="DC147" s="358"/>
      <c r="DD147" s="358"/>
      <c r="DE147" s="358"/>
      <c r="DF147" s="358"/>
      <c r="DG147" s="358"/>
      <c r="DH147" s="358"/>
      <c r="DI147" s="358"/>
      <c r="DJ147" s="358"/>
      <c r="DK147" s="358"/>
      <c r="DL147" s="358"/>
      <c r="DM147" s="358"/>
      <c r="DN147" s="358"/>
      <c r="DO147" s="358"/>
      <c r="DP147" s="358"/>
      <c r="DQ147" s="358"/>
      <c r="DR147" s="358"/>
      <c r="DS147" s="358"/>
      <c r="DT147" s="358"/>
      <c r="DU147" s="358"/>
      <c r="DV147" s="358"/>
      <c r="DW147" s="358"/>
      <c r="DX147" s="358"/>
      <c r="DY147" s="358"/>
      <c r="DZ147" s="358"/>
      <c r="EA147" s="358"/>
      <c r="EB147" s="358"/>
      <c r="EC147" s="358"/>
      <c r="ED147" s="358"/>
      <c r="EE147" s="358"/>
      <c r="EF147" s="358"/>
      <c r="EG147" s="358"/>
      <c r="EH147" s="358"/>
      <c r="EI147" s="358"/>
      <c r="EJ147" s="358"/>
      <c r="EK147" s="358"/>
      <c r="EL147" s="358"/>
      <c r="EM147" s="358"/>
      <c r="EN147" s="358"/>
      <c r="EO147" s="358"/>
      <c r="EP147" s="358"/>
      <c r="EQ147" s="358"/>
      <c r="ER147" s="358"/>
      <c r="ES147" s="358"/>
      <c r="ET147" s="358"/>
      <c r="EU147" s="358"/>
      <c r="EV147" s="358"/>
      <c r="EW147" s="358"/>
      <c r="EX147" s="358"/>
      <c r="EY147" s="358"/>
      <c r="EZ147" s="371"/>
    </row>
    <row r="148" spans="1:156" ht="11.15" customHeight="1" x14ac:dyDescent="0.35">
      <c r="A148" s="1004">
        <v>7.62</v>
      </c>
      <c r="B148" s="1005">
        <v>6</v>
      </c>
      <c r="C148" s="1006">
        <f ca="1">IF(OR($N$8="",$N$8=0),"",IF(INDIRECT(ADDRESS(($AK148),COLUMN()+34,,,"Digitar Dados dos Ensaios"))&lt;&gt;"",INDIRECT(ADDRESS(($AK148),COLUMN()+34,,,"Digitar Dados dos Ensaios")),""))</f>
        <v>1173</v>
      </c>
      <c r="D148" s="990">
        <f t="shared" ca="1" si="75"/>
        <v>60.620155038759684</v>
      </c>
      <c r="E148" s="998" t="str">
        <f ca="1">IF(BZ137="","",IF(BZ137&gt;0,BZ137,""))</f>
        <v/>
      </c>
      <c r="F148" s="999"/>
      <c r="G148" s="999"/>
      <c r="H148" s="999"/>
      <c r="I148" s="999"/>
      <c r="J148" s="999"/>
      <c r="K148" s="999"/>
      <c r="L148" s="1000"/>
      <c r="AK148" s="357">
        <f t="shared" si="76"/>
        <v>9</v>
      </c>
      <c r="AL148" s="358"/>
      <c r="AM148" s="358"/>
      <c r="AN148" s="358"/>
      <c r="AO148" s="358"/>
      <c r="AP148" s="358"/>
      <c r="AQ148" s="358"/>
      <c r="AR148" s="358"/>
      <c r="AS148" s="358"/>
      <c r="AT148" s="358"/>
      <c r="AU148" s="358"/>
      <c r="AV148" s="358"/>
      <c r="AW148" s="358"/>
      <c r="AX148" s="358"/>
      <c r="AY148" s="358"/>
      <c r="AZ148" s="358"/>
      <c r="BA148" s="358"/>
      <c r="BB148" s="358"/>
      <c r="BC148" s="358"/>
      <c r="BD148" s="425"/>
      <c r="BE148" s="426"/>
      <c r="BF148" s="426"/>
      <c r="BG148" s="426"/>
      <c r="BH148" s="426"/>
      <c r="BI148" s="426"/>
      <c r="BJ148" s="426"/>
      <c r="BK148" s="426"/>
      <c r="BL148" s="426"/>
      <c r="BM148" s="426"/>
      <c r="BN148" s="426"/>
      <c r="BO148" s="426"/>
      <c r="BP148" s="426"/>
      <c r="BQ148" s="426"/>
      <c r="BR148" s="426"/>
      <c r="BS148" s="426"/>
      <c r="BT148" s="426"/>
      <c r="BU148" s="426"/>
      <c r="BV148" s="426"/>
      <c r="BW148" s="426"/>
      <c r="BX148" s="426"/>
      <c r="BY148" s="426"/>
      <c r="BZ148" s="426"/>
      <c r="CA148" s="426"/>
      <c r="CB148" s="426"/>
      <c r="CC148" s="426"/>
      <c r="CD148" s="426"/>
      <c r="CE148" s="426"/>
      <c r="CF148" s="426"/>
      <c r="CG148" s="426"/>
      <c r="CH148" s="426"/>
      <c r="CI148" s="426"/>
      <c r="CJ148" s="427"/>
      <c r="CK148" s="358"/>
      <c r="CL148" s="358"/>
      <c r="CM148" s="358"/>
      <c r="CN148" s="358"/>
      <c r="CO148" s="358"/>
      <c r="CP148" s="358"/>
      <c r="CQ148" s="358"/>
      <c r="CR148" s="358"/>
      <c r="CS148" s="358"/>
      <c r="CT148" s="358"/>
      <c r="CU148" s="358"/>
      <c r="CV148" s="358"/>
      <c r="CW148" s="358"/>
      <c r="CX148" s="358"/>
      <c r="CY148" s="358"/>
      <c r="CZ148" s="358"/>
      <c r="DA148" s="358"/>
      <c r="DB148" s="358"/>
      <c r="DC148" s="358"/>
      <c r="DD148" s="358"/>
      <c r="DE148" s="358"/>
      <c r="DF148" s="358"/>
      <c r="DG148" s="358"/>
      <c r="DH148" s="358"/>
      <c r="DI148" s="358"/>
      <c r="DJ148" s="358"/>
      <c r="DK148" s="358"/>
      <c r="DL148" s="358"/>
      <c r="DM148" s="358"/>
      <c r="DN148" s="358"/>
      <c r="DO148" s="358"/>
      <c r="DP148" s="358"/>
      <c r="DQ148" s="358"/>
      <c r="DR148" s="358"/>
      <c r="DS148" s="358"/>
      <c r="DT148" s="358"/>
      <c r="DU148" s="358"/>
      <c r="DV148" s="358"/>
      <c r="DW148" s="358"/>
      <c r="DX148" s="358"/>
      <c r="DY148" s="358"/>
      <c r="DZ148" s="358"/>
      <c r="EA148" s="358"/>
      <c r="EB148" s="358"/>
      <c r="EC148" s="358"/>
      <c r="ED148" s="358"/>
      <c r="EE148" s="358"/>
      <c r="EF148" s="358"/>
      <c r="EG148" s="358"/>
      <c r="EH148" s="358"/>
      <c r="EI148" s="358"/>
      <c r="EJ148" s="358"/>
      <c r="EK148" s="358"/>
      <c r="EL148" s="358"/>
      <c r="EM148" s="358"/>
      <c r="EN148" s="358"/>
      <c r="EO148" s="358"/>
      <c r="EP148" s="358"/>
      <c r="EQ148" s="358"/>
      <c r="ER148" s="358"/>
      <c r="ES148" s="358"/>
      <c r="ET148" s="358"/>
      <c r="EU148" s="358"/>
      <c r="EV148" s="358"/>
      <c r="EW148" s="358"/>
      <c r="EX148" s="358"/>
      <c r="EY148" s="358"/>
      <c r="EZ148" s="371"/>
    </row>
    <row r="149" spans="1:156" ht="11.15" customHeight="1" x14ac:dyDescent="0.25">
      <c r="A149" s="1216"/>
      <c r="B149" s="1007"/>
      <c r="C149" s="912"/>
      <c r="D149" s="1008"/>
      <c r="E149" s="1009"/>
      <c r="F149" s="981"/>
      <c r="G149" s="981"/>
      <c r="H149" s="981"/>
      <c r="I149" s="981"/>
      <c r="J149" s="981"/>
      <c r="K149" s="981"/>
      <c r="L149" s="982"/>
      <c r="AK149" s="357"/>
      <c r="AL149" s="358"/>
      <c r="AM149" s="358"/>
      <c r="AN149" s="358"/>
      <c r="AO149" s="358"/>
      <c r="AP149" s="358"/>
      <c r="AQ149" s="358"/>
      <c r="AR149" s="358"/>
      <c r="AS149" s="358"/>
      <c r="AT149" s="358"/>
      <c r="AU149" s="358"/>
      <c r="AV149" s="358"/>
      <c r="AW149" s="358"/>
      <c r="AX149" s="358"/>
      <c r="AY149" s="358"/>
      <c r="AZ149" s="358"/>
      <c r="BA149" s="358"/>
      <c r="BB149" s="358"/>
      <c r="BC149" s="358"/>
      <c r="BD149" s="425"/>
      <c r="BE149" s="426"/>
      <c r="BF149" s="426"/>
      <c r="BG149" s="426"/>
      <c r="BH149" s="426"/>
      <c r="BI149" s="426"/>
      <c r="BJ149" s="426"/>
      <c r="BK149" s="426"/>
      <c r="BL149" s="426"/>
      <c r="BM149" s="426"/>
      <c r="BN149" s="426"/>
      <c r="BO149" s="426"/>
      <c r="BP149" s="426"/>
      <c r="BQ149" s="426"/>
      <c r="BR149" s="426"/>
      <c r="BS149" s="426"/>
      <c r="BT149" s="426"/>
      <c r="BU149" s="426"/>
      <c r="BV149" s="426"/>
      <c r="BW149" s="426"/>
      <c r="BX149" s="426"/>
      <c r="BY149" s="426"/>
      <c r="BZ149" s="426"/>
      <c r="CA149" s="426"/>
      <c r="CB149" s="426"/>
      <c r="CC149" s="426"/>
      <c r="CD149" s="426"/>
      <c r="CE149" s="426"/>
      <c r="CF149" s="426"/>
      <c r="CG149" s="426"/>
      <c r="CH149" s="426"/>
      <c r="CI149" s="426"/>
      <c r="CJ149" s="427"/>
      <c r="CK149" s="358"/>
      <c r="CL149" s="358"/>
      <c r="CM149" s="358"/>
      <c r="CN149" s="358"/>
      <c r="CO149" s="358"/>
      <c r="CP149" s="358"/>
      <c r="CQ149" s="358"/>
      <c r="CR149" s="358"/>
      <c r="CS149" s="358"/>
      <c r="CT149" s="358"/>
      <c r="CU149" s="358"/>
      <c r="CV149" s="358"/>
      <c r="CW149" s="358"/>
      <c r="CX149" s="358"/>
      <c r="CY149" s="358"/>
      <c r="CZ149" s="358"/>
      <c r="DA149" s="358"/>
      <c r="DB149" s="358"/>
      <c r="DC149" s="358"/>
      <c r="DD149" s="358"/>
      <c r="DE149" s="358"/>
      <c r="DF149" s="358"/>
      <c r="DG149" s="358"/>
      <c r="DH149" s="358"/>
      <c r="DI149" s="358"/>
      <c r="DJ149" s="358"/>
      <c r="DK149" s="358"/>
      <c r="DL149" s="358"/>
      <c r="DM149" s="358"/>
      <c r="DN149" s="358"/>
      <c r="DO149" s="358"/>
      <c r="DP149" s="358"/>
      <c r="DQ149" s="358"/>
      <c r="DR149" s="358"/>
      <c r="DS149" s="358"/>
      <c r="DT149" s="358"/>
      <c r="DU149" s="358"/>
      <c r="DV149" s="358"/>
      <c r="DW149" s="358"/>
      <c r="DX149" s="358"/>
      <c r="DY149" s="358"/>
      <c r="DZ149" s="358"/>
      <c r="EA149" s="358"/>
      <c r="EB149" s="358"/>
      <c r="EC149" s="358"/>
      <c r="ED149" s="358"/>
      <c r="EE149" s="358"/>
      <c r="EF149" s="358"/>
      <c r="EG149" s="358"/>
      <c r="EH149" s="358"/>
      <c r="EI149" s="358"/>
      <c r="EJ149" s="358"/>
      <c r="EK149" s="358"/>
      <c r="EL149" s="358"/>
      <c r="EM149" s="358"/>
      <c r="EN149" s="358"/>
      <c r="EO149" s="358"/>
      <c r="EP149" s="358"/>
      <c r="EQ149" s="358"/>
      <c r="ER149" s="358"/>
      <c r="ES149" s="358"/>
      <c r="ET149" s="358"/>
      <c r="EU149" s="358"/>
      <c r="EV149" s="358"/>
      <c r="EW149" s="358"/>
      <c r="EX149" s="358"/>
      <c r="EY149" s="358"/>
      <c r="EZ149" s="371"/>
    </row>
    <row r="150" spans="1:156" ht="11.15" customHeight="1" x14ac:dyDescent="0.25">
      <c r="A150" s="1216"/>
      <c r="B150" s="1007"/>
      <c r="C150" s="912"/>
      <c r="D150" s="1008"/>
      <c r="E150" s="1009"/>
      <c r="F150" s="981"/>
      <c r="G150" s="981"/>
      <c r="H150" s="981"/>
      <c r="I150" s="981"/>
      <c r="J150" s="981"/>
      <c r="K150" s="981"/>
      <c r="L150" s="982"/>
      <c r="AK150" s="357"/>
      <c r="AL150" s="358"/>
      <c r="AM150" s="358"/>
      <c r="AN150" s="358"/>
      <c r="AO150" s="358"/>
      <c r="AP150" s="358"/>
      <c r="AQ150" s="358"/>
      <c r="AR150" s="358"/>
      <c r="AS150" s="358"/>
      <c r="AT150" s="358"/>
      <c r="AU150" s="358"/>
      <c r="AV150" s="358"/>
      <c r="AW150" s="358"/>
      <c r="AX150" s="358"/>
      <c r="AY150" s="358"/>
      <c r="AZ150" s="358"/>
      <c r="BA150" s="358"/>
      <c r="BB150" s="358"/>
      <c r="BC150" s="358"/>
      <c r="BD150" s="425"/>
      <c r="BE150" s="426"/>
      <c r="BF150" s="426"/>
      <c r="BG150" s="426"/>
      <c r="BH150" s="426"/>
      <c r="BI150" s="426"/>
      <c r="BJ150" s="426"/>
      <c r="BK150" s="426"/>
      <c r="BL150" s="426"/>
      <c r="BM150" s="426"/>
      <c r="BN150" s="426"/>
      <c r="BO150" s="426"/>
      <c r="BP150" s="426"/>
      <c r="BQ150" s="426"/>
      <c r="BR150" s="426"/>
      <c r="BS150" s="426"/>
      <c r="BT150" s="426"/>
      <c r="BU150" s="426"/>
      <c r="BV150" s="426"/>
      <c r="BW150" s="426"/>
      <c r="BX150" s="426"/>
      <c r="BY150" s="426"/>
      <c r="BZ150" s="426"/>
      <c r="CA150" s="426"/>
      <c r="CB150" s="426"/>
      <c r="CC150" s="426"/>
      <c r="CD150" s="426"/>
      <c r="CE150" s="426"/>
      <c r="CF150" s="426"/>
      <c r="CG150" s="426"/>
      <c r="CH150" s="426"/>
      <c r="CI150" s="426"/>
      <c r="CJ150" s="427"/>
      <c r="CK150" s="358"/>
      <c r="CL150" s="358"/>
      <c r="CM150" s="358"/>
      <c r="CN150" s="358"/>
      <c r="CO150" s="358"/>
      <c r="CP150" s="358"/>
      <c r="CQ150" s="358"/>
      <c r="CR150" s="358"/>
      <c r="CS150" s="358"/>
      <c r="CT150" s="358"/>
      <c r="CU150" s="358"/>
      <c r="CV150" s="358"/>
      <c r="CW150" s="358"/>
      <c r="CX150" s="358"/>
      <c r="CY150" s="358"/>
      <c r="CZ150" s="358"/>
      <c r="DA150" s="358"/>
      <c r="DB150" s="358"/>
      <c r="DC150" s="358"/>
      <c r="DD150" s="358"/>
      <c r="DE150" s="358"/>
      <c r="DF150" s="358"/>
      <c r="DG150" s="358"/>
      <c r="DH150" s="358"/>
      <c r="DI150" s="358"/>
      <c r="DJ150" s="358"/>
      <c r="DK150" s="358"/>
      <c r="DL150" s="358"/>
      <c r="DM150" s="358"/>
      <c r="DN150" s="358"/>
      <c r="DO150" s="358"/>
      <c r="DP150" s="358"/>
      <c r="DQ150" s="358"/>
      <c r="DR150" s="358"/>
      <c r="DS150" s="358"/>
      <c r="DT150" s="358"/>
      <c r="DU150" s="358"/>
      <c r="DV150" s="358"/>
      <c r="DW150" s="358"/>
      <c r="DX150" s="358"/>
      <c r="DY150" s="358"/>
      <c r="DZ150" s="358"/>
      <c r="EA150" s="358"/>
      <c r="EB150" s="358"/>
      <c r="EC150" s="358"/>
      <c r="ED150" s="358"/>
      <c r="EE150" s="358"/>
      <c r="EF150" s="358"/>
      <c r="EG150" s="358"/>
      <c r="EH150" s="358"/>
      <c r="EI150" s="358"/>
      <c r="EJ150" s="358"/>
      <c r="EK150" s="358"/>
      <c r="EL150" s="358"/>
      <c r="EM150" s="358"/>
      <c r="EN150" s="358"/>
      <c r="EO150" s="358"/>
      <c r="EP150" s="358"/>
      <c r="EQ150" s="358"/>
      <c r="ER150" s="358"/>
      <c r="ES150" s="358"/>
      <c r="ET150" s="358"/>
      <c r="EU150" s="358"/>
      <c r="EV150" s="358"/>
      <c r="EW150" s="358"/>
      <c r="EX150" s="358"/>
      <c r="EY150" s="358"/>
      <c r="EZ150" s="371"/>
    </row>
    <row r="151" spans="1:156" ht="11.15" customHeight="1" x14ac:dyDescent="0.25">
      <c r="A151" s="1213"/>
      <c r="B151" s="1425"/>
      <c r="C151" s="1425"/>
      <c r="D151" s="1425"/>
      <c r="E151" s="1425"/>
      <c r="F151" s="912"/>
      <c r="G151" s="1425"/>
      <c r="H151" s="1425"/>
      <c r="I151" s="1425"/>
      <c r="J151" s="1425"/>
      <c r="K151" s="1425"/>
      <c r="L151" s="974"/>
      <c r="AK151" s="357"/>
      <c r="AL151" s="358"/>
      <c r="AM151" s="358"/>
      <c r="AN151" s="358"/>
      <c r="AO151" s="358"/>
      <c r="AP151" s="358"/>
      <c r="AQ151" s="358"/>
      <c r="AR151" s="358"/>
      <c r="AS151" s="358"/>
      <c r="AT151" s="358"/>
      <c r="AU151" s="358"/>
      <c r="AV151" s="358"/>
      <c r="AW151" s="358"/>
      <c r="AX151" s="358"/>
      <c r="AY151" s="358"/>
      <c r="AZ151" s="358"/>
      <c r="BA151" s="358"/>
      <c r="BB151" s="358"/>
      <c r="BC151" s="358"/>
      <c r="BD151" s="425"/>
      <c r="BE151" s="426"/>
      <c r="BF151" s="426"/>
      <c r="BG151" s="426"/>
      <c r="BH151" s="426"/>
      <c r="BI151" s="426"/>
      <c r="BJ151" s="426"/>
      <c r="BK151" s="426"/>
      <c r="BL151" s="426"/>
      <c r="BM151" s="426"/>
      <c r="BN151" s="426"/>
      <c r="BO151" s="426"/>
      <c r="BP151" s="426"/>
      <c r="BQ151" s="426"/>
      <c r="BR151" s="426"/>
      <c r="BS151" s="426"/>
      <c r="BT151" s="426"/>
      <c r="BU151" s="426"/>
      <c r="BV151" s="426"/>
      <c r="BW151" s="426"/>
      <c r="BX151" s="426"/>
      <c r="BY151" s="426"/>
      <c r="BZ151" s="426"/>
      <c r="CA151" s="426"/>
      <c r="CB151" s="426"/>
      <c r="CC151" s="426"/>
      <c r="CD151" s="426"/>
      <c r="CE151" s="426"/>
      <c r="CF151" s="426"/>
      <c r="CG151" s="426"/>
      <c r="CH151" s="426"/>
      <c r="CI151" s="426"/>
      <c r="CJ151" s="427"/>
      <c r="CK151" s="358"/>
      <c r="CL151" s="358"/>
      <c r="CM151" s="358"/>
      <c r="CN151" s="358"/>
      <c r="CO151" s="358"/>
      <c r="CP151" s="358"/>
      <c r="CQ151" s="358"/>
      <c r="CR151" s="358"/>
      <c r="CS151" s="358"/>
      <c r="CT151" s="358"/>
      <c r="CU151" s="358"/>
      <c r="CV151" s="358"/>
      <c r="CW151" s="358"/>
      <c r="CX151" s="358"/>
      <c r="CY151" s="358"/>
      <c r="CZ151" s="358"/>
      <c r="DA151" s="358"/>
      <c r="DB151" s="358"/>
      <c r="DC151" s="358"/>
      <c r="DD151" s="358"/>
      <c r="DE151" s="358"/>
      <c r="DF151" s="358"/>
      <c r="DG151" s="358"/>
      <c r="DH151" s="358"/>
      <c r="DI151" s="358"/>
      <c r="DJ151" s="358"/>
      <c r="DK151" s="358"/>
      <c r="DL151" s="358"/>
      <c r="DM151" s="358"/>
      <c r="DN151" s="358"/>
      <c r="DO151" s="358"/>
      <c r="DP151" s="358"/>
      <c r="DQ151" s="358"/>
      <c r="DR151" s="358"/>
      <c r="DS151" s="358"/>
      <c r="DT151" s="358"/>
      <c r="DU151" s="358"/>
      <c r="DV151" s="358"/>
      <c r="DW151" s="358"/>
      <c r="DX151" s="358"/>
      <c r="DY151" s="358"/>
      <c r="DZ151" s="358"/>
      <c r="EA151" s="358"/>
      <c r="EB151" s="358"/>
      <c r="EC151" s="358"/>
      <c r="ED151" s="358"/>
      <c r="EE151" s="358"/>
      <c r="EF151" s="358"/>
      <c r="EG151" s="358"/>
      <c r="EH151" s="358"/>
      <c r="EI151" s="358"/>
      <c r="EJ151" s="358"/>
      <c r="EK151" s="358"/>
      <c r="EL151" s="358"/>
      <c r="EM151" s="358"/>
      <c r="EN151" s="358"/>
      <c r="EO151" s="358"/>
      <c r="EP151" s="358"/>
      <c r="EQ151" s="358"/>
      <c r="ER151" s="358"/>
      <c r="ES151" s="358"/>
      <c r="ET151" s="358"/>
      <c r="EU151" s="358"/>
      <c r="EV151" s="358"/>
      <c r="EW151" s="358"/>
      <c r="EX151" s="358"/>
      <c r="EY151" s="358"/>
      <c r="EZ151" s="371"/>
    </row>
    <row r="152" spans="1:156" ht="11.15" customHeight="1" x14ac:dyDescent="0.25">
      <c r="A152" s="1214"/>
      <c r="B152" s="1165"/>
      <c r="C152" s="914" t="s">
        <v>190</v>
      </c>
      <c r="D152" s="914"/>
      <c r="E152" s="914"/>
      <c r="F152" s="913"/>
      <c r="G152" s="1418" t="s">
        <v>191</v>
      </c>
      <c r="H152" s="1418"/>
      <c r="I152" s="1418"/>
      <c r="J152" s="1418"/>
      <c r="K152" s="1418"/>
      <c r="L152" s="974"/>
      <c r="AK152" s="357"/>
      <c r="AL152" s="358"/>
      <c r="AM152" s="358"/>
      <c r="AN152" s="358"/>
      <c r="AO152" s="358"/>
      <c r="AP152" s="358"/>
      <c r="AQ152" s="358"/>
      <c r="AR152" s="358"/>
      <c r="AS152" s="358"/>
      <c r="AT152" s="358"/>
      <c r="AU152" s="358"/>
      <c r="AV152" s="358"/>
      <c r="AW152" s="358"/>
      <c r="AX152" s="358"/>
      <c r="AY152" s="358"/>
      <c r="AZ152" s="358"/>
      <c r="BA152" s="358"/>
      <c r="BB152" s="358"/>
      <c r="BC152" s="358"/>
      <c r="BD152" s="425"/>
      <c r="BE152" s="426"/>
      <c r="BF152" s="426"/>
      <c r="BG152" s="426"/>
      <c r="BH152" s="426"/>
      <c r="BI152" s="426"/>
      <c r="BJ152" s="426"/>
      <c r="BK152" s="426"/>
      <c r="BL152" s="426"/>
      <c r="BM152" s="426"/>
      <c r="BN152" s="426"/>
      <c r="BO152" s="426"/>
      <c r="BP152" s="426"/>
      <c r="BQ152" s="426"/>
      <c r="BR152" s="426"/>
      <c r="BS152" s="426"/>
      <c r="BT152" s="426"/>
      <c r="BU152" s="426"/>
      <c r="BV152" s="426"/>
      <c r="BW152" s="426"/>
      <c r="BX152" s="426"/>
      <c r="BY152" s="426"/>
      <c r="BZ152" s="426"/>
      <c r="CA152" s="426"/>
      <c r="CB152" s="426"/>
      <c r="CC152" s="426"/>
      <c r="CD152" s="426"/>
      <c r="CE152" s="426"/>
      <c r="CF152" s="426"/>
      <c r="CG152" s="426"/>
      <c r="CH152" s="426"/>
      <c r="CI152" s="426"/>
      <c r="CJ152" s="427"/>
      <c r="CK152" s="358"/>
      <c r="CL152" s="358"/>
      <c r="CM152" s="358"/>
      <c r="CN152" s="358"/>
      <c r="CO152" s="358"/>
      <c r="CP152" s="358"/>
      <c r="CQ152" s="358"/>
      <c r="CR152" s="358"/>
      <c r="CS152" s="358"/>
      <c r="CT152" s="358"/>
      <c r="CU152" s="358"/>
      <c r="CV152" s="358"/>
      <c r="CW152" s="358"/>
      <c r="CX152" s="358"/>
      <c r="CY152" s="358"/>
      <c r="CZ152" s="358"/>
      <c r="DA152" s="358"/>
      <c r="DB152" s="358"/>
      <c r="DC152" s="358"/>
      <c r="DD152" s="358"/>
      <c r="DE152" s="358"/>
      <c r="DF152" s="358"/>
      <c r="DG152" s="358"/>
      <c r="DH152" s="358"/>
      <c r="DI152" s="358"/>
      <c r="DJ152" s="358"/>
      <c r="DK152" s="358"/>
      <c r="DL152" s="358"/>
      <c r="DM152" s="358"/>
      <c r="DN152" s="358"/>
      <c r="DO152" s="358"/>
      <c r="DP152" s="358"/>
      <c r="DQ152" s="358"/>
      <c r="DR152" s="358"/>
      <c r="DS152" s="358"/>
      <c r="DT152" s="358"/>
      <c r="DU152" s="358"/>
      <c r="DV152" s="358"/>
      <c r="DW152" s="358"/>
      <c r="DX152" s="358"/>
      <c r="DY152" s="358"/>
      <c r="DZ152" s="358"/>
      <c r="EA152" s="358"/>
      <c r="EB152" s="358"/>
      <c r="EC152" s="358"/>
      <c r="ED152" s="358"/>
      <c r="EE152" s="358"/>
      <c r="EF152" s="358"/>
      <c r="EG152" s="358"/>
      <c r="EH152" s="358"/>
      <c r="EI152" s="358"/>
      <c r="EJ152" s="358"/>
      <c r="EK152" s="358"/>
      <c r="EL152" s="358"/>
      <c r="EM152" s="358"/>
      <c r="EN152" s="358"/>
      <c r="EO152" s="358"/>
      <c r="EP152" s="358"/>
      <c r="EQ152" s="358"/>
      <c r="ER152" s="358"/>
      <c r="ES152" s="358"/>
      <c r="ET152" s="358"/>
      <c r="EU152" s="358"/>
      <c r="EV152" s="358"/>
      <c r="EW152" s="358"/>
      <c r="EX152" s="358"/>
      <c r="EY152" s="358"/>
      <c r="EZ152" s="371"/>
    </row>
    <row r="153" spans="1:156" ht="11.15" customHeight="1" thickBot="1" x14ac:dyDescent="0.4">
      <c r="A153" s="1010"/>
      <c r="B153" s="1011"/>
      <c r="C153" s="1011"/>
      <c r="D153" s="1011"/>
      <c r="E153" s="1011"/>
      <c r="F153" s="1011"/>
      <c r="G153" s="1011"/>
      <c r="H153" s="1011"/>
      <c r="I153" s="1011"/>
      <c r="J153" s="1011"/>
      <c r="K153" s="1011"/>
      <c r="L153" s="1012"/>
      <c r="AK153" s="357"/>
      <c r="AL153" s="358"/>
      <c r="AM153" s="358"/>
      <c r="AN153" s="358"/>
      <c r="AO153" s="358"/>
      <c r="AP153" s="358"/>
      <c r="AQ153" s="358"/>
      <c r="AR153" s="358"/>
      <c r="AS153" s="358"/>
      <c r="AT153" s="358"/>
      <c r="AU153" s="358"/>
      <c r="AV153" s="358"/>
      <c r="AW153" s="358"/>
      <c r="AX153" s="358"/>
      <c r="AY153" s="358"/>
      <c r="AZ153" s="358"/>
      <c r="BA153" s="358"/>
      <c r="BB153" s="358"/>
      <c r="BC153" s="358"/>
      <c r="BD153" s="425"/>
      <c r="BE153" s="426"/>
      <c r="BF153" s="426"/>
      <c r="BG153" s="426"/>
      <c r="BH153" s="426"/>
      <c r="BI153" s="426"/>
      <c r="BJ153" s="426"/>
      <c r="BK153" s="426"/>
      <c r="BL153" s="426"/>
      <c r="BM153" s="426"/>
      <c r="BN153" s="426"/>
      <c r="BO153" s="426"/>
      <c r="BP153" s="426"/>
      <c r="BQ153" s="426"/>
      <c r="BR153" s="426"/>
      <c r="BS153" s="426"/>
      <c r="BT153" s="426"/>
      <c r="BU153" s="426"/>
      <c r="BV153" s="426"/>
      <c r="BW153" s="426"/>
      <c r="BX153" s="426"/>
      <c r="BY153" s="426"/>
      <c r="BZ153" s="426"/>
      <c r="CA153" s="426"/>
      <c r="CB153" s="426"/>
      <c r="CC153" s="426"/>
      <c r="CD153" s="426"/>
      <c r="CE153" s="426"/>
      <c r="CF153" s="426"/>
      <c r="CG153" s="426"/>
      <c r="CH153" s="426"/>
      <c r="CI153" s="426"/>
      <c r="CJ153" s="427"/>
      <c r="CK153" s="358"/>
      <c r="CL153" s="358"/>
      <c r="CM153" s="358"/>
      <c r="CN153" s="358"/>
      <c r="CO153" s="358"/>
      <c r="CP153" s="358"/>
      <c r="CQ153" s="358"/>
      <c r="CR153" s="358"/>
      <c r="CS153" s="358"/>
      <c r="CT153" s="358"/>
      <c r="CU153" s="358"/>
      <c r="CV153" s="358"/>
      <c r="CW153" s="358"/>
      <c r="CX153" s="358"/>
      <c r="CY153" s="358"/>
      <c r="CZ153" s="358"/>
      <c r="DA153" s="358"/>
      <c r="DB153" s="358"/>
      <c r="DC153" s="358"/>
      <c r="DD153" s="358"/>
      <c r="DE153" s="358"/>
      <c r="DF153" s="358"/>
      <c r="DG153" s="358"/>
      <c r="DH153" s="358"/>
      <c r="DI153" s="358"/>
      <c r="DJ153" s="358"/>
      <c r="DK153" s="358"/>
      <c r="DL153" s="358"/>
      <c r="DM153" s="358"/>
      <c r="DN153" s="358"/>
      <c r="DO153" s="358"/>
      <c r="DP153" s="358"/>
      <c r="DQ153" s="358"/>
      <c r="DR153" s="358"/>
      <c r="DS153" s="358"/>
      <c r="DT153" s="358"/>
      <c r="DU153" s="358"/>
      <c r="DV153" s="358"/>
      <c r="DW153" s="358"/>
      <c r="DX153" s="358"/>
      <c r="DY153" s="358"/>
      <c r="DZ153" s="358"/>
      <c r="EA153" s="358"/>
      <c r="EB153" s="358"/>
      <c r="EC153" s="358"/>
      <c r="ED153" s="358"/>
      <c r="EE153" s="358"/>
      <c r="EF153" s="358"/>
      <c r="EG153" s="358"/>
      <c r="EH153" s="358"/>
      <c r="EI153" s="358"/>
      <c r="EJ153" s="358"/>
      <c r="EK153" s="358"/>
      <c r="EL153" s="358"/>
      <c r="EM153" s="358"/>
      <c r="EN153" s="358"/>
      <c r="EO153" s="358"/>
      <c r="EP153" s="358"/>
      <c r="EQ153" s="358"/>
      <c r="ER153" s="358"/>
      <c r="ES153" s="358"/>
      <c r="ET153" s="358"/>
      <c r="EU153" s="358"/>
      <c r="EV153" s="358"/>
      <c r="EW153" s="358"/>
      <c r="EX153" s="358"/>
      <c r="EY153" s="358"/>
      <c r="EZ153" s="371"/>
    </row>
    <row r="154" spans="1:156" s="251" customFormat="1" ht="15" customHeight="1" x14ac:dyDescent="0.35">
      <c r="A154" s="1604" t="s">
        <v>208</v>
      </c>
      <c r="B154" s="1605"/>
      <c r="C154" s="1605"/>
      <c r="D154" s="1605"/>
      <c r="E154" s="1605"/>
      <c r="F154" s="1605"/>
      <c r="G154" s="1605"/>
      <c r="H154" s="1605"/>
      <c r="I154" s="1605"/>
      <c r="J154" s="1605"/>
      <c r="K154" s="1605"/>
      <c r="L154" s="160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357"/>
      <c r="AL154" s="358"/>
      <c r="AM154" s="358"/>
      <c r="AN154" s="358"/>
      <c r="AO154" s="358"/>
      <c r="AP154" s="358"/>
      <c r="AQ154" s="358"/>
      <c r="AR154" s="358"/>
      <c r="AS154" s="358"/>
      <c r="AT154" s="358"/>
      <c r="AU154" s="358"/>
      <c r="AV154" s="358"/>
      <c r="AW154" s="358"/>
      <c r="AX154" s="358"/>
      <c r="AY154" s="358"/>
      <c r="AZ154" s="358"/>
      <c r="BA154" s="358"/>
      <c r="BB154" s="358"/>
      <c r="BC154" s="358"/>
      <c r="BD154" s="358"/>
      <c r="BE154" s="358"/>
      <c r="BF154" s="358"/>
      <c r="BG154" s="358"/>
      <c r="BH154" s="358"/>
      <c r="BI154" s="358"/>
      <c r="BJ154" s="358"/>
      <c r="BK154" s="358"/>
      <c r="BL154" s="358"/>
      <c r="BM154" s="358"/>
      <c r="BN154" s="358"/>
      <c r="BO154" s="358"/>
      <c r="BP154" s="358"/>
      <c r="BQ154" s="358"/>
      <c r="BR154" s="358"/>
      <c r="BS154" s="358"/>
      <c r="BT154" s="358"/>
      <c r="BU154" s="358"/>
      <c r="BV154" s="358"/>
      <c r="BW154" s="358"/>
      <c r="BX154" s="358"/>
      <c r="BY154" s="358"/>
      <c r="BZ154" s="358"/>
      <c r="CA154" s="358"/>
      <c r="CB154" s="358"/>
      <c r="CC154" s="358"/>
      <c r="CD154" s="358"/>
      <c r="CE154" s="358"/>
      <c r="CF154" s="358"/>
      <c r="CG154" s="358"/>
      <c r="CH154" s="358"/>
      <c r="CI154" s="358"/>
      <c r="CJ154" s="358"/>
      <c r="CK154" s="358"/>
      <c r="CL154" s="358"/>
      <c r="CM154" s="358"/>
      <c r="CN154" s="358"/>
      <c r="CO154" s="358"/>
      <c r="CP154" s="358"/>
      <c r="CQ154" s="358"/>
      <c r="CR154" s="358"/>
      <c r="CS154" s="358"/>
      <c r="CT154" s="358"/>
      <c r="CU154" s="358"/>
      <c r="CV154" s="358"/>
      <c r="CW154" s="358"/>
      <c r="CX154" s="358"/>
      <c r="CY154" s="358"/>
      <c r="CZ154" s="358"/>
      <c r="DA154" s="358"/>
      <c r="DB154" s="358"/>
      <c r="DC154" s="358"/>
      <c r="DD154" s="358"/>
      <c r="DE154" s="358"/>
      <c r="DF154" s="358"/>
      <c r="DG154" s="358"/>
      <c r="DH154" s="358"/>
      <c r="DI154" s="358"/>
      <c r="DJ154" s="358"/>
      <c r="DK154" s="358"/>
      <c r="DL154" s="358"/>
      <c r="DM154" s="358"/>
      <c r="DN154" s="358"/>
      <c r="DO154" s="358"/>
      <c r="DP154" s="358"/>
      <c r="DQ154" s="358"/>
      <c r="DR154" s="358"/>
      <c r="DS154" s="358"/>
      <c r="DT154" s="358"/>
      <c r="DU154" s="358"/>
      <c r="DV154" s="358"/>
      <c r="DW154" s="358"/>
      <c r="DX154" s="358"/>
      <c r="DY154" s="358"/>
      <c r="DZ154" s="358"/>
      <c r="EA154" s="358"/>
      <c r="EB154" s="358"/>
      <c r="EC154" s="358"/>
      <c r="ED154" s="358"/>
      <c r="EE154" s="358"/>
      <c r="EF154" s="358"/>
      <c r="EG154" s="358"/>
      <c r="EH154" s="358"/>
      <c r="EI154" s="358"/>
      <c r="EJ154" s="358"/>
      <c r="EK154" s="358"/>
      <c r="EL154" s="358"/>
      <c r="EM154" s="358"/>
      <c r="EN154" s="358"/>
      <c r="EO154" s="358"/>
      <c r="EP154" s="358"/>
      <c r="EQ154" s="358"/>
      <c r="ER154" s="358"/>
      <c r="ES154" s="358"/>
      <c r="ET154" s="358"/>
      <c r="EU154" s="358"/>
      <c r="EV154" s="358"/>
      <c r="EW154" s="358"/>
      <c r="EX154" s="358"/>
      <c r="EY154" s="358"/>
      <c r="EZ154" s="371"/>
    </row>
    <row r="155" spans="1:156" s="251" customFormat="1" ht="15" customHeight="1" x14ac:dyDescent="0.35">
      <c r="A155" s="1607"/>
      <c r="B155" s="1608"/>
      <c r="C155" s="1608"/>
      <c r="D155" s="1608"/>
      <c r="E155" s="1608"/>
      <c r="F155" s="1608"/>
      <c r="G155" s="1608"/>
      <c r="H155" s="1608"/>
      <c r="I155" s="1608"/>
      <c r="J155" s="1608"/>
      <c r="K155" s="1608"/>
      <c r="L155" s="1609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421"/>
      <c r="AL155" s="358"/>
      <c r="AM155" s="358"/>
      <c r="AN155" s="358"/>
      <c r="AO155" s="358"/>
      <c r="AP155" s="358"/>
      <c r="AQ155" s="358"/>
      <c r="AR155" s="358"/>
      <c r="AS155" s="358"/>
      <c r="AT155" s="358"/>
      <c r="AU155" s="358"/>
      <c r="AV155" s="358"/>
      <c r="AW155" s="358"/>
      <c r="AX155" s="358"/>
      <c r="AY155" s="358"/>
      <c r="AZ155" s="358"/>
      <c r="BA155" s="358"/>
      <c r="BB155" s="358"/>
      <c r="BC155" s="358"/>
      <c r="BD155" s="358"/>
      <c r="BE155" s="358"/>
      <c r="BF155" s="358"/>
      <c r="BG155" s="358"/>
      <c r="BH155" s="358"/>
      <c r="BI155" s="358"/>
      <c r="BJ155" s="358"/>
      <c r="BK155" s="358"/>
      <c r="BL155" s="358"/>
      <c r="BM155" s="358"/>
      <c r="BN155" s="358"/>
      <c r="BO155" s="358"/>
      <c r="BP155" s="358"/>
      <c r="BQ155" s="358"/>
      <c r="BR155" s="358"/>
      <c r="BS155" s="358"/>
      <c r="BT155" s="358"/>
      <c r="BU155" s="358"/>
      <c r="BV155" s="358"/>
      <c r="BW155" s="358"/>
      <c r="BX155" s="358"/>
      <c r="BY155" s="358"/>
      <c r="BZ155" s="358"/>
      <c r="CA155" s="358"/>
      <c r="CB155" s="358"/>
      <c r="CC155" s="358"/>
      <c r="CD155" s="358"/>
      <c r="CE155" s="358"/>
      <c r="CF155" s="358"/>
      <c r="CG155" s="358"/>
      <c r="CH155" s="358"/>
      <c r="CI155" s="358"/>
      <c r="CJ155" s="358"/>
      <c r="CK155" s="358"/>
      <c r="CL155" s="358"/>
      <c r="CM155" s="358"/>
      <c r="CN155" s="358"/>
      <c r="CO155" s="358"/>
      <c r="CP155" s="358"/>
      <c r="CQ155" s="358"/>
      <c r="CR155" s="358"/>
      <c r="CS155" s="358"/>
      <c r="CT155" s="358"/>
      <c r="CU155" s="358"/>
      <c r="CV155" s="358"/>
      <c r="CW155" s="358"/>
      <c r="CX155" s="358"/>
      <c r="CY155" s="358"/>
      <c r="CZ155" s="358"/>
      <c r="DA155" s="358"/>
      <c r="DB155" s="358"/>
      <c r="DC155" s="358"/>
      <c r="DD155" s="358"/>
      <c r="DE155" s="358"/>
      <c r="DF155" s="358"/>
      <c r="DG155" s="358"/>
      <c r="DH155" s="358"/>
      <c r="DI155" s="358"/>
      <c r="DJ155" s="358"/>
      <c r="DK155" s="358"/>
      <c r="DL155" s="358"/>
      <c r="DM155" s="358"/>
      <c r="DN155" s="358"/>
      <c r="DO155" s="358"/>
      <c r="DP155" s="358"/>
      <c r="DQ155" s="358"/>
      <c r="DR155" s="358"/>
      <c r="DS155" s="358"/>
      <c r="DT155" s="358"/>
      <c r="DU155" s="358"/>
      <c r="DV155" s="358"/>
      <c r="DW155" s="358"/>
      <c r="DX155" s="358"/>
      <c r="DY155" s="358"/>
      <c r="DZ155" s="358"/>
      <c r="EA155" s="358"/>
      <c r="EB155" s="358"/>
      <c r="EC155" s="358"/>
      <c r="ED155" s="358"/>
      <c r="EE155" s="358"/>
      <c r="EF155" s="358"/>
      <c r="EG155" s="358"/>
      <c r="EH155" s="358"/>
      <c r="EI155" s="358"/>
      <c r="EJ155" s="358"/>
      <c r="EK155" s="358"/>
      <c r="EL155" s="358"/>
      <c r="EM155" s="358"/>
      <c r="EN155" s="358"/>
      <c r="EO155" s="358"/>
      <c r="EP155" s="358"/>
      <c r="EQ155" s="358"/>
      <c r="ER155" s="358"/>
      <c r="ES155" s="358"/>
      <c r="ET155" s="358"/>
      <c r="EU155" s="358"/>
      <c r="EV155" s="358"/>
      <c r="EW155" s="358"/>
      <c r="EX155" s="358"/>
      <c r="EY155" s="358"/>
      <c r="EZ155" s="371"/>
    </row>
    <row r="156" spans="1:156" s="251" customFormat="1" ht="15" customHeight="1" x14ac:dyDescent="0.35">
      <c r="A156" s="1607"/>
      <c r="B156" s="1608"/>
      <c r="C156" s="1608"/>
      <c r="D156" s="1608"/>
      <c r="E156" s="1608"/>
      <c r="F156" s="1608"/>
      <c r="G156" s="1608"/>
      <c r="H156" s="1608"/>
      <c r="I156" s="1608"/>
      <c r="J156" s="1608"/>
      <c r="K156" s="1608"/>
      <c r="L156" s="1609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421"/>
      <c r="AL156" s="358"/>
      <c r="AM156" s="358"/>
      <c r="AN156" s="358"/>
      <c r="AO156" s="358"/>
      <c r="AP156" s="358"/>
      <c r="AQ156" s="358"/>
      <c r="AR156" s="358"/>
      <c r="AS156" s="358"/>
      <c r="AT156" s="358"/>
      <c r="AU156" s="358"/>
      <c r="AV156" s="358"/>
      <c r="AW156" s="358"/>
      <c r="AX156" s="358"/>
      <c r="AY156" s="358"/>
      <c r="AZ156" s="358"/>
      <c r="BA156" s="358"/>
      <c r="BB156" s="358"/>
      <c r="BC156" s="358"/>
      <c r="BD156" s="358"/>
      <c r="BE156" s="358"/>
      <c r="BF156" s="358"/>
      <c r="BG156" s="358"/>
      <c r="BH156" s="358"/>
      <c r="BI156" s="358"/>
      <c r="BJ156" s="358"/>
      <c r="BK156" s="358"/>
      <c r="BL156" s="358"/>
      <c r="BM156" s="358"/>
      <c r="BN156" s="358"/>
      <c r="BO156" s="358"/>
      <c r="BP156" s="358"/>
      <c r="BQ156" s="358"/>
      <c r="BR156" s="358"/>
      <c r="BS156" s="358"/>
      <c r="BT156" s="358"/>
      <c r="BU156" s="358"/>
      <c r="BV156" s="358"/>
      <c r="BW156" s="358"/>
      <c r="BX156" s="358"/>
      <c r="BY156" s="358"/>
      <c r="BZ156" s="358"/>
      <c r="CA156" s="358"/>
      <c r="CB156" s="358"/>
      <c r="CC156" s="358"/>
      <c r="CD156" s="358"/>
      <c r="CE156" s="358"/>
      <c r="CF156" s="358"/>
      <c r="CG156" s="358"/>
      <c r="CH156" s="358"/>
      <c r="CI156" s="358"/>
      <c r="CJ156" s="358"/>
      <c r="CK156" s="358"/>
      <c r="CL156" s="358"/>
      <c r="CM156" s="358"/>
      <c r="CN156" s="358"/>
      <c r="CO156" s="358"/>
      <c r="CP156" s="358"/>
      <c r="CQ156" s="358"/>
      <c r="CR156" s="358"/>
      <c r="CS156" s="358"/>
      <c r="CT156" s="358"/>
      <c r="CU156" s="358"/>
      <c r="CV156" s="358"/>
      <c r="CW156" s="358"/>
      <c r="CX156" s="358"/>
      <c r="CY156" s="358"/>
      <c r="CZ156" s="358"/>
      <c r="DA156" s="358"/>
      <c r="DB156" s="358"/>
      <c r="DC156" s="358"/>
      <c r="DD156" s="358"/>
      <c r="DE156" s="358"/>
      <c r="DF156" s="358"/>
      <c r="DG156" s="358"/>
      <c r="DH156" s="358"/>
      <c r="DI156" s="358"/>
      <c r="DJ156" s="358"/>
      <c r="DK156" s="358"/>
      <c r="DL156" s="358"/>
      <c r="DM156" s="358"/>
      <c r="DN156" s="358"/>
      <c r="DO156" s="358"/>
      <c r="DP156" s="358"/>
      <c r="DQ156" s="358"/>
      <c r="DR156" s="358"/>
      <c r="DS156" s="358"/>
      <c r="DT156" s="358"/>
      <c r="DU156" s="358"/>
      <c r="DV156" s="358"/>
      <c r="DW156" s="358"/>
      <c r="DX156" s="358"/>
      <c r="DY156" s="358"/>
      <c r="DZ156" s="358"/>
      <c r="EA156" s="358"/>
      <c r="EB156" s="358"/>
      <c r="EC156" s="358"/>
      <c r="ED156" s="358"/>
      <c r="EE156" s="358"/>
      <c r="EF156" s="358"/>
      <c r="EG156" s="358"/>
      <c r="EH156" s="358"/>
      <c r="EI156" s="358"/>
      <c r="EJ156" s="358"/>
      <c r="EK156" s="358"/>
      <c r="EL156" s="358"/>
      <c r="EM156" s="358"/>
      <c r="EN156" s="358"/>
      <c r="EO156" s="358"/>
      <c r="EP156" s="358"/>
      <c r="EQ156" s="358"/>
      <c r="ER156" s="358"/>
      <c r="ES156" s="358"/>
      <c r="ET156" s="358"/>
      <c r="EU156" s="358"/>
      <c r="EV156" s="358"/>
      <c r="EW156" s="358"/>
      <c r="EX156" s="358"/>
      <c r="EY156" s="358"/>
      <c r="EZ156" s="371"/>
    </row>
    <row r="157" spans="1:156" s="251" customFormat="1" ht="15" customHeight="1" x14ac:dyDescent="0.35">
      <c r="A157" s="1607"/>
      <c r="B157" s="1608"/>
      <c r="C157" s="1608"/>
      <c r="D157" s="1608"/>
      <c r="E157" s="1608"/>
      <c r="F157" s="1608"/>
      <c r="G157" s="1608"/>
      <c r="H157" s="1608"/>
      <c r="I157" s="1608"/>
      <c r="J157" s="1608"/>
      <c r="K157" s="1608"/>
      <c r="L157" s="1609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421">
        <f>AK7+2</f>
        <v>6</v>
      </c>
      <c r="AL157" s="358"/>
      <c r="AM157" s="358"/>
      <c r="AN157" s="358"/>
      <c r="AO157" s="358"/>
      <c r="AP157" s="358"/>
      <c r="AQ157" s="358"/>
      <c r="AR157" s="358"/>
      <c r="AS157" s="358"/>
      <c r="AT157" s="358"/>
      <c r="AU157" s="358"/>
      <c r="AV157" s="358"/>
      <c r="AW157" s="358"/>
      <c r="AX157" s="358"/>
      <c r="AY157" s="358"/>
      <c r="AZ157" s="358"/>
      <c r="BA157" s="358"/>
      <c r="BB157" s="358"/>
      <c r="BC157" s="358"/>
      <c r="BD157" s="358"/>
      <c r="BE157" s="358"/>
      <c r="BF157" s="358"/>
      <c r="BG157" s="358"/>
      <c r="BH157" s="358"/>
      <c r="BI157" s="358"/>
      <c r="BJ157" s="358"/>
      <c r="BK157" s="358"/>
      <c r="BL157" s="358"/>
      <c r="BM157" s="358"/>
      <c r="BN157" s="358"/>
      <c r="BO157" s="358"/>
      <c r="BP157" s="358"/>
      <c r="BQ157" s="358"/>
      <c r="BR157" s="358"/>
      <c r="BS157" s="358"/>
      <c r="BT157" s="358"/>
      <c r="BU157" s="358"/>
      <c r="BV157" s="358"/>
      <c r="BW157" s="358"/>
      <c r="BX157" s="358"/>
      <c r="BY157" s="358"/>
      <c r="BZ157" s="358"/>
      <c r="CA157" s="358"/>
      <c r="CB157" s="358"/>
      <c r="CC157" s="358"/>
      <c r="CD157" s="358"/>
      <c r="CE157" s="358"/>
      <c r="CF157" s="358"/>
      <c r="CG157" s="358"/>
      <c r="CH157" s="358"/>
      <c r="CI157" s="358"/>
      <c r="CJ157" s="358"/>
      <c r="CK157" s="358"/>
      <c r="CL157" s="358"/>
      <c r="CM157" s="358"/>
      <c r="CN157" s="358"/>
      <c r="CO157" s="358"/>
      <c r="CP157" s="358"/>
      <c r="CQ157" s="358"/>
      <c r="CR157" s="358"/>
      <c r="CS157" s="358"/>
      <c r="CT157" s="358"/>
      <c r="CU157" s="358"/>
      <c r="CV157" s="358"/>
      <c r="CW157" s="358"/>
      <c r="CX157" s="358"/>
      <c r="CY157" s="358"/>
      <c r="CZ157" s="358"/>
      <c r="DA157" s="358"/>
      <c r="DB157" s="358"/>
      <c r="DC157" s="358"/>
      <c r="DD157" s="358"/>
      <c r="DE157" s="358"/>
      <c r="DF157" s="358"/>
      <c r="DG157" s="358"/>
      <c r="DH157" s="358"/>
      <c r="DI157" s="358"/>
      <c r="DJ157" s="358"/>
      <c r="DK157" s="358"/>
      <c r="DL157" s="358"/>
      <c r="DM157" s="358"/>
      <c r="DN157" s="358"/>
      <c r="DO157" s="358"/>
      <c r="DP157" s="358"/>
      <c r="DQ157" s="358"/>
      <c r="DR157" s="358"/>
      <c r="DS157" s="358"/>
      <c r="DT157" s="358"/>
      <c r="DU157" s="358"/>
      <c r="DV157" s="358"/>
      <c r="DW157" s="358"/>
      <c r="DX157" s="358"/>
      <c r="DY157" s="358"/>
      <c r="DZ157" s="358"/>
      <c r="EA157" s="358"/>
      <c r="EB157" s="358"/>
      <c r="EC157" s="358"/>
      <c r="ED157" s="358"/>
      <c r="EE157" s="358"/>
      <c r="EF157" s="358"/>
      <c r="EG157" s="358"/>
      <c r="EH157" s="358"/>
      <c r="EI157" s="358"/>
      <c r="EJ157" s="358"/>
      <c r="EK157" s="358"/>
      <c r="EL157" s="358"/>
      <c r="EM157" s="358"/>
      <c r="EN157" s="358"/>
      <c r="EO157" s="358"/>
      <c r="EP157" s="358"/>
      <c r="EQ157" s="358"/>
      <c r="ER157" s="358"/>
      <c r="ES157" s="358"/>
      <c r="ET157" s="358"/>
      <c r="EU157" s="358"/>
      <c r="EV157" s="358"/>
      <c r="EW157" s="358"/>
      <c r="EX157" s="358"/>
      <c r="EY157" s="358"/>
      <c r="EZ157" s="371"/>
    </row>
    <row r="158" spans="1:156" s="251" customFormat="1" ht="20" x14ac:dyDescent="0.35">
      <c r="A158" s="1460" t="s">
        <v>209</v>
      </c>
      <c r="B158" s="1461"/>
      <c r="C158" s="1461"/>
      <c r="D158" s="1461"/>
      <c r="E158" s="1461"/>
      <c r="F158" s="1461"/>
      <c r="G158" s="1461"/>
      <c r="H158" s="1461"/>
      <c r="I158" s="1461"/>
      <c r="J158" s="1461"/>
      <c r="K158" s="1461"/>
      <c r="L158" s="1462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421"/>
      <c r="AL158" s="358"/>
      <c r="AM158" s="358"/>
      <c r="AN158" s="358"/>
      <c r="AO158" s="358"/>
      <c r="AP158" s="358"/>
      <c r="AQ158" s="358"/>
      <c r="AR158" s="358"/>
      <c r="AS158" s="358"/>
      <c r="AT158" s="358"/>
      <c r="AU158" s="358"/>
      <c r="AV158" s="358"/>
      <c r="AW158" s="358"/>
      <c r="AX158" s="358"/>
      <c r="AY158" s="358"/>
      <c r="AZ158" s="358"/>
      <c r="BA158" s="358"/>
      <c r="BB158" s="358"/>
      <c r="BC158" s="358"/>
      <c r="BD158" s="358"/>
      <c r="BE158" s="358"/>
      <c r="BF158" s="358"/>
      <c r="BG158" s="358"/>
      <c r="BH158" s="358"/>
      <c r="BI158" s="358"/>
      <c r="BJ158" s="358"/>
      <c r="BK158" s="358"/>
      <c r="BL158" s="358"/>
      <c r="BM158" s="358"/>
      <c r="BN158" s="358"/>
      <c r="BO158" s="358"/>
      <c r="BP158" s="358"/>
      <c r="BQ158" s="358"/>
      <c r="BR158" s="358"/>
      <c r="BS158" s="358"/>
      <c r="BT158" s="358"/>
      <c r="BU158" s="358"/>
      <c r="BV158" s="358"/>
      <c r="BW158" s="358"/>
      <c r="BX158" s="358"/>
      <c r="BY158" s="358"/>
      <c r="BZ158" s="358"/>
      <c r="CA158" s="358"/>
      <c r="CB158" s="358"/>
      <c r="CC158" s="358"/>
      <c r="CD158" s="358"/>
      <c r="CE158" s="358"/>
      <c r="CF158" s="358"/>
      <c r="CG158" s="358"/>
      <c r="CH158" s="358"/>
      <c r="CI158" s="358"/>
      <c r="CJ158" s="358"/>
      <c r="CK158" s="358"/>
      <c r="CL158" s="358"/>
      <c r="CM158" s="358"/>
      <c r="CN158" s="358"/>
      <c r="CO158" s="358"/>
      <c r="CP158" s="358"/>
      <c r="CQ158" s="358"/>
      <c r="CR158" s="358"/>
      <c r="CS158" s="358"/>
      <c r="CT158" s="358"/>
      <c r="CU158" s="358"/>
      <c r="CV158" s="358"/>
      <c r="CW158" s="358"/>
      <c r="CX158" s="358"/>
      <c r="CY158" s="358"/>
      <c r="CZ158" s="358"/>
      <c r="DA158" s="358"/>
      <c r="DB158" s="358"/>
      <c r="DC158" s="358"/>
      <c r="DD158" s="358"/>
      <c r="DE158" s="358"/>
      <c r="DF158" s="358"/>
      <c r="DG158" s="358"/>
      <c r="DH158" s="358"/>
      <c r="DI158" s="358"/>
      <c r="DJ158" s="358"/>
      <c r="DK158" s="358"/>
      <c r="DL158" s="358"/>
      <c r="DM158" s="358"/>
      <c r="DN158" s="358"/>
      <c r="DO158" s="358"/>
      <c r="DP158" s="358"/>
      <c r="DQ158" s="358"/>
      <c r="DR158" s="358"/>
      <c r="DS158" s="358"/>
      <c r="DT158" s="358"/>
      <c r="DU158" s="358"/>
      <c r="DV158" s="358"/>
      <c r="DW158" s="358"/>
      <c r="DX158" s="358"/>
      <c r="DY158" s="358"/>
      <c r="DZ158" s="358"/>
      <c r="EA158" s="358"/>
      <c r="EB158" s="358"/>
      <c r="EC158" s="358"/>
      <c r="ED158" s="358"/>
      <c r="EE158" s="358"/>
      <c r="EF158" s="358"/>
      <c r="EG158" s="358"/>
      <c r="EH158" s="358"/>
      <c r="EI158" s="358"/>
      <c r="EJ158" s="358"/>
      <c r="EK158" s="358"/>
      <c r="EL158" s="358"/>
      <c r="EM158" s="358"/>
      <c r="EN158" s="358"/>
      <c r="EO158" s="358"/>
      <c r="EP158" s="358"/>
      <c r="EQ158" s="358"/>
      <c r="ER158" s="358"/>
      <c r="ES158" s="358"/>
      <c r="ET158" s="358"/>
      <c r="EU158" s="358"/>
      <c r="EV158" s="358"/>
      <c r="EW158" s="358"/>
      <c r="EX158" s="358"/>
      <c r="EY158" s="358"/>
      <c r="EZ158" s="371"/>
    </row>
    <row r="159" spans="1:156" s="1169" customFormat="1" ht="13" x14ac:dyDescent="0.35">
      <c r="A159" s="927" t="s">
        <v>210</v>
      </c>
      <c r="B159" s="928"/>
      <c r="C159" s="928"/>
      <c r="D159" s="928"/>
      <c r="E159" s="928"/>
      <c r="F159" s="928"/>
      <c r="G159" s="928"/>
      <c r="H159" s="928"/>
      <c r="I159" s="928"/>
      <c r="J159" s="928"/>
      <c r="K159" s="928"/>
      <c r="L159" s="929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1166"/>
      <c r="AL159" s="1167"/>
      <c r="AM159" s="1167"/>
      <c r="AN159" s="1167"/>
      <c r="AO159" s="1167"/>
      <c r="AP159" s="1167"/>
      <c r="AQ159" s="1167"/>
      <c r="AR159" s="1167"/>
      <c r="AS159" s="1167"/>
      <c r="AT159" s="1167"/>
      <c r="AU159" s="1167"/>
      <c r="AV159" s="1167"/>
      <c r="AW159" s="1167"/>
      <c r="AX159" s="1167"/>
      <c r="AY159" s="1167"/>
      <c r="AZ159" s="1167"/>
      <c r="BA159" s="1167"/>
      <c r="BB159" s="1167"/>
      <c r="BC159" s="1167"/>
      <c r="BD159" s="1167"/>
      <c r="BE159" s="1167"/>
      <c r="BF159" s="1167"/>
      <c r="BG159" s="1167"/>
      <c r="BH159" s="1167"/>
      <c r="BI159" s="1167"/>
      <c r="BJ159" s="1167"/>
      <c r="BK159" s="1167"/>
      <c r="BL159" s="1167"/>
      <c r="BM159" s="1167"/>
      <c r="BN159" s="1167"/>
      <c r="BO159" s="1167"/>
      <c r="BP159" s="1167"/>
      <c r="BQ159" s="1167"/>
      <c r="BR159" s="1167"/>
      <c r="BS159" s="1167"/>
      <c r="BT159" s="1167"/>
      <c r="BU159" s="1167"/>
      <c r="BV159" s="1167"/>
      <c r="BW159" s="1167"/>
      <c r="BX159" s="1167"/>
      <c r="BY159" s="1167"/>
      <c r="BZ159" s="1167"/>
      <c r="CA159" s="1167"/>
      <c r="CB159" s="1167"/>
      <c r="CC159" s="1167"/>
      <c r="CD159" s="1167"/>
      <c r="CE159" s="1167"/>
      <c r="CF159" s="1167"/>
      <c r="CG159" s="1167"/>
      <c r="CH159" s="1167"/>
      <c r="CI159" s="1167"/>
      <c r="CJ159" s="1167"/>
      <c r="CK159" s="1167"/>
      <c r="CL159" s="1167"/>
      <c r="CM159" s="1167"/>
      <c r="CN159" s="1167"/>
      <c r="CO159" s="1167"/>
      <c r="CP159" s="1167"/>
      <c r="CQ159" s="1167"/>
      <c r="CR159" s="1167"/>
      <c r="CS159" s="1167"/>
      <c r="CT159" s="1167"/>
      <c r="CU159" s="1167"/>
      <c r="CV159" s="1167"/>
      <c r="CW159" s="1167"/>
      <c r="CX159" s="1167"/>
      <c r="CY159" s="1167"/>
      <c r="CZ159" s="1167"/>
      <c r="DA159" s="1167"/>
      <c r="DB159" s="1167"/>
      <c r="DC159" s="1167"/>
      <c r="DD159" s="1167"/>
      <c r="DE159" s="1167"/>
      <c r="DF159" s="1167"/>
      <c r="DG159" s="1167"/>
      <c r="DH159" s="1167"/>
      <c r="DI159" s="1167"/>
      <c r="DJ159" s="1167"/>
      <c r="DK159" s="1167"/>
      <c r="DL159" s="1167"/>
      <c r="DM159" s="1167"/>
      <c r="DN159" s="1167"/>
      <c r="DO159" s="1167"/>
      <c r="DP159" s="1167"/>
      <c r="DQ159" s="1167"/>
      <c r="DR159" s="1167"/>
      <c r="DS159" s="1167"/>
      <c r="DT159" s="1167"/>
      <c r="DU159" s="1167"/>
      <c r="DV159" s="1167"/>
      <c r="DW159" s="1167"/>
      <c r="DX159" s="1167"/>
      <c r="DY159" s="1167"/>
      <c r="DZ159" s="1167"/>
      <c r="EA159" s="1167"/>
      <c r="EB159" s="1167"/>
      <c r="EC159" s="1167"/>
      <c r="ED159" s="1167"/>
      <c r="EE159" s="1167"/>
      <c r="EF159" s="1167"/>
      <c r="EG159" s="1167"/>
      <c r="EH159" s="1167"/>
      <c r="EI159" s="1167"/>
      <c r="EJ159" s="1167"/>
      <c r="EK159" s="1167"/>
      <c r="EL159" s="1167"/>
      <c r="EM159" s="1167"/>
      <c r="EN159" s="1167"/>
      <c r="EO159" s="1167"/>
      <c r="EP159" s="1167"/>
      <c r="EQ159" s="1167"/>
      <c r="ER159" s="1167"/>
      <c r="ES159" s="1167"/>
      <c r="ET159" s="1167"/>
      <c r="EU159" s="1167"/>
      <c r="EV159" s="1167"/>
      <c r="EW159" s="1167"/>
      <c r="EX159" s="1167"/>
      <c r="EY159" s="1167"/>
      <c r="EZ159" s="1168"/>
    </row>
    <row r="160" spans="1:156" s="1169" customFormat="1" ht="13" x14ac:dyDescent="0.35">
      <c r="A160" s="927" t="s">
        <v>211</v>
      </c>
      <c r="B160" s="928"/>
      <c r="C160" s="928"/>
      <c r="D160" s="928"/>
      <c r="E160" s="928"/>
      <c r="F160" s="928"/>
      <c r="G160" s="928"/>
      <c r="H160" s="928"/>
      <c r="I160" s="928"/>
      <c r="J160" s="928"/>
      <c r="K160" s="928"/>
      <c r="L160" s="929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1166"/>
      <c r="AL160" s="1167"/>
      <c r="AM160" s="1167"/>
      <c r="AN160" s="1167"/>
      <c r="AO160" s="1167"/>
      <c r="AP160" s="1167"/>
      <c r="AQ160" s="1167"/>
      <c r="AR160" s="1167"/>
      <c r="AS160" s="1167"/>
      <c r="AT160" s="1167"/>
      <c r="AU160" s="1167"/>
      <c r="AV160" s="1167"/>
      <c r="AW160" s="1167"/>
      <c r="AX160" s="1167"/>
      <c r="AY160" s="1167"/>
      <c r="AZ160" s="1167"/>
      <c r="BA160" s="1167"/>
      <c r="BB160" s="1167"/>
      <c r="BC160" s="1167"/>
      <c r="BD160" s="1167"/>
      <c r="BE160" s="1167"/>
      <c r="BF160" s="1167"/>
      <c r="BG160" s="1167"/>
      <c r="BH160" s="1167"/>
      <c r="BI160" s="1167"/>
      <c r="BJ160" s="1167"/>
      <c r="BK160" s="1167"/>
      <c r="BL160" s="1167"/>
      <c r="BM160" s="1167"/>
      <c r="BN160" s="1167"/>
      <c r="BO160" s="1167"/>
      <c r="BP160" s="1167"/>
      <c r="BQ160" s="1167"/>
      <c r="BR160" s="1167"/>
      <c r="BS160" s="1167"/>
      <c r="BT160" s="1167"/>
      <c r="BU160" s="1167"/>
      <c r="BV160" s="1167"/>
      <c r="BW160" s="1167"/>
      <c r="BX160" s="1167"/>
      <c r="BY160" s="1167"/>
      <c r="BZ160" s="1167"/>
      <c r="CA160" s="1167"/>
      <c r="CB160" s="1167"/>
      <c r="CC160" s="1167"/>
      <c r="CD160" s="1167"/>
      <c r="CE160" s="1167"/>
      <c r="CF160" s="1167"/>
      <c r="CG160" s="1167"/>
      <c r="CH160" s="1167"/>
      <c r="CI160" s="1167"/>
      <c r="CJ160" s="1167"/>
      <c r="CK160" s="1167"/>
      <c r="CL160" s="1167"/>
      <c r="CM160" s="1167"/>
      <c r="CN160" s="1167"/>
      <c r="CO160" s="1167"/>
      <c r="CP160" s="1167"/>
      <c r="CQ160" s="1167"/>
      <c r="CR160" s="1167"/>
      <c r="CS160" s="1167"/>
      <c r="CT160" s="1167"/>
      <c r="CU160" s="1167"/>
      <c r="CV160" s="1167"/>
      <c r="CW160" s="1167"/>
      <c r="CX160" s="1167"/>
      <c r="CY160" s="1167"/>
      <c r="CZ160" s="1167"/>
      <c r="DA160" s="1167"/>
      <c r="DB160" s="1167"/>
      <c r="DC160" s="1167"/>
      <c r="DD160" s="1167"/>
      <c r="DE160" s="1167"/>
      <c r="DF160" s="1167"/>
      <c r="DG160" s="1167"/>
      <c r="DH160" s="1167"/>
      <c r="DI160" s="1167"/>
      <c r="DJ160" s="1167"/>
      <c r="DK160" s="1167"/>
      <c r="DL160" s="1167"/>
      <c r="DM160" s="1167"/>
      <c r="DN160" s="1167"/>
      <c r="DO160" s="1167"/>
      <c r="DP160" s="1167"/>
      <c r="DQ160" s="1167"/>
      <c r="DR160" s="1167"/>
      <c r="DS160" s="1167"/>
      <c r="DT160" s="1167"/>
      <c r="DU160" s="1167"/>
      <c r="DV160" s="1167"/>
      <c r="DW160" s="1167"/>
      <c r="DX160" s="1167"/>
      <c r="DY160" s="1167"/>
      <c r="DZ160" s="1167"/>
      <c r="EA160" s="1167"/>
      <c r="EB160" s="1167"/>
      <c r="EC160" s="1167"/>
      <c r="ED160" s="1167"/>
      <c r="EE160" s="1167"/>
      <c r="EF160" s="1167"/>
      <c r="EG160" s="1167"/>
      <c r="EH160" s="1167"/>
      <c r="EI160" s="1167"/>
      <c r="EJ160" s="1167"/>
      <c r="EK160" s="1167"/>
      <c r="EL160" s="1167"/>
      <c r="EM160" s="1167"/>
      <c r="EN160" s="1167"/>
      <c r="EO160" s="1167"/>
      <c r="EP160" s="1167"/>
      <c r="EQ160" s="1167"/>
      <c r="ER160" s="1167"/>
      <c r="ES160" s="1167"/>
      <c r="ET160" s="1167"/>
      <c r="EU160" s="1167"/>
      <c r="EV160" s="1167"/>
      <c r="EW160" s="1167"/>
      <c r="EX160" s="1167"/>
      <c r="EY160" s="1167"/>
      <c r="EZ160" s="1168"/>
    </row>
    <row r="161" spans="1:156" s="1169" customFormat="1" ht="13" x14ac:dyDescent="0.35">
      <c r="A161" s="927" t="s">
        <v>212</v>
      </c>
      <c r="B161" s="928"/>
      <c r="C161" s="928"/>
      <c r="D161" s="928"/>
      <c r="E161" s="928"/>
      <c r="F161" s="928"/>
      <c r="G161" s="928"/>
      <c r="H161" s="928"/>
      <c r="I161" s="928"/>
      <c r="J161" s="928"/>
      <c r="K161" s="928"/>
      <c r="L161" s="929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1166"/>
      <c r="AL161" s="1167"/>
      <c r="AM161" s="1167"/>
      <c r="AN161" s="1167"/>
      <c r="AO161" s="1167"/>
      <c r="AP161" s="1167"/>
      <c r="AQ161" s="1167"/>
      <c r="AR161" s="1167"/>
      <c r="AS161" s="1167"/>
      <c r="AT161" s="1167"/>
      <c r="AU161" s="1167"/>
      <c r="AV161" s="1167"/>
      <c r="AW161" s="1167"/>
      <c r="AX161" s="1167"/>
      <c r="AY161" s="1167"/>
      <c r="AZ161" s="1167"/>
      <c r="BA161" s="1167"/>
      <c r="BB161" s="1167"/>
      <c r="BC161" s="1167"/>
      <c r="BD161" s="1167"/>
      <c r="BE161" s="1167"/>
      <c r="BF161" s="1167"/>
      <c r="BG161" s="1167"/>
      <c r="BH161" s="1167"/>
      <c r="BI161" s="1167"/>
      <c r="BJ161" s="1167"/>
      <c r="BK161" s="1167"/>
      <c r="BL161" s="1167"/>
      <c r="BM161" s="1167"/>
      <c r="BN161" s="1167"/>
      <c r="BO161" s="1167"/>
      <c r="BP161" s="1167"/>
      <c r="BQ161" s="1167"/>
      <c r="BR161" s="1167"/>
      <c r="BS161" s="1167"/>
      <c r="BT161" s="1167"/>
      <c r="BU161" s="1167"/>
      <c r="BV161" s="1167"/>
      <c r="BW161" s="1167"/>
      <c r="BX161" s="1167"/>
      <c r="BY161" s="1167"/>
      <c r="BZ161" s="1167"/>
      <c r="CA161" s="1167"/>
      <c r="CB161" s="1167"/>
      <c r="CC161" s="1167"/>
      <c r="CD161" s="1167"/>
      <c r="CE161" s="1167"/>
      <c r="CF161" s="1167"/>
      <c r="CG161" s="1167"/>
      <c r="CH161" s="1167"/>
      <c r="CI161" s="1167"/>
      <c r="CJ161" s="1167"/>
      <c r="CK161" s="1167"/>
      <c r="CL161" s="1167"/>
      <c r="CM161" s="1167"/>
      <c r="CN161" s="1167"/>
      <c r="CO161" s="1167"/>
      <c r="CP161" s="1167"/>
      <c r="CQ161" s="1167"/>
      <c r="CR161" s="1167"/>
      <c r="CS161" s="1167"/>
      <c r="CT161" s="1167"/>
      <c r="CU161" s="1167"/>
      <c r="CV161" s="1167"/>
      <c r="CW161" s="1167"/>
      <c r="CX161" s="1167"/>
      <c r="CY161" s="1167"/>
      <c r="CZ161" s="1167"/>
      <c r="DA161" s="1167"/>
      <c r="DB161" s="1167"/>
      <c r="DC161" s="1167"/>
      <c r="DD161" s="1167"/>
      <c r="DE161" s="1167"/>
      <c r="DF161" s="1167"/>
      <c r="DG161" s="1167"/>
      <c r="DH161" s="1167"/>
      <c r="DI161" s="1167"/>
      <c r="DJ161" s="1167"/>
      <c r="DK161" s="1167"/>
      <c r="DL161" s="1167"/>
      <c r="DM161" s="1167"/>
      <c r="DN161" s="1167"/>
      <c r="DO161" s="1167"/>
      <c r="DP161" s="1167"/>
      <c r="DQ161" s="1167"/>
      <c r="DR161" s="1167"/>
      <c r="DS161" s="1167"/>
      <c r="DT161" s="1167"/>
      <c r="DU161" s="1167"/>
      <c r="DV161" s="1167"/>
      <c r="DW161" s="1167"/>
      <c r="DX161" s="1167"/>
      <c r="DY161" s="1167"/>
      <c r="DZ161" s="1167"/>
      <c r="EA161" s="1167"/>
      <c r="EB161" s="1167"/>
      <c r="EC161" s="1167"/>
      <c r="ED161" s="1167"/>
      <c r="EE161" s="1167"/>
      <c r="EF161" s="1167"/>
      <c r="EG161" s="1167"/>
      <c r="EH161" s="1167"/>
      <c r="EI161" s="1167"/>
      <c r="EJ161" s="1167"/>
      <c r="EK161" s="1167"/>
      <c r="EL161" s="1167"/>
      <c r="EM161" s="1167"/>
      <c r="EN161" s="1167"/>
      <c r="EO161" s="1167"/>
      <c r="EP161" s="1167"/>
      <c r="EQ161" s="1167"/>
      <c r="ER161" s="1167"/>
      <c r="ES161" s="1167"/>
      <c r="ET161" s="1167"/>
      <c r="EU161" s="1167"/>
      <c r="EV161" s="1167"/>
      <c r="EW161" s="1167"/>
      <c r="EX161" s="1167"/>
      <c r="EY161" s="1167"/>
      <c r="EZ161" s="1168"/>
    </row>
    <row r="162" spans="1:156" s="251" customFormat="1" ht="15" customHeight="1" x14ac:dyDescent="0.35">
      <c r="A162" s="1492" t="s">
        <v>213</v>
      </c>
      <c r="B162" s="1493"/>
      <c r="C162" s="1493"/>
      <c r="D162" s="1493"/>
      <c r="E162" s="1493"/>
      <c r="F162" s="1493"/>
      <c r="G162" s="1493"/>
      <c r="H162" s="1493"/>
      <c r="I162" s="1493"/>
      <c r="J162" s="1494"/>
      <c r="K162" s="1426" t="s">
        <v>151</v>
      </c>
      <c r="L162" s="1427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421"/>
      <c r="AL162" s="358"/>
      <c r="AM162" s="358"/>
      <c r="AN162" s="358"/>
      <c r="AO162" s="358"/>
      <c r="AP162" s="358"/>
      <c r="AQ162" s="358"/>
      <c r="AR162" s="358"/>
      <c r="AS162" s="358"/>
      <c r="AT162" s="358"/>
      <c r="AU162" s="358"/>
      <c r="AV162" s="358"/>
      <c r="AW162" s="358"/>
      <c r="AX162" s="358"/>
      <c r="AY162" s="358"/>
      <c r="AZ162" s="358"/>
      <c r="BA162" s="358"/>
      <c r="BB162" s="358"/>
      <c r="BC162" s="358"/>
      <c r="BD162" s="358"/>
      <c r="BE162" s="358"/>
      <c r="BF162" s="358"/>
      <c r="BG162" s="358"/>
      <c r="BH162" s="358"/>
      <c r="BI162" s="358"/>
      <c r="BJ162" s="358"/>
      <c r="BK162" s="358"/>
      <c r="BL162" s="358"/>
      <c r="BM162" s="358"/>
      <c r="BN162" s="358"/>
      <c r="BO162" s="358"/>
      <c r="BP162" s="358"/>
      <c r="BQ162" s="358"/>
      <c r="BR162" s="358"/>
      <c r="BS162" s="358"/>
      <c r="BT162" s="358"/>
      <c r="BU162" s="358"/>
      <c r="BV162" s="358"/>
      <c r="BW162" s="358"/>
      <c r="BX162" s="358"/>
      <c r="BY162" s="358"/>
      <c r="BZ162" s="358"/>
      <c r="CA162" s="358"/>
      <c r="CB162" s="358"/>
      <c r="CC162" s="358"/>
      <c r="CD162" s="358"/>
      <c r="CE162" s="358"/>
      <c r="CF162" s="358"/>
      <c r="CG162" s="358"/>
      <c r="CH162" s="358"/>
      <c r="CI162" s="358"/>
      <c r="CJ162" s="358"/>
      <c r="CK162" s="358"/>
      <c r="CL162" s="358"/>
      <c r="CM162" s="358"/>
      <c r="CN162" s="358"/>
      <c r="CO162" s="358"/>
      <c r="CP162" s="358"/>
      <c r="CQ162" s="358"/>
      <c r="CR162" s="358"/>
      <c r="CS162" s="358"/>
      <c r="CT162" s="358"/>
      <c r="CU162" s="358"/>
      <c r="CV162" s="358"/>
      <c r="CW162" s="358"/>
      <c r="CX162" s="358"/>
      <c r="CY162" s="358"/>
      <c r="CZ162" s="358"/>
      <c r="DA162" s="358"/>
      <c r="DB162" s="358"/>
      <c r="DC162" s="358"/>
      <c r="DD162" s="358"/>
      <c r="DE162" s="358"/>
      <c r="DF162" s="358"/>
      <c r="DG162" s="358"/>
      <c r="DH162" s="358"/>
      <c r="DI162" s="358"/>
      <c r="DJ162" s="358"/>
      <c r="DK162" s="358"/>
      <c r="DL162" s="358"/>
      <c r="DM162" s="358"/>
      <c r="DN162" s="358"/>
      <c r="DO162" s="358"/>
      <c r="DP162" s="358"/>
      <c r="DQ162" s="358"/>
      <c r="DR162" s="358"/>
      <c r="DS162" s="358"/>
      <c r="DT162" s="358"/>
      <c r="DU162" s="358"/>
      <c r="DV162" s="358"/>
      <c r="DW162" s="358"/>
      <c r="DX162" s="358"/>
      <c r="DY162" s="358"/>
      <c r="DZ162" s="358"/>
      <c r="EA162" s="358"/>
      <c r="EB162" s="358"/>
      <c r="EC162" s="358"/>
      <c r="ED162" s="358"/>
      <c r="EE162" s="358"/>
      <c r="EF162" s="358"/>
      <c r="EG162" s="358"/>
      <c r="EH162" s="358"/>
      <c r="EI162" s="358"/>
      <c r="EJ162" s="358"/>
      <c r="EK162" s="358"/>
      <c r="EL162" s="358"/>
      <c r="EM162" s="358"/>
      <c r="EN162" s="358"/>
      <c r="EO162" s="358"/>
      <c r="EP162" s="358"/>
      <c r="EQ162" s="358"/>
      <c r="ER162" s="358"/>
      <c r="ES162" s="358"/>
      <c r="ET162" s="358"/>
      <c r="EU162" s="358"/>
      <c r="EV162" s="358"/>
      <c r="EW162" s="358"/>
      <c r="EX162" s="358"/>
      <c r="EY162" s="358"/>
      <c r="EZ162" s="371"/>
    </row>
    <row r="163" spans="1:156" s="251" customFormat="1" ht="15" customHeight="1" x14ac:dyDescent="0.35">
      <c r="A163" s="1495"/>
      <c r="B163" s="1496"/>
      <c r="C163" s="1496"/>
      <c r="D163" s="1496"/>
      <c r="E163" s="1496"/>
      <c r="F163" s="1496"/>
      <c r="G163" s="1496"/>
      <c r="H163" s="1496"/>
      <c r="I163" s="1496"/>
      <c r="J163" s="1497"/>
      <c r="K163" s="928"/>
      <c r="L163" s="1148">
        <f ca="1">IF(OR($N$8="",$N$8=0),"",IF(INDIRECT(ADDRESS(($AK157),COLUMN()-7,,,"Digitar Dados dos Ensaios"))&lt;&gt;"",INDIRECT(ADDRESS(($AK157),COLUMN()-7,,,"Digitar Dados dos Ensaios")),""))</f>
        <v>1</v>
      </c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421"/>
      <c r="AL163" s="358"/>
      <c r="AM163" s="358"/>
      <c r="AN163" s="358"/>
      <c r="AO163" s="358"/>
      <c r="AP163" s="358"/>
      <c r="AQ163" s="358"/>
      <c r="AR163" s="358"/>
      <c r="AS163" s="358"/>
      <c r="AT163" s="358"/>
      <c r="AU163" s="358"/>
      <c r="AV163" s="358"/>
      <c r="AW163" s="358"/>
      <c r="AX163" s="358"/>
      <c r="AY163" s="358"/>
      <c r="AZ163" s="358"/>
      <c r="BA163" s="358"/>
      <c r="BB163" s="358"/>
      <c r="BC163" s="358"/>
      <c r="BD163" s="358"/>
      <c r="BE163" s="358"/>
      <c r="BF163" s="358"/>
      <c r="BG163" s="358"/>
      <c r="BH163" s="358"/>
      <c r="BI163" s="358"/>
      <c r="BJ163" s="358"/>
      <c r="BK163" s="358"/>
      <c r="BL163" s="358"/>
      <c r="BM163" s="358"/>
      <c r="BN163" s="358"/>
      <c r="BO163" s="358"/>
      <c r="BP163" s="358"/>
      <c r="BQ163" s="358"/>
      <c r="BR163" s="358"/>
      <c r="BS163" s="358"/>
      <c r="BT163" s="358"/>
      <c r="BU163" s="358"/>
      <c r="BV163" s="358"/>
      <c r="BW163" s="358"/>
      <c r="BX163" s="358"/>
      <c r="BY163" s="358"/>
      <c r="BZ163" s="358"/>
      <c r="CA163" s="358"/>
      <c r="CB163" s="358"/>
      <c r="CC163" s="358"/>
      <c r="CD163" s="358"/>
      <c r="CE163" s="358"/>
      <c r="CF163" s="358"/>
      <c r="CG163" s="358"/>
      <c r="CH163" s="358"/>
      <c r="CI163" s="358"/>
      <c r="CJ163" s="358"/>
      <c r="CK163" s="358"/>
      <c r="CL163" s="358"/>
      <c r="CM163" s="358"/>
      <c r="CN163" s="358"/>
      <c r="CO163" s="358"/>
      <c r="CP163" s="358"/>
      <c r="CQ163" s="358"/>
      <c r="CR163" s="358"/>
      <c r="CS163" s="358"/>
      <c r="CT163" s="358"/>
      <c r="CU163" s="358"/>
      <c r="CV163" s="358"/>
      <c r="CW163" s="358"/>
      <c r="CX163" s="358"/>
      <c r="CY163" s="358"/>
      <c r="CZ163" s="358"/>
      <c r="DA163" s="358"/>
      <c r="DB163" s="358"/>
      <c r="DC163" s="358"/>
      <c r="DD163" s="358"/>
      <c r="DE163" s="358"/>
      <c r="DF163" s="358"/>
      <c r="DG163" s="358"/>
      <c r="DH163" s="358"/>
      <c r="DI163" s="358"/>
      <c r="DJ163" s="358"/>
      <c r="DK163" s="358"/>
      <c r="DL163" s="358"/>
      <c r="DM163" s="358"/>
      <c r="DN163" s="358"/>
      <c r="DO163" s="358"/>
      <c r="DP163" s="358"/>
      <c r="DQ163" s="358"/>
      <c r="DR163" s="358"/>
      <c r="DS163" s="358"/>
      <c r="DT163" s="358"/>
      <c r="DU163" s="358"/>
      <c r="DV163" s="358"/>
      <c r="DW163" s="358"/>
      <c r="DX163" s="358"/>
      <c r="DY163" s="358"/>
      <c r="DZ163" s="358"/>
      <c r="EA163" s="358"/>
      <c r="EB163" s="358"/>
      <c r="EC163" s="358"/>
      <c r="ED163" s="358"/>
      <c r="EE163" s="358"/>
      <c r="EF163" s="358"/>
      <c r="EG163" s="358"/>
      <c r="EH163" s="358"/>
      <c r="EI163" s="358"/>
      <c r="EJ163" s="358"/>
      <c r="EK163" s="358"/>
      <c r="EL163" s="358"/>
      <c r="EM163" s="358"/>
      <c r="EN163" s="358"/>
      <c r="EO163" s="358"/>
      <c r="EP163" s="358"/>
      <c r="EQ163" s="358"/>
      <c r="ER163" s="358"/>
      <c r="ES163" s="358"/>
      <c r="ET163" s="358"/>
      <c r="EU163" s="358"/>
      <c r="EV163" s="358"/>
      <c r="EW163" s="358"/>
      <c r="EX163" s="358"/>
      <c r="EY163" s="358"/>
      <c r="EZ163" s="371"/>
    </row>
    <row r="164" spans="1:156" s="251" customFormat="1" ht="15" customHeight="1" x14ac:dyDescent="0.35">
      <c r="A164" s="1498"/>
      <c r="B164" s="1499"/>
      <c r="C164" s="1499"/>
      <c r="D164" s="1499"/>
      <c r="E164" s="1499"/>
      <c r="F164" s="1499"/>
      <c r="G164" s="1499"/>
      <c r="H164" s="1499"/>
      <c r="I164" s="1499"/>
      <c r="J164" s="1500"/>
      <c r="K164" s="1134" t="s">
        <v>57</v>
      </c>
      <c r="L164" s="1013">
        <f ca="1">IF(OR($N$8="",$N$8=0),"",IF(INDIRECT(ADDRESS(($AK164),COLUMN()+52,,,"Digitar Dados dos Ensaios"))&lt;&gt;"",INDIRECT(ADDRESS(($AK164),COLUMN()+52,,,"Digitar Dados dos Ensaios")),""))</f>
        <v>45804</v>
      </c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421">
        <f>AK7+1</f>
        <v>5</v>
      </c>
      <c r="AL164" s="358"/>
      <c r="AM164" s="358"/>
      <c r="AN164" s="358"/>
      <c r="AO164" s="358"/>
      <c r="AP164" s="358"/>
      <c r="AQ164" s="358"/>
      <c r="AR164" s="358"/>
      <c r="AS164" s="358"/>
      <c r="AT164" s="358"/>
      <c r="AU164" s="358"/>
      <c r="AV164" s="358"/>
      <c r="AW164" s="358"/>
      <c r="AX164" s="358"/>
      <c r="AY164" s="358"/>
      <c r="AZ164" s="358"/>
      <c r="BA164" s="358"/>
      <c r="BB164" s="358"/>
      <c r="BC164" s="358"/>
      <c r="BD164" s="358"/>
      <c r="BE164" s="358"/>
      <c r="BF164" s="358"/>
      <c r="BG164" s="358"/>
      <c r="BH164" s="358"/>
      <c r="BI164" s="358"/>
      <c r="BJ164" s="358"/>
      <c r="BK164" s="358"/>
      <c r="BL164" s="358"/>
      <c r="BM164" s="358"/>
      <c r="BN164" s="358"/>
      <c r="BO164" s="358"/>
      <c r="BP164" s="358"/>
      <c r="BQ164" s="358"/>
      <c r="BR164" s="358"/>
      <c r="BS164" s="358"/>
      <c r="BT164" s="358"/>
      <c r="BU164" s="358"/>
      <c r="BV164" s="358"/>
      <c r="BW164" s="358"/>
      <c r="BX164" s="358"/>
      <c r="BY164" s="358"/>
      <c r="BZ164" s="358"/>
      <c r="CA164" s="358"/>
      <c r="CB164" s="358"/>
      <c r="CC164" s="358"/>
      <c r="CD164" s="358"/>
      <c r="CE164" s="358"/>
      <c r="CF164" s="358"/>
      <c r="CG164" s="358"/>
      <c r="CH164" s="358"/>
      <c r="CI164" s="358"/>
      <c r="CJ164" s="358"/>
      <c r="CK164" s="358"/>
      <c r="CL164" s="358"/>
      <c r="CM164" s="358"/>
      <c r="CN164" s="358"/>
      <c r="CO164" s="358"/>
      <c r="CP164" s="358"/>
      <c r="CQ164" s="358"/>
      <c r="CR164" s="358"/>
      <c r="CS164" s="358"/>
      <c r="CT164" s="358"/>
      <c r="CU164" s="358"/>
      <c r="CV164" s="358"/>
      <c r="CW164" s="358"/>
      <c r="CX164" s="358"/>
      <c r="CY164" s="358"/>
      <c r="CZ164" s="358"/>
      <c r="DA164" s="358"/>
      <c r="DB164" s="358"/>
      <c r="DC164" s="358"/>
      <c r="DD164" s="358"/>
      <c r="DE164" s="358"/>
      <c r="DF164" s="358"/>
      <c r="DG164" s="358"/>
      <c r="DH164" s="358"/>
      <c r="DI164" s="358"/>
      <c r="DJ164" s="358"/>
      <c r="DK164" s="358"/>
      <c r="DL164" s="358"/>
      <c r="DM164" s="358"/>
      <c r="DN164" s="358"/>
      <c r="DO164" s="358"/>
      <c r="DP164" s="358"/>
      <c r="DQ164" s="358"/>
      <c r="DR164" s="358"/>
      <c r="DS164" s="358"/>
      <c r="DT164" s="358"/>
      <c r="DU164" s="358"/>
      <c r="DV164" s="358"/>
      <c r="DW164" s="358"/>
      <c r="DX164" s="358"/>
      <c r="DY164" s="358"/>
      <c r="DZ164" s="358"/>
      <c r="EA164" s="358"/>
      <c r="EB164" s="358"/>
      <c r="EC164" s="358"/>
      <c r="ED164" s="358"/>
      <c r="EE164" s="358"/>
      <c r="EF164" s="358"/>
      <c r="EG164" s="358"/>
      <c r="EH164" s="358"/>
      <c r="EI164" s="358"/>
      <c r="EJ164" s="358"/>
      <c r="EK164" s="358"/>
      <c r="EL164" s="358"/>
      <c r="EM164" s="358"/>
      <c r="EN164" s="358"/>
      <c r="EO164" s="358"/>
      <c r="EP164" s="358"/>
      <c r="EQ164" s="358"/>
      <c r="ER164" s="358"/>
      <c r="ES164" s="358"/>
      <c r="ET164" s="358"/>
      <c r="EU164" s="358"/>
      <c r="EV164" s="358"/>
      <c r="EW164" s="358"/>
      <c r="EX164" s="358"/>
      <c r="EY164" s="358"/>
      <c r="EZ164" s="371"/>
    </row>
    <row r="165" spans="1:156" s="251" customFormat="1" ht="12" customHeight="1" x14ac:dyDescent="0.35">
      <c r="A165" s="1444" t="s">
        <v>214</v>
      </c>
      <c r="B165" s="1445"/>
      <c r="C165" s="1445"/>
      <c r="D165" s="1446"/>
      <c r="E165" s="1589" t="s">
        <v>215</v>
      </c>
      <c r="F165" s="1426"/>
      <c r="G165" s="1426"/>
      <c r="H165" s="1426"/>
      <c r="I165" s="1426"/>
      <c r="J165" s="1427"/>
      <c r="K165" s="1528" t="s">
        <v>216</v>
      </c>
      <c r="L165" s="1529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421"/>
      <c r="AL165" s="358"/>
      <c r="AM165" s="358"/>
      <c r="AN165" s="358"/>
      <c r="AO165" s="358"/>
      <c r="AP165" s="358"/>
      <c r="AQ165" s="358"/>
      <c r="AR165" s="358"/>
      <c r="AS165" s="358"/>
      <c r="AT165" s="358"/>
      <c r="AU165" s="358"/>
      <c r="AV165" s="358"/>
      <c r="AW165" s="358"/>
      <c r="AX165" s="358"/>
      <c r="AY165" s="358"/>
      <c r="AZ165" s="358"/>
      <c r="BA165" s="358"/>
      <c r="BB165" s="358"/>
      <c r="BC165" s="358"/>
      <c r="BD165" s="358"/>
      <c r="BE165" s="358"/>
      <c r="BF165" s="358"/>
      <c r="BG165" s="358"/>
      <c r="BH165" s="358"/>
      <c r="BI165" s="358"/>
      <c r="BJ165" s="358"/>
      <c r="BK165" s="358"/>
      <c r="BL165" s="358"/>
      <c r="BM165" s="358"/>
      <c r="BN165" s="358"/>
      <c r="BO165" s="358"/>
      <c r="BP165" s="358"/>
      <c r="BQ165" s="358"/>
      <c r="BR165" s="358"/>
      <c r="BS165" s="358"/>
      <c r="BT165" s="358"/>
      <c r="BU165" s="358"/>
      <c r="BV165" s="358"/>
      <c r="BW165" s="358"/>
      <c r="BX165" s="358"/>
      <c r="BY165" s="358"/>
      <c r="BZ165" s="358"/>
      <c r="CA165" s="358"/>
      <c r="CB165" s="358"/>
      <c r="CC165" s="358"/>
      <c r="CD165" s="358"/>
      <c r="CE165" s="358"/>
      <c r="CF165" s="358"/>
      <c r="CG165" s="358"/>
      <c r="CH165" s="358"/>
      <c r="CI165" s="358"/>
      <c r="CJ165" s="358"/>
      <c r="CK165" s="358"/>
      <c r="CL165" s="358"/>
      <c r="CM165" s="358"/>
      <c r="CN165" s="358"/>
      <c r="CO165" s="358"/>
      <c r="CP165" s="358"/>
      <c r="CQ165" s="358"/>
      <c r="CR165" s="358"/>
      <c r="CS165" s="358"/>
      <c r="CT165" s="358"/>
      <c r="CU165" s="358"/>
      <c r="CV165" s="358"/>
      <c r="CW165" s="358"/>
      <c r="CX165" s="358"/>
      <c r="CY165" s="358"/>
      <c r="CZ165" s="358"/>
      <c r="DA165" s="358"/>
      <c r="DB165" s="358"/>
      <c r="DC165" s="358"/>
      <c r="DD165" s="358"/>
      <c r="DE165" s="358"/>
      <c r="DF165" s="358"/>
      <c r="DG165" s="358"/>
      <c r="DH165" s="358"/>
      <c r="DI165" s="358"/>
      <c r="DJ165" s="358"/>
      <c r="DK165" s="358"/>
      <c r="DL165" s="358"/>
      <c r="DM165" s="358"/>
      <c r="DN165" s="358"/>
      <c r="DO165" s="358"/>
      <c r="DP165" s="358"/>
      <c r="DQ165" s="358"/>
      <c r="DR165" s="358"/>
      <c r="DS165" s="358"/>
      <c r="DT165" s="358"/>
      <c r="DU165" s="358"/>
      <c r="DV165" s="358"/>
      <c r="DW165" s="358"/>
      <c r="DX165" s="358"/>
      <c r="DY165" s="358"/>
      <c r="DZ165" s="358"/>
      <c r="EA165" s="358"/>
      <c r="EB165" s="358"/>
      <c r="EC165" s="358"/>
      <c r="ED165" s="358"/>
      <c r="EE165" s="358"/>
      <c r="EF165" s="358"/>
      <c r="EG165" s="358"/>
      <c r="EH165" s="358"/>
      <c r="EI165" s="358"/>
      <c r="EJ165" s="358"/>
      <c r="EK165" s="358"/>
      <c r="EL165" s="358"/>
      <c r="EM165" s="358"/>
      <c r="EN165" s="358"/>
      <c r="EO165" s="358"/>
      <c r="EP165" s="358"/>
      <c r="EQ165" s="358"/>
      <c r="ER165" s="358"/>
      <c r="ES165" s="358"/>
      <c r="ET165" s="358"/>
      <c r="EU165" s="358"/>
      <c r="EV165" s="358"/>
      <c r="EW165" s="358"/>
      <c r="EX165" s="358"/>
      <c r="EY165" s="358"/>
      <c r="EZ165" s="371"/>
    </row>
    <row r="166" spans="1:156" s="251" customFormat="1" ht="12" customHeight="1" x14ac:dyDescent="0.35">
      <c r="A166" s="1586"/>
      <c r="B166" s="1587"/>
      <c r="C166" s="1587"/>
      <c r="D166" s="1588"/>
      <c r="E166" s="1601" t="s">
        <v>217</v>
      </c>
      <c r="F166" s="1602"/>
      <c r="G166" s="1524" t="s">
        <v>218</v>
      </c>
      <c r="H166" s="1525"/>
      <c r="I166" s="1524" t="s">
        <v>219</v>
      </c>
      <c r="J166" s="1525"/>
      <c r="K166" s="1522" t="s">
        <v>220</v>
      </c>
      <c r="L166" s="1523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421"/>
      <c r="AL166" s="358"/>
      <c r="AM166" s="358"/>
      <c r="AN166" s="358"/>
      <c r="AO166" s="358"/>
      <c r="AP166" s="358"/>
      <c r="AQ166" s="358"/>
      <c r="AR166" s="358"/>
      <c r="AS166" s="358"/>
      <c r="AT166" s="358"/>
      <c r="AU166" s="358"/>
      <c r="AV166" s="358"/>
      <c r="AW166" s="358"/>
      <c r="AX166" s="358"/>
      <c r="AY166" s="358"/>
      <c r="AZ166" s="358"/>
      <c r="BA166" s="358"/>
      <c r="BB166" s="358"/>
      <c r="BC166" s="358"/>
      <c r="BD166" s="358"/>
      <c r="BE166" s="358"/>
      <c r="BF166" s="358"/>
      <c r="BG166" s="358"/>
      <c r="BH166" s="358"/>
      <c r="BI166" s="358"/>
      <c r="BJ166" s="358"/>
      <c r="BK166" s="358"/>
      <c r="BL166" s="358"/>
      <c r="BM166" s="358"/>
      <c r="BN166" s="358"/>
      <c r="BO166" s="358"/>
      <c r="BP166" s="358"/>
      <c r="BQ166" s="358"/>
      <c r="BR166" s="358"/>
      <c r="BS166" s="358"/>
      <c r="BT166" s="358"/>
      <c r="BU166" s="358"/>
      <c r="BV166" s="358"/>
      <c r="BW166" s="358"/>
      <c r="BX166" s="358"/>
      <c r="BY166" s="358"/>
      <c r="BZ166" s="358"/>
      <c r="CA166" s="358"/>
      <c r="CB166" s="358"/>
      <c r="CC166" s="358"/>
      <c r="CD166" s="358"/>
      <c r="CE166" s="358"/>
      <c r="CF166" s="358"/>
      <c r="CG166" s="358"/>
      <c r="CH166" s="358"/>
      <c r="CI166" s="358"/>
      <c r="CJ166" s="358"/>
      <c r="CK166" s="358"/>
      <c r="CL166" s="358"/>
      <c r="CM166" s="358"/>
      <c r="CN166" s="358"/>
      <c r="CO166" s="358"/>
      <c r="CP166" s="358"/>
      <c r="CQ166" s="358"/>
      <c r="CR166" s="358"/>
      <c r="CS166" s="358"/>
      <c r="CT166" s="358"/>
      <c r="CU166" s="358"/>
      <c r="CV166" s="358"/>
      <c r="CW166" s="358"/>
      <c r="CX166" s="358"/>
      <c r="CY166" s="358"/>
      <c r="CZ166" s="358"/>
      <c r="DA166" s="358"/>
      <c r="DB166" s="358"/>
      <c r="DC166" s="358"/>
      <c r="DD166" s="358"/>
      <c r="DE166" s="358"/>
      <c r="DF166" s="358"/>
      <c r="DG166" s="358"/>
      <c r="DH166" s="358"/>
      <c r="DI166" s="358"/>
      <c r="DJ166" s="358"/>
      <c r="DK166" s="358"/>
      <c r="DL166" s="358"/>
      <c r="DM166" s="358"/>
      <c r="DN166" s="358"/>
      <c r="DO166" s="358"/>
      <c r="DP166" s="358"/>
      <c r="DQ166" s="358"/>
      <c r="DR166" s="358"/>
      <c r="DS166" s="358"/>
      <c r="DT166" s="358"/>
      <c r="DU166" s="358"/>
      <c r="DV166" s="358"/>
      <c r="DW166" s="358"/>
      <c r="DX166" s="358"/>
      <c r="DY166" s="358"/>
      <c r="DZ166" s="358"/>
      <c r="EA166" s="358"/>
      <c r="EB166" s="358"/>
      <c r="EC166" s="358"/>
      <c r="ED166" s="358"/>
      <c r="EE166" s="358"/>
      <c r="EF166" s="358"/>
      <c r="EG166" s="358"/>
      <c r="EH166" s="358"/>
      <c r="EI166" s="358"/>
      <c r="EJ166" s="358"/>
      <c r="EK166" s="358"/>
      <c r="EL166" s="358"/>
      <c r="EM166" s="358"/>
      <c r="EN166" s="358"/>
      <c r="EO166" s="358"/>
      <c r="EP166" s="358"/>
      <c r="EQ166" s="358"/>
      <c r="ER166" s="358"/>
      <c r="ES166" s="358"/>
      <c r="ET166" s="358"/>
      <c r="EU166" s="358"/>
      <c r="EV166" s="358"/>
      <c r="EW166" s="358"/>
      <c r="EX166" s="358"/>
      <c r="EY166" s="358"/>
      <c r="EZ166" s="371"/>
    </row>
    <row r="167" spans="1:156" s="251" customFormat="1" ht="12" customHeight="1" x14ac:dyDescent="0.35">
      <c r="A167" s="1510" t="s">
        <v>19</v>
      </c>
      <c r="B167" s="1512"/>
      <c r="C167" s="1014">
        <f ca="1">IF(OR($N$8="",$N$8=0),"",IF(INDIRECT(ADDRESS(($AK167),COLUMN()+43,,,"Digitar Dados dos Ensaios"))&lt;&gt;"",INDIRECT(ADDRESS(($AK167),COLUMN()+43,,,"Digitar Dados dos Ensaios")),""))</f>
        <v>1</v>
      </c>
      <c r="D167" s="1014">
        <f ca="1">IF(OR($N$8="",$N$8=0),"",IF(INDIRECT(ADDRESS(($AK167),COLUMN()+45,,,"Digitar Dados dos Ensaios"))&lt;&gt;"",INDIRECT(ADDRESS(($AK167),COLUMN()+45,,,"Digitar Dados dos Ensaios")),""))</f>
        <v>2</v>
      </c>
      <c r="E167" s="1522"/>
      <c r="F167" s="1603"/>
      <c r="G167" s="1584" t="s">
        <v>221</v>
      </c>
      <c r="H167" s="1585"/>
      <c r="I167" s="1526"/>
      <c r="J167" s="1527"/>
      <c r="K167" s="1516">
        <f ca="1">IF(I175&lt;&gt;"",(1-I175),"")</f>
        <v>0.47007282931079974</v>
      </c>
      <c r="L167" s="1517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421">
        <f>AK7+5</f>
        <v>9</v>
      </c>
      <c r="AL167" s="358"/>
      <c r="AM167" s="358"/>
      <c r="AN167" s="358"/>
      <c r="AO167" s="358"/>
      <c r="AP167" s="358"/>
      <c r="AQ167" s="358"/>
      <c r="AR167" s="358"/>
      <c r="AS167" s="358"/>
      <c r="AT167" s="358"/>
      <c r="AU167" s="358"/>
      <c r="AV167" s="358"/>
      <c r="AW167" s="358"/>
      <c r="AX167" s="358"/>
      <c r="AY167" s="358"/>
      <c r="AZ167" s="358"/>
      <c r="BA167" s="358"/>
      <c r="BB167" s="358"/>
      <c r="BC167" s="358"/>
      <c r="BD167" s="358"/>
      <c r="BE167" s="358"/>
      <c r="BF167" s="358"/>
      <c r="BG167" s="358"/>
      <c r="BH167" s="358"/>
      <c r="BI167" s="358"/>
      <c r="BJ167" s="358"/>
      <c r="BK167" s="358"/>
      <c r="BL167" s="358"/>
      <c r="BM167" s="358"/>
      <c r="BN167" s="358"/>
      <c r="BO167" s="358"/>
      <c r="BP167" s="358"/>
      <c r="BQ167" s="358"/>
      <c r="BR167" s="358"/>
      <c r="BS167" s="358"/>
      <c r="BT167" s="358"/>
      <c r="BU167" s="358"/>
      <c r="BV167" s="358"/>
      <c r="BW167" s="358"/>
      <c r="BX167" s="358"/>
      <c r="BY167" s="358"/>
      <c r="BZ167" s="358"/>
      <c r="CA167" s="358"/>
      <c r="CB167" s="358"/>
      <c r="CC167" s="358"/>
      <c r="CD167" s="358"/>
      <c r="CE167" s="358"/>
      <c r="CF167" s="358"/>
      <c r="CG167" s="358"/>
      <c r="CH167" s="358"/>
      <c r="CI167" s="358"/>
      <c r="CJ167" s="358"/>
      <c r="CK167" s="358"/>
      <c r="CL167" s="358"/>
      <c r="CM167" s="358"/>
      <c r="CN167" s="358"/>
      <c r="CO167" s="358"/>
      <c r="CP167" s="358"/>
      <c r="CQ167" s="358"/>
      <c r="CR167" s="358"/>
      <c r="CS167" s="358"/>
      <c r="CT167" s="358"/>
      <c r="CU167" s="358"/>
      <c r="CV167" s="358"/>
      <c r="CW167" s="358"/>
      <c r="CX167" s="358"/>
      <c r="CY167" s="358"/>
      <c r="CZ167" s="358"/>
      <c r="DA167" s="358"/>
      <c r="DB167" s="358"/>
      <c r="DC167" s="358"/>
      <c r="DD167" s="358"/>
      <c r="DE167" s="358"/>
      <c r="DF167" s="358"/>
      <c r="DG167" s="358"/>
      <c r="DH167" s="358"/>
      <c r="DI167" s="358"/>
      <c r="DJ167" s="358"/>
      <c r="DK167" s="358"/>
      <c r="DL167" s="358"/>
      <c r="DM167" s="358"/>
      <c r="DN167" s="358"/>
      <c r="DO167" s="358"/>
      <c r="DP167" s="358"/>
      <c r="DQ167" s="358"/>
      <c r="DR167" s="358"/>
      <c r="DS167" s="358"/>
      <c r="DT167" s="358"/>
      <c r="DU167" s="358"/>
      <c r="DV167" s="358"/>
      <c r="DW167" s="358"/>
      <c r="DX167" s="358"/>
      <c r="DY167" s="358"/>
      <c r="DZ167" s="358"/>
      <c r="EA167" s="358"/>
      <c r="EB167" s="358"/>
      <c r="EC167" s="358"/>
      <c r="ED167" s="358"/>
      <c r="EE167" s="358"/>
      <c r="EF167" s="358"/>
      <c r="EG167" s="358"/>
      <c r="EH167" s="358"/>
      <c r="EI167" s="358"/>
      <c r="EJ167" s="358"/>
      <c r="EK167" s="358"/>
      <c r="EL167" s="358"/>
      <c r="EM167" s="358"/>
      <c r="EN167" s="358"/>
      <c r="EO167" s="358"/>
      <c r="EP167" s="358"/>
      <c r="EQ167" s="358"/>
      <c r="ER167" s="358"/>
      <c r="ES167" s="358"/>
      <c r="ET167" s="358"/>
      <c r="EU167" s="358"/>
      <c r="EV167" s="358"/>
      <c r="EW167" s="358"/>
      <c r="EX167" s="358"/>
      <c r="EY167" s="358"/>
      <c r="EZ167" s="371"/>
    </row>
    <row r="168" spans="1:156" s="251" customFormat="1" ht="12" customHeight="1" x14ac:dyDescent="0.35">
      <c r="A168" s="1518" t="s">
        <v>222</v>
      </c>
      <c r="B168" s="1519"/>
      <c r="C168" s="1015">
        <f ca="1">IF(OR($N$8="",$N$8=0),"",IF(INDIRECT(ADDRESS(($AK168),COLUMN()+44,,,"Digitar Dados dos Ensaios"))&lt;&gt;"",INDIRECT(ADDRESS(($AK168),COLUMN()+44,,,"Digitar Dados dos Ensaios")),""))</f>
        <v>1</v>
      </c>
      <c r="D168" s="1016">
        <f ca="1">IF(OR($N$8="",$N$8=0),"",IF(INDIRECT(ADDRESS(($AK168),COLUMN()+46,,,"Digitar Dados dos Ensaios"))&lt;&gt;"",INDIRECT(ADDRESS(($AK168),COLUMN()+46,,,"Digitar Dados dos Ensaios")),""))</f>
        <v>1</v>
      </c>
      <c r="E168" s="1017" t="s">
        <v>223</v>
      </c>
      <c r="F168" s="1017" t="s">
        <v>224</v>
      </c>
      <c r="G168" s="1017" t="s">
        <v>42</v>
      </c>
      <c r="H168" s="1018" t="s">
        <v>225</v>
      </c>
      <c r="I168" s="1584" t="s">
        <v>226</v>
      </c>
      <c r="J168" s="1585"/>
      <c r="K168" s="1522" t="s">
        <v>227</v>
      </c>
      <c r="L168" s="1523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421">
        <f>AK167</f>
        <v>9</v>
      </c>
      <c r="AL168" s="358"/>
      <c r="AM168" s="358"/>
      <c r="AN168" s="358"/>
      <c r="AO168" s="358"/>
      <c r="AP168" s="358"/>
      <c r="AQ168" s="358"/>
      <c r="AR168" s="358"/>
      <c r="AS168" s="358"/>
      <c r="AT168" s="358"/>
      <c r="AU168" s="358"/>
      <c r="AV168" s="358"/>
      <c r="AW168" s="358"/>
      <c r="AX168" s="358"/>
      <c r="AY168" s="358"/>
      <c r="AZ168" s="358"/>
      <c r="BA168" s="358"/>
      <c r="BB168" s="358"/>
      <c r="BC168" s="358"/>
      <c r="BD168" s="358"/>
      <c r="BE168" s="358"/>
      <c r="BF168" s="358"/>
      <c r="BG168" s="358"/>
      <c r="BH168" s="358"/>
      <c r="BI168" s="358"/>
      <c r="BJ168" s="358"/>
      <c r="BK168" s="358"/>
      <c r="BL168" s="358"/>
      <c r="BM168" s="358"/>
      <c r="BN168" s="358"/>
      <c r="BO168" s="358"/>
      <c r="BP168" s="358"/>
      <c r="BQ168" s="358"/>
      <c r="BR168" s="358"/>
      <c r="BS168" s="358"/>
      <c r="BT168" s="358"/>
      <c r="BU168" s="358"/>
      <c r="BV168" s="358"/>
      <c r="BW168" s="358"/>
      <c r="BX168" s="358"/>
      <c r="BY168" s="358"/>
      <c r="BZ168" s="358"/>
      <c r="CA168" s="358"/>
      <c r="CB168" s="358"/>
      <c r="CC168" s="358"/>
      <c r="CD168" s="358"/>
      <c r="CE168" s="358"/>
      <c r="CF168" s="358"/>
      <c r="CG168" s="358"/>
      <c r="CH168" s="358"/>
      <c r="CI168" s="358"/>
      <c r="CJ168" s="358"/>
      <c r="CK168" s="358"/>
      <c r="CL168" s="358"/>
      <c r="CM168" s="358"/>
      <c r="CN168" s="358"/>
      <c r="CO168" s="358"/>
      <c r="CP168" s="358"/>
      <c r="CQ168" s="358"/>
      <c r="CR168" s="358"/>
      <c r="CS168" s="358"/>
      <c r="CT168" s="358"/>
      <c r="CU168" s="358"/>
      <c r="CV168" s="358"/>
      <c r="CW168" s="358"/>
      <c r="CX168" s="358"/>
      <c r="CY168" s="358"/>
      <c r="CZ168" s="358"/>
      <c r="DA168" s="358"/>
      <c r="DB168" s="358"/>
      <c r="DC168" s="358"/>
      <c r="DD168" s="358"/>
      <c r="DE168" s="358"/>
      <c r="DF168" s="358"/>
      <c r="DG168" s="358"/>
      <c r="DH168" s="358"/>
      <c r="DI168" s="358"/>
      <c r="DJ168" s="358"/>
      <c r="DK168" s="358"/>
      <c r="DL168" s="358"/>
      <c r="DM168" s="358"/>
      <c r="DN168" s="358"/>
      <c r="DO168" s="358"/>
      <c r="DP168" s="358"/>
      <c r="DQ168" s="358"/>
      <c r="DR168" s="358"/>
      <c r="DS168" s="358"/>
      <c r="DT168" s="358"/>
      <c r="DU168" s="358"/>
      <c r="DV168" s="358"/>
      <c r="DW168" s="358"/>
      <c r="DX168" s="358"/>
      <c r="DY168" s="358"/>
      <c r="DZ168" s="358"/>
      <c r="EA168" s="358"/>
      <c r="EB168" s="358"/>
      <c r="EC168" s="358"/>
      <c r="ED168" s="358"/>
      <c r="EE168" s="358"/>
      <c r="EF168" s="358"/>
      <c r="EG168" s="358"/>
      <c r="EH168" s="358"/>
      <c r="EI168" s="358"/>
      <c r="EJ168" s="358"/>
      <c r="EK168" s="358"/>
      <c r="EL168" s="358"/>
      <c r="EM168" s="358"/>
      <c r="EN168" s="358"/>
      <c r="EO168" s="358"/>
      <c r="EP168" s="358"/>
      <c r="EQ168" s="358"/>
      <c r="ER168" s="358"/>
      <c r="ES168" s="358"/>
      <c r="ET168" s="358"/>
      <c r="EU168" s="358"/>
      <c r="EV168" s="358"/>
      <c r="EW168" s="358"/>
      <c r="EX168" s="358"/>
      <c r="EY168" s="358"/>
      <c r="EZ168" s="371"/>
    </row>
    <row r="169" spans="1:156" s="251" customFormat="1" ht="12" customHeight="1" x14ac:dyDescent="0.35">
      <c r="A169" s="1518" t="s">
        <v>228</v>
      </c>
      <c r="B169" s="1519"/>
      <c r="C169" s="1015">
        <f ca="1">IF(OR($N$8="",$N$8=0),"",IF(INDIRECT(ADDRESS(($AK169),COLUMN()+45,,,"Digitar Dados dos Ensaios"))&lt;&gt;"",INDIRECT(ADDRESS(($AK169),COLUMN()+45,,,"Digitar Dados dos Ensaios")),""))</f>
        <v>1</v>
      </c>
      <c r="D169" s="1016">
        <f ca="1">IF(OR($N$8="",$N$8=0),"",IF(INDIRECT(ADDRESS(($AK169),COLUMN()+47,,,"Digitar Dados dos Ensaios"))&lt;&gt;"",INDIRECT(ADDRESS(($AK169),COLUMN()+47,,,"Digitar Dados dos Ensaios")),""))</f>
        <v>1</v>
      </c>
      <c r="E169" s="1019" t="s">
        <v>29</v>
      </c>
      <c r="F169" s="1019">
        <v>50.8</v>
      </c>
      <c r="G169" s="1020">
        <f ca="1">IF(OR($N$8="",$N$8=0),"",IF(INDIRECT(ADDRESS(($AK169),COLUMN()+45,,,"Digitar Dados dos Ensaios"))&lt;&gt;"",INDIRECT(ADDRESS(($AK169),COLUMN()+45,,,"Digitar Dados dos Ensaios")),""))</f>
        <v>0</v>
      </c>
      <c r="H169" s="953">
        <f ca="1">IF(D178="","",IF(G169=0,IF(D182&gt;0,D182,""),IF(G169&gt;0,D182-G169,"")))</f>
        <v>2501.7399999999998</v>
      </c>
      <c r="I169" s="1520">
        <f ca="1">IF(ISNUMBER(H169),H169/$D182,"")</f>
        <v>1</v>
      </c>
      <c r="J169" s="1521"/>
      <c r="K169" s="1516">
        <f ca="1">IF(J180&lt;&gt;"",(I175-J180),"")</f>
        <v>0.11280696181988642</v>
      </c>
      <c r="L169" s="1517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421">
        <f>AK168</f>
        <v>9</v>
      </c>
      <c r="AL169" s="358"/>
      <c r="AM169" s="358"/>
      <c r="AN169" s="358"/>
      <c r="AO169" s="358"/>
      <c r="AP169" s="358"/>
      <c r="AQ169" s="358"/>
      <c r="AR169" s="358"/>
      <c r="AS169" s="358"/>
      <c r="AT169" s="358"/>
      <c r="AU169" s="358"/>
      <c r="AV169" s="358"/>
      <c r="AW169" s="358"/>
      <c r="AX169" s="358"/>
      <c r="AY169" s="358"/>
      <c r="AZ169" s="358"/>
      <c r="BA169" s="358"/>
      <c r="BB169" s="358"/>
      <c r="BC169" s="358"/>
      <c r="BD169" s="358"/>
      <c r="BE169" s="358"/>
      <c r="BF169" s="358"/>
      <c r="BG169" s="358"/>
      <c r="BH169" s="358"/>
      <c r="BI169" s="358"/>
      <c r="BJ169" s="358"/>
      <c r="BK169" s="358"/>
      <c r="BL169" s="358"/>
      <c r="BM169" s="358"/>
      <c r="BN169" s="358"/>
      <c r="BO169" s="358"/>
      <c r="BP169" s="358"/>
      <c r="BQ169" s="358"/>
      <c r="BR169" s="358"/>
      <c r="BS169" s="358"/>
      <c r="BT169" s="358"/>
      <c r="BU169" s="358"/>
      <c r="BV169" s="358"/>
      <c r="BW169" s="358"/>
      <c r="BX169" s="358"/>
      <c r="BY169" s="358"/>
      <c r="BZ169" s="358"/>
      <c r="CA169" s="358"/>
      <c r="CB169" s="358"/>
      <c r="CC169" s="358"/>
      <c r="CD169" s="358"/>
      <c r="CE169" s="358"/>
      <c r="CF169" s="358"/>
      <c r="CG169" s="358"/>
      <c r="CH169" s="358"/>
      <c r="CI169" s="358"/>
      <c r="CJ169" s="358"/>
      <c r="CK169" s="358"/>
      <c r="CL169" s="358"/>
      <c r="CM169" s="358"/>
      <c r="CN169" s="358"/>
      <c r="CO169" s="358"/>
      <c r="CP169" s="358"/>
      <c r="CQ169" s="358"/>
      <c r="CR169" s="358"/>
      <c r="CS169" s="358"/>
      <c r="CT169" s="358"/>
      <c r="CU169" s="358"/>
      <c r="CV169" s="358"/>
      <c r="CW169" s="358"/>
      <c r="CX169" s="358"/>
      <c r="CY169" s="358"/>
      <c r="CZ169" s="358"/>
      <c r="DA169" s="358"/>
      <c r="DB169" s="358"/>
      <c r="DC169" s="358"/>
      <c r="DD169" s="358"/>
      <c r="DE169" s="358"/>
      <c r="DF169" s="358"/>
      <c r="DG169" s="358"/>
      <c r="DH169" s="358"/>
      <c r="DI169" s="358"/>
      <c r="DJ169" s="358"/>
      <c r="DK169" s="358"/>
      <c r="DL169" s="358"/>
      <c r="DM169" s="358"/>
      <c r="DN169" s="358"/>
      <c r="DO169" s="358"/>
      <c r="DP169" s="358"/>
      <c r="DQ169" s="358"/>
      <c r="DR169" s="358"/>
      <c r="DS169" s="358"/>
      <c r="DT169" s="358"/>
      <c r="DU169" s="358"/>
      <c r="DV169" s="358"/>
      <c r="DW169" s="358"/>
      <c r="DX169" s="358"/>
      <c r="DY169" s="358"/>
      <c r="DZ169" s="358"/>
      <c r="EA169" s="358"/>
      <c r="EB169" s="358"/>
      <c r="EC169" s="358"/>
      <c r="ED169" s="358"/>
      <c r="EE169" s="358"/>
      <c r="EF169" s="358"/>
      <c r="EG169" s="358"/>
      <c r="EH169" s="358"/>
      <c r="EI169" s="358"/>
      <c r="EJ169" s="358"/>
      <c r="EK169" s="358"/>
      <c r="EL169" s="358"/>
      <c r="EM169" s="358"/>
      <c r="EN169" s="358"/>
      <c r="EO169" s="358"/>
      <c r="EP169" s="358"/>
      <c r="EQ169" s="358"/>
      <c r="ER169" s="358"/>
      <c r="ES169" s="358"/>
      <c r="ET169" s="358"/>
      <c r="EU169" s="358"/>
      <c r="EV169" s="358"/>
      <c r="EW169" s="358"/>
      <c r="EX169" s="358"/>
      <c r="EY169" s="358"/>
      <c r="EZ169" s="371"/>
    </row>
    <row r="170" spans="1:156" s="251" customFormat="1" ht="12" customHeight="1" x14ac:dyDescent="0.35">
      <c r="A170" s="1518" t="s">
        <v>229</v>
      </c>
      <c r="B170" s="1519"/>
      <c r="C170" s="1016">
        <f ca="1">IF(C167&lt;&gt;"",LOOKUP(C167,Tara!$C$6:$C$185,Tara!$D$6:$D$185),"")</f>
        <v>26.16</v>
      </c>
      <c r="D170" s="1016">
        <f ca="1">IF(D167&lt;&gt;"",LOOKUP(D167,Tara!$C$6:$C$185,Tara!$D$6:$D$185),"")</f>
        <v>34.159999999999997</v>
      </c>
      <c r="E170" s="1019" t="s">
        <v>30</v>
      </c>
      <c r="F170" s="1019">
        <v>38.1</v>
      </c>
      <c r="G170" s="1020">
        <f ca="1">IF(OR($N$8="",$N$8=0),"",IF(INDIRECT(ADDRESS(($AK170),COLUMN()+46,,,"Digitar Dados dos Ensaios"))&lt;&gt;"",INDIRECT(ADDRESS(($AK170),COLUMN()+46,,,"Digitar Dados dos Ensaios")),""))</f>
        <v>0</v>
      </c>
      <c r="H170" s="953">
        <f t="shared" ref="H170:H175" ca="1" si="77">IF(H169="","",H169-G170)</f>
        <v>2501.7399999999998</v>
      </c>
      <c r="I170" s="1520">
        <f t="shared" ref="I170:I175" ca="1" si="78">IF(ISNUMBER(H170),H170/$D$182,"")</f>
        <v>1</v>
      </c>
      <c r="J170" s="1521"/>
      <c r="K170" s="1522" t="s">
        <v>230</v>
      </c>
      <c r="L170" s="1523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421">
        <f t="shared" ref="AK170:AK175" si="79">AK169</f>
        <v>9</v>
      </c>
      <c r="AL170" s="358"/>
      <c r="AM170" s="358"/>
      <c r="AN170" s="358"/>
      <c r="AO170" s="358"/>
      <c r="AP170" s="358"/>
      <c r="AQ170" s="358"/>
      <c r="AR170" s="358"/>
      <c r="AS170" s="358"/>
      <c r="AT170" s="358"/>
      <c r="AU170" s="358"/>
      <c r="AV170" s="358"/>
      <c r="AW170" s="358"/>
      <c r="AX170" s="358"/>
      <c r="AY170" s="358"/>
      <c r="AZ170" s="358"/>
      <c r="BA170" s="358"/>
      <c r="BB170" s="358"/>
      <c r="BC170" s="358"/>
      <c r="BD170" s="358"/>
      <c r="BE170" s="358"/>
      <c r="BF170" s="358"/>
      <c r="BG170" s="358"/>
      <c r="BH170" s="358"/>
      <c r="BI170" s="358"/>
      <c r="BJ170" s="358"/>
      <c r="BK170" s="358"/>
      <c r="BL170" s="358"/>
      <c r="BM170" s="358"/>
      <c r="BN170" s="358"/>
      <c r="BO170" s="358"/>
      <c r="BP170" s="358"/>
      <c r="BQ170" s="358"/>
      <c r="BR170" s="358"/>
      <c r="BS170" s="358"/>
      <c r="BT170" s="358"/>
      <c r="BU170" s="358"/>
      <c r="BV170" s="358"/>
      <c r="BW170" s="358"/>
      <c r="BX170" s="358"/>
      <c r="BY170" s="358"/>
      <c r="BZ170" s="358"/>
      <c r="CA170" s="358"/>
      <c r="CB170" s="358"/>
      <c r="CC170" s="358"/>
      <c r="CD170" s="358"/>
      <c r="CE170" s="358"/>
      <c r="CF170" s="358"/>
      <c r="CG170" s="358"/>
      <c r="CH170" s="358"/>
      <c r="CI170" s="358"/>
      <c r="CJ170" s="358"/>
      <c r="CK170" s="358"/>
      <c r="CL170" s="358"/>
      <c r="CM170" s="358"/>
      <c r="CN170" s="358"/>
      <c r="CO170" s="358"/>
      <c r="CP170" s="358"/>
      <c r="CQ170" s="358"/>
      <c r="CR170" s="358"/>
      <c r="CS170" s="358"/>
      <c r="CT170" s="358"/>
      <c r="CU170" s="358"/>
      <c r="CV170" s="358"/>
      <c r="CW170" s="358"/>
      <c r="CX170" s="358"/>
      <c r="CY170" s="358"/>
      <c r="CZ170" s="358"/>
      <c r="DA170" s="358"/>
      <c r="DB170" s="358"/>
      <c r="DC170" s="358"/>
      <c r="DD170" s="358"/>
      <c r="DE170" s="358"/>
      <c r="DF170" s="358"/>
      <c r="DG170" s="358"/>
      <c r="DH170" s="358"/>
      <c r="DI170" s="358"/>
      <c r="DJ170" s="358"/>
      <c r="DK170" s="358"/>
      <c r="DL170" s="358"/>
      <c r="DM170" s="358"/>
      <c r="DN170" s="358"/>
      <c r="DO170" s="358"/>
      <c r="DP170" s="358"/>
      <c r="DQ170" s="358"/>
      <c r="DR170" s="358"/>
      <c r="DS170" s="358"/>
      <c r="DT170" s="358"/>
      <c r="DU170" s="358"/>
      <c r="DV170" s="358"/>
      <c r="DW170" s="358"/>
      <c r="DX170" s="358"/>
      <c r="DY170" s="358"/>
      <c r="DZ170" s="358"/>
      <c r="EA170" s="358"/>
      <c r="EB170" s="358"/>
      <c r="EC170" s="358"/>
      <c r="ED170" s="358"/>
      <c r="EE170" s="358"/>
      <c r="EF170" s="358"/>
      <c r="EG170" s="358"/>
      <c r="EH170" s="358"/>
      <c r="EI170" s="358"/>
      <c r="EJ170" s="358"/>
      <c r="EK170" s="358"/>
      <c r="EL170" s="358"/>
      <c r="EM170" s="358"/>
      <c r="EN170" s="358"/>
      <c r="EO170" s="358"/>
      <c r="EP170" s="358"/>
      <c r="EQ170" s="358"/>
      <c r="ER170" s="358"/>
      <c r="ES170" s="358"/>
      <c r="ET170" s="358"/>
      <c r="EU170" s="358"/>
      <c r="EV170" s="358"/>
      <c r="EW170" s="358"/>
      <c r="EX170" s="358"/>
      <c r="EY170" s="358"/>
      <c r="EZ170" s="371"/>
    </row>
    <row r="171" spans="1:156" s="251" customFormat="1" ht="12" customHeight="1" x14ac:dyDescent="0.35">
      <c r="A171" s="1518" t="s">
        <v>231</v>
      </c>
      <c r="B171" s="1519"/>
      <c r="C171" s="1016">
        <f ca="1">IF(C167&lt;&gt;"",C168-C169,"")</f>
        <v>0</v>
      </c>
      <c r="D171" s="1016">
        <f ca="1">IF(D167&lt;&gt;"",D168-D169,"")</f>
        <v>0</v>
      </c>
      <c r="E171" s="1019" t="s">
        <v>31</v>
      </c>
      <c r="F171" s="1019">
        <v>25.4</v>
      </c>
      <c r="G171" s="1020">
        <f ca="1">IF(OR($N$8="",$N$8=0),"",IF(INDIRECT(ADDRESS(($AK171),COLUMN()+47,,,"Digitar Dados dos Ensaios"))&lt;&gt;"",INDIRECT(ADDRESS(($AK171),COLUMN()+47,,,"Digitar Dados dos Ensaios")),""))</f>
        <v>56.94</v>
      </c>
      <c r="H171" s="953">
        <f t="shared" ca="1" si="77"/>
        <v>2444.7999999999997</v>
      </c>
      <c r="I171" s="1520">
        <f t="shared" ca="1" si="78"/>
        <v>0.97723984107061479</v>
      </c>
      <c r="J171" s="1521"/>
      <c r="K171" s="1516">
        <f ca="1">IF(J182&lt;&gt;"",(J180-J182),"")</f>
        <v>0.18798861170290446</v>
      </c>
      <c r="L171" s="1517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421">
        <f t="shared" si="79"/>
        <v>9</v>
      </c>
      <c r="AL171" s="358"/>
      <c r="AM171" s="358"/>
      <c r="AN171" s="358"/>
      <c r="AO171" s="358"/>
      <c r="AP171" s="358"/>
      <c r="AQ171" s="358"/>
      <c r="AR171" s="358"/>
      <c r="AS171" s="358"/>
      <c r="AT171" s="358"/>
      <c r="AU171" s="358"/>
      <c r="AV171" s="358"/>
      <c r="AW171" s="358"/>
      <c r="AX171" s="358"/>
      <c r="AY171" s="358"/>
      <c r="AZ171" s="358"/>
      <c r="BA171" s="358"/>
      <c r="BB171" s="358"/>
      <c r="BC171" s="358"/>
      <c r="BD171" s="358"/>
      <c r="BE171" s="358"/>
      <c r="BF171" s="358"/>
      <c r="BG171" s="358"/>
      <c r="BH171" s="358"/>
      <c r="BI171" s="358"/>
      <c r="BJ171" s="358"/>
      <c r="BK171" s="358"/>
      <c r="BL171" s="358"/>
      <c r="BM171" s="358"/>
      <c r="BN171" s="358"/>
      <c r="BO171" s="358"/>
      <c r="BP171" s="358"/>
      <c r="BQ171" s="358"/>
      <c r="BR171" s="358"/>
      <c r="BS171" s="358"/>
      <c r="BT171" s="358"/>
      <c r="BU171" s="358"/>
      <c r="BV171" s="358"/>
      <c r="BW171" s="358"/>
      <c r="BX171" s="358"/>
      <c r="BY171" s="358"/>
      <c r="BZ171" s="358"/>
      <c r="CA171" s="358"/>
      <c r="CB171" s="358"/>
      <c r="CC171" s="358"/>
      <c r="CD171" s="358"/>
      <c r="CE171" s="358"/>
      <c r="CF171" s="358"/>
      <c r="CG171" s="358"/>
      <c r="CH171" s="358"/>
      <c r="CI171" s="358"/>
      <c r="CJ171" s="358"/>
      <c r="CK171" s="358"/>
      <c r="CL171" s="358"/>
      <c r="CM171" s="358"/>
      <c r="CN171" s="358"/>
      <c r="CO171" s="358"/>
      <c r="CP171" s="358"/>
      <c r="CQ171" s="358"/>
      <c r="CR171" s="358"/>
      <c r="CS171" s="358"/>
      <c r="CT171" s="358"/>
      <c r="CU171" s="358"/>
      <c r="CV171" s="358"/>
      <c r="CW171" s="358"/>
      <c r="CX171" s="358"/>
      <c r="CY171" s="358"/>
      <c r="CZ171" s="358"/>
      <c r="DA171" s="358"/>
      <c r="DB171" s="358"/>
      <c r="DC171" s="358"/>
      <c r="DD171" s="358"/>
      <c r="DE171" s="358"/>
      <c r="DF171" s="358"/>
      <c r="DG171" s="358"/>
      <c r="DH171" s="358"/>
      <c r="DI171" s="358"/>
      <c r="DJ171" s="358"/>
      <c r="DK171" s="358"/>
      <c r="DL171" s="358"/>
      <c r="DM171" s="358"/>
      <c r="DN171" s="358"/>
      <c r="DO171" s="358"/>
      <c r="DP171" s="358"/>
      <c r="DQ171" s="358"/>
      <c r="DR171" s="358"/>
      <c r="DS171" s="358"/>
      <c r="DT171" s="358"/>
      <c r="DU171" s="358"/>
      <c r="DV171" s="358"/>
      <c r="DW171" s="358"/>
      <c r="DX171" s="358"/>
      <c r="DY171" s="358"/>
      <c r="DZ171" s="358"/>
      <c r="EA171" s="358"/>
      <c r="EB171" s="358"/>
      <c r="EC171" s="358"/>
      <c r="ED171" s="358"/>
      <c r="EE171" s="358"/>
      <c r="EF171" s="358"/>
      <c r="EG171" s="358"/>
      <c r="EH171" s="358"/>
      <c r="EI171" s="358"/>
      <c r="EJ171" s="358"/>
      <c r="EK171" s="358"/>
      <c r="EL171" s="358"/>
      <c r="EM171" s="358"/>
      <c r="EN171" s="358"/>
      <c r="EO171" s="358"/>
      <c r="EP171" s="358"/>
      <c r="EQ171" s="358"/>
      <c r="ER171" s="358"/>
      <c r="ES171" s="358"/>
      <c r="ET171" s="358"/>
      <c r="EU171" s="358"/>
      <c r="EV171" s="358"/>
      <c r="EW171" s="358"/>
      <c r="EX171" s="358"/>
      <c r="EY171" s="358"/>
      <c r="EZ171" s="371"/>
    </row>
    <row r="172" spans="1:156" s="251" customFormat="1" ht="12" customHeight="1" x14ac:dyDescent="0.35">
      <c r="A172" s="1518" t="s">
        <v>232</v>
      </c>
      <c r="B172" s="1519"/>
      <c r="C172" s="1016">
        <f ca="1">IF(C167&lt;&gt;"",C169-C170,"")</f>
        <v>-25.16</v>
      </c>
      <c r="D172" s="1016">
        <f ca="1">IF(D167&lt;&gt;"",D169-D170,"")</f>
        <v>-33.159999999999997</v>
      </c>
      <c r="E172" s="1019" t="s">
        <v>32</v>
      </c>
      <c r="F172" s="1019">
        <v>19.100000000000001</v>
      </c>
      <c r="G172" s="1020">
        <f ca="1">IF(OR($N$8="",$N$8=0),"",IF(INDIRECT(ADDRESS(($AK172),COLUMN()+48,,,"Digitar Dados dos Ensaios"))&lt;&gt;"",INDIRECT(ADDRESS(($AK172),COLUMN()+48,,,"Digitar Dados dos Ensaios")),""))</f>
        <v>90.69</v>
      </c>
      <c r="H172" s="953">
        <f t="shared" ca="1" si="77"/>
        <v>2354.1099999999997</v>
      </c>
      <c r="I172" s="1520">
        <f t="shared" ca="1" si="78"/>
        <v>0.94098907160616208</v>
      </c>
      <c r="J172" s="1521"/>
      <c r="K172" s="1522" t="s">
        <v>233</v>
      </c>
      <c r="L172" s="1523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421">
        <f t="shared" si="79"/>
        <v>9</v>
      </c>
      <c r="AL172" s="358"/>
      <c r="AM172" s="358"/>
      <c r="AN172" s="358"/>
      <c r="AO172" s="358"/>
      <c r="AP172" s="358"/>
      <c r="AQ172" s="358"/>
      <c r="AR172" s="358"/>
      <c r="AS172" s="358"/>
      <c r="AT172" s="358"/>
      <c r="AU172" s="358"/>
      <c r="AV172" s="358"/>
      <c r="AW172" s="358"/>
      <c r="AX172" s="358"/>
      <c r="AY172" s="358"/>
      <c r="AZ172" s="358"/>
      <c r="BA172" s="358"/>
      <c r="BB172" s="358"/>
      <c r="BC172" s="358"/>
      <c r="BD172" s="358"/>
      <c r="BE172" s="358"/>
      <c r="BF172" s="358"/>
      <c r="BG172" s="358"/>
      <c r="BH172" s="358"/>
      <c r="BI172" s="358"/>
      <c r="BJ172" s="358"/>
      <c r="BK172" s="358"/>
      <c r="BL172" s="358"/>
      <c r="BM172" s="358"/>
      <c r="BN172" s="358"/>
      <c r="BO172" s="358"/>
      <c r="BP172" s="358"/>
      <c r="BQ172" s="358"/>
      <c r="BR172" s="358"/>
      <c r="BS172" s="358"/>
      <c r="BT172" s="358"/>
      <c r="BU172" s="358"/>
      <c r="BV172" s="358"/>
      <c r="BW172" s="358"/>
      <c r="BX172" s="358"/>
      <c r="BY172" s="358"/>
      <c r="BZ172" s="358"/>
      <c r="CA172" s="358"/>
      <c r="CB172" s="358"/>
      <c r="CC172" s="358"/>
      <c r="CD172" s="358"/>
      <c r="CE172" s="358"/>
      <c r="CF172" s="358"/>
      <c r="CG172" s="358"/>
      <c r="CH172" s="358"/>
      <c r="CI172" s="358"/>
      <c r="CJ172" s="358"/>
      <c r="CK172" s="358"/>
      <c r="CL172" s="358"/>
      <c r="CM172" s="358"/>
      <c r="CN172" s="358"/>
      <c r="CO172" s="358"/>
      <c r="CP172" s="358"/>
      <c r="CQ172" s="358"/>
      <c r="CR172" s="358"/>
      <c r="CS172" s="358"/>
      <c r="CT172" s="358"/>
      <c r="CU172" s="358"/>
      <c r="CV172" s="358"/>
      <c r="CW172" s="358"/>
      <c r="CX172" s="358"/>
      <c r="CY172" s="358"/>
      <c r="CZ172" s="358"/>
      <c r="DA172" s="358"/>
      <c r="DB172" s="358"/>
      <c r="DC172" s="358"/>
      <c r="DD172" s="358"/>
      <c r="DE172" s="358"/>
      <c r="DF172" s="358"/>
      <c r="DG172" s="358"/>
      <c r="DH172" s="358"/>
      <c r="DI172" s="358"/>
      <c r="DJ172" s="358"/>
      <c r="DK172" s="358"/>
      <c r="DL172" s="358"/>
      <c r="DM172" s="358"/>
      <c r="DN172" s="358"/>
      <c r="DO172" s="358"/>
      <c r="DP172" s="358"/>
      <c r="DQ172" s="358"/>
      <c r="DR172" s="358"/>
      <c r="DS172" s="358"/>
      <c r="DT172" s="358"/>
      <c r="DU172" s="358"/>
      <c r="DV172" s="358"/>
      <c r="DW172" s="358"/>
      <c r="DX172" s="358"/>
      <c r="DY172" s="358"/>
      <c r="DZ172" s="358"/>
      <c r="EA172" s="358"/>
      <c r="EB172" s="358"/>
      <c r="EC172" s="358"/>
      <c r="ED172" s="358"/>
      <c r="EE172" s="358"/>
      <c r="EF172" s="358"/>
      <c r="EG172" s="358"/>
      <c r="EH172" s="358"/>
      <c r="EI172" s="358"/>
      <c r="EJ172" s="358"/>
      <c r="EK172" s="358"/>
      <c r="EL172" s="358"/>
      <c r="EM172" s="358"/>
      <c r="EN172" s="358"/>
      <c r="EO172" s="358"/>
      <c r="EP172" s="358"/>
      <c r="EQ172" s="358"/>
      <c r="ER172" s="358"/>
      <c r="ES172" s="358"/>
      <c r="ET172" s="358"/>
      <c r="EU172" s="358"/>
      <c r="EV172" s="358"/>
      <c r="EW172" s="358"/>
      <c r="EX172" s="358"/>
      <c r="EY172" s="358"/>
      <c r="EZ172" s="371"/>
    </row>
    <row r="173" spans="1:156" s="251" customFormat="1" ht="12" customHeight="1" x14ac:dyDescent="0.35">
      <c r="A173" s="1518" t="s">
        <v>234</v>
      </c>
      <c r="B173" s="1519"/>
      <c r="C173" s="1021">
        <f ca="1">IF(C167&lt;&gt;"",C171/C172*100,"")</f>
        <v>0</v>
      </c>
      <c r="D173" s="1021">
        <f ca="1">IF(D167&lt;&gt;"",D171/D172*100,"")</f>
        <v>0</v>
      </c>
      <c r="E173" s="1019" t="s">
        <v>33</v>
      </c>
      <c r="F173" s="1019">
        <v>9.52</v>
      </c>
      <c r="G173" s="1020">
        <f ca="1">IF(OR($N$8="",$N$8=0),"",IF(INDIRECT(ADDRESS(($AK173),COLUMN()+49,,,"Digitar Dados dos Ensaios"))&lt;&gt;"",INDIRECT(ADDRESS(($AK173),COLUMN()+49,,,"Digitar Dados dos Ensaios")),""))</f>
        <v>315.08999999999997</v>
      </c>
      <c r="H173" s="953">
        <f t="shared" ca="1" si="77"/>
        <v>2039.0199999999998</v>
      </c>
      <c r="I173" s="1520">
        <f t="shared" ca="1" si="78"/>
        <v>0.81504073165077107</v>
      </c>
      <c r="J173" s="1521"/>
      <c r="K173" s="1534">
        <f ca="1">IF(J182&lt;&gt;"",J182,"")</f>
        <v>0.22913159716640938</v>
      </c>
      <c r="L173" s="153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421">
        <f t="shared" si="79"/>
        <v>9</v>
      </c>
      <c r="AL173" s="358"/>
      <c r="AM173" s="358"/>
      <c r="AN173" s="358"/>
      <c r="AO173" s="358"/>
      <c r="AP173" s="358"/>
      <c r="AQ173" s="358"/>
      <c r="AR173" s="358"/>
      <c r="AS173" s="358"/>
      <c r="AT173" s="358"/>
      <c r="AU173" s="358"/>
      <c r="AV173" s="358"/>
      <c r="AW173" s="358"/>
      <c r="AX173" s="358"/>
      <c r="AY173" s="358"/>
      <c r="AZ173" s="358"/>
      <c r="BA173" s="358"/>
      <c r="BB173" s="358"/>
      <c r="BC173" s="358"/>
      <c r="BD173" s="358"/>
      <c r="BE173" s="358"/>
      <c r="BF173" s="358"/>
      <c r="BG173" s="358"/>
      <c r="BH173" s="358"/>
      <c r="BI173" s="358"/>
      <c r="BJ173" s="358"/>
      <c r="BK173" s="358"/>
      <c r="BL173" s="358"/>
      <c r="BM173" s="358"/>
      <c r="BN173" s="358"/>
      <c r="BO173" s="358"/>
      <c r="BP173" s="358"/>
      <c r="BQ173" s="358"/>
      <c r="BR173" s="358"/>
      <c r="BS173" s="358"/>
      <c r="BT173" s="358"/>
      <c r="BU173" s="358"/>
      <c r="BV173" s="358"/>
      <c r="BW173" s="358"/>
      <c r="BX173" s="358"/>
      <c r="BY173" s="358"/>
      <c r="BZ173" s="358"/>
      <c r="CA173" s="358"/>
      <c r="CB173" s="358"/>
      <c r="CC173" s="358"/>
      <c r="CD173" s="358"/>
      <c r="CE173" s="358"/>
      <c r="CF173" s="358"/>
      <c r="CG173" s="358"/>
      <c r="CH173" s="358"/>
      <c r="CI173" s="358"/>
      <c r="CJ173" s="358"/>
      <c r="CK173" s="358"/>
      <c r="CL173" s="358"/>
      <c r="CM173" s="358"/>
      <c r="CN173" s="358"/>
      <c r="CO173" s="358"/>
      <c r="CP173" s="358"/>
      <c r="CQ173" s="358"/>
      <c r="CR173" s="358"/>
      <c r="CS173" s="358"/>
      <c r="CT173" s="358"/>
      <c r="CU173" s="358"/>
      <c r="CV173" s="358"/>
      <c r="CW173" s="358"/>
      <c r="CX173" s="358"/>
      <c r="CY173" s="358"/>
      <c r="CZ173" s="358"/>
      <c r="DA173" s="358"/>
      <c r="DB173" s="358"/>
      <c r="DC173" s="358"/>
      <c r="DD173" s="358"/>
      <c r="DE173" s="358"/>
      <c r="DF173" s="358"/>
      <c r="DG173" s="358"/>
      <c r="DH173" s="358"/>
      <c r="DI173" s="358"/>
      <c r="DJ173" s="358"/>
      <c r="DK173" s="358"/>
      <c r="DL173" s="358"/>
      <c r="DM173" s="358"/>
      <c r="DN173" s="358"/>
      <c r="DO173" s="358"/>
      <c r="DP173" s="358"/>
      <c r="DQ173" s="358"/>
      <c r="DR173" s="358"/>
      <c r="DS173" s="358"/>
      <c r="DT173" s="358"/>
      <c r="DU173" s="358"/>
      <c r="DV173" s="358"/>
      <c r="DW173" s="358"/>
      <c r="DX173" s="358"/>
      <c r="DY173" s="358"/>
      <c r="DZ173" s="358"/>
      <c r="EA173" s="358"/>
      <c r="EB173" s="358"/>
      <c r="EC173" s="358"/>
      <c r="ED173" s="358"/>
      <c r="EE173" s="358"/>
      <c r="EF173" s="358"/>
      <c r="EG173" s="358"/>
      <c r="EH173" s="358"/>
      <c r="EI173" s="358"/>
      <c r="EJ173" s="358"/>
      <c r="EK173" s="358"/>
      <c r="EL173" s="358"/>
      <c r="EM173" s="358"/>
      <c r="EN173" s="358"/>
      <c r="EO173" s="358"/>
      <c r="EP173" s="358"/>
      <c r="EQ173" s="358"/>
      <c r="ER173" s="358"/>
      <c r="ES173" s="358"/>
      <c r="ET173" s="358"/>
      <c r="EU173" s="358"/>
      <c r="EV173" s="358"/>
      <c r="EW173" s="358"/>
      <c r="EX173" s="358"/>
      <c r="EY173" s="358"/>
      <c r="EZ173" s="371"/>
    </row>
    <row r="174" spans="1:156" s="251" customFormat="1" ht="12" customHeight="1" x14ac:dyDescent="0.35">
      <c r="A174" s="1536" t="s">
        <v>172</v>
      </c>
      <c r="B174" s="1537"/>
      <c r="C174" s="1540">
        <f ca="1">IF(C173="","",ROUND(AVERAGE(C173:D173),2))</f>
        <v>0</v>
      </c>
      <c r="D174" s="1541"/>
      <c r="E174" s="1019">
        <v>4</v>
      </c>
      <c r="F174" s="1019">
        <v>4.76</v>
      </c>
      <c r="G174" s="1020">
        <f ca="1">IF(OR($N$8="",$N$8=0),"",IF(INDIRECT(ADDRESS(($AK174),COLUMN()+50,,,"Digitar Dados dos Ensaios"))&lt;&gt;"",INDIRECT(ADDRESS(($AK174),COLUMN()+50,,,"Digitar Dados dos Ensaios")),""))</f>
        <v>402.2</v>
      </c>
      <c r="H174" s="953">
        <f t="shared" ca="1" si="77"/>
        <v>1636.8199999999997</v>
      </c>
      <c r="I174" s="1520">
        <f t="shared" ca="1" si="78"/>
        <v>0.65427262625212845</v>
      </c>
      <c r="J174" s="1521"/>
      <c r="K174" s="1022"/>
      <c r="L174" s="1023"/>
      <c r="M174" s="16"/>
      <c r="N174" s="717"/>
      <c r="O174" s="717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421">
        <f t="shared" si="79"/>
        <v>9</v>
      </c>
      <c r="AL174" s="358"/>
      <c r="AM174" s="358"/>
      <c r="AN174" s="358"/>
      <c r="AO174" s="358"/>
      <c r="AP174" s="358"/>
      <c r="AQ174" s="358"/>
      <c r="AR174" s="358"/>
      <c r="AS174" s="358"/>
      <c r="AT174" s="358"/>
      <c r="AU174" s="358"/>
      <c r="AV174" s="358"/>
      <c r="AW174" s="358"/>
      <c r="AX174" s="358"/>
      <c r="AY174" s="358"/>
      <c r="AZ174" s="358"/>
      <c r="BA174" s="358"/>
      <c r="BB174" s="358"/>
      <c r="BC174" s="358"/>
      <c r="BD174" s="358"/>
      <c r="BE174" s="358"/>
      <c r="BF174" s="358"/>
      <c r="BG174" s="358"/>
      <c r="BH174" s="358"/>
      <c r="BI174" s="358"/>
      <c r="BJ174" s="358"/>
      <c r="BK174" s="358"/>
      <c r="BL174" s="358"/>
      <c r="BM174" s="358"/>
      <c r="BN174" s="358"/>
      <c r="BO174" s="358"/>
      <c r="BP174" s="358"/>
      <c r="BQ174" s="358"/>
      <c r="BR174" s="358"/>
      <c r="BS174" s="358"/>
      <c r="BT174" s="358"/>
      <c r="BU174" s="358"/>
      <c r="BV174" s="358"/>
      <c r="BW174" s="358"/>
      <c r="BX174" s="358"/>
      <c r="BY174" s="358"/>
      <c r="BZ174" s="358"/>
      <c r="CA174" s="358"/>
      <c r="CB174" s="358"/>
      <c r="CC174" s="358"/>
      <c r="CD174" s="358"/>
      <c r="CE174" s="358"/>
      <c r="CF174" s="358"/>
      <c r="CG174" s="358"/>
      <c r="CH174" s="358"/>
      <c r="CI174" s="358"/>
      <c r="CJ174" s="358"/>
      <c r="CK174" s="358"/>
      <c r="CL174" s="358"/>
      <c r="CM174" s="358"/>
      <c r="CN174" s="358"/>
      <c r="CO174" s="358"/>
      <c r="CP174" s="358"/>
      <c r="CQ174" s="358"/>
      <c r="CR174" s="358"/>
      <c r="CS174" s="358"/>
      <c r="CT174" s="358"/>
      <c r="CU174" s="358"/>
      <c r="CV174" s="358"/>
      <c r="CW174" s="358"/>
      <c r="CX174" s="358"/>
      <c r="CY174" s="358"/>
      <c r="CZ174" s="358"/>
      <c r="DA174" s="358"/>
      <c r="DB174" s="358"/>
      <c r="DC174" s="358"/>
      <c r="DD174" s="358"/>
      <c r="DE174" s="358"/>
      <c r="DF174" s="358"/>
      <c r="DG174" s="358"/>
      <c r="DH174" s="358"/>
      <c r="DI174" s="358"/>
      <c r="DJ174" s="358"/>
      <c r="DK174" s="358"/>
      <c r="DL174" s="358"/>
      <c r="DM174" s="358"/>
      <c r="DN174" s="358"/>
      <c r="DO174" s="358"/>
      <c r="DP174" s="358"/>
      <c r="DQ174" s="358"/>
      <c r="DR174" s="358"/>
      <c r="DS174" s="358"/>
      <c r="DT174" s="358"/>
      <c r="DU174" s="358"/>
      <c r="DV174" s="358"/>
      <c r="DW174" s="358"/>
      <c r="DX174" s="358"/>
      <c r="DY174" s="358"/>
      <c r="DZ174" s="358"/>
      <c r="EA174" s="358"/>
      <c r="EB174" s="358"/>
      <c r="EC174" s="358"/>
      <c r="ED174" s="358"/>
      <c r="EE174" s="358"/>
      <c r="EF174" s="358"/>
      <c r="EG174" s="358"/>
      <c r="EH174" s="358"/>
      <c r="EI174" s="358"/>
      <c r="EJ174" s="358"/>
      <c r="EK174" s="358"/>
      <c r="EL174" s="358"/>
      <c r="EM174" s="358"/>
      <c r="EN174" s="358"/>
      <c r="EO174" s="358"/>
      <c r="EP174" s="358"/>
      <c r="EQ174" s="358"/>
      <c r="ER174" s="358"/>
      <c r="ES174" s="358"/>
      <c r="ET174" s="358"/>
      <c r="EU174" s="358"/>
      <c r="EV174" s="358"/>
      <c r="EW174" s="358"/>
      <c r="EX174" s="358"/>
      <c r="EY174" s="358"/>
      <c r="EZ174" s="371"/>
    </row>
    <row r="175" spans="1:156" s="251" customFormat="1" ht="12" customHeight="1" x14ac:dyDescent="0.35">
      <c r="A175" s="1538"/>
      <c r="B175" s="1539"/>
      <c r="C175" s="1542"/>
      <c r="D175" s="1543"/>
      <c r="E175" s="1025">
        <v>10</v>
      </c>
      <c r="F175" s="1026">
        <v>2</v>
      </c>
      <c r="G175" s="1027">
        <f ca="1">IF(OR($N$8="",$N$8=0),"",IF(INDIRECT(ADDRESS(($AK175),COLUMN()+51,,,"Digitar Dados dos Ensaios"))&lt;&gt;"",INDIRECT(ADDRESS(($AK175),COLUMN()+51,,,"Digitar Dados dos Ensaios")),""))</f>
        <v>311.08</v>
      </c>
      <c r="H175" s="953">
        <f t="shared" ca="1" si="77"/>
        <v>1325.7399999999998</v>
      </c>
      <c r="I175" s="1520">
        <f t="shared" ca="1" si="78"/>
        <v>0.52992717068920026</v>
      </c>
      <c r="J175" s="1521"/>
      <c r="K175" s="1028"/>
      <c r="L175" s="1029"/>
      <c r="M175" s="16"/>
      <c r="N175" s="717"/>
      <c r="O175" s="717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421">
        <f t="shared" si="79"/>
        <v>9</v>
      </c>
      <c r="AL175" s="358"/>
      <c r="AM175" s="358"/>
      <c r="AN175" s="358"/>
      <c r="AO175" s="358"/>
      <c r="AP175" s="358"/>
      <c r="AQ175" s="358"/>
      <c r="AR175" s="358"/>
      <c r="AS175" s="358"/>
      <c r="AT175" s="358"/>
      <c r="AU175" s="358"/>
      <c r="AV175" s="358"/>
      <c r="AW175" s="358"/>
      <c r="AX175" s="358"/>
      <c r="AY175" s="358"/>
      <c r="AZ175" s="358"/>
      <c r="BA175" s="358"/>
      <c r="BB175" s="358"/>
      <c r="BC175" s="358"/>
      <c r="BD175" s="358"/>
      <c r="BE175" s="358"/>
      <c r="BF175" s="358"/>
      <c r="BG175" s="358"/>
      <c r="BH175" s="358"/>
      <c r="BI175" s="358"/>
      <c r="BJ175" s="358"/>
      <c r="BK175" s="358"/>
      <c r="BL175" s="358"/>
      <c r="BM175" s="358"/>
      <c r="BN175" s="358"/>
      <c r="BO175" s="358"/>
      <c r="BP175" s="358"/>
      <c r="BQ175" s="358"/>
      <c r="BR175" s="358"/>
      <c r="BS175" s="358"/>
      <c r="BT175" s="358"/>
      <c r="BU175" s="358"/>
      <c r="BV175" s="358"/>
      <c r="BW175" s="358"/>
      <c r="BX175" s="358"/>
      <c r="BY175" s="358"/>
      <c r="BZ175" s="358"/>
      <c r="CA175" s="358"/>
      <c r="CB175" s="358"/>
      <c r="CC175" s="358"/>
      <c r="CD175" s="358"/>
      <c r="CE175" s="358"/>
      <c r="CF175" s="358"/>
      <c r="CG175" s="358"/>
      <c r="CH175" s="358"/>
      <c r="CI175" s="358"/>
      <c r="CJ175" s="358"/>
      <c r="CK175" s="358"/>
      <c r="CL175" s="358"/>
      <c r="CM175" s="358"/>
      <c r="CN175" s="358"/>
      <c r="CO175" s="358"/>
      <c r="CP175" s="358"/>
      <c r="CQ175" s="358"/>
      <c r="CR175" s="358"/>
      <c r="CS175" s="358"/>
      <c r="CT175" s="358"/>
      <c r="CU175" s="358"/>
      <c r="CV175" s="358"/>
      <c r="CW175" s="358"/>
      <c r="CX175" s="358"/>
      <c r="CY175" s="358"/>
      <c r="CZ175" s="358"/>
      <c r="DA175" s="358"/>
      <c r="DB175" s="358"/>
      <c r="DC175" s="358"/>
      <c r="DD175" s="358"/>
      <c r="DE175" s="358"/>
      <c r="DF175" s="358"/>
      <c r="DG175" s="358"/>
      <c r="DH175" s="358"/>
      <c r="DI175" s="358"/>
      <c r="DJ175" s="358"/>
      <c r="DK175" s="358"/>
      <c r="DL175" s="358"/>
      <c r="DM175" s="358"/>
      <c r="DN175" s="358"/>
      <c r="DO175" s="358"/>
      <c r="DP175" s="358"/>
      <c r="DQ175" s="358"/>
      <c r="DR175" s="358"/>
      <c r="DS175" s="358"/>
      <c r="DT175" s="358"/>
      <c r="DU175" s="358"/>
      <c r="DV175" s="358"/>
      <c r="DW175" s="358"/>
      <c r="DX175" s="358"/>
      <c r="DY175" s="358"/>
      <c r="DZ175" s="358"/>
      <c r="EA175" s="358"/>
      <c r="EB175" s="358"/>
      <c r="EC175" s="358"/>
      <c r="ED175" s="358"/>
      <c r="EE175" s="358"/>
      <c r="EF175" s="358"/>
      <c r="EG175" s="358"/>
      <c r="EH175" s="358"/>
      <c r="EI175" s="358"/>
      <c r="EJ175" s="358"/>
      <c r="EK175" s="358"/>
      <c r="EL175" s="358"/>
      <c r="EM175" s="358"/>
      <c r="EN175" s="358"/>
      <c r="EO175" s="358"/>
      <c r="EP175" s="358"/>
      <c r="EQ175" s="358"/>
      <c r="ER175" s="358"/>
      <c r="ES175" s="358"/>
      <c r="ET175" s="358"/>
      <c r="EU175" s="358"/>
      <c r="EV175" s="358"/>
      <c r="EW175" s="358"/>
      <c r="EX175" s="358"/>
      <c r="EY175" s="358"/>
      <c r="EZ175" s="371"/>
    </row>
    <row r="176" spans="1:156" s="251" customFormat="1" ht="12" customHeight="1" x14ac:dyDescent="0.35">
      <c r="A176" s="1444" t="s">
        <v>235</v>
      </c>
      <c r="B176" s="1445"/>
      <c r="C176" s="1445"/>
      <c r="D176" s="1446"/>
      <c r="E176" s="1450" t="s">
        <v>236</v>
      </c>
      <c r="F176" s="1451"/>
      <c r="G176" s="1451"/>
      <c r="H176" s="1451"/>
      <c r="I176" s="1451"/>
      <c r="J176" s="1452"/>
      <c r="K176" s="1488" t="s">
        <v>237</v>
      </c>
      <c r="L176" s="1489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421"/>
      <c r="AL176" s="358"/>
      <c r="AM176" s="358"/>
      <c r="AN176" s="358"/>
      <c r="AO176" s="358"/>
      <c r="AP176" s="358"/>
      <c r="AQ176" s="358"/>
      <c r="AR176" s="358"/>
      <c r="AS176" s="358"/>
      <c r="AT176" s="358"/>
      <c r="AU176" s="358"/>
      <c r="AV176" s="358"/>
      <c r="AW176" s="358"/>
      <c r="AX176" s="358"/>
      <c r="AY176" s="358"/>
      <c r="AZ176" s="358"/>
      <c r="BA176" s="358"/>
      <c r="BB176" s="358"/>
      <c r="BC176" s="358"/>
      <c r="BD176" s="358"/>
      <c r="BE176" s="358"/>
      <c r="BF176" s="358"/>
      <c r="BG176" s="358"/>
      <c r="BH176" s="358"/>
      <c r="BI176" s="358"/>
      <c r="BJ176" s="358"/>
      <c r="BK176" s="358"/>
      <c r="BL176" s="358"/>
      <c r="BM176" s="358"/>
      <c r="BN176" s="358"/>
      <c r="BO176" s="358"/>
      <c r="BP176" s="358"/>
      <c r="BQ176" s="358"/>
      <c r="BR176" s="358"/>
      <c r="BS176" s="358"/>
      <c r="BT176" s="358"/>
      <c r="BU176" s="358"/>
      <c r="BV176" s="358"/>
      <c r="BW176" s="358"/>
      <c r="BX176" s="358"/>
      <c r="BY176" s="358"/>
      <c r="BZ176" s="358"/>
      <c r="CA176" s="358"/>
      <c r="CB176" s="358"/>
      <c r="CC176" s="358"/>
      <c r="CD176" s="358"/>
      <c r="CE176" s="358"/>
      <c r="CF176" s="358"/>
      <c r="CG176" s="358"/>
      <c r="CH176" s="358"/>
      <c r="CI176" s="358"/>
      <c r="CJ176" s="358"/>
      <c r="CK176" s="358"/>
      <c r="CL176" s="358"/>
      <c r="CM176" s="358"/>
      <c r="CN176" s="358"/>
      <c r="CO176" s="358"/>
      <c r="CP176" s="358"/>
      <c r="CQ176" s="358"/>
      <c r="CR176" s="358"/>
      <c r="CS176" s="358"/>
      <c r="CT176" s="358"/>
      <c r="CU176" s="358"/>
      <c r="CV176" s="358"/>
      <c r="CW176" s="358"/>
      <c r="CX176" s="358"/>
      <c r="CY176" s="358"/>
      <c r="CZ176" s="358"/>
      <c r="DA176" s="358"/>
      <c r="DB176" s="358"/>
      <c r="DC176" s="358"/>
      <c r="DD176" s="358"/>
      <c r="DE176" s="358"/>
      <c r="DF176" s="358"/>
      <c r="DG176" s="358"/>
      <c r="DH176" s="358"/>
      <c r="DI176" s="358"/>
      <c r="DJ176" s="358"/>
      <c r="DK176" s="358"/>
      <c r="DL176" s="358"/>
      <c r="DM176" s="358"/>
      <c r="DN176" s="358"/>
      <c r="DO176" s="358"/>
      <c r="DP176" s="358"/>
      <c r="DQ176" s="358"/>
      <c r="DR176" s="358"/>
      <c r="DS176" s="358"/>
      <c r="DT176" s="358"/>
      <c r="DU176" s="358"/>
      <c r="DV176" s="358"/>
      <c r="DW176" s="358"/>
      <c r="DX176" s="358"/>
      <c r="DY176" s="358"/>
      <c r="DZ176" s="358"/>
      <c r="EA176" s="358"/>
      <c r="EB176" s="358"/>
      <c r="EC176" s="358"/>
      <c r="ED176" s="358"/>
      <c r="EE176" s="358"/>
      <c r="EF176" s="358"/>
      <c r="EG176" s="358"/>
      <c r="EH176" s="358"/>
      <c r="EI176" s="358"/>
      <c r="EJ176" s="358"/>
      <c r="EK176" s="358"/>
      <c r="EL176" s="358"/>
      <c r="EM176" s="358"/>
      <c r="EN176" s="358"/>
      <c r="EO176" s="358"/>
      <c r="EP176" s="358"/>
      <c r="EQ176" s="358"/>
      <c r="ER176" s="358"/>
      <c r="ES176" s="358"/>
      <c r="ET176" s="358"/>
      <c r="EU176" s="358"/>
      <c r="EV176" s="358"/>
      <c r="EW176" s="358"/>
      <c r="EX176" s="358"/>
      <c r="EY176" s="358"/>
      <c r="EZ176" s="371"/>
    </row>
    <row r="177" spans="1:156" s="251" customFormat="1" ht="12" customHeight="1" x14ac:dyDescent="0.35">
      <c r="A177" s="1447"/>
      <c r="B177" s="1448"/>
      <c r="C177" s="1448"/>
      <c r="D177" s="1449"/>
      <c r="E177" s="1490" t="s">
        <v>238</v>
      </c>
      <c r="F177" s="1491"/>
      <c r="G177" s="1030">
        <v>153.66</v>
      </c>
      <c r="H177" s="1490" t="s">
        <v>239</v>
      </c>
      <c r="I177" s="1491"/>
      <c r="J177" s="1031">
        <f ca="1">IF(C174&lt;&gt;"",G177/(C174+100)*100,"")</f>
        <v>153.66</v>
      </c>
      <c r="K177" s="1506" t="str">
        <f ca="1">IF(BQ200&lt;&gt;"",BQ200,"")</f>
        <v/>
      </c>
      <c r="L177" s="1507" t="str">
        <f>IF(BV169&lt;&gt;"",BV169,"")</f>
        <v/>
      </c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421">
        <f>AK175</f>
        <v>9</v>
      </c>
      <c r="AL177" s="358"/>
      <c r="AM177" s="358"/>
      <c r="AN177" s="358"/>
      <c r="AO177" s="358"/>
      <c r="AP177" s="358"/>
      <c r="AQ177" s="358"/>
      <c r="AR177" s="358"/>
      <c r="AS177" s="358"/>
      <c r="AT177" s="358"/>
      <c r="AU177" s="358"/>
      <c r="AV177" s="358"/>
      <c r="AW177" s="358"/>
      <c r="AX177" s="358"/>
      <c r="AY177" s="358"/>
      <c r="AZ177" s="358"/>
      <c r="BA177" s="358"/>
      <c r="BB177" s="358"/>
      <c r="BC177" s="358"/>
      <c r="BD177" s="358"/>
      <c r="BE177" s="358"/>
      <c r="BF177" s="358"/>
      <c r="BG177" s="358"/>
      <c r="BH177" s="358"/>
      <c r="BI177" s="358"/>
      <c r="BJ177" s="358"/>
      <c r="BK177" s="358"/>
      <c r="BL177" s="358"/>
      <c r="BM177" s="358"/>
      <c r="BN177" s="358"/>
      <c r="BO177" s="358"/>
      <c r="BP177" s="358"/>
      <c r="BQ177" s="358"/>
      <c r="BR177" s="358"/>
      <c r="BS177" s="358"/>
      <c r="BT177" s="358"/>
      <c r="BU177" s="358"/>
      <c r="BV177" s="358"/>
      <c r="BW177" s="358"/>
      <c r="BX177" s="358"/>
      <c r="BY177" s="358"/>
      <c r="BZ177" s="358"/>
      <c r="CA177" s="358"/>
      <c r="CB177" s="358"/>
      <c r="CC177" s="358"/>
      <c r="CD177" s="358"/>
      <c r="CE177" s="358"/>
      <c r="CF177" s="358"/>
      <c r="CG177" s="358"/>
      <c r="CH177" s="358"/>
      <c r="CI177" s="358"/>
      <c r="CJ177" s="358"/>
      <c r="CK177" s="358"/>
      <c r="CL177" s="358"/>
      <c r="CM177" s="358"/>
      <c r="CN177" s="358"/>
      <c r="CO177" s="358"/>
      <c r="CP177" s="358"/>
      <c r="CQ177" s="358"/>
      <c r="CR177" s="358"/>
      <c r="CS177" s="358"/>
      <c r="CT177" s="358"/>
      <c r="CU177" s="358"/>
      <c r="CV177" s="358"/>
      <c r="CW177" s="358"/>
      <c r="CX177" s="358"/>
      <c r="CY177" s="358"/>
      <c r="CZ177" s="358"/>
      <c r="DA177" s="358"/>
      <c r="DB177" s="358"/>
      <c r="DC177" s="358"/>
      <c r="DD177" s="358"/>
      <c r="DE177" s="358"/>
      <c r="DF177" s="358"/>
      <c r="DG177" s="358"/>
      <c r="DH177" s="358"/>
      <c r="DI177" s="358"/>
      <c r="DJ177" s="358"/>
      <c r="DK177" s="358"/>
      <c r="DL177" s="358"/>
      <c r="DM177" s="358"/>
      <c r="DN177" s="358"/>
      <c r="DO177" s="358"/>
      <c r="DP177" s="358"/>
      <c r="DQ177" s="358"/>
      <c r="DR177" s="358"/>
      <c r="DS177" s="358"/>
      <c r="DT177" s="358"/>
      <c r="DU177" s="358"/>
      <c r="DV177" s="358"/>
      <c r="DW177" s="358"/>
      <c r="DX177" s="358"/>
      <c r="DY177" s="358"/>
      <c r="DZ177" s="358"/>
      <c r="EA177" s="358"/>
      <c r="EB177" s="358"/>
      <c r="EC177" s="358"/>
      <c r="ED177" s="358"/>
      <c r="EE177" s="358"/>
      <c r="EF177" s="358"/>
      <c r="EG177" s="358"/>
      <c r="EH177" s="358"/>
      <c r="EI177" s="358"/>
      <c r="EJ177" s="358"/>
      <c r="EK177" s="358"/>
      <c r="EL177" s="358"/>
      <c r="EM177" s="358"/>
      <c r="EN177" s="358"/>
      <c r="EO177" s="358"/>
      <c r="EP177" s="358"/>
      <c r="EQ177" s="358"/>
      <c r="ER177" s="358"/>
      <c r="ES177" s="358"/>
      <c r="ET177" s="358"/>
      <c r="EU177" s="358"/>
      <c r="EV177" s="358"/>
      <c r="EW177" s="358"/>
      <c r="EX177" s="358"/>
      <c r="EY177" s="358"/>
      <c r="EZ177" s="371"/>
    </row>
    <row r="178" spans="1:156" s="251" customFormat="1" ht="12" customHeight="1" x14ac:dyDescent="0.35">
      <c r="A178" s="1510" t="s">
        <v>240</v>
      </c>
      <c r="B178" s="1511"/>
      <c r="C178" s="1512"/>
      <c r="D178" s="1032">
        <f ca="1">IF(OR($N$8="",$N$8=0),"",IF(INDIRECT(ADDRESS(($AK178),COLUMN()+55,,,"Digitar Dados dos Ensaios"))&lt;&gt;"",INDIRECT(ADDRESS(($AK178),COLUMN()+55,,,"Digitar Dados dos Ensaios")),""))</f>
        <v>2501.7399999999998</v>
      </c>
      <c r="E178" s="1513" t="s">
        <v>241</v>
      </c>
      <c r="F178" s="1514"/>
      <c r="G178" s="1515" t="s">
        <v>242</v>
      </c>
      <c r="H178" s="1515"/>
      <c r="I178" s="1515" t="s">
        <v>243</v>
      </c>
      <c r="J178" s="1515"/>
      <c r="K178" s="1508" t="str">
        <f>IF(BU170&lt;&gt;"",BU170,"")</f>
        <v/>
      </c>
      <c r="L178" s="1509" t="str">
        <f>IF(BV170&lt;&gt;"",BV170,"")</f>
        <v/>
      </c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421">
        <f>AK167</f>
        <v>9</v>
      </c>
      <c r="AL178" s="358"/>
      <c r="AM178" s="358"/>
      <c r="AN178" s="358"/>
      <c r="AO178" s="358"/>
      <c r="AP178" s="358"/>
      <c r="AQ178" s="358"/>
      <c r="AR178" s="358"/>
      <c r="AS178" s="358"/>
      <c r="AT178" s="358"/>
      <c r="AU178" s="358"/>
      <c r="AV178" s="358"/>
      <c r="AW178" s="358"/>
      <c r="AX178" s="358"/>
      <c r="AY178" s="358"/>
      <c r="AZ178" s="358"/>
      <c r="BA178" s="358"/>
      <c r="BB178" s="358"/>
      <c r="BC178" s="358"/>
      <c r="BD178" s="358"/>
      <c r="BE178" s="358"/>
      <c r="BF178" s="358"/>
      <c r="BG178" s="358"/>
      <c r="BH178" s="358"/>
      <c r="BI178" s="358"/>
      <c r="BJ178" s="358"/>
      <c r="BK178" s="358"/>
      <c r="BL178" s="358"/>
      <c r="BM178" s="358"/>
      <c r="BN178" s="358"/>
      <c r="BO178" s="358"/>
      <c r="BP178" s="358"/>
      <c r="BQ178" s="358"/>
      <c r="BR178" s="358"/>
      <c r="BS178" s="358"/>
      <c r="BT178" s="358"/>
      <c r="BU178" s="358"/>
      <c r="BV178" s="358"/>
      <c r="BW178" s="358"/>
      <c r="BX178" s="358"/>
      <c r="BY178" s="358"/>
      <c r="BZ178" s="358"/>
      <c r="CA178" s="358"/>
      <c r="CB178" s="358"/>
      <c r="CC178" s="358"/>
      <c r="CD178" s="358"/>
      <c r="CE178" s="358"/>
      <c r="CF178" s="358"/>
      <c r="CG178" s="358"/>
      <c r="CH178" s="358"/>
      <c r="CI178" s="358"/>
      <c r="CJ178" s="358"/>
      <c r="CK178" s="358"/>
      <c r="CL178" s="358"/>
      <c r="CM178" s="358"/>
      <c r="CN178" s="358"/>
      <c r="CO178" s="358"/>
      <c r="CP178" s="358"/>
      <c r="CQ178" s="358"/>
      <c r="CR178" s="358"/>
      <c r="CS178" s="358"/>
      <c r="CT178" s="358"/>
      <c r="CU178" s="358"/>
      <c r="CV178" s="358"/>
      <c r="CW178" s="358"/>
      <c r="CX178" s="358"/>
      <c r="CY178" s="358"/>
      <c r="CZ178" s="358"/>
      <c r="DA178" s="358"/>
      <c r="DB178" s="358"/>
      <c r="DC178" s="358"/>
      <c r="DD178" s="358"/>
      <c r="DE178" s="358"/>
      <c r="DF178" s="358"/>
      <c r="DG178" s="358"/>
      <c r="DH178" s="358"/>
      <c r="DI178" s="358"/>
      <c r="DJ178" s="358"/>
      <c r="DK178" s="358"/>
      <c r="DL178" s="358"/>
      <c r="DM178" s="358"/>
      <c r="DN178" s="358"/>
      <c r="DO178" s="358"/>
      <c r="DP178" s="358"/>
      <c r="DQ178" s="358"/>
      <c r="DR178" s="358"/>
      <c r="DS178" s="358"/>
      <c r="DT178" s="358"/>
      <c r="DU178" s="358"/>
      <c r="DV178" s="358"/>
      <c r="DW178" s="358"/>
      <c r="DX178" s="358"/>
      <c r="DY178" s="358"/>
      <c r="DZ178" s="358"/>
      <c r="EA178" s="358"/>
      <c r="EB178" s="358"/>
      <c r="EC178" s="358"/>
      <c r="ED178" s="358"/>
      <c r="EE178" s="358"/>
      <c r="EF178" s="358"/>
      <c r="EG178" s="358"/>
      <c r="EH178" s="358"/>
      <c r="EI178" s="358"/>
      <c r="EJ178" s="358"/>
      <c r="EK178" s="358"/>
      <c r="EL178" s="358"/>
      <c r="EM178" s="358"/>
      <c r="EN178" s="358"/>
      <c r="EO178" s="358"/>
      <c r="EP178" s="358"/>
      <c r="EQ178" s="358"/>
      <c r="ER178" s="358"/>
      <c r="ES178" s="358"/>
      <c r="ET178" s="358"/>
      <c r="EU178" s="358"/>
      <c r="EV178" s="358"/>
      <c r="EW178" s="358"/>
      <c r="EX178" s="358"/>
      <c r="EY178" s="358"/>
      <c r="EZ178" s="371"/>
    </row>
    <row r="179" spans="1:156" s="251" customFormat="1" ht="12" customHeight="1" x14ac:dyDescent="0.35">
      <c r="A179" s="1518" t="s">
        <v>244</v>
      </c>
      <c r="B179" s="1568"/>
      <c r="C179" s="1519"/>
      <c r="D179" s="1033">
        <f ca="1">IF(D178&lt;&gt;"",SUM(G169:G175),"")</f>
        <v>1176</v>
      </c>
      <c r="E179" s="1034" t="s">
        <v>223</v>
      </c>
      <c r="F179" s="1024" t="s">
        <v>224</v>
      </c>
      <c r="G179" s="1017" t="s">
        <v>42</v>
      </c>
      <c r="H179" s="1017" t="s">
        <v>225</v>
      </c>
      <c r="I179" s="1017" t="s">
        <v>23</v>
      </c>
      <c r="J179" s="1017" t="s">
        <v>22</v>
      </c>
      <c r="K179" s="1022"/>
      <c r="L179" s="1023"/>
      <c r="M179" s="16"/>
      <c r="N179" s="239"/>
      <c r="O179" s="239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421"/>
      <c r="AL179" s="358"/>
      <c r="AM179" s="358"/>
      <c r="AN179" s="358"/>
      <c r="AO179" s="358"/>
      <c r="AP179" s="358"/>
      <c r="AQ179" s="358"/>
      <c r="AR179" s="358"/>
      <c r="AS179" s="358"/>
      <c r="AT179" s="358"/>
      <c r="AU179" s="358"/>
      <c r="AV179" s="358"/>
      <c r="AW179" s="358"/>
      <c r="AX179" s="358"/>
      <c r="AY179" s="358"/>
      <c r="AZ179" s="358"/>
      <c r="BA179" s="358"/>
      <c r="BB179" s="358"/>
      <c r="BC179" s="358"/>
      <c r="BD179" s="358"/>
      <c r="BE179" s="358"/>
      <c r="BF179" s="358"/>
      <c r="BG179" s="358"/>
      <c r="BH179" s="358"/>
      <c r="BI179" s="358"/>
      <c r="BJ179" s="358"/>
      <c r="BK179" s="358"/>
      <c r="BL179" s="358"/>
      <c r="BM179" s="358"/>
      <c r="BN179" s="358"/>
      <c r="BO179" s="358"/>
      <c r="BP179" s="358"/>
      <c r="BQ179" s="358"/>
      <c r="BR179" s="358"/>
      <c r="BS179" s="358"/>
      <c r="BT179" s="358"/>
      <c r="BU179" s="358"/>
      <c r="BV179" s="358"/>
      <c r="BW179" s="358"/>
      <c r="BX179" s="358"/>
      <c r="BY179" s="358"/>
      <c r="BZ179" s="358"/>
      <c r="CA179" s="358"/>
      <c r="CB179" s="358"/>
      <c r="CC179" s="358"/>
      <c r="CD179" s="358"/>
      <c r="CE179" s="358"/>
      <c r="CF179" s="358"/>
      <c r="CG179" s="358"/>
      <c r="CH179" s="358"/>
      <c r="CI179" s="358"/>
      <c r="CJ179" s="358"/>
      <c r="CK179" s="358"/>
      <c r="CL179" s="358"/>
      <c r="CM179" s="358"/>
      <c r="CN179" s="358"/>
      <c r="CO179" s="358"/>
      <c r="CP179" s="358"/>
      <c r="CQ179" s="358"/>
      <c r="CR179" s="358"/>
      <c r="CS179" s="358"/>
      <c r="CT179" s="358"/>
      <c r="CU179" s="358"/>
      <c r="CV179" s="358"/>
      <c r="CW179" s="358"/>
      <c r="CX179" s="358"/>
      <c r="CY179" s="358"/>
      <c r="CZ179" s="358"/>
      <c r="DA179" s="358"/>
      <c r="DB179" s="358"/>
      <c r="DC179" s="358"/>
      <c r="DD179" s="358"/>
      <c r="DE179" s="358"/>
      <c r="DF179" s="358"/>
      <c r="DG179" s="358"/>
      <c r="DH179" s="358"/>
      <c r="DI179" s="358"/>
      <c r="DJ179" s="358"/>
      <c r="DK179" s="358"/>
      <c r="DL179" s="358"/>
      <c r="DM179" s="358"/>
      <c r="DN179" s="358"/>
      <c r="DO179" s="358"/>
      <c r="DP179" s="358"/>
      <c r="DQ179" s="358"/>
      <c r="DR179" s="358"/>
      <c r="DS179" s="358"/>
      <c r="DT179" s="358"/>
      <c r="DU179" s="358"/>
      <c r="DV179" s="358"/>
      <c r="DW179" s="358"/>
      <c r="DX179" s="358"/>
      <c r="DY179" s="358"/>
      <c r="DZ179" s="358"/>
      <c r="EA179" s="358"/>
      <c r="EB179" s="358"/>
      <c r="EC179" s="358"/>
      <c r="ED179" s="358"/>
      <c r="EE179" s="358"/>
      <c r="EF179" s="358"/>
      <c r="EG179" s="358"/>
      <c r="EH179" s="358"/>
      <c r="EI179" s="358"/>
      <c r="EJ179" s="358"/>
      <c r="EK179" s="358"/>
      <c r="EL179" s="358"/>
      <c r="EM179" s="358"/>
      <c r="EN179" s="358"/>
      <c r="EO179" s="358"/>
      <c r="EP179" s="358"/>
      <c r="EQ179" s="358"/>
      <c r="ER179" s="358"/>
      <c r="ES179" s="358"/>
      <c r="ET179" s="358"/>
      <c r="EU179" s="358"/>
      <c r="EV179" s="358"/>
      <c r="EW179" s="358"/>
      <c r="EX179" s="358"/>
      <c r="EY179" s="358"/>
      <c r="EZ179" s="371"/>
    </row>
    <row r="180" spans="1:156" s="251" customFormat="1" ht="12" customHeight="1" x14ac:dyDescent="0.35">
      <c r="A180" s="1518" t="s">
        <v>245</v>
      </c>
      <c r="B180" s="1568"/>
      <c r="C180" s="1519"/>
      <c r="D180" s="1035">
        <f ca="1">IF(D178&lt;&gt;"",D178-D179,"")</f>
        <v>1325.7399999999998</v>
      </c>
      <c r="E180" s="1036">
        <v>40</v>
      </c>
      <c r="F180" s="1037">
        <v>0.42</v>
      </c>
      <c r="G180" s="1038">
        <f ca="1">IF(OR($N$8="",$N$8=0),"",IF(INDIRECT(ADDRESS(($AK180),COLUMN()+54,,,"Digitar Dados dos Ensaios"))&lt;&gt;"",INDIRECT(ADDRESS(($AK180),COLUMN()+54,,,"Digitar Dados dos Ensaios")),""))</f>
        <v>32.71</v>
      </c>
      <c r="H180" s="1039">
        <f ca="1">IF(G180&lt;&gt;"",(J177-G180),"")</f>
        <v>120.94999999999999</v>
      </c>
      <c r="I180" s="1040">
        <f ca="1">IF(G180&lt;&gt;"",(H180/J177),"")</f>
        <v>0.78712742418326165</v>
      </c>
      <c r="J180" s="1041">
        <f ca="1">IF(I180&lt;&gt;"",(I180*I175),"")</f>
        <v>0.41712020886931384</v>
      </c>
      <c r="K180" s="1217"/>
      <c r="L180" s="1042"/>
      <c r="M180" s="16"/>
      <c r="N180" s="240"/>
      <c r="O180" s="240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421">
        <f>AK178</f>
        <v>9</v>
      </c>
      <c r="AL180" s="358"/>
      <c r="AM180" s="358"/>
      <c r="AN180" s="358"/>
      <c r="AO180" s="358"/>
      <c r="AP180" s="358"/>
      <c r="AQ180" s="358"/>
      <c r="AR180" s="358"/>
      <c r="AS180" s="358"/>
      <c r="AT180" s="358"/>
      <c r="AU180" s="358"/>
      <c r="AV180" s="358"/>
      <c r="AW180" s="358"/>
      <c r="AX180" s="358"/>
      <c r="AY180" s="358"/>
      <c r="AZ180" s="358"/>
      <c r="BA180" s="358"/>
      <c r="BB180" s="358"/>
      <c r="BC180" s="358"/>
      <c r="BD180" s="358"/>
      <c r="BE180" s="358"/>
      <c r="BF180" s="358"/>
      <c r="BG180" s="358"/>
      <c r="BH180" s="358"/>
      <c r="BI180" s="358"/>
      <c r="BJ180" s="358"/>
      <c r="BK180" s="358"/>
      <c r="BL180" s="358"/>
      <c r="BM180" s="358"/>
      <c r="BN180" s="358"/>
      <c r="BO180" s="358"/>
      <c r="BP180" s="358"/>
      <c r="BQ180" s="358"/>
      <c r="BR180" s="358"/>
      <c r="BS180" s="358"/>
      <c r="BT180" s="358"/>
      <c r="BU180" s="358"/>
      <c r="BV180" s="358"/>
      <c r="BW180" s="358"/>
      <c r="BX180" s="358"/>
      <c r="BY180" s="358"/>
      <c r="BZ180" s="358"/>
      <c r="CA180" s="358"/>
      <c r="CB180" s="358"/>
      <c r="CC180" s="358"/>
      <c r="CD180" s="358"/>
      <c r="CE180" s="358"/>
      <c r="CF180" s="358"/>
      <c r="CG180" s="358"/>
      <c r="CH180" s="358"/>
      <c r="CI180" s="358"/>
      <c r="CJ180" s="358"/>
      <c r="CK180" s="358"/>
      <c r="CL180" s="358"/>
      <c r="CM180" s="358"/>
      <c r="CN180" s="358"/>
      <c r="CO180" s="358"/>
      <c r="CP180" s="358"/>
      <c r="CQ180" s="358"/>
      <c r="CR180" s="358"/>
      <c r="CS180" s="358"/>
      <c r="CT180" s="358"/>
      <c r="CU180" s="358"/>
      <c r="CV180" s="358"/>
      <c r="CW180" s="358"/>
      <c r="CX180" s="358"/>
      <c r="CY180" s="358"/>
      <c r="CZ180" s="358"/>
      <c r="DA180" s="358"/>
      <c r="DB180" s="358"/>
      <c r="DC180" s="358"/>
      <c r="DD180" s="358"/>
      <c r="DE180" s="358"/>
      <c r="DF180" s="358"/>
      <c r="DG180" s="358"/>
      <c r="DH180" s="358"/>
      <c r="DI180" s="358"/>
      <c r="DJ180" s="358"/>
      <c r="DK180" s="358"/>
      <c r="DL180" s="358"/>
      <c r="DM180" s="358"/>
      <c r="DN180" s="358"/>
      <c r="DO180" s="358"/>
      <c r="DP180" s="358"/>
      <c r="DQ180" s="358"/>
      <c r="DR180" s="358"/>
      <c r="DS180" s="358"/>
      <c r="DT180" s="358"/>
      <c r="DU180" s="358"/>
      <c r="DV180" s="358"/>
      <c r="DW180" s="358"/>
      <c r="DX180" s="358"/>
      <c r="DY180" s="358"/>
      <c r="DZ180" s="358"/>
      <c r="EA180" s="358"/>
      <c r="EB180" s="358"/>
      <c r="EC180" s="358"/>
      <c r="ED180" s="358"/>
      <c r="EE180" s="358"/>
      <c r="EF180" s="358"/>
      <c r="EG180" s="358"/>
      <c r="EH180" s="358"/>
      <c r="EI180" s="358"/>
      <c r="EJ180" s="358"/>
      <c r="EK180" s="358"/>
      <c r="EL180" s="358"/>
      <c r="EM180" s="358"/>
      <c r="EN180" s="358"/>
      <c r="EO180" s="358"/>
      <c r="EP180" s="358"/>
      <c r="EQ180" s="358"/>
      <c r="ER180" s="358"/>
      <c r="ES180" s="358"/>
      <c r="ET180" s="358"/>
      <c r="EU180" s="358"/>
      <c r="EV180" s="358"/>
      <c r="EW180" s="358"/>
      <c r="EX180" s="358"/>
      <c r="EY180" s="358"/>
      <c r="EZ180" s="371"/>
    </row>
    <row r="181" spans="1:156" s="251" customFormat="1" ht="12" customHeight="1" x14ac:dyDescent="0.35">
      <c r="A181" s="1518" t="s">
        <v>246</v>
      </c>
      <c r="B181" s="1568"/>
      <c r="C181" s="1519"/>
      <c r="D181" s="1035">
        <f ca="1">IF(D178&lt;&gt;"",D180/(C174+100)*100,"")</f>
        <v>1325.7399999999998</v>
      </c>
      <c r="E181" s="1036">
        <v>100</v>
      </c>
      <c r="F181" s="1043">
        <v>0.14899999999999999</v>
      </c>
      <c r="G181" s="1038"/>
      <c r="H181" s="1039"/>
      <c r="I181" s="1040"/>
      <c r="J181" s="1044"/>
      <c r="K181" s="1217"/>
      <c r="L181" s="1042"/>
      <c r="M181" s="16"/>
      <c r="N181" s="238"/>
      <c r="O181" s="238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421"/>
      <c r="AL181" s="358"/>
      <c r="AM181" s="358"/>
      <c r="AN181" s="358"/>
      <c r="AO181" s="358"/>
      <c r="AP181" s="358"/>
      <c r="AQ181" s="358"/>
      <c r="AR181" s="358"/>
      <c r="AS181" s="358"/>
      <c r="AT181" s="358"/>
      <c r="AU181" s="358"/>
      <c r="AV181" s="358"/>
      <c r="AW181" s="358"/>
      <c r="AX181" s="358"/>
      <c r="AY181" s="358"/>
      <c r="AZ181" s="358"/>
      <c r="BA181" s="358"/>
      <c r="BB181" s="358"/>
      <c r="BC181" s="358"/>
      <c r="BD181" s="358"/>
      <c r="BE181" s="358"/>
      <c r="BF181" s="358"/>
      <c r="BG181" s="358"/>
      <c r="BH181" s="358"/>
      <c r="BI181" s="358"/>
      <c r="BJ181" s="358"/>
      <c r="BK181" s="358"/>
      <c r="BL181" s="358"/>
      <c r="BM181" s="358"/>
      <c r="BN181" s="358"/>
      <c r="BO181" s="358"/>
      <c r="BP181" s="358"/>
      <c r="BQ181" s="358"/>
      <c r="BR181" s="358"/>
      <c r="BS181" s="358"/>
      <c r="BT181" s="358"/>
      <c r="BU181" s="358"/>
      <c r="BV181" s="358"/>
      <c r="BW181" s="358"/>
      <c r="BX181" s="358"/>
      <c r="BY181" s="358"/>
      <c r="BZ181" s="358"/>
      <c r="CA181" s="358"/>
      <c r="CB181" s="358"/>
      <c r="CC181" s="358"/>
      <c r="CD181" s="358"/>
      <c r="CE181" s="358"/>
      <c r="CF181" s="358"/>
      <c r="CG181" s="358"/>
      <c r="CH181" s="358"/>
      <c r="CI181" s="358"/>
      <c r="CJ181" s="358"/>
      <c r="CK181" s="358"/>
      <c r="CL181" s="358"/>
      <c r="CM181" s="358"/>
      <c r="CN181" s="358"/>
      <c r="CO181" s="358"/>
      <c r="CP181" s="358"/>
      <c r="CQ181" s="358"/>
      <c r="CR181" s="358"/>
      <c r="CS181" s="358"/>
      <c r="CT181" s="358"/>
      <c r="CU181" s="358"/>
      <c r="CV181" s="358"/>
      <c r="CW181" s="358"/>
      <c r="CX181" s="358"/>
      <c r="CY181" s="358"/>
      <c r="CZ181" s="358"/>
      <c r="DA181" s="358"/>
      <c r="DB181" s="358"/>
      <c r="DC181" s="358"/>
      <c r="DD181" s="358"/>
      <c r="DE181" s="358"/>
      <c r="DF181" s="358"/>
      <c r="DG181" s="358"/>
      <c r="DH181" s="358"/>
      <c r="DI181" s="358"/>
      <c r="DJ181" s="358"/>
      <c r="DK181" s="358"/>
      <c r="DL181" s="358"/>
      <c r="DM181" s="358"/>
      <c r="DN181" s="358"/>
      <c r="DO181" s="358"/>
      <c r="DP181" s="358"/>
      <c r="DQ181" s="358"/>
      <c r="DR181" s="358"/>
      <c r="DS181" s="358"/>
      <c r="DT181" s="358"/>
      <c r="DU181" s="358"/>
      <c r="DV181" s="358"/>
      <c r="DW181" s="358"/>
      <c r="DX181" s="358"/>
      <c r="DY181" s="358"/>
      <c r="DZ181" s="358"/>
      <c r="EA181" s="358"/>
      <c r="EB181" s="358"/>
      <c r="EC181" s="358"/>
      <c r="ED181" s="358"/>
      <c r="EE181" s="358"/>
      <c r="EF181" s="358"/>
      <c r="EG181" s="358"/>
      <c r="EH181" s="358"/>
      <c r="EI181" s="358"/>
      <c r="EJ181" s="358"/>
      <c r="EK181" s="358"/>
      <c r="EL181" s="358"/>
      <c r="EM181" s="358"/>
      <c r="EN181" s="358"/>
      <c r="EO181" s="358"/>
      <c r="EP181" s="358"/>
      <c r="EQ181" s="358"/>
      <c r="ER181" s="358"/>
      <c r="ES181" s="358"/>
      <c r="ET181" s="358"/>
      <c r="EU181" s="358"/>
      <c r="EV181" s="358"/>
      <c r="EW181" s="358"/>
      <c r="EX181" s="358"/>
      <c r="EY181" s="358"/>
      <c r="EZ181" s="371"/>
    </row>
    <row r="182" spans="1:156" s="251" customFormat="1" ht="12" customHeight="1" x14ac:dyDescent="0.35">
      <c r="A182" s="1569" t="s">
        <v>247</v>
      </c>
      <c r="B182" s="1570"/>
      <c r="C182" s="1571"/>
      <c r="D182" s="1045">
        <f ca="1">IF(D178&lt;&gt;"",D179+D181,"")</f>
        <v>2501.7399999999998</v>
      </c>
      <c r="E182" s="1034">
        <v>200</v>
      </c>
      <c r="F182" s="1024">
        <v>7.3999999999999996E-2</v>
      </c>
      <c r="G182" s="1046">
        <f ca="1">IF(OR($N$8="",$N$8=0),"",IF(INDIRECT(ADDRESS(($AK182),COLUMN()+56,,,"Digitar Dados dos Ensaios"))&lt;&gt;"",INDIRECT(ADDRESS(($AK182),COLUMN()+56,,,"Digitar Dados dos Ensaios")),""))</f>
        <v>54.51</v>
      </c>
      <c r="H182" s="1047">
        <f ca="1">IF(G182&lt;&gt;"",(H180-G182),"")</f>
        <v>66.44</v>
      </c>
      <c r="I182" s="1048">
        <f ca="1">IF(G182&lt;&gt;"",(H182/J177),"")</f>
        <v>0.43238318365221917</v>
      </c>
      <c r="J182" s="1049">
        <f ca="1">IF(I182&lt;&gt;"",(I182*I175),"")</f>
        <v>0.22913159716640938</v>
      </c>
      <c r="K182" s="1028"/>
      <c r="L182" s="1029"/>
      <c r="M182" s="16"/>
      <c r="N182" s="238"/>
      <c r="O182" s="238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421">
        <f>AK180</f>
        <v>9</v>
      </c>
      <c r="AL182" s="358"/>
      <c r="AM182" s="358"/>
      <c r="AN182" s="358"/>
      <c r="AO182" s="358"/>
      <c r="AP182" s="358"/>
      <c r="AQ182" s="358"/>
      <c r="AR182" s="358"/>
      <c r="AS182" s="358"/>
      <c r="AT182" s="358"/>
      <c r="AU182" s="358"/>
      <c r="AV182" s="358"/>
      <c r="AW182" s="358"/>
      <c r="AX182" s="358"/>
      <c r="AY182" s="358"/>
      <c r="AZ182" s="358"/>
      <c r="BA182" s="358"/>
      <c r="BB182" s="358"/>
      <c r="BC182" s="358"/>
      <c r="BD182" s="358"/>
      <c r="BE182" s="358"/>
      <c r="BF182" s="358"/>
      <c r="BG182" s="358"/>
      <c r="BH182" s="358"/>
      <c r="BI182" s="358"/>
      <c r="BJ182" s="358"/>
      <c r="BK182" s="358"/>
      <c r="BL182" s="358"/>
      <c r="BM182" s="358"/>
      <c r="BN182" s="358"/>
      <c r="BO182" s="358"/>
      <c r="BP182" s="358"/>
      <c r="BQ182" s="358"/>
      <c r="BR182" s="358"/>
      <c r="BS182" s="358"/>
      <c r="BT182" s="358"/>
      <c r="BU182" s="358"/>
      <c r="BV182" s="358"/>
      <c r="BW182" s="358"/>
      <c r="BX182" s="358"/>
      <c r="BY182" s="358"/>
      <c r="BZ182" s="358"/>
      <c r="CA182" s="358"/>
      <c r="CB182" s="358"/>
      <c r="CC182" s="358"/>
      <c r="CD182" s="358"/>
      <c r="CE182" s="358"/>
      <c r="CF182" s="358"/>
      <c r="CG182" s="358"/>
      <c r="CH182" s="358"/>
      <c r="CI182" s="358"/>
      <c r="CJ182" s="358"/>
      <c r="CK182" s="358"/>
      <c r="CL182" s="358"/>
      <c r="CM182" s="358"/>
      <c r="CN182" s="358"/>
      <c r="CO182" s="358"/>
      <c r="CP182" s="358"/>
      <c r="CQ182" s="358"/>
      <c r="CR182" s="358"/>
      <c r="CS182" s="358"/>
      <c r="CT182" s="358"/>
      <c r="CU182" s="358"/>
      <c r="CV182" s="358"/>
      <c r="CW182" s="358"/>
      <c r="CX182" s="358"/>
      <c r="CY182" s="358"/>
      <c r="CZ182" s="358"/>
      <c r="DA182" s="358"/>
      <c r="DB182" s="358"/>
      <c r="DC182" s="358"/>
      <c r="DD182" s="358"/>
      <c r="DE182" s="358"/>
      <c r="DF182" s="358"/>
      <c r="DG182" s="358"/>
      <c r="DH182" s="358"/>
      <c r="DI182" s="358"/>
      <c r="DJ182" s="358"/>
      <c r="DK182" s="358"/>
      <c r="DL182" s="358"/>
      <c r="DM182" s="358"/>
      <c r="DN182" s="358"/>
      <c r="DO182" s="358"/>
      <c r="DP182" s="358"/>
      <c r="DQ182" s="358"/>
      <c r="DR182" s="358"/>
      <c r="DS182" s="358"/>
      <c r="DT182" s="358"/>
      <c r="DU182" s="358"/>
      <c r="DV182" s="358"/>
      <c r="DW182" s="358"/>
      <c r="DX182" s="358"/>
      <c r="DY182" s="358"/>
      <c r="DZ182" s="358"/>
      <c r="EA182" s="358"/>
      <c r="EB182" s="358"/>
      <c r="EC182" s="358"/>
      <c r="ED182" s="358"/>
      <c r="EE182" s="358"/>
      <c r="EF182" s="358"/>
      <c r="EG182" s="358"/>
      <c r="EH182" s="358"/>
      <c r="EI182" s="358"/>
      <c r="EJ182" s="358"/>
      <c r="EK182" s="358"/>
      <c r="EL182" s="358"/>
      <c r="EM182" s="358"/>
      <c r="EN182" s="358"/>
      <c r="EO182" s="358"/>
      <c r="EP182" s="358"/>
      <c r="EQ182" s="358"/>
      <c r="ER182" s="358"/>
      <c r="ES182" s="358"/>
      <c r="ET182" s="358"/>
      <c r="EU182" s="358"/>
      <c r="EV182" s="358"/>
      <c r="EW182" s="358"/>
      <c r="EX182" s="358"/>
      <c r="EY182" s="358"/>
      <c r="EZ182" s="371"/>
    </row>
    <row r="183" spans="1:156" s="251" customFormat="1" ht="12" customHeight="1" x14ac:dyDescent="0.35">
      <c r="A183" s="1572" t="s">
        <v>248</v>
      </c>
      <c r="B183" s="1573"/>
      <c r="C183" s="1573"/>
      <c r="D183" s="1573"/>
      <c r="E183" s="1573"/>
      <c r="F183" s="1574"/>
      <c r="G183" s="1575"/>
      <c r="H183" s="1576"/>
      <c r="I183" s="1576"/>
      <c r="J183" s="1576"/>
      <c r="K183" s="1576"/>
      <c r="L183" s="1577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421"/>
      <c r="AL183" s="358"/>
      <c r="AM183" s="429">
        <v>50.8</v>
      </c>
      <c r="AN183" s="430" t="s">
        <v>249</v>
      </c>
      <c r="AO183" s="430">
        <v>76.2</v>
      </c>
      <c r="AP183" s="430">
        <v>76.2</v>
      </c>
      <c r="AQ183" s="430">
        <v>76.2</v>
      </c>
      <c r="AR183" s="431" t="s">
        <v>250</v>
      </c>
      <c r="AS183" s="492" t="str">
        <f ca="1">IF(K177&lt;&gt;"",K177,"")</f>
        <v/>
      </c>
      <c r="AT183" s="368" t="s">
        <v>251</v>
      </c>
      <c r="AU183" s="368" t="s">
        <v>252</v>
      </c>
      <c r="AV183" s="368" t="s">
        <v>253</v>
      </c>
      <c r="AW183" s="368" t="s">
        <v>251</v>
      </c>
      <c r="AX183" s="358"/>
      <c r="AY183" s="358" t="s">
        <v>254</v>
      </c>
      <c r="AZ183" s="358"/>
      <c r="BA183" s="358"/>
      <c r="BB183" s="358"/>
      <c r="BC183" s="358"/>
      <c r="BD183" s="358"/>
      <c r="BE183" s="358"/>
      <c r="BF183" s="358"/>
      <c r="BG183" s="358"/>
      <c r="BH183" s="358"/>
      <c r="BI183" s="358"/>
      <c r="BJ183" s="358"/>
      <c r="BK183" s="358"/>
      <c r="BL183" s="358"/>
      <c r="BM183" s="358"/>
      <c r="BN183" s="358"/>
      <c r="BO183" s="358"/>
      <c r="BP183" s="358"/>
      <c r="BQ183" s="358"/>
      <c r="BR183" s="358"/>
      <c r="BS183" s="358"/>
      <c r="BT183" s="358"/>
      <c r="BU183" s="358"/>
      <c r="BV183" s="358"/>
      <c r="BW183" s="358"/>
      <c r="BX183" s="358"/>
      <c r="BY183" s="358"/>
      <c r="BZ183" s="358"/>
      <c r="CA183" s="358"/>
      <c r="CB183" s="358"/>
      <c r="CC183" s="358"/>
      <c r="CD183" s="358"/>
      <c r="CE183" s="358"/>
      <c r="CF183" s="358"/>
      <c r="CG183" s="358"/>
      <c r="CH183" s="358"/>
      <c r="CI183" s="358"/>
      <c r="CJ183" s="358"/>
      <c r="CK183" s="358"/>
      <c r="CL183" s="358"/>
      <c r="CM183" s="358"/>
      <c r="CN183" s="358"/>
      <c r="CO183" s="358"/>
      <c r="CP183" s="358"/>
      <c r="CQ183" s="358"/>
      <c r="CR183" s="358"/>
      <c r="CS183" s="358"/>
      <c r="CT183" s="358"/>
      <c r="CU183" s="358"/>
      <c r="CV183" s="358"/>
      <c r="CW183" s="358"/>
      <c r="CX183" s="358"/>
      <c r="CY183" s="358"/>
      <c r="CZ183" s="358"/>
      <c r="DA183" s="358"/>
      <c r="DB183" s="358"/>
      <c r="DC183" s="358"/>
      <c r="DD183" s="358"/>
      <c r="DE183" s="358"/>
      <c r="DF183" s="358"/>
      <c r="DG183" s="358"/>
      <c r="DH183" s="358"/>
      <c r="DI183" s="358"/>
      <c r="DJ183" s="358"/>
      <c r="DK183" s="358"/>
      <c r="DL183" s="358"/>
      <c r="DM183" s="358"/>
      <c r="DN183" s="358"/>
      <c r="DO183" s="358"/>
      <c r="DP183" s="358"/>
      <c r="DQ183" s="358"/>
      <c r="DR183" s="358"/>
      <c r="DS183" s="358"/>
      <c r="DT183" s="358"/>
      <c r="DU183" s="358"/>
      <c r="DV183" s="358"/>
      <c r="DW183" s="358"/>
      <c r="DX183" s="358"/>
      <c r="DY183" s="358"/>
      <c r="DZ183" s="358"/>
      <c r="EA183" s="358"/>
      <c r="EB183" s="358"/>
      <c r="EC183" s="358"/>
      <c r="ED183" s="358"/>
      <c r="EE183" s="358"/>
      <c r="EF183" s="358"/>
      <c r="EG183" s="358"/>
      <c r="EH183" s="358"/>
      <c r="EI183" s="358"/>
      <c r="EJ183" s="358"/>
      <c r="EK183" s="358"/>
      <c r="EL183" s="358"/>
      <c r="EM183" s="358"/>
      <c r="EN183" s="358"/>
      <c r="EO183" s="358"/>
      <c r="EP183" s="358"/>
      <c r="EQ183" s="358"/>
      <c r="ER183" s="358"/>
      <c r="ES183" s="358"/>
      <c r="ET183" s="358"/>
      <c r="EU183" s="358"/>
      <c r="EV183" s="358"/>
      <c r="EW183" s="358"/>
      <c r="EX183" s="358"/>
      <c r="EY183" s="358"/>
      <c r="EZ183" s="371"/>
    </row>
    <row r="184" spans="1:156" s="251" customFormat="1" ht="0.75" customHeight="1" x14ac:dyDescent="0.35">
      <c r="A184" s="1581" t="str">
        <f ca="1">K177</f>
        <v/>
      </c>
      <c r="B184" s="1582"/>
      <c r="C184" s="1582"/>
      <c r="D184" s="1582"/>
      <c r="E184" s="1582"/>
      <c r="F184" s="1583"/>
      <c r="G184" s="1578"/>
      <c r="H184" s="1579"/>
      <c r="I184" s="1579"/>
      <c r="J184" s="1579"/>
      <c r="K184" s="1579"/>
      <c r="L184" s="1580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421"/>
      <c r="AL184" s="358"/>
      <c r="AM184" s="805">
        <v>25.4</v>
      </c>
      <c r="AN184" s="432" t="s">
        <v>29</v>
      </c>
      <c r="AO184" s="432">
        <v>50.8</v>
      </c>
      <c r="AP184" s="432">
        <v>50.8</v>
      </c>
      <c r="AQ184" s="432">
        <v>50.8</v>
      </c>
      <c r="AR184" s="1218">
        <v>7.3999999999999996E-2</v>
      </c>
      <c r="AS184" s="368" t="b">
        <f ca="1">IF(AS183=1,"",IF(AS183=2,""))</f>
        <v>0</v>
      </c>
      <c r="AT184" s="433" t="str">
        <f ca="1">IF(B186="","",IF(AS183="C",1,IF(AS183="D",1,IF(AS183="E",1,IF(AS183="F",1,B186)))))</f>
        <v/>
      </c>
      <c r="AU184" s="433" t="str">
        <f ca="1">IF(C186="","",IF(AS183="C",1,IF(AS183="D",1,IF(AS183="E",1,IF(AS183="F",1,C186)))))</f>
        <v/>
      </c>
      <c r="AV184" s="433" t="str">
        <f ca="1">IF(E186="","",IF(AS183="C",1,IF(AS183="D",1,IF(AS183="E",1,IF(AS183="F",1,E186)))))</f>
        <v/>
      </c>
      <c r="AW184" s="433" t="str">
        <f ca="1">IF(F186="","",IF(AS183="C",1,IF(AS183="D",1,IF(AS183="E",1,IF(AS183="F",1,F186)))))</f>
        <v/>
      </c>
      <c r="AX184" s="358"/>
      <c r="AY184" s="358"/>
      <c r="AZ184" s="624"/>
      <c r="BA184" s="358"/>
      <c r="BB184" s="358"/>
      <c r="BC184" s="358"/>
      <c r="BD184" s="358"/>
      <c r="BE184" s="358"/>
      <c r="BF184" s="358"/>
      <c r="BG184" s="358"/>
      <c r="BH184" s="358"/>
      <c r="BI184" s="358"/>
      <c r="BJ184" s="358"/>
      <c r="BK184" s="358"/>
      <c r="BL184" s="358"/>
      <c r="BM184" s="358"/>
      <c r="BN184" s="358"/>
      <c r="BO184" s="358"/>
      <c r="BP184" s="358"/>
      <c r="BQ184" s="358"/>
      <c r="BR184" s="358"/>
      <c r="BS184" s="358"/>
      <c r="BT184" s="358"/>
      <c r="BU184" s="358"/>
      <c r="BV184" s="358"/>
      <c r="BW184" s="358"/>
      <c r="BX184" s="358"/>
      <c r="BY184" s="358"/>
      <c r="BZ184" s="358"/>
      <c r="CA184" s="358"/>
      <c r="CB184" s="358"/>
      <c r="CC184" s="358"/>
      <c r="CD184" s="358"/>
      <c r="CE184" s="358"/>
      <c r="CF184" s="358"/>
      <c r="CG184" s="358"/>
      <c r="CH184" s="358"/>
      <c r="CI184" s="358"/>
      <c r="CJ184" s="358"/>
      <c r="CK184" s="358"/>
      <c r="CL184" s="358"/>
      <c r="CM184" s="358"/>
      <c r="CN184" s="358"/>
      <c r="CO184" s="358"/>
      <c r="CP184" s="358"/>
      <c r="CQ184" s="358"/>
      <c r="CR184" s="358"/>
      <c r="CS184" s="358"/>
      <c r="CT184" s="358"/>
      <c r="CU184" s="358"/>
      <c r="CV184" s="358"/>
      <c r="CW184" s="358"/>
      <c r="CX184" s="358"/>
      <c r="CY184" s="358"/>
      <c r="CZ184" s="358"/>
      <c r="DA184" s="358"/>
      <c r="DB184" s="358"/>
      <c r="DC184" s="358"/>
      <c r="DD184" s="358"/>
      <c r="DE184" s="358"/>
      <c r="DF184" s="358"/>
      <c r="DG184" s="358"/>
      <c r="DH184" s="358"/>
      <c r="DI184" s="358"/>
      <c r="DJ184" s="358"/>
      <c r="DK184" s="358"/>
      <c r="DL184" s="358"/>
      <c r="DM184" s="358"/>
      <c r="DN184" s="358"/>
      <c r="DO184" s="358"/>
      <c r="DP184" s="358"/>
      <c r="DQ184" s="358"/>
      <c r="DR184" s="358"/>
      <c r="DS184" s="358"/>
      <c r="DT184" s="358"/>
      <c r="DU184" s="358"/>
      <c r="DV184" s="358"/>
      <c r="DW184" s="358"/>
      <c r="DX184" s="358"/>
      <c r="DY184" s="358"/>
      <c r="DZ184" s="358"/>
      <c r="EA184" s="358"/>
      <c r="EB184" s="358"/>
      <c r="EC184" s="358"/>
      <c r="ED184" s="358"/>
      <c r="EE184" s="358"/>
      <c r="EF184" s="358"/>
      <c r="EG184" s="358"/>
      <c r="EH184" s="358"/>
      <c r="EI184" s="358"/>
      <c r="EJ184" s="358"/>
      <c r="EK184" s="358"/>
      <c r="EL184" s="358"/>
      <c r="EM184" s="358"/>
      <c r="EN184" s="358"/>
      <c r="EO184" s="358"/>
      <c r="EP184" s="358"/>
      <c r="EQ184" s="358"/>
      <c r="ER184" s="358"/>
      <c r="ES184" s="358"/>
      <c r="ET184" s="358"/>
      <c r="EU184" s="358"/>
      <c r="EV184" s="358"/>
      <c r="EW184" s="358"/>
      <c r="EX184" s="358"/>
      <c r="EY184" s="358"/>
      <c r="EZ184" s="371"/>
    </row>
    <row r="185" spans="1:156" s="251" customFormat="1" ht="21" customHeight="1" x14ac:dyDescent="0.35">
      <c r="A185" s="1050" t="s">
        <v>241</v>
      </c>
      <c r="B185" s="939" t="s">
        <v>251</v>
      </c>
      <c r="C185" s="1051" t="s">
        <v>255</v>
      </c>
      <c r="D185" s="1051" t="s">
        <v>256</v>
      </c>
      <c r="E185" s="1051" t="s">
        <v>253</v>
      </c>
      <c r="F185" s="1052" t="s">
        <v>251</v>
      </c>
      <c r="G185" s="1578"/>
      <c r="H185" s="1579"/>
      <c r="I185" s="1579"/>
      <c r="J185" s="1579"/>
      <c r="K185" s="1579"/>
      <c r="L185" s="1580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421"/>
      <c r="AL185" s="358"/>
      <c r="AM185" s="805">
        <v>9.52</v>
      </c>
      <c r="AN185" s="432" t="s">
        <v>257</v>
      </c>
      <c r="AO185" s="432">
        <v>38.1</v>
      </c>
      <c r="AP185" s="432">
        <v>38.1</v>
      </c>
      <c r="AQ185" s="432">
        <v>38.1</v>
      </c>
      <c r="AR185" s="1218">
        <v>7.3999999999999996E-2</v>
      </c>
      <c r="AS185" s="368">
        <v>25.4</v>
      </c>
      <c r="AT185" s="433" t="b">
        <f ca="1">IF(B187="","",IF(AS183="A",0.65,B187))</f>
        <v>0</v>
      </c>
      <c r="AU185" s="433" t="str">
        <f ca="1">IF(C187="","",IF(AS183="A",0.7,C187))</f>
        <v/>
      </c>
      <c r="AV185" s="433" t="str">
        <f ca="1">IF(E187="","",IF(AS183="A",0.85,E187))</f>
        <v/>
      </c>
      <c r="AW185" s="433" t="b">
        <f ca="1">IF(F187="","",IF(AS183="A",0.88,F187))</f>
        <v>0</v>
      </c>
      <c r="AX185" s="358"/>
      <c r="AY185" s="358"/>
      <c r="AZ185" s="358"/>
      <c r="BA185" s="358"/>
      <c r="BB185" s="358"/>
      <c r="BC185" s="358"/>
      <c r="BD185" s="358"/>
      <c r="BE185" s="358"/>
      <c r="BF185" s="358"/>
      <c r="BG185" s="358"/>
      <c r="BH185" s="358"/>
      <c r="BI185" s="358"/>
      <c r="BJ185" s="358"/>
      <c r="BK185" s="358"/>
      <c r="BL185" s="358"/>
      <c r="BM185" s="358"/>
      <c r="BN185" s="358"/>
      <c r="BO185" s="358"/>
      <c r="BP185" s="358"/>
      <c r="BQ185" s="358"/>
      <c r="BR185" s="358"/>
      <c r="BS185" s="358"/>
      <c r="BT185" s="358"/>
      <c r="BU185" s="358"/>
      <c r="BV185" s="358"/>
      <c r="BW185" s="358"/>
      <c r="BX185" s="358"/>
      <c r="BY185" s="358"/>
      <c r="BZ185" s="358"/>
      <c r="CA185" s="358"/>
      <c r="CB185" s="358"/>
      <c r="CC185" s="358"/>
      <c r="CD185" s="358"/>
      <c r="CE185" s="358"/>
      <c r="CF185" s="358"/>
      <c r="CG185" s="358"/>
      <c r="CH185" s="358"/>
      <c r="CI185" s="358"/>
      <c r="CJ185" s="358"/>
      <c r="CK185" s="358"/>
      <c r="CL185" s="358"/>
      <c r="CM185" s="358"/>
      <c r="CN185" s="358"/>
      <c r="CO185" s="358"/>
      <c r="CP185" s="358"/>
      <c r="CQ185" s="358"/>
      <c r="CR185" s="358"/>
      <c r="CS185" s="358"/>
      <c r="CT185" s="358"/>
      <c r="CU185" s="358"/>
      <c r="CV185" s="358"/>
      <c r="CW185" s="358"/>
      <c r="CX185" s="358"/>
      <c r="CY185" s="358"/>
      <c r="CZ185" s="358"/>
      <c r="DA185" s="358"/>
      <c r="DB185" s="358"/>
      <c r="DC185" s="358"/>
      <c r="DD185" s="358"/>
      <c r="DE185" s="358"/>
      <c r="DF185" s="358"/>
      <c r="DG185" s="358"/>
      <c r="DH185" s="358"/>
      <c r="DI185" s="358"/>
      <c r="DJ185" s="358"/>
      <c r="DK185" s="358"/>
      <c r="DL185" s="358"/>
      <c r="DM185" s="358"/>
      <c r="DN185" s="358"/>
      <c r="DO185" s="358"/>
      <c r="DP185" s="358"/>
      <c r="DQ185" s="358"/>
      <c r="DR185" s="358"/>
      <c r="DS185" s="358"/>
      <c r="DT185" s="358"/>
      <c r="DU185" s="358"/>
      <c r="DV185" s="358"/>
      <c r="DW185" s="358"/>
      <c r="DX185" s="358"/>
      <c r="DY185" s="358"/>
      <c r="DZ185" s="358"/>
      <c r="EA185" s="358"/>
      <c r="EB185" s="358"/>
      <c r="EC185" s="358"/>
      <c r="ED185" s="358"/>
      <c r="EE185" s="358"/>
      <c r="EF185" s="358"/>
      <c r="EG185" s="358"/>
      <c r="EH185" s="358"/>
      <c r="EI185" s="358"/>
      <c r="EJ185" s="358"/>
      <c r="EK185" s="358"/>
      <c r="EL185" s="358"/>
      <c r="EM185" s="358"/>
      <c r="EN185" s="358"/>
      <c r="EO185" s="358"/>
      <c r="EP185" s="358"/>
      <c r="EQ185" s="358"/>
      <c r="ER185" s="358"/>
      <c r="ES185" s="358"/>
      <c r="ET185" s="358"/>
      <c r="EU185" s="358"/>
      <c r="EV185" s="358"/>
      <c r="EW185" s="358"/>
      <c r="EX185" s="358"/>
      <c r="EY185" s="358"/>
      <c r="EZ185" s="371"/>
    </row>
    <row r="186" spans="1:156" s="251" customFormat="1" ht="12" customHeight="1" x14ac:dyDescent="0.35">
      <c r="A186" s="1053" t="s">
        <v>73</v>
      </c>
      <c r="B186" s="1054" t="str">
        <f ca="1">IF($K$177="A",1,IF($K$177="1",1,IF($K$177="2","-",IF($K$177="D","-",IF($K$177="E","-",IF($K$177="F","-",""))))))</f>
        <v/>
      </c>
      <c r="C186" s="1054" t="str">
        <f ca="1">IF($K$177="A",1,IF($K$177="1",1,IF($K$177="2","-",IF($K$177="D","-",IF($K$177="E","-",IF($K$177="F","-",""))))))</f>
        <v/>
      </c>
      <c r="D186" s="1055">
        <f ca="1">IF(I169&lt;&gt;"",I169,"")</f>
        <v>1</v>
      </c>
      <c r="E186" s="1054" t="str">
        <f ca="1">IF($K$177="A",1,IF($K$177="1",1,IF($K$177="2","-",IF($K$177="D","-",IF($K$177="E","-",IF($K$177="F","-",""))))))</f>
        <v/>
      </c>
      <c r="F186" s="1054" t="str">
        <f ca="1">IF($K$177="A",1,IF($K$177="1",1,IF($K$177="2","-",IF($K$177="D","-",IF($K$177="E","-",IF($K$177="F","-",""))))))</f>
        <v/>
      </c>
      <c r="G186" s="1578"/>
      <c r="H186" s="1579"/>
      <c r="I186" s="1579"/>
      <c r="J186" s="1579"/>
      <c r="K186" s="1579"/>
      <c r="L186" s="1580"/>
      <c r="M186" s="623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421"/>
      <c r="AL186" s="358"/>
      <c r="AM186" s="805">
        <v>4.76</v>
      </c>
      <c r="AN186" s="432" t="s">
        <v>31</v>
      </c>
      <c r="AO186" s="432">
        <v>25.4</v>
      </c>
      <c r="AP186" s="432">
        <v>25.4</v>
      </c>
      <c r="AQ186" s="432">
        <v>25.4</v>
      </c>
      <c r="AR186" s="1218">
        <v>7.3999999999999996E-2</v>
      </c>
      <c r="AS186" s="368">
        <v>9.52</v>
      </c>
      <c r="AT186" s="433" t="b">
        <f ca="1">IF(B188="","",IF(AS183="E",0.68,IF(AS183="F",0.76,B188)))</f>
        <v>0</v>
      </c>
      <c r="AU186" s="433" t="str">
        <f ca="1">IF(C188="","",IF(AS183="E",0.737,IF(AS183="F",0.818,C188)))</f>
        <v/>
      </c>
      <c r="AV186" s="433" t="str">
        <f ca="1">IF(E188="","",IF(AS183="E",1,IF(AS183="F",1,E188)))</f>
        <v/>
      </c>
      <c r="AW186" s="433" t="b">
        <f ca="1">IF(F188="","",IF(AS183="E",1,IF(AS183="F",1,F188)))</f>
        <v>0</v>
      </c>
      <c r="AX186" s="358"/>
      <c r="AY186" s="358"/>
      <c r="AZ186" s="358"/>
      <c r="BA186" s="358"/>
      <c r="BB186" s="358"/>
      <c r="BC186" s="358"/>
      <c r="BD186" s="358"/>
      <c r="BE186" s="358"/>
      <c r="BF186" s="358"/>
      <c r="BG186" s="358"/>
      <c r="BH186" s="358"/>
      <c r="BI186" s="358"/>
      <c r="BJ186" s="358"/>
      <c r="BK186" s="358"/>
      <c r="BL186" s="358"/>
      <c r="BM186" s="358"/>
      <c r="BN186" s="358"/>
      <c r="BO186" s="358"/>
      <c r="BP186" s="358"/>
      <c r="BQ186" s="358"/>
      <c r="BR186" s="358"/>
      <c r="BS186" s="358"/>
      <c r="BT186" s="358"/>
      <c r="BU186" s="358"/>
      <c r="BV186" s="358"/>
      <c r="BW186" s="358"/>
      <c r="BX186" s="358"/>
      <c r="BY186" s="358"/>
      <c r="BZ186" s="358"/>
      <c r="CA186" s="358"/>
      <c r="CB186" s="358"/>
      <c r="CC186" s="358"/>
      <c r="CD186" s="358"/>
      <c r="CE186" s="358"/>
      <c r="CF186" s="358"/>
      <c r="CG186" s="358"/>
      <c r="CH186" s="358"/>
      <c r="CI186" s="358"/>
      <c r="CJ186" s="358"/>
      <c r="CK186" s="358"/>
      <c r="CL186" s="358"/>
      <c r="CM186" s="358"/>
      <c r="CN186" s="358"/>
      <c r="CO186" s="358"/>
      <c r="CP186" s="358"/>
      <c r="CQ186" s="358"/>
      <c r="CR186" s="358"/>
      <c r="CS186" s="358"/>
      <c r="CT186" s="358"/>
      <c r="CU186" s="358"/>
      <c r="CV186" s="358"/>
      <c r="CW186" s="358"/>
      <c r="CX186" s="358"/>
      <c r="CY186" s="358"/>
      <c r="CZ186" s="358"/>
      <c r="DA186" s="358"/>
      <c r="DB186" s="358"/>
      <c r="DC186" s="358"/>
      <c r="DD186" s="358"/>
      <c r="DE186" s="358"/>
      <c r="DF186" s="358"/>
      <c r="DG186" s="358"/>
      <c r="DH186" s="358"/>
      <c r="DI186" s="358"/>
      <c r="DJ186" s="358"/>
      <c r="DK186" s="358"/>
      <c r="DL186" s="358"/>
      <c r="DM186" s="358"/>
      <c r="DN186" s="358"/>
      <c r="DO186" s="358"/>
      <c r="DP186" s="358"/>
      <c r="DQ186" s="358"/>
      <c r="DR186" s="358"/>
      <c r="DS186" s="358"/>
      <c r="DT186" s="358"/>
      <c r="DU186" s="358"/>
      <c r="DV186" s="358"/>
      <c r="DW186" s="358"/>
      <c r="DX186" s="358"/>
      <c r="DY186" s="358"/>
      <c r="DZ186" s="358"/>
      <c r="EA186" s="358"/>
      <c r="EB186" s="358"/>
      <c r="EC186" s="358"/>
      <c r="ED186" s="358"/>
      <c r="EE186" s="358"/>
      <c r="EF186" s="358"/>
      <c r="EG186" s="358"/>
      <c r="EH186" s="358"/>
      <c r="EI186" s="358"/>
      <c r="EJ186" s="358"/>
      <c r="EK186" s="358"/>
      <c r="EL186" s="358"/>
      <c r="EM186" s="358"/>
      <c r="EN186" s="358"/>
      <c r="EO186" s="358"/>
      <c r="EP186" s="358"/>
      <c r="EQ186" s="358"/>
      <c r="ER186" s="358"/>
      <c r="ES186" s="358"/>
      <c r="ET186" s="358"/>
      <c r="EU186" s="358"/>
      <c r="EV186" s="358"/>
      <c r="EW186" s="358"/>
      <c r="EX186" s="358"/>
      <c r="EY186" s="358"/>
      <c r="EZ186" s="371"/>
    </row>
    <row r="187" spans="1:156" s="251" customFormat="1" ht="12" customHeight="1" x14ac:dyDescent="0.35">
      <c r="A187" s="1053" t="s">
        <v>75</v>
      </c>
      <c r="B187" s="1054" t="b">
        <f ca="1">IF($K$177="A","-",IF($K$177="1",1,IF($K$177="2",1,IF($K$177="D",1))))</f>
        <v>0</v>
      </c>
      <c r="C187" s="1054" t="str">
        <f ca="1">IF($K$177="A","-",IF($K$177="1",0.75,IF($K$177="2",1,IF($K$177="D",1,IF($K$177="E","-",IF($K$177="F","-",""))))))</f>
        <v/>
      </c>
      <c r="D187" s="1055">
        <f ca="1">IF(I171&lt;&gt;"",I171,"")</f>
        <v>0.97723984107061479</v>
      </c>
      <c r="E187" s="1054" t="str">
        <f ca="1">IF($K$177="A","-",IF($K$177="1",0.9,IF($K$177="2",1,IF($K$177="D",1,IF($K$177="E","-",IF($K$177="F","-",""))))))</f>
        <v/>
      </c>
      <c r="F187" s="1054" t="b">
        <f ca="1">IF($K$177="A","-",IF($K$177="1",1,IF($K$177="2",1,IF($K$177="D",1))))</f>
        <v>0</v>
      </c>
      <c r="G187" s="1578"/>
      <c r="H187" s="1579"/>
      <c r="I187" s="1579"/>
      <c r="J187" s="1579"/>
      <c r="K187" s="1579"/>
      <c r="L187" s="1580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421"/>
      <c r="AL187" s="358"/>
      <c r="AM187" s="805">
        <v>2</v>
      </c>
      <c r="AN187" s="432" t="s">
        <v>258</v>
      </c>
      <c r="AO187" s="432">
        <v>19.100000000000001</v>
      </c>
      <c r="AP187" s="432">
        <v>19.100000000000001</v>
      </c>
      <c r="AQ187" s="432">
        <v>19.100000000000001</v>
      </c>
      <c r="AR187" s="1218"/>
      <c r="AS187" s="368">
        <v>4.76</v>
      </c>
      <c r="AT187" s="433" t="b">
        <f t="shared" ref="AT187:AU190" ca="1" si="80">IF(B189="","",B189)</f>
        <v>0</v>
      </c>
      <c r="AU187" s="433" t="str">
        <f t="shared" ca="1" si="80"/>
        <v/>
      </c>
      <c r="AV187" s="433" t="str">
        <f t="shared" ref="AV187:AW190" ca="1" si="81">IF(E189="","",E189)</f>
        <v/>
      </c>
      <c r="AW187" s="433" t="b">
        <f t="shared" ca="1" si="81"/>
        <v>0</v>
      </c>
      <c r="AX187" s="358"/>
      <c r="AY187" s="358"/>
      <c r="AZ187" s="358"/>
      <c r="BA187" s="358"/>
      <c r="BB187" s="358"/>
      <c r="BC187" s="358"/>
      <c r="BD187" s="358"/>
      <c r="BE187" s="358"/>
      <c r="BF187" s="358"/>
      <c r="BG187" s="358"/>
      <c r="BH187" s="358"/>
      <c r="BI187" s="358"/>
      <c r="BJ187" s="358"/>
      <c r="BK187" s="358"/>
      <c r="BL187" s="358"/>
      <c r="BM187" s="358"/>
      <c r="BN187" s="358"/>
      <c r="BO187" s="358"/>
      <c r="BP187" s="358"/>
      <c r="BQ187" s="358"/>
      <c r="BR187" s="358"/>
      <c r="BS187" s="358"/>
      <c r="BT187" s="358"/>
      <c r="BU187" s="358"/>
      <c r="BV187" s="358"/>
      <c r="BW187" s="358"/>
      <c r="BX187" s="358"/>
      <c r="BY187" s="358"/>
      <c r="BZ187" s="358"/>
      <c r="CA187" s="358"/>
      <c r="CB187" s="358"/>
      <c r="CC187" s="358"/>
      <c r="CD187" s="358"/>
      <c r="CE187" s="358"/>
      <c r="CF187" s="358"/>
      <c r="CG187" s="358"/>
      <c r="CH187" s="358"/>
      <c r="CI187" s="358"/>
      <c r="CJ187" s="358"/>
      <c r="CK187" s="358"/>
      <c r="CL187" s="358"/>
      <c r="CM187" s="358"/>
      <c r="CN187" s="358"/>
      <c r="CO187" s="358"/>
      <c r="CP187" s="358"/>
      <c r="CQ187" s="358"/>
      <c r="CR187" s="358"/>
      <c r="CS187" s="358"/>
      <c r="CT187" s="358"/>
      <c r="CU187" s="358"/>
      <c r="CV187" s="358"/>
      <c r="CW187" s="358"/>
      <c r="CX187" s="358"/>
      <c r="CY187" s="358"/>
      <c r="CZ187" s="358"/>
      <c r="DA187" s="358"/>
      <c r="DB187" s="358"/>
      <c r="DC187" s="358"/>
      <c r="DD187" s="358"/>
      <c r="DE187" s="358"/>
      <c r="DF187" s="358"/>
      <c r="DG187" s="358"/>
      <c r="DH187" s="358"/>
      <c r="DI187" s="358"/>
      <c r="DJ187" s="358"/>
      <c r="DK187" s="358"/>
      <c r="DL187" s="358"/>
      <c r="DM187" s="358"/>
      <c r="DN187" s="358"/>
      <c r="DO187" s="358"/>
      <c r="DP187" s="358"/>
      <c r="DQ187" s="358"/>
      <c r="DR187" s="358"/>
      <c r="DS187" s="358"/>
      <c r="DT187" s="358"/>
      <c r="DU187" s="358"/>
      <c r="DV187" s="358"/>
      <c r="DW187" s="358"/>
      <c r="DX187" s="358"/>
      <c r="DY187" s="358"/>
      <c r="DZ187" s="358"/>
      <c r="EA187" s="358"/>
      <c r="EB187" s="358"/>
      <c r="EC187" s="358"/>
      <c r="ED187" s="358"/>
      <c r="EE187" s="358"/>
      <c r="EF187" s="358"/>
      <c r="EG187" s="358"/>
      <c r="EH187" s="358"/>
      <c r="EI187" s="358"/>
      <c r="EJ187" s="358"/>
      <c r="EK187" s="358"/>
      <c r="EL187" s="358"/>
      <c r="EM187" s="358"/>
      <c r="EN187" s="358"/>
      <c r="EO187" s="358"/>
      <c r="EP187" s="358"/>
      <c r="EQ187" s="358"/>
      <c r="ER187" s="358"/>
      <c r="ES187" s="358"/>
      <c r="ET187" s="358"/>
      <c r="EU187" s="358"/>
      <c r="EV187" s="358"/>
      <c r="EW187" s="358"/>
      <c r="EX187" s="358"/>
      <c r="EY187" s="358"/>
      <c r="EZ187" s="371"/>
    </row>
    <row r="188" spans="1:156" s="251" customFormat="1" ht="12" customHeight="1" x14ac:dyDescent="0.35">
      <c r="A188" s="1053" t="s">
        <v>77</v>
      </c>
      <c r="B188" s="1054" t="b">
        <f ca="1">IF($K$177="A",C188+0.07,IF($K$177="1",C188+0.07,IF($K$177="2",C188+0.07,IF($K$177="D",C188+0.07))))</f>
        <v>0</v>
      </c>
      <c r="C188" s="1054" t="str">
        <f ca="1">IF($K$177="A",0.3,IF($K$177="1",0.4,IF($K$177="2",0.5,IF($K$177="D",0.6,IF($K$177="E",1,IF($K$177="F",1,""))))))</f>
        <v/>
      </c>
      <c r="D188" s="1055">
        <f ca="1">IF(I173&lt;&gt;"",I173,"")</f>
        <v>0.81504073165077107</v>
      </c>
      <c r="E188" s="1054" t="str">
        <f ca="1">IF($K$177="A",0.65,IF($K$177="1",0.75,IF($K$177="2",0.85,IF($K$177="D",1,IF($K$177="E",1,IF($K$177="F",1,""))))))</f>
        <v/>
      </c>
      <c r="F188" s="1054" t="b">
        <f ca="1">IF($K$177="A",E188-0.07,IF($K$177="1",E188-0.07,IF($K$177="2",E188-0.07,IF($K$177="D",E188-0.07))))</f>
        <v>0</v>
      </c>
      <c r="G188" s="1578"/>
      <c r="H188" s="1579"/>
      <c r="I188" s="1579"/>
      <c r="J188" s="1579"/>
      <c r="K188" s="1579"/>
      <c r="L188" s="1580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421"/>
      <c r="AL188" s="358"/>
      <c r="AM188" s="805">
        <v>0.42</v>
      </c>
      <c r="AN188" s="432" t="s">
        <v>259</v>
      </c>
      <c r="AO188" s="432">
        <v>12.7</v>
      </c>
      <c r="AP188" s="432">
        <v>12.7</v>
      </c>
      <c r="AQ188" s="432">
        <v>12.7</v>
      </c>
      <c r="AR188" s="1218"/>
      <c r="AS188" s="401">
        <v>2</v>
      </c>
      <c r="AT188" s="433" t="b">
        <f t="shared" ca="1" si="80"/>
        <v>0</v>
      </c>
      <c r="AU188" s="433" t="str">
        <f t="shared" ca="1" si="80"/>
        <v/>
      </c>
      <c r="AV188" s="433" t="str">
        <f t="shared" ca="1" si="81"/>
        <v/>
      </c>
      <c r="AW188" s="433" t="b">
        <f t="shared" ca="1" si="81"/>
        <v>0</v>
      </c>
      <c r="AX188" s="358"/>
      <c r="AY188" s="358"/>
      <c r="AZ188" s="358"/>
      <c r="BA188" s="358"/>
      <c r="BB188" s="358"/>
      <c r="BC188" s="358"/>
      <c r="BD188" s="358"/>
      <c r="BE188" s="358"/>
      <c r="BF188" s="358"/>
      <c r="BG188" s="358"/>
      <c r="BH188" s="358"/>
      <c r="BI188" s="358"/>
      <c r="BJ188" s="358"/>
      <c r="BK188" s="358"/>
      <c r="BL188" s="358"/>
      <c r="BM188" s="358"/>
      <c r="BN188" s="358"/>
      <c r="BO188" s="358"/>
      <c r="BP188" s="358"/>
      <c r="BQ188" s="358"/>
      <c r="BR188" s="358"/>
      <c r="BS188" s="358"/>
      <c r="BT188" s="358"/>
      <c r="BU188" s="358"/>
      <c r="BV188" s="358"/>
      <c r="BW188" s="358"/>
      <c r="BX188" s="358"/>
      <c r="BY188" s="358"/>
      <c r="BZ188" s="358"/>
      <c r="CA188" s="358"/>
      <c r="CB188" s="358"/>
      <c r="CC188" s="358"/>
      <c r="CD188" s="358"/>
      <c r="CE188" s="358"/>
      <c r="CF188" s="358"/>
      <c r="CG188" s="358"/>
      <c r="CH188" s="358"/>
      <c r="CI188" s="358"/>
      <c r="CJ188" s="358"/>
      <c r="CK188" s="358"/>
      <c r="CL188" s="358"/>
      <c r="CM188" s="358"/>
      <c r="CN188" s="358"/>
      <c r="CO188" s="358"/>
      <c r="CP188" s="358"/>
      <c r="CQ188" s="358"/>
      <c r="CR188" s="358"/>
      <c r="CS188" s="358"/>
      <c r="CT188" s="358"/>
      <c r="CU188" s="358"/>
      <c r="CV188" s="358"/>
      <c r="CW188" s="358"/>
      <c r="CX188" s="358"/>
      <c r="CY188" s="358"/>
      <c r="CZ188" s="358"/>
      <c r="DA188" s="358"/>
      <c r="DB188" s="358"/>
      <c r="DC188" s="358"/>
      <c r="DD188" s="358"/>
      <c r="DE188" s="358"/>
      <c r="DF188" s="358"/>
      <c r="DG188" s="358"/>
      <c r="DH188" s="358"/>
      <c r="DI188" s="358"/>
      <c r="DJ188" s="358"/>
      <c r="DK188" s="358"/>
      <c r="DL188" s="358"/>
      <c r="DM188" s="358"/>
      <c r="DN188" s="358"/>
      <c r="DO188" s="358"/>
      <c r="DP188" s="358"/>
      <c r="DQ188" s="358"/>
      <c r="DR188" s="358"/>
      <c r="DS188" s="358"/>
      <c r="DT188" s="358"/>
      <c r="DU188" s="358"/>
      <c r="DV188" s="358"/>
      <c r="DW188" s="358"/>
      <c r="DX188" s="358"/>
      <c r="DY188" s="358"/>
      <c r="DZ188" s="358"/>
      <c r="EA188" s="358"/>
      <c r="EB188" s="358"/>
      <c r="EC188" s="358"/>
      <c r="ED188" s="358"/>
      <c r="EE188" s="358"/>
      <c r="EF188" s="358"/>
      <c r="EG188" s="358"/>
      <c r="EH188" s="358"/>
      <c r="EI188" s="358"/>
      <c r="EJ188" s="358"/>
      <c r="EK188" s="358"/>
      <c r="EL188" s="358"/>
      <c r="EM188" s="358"/>
      <c r="EN188" s="358"/>
      <c r="EO188" s="358"/>
      <c r="EP188" s="358"/>
      <c r="EQ188" s="358"/>
      <c r="ER188" s="358"/>
      <c r="ES188" s="358"/>
      <c r="ET188" s="358"/>
      <c r="EU188" s="358"/>
      <c r="EV188" s="358"/>
      <c r="EW188" s="358"/>
      <c r="EX188" s="358"/>
      <c r="EY188" s="358"/>
      <c r="EZ188" s="371"/>
    </row>
    <row r="189" spans="1:156" s="251" customFormat="1" ht="12" customHeight="1" x14ac:dyDescent="0.35">
      <c r="A189" s="1053" t="s">
        <v>260</v>
      </c>
      <c r="B189" s="1054" t="b">
        <f ca="1">IF($K$177="A",C189+0.05,IF($K$177="1",C189+0.05,IF($K$177="2",C189+0.05,IF($K$177="D",C189+0.05))))</f>
        <v>0</v>
      </c>
      <c r="C189" s="1054" t="str">
        <f ca="1">IF($K$177="A",0.25,IF($K$177="1",0.3,IF($K$177="2",0.35,IF($K$177="D",0.5,IF($K$177="E",0.55,IF($K$177="F",0.7,""))))))</f>
        <v/>
      </c>
      <c r="D189" s="1055">
        <f ca="1">IF(I174&lt;&gt;"",I174,"")</f>
        <v>0.65427262625212845</v>
      </c>
      <c r="E189" s="1054" t="str">
        <f ca="1">IF($K$177="A",0.55,IF($K$177="1",0.6,IF($K$177="2",0.65,IF($K$177="D",0.85,IF($K$177="E",1,IF($K$177="F",1,""))))))</f>
        <v/>
      </c>
      <c r="F189" s="1056" t="b">
        <f ca="1">IF($K$177="A",E189-0.05,IF($K$177="1",E189-0.05,IF($K$177="2",E189-0.05,IF($K$177="D",E189-0.05))))</f>
        <v>0</v>
      </c>
      <c r="G189" s="1578"/>
      <c r="H189" s="1579"/>
      <c r="I189" s="1579"/>
      <c r="J189" s="1579"/>
      <c r="K189" s="1579"/>
      <c r="L189" s="1580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421"/>
      <c r="AL189" s="358"/>
      <c r="AM189" s="805">
        <v>7.3999999999999996E-2</v>
      </c>
      <c r="AN189" s="432" t="s">
        <v>33</v>
      </c>
      <c r="AO189" s="432">
        <v>9.52</v>
      </c>
      <c r="AP189" s="432">
        <v>9.52</v>
      </c>
      <c r="AQ189" s="432">
        <v>9.52</v>
      </c>
      <c r="AR189" s="1218"/>
      <c r="AS189" s="368">
        <v>0.42</v>
      </c>
      <c r="AT189" s="433" t="b">
        <f t="shared" ca="1" si="80"/>
        <v>0</v>
      </c>
      <c r="AU189" s="433" t="str">
        <f t="shared" ca="1" si="80"/>
        <v/>
      </c>
      <c r="AV189" s="433" t="str">
        <f t="shared" ca="1" si="81"/>
        <v/>
      </c>
      <c r="AW189" s="433" t="b">
        <f t="shared" ca="1" si="81"/>
        <v>0</v>
      </c>
      <c r="AX189" s="358"/>
      <c r="AY189" s="358"/>
      <c r="AZ189" s="358"/>
      <c r="BA189" s="358"/>
      <c r="BB189" s="358"/>
      <c r="BC189" s="358"/>
      <c r="BD189" s="358"/>
      <c r="BE189" s="358"/>
      <c r="BF189" s="358"/>
      <c r="BG189" s="358"/>
      <c r="BH189" s="358"/>
      <c r="BI189" s="358"/>
      <c r="BJ189" s="358"/>
      <c r="BK189" s="358"/>
      <c r="BL189" s="358"/>
      <c r="BM189" s="358"/>
      <c r="BN189" s="358"/>
      <c r="BO189" s="358"/>
      <c r="BP189" s="358"/>
      <c r="BQ189" s="358"/>
      <c r="BR189" s="358"/>
      <c r="BS189" s="358"/>
      <c r="BT189" s="358"/>
      <c r="BU189" s="358"/>
      <c r="BV189" s="358"/>
      <c r="BW189" s="358"/>
      <c r="BX189" s="358"/>
      <c r="BY189" s="358"/>
      <c r="BZ189" s="358"/>
      <c r="CA189" s="358"/>
      <c r="CB189" s="358"/>
      <c r="CC189" s="358"/>
      <c r="CD189" s="358"/>
      <c r="CE189" s="358"/>
      <c r="CF189" s="358"/>
      <c r="CG189" s="358"/>
      <c r="CH189" s="358"/>
      <c r="CI189" s="358"/>
      <c r="CJ189" s="358"/>
      <c r="CK189" s="358"/>
      <c r="CL189" s="358"/>
      <c r="CM189" s="358"/>
      <c r="CN189" s="358"/>
      <c r="CO189" s="358"/>
      <c r="CP189" s="358"/>
      <c r="CQ189" s="358"/>
      <c r="CR189" s="358"/>
      <c r="CS189" s="358"/>
      <c r="CT189" s="358"/>
      <c r="CU189" s="358"/>
      <c r="CV189" s="358"/>
      <c r="CW189" s="358"/>
      <c r="CX189" s="358"/>
      <c r="CY189" s="358"/>
      <c r="CZ189" s="358"/>
      <c r="DA189" s="358"/>
      <c r="DB189" s="358"/>
      <c r="DC189" s="358"/>
      <c r="DD189" s="358"/>
      <c r="DE189" s="358"/>
      <c r="DF189" s="358"/>
      <c r="DG189" s="358"/>
      <c r="DH189" s="358"/>
      <c r="DI189" s="358"/>
      <c r="DJ189" s="358"/>
      <c r="DK189" s="358"/>
      <c r="DL189" s="358"/>
      <c r="DM189" s="358"/>
      <c r="DN189" s="358"/>
      <c r="DO189" s="358"/>
      <c r="DP189" s="358"/>
      <c r="DQ189" s="358"/>
      <c r="DR189" s="358"/>
      <c r="DS189" s="358"/>
      <c r="DT189" s="358"/>
      <c r="DU189" s="358"/>
      <c r="DV189" s="358"/>
      <c r="DW189" s="358"/>
      <c r="DX189" s="358"/>
      <c r="DY189" s="358"/>
      <c r="DZ189" s="358"/>
      <c r="EA189" s="358"/>
      <c r="EB189" s="358"/>
      <c r="EC189" s="358"/>
      <c r="ED189" s="358"/>
      <c r="EE189" s="358"/>
      <c r="EF189" s="358"/>
      <c r="EG189" s="358"/>
      <c r="EH189" s="358"/>
      <c r="EI189" s="358"/>
      <c r="EJ189" s="358"/>
      <c r="EK189" s="358"/>
      <c r="EL189" s="358"/>
      <c r="EM189" s="358"/>
      <c r="EN189" s="358"/>
      <c r="EO189" s="358"/>
      <c r="EP189" s="358"/>
      <c r="EQ189" s="358"/>
      <c r="ER189" s="358"/>
      <c r="ES189" s="358"/>
      <c r="ET189" s="358"/>
      <c r="EU189" s="358"/>
      <c r="EV189" s="358"/>
      <c r="EW189" s="358"/>
      <c r="EX189" s="358"/>
      <c r="EY189" s="358"/>
      <c r="EZ189" s="371"/>
    </row>
    <row r="190" spans="1:156" s="251" customFormat="1" ht="12" customHeight="1" x14ac:dyDescent="0.35">
      <c r="A190" s="1053" t="s">
        <v>261</v>
      </c>
      <c r="B190" s="1054" t="b">
        <f ca="1">IF($K$177="A",C190+0.05,IF($K$177="1",C190+0.05,IF($K$177="2",C190+0.05,IF($K$177="D",C190+0.05))))</f>
        <v>0</v>
      </c>
      <c r="C190" s="1054" t="str">
        <f ca="1">IF($K$177="A",0.15,IF($K$177="1",0.2,IF($K$177="2",0.25,IF($K$177="D",0.4,IF($K$177="E",0.4,IF($K$177="F",0.55,""))))))</f>
        <v/>
      </c>
      <c r="D190" s="1055">
        <f ca="1">IF(I175&lt;&gt;"",I175,"")</f>
        <v>0.52992717068920026</v>
      </c>
      <c r="E190" s="1054" t="str">
        <f ca="1">IF($K$177="A",0.4,IF($K$177="1",0.45,IF($K$177="2",0.5,IF($K$177="D",0.7,IF($K$177="E",1,IF($K$177="F",1,""))))))</f>
        <v/>
      </c>
      <c r="F190" s="1056" t="b">
        <f ca="1">IF($K$177="A",E190-0.05,IF($K$177="1",E190-0.05,IF($K$177="2",E190-0.05,IF($K$177="D",E190-0.05))))</f>
        <v>0</v>
      </c>
      <c r="G190" s="1578"/>
      <c r="H190" s="1579"/>
      <c r="I190" s="1579"/>
      <c r="J190" s="1579"/>
      <c r="K190" s="1579"/>
      <c r="L190" s="1580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421"/>
      <c r="AL190" s="358"/>
      <c r="AM190" s="805">
        <v>0</v>
      </c>
      <c r="AN190" s="432" t="s">
        <v>262</v>
      </c>
      <c r="AO190" s="432">
        <v>4.76</v>
      </c>
      <c r="AP190" s="432">
        <v>4.76</v>
      </c>
      <c r="AQ190" s="432">
        <v>4.76</v>
      </c>
      <c r="AR190" s="1218"/>
      <c r="AS190" s="368">
        <v>7.3999999999999996E-2</v>
      </c>
      <c r="AT190" s="433" t="b">
        <f t="shared" ca="1" si="80"/>
        <v>0</v>
      </c>
      <c r="AU190" s="433" t="str">
        <f t="shared" ca="1" si="80"/>
        <v/>
      </c>
      <c r="AV190" s="433" t="str">
        <f t="shared" ca="1" si="81"/>
        <v/>
      </c>
      <c r="AW190" s="433" t="b">
        <f t="shared" ca="1" si="81"/>
        <v>0</v>
      </c>
      <c r="AX190" s="358"/>
      <c r="AY190" s="358"/>
      <c r="AZ190" s="358"/>
      <c r="BA190" s="358"/>
      <c r="BB190" s="358"/>
      <c r="BC190" s="358"/>
      <c r="BD190" s="358"/>
      <c r="BE190" s="358"/>
      <c r="BF190" s="358"/>
      <c r="BG190" s="358"/>
      <c r="BH190" s="358"/>
      <c r="BI190" s="358"/>
      <c r="BJ190" s="358"/>
      <c r="BK190" s="358"/>
      <c r="BL190" s="358"/>
      <c r="BM190" s="358"/>
      <c r="BN190" s="358"/>
      <c r="BO190" s="358"/>
      <c r="BP190" s="358"/>
      <c r="BQ190" s="358"/>
      <c r="BR190" s="358"/>
      <c r="BS190" s="358"/>
      <c r="BT190" s="358"/>
      <c r="BU190" s="358"/>
      <c r="BV190" s="358"/>
      <c r="BW190" s="358"/>
      <c r="BX190" s="358"/>
      <c r="BY190" s="358"/>
      <c r="BZ190" s="358"/>
      <c r="CA190" s="358"/>
      <c r="CB190" s="358"/>
      <c r="CC190" s="358"/>
      <c r="CD190" s="358"/>
      <c r="CE190" s="358"/>
      <c r="CF190" s="358"/>
      <c r="CG190" s="358"/>
      <c r="CH190" s="358"/>
      <c r="CI190" s="358"/>
      <c r="CJ190" s="358"/>
      <c r="CK190" s="358"/>
      <c r="CL190" s="358"/>
      <c r="CM190" s="358"/>
      <c r="CN190" s="358"/>
      <c r="CO190" s="358"/>
      <c r="CP190" s="358"/>
      <c r="CQ190" s="358"/>
      <c r="CR190" s="358"/>
      <c r="CS190" s="358"/>
      <c r="CT190" s="358"/>
      <c r="CU190" s="358"/>
      <c r="CV190" s="358"/>
      <c r="CW190" s="358"/>
      <c r="CX190" s="358"/>
      <c r="CY190" s="358"/>
      <c r="CZ190" s="358"/>
      <c r="DA190" s="358"/>
      <c r="DB190" s="358"/>
      <c r="DC190" s="358"/>
      <c r="DD190" s="358"/>
      <c r="DE190" s="358"/>
      <c r="DF190" s="358"/>
      <c r="DG190" s="358"/>
      <c r="DH190" s="358"/>
      <c r="DI190" s="358"/>
      <c r="DJ190" s="358"/>
      <c r="DK190" s="358"/>
      <c r="DL190" s="358"/>
      <c r="DM190" s="358"/>
      <c r="DN190" s="358"/>
      <c r="DO190" s="358"/>
      <c r="DP190" s="358"/>
      <c r="DQ190" s="358"/>
      <c r="DR190" s="358"/>
      <c r="DS190" s="358"/>
      <c r="DT190" s="358"/>
      <c r="DU190" s="358"/>
      <c r="DV190" s="358"/>
      <c r="DW190" s="358"/>
      <c r="DX190" s="358"/>
      <c r="DY190" s="358"/>
      <c r="DZ190" s="358"/>
      <c r="EA190" s="358"/>
      <c r="EB190" s="358"/>
      <c r="EC190" s="358"/>
      <c r="ED190" s="358"/>
      <c r="EE190" s="358"/>
      <c r="EF190" s="358"/>
      <c r="EG190" s="358"/>
      <c r="EH190" s="358"/>
      <c r="EI190" s="358"/>
      <c r="EJ190" s="358"/>
      <c r="EK190" s="358"/>
      <c r="EL190" s="358"/>
      <c r="EM190" s="358"/>
      <c r="EN190" s="358"/>
      <c r="EO190" s="358"/>
      <c r="EP190" s="358"/>
      <c r="EQ190" s="358"/>
      <c r="ER190" s="358"/>
      <c r="ES190" s="358"/>
      <c r="ET190" s="358"/>
      <c r="EU190" s="358"/>
      <c r="EV190" s="358"/>
      <c r="EW190" s="358"/>
      <c r="EX190" s="358"/>
      <c r="EY190" s="358"/>
      <c r="EZ190" s="371"/>
    </row>
    <row r="191" spans="1:156" s="251" customFormat="1" ht="12" customHeight="1" x14ac:dyDescent="0.35">
      <c r="A191" s="1053" t="s">
        <v>263</v>
      </c>
      <c r="B191" s="1057" t="b">
        <f ca="1">IF($K$177="A",C191+0.02,IF($K$177="1",C191+0.02,IF($K$177="2",C191+0.02,IF($K$177="D",C191+0.02))))</f>
        <v>0</v>
      </c>
      <c r="C191" s="1054" t="str">
        <f ca="1">IF($K$177="A",0.08,IF($K$177="1",0.15,IF($K$177="2",0.15,IF($K$177="D",0.25,IF($K$177="E",0.2,IF($K$177="F",0.3,""))))))</f>
        <v/>
      </c>
      <c r="D191" s="1055">
        <f ca="1">IF(J180&lt;&gt;"",J180,"")</f>
        <v>0.41712020886931384</v>
      </c>
      <c r="E191" s="1054" t="str">
        <f ca="1">IF($K$177="A",0.2,IF($K$177="1",0.3,IF($K$177="2",0.3,IF($K$177="D",0.45,IF($K$177="E",0.5,IF($K$177="F",0.7,""))))))</f>
        <v/>
      </c>
      <c r="F191" s="1058" t="b">
        <f ca="1">IF($K$177="A",E191-0.02,IF($K$177="1",E191-0.02,IF($K$177="2",E191-0.02,IF($K$177="D",E191-0.02))))</f>
        <v>0</v>
      </c>
      <c r="G191" s="1578"/>
      <c r="H191" s="1579"/>
      <c r="I191" s="1579"/>
      <c r="J191" s="1579"/>
      <c r="K191" s="1579"/>
      <c r="L191" s="1580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421"/>
      <c r="AL191" s="358"/>
      <c r="AM191" s="805">
        <v>0.5</v>
      </c>
      <c r="AN191" s="432" t="s">
        <v>264</v>
      </c>
      <c r="AO191" s="432">
        <v>2</v>
      </c>
      <c r="AP191" s="432">
        <v>2</v>
      </c>
      <c r="AQ191" s="432">
        <v>2</v>
      </c>
      <c r="AR191" s="1218"/>
      <c r="AS191" s="358"/>
      <c r="AT191" s="358"/>
      <c r="AU191" s="358"/>
      <c r="AV191" s="358"/>
      <c r="AW191" s="358"/>
      <c r="AX191" s="358"/>
      <c r="AY191" s="358"/>
      <c r="AZ191" s="358"/>
      <c r="BA191" s="358"/>
      <c r="BB191" s="358"/>
      <c r="BC191" s="358"/>
      <c r="BD191" s="358"/>
      <c r="BE191" s="358"/>
      <c r="BF191" s="358"/>
      <c r="BG191" s="358"/>
      <c r="BH191" s="358"/>
      <c r="BI191" s="358"/>
      <c r="BJ191" s="358"/>
      <c r="BK191" s="358"/>
      <c r="BL191" s="358"/>
      <c r="BM191" s="358"/>
      <c r="BN191" s="358"/>
      <c r="BO191" s="358"/>
      <c r="BP191" s="358"/>
      <c r="BQ191" s="358"/>
      <c r="BR191" s="358"/>
      <c r="BS191" s="358"/>
      <c r="BT191" s="358"/>
      <c r="BU191" s="358"/>
      <c r="BV191" s="358"/>
      <c r="BW191" s="358"/>
      <c r="BX191" s="358"/>
      <c r="BY191" s="358"/>
      <c r="BZ191" s="358"/>
      <c r="CA191" s="358"/>
      <c r="CB191" s="358"/>
      <c r="CC191" s="358"/>
      <c r="CD191" s="358"/>
      <c r="CE191" s="358"/>
      <c r="CF191" s="358"/>
      <c r="CG191" s="358"/>
      <c r="CH191" s="358"/>
      <c r="CI191" s="358"/>
      <c r="CJ191" s="358"/>
      <c r="CK191" s="358"/>
      <c r="CL191" s="358"/>
      <c r="CM191" s="358"/>
      <c r="CN191" s="358"/>
      <c r="CO191" s="358"/>
      <c r="CP191" s="358"/>
      <c r="CQ191" s="358"/>
      <c r="CR191" s="358"/>
      <c r="CS191" s="358"/>
      <c r="CT191" s="358"/>
      <c r="CU191" s="358"/>
      <c r="CV191" s="358"/>
      <c r="CW191" s="358"/>
      <c r="CX191" s="358"/>
      <c r="CY191" s="358"/>
      <c r="CZ191" s="358"/>
      <c r="DA191" s="358"/>
      <c r="DB191" s="358"/>
      <c r="DC191" s="358"/>
      <c r="DD191" s="358"/>
      <c r="DE191" s="358"/>
      <c r="DF191" s="358"/>
      <c r="DG191" s="358"/>
      <c r="DH191" s="358"/>
      <c r="DI191" s="358"/>
      <c r="DJ191" s="358"/>
      <c r="DK191" s="358"/>
      <c r="DL191" s="358"/>
      <c r="DM191" s="358"/>
      <c r="DN191" s="358"/>
      <c r="DO191" s="358"/>
      <c r="DP191" s="358"/>
      <c r="DQ191" s="358"/>
      <c r="DR191" s="358"/>
      <c r="DS191" s="358"/>
      <c r="DT191" s="358"/>
      <c r="DU191" s="358"/>
      <c r="DV191" s="358"/>
      <c r="DW191" s="358"/>
      <c r="DX191" s="358"/>
      <c r="DY191" s="358"/>
      <c r="DZ191" s="358"/>
      <c r="EA191" s="358"/>
      <c r="EB191" s="358"/>
      <c r="EC191" s="358"/>
      <c r="ED191" s="358"/>
      <c r="EE191" s="358"/>
      <c r="EF191" s="358"/>
      <c r="EG191" s="358"/>
      <c r="EH191" s="358"/>
      <c r="EI191" s="358"/>
      <c r="EJ191" s="358"/>
      <c r="EK191" s="358"/>
      <c r="EL191" s="358"/>
      <c r="EM191" s="358"/>
      <c r="EN191" s="358"/>
      <c r="EO191" s="358"/>
      <c r="EP191" s="358"/>
      <c r="EQ191" s="358"/>
      <c r="ER191" s="358"/>
      <c r="ES191" s="358"/>
      <c r="ET191" s="358"/>
      <c r="EU191" s="358"/>
      <c r="EV191" s="358"/>
      <c r="EW191" s="358"/>
      <c r="EX191" s="358"/>
      <c r="EY191" s="358"/>
      <c r="EZ191" s="371"/>
    </row>
    <row r="192" spans="1:156" s="251" customFormat="1" ht="12" customHeight="1" x14ac:dyDescent="0.35">
      <c r="A192" s="1059" t="s">
        <v>265</v>
      </c>
      <c r="B192" s="1057" t="b">
        <f ca="1">IF($K$177="A",C192+0.02,IF($K$177="1",C192+0.02,IF($K$177="2",C192+0.02,IF($K$177="D",C192+0.02))))</f>
        <v>0</v>
      </c>
      <c r="C192" s="1057" t="str">
        <f ca="1">IF($K$177="A",0.02,IF($K$177="1",0.05,IF($K$177="2",0.05,IF($K$177="D",0.1,IF($K$177="E",0.06,IF($K$177="F",0.08,""))))))</f>
        <v/>
      </c>
      <c r="D192" s="1060">
        <f ca="1">IF(J182&lt;&gt;"",J182,"")</f>
        <v>0.22913159716640938</v>
      </c>
      <c r="E192" s="1057" t="str">
        <f ca="1">IF($K$177="A",0.08,IF($K$177="1",0.15,IF($K$177="2",0.15,IF($K$177="D",0.25,IF($K$177="E",0.2,IF($K$177="F",0.25,""))))))</f>
        <v/>
      </c>
      <c r="F192" s="1058" t="b">
        <f ca="1">IF($K$177="A",E192-0.02,IF($K$177="1",E192-0.02,IF($K$177="2",E192-0.02,IF($K$177="D",E192-0.02))))</f>
        <v>0</v>
      </c>
      <c r="G192" s="1578"/>
      <c r="H192" s="1579"/>
      <c r="I192" s="1579"/>
      <c r="J192" s="1579"/>
      <c r="K192" s="1579"/>
      <c r="L192" s="1580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421"/>
      <c r="AL192" s="358"/>
      <c r="AM192" s="805">
        <v>1</v>
      </c>
      <c r="AN192" s="432" t="s">
        <v>266</v>
      </c>
      <c r="AO192" s="432">
        <v>1.19</v>
      </c>
      <c r="AP192" s="432">
        <v>1.19</v>
      </c>
      <c r="AQ192" s="432">
        <v>1.19</v>
      </c>
      <c r="AR192" s="1218"/>
      <c r="AS192" s="358"/>
      <c r="AT192" s="358"/>
      <c r="AU192" s="358"/>
      <c r="AV192" s="358"/>
      <c r="AW192" s="358"/>
      <c r="AX192" s="358"/>
      <c r="AY192" s="358"/>
      <c r="AZ192" s="358"/>
      <c r="BA192" s="358"/>
      <c r="BB192" s="358"/>
      <c r="BC192" s="358"/>
      <c r="BD192" s="358"/>
      <c r="BE192" s="358"/>
      <c r="BF192" s="358"/>
      <c r="BG192" s="358"/>
      <c r="BH192" s="358"/>
      <c r="BI192" s="358"/>
      <c r="BJ192" s="358"/>
      <c r="BK192" s="358"/>
      <c r="BL192" s="358"/>
      <c r="BM192" s="358"/>
      <c r="BN192" s="358"/>
      <c r="BO192" s="358"/>
      <c r="BP192" s="358"/>
      <c r="BQ192" s="358"/>
      <c r="BR192" s="358"/>
      <c r="BS192" s="358"/>
      <c r="BT192" s="358"/>
      <c r="BU192" s="358"/>
      <c r="BV192" s="358"/>
      <c r="BW192" s="358"/>
      <c r="BX192" s="358"/>
      <c r="BY192" s="358"/>
      <c r="BZ192" s="358"/>
      <c r="CA192" s="358"/>
      <c r="CB192" s="358"/>
      <c r="CC192" s="358"/>
      <c r="CD192" s="358"/>
      <c r="CE192" s="358"/>
      <c r="CF192" s="358"/>
      <c r="CG192" s="358"/>
      <c r="CH192" s="358"/>
      <c r="CI192" s="358"/>
      <c r="CJ192" s="358"/>
      <c r="CK192" s="358"/>
      <c r="CL192" s="358"/>
      <c r="CM192" s="358"/>
      <c r="CN192" s="358"/>
      <c r="CO192" s="358"/>
      <c r="CP192" s="358"/>
      <c r="CQ192" s="358"/>
      <c r="CR192" s="358"/>
      <c r="CS192" s="358"/>
      <c r="CT192" s="358"/>
      <c r="CU192" s="358"/>
      <c r="CV192" s="358"/>
      <c r="CW192" s="358"/>
      <c r="CX192" s="358"/>
      <c r="CY192" s="358"/>
      <c r="CZ192" s="358"/>
      <c r="DA192" s="358"/>
      <c r="DB192" s="358"/>
      <c r="DC192" s="358"/>
      <c r="DD192" s="358"/>
      <c r="DE192" s="358"/>
      <c r="DF192" s="358"/>
      <c r="DG192" s="358"/>
      <c r="DH192" s="358"/>
      <c r="DI192" s="358"/>
      <c r="DJ192" s="358"/>
      <c r="DK192" s="358"/>
      <c r="DL192" s="358"/>
      <c r="DM192" s="358"/>
      <c r="DN192" s="358"/>
      <c r="DO192" s="358"/>
      <c r="DP192" s="358"/>
      <c r="DQ192" s="358"/>
      <c r="DR192" s="358"/>
      <c r="DS192" s="358"/>
      <c r="DT192" s="358"/>
      <c r="DU192" s="358"/>
      <c r="DV192" s="358"/>
      <c r="DW192" s="358"/>
      <c r="DX192" s="358"/>
      <c r="DY192" s="358"/>
      <c r="DZ192" s="358"/>
      <c r="EA192" s="358"/>
      <c r="EB192" s="358"/>
      <c r="EC192" s="358"/>
      <c r="ED192" s="358"/>
      <c r="EE192" s="358"/>
      <c r="EF192" s="358"/>
      <c r="EG192" s="358"/>
      <c r="EH192" s="358"/>
      <c r="EI192" s="358"/>
      <c r="EJ192" s="358"/>
      <c r="EK192" s="358"/>
      <c r="EL192" s="358"/>
      <c r="EM192" s="358"/>
      <c r="EN192" s="358"/>
      <c r="EO192" s="358"/>
      <c r="EP192" s="358"/>
      <c r="EQ192" s="358"/>
      <c r="ER192" s="358"/>
      <c r="ES192" s="358"/>
      <c r="ET192" s="358"/>
      <c r="EU192" s="358"/>
      <c r="EV192" s="358"/>
      <c r="EW192" s="358"/>
      <c r="EX192" s="358"/>
      <c r="EY192" s="358"/>
      <c r="EZ192" s="371"/>
    </row>
    <row r="193" spans="1:156" s="251" customFormat="1" ht="12" customHeight="1" x14ac:dyDescent="0.35">
      <c r="A193" s="1061" t="s">
        <v>267</v>
      </c>
      <c r="B193" s="1062"/>
      <c r="C193" s="1062"/>
      <c r="D193" s="1062"/>
      <c r="E193" s="1062"/>
      <c r="F193" s="1063"/>
      <c r="G193" s="1578"/>
      <c r="H193" s="1579"/>
      <c r="I193" s="1579"/>
      <c r="J193" s="1579"/>
      <c r="K193" s="1579"/>
      <c r="L193" s="1580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421"/>
      <c r="AL193" s="358"/>
      <c r="AM193" s="805">
        <v>0.5</v>
      </c>
      <c r="AN193" s="432" t="s">
        <v>268</v>
      </c>
      <c r="AO193" s="432">
        <v>0.42</v>
      </c>
      <c r="AP193" s="432">
        <v>0.42</v>
      </c>
      <c r="AQ193" s="432">
        <v>0.42</v>
      </c>
      <c r="AR193" s="1218"/>
      <c r="AS193" s="358"/>
      <c r="AT193" s="358"/>
      <c r="AU193" s="358"/>
      <c r="AV193" s="358"/>
      <c r="AW193" s="358"/>
      <c r="AX193" s="358"/>
      <c r="AY193" s="358"/>
      <c r="AZ193" s="358"/>
      <c r="BA193" s="358"/>
      <c r="BB193" s="358"/>
      <c r="BC193" s="358"/>
      <c r="BD193" s="358"/>
      <c r="BE193" s="358"/>
      <c r="BF193" s="358"/>
      <c r="BG193" s="358"/>
      <c r="BH193" s="358"/>
      <c r="BI193" s="358"/>
      <c r="BJ193" s="358"/>
      <c r="BK193" s="358"/>
      <c r="BL193" s="358"/>
      <c r="BM193" s="358"/>
      <c r="BN193" s="358"/>
      <c r="BO193" s="358"/>
      <c r="BP193" s="358"/>
      <c r="BQ193" s="358"/>
      <c r="BR193" s="358"/>
      <c r="BS193" s="358"/>
      <c r="BT193" s="358"/>
      <c r="BU193" s="358"/>
      <c r="BV193" s="358"/>
      <c r="BW193" s="358"/>
      <c r="BX193" s="358"/>
      <c r="BY193" s="358"/>
      <c r="BZ193" s="358"/>
      <c r="CA193" s="358"/>
      <c r="CB193" s="358"/>
      <c r="CC193" s="358"/>
      <c r="CD193" s="358"/>
      <c r="CE193" s="358"/>
      <c r="CF193" s="358"/>
      <c r="CG193" s="358"/>
      <c r="CH193" s="358"/>
      <c r="CI193" s="358"/>
      <c r="CJ193" s="358"/>
      <c r="CK193" s="358"/>
      <c r="CL193" s="358"/>
      <c r="CM193" s="358"/>
      <c r="CN193" s="358"/>
      <c r="CO193" s="358"/>
      <c r="CP193" s="358"/>
      <c r="CQ193" s="358"/>
      <c r="CR193" s="358"/>
      <c r="CS193" s="358"/>
      <c r="CT193" s="358"/>
      <c r="CU193" s="358"/>
      <c r="CV193" s="358"/>
      <c r="CW193" s="358"/>
      <c r="CX193" s="358"/>
      <c r="CY193" s="358"/>
      <c r="CZ193" s="358"/>
      <c r="DA193" s="358"/>
      <c r="DB193" s="358"/>
      <c r="DC193" s="358"/>
      <c r="DD193" s="358"/>
      <c r="DE193" s="358"/>
      <c r="DF193" s="358"/>
      <c r="DG193" s="358"/>
      <c r="DH193" s="358"/>
      <c r="DI193" s="358"/>
      <c r="DJ193" s="358"/>
      <c r="DK193" s="358"/>
      <c r="DL193" s="358"/>
      <c r="DM193" s="358"/>
      <c r="DN193" s="358"/>
      <c r="DO193" s="358"/>
      <c r="DP193" s="358"/>
      <c r="DQ193" s="358"/>
      <c r="DR193" s="358"/>
      <c r="DS193" s="358"/>
      <c r="DT193" s="358"/>
      <c r="DU193" s="358"/>
      <c r="DV193" s="358"/>
      <c r="DW193" s="358"/>
      <c r="DX193" s="358"/>
      <c r="DY193" s="358"/>
      <c r="DZ193" s="358"/>
      <c r="EA193" s="358"/>
      <c r="EB193" s="358"/>
      <c r="EC193" s="358"/>
      <c r="ED193" s="358"/>
      <c r="EE193" s="358"/>
      <c r="EF193" s="358"/>
      <c r="EG193" s="358"/>
      <c r="EH193" s="358"/>
      <c r="EI193" s="358"/>
      <c r="EJ193" s="358"/>
      <c r="EK193" s="358"/>
      <c r="EL193" s="358"/>
      <c r="EM193" s="358"/>
      <c r="EN193" s="358"/>
      <c r="EO193" s="358"/>
      <c r="EP193" s="358"/>
      <c r="EQ193" s="358"/>
      <c r="ER193" s="358"/>
      <c r="ES193" s="358"/>
      <c r="ET193" s="358"/>
      <c r="EU193" s="358"/>
      <c r="EV193" s="358"/>
      <c r="EW193" s="358"/>
      <c r="EX193" s="358"/>
      <c r="EY193" s="358"/>
      <c r="EZ193" s="371"/>
    </row>
    <row r="194" spans="1:156" s="251" customFormat="1" ht="12" customHeight="1" x14ac:dyDescent="0.35">
      <c r="A194" s="1219"/>
      <c r="B194" s="1064"/>
      <c r="C194" s="1064"/>
      <c r="D194" s="1064"/>
      <c r="E194" s="1064"/>
      <c r="F194" s="1065"/>
      <c r="G194" s="1578"/>
      <c r="H194" s="1579"/>
      <c r="I194" s="1579"/>
      <c r="J194" s="1579"/>
      <c r="K194" s="1579"/>
      <c r="L194" s="1580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421"/>
      <c r="AL194" s="358"/>
      <c r="AM194" s="805">
        <v>0.5</v>
      </c>
      <c r="AN194" s="432" t="s">
        <v>269</v>
      </c>
      <c r="AO194" s="432">
        <v>0.17699999999999999</v>
      </c>
      <c r="AP194" s="432">
        <v>0.17699999999999999</v>
      </c>
      <c r="AQ194" s="432">
        <v>0.17699999999999999</v>
      </c>
      <c r="AR194" s="1218"/>
      <c r="AS194" s="358"/>
      <c r="AT194" s="358"/>
      <c r="AU194" s="358"/>
      <c r="AV194" s="358"/>
      <c r="AW194" s="358"/>
      <c r="AX194" s="358"/>
      <c r="AY194" s="358"/>
      <c r="AZ194" s="358"/>
      <c r="BA194" s="358"/>
      <c r="BB194" s="358"/>
      <c r="BC194" s="358"/>
      <c r="BD194" s="358"/>
      <c r="BE194" s="358"/>
      <c r="BF194" s="358"/>
      <c r="BG194" s="358"/>
      <c r="BH194" s="358"/>
      <c r="BI194" s="358"/>
      <c r="BJ194" s="358"/>
      <c r="BK194" s="358"/>
      <c r="BL194" s="358"/>
      <c r="BM194" s="358"/>
      <c r="BN194" s="358"/>
      <c r="BO194" s="358"/>
      <c r="BP194" s="358"/>
      <c r="BQ194" s="358"/>
      <c r="BR194" s="358"/>
      <c r="BS194" s="358"/>
      <c r="BT194" s="358"/>
      <c r="BU194" s="358"/>
      <c r="BV194" s="358"/>
      <c r="BW194" s="358"/>
      <c r="BX194" s="358"/>
      <c r="BY194" s="358"/>
      <c r="BZ194" s="358"/>
      <c r="CA194" s="358"/>
      <c r="CB194" s="358"/>
      <c r="CC194" s="358"/>
      <c r="CD194" s="358"/>
      <c r="CE194" s="358"/>
      <c r="CF194" s="358"/>
      <c r="CG194" s="358"/>
      <c r="CH194" s="358"/>
      <c r="CI194" s="358"/>
      <c r="CJ194" s="358"/>
      <c r="CK194" s="358"/>
      <c r="CL194" s="358"/>
      <c r="CM194" s="358"/>
      <c r="CN194" s="358"/>
      <c r="CO194" s="358"/>
      <c r="CP194" s="358"/>
      <c r="CQ194" s="358"/>
      <c r="CR194" s="358"/>
      <c r="CS194" s="358"/>
      <c r="CT194" s="358"/>
      <c r="CU194" s="358"/>
      <c r="CV194" s="358"/>
      <c r="CW194" s="358"/>
      <c r="CX194" s="358"/>
      <c r="CY194" s="358"/>
      <c r="CZ194" s="358"/>
      <c r="DA194" s="358"/>
      <c r="DB194" s="358"/>
      <c r="DC194" s="358"/>
      <c r="DD194" s="358"/>
      <c r="DE194" s="358"/>
      <c r="DF194" s="358"/>
      <c r="DG194" s="358"/>
      <c r="DH194" s="358"/>
      <c r="DI194" s="358"/>
      <c r="DJ194" s="358"/>
      <c r="DK194" s="358"/>
      <c r="DL194" s="358"/>
      <c r="DM194" s="358"/>
      <c r="DN194" s="358"/>
      <c r="DO194" s="358"/>
      <c r="DP194" s="358"/>
      <c r="DQ194" s="358"/>
      <c r="DR194" s="358"/>
      <c r="DS194" s="358"/>
      <c r="DT194" s="358"/>
      <c r="DU194" s="358"/>
      <c r="DV194" s="358"/>
      <c r="DW194" s="358"/>
      <c r="DX194" s="358"/>
      <c r="DY194" s="358"/>
      <c r="DZ194" s="358"/>
      <c r="EA194" s="358"/>
      <c r="EB194" s="358"/>
      <c r="EC194" s="358"/>
      <c r="ED194" s="358"/>
      <c r="EE194" s="358"/>
      <c r="EF194" s="358"/>
      <c r="EG194" s="358"/>
      <c r="EH194" s="358"/>
      <c r="EI194" s="358"/>
      <c r="EJ194" s="358"/>
      <c r="EK194" s="358"/>
      <c r="EL194" s="358"/>
      <c r="EM194" s="358"/>
      <c r="EN194" s="358"/>
      <c r="EO194" s="358"/>
      <c r="EP194" s="358"/>
      <c r="EQ194" s="358"/>
      <c r="ER194" s="358"/>
      <c r="ES194" s="358"/>
      <c r="ET194" s="358"/>
      <c r="EU194" s="358"/>
      <c r="EV194" s="358"/>
      <c r="EW194" s="358"/>
      <c r="EX194" s="358"/>
      <c r="EY194" s="358"/>
      <c r="EZ194" s="371"/>
    </row>
    <row r="195" spans="1:156" s="251" customFormat="1" ht="5.15" customHeight="1" thickBot="1" x14ac:dyDescent="0.4">
      <c r="A195" s="1066"/>
      <c r="B195" s="1067"/>
      <c r="C195" s="1067"/>
      <c r="D195" s="1067"/>
      <c r="E195" s="1067"/>
      <c r="F195" s="1068"/>
      <c r="G195" s="1578"/>
      <c r="H195" s="1579"/>
      <c r="I195" s="1579"/>
      <c r="J195" s="1579"/>
      <c r="K195" s="1579"/>
      <c r="L195" s="1580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421"/>
      <c r="AL195" s="358"/>
      <c r="AM195" s="434">
        <v>0.5</v>
      </c>
      <c r="AN195" s="435" t="s">
        <v>270</v>
      </c>
      <c r="AO195" s="435">
        <v>0.14899999999999999</v>
      </c>
      <c r="AP195" s="435">
        <v>0.14899999999999999</v>
      </c>
      <c r="AQ195" s="435">
        <v>0.14899999999999999</v>
      </c>
      <c r="AR195" s="436"/>
      <c r="AS195" s="358"/>
      <c r="AT195" s="358"/>
      <c r="AU195" s="358"/>
      <c r="AV195" s="358"/>
      <c r="AW195" s="358"/>
      <c r="AX195" s="358"/>
      <c r="AY195" s="358"/>
      <c r="AZ195" s="358"/>
      <c r="BA195" s="358"/>
      <c r="BB195" s="358"/>
      <c r="BC195" s="358"/>
      <c r="BD195" s="358"/>
      <c r="BE195" s="358"/>
      <c r="BF195" s="358"/>
      <c r="BG195" s="358"/>
      <c r="BH195" s="358"/>
      <c r="BI195" s="358"/>
      <c r="BJ195" s="358"/>
      <c r="BK195" s="358"/>
      <c r="BL195" s="358"/>
      <c r="BM195" s="358"/>
      <c r="BN195" s="358"/>
      <c r="BO195" s="358"/>
      <c r="BP195" s="358"/>
      <c r="BQ195" s="358"/>
      <c r="BR195" s="358"/>
      <c r="BS195" s="358"/>
      <c r="BT195" s="358"/>
      <c r="BU195" s="358"/>
      <c r="BV195" s="358"/>
      <c r="BW195" s="358"/>
      <c r="BX195" s="358"/>
      <c r="BY195" s="358"/>
      <c r="BZ195" s="358"/>
      <c r="CA195" s="358"/>
      <c r="CB195" s="358"/>
      <c r="CC195" s="358"/>
      <c r="CD195" s="358"/>
      <c r="CE195" s="358"/>
      <c r="CF195" s="358"/>
      <c r="CG195" s="358"/>
      <c r="CH195" s="358"/>
      <c r="CI195" s="358"/>
      <c r="CJ195" s="358"/>
      <c r="CK195" s="358"/>
      <c r="CL195" s="358"/>
      <c r="CM195" s="358"/>
      <c r="CN195" s="358"/>
      <c r="CO195" s="358"/>
      <c r="CP195" s="358"/>
      <c r="CQ195" s="358"/>
      <c r="CR195" s="358"/>
      <c r="CS195" s="358"/>
      <c r="CT195" s="358"/>
      <c r="CU195" s="358"/>
      <c r="CV195" s="358"/>
      <c r="CW195" s="358"/>
      <c r="CX195" s="358"/>
      <c r="CY195" s="358"/>
      <c r="CZ195" s="358"/>
      <c r="DA195" s="358"/>
      <c r="DB195" s="358"/>
      <c r="DC195" s="358"/>
      <c r="DD195" s="358"/>
      <c r="DE195" s="358"/>
      <c r="DF195" s="358"/>
      <c r="DG195" s="358"/>
      <c r="DH195" s="358"/>
      <c r="DI195" s="358"/>
      <c r="DJ195" s="358"/>
      <c r="DK195" s="358"/>
      <c r="DL195" s="358"/>
      <c r="DM195" s="358"/>
      <c r="DN195" s="358"/>
      <c r="DO195" s="358"/>
      <c r="DP195" s="358"/>
      <c r="DQ195" s="358"/>
      <c r="DR195" s="358"/>
      <c r="DS195" s="358"/>
      <c r="DT195" s="358"/>
      <c r="DU195" s="358"/>
      <c r="DV195" s="358"/>
      <c r="DW195" s="358"/>
      <c r="DX195" s="358"/>
      <c r="DY195" s="358"/>
      <c r="DZ195" s="358"/>
      <c r="EA195" s="358"/>
      <c r="EB195" s="358"/>
      <c r="EC195" s="358"/>
      <c r="ED195" s="358"/>
      <c r="EE195" s="358"/>
      <c r="EF195" s="358"/>
      <c r="EG195" s="358"/>
      <c r="EH195" s="358"/>
      <c r="EI195" s="358"/>
      <c r="EJ195" s="358"/>
      <c r="EK195" s="358"/>
      <c r="EL195" s="358"/>
      <c r="EM195" s="358"/>
      <c r="EN195" s="358"/>
      <c r="EO195" s="358"/>
      <c r="EP195" s="358"/>
      <c r="EQ195" s="358"/>
      <c r="ER195" s="358"/>
      <c r="ES195" s="358"/>
      <c r="ET195" s="358"/>
      <c r="EU195" s="358"/>
      <c r="EV195" s="358"/>
      <c r="EW195" s="358"/>
      <c r="EX195" s="358"/>
      <c r="EY195" s="358"/>
      <c r="EZ195" s="371"/>
    </row>
    <row r="196" spans="1:156" s="251" customFormat="1" ht="5.15" customHeight="1" thickTop="1" thickBot="1" x14ac:dyDescent="0.4">
      <c r="A196" s="1439"/>
      <c r="B196" s="1440"/>
      <c r="C196" s="1440"/>
      <c r="D196" s="1440"/>
      <c r="E196" s="1440"/>
      <c r="F196" s="1440"/>
      <c r="G196" s="1440"/>
      <c r="H196" s="1440"/>
      <c r="I196" s="1440"/>
      <c r="J196" s="1440"/>
      <c r="K196" s="1440"/>
      <c r="L196" s="1069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421"/>
      <c r="AL196" s="358"/>
      <c r="AM196" s="358"/>
      <c r="AN196" s="358"/>
      <c r="AO196" s="358"/>
      <c r="AP196" s="358"/>
      <c r="AQ196" s="358"/>
      <c r="AR196" s="358"/>
      <c r="AS196" s="358"/>
      <c r="AT196" s="358"/>
      <c r="AU196" s="358"/>
      <c r="AV196" s="358"/>
      <c r="AW196" s="358"/>
      <c r="AX196" s="358"/>
      <c r="AY196" s="358"/>
      <c r="AZ196" s="358"/>
      <c r="BA196" s="358"/>
      <c r="BB196" s="358"/>
      <c r="BC196" s="358"/>
      <c r="BD196" s="358"/>
      <c r="BE196" s="358"/>
      <c r="BF196" s="358"/>
      <c r="BG196" s="358"/>
      <c r="BH196" s="358"/>
      <c r="BI196" s="358"/>
      <c r="BJ196" s="358"/>
      <c r="BK196" s="358"/>
      <c r="BL196" s="358"/>
      <c r="BM196" s="358"/>
      <c r="BN196" s="358"/>
      <c r="BO196" s="358"/>
      <c r="BP196" s="358"/>
      <c r="BQ196" s="358"/>
      <c r="BR196" s="358"/>
      <c r="BS196" s="358"/>
      <c r="BT196" s="358"/>
      <c r="BU196" s="358"/>
      <c r="BV196" s="358"/>
      <c r="BW196" s="358"/>
      <c r="BX196" s="358"/>
      <c r="BY196" s="358"/>
      <c r="BZ196" s="358"/>
      <c r="CA196" s="358"/>
      <c r="CB196" s="358"/>
      <c r="CC196" s="358"/>
      <c r="CD196" s="358"/>
      <c r="CE196" s="358"/>
      <c r="CF196" s="358"/>
      <c r="CG196" s="358"/>
      <c r="CH196" s="358"/>
      <c r="CI196" s="358"/>
      <c r="CJ196" s="358"/>
      <c r="CK196" s="358"/>
      <c r="CL196" s="358"/>
      <c r="CM196" s="358"/>
      <c r="CN196" s="358"/>
      <c r="CO196" s="358"/>
      <c r="CP196" s="358"/>
      <c r="CQ196" s="358"/>
      <c r="CR196" s="358"/>
      <c r="CS196" s="358"/>
      <c r="CT196" s="358"/>
      <c r="CU196" s="358"/>
      <c r="CV196" s="358"/>
      <c r="CW196" s="358"/>
      <c r="CX196" s="358"/>
      <c r="CY196" s="358"/>
      <c r="CZ196" s="358"/>
      <c r="DA196" s="358"/>
      <c r="DB196" s="358"/>
      <c r="DC196" s="358"/>
      <c r="DD196" s="358"/>
      <c r="DE196" s="358"/>
      <c r="DF196" s="358"/>
      <c r="DG196" s="358"/>
      <c r="DH196" s="358"/>
      <c r="DI196" s="358"/>
      <c r="DJ196" s="358"/>
      <c r="DK196" s="358"/>
      <c r="DL196" s="358"/>
      <c r="DM196" s="358"/>
      <c r="DN196" s="358"/>
      <c r="DO196" s="358"/>
      <c r="DP196" s="358"/>
      <c r="DQ196" s="358"/>
      <c r="DR196" s="358"/>
      <c r="DS196" s="358"/>
      <c r="DT196" s="358"/>
      <c r="DU196" s="358"/>
      <c r="DV196" s="358"/>
      <c r="DW196" s="358"/>
      <c r="DX196" s="358"/>
      <c r="DY196" s="358"/>
      <c r="DZ196" s="358"/>
      <c r="EA196" s="358"/>
      <c r="EB196" s="358"/>
      <c r="EC196" s="358"/>
      <c r="ED196" s="358"/>
      <c r="EE196" s="358"/>
      <c r="EF196" s="358"/>
      <c r="EG196" s="358"/>
      <c r="EH196" s="358"/>
      <c r="EI196" s="358"/>
      <c r="EJ196" s="358"/>
      <c r="EK196" s="358"/>
      <c r="EL196" s="358"/>
      <c r="EM196" s="358"/>
      <c r="EN196" s="358"/>
      <c r="EO196" s="358"/>
      <c r="EP196" s="358"/>
      <c r="EQ196" s="358"/>
      <c r="ER196" s="358"/>
      <c r="ES196" s="358"/>
      <c r="ET196" s="358"/>
      <c r="EU196" s="358"/>
      <c r="EV196" s="358"/>
      <c r="EW196" s="358"/>
      <c r="EX196" s="358"/>
      <c r="EY196" s="358"/>
      <c r="EZ196" s="371"/>
    </row>
    <row r="197" spans="1:156" s="251" customFormat="1" ht="14.15" customHeight="1" thickTop="1" x14ac:dyDescent="0.35">
      <c r="A197" s="1441" t="s">
        <v>271</v>
      </c>
      <c r="B197" s="1442"/>
      <c r="C197" s="1442"/>
      <c r="D197" s="1442"/>
      <c r="E197" s="1442"/>
      <c r="F197" s="1442"/>
      <c r="G197" s="1442"/>
      <c r="H197" s="1442"/>
      <c r="I197" s="1442"/>
      <c r="J197" s="1443"/>
      <c r="K197" s="1070" t="s">
        <v>57</v>
      </c>
      <c r="L197" s="1071"/>
      <c r="M197" s="16"/>
      <c r="N197" s="1559"/>
      <c r="O197" s="1559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421">
        <f>AK7+1</f>
        <v>5</v>
      </c>
      <c r="AL197" s="358"/>
      <c r="AM197" s="358"/>
      <c r="AN197" s="358"/>
      <c r="AO197" s="358"/>
      <c r="AP197" s="358"/>
      <c r="AQ197" s="358"/>
      <c r="AR197" s="358"/>
      <c r="AS197" s="358"/>
      <c r="AT197" s="358"/>
      <c r="AU197" s="358"/>
      <c r="AV197" s="358"/>
      <c r="AW197" s="358"/>
      <c r="AX197" s="358"/>
      <c r="AY197" s="358"/>
      <c r="AZ197" s="358"/>
      <c r="BA197" s="358"/>
      <c r="BB197" s="358"/>
      <c r="BC197" s="358"/>
      <c r="BD197" s="358"/>
      <c r="BE197" s="358"/>
      <c r="BF197" s="358"/>
      <c r="BG197" s="358"/>
      <c r="BH197" s="358"/>
      <c r="BI197" s="358"/>
      <c r="BJ197" s="358"/>
      <c r="BK197" s="358"/>
      <c r="BL197" s="358"/>
      <c r="BM197" s="358"/>
      <c r="BN197" s="358"/>
      <c r="BO197" s="358"/>
      <c r="BP197" s="358"/>
      <c r="BQ197" s="358"/>
      <c r="BR197" s="358"/>
      <c r="BS197" s="358"/>
      <c r="BT197" s="358"/>
      <c r="BU197" s="358"/>
      <c r="BV197" s="358"/>
      <c r="BW197" s="358"/>
      <c r="BX197" s="358"/>
      <c r="BY197" s="358"/>
      <c r="BZ197" s="358"/>
      <c r="CA197" s="358"/>
      <c r="CB197" s="358"/>
      <c r="CC197" s="358"/>
      <c r="CD197" s="358"/>
      <c r="CE197" s="358"/>
      <c r="CF197" s="358"/>
      <c r="CG197" s="358"/>
      <c r="CH197" s="358"/>
      <c r="CI197" s="358"/>
      <c r="CJ197" s="358"/>
      <c r="CK197" s="358"/>
      <c r="CL197" s="358"/>
      <c r="CM197" s="358"/>
      <c r="CN197" s="358"/>
      <c r="CO197" s="358"/>
      <c r="CP197" s="358"/>
      <c r="CQ197" s="358"/>
      <c r="CR197" s="358"/>
      <c r="CS197" s="358"/>
      <c r="CT197" s="358"/>
      <c r="CU197" s="358"/>
      <c r="CV197" s="358"/>
      <c r="CW197" s="358"/>
      <c r="CX197" s="358"/>
      <c r="CY197" s="358"/>
      <c r="CZ197" s="358"/>
      <c r="DA197" s="358"/>
      <c r="DB197" s="358"/>
      <c r="DC197" s="358"/>
      <c r="DD197" s="358"/>
      <c r="DE197" s="358"/>
      <c r="DF197" s="358"/>
      <c r="DG197" s="358"/>
      <c r="DH197" s="358"/>
      <c r="DI197" s="358"/>
      <c r="DJ197" s="358"/>
      <c r="DK197" s="358"/>
      <c r="DL197" s="358"/>
      <c r="DM197" s="358"/>
      <c r="DN197" s="358"/>
      <c r="DO197" s="358"/>
      <c r="DP197" s="358"/>
      <c r="DQ197" s="358"/>
      <c r="DR197" s="358"/>
      <c r="DS197" s="358"/>
      <c r="DT197" s="358"/>
      <c r="DU197" s="358"/>
      <c r="DV197" s="358"/>
      <c r="DW197" s="358"/>
      <c r="DX197" s="358"/>
      <c r="DY197" s="358"/>
      <c r="DZ197" s="358"/>
      <c r="EA197" s="358"/>
      <c r="EB197" s="358"/>
      <c r="EC197" s="358"/>
      <c r="ED197" s="358"/>
      <c r="EE197" s="358"/>
      <c r="EF197" s="358"/>
      <c r="EG197" s="358"/>
      <c r="EH197" s="358"/>
      <c r="EI197" s="358"/>
      <c r="EJ197" s="358"/>
      <c r="EK197" s="358"/>
      <c r="EL197" s="358"/>
      <c r="EM197" s="358"/>
      <c r="EN197" s="358"/>
      <c r="EO197" s="358"/>
      <c r="EP197" s="358"/>
      <c r="EQ197" s="358"/>
      <c r="ER197" s="358"/>
      <c r="ES197" s="358"/>
      <c r="ET197" s="358"/>
      <c r="EU197" s="358"/>
      <c r="EV197" s="358"/>
      <c r="EW197" s="358"/>
      <c r="EX197" s="358"/>
      <c r="EY197" s="358"/>
      <c r="EZ197" s="371"/>
    </row>
    <row r="198" spans="1:156" s="251" customFormat="1" ht="12" customHeight="1" x14ac:dyDescent="0.25">
      <c r="A198" s="1217"/>
      <c r="B198" s="1072"/>
      <c r="C198" s="1560" t="s">
        <v>272</v>
      </c>
      <c r="D198" s="1561"/>
      <c r="E198" s="1561"/>
      <c r="F198" s="1561"/>
      <c r="G198" s="1562"/>
      <c r="H198" s="1563" t="s">
        <v>273</v>
      </c>
      <c r="I198" s="1561"/>
      <c r="J198" s="1561"/>
      <c r="K198" s="1561"/>
      <c r="L198" s="1562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421"/>
      <c r="AL198" s="358"/>
      <c r="AM198" s="437"/>
      <c r="AN198" s="438"/>
      <c r="AO198" s="438"/>
      <c r="AP198" s="438"/>
      <c r="AQ198" s="439"/>
      <c r="AR198" s="440" t="str">
        <f>IF(ISNUMBER(#REF!),#REF!-#REF!,"")</f>
        <v/>
      </c>
      <c r="AS198" s="441" t="str">
        <f>IF(ISNUMBER(#REF!),#REF!-#REF!,"")</f>
        <v/>
      </c>
      <c r="AT198" s="441" t="str">
        <f>IF(ISNUMBER(#REF!),#REF!-#REF!,"")</f>
        <v/>
      </c>
      <c r="AU198" s="441" t="str">
        <f>IF(ISNUMBER(#REF!),#REF!-#REF!,"")</f>
        <v/>
      </c>
      <c r="AV198" s="441" t="str">
        <f>IF(ISNUMBER(#REF!),#REF!-#REF!,"")</f>
        <v/>
      </c>
      <c r="AW198" s="1564">
        <f ca="1">IF(AT203="NP",0,AT203)*100</f>
        <v>0</v>
      </c>
      <c r="AX198" s="442"/>
      <c r="AY198" s="443"/>
      <c r="AZ198" s="440">
        <v>25</v>
      </c>
      <c r="BA198" s="441">
        <v>0</v>
      </c>
      <c r="BB198" s="444"/>
      <c r="BC198" s="445"/>
      <c r="BD198" s="446" t="s">
        <v>29</v>
      </c>
      <c r="BE198" s="446" t="s">
        <v>30</v>
      </c>
      <c r="BF198" s="446" t="s">
        <v>31</v>
      </c>
      <c r="BG198" s="446" t="s">
        <v>32</v>
      </c>
      <c r="BH198" s="446" t="s">
        <v>33</v>
      </c>
      <c r="BI198" s="446">
        <v>4</v>
      </c>
      <c r="BJ198" s="446">
        <v>10</v>
      </c>
      <c r="BK198" s="446">
        <v>40</v>
      </c>
      <c r="BL198" s="447">
        <v>200</v>
      </c>
      <c r="BM198" s="448"/>
      <c r="BN198" s="449"/>
      <c r="BO198" s="449"/>
      <c r="BP198" s="449"/>
      <c r="BQ198" s="450"/>
      <c r="BR198" s="448"/>
      <c r="BS198" s="449"/>
      <c r="BT198" s="449"/>
      <c r="BU198" s="449"/>
      <c r="BV198" s="449"/>
      <c r="BW198" s="449"/>
      <c r="BX198" s="449"/>
      <c r="BY198" s="449"/>
      <c r="BZ198" s="449"/>
      <c r="CA198" s="449"/>
      <c r="CB198" s="449"/>
      <c r="CC198" s="449"/>
      <c r="CD198" s="450"/>
      <c r="CE198" s="358"/>
      <c r="CF198" s="358"/>
      <c r="CG198" s="358"/>
      <c r="CH198" s="358"/>
      <c r="CI198" s="358"/>
      <c r="CJ198" s="358"/>
      <c r="CK198" s="358"/>
      <c r="CL198" s="358"/>
      <c r="CM198" s="358"/>
      <c r="CN198" s="358"/>
      <c r="CO198" s="358"/>
      <c r="CP198" s="358"/>
      <c r="CQ198" s="358"/>
      <c r="CR198" s="358"/>
      <c r="CS198" s="358"/>
      <c r="CT198" s="358"/>
      <c r="CU198" s="358"/>
      <c r="CV198" s="358"/>
      <c r="CW198" s="358"/>
      <c r="CX198" s="358"/>
      <c r="CY198" s="358"/>
      <c r="CZ198" s="358"/>
      <c r="DA198" s="358"/>
      <c r="DB198" s="358"/>
      <c r="DC198" s="358"/>
      <c r="DD198" s="358"/>
      <c r="DE198" s="358"/>
      <c r="DF198" s="358"/>
      <c r="DG198" s="358"/>
      <c r="DH198" s="358"/>
      <c r="DI198" s="358"/>
      <c r="DJ198" s="358"/>
      <c r="DK198" s="358"/>
      <c r="DL198" s="358"/>
      <c r="DM198" s="358"/>
      <c r="DN198" s="358"/>
      <c r="DO198" s="358"/>
      <c r="DP198" s="358"/>
      <c r="DQ198" s="358"/>
      <c r="DR198" s="358"/>
      <c r="DS198" s="358"/>
      <c r="DT198" s="358"/>
      <c r="DU198" s="358"/>
      <c r="DV198" s="358"/>
      <c r="DW198" s="358"/>
      <c r="DX198" s="358"/>
      <c r="DY198" s="358"/>
      <c r="DZ198" s="358"/>
      <c r="EA198" s="358"/>
      <c r="EB198" s="358"/>
      <c r="EC198" s="358"/>
      <c r="ED198" s="358"/>
      <c r="EE198" s="358"/>
      <c r="EF198" s="358"/>
      <c r="EG198" s="358"/>
      <c r="EH198" s="358"/>
      <c r="EI198" s="358"/>
      <c r="EJ198" s="358"/>
      <c r="EK198" s="358"/>
      <c r="EL198" s="358"/>
      <c r="EM198" s="358"/>
      <c r="EN198" s="358"/>
      <c r="EO198" s="358"/>
      <c r="EP198" s="358"/>
      <c r="EQ198" s="358"/>
      <c r="ER198" s="358"/>
      <c r="ES198" s="358"/>
      <c r="ET198" s="358"/>
      <c r="EU198" s="358"/>
      <c r="EV198" s="358"/>
      <c r="EW198" s="358"/>
      <c r="EX198" s="358"/>
      <c r="EY198" s="358"/>
      <c r="EZ198" s="371"/>
    </row>
    <row r="199" spans="1:156" s="251" customFormat="1" ht="12" customHeight="1" x14ac:dyDescent="0.25">
      <c r="A199" s="1566" t="s">
        <v>19</v>
      </c>
      <c r="B199" s="1567"/>
      <c r="C199" s="1073" t="str">
        <f ca="1">IF(OR($N$8="",$N$8=0),"",IF(INDIRECT(ADDRESS(($AK199),COLUMN()+37,,,"Digitar Dados dos Ensaios"))&lt;&gt;"",INDIRECT(ADDRESS(($AK199),COLUMN()+37,,,"Digitar Dados dos Ensaios")),""))</f>
        <v/>
      </c>
      <c r="D199" s="954" t="str">
        <f t="shared" ref="D199:G201" ca="1" si="82">IF(OR($N$8="",$N$8=0),"",IF(INDIRECT(ADDRESS(($AK199),COLUMN()+37,,,"Digitar Dados dos Ensaios"))&lt;&gt;"",INDIRECT(ADDRESS(($AK199),COLUMN()+37,,,"Digitar Dados dos Ensaios")),""))</f>
        <v/>
      </c>
      <c r="E199" s="954" t="str">
        <f t="shared" ca="1" si="82"/>
        <v/>
      </c>
      <c r="F199" s="954" t="str">
        <f t="shared" ca="1" si="82"/>
        <v/>
      </c>
      <c r="G199" s="1074" t="str">
        <f t="shared" ca="1" si="82"/>
        <v/>
      </c>
      <c r="H199" s="1075" t="str">
        <f ca="1">IF(OR($N$8="",$N$8=0),"",IF(INDIRECT(ADDRESS(($AL199),COLUMN()+32,,,"Digitar Dados dos Ensaios"))&lt;&gt;"",INDIRECT(ADDRESS(($AL199),COLUMN()+32,,,"Digitar Dados dos Ensaios")),""))</f>
        <v/>
      </c>
      <c r="I199" s="954" t="str">
        <f t="shared" ref="I199:L201" ca="1" si="83">IF(OR($N$8="",$N$8=0),"",IF(INDIRECT(ADDRESS(($AL199),COLUMN()+32,,,"Digitar Dados dos Ensaios"))&lt;&gt;"",INDIRECT(ADDRESS(($AL199),COLUMN()+32,,,"Digitar Dados dos Ensaios")),""))</f>
        <v/>
      </c>
      <c r="J199" s="954" t="str">
        <f t="shared" ca="1" si="83"/>
        <v/>
      </c>
      <c r="K199" s="954" t="str">
        <f t="shared" ca="1" si="83"/>
        <v/>
      </c>
      <c r="L199" s="1074" t="str">
        <f t="shared" ca="1" si="83"/>
        <v/>
      </c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421">
        <f>AK7+1</f>
        <v>5</v>
      </c>
      <c r="AL199" s="451">
        <f>AK206+1</f>
        <v>9</v>
      </c>
      <c r="AM199" s="815"/>
      <c r="AN199" s="452"/>
      <c r="AO199" s="452"/>
      <c r="AP199" s="452"/>
      <c r="AQ199" s="1220"/>
      <c r="AR199" s="815" t="str">
        <f>IF(ISNUMBER(#REF!),LOOKUP(#REF!,Tara!$E$6:$E$185,Tara!$F$6:$F$185),"")</f>
        <v/>
      </c>
      <c r="AS199" s="452" t="str">
        <f>IF(ISNUMBER(#REF!),LOOKUP(#REF!,Tara!$E$6:$E$185,Tara!$F$6:$F$185),"")</f>
        <v/>
      </c>
      <c r="AT199" s="452" t="str">
        <f>IF(ISNUMBER(#REF!),LOOKUP(#REF!,Tara!$E$6:$E$185,Tara!$F$6:$F$185),"")</f>
        <v/>
      </c>
      <c r="AU199" s="452" t="str">
        <f>IF(ISNUMBER(#REF!),LOOKUP(#REF!,Tara!$E$6:$E$185,Tara!$F$6:$F$185),"")</f>
        <v/>
      </c>
      <c r="AV199" s="452" t="str">
        <f>IF(ISNUMBER(#REF!),LOOKUP(#REF!,Tara!$E$6:$E$185,Tara!$F$6:$F$185),"")</f>
        <v/>
      </c>
      <c r="AW199" s="1565" t="e">
        <f>IF(AV199="NP",0,AV199)*100</f>
        <v>#VALUE!</v>
      </c>
      <c r="AX199" s="816"/>
      <c r="AY199" s="1221"/>
      <c r="AZ199" s="817">
        <v>25</v>
      </c>
      <c r="BA199" s="706">
        <v>0.8</v>
      </c>
      <c r="BB199" s="453"/>
      <c r="BC199" s="453"/>
      <c r="BD199" s="453"/>
      <c r="BE199" s="453"/>
      <c r="BF199" s="453"/>
      <c r="BG199" s="453"/>
      <c r="BH199" s="453"/>
      <c r="BI199" s="453"/>
      <c r="BJ199" s="453"/>
      <c r="BK199" s="453"/>
      <c r="BL199" s="1222"/>
      <c r="BM199" s="818" t="b">
        <f ca="1">IF(BL202="","",IF(AND(BD202=100%,BH202&gt;=30%,BH202&lt;=65%,BI202&gt;=25%,BI202&lt;=55%,BJ202&gt;=15%,BJ202&lt;=40%,BK202&gt;=8%,BK202&lt;=20%,BL202&gt;=2%,BL202&lt;=8%),"Faixa A"))</f>
        <v>0</v>
      </c>
      <c r="BN199" s="454" t="b">
        <f ca="1">IF(BL202="","",IF(AND(BH202=100%,BI202&gt;=55%,BI202&lt;=100%,BJ202&gt;=40%,BJ202&lt;=100%,BK202&gt;=20%,BK202&lt;=50%,BL202&gt;=6%,BL202&lt;=20%),"Faixa E"))</f>
        <v>0</v>
      </c>
      <c r="BO199" s="454"/>
      <c r="BP199" s="455"/>
      <c r="BQ199" s="1223" t="s">
        <v>48</v>
      </c>
      <c r="BR199" s="819"/>
      <c r="BS199" s="406"/>
      <c r="BT199" s="406"/>
      <c r="BU199" s="406"/>
      <c r="BV199" s="406"/>
      <c r="BW199" s="406"/>
      <c r="BX199" s="406"/>
      <c r="BY199" s="406"/>
      <c r="BZ199" s="406"/>
      <c r="CA199" s="406"/>
      <c r="CB199" s="406"/>
      <c r="CC199" s="406"/>
      <c r="CD199" s="1224"/>
      <c r="CE199" s="358"/>
      <c r="CF199" s="358"/>
      <c r="CG199" s="358"/>
      <c r="CH199" s="358"/>
      <c r="CI199" s="358"/>
      <c r="CJ199" s="358"/>
      <c r="CK199" s="358"/>
      <c r="CL199" s="358"/>
      <c r="CM199" s="358"/>
      <c r="CN199" s="358"/>
      <c r="CO199" s="358"/>
      <c r="CP199" s="358"/>
      <c r="CQ199" s="358"/>
      <c r="CR199" s="358"/>
      <c r="CS199" s="358"/>
      <c r="CT199" s="358"/>
      <c r="CU199" s="358"/>
      <c r="CV199" s="358"/>
      <c r="CW199" s="358"/>
      <c r="CX199" s="358"/>
      <c r="CY199" s="358"/>
      <c r="CZ199" s="358"/>
      <c r="DA199" s="358"/>
      <c r="DB199" s="358"/>
      <c r="DC199" s="358"/>
      <c r="DD199" s="358"/>
      <c r="DE199" s="358"/>
      <c r="DF199" s="358"/>
      <c r="DG199" s="358"/>
      <c r="DH199" s="358"/>
      <c r="DI199" s="358"/>
      <c r="DJ199" s="358"/>
      <c r="DK199" s="358"/>
      <c r="DL199" s="358"/>
      <c r="DM199" s="358"/>
      <c r="DN199" s="358"/>
      <c r="DO199" s="358"/>
      <c r="DP199" s="358"/>
      <c r="DQ199" s="358"/>
      <c r="DR199" s="358"/>
      <c r="DS199" s="358"/>
      <c r="DT199" s="358"/>
      <c r="DU199" s="358"/>
      <c r="DV199" s="358"/>
      <c r="DW199" s="358"/>
      <c r="DX199" s="358"/>
      <c r="DY199" s="358"/>
      <c r="DZ199" s="358"/>
      <c r="EA199" s="358"/>
      <c r="EB199" s="358"/>
      <c r="EC199" s="358"/>
      <c r="ED199" s="358"/>
      <c r="EE199" s="358"/>
      <c r="EF199" s="358"/>
      <c r="EG199" s="358"/>
      <c r="EH199" s="358"/>
      <c r="EI199" s="358"/>
      <c r="EJ199" s="358"/>
      <c r="EK199" s="358"/>
      <c r="EL199" s="358"/>
      <c r="EM199" s="358"/>
      <c r="EN199" s="358"/>
      <c r="EO199" s="358"/>
      <c r="EP199" s="358"/>
      <c r="EQ199" s="358"/>
      <c r="ER199" s="358"/>
      <c r="ES199" s="358"/>
      <c r="ET199" s="358"/>
      <c r="EU199" s="358"/>
      <c r="EV199" s="358"/>
      <c r="EW199" s="358"/>
      <c r="EX199" s="358"/>
      <c r="EY199" s="358"/>
      <c r="EZ199" s="371"/>
    </row>
    <row r="200" spans="1:156" s="251" customFormat="1" ht="12" customHeight="1" x14ac:dyDescent="0.25">
      <c r="A200" s="1566" t="s">
        <v>39</v>
      </c>
      <c r="B200" s="1567"/>
      <c r="C200" s="1076" t="str">
        <f ca="1">IF(OR($N$8="",$N$8=0),"",IF(INDIRECT(ADDRESS(($AK200),COLUMN()+37,,,"Digitar Dados dos Ensaios"))&lt;&gt;"",INDIRECT(ADDRESS(($AK200),COLUMN()+37,,,"Digitar Dados dos Ensaios")),""))</f>
        <v/>
      </c>
      <c r="D200" s="1077" t="str">
        <f t="shared" ca="1" si="82"/>
        <v/>
      </c>
      <c r="E200" s="1077" t="str">
        <f t="shared" ca="1" si="82"/>
        <v/>
      </c>
      <c r="F200" s="1077" t="str">
        <f t="shared" ca="1" si="82"/>
        <v/>
      </c>
      <c r="G200" s="1078" t="str">
        <f t="shared" ca="1" si="82"/>
        <v/>
      </c>
      <c r="H200" s="1079" t="str">
        <f ca="1">IF(OR($N$8="",$N$8=0),"",IF(INDIRECT(ADDRESS(($AL200),COLUMN()+32,,,"Digitar Dados dos Ensaios"))&lt;&gt;"",INDIRECT(ADDRESS(($AL200),COLUMN()+32,,,"Digitar Dados dos Ensaios")),""))</f>
        <v/>
      </c>
      <c r="I200" s="1077" t="str">
        <f t="shared" ca="1" si="83"/>
        <v/>
      </c>
      <c r="J200" s="1077" t="str">
        <f t="shared" ca="1" si="83"/>
        <v/>
      </c>
      <c r="K200" s="1077" t="str">
        <f t="shared" ca="1" si="83"/>
        <v/>
      </c>
      <c r="L200" s="1078" t="str">
        <f t="shared" ca="1" si="83"/>
        <v/>
      </c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421">
        <f>AK199+1</f>
        <v>6</v>
      </c>
      <c r="AL200" s="451">
        <f>AL199+1</f>
        <v>10</v>
      </c>
      <c r="AM200" s="815"/>
      <c r="AN200" s="452"/>
      <c r="AO200" s="452"/>
      <c r="AP200" s="452"/>
      <c r="AQ200" s="1220"/>
      <c r="AR200" s="815" t="str">
        <f>IF(ISNUMBER(#REF!),#REF!-AR199,"")</f>
        <v/>
      </c>
      <c r="AS200" s="452" t="str">
        <f>IF(ISNUMBER(#REF!),#REF!-AS199,"")</f>
        <v/>
      </c>
      <c r="AT200" s="452" t="str">
        <f>IF(ISNUMBER(#REF!),#REF!-AT199,"")</f>
        <v/>
      </c>
      <c r="AU200" s="452" t="str">
        <f>IF(ISNUMBER(#REF!),#REF!-AU199,"")</f>
        <v/>
      </c>
      <c r="AV200" s="452" t="str">
        <f>IF(ISNUMBER(#REF!),#REF!-AV199,"")</f>
        <v/>
      </c>
      <c r="AW200" s="1225" t="s">
        <v>69</v>
      </c>
      <c r="AX200" s="816"/>
      <c r="AY200" s="1221"/>
      <c r="AZ200" s="817">
        <v>10</v>
      </c>
      <c r="BA200" s="456" t="str">
        <f ca="1">IF(L208&lt;&gt;"",L208,"")</f>
        <v>NP</v>
      </c>
      <c r="BB200" s="453"/>
      <c r="BC200" s="453"/>
      <c r="BD200" s="453" t="str">
        <f>IF(BB199="","",IF(BD199=0,IF(BC200&gt;0,BC200,""),IF(BD199&gt;0,BC200-BD199,"")))</f>
        <v/>
      </c>
      <c r="BE200" s="453" t="str">
        <f t="shared" ref="BE200:BJ200" si="84">IF($LC199="","",BD200-BE199)</f>
        <v/>
      </c>
      <c r="BF200" s="453" t="str">
        <f t="shared" si="84"/>
        <v/>
      </c>
      <c r="BG200" s="453" t="str">
        <f t="shared" si="84"/>
        <v/>
      </c>
      <c r="BH200" s="453" t="str">
        <f t="shared" si="84"/>
        <v/>
      </c>
      <c r="BI200" s="453" t="str">
        <f t="shared" si="84"/>
        <v/>
      </c>
      <c r="BJ200" s="453" t="str">
        <f t="shared" si="84"/>
        <v/>
      </c>
      <c r="BK200" s="453" t="str">
        <f>IF(BC199&lt;&gt;"",BC201-BK199,"")</f>
        <v/>
      </c>
      <c r="BL200" s="1222" t="str">
        <f>IF(BC199&lt;&gt;"",BK200-BL199,"")</f>
        <v/>
      </c>
      <c r="BM200" s="818" t="b">
        <f ca="1">IF(BL202="","",IF(AND(BD202=100%,BF202&gt;=75%,BF202&lt;=90%,BH202&gt;=40%,BH202&lt;=75%,BI202&gt;=30%,BI202&lt;=60%,BJ202&gt;=20%,BJ202&lt;=45%,BK202&gt;=15%,BK202&lt;=30%,BL202&gt;=5%,BL202&lt;=15%),"Faixa 1"))</f>
        <v>0</v>
      </c>
      <c r="BN200" s="454" t="b">
        <f ca="1">IF(BL202="","",IF(AND(BH202=100%,BI202&gt;=70%,BI202&lt;=100%,BJ202&gt;=55%,BJ202&lt;=100%,BK202&gt;=30%,BK202&lt;=70%,BL202&gt;=8%,BL202&lt;=25%),"Faixa F"))</f>
        <v>0</v>
      </c>
      <c r="BO200" s="455"/>
      <c r="BP200" s="454"/>
      <c r="BQ200" s="1596" t="str">
        <f ca="1">IF(BK202&gt;70%,"",IF(BL202="","",IF(BN202&gt;0,BN202,IF(BP202&gt;0,BP202))))</f>
        <v/>
      </c>
      <c r="BR200" s="820"/>
      <c r="BS200" s="457"/>
      <c r="BT200" s="457"/>
      <c r="BU200" s="457"/>
      <c r="BV200" s="457"/>
      <c r="BW200" s="458"/>
      <c r="BX200" s="458"/>
      <c r="BY200" s="458"/>
      <c r="BZ200" s="458"/>
      <c r="CA200" s="458"/>
      <c r="CB200" s="458"/>
      <c r="CC200" s="458"/>
      <c r="CD200" s="1226"/>
      <c r="CE200" s="358"/>
      <c r="CF200" s="358"/>
      <c r="CG200" s="358"/>
      <c r="CH200" s="358"/>
      <c r="CI200" s="358"/>
      <c r="CJ200" s="358"/>
      <c r="CK200" s="358"/>
      <c r="CL200" s="358"/>
      <c r="CM200" s="358"/>
      <c r="CN200" s="358"/>
      <c r="CO200" s="358"/>
      <c r="CP200" s="358"/>
      <c r="CQ200" s="358"/>
      <c r="CR200" s="358"/>
      <c r="CS200" s="358"/>
      <c r="CT200" s="358"/>
      <c r="CU200" s="358"/>
      <c r="CV200" s="358"/>
      <c r="CW200" s="358"/>
      <c r="CX200" s="358"/>
      <c r="CY200" s="358"/>
      <c r="CZ200" s="358"/>
      <c r="DA200" s="358"/>
      <c r="DB200" s="358"/>
      <c r="DC200" s="358"/>
      <c r="DD200" s="358"/>
      <c r="DE200" s="358"/>
      <c r="DF200" s="358"/>
      <c r="DG200" s="358"/>
      <c r="DH200" s="358"/>
      <c r="DI200" s="358"/>
      <c r="DJ200" s="358"/>
      <c r="DK200" s="358"/>
      <c r="DL200" s="358"/>
      <c r="DM200" s="358"/>
      <c r="DN200" s="358"/>
      <c r="DO200" s="358"/>
      <c r="DP200" s="358"/>
      <c r="DQ200" s="358"/>
      <c r="DR200" s="358"/>
      <c r="DS200" s="358"/>
      <c r="DT200" s="358"/>
      <c r="DU200" s="358"/>
      <c r="DV200" s="358"/>
      <c r="DW200" s="358"/>
      <c r="DX200" s="358"/>
      <c r="DY200" s="358"/>
      <c r="DZ200" s="358"/>
      <c r="EA200" s="358"/>
      <c r="EB200" s="358"/>
      <c r="EC200" s="358"/>
      <c r="ED200" s="358"/>
      <c r="EE200" s="358"/>
      <c r="EF200" s="358"/>
      <c r="EG200" s="358"/>
      <c r="EH200" s="358"/>
      <c r="EI200" s="358"/>
      <c r="EJ200" s="358"/>
      <c r="EK200" s="358"/>
      <c r="EL200" s="358"/>
      <c r="EM200" s="358"/>
      <c r="EN200" s="358"/>
      <c r="EO200" s="358"/>
      <c r="EP200" s="358"/>
      <c r="EQ200" s="358"/>
      <c r="ER200" s="358"/>
      <c r="ES200" s="358"/>
      <c r="ET200" s="358"/>
      <c r="EU200" s="358"/>
      <c r="EV200" s="358"/>
      <c r="EW200" s="358"/>
      <c r="EX200" s="358"/>
      <c r="EY200" s="358"/>
      <c r="EZ200" s="371"/>
    </row>
    <row r="201" spans="1:156" s="251" customFormat="1" ht="12" customHeight="1" x14ac:dyDescent="0.25">
      <c r="A201" s="1566" t="s">
        <v>61</v>
      </c>
      <c r="B201" s="1567"/>
      <c r="C201" s="1076" t="str">
        <f ca="1">IF(OR($N$8="",$N$8=0),"",IF(INDIRECT(ADDRESS(($AK201),COLUMN()+37,,,"Digitar Dados dos Ensaios"))&lt;&gt;"",INDIRECT(ADDRESS(($AK201),COLUMN()+37,,,"Digitar Dados dos Ensaios")),""))</f>
        <v/>
      </c>
      <c r="D201" s="1077" t="str">
        <f t="shared" ca="1" si="82"/>
        <v/>
      </c>
      <c r="E201" s="1077" t="str">
        <f t="shared" ca="1" si="82"/>
        <v/>
      </c>
      <c r="F201" s="1077" t="str">
        <f t="shared" ca="1" si="82"/>
        <v/>
      </c>
      <c r="G201" s="1078" t="str">
        <f t="shared" ca="1" si="82"/>
        <v/>
      </c>
      <c r="H201" s="1079" t="str">
        <f ca="1">IF(OR($N$8="",$N$8=0),"",IF(INDIRECT(ADDRESS(($AL201),COLUMN()+32,,,"Digitar Dados dos Ensaios"))&lt;&gt;"",INDIRECT(ADDRESS(($AL201),COLUMN()+32,,,"Digitar Dados dos Ensaios")),""))</f>
        <v/>
      </c>
      <c r="I201" s="1077" t="str">
        <f t="shared" ca="1" si="83"/>
        <v/>
      </c>
      <c r="J201" s="1077" t="str">
        <f t="shared" ca="1" si="83"/>
        <v/>
      </c>
      <c r="K201" s="1077" t="str">
        <f t="shared" ca="1" si="83"/>
        <v/>
      </c>
      <c r="L201" s="1078" t="str">
        <f t="shared" ca="1" si="83"/>
        <v/>
      </c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421">
        <f>AK200+1</f>
        <v>7</v>
      </c>
      <c r="AL201" s="451">
        <f>AL200+1</f>
        <v>11</v>
      </c>
      <c r="AM201" s="821" t="str">
        <f ca="1">IF(ISNUMBER(C205),C205,"")</f>
        <v/>
      </c>
      <c r="AN201" s="456" t="str">
        <f t="shared" ref="AN201:AQ202" ca="1" si="85">IF(ISNUMBER(D205),D205,"")</f>
        <v/>
      </c>
      <c r="AO201" s="456" t="str">
        <f t="shared" ca="1" si="85"/>
        <v/>
      </c>
      <c r="AP201" s="456" t="str">
        <f t="shared" ca="1" si="85"/>
        <v/>
      </c>
      <c r="AQ201" s="1227" t="str">
        <f t="shared" ca="1" si="85"/>
        <v/>
      </c>
      <c r="AR201" s="821" t="str">
        <f ca="1">IF(ISNUMBER(H205),H205,"")</f>
        <v/>
      </c>
      <c r="AS201" s="456" t="str">
        <f ca="1">IF(ISNUMBER(I205),I205,"")</f>
        <v/>
      </c>
      <c r="AT201" s="456" t="str">
        <f ca="1">IF(ISNUMBER(J205),J205,"")</f>
        <v/>
      </c>
      <c r="AU201" s="456" t="str">
        <f ca="1">IF(ISNUMBER(K205),K205,"")</f>
        <v/>
      </c>
      <c r="AV201" s="456" t="str">
        <f ca="1">IF(ISNUMBER(L205),L205,"")</f>
        <v/>
      </c>
      <c r="AW201" s="1228"/>
      <c r="AX201" s="816"/>
      <c r="AY201" s="1221"/>
      <c r="AZ201" s="817">
        <v>25</v>
      </c>
      <c r="BA201" s="456" t="str">
        <f ca="1">IF(BA200&lt;&gt;"",BA200,"")</f>
        <v>NP</v>
      </c>
      <c r="BB201" s="453"/>
      <c r="BC201" s="453"/>
      <c r="BD201" s="407"/>
      <c r="BE201" s="407"/>
      <c r="BF201" s="407"/>
      <c r="BG201" s="407"/>
      <c r="BH201" s="407"/>
      <c r="BI201" s="407"/>
      <c r="BJ201" s="407"/>
      <c r="BK201" s="459" t="str">
        <f>IF(BC199&lt;&gt;"",BK200/BC201,"")</f>
        <v/>
      </c>
      <c r="BL201" s="1229" t="str">
        <f>IF(BC199&lt;&gt;"",BL200/BC201,"")</f>
        <v/>
      </c>
      <c r="BM201" s="818" t="b">
        <f ca="1">IF(BL202="","",IF(AND(BF202=100%,BH202&gt;=50%,BH202&lt;=85%,BI202&gt;=35%,BI202&lt;=65%,BJ202&gt;=25%,BJ202&lt;=50%,BK202&gt;=15%,BK202&lt;=30%,BL202&gt;=5%,BL202&lt;=15%),"Faixa 2"))</f>
        <v>0</v>
      </c>
      <c r="BN201" s="460" t="str">
        <f ca="1">IF(BL202="","",IF(BM199="Faixa A","A",IF(BM200="Faixa 1","1",IF(BM201="Faixa 2","2",IF(BM202="Faixa D","D",IF(BN199="Faixa E","E",IF(BN200="Faixa F","F","")))))))</f>
        <v/>
      </c>
      <c r="BO201" s="454"/>
      <c r="BP201" s="454"/>
      <c r="BQ201" s="1596" t="str">
        <f>IF(BQ199&gt;0,BQ199,IF(BR199&gt;0,BR199))</f>
        <v>FAIXA</v>
      </c>
      <c r="BR201" s="822">
        <v>4</v>
      </c>
      <c r="BS201" s="461">
        <f ca="1">IF(BI202&lt;&gt;"",BI202*100,"")</f>
        <v>65.427262625212848</v>
      </c>
      <c r="BT201" s="457" t="s">
        <v>101</v>
      </c>
      <c r="BU201" s="457" t="s">
        <v>102</v>
      </c>
      <c r="BV201" s="457" t="s">
        <v>103</v>
      </c>
      <c r="BW201" s="457" t="s">
        <v>104</v>
      </c>
      <c r="BX201" s="407" t="b">
        <f ca="1">IF(BF204&lt;BK204,"NP",AND(BT204=0,BN204&lt;=6,BS204&lt;=15,BS203&lt;=30,BS202&lt;=50))</f>
        <v>0</v>
      </c>
      <c r="BY201" s="407" t="b">
        <f ca="1">IF(BG204&lt;BK204,"NP",AND(BT204=0,BN204&lt;=6,BS204&lt;=25,BS203&lt;=50))</f>
        <v>1</v>
      </c>
      <c r="BZ201" s="407" t="b">
        <f ca="1">IF(BN204&lt;0,IF(CA201="NP",IF(BT204=0,IF(BS204&lt;=10,IF(BS203&gt;50,AND(BT204=0,BN204&lt;0,BS204&lt;=10,BS203&gt;50),"NP")))))</f>
        <v>0</v>
      </c>
      <c r="CA201" s="407" t="b">
        <f ca="1">IF(BG204&lt;BK204,"NP",AND(BT204=0,BN204&lt;=10,BG204&lt;=40,BS204&lt;35))</f>
        <v>1</v>
      </c>
      <c r="CB201" s="407" t="b">
        <f ca="1">IF(BG204&lt;BK204,"NP",AND(BT204=0,BN204&lt;=10,BG204&gt;40,BS204&lt;=35))</f>
        <v>0</v>
      </c>
      <c r="CC201" s="407" t="b">
        <f ca="1">IF(BG204&lt;BK204,"NP",AND(BT204&lt;=4,BN204&gt;10,BG204&lt;=40,BS204&lt;=35))</f>
        <v>0</v>
      </c>
      <c r="CD201" s="1230" t="b">
        <f ca="1">IF(BG204&lt;BK204,"NP",AND(BT204&lt;=4,BN204&gt;10,BG204&gt;40,BS204&lt;=35))</f>
        <v>0</v>
      </c>
      <c r="CE201" s="358"/>
      <c r="CF201" s="358"/>
      <c r="CG201" s="358"/>
      <c r="CH201" s="358"/>
      <c r="CI201" s="358"/>
      <c r="CJ201" s="358"/>
      <c r="CK201" s="358"/>
      <c r="CL201" s="358"/>
      <c r="CM201" s="358"/>
      <c r="CN201" s="358"/>
      <c r="CO201" s="358"/>
      <c r="CP201" s="358"/>
      <c r="CQ201" s="358"/>
      <c r="CR201" s="358"/>
      <c r="CS201" s="358"/>
      <c r="CT201" s="358"/>
      <c r="CU201" s="358"/>
      <c r="CV201" s="358"/>
      <c r="CW201" s="358"/>
      <c r="CX201" s="358"/>
      <c r="CY201" s="358"/>
      <c r="CZ201" s="358"/>
      <c r="DA201" s="358"/>
      <c r="DB201" s="358"/>
      <c r="DC201" s="358"/>
      <c r="DD201" s="358"/>
      <c r="DE201" s="358"/>
      <c r="DF201" s="358"/>
      <c r="DG201" s="358"/>
      <c r="DH201" s="358"/>
      <c r="DI201" s="358"/>
      <c r="DJ201" s="358"/>
      <c r="DK201" s="358"/>
      <c r="DL201" s="358"/>
      <c r="DM201" s="358"/>
      <c r="DN201" s="358"/>
      <c r="DO201" s="358"/>
      <c r="DP201" s="358"/>
      <c r="DQ201" s="358"/>
      <c r="DR201" s="358"/>
      <c r="DS201" s="358"/>
      <c r="DT201" s="358"/>
      <c r="DU201" s="358"/>
      <c r="DV201" s="358"/>
      <c r="DW201" s="358"/>
      <c r="DX201" s="358"/>
      <c r="DY201" s="358"/>
      <c r="DZ201" s="358"/>
      <c r="EA201" s="358"/>
      <c r="EB201" s="358"/>
      <c r="EC201" s="358"/>
      <c r="ED201" s="358"/>
      <c r="EE201" s="358"/>
      <c r="EF201" s="358"/>
      <c r="EG201" s="358"/>
      <c r="EH201" s="358"/>
      <c r="EI201" s="358"/>
      <c r="EJ201" s="358"/>
      <c r="EK201" s="358"/>
      <c r="EL201" s="358"/>
      <c r="EM201" s="358"/>
      <c r="EN201" s="358"/>
      <c r="EO201" s="358"/>
      <c r="EP201" s="358"/>
      <c r="EQ201" s="358"/>
      <c r="ER201" s="358"/>
      <c r="ES201" s="358"/>
      <c r="ET201" s="358"/>
      <c r="EU201" s="358"/>
      <c r="EV201" s="358"/>
      <c r="EW201" s="358"/>
      <c r="EX201" s="358"/>
      <c r="EY201" s="358"/>
      <c r="EZ201" s="371"/>
    </row>
    <row r="202" spans="1:156" s="251" customFormat="1" ht="12" customHeight="1" x14ac:dyDescent="0.25">
      <c r="A202" s="1566" t="s">
        <v>274</v>
      </c>
      <c r="B202" s="1567"/>
      <c r="C202" s="1080" t="str">
        <f ca="1">IF(C199&lt;&gt;"",LOOKUP(C199,Tara!$A$6:$A$185,Tara!$B$6:$B$185),"")</f>
        <v/>
      </c>
      <c r="D202" s="1081" t="str">
        <f ca="1">IF(D199&lt;&gt;"",LOOKUP(D199,Tara!$A$6:$A$185,Tara!$B$6:$B$185),"")</f>
        <v/>
      </c>
      <c r="E202" s="1081" t="str">
        <f ca="1">IF(E199&lt;&gt;"",LOOKUP(E199,Tara!$A$6:$A$185,Tara!$B$6:$B$185),"")</f>
        <v/>
      </c>
      <c r="F202" s="1081" t="str">
        <f ca="1">IF(F199&lt;&gt;"",LOOKUP(F199,Tara!$A$6:$A$185,Tara!$B$6:$B$185),"")</f>
        <v/>
      </c>
      <c r="G202" s="1082" t="str">
        <f ca="1">IF(G199&lt;&gt;"",LOOKUP(G199,Tara!$A$6:$A$185,Tara!$B$6:$B$185),"")</f>
        <v/>
      </c>
      <c r="H202" s="1083" t="str">
        <f ca="1">IF(H199&lt;&gt;"",LOOKUP(H199,Tara!$E$6:$E$185,Tara!$F$6:$F$185),"")</f>
        <v/>
      </c>
      <c r="I202" s="1084" t="str">
        <f ca="1">IF(I199&lt;&gt;"",LOOKUP(I199,Tara!$E$6:$E$185,Tara!$F$6:$F$185),"")</f>
        <v/>
      </c>
      <c r="J202" s="1084" t="str">
        <f ca="1">IF(J199&lt;&gt;"",LOOKUP(J199,Tara!$E$6:$E$185,Tara!$F$6:$F$185),"")</f>
        <v/>
      </c>
      <c r="K202" s="1084" t="str">
        <f ca="1">IF(K199&lt;&gt;"",LOOKUP(K199,Tara!$E$6:$E$185,Tara!$F$6:$F$185),"")</f>
        <v/>
      </c>
      <c r="L202" s="1085" t="str">
        <f ca="1">IF(L199&lt;&gt;"",LOOKUP(L199,Tara!$E$6:$E$185,Tara!$F$6:$F$185),"")</f>
        <v/>
      </c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421"/>
      <c r="AL202" s="358"/>
      <c r="AM202" s="828" t="str">
        <f ca="1">IF(ISNUMBER(C206),C206,"")</f>
        <v/>
      </c>
      <c r="AN202" s="462" t="str">
        <f t="shared" ca="1" si="85"/>
        <v/>
      </c>
      <c r="AO202" s="462" t="str">
        <f t="shared" ca="1" si="85"/>
        <v/>
      </c>
      <c r="AP202" s="462" t="str">
        <f t="shared" ca="1" si="85"/>
        <v/>
      </c>
      <c r="AQ202" s="1231" t="str">
        <f t="shared" ca="1" si="85"/>
        <v/>
      </c>
      <c r="AR202" s="829" t="str">
        <f ca="1">IF(AR201&lt;&gt;"",AVERAGE(AR201:AV201),"")</f>
        <v/>
      </c>
      <c r="AS202" s="454" t="str">
        <f ca="1">IF(AR202&lt;&gt;"",AR202-AR203,"")</f>
        <v/>
      </c>
      <c r="AT202" s="460">
        <f ca="1">COUNT(AR204:AV204)</f>
        <v>0</v>
      </c>
      <c r="AU202" s="388" t="str">
        <f ca="1">IF(AR204&lt;&gt;"",AVERAGE(AR204:AV204),"")</f>
        <v/>
      </c>
      <c r="AV202" s="388" t="str">
        <f ca="1">IF(AU202&lt;&gt;"",AU202+5%*AU202,"")</f>
        <v/>
      </c>
      <c r="AW202" s="1565">
        <f ca="1">IF(AV203="NP",0,AV203)*100</f>
        <v>0</v>
      </c>
      <c r="AX202" s="816"/>
      <c r="AY202" s="1221"/>
      <c r="AZ202" s="1597"/>
      <c r="BA202" s="1598"/>
      <c r="BB202" s="453"/>
      <c r="BC202" s="407"/>
      <c r="BD202" s="388">
        <f ca="1">IF($I169&lt;&gt;"",$I169,"")</f>
        <v>1</v>
      </c>
      <c r="BE202" s="388">
        <f ca="1">IF($I170&lt;&gt;"",$I170,"")</f>
        <v>1</v>
      </c>
      <c r="BF202" s="388">
        <f ca="1">IF($I171&lt;&gt;"",$I171,"")</f>
        <v>0.97723984107061479</v>
      </c>
      <c r="BG202" s="388">
        <f ca="1">IF($I172&lt;&gt;"",$I172,"")</f>
        <v>0.94098907160616208</v>
      </c>
      <c r="BH202" s="388">
        <f ca="1">IF($I173&lt;&gt;"",$I173,"")</f>
        <v>0.81504073165077107</v>
      </c>
      <c r="BI202" s="388">
        <f ca="1">IF($I174&lt;&gt;"",$I174,"")</f>
        <v>0.65427262625212845</v>
      </c>
      <c r="BJ202" s="388">
        <f ca="1">IF($I175&lt;&gt;"",$I175,"")</f>
        <v>0.52992717068920026</v>
      </c>
      <c r="BK202" s="388">
        <f ca="1">IF($J180&lt;&gt;"",$J180,"")</f>
        <v>0.41712020886931384</v>
      </c>
      <c r="BL202" s="388">
        <f ca="1">IF($J182&lt;&gt;"",$J182,"")</f>
        <v>0.22913159716640938</v>
      </c>
      <c r="BM202" s="818" t="b">
        <f ca="1">IF(BL202="","",IF(AND(BF202=100%,BH202&gt;=60%,BH202&lt;=100%,BI202&gt;=50%,BI202&lt;=85%,BJ202&gt;=40%,BJ202&lt;=70%,BK202&gt;=25%,BK202&lt;=45%,BL202&gt;=10%,BL202&lt;=25%),"Faixa 2"))</f>
        <v>0</v>
      </c>
      <c r="BN202" s="463" t="str">
        <f ca="1">IF(BL202="","",IF(BN201&gt;0,BN201,IF(BO202&gt;0,BO202)))</f>
        <v/>
      </c>
      <c r="BO202" s="463"/>
      <c r="BP202" s="460"/>
      <c r="BQ202" s="1596" t="str">
        <f ca="1">IF(BQ200&gt;0,BQ200,IF(BR200&gt;0,BR200))</f>
        <v/>
      </c>
      <c r="BR202" s="822">
        <v>10</v>
      </c>
      <c r="BS202" s="461">
        <f ca="1">IF(BJ202&lt;&gt;"",BJ202*100,"")</f>
        <v>52.992717068920022</v>
      </c>
      <c r="BT202" s="390">
        <f ca="1">IF(BS204="",0,IF(IF((BS204-35)&lt;0,0,(BS204-35))&gt;40,40,IF((BS204-35)&lt;0,0,(BS204-35))))</f>
        <v>0</v>
      </c>
      <c r="BU202" s="390">
        <f ca="1">IF(BS204="",0,IF(IF((BS204-15)&lt;0,0,(BS204-15))&gt;40,40,IF((BS204-15)&lt;0,0,(BS204-15))))</f>
        <v>7.9131597166409371</v>
      </c>
      <c r="BV202" s="390">
        <f ca="1">IF(BF204="NP",0,IF(IF((BF204-40)&lt;0,0,(BF204-40))&gt;20,20,IF((BF204-40)&lt;0,0,(BF204-40))))</f>
        <v>0</v>
      </c>
      <c r="BW202" s="390">
        <f ca="1">IF(BM204="NP",0,IF(IF((BM204-10)&lt;0,0,(BM204-10))&gt;20,20,IF((BM204-10)&lt;0,0,(BM204-10))))</f>
        <v>0</v>
      </c>
      <c r="BX202" s="407"/>
      <c r="BY202" s="407"/>
      <c r="BZ202" s="407"/>
      <c r="CA202" s="407"/>
      <c r="CB202" s="407"/>
      <c r="CC202" s="407"/>
      <c r="CD202" s="1230"/>
      <c r="CE202" s="358"/>
      <c r="CF202" s="358"/>
      <c r="CG202" s="358"/>
      <c r="CH202" s="358"/>
      <c r="CI202" s="358"/>
      <c r="CJ202" s="358"/>
      <c r="CK202" s="358"/>
      <c r="CL202" s="358"/>
      <c r="CM202" s="358"/>
      <c r="CN202" s="358"/>
      <c r="CO202" s="358"/>
      <c r="CP202" s="358"/>
      <c r="CQ202" s="358"/>
      <c r="CR202" s="358"/>
      <c r="CS202" s="358"/>
      <c r="CT202" s="358"/>
      <c r="CU202" s="358"/>
      <c r="CV202" s="358"/>
      <c r="CW202" s="358"/>
      <c r="CX202" s="358"/>
      <c r="CY202" s="358"/>
      <c r="CZ202" s="358"/>
      <c r="DA202" s="358"/>
      <c r="DB202" s="358"/>
      <c r="DC202" s="358"/>
      <c r="DD202" s="358"/>
      <c r="DE202" s="358"/>
      <c r="DF202" s="358"/>
      <c r="DG202" s="358"/>
      <c r="DH202" s="358"/>
      <c r="DI202" s="358"/>
      <c r="DJ202" s="358"/>
      <c r="DK202" s="358"/>
      <c r="DL202" s="358"/>
      <c r="DM202" s="358"/>
      <c r="DN202" s="358"/>
      <c r="DO202" s="358"/>
      <c r="DP202" s="358"/>
      <c r="DQ202" s="358"/>
      <c r="DR202" s="358"/>
      <c r="DS202" s="358"/>
      <c r="DT202" s="358"/>
      <c r="DU202" s="358"/>
      <c r="DV202" s="358"/>
      <c r="DW202" s="358"/>
      <c r="DX202" s="358"/>
      <c r="DY202" s="358"/>
      <c r="DZ202" s="358"/>
      <c r="EA202" s="358"/>
      <c r="EB202" s="358"/>
      <c r="EC202" s="358"/>
      <c r="ED202" s="358"/>
      <c r="EE202" s="358"/>
      <c r="EF202" s="358"/>
      <c r="EG202" s="358"/>
      <c r="EH202" s="358"/>
      <c r="EI202" s="358"/>
      <c r="EJ202" s="358"/>
      <c r="EK202" s="358"/>
      <c r="EL202" s="358"/>
      <c r="EM202" s="358"/>
      <c r="EN202" s="358"/>
      <c r="EO202" s="358"/>
      <c r="EP202" s="358"/>
      <c r="EQ202" s="358"/>
      <c r="ER202" s="358"/>
      <c r="ES202" s="358"/>
      <c r="ET202" s="358"/>
      <c r="EU202" s="358"/>
      <c r="EV202" s="358"/>
      <c r="EW202" s="358"/>
      <c r="EX202" s="358"/>
      <c r="EY202" s="358"/>
      <c r="EZ202" s="371"/>
    </row>
    <row r="203" spans="1:156" s="251" customFormat="1" ht="12" customHeight="1" x14ac:dyDescent="0.25">
      <c r="A203" s="1566" t="s">
        <v>275</v>
      </c>
      <c r="B203" s="1567"/>
      <c r="C203" s="1086" t="str">
        <f t="shared" ref="C203:L203" ca="1" si="86">IF(C199&lt;&gt;"",C200-C201,"")</f>
        <v/>
      </c>
      <c r="D203" s="1087" t="str">
        <f t="shared" ca="1" si="86"/>
        <v/>
      </c>
      <c r="E203" s="1087" t="str">
        <f t="shared" ca="1" si="86"/>
        <v/>
      </c>
      <c r="F203" s="1087" t="str">
        <f t="shared" ca="1" si="86"/>
        <v/>
      </c>
      <c r="G203" s="1088" t="str">
        <f t="shared" ca="1" si="86"/>
        <v/>
      </c>
      <c r="H203" s="1089" t="str">
        <f t="shared" ca="1" si="86"/>
        <v/>
      </c>
      <c r="I203" s="1087" t="str">
        <f t="shared" ca="1" si="86"/>
        <v/>
      </c>
      <c r="J203" s="1087" t="str">
        <f t="shared" ca="1" si="86"/>
        <v/>
      </c>
      <c r="K203" s="1087" t="str">
        <f t="shared" ca="1" si="86"/>
        <v/>
      </c>
      <c r="L203" s="1088" t="str">
        <f t="shared" ca="1" si="86"/>
        <v/>
      </c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421"/>
      <c r="AL203" s="358"/>
      <c r="AM203" s="833" t="str">
        <f ca="1">IF(AM201&lt;&gt;"",INDEX(LOGEST(AM202:AQ202,AM201:AQ201),2),"")</f>
        <v/>
      </c>
      <c r="AN203" s="464" t="str">
        <f ca="1">IF(AM204&lt;&gt;"",LN(AM204),"")</f>
        <v/>
      </c>
      <c r="AO203" s="359"/>
      <c r="AP203" s="388" t="str">
        <f ca="1">IF(AM203&lt;&gt;"",LN(25/AM203)/AN203,"NP")</f>
        <v>NP</v>
      </c>
      <c r="AQ203" s="1232"/>
      <c r="AR203" s="818" t="str">
        <f ca="1">IF(AR202&lt;&gt;"",5%*AR202,"")</f>
        <v/>
      </c>
      <c r="AS203" s="454" t="str">
        <f ca="1">IF(AR202&lt;&gt;"",AR202+AR203,"")</f>
        <v/>
      </c>
      <c r="AT203" s="361" t="str">
        <f ca="1">IF(AP203&lt;&gt;"NP",AP203-AV203,"NP")</f>
        <v>NP</v>
      </c>
      <c r="AU203" s="388" t="str">
        <f ca="1">IF(AU202&lt;&gt;"",AU202-5%*AU202,"")</f>
        <v/>
      </c>
      <c r="AV203" s="388" t="str">
        <f ca="1">IF(AU202&lt;&gt;"",AU202,"NP")</f>
        <v>NP</v>
      </c>
      <c r="AW203" s="1565">
        <f ca="1">IF(AV203="NP",0,AV203)*100</f>
        <v>0</v>
      </c>
      <c r="AX203" s="816"/>
      <c r="AY203" s="1221"/>
      <c r="AZ203" s="834"/>
      <c r="BA203" s="359"/>
      <c r="BB203" s="359"/>
      <c r="BC203" s="359"/>
      <c r="BD203" s="359"/>
      <c r="BE203" s="359"/>
      <c r="BF203" s="359"/>
      <c r="BG203" s="359"/>
      <c r="BH203" s="359"/>
      <c r="BI203" s="359"/>
      <c r="BJ203" s="359"/>
      <c r="BK203" s="359"/>
      <c r="BL203" s="1232"/>
      <c r="BM203" s="835"/>
      <c r="BN203" s="359"/>
      <c r="BO203" s="359"/>
      <c r="BP203" s="359"/>
      <c r="BQ203" s="1232"/>
      <c r="BR203" s="836">
        <v>40</v>
      </c>
      <c r="BS203" s="461">
        <f ca="1">IF(BK202&lt;&gt;"",BK202*100,"")</f>
        <v>41.712020886931384</v>
      </c>
      <c r="BT203" s="1599" t="s">
        <v>129</v>
      </c>
      <c r="BU203" s="1599"/>
      <c r="BV203" s="465" t="s">
        <v>130</v>
      </c>
      <c r="BW203" s="465"/>
      <c r="BX203" s="407" t="b">
        <f ca="1">IF(BG204&lt;BK204,"NP",AND(BT204&lt;=8,BN204&lt;=10,BG204&lt;=40,BS204&gt;35))</f>
        <v>0</v>
      </c>
      <c r="BY203" s="407" t="b">
        <f ca="1">IF(BG204&lt;BK204,"NP",AND(BT204&lt;=12,BN204&lt;=10,BG204&gt;40,BS204&gt;35))</f>
        <v>0</v>
      </c>
      <c r="BZ203" s="407" t="b">
        <f ca="1">IF(BG204&lt;BK204,"NP",AND(BT204&lt;=16,BN204&gt;10,BG204&lt;=40,BS204&gt;35))</f>
        <v>0</v>
      </c>
      <c r="CA203" s="407" t="b">
        <f ca="1">IF(BG204&lt;BK204,"NP",AND(BT204&lt;=20,BN204&gt;10,BG204&gt;40,BS204&gt;35,BN204&lt;=BG204-30))</f>
        <v>0</v>
      </c>
      <c r="CB203" s="407" t="b">
        <f ca="1">IF(BG204&lt;BK204,"NP",AND(BT204&lt;=20,BN204&gt;10,BG204&gt;40,BR204&gt;35,BN204&gt;BG204-30))</f>
        <v>0</v>
      </c>
      <c r="CC203" s="407"/>
      <c r="CD203" s="1230"/>
      <c r="CE203" s="358"/>
      <c r="CF203" s="358"/>
      <c r="CG203" s="358"/>
      <c r="CH203" s="358"/>
      <c r="CI203" s="358"/>
      <c r="CJ203" s="358"/>
      <c r="CK203" s="358"/>
      <c r="CL203" s="358"/>
      <c r="CM203" s="358"/>
      <c r="CN203" s="358"/>
      <c r="CO203" s="358"/>
      <c r="CP203" s="358"/>
      <c r="CQ203" s="358"/>
      <c r="CR203" s="358"/>
      <c r="CS203" s="358"/>
      <c r="CT203" s="358"/>
      <c r="CU203" s="358"/>
      <c r="CV203" s="358"/>
      <c r="CW203" s="358"/>
      <c r="CX203" s="358"/>
      <c r="CY203" s="358"/>
      <c r="CZ203" s="358"/>
      <c r="DA203" s="358"/>
      <c r="DB203" s="358"/>
      <c r="DC203" s="358"/>
      <c r="DD203" s="358"/>
      <c r="DE203" s="358"/>
      <c r="DF203" s="358"/>
      <c r="DG203" s="358"/>
      <c r="DH203" s="358"/>
      <c r="DI203" s="358"/>
      <c r="DJ203" s="358"/>
      <c r="DK203" s="358"/>
      <c r="DL203" s="358"/>
      <c r="DM203" s="358"/>
      <c r="DN203" s="358"/>
      <c r="DO203" s="358"/>
      <c r="DP203" s="358"/>
      <c r="DQ203" s="358"/>
      <c r="DR203" s="358"/>
      <c r="DS203" s="358"/>
      <c r="DT203" s="358"/>
      <c r="DU203" s="358"/>
      <c r="DV203" s="358"/>
      <c r="DW203" s="358"/>
      <c r="DX203" s="358"/>
      <c r="DY203" s="358"/>
      <c r="DZ203" s="358"/>
      <c r="EA203" s="358"/>
      <c r="EB203" s="358"/>
      <c r="EC203" s="358"/>
      <c r="ED203" s="358"/>
      <c r="EE203" s="358"/>
      <c r="EF203" s="358"/>
      <c r="EG203" s="358"/>
      <c r="EH203" s="358"/>
      <c r="EI203" s="358"/>
      <c r="EJ203" s="358"/>
      <c r="EK203" s="358"/>
      <c r="EL203" s="358"/>
      <c r="EM203" s="358"/>
      <c r="EN203" s="358"/>
      <c r="EO203" s="358"/>
      <c r="EP203" s="358"/>
      <c r="EQ203" s="358"/>
      <c r="ER203" s="358"/>
      <c r="ES203" s="358"/>
      <c r="ET203" s="358"/>
      <c r="EU203" s="358"/>
      <c r="EV203" s="358"/>
      <c r="EW203" s="358"/>
      <c r="EX203" s="358"/>
      <c r="EY203" s="358"/>
      <c r="EZ203" s="371"/>
    </row>
    <row r="204" spans="1:156" s="251" customFormat="1" ht="12" customHeight="1" x14ac:dyDescent="0.25">
      <c r="A204" s="1566" t="s">
        <v>276</v>
      </c>
      <c r="B204" s="1567"/>
      <c r="C204" s="1090" t="str">
        <f t="shared" ref="C204:L204" ca="1" si="87">IF(C199&lt;&gt;"",C201-C202,"")</f>
        <v/>
      </c>
      <c r="D204" s="1091" t="str">
        <f t="shared" ca="1" si="87"/>
        <v/>
      </c>
      <c r="E204" s="1091" t="str">
        <f t="shared" ca="1" si="87"/>
        <v/>
      </c>
      <c r="F204" s="1091" t="str">
        <f t="shared" ca="1" si="87"/>
        <v/>
      </c>
      <c r="G204" s="1092" t="str">
        <f t="shared" ca="1" si="87"/>
        <v/>
      </c>
      <c r="H204" s="1093" t="str">
        <f t="shared" ca="1" si="87"/>
        <v/>
      </c>
      <c r="I204" s="1091" t="str">
        <f t="shared" ca="1" si="87"/>
        <v/>
      </c>
      <c r="J204" s="1091" t="str">
        <f t="shared" ca="1" si="87"/>
        <v/>
      </c>
      <c r="K204" s="1091" t="str">
        <f t="shared" ca="1" si="87"/>
        <v/>
      </c>
      <c r="L204" s="1092" t="str">
        <f t="shared" ca="1" si="87"/>
        <v/>
      </c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421"/>
      <c r="AL204" s="358"/>
      <c r="AM204" s="466" t="str">
        <f ca="1">IF(AM201&lt;&gt;"",INDEX(LOGEST(AM202:AQ202,AM201:AQ201),1),"")</f>
        <v/>
      </c>
      <c r="AN204" s="467"/>
      <c r="AO204" s="468" t="s">
        <v>78</v>
      </c>
      <c r="AP204" s="469">
        <f ca="1">IF(AP203="NP",0,AP203)*100</f>
        <v>0</v>
      </c>
      <c r="AQ204" s="470"/>
      <c r="AR204" s="471" t="str">
        <f ca="1">IF($AS203&gt;=AR201,IF($AS202&lt;=AR201,AR201))</f>
        <v/>
      </c>
      <c r="AS204" s="472" t="str">
        <f ca="1">IF($AS203&gt;=AS201,IF($AS202&lt;=AS201,AS201))</f>
        <v/>
      </c>
      <c r="AT204" s="472" t="str">
        <f ca="1">IF($AS203&gt;=AT201,IF($AS202&lt;=AT201,AT201))</f>
        <v/>
      </c>
      <c r="AU204" s="472" t="str">
        <f ca="1">IF($AS203&gt;=AU201,IF($AS202&lt;=AU201,AU201))</f>
        <v/>
      </c>
      <c r="AV204" s="472" t="str">
        <f ca="1">IF($AS203&gt;=AV201,IF($AS202&lt;=AV201,AV201))</f>
        <v/>
      </c>
      <c r="AW204" s="473" t="s">
        <v>139</v>
      </c>
      <c r="AX204" s="466"/>
      <c r="AY204" s="474"/>
      <c r="AZ204" s="475"/>
      <c r="BA204" s="467"/>
      <c r="BB204" s="467"/>
      <c r="BC204" s="467"/>
      <c r="BD204" s="467"/>
      <c r="BE204" s="476" t="s">
        <v>78</v>
      </c>
      <c r="BF204" s="477">
        <f ca="1">IF(AP204&lt;&gt;"",AP204,"")</f>
        <v>0</v>
      </c>
      <c r="BG204" s="477">
        <f ca="1">IF(BF204&lt;&gt;"",BF204,"")</f>
        <v>0</v>
      </c>
      <c r="BH204" s="467"/>
      <c r="BI204" s="467"/>
      <c r="BJ204" s="476" t="s">
        <v>139</v>
      </c>
      <c r="BK204" s="477">
        <f ca="1">IF(AW202&lt;&gt;"",AW202,"")</f>
        <v>0</v>
      </c>
      <c r="BL204" s="476" t="s">
        <v>78</v>
      </c>
      <c r="BM204" s="477">
        <f ca="1">IF(AW198&lt;&gt;"",AW198,"")</f>
        <v>0</v>
      </c>
      <c r="BN204" s="477">
        <f ca="1">IF(BM204&lt;&gt;"",BM204,"")</f>
        <v>0</v>
      </c>
      <c r="BO204" s="467"/>
      <c r="BP204" s="467"/>
      <c r="BQ204" s="470"/>
      <c r="BR204" s="478">
        <v>200</v>
      </c>
      <c r="BS204" s="479">
        <f ca="1">IF(BL202&lt;&gt;"",BL202*100,"")</f>
        <v>22.913159716640937</v>
      </c>
      <c r="BT204" s="1600">
        <f ca="1">IF(((0.2)*BT202)+((0.005)*(BT202)*(BV202))+((0.01)*(BU202)*(BW202))&lt;0,0,((0.2)*BT202)+((0.005)*(BT202)*(BV202))+((0.01)*(BU202)*(BW202)))</f>
        <v>0</v>
      </c>
      <c r="BU204" s="1600" t="e">
        <f ca="1">IF(((0.2)*BN202)+((0.005)*(BN202)*(BM204))+((0.01)*(BN203)*(#REF!))&lt;0,0,((0.2)*BN202)+((0.005)*(BN202)*(BM204))+((0.01)*(BN203)*(#REF!)))</f>
        <v>#VALUE!</v>
      </c>
      <c r="BV204" s="1590" t="str">
        <f ca="1">IF(BS204="","",IF(BY204&lt;&gt;"",BY204,IF(BY204="",BZ204)))</f>
        <v>A-1b</v>
      </c>
      <c r="BW204" s="1590"/>
      <c r="BX204" s="480"/>
      <c r="BY204" s="481" t="str">
        <f ca="1">IF(BZ201="NP","NP",IF(BY203=TRUE,"A-5",IF(BZ203=TRUE,"A-6",IF(CA203=TRUE,"A-7-5",IF(CB203=TRUE,"A-7-6","")))))</f>
        <v/>
      </c>
      <c r="BZ204" s="481" t="str">
        <f ca="1">IF(BX201=TRUE,"A-1a",IF(BY201=TRUE,"A-1b",IF(BZ201=TRUE,"A-3",IF(CA201=TRUE,"A-2-4",IF(CB201=TRUE,"A-2-5",IF(CC201=TRUE,"A-2-6",IF(CD201=TRUE,"A-2-7",IF(BX203=TRUE,"A-4"," "))))))))</f>
        <v>A-1b</v>
      </c>
      <c r="CA204" s="480"/>
      <c r="CB204" s="480"/>
      <c r="CC204" s="480"/>
      <c r="CD204" s="482"/>
      <c r="CE204" s="358"/>
      <c r="CF204" s="358"/>
      <c r="CG204" s="358"/>
      <c r="CH204" s="358"/>
      <c r="CI204" s="358"/>
      <c r="CJ204" s="358"/>
      <c r="CK204" s="358"/>
      <c r="CL204" s="358"/>
      <c r="CM204" s="358"/>
      <c r="CN204" s="358"/>
      <c r="CO204" s="358"/>
      <c r="CP204" s="358"/>
      <c r="CQ204" s="358"/>
      <c r="CR204" s="358"/>
      <c r="CS204" s="358"/>
      <c r="CT204" s="358"/>
      <c r="CU204" s="358"/>
      <c r="CV204" s="358"/>
      <c r="CW204" s="358"/>
      <c r="CX204" s="358"/>
      <c r="CY204" s="358"/>
      <c r="CZ204" s="358"/>
      <c r="DA204" s="358"/>
      <c r="DB204" s="358"/>
      <c r="DC204" s="358"/>
      <c r="DD204" s="358"/>
      <c r="DE204" s="358"/>
      <c r="DF204" s="358"/>
      <c r="DG204" s="358"/>
      <c r="DH204" s="358"/>
      <c r="DI204" s="358"/>
      <c r="DJ204" s="358"/>
      <c r="DK204" s="358"/>
      <c r="DL204" s="358"/>
      <c r="DM204" s="358"/>
      <c r="DN204" s="358"/>
      <c r="DO204" s="358"/>
      <c r="DP204" s="358"/>
      <c r="DQ204" s="358"/>
      <c r="DR204" s="358"/>
      <c r="DS204" s="358"/>
      <c r="DT204" s="358"/>
      <c r="DU204" s="358"/>
      <c r="DV204" s="358"/>
      <c r="DW204" s="358"/>
      <c r="DX204" s="358"/>
      <c r="DY204" s="358"/>
      <c r="DZ204" s="358"/>
      <c r="EA204" s="358"/>
      <c r="EB204" s="358"/>
      <c r="EC204" s="358"/>
      <c r="ED204" s="358"/>
      <c r="EE204" s="358"/>
      <c r="EF204" s="358"/>
      <c r="EG204" s="358"/>
      <c r="EH204" s="358"/>
      <c r="EI204" s="358"/>
      <c r="EJ204" s="358"/>
      <c r="EK204" s="358"/>
      <c r="EL204" s="358"/>
      <c r="EM204" s="358"/>
      <c r="EN204" s="358"/>
      <c r="EO204" s="358"/>
      <c r="EP204" s="358"/>
      <c r="EQ204" s="358"/>
      <c r="ER204" s="358"/>
      <c r="ES204" s="358"/>
      <c r="ET204" s="358"/>
      <c r="EU204" s="358"/>
      <c r="EV204" s="358"/>
      <c r="EW204" s="358"/>
      <c r="EX204" s="358"/>
      <c r="EY204" s="358"/>
      <c r="EZ204" s="371"/>
    </row>
    <row r="205" spans="1:156" s="251" customFormat="1" ht="12" customHeight="1" x14ac:dyDescent="0.35">
      <c r="A205" s="1566" t="s">
        <v>277</v>
      </c>
      <c r="B205" s="1567"/>
      <c r="C205" s="1094" t="str">
        <f t="shared" ref="C205:L205" ca="1" si="88">IF(C199&lt;&gt;"",C203/C204,"")</f>
        <v/>
      </c>
      <c r="D205" s="1095" t="str">
        <f t="shared" ca="1" si="88"/>
        <v/>
      </c>
      <c r="E205" s="1095" t="str">
        <f t="shared" ca="1" si="88"/>
        <v/>
      </c>
      <c r="F205" s="1095" t="str">
        <f t="shared" ca="1" si="88"/>
        <v/>
      </c>
      <c r="G205" s="1096" t="str">
        <f t="shared" ca="1" si="88"/>
        <v/>
      </c>
      <c r="H205" s="1097" t="str">
        <f t="shared" ca="1" si="88"/>
        <v/>
      </c>
      <c r="I205" s="1098" t="str">
        <f t="shared" ca="1" si="88"/>
        <v/>
      </c>
      <c r="J205" s="1098" t="str">
        <f t="shared" ca="1" si="88"/>
        <v/>
      </c>
      <c r="K205" s="1098" t="str">
        <f t="shared" ca="1" si="88"/>
        <v/>
      </c>
      <c r="L205" s="1099" t="str">
        <f t="shared" ca="1" si="88"/>
        <v/>
      </c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421"/>
      <c r="AL205" s="358"/>
      <c r="AM205" s="358"/>
      <c r="AN205" s="358"/>
      <c r="AO205" s="358"/>
      <c r="AP205" s="358"/>
      <c r="AQ205" s="358"/>
      <c r="AR205" s="358"/>
      <c r="AS205" s="358"/>
      <c r="AT205" s="358"/>
      <c r="AU205" s="358"/>
      <c r="AV205" s="358"/>
      <c r="AW205" s="358"/>
      <c r="AX205" s="358"/>
      <c r="AY205" s="358"/>
      <c r="AZ205" s="358"/>
      <c r="BA205" s="358"/>
      <c r="BB205" s="358"/>
      <c r="BC205" s="358"/>
      <c r="BD205" s="358"/>
      <c r="BE205" s="358"/>
      <c r="BF205" s="358"/>
      <c r="BG205" s="358"/>
      <c r="BH205" s="358"/>
      <c r="BI205" s="358"/>
      <c r="BJ205" s="358"/>
      <c r="BK205" s="358"/>
      <c r="BL205" s="358"/>
      <c r="BM205" s="358"/>
      <c r="BN205" s="358"/>
      <c r="BO205" s="358"/>
      <c r="BP205" s="358"/>
      <c r="BQ205" s="358"/>
      <c r="BR205" s="358"/>
      <c r="BS205" s="358"/>
      <c r="BT205" s="358"/>
      <c r="BU205" s="358"/>
      <c r="BV205" s="358"/>
      <c r="BW205" s="358"/>
      <c r="BX205" s="358"/>
      <c r="BY205" s="358"/>
      <c r="BZ205" s="358"/>
      <c r="CA205" s="358"/>
      <c r="CB205" s="358"/>
      <c r="CC205" s="358"/>
      <c r="CD205" s="358"/>
      <c r="CE205" s="358"/>
      <c r="CF205" s="358"/>
      <c r="CG205" s="358"/>
      <c r="CH205" s="358"/>
      <c r="CI205" s="358"/>
      <c r="CJ205" s="358"/>
      <c r="CK205" s="358"/>
      <c r="CL205" s="358"/>
      <c r="CM205" s="358"/>
      <c r="CN205" s="358"/>
      <c r="CO205" s="358"/>
      <c r="CP205" s="358"/>
      <c r="CQ205" s="358"/>
      <c r="CR205" s="358"/>
      <c r="CS205" s="358"/>
      <c r="CT205" s="358"/>
      <c r="CU205" s="358"/>
      <c r="CV205" s="358"/>
      <c r="CW205" s="358"/>
      <c r="CX205" s="358"/>
      <c r="CY205" s="358"/>
      <c r="CZ205" s="358"/>
      <c r="DA205" s="358"/>
      <c r="DB205" s="358"/>
      <c r="DC205" s="358"/>
      <c r="DD205" s="358"/>
      <c r="DE205" s="358"/>
      <c r="DF205" s="358"/>
      <c r="DG205" s="358"/>
      <c r="DH205" s="358"/>
      <c r="DI205" s="358"/>
      <c r="DJ205" s="358"/>
      <c r="DK205" s="358"/>
      <c r="DL205" s="358"/>
      <c r="DM205" s="358"/>
      <c r="DN205" s="358"/>
      <c r="DO205" s="358"/>
      <c r="DP205" s="358"/>
      <c r="DQ205" s="358"/>
      <c r="DR205" s="358"/>
      <c r="DS205" s="358"/>
      <c r="DT205" s="358"/>
      <c r="DU205" s="358"/>
      <c r="DV205" s="358"/>
      <c r="DW205" s="358"/>
      <c r="DX205" s="358"/>
      <c r="DY205" s="358"/>
      <c r="DZ205" s="358"/>
      <c r="EA205" s="358"/>
      <c r="EB205" s="358"/>
      <c r="EC205" s="358"/>
      <c r="ED205" s="358"/>
      <c r="EE205" s="358"/>
      <c r="EF205" s="358"/>
      <c r="EG205" s="358"/>
      <c r="EH205" s="358"/>
      <c r="EI205" s="358"/>
      <c r="EJ205" s="358"/>
      <c r="EK205" s="358"/>
      <c r="EL205" s="358"/>
      <c r="EM205" s="358"/>
      <c r="EN205" s="358"/>
      <c r="EO205" s="358"/>
      <c r="EP205" s="358"/>
      <c r="EQ205" s="358"/>
      <c r="ER205" s="358"/>
      <c r="ES205" s="358"/>
      <c r="ET205" s="358"/>
      <c r="EU205" s="358"/>
      <c r="EV205" s="358"/>
      <c r="EW205" s="358"/>
      <c r="EX205" s="358"/>
      <c r="EY205" s="358"/>
      <c r="EZ205" s="371"/>
    </row>
    <row r="206" spans="1:156" s="251" customFormat="1" ht="12" customHeight="1" x14ac:dyDescent="0.35">
      <c r="A206" s="1591" t="s">
        <v>96</v>
      </c>
      <c r="B206" s="1592"/>
      <c r="C206" s="1100" t="str">
        <f ca="1">IF(OR($N$8="",$N$8=0),"",IF(INDIRECT(ADDRESS(($AK206),COLUMN()+37,,,"Digitar Dados dos Ensaios"))&lt;&gt;"",INDIRECT(ADDRESS(($AK206),COLUMN()+37,,,"Digitar Dados dos Ensaios")),""))</f>
        <v/>
      </c>
      <c r="D206" s="1101" t="str">
        <f ca="1">IF(OR($N$8="",$N$8=0),"",IF(INDIRECT(ADDRESS(($AK206),COLUMN()+37,,,"Digitar Dados dos Ensaios"))&lt;&gt;"",INDIRECT(ADDRESS(($AK206),COLUMN()+37,,,"Digitar Dados dos Ensaios")),""))</f>
        <v/>
      </c>
      <c r="E206" s="1101" t="str">
        <f ca="1">IF(OR($N$8="",$N$8=0),"",IF(INDIRECT(ADDRESS(($AK206),COLUMN()+37,,,"Digitar Dados dos Ensaios"))&lt;&gt;"",INDIRECT(ADDRESS(($AK206),COLUMN()+37,,,"Digitar Dados dos Ensaios")),""))</f>
        <v/>
      </c>
      <c r="F206" s="1101" t="str">
        <f ca="1">IF(OR($N$8="",$N$8=0),"",IF(INDIRECT(ADDRESS(($AK206),COLUMN()+37,,,"Digitar Dados dos Ensaios"))&lt;&gt;"",INDIRECT(ADDRESS(($AK206),COLUMN()+37,,,"Digitar Dados dos Ensaios")),""))</f>
        <v/>
      </c>
      <c r="G206" s="1102" t="str">
        <f ca="1">IF(OR($N$8="",$N$8=0),"",IF(INDIRECT(ADDRESS(($AK206),COLUMN()+37,,,"Digitar Dados dos Ensaios"))&lt;&gt;"",INDIRECT(ADDRESS(($AK206),COLUMN()+37,,,"Digitar Dados dos Ensaios")),""))</f>
        <v/>
      </c>
      <c r="H206" s="1593" t="s">
        <v>278</v>
      </c>
      <c r="I206" s="1594"/>
      <c r="J206" s="1594"/>
      <c r="K206" s="1594" t="str">
        <f ca="1">IF(H199="","",COUNT(AR204:AV204))</f>
        <v/>
      </c>
      <c r="L206" s="1595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421">
        <f>AK201+1</f>
        <v>8</v>
      </c>
      <c r="AL206" s="358"/>
      <c r="AM206" s="358"/>
      <c r="AN206" s="358"/>
      <c r="AO206" s="358"/>
      <c r="AP206" s="358"/>
      <c r="AQ206" s="358"/>
      <c r="AR206" s="358"/>
      <c r="AS206" s="358"/>
      <c r="AT206" s="358"/>
      <c r="AU206" s="358"/>
      <c r="AV206" s="358"/>
      <c r="AW206" s="358"/>
      <c r="AX206" s="358"/>
      <c r="AY206" s="358"/>
      <c r="AZ206" s="358"/>
      <c r="BA206" s="358"/>
      <c r="BB206" s="358"/>
      <c r="BC206" s="358"/>
      <c r="BD206" s="358"/>
      <c r="BE206" s="358"/>
      <c r="BF206" s="358"/>
      <c r="BG206" s="358"/>
      <c r="BH206" s="358"/>
      <c r="BI206" s="358"/>
      <c r="BJ206" s="358"/>
      <c r="BK206" s="358"/>
      <c r="BL206" s="358"/>
      <c r="BM206" s="358"/>
      <c r="BN206" s="358"/>
      <c r="BO206" s="358"/>
      <c r="BP206" s="358"/>
      <c r="BQ206" s="358"/>
      <c r="BR206" s="358"/>
      <c r="BS206" s="358"/>
      <c r="BT206" s="358"/>
      <c r="BU206" s="358"/>
      <c r="BV206" s="358"/>
      <c r="BW206" s="358"/>
      <c r="BX206" s="358"/>
      <c r="BY206" s="358"/>
      <c r="BZ206" s="358"/>
      <c r="CA206" s="358"/>
      <c r="CB206" s="358"/>
      <c r="CC206" s="358"/>
      <c r="CD206" s="358"/>
      <c r="CE206" s="358"/>
      <c r="CF206" s="358"/>
      <c r="CG206" s="358"/>
      <c r="CH206" s="358"/>
      <c r="CI206" s="358"/>
      <c r="CJ206" s="358"/>
      <c r="CK206" s="358"/>
      <c r="CL206" s="358"/>
      <c r="CM206" s="358"/>
      <c r="CN206" s="358"/>
      <c r="CO206" s="358"/>
      <c r="CP206" s="358"/>
      <c r="CQ206" s="358"/>
      <c r="CR206" s="358"/>
      <c r="CS206" s="358"/>
      <c r="CT206" s="358"/>
      <c r="CU206" s="358"/>
      <c r="CV206" s="358"/>
      <c r="CW206" s="358"/>
      <c r="CX206" s="358"/>
      <c r="CY206" s="358"/>
      <c r="CZ206" s="358"/>
      <c r="DA206" s="358"/>
      <c r="DB206" s="358"/>
      <c r="DC206" s="358"/>
      <c r="DD206" s="358"/>
      <c r="DE206" s="358"/>
      <c r="DF206" s="358"/>
      <c r="DG206" s="358"/>
      <c r="DH206" s="358"/>
      <c r="DI206" s="358"/>
      <c r="DJ206" s="358"/>
      <c r="DK206" s="358"/>
      <c r="DL206" s="358"/>
      <c r="DM206" s="358"/>
      <c r="DN206" s="358"/>
      <c r="DO206" s="358"/>
      <c r="DP206" s="358"/>
      <c r="DQ206" s="358"/>
      <c r="DR206" s="358"/>
      <c r="DS206" s="358"/>
      <c r="DT206" s="358"/>
      <c r="DU206" s="358"/>
      <c r="DV206" s="358"/>
      <c r="DW206" s="358"/>
      <c r="DX206" s="358"/>
      <c r="DY206" s="358"/>
      <c r="DZ206" s="358"/>
      <c r="EA206" s="358"/>
      <c r="EB206" s="358"/>
      <c r="EC206" s="358"/>
      <c r="ED206" s="358"/>
      <c r="EE206" s="358"/>
      <c r="EF206" s="358"/>
      <c r="EG206" s="358"/>
      <c r="EH206" s="358"/>
      <c r="EI206" s="358"/>
      <c r="EJ206" s="358"/>
      <c r="EK206" s="358"/>
      <c r="EL206" s="358"/>
      <c r="EM206" s="358"/>
      <c r="EN206" s="358"/>
      <c r="EO206" s="358"/>
      <c r="EP206" s="358"/>
      <c r="EQ206" s="358"/>
      <c r="ER206" s="358"/>
      <c r="ES206" s="358"/>
      <c r="ET206" s="358"/>
      <c r="EU206" s="358"/>
      <c r="EV206" s="358"/>
      <c r="EW206" s="358"/>
      <c r="EX206" s="358"/>
      <c r="EY206" s="358"/>
      <c r="EZ206" s="371"/>
    </row>
    <row r="207" spans="1:156" s="251" customFormat="1" ht="12" customHeight="1" x14ac:dyDescent="0.35">
      <c r="A207" s="970"/>
      <c r="B207" s="971"/>
      <c r="C207" s="971"/>
      <c r="D207" s="971"/>
      <c r="E207" s="971"/>
      <c r="F207" s="971"/>
      <c r="G207" s="971"/>
      <c r="H207" s="971"/>
      <c r="I207" s="971"/>
      <c r="J207" s="971"/>
      <c r="K207" s="971"/>
      <c r="L207" s="972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421"/>
      <c r="AL207" s="358"/>
      <c r="AM207" s="358"/>
      <c r="AN207" s="358"/>
      <c r="AO207" s="358"/>
      <c r="AP207" s="358"/>
      <c r="AQ207" s="358"/>
      <c r="AR207" s="358"/>
      <c r="AS207" s="358"/>
      <c r="AT207" s="358"/>
      <c r="AU207" s="358"/>
      <c r="AV207" s="358"/>
      <c r="AW207" s="358"/>
      <c r="AX207" s="358"/>
      <c r="AY207" s="358"/>
      <c r="AZ207" s="358"/>
      <c r="BA207" s="358"/>
      <c r="BB207" s="358"/>
      <c r="BC207" s="358"/>
      <c r="BD207" s="358"/>
      <c r="BE207" s="358"/>
      <c r="BF207" s="358"/>
      <c r="BG207" s="358"/>
      <c r="BH207" s="358"/>
      <c r="BI207" s="358"/>
      <c r="BJ207" s="358"/>
      <c r="BK207" s="358"/>
      <c r="BL207" s="358"/>
      <c r="BM207" s="358"/>
      <c r="BN207" s="358"/>
      <c r="BO207" s="358"/>
      <c r="BP207" s="358"/>
      <c r="BQ207" s="358"/>
      <c r="BR207" s="358"/>
      <c r="BS207" s="358"/>
      <c r="BT207" s="358"/>
      <c r="BU207" s="358"/>
      <c r="BV207" s="358"/>
      <c r="BW207" s="358"/>
      <c r="BX207" s="358"/>
      <c r="BY207" s="358"/>
      <c r="BZ207" s="358"/>
      <c r="CA207" s="358"/>
      <c r="CB207" s="358"/>
      <c r="CC207" s="358"/>
      <c r="CD207" s="358"/>
      <c r="CE207" s="358"/>
      <c r="CF207" s="358"/>
      <c r="CG207" s="358"/>
      <c r="CH207" s="358"/>
      <c r="CI207" s="358"/>
      <c r="CJ207" s="358"/>
      <c r="CK207" s="358"/>
      <c r="CL207" s="358"/>
      <c r="CM207" s="358"/>
      <c r="CN207" s="358"/>
      <c r="CO207" s="358"/>
      <c r="CP207" s="358"/>
      <c r="CQ207" s="358"/>
      <c r="CR207" s="358"/>
      <c r="CS207" s="358"/>
      <c r="CT207" s="358"/>
      <c r="CU207" s="358"/>
      <c r="CV207" s="358"/>
      <c r="CW207" s="358"/>
      <c r="CX207" s="358"/>
      <c r="CY207" s="358"/>
      <c r="CZ207" s="358"/>
      <c r="DA207" s="358"/>
      <c r="DB207" s="358"/>
      <c r="DC207" s="358"/>
      <c r="DD207" s="358"/>
      <c r="DE207" s="358"/>
      <c r="DF207" s="358"/>
      <c r="DG207" s="358"/>
      <c r="DH207" s="358"/>
      <c r="DI207" s="358"/>
      <c r="DJ207" s="358"/>
      <c r="DK207" s="358"/>
      <c r="DL207" s="358"/>
      <c r="DM207" s="358"/>
      <c r="DN207" s="358"/>
      <c r="DO207" s="358"/>
      <c r="DP207" s="358"/>
      <c r="DQ207" s="358"/>
      <c r="DR207" s="358"/>
      <c r="DS207" s="358"/>
      <c r="DT207" s="358"/>
      <c r="DU207" s="358"/>
      <c r="DV207" s="358"/>
      <c r="DW207" s="358"/>
      <c r="DX207" s="358"/>
      <c r="DY207" s="358"/>
      <c r="DZ207" s="358"/>
      <c r="EA207" s="358"/>
      <c r="EB207" s="358"/>
      <c r="EC207" s="358"/>
      <c r="ED207" s="358"/>
      <c r="EE207" s="358"/>
      <c r="EF207" s="358"/>
      <c r="EG207" s="358"/>
      <c r="EH207" s="358"/>
      <c r="EI207" s="358"/>
      <c r="EJ207" s="358"/>
      <c r="EK207" s="358"/>
      <c r="EL207" s="358"/>
      <c r="EM207" s="358"/>
      <c r="EN207" s="358"/>
      <c r="EO207" s="358"/>
      <c r="EP207" s="358"/>
      <c r="EQ207" s="358"/>
      <c r="ER207" s="358"/>
      <c r="ES207" s="358"/>
      <c r="ET207" s="358"/>
      <c r="EU207" s="358"/>
      <c r="EV207" s="358"/>
      <c r="EW207" s="358"/>
      <c r="EX207" s="358"/>
      <c r="EY207" s="358"/>
      <c r="EZ207" s="371"/>
    </row>
    <row r="208" spans="1:156" s="251" customFormat="1" ht="12" customHeight="1" x14ac:dyDescent="0.35">
      <c r="A208" s="1233"/>
      <c r="B208" s="1103"/>
      <c r="C208" s="1103"/>
      <c r="D208" s="1103"/>
      <c r="E208" s="1103"/>
      <c r="F208" s="1103"/>
      <c r="G208" s="1103"/>
      <c r="H208" s="1103"/>
      <c r="I208" s="1104"/>
      <c r="J208" s="1429" t="s">
        <v>78</v>
      </c>
      <c r="K208" s="1430"/>
      <c r="L208" s="1105" t="str">
        <f ca="1">IF(AM203&lt;&gt;"",LN(25/AM203)/AN203,"NP")</f>
        <v>NP</v>
      </c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421"/>
      <c r="AL208" s="358"/>
      <c r="AM208" s="358"/>
      <c r="AN208" s="358"/>
      <c r="AO208" s="358"/>
      <c r="AP208" s="358"/>
      <c r="AQ208" s="358"/>
      <c r="AR208" s="358"/>
      <c r="AS208" s="358"/>
      <c r="AT208" s="358"/>
      <c r="AU208" s="358"/>
      <c r="AV208" s="358"/>
      <c r="AW208" s="358"/>
      <c r="AX208" s="358"/>
      <c r="AY208" s="358"/>
      <c r="AZ208" s="358"/>
      <c r="BA208" s="358"/>
      <c r="BB208" s="358"/>
      <c r="BC208" s="358"/>
      <c r="BD208" s="358"/>
      <c r="BE208" s="358"/>
      <c r="BF208" s="358"/>
      <c r="BG208" s="358"/>
      <c r="BH208" s="358"/>
      <c r="BI208" s="358"/>
      <c r="BJ208" s="358"/>
      <c r="BK208" s="358"/>
      <c r="BL208" s="358"/>
      <c r="BM208" s="358"/>
      <c r="BN208" s="358"/>
      <c r="BO208" s="358"/>
      <c r="BP208" s="358"/>
      <c r="BQ208" s="358"/>
      <c r="BR208" s="358"/>
      <c r="BS208" s="358"/>
      <c r="BT208" s="358"/>
      <c r="BU208" s="358"/>
      <c r="BV208" s="358"/>
      <c r="BW208" s="358"/>
      <c r="BX208" s="358"/>
      <c r="BY208" s="358"/>
      <c r="BZ208" s="358"/>
      <c r="CA208" s="358"/>
      <c r="CB208" s="358"/>
      <c r="CC208" s="358"/>
      <c r="CD208" s="358"/>
      <c r="CE208" s="358"/>
      <c r="CF208" s="358"/>
      <c r="CG208" s="358"/>
      <c r="CH208" s="358"/>
      <c r="CI208" s="358"/>
      <c r="CJ208" s="358"/>
      <c r="CK208" s="358"/>
      <c r="CL208" s="358"/>
      <c r="CM208" s="358"/>
      <c r="CN208" s="358"/>
      <c r="CO208" s="358"/>
      <c r="CP208" s="358"/>
      <c r="CQ208" s="358"/>
      <c r="CR208" s="358"/>
      <c r="CS208" s="358"/>
      <c r="CT208" s="358"/>
      <c r="CU208" s="358"/>
      <c r="CV208" s="358"/>
      <c r="CW208" s="358"/>
      <c r="CX208" s="358"/>
      <c r="CY208" s="358"/>
      <c r="CZ208" s="358"/>
      <c r="DA208" s="358"/>
      <c r="DB208" s="358"/>
      <c r="DC208" s="358"/>
      <c r="DD208" s="358"/>
      <c r="DE208" s="358"/>
      <c r="DF208" s="358"/>
      <c r="DG208" s="358"/>
      <c r="DH208" s="358"/>
      <c r="DI208" s="358"/>
      <c r="DJ208" s="358"/>
      <c r="DK208" s="358"/>
      <c r="DL208" s="358"/>
      <c r="DM208" s="358"/>
      <c r="DN208" s="358"/>
      <c r="DO208" s="358"/>
      <c r="DP208" s="358"/>
      <c r="DQ208" s="358"/>
      <c r="DR208" s="358"/>
      <c r="DS208" s="358"/>
      <c r="DT208" s="358"/>
      <c r="DU208" s="358"/>
      <c r="DV208" s="358"/>
      <c r="DW208" s="358"/>
      <c r="DX208" s="358"/>
      <c r="DY208" s="358"/>
      <c r="DZ208" s="358"/>
      <c r="EA208" s="358"/>
      <c r="EB208" s="358"/>
      <c r="EC208" s="358"/>
      <c r="ED208" s="358"/>
      <c r="EE208" s="358"/>
      <c r="EF208" s="358"/>
      <c r="EG208" s="358"/>
      <c r="EH208" s="358"/>
      <c r="EI208" s="358"/>
      <c r="EJ208" s="358"/>
      <c r="EK208" s="358"/>
      <c r="EL208" s="358"/>
      <c r="EM208" s="358"/>
      <c r="EN208" s="358"/>
      <c r="EO208" s="358"/>
      <c r="EP208" s="358"/>
      <c r="EQ208" s="358"/>
      <c r="ER208" s="358"/>
      <c r="ES208" s="358"/>
      <c r="ET208" s="358"/>
      <c r="EU208" s="358"/>
      <c r="EV208" s="358"/>
      <c r="EW208" s="358"/>
      <c r="EX208" s="358"/>
      <c r="EY208" s="358"/>
      <c r="EZ208" s="371"/>
    </row>
    <row r="209" spans="1:156" s="251" customFormat="1" ht="12" customHeight="1" x14ac:dyDescent="0.35">
      <c r="A209" s="1233"/>
      <c r="B209" s="1103"/>
      <c r="C209" s="1103"/>
      <c r="D209" s="1103"/>
      <c r="E209" s="1103"/>
      <c r="F209" s="1103"/>
      <c r="G209" s="1103"/>
      <c r="H209" s="1103"/>
      <c r="I209" s="1104"/>
      <c r="J209" s="1431" t="s">
        <v>139</v>
      </c>
      <c r="K209" s="1432"/>
      <c r="L209" s="1106" t="str">
        <f ca="1">IF(L208="NP","NP",IF(ISNUMBER(AV203),AV203,""))</f>
        <v>NP</v>
      </c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421"/>
      <c r="AL209" s="358"/>
      <c r="AM209" s="358"/>
      <c r="AN209" s="358"/>
      <c r="AO209" s="358"/>
      <c r="AP209" s="358"/>
      <c r="AQ209" s="358"/>
      <c r="AR209" s="358"/>
      <c r="AS209" s="358"/>
      <c r="AT209" s="358"/>
      <c r="AU209" s="358"/>
      <c r="AV209" s="358"/>
      <c r="AW209" s="358"/>
      <c r="AX209" s="358"/>
      <c r="AY209" s="358"/>
      <c r="AZ209" s="358"/>
      <c r="BA209" s="358"/>
      <c r="BB209" s="358"/>
      <c r="BC209" s="358"/>
      <c r="BD209" s="358"/>
      <c r="BE209" s="358"/>
      <c r="BF209" s="358"/>
      <c r="BG209" s="358"/>
      <c r="BH209" s="358"/>
      <c r="BI209" s="358"/>
      <c r="BJ209" s="358"/>
      <c r="BK209" s="358"/>
      <c r="BL209" s="358"/>
      <c r="BM209" s="358"/>
      <c r="BN209" s="358"/>
      <c r="BO209" s="358"/>
      <c r="BP209" s="358"/>
      <c r="BQ209" s="358"/>
      <c r="BR209" s="358"/>
      <c r="BS209" s="358"/>
      <c r="BT209" s="358"/>
      <c r="BU209" s="358"/>
      <c r="BV209" s="358"/>
      <c r="BW209" s="358"/>
      <c r="BX209" s="358"/>
      <c r="BY209" s="358"/>
      <c r="BZ209" s="358"/>
      <c r="CA209" s="358"/>
      <c r="CB209" s="358"/>
      <c r="CC209" s="358"/>
      <c r="CD209" s="358"/>
      <c r="CE209" s="358"/>
      <c r="CF209" s="358"/>
      <c r="CG209" s="358"/>
      <c r="CH209" s="358"/>
      <c r="CI209" s="358"/>
      <c r="CJ209" s="358"/>
      <c r="CK209" s="358"/>
      <c r="CL209" s="358"/>
      <c r="CM209" s="358"/>
      <c r="CN209" s="358"/>
      <c r="CO209" s="358"/>
      <c r="CP209" s="358"/>
      <c r="CQ209" s="358"/>
      <c r="CR209" s="358"/>
      <c r="CS209" s="358"/>
      <c r="CT209" s="358"/>
      <c r="CU209" s="358"/>
      <c r="CV209" s="358"/>
      <c r="CW209" s="358"/>
      <c r="CX209" s="358"/>
      <c r="CY209" s="358"/>
      <c r="CZ209" s="358"/>
      <c r="DA209" s="358"/>
      <c r="DB209" s="358"/>
      <c r="DC209" s="358"/>
      <c r="DD209" s="358"/>
      <c r="DE209" s="358"/>
      <c r="DF209" s="358"/>
      <c r="DG209" s="358"/>
      <c r="DH209" s="358"/>
      <c r="DI209" s="358"/>
      <c r="DJ209" s="358"/>
      <c r="DK209" s="358"/>
      <c r="DL209" s="358"/>
      <c r="DM209" s="358"/>
      <c r="DN209" s="358"/>
      <c r="DO209" s="358"/>
      <c r="DP209" s="358"/>
      <c r="DQ209" s="358"/>
      <c r="DR209" s="358"/>
      <c r="DS209" s="358"/>
      <c r="DT209" s="358"/>
      <c r="DU209" s="358"/>
      <c r="DV209" s="358"/>
      <c r="DW209" s="358"/>
      <c r="DX209" s="358"/>
      <c r="DY209" s="358"/>
      <c r="DZ209" s="358"/>
      <c r="EA209" s="358"/>
      <c r="EB209" s="358"/>
      <c r="EC209" s="358"/>
      <c r="ED209" s="358"/>
      <c r="EE209" s="358"/>
      <c r="EF209" s="358"/>
      <c r="EG209" s="358"/>
      <c r="EH209" s="358"/>
      <c r="EI209" s="358"/>
      <c r="EJ209" s="358"/>
      <c r="EK209" s="358"/>
      <c r="EL209" s="358"/>
      <c r="EM209" s="358"/>
      <c r="EN209" s="358"/>
      <c r="EO209" s="358"/>
      <c r="EP209" s="358"/>
      <c r="EQ209" s="358"/>
      <c r="ER209" s="358"/>
      <c r="ES209" s="358"/>
      <c r="ET209" s="358"/>
      <c r="EU209" s="358"/>
      <c r="EV209" s="358"/>
      <c r="EW209" s="358"/>
      <c r="EX209" s="358"/>
      <c r="EY209" s="358"/>
      <c r="EZ209" s="371"/>
    </row>
    <row r="210" spans="1:156" s="251" customFormat="1" ht="12" customHeight="1" x14ac:dyDescent="0.35">
      <c r="A210" s="1233"/>
      <c r="B210" s="1103"/>
      <c r="C210" s="1103"/>
      <c r="D210" s="1103"/>
      <c r="E210" s="1103"/>
      <c r="F210" s="1103"/>
      <c r="G210" s="1103"/>
      <c r="H210" s="1103"/>
      <c r="I210" s="1103"/>
      <c r="J210" s="1433" t="s">
        <v>69</v>
      </c>
      <c r="K210" s="1434"/>
      <c r="L210" s="1107" t="str">
        <f ca="1">IF(L208="NP","NP",IF(L208&lt;&gt;"",L208-L209,""))</f>
        <v>NP</v>
      </c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421"/>
      <c r="AL210" s="358"/>
      <c r="AM210" s="358"/>
      <c r="AN210" s="358"/>
      <c r="AO210" s="358"/>
      <c r="AP210" s="358"/>
      <c r="AQ210" s="358"/>
      <c r="AR210" s="358"/>
      <c r="AS210" s="358"/>
      <c r="AT210" s="358"/>
      <c r="AU210" s="358"/>
      <c r="AV210" s="358"/>
      <c r="AW210" s="358"/>
      <c r="AX210" s="358"/>
      <c r="AY210" s="358"/>
      <c r="AZ210" s="358"/>
      <c r="BA210" s="358"/>
      <c r="BB210" s="358"/>
      <c r="BC210" s="358"/>
      <c r="BD210" s="358"/>
      <c r="BE210" s="358"/>
      <c r="BF210" s="358"/>
      <c r="BG210" s="358"/>
      <c r="BH210" s="358"/>
      <c r="BI210" s="358"/>
      <c r="BJ210" s="358"/>
      <c r="BK210" s="358"/>
      <c r="BL210" s="358"/>
      <c r="BM210" s="358"/>
      <c r="BN210" s="358"/>
      <c r="BO210" s="358"/>
      <c r="BP210" s="358"/>
      <c r="BQ210" s="358"/>
      <c r="BR210" s="358"/>
      <c r="BS210" s="358"/>
      <c r="BT210" s="358"/>
      <c r="BU210" s="358"/>
      <c r="BV210" s="358"/>
      <c r="BW210" s="358"/>
      <c r="BX210" s="358"/>
      <c r="BY210" s="358"/>
      <c r="BZ210" s="358"/>
      <c r="CA210" s="358"/>
      <c r="CB210" s="358"/>
      <c r="CC210" s="358"/>
      <c r="CD210" s="358"/>
      <c r="CE210" s="358"/>
      <c r="CF210" s="358"/>
      <c r="CG210" s="358"/>
      <c r="CH210" s="358"/>
      <c r="CI210" s="358"/>
      <c r="CJ210" s="358"/>
      <c r="CK210" s="358"/>
      <c r="CL210" s="358"/>
      <c r="CM210" s="358"/>
      <c r="CN210" s="358"/>
      <c r="CO210" s="358"/>
      <c r="CP210" s="358"/>
      <c r="CQ210" s="358"/>
      <c r="CR210" s="358"/>
      <c r="CS210" s="358"/>
      <c r="CT210" s="358"/>
      <c r="CU210" s="358"/>
      <c r="CV210" s="358"/>
      <c r="CW210" s="358"/>
      <c r="CX210" s="358"/>
      <c r="CY210" s="358"/>
      <c r="CZ210" s="358"/>
      <c r="DA210" s="358"/>
      <c r="DB210" s="358"/>
      <c r="DC210" s="358"/>
      <c r="DD210" s="358"/>
      <c r="DE210" s="358"/>
      <c r="DF210" s="358"/>
      <c r="DG210" s="358"/>
      <c r="DH210" s="358"/>
      <c r="DI210" s="358"/>
      <c r="DJ210" s="358"/>
      <c r="DK210" s="358"/>
      <c r="DL210" s="358"/>
      <c r="DM210" s="358"/>
      <c r="DN210" s="358"/>
      <c r="DO210" s="358"/>
      <c r="DP210" s="358"/>
      <c r="DQ210" s="358"/>
      <c r="DR210" s="358"/>
      <c r="DS210" s="358"/>
      <c r="DT210" s="358"/>
      <c r="DU210" s="358"/>
      <c r="DV210" s="358"/>
      <c r="DW210" s="358"/>
      <c r="DX210" s="358"/>
      <c r="DY210" s="358"/>
      <c r="DZ210" s="358"/>
      <c r="EA210" s="358"/>
      <c r="EB210" s="358"/>
      <c r="EC210" s="358"/>
      <c r="ED210" s="358"/>
      <c r="EE210" s="358"/>
      <c r="EF210" s="358"/>
      <c r="EG210" s="358"/>
      <c r="EH210" s="358"/>
      <c r="EI210" s="358"/>
      <c r="EJ210" s="358"/>
      <c r="EK210" s="358"/>
      <c r="EL210" s="358"/>
      <c r="EM210" s="358"/>
      <c r="EN210" s="358"/>
      <c r="EO210" s="358"/>
      <c r="EP210" s="358"/>
      <c r="EQ210" s="358"/>
      <c r="ER210" s="358"/>
      <c r="ES210" s="358"/>
      <c r="ET210" s="358"/>
      <c r="EU210" s="358"/>
      <c r="EV210" s="358"/>
      <c r="EW210" s="358"/>
      <c r="EX210" s="358"/>
      <c r="EY210" s="358"/>
      <c r="EZ210" s="371"/>
    </row>
    <row r="211" spans="1:156" s="251" customFormat="1" ht="12" customHeight="1" x14ac:dyDescent="0.35">
      <c r="A211" s="1233"/>
      <c r="B211" s="1103"/>
      <c r="C211" s="1103"/>
      <c r="D211" s="1103"/>
      <c r="E211" s="1103"/>
      <c r="F211" s="1103"/>
      <c r="G211" s="1103"/>
      <c r="H211" s="1103"/>
      <c r="I211" s="1104"/>
      <c r="J211" s="1433" t="s">
        <v>279</v>
      </c>
      <c r="K211" s="1434"/>
      <c r="L211" s="1108">
        <f ca="1">IF(ISNUMBER(BT204),BT204,"")</f>
        <v>0</v>
      </c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421"/>
      <c r="AL211" s="358"/>
      <c r="AM211" s="358"/>
      <c r="AN211" s="358"/>
      <c r="AO211" s="358"/>
      <c r="AP211" s="358"/>
      <c r="AQ211" s="358"/>
      <c r="AR211" s="358"/>
      <c r="AS211" s="358"/>
      <c r="AT211" s="358"/>
      <c r="AU211" s="358"/>
      <c r="AV211" s="358"/>
      <c r="AW211" s="358"/>
      <c r="AX211" s="358"/>
      <c r="AY211" s="358"/>
      <c r="AZ211" s="358"/>
      <c r="BA211" s="358"/>
      <c r="BB211" s="358"/>
      <c r="BC211" s="358"/>
      <c r="BD211" s="358"/>
      <c r="BE211" s="358"/>
      <c r="BF211" s="358"/>
      <c r="BG211" s="358"/>
      <c r="BH211" s="358"/>
      <c r="BI211" s="358"/>
      <c r="BJ211" s="358"/>
      <c r="BK211" s="358"/>
      <c r="BL211" s="358"/>
      <c r="BM211" s="358"/>
      <c r="BN211" s="358"/>
      <c r="BO211" s="358"/>
      <c r="BP211" s="358"/>
      <c r="BQ211" s="358"/>
      <c r="BR211" s="358"/>
      <c r="BS211" s="358"/>
      <c r="BT211" s="358"/>
      <c r="BU211" s="358"/>
      <c r="BV211" s="358"/>
      <c r="BW211" s="358"/>
      <c r="BX211" s="358"/>
      <c r="BY211" s="358"/>
      <c r="BZ211" s="358"/>
      <c r="CA211" s="358"/>
      <c r="CB211" s="358"/>
      <c r="CC211" s="358"/>
      <c r="CD211" s="358"/>
      <c r="CE211" s="358"/>
      <c r="CF211" s="358"/>
      <c r="CG211" s="358"/>
      <c r="CH211" s="358"/>
      <c r="CI211" s="358"/>
      <c r="CJ211" s="358"/>
      <c r="CK211" s="358"/>
      <c r="CL211" s="358"/>
      <c r="CM211" s="358"/>
      <c r="CN211" s="358"/>
      <c r="CO211" s="358"/>
      <c r="CP211" s="358"/>
      <c r="CQ211" s="358"/>
      <c r="CR211" s="358"/>
      <c r="CS211" s="358"/>
      <c r="CT211" s="358"/>
      <c r="CU211" s="358"/>
      <c r="CV211" s="358"/>
      <c r="CW211" s="358"/>
      <c r="CX211" s="358"/>
      <c r="CY211" s="358"/>
      <c r="CZ211" s="358"/>
      <c r="DA211" s="358"/>
      <c r="DB211" s="358"/>
      <c r="DC211" s="358"/>
      <c r="DD211" s="358"/>
      <c r="DE211" s="358"/>
      <c r="DF211" s="358"/>
      <c r="DG211" s="358"/>
      <c r="DH211" s="358"/>
      <c r="DI211" s="358"/>
      <c r="DJ211" s="358"/>
      <c r="DK211" s="358"/>
      <c r="DL211" s="358"/>
      <c r="DM211" s="358"/>
      <c r="DN211" s="358"/>
      <c r="DO211" s="358"/>
      <c r="DP211" s="358"/>
      <c r="DQ211" s="358"/>
      <c r="DR211" s="358"/>
      <c r="DS211" s="358"/>
      <c r="DT211" s="358"/>
      <c r="DU211" s="358"/>
      <c r="DV211" s="358"/>
      <c r="DW211" s="358"/>
      <c r="DX211" s="358"/>
      <c r="DY211" s="358"/>
      <c r="DZ211" s="358"/>
      <c r="EA211" s="358"/>
      <c r="EB211" s="358"/>
      <c r="EC211" s="358"/>
      <c r="ED211" s="358"/>
      <c r="EE211" s="358"/>
      <c r="EF211" s="358"/>
      <c r="EG211" s="358"/>
      <c r="EH211" s="358"/>
      <c r="EI211" s="358"/>
      <c r="EJ211" s="358"/>
      <c r="EK211" s="358"/>
      <c r="EL211" s="358"/>
      <c r="EM211" s="358"/>
      <c r="EN211" s="358"/>
      <c r="EO211" s="358"/>
      <c r="EP211" s="358"/>
      <c r="EQ211" s="358"/>
      <c r="ER211" s="358"/>
      <c r="ES211" s="358"/>
      <c r="ET211" s="358"/>
      <c r="EU211" s="358"/>
      <c r="EV211" s="358"/>
      <c r="EW211" s="358"/>
      <c r="EX211" s="358"/>
      <c r="EY211" s="358"/>
      <c r="EZ211" s="371"/>
    </row>
    <row r="212" spans="1:156" s="251" customFormat="1" ht="12" customHeight="1" x14ac:dyDescent="0.35">
      <c r="A212" s="1233"/>
      <c r="B212" s="1103"/>
      <c r="C212" s="1103"/>
      <c r="D212" s="1103"/>
      <c r="E212" s="1103"/>
      <c r="F212" s="1103"/>
      <c r="G212" s="1109"/>
      <c r="H212" s="1103"/>
      <c r="I212" s="1110"/>
      <c r="J212" s="1435" t="s">
        <v>280</v>
      </c>
      <c r="K212" s="1436"/>
      <c r="L212" s="1111" t="str">
        <f ca="1">IF(BV204&lt;&gt;"",BV204,"")</f>
        <v>A-1b</v>
      </c>
      <c r="M212" s="16"/>
      <c r="N212" s="16"/>
      <c r="O212" s="529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421"/>
      <c r="AL212" s="358"/>
      <c r="AM212" s="358"/>
      <c r="AN212" s="358"/>
      <c r="AO212" s="358"/>
      <c r="AP212" s="358"/>
      <c r="AQ212" s="358"/>
      <c r="AR212" s="358"/>
      <c r="AS212" s="358"/>
      <c r="AT212" s="358"/>
      <c r="AU212" s="358"/>
      <c r="AV212" s="358"/>
      <c r="AW212" s="358"/>
      <c r="AX212" s="358"/>
      <c r="AY212" s="358"/>
      <c r="AZ212" s="358"/>
      <c r="BA212" s="358"/>
      <c r="BB212" s="358"/>
      <c r="BC212" s="358"/>
      <c r="BD212" s="358"/>
      <c r="BE212" s="358"/>
      <c r="BF212" s="358"/>
      <c r="BG212" s="358"/>
      <c r="BH212" s="358"/>
      <c r="BI212" s="358"/>
      <c r="BJ212" s="358"/>
      <c r="BK212" s="358"/>
      <c r="BL212" s="358"/>
      <c r="BM212" s="358"/>
      <c r="BN212" s="358"/>
      <c r="BO212" s="358"/>
      <c r="BP212" s="358"/>
      <c r="BQ212" s="358"/>
      <c r="BR212" s="358"/>
      <c r="BS212" s="358"/>
      <c r="BT212" s="358"/>
      <c r="BU212" s="358"/>
      <c r="BV212" s="358"/>
      <c r="BW212" s="358"/>
      <c r="BX212" s="358"/>
      <c r="BY212" s="358"/>
      <c r="BZ212" s="358"/>
      <c r="CA212" s="358"/>
      <c r="CB212" s="358"/>
      <c r="CC212" s="358"/>
      <c r="CD212" s="358"/>
      <c r="CE212" s="358"/>
      <c r="CF212" s="358"/>
      <c r="CG212" s="358"/>
      <c r="CH212" s="358"/>
      <c r="CI212" s="358"/>
      <c r="CJ212" s="358"/>
      <c r="CK212" s="358"/>
      <c r="CL212" s="358"/>
      <c r="CM212" s="358"/>
      <c r="CN212" s="358"/>
      <c r="CO212" s="358"/>
      <c r="CP212" s="358"/>
      <c r="CQ212" s="358"/>
      <c r="CR212" s="358"/>
      <c r="CS212" s="358"/>
      <c r="CT212" s="358"/>
      <c r="CU212" s="358"/>
      <c r="CV212" s="358"/>
      <c r="CW212" s="358"/>
      <c r="CX212" s="358"/>
      <c r="CY212" s="358"/>
      <c r="CZ212" s="358"/>
      <c r="DA212" s="358"/>
      <c r="DB212" s="358"/>
      <c r="DC212" s="358"/>
      <c r="DD212" s="358"/>
      <c r="DE212" s="358"/>
      <c r="DF212" s="358"/>
      <c r="DG212" s="358"/>
      <c r="DH212" s="358"/>
      <c r="DI212" s="358"/>
      <c r="DJ212" s="358"/>
      <c r="DK212" s="358"/>
      <c r="DL212" s="358"/>
      <c r="DM212" s="358"/>
      <c r="DN212" s="358"/>
      <c r="DO212" s="358"/>
      <c r="DP212" s="358"/>
      <c r="DQ212" s="358"/>
      <c r="DR212" s="358"/>
      <c r="DS212" s="358"/>
      <c r="DT212" s="358"/>
      <c r="DU212" s="358"/>
      <c r="DV212" s="358"/>
      <c r="DW212" s="358"/>
      <c r="DX212" s="358"/>
      <c r="DY212" s="358"/>
      <c r="DZ212" s="358"/>
      <c r="EA212" s="358"/>
      <c r="EB212" s="358"/>
      <c r="EC212" s="358"/>
      <c r="ED212" s="358"/>
      <c r="EE212" s="358"/>
      <c r="EF212" s="358"/>
      <c r="EG212" s="358"/>
      <c r="EH212" s="358"/>
      <c r="EI212" s="358"/>
      <c r="EJ212" s="358"/>
      <c r="EK212" s="358"/>
      <c r="EL212" s="358"/>
      <c r="EM212" s="358"/>
      <c r="EN212" s="358"/>
      <c r="EO212" s="358"/>
      <c r="EP212" s="358"/>
      <c r="EQ212" s="358"/>
      <c r="ER212" s="358"/>
      <c r="ES212" s="358"/>
      <c r="ET212" s="358"/>
      <c r="EU212" s="358"/>
      <c r="EV212" s="358"/>
      <c r="EW212" s="358"/>
      <c r="EX212" s="358"/>
      <c r="EY212" s="358"/>
      <c r="EZ212" s="371"/>
    </row>
    <row r="213" spans="1:156" s="251" customFormat="1" ht="12" customHeight="1" x14ac:dyDescent="0.35">
      <c r="A213" s="1233"/>
      <c r="B213" s="1103"/>
      <c r="C213" s="1103"/>
      <c r="D213" s="1103"/>
      <c r="E213" s="1103"/>
      <c r="F213" s="1103"/>
      <c r="G213" s="1103"/>
      <c r="H213" s="1103"/>
      <c r="I213" s="1103"/>
      <c r="J213" s="1437" t="s">
        <v>83</v>
      </c>
      <c r="K213" s="1438"/>
      <c r="L213" s="1112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421"/>
      <c r="AL213" s="358"/>
      <c r="AM213" s="358"/>
      <c r="AN213" s="358"/>
      <c r="AO213" s="358"/>
      <c r="AP213" s="358"/>
      <c r="AQ213" s="358"/>
      <c r="AR213" s="358"/>
      <c r="AS213" s="358"/>
      <c r="AT213" s="358"/>
      <c r="AU213" s="358"/>
      <c r="AV213" s="358"/>
      <c r="AW213" s="358"/>
      <c r="AX213" s="358"/>
      <c r="AY213" s="358"/>
      <c r="AZ213" s="358"/>
      <c r="BA213" s="358"/>
      <c r="BB213" s="358"/>
      <c r="BC213" s="358"/>
      <c r="BD213" s="358"/>
      <c r="BE213" s="358"/>
      <c r="BF213" s="358"/>
      <c r="BG213" s="358"/>
      <c r="BH213" s="358"/>
      <c r="BI213" s="358"/>
      <c r="BJ213" s="358"/>
      <c r="BK213" s="358"/>
      <c r="BL213" s="358"/>
      <c r="BM213" s="358"/>
      <c r="BN213" s="358"/>
      <c r="BO213" s="358"/>
      <c r="BP213" s="358"/>
      <c r="BQ213" s="358"/>
      <c r="BR213" s="358"/>
      <c r="BS213" s="358"/>
      <c r="BT213" s="358"/>
      <c r="BU213" s="358"/>
      <c r="BV213" s="358"/>
      <c r="BW213" s="358"/>
      <c r="BX213" s="358"/>
      <c r="BY213" s="358"/>
      <c r="BZ213" s="358"/>
      <c r="CA213" s="358"/>
      <c r="CB213" s="358"/>
      <c r="CC213" s="358"/>
      <c r="CD213" s="358"/>
      <c r="CE213" s="358"/>
      <c r="CF213" s="358"/>
      <c r="CG213" s="358"/>
      <c r="CH213" s="358"/>
      <c r="CI213" s="358"/>
      <c r="CJ213" s="358"/>
      <c r="CK213" s="358"/>
      <c r="CL213" s="358"/>
      <c r="CM213" s="358"/>
      <c r="CN213" s="358"/>
      <c r="CO213" s="358"/>
      <c r="CP213" s="358"/>
      <c r="CQ213" s="358"/>
      <c r="CR213" s="358"/>
      <c r="CS213" s="358"/>
      <c r="CT213" s="358"/>
      <c r="CU213" s="358"/>
      <c r="CV213" s="358"/>
      <c r="CW213" s="358"/>
      <c r="CX213" s="358"/>
      <c r="CY213" s="358"/>
      <c r="CZ213" s="358"/>
      <c r="DA213" s="358"/>
      <c r="DB213" s="358"/>
      <c r="DC213" s="358"/>
      <c r="DD213" s="358"/>
      <c r="DE213" s="358"/>
      <c r="DF213" s="358"/>
      <c r="DG213" s="358"/>
      <c r="DH213" s="358"/>
      <c r="DI213" s="358"/>
      <c r="DJ213" s="358"/>
      <c r="DK213" s="358"/>
      <c r="DL213" s="358"/>
      <c r="DM213" s="358"/>
      <c r="DN213" s="358"/>
      <c r="DO213" s="358"/>
      <c r="DP213" s="358"/>
      <c r="DQ213" s="358"/>
      <c r="DR213" s="358"/>
      <c r="DS213" s="358"/>
      <c r="DT213" s="358"/>
      <c r="DU213" s="358"/>
      <c r="DV213" s="358"/>
      <c r="DW213" s="358"/>
      <c r="DX213" s="358"/>
      <c r="DY213" s="358"/>
      <c r="DZ213" s="358"/>
      <c r="EA213" s="358"/>
      <c r="EB213" s="358"/>
      <c r="EC213" s="358"/>
      <c r="ED213" s="358"/>
      <c r="EE213" s="358"/>
      <c r="EF213" s="358"/>
      <c r="EG213" s="358"/>
      <c r="EH213" s="358"/>
      <c r="EI213" s="358"/>
      <c r="EJ213" s="358"/>
      <c r="EK213" s="358"/>
      <c r="EL213" s="358"/>
      <c r="EM213" s="358"/>
      <c r="EN213" s="358"/>
      <c r="EO213" s="358"/>
      <c r="EP213" s="358"/>
      <c r="EQ213" s="358"/>
      <c r="ER213" s="358"/>
      <c r="ES213" s="358"/>
      <c r="ET213" s="358"/>
      <c r="EU213" s="358"/>
      <c r="EV213" s="358"/>
      <c r="EW213" s="358"/>
      <c r="EX213" s="358"/>
      <c r="EY213" s="358"/>
      <c r="EZ213" s="371"/>
    </row>
    <row r="214" spans="1:156" s="251" customFormat="1" ht="5.15" customHeight="1" x14ac:dyDescent="0.35">
      <c r="A214" s="1233"/>
      <c r="B214" s="1103"/>
      <c r="C214" s="1103"/>
      <c r="D214" s="1103"/>
      <c r="E214" s="1103"/>
      <c r="F214" s="1103"/>
      <c r="G214" s="1109"/>
      <c r="H214" s="1103"/>
      <c r="I214" s="1113"/>
      <c r="J214" s="1110"/>
      <c r="K214" s="1110"/>
      <c r="L214" s="1114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421"/>
      <c r="AL214" s="358"/>
      <c r="AM214" s="358"/>
      <c r="AN214" s="358"/>
      <c r="AO214" s="358"/>
      <c r="AP214" s="358"/>
      <c r="AQ214" s="358"/>
      <c r="AR214" s="358"/>
      <c r="AS214" s="358"/>
      <c r="AT214" s="358"/>
      <c r="AU214" s="358"/>
      <c r="AV214" s="358"/>
      <c r="AW214" s="358"/>
      <c r="AX214" s="358"/>
      <c r="AY214" s="358"/>
      <c r="AZ214" s="358"/>
      <c r="BA214" s="358"/>
      <c r="BB214" s="358"/>
      <c r="BC214" s="358"/>
      <c r="BD214" s="358"/>
      <c r="BE214" s="358"/>
      <c r="BF214" s="358"/>
      <c r="BG214" s="358"/>
      <c r="BH214" s="358"/>
      <c r="BI214" s="358"/>
      <c r="BJ214" s="358"/>
      <c r="BK214" s="358"/>
      <c r="BL214" s="358"/>
      <c r="BM214" s="358"/>
      <c r="BN214" s="358"/>
      <c r="BO214" s="358"/>
      <c r="BP214" s="358"/>
      <c r="BQ214" s="358"/>
      <c r="BR214" s="358"/>
      <c r="BS214" s="358"/>
      <c r="BT214" s="358"/>
      <c r="BU214" s="358"/>
      <c r="BV214" s="358"/>
      <c r="BW214" s="358"/>
      <c r="BX214" s="358"/>
      <c r="BY214" s="358"/>
      <c r="BZ214" s="358"/>
      <c r="CA214" s="358"/>
      <c r="CB214" s="358"/>
      <c r="CC214" s="358"/>
      <c r="CD214" s="358"/>
      <c r="CE214" s="358"/>
      <c r="CF214" s="358"/>
      <c r="CG214" s="358"/>
      <c r="CH214" s="358"/>
      <c r="CI214" s="358"/>
      <c r="CJ214" s="358"/>
      <c r="CK214" s="358"/>
      <c r="CL214" s="358"/>
      <c r="CM214" s="358"/>
      <c r="CN214" s="358"/>
      <c r="CO214" s="358"/>
      <c r="CP214" s="358"/>
      <c r="CQ214" s="358"/>
      <c r="CR214" s="358"/>
      <c r="CS214" s="358"/>
      <c r="CT214" s="358"/>
      <c r="CU214" s="358"/>
      <c r="CV214" s="358"/>
      <c r="CW214" s="358"/>
      <c r="CX214" s="358"/>
      <c r="CY214" s="358"/>
      <c r="CZ214" s="358"/>
      <c r="DA214" s="358"/>
      <c r="DB214" s="358"/>
      <c r="DC214" s="358"/>
      <c r="DD214" s="358"/>
      <c r="DE214" s="358"/>
      <c r="DF214" s="358"/>
      <c r="DG214" s="358"/>
      <c r="DH214" s="358"/>
      <c r="DI214" s="358"/>
      <c r="DJ214" s="358"/>
      <c r="DK214" s="358"/>
      <c r="DL214" s="358"/>
      <c r="DM214" s="358"/>
      <c r="DN214" s="358"/>
      <c r="DO214" s="358"/>
      <c r="DP214" s="358"/>
      <c r="DQ214" s="358"/>
      <c r="DR214" s="358"/>
      <c r="DS214" s="358"/>
      <c r="DT214" s="358"/>
      <c r="DU214" s="358"/>
      <c r="DV214" s="358"/>
      <c r="DW214" s="358"/>
      <c r="DX214" s="358"/>
      <c r="DY214" s="358"/>
      <c r="DZ214" s="358"/>
      <c r="EA214" s="358"/>
      <c r="EB214" s="358"/>
      <c r="EC214" s="358"/>
      <c r="ED214" s="358"/>
      <c r="EE214" s="358"/>
      <c r="EF214" s="358"/>
      <c r="EG214" s="358"/>
      <c r="EH214" s="358"/>
      <c r="EI214" s="358"/>
      <c r="EJ214" s="358"/>
      <c r="EK214" s="358"/>
      <c r="EL214" s="358"/>
      <c r="EM214" s="358"/>
      <c r="EN214" s="358"/>
      <c r="EO214" s="358"/>
      <c r="EP214" s="358"/>
      <c r="EQ214" s="358"/>
      <c r="ER214" s="358"/>
      <c r="ES214" s="358"/>
      <c r="ET214" s="358"/>
      <c r="EU214" s="358"/>
      <c r="EV214" s="358"/>
      <c r="EW214" s="358"/>
      <c r="EX214" s="358"/>
      <c r="EY214" s="358"/>
      <c r="EZ214" s="371"/>
    </row>
    <row r="215" spans="1:156" s="251" customFormat="1" ht="12" customHeight="1" x14ac:dyDescent="0.3">
      <c r="A215" s="1233"/>
      <c r="B215" s="1103"/>
      <c r="C215" s="1103"/>
      <c r="D215" s="1115"/>
      <c r="E215" s="1115"/>
      <c r="F215" s="1115"/>
      <c r="G215" s="1115"/>
      <c r="H215" s="1115"/>
      <c r="I215" s="1116"/>
      <c r="J215" s="1501" t="s">
        <v>281</v>
      </c>
      <c r="K215" s="1502"/>
      <c r="L215" s="1503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421"/>
      <c r="AL215" s="358"/>
      <c r="AM215" s="358"/>
      <c r="AN215" s="358"/>
      <c r="AO215" s="358"/>
      <c r="AP215" s="358"/>
      <c r="AQ215" s="358"/>
      <c r="AR215" s="358"/>
      <c r="AS215" s="358"/>
      <c r="AT215" s="358"/>
      <c r="AU215" s="358"/>
      <c r="AV215" s="358"/>
      <c r="AW215" s="358"/>
      <c r="AX215" s="358"/>
      <c r="AY215" s="358"/>
      <c r="AZ215" s="358"/>
      <c r="BA215" s="358"/>
      <c r="BB215" s="358"/>
      <c r="BC215" s="358"/>
      <c r="BD215" s="358"/>
      <c r="BE215" s="358"/>
      <c r="BF215" s="358"/>
      <c r="BG215" s="358"/>
      <c r="BH215" s="358"/>
      <c r="BI215" s="358"/>
      <c r="BJ215" s="358"/>
      <c r="BK215" s="358"/>
      <c r="BL215" s="358"/>
      <c r="BM215" s="358"/>
      <c r="BN215" s="358"/>
      <c r="BO215" s="358"/>
      <c r="BP215" s="358"/>
      <c r="BQ215" s="358"/>
      <c r="BR215" s="358"/>
      <c r="BS215" s="358"/>
      <c r="BT215" s="358"/>
      <c r="BU215" s="358"/>
      <c r="BV215" s="358"/>
      <c r="BW215" s="358"/>
      <c r="BX215" s="358"/>
      <c r="BY215" s="358"/>
      <c r="BZ215" s="358"/>
      <c r="CA215" s="358"/>
      <c r="CB215" s="358"/>
      <c r="CC215" s="358"/>
      <c r="CD215" s="358"/>
      <c r="CE215" s="358"/>
      <c r="CF215" s="358"/>
      <c r="CG215" s="358"/>
      <c r="CH215" s="358"/>
      <c r="CI215" s="358"/>
      <c r="CJ215" s="358"/>
      <c r="CK215" s="358"/>
      <c r="CL215" s="358"/>
      <c r="CM215" s="358"/>
      <c r="CN215" s="358"/>
      <c r="CO215" s="358"/>
      <c r="CP215" s="358"/>
      <c r="CQ215" s="358"/>
      <c r="CR215" s="358"/>
      <c r="CS215" s="358"/>
      <c r="CT215" s="358"/>
      <c r="CU215" s="358"/>
      <c r="CV215" s="358"/>
      <c r="CW215" s="358"/>
      <c r="CX215" s="358"/>
      <c r="CY215" s="358"/>
      <c r="CZ215" s="358"/>
      <c r="DA215" s="358"/>
      <c r="DB215" s="358"/>
      <c r="DC215" s="358"/>
      <c r="DD215" s="358"/>
      <c r="DE215" s="358"/>
      <c r="DF215" s="358"/>
      <c r="DG215" s="358"/>
      <c r="DH215" s="358"/>
      <c r="DI215" s="358"/>
      <c r="DJ215" s="358"/>
      <c r="DK215" s="358"/>
      <c r="DL215" s="358"/>
      <c r="DM215" s="358"/>
      <c r="DN215" s="358"/>
      <c r="DO215" s="358"/>
      <c r="DP215" s="358"/>
      <c r="DQ215" s="358"/>
      <c r="DR215" s="358"/>
      <c r="DS215" s="358"/>
      <c r="DT215" s="358"/>
      <c r="DU215" s="358"/>
      <c r="DV215" s="358"/>
      <c r="DW215" s="358"/>
      <c r="DX215" s="358"/>
      <c r="DY215" s="358"/>
      <c r="DZ215" s="358"/>
      <c r="EA215" s="358"/>
      <c r="EB215" s="358"/>
      <c r="EC215" s="358"/>
      <c r="ED215" s="358"/>
      <c r="EE215" s="358"/>
      <c r="EF215" s="358"/>
      <c r="EG215" s="358"/>
      <c r="EH215" s="358"/>
      <c r="EI215" s="358"/>
      <c r="EJ215" s="358"/>
      <c r="EK215" s="358"/>
      <c r="EL215" s="358"/>
      <c r="EM215" s="358"/>
      <c r="EN215" s="358"/>
      <c r="EO215" s="358"/>
      <c r="EP215" s="358"/>
      <c r="EQ215" s="358"/>
      <c r="ER215" s="358"/>
      <c r="ES215" s="358"/>
      <c r="ET215" s="358"/>
      <c r="EU215" s="358"/>
      <c r="EV215" s="358"/>
      <c r="EW215" s="358"/>
      <c r="EX215" s="358"/>
      <c r="EY215" s="358"/>
      <c r="EZ215" s="371"/>
    </row>
    <row r="216" spans="1:156" s="251" customFormat="1" ht="12" customHeight="1" x14ac:dyDescent="0.3">
      <c r="A216" s="1233"/>
      <c r="B216" s="1117"/>
      <c r="C216" s="1117"/>
      <c r="D216" s="1117"/>
      <c r="E216" s="1118"/>
      <c r="F216" s="1103"/>
      <c r="G216" s="1103"/>
      <c r="H216" s="1103"/>
      <c r="I216" s="1116"/>
      <c r="J216" s="1119" t="s">
        <v>282</v>
      </c>
      <c r="K216" s="1120">
        <v>1</v>
      </c>
      <c r="L216" s="1121">
        <v>2</v>
      </c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421"/>
      <c r="AL216" s="358"/>
      <c r="AM216" s="358"/>
      <c r="AN216" s="358"/>
      <c r="AO216" s="358"/>
      <c r="AP216" s="358"/>
      <c r="AQ216" s="358"/>
      <c r="AR216" s="358"/>
      <c r="AS216" s="358"/>
      <c r="AT216" s="358"/>
      <c r="AU216" s="358"/>
      <c r="AV216" s="358"/>
      <c r="AW216" s="358"/>
      <c r="AX216" s="358"/>
      <c r="AY216" s="358"/>
      <c r="AZ216" s="358"/>
      <c r="BA216" s="358"/>
      <c r="BB216" s="358"/>
      <c r="BC216" s="358"/>
      <c r="BD216" s="358"/>
      <c r="BE216" s="358"/>
      <c r="BF216" s="358"/>
      <c r="BG216" s="358"/>
      <c r="BH216" s="358"/>
      <c r="BI216" s="358"/>
      <c r="BJ216" s="358"/>
      <c r="BK216" s="358"/>
      <c r="BL216" s="358"/>
      <c r="BM216" s="358"/>
      <c r="BN216" s="358"/>
      <c r="BO216" s="358"/>
      <c r="BP216" s="358"/>
      <c r="BQ216" s="358"/>
      <c r="BR216" s="358"/>
      <c r="BS216" s="358"/>
      <c r="BT216" s="358"/>
      <c r="BU216" s="358"/>
      <c r="BV216" s="358"/>
      <c r="BW216" s="358"/>
      <c r="BX216" s="358"/>
      <c r="BY216" s="358"/>
      <c r="BZ216" s="358"/>
      <c r="CA216" s="358"/>
      <c r="CB216" s="358"/>
      <c r="CC216" s="358"/>
      <c r="CD216" s="358"/>
      <c r="CE216" s="358"/>
      <c r="CF216" s="358"/>
      <c r="CG216" s="358"/>
      <c r="CH216" s="358"/>
      <c r="CI216" s="358"/>
      <c r="CJ216" s="358"/>
      <c r="CK216" s="358"/>
      <c r="CL216" s="358"/>
      <c r="CM216" s="358"/>
      <c r="CN216" s="358"/>
      <c r="CO216" s="358"/>
      <c r="CP216" s="358"/>
      <c r="CQ216" s="358"/>
      <c r="CR216" s="358"/>
      <c r="CS216" s="358"/>
      <c r="CT216" s="358"/>
      <c r="CU216" s="358"/>
      <c r="CV216" s="358"/>
      <c r="CW216" s="358"/>
      <c r="CX216" s="358"/>
      <c r="CY216" s="358"/>
      <c r="CZ216" s="358"/>
      <c r="DA216" s="358"/>
      <c r="DB216" s="358"/>
      <c r="DC216" s="358"/>
      <c r="DD216" s="358"/>
      <c r="DE216" s="358"/>
      <c r="DF216" s="358"/>
      <c r="DG216" s="358"/>
      <c r="DH216" s="358"/>
      <c r="DI216" s="358"/>
      <c r="DJ216" s="358"/>
      <c r="DK216" s="358"/>
      <c r="DL216" s="358"/>
      <c r="DM216" s="358"/>
      <c r="DN216" s="358"/>
      <c r="DO216" s="358"/>
      <c r="DP216" s="358"/>
      <c r="DQ216" s="358"/>
      <c r="DR216" s="358"/>
      <c r="DS216" s="358"/>
      <c r="DT216" s="358"/>
      <c r="DU216" s="358"/>
      <c r="DV216" s="358"/>
      <c r="DW216" s="358"/>
      <c r="DX216" s="358"/>
      <c r="DY216" s="358"/>
      <c r="DZ216" s="358"/>
      <c r="EA216" s="358"/>
      <c r="EB216" s="358"/>
      <c r="EC216" s="358"/>
      <c r="ED216" s="358"/>
      <c r="EE216" s="358"/>
      <c r="EF216" s="358"/>
      <c r="EG216" s="358"/>
      <c r="EH216" s="358"/>
      <c r="EI216" s="358"/>
      <c r="EJ216" s="358"/>
      <c r="EK216" s="358"/>
      <c r="EL216" s="358"/>
      <c r="EM216" s="358"/>
      <c r="EN216" s="358"/>
      <c r="EO216" s="358"/>
      <c r="EP216" s="358"/>
      <c r="EQ216" s="358"/>
      <c r="ER216" s="358"/>
      <c r="ES216" s="358"/>
      <c r="ET216" s="358"/>
      <c r="EU216" s="358"/>
      <c r="EV216" s="358"/>
      <c r="EW216" s="358"/>
      <c r="EX216" s="358"/>
      <c r="EY216" s="358"/>
      <c r="EZ216" s="371"/>
    </row>
    <row r="217" spans="1:156" s="251" customFormat="1" ht="12" customHeight="1" x14ac:dyDescent="0.3">
      <c r="A217" s="1233"/>
      <c r="B217" s="1117"/>
      <c r="C217" s="1117"/>
      <c r="D217" s="1117"/>
      <c r="E217" s="1118"/>
      <c r="F217" s="1103"/>
      <c r="G217" s="1103"/>
      <c r="H217" s="1103"/>
      <c r="I217" s="1116"/>
      <c r="J217" s="1119" t="s">
        <v>124</v>
      </c>
      <c r="K217" s="1122" t="str">
        <f ca="1">IF(OR($N$8="",$N$8=0),"",IF(INDIRECT(ADDRESS(($AK217),COLUMN()+39,,,"Digitar Dados dos Ensaios"))&lt;&gt;"",INDIRECT(ADDRESS(($AK217),COLUMN()+39,,,"Digitar Dados dos Ensaios")),""))</f>
        <v/>
      </c>
      <c r="L217" s="1123" t="str">
        <f ca="1">IF(OR($N$8="",$N$8=0),"",IF(INDIRECT(ADDRESS(($AK217),COLUMN()+41,,,"Digitar Dados dos Ensaios"))&lt;&gt;"",INDIRECT(ADDRESS(($AK217),COLUMN()+41,,,"Digitar Dados dos Ensaios")),""))</f>
        <v/>
      </c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421">
        <f>AK7+6</f>
        <v>10</v>
      </c>
      <c r="AL217" s="358"/>
      <c r="AM217" s="358"/>
      <c r="AN217" s="358"/>
      <c r="AO217" s="358"/>
      <c r="AP217" s="358"/>
      <c r="AQ217" s="358"/>
      <c r="AR217" s="358"/>
      <c r="AS217" s="358"/>
      <c r="AT217" s="358"/>
      <c r="AU217" s="358"/>
      <c r="AV217" s="358"/>
      <c r="AW217" s="358"/>
      <c r="AX217" s="358"/>
      <c r="AY217" s="358"/>
      <c r="AZ217" s="358"/>
      <c r="BA217" s="358"/>
      <c r="BB217" s="358"/>
      <c r="BC217" s="358"/>
      <c r="BD217" s="358"/>
      <c r="BE217" s="358"/>
      <c r="BF217" s="358"/>
      <c r="BG217" s="358"/>
      <c r="BH217" s="358"/>
      <c r="BI217" s="358"/>
      <c r="BJ217" s="358"/>
      <c r="BK217" s="358"/>
      <c r="BL217" s="358"/>
      <c r="BM217" s="358"/>
      <c r="BN217" s="358"/>
      <c r="BO217" s="358"/>
      <c r="BP217" s="358"/>
      <c r="BQ217" s="358"/>
      <c r="BR217" s="358"/>
      <c r="BS217" s="358"/>
      <c r="BT217" s="358"/>
      <c r="BU217" s="358"/>
      <c r="BV217" s="358"/>
      <c r="BW217" s="358"/>
      <c r="BX217" s="358"/>
      <c r="BY217" s="358"/>
      <c r="BZ217" s="358"/>
      <c r="CA217" s="358"/>
      <c r="CB217" s="358"/>
      <c r="CC217" s="358"/>
      <c r="CD217" s="358"/>
      <c r="CE217" s="358"/>
      <c r="CF217" s="358"/>
      <c r="CG217" s="358"/>
      <c r="CH217" s="358"/>
      <c r="CI217" s="358"/>
      <c r="CJ217" s="358"/>
      <c r="CK217" s="358"/>
      <c r="CL217" s="358"/>
      <c r="CM217" s="358"/>
      <c r="CN217" s="358"/>
      <c r="CO217" s="358"/>
      <c r="CP217" s="358"/>
      <c r="CQ217" s="358"/>
      <c r="CR217" s="358"/>
      <c r="CS217" s="358"/>
      <c r="CT217" s="358"/>
      <c r="CU217" s="358"/>
      <c r="CV217" s="358"/>
      <c r="CW217" s="358"/>
      <c r="CX217" s="358"/>
      <c r="CY217" s="358"/>
      <c r="CZ217" s="358"/>
      <c r="DA217" s="358"/>
      <c r="DB217" s="358"/>
      <c r="DC217" s="358"/>
      <c r="DD217" s="358"/>
      <c r="DE217" s="358"/>
      <c r="DF217" s="358"/>
      <c r="DG217" s="358"/>
      <c r="DH217" s="358"/>
      <c r="DI217" s="358"/>
      <c r="DJ217" s="358"/>
      <c r="DK217" s="358"/>
      <c r="DL217" s="358"/>
      <c r="DM217" s="358"/>
      <c r="DN217" s="358"/>
      <c r="DO217" s="358"/>
      <c r="DP217" s="358"/>
      <c r="DQ217" s="358"/>
      <c r="DR217" s="358"/>
      <c r="DS217" s="358"/>
      <c r="DT217" s="358"/>
      <c r="DU217" s="358"/>
      <c r="DV217" s="358"/>
      <c r="DW217" s="358"/>
      <c r="DX217" s="358"/>
      <c r="DY217" s="358"/>
      <c r="DZ217" s="358"/>
      <c r="EA217" s="358"/>
      <c r="EB217" s="358"/>
      <c r="EC217" s="358"/>
      <c r="ED217" s="358"/>
      <c r="EE217" s="358"/>
      <c r="EF217" s="358"/>
      <c r="EG217" s="358"/>
      <c r="EH217" s="358"/>
      <c r="EI217" s="358"/>
      <c r="EJ217" s="358"/>
      <c r="EK217" s="358"/>
      <c r="EL217" s="358"/>
      <c r="EM217" s="358"/>
      <c r="EN217" s="358"/>
      <c r="EO217" s="358"/>
      <c r="EP217" s="358"/>
      <c r="EQ217" s="358"/>
      <c r="ER217" s="358"/>
      <c r="ES217" s="358"/>
      <c r="ET217" s="358"/>
      <c r="EU217" s="358"/>
      <c r="EV217" s="358"/>
      <c r="EW217" s="358"/>
      <c r="EX217" s="358"/>
      <c r="EY217" s="358"/>
      <c r="EZ217" s="371"/>
    </row>
    <row r="218" spans="1:156" s="251" customFormat="1" ht="15" customHeight="1" x14ac:dyDescent="0.3">
      <c r="A218" s="1233"/>
      <c r="B218" s="1124"/>
      <c r="C218" s="1124"/>
      <c r="D218" s="1103"/>
      <c r="E218" s="1103"/>
      <c r="F218" s="1103"/>
      <c r="G218" s="1103"/>
      <c r="H218" s="1103"/>
      <c r="I218" s="1116"/>
      <c r="J218" s="1119" t="s">
        <v>135</v>
      </c>
      <c r="K218" s="1122" t="str">
        <f ca="1">IF(OR($N$8="",$N$8=0),"",IF(INDIRECT(ADDRESS(($AK218),COLUMN()+39,,,"Digitar Dados dos Ensaios"))&lt;&gt;"",INDIRECT(ADDRESS(($AK218),COLUMN()+39,,,"Digitar Dados dos Ensaios")),""))</f>
        <v/>
      </c>
      <c r="L218" s="1123" t="str">
        <f ca="1">IF(OR($N$8="",$N$8=0),"",IF(INDIRECT(ADDRESS(($AK218),COLUMN()+41,,,"Digitar Dados dos Ensaios"))&lt;&gt;"",INDIRECT(ADDRESS(($AK218),COLUMN()+41,,,"Digitar Dados dos Ensaios")),""))</f>
        <v/>
      </c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421">
        <f>AK7+7</f>
        <v>11</v>
      </c>
      <c r="AL218" s="358"/>
      <c r="AM218" s="358"/>
      <c r="AN218" s="358"/>
      <c r="AO218" s="358"/>
      <c r="AP218" s="358"/>
      <c r="AQ218" s="358"/>
      <c r="AR218" s="358"/>
      <c r="AS218" s="358"/>
      <c r="AT218" s="358"/>
      <c r="AU218" s="358"/>
      <c r="AV218" s="358"/>
      <c r="AW218" s="358"/>
      <c r="AX218" s="358"/>
      <c r="AY218" s="358"/>
      <c r="AZ218" s="358"/>
      <c r="BA218" s="358"/>
      <c r="BB218" s="358"/>
      <c r="BC218" s="358"/>
      <c r="BD218" s="358"/>
      <c r="BE218" s="358"/>
      <c r="BF218" s="358"/>
      <c r="BG218" s="358"/>
      <c r="BH218" s="358"/>
      <c r="BI218" s="358"/>
      <c r="BJ218" s="358"/>
      <c r="BK218" s="358"/>
      <c r="BL218" s="358"/>
      <c r="BM218" s="358"/>
      <c r="BN218" s="358"/>
      <c r="BO218" s="358"/>
      <c r="BP218" s="358"/>
      <c r="BQ218" s="358"/>
      <c r="BR218" s="358"/>
      <c r="BS218" s="358"/>
      <c r="BT218" s="358"/>
      <c r="BU218" s="358"/>
      <c r="BV218" s="358"/>
      <c r="BW218" s="358"/>
      <c r="BX218" s="358"/>
      <c r="BY218" s="358"/>
      <c r="BZ218" s="358"/>
      <c r="CA218" s="358"/>
      <c r="CB218" s="358"/>
      <c r="CC218" s="358"/>
      <c r="CD218" s="358"/>
      <c r="CE218" s="358"/>
      <c r="CF218" s="358"/>
      <c r="CG218" s="358"/>
      <c r="CH218" s="358"/>
      <c r="CI218" s="358"/>
      <c r="CJ218" s="358"/>
      <c r="CK218" s="358"/>
      <c r="CL218" s="358"/>
      <c r="CM218" s="358"/>
      <c r="CN218" s="358"/>
      <c r="CO218" s="358"/>
      <c r="CP218" s="358"/>
      <c r="CQ218" s="358"/>
      <c r="CR218" s="358"/>
      <c r="CS218" s="358"/>
      <c r="CT218" s="358"/>
      <c r="CU218" s="358"/>
      <c r="CV218" s="358"/>
      <c r="CW218" s="358"/>
      <c r="CX218" s="358"/>
      <c r="CY218" s="358"/>
      <c r="CZ218" s="358"/>
      <c r="DA218" s="358"/>
      <c r="DB218" s="358"/>
      <c r="DC218" s="358"/>
      <c r="DD218" s="358"/>
      <c r="DE218" s="358"/>
      <c r="DF218" s="358"/>
      <c r="DG218" s="358"/>
      <c r="DH218" s="358"/>
      <c r="DI218" s="358"/>
      <c r="DJ218" s="358"/>
      <c r="DK218" s="358"/>
      <c r="DL218" s="358"/>
      <c r="DM218" s="358"/>
      <c r="DN218" s="358"/>
      <c r="DO218" s="358"/>
      <c r="DP218" s="358"/>
      <c r="DQ218" s="358"/>
      <c r="DR218" s="358"/>
      <c r="DS218" s="358"/>
      <c r="DT218" s="358"/>
      <c r="DU218" s="358"/>
      <c r="DV218" s="358"/>
      <c r="DW218" s="358"/>
      <c r="DX218" s="358"/>
      <c r="DY218" s="358"/>
      <c r="DZ218" s="358"/>
      <c r="EA218" s="358"/>
      <c r="EB218" s="358"/>
      <c r="EC218" s="358"/>
      <c r="ED218" s="358"/>
      <c r="EE218" s="358"/>
      <c r="EF218" s="358"/>
      <c r="EG218" s="358"/>
      <c r="EH218" s="358"/>
      <c r="EI218" s="358"/>
      <c r="EJ218" s="358"/>
      <c r="EK218" s="358"/>
      <c r="EL218" s="358"/>
      <c r="EM218" s="358"/>
      <c r="EN218" s="358"/>
      <c r="EO218" s="358"/>
      <c r="EP218" s="358"/>
      <c r="EQ218" s="358"/>
      <c r="ER218" s="358"/>
      <c r="ES218" s="358"/>
      <c r="ET218" s="358"/>
      <c r="EU218" s="358"/>
      <c r="EV218" s="358"/>
      <c r="EW218" s="358"/>
      <c r="EX218" s="358"/>
      <c r="EY218" s="358"/>
      <c r="EZ218" s="371"/>
    </row>
    <row r="219" spans="1:156" s="251" customFormat="1" ht="15" customHeight="1" x14ac:dyDescent="0.35">
      <c r="A219" s="1233"/>
      <c r="B219" s="1103"/>
      <c r="C219" s="1103"/>
      <c r="D219" s="1103"/>
      <c r="E219" s="1103"/>
      <c r="F219" s="1103"/>
      <c r="G219" s="1103"/>
      <c r="H219" s="1103"/>
      <c r="I219" s="1125"/>
      <c r="J219" s="1126" t="s">
        <v>283</v>
      </c>
      <c r="K219" s="1127" t="str">
        <f ca="1">IF(AND(K217&gt;0,ISNUMBER(K217)),K218/K217,"")</f>
        <v/>
      </c>
      <c r="L219" s="1128" t="str">
        <f ca="1">IF(AND(L217&gt;0,ISNUMBER(L217)),L218/L217,"")</f>
        <v/>
      </c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421"/>
      <c r="AL219" s="358"/>
      <c r="AM219" s="358"/>
      <c r="AN219" s="358"/>
      <c r="AO219" s="358"/>
      <c r="AP219" s="358"/>
      <c r="AQ219" s="358"/>
      <c r="AR219" s="358"/>
      <c r="AS219" s="358"/>
      <c r="AT219" s="358"/>
      <c r="AU219" s="358"/>
      <c r="AV219" s="358"/>
      <c r="AW219" s="358"/>
      <c r="AX219" s="358"/>
      <c r="AY219" s="358"/>
      <c r="AZ219" s="358"/>
      <c r="BA219" s="358"/>
      <c r="BB219" s="358"/>
      <c r="BC219" s="358"/>
      <c r="BD219" s="358"/>
      <c r="BE219" s="358"/>
      <c r="BF219" s="358"/>
      <c r="BG219" s="358"/>
      <c r="BH219" s="358"/>
      <c r="BI219" s="358"/>
      <c r="BJ219" s="358"/>
      <c r="BK219" s="358"/>
      <c r="BL219" s="358"/>
      <c r="BM219" s="358"/>
      <c r="BN219" s="358"/>
      <c r="BO219" s="358"/>
      <c r="BP219" s="358"/>
      <c r="BQ219" s="358"/>
      <c r="BR219" s="358"/>
      <c r="BS219" s="358"/>
      <c r="BT219" s="358"/>
      <c r="BU219" s="358"/>
      <c r="BV219" s="358"/>
      <c r="BW219" s="358"/>
      <c r="BX219" s="358"/>
      <c r="BY219" s="358"/>
      <c r="BZ219" s="358"/>
      <c r="CA219" s="358"/>
      <c r="CB219" s="358"/>
      <c r="CC219" s="358"/>
      <c r="CD219" s="358"/>
      <c r="CE219" s="358"/>
      <c r="CF219" s="358"/>
      <c r="CG219" s="358"/>
      <c r="CH219" s="358"/>
      <c r="CI219" s="358"/>
      <c r="CJ219" s="358"/>
      <c r="CK219" s="358"/>
      <c r="CL219" s="358"/>
      <c r="CM219" s="358"/>
      <c r="CN219" s="358"/>
      <c r="CO219" s="358"/>
      <c r="CP219" s="358"/>
      <c r="CQ219" s="358"/>
      <c r="CR219" s="358"/>
      <c r="CS219" s="358"/>
      <c r="CT219" s="358"/>
      <c r="CU219" s="358"/>
      <c r="CV219" s="358"/>
      <c r="CW219" s="358"/>
      <c r="CX219" s="358"/>
      <c r="CY219" s="358"/>
      <c r="CZ219" s="358"/>
      <c r="DA219" s="358"/>
      <c r="DB219" s="358"/>
      <c r="DC219" s="358"/>
      <c r="DD219" s="358"/>
      <c r="DE219" s="358"/>
      <c r="DF219" s="358"/>
      <c r="DG219" s="358"/>
      <c r="DH219" s="358"/>
      <c r="DI219" s="358"/>
      <c r="DJ219" s="358"/>
      <c r="DK219" s="358"/>
      <c r="DL219" s="358"/>
      <c r="DM219" s="358"/>
      <c r="DN219" s="358"/>
      <c r="DO219" s="358"/>
      <c r="DP219" s="358"/>
      <c r="DQ219" s="358"/>
      <c r="DR219" s="358"/>
      <c r="DS219" s="358"/>
      <c r="DT219" s="358"/>
      <c r="DU219" s="358"/>
      <c r="DV219" s="358"/>
      <c r="DW219" s="358"/>
      <c r="DX219" s="358"/>
      <c r="DY219" s="358"/>
      <c r="DZ219" s="358"/>
      <c r="EA219" s="358"/>
      <c r="EB219" s="358"/>
      <c r="EC219" s="358"/>
      <c r="ED219" s="358"/>
      <c r="EE219" s="358"/>
      <c r="EF219" s="358"/>
      <c r="EG219" s="358"/>
      <c r="EH219" s="358"/>
      <c r="EI219" s="358"/>
      <c r="EJ219" s="358"/>
      <c r="EK219" s="358"/>
      <c r="EL219" s="358"/>
      <c r="EM219" s="358"/>
      <c r="EN219" s="358"/>
      <c r="EO219" s="358"/>
      <c r="EP219" s="358"/>
      <c r="EQ219" s="358"/>
      <c r="ER219" s="358"/>
      <c r="ES219" s="358"/>
      <c r="ET219" s="358"/>
      <c r="EU219" s="358"/>
      <c r="EV219" s="358"/>
      <c r="EW219" s="358"/>
      <c r="EX219" s="358"/>
      <c r="EY219" s="358"/>
      <c r="EZ219" s="371"/>
    </row>
    <row r="220" spans="1:156" s="251" customFormat="1" ht="15" customHeight="1" x14ac:dyDescent="0.35">
      <c r="A220" s="1233"/>
      <c r="B220" s="1103"/>
      <c r="C220" s="1103"/>
      <c r="D220" s="1103"/>
      <c r="E220" s="1103"/>
      <c r="F220" s="1103"/>
      <c r="G220" s="1103"/>
      <c r="H220" s="1103"/>
      <c r="I220" s="1125"/>
      <c r="J220" s="1129" t="s">
        <v>284</v>
      </c>
      <c r="K220" s="1504" t="str">
        <f ca="1">IF(AND(K219&gt;0,ISNUMBER(K219)),AVERAGE(K219:L219),"")</f>
        <v/>
      </c>
      <c r="L220" s="1505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421"/>
      <c r="AL220" s="358"/>
      <c r="AM220" s="358"/>
      <c r="AN220" s="358"/>
      <c r="AO220" s="358"/>
      <c r="AP220" s="358"/>
      <c r="AQ220" s="358"/>
      <c r="AR220" s="358"/>
      <c r="AS220" s="358"/>
      <c r="AT220" s="358"/>
      <c r="AU220" s="358"/>
      <c r="AV220" s="358"/>
      <c r="AW220" s="358"/>
      <c r="AX220" s="358"/>
      <c r="AY220" s="358"/>
      <c r="AZ220" s="358"/>
      <c r="BA220" s="358"/>
      <c r="BB220" s="358"/>
      <c r="BC220" s="358"/>
      <c r="BD220" s="358"/>
      <c r="BE220" s="358"/>
      <c r="BF220" s="358"/>
      <c r="BG220" s="358"/>
      <c r="BH220" s="358"/>
      <c r="BI220" s="358"/>
      <c r="BJ220" s="358"/>
      <c r="BK220" s="358"/>
      <c r="BL220" s="358"/>
      <c r="BM220" s="358"/>
      <c r="BN220" s="358"/>
      <c r="BO220" s="358"/>
      <c r="BP220" s="358"/>
      <c r="BQ220" s="358"/>
      <c r="BR220" s="358"/>
      <c r="BS220" s="358"/>
      <c r="BT220" s="358"/>
      <c r="BU220" s="358"/>
      <c r="BV220" s="358"/>
      <c r="BW220" s="358"/>
      <c r="BX220" s="358"/>
      <c r="BY220" s="358"/>
      <c r="BZ220" s="358"/>
      <c r="CA220" s="358"/>
      <c r="CB220" s="358"/>
      <c r="CC220" s="358"/>
      <c r="CD220" s="358"/>
      <c r="CE220" s="358"/>
      <c r="CF220" s="358"/>
      <c r="CG220" s="358"/>
      <c r="CH220" s="358"/>
      <c r="CI220" s="358"/>
      <c r="CJ220" s="358"/>
      <c r="CK220" s="358"/>
      <c r="CL220" s="358"/>
      <c r="CM220" s="358"/>
      <c r="CN220" s="358"/>
      <c r="CO220" s="358"/>
      <c r="CP220" s="358"/>
      <c r="CQ220" s="358"/>
      <c r="CR220" s="358"/>
      <c r="CS220" s="358"/>
      <c r="CT220" s="358"/>
      <c r="CU220" s="358"/>
      <c r="CV220" s="358"/>
      <c r="CW220" s="358"/>
      <c r="CX220" s="358"/>
      <c r="CY220" s="358"/>
      <c r="CZ220" s="358"/>
      <c r="DA220" s="358"/>
      <c r="DB220" s="358"/>
      <c r="DC220" s="358"/>
      <c r="DD220" s="358"/>
      <c r="DE220" s="358"/>
      <c r="DF220" s="358"/>
      <c r="DG220" s="358"/>
      <c r="DH220" s="358"/>
      <c r="DI220" s="358"/>
      <c r="DJ220" s="358"/>
      <c r="DK220" s="358"/>
      <c r="DL220" s="358"/>
      <c r="DM220" s="358"/>
      <c r="DN220" s="358"/>
      <c r="DO220" s="358"/>
      <c r="DP220" s="358"/>
      <c r="DQ220" s="358"/>
      <c r="DR220" s="358"/>
      <c r="DS220" s="358"/>
      <c r="DT220" s="358"/>
      <c r="DU220" s="358"/>
      <c r="DV220" s="358"/>
      <c r="DW220" s="358"/>
      <c r="DX220" s="358"/>
      <c r="DY220" s="358"/>
      <c r="DZ220" s="358"/>
      <c r="EA220" s="358"/>
      <c r="EB220" s="358"/>
      <c r="EC220" s="358"/>
      <c r="ED220" s="358"/>
      <c r="EE220" s="358"/>
      <c r="EF220" s="358"/>
      <c r="EG220" s="358"/>
      <c r="EH220" s="358"/>
      <c r="EI220" s="358"/>
      <c r="EJ220" s="358"/>
      <c r="EK220" s="358"/>
      <c r="EL220" s="358"/>
      <c r="EM220" s="358"/>
      <c r="EN220" s="358"/>
      <c r="EO220" s="358"/>
      <c r="EP220" s="358"/>
      <c r="EQ220" s="358"/>
      <c r="ER220" s="358"/>
      <c r="ES220" s="358"/>
      <c r="ET220" s="358"/>
      <c r="EU220" s="358"/>
      <c r="EV220" s="358"/>
      <c r="EW220" s="358"/>
      <c r="EX220" s="358"/>
      <c r="EY220" s="358"/>
      <c r="EZ220" s="371"/>
    </row>
    <row r="221" spans="1:156" s="251" customFormat="1" ht="15" customHeight="1" x14ac:dyDescent="0.35">
      <c r="A221" s="1233"/>
      <c r="B221" s="1103"/>
      <c r="C221" s="1103"/>
      <c r="D221" s="1103"/>
      <c r="E221" s="1103"/>
      <c r="F221" s="1103"/>
      <c r="G221" s="1103"/>
      <c r="H221" s="1103"/>
      <c r="I221" s="1125"/>
      <c r="J221" s="1130"/>
      <c r="K221" s="1131"/>
      <c r="L221" s="1132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421"/>
      <c r="AL221" s="358"/>
      <c r="AM221" s="358"/>
      <c r="AN221" s="358"/>
      <c r="AO221" s="358"/>
      <c r="AP221" s="358"/>
      <c r="AQ221" s="358"/>
      <c r="AR221" s="358"/>
      <c r="AS221" s="358"/>
      <c r="AT221" s="358"/>
      <c r="AU221" s="358"/>
      <c r="AV221" s="358"/>
      <c r="AW221" s="358"/>
      <c r="AX221" s="358"/>
      <c r="AY221" s="358"/>
      <c r="AZ221" s="358"/>
      <c r="BA221" s="358"/>
      <c r="BB221" s="358"/>
      <c r="BC221" s="358"/>
      <c r="BD221" s="358"/>
      <c r="BE221" s="358"/>
      <c r="BF221" s="358"/>
      <c r="BG221" s="358"/>
      <c r="BH221" s="358"/>
      <c r="BI221" s="358"/>
      <c r="BJ221" s="358"/>
      <c r="BK221" s="358"/>
      <c r="BL221" s="358"/>
      <c r="BM221" s="358"/>
      <c r="BN221" s="358"/>
      <c r="BO221" s="358"/>
      <c r="BP221" s="358"/>
      <c r="BQ221" s="358"/>
      <c r="BR221" s="358"/>
      <c r="BS221" s="358"/>
      <c r="BT221" s="358"/>
      <c r="BU221" s="358"/>
      <c r="BV221" s="358"/>
      <c r="BW221" s="358"/>
      <c r="BX221" s="358"/>
      <c r="BY221" s="358"/>
      <c r="BZ221" s="358"/>
      <c r="CA221" s="358"/>
      <c r="CB221" s="358"/>
      <c r="CC221" s="358"/>
      <c r="CD221" s="358"/>
      <c r="CE221" s="358"/>
      <c r="CF221" s="358"/>
      <c r="CG221" s="358"/>
      <c r="CH221" s="358"/>
      <c r="CI221" s="358"/>
      <c r="CJ221" s="358"/>
      <c r="CK221" s="358"/>
      <c r="CL221" s="358"/>
      <c r="CM221" s="358"/>
      <c r="CN221" s="358"/>
      <c r="CO221" s="358"/>
      <c r="CP221" s="358"/>
      <c r="CQ221" s="358"/>
      <c r="CR221" s="358"/>
      <c r="CS221" s="358"/>
      <c r="CT221" s="358"/>
      <c r="CU221" s="358"/>
      <c r="CV221" s="358"/>
      <c r="CW221" s="358"/>
      <c r="CX221" s="358"/>
      <c r="CY221" s="358"/>
      <c r="CZ221" s="358"/>
      <c r="DA221" s="358"/>
      <c r="DB221" s="358"/>
      <c r="DC221" s="358"/>
      <c r="DD221" s="358"/>
      <c r="DE221" s="358"/>
      <c r="DF221" s="358"/>
      <c r="DG221" s="358"/>
      <c r="DH221" s="358"/>
      <c r="DI221" s="358"/>
      <c r="DJ221" s="358"/>
      <c r="DK221" s="358"/>
      <c r="DL221" s="358"/>
      <c r="DM221" s="358"/>
      <c r="DN221" s="358"/>
      <c r="DO221" s="358"/>
      <c r="DP221" s="358"/>
      <c r="DQ221" s="358"/>
      <c r="DR221" s="358"/>
      <c r="DS221" s="358"/>
      <c r="DT221" s="358"/>
      <c r="DU221" s="358"/>
      <c r="DV221" s="358"/>
      <c r="DW221" s="358"/>
      <c r="DX221" s="358"/>
      <c r="DY221" s="358"/>
      <c r="DZ221" s="358"/>
      <c r="EA221" s="358"/>
      <c r="EB221" s="358"/>
      <c r="EC221" s="358"/>
      <c r="ED221" s="358"/>
      <c r="EE221" s="358"/>
      <c r="EF221" s="358"/>
      <c r="EG221" s="358"/>
      <c r="EH221" s="358"/>
      <c r="EI221" s="358"/>
      <c r="EJ221" s="358"/>
      <c r="EK221" s="358"/>
      <c r="EL221" s="358"/>
      <c r="EM221" s="358"/>
      <c r="EN221" s="358"/>
      <c r="EO221" s="358"/>
      <c r="EP221" s="358"/>
      <c r="EQ221" s="358"/>
      <c r="ER221" s="358"/>
      <c r="ES221" s="358"/>
      <c r="ET221" s="358"/>
      <c r="EU221" s="358"/>
      <c r="EV221" s="358"/>
      <c r="EW221" s="358"/>
      <c r="EX221" s="358"/>
      <c r="EY221" s="358"/>
      <c r="EZ221" s="371"/>
    </row>
    <row r="222" spans="1:156" s="251" customFormat="1" ht="15" customHeight="1" x14ac:dyDescent="0.35">
      <c r="A222" s="1171"/>
      <c r="B222" s="1172"/>
      <c r="C222" s="1172"/>
      <c r="D222" s="1172"/>
      <c r="E222" s="1172"/>
      <c r="F222" s="1172"/>
      <c r="G222" s="1172"/>
      <c r="H222" s="1172"/>
      <c r="I222" s="1173"/>
      <c r="J222" s="1174"/>
      <c r="K222" s="1178"/>
      <c r="L222" s="1179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421"/>
      <c r="AL222" s="358"/>
      <c r="AM222" s="358"/>
      <c r="AN222" s="358"/>
      <c r="AO222" s="358"/>
      <c r="AP222" s="358"/>
      <c r="AQ222" s="358"/>
      <c r="AR222" s="358"/>
      <c r="AS222" s="358"/>
      <c r="AT222" s="358"/>
      <c r="AU222" s="358"/>
      <c r="AV222" s="358"/>
      <c r="AW222" s="358"/>
      <c r="AX222" s="358"/>
      <c r="AY222" s="358"/>
      <c r="AZ222" s="358"/>
      <c r="BA222" s="358"/>
      <c r="BB222" s="358"/>
      <c r="BC222" s="358"/>
      <c r="BD222" s="358"/>
      <c r="BE222" s="358"/>
      <c r="BF222" s="358"/>
      <c r="BG222" s="358"/>
      <c r="BH222" s="358"/>
      <c r="BI222" s="358"/>
      <c r="BJ222" s="358"/>
      <c r="BK222" s="358"/>
      <c r="BL222" s="358"/>
      <c r="BM222" s="358"/>
      <c r="BN222" s="358"/>
      <c r="BO222" s="358"/>
      <c r="BP222" s="358"/>
      <c r="BQ222" s="358"/>
      <c r="BR222" s="358"/>
      <c r="BS222" s="358"/>
      <c r="BT222" s="358"/>
      <c r="BU222" s="358"/>
      <c r="BV222" s="358"/>
      <c r="BW222" s="358"/>
      <c r="BX222" s="358"/>
      <c r="BY222" s="358"/>
      <c r="BZ222" s="358"/>
      <c r="CA222" s="358"/>
      <c r="CB222" s="358"/>
      <c r="CC222" s="358"/>
      <c r="CD222" s="358"/>
      <c r="CE222" s="358"/>
      <c r="CF222" s="358"/>
      <c r="CG222" s="358"/>
      <c r="CH222" s="358"/>
      <c r="CI222" s="358"/>
      <c r="CJ222" s="358"/>
      <c r="CK222" s="358"/>
      <c r="CL222" s="358"/>
      <c r="CM222" s="358"/>
      <c r="CN222" s="358"/>
      <c r="CO222" s="358"/>
      <c r="CP222" s="358"/>
      <c r="CQ222" s="358"/>
      <c r="CR222" s="358"/>
      <c r="CS222" s="358"/>
      <c r="CT222" s="358"/>
      <c r="CU222" s="358"/>
      <c r="CV222" s="358"/>
      <c r="CW222" s="358"/>
      <c r="CX222" s="358"/>
      <c r="CY222" s="358"/>
      <c r="CZ222" s="358"/>
      <c r="DA222" s="358"/>
      <c r="DB222" s="358"/>
      <c r="DC222" s="358"/>
      <c r="DD222" s="358"/>
      <c r="DE222" s="358"/>
      <c r="DF222" s="358"/>
      <c r="DG222" s="358"/>
      <c r="DH222" s="358"/>
      <c r="DI222" s="358"/>
      <c r="DJ222" s="358"/>
      <c r="DK222" s="358"/>
      <c r="DL222" s="358"/>
      <c r="DM222" s="358"/>
      <c r="DN222" s="358"/>
      <c r="DO222" s="358"/>
      <c r="DP222" s="358"/>
      <c r="DQ222" s="358"/>
      <c r="DR222" s="358"/>
      <c r="DS222" s="358"/>
      <c r="DT222" s="358"/>
      <c r="DU222" s="358"/>
      <c r="DV222" s="358"/>
      <c r="DW222" s="358"/>
      <c r="DX222" s="358"/>
      <c r="DY222" s="358"/>
      <c r="DZ222" s="358"/>
      <c r="EA222" s="358"/>
      <c r="EB222" s="358"/>
      <c r="EC222" s="358"/>
      <c r="ED222" s="358"/>
      <c r="EE222" s="358"/>
      <c r="EF222" s="358"/>
      <c r="EG222" s="358"/>
      <c r="EH222" s="358"/>
      <c r="EI222" s="358"/>
      <c r="EJ222" s="358"/>
      <c r="EK222" s="358"/>
      <c r="EL222" s="358"/>
      <c r="EM222" s="358"/>
      <c r="EN222" s="358"/>
      <c r="EO222" s="358"/>
      <c r="EP222" s="358"/>
      <c r="EQ222" s="358"/>
      <c r="ER222" s="358"/>
      <c r="ES222" s="358"/>
      <c r="ET222" s="358"/>
      <c r="EU222" s="358"/>
      <c r="EV222" s="358"/>
      <c r="EW222" s="358"/>
      <c r="EX222" s="358"/>
      <c r="EY222" s="358"/>
      <c r="EZ222" s="371"/>
    </row>
    <row r="223" spans="1:156" s="251" customFormat="1" ht="15" customHeight="1" x14ac:dyDescent="0.25">
      <c r="A223" s="1217"/>
      <c r="B223" s="1425"/>
      <c r="C223" s="1425"/>
      <c r="D223" s="1425"/>
      <c r="E223" s="1425"/>
      <c r="F223" s="912"/>
      <c r="G223" s="1428"/>
      <c r="H223" s="1428"/>
      <c r="I223" s="1428"/>
      <c r="J223" s="1428"/>
      <c r="K223" s="1428"/>
      <c r="L223" s="974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421"/>
      <c r="AL223" s="358"/>
      <c r="AM223" s="358"/>
      <c r="AN223" s="358"/>
      <c r="AO223" s="358"/>
      <c r="AP223" s="358"/>
      <c r="AQ223" s="358"/>
      <c r="AR223" s="358"/>
      <c r="AS223" s="358"/>
      <c r="AT223" s="358"/>
      <c r="AU223" s="358"/>
      <c r="AV223" s="358"/>
      <c r="AW223" s="358"/>
      <c r="AX223" s="358"/>
      <c r="AY223" s="358"/>
      <c r="AZ223" s="358"/>
      <c r="BA223" s="358"/>
      <c r="BB223" s="358"/>
      <c r="BC223" s="358"/>
      <c r="BD223" s="358"/>
      <c r="BE223" s="358"/>
      <c r="BF223" s="358"/>
      <c r="BG223" s="358"/>
      <c r="BH223" s="358"/>
      <c r="BI223" s="358"/>
      <c r="BJ223" s="358"/>
      <c r="BK223" s="358"/>
      <c r="BL223" s="358"/>
      <c r="BM223" s="358"/>
      <c r="BN223" s="358"/>
      <c r="BO223" s="358"/>
      <c r="BP223" s="358"/>
      <c r="BQ223" s="358"/>
      <c r="BR223" s="358"/>
      <c r="BS223" s="358"/>
      <c r="BT223" s="358"/>
      <c r="BU223" s="358"/>
      <c r="BV223" s="358"/>
      <c r="BW223" s="358"/>
      <c r="BX223" s="358"/>
      <c r="BY223" s="358"/>
      <c r="BZ223" s="358"/>
      <c r="CA223" s="358"/>
      <c r="CB223" s="358"/>
      <c r="CC223" s="358"/>
      <c r="CD223" s="358"/>
      <c r="CE223" s="358"/>
      <c r="CF223" s="358"/>
      <c r="CG223" s="358"/>
      <c r="CH223" s="358"/>
      <c r="CI223" s="358"/>
      <c r="CJ223" s="358"/>
      <c r="CK223" s="358"/>
      <c r="CL223" s="358"/>
      <c r="CM223" s="358"/>
      <c r="CN223" s="358"/>
      <c r="CO223" s="358"/>
      <c r="CP223" s="358"/>
      <c r="CQ223" s="358"/>
      <c r="CR223" s="358"/>
      <c r="CS223" s="358"/>
      <c r="CT223" s="358"/>
      <c r="CU223" s="358"/>
      <c r="CV223" s="358"/>
      <c r="CW223" s="358"/>
      <c r="CX223" s="358"/>
      <c r="CY223" s="358"/>
      <c r="CZ223" s="358"/>
      <c r="DA223" s="358"/>
      <c r="DB223" s="358"/>
      <c r="DC223" s="358"/>
      <c r="DD223" s="358"/>
      <c r="DE223" s="358"/>
      <c r="DF223" s="358"/>
      <c r="DG223" s="358"/>
      <c r="DH223" s="358"/>
      <c r="DI223" s="358"/>
      <c r="DJ223" s="358"/>
      <c r="DK223" s="358"/>
      <c r="DL223" s="358"/>
      <c r="DM223" s="358"/>
      <c r="DN223" s="358"/>
      <c r="DO223" s="358"/>
      <c r="DP223" s="358"/>
      <c r="DQ223" s="358"/>
      <c r="DR223" s="358"/>
      <c r="DS223" s="358"/>
      <c r="DT223" s="358"/>
      <c r="DU223" s="358"/>
      <c r="DV223" s="358"/>
      <c r="DW223" s="358"/>
      <c r="DX223" s="358"/>
      <c r="DY223" s="358"/>
      <c r="DZ223" s="358"/>
      <c r="EA223" s="358"/>
      <c r="EB223" s="358"/>
      <c r="EC223" s="358"/>
      <c r="ED223" s="358"/>
      <c r="EE223" s="358"/>
      <c r="EF223" s="358"/>
      <c r="EG223" s="358"/>
      <c r="EH223" s="358"/>
      <c r="EI223" s="358"/>
      <c r="EJ223" s="358"/>
      <c r="EK223" s="358"/>
      <c r="EL223" s="358"/>
      <c r="EM223" s="358"/>
      <c r="EN223" s="358"/>
      <c r="EO223" s="358"/>
      <c r="EP223" s="358"/>
      <c r="EQ223" s="358"/>
      <c r="ER223" s="358"/>
      <c r="ES223" s="358"/>
      <c r="ET223" s="358"/>
      <c r="EU223" s="358"/>
      <c r="EV223" s="358"/>
      <c r="EW223" s="358"/>
      <c r="EX223" s="358"/>
      <c r="EY223" s="358"/>
      <c r="EZ223" s="371"/>
    </row>
    <row r="224" spans="1:156" s="251" customFormat="1" ht="15" customHeight="1" x14ac:dyDescent="0.25">
      <c r="A224" s="1217"/>
      <c r="B224" s="1418" t="s">
        <v>190</v>
      </c>
      <c r="C224" s="1418"/>
      <c r="D224" s="1418"/>
      <c r="E224" s="1418"/>
      <c r="F224" s="913"/>
      <c r="G224" s="1418" t="s">
        <v>191</v>
      </c>
      <c r="H224" s="1418"/>
      <c r="I224" s="1418"/>
      <c r="J224" s="1418"/>
      <c r="K224" s="1418"/>
      <c r="L224" s="974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421"/>
      <c r="AL224" s="358"/>
      <c r="AM224" s="358"/>
      <c r="AN224" s="358"/>
      <c r="AO224" s="358"/>
      <c r="AP224" s="358"/>
      <c r="AQ224" s="358"/>
      <c r="AR224" s="358"/>
      <c r="AS224" s="358"/>
      <c r="AT224" s="358"/>
      <c r="AU224" s="358"/>
      <c r="AV224" s="358"/>
      <c r="AW224" s="358"/>
      <c r="AX224" s="358"/>
      <c r="AY224" s="358"/>
      <c r="AZ224" s="358"/>
      <c r="BA224" s="358"/>
      <c r="BB224" s="358"/>
      <c r="BC224" s="358"/>
      <c r="BD224" s="358"/>
      <c r="BE224" s="358"/>
      <c r="BF224" s="358"/>
      <c r="BG224" s="358"/>
      <c r="BH224" s="358"/>
      <c r="BI224" s="358"/>
      <c r="BJ224" s="358"/>
      <c r="BK224" s="358"/>
      <c r="BL224" s="358"/>
      <c r="BM224" s="358"/>
      <c r="BN224" s="358"/>
      <c r="BO224" s="358"/>
      <c r="BP224" s="358"/>
      <c r="BQ224" s="358"/>
      <c r="BR224" s="358"/>
      <c r="BS224" s="358"/>
      <c r="BT224" s="358"/>
      <c r="BU224" s="358"/>
      <c r="BV224" s="358"/>
      <c r="BW224" s="358"/>
      <c r="BX224" s="358"/>
      <c r="BY224" s="358"/>
      <c r="BZ224" s="358"/>
      <c r="CA224" s="358"/>
      <c r="CB224" s="358"/>
      <c r="CC224" s="358"/>
      <c r="CD224" s="358"/>
      <c r="CE224" s="358"/>
      <c r="CF224" s="358"/>
      <c r="CG224" s="358"/>
      <c r="CH224" s="358"/>
      <c r="CI224" s="358"/>
      <c r="CJ224" s="358"/>
      <c r="CK224" s="358"/>
      <c r="CL224" s="358"/>
      <c r="CM224" s="358"/>
      <c r="CN224" s="358"/>
      <c r="CO224" s="358"/>
      <c r="CP224" s="358"/>
      <c r="CQ224" s="358"/>
      <c r="CR224" s="358"/>
      <c r="CS224" s="358"/>
      <c r="CT224" s="358"/>
      <c r="CU224" s="358"/>
      <c r="CV224" s="358"/>
      <c r="CW224" s="358"/>
      <c r="CX224" s="358"/>
      <c r="CY224" s="358"/>
      <c r="CZ224" s="358"/>
      <c r="DA224" s="358"/>
      <c r="DB224" s="358"/>
      <c r="DC224" s="358"/>
      <c r="DD224" s="358"/>
      <c r="DE224" s="358"/>
      <c r="DF224" s="358"/>
      <c r="DG224" s="358"/>
      <c r="DH224" s="358"/>
      <c r="DI224" s="358"/>
      <c r="DJ224" s="358"/>
      <c r="DK224" s="358"/>
      <c r="DL224" s="358"/>
      <c r="DM224" s="358"/>
      <c r="DN224" s="358"/>
      <c r="DO224" s="358"/>
      <c r="DP224" s="358"/>
      <c r="DQ224" s="358"/>
      <c r="DR224" s="358"/>
      <c r="DS224" s="358"/>
      <c r="DT224" s="358"/>
      <c r="DU224" s="358"/>
      <c r="DV224" s="358"/>
      <c r="DW224" s="358"/>
      <c r="DX224" s="358"/>
      <c r="DY224" s="358"/>
      <c r="DZ224" s="358"/>
      <c r="EA224" s="358"/>
      <c r="EB224" s="358"/>
      <c r="EC224" s="358"/>
      <c r="ED224" s="358"/>
      <c r="EE224" s="358"/>
      <c r="EF224" s="358"/>
      <c r="EG224" s="358"/>
      <c r="EH224" s="358"/>
      <c r="EI224" s="358"/>
      <c r="EJ224" s="358"/>
      <c r="EK224" s="358"/>
      <c r="EL224" s="358"/>
      <c r="EM224" s="358"/>
      <c r="EN224" s="358"/>
      <c r="EO224" s="358"/>
      <c r="EP224" s="358"/>
      <c r="EQ224" s="358"/>
      <c r="ER224" s="358"/>
      <c r="ES224" s="358"/>
      <c r="ET224" s="358"/>
      <c r="EU224" s="358"/>
      <c r="EV224" s="358"/>
      <c r="EW224" s="358"/>
      <c r="EX224" s="358"/>
      <c r="EY224" s="358"/>
      <c r="EZ224" s="371"/>
    </row>
    <row r="225" spans="1:156" s="251" customFormat="1" ht="15" customHeight="1" x14ac:dyDescent="0.35">
      <c r="A225" s="1175"/>
      <c r="B225" s="1176"/>
      <c r="C225" s="1176"/>
      <c r="D225" s="1176"/>
      <c r="E225" s="1176"/>
      <c r="F225" s="1176"/>
      <c r="G225" s="1176"/>
      <c r="H225" s="1176"/>
      <c r="I225" s="1176"/>
      <c r="J225" s="1176"/>
      <c r="K225" s="1176"/>
      <c r="L225" s="1177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421"/>
      <c r="AL225" s="358"/>
      <c r="AM225" s="358"/>
      <c r="AN225" s="358"/>
      <c r="AO225" s="358"/>
      <c r="AP225" s="358"/>
      <c r="AQ225" s="358"/>
      <c r="AR225" s="358"/>
      <c r="AS225" s="358"/>
      <c r="AT225" s="358"/>
      <c r="AU225" s="358"/>
      <c r="AV225" s="358"/>
      <c r="AW225" s="358"/>
      <c r="AX225" s="358"/>
      <c r="AY225" s="358"/>
      <c r="AZ225" s="358"/>
      <c r="BA225" s="358"/>
      <c r="BB225" s="358"/>
      <c r="BC225" s="358"/>
      <c r="BD225" s="358"/>
      <c r="BE225" s="358"/>
      <c r="BF225" s="358"/>
      <c r="BG225" s="358"/>
      <c r="BH225" s="358"/>
      <c r="BI225" s="358"/>
      <c r="BJ225" s="358"/>
      <c r="BK225" s="358"/>
      <c r="BL225" s="358"/>
      <c r="BM225" s="358"/>
      <c r="BN225" s="358"/>
      <c r="BO225" s="358"/>
      <c r="BP225" s="358"/>
      <c r="BQ225" s="358"/>
      <c r="BR225" s="358"/>
      <c r="BS225" s="358"/>
      <c r="BT225" s="358"/>
      <c r="BU225" s="358"/>
      <c r="BV225" s="358"/>
      <c r="BW225" s="358"/>
      <c r="BX225" s="358"/>
      <c r="BY225" s="358"/>
      <c r="BZ225" s="358"/>
      <c r="CA225" s="358"/>
      <c r="CB225" s="358"/>
      <c r="CC225" s="358"/>
      <c r="CD225" s="358"/>
      <c r="CE225" s="358"/>
      <c r="CF225" s="358"/>
      <c r="CG225" s="358"/>
      <c r="CH225" s="358"/>
      <c r="CI225" s="358"/>
      <c r="CJ225" s="358"/>
      <c r="CK225" s="358"/>
      <c r="CL225" s="358"/>
      <c r="CM225" s="358"/>
      <c r="CN225" s="358"/>
      <c r="CO225" s="358"/>
      <c r="CP225" s="358"/>
      <c r="CQ225" s="358"/>
      <c r="CR225" s="358"/>
      <c r="CS225" s="358"/>
      <c r="CT225" s="358"/>
      <c r="CU225" s="358"/>
      <c r="CV225" s="358"/>
      <c r="CW225" s="358"/>
      <c r="CX225" s="358"/>
      <c r="CY225" s="358"/>
      <c r="CZ225" s="358"/>
      <c r="DA225" s="358"/>
      <c r="DB225" s="358"/>
      <c r="DC225" s="358"/>
      <c r="DD225" s="358"/>
      <c r="DE225" s="358"/>
      <c r="DF225" s="358"/>
      <c r="DG225" s="358"/>
      <c r="DH225" s="358"/>
      <c r="DI225" s="358"/>
      <c r="DJ225" s="358"/>
      <c r="DK225" s="358"/>
      <c r="DL225" s="358"/>
      <c r="DM225" s="358"/>
      <c r="DN225" s="358"/>
      <c r="DO225" s="358"/>
      <c r="DP225" s="358"/>
      <c r="DQ225" s="358"/>
      <c r="DR225" s="358"/>
      <c r="DS225" s="358"/>
      <c r="DT225" s="358"/>
      <c r="DU225" s="358"/>
      <c r="DV225" s="358"/>
      <c r="DW225" s="358"/>
      <c r="DX225" s="358"/>
      <c r="DY225" s="358"/>
      <c r="DZ225" s="358"/>
      <c r="EA225" s="358"/>
      <c r="EB225" s="358"/>
      <c r="EC225" s="358"/>
      <c r="ED225" s="358"/>
      <c r="EE225" s="358"/>
      <c r="EF225" s="358"/>
      <c r="EG225" s="358"/>
      <c r="EH225" s="358"/>
      <c r="EI225" s="358"/>
      <c r="EJ225" s="358"/>
      <c r="EK225" s="358"/>
      <c r="EL225" s="358"/>
      <c r="EM225" s="358"/>
      <c r="EN225" s="358"/>
      <c r="EO225" s="358"/>
      <c r="EP225" s="358"/>
      <c r="EQ225" s="358"/>
      <c r="ER225" s="358"/>
      <c r="ES225" s="358"/>
      <c r="ET225" s="358"/>
      <c r="EU225" s="358"/>
      <c r="EV225" s="358"/>
      <c r="EW225" s="358"/>
      <c r="EX225" s="358"/>
      <c r="EY225" s="358"/>
      <c r="EZ225" s="371"/>
    </row>
    <row r="226" spans="1:156" ht="15" customHeight="1" x14ac:dyDescent="0.35">
      <c r="A226" s="1170"/>
      <c r="B226" s="1170"/>
      <c r="C226" s="1170"/>
      <c r="D226" s="1170"/>
      <c r="E226" s="1170"/>
      <c r="F226" s="1170"/>
      <c r="G226" s="1170"/>
      <c r="H226" s="1170"/>
      <c r="I226" s="1170"/>
      <c r="J226" s="1170"/>
      <c r="K226" s="1170"/>
      <c r="L226" s="1170"/>
      <c r="AK226" s="357"/>
      <c r="AL226" s="358"/>
      <c r="AM226" s="358"/>
      <c r="AN226" s="358"/>
      <c r="AO226" s="358"/>
      <c r="AP226" s="358"/>
      <c r="AQ226" s="358"/>
      <c r="AR226" s="358"/>
      <c r="AS226" s="358"/>
      <c r="AT226" s="358"/>
      <c r="AU226" s="358"/>
      <c r="AV226" s="358"/>
      <c r="AW226" s="358"/>
      <c r="AX226" s="358"/>
      <c r="AY226" s="358"/>
      <c r="AZ226" s="358"/>
      <c r="BA226" s="358"/>
      <c r="BB226" s="358"/>
      <c r="BC226" s="358"/>
      <c r="BD226" s="358"/>
      <c r="BE226" s="358"/>
      <c r="BF226" s="358"/>
      <c r="BG226" s="358"/>
      <c r="BH226" s="358"/>
      <c r="BI226" s="358"/>
      <c r="BJ226" s="358"/>
      <c r="BK226" s="358"/>
      <c r="BL226" s="358"/>
      <c r="BM226" s="358"/>
      <c r="BN226" s="358"/>
      <c r="BO226" s="358"/>
      <c r="BP226" s="358"/>
      <c r="BQ226" s="358"/>
      <c r="BR226" s="358"/>
      <c r="BS226" s="358"/>
      <c r="BT226" s="358"/>
      <c r="BU226" s="358"/>
      <c r="BV226" s="358"/>
      <c r="BW226" s="358"/>
      <c r="BX226" s="358"/>
      <c r="BY226" s="358"/>
      <c r="BZ226" s="358"/>
      <c r="CA226" s="358"/>
      <c r="CB226" s="358"/>
      <c r="CC226" s="358"/>
      <c r="CD226" s="358"/>
      <c r="CE226" s="358"/>
      <c r="CF226" s="358"/>
      <c r="CG226" s="358"/>
      <c r="CH226" s="358"/>
      <c r="CI226" s="358"/>
      <c r="CJ226" s="358"/>
      <c r="CK226" s="358"/>
      <c r="CL226" s="358"/>
      <c r="CM226" s="358"/>
      <c r="CN226" s="358"/>
      <c r="CO226" s="358"/>
      <c r="CP226" s="358"/>
      <c r="CQ226" s="358"/>
      <c r="CR226" s="358"/>
      <c r="CS226" s="358"/>
      <c r="CT226" s="358"/>
      <c r="CU226" s="358"/>
      <c r="CV226" s="358"/>
      <c r="CW226" s="358"/>
      <c r="CX226" s="358"/>
      <c r="CY226" s="358"/>
      <c r="CZ226" s="358"/>
      <c r="DA226" s="358"/>
      <c r="DB226" s="358"/>
      <c r="DC226" s="358"/>
      <c r="DD226" s="358"/>
      <c r="DE226" s="358"/>
      <c r="DF226" s="358"/>
      <c r="DG226" s="358"/>
      <c r="DH226" s="358"/>
      <c r="DI226" s="358"/>
      <c r="DJ226" s="358"/>
      <c r="DK226" s="358"/>
      <c r="DL226" s="358"/>
      <c r="DM226" s="358"/>
      <c r="DN226" s="358"/>
      <c r="DO226" s="358"/>
      <c r="DP226" s="358"/>
      <c r="DQ226" s="358"/>
      <c r="DR226" s="358"/>
      <c r="DS226" s="358"/>
      <c r="DT226" s="358"/>
      <c r="DU226" s="358"/>
      <c r="DV226" s="358"/>
      <c r="DW226" s="358"/>
      <c r="DX226" s="358"/>
      <c r="DY226" s="358"/>
      <c r="DZ226" s="358"/>
      <c r="EA226" s="358"/>
      <c r="EB226" s="358"/>
      <c r="EC226" s="358"/>
      <c r="ED226" s="358"/>
      <c r="EE226" s="358"/>
      <c r="EF226" s="358"/>
      <c r="EG226" s="358"/>
      <c r="EH226" s="358"/>
      <c r="EI226" s="358"/>
      <c r="EJ226" s="358"/>
      <c r="EK226" s="358"/>
      <c r="EL226" s="358"/>
      <c r="EM226" s="358"/>
      <c r="EN226" s="358"/>
      <c r="EO226" s="358"/>
      <c r="EP226" s="358"/>
      <c r="EQ226" s="358"/>
      <c r="ER226" s="358"/>
      <c r="ES226" s="358"/>
      <c r="ET226" s="358"/>
      <c r="EU226" s="358"/>
      <c r="EV226" s="358"/>
      <c r="EW226" s="358"/>
      <c r="EX226" s="358"/>
      <c r="EY226" s="358"/>
      <c r="EZ226" s="371"/>
    </row>
    <row r="227" spans="1:156" ht="30" customHeight="1" x14ac:dyDescent="0.35">
      <c r="A227" s="1419" t="s">
        <v>285</v>
      </c>
      <c r="B227" s="1419"/>
      <c r="C227" s="1420" t="s">
        <v>286</v>
      </c>
      <c r="D227" s="1420"/>
      <c r="E227" s="1420"/>
      <c r="F227" s="1420"/>
      <c r="G227" s="1420"/>
      <c r="H227" s="1420"/>
      <c r="I227" s="1420"/>
      <c r="J227" s="1420"/>
      <c r="K227" s="1420"/>
      <c r="L227" s="1420"/>
      <c r="AK227" s="357"/>
      <c r="AL227" s="358"/>
      <c r="AM227" s="358"/>
      <c r="AN227" s="358"/>
      <c r="AO227" s="358"/>
      <c r="AP227" s="358"/>
      <c r="AQ227" s="358"/>
      <c r="AR227" s="358"/>
      <c r="AS227" s="358"/>
      <c r="AT227" s="358"/>
      <c r="AU227" s="358"/>
      <c r="AV227" s="358"/>
      <c r="AW227" s="358"/>
      <c r="AX227" s="358"/>
      <c r="AY227" s="358"/>
      <c r="AZ227" s="358"/>
      <c r="BA227" s="358"/>
      <c r="BB227" s="358"/>
      <c r="BC227" s="358"/>
      <c r="BD227" s="358"/>
      <c r="BE227" s="358"/>
      <c r="BF227" s="358"/>
      <c r="BG227" s="358"/>
      <c r="BH227" s="358"/>
      <c r="BI227" s="358"/>
      <c r="BJ227" s="358"/>
      <c r="BK227" s="358"/>
      <c r="BL227" s="358"/>
      <c r="BM227" s="358"/>
      <c r="BN227" s="358"/>
      <c r="BO227" s="358"/>
      <c r="BP227" s="358"/>
      <c r="BQ227" s="358"/>
      <c r="BR227" s="358"/>
      <c r="BS227" s="358"/>
      <c r="BT227" s="358"/>
      <c r="BU227" s="358"/>
      <c r="BV227" s="358"/>
      <c r="BW227" s="358"/>
      <c r="BX227" s="358"/>
      <c r="BY227" s="358"/>
      <c r="BZ227" s="358"/>
      <c r="CA227" s="358"/>
      <c r="CB227" s="358"/>
      <c r="CC227" s="358"/>
      <c r="CD227" s="358"/>
      <c r="CE227" s="358"/>
      <c r="CF227" s="358"/>
      <c r="CG227" s="358"/>
      <c r="CH227" s="358"/>
      <c r="CI227" s="358"/>
      <c r="CJ227" s="358"/>
      <c r="CK227" s="358"/>
      <c r="CL227" s="358"/>
      <c r="CM227" s="358"/>
      <c r="CN227" s="358"/>
      <c r="CO227" s="358"/>
      <c r="CP227" s="358"/>
      <c r="CQ227" s="358"/>
      <c r="CR227" s="358"/>
      <c r="CS227" s="358"/>
      <c r="CT227" s="358"/>
      <c r="CU227" s="358"/>
      <c r="CV227" s="358"/>
      <c r="CW227" s="358"/>
      <c r="CX227" s="358"/>
      <c r="CY227" s="358"/>
      <c r="CZ227" s="358"/>
      <c r="DA227" s="358"/>
      <c r="DB227" s="358"/>
      <c r="DC227" s="358"/>
      <c r="DD227" s="358"/>
      <c r="DE227" s="358"/>
      <c r="DF227" s="358"/>
      <c r="DG227" s="358"/>
      <c r="DH227" s="358"/>
      <c r="DI227" s="358"/>
      <c r="DJ227" s="358"/>
      <c r="DK227" s="358"/>
      <c r="DL227" s="358"/>
      <c r="DM227" s="358"/>
      <c r="DN227" s="358"/>
      <c r="DO227" s="358"/>
      <c r="DP227" s="358"/>
      <c r="DQ227" s="358"/>
      <c r="DR227" s="358"/>
      <c r="DS227" s="358"/>
      <c r="DT227" s="358"/>
      <c r="DU227" s="358"/>
      <c r="DV227" s="358"/>
      <c r="DW227" s="358"/>
      <c r="DX227" s="358"/>
      <c r="DY227" s="358"/>
      <c r="DZ227" s="358"/>
      <c r="EA227" s="358"/>
      <c r="EB227" s="358"/>
      <c r="EC227" s="358"/>
      <c r="ED227" s="358"/>
      <c r="EE227" s="358"/>
      <c r="EF227" s="358"/>
      <c r="EG227" s="358"/>
      <c r="EH227" s="358"/>
      <c r="EI227" s="358"/>
      <c r="EJ227" s="358"/>
      <c r="EK227" s="358"/>
      <c r="EL227" s="358"/>
      <c r="EM227" s="358"/>
      <c r="EN227" s="358"/>
      <c r="EO227" s="358"/>
      <c r="EP227" s="358"/>
      <c r="EQ227" s="358"/>
      <c r="ER227" s="358"/>
      <c r="ES227" s="358"/>
      <c r="ET227" s="358"/>
      <c r="EU227" s="358"/>
      <c r="EV227" s="358"/>
      <c r="EW227" s="358"/>
      <c r="EX227" s="358"/>
      <c r="EY227" s="358"/>
      <c r="EZ227" s="371"/>
    </row>
    <row r="228" spans="1:156" s="36" customFormat="1" ht="30" customHeight="1" x14ac:dyDescent="0.35">
      <c r="A228" s="1421" t="s">
        <v>287</v>
      </c>
      <c r="B228" s="1421"/>
      <c r="C228" s="1422" t="s">
        <v>288</v>
      </c>
      <c r="D228" s="1422"/>
      <c r="E228" s="1422"/>
      <c r="F228" s="1422"/>
      <c r="G228" s="1422"/>
      <c r="H228" s="1422"/>
      <c r="I228" s="1422"/>
      <c r="J228" s="1422"/>
      <c r="K228" s="1422"/>
      <c r="L228" s="1422"/>
      <c r="AK228" s="486"/>
      <c r="AL228" s="483"/>
      <c r="AM228" s="483"/>
      <c r="AN228" s="483"/>
      <c r="AO228" s="483"/>
      <c r="AP228" s="483"/>
      <c r="AQ228" s="483"/>
      <c r="AR228" s="483"/>
      <c r="AS228" s="483"/>
      <c r="AT228" s="483"/>
      <c r="AU228" s="483"/>
      <c r="AV228" s="483"/>
      <c r="AW228" s="483"/>
      <c r="AX228" s="483"/>
      <c r="AY228" s="483"/>
      <c r="AZ228" s="483"/>
      <c r="BA228" s="483"/>
      <c r="BB228" s="483"/>
      <c r="BC228" s="483"/>
      <c r="BD228" s="483"/>
      <c r="BE228" s="483"/>
      <c r="BF228" s="483"/>
      <c r="BG228" s="483"/>
      <c r="BH228" s="483"/>
      <c r="BI228" s="483"/>
      <c r="BJ228" s="483"/>
      <c r="BK228" s="483"/>
      <c r="BL228" s="483"/>
      <c r="BM228" s="483"/>
      <c r="BN228" s="483"/>
      <c r="BO228" s="483"/>
      <c r="BP228" s="483"/>
      <c r="BQ228" s="483"/>
      <c r="BR228" s="483"/>
      <c r="BS228" s="483"/>
      <c r="BT228" s="483"/>
      <c r="BU228" s="483"/>
      <c r="BV228" s="483"/>
      <c r="BW228" s="483"/>
      <c r="BX228" s="483"/>
      <c r="BY228" s="483"/>
      <c r="BZ228" s="483"/>
      <c r="CA228" s="483"/>
      <c r="CB228" s="483"/>
      <c r="CC228" s="483"/>
      <c r="CD228" s="483"/>
      <c r="CE228" s="483"/>
      <c r="CF228" s="483"/>
      <c r="CG228" s="483"/>
      <c r="CH228" s="483"/>
      <c r="CI228" s="483"/>
      <c r="CJ228" s="483"/>
      <c r="CK228" s="483"/>
      <c r="CL228" s="483"/>
      <c r="CM228" s="483"/>
      <c r="CN228" s="483"/>
      <c r="CO228" s="483"/>
      <c r="CP228" s="483"/>
      <c r="CQ228" s="483"/>
      <c r="CR228" s="483"/>
      <c r="CS228" s="483"/>
      <c r="CT228" s="483"/>
      <c r="CU228" s="483"/>
      <c r="CV228" s="483"/>
      <c r="CW228" s="483"/>
      <c r="CX228" s="483"/>
      <c r="CY228" s="483"/>
      <c r="CZ228" s="483"/>
      <c r="DA228" s="483"/>
      <c r="DB228" s="483"/>
      <c r="DC228" s="483"/>
      <c r="DD228" s="483"/>
      <c r="DE228" s="483"/>
      <c r="DF228" s="483"/>
      <c r="DG228" s="483"/>
      <c r="DH228" s="483"/>
      <c r="DI228" s="483"/>
      <c r="DJ228" s="483"/>
      <c r="DK228" s="483"/>
      <c r="DL228" s="483"/>
      <c r="DM228" s="483"/>
      <c r="DN228" s="483"/>
      <c r="DO228" s="483"/>
      <c r="DP228" s="483"/>
      <c r="DQ228" s="483"/>
      <c r="DR228" s="483"/>
      <c r="DS228" s="483"/>
      <c r="DT228" s="483"/>
      <c r="DU228" s="483"/>
      <c r="DV228" s="483"/>
      <c r="DW228" s="483"/>
      <c r="DX228" s="483"/>
      <c r="DY228" s="483"/>
      <c r="DZ228" s="483"/>
      <c r="EA228" s="483"/>
      <c r="EB228" s="483"/>
      <c r="EC228" s="483"/>
      <c r="ED228" s="483"/>
      <c r="EE228" s="483"/>
      <c r="EF228" s="483"/>
      <c r="EG228" s="483"/>
      <c r="EH228" s="483"/>
      <c r="EI228" s="483"/>
      <c r="EJ228" s="483"/>
      <c r="EK228" s="483"/>
      <c r="EL228" s="483"/>
      <c r="EM228" s="483"/>
      <c r="EN228" s="483"/>
      <c r="EO228" s="483"/>
      <c r="EP228" s="483"/>
      <c r="EQ228" s="483"/>
      <c r="ER228" s="483"/>
      <c r="ES228" s="483"/>
      <c r="ET228" s="483"/>
      <c r="EU228" s="483"/>
      <c r="EV228" s="483"/>
      <c r="EW228" s="483"/>
      <c r="EX228" s="483"/>
      <c r="EY228" s="483"/>
      <c r="EZ228" s="484"/>
    </row>
    <row r="229" spans="1:156" ht="30" customHeight="1" x14ac:dyDescent="0.35">
      <c r="A229" s="1423" t="s">
        <v>289</v>
      </c>
      <c r="B229" s="1423"/>
      <c r="C229" s="1424" t="s">
        <v>290</v>
      </c>
      <c r="D229" s="1424"/>
      <c r="E229" s="1424"/>
      <c r="F229" s="1424"/>
      <c r="G229" s="1424"/>
      <c r="H229" s="1424"/>
      <c r="I229" s="1424"/>
      <c r="J229" s="1424"/>
      <c r="K229" s="1424"/>
      <c r="L229" s="1424"/>
    </row>
    <row r="230" spans="1:156" ht="15" customHeight="1" x14ac:dyDescent="0.35">
      <c r="A230" s="355"/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</row>
    <row r="231" spans="1:156" ht="12" customHeight="1" x14ac:dyDescent="0.35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</row>
    <row r="232" spans="1:156" ht="12" customHeight="1" x14ac:dyDescent="0.35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</row>
    <row r="233" spans="1:156" ht="12" customHeight="1" x14ac:dyDescent="0.35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</row>
    <row r="234" spans="1:156" ht="12" customHeight="1" x14ac:dyDescent="0.35">
      <c r="A234" s="298"/>
      <c r="B234" s="298"/>
      <c r="C234" s="298"/>
      <c r="D234" s="298"/>
      <c r="E234" s="298"/>
      <c r="F234" s="298"/>
      <c r="G234" s="298"/>
      <c r="H234" s="298"/>
      <c r="I234" s="298"/>
      <c r="J234" s="298"/>
      <c r="L234" s="298"/>
    </row>
    <row r="235" spans="1:156" ht="12" customHeight="1" x14ac:dyDescent="0.35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</row>
    <row r="236" spans="1:156" ht="12" customHeight="1" x14ac:dyDescent="0.35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</row>
    <row r="237" spans="1:156" ht="12" customHeight="1" x14ac:dyDescent="0.35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</row>
    <row r="238" spans="1:156" ht="12" customHeight="1" x14ac:dyDescent="0.35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</row>
    <row r="239" spans="1:156" ht="12" customHeight="1" x14ac:dyDescent="0.35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</row>
    <row r="240" spans="1:156" ht="14.15" customHeight="1" x14ac:dyDescent="0.35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</row>
    <row r="241" spans="1:156" ht="12" customHeight="1" x14ac:dyDescent="0.35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</row>
    <row r="242" spans="1:156" s="251" customFormat="1" ht="12" customHeight="1" x14ac:dyDescent="0.35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EZ242" s="296"/>
    </row>
    <row r="243" spans="1:156" s="251" customFormat="1" ht="12" customHeight="1" x14ac:dyDescent="0.35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EZ243" s="296"/>
    </row>
    <row r="244" spans="1:156" s="251" customFormat="1" ht="12" customHeight="1" x14ac:dyDescent="0.35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EZ244" s="296"/>
    </row>
    <row r="245" spans="1:156" s="251" customFormat="1" ht="12" customHeight="1" x14ac:dyDescent="0.35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EZ245" s="296"/>
    </row>
    <row r="246" spans="1:156" s="251" customFormat="1" ht="12" customHeight="1" x14ac:dyDescent="0.35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EZ246" s="296"/>
    </row>
    <row r="247" spans="1:156" s="251" customFormat="1" ht="12" customHeight="1" x14ac:dyDescent="0.35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EZ247" s="296"/>
    </row>
    <row r="248" spans="1:156" s="251" customFormat="1" ht="12" customHeight="1" x14ac:dyDescent="0.35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EZ248" s="296"/>
    </row>
    <row r="249" spans="1:156" s="251" customFormat="1" ht="12" customHeight="1" x14ac:dyDescent="0.35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EZ249" s="296"/>
    </row>
    <row r="250" spans="1:156" s="251" customFormat="1" ht="12" customHeight="1" x14ac:dyDescent="0.35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EZ250" s="296"/>
    </row>
    <row r="251" spans="1:156" s="251" customFormat="1" ht="12" customHeight="1" x14ac:dyDescent="0.35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EZ251" s="296"/>
    </row>
    <row r="252" spans="1:156" s="251" customFormat="1" ht="12" customHeight="1" x14ac:dyDescent="0.35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EZ252" s="296"/>
    </row>
    <row r="253" spans="1:156" s="251" customFormat="1" ht="12" customHeight="1" x14ac:dyDescent="0.35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EZ253" s="296"/>
    </row>
    <row r="254" spans="1:156" s="251" customFormat="1" ht="12" customHeight="1" x14ac:dyDescent="0.35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EZ254" s="296"/>
    </row>
    <row r="255" spans="1:156" s="251" customFormat="1" ht="12" customHeight="1" x14ac:dyDescent="0.35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EZ255" s="296"/>
    </row>
    <row r="256" spans="1:156" s="251" customFormat="1" ht="12" customHeight="1" x14ac:dyDescent="0.35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EZ256" s="296"/>
    </row>
    <row r="257" spans="1:156" s="251" customFormat="1" ht="12" customHeight="1" x14ac:dyDescent="0.35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EZ257" s="296"/>
    </row>
    <row r="258" spans="1:156" ht="12" customHeight="1" x14ac:dyDescent="0.35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</row>
    <row r="259" spans="1:156" ht="12" customHeight="1" x14ac:dyDescent="0.35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</row>
    <row r="260" spans="1:156" ht="5.15" customHeight="1" x14ac:dyDescent="0.35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</row>
    <row r="261" spans="1:156" s="42" customFormat="1" ht="15" customHeight="1" x14ac:dyDescent="0.35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AK261" s="356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  <c r="AZ261" s="251"/>
      <c r="BA261" s="251"/>
      <c r="BB261" s="251"/>
      <c r="BC261" s="251"/>
      <c r="BD261" s="251"/>
      <c r="BE261" s="251"/>
      <c r="BF261" s="251"/>
      <c r="BG261" s="251"/>
      <c r="BH261" s="251"/>
      <c r="BI261" s="251"/>
      <c r="BJ261" s="251"/>
      <c r="BK261" s="251"/>
      <c r="BL261" s="251"/>
      <c r="BM261" s="251"/>
      <c r="BN261" s="251"/>
      <c r="BO261" s="251"/>
      <c r="BP261" s="251"/>
      <c r="BQ261" s="251"/>
      <c r="BR261" s="251"/>
      <c r="BS261" s="251"/>
      <c r="BT261" s="251"/>
      <c r="BU261" s="251"/>
      <c r="BV261" s="251"/>
      <c r="BW261" s="251"/>
      <c r="BX261" s="251"/>
      <c r="BY261" s="251"/>
      <c r="BZ261" s="251"/>
      <c r="CA261" s="251"/>
      <c r="CB261" s="251"/>
      <c r="CC261" s="251"/>
      <c r="CD261" s="251"/>
      <c r="CE261" s="251"/>
      <c r="CF261" s="251"/>
      <c r="CG261" s="251"/>
      <c r="CH261" s="251"/>
      <c r="CI261" s="251"/>
      <c r="CJ261" s="251"/>
      <c r="CK261" s="251"/>
      <c r="CL261" s="251"/>
      <c r="CM261" s="251"/>
      <c r="CN261" s="251"/>
      <c r="CO261" s="251"/>
      <c r="CP261" s="251"/>
      <c r="CQ261" s="251"/>
      <c r="CR261" s="251"/>
      <c r="CS261" s="251"/>
      <c r="CT261" s="251"/>
      <c r="CU261" s="251"/>
      <c r="CV261" s="251"/>
      <c r="CW261" s="251"/>
      <c r="CX261" s="251"/>
      <c r="CY261" s="251"/>
      <c r="CZ261" s="251"/>
      <c r="DA261" s="251"/>
      <c r="DB261" s="251"/>
      <c r="DC261" s="251"/>
      <c r="DD261" s="251"/>
      <c r="DE261" s="251"/>
      <c r="DF261" s="251"/>
      <c r="DG261" s="251"/>
      <c r="DH261" s="251"/>
      <c r="DI261" s="251"/>
      <c r="DJ261" s="251"/>
      <c r="DK261" s="251"/>
      <c r="DL261" s="251"/>
      <c r="DM261" s="251"/>
      <c r="DN261" s="251"/>
      <c r="DO261" s="251"/>
      <c r="DP261" s="251"/>
      <c r="DQ261" s="251"/>
      <c r="DR261" s="251"/>
      <c r="DS261" s="251"/>
      <c r="DT261" s="251"/>
      <c r="DU261" s="251"/>
      <c r="DV261" s="251"/>
      <c r="DW261" s="251"/>
      <c r="DX261" s="251"/>
      <c r="DY261" s="251"/>
      <c r="DZ261" s="251"/>
      <c r="EA261" s="251"/>
      <c r="EB261" s="251"/>
      <c r="EC261" s="251"/>
      <c r="ED261" s="251"/>
      <c r="EE261" s="251"/>
      <c r="EF261" s="251"/>
      <c r="EG261" s="251"/>
      <c r="EH261" s="251"/>
      <c r="EI261" s="251"/>
      <c r="EJ261" s="251"/>
      <c r="EK261" s="251"/>
      <c r="EL261" s="251"/>
      <c r="EM261" s="251"/>
      <c r="EN261" s="251"/>
      <c r="EO261" s="251"/>
      <c r="EP261" s="251"/>
      <c r="EQ261" s="251"/>
      <c r="ER261" s="251"/>
      <c r="ES261" s="251"/>
      <c r="ET261" s="251"/>
      <c r="EU261" s="251"/>
      <c r="EV261" s="251"/>
      <c r="EW261" s="251"/>
      <c r="EX261" s="251"/>
      <c r="EY261" s="251"/>
      <c r="EZ261" s="296"/>
    </row>
    <row r="262" spans="1:156" ht="12" customHeight="1" x14ac:dyDescent="0.35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</row>
    <row r="263" spans="1:156" ht="12" customHeight="1" x14ac:dyDescent="0.35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</row>
    <row r="264" spans="1:156" ht="12" customHeight="1" x14ac:dyDescent="0.35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</row>
    <row r="265" spans="1:156" ht="12" customHeight="1" x14ac:dyDescent="0.35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</row>
    <row r="266" spans="1:156" ht="12" customHeight="1" x14ac:dyDescent="0.35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</row>
    <row r="267" spans="1:156" ht="12" customHeight="1" x14ac:dyDescent="0.35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</row>
    <row r="268" spans="1:156" ht="12" customHeight="1" x14ac:dyDescent="0.35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</row>
    <row r="269" spans="1:156" ht="12" customHeight="1" x14ac:dyDescent="0.35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</row>
    <row r="270" spans="1:156" ht="12" customHeight="1" x14ac:dyDescent="0.35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</row>
    <row r="271" spans="1:156" s="3" customFormat="1" ht="12" customHeight="1" x14ac:dyDescent="0.35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AK271" s="356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  <c r="AZ271" s="251"/>
      <c r="BA271" s="251"/>
      <c r="BB271" s="251"/>
      <c r="BC271" s="251"/>
      <c r="BD271" s="251"/>
      <c r="BE271" s="251"/>
      <c r="BF271" s="251"/>
      <c r="BG271" s="251"/>
      <c r="BH271" s="251"/>
      <c r="BI271" s="251"/>
      <c r="BJ271" s="251"/>
      <c r="BK271" s="251"/>
      <c r="BL271" s="251"/>
      <c r="BM271" s="251"/>
      <c r="BN271" s="251"/>
      <c r="BO271" s="251"/>
      <c r="BP271" s="251"/>
      <c r="BQ271" s="251"/>
      <c r="BR271" s="251"/>
      <c r="BS271" s="251"/>
      <c r="BT271" s="251"/>
      <c r="BU271" s="251"/>
      <c r="BV271" s="251"/>
      <c r="BW271" s="251"/>
      <c r="BX271" s="251"/>
      <c r="BY271" s="251"/>
      <c r="BZ271" s="251"/>
      <c r="CA271" s="251"/>
      <c r="CB271" s="251"/>
      <c r="CC271" s="251"/>
      <c r="CD271" s="251"/>
      <c r="CE271" s="251"/>
      <c r="CF271" s="251"/>
      <c r="CG271" s="251"/>
      <c r="CH271" s="251"/>
      <c r="CI271" s="251"/>
      <c r="CJ271" s="251"/>
      <c r="CK271" s="251"/>
      <c r="CL271" s="251"/>
      <c r="CM271" s="251"/>
      <c r="CN271" s="251"/>
      <c r="CO271" s="251"/>
      <c r="CP271" s="251"/>
      <c r="CQ271" s="251"/>
      <c r="CR271" s="251"/>
      <c r="CS271" s="251"/>
      <c r="CT271" s="251"/>
      <c r="CU271" s="251"/>
      <c r="CV271" s="251"/>
      <c r="CW271" s="251"/>
      <c r="CX271" s="251"/>
      <c r="CY271" s="251"/>
      <c r="CZ271" s="251"/>
      <c r="DA271" s="251"/>
      <c r="DB271" s="251"/>
      <c r="DC271" s="251"/>
      <c r="DD271" s="251"/>
      <c r="DE271" s="251"/>
      <c r="DF271" s="251"/>
      <c r="DG271" s="251"/>
      <c r="DH271" s="251"/>
      <c r="DI271" s="251"/>
      <c r="DJ271" s="251"/>
      <c r="DK271" s="251"/>
      <c r="DL271" s="251"/>
      <c r="DM271" s="251"/>
      <c r="DN271" s="251"/>
      <c r="DO271" s="251"/>
      <c r="DP271" s="251"/>
      <c r="DQ271" s="251"/>
      <c r="DR271" s="251"/>
      <c r="DS271" s="251"/>
      <c r="DT271" s="251"/>
      <c r="DU271" s="251"/>
      <c r="DV271" s="251"/>
      <c r="DW271" s="251"/>
      <c r="DX271" s="251"/>
      <c r="DY271" s="251"/>
      <c r="DZ271" s="251"/>
      <c r="EA271" s="251"/>
      <c r="EB271" s="251"/>
      <c r="EC271" s="251"/>
      <c r="ED271" s="251"/>
      <c r="EE271" s="251"/>
      <c r="EF271" s="251"/>
      <c r="EG271" s="251"/>
      <c r="EH271" s="251"/>
      <c r="EI271" s="251"/>
      <c r="EJ271" s="251"/>
      <c r="EK271" s="251"/>
      <c r="EL271" s="251"/>
      <c r="EM271" s="251"/>
      <c r="EN271" s="251"/>
      <c r="EO271" s="251"/>
      <c r="EP271" s="251"/>
      <c r="EQ271" s="251"/>
      <c r="ER271" s="251"/>
      <c r="ES271" s="251"/>
      <c r="ET271" s="251"/>
      <c r="EU271" s="251"/>
      <c r="EV271" s="251"/>
      <c r="EW271" s="251"/>
      <c r="EX271" s="251"/>
      <c r="EY271" s="251"/>
      <c r="EZ271" s="296"/>
    </row>
    <row r="272" spans="1:156" ht="12" customHeight="1" x14ac:dyDescent="0.35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</row>
    <row r="273" spans="1:156" ht="12" customHeight="1" x14ac:dyDescent="0.35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</row>
    <row r="274" spans="1:156" s="20" customFormat="1" ht="12" customHeight="1" x14ac:dyDescent="0.35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AK274" s="356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  <c r="AZ274" s="251"/>
      <c r="BA274" s="251"/>
      <c r="BB274" s="251"/>
      <c r="BC274" s="251"/>
      <c r="BD274" s="251"/>
      <c r="BE274" s="251"/>
      <c r="BF274" s="251"/>
      <c r="BG274" s="251"/>
      <c r="BH274" s="251"/>
      <c r="BI274" s="251"/>
      <c r="BJ274" s="251"/>
      <c r="BK274" s="251"/>
      <c r="BL274" s="251"/>
      <c r="BM274" s="251"/>
      <c r="BN274" s="251"/>
      <c r="BO274" s="251"/>
      <c r="BP274" s="251"/>
      <c r="BQ274" s="251"/>
      <c r="BR274" s="251"/>
      <c r="BS274" s="251"/>
      <c r="BT274" s="251"/>
      <c r="BU274" s="251"/>
      <c r="BV274" s="251"/>
      <c r="BW274" s="251"/>
      <c r="BX274" s="251"/>
      <c r="BY274" s="251"/>
      <c r="BZ274" s="251"/>
      <c r="CA274" s="251"/>
      <c r="CB274" s="251"/>
      <c r="CC274" s="251"/>
      <c r="CD274" s="251"/>
      <c r="CE274" s="251"/>
      <c r="CF274" s="251"/>
      <c r="CG274" s="251"/>
      <c r="CH274" s="251"/>
      <c r="CI274" s="251"/>
      <c r="CJ274" s="251"/>
      <c r="CK274" s="251"/>
      <c r="CL274" s="251"/>
      <c r="CM274" s="251"/>
      <c r="CN274" s="251"/>
      <c r="CO274" s="251"/>
      <c r="CP274" s="251"/>
      <c r="CQ274" s="251"/>
      <c r="CR274" s="251"/>
      <c r="CS274" s="251"/>
      <c r="CT274" s="251"/>
      <c r="CU274" s="251"/>
      <c r="CV274" s="251"/>
      <c r="CW274" s="251"/>
      <c r="CX274" s="251"/>
      <c r="CY274" s="251"/>
      <c r="CZ274" s="251"/>
      <c r="DA274" s="251"/>
      <c r="DB274" s="251"/>
      <c r="DC274" s="251"/>
      <c r="DD274" s="251"/>
      <c r="DE274" s="251"/>
      <c r="DF274" s="251"/>
      <c r="DG274" s="251"/>
      <c r="DH274" s="251"/>
      <c r="DI274" s="251"/>
      <c r="DJ274" s="251"/>
      <c r="DK274" s="251"/>
      <c r="DL274" s="251"/>
      <c r="DM274" s="251"/>
      <c r="DN274" s="251"/>
      <c r="DO274" s="251"/>
      <c r="DP274" s="251"/>
      <c r="DQ274" s="251"/>
      <c r="DR274" s="251"/>
      <c r="DS274" s="251"/>
      <c r="DT274" s="251"/>
      <c r="DU274" s="251"/>
      <c r="DV274" s="251"/>
      <c r="DW274" s="251"/>
      <c r="DX274" s="251"/>
      <c r="DY274" s="251"/>
      <c r="DZ274" s="251"/>
      <c r="EA274" s="251"/>
      <c r="EB274" s="251"/>
      <c r="EC274" s="251"/>
      <c r="ED274" s="251"/>
      <c r="EE274" s="251"/>
      <c r="EF274" s="251"/>
      <c r="EG274" s="251"/>
      <c r="EH274" s="251"/>
      <c r="EI274" s="251"/>
      <c r="EJ274" s="251"/>
      <c r="EK274" s="251"/>
      <c r="EL274" s="251"/>
      <c r="EM274" s="251"/>
      <c r="EN274" s="251"/>
      <c r="EO274" s="251"/>
      <c r="EP274" s="251"/>
      <c r="EQ274" s="251"/>
      <c r="ER274" s="251"/>
      <c r="ES274" s="251"/>
      <c r="ET274" s="251"/>
      <c r="EU274" s="251"/>
      <c r="EV274" s="251"/>
      <c r="EW274" s="251"/>
      <c r="EX274" s="251"/>
      <c r="EY274" s="251"/>
      <c r="EZ274" s="296"/>
    </row>
    <row r="275" spans="1:156" ht="12" customHeight="1" x14ac:dyDescent="0.35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</row>
    <row r="276" spans="1:156" ht="12" customHeight="1" x14ac:dyDescent="0.35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</row>
    <row r="277" spans="1:156" s="20" customFormat="1" ht="12" customHeight="1" x14ac:dyDescent="0.35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AK277" s="356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  <c r="AZ277" s="251"/>
      <c r="BA277" s="251"/>
      <c r="BB277" s="251"/>
      <c r="BC277" s="251"/>
      <c r="BD277" s="251"/>
      <c r="BE277" s="251"/>
      <c r="BF277" s="251"/>
      <c r="BG277" s="251"/>
      <c r="BH277" s="251"/>
      <c r="BI277" s="251"/>
      <c r="BJ277" s="251"/>
      <c r="BK277" s="251"/>
      <c r="BL277" s="251"/>
      <c r="BM277" s="251"/>
      <c r="BN277" s="251"/>
      <c r="BO277" s="251"/>
      <c r="BP277" s="251"/>
      <c r="BQ277" s="251"/>
      <c r="BR277" s="251"/>
      <c r="BS277" s="251"/>
      <c r="BT277" s="251"/>
      <c r="BU277" s="251"/>
      <c r="BV277" s="251"/>
      <c r="BW277" s="251"/>
      <c r="BX277" s="251"/>
      <c r="BY277" s="251"/>
      <c r="BZ277" s="251"/>
      <c r="CA277" s="251"/>
      <c r="CB277" s="251"/>
      <c r="CC277" s="251"/>
      <c r="CD277" s="251"/>
      <c r="CE277" s="251"/>
      <c r="CF277" s="251"/>
      <c r="CG277" s="251"/>
      <c r="CH277" s="251"/>
      <c r="CI277" s="251"/>
      <c r="CJ277" s="251"/>
      <c r="CK277" s="251"/>
      <c r="CL277" s="251"/>
      <c r="CM277" s="251"/>
      <c r="CN277" s="251"/>
      <c r="CO277" s="251"/>
      <c r="CP277" s="251"/>
      <c r="CQ277" s="251"/>
      <c r="CR277" s="251"/>
      <c r="CS277" s="251"/>
      <c r="CT277" s="251"/>
      <c r="CU277" s="251"/>
      <c r="CV277" s="251"/>
      <c r="CW277" s="251"/>
      <c r="CX277" s="251"/>
      <c r="CY277" s="251"/>
      <c r="CZ277" s="251"/>
      <c r="DA277" s="251"/>
      <c r="DB277" s="251"/>
      <c r="DC277" s="251"/>
      <c r="DD277" s="251"/>
      <c r="DE277" s="251"/>
      <c r="DF277" s="251"/>
      <c r="DG277" s="251"/>
      <c r="DH277" s="251"/>
      <c r="DI277" s="251"/>
      <c r="DJ277" s="251"/>
      <c r="DK277" s="251"/>
      <c r="DL277" s="251"/>
      <c r="DM277" s="251"/>
      <c r="DN277" s="251"/>
      <c r="DO277" s="251"/>
      <c r="DP277" s="251"/>
      <c r="DQ277" s="251"/>
      <c r="DR277" s="251"/>
      <c r="DS277" s="251"/>
      <c r="DT277" s="251"/>
      <c r="DU277" s="251"/>
      <c r="DV277" s="251"/>
      <c r="DW277" s="251"/>
      <c r="DX277" s="251"/>
      <c r="DY277" s="251"/>
      <c r="DZ277" s="251"/>
      <c r="EA277" s="251"/>
      <c r="EB277" s="251"/>
      <c r="EC277" s="251"/>
      <c r="ED277" s="251"/>
      <c r="EE277" s="251"/>
      <c r="EF277" s="251"/>
      <c r="EG277" s="251"/>
      <c r="EH277" s="251"/>
      <c r="EI277" s="251"/>
      <c r="EJ277" s="251"/>
      <c r="EK277" s="251"/>
      <c r="EL277" s="251"/>
      <c r="EM277" s="251"/>
      <c r="EN277" s="251"/>
      <c r="EO277" s="251"/>
      <c r="EP277" s="251"/>
      <c r="EQ277" s="251"/>
      <c r="ER277" s="251"/>
      <c r="ES277" s="251"/>
      <c r="ET277" s="251"/>
      <c r="EU277" s="251"/>
      <c r="EV277" s="251"/>
      <c r="EW277" s="251"/>
      <c r="EX277" s="251"/>
      <c r="EY277" s="251"/>
      <c r="EZ277" s="296"/>
    </row>
    <row r="278" spans="1:156" ht="12" customHeight="1" x14ac:dyDescent="0.35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</row>
    <row r="279" spans="1:156" ht="12" customHeight="1" x14ac:dyDescent="0.35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</row>
    <row r="280" spans="1:156" ht="12" customHeight="1" x14ac:dyDescent="0.35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</row>
    <row r="281" spans="1:156" ht="12" customHeight="1" x14ac:dyDescent="0.35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</row>
    <row r="282" spans="1:156" ht="12" customHeight="1" x14ac:dyDescent="0.35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</row>
    <row r="283" spans="1:156" ht="12" customHeight="1" x14ac:dyDescent="0.35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</row>
    <row r="284" spans="1:156" ht="12" customHeight="1" x14ac:dyDescent="0.35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</row>
    <row r="285" spans="1:156" ht="12" customHeight="1" x14ac:dyDescent="0.35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</row>
    <row r="286" spans="1:156" ht="12" customHeight="1" x14ac:dyDescent="0.35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</row>
    <row r="287" spans="1:156" ht="12" customHeight="1" x14ac:dyDescent="0.35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</row>
    <row r="288" spans="1:156" ht="12" customHeight="1" x14ac:dyDescent="0.35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</row>
    <row r="289" spans="1:156" ht="12" customHeight="1" x14ac:dyDescent="0.35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</row>
    <row r="290" spans="1:156" s="251" customFormat="1" ht="12" customHeight="1" x14ac:dyDescent="0.35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EZ290" s="296"/>
    </row>
    <row r="291" spans="1:156" s="251" customFormat="1" ht="12" customHeight="1" x14ac:dyDescent="0.35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EZ291" s="296"/>
    </row>
    <row r="292" spans="1:156" s="251" customFormat="1" ht="12" customHeight="1" x14ac:dyDescent="0.35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EZ292" s="296"/>
    </row>
    <row r="293" spans="1:156" s="251" customFormat="1" ht="12" customHeight="1" x14ac:dyDescent="0.35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EZ293" s="296"/>
    </row>
    <row r="294" spans="1:156" s="251" customFormat="1" ht="12" customHeight="1" x14ac:dyDescent="0.35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EZ294" s="296"/>
    </row>
    <row r="295" spans="1:156" s="251" customFormat="1" ht="12" customHeight="1" x14ac:dyDescent="0.35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EZ295" s="296"/>
    </row>
    <row r="296" spans="1:156" s="251" customFormat="1" ht="12" customHeight="1" x14ac:dyDescent="0.35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EZ296" s="296"/>
    </row>
    <row r="297" spans="1:156" s="251" customFormat="1" ht="12" customHeight="1" x14ac:dyDescent="0.35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EZ297" s="296"/>
    </row>
    <row r="298" spans="1:156" s="251" customFormat="1" ht="12" customHeight="1" x14ac:dyDescent="0.35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EZ298" s="296"/>
    </row>
    <row r="299" spans="1:156" s="251" customFormat="1" ht="12" customHeight="1" x14ac:dyDescent="0.35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EZ299" s="296"/>
    </row>
    <row r="300" spans="1:156" s="251" customFormat="1" ht="12" customHeight="1" x14ac:dyDescent="0.35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EZ300" s="296"/>
    </row>
    <row r="301" spans="1:156" s="251" customFormat="1" ht="12" customHeight="1" x14ac:dyDescent="0.35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EZ301" s="296"/>
    </row>
    <row r="302" spans="1:156" s="251" customFormat="1" ht="12" customHeight="1" x14ac:dyDescent="0.35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EZ302" s="296"/>
    </row>
    <row r="303" spans="1:156" s="251" customFormat="1" ht="12" customHeight="1" x14ac:dyDescent="0.35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EZ303" s="296"/>
    </row>
    <row r="304" spans="1:156" s="251" customFormat="1" ht="12" customHeight="1" x14ac:dyDescent="0.35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EZ304" s="296"/>
    </row>
    <row r="305" spans="1:156" s="251" customFormat="1" ht="12" customHeight="1" x14ac:dyDescent="0.35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EZ305" s="296"/>
    </row>
    <row r="306" spans="1:156" s="251" customFormat="1" ht="12" customHeight="1" x14ac:dyDescent="0.35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EZ306" s="296"/>
    </row>
    <row r="307" spans="1:156" s="251" customFormat="1" ht="12" customHeight="1" x14ac:dyDescent="0.35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EZ307" s="296"/>
    </row>
    <row r="308" spans="1:156" s="251" customFormat="1" ht="12" customHeight="1" x14ac:dyDescent="0.35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EZ308" s="296"/>
    </row>
    <row r="309" spans="1:156" s="251" customFormat="1" ht="12" customHeight="1" x14ac:dyDescent="0.35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EZ309" s="296"/>
    </row>
    <row r="310" spans="1:156" s="251" customFormat="1" ht="12" customHeight="1" x14ac:dyDescent="0.35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EZ310" s="296"/>
    </row>
    <row r="311" spans="1:156" s="251" customFormat="1" ht="12" customHeight="1" x14ac:dyDescent="0.35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EZ311" s="296"/>
    </row>
    <row r="312" spans="1:156" s="251" customFormat="1" ht="12" customHeight="1" x14ac:dyDescent="0.35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EZ312" s="296"/>
    </row>
    <row r="313" spans="1:156" s="251" customFormat="1" ht="12" customHeight="1" x14ac:dyDescent="0.35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EZ313" s="296"/>
    </row>
    <row r="314" spans="1:156" s="251" customFormat="1" ht="12" customHeight="1" x14ac:dyDescent="0.35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EZ314" s="296"/>
    </row>
    <row r="315" spans="1:156" s="251" customFormat="1" ht="12" customHeight="1" x14ac:dyDescent="0.35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EZ315" s="296"/>
    </row>
    <row r="316" spans="1:156" s="251" customFormat="1" ht="12" customHeight="1" x14ac:dyDescent="0.35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EZ316" s="296"/>
    </row>
    <row r="317" spans="1:156" s="251" customFormat="1" ht="12" customHeight="1" x14ac:dyDescent="0.35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EZ317" s="296"/>
    </row>
    <row r="318" spans="1:156" s="251" customFormat="1" ht="12" customHeight="1" x14ac:dyDescent="0.35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EZ318" s="296"/>
    </row>
    <row r="319" spans="1:156" s="251" customFormat="1" ht="12" customHeight="1" x14ac:dyDescent="0.35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EZ319" s="296"/>
    </row>
    <row r="320" spans="1:156" s="251" customFormat="1" ht="12" customHeight="1" x14ac:dyDescent="0.35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EZ320" s="296"/>
    </row>
    <row r="321" spans="1:156" s="251" customFormat="1" ht="12" customHeight="1" x14ac:dyDescent="0.35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EZ321" s="296"/>
    </row>
    <row r="322" spans="1:156" s="251" customFormat="1" ht="12" customHeight="1" x14ac:dyDescent="0.35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EZ322" s="296"/>
    </row>
    <row r="323" spans="1:156" s="251" customFormat="1" ht="12" customHeight="1" x14ac:dyDescent="0.35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EZ323" s="296"/>
    </row>
    <row r="324" spans="1:156" s="251" customFormat="1" ht="12" customHeight="1" x14ac:dyDescent="0.35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EZ324" s="296"/>
    </row>
    <row r="325" spans="1:156" s="251" customFormat="1" ht="12" customHeight="1" x14ac:dyDescent="0.35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EZ325" s="296"/>
    </row>
    <row r="326" spans="1:156" s="251" customFormat="1" ht="12" customHeight="1" x14ac:dyDescent="0.35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EZ326" s="296"/>
    </row>
    <row r="327" spans="1:156" s="251" customFormat="1" ht="12" customHeight="1" x14ac:dyDescent="0.35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EZ327" s="296"/>
    </row>
    <row r="328" spans="1:156" s="251" customFormat="1" ht="12" customHeight="1" x14ac:dyDescent="0.35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EZ328" s="296"/>
    </row>
    <row r="329" spans="1:156" s="251" customFormat="1" ht="12" customHeight="1" x14ac:dyDescent="0.35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EZ329" s="296"/>
    </row>
    <row r="330" spans="1:156" s="251" customFormat="1" ht="12" customHeight="1" x14ac:dyDescent="0.35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EZ330" s="296"/>
    </row>
    <row r="331" spans="1:156" s="251" customFormat="1" ht="12" customHeight="1" x14ac:dyDescent="0.35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EZ331" s="296"/>
    </row>
    <row r="332" spans="1:156" s="251" customFormat="1" ht="12" customHeight="1" x14ac:dyDescent="0.35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EZ332" s="296"/>
    </row>
    <row r="333" spans="1:156" s="251" customFormat="1" ht="12" customHeight="1" x14ac:dyDescent="0.35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EZ333" s="296"/>
    </row>
    <row r="334" spans="1:156" s="251" customFormat="1" ht="12" customHeight="1" x14ac:dyDescent="0.35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EZ334" s="296"/>
    </row>
    <row r="335" spans="1:156" s="251" customFormat="1" ht="12" customHeight="1" x14ac:dyDescent="0.35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EZ335" s="296"/>
    </row>
    <row r="336" spans="1:156" s="251" customFormat="1" ht="12" customHeight="1" x14ac:dyDescent="0.35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EZ336" s="296"/>
    </row>
    <row r="337" spans="1:156" s="251" customFormat="1" ht="12" customHeight="1" x14ac:dyDescent="0.35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EZ337" s="296"/>
    </row>
    <row r="338" spans="1:156" s="251" customFormat="1" ht="12" customHeight="1" x14ac:dyDescent="0.35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EZ338" s="296"/>
    </row>
    <row r="339" spans="1:156" s="251" customFormat="1" ht="12" customHeight="1" x14ac:dyDescent="0.35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EZ339" s="296"/>
    </row>
    <row r="340" spans="1:156" s="251" customFormat="1" ht="12" customHeight="1" x14ac:dyDescent="0.35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EZ340" s="296"/>
    </row>
    <row r="341" spans="1:156" s="251" customFormat="1" ht="12" customHeight="1" x14ac:dyDescent="0.35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EZ341" s="296"/>
    </row>
    <row r="342" spans="1:156" s="251" customFormat="1" ht="12" customHeight="1" x14ac:dyDescent="0.35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EZ342" s="296"/>
    </row>
    <row r="343" spans="1:156" s="251" customFormat="1" ht="12" customHeight="1" x14ac:dyDescent="0.35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EZ343" s="296"/>
    </row>
    <row r="344" spans="1:156" s="251" customFormat="1" ht="12" customHeight="1" x14ac:dyDescent="0.35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298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EZ344" s="296"/>
    </row>
    <row r="345" spans="1:156" s="251" customFormat="1" ht="12" customHeight="1" x14ac:dyDescent="0.35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298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EZ345" s="296"/>
    </row>
    <row r="346" spans="1:156" s="251" customFormat="1" ht="12" customHeight="1" x14ac:dyDescent="0.35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298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EZ346" s="296"/>
    </row>
    <row r="347" spans="1:156" s="251" customFormat="1" ht="12" customHeight="1" x14ac:dyDescent="0.35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298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EZ347" s="296"/>
    </row>
    <row r="348" spans="1:156" s="251" customFormat="1" ht="12" customHeight="1" x14ac:dyDescent="0.35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EZ348" s="296"/>
    </row>
    <row r="349" spans="1:156" s="251" customFormat="1" ht="12" customHeight="1" x14ac:dyDescent="0.35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EZ349" s="296"/>
    </row>
    <row r="350" spans="1:156" s="251" customFormat="1" ht="12" customHeight="1" x14ac:dyDescent="0.35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EZ350" s="296"/>
    </row>
    <row r="351" spans="1:156" s="251" customFormat="1" ht="12" customHeight="1" x14ac:dyDescent="0.35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EZ351" s="296"/>
    </row>
    <row r="352" spans="1:156" s="251" customFormat="1" ht="12" customHeight="1" x14ac:dyDescent="0.35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EZ352" s="296"/>
    </row>
    <row r="353" spans="1:156" s="251" customFormat="1" ht="12" customHeight="1" x14ac:dyDescent="0.35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EZ353" s="296"/>
    </row>
    <row r="354" spans="1:156" s="251" customFormat="1" ht="12" customHeight="1" x14ac:dyDescent="0.35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EZ354" s="296"/>
    </row>
    <row r="355" spans="1:156" s="251" customFormat="1" ht="12" customHeight="1" x14ac:dyDescent="0.35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EZ355" s="296"/>
    </row>
    <row r="356" spans="1:156" s="251" customFormat="1" ht="12" customHeight="1" x14ac:dyDescent="0.35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EZ356" s="296"/>
    </row>
    <row r="357" spans="1:156" s="251" customFormat="1" ht="12" customHeight="1" x14ac:dyDescent="0.35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EZ357" s="296"/>
    </row>
    <row r="358" spans="1:156" s="251" customFormat="1" ht="12" customHeight="1" x14ac:dyDescent="0.35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EZ358" s="296"/>
    </row>
    <row r="359" spans="1:156" s="251" customFormat="1" ht="12" customHeight="1" x14ac:dyDescent="0.35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EZ359" s="296"/>
    </row>
    <row r="360" spans="1:156" s="251" customFormat="1" ht="12" customHeight="1" x14ac:dyDescent="0.35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298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EZ360" s="296"/>
    </row>
    <row r="361" spans="1:156" s="251" customFormat="1" ht="12" customHeight="1" x14ac:dyDescent="0.35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298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EZ361" s="296"/>
    </row>
    <row r="362" spans="1:156" s="251" customFormat="1" ht="12" customHeight="1" x14ac:dyDescent="0.35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298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EZ362" s="296"/>
    </row>
    <row r="363" spans="1:156" s="251" customFormat="1" ht="12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EZ363" s="296"/>
    </row>
    <row r="364" spans="1:156" s="251" customFormat="1" ht="12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EZ364" s="296"/>
    </row>
    <row r="365" spans="1:156" s="251" customFormat="1" ht="12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EZ365" s="296"/>
    </row>
    <row r="366" spans="1:156" s="251" customFormat="1" ht="12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EZ366" s="296"/>
    </row>
    <row r="367" spans="1:156" s="251" customFormat="1" ht="12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EZ367" s="296"/>
    </row>
    <row r="368" spans="1:156" s="251" customFormat="1" ht="12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EZ368" s="296"/>
    </row>
    <row r="369" spans="1:156" s="251" customFormat="1" ht="12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EZ369" s="296"/>
    </row>
    <row r="370" spans="1:156" s="251" customFormat="1" ht="12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EZ370" s="296"/>
    </row>
    <row r="371" spans="1:156" s="251" customFormat="1" ht="12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EZ371" s="296"/>
    </row>
    <row r="372" spans="1:156" s="251" customFormat="1" ht="12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EZ372" s="296"/>
    </row>
  </sheetData>
  <mergeCells count="248">
    <mergeCell ref="A23:B23"/>
    <mergeCell ref="I23:J23"/>
    <mergeCell ref="A24:B24"/>
    <mergeCell ref="I24:J24"/>
    <mergeCell ref="A25:B25"/>
    <mergeCell ref="A79:L79"/>
    <mergeCell ref="I25:J25"/>
    <mergeCell ref="K78:L78"/>
    <mergeCell ref="K77:L77"/>
    <mergeCell ref="A75:J78"/>
    <mergeCell ref="M18:N18"/>
    <mergeCell ref="A19:B19"/>
    <mergeCell ref="I19:J19"/>
    <mergeCell ref="B13:C13"/>
    <mergeCell ref="E13:F13"/>
    <mergeCell ref="H13:L13"/>
    <mergeCell ref="B14:C14"/>
    <mergeCell ref="H14:L14"/>
    <mergeCell ref="B15:L15"/>
    <mergeCell ref="M35:N35"/>
    <mergeCell ref="A32:B32"/>
    <mergeCell ref="I32:J32"/>
    <mergeCell ref="K32:L32"/>
    <mergeCell ref="M32:N32"/>
    <mergeCell ref="A33:B33"/>
    <mergeCell ref="I33:J33"/>
    <mergeCell ref="M33:N33"/>
    <mergeCell ref="M29:N29"/>
    <mergeCell ref="A30:B30"/>
    <mergeCell ref="I30:J30"/>
    <mergeCell ref="K30:L30"/>
    <mergeCell ref="M31:N31"/>
    <mergeCell ref="M30:N30"/>
    <mergeCell ref="W26:X26"/>
    <mergeCell ref="Y26:Z26"/>
    <mergeCell ref="W27:X27"/>
    <mergeCell ref="Y27:Z27"/>
    <mergeCell ref="A34:B34"/>
    <mergeCell ref="I34:J34"/>
    <mergeCell ref="M34:N34"/>
    <mergeCell ref="W28:X28"/>
    <mergeCell ref="Y28:Z28"/>
    <mergeCell ref="M26:N26"/>
    <mergeCell ref="A27:B27"/>
    <mergeCell ref="I27:J27"/>
    <mergeCell ref="K27:L27"/>
    <mergeCell ref="I28:J28"/>
    <mergeCell ref="K28:L28"/>
    <mergeCell ref="A29:B29"/>
    <mergeCell ref="I29:J29"/>
    <mergeCell ref="K29:L29"/>
    <mergeCell ref="A26:B26"/>
    <mergeCell ref="I26:J26"/>
    <mergeCell ref="K26:L26"/>
    <mergeCell ref="A31:B31"/>
    <mergeCell ref="A28:B28"/>
    <mergeCell ref="A81:B81"/>
    <mergeCell ref="E81:F81"/>
    <mergeCell ref="H81:L81"/>
    <mergeCell ref="A82:L82"/>
    <mergeCell ref="A83:E83"/>
    <mergeCell ref="G83:L83"/>
    <mergeCell ref="A36:B36"/>
    <mergeCell ref="I36:J36"/>
    <mergeCell ref="M36:N36"/>
    <mergeCell ref="A37:D38"/>
    <mergeCell ref="A80:L80"/>
    <mergeCell ref="K75:L75"/>
    <mergeCell ref="K89:L89"/>
    <mergeCell ref="A90:B90"/>
    <mergeCell ref="K90:L90"/>
    <mergeCell ref="A91:B91"/>
    <mergeCell ref="D91:E91"/>
    <mergeCell ref="A84:B84"/>
    <mergeCell ref="K84:L84"/>
    <mergeCell ref="K85:L85"/>
    <mergeCell ref="K86:L86"/>
    <mergeCell ref="K87:L87"/>
    <mergeCell ref="A88:B88"/>
    <mergeCell ref="K88:L88"/>
    <mergeCell ref="A89:B89"/>
    <mergeCell ref="BA105:BB105"/>
    <mergeCell ref="A92:L92"/>
    <mergeCell ref="A93:B93"/>
    <mergeCell ref="C93:D93"/>
    <mergeCell ref="E93:E98"/>
    <mergeCell ref="A95:A100"/>
    <mergeCell ref="BA97:BB97"/>
    <mergeCell ref="B99:C99"/>
    <mergeCell ref="E99:E100"/>
    <mergeCell ref="B100:C100"/>
    <mergeCell ref="E166:F167"/>
    <mergeCell ref="G166:H166"/>
    <mergeCell ref="A154:L157"/>
    <mergeCell ref="E112:E117"/>
    <mergeCell ref="A114:A119"/>
    <mergeCell ref="B118:C118"/>
    <mergeCell ref="E118:E119"/>
    <mergeCell ref="B119:C119"/>
    <mergeCell ref="A101:A102"/>
    <mergeCell ref="B101:B102"/>
    <mergeCell ref="C101:C102"/>
    <mergeCell ref="D101:D102"/>
    <mergeCell ref="E101:E102"/>
    <mergeCell ref="A112:B112"/>
    <mergeCell ref="C112:D112"/>
    <mergeCell ref="E137:E138"/>
    <mergeCell ref="B138:C138"/>
    <mergeCell ref="G152:K152"/>
    <mergeCell ref="D139:D140"/>
    <mergeCell ref="E139:E140"/>
    <mergeCell ref="C139:C140"/>
    <mergeCell ref="A158:L158"/>
    <mergeCell ref="BV204:BW204"/>
    <mergeCell ref="A205:B205"/>
    <mergeCell ref="A206:B206"/>
    <mergeCell ref="H206:J206"/>
    <mergeCell ref="K206:L206"/>
    <mergeCell ref="A200:B200"/>
    <mergeCell ref="BQ200:BQ202"/>
    <mergeCell ref="A201:B201"/>
    <mergeCell ref="A202:B202"/>
    <mergeCell ref="AW202:AW203"/>
    <mergeCell ref="AZ202:BA202"/>
    <mergeCell ref="A203:B203"/>
    <mergeCell ref="BT203:BU203"/>
    <mergeCell ref="A204:B204"/>
    <mergeCell ref="BT204:BU204"/>
    <mergeCell ref="I22:J22"/>
    <mergeCell ref="B16:L16"/>
    <mergeCell ref="G73:K73"/>
    <mergeCell ref="N197:O197"/>
    <mergeCell ref="C198:G198"/>
    <mergeCell ref="H198:L198"/>
    <mergeCell ref="AW198:AW199"/>
    <mergeCell ref="A199:B199"/>
    <mergeCell ref="A179:C179"/>
    <mergeCell ref="A180:C180"/>
    <mergeCell ref="A181:C181"/>
    <mergeCell ref="A182:C182"/>
    <mergeCell ref="A183:F183"/>
    <mergeCell ref="G183:L195"/>
    <mergeCell ref="A184:F184"/>
    <mergeCell ref="K166:L166"/>
    <mergeCell ref="A167:B167"/>
    <mergeCell ref="G167:H167"/>
    <mergeCell ref="K167:L167"/>
    <mergeCell ref="A168:B168"/>
    <mergeCell ref="I168:J168"/>
    <mergeCell ref="K168:L168"/>
    <mergeCell ref="A165:D166"/>
    <mergeCell ref="E165:J165"/>
    <mergeCell ref="G224:K224"/>
    <mergeCell ref="A18:B18"/>
    <mergeCell ref="I18:J18"/>
    <mergeCell ref="K10:L10"/>
    <mergeCell ref="A173:B173"/>
    <mergeCell ref="I173:J173"/>
    <mergeCell ref="K173:L173"/>
    <mergeCell ref="A174:B175"/>
    <mergeCell ref="C174:D175"/>
    <mergeCell ref="I174:J174"/>
    <mergeCell ref="I175:J175"/>
    <mergeCell ref="A171:B171"/>
    <mergeCell ref="A120:A121"/>
    <mergeCell ref="B120:B121"/>
    <mergeCell ref="C120:C121"/>
    <mergeCell ref="D120:D121"/>
    <mergeCell ref="E120:E121"/>
    <mergeCell ref="A131:B131"/>
    <mergeCell ref="C131:D131"/>
    <mergeCell ref="E131:E136"/>
    <mergeCell ref="A133:A138"/>
    <mergeCell ref="B137:C137"/>
    <mergeCell ref="A139:A140"/>
    <mergeCell ref="B139:B140"/>
    <mergeCell ref="K176:L176"/>
    <mergeCell ref="E177:F177"/>
    <mergeCell ref="A162:J164"/>
    <mergeCell ref="J215:L215"/>
    <mergeCell ref="K220:L220"/>
    <mergeCell ref="H177:I177"/>
    <mergeCell ref="K177:L178"/>
    <mergeCell ref="A178:C178"/>
    <mergeCell ref="E178:F178"/>
    <mergeCell ref="G178:H178"/>
    <mergeCell ref="I178:J178"/>
    <mergeCell ref="K171:L171"/>
    <mergeCell ref="A172:B172"/>
    <mergeCell ref="I172:J172"/>
    <mergeCell ref="K172:L172"/>
    <mergeCell ref="A169:B169"/>
    <mergeCell ref="I169:J169"/>
    <mergeCell ref="K169:L169"/>
    <mergeCell ref="A170:B170"/>
    <mergeCell ref="I170:J170"/>
    <mergeCell ref="K170:L170"/>
    <mergeCell ref="I171:J171"/>
    <mergeCell ref="I166:J167"/>
    <mergeCell ref="K165:L165"/>
    <mergeCell ref="A1:L1"/>
    <mergeCell ref="A3:G3"/>
    <mergeCell ref="H3:L3"/>
    <mergeCell ref="A4:G4"/>
    <mergeCell ref="H4:L4"/>
    <mergeCell ref="A5:G5"/>
    <mergeCell ref="H5:L5"/>
    <mergeCell ref="A2:L2"/>
    <mergeCell ref="B72:E72"/>
    <mergeCell ref="K9:L9"/>
    <mergeCell ref="A11:L11"/>
    <mergeCell ref="I31:J31"/>
    <mergeCell ref="K31:L31"/>
    <mergeCell ref="A35:B35"/>
    <mergeCell ref="I35:J35"/>
    <mergeCell ref="A6:L6"/>
    <mergeCell ref="K7:L7"/>
    <mergeCell ref="A20:B20"/>
    <mergeCell ref="I20:J20"/>
    <mergeCell ref="A21:B21"/>
    <mergeCell ref="A7:J10"/>
    <mergeCell ref="A12:L12"/>
    <mergeCell ref="I21:J21"/>
    <mergeCell ref="A22:B22"/>
    <mergeCell ref="B224:E224"/>
    <mergeCell ref="A227:B227"/>
    <mergeCell ref="C227:L227"/>
    <mergeCell ref="A228:B228"/>
    <mergeCell ref="C228:L228"/>
    <mergeCell ref="A229:B229"/>
    <mergeCell ref="C229:L229"/>
    <mergeCell ref="B73:E73"/>
    <mergeCell ref="G72:K72"/>
    <mergeCell ref="B151:E151"/>
    <mergeCell ref="G151:K151"/>
    <mergeCell ref="K162:L162"/>
    <mergeCell ref="B223:E223"/>
    <mergeCell ref="G223:K223"/>
    <mergeCell ref="J208:K208"/>
    <mergeCell ref="J209:K209"/>
    <mergeCell ref="J210:K210"/>
    <mergeCell ref="J211:K211"/>
    <mergeCell ref="J212:K212"/>
    <mergeCell ref="J213:K213"/>
    <mergeCell ref="A196:K196"/>
    <mergeCell ref="A197:J197"/>
    <mergeCell ref="A176:D177"/>
    <mergeCell ref="E176:J176"/>
  </mergeCells>
  <conditionalFormatting sqref="B186:F192">
    <cfRule type="containsText" dxfId="10" priority="1" operator="containsText" text="FALSO">
      <formula>NOT(ISERROR(SEARCH("FALSO",B186)))</formula>
    </cfRule>
  </conditionalFormatting>
  <conditionalFormatting sqref="D26:J26">
    <cfRule type="expression" dxfId="9" priority="2">
      <formula>$AS$7</formula>
    </cfRule>
  </conditionalFormatting>
  <conditionalFormatting sqref="H205:L205">
    <cfRule type="cellIs" dxfId="8" priority="4" operator="lessThan">
      <formula>$AS$202</formula>
    </cfRule>
    <cfRule type="cellIs" dxfId="7" priority="5" operator="greaterThan">
      <formula>$AS$203</formula>
    </cfRule>
  </conditionalFormatting>
  <conditionalFormatting sqref="I24:J24 D25:J25">
    <cfRule type="expression" dxfId="6" priority="3">
      <formula>$AS$8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8" orientation="portrait" r:id="rId1"/>
  <rowBreaks count="1" manualBreakCount="1">
    <brk id="153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Spinner 1">
              <controlPr defaultSize="0" autoPict="0">
                <anchor moveWithCells="1" sizeWithCells="1">
                  <from>
                    <xdr:col>14</xdr:col>
                    <xdr:colOff>260350</xdr:colOff>
                    <xdr:row>6</xdr:row>
                    <xdr:rowOff>19050</xdr:rowOff>
                  </from>
                  <to>
                    <xdr:col>14</xdr:col>
                    <xdr:colOff>488950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defaultSize="0" autoFill="0" autoLine="0" autoPict="0">
                <anchor>
                  <from>
                    <xdr:col>18</xdr:col>
                    <xdr:colOff>241300</xdr:colOff>
                    <xdr:row>13</xdr:row>
                    <xdr:rowOff>114300</xdr:rowOff>
                  </from>
                  <to>
                    <xdr:col>18</xdr:col>
                    <xdr:colOff>533400</xdr:colOff>
                    <xdr:row>14</xdr:row>
                    <xdr:rowOff>146050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Check Box 3">
              <controlPr defaultSize="0" autoFill="0" autoLine="0" autoPict="0">
                <anchor>
                  <from>
                    <xdr:col>18</xdr:col>
                    <xdr:colOff>241300</xdr:colOff>
                    <xdr:row>14</xdr:row>
                    <xdr:rowOff>165100</xdr:rowOff>
                  </from>
                  <to>
                    <xdr:col>18</xdr:col>
                    <xdr:colOff>431800</xdr:colOff>
                    <xdr:row>15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Check Box 4">
              <controlPr defaultSize="0" autoFill="0" autoLine="0" autoPict="0">
                <anchor>
                  <from>
                    <xdr:col>18</xdr:col>
                    <xdr:colOff>260350</xdr:colOff>
                    <xdr:row>15</xdr:row>
                    <xdr:rowOff>95250</xdr:rowOff>
                  </from>
                  <to>
                    <xdr:col>18</xdr:col>
                    <xdr:colOff>508000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8" name="Check Box 5">
              <controlPr defaultSize="0" autoFill="0" autoLine="0" autoPict="0">
                <anchor>
                  <from>
                    <xdr:col>18</xdr:col>
                    <xdr:colOff>469900</xdr:colOff>
                    <xdr:row>13</xdr:row>
                    <xdr:rowOff>95250</xdr:rowOff>
                  </from>
                  <to>
                    <xdr:col>19</xdr:col>
                    <xdr:colOff>0</xdr:colOff>
                    <xdr:row>14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8" r:id="rId9" name="Check Box 6">
              <controlPr defaultSize="0" autoFill="0" autoLine="0" autoPict="0">
                <anchor>
                  <from>
                    <xdr:col>18</xdr:col>
                    <xdr:colOff>469900</xdr:colOff>
                    <xdr:row>14</xdr:row>
                    <xdr:rowOff>95250</xdr:rowOff>
                  </from>
                  <to>
                    <xdr:col>19</xdr:col>
                    <xdr:colOff>0</xdr:colOff>
                    <xdr:row>15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9" r:id="rId10" name="Check Box 7">
              <controlPr defaultSize="0" autoFill="0" autoLine="0" autoPict="0">
                <anchor>
                  <from>
                    <xdr:col>18</xdr:col>
                    <xdr:colOff>469900</xdr:colOff>
                    <xdr:row>15</xdr:row>
                    <xdr:rowOff>57150</xdr:rowOff>
                  </from>
                  <to>
                    <xdr:col>19</xdr:col>
                    <xdr:colOff>12700</xdr:colOff>
                    <xdr:row>16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0" r:id="rId11" name="Check Box 8">
              <controlPr defaultSize="0" autoFill="0" autoLine="0" autoPict="0">
                <anchor>
                  <from>
                    <xdr:col>19</xdr:col>
                    <xdr:colOff>12700</xdr:colOff>
                    <xdr:row>13</xdr:row>
                    <xdr:rowOff>76200</xdr:rowOff>
                  </from>
                  <to>
                    <xdr:col>19</xdr:col>
                    <xdr:colOff>127000</xdr:colOff>
                    <xdr:row>14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1" r:id="rId12" name="Check Box 9">
              <controlPr defaultSize="0" autoFill="0" autoLine="0" autoPict="0">
                <anchor>
                  <from>
                    <xdr:col>19</xdr:col>
                    <xdr:colOff>12700</xdr:colOff>
                    <xdr:row>14</xdr:row>
                    <xdr:rowOff>88900</xdr:rowOff>
                  </from>
                  <to>
                    <xdr:col>19</xdr:col>
                    <xdr:colOff>279400</xdr:colOff>
                    <xdr:row>15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2" r:id="rId13" name="Check Box 10">
              <controlPr defaultSize="0" autoFill="0" autoLine="0" autoPict="0">
                <anchor>
                  <from>
                    <xdr:col>19</xdr:col>
                    <xdr:colOff>12700</xdr:colOff>
                    <xdr:row>15</xdr:row>
                    <xdr:rowOff>95250</xdr:rowOff>
                  </from>
                  <to>
                    <xdr:col>19</xdr:col>
                    <xdr:colOff>247650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3" r:id="rId14" name="Check Box 11">
              <controlPr defaultSize="0" autoFill="0" autoLine="0" autoPict="0">
                <anchor>
                  <from>
                    <xdr:col>19</xdr:col>
                    <xdr:colOff>184150</xdr:colOff>
                    <xdr:row>13</xdr:row>
                    <xdr:rowOff>95250</xdr:rowOff>
                  </from>
                  <to>
                    <xdr:col>19</xdr:col>
                    <xdr:colOff>514350</xdr:colOff>
                    <xdr:row>14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4" r:id="rId15" name="Check Box 12">
              <controlPr defaultSize="0" autoFill="0" autoLine="0" autoPict="0">
                <anchor>
                  <from>
                    <xdr:col>19</xdr:col>
                    <xdr:colOff>241300</xdr:colOff>
                    <xdr:row>14</xdr:row>
                    <xdr:rowOff>95250</xdr:rowOff>
                  </from>
                  <to>
                    <xdr:col>19</xdr:col>
                    <xdr:colOff>533400</xdr:colOff>
                    <xdr:row>15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5" r:id="rId16" name="Check Box 13">
              <controlPr defaultSize="0" autoFill="0" autoLine="0" autoPict="0">
                <anchor>
                  <from>
                    <xdr:col>19</xdr:col>
                    <xdr:colOff>247650</xdr:colOff>
                    <xdr:row>15</xdr:row>
                    <xdr:rowOff>76200</xdr:rowOff>
                  </from>
                  <to>
                    <xdr:col>19</xdr:col>
                    <xdr:colOff>419100</xdr:colOff>
                    <xdr:row>16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6" r:id="rId17" name="Check Box 14">
              <controlPr defaultSize="0" autoFill="0" autoLine="0" autoPict="0">
                <anchor>
                  <from>
                    <xdr:col>19</xdr:col>
                    <xdr:colOff>450850</xdr:colOff>
                    <xdr:row>13</xdr:row>
                    <xdr:rowOff>88900</xdr:rowOff>
                  </from>
                  <to>
                    <xdr:col>20</xdr:col>
                    <xdr:colOff>31750</xdr:colOff>
                    <xdr:row>14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7" r:id="rId18" name="Check Box 15">
              <controlPr defaultSize="0" autoFill="0" autoLine="0" autoPict="0">
                <anchor>
                  <from>
                    <xdr:col>19</xdr:col>
                    <xdr:colOff>469900</xdr:colOff>
                    <xdr:row>14</xdr:row>
                    <xdr:rowOff>88900</xdr:rowOff>
                  </from>
                  <to>
                    <xdr:col>20</xdr:col>
                    <xdr:colOff>12700</xdr:colOff>
                    <xdr:row>15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8" r:id="rId19" name="Check Box 16">
              <controlPr defaultSize="0" autoFill="0" autoLine="0" autoPict="0">
                <anchor>
                  <from>
                    <xdr:col>19</xdr:col>
                    <xdr:colOff>488950</xdr:colOff>
                    <xdr:row>15</xdr:row>
                    <xdr:rowOff>127000</xdr:rowOff>
                  </from>
                  <to>
                    <xdr:col>20</xdr:col>
                    <xdr:colOff>69850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9" r:id="rId20" name="Check Box 17">
              <controlPr defaultSize="0" autoFill="0" autoLine="0" autoPict="0">
                <anchor>
                  <from>
                    <xdr:col>20</xdr:col>
                    <xdr:colOff>50800</xdr:colOff>
                    <xdr:row>13</xdr:row>
                    <xdr:rowOff>88900</xdr:rowOff>
                  </from>
                  <to>
                    <xdr:col>20</xdr:col>
                    <xdr:colOff>298450</xdr:colOff>
                    <xdr:row>14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0" r:id="rId21" name="Check Box 18">
              <controlPr defaultSize="0" autoFill="0" autoLine="0" autoPict="0">
                <anchor>
                  <from>
                    <xdr:col>20</xdr:col>
                    <xdr:colOff>50800</xdr:colOff>
                    <xdr:row>14</xdr:row>
                    <xdr:rowOff>95250</xdr:rowOff>
                  </from>
                  <to>
                    <xdr:col>20</xdr:col>
                    <xdr:colOff>279400</xdr:colOff>
                    <xdr:row>15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1" r:id="rId22" name="Check Box 19">
              <controlPr defaultSize="0" autoFill="0" autoLine="0" autoPict="0">
                <anchor>
                  <from>
                    <xdr:col>20</xdr:col>
                    <xdr:colOff>88900</xdr:colOff>
                    <xdr:row>15</xdr:row>
                    <xdr:rowOff>76200</xdr:rowOff>
                  </from>
                  <to>
                    <xdr:col>20</xdr:col>
                    <xdr:colOff>304800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2" r:id="rId23" name="Check Box 20">
              <controlPr defaultSize="0" autoFill="0" autoLine="0" autoPict="0">
                <anchor>
                  <from>
                    <xdr:col>22</xdr:col>
                    <xdr:colOff>412750</xdr:colOff>
                    <xdr:row>14</xdr:row>
                    <xdr:rowOff>171450</xdr:rowOff>
                  </from>
                  <to>
                    <xdr:col>23</xdr:col>
                    <xdr:colOff>88900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3" r:id="rId24" name="Check Box 21">
              <controlPr defaultSize="0" autoFill="0" autoLine="0" autoPict="0">
                <anchor>
                  <from>
                    <xdr:col>22</xdr:col>
                    <xdr:colOff>419100</xdr:colOff>
                    <xdr:row>15</xdr:row>
                    <xdr:rowOff>152400</xdr:rowOff>
                  </from>
                  <to>
                    <xdr:col>23</xdr:col>
                    <xdr:colOff>88900</xdr:colOff>
                    <xdr:row>16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4" r:id="rId25" name="Check Box 22">
              <controlPr defaultSize="0" autoFill="0" autoLine="0" autoPict="0">
                <anchor>
                  <from>
                    <xdr:col>24</xdr:col>
                    <xdr:colOff>260350</xdr:colOff>
                    <xdr:row>14</xdr:row>
                    <xdr:rowOff>171450</xdr:rowOff>
                  </from>
                  <to>
                    <xdr:col>24</xdr:col>
                    <xdr:colOff>584200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5" r:id="rId26" name="Check Box 23">
              <controlPr defaultSize="0" autoFill="0" autoLine="0" autoPict="0">
                <anchor>
                  <from>
                    <xdr:col>24</xdr:col>
                    <xdr:colOff>260350</xdr:colOff>
                    <xdr:row>15</xdr:row>
                    <xdr:rowOff>146050</xdr:rowOff>
                  </from>
                  <to>
                    <xdr:col>24</xdr:col>
                    <xdr:colOff>584200</xdr:colOff>
                    <xdr:row>16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ZZ39"/>
  <sheetViews>
    <sheetView zoomScale="145" zoomScaleNormal="145" workbookViewId="0">
      <pane xSplit="3" ySplit="4" topLeftCell="BJ5" activePane="bottomRight" state="frozen"/>
      <selection pane="topRight" activeCell="D1" sqref="D1"/>
      <selection pane="bottomLeft" activeCell="A5" sqref="A5"/>
      <selection pane="bottomRight" activeCell="BN52" sqref="BN52"/>
    </sheetView>
  </sheetViews>
  <sheetFormatPr defaultColWidth="9.1796875" defaultRowHeight="15" customHeight="1" x14ac:dyDescent="0.3"/>
  <cols>
    <col min="1" max="1" width="6.26953125" style="55" bestFit="1" customWidth="1"/>
    <col min="2" max="2" width="10.453125" style="55" bestFit="1" customWidth="1"/>
    <col min="3" max="3" width="46.26953125" style="55" bestFit="1" customWidth="1"/>
    <col min="4" max="4" width="10.453125" style="12" customWidth="1"/>
    <col min="5" max="5" width="11.7265625" style="55" bestFit="1" customWidth="1"/>
    <col min="6" max="6" width="5.26953125" style="55" customWidth="1"/>
    <col min="7" max="7" width="16.1796875" style="61" bestFit="1" customWidth="1"/>
    <col min="8" max="8" width="4" style="55" customWidth="1"/>
    <col min="9" max="9" width="16.26953125" style="12" bestFit="1" customWidth="1"/>
    <col min="10" max="17" width="10.7265625" style="55" customWidth="1"/>
    <col min="18" max="18" width="12.1796875" style="12" bestFit="1" customWidth="1"/>
    <col min="19" max="19" width="10.7265625" style="55" customWidth="1"/>
    <col min="20" max="20" width="7.453125" style="55" bestFit="1" customWidth="1"/>
    <col min="21" max="21" width="9.7265625" style="55" bestFit="1" customWidth="1"/>
    <col min="22" max="37" width="10.7265625" style="55" customWidth="1"/>
    <col min="38" max="38" width="14.26953125" style="55" customWidth="1"/>
    <col min="39" max="39" width="17.7265625" style="55" bestFit="1" customWidth="1"/>
    <col min="40" max="44" width="10.7265625" style="55" customWidth="1"/>
    <col min="45" max="45" width="4.26953125" style="55" bestFit="1" customWidth="1"/>
    <col min="46" max="63" width="10.7265625" style="55" customWidth="1"/>
    <col min="64" max="64" width="4.26953125" style="55" bestFit="1" customWidth="1"/>
    <col min="65" max="65" width="4.7265625" style="79" customWidth="1"/>
    <col min="66" max="66" width="17.1796875" style="54" customWidth="1"/>
    <col min="67" max="71" width="6" style="54" customWidth="1"/>
    <col min="72" max="72" width="5.81640625" style="54" customWidth="1"/>
    <col min="73" max="74" width="6" style="54" customWidth="1"/>
    <col min="75" max="75" width="6.26953125" style="54" customWidth="1"/>
    <col min="76" max="76" width="18" style="54" customWidth="1"/>
    <col min="77" max="81" width="5.453125" style="54" customWidth="1"/>
    <col min="82" max="82" width="5.54296875" style="54" customWidth="1"/>
    <col min="83" max="84" width="7.1796875" style="54" customWidth="1"/>
    <col min="85" max="86" width="6.54296875" style="54" customWidth="1"/>
    <col min="87" max="87" width="6.26953125" style="54" customWidth="1"/>
    <col min="88" max="88" width="6.453125" style="54" customWidth="1"/>
    <col min="89" max="89" width="8.81640625" style="54" customWidth="1"/>
    <col min="90" max="90" width="5.7265625" style="54" customWidth="1"/>
    <col min="91" max="91" width="9.54296875" style="54" customWidth="1"/>
    <col min="92" max="92" width="6.26953125" style="54" customWidth="1"/>
    <col min="93" max="93" width="8" style="54" customWidth="1"/>
    <col min="94" max="94" width="6.26953125" style="54" customWidth="1"/>
    <col min="95" max="95" width="7.54296875" style="54" customWidth="1"/>
    <col min="96" max="96" width="6.453125" style="54" customWidth="1"/>
    <col min="97" max="97" width="3.1796875" style="54" customWidth="1"/>
    <col min="98" max="98" width="11" style="54" customWidth="1"/>
    <col min="99" max="99" width="6.7265625" style="54" customWidth="1"/>
    <col min="100" max="100" width="6" style="54" customWidth="1"/>
    <col min="101" max="101" width="4.54296875" style="54" customWidth="1"/>
    <col min="102" max="179" width="9.1796875" style="55" customWidth="1"/>
    <col min="180" max="180" width="5.7265625" style="55" customWidth="1"/>
    <col min="181" max="181" width="9.1796875" style="55" customWidth="1"/>
    <col min="182" max="182" width="5.7265625" style="55" customWidth="1"/>
    <col min="183" max="263" width="9.1796875" style="55" customWidth="1"/>
    <col min="264" max="264" width="3.453125" style="55" customWidth="1"/>
    <col min="265" max="272" width="9.1796875" style="55" customWidth="1"/>
    <col min="273" max="273" width="10.453125" style="55" customWidth="1"/>
    <col min="274" max="278" width="9.1796875" style="55" customWidth="1"/>
    <col min="279" max="279" width="16.26953125" style="55" customWidth="1"/>
    <col min="280" max="280" width="10.54296875" style="55" customWidth="1"/>
    <col min="281" max="281" width="4.81640625" style="55" customWidth="1"/>
    <col min="282" max="297" width="9.1796875" style="55" customWidth="1"/>
    <col min="298" max="298" width="16.26953125" style="55" customWidth="1"/>
    <col min="299" max="299" width="5.26953125" style="55" customWidth="1"/>
    <col min="300" max="300" width="10.81640625" style="55" customWidth="1"/>
    <col min="301" max="301" width="9.1796875" style="55" customWidth="1"/>
    <col min="302" max="302" width="9" style="55" customWidth="1"/>
    <col min="303" max="309" width="9.1796875" style="55" customWidth="1"/>
    <col min="310" max="310" width="4.26953125" style="55" customWidth="1"/>
    <col min="311" max="312" width="9.1796875" style="55" customWidth="1"/>
    <col min="313" max="314" width="6" style="55" customWidth="1"/>
    <col min="315" max="325" width="9.1796875" style="55" customWidth="1"/>
    <col min="326" max="328" width="7.1796875" style="55" customWidth="1"/>
    <col min="329" max="329" width="12.26953125" style="55" customWidth="1"/>
    <col min="330" max="330" width="8" style="55" customWidth="1"/>
    <col min="331" max="332" width="9.1796875" style="55" customWidth="1"/>
    <col min="333" max="334" width="9.7265625" style="55" customWidth="1"/>
    <col min="335" max="336" width="12.7265625" style="55" customWidth="1"/>
    <col min="337" max="339" width="9.1796875" style="55" customWidth="1"/>
    <col min="340" max="340" width="13.1796875" style="55" customWidth="1"/>
    <col min="341" max="343" width="9.1796875" style="55" customWidth="1"/>
    <col min="344" max="344" width="11.453125" style="55" customWidth="1"/>
    <col min="345" max="345" width="9.1796875" style="55" customWidth="1"/>
    <col min="346" max="346" width="10.81640625" style="55" customWidth="1"/>
    <col min="347" max="394" width="9.1796875" style="55" customWidth="1"/>
    <col min="395" max="395" width="9.1796875" style="164" customWidth="1"/>
    <col min="396" max="396" width="15.54296875" style="164" customWidth="1"/>
    <col min="397" max="398" width="9.1796875" style="164" customWidth="1"/>
    <col min="399" max="399" width="9.1796875" style="55" customWidth="1"/>
    <col min="400" max="16384" width="9.1796875" style="55"/>
  </cols>
  <sheetData>
    <row r="1" spans="1:398" s="58" customFormat="1" ht="18" x14ac:dyDescent="0.35">
      <c r="A1" s="920" t="s">
        <v>0</v>
      </c>
      <c r="B1" s="530"/>
      <c r="C1" s="328"/>
      <c r="D1" s="328"/>
      <c r="E1" s="329"/>
      <c r="F1" s="1387" t="s">
        <v>1</v>
      </c>
      <c r="G1" s="1387"/>
      <c r="H1" s="1387"/>
      <c r="I1" s="1387"/>
      <c r="J1" s="1387"/>
      <c r="K1" s="1387"/>
      <c r="L1" s="1387"/>
      <c r="M1" s="1387"/>
      <c r="N1" s="1387"/>
      <c r="O1" s="1387"/>
      <c r="P1" s="1387"/>
      <c r="Q1" s="1387"/>
      <c r="R1" s="1387"/>
      <c r="S1" s="1388"/>
      <c r="T1" s="1392" t="s">
        <v>2</v>
      </c>
      <c r="U1" s="1393"/>
      <c r="V1" s="1393"/>
      <c r="W1" s="1393"/>
      <c r="X1" s="1393"/>
      <c r="Y1" s="1393"/>
      <c r="Z1" s="1396" t="s">
        <v>3</v>
      </c>
      <c r="AA1" s="1397"/>
      <c r="AB1" s="1397"/>
      <c r="AC1" s="1397"/>
      <c r="AD1" s="1405" t="s">
        <v>4</v>
      </c>
      <c r="AE1" s="1405"/>
      <c r="AF1" s="1405"/>
      <c r="AG1" s="1405"/>
      <c r="AH1" s="1405"/>
      <c r="AI1" s="1405"/>
      <c r="AJ1" s="1405"/>
      <c r="AK1" s="1406"/>
      <c r="AL1" s="1392" t="s">
        <v>5</v>
      </c>
      <c r="AM1" s="1393"/>
      <c r="AN1" s="1393"/>
      <c r="AO1" s="1393"/>
      <c r="AP1" s="1393"/>
      <c r="AQ1" s="1393"/>
      <c r="AR1" s="1393"/>
      <c r="AS1" s="1393"/>
      <c r="AT1" s="1411" t="s">
        <v>6</v>
      </c>
      <c r="AU1" s="1412"/>
      <c r="AV1" s="1412"/>
      <c r="AW1" s="1412"/>
      <c r="AX1" s="1412"/>
      <c r="AY1" s="1412"/>
      <c r="AZ1" s="1412"/>
      <c r="BA1" s="1412"/>
      <c r="BB1" s="1412"/>
      <c r="BC1" s="1412"/>
      <c r="BD1" s="1412"/>
      <c r="BE1" s="1412"/>
      <c r="BF1" s="1412"/>
      <c r="BG1" s="1412"/>
      <c r="BH1" s="1412"/>
      <c r="BI1" s="1412"/>
      <c r="BJ1" s="1412"/>
      <c r="BK1" s="1412"/>
      <c r="BL1" s="1413"/>
      <c r="BM1" s="1399" t="s">
        <v>7</v>
      </c>
      <c r="BN1" s="1400"/>
      <c r="BO1" s="1400"/>
      <c r="BP1" s="1400"/>
      <c r="BQ1" s="1400"/>
      <c r="BR1" s="1400"/>
      <c r="BS1" s="1400"/>
      <c r="BT1" s="1400"/>
      <c r="BU1" s="1400"/>
      <c r="BV1" s="1400"/>
      <c r="BW1" s="1400"/>
      <c r="BX1" s="1400"/>
      <c r="BY1" s="1400"/>
      <c r="BZ1" s="1400"/>
      <c r="CA1" s="1400"/>
      <c r="CB1" s="1400"/>
      <c r="CC1" s="1400"/>
      <c r="CD1" s="1400"/>
      <c r="CE1" s="1400"/>
      <c r="CF1" s="1400"/>
      <c r="CG1" s="1400"/>
      <c r="CH1" s="1400"/>
      <c r="CI1" s="1400"/>
      <c r="CJ1" s="1400"/>
      <c r="CK1" s="1400"/>
      <c r="CL1" s="1400"/>
      <c r="CM1" s="1400"/>
      <c r="CN1" s="1400"/>
      <c r="CO1" s="1400"/>
      <c r="CP1" s="1400"/>
      <c r="CQ1" s="1400"/>
      <c r="CR1" s="1400"/>
      <c r="CS1" s="1400"/>
      <c r="CT1" s="1400"/>
      <c r="CU1" s="703"/>
      <c r="CV1" s="703"/>
      <c r="CW1" s="110"/>
      <c r="OE1" s="164"/>
      <c r="OF1" s="164"/>
      <c r="OG1" s="164"/>
      <c r="OH1" s="164"/>
    </row>
    <row r="2" spans="1:398" ht="18" customHeight="1" x14ac:dyDescent="0.3">
      <c r="A2" s="921" t="s">
        <v>8</v>
      </c>
      <c r="B2" s="609"/>
      <c r="C2" s="609"/>
      <c r="D2" s="609"/>
      <c r="E2" s="610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90"/>
      <c r="T2" s="1394"/>
      <c r="U2" s="1395"/>
      <c r="V2" s="1395"/>
      <c r="W2" s="1395"/>
      <c r="X2" s="1395"/>
      <c r="Y2" s="1395"/>
      <c r="Z2" s="1398"/>
      <c r="AA2" s="1398"/>
      <c r="AB2" s="1398"/>
      <c r="AC2" s="1398"/>
      <c r="AD2" s="1407"/>
      <c r="AE2" s="1407"/>
      <c r="AF2" s="1407"/>
      <c r="AG2" s="1407"/>
      <c r="AH2" s="1407"/>
      <c r="AI2" s="1407"/>
      <c r="AJ2" s="1407"/>
      <c r="AK2" s="1408"/>
      <c r="AL2" s="1394"/>
      <c r="AM2" s="1395"/>
      <c r="AN2" s="1395"/>
      <c r="AO2" s="1395"/>
      <c r="AP2" s="1395"/>
      <c r="AQ2" s="1395"/>
      <c r="AR2" s="1395"/>
      <c r="AS2" s="1395"/>
      <c r="AT2" s="1414"/>
      <c r="AU2" s="1415"/>
      <c r="AV2" s="1415"/>
      <c r="AW2" s="1415"/>
      <c r="AX2" s="1415"/>
      <c r="AY2" s="1415"/>
      <c r="AZ2" s="1415"/>
      <c r="BA2" s="1415"/>
      <c r="BB2" s="1415"/>
      <c r="BC2" s="1415"/>
      <c r="BD2" s="1415"/>
      <c r="BE2" s="1415"/>
      <c r="BF2" s="1415"/>
      <c r="BG2" s="1415"/>
      <c r="BH2" s="1415"/>
      <c r="BI2" s="1415"/>
      <c r="BJ2" s="1415"/>
      <c r="BK2" s="1415"/>
      <c r="BL2" s="1416"/>
      <c r="BM2" s="1401"/>
      <c r="BN2" s="1402"/>
      <c r="BO2" s="1402"/>
      <c r="BP2" s="1402"/>
      <c r="BQ2" s="1402"/>
      <c r="BR2" s="1402"/>
      <c r="BS2" s="1402"/>
      <c r="BT2" s="1402"/>
      <c r="BU2" s="1402"/>
      <c r="BV2" s="1402"/>
      <c r="BW2" s="1402"/>
      <c r="BX2" s="1402"/>
      <c r="BY2" s="1402"/>
      <c r="BZ2" s="1402"/>
      <c r="CA2" s="1402"/>
      <c r="CB2" s="1402"/>
      <c r="CC2" s="1402"/>
      <c r="CD2" s="1402"/>
      <c r="CE2" s="1402"/>
      <c r="CF2" s="1402"/>
      <c r="CG2" s="1402"/>
      <c r="CH2" s="1402"/>
      <c r="CI2" s="1402"/>
      <c r="CJ2" s="1402"/>
      <c r="CK2" s="1402"/>
      <c r="CL2" s="1402"/>
      <c r="CM2" s="1402"/>
      <c r="CN2" s="1402"/>
      <c r="CO2" s="1402"/>
      <c r="CP2" s="1402"/>
      <c r="CQ2" s="1402"/>
      <c r="CR2" s="1402"/>
      <c r="CS2" s="1402"/>
      <c r="CT2" s="1402"/>
      <c r="CU2" s="704"/>
      <c r="CV2" s="704"/>
      <c r="CW2" s="1180"/>
    </row>
    <row r="3" spans="1:398" ht="18" customHeight="1" x14ac:dyDescent="0.3">
      <c r="A3" s="615"/>
      <c r="B3" s="611"/>
      <c r="C3" s="611"/>
      <c r="D3" s="611"/>
      <c r="E3" s="612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90"/>
      <c r="T3" s="1394"/>
      <c r="U3" s="1395"/>
      <c r="V3" s="1395"/>
      <c r="W3" s="1395"/>
      <c r="X3" s="1395"/>
      <c r="Y3" s="1395"/>
      <c r="Z3" s="1398"/>
      <c r="AA3" s="1398"/>
      <c r="AB3" s="1398"/>
      <c r="AC3" s="1398"/>
      <c r="AD3" s="1409"/>
      <c r="AE3" s="1409"/>
      <c r="AF3" s="1409"/>
      <c r="AG3" s="1409"/>
      <c r="AH3" s="1409"/>
      <c r="AI3" s="1409"/>
      <c r="AJ3" s="1409"/>
      <c r="AK3" s="1410"/>
      <c r="AL3" s="1394"/>
      <c r="AM3" s="1395"/>
      <c r="AN3" s="1395"/>
      <c r="AO3" s="1395"/>
      <c r="AP3" s="1395"/>
      <c r="AQ3" s="1395"/>
      <c r="AR3" s="1395"/>
      <c r="AS3" s="1395"/>
      <c r="AT3" s="1414"/>
      <c r="AU3" s="1415"/>
      <c r="AV3" s="1415"/>
      <c r="AW3" s="1415"/>
      <c r="AX3" s="1415"/>
      <c r="AY3" s="1415"/>
      <c r="AZ3" s="1415"/>
      <c r="BA3" s="1415"/>
      <c r="BB3" s="1415"/>
      <c r="BC3" s="1415"/>
      <c r="BD3" s="1415"/>
      <c r="BE3" s="1415"/>
      <c r="BF3" s="1415"/>
      <c r="BG3" s="1415"/>
      <c r="BH3" s="1415"/>
      <c r="BI3" s="1415"/>
      <c r="BJ3" s="1415"/>
      <c r="BK3" s="1415"/>
      <c r="BL3" s="1416"/>
      <c r="BM3" s="1401"/>
      <c r="BN3" s="1402"/>
      <c r="BO3" s="1402"/>
      <c r="BP3" s="1402"/>
      <c r="BQ3" s="1402"/>
      <c r="BR3" s="1402"/>
      <c r="BS3" s="1402"/>
      <c r="BT3" s="1402"/>
      <c r="BU3" s="1402"/>
      <c r="BV3" s="1402"/>
      <c r="BW3" s="1402"/>
      <c r="BX3" s="1402"/>
      <c r="BY3" s="1402"/>
      <c r="BZ3" s="1402"/>
      <c r="CA3" s="1402"/>
      <c r="CB3" s="1402"/>
      <c r="CC3" s="1402"/>
      <c r="CD3" s="1402"/>
      <c r="CE3" s="1402"/>
      <c r="CF3" s="1402"/>
      <c r="CG3" s="1402"/>
      <c r="CH3" s="1402"/>
      <c r="CI3" s="1402"/>
      <c r="CJ3" s="1402"/>
      <c r="CK3" s="1402"/>
      <c r="CL3" s="1402"/>
      <c r="CM3" s="1402"/>
      <c r="CN3" s="1402"/>
      <c r="CO3" s="1402"/>
      <c r="CP3" s="1402"/>
      <c r="CQ3" s="1402"/>
      <c r="CR3" s="1402"/>
      <c r="CS3" s="1402"/>
      <c r="CT3" s="1402"/>
      <c r="CU3" s="704"/>
      <c r="CV3" s="704"/>
      <c r="CW3" s="1180"/>
    </row>
    <row r="4" spans="1:398" ht="15" customHeight="1" thickBot="1" x14ac:dyDescent="0.35">
      <c r="A4" s="613"/>
      <c r="B4" s="613"/>
      <c r="C4" s="613"/>
      <c r="D4" s="613"/>
      <c r="E4" s="614"/>
      <c r="F4" s="1391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90"/>
      <c r="T4" s="1394"/>
      <c r="U4" s="1395"/>
      <c r="V4" s="1395"/>
      <c r="W4" s="1395"/>
      <c r="X4" s="1395"/>
      <c r="Y4" s="1395"/>
      <c r="Z4" s="1398"/>
      <c r="AA4" s="1398"/>
      <c r="AB4" s="1398"/>
      <c r="AC4" s="1398"/>
      <c r="AD4" s="722">
        <v>0.63</v>
      </c>
      <c r="AE4" s="722">
        <v>1.27</v>
      </c>
      <c r="AF4" s="722">
        <v>1.9</v>
      </c>
      <c r="AG4" s="722">
        <v>2.54</v>
      </c>
      <c r="AH4" s="722">
        <v>3.81</v>
      </c>
      <c r="AI4" s="722">
        <v>5.08</v>
      </c>
      <c r="AJ4" s="722">
        <v>6.35</v>
      </c>
      <c r="AK4" s="494">
        <v>7.62</v>
      </c>
      <c r="AL4" s="1394"/>
      <c r="AM4" s="1395"/>
      <c r="AN4" s="1395"/>
      <c r="AO4" s="1395"/>
      <c r="AP4" s="1395"/>
      <c r="AQ4" s="1395"/>
      <c r="AR4" s="1395"/>
      <c r="AS4" s="1395"/>
      <c r="AT4" s="1414"/>
      <c r="AU4" s="1415"/>
      <c r="AV4" s="1415"/>
      <c r="AW4" s="1415"/>
      <c r="AX4" s="1415"/>
      <c r="AY4" s="1415"/>
      <c r="AZ4" s="1415"/>
      <c r="BA4" s="1415"/>
      <c r="BB4" s="1415"/>
      <c r="BC4" s="1415"/>
      <c r="BD4" s="1415"/>
      <c r="BE4" s="1415"/>
      <c r="BF4" s="1415"/>
      <c r="BG4" s="1415"/>
      <c r="BH4" s="1415"/>
      <c r="BI4" s="1415"/>
      <c r="BJ4" s="1415"/>
      <c r="BK4" s="1415"/>
      <c r="BL4" s="1416"/>
      <c r="BM4" s="1403" t="s">
        <v>9</v>
      </c>
      <c r="BN4" s="1404"/>
      <c r="BO4" s="1404"/>
      <c r="BP4" s="1404"/>
      <c r="BQ4" s="111"/>
      <c r="BR4" s="111"/>
      <c r="BS4" s="111"/>
      <c r="BT4" s="705"/>
      <c r="BU4" s="1417"/>
      <c r="BV4" s="1417"/>
      <c r="BW4" s="705"/>
      <c r="BX4" s="112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112"/>
      <c r="CN4" s="112"/>
      <c r="CO4" s="112"/>
      <c r="CP4" s="112"/>
      <c r="CQ4" s="112"/>
      <c r="CR4" s="112"/>
      <c r="CS4" s="112"/>
      <c r="CT4" s="112"/>
      <c r="CU4" s="112"/>
      <c r="CV4" s="112"/>
      <c r="CW4" s="113"/>
      <c r="CY4" s="114"/>
      <c r="CZ4" s="115"/>
      <c r="DA4" s="114"/>
      <c r="DB4" s="114"/>
      <c r="DC4" s="114"/>
      <c r="DD4" s="114"/>
      <c r="DE4" s="114"/>
    </row>
    <row r="5" spans="1:398" s="56" customFormat="1" ht="15" customHeight="1" x14ac:dyDescent="0.35">
      <c r="A5" s="1336">
        <v>1</v>
      </c>
      <c r="B5" s="1339" t="s">
        <v>10</v>
      </c>
      <c r="C5" s="1340"/>
      <c r="D5" s="1340"/>
      <c r="E5" s="1341"/>
      <c r="F5" s="1342" t="s">
        <v>11</v>
      </c>
      <c r="G5" s="1343"/>
      <c r="H5" s="1343"/>
      <c r="I5" s="1344"/>
      <c r="J5" s="495">
        <v>1</v>
      </c>
      <c r="K5" s="495">
        <v>2</v>
      </c>
      <c r="L5" s="495">
        <v>3</v>
      </c>
      <c r="M5" s="495">
        <v>4</v>
      </c>
      <c r="N5" s="495">
        <v>5</v>
      </c>
      <c r="O5" s="495"/>
      <c r="P5" s="1345" t="s">
        <v>12</v>
      </c>
      <c r="Q5" s="1346"/>
      <c r="R5" s="1345" t="s">
        <v>13</v>
      </c>
      <c r="S5" s="1347"/>
      <c r="T5" s="496" t="s">
        <v>14</v>
      </c>
      <c r="U5" s="497" t="s">
        <v>15</v>
      </c>
      <c r="V5" s="1348" t="s">
        <v>16</v>
      </c>
      <c r="W5" s="1349"/>
      <c r="X5" s="1349"/>
      <c r="Y5" s="1350"/>
      <c r="Z5" s="1351" t="s">
        <v>17</v>
      </c>
      <c r="AA5" s="1352"/>
      <c r="AB5" s="1352"/>
      <c r="AC5" s="1353"/>
      <c r="AD5" s="498">
        <v>0.5</v>
      </c>
      <c r="AE5" s="498">
        <v>1</v>
      </c>
      <c r="AF5" s="498">
        <v>1.5</v>
      </c>
      <c r="AG5" s="498">
        <v>2</v>
      </c>
      <c r="AH5" s="498">
        <v>3</v>
      </c>
      <c r="AI5" s="498">
        <v>4</v>
      </c>
      <c r="AJ5" s="498">
        <v>5</v>
      </c>
      <c r="AK5" s="499">
        <v>6</v>
      </c>
      <c r="AL5" s="1354" t="s">
        <v>18</v>
      </c>
      <c r="AM5" s="500" t="s">
        <v>19</v>
      </c>
      <c r="AN5" s="501"/>
      <c r="AO5" s="501"/>
      <c r="AP5" s="501"/>
      <c r="AQ5" s="501"/>
      <c r="AR5" s="502"/>
      <c r="AS5" s="1357">
        <f>E7</f>
        <v>45804</v>
      </c>
      <c r="AT5" s="1314" t="s">
        <v>20</v>
      </c>
      <c r="AU5" s="1315"/>
      <c r="AV5" s="1315"/>
      <c r="AW5" s="1315"/>
      <c r="AX5" s="1315"/>
      <c r="AY5" s="1316"/>
      <c r="AZ5" s="1317" t="s">
        <v>21</v>
      </c>
      <c r="BA5" s="1315"/>
      <c r="BB5" s="1315"/>
      <c r="BC5" s="1315"/>
      <c r="BD5" s="1315"/>
      <c r="BE5" s="1315"/>
      <c r="BF5" s="1316"/>
      <c r="BG5" s="503" t="s">
        <v>22</v>
      </c>
      <c r="BH5" s="503" t="s">
        <v>23</v>
      </c>
      <c r="BI5" s="1317" t="s">
        <v>24</v>
      </c>
      <c r="BJ5" s="1315"/>
      <c r="BK5" s="1316"/>
      <c r="BL5" s="1318">
        <f>AS5</f>
        <v>45804</v>
      </c>
      <c r="BM5" s="1306" t="s">
        <v>25</v>
      </c>
      <c r="BN5" s="80" t="s">
        <v>26</v>
      </c>
      <c r="BO5" s="80" t="str">
        <f t="shared" ref="BO5:BV5" si="0">IF(ISNUMBER(J6),J7-J8,"")</f>
        <v/>
      </c>
      <c r="BP5" s="80" t="str">
        <f t="shared" si="0"/>
        <v/>
      </c>
      <c r="BQ5" s="80" t="str">
        <f t="shared" si="0"/>
        <v/>
      </c>
      <c r="BR5" s="80" t="str">
        <f t="shared" si="0"/>
        <v/>
      </c>
      <c r="BS5" s="80" t="str">
        <f t="shared" si="0"/>
        <v/>
      </c>
      <c r="BT5" s="80" t="str">
        <f t="shared" si="0"/>
        <v/>
      </c>
      <c r="BU5" s="80">
        <f t="shared" si="0"/>
        <v>1.3800000000000239</v>
      </c>
      <c r="BV5" s="80">
        <f t="shared" si="0"/>
        <v>1.7599999999999909</v>
      </c>
      <c r="BW5" s="1309">
        <f>IF(ISNUMBER(BU5),AVERAGE(BU8:BV8),"")</f>
        <v>9.0357281926911788E-3</v>
      </c>
      <c r="BX5" s="1311" t="s">
        <v>27</v>
      </c>
      <c r="BY5" s="1311"/>
      <c r="BZ5" s="1311"/>
      <c r="CA5" s="1311"/>
      <c r="CB5" s="1311"/>
      <c r="CC5" s="1311"/>
      <c r="CD5" s="81"/>
      <c r="CE5" s="82">
        <f t="shared" ref="CE5:CJ5" si="1">IF(J5&lt;&gt;"",BY10,"")</f>
        <v>2.3450524309729576E-2</v>
      </c>
      <c r="CF5" s="82">
        <f t="shared" si="1"/>
        <v>3.8586060232619943E-2</v>
      </c>
      <c r="CG5" s="82">
        <f t="shared" si="1"/>
        <v>5.3721596155510309E-2</v>
      </c>
      <c r="CH5" s="82">
        <f t="shared" si="1"/>
        <v>6.8857132078400676E-2</v>
      </c>
      <c r="CI5" s="82">
        <f t="shared" si="1"/>
        <v>8.3992668001291043E-2</v>
      </c>
      <c r="CJ5" s="83" t="str">
        <f t="shared" si="1"/>
        <v/>
      </c>
      <c r="CK5" s="84">
        <f>AVERAGE(CE5:CJ5)</f>
        <v>5.3721596155510309E-2</v>
      </c>
      <c r="CL5" s="85">
        <f t="shared" ref="CL5:CQ5" si="2">IF(ISNUMBER(CE8),CE8^2,"")</f>
        <v>9.1633779069241902E-4</v>
      </c>
      <c r="CM5" s="85">
        <f t="shared" si="2"/>
        <v>2.2908444767310475E-4</v>
      </c>
      <c r="CN5" s="85">
        <f t="shared" si="2"/>
        <v>0</v>
      </c>
      <c r="CO5" s="85">
        <f t="shared" si="2"/>
        <v>2.2908444767310475E-4</v>
      </c>
      <c r="CP5" s="85">
        <f t="shared" si="2"/>
        <v>9.1633779069241902E-4</v>
      </c>
      <c r="CQ5" s="85" t="str">
        <f t="shared" si="2"/>
        <v/>
      </c>
      <c r="CR5" s="86">
        <f>SUM(CL5:CQ5)</f>
        <v>2.2908444767310476E-3</v>
      </c>
      <c r="CS5" s="332" t="s">
        <v>28</v>
      </c>
      <c r="CT5" s="333">
        <f>-CO11/(2*CM11)</f>
        <v>5.7765822483399835E-2</v>
      </c>
      <c r="CU5" s="103" t="str">
        <f>IF(ISNUMBER(R6),R7-R8,"")</f>
        <v/>
      </c>
      <c r="CV5" s="103" t="str">
        <f>IF(ISNUMBER(S6),S7-S8,"")</f>
        <v/>
      </c>
      <c r="CW5" s="1312" t="str">
        <f>IF(ISNUMBER(CU5),AVERAGE(CU8:CV8),"")</f>
        <v/>
      </c>
      <c r="CX5" s="334">
        <v>0.63</v>
      </c>
      <c r="CY5" s="335">
        <v>1.27</v>
      </c>
      <c r="CZ5" s="335">
        <v>1.9</v>
      </c>
      <c r="DA5" s="335">
        <v>2.54</v>
      </c>
      <c r="DB5" s="335">
        <v>3.81</v>
      </c>
      <c r="DC5" s="335">
        <v>5.08</v>
      </c>
      <c r="DD5" s="335">
        <v>6.35</v>
      </c>
      <c r="DE5" s="335">
        <v>7.62</v>
      </c>
      <c r="DF5" s="718" t="str">
        <f>IF(CX6&lt;&gt;"",AVERAGE(CX5:DE5),"")</f>
        <v/>
      </c>
      <c r="DG5" s="121" t="str">
        <f t="shared" ref="DG5:DN5" si="3">IF(ISNUMBER(CX10),CX10^2,"")</f>
        <v/>
      </c>
      <c r="DH5" s="121" t="str">
        <f t="shared" si="3"/>
        <v/>
      </c>
      <c r="DI5" s="121" t="str">
        <f t="shared" si="3"/>
        <v/>
      </c>
      <c r="DJ5" s="121" t="str">
        <f t="shared" si="3"/>
        <v/>
      </c>
      <c r="DK5" s="121" t="str">
        <f t="shared" si="3"/>
        <v/>
      </c>
      <c r="DL5" s="121" t="str">
        <f t="shared" si="3"/>
        <v/>
      </c>
      <c r="DM5" s="121" t="str">
        <f t="shared" si="3"/>
        <v/>
      </c>
      <c r="DN5" s="121" t="str">
        <f t="shared" si="3"/>
        <v/>
      </c>
      <c r="DO5" s="121" t="str">
        <f>IF(DG5&lt;&gt;"",SUM(DG5:DN5),"")</f>
        <v/>
      </c>
      <c r="DP5" s="121">
        <v>0</v>
      </c>
      <c r="DQ5" s="121" t="str">
        <f>IF(DP6="","",IF(DP6&gt;0,DT8,-1))</f>
        <v/>
      </c>
      <c r="DR5" s="121" t="str">
        <f>IF(DP6="","",IF(DP6&gt;0,DV8,-1))</f>
        <v/>
      </c>
      <c r="DS5" s="121" t="str">
        <f>IF(DP6="","",IF(DP6&gt;0,(DJ9*DS6)+DJ10,-1))</f>
        <v/>
      </c>
      <c r="DT5" s="121" t="str">
        <f>IF(DP6="","",IF(DP6&gt;0,(DJ9*DT6)+DJ10,-1))</f>
        <v/>
      </c>
      <c r="DU5" s="121" t="str">
        <f>IF(DP6="","",IF(DP6&gt;0,DT8,-1))</f>
        <v/>
      </c>
      <c r="DV5" s="121" t="str">
        <f>IF(DP6="","",IF(DP6&gt;0,DT8,-1))</f>
        <v/>
      </c>
      <c r="DW5" s="121" t="str">
        <f>IF(DP6="","",IF(DP6&gt;0,DT8,-1))</f>
        <v/>
      </c>
      <c r="DX5" s="126" t="str">
        <f>IF(DP6="","",IF(DP6&gt;0,DS5,-1))</f>
        <v/>
      </c>
      <c r="DY5" s="334">
        <v>0.63</v>
      </c>
      <c r="DZ5" s="335">
        <v>1.27</v>
      </c>
      <c r="EA5" s="335">
        <v>1.9</v>
      </c>
      <c r="EB5" s="335">
        <v>2.54</v>
      </c>
      <c r="EC5" s="335">
        <v>3.81</v>
      </c>
      <c r="ED5" s="335">
        <v>5.08</v>
      </c>
      <c r="EE5" s="335">
        <v>6.35</v>
      </c>
      <c r="EF5" s="335">
        <v>7.62</v>
      </c>
      <c r="EG5" s="125">
        <f>IF(DY6&lt;&gt;"",AVERAGE(DY5:EF5),"")</f>
        <v>3.65</v>
      </c>
      <c r="EH5" s="121">
        <f t="shared" ref="EH5:EO5" si="4">IF(ISNUMBER(DY10),DY10^2,"")</f>
        <v>340.42833049000006</v>
      </c>
      <c r="EI5" s="121">
        <f t="shared" si="4"/>
        <v>297.03488408999999</v>
      </c>
      <c r="EJ5" s="121">
        <f t="shared" si="4"/>
        <v>232.18445376000003</v>
      </c>
      <c r="EK5" s="121">
        <f t="shared" si="4"/>
        <v>153.66081600000001</v>
      </c>
      <c r="EL5" s="121">
        <f t="shared" si="4"/>
        <v>18.761892250000002</v>
      </c>
      <c r="EM5" s="121">
        <f t="shared" si="4"/>
        <v>48.424897440000002</v>
      </c>
      <c r="EN5" s="121">
        <f t="shared" si="4"/>
        <v>461.17133000999991</v>
      </c>
      <c r="EO5" s="121">
        <f t="shared" si="4"/>
        <v>1537.95740224</v>
      </c>
      <c r="EP5" s="121">
        <f>IF(EH5&lt;&gt;"",SUM(EH5:EO5),"")</f>
        <v>3089.6240062799998</v>
      </c>
      <c r="EQ5" s="121">
        <v>0</v>
      </c>
      <c r="ER5" s="121">
        <f>IF(EQ6="","",IF(EQ6&gt;0,EU8,-1))</f>
        <v>-1</v>
      </c>
      <c r="ES5" s="121">
        <f>IF(EQ6="","",IF(EQ6&gt;0,EW8,-1))</f>
        <v>-1</v>
      </c>
      <c r="ET5" s="121">
        <f>IF(EQ6="","",IF(EQ6&gt;0,(EK9*ET6)+EK10,-1))</f>
        <v>-1</v>
      </c>
      <c r="EU5" s="121">
        <f>IF(EQ6="","",IF(EQ6&gt;0,(EK9*EU6)+EK10,-1))</f>
        <v>-1</v>
      </c>
      <c r="EV5" s="121">
        <f>IF(EQ6="","",IF(EQ6&gt;0,EU8,-1))</f>
        <v>-1</v>
      </c>
      <c r="EW5" s="121">
        <f>IF(EQ6="","",IF(EQ6&gt;0,EU8,-1))</f>
        <v>-1</v>
      </c>
      <c r="EX5" s="121">
        <f>IF(EQ6="","",IF(EQ6&gt;0,EU8,-1))</f>
        <v>-1</v>
      </c>
      <c r="EY5" s="126">
        <f>IF(EQ6="","",IF(EQ6&gt;0,ET5,-1))</f>
        <v>-1</v>
      </c>
      <c r="EZ5" s="334">
        <v>0.63</v>
      </c>
      <c r="FA5" s="335">
        <v>1.27</v>
      </c>
      <c r="FB5" s="335">
        <v>1.9</v>
      </c>
      <c r="FC5" s="335">
        <v>2.54</v>
      </c>
      <c r="FD5" s="335">
        <v>3.81</v>
      </c>
      <c r="FE5" s="335">
        <v>5.08</v>
      </c>
      <c r="FF5" s="335">
        <v>6.35</v>
      </c>
      <c r="FG5" s="335">
        <v>7.62</v>
      </c>
      <c r="FH5" s="125">
        <f>IF(EZ6&lt;&gt;"",AVERAGE(EZ5:FG5),"")</f>
        <v>3.65</v>
      </c>
      <c r="FI5" s="121">
        <f t="shared" ref="FI5:FP5" si="5">IF(ISNUMBER(EZ10),EZ10^2,"")</f>
        <v>340.42833049000006</v>
      </c>
      <c r="FJ5" s="121">
        <f t="shared" si="5"/>
        <v>297.03488408999999</v>
      </c>
      <c r="FK5" s="121">
        <f t="shared" si="5"/>
        <v>232.18445376000003</v>
      </c>
      <c r="FL5" s="121">
        <f t="shared" si="5"/>
        <v>153.66081600000001</v>
      </c>
      <c r="FM5" s="121">
        <f t="shared" si="5"/>
        <v>18.761892250000002</v>
      </c>
      <c r="FN5" s="121">
        <f t="shared" si="5"/>
        <v>48.424897440000002</v>
      </c>
      <c r="FO5" s="121">
        <f t="shared" si="5"/>
        <v>461.17133000999991</v>
      </c>
      <c r="FP5" s="121">
        <f t="shared" si="5"/>
        <v>1537.95740224</v>
      </c>
      <c r="FQ5" s="121">
        <f>IF(FI5&lt;&gt;"",SUM(FI5:FP5),"")</f>
        <v>3089.6240062799998</v>
      </c>
      <c r="FR5" s="121">
        <v>0</v>
      </c>
      <c r="FS5" s="121">
        <f>IF(FR6="","",IF(FR6&gt;0,FV8,-1))</f>
        <v>-1</v>
      </c>
      <c r="FT5" s="121">
        <f>IF(FR6="","",IF(FR6&gt;0,FX8,-1))</f>
        <v>-1</v>
      </c>
      <c r="FU5" s="121">
        <f>IF(FR6="","",IF(FR6&gt;0,(FL9*FU6)+FL10,-1))</f>
        <v>-1</v>
      </c>
      <c r="FV5" s="121">
        <f>IF(FR6="","",IF(FR6&gt;0,(FL9*FV6)+FL10,-1))</f>
        <v>-1</v>
      </c>
      <c r="FW5" s="121">
        <f>IF(FR6="","",IF(FR6&gt;0,FV8,-1))</f>
        <v>-1</v>
      </c>
      <c r="FX5" s="121">
        <f>IF(FR6="","",IF(FR6&gt;0,FV8,-1))</f>
        <v>-1</v>
      </c>
      <c r="FY5" s="121">
        <f>IF(FR6="","",IF(FR6&gt;0,FV8,-1))</f>
        <v>-1</v>
      </c>
      <c r="FZ5" s="126">
        <f>IF(FR6="","",IF(FR6&gt;0,FU5,-1))</f>
        <v>-1</v>
      </c>
      <c r="GA5" s="334">
        <v>0.63</v>
      </c>
      <c r="GB5" s="335">
        <v>1.27</v>
      </c>
      <c r="GC5" s="335">
        <v>1.9</v>
      </c>
      <c r="GD5" s="335">
        <v>2.54</v>
      </c>
      <c r="GE5" s="335">
        <v>3.81</v>
      </c>
      <c r="GF5" s="335">
        <v>5.08</v>
      </c>
      <c r="GG5" s="335">
        <v>6.35</v>
      </c>
      <c r="GH5" s="335">
        <v>7.62</v>
      </c>
      <c r="GI5" s="125">
        <f>IF(GA6&lt;&gt;"",AVERAGE(GA5:GH5),"")</f>
        <v>3.65</v>
      </c>
      <c r="GJ5" s="121">
        <f t="shared" ref="GJ5:GQ5" si="6">IF(ISNUMBER(GA10),GA10^2,"")</f>
        <v>340.42833049000006</v>
      </c>
      <c r="GK5" s="121">
        <f t="shared" si="6"/>
        <v>297.03488408999999</v>
      </c>
      <c r="GL5" s="121">
        <f t="shared" si="6"/>
        <v>232.18445376000003</v>
      </c>
      <c r="GM5" s="121">
        <f t="shared" si="6"/>
        <v>153.66081600000001</v>
      </c>
      <c r="GN5" s="121">
        <f t="shared" si="6"/>
        <v>18.761892250000002</v>
      </c>
      <c r="GO5" s="121">
        <f t="shared" si="6"/>
        <v>48.424897440000002</v>
      </c>
      <c r="GP5" s="121">
        <f t="shared" si="6"/>
        <v>461.17133000999991</v>
      </c>
      <c r="GQ5" s="121">
        <f t="shared" si="6"/>
        <v>1537.95740224</v>
      </c>
      <c r="GR5" s="121">
        <f>IF(GJ5&lt;&gt;"",SUM(GJ5:GQ5),"")</f>
        <v>3089.6240062799998</v>
      </c>
      <c r="GS5" s="121">
        <v>0</v>
      </c>
      <c r="GT5" s="121">
        <f>IF(GS6="","",IF(GS6&gt;0,GW8,-1))</f>
        <v>-1</v>
      </c>
      <c r="GU5" s="121">
        <f>IF(GS6="","",IF(GS6&gt;0,GY8,-1))</f>
        <v>-1</v>
      </c>
      <c r="GV5" s="121">
        <f>IF(GS6="","",IF(GS6&gt;0,(GM9*GV6)+GM10,-1))</f>
        <v>-1</v>
      </c>
      <c r="GW5" s="121">
        <f>IF(GS6="","",IF(GS6&gt;0,(GM9*GW6)+GM10,-1))</f>
        <v>-1</v>
      </c>
      <c r="GX5" s="121">
        <f>IF(GS6="","",IF(GS6&gt;0,GW8,-1))</f>
        <v>-1</v>
      </c>
      <c r="GY5" s="121">
        <f>IF(GS6="","",IF(GS6&gt;0,GW8,-1))</f>
        <v>-1</v>
      </c>
      <c r="GZ5" s="121">
        <f>IF(GS6="","",IF(GS6&gt;0,GW8,-1))</f>
        <v>-1</v>
      </c>
      <c r="HA5" s="126">
        <f>IF(GS6="","",IF(GS6&gt;0,GV5,-1))</f>
        <v>-1</v>
      </c>
      <c r="HB5" s="334">
        <v>0.63</v>
      </c>
      <c r="HC5" s="335">
        <v>1.27</v>
      </c>
      <c r="HD5" s="335">
        <v>1.9</v>
      </c>
      <c r="HE5" s="335">
        <v>2.54</v>
      </c>
      <c r="HF5" s="335">
        <v>3.81</v>
      </c>
      <c r="HG5" s="335">
        <v>5.08</v>
      </c>
      <c r="HH5" s="335">
        <v>6.35</v>
      </c>
      <c r="HI5" s="335">
        <v>7.62</v>
      </c>
      <c r="HJ5" s="125" t="str">
        <f>IF(HB6&lt;&gt;"",AVERAGE(HB5:HI5),"")</f>
        <v/>
      </c>
      <c r="HK5" s="121" t="str">
        <f t="shared" ref="HK5:HR5" si="7">IF(ISNUMBER(HB10),HB10^2,"")</f>
        <v/>
      </c>
      <c r="HL5" s="121" t="str">
        <f t="shared" si="7"/>
        <v/>
      </c>
      <c r="HM5" s="121" t="str">
        <f t="shared" si="7"/>
        <v/>
      </c>
      <c r="HN5" s="121" t="str">
        <f t="shared" si="7"/>
        <v/>
      </c>
      <c r="HO5" s="121" t="str">
        <f t="shared" si="7"/>
        <v/>
      </c>
      <c r="HP5" s="121" t="str">
        <f t="shared" si="7"/>
        <v/>
      </c>
      <c r="HQ5" s="121" t="str">
        <f t="shared" si="7"/>
        <v/>
      </c>
      <c r="HR5" s="121" t="str">
        <f t="shared" si="7"/>
        <v/>
      </c>
      <c r="HS5" s="121" t="str">
        <f>IF(HK5&lt;&gt;"",SUM(HK5:HR5),"")</f>
        <v/>
      </c>
      <c r="HT5" s="121">
        <v>0</v>
      </c>
      <c r="HU5" s="121" t="str">
        <f>IF(HT6="","",IF(HT6&gt;0,HX8,-1))</f>
        <v/>
      </c>
      <c r="HV5" s="121" t="str">
        <f>IF(HT6="","",IF(HT6&gt;0,HZ8,-1))</f>
        <v/>
      </c>
      <c r="HW5" s="121" t="str">
        <f>IF(HT6="","",IF(HT6&gt;0,(HN9*HW6)+HN10,-1))</f>
        <v/>
      </c>
      <c r="HX5" s="121" t="str">
        <f>IF(HT6="","",IF(HT6&gt;0,(HN9*HX6)+HN10,-1))</f>
        <v/>
      </c>
      <c r="HY5" s="121" t="str">
        <f>IF(HT6="","",IF(HT6&gt;0,HX8,-1))</f>
        <v/>
      </c>
      <c r="HZ5" s="121" t="str">
        <f>IF(HT6="","",IF(HT6&gt;0,HX8,-1))</f>
        <v/>
      </c>
      <c r="IA5" s="121" t="str">
        <f>IF(HT6="","",IF(HT6&gt;0,HX8,-1))</f>
        <v/>
      </c>
      <c r="IB5" s="126" t="str">
        <f>IF(HT6="","",IF(HT6&gt;0,HW5,-1))</f>
        <v/>
      </c>
      <c r="IC5" s="334">
        <v>0.63</v>
      </c>
      <c r="ID5" s="335">
        <v>1.27</v>
      </c>
      <c r="IE5" s="335">
        <v>1.9</v>
      </c>
      <c r="IF5" s="335">
        <v>2.54</v>
      </c>
      <c r="IG5" s="335">
        <v>3.81</v>
      </c>
      <c r="IH5" s="335">
        <v>5.08</v>
      </c>
      <c r="II5" s="335">
        <v>6.35</v>
      </c>
      <c r="IJ5" s="335">
        <v>7.62</v>
      </c>
      <c r="IK5" s="125" t="str">
        <f>IF(IC6&lt;&gt;"",AVERAGE(IC5:IJ5),"")</f>
        <v/>
      </c>
      <c r="IL5" s="121" t="str">
        <f t="shared" ref="IL5:IS5" si="8">IF(ISNUMBER(IC10),IC10^2,"")</f>
        <v/>
      </c>
      <c r="IM5" s="121" t="str">
        <f t="shared" si="8"/>
        <v/>
      </c>
      <c r="IN5" s="121" t="str">
        <f t="shared" si="8"/>
        <v/>
      </c>
      <c r="IO5" s="121" t="str">
        <f t="shared" si="8"/>
        <v/>
      </c>
      <c r="IP5" s="121" t="str">
        <f t="shared" si="8"/>
        <v/>
      </c>
      <c r="IQ5" s="121" t="str">
        <f t="shared" si="8"/>
        <v/>
      </c>
      <c r="IR5" s="121" t="str">
        <f t="shared" si="8"/>
        <v/>
      </c>
      <c r="IS5" s="121" t="str">
        <f t="shared" si="8"/>
        <v/>
      </c>
      <c r="IT5" s="121" t="str">
        <f>IF(IL5&lt;&gt;"",SUM(IL5:IS5),"")</f>
        <v/>
      </c>
      <c r="IU5" s="121">
        <v>0</v>
      </c>
      <c r="IV5" s="121" t="str">
        <f>IF(IU6="","",IF(IU6&gt;0,IY8,-1))</f>
        <v/>
      </c>
      <c r="IW5" s="121" t="str">
        <f>IF(IU6="","",IF(IU6&gt;0,JA8,-1))</f>
        <v/>
      </c>
      <c r="IX5" s="121" t="str">
        <f>IF(IU6="","",IF(IU6&gt;0,(IO9*IX6)+IO10,-1))</f>
        <v/>
      </c>
      <c r="IY5" s="121" t="str">
        <f>IF(IU6="","",IF(IU6&gt;0,(IO9*IY6)+IO10,-1))</f>
        <v/>
      </c>
      <c r="IZ5" s="121" t="str">
        <f>IF(IU6="","",IF(IU6&gt;0,IY8,-1))</f>
        <v/>
      </c>
      <c r="JA5" s="121" t="str">
        <f>IF(IU6="","",IF(IU6&gt;0,IY8,-1))</f>
        <v/>
      </c>
      <c r="JB5" s="121" t="str">
        <f>IF(IU6="","",IF(IU6&gt;0,IY8,-1))</f>
        <v/>
      </c>
      <c r="JC5" s="126" t="str">
        <f>IF(IU6="","",IF(IU6&gt;0,IX5,-1))</f>
        <v/>
      </c>
      <c r="JD5" s="149" t="str">
        <f t="shared" ref="JD5:JD10" si="9">IF(T6&lt;&gt;"",T6,"")</f>
        <v/>
      </c>
      <c r="JE5" s="82" t="str">
        <f>IF(JD5&lt;&gt;"",CE5,"")</f>
        <v/>
      </c>
      <c r="JF5" s="82">
        <f>IF(JD6&lt;&gt;"",CF5,"")</f>
        <v>3.8586060232619943E-2</v>
      </c>
      <c r="JG5" s="82">
        <f>IF(JD7&lt;&gt;"",CG5,"")</f>
        <v>5.3721596155510309E-2</v>
      </c>
      <c r="JH5" s="82">
        <f>IF(JD8&lt;&gt;"",CH5,"")</f>
        <v>6.8857132078400676E-2</v>
      </c>
      <c r="JI5" s="82" t="str">
        <f>IF(JD9&lt;&gt;"",CI5,"")</f>
        <v/>
      </c>
      <c r="JJ5" s="82" t="str">
        <f>IF(JD10&lt;&gt;"",CJ5,"")</f>
        <v/>
      </c>
      <c r="JK5" s="84">
        <f>AVERAGE(JE5:JJ5)</f>
        <v>5.3721596155510309E-2</v>
      </c>
      <c r="JL5" s="85" t="str">
        <f t="shared" ref="JL5:JQ5" si="10">IF(ISNUMBER(JE8),JE8^2,"")</f>
        <v/>
      </c>
      <c r="JM5" s="85">
        <f t="shared" si="10"/>
        <v>2.2908444767310475E-4</v>
      </c>
      <c r="JN5" s="85">
        <f t="shared" si="10"/>
        <v>0</v>
      </c>
      <c r="JO5" s="85">
        <f t="shared" si="10"/>
        <v>2.2908444767310475E-4</v>
      </c>
      <c r="JP5" s="85" t="str">
        <f t="shared" si="10"/>
        <v/>
      </c>
      <c r="JQ5" s="85" t="str">
        <f t="shared" si="10"/>
        <v/>
      </c>
      <c r="JR5" s="86">
        <f>SUM(JL5:JQ5)</f>
        <v>4.5816889534620951E-4</v>
      </c>
      <c r="JS5" s="336" t="s">
        <v>28</v>
      </c>
      <c r="JT5" s="337">
        <f>-JO11/(2*JM11)</f>
        <v>5.5061915037160354E-2</v>
      </c>
      <c r="JU5" s="153" t="str">
        <f>IF(T6&lt;&gt;0,LOOKUP(T6,Tara!$G$6:$G$185,Tara!$J$6:$J$185)/10,"")</f>
        <v/>
      </c>
      <c r="JV5" s="125" t="str">
        <f t="shared" ref="JV5:JV10" si="11">IF(ISNUMBER(U6),MAX(Z6:AC6)-MIN(Z6:AC6),"")</f>
        <v/>
      </c>
      <c r="JW5" s="154" t="str">
        <f t="shared" ref="JW5:JW10" si="12">IF(JV5&lt;&gt;"",JV5/JU5/10,"")</f>
        <v/>
      </c>
      <c r="JX5" s="82" t="str">
        <f>IF(JD5&lt;&gt;"",CE5,"")</f>
        <v/>
      </c>
      <c r="JY5" s="82">
        <f>IF(JD6&lt;&gt;"",CF5,"")</f>
        <v>3.8586060232619943E-2</v>
      </c>
      <c r="JZ5" s="82">
        <f>IF(JD7&lt;&gt;"",CG5,"")</f>
        <v>5.3721596155510309E-2</v>
      </c>
      <c r="KA5" s="82">
        <f>IF(JD8&lt;&gt;"",CH5,"")</f>
        <v>6.8857132078400676E-2</v>
      </c>
      <c r="KB5" s="82" t="str">
        <f>IF(JD9&lt;&gt;"",CI5,"")</f>
        <v/>
      </c>
      <c r="KC5" s="82" t="str">
        <f>IF(JD10&lt;&gt;"",CJ5,"")</f>
        <v/>
      </c>
      <c r="KD5" s="84">
        <f>AVERAGE(JX5:KC5)</f>
        <v>5.3721596155510309E-2</v>
      </c>
      <c r="KE5" s="85" t="str">
        <f t="shared" ref="KE5:KJ5" si="13">IF(ISNUMBER(JX8),JX8^2,"")</f>
        <v/>
      </c>
      <c r="KF5" s="85">
        <f t="shared" si="13"/>
        <v>2.2908444767310475E-4</v>
      </c>
      <c r="KG5" s="85">
        <f t="shared" si="13"/>
        <v>0</v>
      </c>
      <c r="KH5" s="85">
        <f t="shared" si="13"/>
        <v>2.2908444767310475E-4</v>
      </c>
      <c r="KI5" s="85" t="str">
        <f t="shared" si="13"/>
        <v/>
      </c>
      <c r="KJ5" s="85" t="str">
        <f t="shared" si="13"/>
        <v/>
      </c>
      <c r="KK5" s="86">
        <f>SUM(KE5:KJ5)</f>
        <v>4.5816889534620951E-4</v>
      </c>
      <c r="KL5" s="336" t="s">
        <v>28</v>
      </c>
      <c r="KM5" s="337">
        <f>-KH11/(2*KF11)</f>
        <v>6.2952473655824223E-2</v>
      </c>
      <c r="KN5" s="165" t="str">
        <f>IF(ISNUMBER(AN5),AN6-AN7,"")</f>
        <v/>
      </c>
      <c r="KO5" s="160" t="str">
        <f>IF(ISNUMBER(AO5),AO6-AO7,"")</f>
        <v/>
      </c>
      <c r="KP5" s="160" t="str">
        <f>IF(ISNUMBER(AP5),AP6-AP7,"")</f>
        <v/>
      </c>
      <c r="KQ5" s="160" t="str">
        <f>IF(ISNUMBER(AQ5),AQ6-AQ7,"")</f>
        <v/>
      </c>
      <c r="KR5" s="166" t="str">
        <f>IF(ISNUMBER(AR5),AR6-AR7,"")</f>
        <v/>
      </c>
      <c r="KS5" s="182" t="str">
        <f>IF(ISNUMBER(AN9),AN10-AN11,"")</f>
        <v/>
      </c>
      <c r="KT5" s="183" t="str">
        <f>IF(ISNUMBER(AO9),AO10-AO11,"")</f>
        <v/>
      </c>
      <c r="KU5" s="183" t="str">
        <f>IF(ISNUMBER(AP9),AP10-AP11,"")</f>
        <v/>
      </c>
      <c r="KV5" s="183" t="str">
        <f>IF(ISNUMBER(AQ9),AQ10-AQ11,"")</f>
        <v/>
      </c>
      <c r="KW5" s="183" t="str">
        <f>IF(ISNUMBER(AR9),AR10-AR11,"")</f>
        <v/>
      </c>
      <c r="KX5" s="1274">
        <f>IF(KU10="NP",0,KU10)*100</f>
        <v>0</v>
      </c>
      <c r="KY5" s="193">
        <v>1</v>
      </c>
      <c r="KZ5" s="194">
        <v>2</v>
      </c>
      <c r="LA5" s="182">
        <f>IF(ISNUMBER(AT9),AU9-AV9,"")</f>
        <v>0</v>
      </c>
      <c r="LB5" s="183">
        <f>IF(ISNUMBER(AW9),AX9-AY9,"")</f>
        <v>0</v>
      </c>
      <c r="LC5" s="197"/>
      <c r="LD5" s="198"/>
      <c r="LE5" s="204" t="s">
        <v>29</v>
      </c>
      <c r="LF5" s="204" t="s">
        <v>30</v>
      </c>
      <c r="LG5" s="204" t="s">
        <v>31</v>
      </c>
      <c r="LH5" s="204" t="s">
        <v>32</v>
      </c>
      <c r="LI5" s="204" t="s">
        <v>33</v>
      </c>
      <c r="LJ5" s="204">
        <v>4</v>
      </c>
      <c r="LK5" s="204">
        <v>10</v>
      </c>
      <c r="LL5" s="204">
        <v>40</v>
      </c>
      <c r="LM5" s="205">
        <v>200</v>
      </c>
      <c r="LN5" s="208"/>
      <c r="LO5" s="209"/>
      <c r="LP5" s="209"/>
      <c r="LQ5" s="209"/>
      <c r="LR5" s="210"/>
      <c r="LS5" s="213"/>
      <c r="LT5" s="121"/>
      <c r="LU5" s="121"/>
      <c r="LV5" s="121"/>
      <c r="LW5" s="121"/>
      <c r="LX5" s="121"/>
      <c r="LY5" s="121"/>
      <c r="LZ5" s="121"/>
      <c r="MA5" s="121"/>
      <c r="MB5" s="121"/>
      <c r="MC5" s="121"/>
      <c r="MD5" s="121"/>
      <c r="ME5" s="126"/>
      <c r="MF5" s="208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10"/>
      <c r="OE5" s="132"/>
      <c r="OF5" s="132"/>
      <c r="OG5" s="132"/>
      <c r="OH5" s="132"/>
    </row>
    <row r="6" spans="1:398" s="57" customFormat="1" ht="15" customHeight="1" x14ac:dyDescent="0.3">
      <c r="A6" s="1337"/>
      <c r="B6" s="723" t="s">
        <v>34</v>
      </c>
      <c r="C6" s="665"/>
      <c r="D6" s="724" t="s">
        <v>35</v>
      </c>
      <c r="E6" s="725">
        <v>1</v>
      </c>
      <c r="F6" s="1369" t="s">
        <v>36</v>
      </c>
      <c r="G6" s="726" t="s">
        <v>37</v>
      </c>
      <c r="H6" s="727"/>
      <c r="I6" s="723" t="s">
        <v>38</v>
      </c>
      <c r="J6" s="667"/>
      <c r="K6" s="667"/>
      <c r="L6" s="667"/>
      <c r="M6" s="667"/>
      <c r="N6" s="667"/>
      <c r="O6" s="667"/>
      <c r="P6" s="669">
        <v>10</v>
      </c>
      <c r="Q6" s="670">
        <v>21</v>
      </c>
      <c r="R6" s="669"/>
      <c r="S6" s="670"/>
      <c r="T6" s="1181"/>
      <c r="U6" s="728"/>
      <c r="V6" s="729">
        <v>0.45833333333333331</v>
      </c>
      <c r="W6" s="729"/>
      <c r="X6" s="729"/>
      <c r="Y6" s="729"/>
      <c r="Z6" s="673"/>
      <c r="AA6" s="673"/>
      <c r="AB6" s="673"/>
      <c r="AC6" s="673"/>
      <c r="AD6" s="675"/>
      <c r="AE6" s="675"/>
      <c r="AF6" s="675"/>
      <c r="AG6" s="675"/>
      <c r="AH6" s="675"/>
      <c r="AI6" s="675"/>
      <c r="AJ6" s="675"/>
      <c r="AK6" s="677"/>
      <c r="AL6" s="1355"/>
      <c r="AM6" s="730" t="s">
        <v>39</v>
      </c>
      <c r="AN6" s="731"/>
      <c r="AO6" s="731"/>
      <c r="AP6" s="731"/>
      <c r="AQ6" s="731"/>
      <c r="AR6" s="732"/>
      <c r="AS6" s="1358"/>
      <c r="AT6" s="1321" t="s">
        <v>40</v>
      </c>
      <c r="AU6" s="1322"/>
      <c r="AV6" s="1323"/>
      <c r="AW6" s="1324" t="s">
        <v>41</v>
      </c>
      <c r="AX6" s="1325"/>
      <c r="AY6" s="1326"/>
      <c r="AZ6" s="1327" t="s">
        <v>42</v>
      </c>
      <c r="BA6" s="1328"/>
      <c r="BB6" s="1328"/>
      <c r="BC6" s="1328"/>
      <c r="BD6" s="1328"/>
      <c r="BE6" s="1328"/>
      <c r="BF6" s="1329"/>
      <c r="BG6" s="733" t="s">
        <v>43</v>
      </c>
      <c r="BH6" s="733" t="s">
        <v>44</v>
      </c>
      <c r="BI6" s="1327" t="s">
        <v>42</v>
      </c>
      <c r="BJ6" s="1328"/>
      <c r="BK6" s="1329"/>
      <c r="BL6" s="1319"/>
      <c r="BM6" s="1307"/>
      <c r="BN6" s="62" t="s">
        <v>45</v>
      </c>
      <c r="BO6" s="104" t="str">
        <f>IF(ISNUMBER(J6),LOOKUP(J6,Tara!$C$6:$C$185,Tara!$D$6:$D$185),"")</f>
        <v/>
      </c>
      <c r="BP6" s="104" t="str">
        <f>IF(ISNUMBER(K6),LOOKUP(K6,Tara!$C$6:$C$185,Tara!$D$6:$D$185),"")</f>
        <v/>
      </c>
      <c r="BQ6" s="104" t="str">
        <f>IF(ISNUMBER(L6),LOOKUP(L6,Tara!$C$6:$C$185,Tara!$D$6:$D$185),"")</f>
        <v/>
      </c>
      <c r="BR6" s="104" t="str">
        <f>IF(ISNUMBER(M6),LOOKUP(M6,Tara!$C$6:$C$185,Tara!$D$6:$D$185),"")</f>
        <v/>
      </c>
      <c r="BS6" s="104" t="str">
        <f>IF(ISNUMBER(N6),LOOKUP(N6,Tara!$C$6:$C$185,Tara!$D$6:$D$185),"")</f>
        <v/>
      </c>
      <c r="BT6" s="104" t="str">
        <f>IF(ISNUMBER(O6),LOOKUP(O6,Tara!$C$6:$C$185,Tara!$D$6:$D$185),"")</f>
        <v/>
      </c>
      <c r="BU6" s="104">
        <f>IF(ISNUMBER(P6),LOOKUP(P6,Tara!$C$6:$C$185,Tara!$D$6:$D$185),"")</f>
        <v>24.1</v>
      </c>
      <c r="BV6" s="104">
        <f>IF(ISNUMBER(Q6),LOOKUP(Q6,Tara!$C$6:$C$185,Tara!$D$6:$D$185),"")</f>
        <v>14.81</v>
      </c>
      <c r="BW6" s="1310"/>
      <c r="BX6" s="108" t="s">
        <v>46</v>
      </c>
      <c r="BY6" s="66">
        <f>IF(ISNUMBER(J10),LOOKUP(J10,Tara!$G$6:$G$185,Tara!$H$6:$H$185),"")</f>
        <v>5530</v>
      </c>
      <c r="BZ6" s="66">
        <f>IF(ISNUMBER(K10),LOOKUP(K10,Tara!$G$6:$G$185,Tara!$H$6:$H$185),"")</f>
        <v>5294</v>
      </c>
      <c r="CA6" s="66">
        <f>IF(ISNUMBER(L10),LOOKUP(L10,Tara!$G$6:$G$185,Tara!$H$6:$H$185),"")</f>
        <v>5222</v>
      </c>
      <c r="CB6" s="66">
        <f>IF(ISNUMBER(M10),LOOKUP(M10,Tara!$G$6:$G$185,Tara!$H$6:$H$185),"")</f>
        <v>5130</v>
      </c>
      <c r="CC6" s="66">
        <f>IF(ISNUMBER(N10),LOOKUP(N10,Tara!$G$6:$G$185,Tara!$H$6:$H$185),"")</f>
        <v>5530</v>
      </c>
      <c r="CD6" s="66" t="str">
        <f>IF(ISNUMBER(O10),LOOKUP(O10,Tara!$G$6:$G$185,Tara!$H$6:$H$185),"")</f>
        <v/>
      </c>
      <c r="CE6" s="78">
        <f t="shared" ref="CE6:CJ6" si="14">IF(J5&lt;&gt;"",BY11,"")</f>
        <v>1898.326664201988</v>
      </c>
      <c r="CF6" s="78">
        <f t="shared" si="14"/>
        <v>2018.6054093588696</v>
      </c>
      <c r="CG6" s="78">
        <f t="shared" si="14"/>
        <v>2245.588255080645</v>
      </c>
      <c r="CH6" s="78">
        <f t="shared" si="14"/>
        <v>2228.1069891827028</v>
      </c>
      <c r="CI6" s="78">
        <f t="shared" si="14"/>
        <v>1980.6167760887652</v>
      </c>
      <c r="CJ6" s="257" t="str">
        <f t="shared" si="14"/>
        <v/>
      </c>
      <c r="CK6" s="75">
        <f>AVERAGE(CE6:CJ6)</f>
        <v>2074.2488187825938</v>
      </c>
      <c r="CL6" s="75">
        <f t="shared" ref="CL6:CQ6" si="15">IF(ISNUMBER(CE10),CE10^2,"")</f>
        <v>7.8078425542389158E-6</v>
      </c>
      <c r="CM6" s="75">
        <f t="shared" si="15"/>
        <v>3.4421185892163551E-6</v>
      </c>
      <c r="CN6" s="75">
        <f t="shared" si="15"/>
        <v>2.0991873666276597E-7</v>
      </c>
      <c r="CO6" s="75">
        <f t="shared" si="15"/>
        <v>1.9519606385597285E-6</v>
      </c>
      <c r="CP6" s="75">
        <f t="shared" si="15"/>
        <v>1.3768474356865417E-5</v>
      </c>
      <c r="CQ6" s="75" t="str">
        <f t="shared" si="15"/>
        <v/>
      </c>
      <c r="CR6" s="65">
        <f>SUM(CL6:CQ6)</f>
        <v>2.7180314875543181E-5</v>
      </c>
      <c r="CS6" s="338" t="s">
        <v>47</v>
      </c>
      <c r="CT6" s="339">
        <f>CM11*CT5^2+CO11*CT5+CQ11</f>
        <v>2219.2468551635602</v>
      </c>
      <c r="CU6" s="104" t="str">
        <f>IF(ISNUMBER(R6),LOOKUP(R6,Tara!$C$6:$C$185,Tara!$D$6:$D$185),"")</f>
        <v/>
      </c>
      <c r="CV6" s="104" t="str">
        <f>IF(ISNUMBER(S6),LOOKUP(S6,Tara!$C$6:$C$185,Tara!$D$6:$D$185),"")</f>
        <v/>
      </c>
      <c r="CW6" s="1313"/>
      <c r="CX6" s="123" t="str">
        <f t="shared" ref="CX6:DE6" si="16">IF(ISNUMBER(AD6),AD6*$W9,"")</f>
        <v/>
      </c>
      <c r="CY6" s="116" t="str">
        <f t="shared" si="16"/>
        <v/>
      </c>
      <c r="CZ6" s="116" t="str">
        <f t="shared" si="16"/>
        <v/>
      </c>
      <c r="DA6" s="116" t="str">
        <f t="shared" si="16"/>
        <v/>
      </c>
      <c r="DB6" s="116" t="str">
        <f t="shared" si="16"/>
        <v/>
      </c>
      <c r="DC6" s="116" t="str">
        <f t="shared" si="16"/>
        <v/>
      </c>
      <c r="DD6" s="116" t="str">
        <f t="shared" si="16"/>
        <v/>
      </c>
      <c r="DE6" s="116" t="str">
        <f t="shared" si="16"/>
        <v/>
      </c>
      <c r="DF6" s="719" t="str">
        <f>IF(CX6&lt;&gt;"",AVERAGE(CX6:DE6),"")</f>
        <v/>
      </c>
      <c r="DG6" s="119" t="str">
        <f t="shared" ref="DG6:DN7" si="17">IF(ISERROR(CX8*CX9),"",CX8*CX9)</f>
        <v/>
      </c>
      <c r="DH6" s="119" t="str">
        <f t="shared" si="17"/>
        <v/>
      </c>
      <c r="DI6" s="119" t="str">
        <f t="shared" si="17"/>
        <v/>
      </c>
      <c r="DJ6" s="119" t="str">
        <f t="shared" si="17"/>
        <v/>
      </c>
      <c r="DK6" s="119" t="str">
        <f t="shared" si="17"/>
        <v/>
      </c>
      <c r="DL6" s="119" t="str">
        <f t="shared" si="17"/>
        <v/>
      </c>
      <c r="DM6" s="119" t="str">
        <f t="shared" si="17"/>
        <v/>
      </c>
      <c r="DN6" s="119" t="str">
        <f t="shared" si="17"/>
        <v/>
      </c>
      <c r="DO6" s="119" t="str">
        <f>IF(DG6&lt;&gt;"",SUM(DG6:DN6),"")</f>
        <v/>
      </c>
      <c r="DP6" s="120" t="str">
        <f>IF(DJ10&lt;&gt;"",(DP5-DJ10)/DJ9,"")</f>
        <v/>
      </c>
      <c r="DQ6" s="119" t="str">
        <f>IF(DP6="","",IF(DP6&gt;0,DT7+DP6,-1))</f>
        <v/>
      </c>
      <c r="DR6" s="119" t="str">
        <f>IF(DP6="","",IF(DP6&gt;0,DV7+DP6,-1))</f>
        <v/>
      </c>
      <c r="DS6" s="119" t="str">
        <f>IF(DP6="","",IF(DP6&gt;0,DQ6,-1))</f>
        <v/>
      </c>
      <c r="DT6" s="119" t="str">
        <f>IF(DP6="","",IF(DP6&gt;0,DR6,-1))</f>
        <v/>
      </c>
      <c r="DU6" s="119" t="str">
        <f>IF(DP6="","",IF(DP6&gt;0,DT7,-1))</f>
        <v/>
      </c>
      <c r="DV6" s="119" t="str">
        <f>IF(DP6="","",IF(DP6&gt;0,DQ6,-1))</f>
        <v/>
      </c>
      <c r="DW6" s="119" t="str">
        <f>IF(DP6="","",IF(DP6&gt;0,DS6,-1))</f>
        <v/>
      </c>
      <c r="DX6" s="1182" t="str">
        <f>IF(DP6="","",IF(DP6&gt;0,DS6,-1))</f>
        <v/>
      </c>
      <c r="DY6" s="123">
        <f t="shared" ref="DY6:EF6" si="18">IF(ISNUMBER(AD7),AD7*$W9,"")</f>
        <v>3715.2000000000003</v>
      </c>
      <c r="DZ6" s="116">
        <f t="shared" si="18"/>
        <v>6288.7500000000009</v>
      </c>
      <c r="EA6" s="116">
        <f t="shared" si="18"/>
        <v>7933.5000000000009</v>
      </c>
      <c r="EB6" s="116">
        <f t="shared" si="18"/>
        <v>10565.1</v>
      </c>
      <c r="EC6" s="116">
        <f t="shared" si="18"/>
        <v>13738.500000000002</v>
      </c>
      <c r="ED6" s="116">
        <f t="shared" si="18"/>
        <v>15847.650000000001</v>
      </c>
      <c r="EE6" s="116">
        <f t="shared" si="18"/>
        <v>17956.800000000003</v>
      </c>
      <c r="EF6" s="116">
        <f t="shared" si="18"/>
        <v>20878.650000000001</v>
      </c>
      <c r="EG6" s="116">
        <f>IF(DY6&lt;&gt;"",AVERAGE(DY6:EF6),"")</f>
        <v>12115.518749999999</v>
      </c>
      <c r="EH6" s="119">
        <f t="shared" ref="EH6:EO7" si="19">IF(ISERROR(DY8*DY9),"",DY8*DY9)</f>
        <v>25368.962624999996</v>
      </c>
      <c r="EI6" s="119">
        <f t="shared" si="19"/>
        <v>13867.709624999996</v>
      </c>
      <c r="EJ6" s="119">
        <f t="shared" si="19"/>
        <v>7318.5328124999969</v>
      </c>
      <c r="EK6" s="119">
        <f t="shared" si="19"/>
        <v>1720.9648124999985</v>
      </c>
      <c r="EL6" s="119">
        <f t="shared" si="19"/>
        <v>259.67700000000065</v>
      </c>
      <c r="EM6" s="119">
        <f t="shared" si="19"/>
        <v>5336.9476875000037</v>
      </c>
      <c r="EN6" s="119">
        <f t="shared" si="19"/>
        <v>15771.459375000008</v>
      </c>
      <c r="EO6" s="119">
        <f t="shared" si="19"/>
        <v>34789.631062500011</v>
      </c>
      <c r="EP6" s="119">
        <f>IF(EH6&lt;&gt;"",SUM(EH6:EO6),"")</f>
        <v>104433.88500000001</v>
      </c>
      <c r="EQ6" s="120">
        <f>IF(EK10&lt;&gt;"",(EQ5-EK10)/EK9,"")</f>
        <v>-1.5568998821121223</v>
      </c>
      <c r="ER6" s="119">
        <f>IF(EQ6="","",IF(EQ6&gt;0,EU7+EQ6,-1))</f>
        <v>-1</v>
      </c>
      <c r="ES6" s="119">
        <f>IF(EQ6="","",IF(EQ6&gt;0,EW7+EQ6,-1))</f>
        <v>-1</v>
      </c>
      <c r="ET6" s="119">
        <f>IF(EQ6="","",IF(EQ6&gt;0,ER6,-1))</f>
        <v>-1</v>
      </c>
      <c r="EU6" s="119">
        <f>IF(EQ6="","",IF(EQ6&gt;0,ES6,-1))</f>
        <v>-1</v>
      </c>
      <c r="EV6" s="119">
        <f>IF(EQ6="","",IF(EQ6&gt;0,EU7,-1))</f>
        <v>-1</v>
      </c>
      <c r="EW6" s="119">
        <f>IF(EQ6="","",IF(EQ6&gt;0,ER6,-1))</f>
        <v>-1</v>
      </c>
      <c r="EX6" s="119">
        <f>IF(EQ6="","",IF(EQ6&gt;0,ET6,-1))</f>
        <v>-1</v>
      </c>
      <c r="EY6" s="1182">
        <f>IF(EQ6="","",IF(EQ6&gt;0,ET6,-1))</f>
        <v>-1</v>
      </c>
      <c r="EZ6" s="123">
        <f t="shared" ref="EZ6:FG6" si="20">IF(ISNUMBER(AD8),AD8*$W9,"")</f>
        <v>3889.3500000000004</v>
      </c>
      <c r="FA6" s="116">
        <f t="shared" si="20"/>
        <v>8146.35</v>
      </c>
      <c r="FB6" s="116">
        <f t="shared" si="20"/>
        <v>12035.7</v>
      </c>
      <c r="FC6" s="116">
        <f t="shared" si="20"/>
        <v>14164.2</v>
      </c>
      <c r="FD6" s="116">
        <f t="shared" si="20"/>
        <v>17705.25</v>
      </c>
      <c r="FE6" s="116">
        <f t="shared" si="20"/>
        <v>21246.300000000003</v>
      </c>
      <c r="FF6" s="116">
        <f t="shared" si="20"/>
        <v>24439.050000000003</v>
      </c>
      <c r="FG6" s="116">
        <f t="shared" si="20"/>
        <v>26915.850000000002</v>
      </c>
      <c r="FH6" s="116">
        <f>IF(EZ6&lt;&gt;"",AVERAGE(EZ6:FG6),"")</f>
        <v>16067.756250000002</v>
      </c>
      <c r="FI6" s="119">
        <f t="shared" ref="FI6:FP7" si="21">IF(ISERROR(EZ8*EZ9),"",EZ8*EZ9)</f>
        <v>36778.786875000005</v>
      </c>
      <c r="FJ6" s="119">
        <f t="shared" si="21"/>
        <v>18852.946875000005</v>
      </c>
      <c r="FK6" s="119">
        <f t="shared" si="21"/>
        <v>7056.0984375000025</v>
      </c>
      <c r="FL6" s="119">
        <f t="shared" si="21"/>
        <v>2112.9474375000013</v>
      </c>
      <c r="FM6" s="119">
        <f t="shared" si="21"/>
        <v>261.99899999999991</v>
      </c>
      <c r="FN6" s="119">
        <f t="shared" si="21"/>
        <v>7405.3175625000022</v>
      </c>
      <c r="FO6" s="119">
        <f t="shared" si="21"/>
        <v>22602.493125000001</v>
      </c>
      <c r="FP6" s="119">
        <f t="shared" si="21"/>
        <v>43066.932187500002</v>
      </c>
      <c r="FQ6" s="119">
        <f>IF(FI6&lt;&gt;"",SUM(FI6:FP6),"")</f>
        <v>138137.52150000003</v>
      </c>
      <c r="FR6" s="120">
        <f>IF(FL10&lt;&gt;"",(FR5-FL10)/FL9,"")</f>
        <v>-1.5994704036685921</v>
      </c>
      <c r="FS6" s="119">
        <f>IF(FR6="","",IF(FR6&gt;0,FV7+FR6,-1))</f>
        <v>-1</v>
      </c>
      <c r="FT6" s="119">
        <f>IF(FR6="","",IF(FR6&gt;0,FX7+FR6,-1))</f>
        <v>-1</v>
      </c>
      <c r="FU6" s="119">
        <f>IF(FR6="","",IF(FR6&gt;0,FS6,-1))</f>
        <v>-1</v>
      </c>
      <c r="FV6" s="119">
        <f>IF(FR6="","",IF(FR6&gt;0,FT6,-1))</f>
        <v>-1</v>
      </c>
      <c r="FW6" s="119">
        <f>IF(FR6="","",IF(FR6&gt;0,FV7,-1))</f>
        <v>-1</v>
      </c>
      <c r="FX6" s="119">
        <f>IF(FR6="","",IF(FR6&gt;0,FS6,-1))</f>
        <v>-1</v>
      </c>
      <c r="FY6" s="119">
        <f>IF(FR6="","",IF(FR6&gt;0,FU6,-1))</f>
        <v>-1</v>
      </c>
      <c r="FZ6" s="1182">
        <f>IF(FR6="","",IF(FR6&gt;0,FU6,-1))</f>
        <v>-1</v>
      </c>
      <c r="GA6" s="123">
        <f t="shared" ref="GA6:GH6" si="22">IF(ISNUMBER(AD9),AD9*$W9,"")</f>
        <v>2902.5</v>
      </c>
      <c r="GB6" s="116">
        <f t="shared" si="22"/>
        <v>5824.35</v>
      </c>
      <c r="GC6" s="116">
        <f t="shared" si="22"/>
        <v>9597.6</v>
      </c>
      <c r="GD6" s="116">
        <f t="shared" si="22"/>
        <v>11648.7</v>
      </c>
      <c r="GE6" s="116">
        <f t="shared" si="22"/>
        <v>15712.2</v>
      </c>
      <c r="GF6" s="116">
        <f t="shared" si="22"/>
        <v>17453.7</v>
      </c>
      <c r="GG6" s="116">
        <f t="shared" si="22"/>
        <v>19795.050000000003</v>
      </c>
      <c r="GH6" s="116">
        <f t="shared" si="22"/>
        <v>22697.550000000003</v>
      </c>
      <c r="GI6" s="116">
        <f>IF(GA6&lt;&gt;"",AVERAGE(GA6:GH6),"")</f>
        <v>13203.956250000001</v>
      </c>
      <c r="GJ6" s="119">
        <f t="shared" ref="GJ6:GQ7" si="23">IF(ISERROR(GA8*GA9),"",GA8*GA9)</f>
        <v>31110.397875000002</v>
      </c>
      <c r="GK6" s="119">
        <f t="shared" si="23"/>
        <v>17563.462875000001</v>
      </c>
      <c r="GL6" s="119">
        <f t="shared" si="23"/>
        <v>6311.1234375000013</v>
      </c>
      <c r="GM6" s="119">
        <f t="shared" si="23"/>
        <v>1726.3344375000001</v>
      </c>
      <c r="GN6" s="119">
        <f t="shared" si="23"/>
        <v>401.3190000000003</v>
      </c>
      <c r="GO6" s="119">
        <f t="shared" si="23"/>
        <v>6077.1335625000002</v>
      </c>
      <c r="GP6" s="119">
        <f t="shared" si="23"/>
        <v>17795.953125000004</v>
      </c>
      <c r="GQ6" s="119">
        <f t="shared" si="23"/>
        <v>37689.567187500012</v>
      </c>
      <c r="GR6" s="119">
        <f>IF(GJ6&lt;&gt;"",SUM(GJ6:GQ6),"")</f>
        <v>118675.29150000002</v>
      </c>
      <c r="GS6" s="120">
        <f>IF(GM10&lt;&gt;"",(GS5-GM10)/GM9,"")</f>
        <v>-1.3984002906804758</v>
      </c>
      <c r="GT6" s="119">
        <f>IF(GS6="","",IF(GS6&gt;0,GW7+GS6,-1))</f>
        <v>-1</v>
      </c>
      <c r="GU6" s="119">
        <f>IF(GS6="","",IF(GS6&gt;0,GY7+GS6,-1))</f>
        <v>-1</v>
      </c>
      <c r="GV6" s="119">
        <f>IF(GS6="","",IF(GS6&gt;0,GT6,-1))</f>
        <v>-1</v>
      </c>
      <c r="GW6" s="119">
        <f>IF(GS6="","",IF(GS6&gt;0,GU6,-1))</f>
        <v>-1</v>
      </c>
      <c r="GX6" s="119">
        <f>IF(GS6="","",IF(GS6&gt;0,GW7,-1))</f>
        <v>-1</v>
      </c>
      <c r="GY6" s="119">
        <f>IF(GS6="","",IF(GS6&gt;0,GT6,-1))</f>
        <v>-1</v>
      </c>
      <c r="GZ6" s="119">
        <f>IF(GS6="","",IF(GS6&gt;0,GV6,-1))</f>
        <v>-1</v>
      </c>
      <c r="HA6" s="1182">
        <f>IF(GS6="","",IF(GS6&gt;0,GV6,-1))</f>
        <v>-1</v>
      </c>
      <c r="HB6" s="123" t="str">
        <f t="shared" ref="HB6:HI6" si="24">IF(ISNUMBER(AD10),AD10*$W9,"")</f>
        <v/>
      </c>
      <c r="HC6" s="116" t="str">
        <f t="shared" si="24"/>
        <v/>
      </c>
      <c r="HD6" s="116" t="str">
        <f t="shared" si="24"/>
        <v/>
      </c>
      <c r="HE6" s="116" t="str">
        <f t="shared" si="24"/>
        <v/>
      </c>
      <c r="HF6" s="116" t="str">
        <f t="shared" si="24"/>
        <v/>
      </c>
      <c r="HG6" s="116" t="str">
        <f t="shared" si="24"/>
        <v/>
      </c>
      <c r="HH6" s="116" t="str">
        <f t="shared" si="24"/>
        <v/>
      </c>
      <c r="HI6" s="116" t="str">
        <f t="shared" si="24"/>
        <v/>
      </c>
      <c r="HJ6" s="116" t="str">
        <f>IF(HB6&lt;&gt;"",AVERAGE(HB6:HI6),"")</f>
        <v/>
      </c>
      <c r="HK6" s="119" t="str">
        <f t="shared" ref="HK6:HR7" si="25">IF(ISERROR(HB8*HB9),"",HB8*HB9)</f>
        <v/>
      </c>
      <c r="HL6" s="119" t="str">
        <f t="shared" si="25"/>
        <v/>
      </c>
      <c r="HM6" s="119" t="str">
        <f t="shared" si="25"/>
        <v/>
      </c>
      <c r="HN6" s="119" t="str">
        <f t="shared" si="25"/>
        <v/>
      </c>
      <c r="HO6" s="119" t="str">
        <f t="shared" si="25"/>
        <v/>
      </c>
      <c r="HP6" s="119" t="str">
        <f t="shared" si="25"/>
        <v/>
      </c>
      <c r="HQ6" s="119" t="str">
        <f t="shared" si="25"/>
        <v/>
      </c>
      <c r="HR6" s="119" t="str">
        <f t="shared" si="25"/>
        <v/>
      </c>
      <c r="HS6" s="119" t="str">
        <f>IF(HK6&lt;&gt;"",SUM(HK6:HR6),"")</f>
        <v/>
      </c>
      <c r="HT6" s="120" t="str">
        <f>IF(HN10&lt;&gt;"",(HT5-HN10)/HN9,"")</f>
        <v/>
      </c>
      <c r="HU6" s="119" t="str">
        <f>IF(HT6="","",IF(HT6&gt;0,HX7+HT6,-1))</f>
        <v/>
      </c>
      <c r="HV6" s="119" t="str">
        <f>IF(HT6="","",IF(HT6&gt;0,HZ7+HT6,-1))</f>
        <v/>
      </c>
      <c r="HW6" s="119" t="str">
        <f>IF(HT6="","",IF(HT6&gt;0,HU6,-1))</f>
        <v/>
      </c>
      <c r="HX6" s="119" t="str">
        <f>IF(HT6="","",IF(HT6&gt;0,HV6,-1))</f>
        <v/>
      </c>
      <c r="HY6" s="119" t="str">
        <f>IF(HT6="","",IF(HT6&gt;0,HX7,-1))</f>
        <v/>
      </c>
      <c r="HZ6" s="119" t="str">
        <f>IF(HT6="","",IF(HT6&gt;0,HU6,-1))</f>
        <v/>
      </c>
      <c r="IA6" s="119" t="str">
        <f>IF(HT6="","",IF(HT6&gt;0,HW6,-1))</f>
        <v/>
      </c>
      <c r="IB6" s="1182" t="str">
        <f>IF(HT6="","",IF(HT6&gt;0,HW6,-1))</f>
        <v/>
      </c>
      <c r="IC6" s="123" t="str">
        <f t="shared" ref="IC6:IJ6" si="26">IF(ISNUMBER(AD11),AD11*$W9,"")</f>
        <v/>
      </c>
      <c r="ID6" s="116" t="str">
        <f t="shared" si="26"/>
        <v/>
      </c>
      <c r="IE6" s="116" t="str">
        <f t="shared" si="26"/>
        <v/>
      </c>
      <c r="IF6" s="116" t="str">
        <f t="shared" si="26"/>
        <v/>
      </c>
      <c r="IG6" s="116" t="str">
        <f t="shared" si="26"/>
        <v/>
      </c>
      <c r="IH6" s="116" t="str">
        <f t="shared" si="26"/>
        <v/>
      </c>
      <c r="II6" s="116" t="str">
        <f t="shared" si="26"/>
        <v/>
      </c>
      <c r="IJ6" s="116" t="str">
        <f t="shared" si="26"/>
        <v/>
      </c>
      <c r="IK6" s="116" t="str">
        <f>IF(IC6&lt;&gt;"",AVERAGE(IC6:IJ6),"")</f>
        <v/>
      </c>
      <c r="IL6" s="119" t="str">
        <f t="shared" ref="IL6:IS7" si="27">IF(ISERROR(IC8*IC9),"",IC8*IC9)</f>
        <v/>
      </c>
      <c r="IM6" s="119" t="str">
        <f t="shared" si="27"/>
        <v/>
      </c>
      <c r="IN6" s="119" t="str">
        <f t="shared" si="27"/>
        <v/>
      </c>
      <c r="IO6" s="119" t="str">
        <f t="shared" si="27"/>
        <v/>
      </c>
      <c r="IP6" s="119" t="str">
        <f t="shared" si="27"/>
        <v/>
      </c>
      <c r="IQ6" s="119" t="str">
        <f t="shared" si="27"/>
        <v/>
      </c>
      <c r="IR6" s="119" t="str">
        <f t="shared" si="27"/>
        <v/>
      </c>
      <c r="IS6" s="119" t="str">
        <f t="shared" si="27"/>
        <v/>
      </c>
      <c r="IT6" s="119" t="str">
        <f>IF(IL6&lt;&gt;"",SUM(IL6:IS6),"")</f>
        <v/>
      </c>
      <c r="IU6" s="120" t="str">
        <f>IF(IO10&lt;&gt;"",(IU5-IO10)/IO9,"")</f>
        <v/>
      </c>
      <c r="IV6" s="119" t="str">
        <f>IF(IU6="","",IF(IU6&gt;0,IY7+IU6,-1))</f>
        <v/>
      </c>
      <c r="IW6" s="119" t="str">
        <f>IF(IU6="","",IF(IU6&gt;0,JA7+IU6,-1))</f>
        <v/>
      </c>
      <c r="IX6" s="119" t="str">
        <f>IF(IU6="","",IF(IU6&gt;0,IV6,-1))</f>
        <v/>
      </c>
      <c r="IY6" s="119" t="str">
        <f>IF(IU6="","",IF(IU6&gt;0,IW6,-1))</f>
        <v/>
      </c>
      <c r="IZ6" s="119" t="str">
        <f>IF(IU6="","",IF(IU6&gt;0,IY7,-1))</f>
        <v/>
      </c>
      <c r="JA6" s="119" t="str">
        <f>IF(IU6="","",IF(IU6&gt;0,IV6,-1))</f>
        <v/>
      </c>
      <c r="JB6" s="119" t="str">
        <f>IF(IU6="","",IF(IU6&gt;0,IX6,-1))</f>
        <v/>
      </c>
      <c r="JC6" s="1182" t="str">
        <f>IF(IU6="","",IF(IU6&gt;0,IX6,-1))</f>
        <v/>
      </c>
      <c r="JD6" s="150">
        <f t="shared" si="9"/>
        <v>2</v>
      </c>
      <c r="JE6" s="144" t="str">
        <f>IF(JD5&lt;&gt;"",MAX(DV11,DX11),"")</f>
        <v/>
      </c>
      <c r="JF6" s="144">
        <f>IF(JD6&lt;&gt;"",MAX(EW11,EY11),"")</f>
        <v>15027.166698274228</v>
      </c>
      <c r="JG6" s="144">
        <f>IF(JD7&lt;&gt;"",MAX(FX11,FZ11),"")</f>
        <v>20146.311397686331</v>
      </c>
      <c r="JH6" s="144">
        <f>IF(JD8&lt;&gt;"",MAX(GY11,HA11),"")</f>
        <v>16567.629071255869</v>
      </c>
      <c r="JI6" s="144" t="str">
        <f>IF(JD9&lt;&gt;"",MAX(HZ11,IB11),"")</f>
        <v/>
      </c>
      <c r="JJ6" s="144" t="str">
        <f>IF(JJ5&lt;&gt;"",MAX(JA11,JC11),"")</f>
        <v/>
      </c>
      <c r="JK6" s="148">
        <f>AVERAGE(JE6:JJ6)</f>
        <v>17247.035722405475</v>
      </c>
      <c r="JL6" s="75" t="str">
        <f t="shared" ref="JL6:JQ6" si="28">IF(ISNUMBER(JE10),JE10^2,"")</f>
        <v/>
      </c>
      <c r="JM6" s="75">
        <f t="shared" si="28"/>
        <v>2.4020313472979895E-6</v>
      </c>
      <c r="JN6" s="75">
        <f t="shared" si="28"/>
        <v>2.3324304073640619E-8</v>
      </c>
      <c r="JO6" s="75">
        <f t="shared" si="28"/>
        <v>2.8987506641835316E-6</v>
      </c>
      <c r="JP6" s="75" t="str">
        <f t="shared" si="28"/>
        <v/>
      </c>
      <c r="JQ6" s="75" t="str">
        <f t="shared" si="28"/>
        <v/>
      </c>
      <c r="JR6" s="65">
        <f>SUM(JL6:JQ6)</f>
        <v>5.324106315555162E-6</v>
      </c>
      <c r="JS6" s="138" t="s">
        <v>47</v>
      </c>
      <c r="JT6" s="1183">
        <f>JM11*JT5^2+JO11*JT5+JQ11</f>
        <v>20180.415092717165</v>
      </c>
      <c r="JU6" s="123">
        <f>IF(T7&lt;&gt;0,LOOKUP(T7,Tara!$G$6:$G$185,Tara!$J$6:$J$185)/10,"")</f>
        <v>11.494</v>
      </c>
      <c r="JV6" s="116">
        <f t="shared" si="11"/>
        <v>0.15999999999999992</v>
      </c>
      <c r="JW6" s="155">
        <f t="shared" si="12"/>
        <v>1.392030624673742E-3</v>
      </c>
      <c r="JX6" s="120" t="str">
        <f>IF(JD5&lt;&gt;"",JW5*100,"")</f>
        <v/>
      </c>
      <c r="JY6" s="120">
        <f>IF(JD6&lt;&gt;"",JW6*100,"")</f>
        <v>0.13920306246737421</v>
      </c>
      <c r="JZ6" s="120">
        <f>IF(JD7&lt;&gt;"",JW7*100,"")</f>
        <v>5.2173913043478314E-2</v>
      </c>
      <c r="KA6" s="120">
        <f>IF(JD8&lt;&gt;"",JW8*100,"")</f>
        <v>4.3557801202195344E-2</v>
      </c>
      <c r="KB6" s="120" t="str">
        <f>IF(JD9&lt;&gt;"",JW9*100,"")</f>
        <v/>
      </c>
      <c r="KC6" s="120" t="str">
        <f>IF(KC5&lt;&gt;"",JW10*100,"")</f>
        <v/>
      </c>
      <c r="KD6" s="148">
        <f>AVERAGE(JX6:KC6)</f>
        <v>7.8311592237682623E-2</v>
      </c>
      <c r="KE6" s="75" t="str">
        <f t="shared" ref="KE6:KJ6" si="29">IF(ISNUMBER(JX10),JX10^2,"")</f>
        <v/>
      </c>
      <c r="KF6" s="75">
        <f t="shared" si="29"/>
        <v>2.4020313472979895E-6</v>
      </c>
      <c r="KG6" s="75">
        <f t="shared" si="29"/>
        <v>2.3324304073640619E-8</v>
      </c>
      <c r="KH6" s="75">
        <f t="shared" si="29"/>
        <v>2.8987506641835316E-6</v>
      </c>
      <c r="KI6" s="75" t="str">
        <f t="shared" si="29"/>
        <v/>
      </c>
      <c r="KJ6" s="75" t="str">
        <f t="shared" si="29"/>
        <v/>
      </c>
      <c r="KK6" s="65">
        <f>SUM(KE6:KJ6)</f>
        <v>5.324106315555162E-6</v>
      </c>
      <c r="KL6" s="138" t="s">
        <v>47</v>
      </c>
      <c r="KM6" s="1184">
        <f>KF11*KM5^2+KH11*KM5+KJ11</f>
        <v>3.7590853454361306E-2</v>
      </c>
      <c r="KN6" s="167" t="str">
        <f>IF(ISNUMBER(AN5),LOOKUP(AN5,Tara!$A$6:$A$185,Tara!$B$6:$B$185),"")</f>
        <v/>
      </c>
      <c r="KO6" s="161" t="str">
        <f>IF(ISNUMBER(AO5),LOOKUP(AO5,Tara!$A$6:$A$185,Tara!$B$6:$B$185),"")</f>
        <v/>
      </c>
      <c r="KP6" s="161" t="str">
        <f>IF(ISNUMBER(AP5),LOOKUP(AP5,Tara!$A$6:$A$185,Tara!$B$6:$B$185),"")</f>
        <v/>
      </c>
      <c r="KQ6" s="161" t="str">
        <f>IF(ISNUMBER(AQ5),LOOKUP(AQ5,Tara!$A$6:$A$185,Tara!$B$6:$B$185),"")</f>
        <v/>
      </c>
      <c r="KR6" s="1185" t="str">
        <f>IF(ISNUMBER(AR5),LOOKUP(AR5,Tara!$A$6:$A$185,Tara!$B$6:$B$185),"")</f>
        <v/>
      </c>
      <c r="KS6" s="167" t="str">
        <f>IF(ISNUMBER(AN9),LOOKUP(AN9,Tara!$E$6:$E$185,Tara!$F$6:$F$185),"")</f>
        <v/>
      </c>
      <c r="KT6" s="161" t="str">
        <f>IF(ISNUMBER(AO9),LOOKUP(AO9,Tara!$E$6:$E$185,Tara!$F$6:$F$185),"")</f>
        <v/>
      </c>
      <c r="KU6" s="161" t="str">
        <f>IF(ISNUMBER(AP9),LOOKUP(AP9,Tara!$E$6:$E$185,Tara!$F$6:$F$185),"")</f>
        <v/>
      </c>
      <c r="KV6" s="161" t="str">
        <f>IF(ISNUMBER(AQ9),LOOKUP(AQ9,Tara!$E$6:$E$185,Tara!$F$6:$F$185),"")</f>
        <v/>
      </c>
      <c r="KW6" s="161" t="str">
        <f>IF(ISNUMBER(AR9),LOOKUP(AR9,Tara!$E$6:$E$185,Tara!$F$6:$F$185),"")</f>
        <v/>
      </c>
      <c r="KX6" s="1275"/>
      <c r="KY6" s="195" t="str">
        <f>IF(AX10&lt;&gt;"",AX10,"")</f>
        <v/>
      </c>
      <c r="KZ6" s="1186" t="str">
        <f>IF(BA10&lt;&gt;"",BA10,"")</f>
        <v/>
      </c>
      <c r="LA6" s="167">
        <f>IF(ISNUMBER(AT9),LOOKUP(AT9,Tara!$C$6:$C$185,Tara!$D$6:$D$185),"")</f>
        <v>26.16</v>
      </c>
      <c r="LB6" s="161">
        <f>IF(ISNUMBER(AW9),LOOKUP(AW9,Tara!$C$6:$C$185,Tara!$D$6:$D$185),"")</f>
        <v>34.159999999999997</v>
      </c>
      <c r="LC6" s="120">
        <f>IF(BG9&lt;&gt;"",BG9,"")</f>
        <v>2501.7399999999998</v>
      </c>
      <c r="LD6" s="120">
        <f>IF(BH9&lt;&gt;"",BH9,"")</f>
        <v>153.66</v>
      </c>
      <c r="LE6" s="120">
        <f t="shared" ref="LE6:LK6" si="30">IF(AZ9&lt;&gt;"",AZ9,"")</f>
        <v>0</v>
      </c>
      <c r="LF6" s="120">
        <f t="shared" si="30"/>
        <v>0</v>
      </c>
      <c r="LG6" s="120">
        <f t="shared" si="30"/>
        <v>56.94</v>
      </c>
      <c r="LH6" s="120">
        <f t="shared" si="30"/>
        <v>90.69</v>
      </c>
      <c r="LI6" s="120">
        <f t="shared" si="30"/>
        <v>315.08999999999997</v>
      </c>
      <c r="LJ6" s="120">
        <f t="shared" si="30"/>
        <v>402.2</v>
      </c>
      <c r="LK6" s="120">
        <f t="shared" si="30"/>
        <v>311.08</v>
      </c>
      <c r="LL6" s="120">
        <f>IF(BI9&lt;&gt;"",BI9,"")</f>
        <v>32.71</v>
      </c>
      <c r="LM6" s="1187">
        <f>IF(BK9&lt;&gt;"",BK9,"")</f>
        <v>54.51</v>
      </c>
      <c r="LN6" s="185" t="b">
        <f>IF(LM9="","",IF(AND(LE9&gt;=93%,LE9&lt;=100%,LI9&gt;=23%,LI9&lt;=72%,LJ9&gt;20%,LJ9&lt;=60%,LK9&gt;=10%,LK9&lt;=45%,LL9&gt;=6%,LL9&lt;=22%,LM9&gt;=0%,LM9&lt;=10%),"Faixa A"))</f>
        <v>0</v>
      </c>
      <c r="LO6" s="181" t="b">
        <f>IF(LM9="","",IF(AND(LG9&gt;=93%,LG9&lt;=100%,LJ9&gt;=50%,LJ9&lt;=100%,LK9&gt;=35%,LK9&lt;=100%,LL9&gt;=18%,LL9&lt;=52%,LM9&gt;=4%,LM9&lt;=22%),"Faixa E"))</f>
        <v>0</v>
      </c>
      <c r="LP6" s="181"/>
      <c r="LQ6" s="206"/>
      <c r="LR6" s="1188" t="s">
        <v>48</v>
      </c>
      <c r="LS6" s="214"/>
      <c r="LT6" s="119"/>
      <c r="LU6" s="119"/>
      <c r="LV6" s="119"/>
      <c r="LW6" s="119"/>
      <c r="LX6" s="119"/>
      <c r="LY6" s="119"/>
      <c r="LZ6" s="119"/>
      <c r="MA6" s="119"/>
      <c r="MB6" s="119"/>
      <c r="MC6" s="119"/>
      <c r="MD6" s="119"/>
      <c r="ME6" s="1182"/>
      <c r="MF6" s="1276" t="s">
        <v>49</v>
      </c>
      <c r="MG6" s="1277"/>
      <c r="MH6" s="1277"/>
      <c r="MI6" s="1277" t="s">
        <v>50</v>
      </c>
      <c r="MJ6" s="1277"/>
      <c r="MK6" s="1277"/>
      <c r="ML6" s="1277"/>
      <c r="MM6" s="1277"/>
      <c r="MN6" s="1277"/>
      <c r="MO6" s="1277"/>
      <c r="MP6" s="1277"/>
      <c r="MQ6" s="1277"/>
      <c r="MR6" s="1277"/>
      <c r="MS6" s="1277" t="s">
        <v>51</v>
      </c>
      <c r="MT6" s="1277"/>
      <c r="MU6" s="1277"/>
      <c r="MV6" s="1277"/>
      <c r="MW6" s="1277"/>
      <c r="MX6" s="1277"/>
      <c r="MY6" s="1277"/>
      <c r="MZ6" s="1277" t="s">
        <v>52</v>
      </c>
      <c r="NA6" s="1277"/>
      <c r="NB6" s="1277"/>
      <c r="NC6" s="1277"/>
      <c r="ND6" s="1277" t="s">
        <v>53</v>
      </c>
      <c r="NE6" s="1277"/>
      <c r="NF6" s="1277"/>
      <c r="NG6" s="1277" t="s">
        <v>54</v>
      </c>
      <c r="NH6" s="1277"/>
      <c r="NI6" s="1277"/>
      <c r="NJ6" s="1277"/>
      <c r="NK6" s="1277"/>
      <c r="NL6" s="1277"/>
      <c r="NM6" s="1277"/>
      <c r="NN6" s="1277"/>
      <c r="NO6" s="1277"/>
      <c r="NP6" s="1277"/>
      <c r="NQ6" s="1277"/>
      <c r="NR6" s="1277"/>
      <c r="NS6" s="1277"/>
      <c r="NT6" s="1277"/>
      <c r="NU6" s="1277"/>
      <c r="NV6" s="1277"/>
      <c r="NW6" s="1277"/>
      <c r="NX6" s="1277"/>
      <c r="NY6" s="1277"/>
      <c r="NZ6" s="1277"/>
      <c r="OA6" s="1277"/>
      <c r="OB6" s="1277"/>
      <c r="OC6" s="1277"/>
      <c r="OD6" s="1278"/>
      <c r="OE6" s="701"/>
      <c r="OF6" s="132"/>
      <c r="OG6" s="132"/>
      <c r="OH6" s="132"/>
    </row>
    <row r="7" spans="1:398" s="56" customFormat="1" ht="15" customHeight="1" x14ac:dyDescent="0.3">
      <c r="A7" s="1337"/>
      <c r="B7" s="734" t="s">
        <v>55</v>
      </c>
      <c r="C7" s="666" t="s">
        <v>56</v>
      </c>
      <c r="D7" s="734" t="s">
        <v>57</v>
      </c>
      <c r="E7" s="688">
        <v>45804</v>
      </c>
      <c r="F7" s="1370"/>
      <c r="G7" s="726" t="s">
        <v>58</v>
      </c>
      <c r="H7" s="665" t="s">
        <v>59</v>
      </c>
      <c r="I7" s="735" t="s">
        <v>60</v>
      </c>
      <c r="J7" s="736"/>
      <c r="K7" s="736"/>
      <c r="L7" s="736"/>
      <c r="M7" s="736"/>
      <c r="N7" s="736"/>
      <c r="O7" s="736"/>
      <c r="P7" s="671">
        <v>186.55</v>
      </c>
      <c r="Q7" s="672">
        <v>201.76</v>
      </c>
      <c r="R7" s="671"/>
      <c r="S7" s="672"/>
      <c r="T7" s="1181">
        <f>IF(U7="","",2)</f>
        <v>2</v>
      </c>
      <c r="U7" s="728">
        <f>IF(K10="","",K10)</f>
        <v>28</v>
      </c>
      <c r="V7" s="737"/>
      <c r="W7" s="737"/>
      <c r="X7" s="737"/>
      <c r="Y7" s="737"/>
      <c r="Z7" s="673">
        <v>1</v>
      </c>
      <c r="AA7" s="673">
        <v>1</v>
      </c>
      <c r="AB7" s="673">
        <v>1</v>
      </c>
      <c r="AC7" s="673">
        <v>1.1599999999999999</v>
      </c>
      <c r="AD7" s="674">
        <v>192</v>
      </c>
      <c r="AE7" s="675">
        <v>325</v>
      </c>
      <c r="AF7" s="675">
        <v>410</v>
      </c>
      <c r="AG7" s="675">
        <v>546</v>
      </c>
      <c r="AH7" s="675">
        <v>710</v>
      </c>
      <c r="AI7" s="675">
        <v>819</v>
      </c>
      <c r="AJ7" s="675">
        <v>928</v>
      </c>
      <c r="AK7" s="675">
        <v>1079</v>
      </c>
      <c r="AL7" s="1355"/>
      <c r="AM7" s="730" t="s">
        <v>61</v>
      </c>
      <c r="AN7" s="731"/>
      <c r="AO7" s="731"/>
      <c r="AP7" s="731"/>
      <c r="AQ7" s="731"/>
      <c r="AR7" s="732"/>
      <c r="AS7" s="1358"/>
      <c r="AT7" s="1330" t="s">
        <v>62</v>
      </c>
      <c r="AU7" s="1332" t="s">
        <v>63</v>
      </c>
      <c r="AV7" s="1332" t="s">
        <v>64</v>
      </c>
      <c r="AW7" s="1332" t="s">
        <v>62</v>
      </c>
      <c r="AX7" s="1332" t="s">
        <v>63</v>
      </c>
      <c r="AY7" s="1332" t="s">
        <v>64</v>
      </c>
      <c r="AZ7" s="738" t="s">
        <v>29</v>
      </c>
      <c r="BA7" s="738" t="s">
        <v>30</v>
      </c>
      <c r="BB7" s="738" t="s">
        <v>31</v>
      </c>
      <c r="BC7" s="738" t="s">
        <v>32</v>
      </c>
      <c r="BD7" s="738" t="s">
        <v>33</v>
      </c>
      <c r="BE7" s="738">
        <v>4</v>
      </c>
      <c r="BF7" s="738">
        <v>10</v>
      </c>
      <c r="BG7" s="1334" t="s">
        <v>65</v>
      </c>
      <c r="BH7" s="1334" t="s">
        <v>66</v>
      </c>
      <c r="BI7" s="738">
        <v>40</v>
      </c>
      <c r="BJ7" s="738">
        <v>100</v>
      </c>
      <c r="BK7" s="738">
        <v>200</v>
      </c>
      <c r="BL7" s="1319"/>
      <c r="BM7" s="1307"/>
      <c r="BN7" s="62" t="s">
        <v>67</v>
      </c>
      <c r="BO7" s="62" t="str">
        <f t="shared" ref="BO7:BV7" si="31">IF(ISNUMBER(J6),J8-BO6,"")</f>
        <v/>
      </c>
      <c r="BP7" s="62" t="str">
        <f t="shared" si="31"/>
        <v/>
      </c>
      <c r="BQ7" s="62" t="str">
        <f t="shared" si="31"/>
        <v/>
      </c>
      <c r="BR7" s="62" t="str">
        <f t="shared" si="31"/>
        <v/>
      </c>
      <c r="BS7" s="62" t="str">
        <f t="shared" si="31"/>
        <v/>
      </c>
      <c r="BT7" s="62" t="str">
        <f t="shared" si="31"/>
        <v/>
      </c>
      <c r="BU7" s="62">
        <f t="shared" si="31"/>
        <v>161.07</v>
      </c>
      <c r="BV7" s="62">
        <f t="shared" si="31"/>
        <v>185.19</v>
      </c>
      <c r="BW7" s="1310"/>
      <c r="BX7" s="108" t="s">
        <v>68</v>
      </c>
      <c r="BY7" s="66">
        <f>IF(ISNUMBER(J10),LOOKUP(J10,Tara!$G$6:$G$185,Tara!$I$6:$I$185),"")</f>
        <v>2082</v>
      </c>
      <c r="BZ7" s="66">
        <f>IF(ISNUMBER(K10),LOOKUP(K10,Tara!$G$6:$G$185,Tara!$I$6:$I$185),"")</f>
        <v>2083</v>
      </c>
      <c r="CA7" s="66">
        <f>IF(ISNUMBER(L10),LOOKUP(L10,Tara!$G$6:$G$185,Tara!$I$6:$I$185),"")</f>
        <v>2037</v>
      </c>
      <c r="CB7" s="66">
        <f>IF(ISNUMBER(M10),LOOKUP(M10,Tara!$G$6:$G$185,Tara!$I$6:$I$185),"")</f>
        <v>2068</v>
      </c>
      <c r="CC7" s="66">
        <f>IF(ISNUMBER(N10),LOOKUP(N10,Tara!$G$6:$G$185,Tara!$I$6:$I$185),"")</f>
        <v>2082</v>
      </c>
      <c r="CD7" s="66" t="str">
        <f>IF(ISNUMBER(O10),LOOKUP(O10,Tara!$G$6:$G$185,Tara!$I$6:$I$185),"")</f>
        <v/>
      </c>
      <c r="CE7" s="77">
        <f t="shared" ref="CE7:CJ7" si="32">IF(ISNUMBER(CE5),CE5^2,"")</f>
        <v>5.4992709040121784E-4</v>
      </c>
      <c r="CF7" s="77">
        <f t="shared" si="32"/>
        <v>1.4888840442753742E-3</v>
      </c>
      <c r="CG7" s="77">
        <f t="shared" si="32"/>
        <v>2.8860098934957402E-3</v>
      </c>
      <c r="CH7" s="77">
        <f t="shared" si="32"/>
        <v>4.7413046380623157E-3</v>
      </c>
      <c r="CI7" s="77">
        <f t="shared" si="32"/>
        <v>7.0547682779751007E-3</v>
      </c>
      <c r="CJ7" s="72" t="str">
        <f t="shared" si="32"/>
        <v/>
      </c>
      <c r="CK7" s="75">
        <f>AVERAGE(CE7:CJ7)</f>
        <v>3.3441787888419498E-3</v>
      </c>
      <c r="CL7" s="75">
        <f t="shared" ref="CL7:CQ7" si="33">IF(ISERROR(CE9*CE9),"",CE8*CE9)</f>
        <v>5.3253521805740629</v>
      </c>
      <c r="CM7" s="75">
        <f t="shared" si="33"/>
        <v>0.84219282220487524</v>
      </c>
      <c r="CN7" s="75">
        <f t="shared" si="33"/>
        <v>0</v>
      </c>
      <c r="CO7" s="75">
        <f t="shared" si="33"/>
        <v>2.3287258651210365</v>
      </c>
      <c r="CP7" s="75">
        <f t="shared" si="33"/>
        <v>-2.834342291452097</v>
      </c>
      <c r="CQ7" s="75" t="str">
        <f t="shared" si="33"/>
        <v/>
      </c>
      <c r="CR7" s="65">
        <f>SUM(CL7:CQ7)</f>
        <v>5.6619285764478775</v>
      </c>
      <c r="CS7" s="71"/>
      <c r="CT7" s="64"/>
      <c r="CU7" s="702" t="str">
        <f>IF(ISNUMBER(R6),R8-CU6,"")</f>
        <v/>
      </c>
      <c r="CV7" s="702" t="str">
        <f>IF(ISNUMBER(S6),S8-CV6,"")</f>
        <v/>
      </c>
      <c r="CW7" s="1313"/>
      <c r="CX7" s="123" t="str">
        <f>IF(CX6&lt;&gt;"",CX5^2,"")</f>
        <v/>
      </c>
      <c r="CY7" s="116" t="str">
        <f t="shared" ref="CY7:DE7" si="34">IF(CY6&lt;&gt;"",CY5^2,"")</f>
        <v/>
      </c>
      <c r="CZ7" s="116" t="str">
        <f t="shared" si="34"/>
        <v/>
      </c>
      <c r="DA7" s="116" t="str">
        <f t="shared" si="34"/>
        <v/>
      </c>
      <c r="DB7" s="116" t="str">
        <f t="shared" si="34"/>
        <v/>
      </c>
      <c r="DC7" s="116" t="str">
        <f t="shared" si="34"/>
        <v/>
      </c>
      <c r="DD7" s="116" t="str">
        <f t="shared" si="34"/>
        <v/>
      </c>
      <c r="DE7" s="116" t="str">
        <f t="shared" si="34"/>
        <v/>
      </c>
      <c r="DF7" s="719" t="str">
        <f>IF(CX7&lt;&gt;"",AVERAGE(CX7:DE7),"")</f>
        <v/>
      </c>
      <c r="DG7" s="119" t="str">
        <f t="shared" si="17"/>
        <v/>
      </c>
      <c r="DH7" s="119" t="str">
        <f t="shared" si="17"/>
        <v/>
      </c>
      <c r="DI7" s="119" t="str">
        <f t="shared" si="17"/>
        <v/>
      </c>
      <c r="DJ7" s="119" t="str">
        <f t="shared" si="17"/>
        <v/>
      </c>
      <c r="DK7" s="119" t="str">
        <f t="shared" si="17"/>
        <v/>
      </c>
      <c r="DL7" s="119" t="str">
        <f t="shared" si="17"/>
        <v/>
      </c>
      <c r="DM7" s="119" t="str">
        <f t="shared" si="17"/>
        <v/>
      </c>
      <c r="DN7" s="119" t="str">
        <f t="shared" si="17"/>
        <v/>
      </c>
      <c r="DO7" s="119" t="str">
        <f>IF(DG7&lt;&gt;"",SUM(DG7:DN7),"")</f>
        <v/>
      </c>
      <c r="DP7" s="122">
        <v>0</v>
      </c>
      <c r="DQ7" s="122">
        <v>0.63</v>
      </c>
      <c r="DR7" s="122">
        <v>1.27</v>
      </c>
      <c r="DS7" s="122">
        <v>1.9</v>
      </c>
      <c r="DT7" s="122">
        <v>2.54</v>
      </c>
      <c r="DU7" s="122">
        <v>3.81</v>
      </c>
      <c r="DV7" s="122">
        <v>5.08</v>
      </c>
      <c r="DW7" s="122">
        <v>6.35</v>
      </c>
      <c r="DX7" s="1190">
        <v>7.62</v>
      </c>
      <c r="DY7" s="123">
        <f>IF(DY6&lt;&gt;"",DY5^2,"")</f>
        <v>0.39690000000000003</v>
      </c>
      <c r="DZ7" s="116">
        <f t="shared" ref="DZ7:EF7" si="35">IF(DZ6&lt;&gt;"",DZ5^2,"")</f>
        <v>1.6129</v>
      </c>
      <c r="EA7" s="116">
        <f t="shared" si="35"/>
        <v>3.61</v>
      </c>
      <c r="EB7" s="116">
        <f t="shared" si="35"/>
        <v>6.4516</v>
      </c>
      <c r="EC7" s="116">
        <f t="shared" si="35"/>
        <v>14.5161</v>
      </c>
      <c r="ED7" s="116">
        <f t="shared" si="35"/>
        <v>25.8064</v>
      </c>
      <c r="EE7" s="116">
        <f t="shared" si="35"/>
        <v>40.322499999999998</v>
      </c>
      <c r="EF7" s="116">
        <f t="shared" si="35"/>
        <v>58.064399999999999</v>
      </c>
      <c r="EG7" s="116">
        <f>IF(DY7&lt;&gt;"",AVERAGE(DY7:EF7),"")</f>
        <v>18.8476</v>
      </c>
      <c r="EH7" s="119">
        <f t="shared" si="19"/>
        <v>154991.76116062497</v>
      </c>
      <c r="EI7" s="119">
        <f t="shared" si="19"/>
        <v>100422.61137562497</v>
      </c>
      <c r="EJ7" s="119">
        <f t="shared" si="19"/>
        <v>63723.928904999979</v>
      </c>
      <c r="EK7" s="119">
        <f t="shared" si="19"/>
        <v>19218.990824999986</v>
      </c>
      <c r="EL7" s="119">
        <f t="shared" si="19"/>
        <v>-7029.943284375011</v>
      </c>
      <c r="EM7" s="119">
        <f t="shared" si="19"/>
        <v>25971.154942500016</v>
      </c>
      <c r="EN7" s="119">
        <f t="shared" si="19"/>
        <v>125440.93071562507</v>
      </c>
      <c r="EO7" s="119">
        <f t="shared" si="19"/>
        <v>343661.96560500009</v>
      </c>
      <c r="EP7" s="119">
        <f>IF(EH7&lt;&gt;"",SUM(EH7:EO7),"")</f>
        <v>826401.40024500003</v>
      </c>
      <c r="EQ7" s="122">
        <v>0</v>
      </c>
      <c r="ER7" s="122">
        <v>0.63</v>
      </c>
      <c r="ES7" s="122">
        <v>1.27</v>
      </c>
      <c r="ET7" s="122">
        <v>1.9</v>
      </c>
      <c r="EU7" s="122">
        <v>2.54</v>
      </c>
      <c r="EV7" s="122">
        <v>3.81</v>
      </c>
      <c r="EW7" s="122">
        <v>5.08</v>
      </c>
      <c r="EX7" s="122">
        <v>6.35</v>
      </c>
      <c r="EY7" s="1190">
        <v>7.62</v>
      </c>
      <c r="EZ7" s="123">
        <f>IF(EZ6&lt;&gt;"",EZ5^2,"")</f>
        <v>0.39690000000000003</v>
      </c>
      <c r="FA7" s="116">
        <f t="shared" ref="FA7:FG7" si="36">IF(FA6&lt;&gt;"",FA5^2,"")</f>
        <v>1.6129</v>
      </c>
      <c r="FB7" s="116">
        <f t="shared" si="36"/>
        <v>3.61</v>
      </c>
      <c r="FC7" s="116">
        <f t="shared" si="36"/>
        <v>6.4516</v>
      </c>
      <c r="FD7" s="116">
        <f t="shared" si="36"/>
        <v>14.5161</v>
      </c>
      <c r="FE7" s="116">
        <f t="shared" si="36"/>
        <v>25.8064</v>
      </c>
      <c r="FF7" s="116">
        <f t="shared" si="36"/>
        <v>40.322499999999998</v>
      </c>
      <c r="FG7" s="116">
        <f t="shared" si="36"/>
        <v>58.064399999999999</v>
      </c>
      <c r="FH7" s="116">
        <f>IF(EZ7&lt;&gt;"",AVERAGE(EZ7:FG7),"")</f>
        <v>18.8476</v>
      </c>
      <c r="FI7" s="119">
        <f t="shared" si="21"/>
        <v>224700.12019687504</v>
      </c>
      <c r="FJ7" s="119">
        <f t="shared" si="21"/>
        <v>136523.06029687505</v>
      </c>
      <c r="FK7" s="119">
        <f t="shared" si="21"/>
        <v>61438.860315000027</v>
      </c>
      <c r="FL7" s="119">
        <f t="shared" si="21"/>
        <v>23596.483275000021</v>
      </c>
      <c r="FM7" s="119">
        <f t="shared" si="21"/>
        <v>-7092.8041781249904</v>
      </c>
      <c r="FN7" s="119">
        <f t="shared" si="21"/>
        <v>36036.450247500004</v>
      </c>
      <c r="FO7" s="119">
        <f t="shared" si="21"/>
        <v>179772.69615187499</v>
      </c>
      <c r="FP7" s="119">
        <f t="shared" si="21"/>
        <v>425427.52297499997</v>
      </c>
      <c r="FQ7" s="119">
        <f>IF(FI7&lt;&gt;"",SUM(FI7:FP7),"")</f>
        <v>1080402.38928</v>
      </c>
      <c r="FR7" s="122">
        <v>0</v>
      </c>
      <c r="FS7" s="122">
        <v>0.63</v>
      </c>
      <c r="FT7" s="122">
        <v>1.27</v>
      </c>
      <c r="FU7" s="122">
        <v>1.9</v>
      </c>
      <c r="FV7" s="122">
        <v>2.54</v>
      </c>
      <c r="FW7" s="122">
        <v>3.81</v>
      </c>
      <c r="FX7" s="122">
        <v>5.08</v>
      </c>
      <c r="FY7" s="122">
        <v>6.35</v>
      </c>
      <c r="FZ7" s="1190">
        <v>7.62</v>
      </c>
      <c r="GA7" s="123">
        <f>IF(GA6&lt;&gt;"",GA5^2,"")</f>
        <v>0.39690000000000003</v>
      </c>
      <c r="GB7" s="116">
        <f t="shared" ref="GB7:GH7" si="37">IF(GB6&lt;&gt;"",GB5^2,"")</f>
        <v>1.6129</v>
      </c>
      <c r="GC7" s="116">
        <f t="shared" si="37"/>
        <v>3.61</v>
      </c>
      <c r="GD7" s="116">
        <f t="shared" si="37"/>
        <v>6.4516</v>
      </c>
      <c r="GE7" s="116">
        <f t="shared" si="37"/>
        <v>14.5161</v>
      </c>
      <c r="GF7" s="116">
        <f t="shared" si="37"/>
        <v>25.8064</v>
      </c>
      <c r="GG7" s="116">
        <f t="shared" si="37"/>
        <v>40.322499999999998</v>
      </c>
      <c r="GH7" s="116">
        <f t="shared" si="37"/>
        <v>58.064399999999999</v>
      </c>
      <c r="GI7" s="116">
        <f>IF(GA7&lt;&gt;"",AVERAGE(GA7:GH7),"")</f>
        <v>18.8476</v>
      </c>
      <c r="GJ7" s="119">
        <f t="shared" si="23"/>
        <v>190069.07883187503</v>
      </c>
      <c r="GK7" s="119">
        <f t="shared" si="23"/>
        <v>127185.29983687501</v>
      </c>
      <c r="GL7" s="119">
        <f t="shared" si="23"/>
        <v>54952.213995000013</v>
      </c>
      <c r="GM7" s="119">
        <f t="shared" si="23"/>
        <v>19278.956475000006</v>
      </c>
      <c r="GN7" s="119">
        <f t="shared" si="23"/>
        <v>-10864.457803124998</v>
      </c>
      <c r="GO7" s="119">
        <f t="shared" si="23"/>
        <v>29573.116807499999</v>
      </c>
      <c r="GP7" s="119">
        <f t="shared" si="23"/>
        <v>141543.07917187503</v>
      </c>
      <c r="GQ7" s="119">
        <f t="shared" si="23"/>
        <v>372308.36737500009</v>
      </c>
      <c r="GR7" s="119">
        <f>IF(GJ7&lt;&gt;"",SUM(GJ7:GQ7),"")</f>
        <v>924045.65469000023</v>
      </c>
      <c r="GS7" s="122">
        <v>0</v>
      </c>
      <c r="GT7" s="122">
        <v>0.63</v>
      </c>
      <c r="GU7" s="122">
        <v>1.27</v>
      </c>
      <c r="GV7" s="122">
        <v>1.9</v>
      </c>
      <c r="GW7" s="122">
        <v>2.54</v>
      </c>
      <c r="GX7" s="122">
        <v>3.81</v>
      </c>
      <c r="GY7" s="122">
        <v>5.08</v>
      </c>
      <c r="GZ7" s="122">
        <v>6.35</v>
      </c>
      <c r="HA7" s="1190">
        <v>7.62</v>
      </c>
      <c r="HB7" s="123" t="str">
        <f>IF(HB6&lt;&gt;"",HB5^2,"")</f>
        <v/>
      </c>
      <c r="HC7" s="116" t="str">
        <f t="shared" ref="HC7:HI7" si="38">IF(HC6&lt;&gt;"",HC5^2,"")</f>
        <v/>
      </c>
      <c r="HD7" s="116" t="str">
        <f t="shared" si="38"/>
        <v/>
      </c>
      <c r="HE7" s="116" t="str">
        <f t="shared" si="38"/>
        <v/>
      </c>
      <c r="HF7" s="116" t="str">
        <f t="shared" si="38"/>
        <v/>
      </c>
      <c r="HG7" s="116" t="str">
        <f t="shared" si="38"/>
        <v/>
      </c>
      <c r="HH7" s="116" t="str">
        <f t="shared" si="38"/>
        <v/>
      </c>
      <c r="HI7" s="116" t="str">
        <f t="shared" si="38"/>
        <v/>
      </c>
      <c r="HJ7" s="116" t="str">
        <f>IF(HB7&lt;&gt;"",AVERAGE(HB7:HI7),"")</f>
        <v/>
      </c>
      <c r="HK7" s="119" t="str">
        <f t="shared" si="25"/>
        <v/>
      </c>
      <c r="HL7" s="119" t="str">
        <f t="shared" si="25"/>
        <v/>
      </c>
      <c r="HM7" s="119" t="str">
        <f t="shared" si="25"/>
        <v/>
      </c>
      <c r="HN7" s="119" t="str">
        <f t="shared" si="25"/>
        <v/>
      </c>
      <c r="HO7" s="119" t="str">
        <f t="shared" si="25"/>
        <v/>
      </c>
      <c r="HP7" s="119" t="str">
        <f t="shared" si="25"/>
        <v/>
      </c>
      <c r="HQ7" s="119" t="str">
        <f t="shared" si="25"/>
        <v/>
      </c>
      <c r="HR7" s="119" t="str">
        <f t="shared" si="25"/>
        <v/>
      </c>
      <c r="HS7" s="119" t="str">
        <f>IF(HK7&lt;&gt;"",SUM(HK7:HR7),"")</f>
        <v/>
      </c>
      <c r="HT7" s="122">
        <v>0</v>
      </c>
      <c r="HU7" s="122">
        <v>0.63</v>
      </c>
      <c r="HV7" s="122">
        <v>1.27</v>
      </c>
      <c r="HW7" s="122">
        <v>1.9</v>
      </c>
      <c r="HX7" s="122">
        <v>2.54</v>
      </c>
      <c r="HY7" s="122">
        <v>3.81</v>
      </c>
      <c r="HZ7" s="122">
        <v>5.08</v>
      </c>
      <c r="IA7" s="122">
        <v>6.35</v>
      </c>
      <c r="IB7" s="1190">
        <v>7.62</v>
      </c>
      <c r="IC7" s="123" t="str">
        <f>IF(IC6&lt;&gt;"",IC5^2,"")</f>
        <v/>
      </c>
      <c r="ID7" s="116" t="str">
        <f t="shared" ref="ID7:IJ7" si="39">IF(ID6&lt;&gt;"",ID5^2,"")</f>
        <v/>
      </c>
      <c r="IE7" s="116" t="str">
        <f t="shared" si="39"/>
        <v/>
      </c>
      <c r="IF7" s="116" t="str">
        <f t="shared" si="39"/>
        <v/>
      </c>
      <c r="IG7" s="116" t="str">
        <f t="shared" si="39"/>
        <v/>
      </c>
      <c r="IH7" s="116" t="str">
        <f t="shared" si="39"/>
        <v/>
      </c>
      <c r="II7" s="116" t="str">
        <f t="shared" si="39"/>
        <v/>
      </c>
      <c r="IJ7" s="116" t="str">
        <f t="shared" si="39"/>
        <v/>
      </c>
      <c r="IK7" s="116" t="str">
        <f>IF(IC7&lt;&gt;"",AVERAGE(IC7:IJ7),"")</f>
        <v/>
      </c>
      <c r="IL7" s="119" t="str">
        <f t="shared" si="27"/>
        <v/>
      </c>
      <c r="IM7" s="119" t="str">
        <f t="shared" si="27"/>
        <v/>
      </c>
      <c r="IN7" s="119" t="str">
        <f t="shared" si="27"/>
        <v/>
      </c>
      <c r="IO7" s="119" t="str">
        <f t="shared" si="27"/>
        <v/>
      </c>
      <c r="IP7" s="119" t="str">
        <f t="shared" si="27"/>
        <v/>
      </c>
      <c r="IQ7" s="119" t="str">
        <f t="shared" si="27"/>
        <v/>
      </c>
      <c r="IR7" s="119" t="str">
        <f t="shared" si="27"/>
        <v/>
      </c>
      <c r="IS7" s="119" t="str">
        <f t="shared" si="27"/>
        <v/>
      </c>
      <c r="IT7" s="119" t="str">
        <f>IF(IL7&lt;&gt;"",SUM(IL7:IS7),"")</f>
        <v/>
      </c>
      <c r="IU7" s="122">
        <v>0</v>
      </c>
      <c r="IV7" s="122">
        <v>0.63</v>
      </c>
      <c r="IW7" s="122">
        <v>1.27</v>
      </c>
      <c r="IX7" s="122">
        <v>1.9</v>
      </c>
      <c r="IY7" s="122">
        <v>2.54</v>
      </c>
      <c r="IZ7" s="122">
        <v>3.81</v>
      </c>
      <c r="JA7" s="122">
        <v>5.08</v>
      </c>
      <c r="JB7" s="122">
        <v>6.35</v>
      </c>
      <c r="JC7" s="1190">
        <v>7.62</v>
      </c>
      <c r="JD7" s="150">
        <f t="shared" si="9"/>
        <v>3</v>
      </c>
      <c r="JE7" s="77" t="str">
        <f t="shared" ref="JE7:JJ7" si="40">IF(ISNUMBER(JE5),JE5^2,"")</f>
        <v/>
      </c>
      <c r="JF7" s="77">
        <f t="shared" si="40"/>
        <v>1.4888840442753742E-3</v>
      </c>
      <c r="JG7" s="77">
        <f t="shared" si="40"/>
        <v>2.8860098934957402E-3</v>
      </c>
      <c r="JH7" s="77">
        <f t="shared" si="40"/>
        <v>4.7413046380623157E-3</v>
      </c>
      <c r="JI7" s="77" t="str">
        <f t="shared" si="40"/>
        <v/>
      </c>
      <c r="JJ7" s="72" t="str">
        <f t="shared" si="40"/>
        <v/>
      </c>
      <c r="JK7" s="75">
        <f>AVERAGE(JE7:JJ7)</f>
        <v>3.0387328586111433E-3</v>
      </c>
      <c r="JL7" s="75" t="str">
        <f t="shared" ref="JL7:JQ7" si="41">IF(ISERROR(JE9*JE9),"",JE8*JE9)</f>
        <v/>
      </c>
      <c r="JM7" s="75">
        <f t="shared" si="41"/>
        <v>33.59890735885007</v>
      </c>
      <c r="JN7" s="75">
        <f t="shared" si="41"/>
        <v>0</v>
      </c>
      <c r="JO7" s="75">
        <f t="shared" si="41"/>
        <v>-10.283183774725501</v>
      </c>
      <c r="JP7" s="75" t="str">
        <f t="shared" si="41"/>
        <v/>
      </c>
      <c r="JQ7" s="75" t="str">
        <f t="shared" si="41"/>
        <v/>
      </c>
      <c r="JR7" s="65">
        <f>SUM(JL7:JQ7)</f>
        <v>23.315723584124569</v>
      </c>
      <c r="JS7" s="71"/>
      <c r="JT7" s="1191"/>
      <c r="JU7" s="123">
        <f>IF(T8&lt;&gt;0,LOOKUP(T8,Tara!$G$6:$G$185,Tara!$J$6:$J$185)/10,"")</f>
        <v>11.5</v>
      </c>
      <c r="JV7" s="116">
        <f t="shared" si="11"/>
        <v>6.0000000000000053E-2</v>
      </c>
      <c r="JW7" s="155">
        <f t="shared" si="12"/>
        <v>5.2173913043478311E-4</v>
      </c>
      <c r="JX7" s="77" t="str">
        <f t="shared" ref="JX7:KC7" si="42">IF(ISNUMBER(JX5),JX5^2,"")</f>
        <v/>
      </c>
      <c r="JY7" s="77">
        <f t="shared" si="42"/>
        <v>1.4888840442753742E-3</v>
      </c>
      <c r="JZ7" s="77">
        <f t="shared" si="42"/>
        <v>2.8860098934957402E-3</v>
      </c>
      <c r="KA7" s="77">
        <f t="shared" si="42"/>
        <v>4.7413046380623157E-3</v>
      </c>
      <c r="KB7" s="77" t="str">
        <f t="shared" si="42"/>
        <v/>
      </c>
      <c r="KC7" s="72" t="str">
        <f t="shared" si="42"/>
        <v/>
      </c>
      <c r="KD7" s="75">
        <f>AVERAGE(JX7:KC7)</f>
        <v>3.0387328586111433E-3</v>
      </c>
      <c r="KE7" s="75" t="str">
        <f t="shared" ref="KE7:KJ7" si="43">IF(ISERROR(JX9*JX9),"",JX8*JX9)</f>
        <v/>
      </c>
      <c r="KF7" s="75">
        <f t="shared" si="43"/>
        <v>261.04102182688894</v>
      </c>
      <c r="KG7" s="75">
        <f t="shared" si="43"/>
        <v>0</v>
      </c>
      <c r="KH7" s="75">
        <f t="shared" si="43"/>
        <v>-261.04246946917664</v>
      </c>
      <c r="KI7" s="75" t="str">
        <f t="shared" si="43"/>
        <v/>
      </c>
      <c r="KJ7" s="75" t="str">
        <f t="shared" si="43"/>
        <v/>
      </c>
      <c r="KK7" s="65">
        <f>SUM(KE7:KJ7)</f>
        <v>-1.4476422877010009E-3</v>
      </c>
      <c r="KL7" s="71"/>
      <c r="KM7" s="1191"/>
      <c r="KN7" s="167" t="str">
        <f>IF(ISNUMBER(AN7),AN7-KN6,"")</f>
        <v/>
      </c>
      <c r="KO7" s="161" t="str">
        <f>IF(ISNUMBER(AO7),AO7-KO6,"")</f>
        <v/>
      </c>
      <c r="KP7" s="161" t="str">
        <f>IF(ISNUMBER(AP7),AP7-KP6,"")</f>
        <v/>
      </c>
      <c r="KQ7" s="161" t="str">
        <f>IF(ISNUMBER(AQ7),AQ7-KQ6,"")</f>
        <v/>
      </c>
      <c r="KR7" s="1185" t="str">
        <f>IF(ISNUMBER(AR7),AR7-KR6,"")</f>
        <v/>
      </c>
      <c r="KS7" s="167" t="str">
        <f>IF(ISNUMBER(AN11),AN11-KS6,"")</f>
        <v/>
      </c>
      <c r="KT7" s="161" t="str">
        <f>IF(ISNUMBER(AO11),AO11-KT6,"")</f>
        <v/>
      </c>
      <c r="KU7" s="161" t="str">
        <f>IF(ISNUMBER(AP11),AP11-KU6,"")</f>
        <v/>
      </c>
      <c r="KV7" s="161" t="str">
        <f>IF(ISNUMBER(AQ11),AQ11-KV6,"")</f>
        <v/>
      </c>
      <c r="KW7" s="161" t="str">
        <f>IF(ISNUMBER(AR11),AR11-KW6,"")</f>
        <v/>
      </c>
      <c r="KX7" s="1192" t="s">
        <v>69</v>
      </c>
      <c r="KY7" s="195" t="str">
        <f>IF(AX11&lt;&gt;"",AX11,"")</f>
        <v/>
      </c>
      <c r="KZ7" s="1186" t="str">
        <f>IF(BA11&lt;&gt;"",BA11,"")</f>
        <v/>
      </c>
      <c r="LA7" s="598">
        <f>IF(ISNUMBER(AV9),AV9-LA6,"")</f>
        <v>-25.16</v>
      </c>
      <c r="LB7" s="702">
        <f>IF(ISNUMBER(AY9),AY9-LB6,"")</f>
        <v>-33.159999999999997</v>
      </c>
      <c r="LC7" s="120">
        <f>IF(LC6&lt;&gt;"",SUM(LE6:LK6),"")</f>
        <v>1176</v>
      </c>
      <c r="LD7" s="120">
        <f>IF(LC6&lt;&gt;"",LC9+LC7,"")</f>
        <v>2501.7399999999998</v>
      </c>
      <c r="LE7" s="120">
        <f>IF(LC6="","",IF(LE6=0,IF(LD7&gt;0,LD7,""),IF(LE6&gt;0,LD7-LE6,"")))</f>
        <v>2501.7399999999998</v>
      </c>
      <c r="LF7" s="120">
        <f t="shared" ref="LF7:LK7" si="44">IF($LC6="","",LE7-LF6)</f>
        <v>2501.7399999999998</v>
      </c>
      <c r="LG7" s="120">
        <f t="shared" si="44"/>
        <v>2444.7999999999997</v>
      </c>
      <c r="LH7" s="120">
        <f t="shared" si="44"/>
        <v>2354.1099999999997</v>
      </c>
      <c r="LI7" s="120">
        <f t="shared" si="44"/>
        <v>2039.0199999999998</v>
      </c>
      <c r="LJ7" s="120">
        <f t="shared" si="44"/>
        <v>1636.8199999999997</v>
      </c>
      <c r="LK7" s="120">
        <f t="shared" si="44"/>
        <v>1325.7399999999998</v>
      </c>
      <c r="LL7" s="120">
        <f>IF(LD6&lt;&gt;"",LD8-LL6,"")</f>
        <v>120.94999999999999</v>
      </c>
      <c r="LM7" s="1187">
        <f>IF(LD6&lt;&gt;"",LL7-LM6,"")</f>
        <v>66.44</v>
      </c>
      <c r="LN7" s="185" t="b">
        <f>IF(LM9="","",IF(AND(LE9&gt;=93%,LE9&lt;=100%,LG9&gt;=68%,LG9&lt;=97%,LI9&gt;=33%,LI9&lt;=82%,LJ9&gt;=25%,LJ9&lt;=65%,LK9&gt;=15%,LK9&lt;=50%,LL9&gt;=13%,LL9&lt;=32%,LM9&gt;=3%,LM9&lt;=17%),"Faixa B"))</f>
        <v>0</v>
      </c>
      <c r="LO7" s="181" t="str">
        <f>IF(LM9="","",IF(AND(LG9&gt;=93%,LG9&lt;=100%,LJ9&gt;=65%,LJ9&lt;=100%,LK9&gt;=50%,LK9&lt;=100%,LL9&gt;=28%,LL9&lt;=72%,LM9&gt;=6%,LM9&lt;=27%),"Faixa F"))</f>
        <v>Faixa F</v>
      </c>
      <c r="LP7" s="206"/>
      <c r="LQ7" s="181"/>
      <c r="LR7" s="1279" t="str">
        <f>IF(LL9&gt;70%,"",IF(LM9="","",IF(LO9&gt;0,LO9,IF(LQ9&gt;0,LQ9))))</f>
        <v>D</v>
      </c>
      <c r="LS7" s="221"/>
      <c r="LT7" s="162"/>
      <c r="LU7" s="162"/>
      <c r="LV7" s="162"/>
      <c r="LW7" s="162"/>
      <c r="LX7" s="108"/>
      <c r="LY7" s="108"/>
      <c r="LZ7" s="108"/>
      <c r="MA7" s="108"/>
      <c r="MB7" s="108"/>
      <c r="MC7" s="108"/>
      <c r="MD7" s="108"/>
      <c r="ME7" s="1193"/>
      <c r="MF7" s="223" t="s">
        <v>70</v>
      </c>
      <c r="MG7" s="701" t="s">
        <v>71</v>
      </c>
      <c r="MH7" s="701" t="s">
        <v>72</v>
      </c>
      <c r="MI7" s="224" t="s">
        <v>73</v>
      </c>
      <c r="MJ7" s="224" t="s">
        <v>74</v>
      </c>
      <c r="MK7" s="224" t="s">
        <v>75</v>
      </c>
      <c r="ML7" s="224" t="s">
        <v>76</v>
      </c>
      <c r="MM7" s="224" t="s">
        <v>77</v>
      </c>
      <c r="MN7" s="225">
        <v>4</v>
      </c>
      <c r="MO7" s="225">
        <v>10</v>
      </c>
      <c r="MP7" s="225">
        <v>40</v>
      </c>
      <c r="MQ7" s="225">
        <v>200</v>
      </c>
      <c r="MR7" s="225">
        <v>270</v>
      </c>
      <c r="MS7" s="224" t="s">
        <v>78</v>
      </c>
      <c r="MT7" s="224" t="s">
        <v>79</v>
      </c>
      <c r="MU7" s="224" t="s">
        <v>80</v>
      </c>
      <c r="MV7" s="224" t="s">
        <v>81</v>
      </c>
      <c r="MW7" s="224" t="s">
        <v>82</v>
      </c>
      <c r="MX7" s="224" t="s">
        <v>83</v>
      </c>
      <c r="MY7" s="224" t="s">
        <v>48</v>
      </c>
      <c r="MZ7" s="226" t="s">
        <v>84</v>
      </c>
      <c r="NA7" s="226" t="s">
        <v>85</v>
      </c>
      <c r="NB7" s="226" t="s">
        <v>86</v>
      </c>
      <c r="NC7" s="226" t="s">
        <v>87</v>
      </c>
      <c r="ND7" s="226" t="s">
        <v>84</v>
      </c>
      <c r="NE7" s="226" t="s">
        <v>85</v>
      </c>
      <c r="NF7" s="226" t="s">
        <v>88</v>
      </c>
      <c r="NG7" s="226" t="s">
        <v>84</v>
      </c>
      <c r="NH7" s="226" t="s">
        <v>85</v>
      </c>
      <c r="NI7" s="226" t="s">
        <v>89</v>
      </c>
      <c r="NJ7" s="226" t="s">
        <v>90</v>
      </c>
      <c r="NK7" s="226" t="s">
        <v>84</v>
      </c>
      <c r="NL7" s="226" t="s">
        <v>85</v>
      </c>
      <c r="NM7" s="226" t="s">
        <v>89</v>
      </c>
      <c r="NN7" s="226" t="s">
        <v>90</v>
      </c>
      <c r="NO7" s="226" t="s">
        <v>84</v>
      </c>
      <c r="NP7" s="226" t="s">
        <v>85</v>
      </c>
      <c r="NQ7" s="226" t="s">
        <v>89</v>
      </c>
      <c r="NR7" s="226" t="s">
        <v>90</v>
      </c>
      <c r="NS7" s="226" t="s">
        <v>84</v>
      </c>
      <c r="NT7" s="226" t="s">
        <v>85</v>
      </c>
      <c r="NU7" s="226" t="s">
        <v>89</v>
      </c>
      <c r="NV7" s="226" t="s">
        <v>90</v>
      </c>
      <c r="NW7" s="226" t="s">
        <v>84</v>
      </c>
      <c r="NX7" s="226" t="s">
        <v>85</v>
      </c>
      <c r="NY7" s="226" t="s">
        <v>89</v>
      </c>
      <c r="NZ7" s="226" t="s">
        <v>90</v>
      </c>
      <c r="OA7" s="226" t="s">
        <v>84</v>
      </c>
      <c r="OB7" s="226" t="s">
        <v>85</v>
      </c>
      <c r="OC7" s="226" t="s">
        <v>89</v>
      </c>
      <c r="OD7" s="1194" t="s">
        <v>90</v>
      </c>
      <c r="OE7" s="226"/>
      <c r="OF7" s="132"/>
      <c r="OG7" s="132"/>
      <c r="OH7" s="132"/>
    </row>
    <row r="8" spans="1:398" s="56" customFormat="1" ht="15" customHeight="1" x14ac:dyDescent="0.3">
      <c r="A8" s="1337"/>
      <c r="B8" s="723" t="s">
        <v>91</v>
      </c>
      <c r="C8" s="666" t="s">
        <v>92</v>
      </c>
      <c r="D8" s="1360"/>
      <c r="E8" s="1361"/>
      <c r="F8" s="1370"/>
      <c r="G8" s="726" t="s">
        <v>93</v>
      </c>
      <c r="H8" s="665"/>
      <c r="I8" s="735" t="s">
        <v>94</v>
      </c>
      <c r="J8" s="736"/>
      <c r="K8" s="736"/>
      <c r="L8" s="736"/>
      <c r="M8" s="736"/>
      <c r="N8" s="736"/>
      <c r="O8" s="736"/>
      <c r="P8" s="671">
        <v>185.17</v>
      </c>
      <c r="Q8" s="672">
        <v>200</v>
      </c>
      <c r="R8" s="671"/>
      <c r="S8" s="672"/>
      <c r="T8" s="1181">
        <f>IF(U8="","",3)</f>
        <v>3</v>
      </c>
      <c r="U8" s="728">
        <f>IF(L10="","",L10)</f>
        <v>46</v>
      </c>
      <c r="V8" s="737"/>
      <c r="W8" s="1372" t="s">
        <v>95</v>
      </c>
      <c r="X8" s="1373"/>
      <c r="Y8" s="737"/>
      <c r="Z8" s="673">
        <v>1</v>
      </c>
      <c r="AA8" s="673">
        <v>1</v>
      </c>
      <c r="AB8" s="673">
        <v>1</v>
      </c>
      <c r="AC8" s="673">
        <v>1.06</v>
      </c>
      <c r="AD8" s="676">
        <v>201</v>
      </c>
      <c r="AE8" s="675">
        <v>421</v>
      </c>
      <c r="AF8" s="675">
        <v>622</v>
      </c>
      <c r="AG8" s="675">
        <v>732</v>
      </c>
      <c r="AH8" s="675">
        <v>915</v>
      </c>
      <c r="AI8" s="675">
        <v>1098</v>
      </c>
      <c r="AJ8" s="675">
        <v>1263</v>
      </c>
      <c r="AK8" s="675">
        <v>1391</v>
      </c>
      <c r="AL8" s="1356"/>
      <c r="AM8" s="739" t="s">
        <v>96</v>
      </c>
      <c r="AN8" s="740"/>
      <c r="AO8" s="740"/>
      <c r="AP8" s="740"/>
      <c r="AQ8" s="740"/>
      <c r="AR8" s="592"/>
      <c r="AS8" s="1359"/>
      <c r="AT8" s="1331"/>
      <c r="AU8" s="1333"/>
      <c r="AV8" s="1333"/>
      <c r="AW8" s="1333"/>
      <c r="AX8" s="1333"/>
      <c r="AY8" s="1333"/>
      <c r="AZ8" s="738">
        <v>50.8</v>
      </c>
      <c r="BA8" s="738">
        <v>38.1</v>
      </c>
      <c r="BB8" s="738">
        <v>25.4</v>
      </c>
      <c r="BC8" s="738">
        <v>19.100000000000001</v>
      </c>
      <c r="BD8" s="738">
        <v>9.52</v>
      </c>
      <c r="BE8" s="738">
        <v>4.76</v>
      </c>
      <c r="BF8" s="738">
        <v>2</v>
      </c>
      <c r="BG8" s="1335"/>
      <c r="BH8" s="1335"/>
      <c r="BI8" s="738">
        <v>0.42</v>
      </c>
      <c r="BJ8" s="738">
        <v>0.14899999999999999</v>
      </c>
      <c r="BK8" s="738">
        <v>7.3999999999999996E-2</v>
      </c>
      <c r="BL8" s="1320"/>
      <c r="BM8" s="1307"/>
      <c r="BN8" s="62" t="s">
        <v>97</v>
      </c>
      <c r="BO8" s="67" t="str">
        <f t="shared" ref="BO8:BV8" si="45">IF(ISNUMBER(BO7),BO5/BO7,"")</f>
        <v/>
      </c>
      <c r="BP8" s="67" t="str">
        <f t="shared" si="45"/>
        <v/>
      </c>
      <c r="BQ8" s="67" t="str">
        <f t="shared" si="45"/>
        <v/>
      </c>
      <c r="BR8" s="67" t="str">
        <f t="shared" si="45"/>
        <v/>
      </c>
      <c r="BS8" s="67" t="str">
        <f t="shared" si="45"/>
        <v/>
      </c>
      <c r="BT8" s="67" t="str">
        <f t="shared" si="45"/>
        <v/>
      </c>
      <c r="BU8" s="67">
        <f t="shared" si="45"/>
        <v>8.5677034829578693E-3</v>
      </c>
      <c r="BV8" s="67">
        <f t="shared" si="45"/>
        <v>9.5037529024244883E-3</v>
      </c>
      <c r="BW8" s="1310"/>
      <c r="BX8" s="62" t="s">
        <v>98</v>
      </c>
      <c r="BY8" s="68">
        <f t="shared" ref="BY8:CD8" si="46">IF(J11&lt;&gt;0,J11-BY6,"")</f>
        <v>4045</v>
      </c>
      <c r="BZ8" s="68">
        <f t="shared" si="46"/>
        <v>4367</v>
      </c>
      <c r="CA8" s="68">
        <f t="shared" si="46"/>
        <v>4820</v>
      </c>
      <c r="CB8" s="68">
        <f t="shared" si="46"/>
        <v>4925</v>
      </c>
      <c r="CC8" s="68">
        <f t="shared" si="46"/>
        <v>4470</v>
      </c>
      <c r="CD8" s="68" t="str">
        <f t="shared" si="46"/>
        <v/>
      </c>
      <c r="CE8" s="77">
        <f t="shared" ref="CE8:CJ8" si="47">IF(ISNUMBER(CE5),CE5-$CK5,"")</f>
        <v>-3.0271071845780734E-2</v>
      </c>
      <c r="CF8" s="77">
        <f t="shared" si="47"/>
        <v>-1.5135535922890367E-2</v>
      </c>
      <c r="CG8" s="77">
        <f t="shared" si="47"/>
        <v>0</v>
      </c>
      <c r="CH8" s="77">
        <f t="shared" si="47"/>
        <v>1.5135535922890367E-2</v>
      </c>
      <c r="CI8" s="77">
        <f t="shared" si="47"/>
        <v>3.0271071845780734E-2</v>
      </c>
      <c r="CJ8" s="77" t="str">
        <f t="shared" si="47"/>
        <v/>
      </c>
      <c r="CK8" s="76"/>
      <c r="CL8" s="75">
        <f t="shared" ref="CL8:CQ8" si="48">IF(ISERROR(CE9*CE10),"",CE9*CE10)</f>
        <v>0.49157077923021081</v>
      </c>
      <c r="CM8" s="75">
        <f t="shared" si="48"/>
        <v>0.10323492507360192</v>
      </c>
      <c r="CN8" s="75">
        <f t="shared" si="48"/>
        <v>-7.8502400257920352E-2</v>
      </c>
      <c r="CO8" s="75">
        <f t="shared" si="48"/>
        <v>0.21495922697974401</v>
      </c>
      <c r="CP8" s="75">
        <f t="shared" si="48"/>
        <v>-0.34743007346578714</v>
      </c>
      <c r="CQ8" s="75" t="str">
        <f t="shared" si="48"/>
        <v/>
      </c>
      <c r="CR8" s="65">
        <f>SUM(CL8:CQ8)</f>
        <v>0.38383245755984929</v>
      </c>
      <c r="CS8" s="74"/>
      <c r="CT8" s="63"/>
      <c r="CU8" s="105" t="str">
        <f>IF(ISNUMBER(CU7),CU5/CU7,"")</f>
        <v/>
      </c>
      <c r="CV8" s="105" t="str">
        <f>IF(ISNUMBER(CV7),CV5/CV7,"")</f>
        <v/>
      </c>
      <c r="CW8" s="1313"/>
      <c r="CX8" s="124" t="str">
        <f>IF(ISNUMBER(CX6),CX5-DF5,"")</f>
        <v/>
      </c>
      <c r="CY8" s="117" t="str">
        <f>IF(ISNUMBER(CY6),CY5-DF5,"")</f>
        <v/>
      </c>
      <c r="CZ8" s="117" t="str">
        <f>IF(ISNUMBER(CZ6),CZ5-DF5,"")</f>
        <v/>
      </c>
      <c r="DA8" s="117" t="str">
        <f>IF(ISNUMBER(DA6),DA5-DF5,"")</f>
        <v/>
      </c>
      <c r="DB8" s="117" t="str">
        <f>IF(ISNUMBER(DB6),DB5-DF5,"")</f>
        <v/>
      </c>
      <c r="DC8" s="117" t="str">
        <f>IF(ISNUMBER(DC6),DC5-DF5,"")</f>
        <v/>
      </c>
      <c r="DD8" s="117" t="str">
        <f>IF(ISNUMBER(DD6),DD5-DF5,"")</f>
        <v/>
      </c>
      <c r="DE8" s="117" t="str">
        <f>IF(ISNUMBER(DE6),DE5-DF5,"")</f>
        <v/>
      </c>
      <c r="DF8" s="720" t="str">
        <f>IF(CX8&lt;&gt;"",SUM(CX8:DE8),"")</f>
        <v/>
      </c>
      <c r="DG8" s="119" t="str">
        <f t="shared" ref="DG8:DN8" si="49">IF(ISERROR(CX8*CX10),"",CX8*CX10)</f>
        <v/>
      </c>
      <c r="DH8" s="119" t="str">
        <f t="shared" si="49"/>
        <v/>
      </c>
      <c r="DI8" s="119" t="str">
        <f t="shared" si="49"/>
        <v/>
      </c>
      <c r="DJ8" s="119" t="str">
        <f t="shared" si="49"/>
        <v/>
      </c>
      <c r="DK8" s="119" t="str">
        <f t="shared" si="49"/>
        <v/>
      </c>
      <c r="DL8" s="119" t="str">
        <f t="shared" si="49"/>
        <v/>
      </c>
      <c r="DM8" s="119" t="str">
        <f t="shared" si="49"/>
        <v/>
      </c>
      <c r="DN8" s="119" t="str">
        <f t="shared" si="49"/>
        <v/>
      </c>
      <c r="DO8" s="119" t="str">
        <f>IF(DG8&lt;&gt;"",SUM(DG8:DN8),"")</f>
        <v/>
      </c>
      <c r="DP8" s="119" t="str">
        <f>IF(DP6="","",IF(DP6&gt;0,(DJ9*DP7)+DJ10,-1))</f>
        <v/>
      </c>
      <c r="DQ8" s="119" t="str">
        <f>IF(DP6="","",IF(DP6&gt;0,(DJ9*DQ7)+DJ10,-1))</f>
        <v/>
      </c>
      <c r="DR8" s="119" t="str">
        <f>IF(DP6="","",IF(DP6&gt;0,(DJ9*DR7)+DJ10,-1))</f>
        <v/>
      </c>
      <c r="DS8" s="119" t="str">
        <f>IF(DP6="","",IF(DP6&gt;0,(DJ9*DS7)+DJ10,-1))</f>
        <v/>
      </c>
      <c r="DT8" s="119" t="str">
        <f>IF(DP6="","",IF(DP6&gt;0,(DJ9*DT7)+DJ10,-1))</f>
        <v/>
      </c>
      <c r="DU8" s="119" t="str">
        <f>IF(DP6="","",IF(DP6&gt;0,(DJ9*DU7)+DJ10,-1))</f>
        <v/>
      </c>
      <c r="DV8" s="119" t="str">
        <f>IF(DP6="","",IF(DP6&gt;0,(DJ9*DV7)+DJ10,-1))</f>
        <v/>
      </c>
      <c r="DW8" s="119" t="str">
        <f>IF(DP6="","",IF(DP6&gt;0,(DJ9*DW7)+DJ10,-1))</f>
        <v/>
      </c>
      <c r="DX8" s="1182" t="str">
        <f>IF(DP6="","",IF(DP6&gt;0,(DJ9*DX7)+DJ10,-1))</f>
        <v/>
      </c>
      <c r="DY8" s="124">
        <f>IF(ISNUMBER(DY6),DY5-EG5,"")</f>
        <v>-3.02</v>
      </c>
      <c r="DZ8" s="117">
        <f>IF(ISNUMBER(DZ6),DZ5-EG5,"")</f>
        <v>-2.38</v>
      </c>
      <c r="EA8" s="117">
        <f>IF(ISNUMBER(EA6),EA5-EG5,"")</f>
        <v>-1.75</v>
      </c>
      <c r="EB8" s="117">
        <f>IF(ISNUMBER(EB6),EB5-EG5,"")</f>
        <v>-1.1099999999999999</v>
      </c>
      <c r="EC8" s="117">
        <f>IF(ISNUMBER(EC6),EC5-EG5,"")</f>
        <v>0.16000000000000014</v>
      </c>
      <c r="ED8" s="117">
        <f>IF(ISNUMBER(ED6),ED5-EG5,"")</f>
        <v>1.4300000000000002</v>
      </c>
      <c r="EE8" s="117">
        <f>IF(ISNUMBER(EE6),EE5-EG5,"")</f>
        <v>2.6999999999999997</v>
      </c>
      <c r="EF8" s="117">
        <f>IF(ISNUMBER(EF6),EF5-EG5,"")</f>
        <v>3.97</v>
      </c>
      <c r="EG8" s="118">
        <f>IF(DY8&lt;&gt;"",SUM(DY8:EF8),"")</f>
        <v>0</v>
      </c>
      <c r="EH8" s="119">
        <f t="shared" ref="EH8:EO8" si="50">IF(ISERROR(DY8*DY10),"",DY8*DY10)</f>
        <v>55.721114000000007</v>
      </c>
      <c r="EI8" s="119">
        <f t="shared" si="50"/>
        <v>41.018585999999999</v>
      </c>
      <c r="EJ8" s="119">
        <f t="shared" si="50"/>
        <v>26.665800000000001</v>
      </c>
      <c r="EK8" s="119">
        <f t="shared" si="50"/>
        <v>13.759559999999999</v>
      </c>
      <c r="EL8" s="119">
        <f t="shared" si="50"/>
        <v>-0.69304000000000066</v>
      </c>
      <c r="EM8" s="119">
        <f t="shared" si="50"/>
        <v>9.9510840000000016</v>
      </c>
      <c r="EN8" s="119">
        <f t="shared" si="50"/>
        <v>57.982229999999987</v>
      </c>
      <c r="EO8" s="119">
        <f t="shared" si="50"/>
        <v>155.690696</v>
      </c>
      <c r="EP8" s="119">
        <f>IF(EH8&lt;&gt;"",SUM(EH8:EO8),"")</f>
        <v>360.09603000000004</v>
      </c>
      <c r="EQ8" s="119">
        <f>IF(EQ6="","",IF(EQ6&gt;0,(EK9*EQ7)+EK10,-1))</f>
        <v>-1</v>
      </c>
      <c r="ER8" s="119">
        <f>IF(EQ6="","",IF(EQ6&gt;0,(EK9*ER7)+EK10,-1))</f>
        <v>-1</v>
      </c>
      <c r="ES8" s="119">
        <f>IF(EQ6="","",IF(EQ6&gt;0,(EK9*ES7)+EK10,-1))</f>
        <v>-1</v>
      </c>
      <c r="ET8" s="119">
        <f>IF(EQ6="","",IF(EQ6&gt;0,(EK9*ET7)+EK10,-1))</f>
        <v>-1</v>
      </c>
      <c r="EU8" s="119">
        <f>IF(EQ6="","",IF(EQ6&gt;0,(EK9*EU7)+EK10,-1))</f>
        <v>-1</v>
      </c>
      <c r="EV8" s="119">
        <f>IF(EQ6="","",IF(EQ6&gt;0,(EK9*EV7)+EK10,-1))</f>
        <v>-1</v>
      </c>
      <c r="EW8" s="119">
        <f>IF(EQ6="","",IF(EQ6&gt;0,(EK9*EW7)+EK10,-1))</f>
        <v>-1</v>
      </c>
      <c r="EX8" s="119">
        <f>IF(EQ6="","",IF(EQ6&gt;0,(EK9*EX7)+EK10,-1))</f>
        <v>-1</v>
      </c>
      <c r="EY8" s="1182">
        <f>IF(EQ6="","",IF(EQ6&gt;0,(EK9*EY7)+EK10,-1))</f>
        <v>-1</v>
      </c>
      <c r="EZ8" s="124">
        <f>IF(ISNUMBER(EZ6),EZ5-FH5,"")</f>
        <v>-3.02</v>
      </c>
      <c r="FA8" s="117">
        <f>IF(ISNUMBER(FA6),FA5-FH5,"")</f>
        <v>-2.38</v>
      </c>
      <c r="FB8" s="117">
        <f>IF(ISNUMBER(FB6),FB5-FH5,"")</f>
        <v>-1.75</v>
      </c>
      <c r="FC8" s="117">
        <f>IF(ISNUMBER(FC6),FC5-FH5,"")</f>
        <v>-1.1099999999999999</v>
      </c>
      <c r="FD8" s="117">
        <f>IF(ISNUMBER(FD6),FD5-FH5,"")</f>
        <v>0.16000000000000014</v>
      </c>
      <c r="FE8" s="117">
        <f>IF(ISNUMBER(FE6),FE5-FH5,"")</f>
        <v>1.4300000000000002</v>
      </c>
      <c r="FF8" s="117">
        <f>IF(ISNUMBER(FF6),FF5-FH5,"")</f>
        <v>2.6999999999999997</v>
      </c>
      <c r="FG8" s="117">
        <f>IF(ISNUMBER(FG6),FG5-FH5,"")</f>
        <v>3.97</v>
      </c>
      <c r="FH8" s="118">
        <f>IF(EZ8&lt;&gt;"",SUM(EZ8:FG8),"")</f>
        <v>0</v>
      </c>
      <c r="FI8" s="119">
        <f t="shared" ref="FI8:FP8" si="51">IF(ISERROR(EZ8*EZ10),"",EZ8*EZ10)</f>
        <v>55.721114000000007</v>
      </c>
      <c r="FJ8" s="119">
        <f t="shared" si="51"/>
        <v>41.018585999999999</v>
      </c>
      <c r="FK8" s="119">
        <f t="shared" si="51"/>
        <v>26.665800000000001</v>
      </c>
      <c r="FL8" s="119">
        <f t="shared" si="51"/>
        <v>13.759559999999999</v>
      </c>
      <c r="FM8" s="119">
        <f t="shared" si="51"/>
        <v>-0.69304000000000066</v>
      </c>
      <c r="FN8" s="119">
        <f t="shared" si="51"/>
        <v>9.9510840000000016</v>
      </c>
      <c r="FO8" s="119">
        <f t="shared" si="51"/>
        <v>57.982229999999987</v>
      </c>
      <c r="FP8" s="119">
        <f t="shared" si="51"/>
        <v>155.690696</v>
      </c>
      <c r="FQ8" s="119">
        <f>IF(FI8&lt;&gt;"",SUM(FI8:FP8),"")</f>
        <v>360.09603000000004</v>
      </c>
      <c r="FR8" s="119">
        <f>IF(FR6="","",IF(FR6&gt;0,(FL9*FR7)+FL10,-1))</f>
        <v>-1</v>
      </c>
      <c r="FS8" s="119">
        <f>IF(FR6="","",IF(FR6&gt;0,(FL9*FS7)+FL10,-1))</f>
        <v>-1</v>
      </c>
      <c r="FT8" s="119">
        <f>IF(FR6="","",IF(FR6&gt;0,(FL9*FT7)+FL10,-1))</f>
        <v>-1</v>
      </c>
      <c r="FU8" s="119">
        <f>IF(FR6="","",IF(FR6&gt;0,(FL9*FU7)+FL10,-1))</f>
        <v>-1</v>
      </c>
      <c r="FV8" s="119">
        <f>IF(FR6="","",IF(FR6&gt;0,(FL9*FV7)+FL10,-1))</f>
        <v>-1</v>
      </c>
      <c r="FW8" s="119">
        <f>IF(FR6="","",IF(FR6&gt;0,(FL9*FW7)+FL10,-1))</f>
        <v>-1</v>
      </c>
      <c r="FX8" s="119">
        <f>IF(FR6="","",IF(FR6&gt;0,(FL9*FX7)+FL10,-1))</f>
        <v>-1</v>
      </c>
      <c r="FY8" s="119">
        <f>IF(FR6="","",IF(FR6&gt;0,(FL9*FY7)+FL10,-1))</f>
        <v>-1</v>
      </c>
      <c r="FZ8" s="1182">
        <f>IF(FR6="","",IF(FR6&gt;0,(FL9*FZ7)+FL10,-1))</f>
        <v>-1</v>
      </c>
      <c r="GA8" s="124">
        <f>IF(ISNUMBER(GA6),GA5-GI5,"")</f>
        <v>-3.02</v>
      </c>
      <c r="GB8" s="117">
        <f>IF(ISNUMBER(GB6),GB5-GI5,"")</f>
        <v>-2.38</v>
      </c>
      <c r="GC8" s="117">
        <f>IF(ISNUMBER(GC6),GC5-GI5,"")</f>
        <v>-1.75</v>
      </c>
      <c r="GD8" s="117">
        <f>IF(ISNUMBER(GD6),GD5-GI5,"")</f>
        <v>-1.1099999999999999</v>
      </c>
      <c r="GE8" s="117">
        <f>IF(ISNUMBER(GE6),GE5-GI5,"")</f>
        <v>0.16000000000000014</v>
      </c>
      <c r="GF8" s="117">
        <f>IF(ISNUMBER(GF6),GF5-GI5,"")</f>
        <v>1.4300000000000002</v>
      </c>
      <c r="GG8" s="117">
        <f>IF(ISNUMBER(GG6),GG5-GI5,"")</f>
        <v>2.6999999999999997</v>
      </c>
      <c r="GH8" s="117">
        <f>IF(ISNUMBER(GH6),GH5-GI5,"")</f>
        <v>3.97</v>
      </c>
      <c r="GI8" s="118">
        <f>IF(GA8&lt;&gt;"",SUM(GA8:GH8),"")</f>
        <v>0</v>
      </c>
      <c r="GJ8" s="119">
        <f t="shared" ref="GJ8:GQ8" si="52">IF(ISERROR(GA8*GA10),"",GA8*GA10)</f>
        <v>55.721114000000007</v>
      </c>
      <c r="GK8" s="119">
        <f t="shared" si="52"/>
        <v>41.018585999999999</v>
      </c>
      <c r="GL8" s="119">
        <f t="shared" si="52"/>
        <v>26.665800000000001</v>
      </c>
      <c r="GM8" s="119">
        <f t="shared" si="52"/>
        <v>13.759559999999999</v>
      </c>
      <c r="GN8" s="119">
        <f t="shared" si="52"/>
        <v>-0.69304000000000066</v>
      </c>
      <c r="GO8" s="119">
        <f t="shared" si="52"/>
        <v>9.9510840000000016</v>
      </c>
      <c r="GP8" s="119">
        <f t="shared" si="52"/>
        <v>57.982229999999987</v>
      </c>
      <c r="GQ8" s="119">
        <f t="shared" si="52"/>
        <v>155.690696</v>
      </c>
      <c r="GR8" s="119">
        <f>IF(GJ8&lt;&gt;"",SUM(GJ8:GQ8),"")</f>
        <v>360.09603000000004</v>
      </c>
      <c r="GS8" s="119">
        <f>IF(GS6="","",IF(GS6&gt;0,(GM9*GS7)+GM10,-1))</f>
        <v>-1</v>
      </c>
      <c r="GT8" s="119">
        <f>IF(GS6="","",IF(GS6&gt;0,(GM9*GT7)+GM10,-1))</f>
        <v>-1</v>
      </c>
      <c r="GU8" s="119">
        <f>IF(GS6="","",IF(GS6&gt;0,(GM9*GU7)+GM10,-1))</f>
        <v>-1</v>
      </c>
      <c r="GV8" s="119">
        <f>IF(GS6="","",IF(GS6&gt;0,(GM9*GV7)+GM10,-1))</f>
        <v>-1</v>
      </c>
      <c r="GW8" s="119">
        <f>IF(GS6="","",IF(GS6&gt;0,(GM9*GW7)+GM10,-1))</f>
        <v>-1</v>
      </c>
      <c r="GX8" s="119">
        <f>IF(GS6="","",IF(GS6&gt;0,(GM9*GX7)+GM10,-1))</f>
        <v>-1</v>
      </c>
      <c r="GY8" s="119">
        <f>IF(GS6="","",IF(GS6&gt;0,(GM9*GY7)+GM10,-1))</f>
        <v>-1</v>
      </c>
      <c r="GZ8" s="119">
        <f>IF(GS6="","",IF(GS6&gt;0,(GM9*GZ7)+GM10,-1))</f>
        <v>-1</v>
      </c>
      <c r="HA8" s="1182">
        <f>IF(GS6="","",IF(GS6&gt;0,(GM9*HA7)+GM10,-1))</f>
        <v>-1</v>
      </c>
      <c r="HB8" s="124" t="str">
        <f>IF(ISNUMBER(HB6),HB5-HJ5,"")</f>
        <v/>
      </c>
      <c r="HC8" s="117" t="str">
        <f>IF(ISNUMBER(HC6),HC5-HJ5,"")</f>
        <v/>
      </c>
      <c r="HD8" s="117" t="str">
        <f>IF(ISNUMBER(HD6),HD5-HJ5,"")</f>
        <v/>
      </c>
      <c r="HE8" s="117" t="str">
        <f>IF(ISNUMBER(HE6),HE5-HJ5,"")</f>
        <v/>
      </c>
      <c r="HF8" s="117" t="str">
        <f>IF(ISNUMBER(HF6),HF5-HJ5,"")</f>
        <v/>
      </c>
      <c r="HG8" s="117" t="str">
        <f>IF(ISNUMBER(HG6),HG5-HJ5,"")</f>
        <v/>
      </c>
      <c r="HH8" s="117" t="str">
        <f>IF(ISNUMBER(HH6),HH5-HJ5,"")</f>
        <v/>
      </c>
      <c r="HI8" s="117" t="str">
        <f>IF(ISNUMBER(HI6),HI5-HJ5,"")</f>
        <v/>
      </c>
      <c r="HJ8" s="118" t="str">
        <f>IF(HB8&lt;&gt;"",SUM(HB8:HI8),"")</f>
        <v/>
      </c>
      <c r="HK8" s="119" t="str">
        <f t="shared" ref="HK8:HR8" si="53">IF(ISERROR(HB8*HB10),"",HB8*HB10)</f>
        <v/>
      </c>
      <c r="HL8" s="119" t="str">
        <f t="shared" si="53"/>
        <v/>
      </c>
      <c r="HM8" s="119" t="str">
        <f t="shared" si="53"/>
        <v/>
      </c>
      <c r="HN8" s="119" t="str">
        <f t="shared" si="53"/>
        <v/>
      </c>
      <c r="HO8" s="119" t="str">
        <f t="shared" si="53"/>
        <v/>
      </c>
      <c r="HP8" s="119" t="str">
        <f t="shared" si="53"/>
        <v/>
      </c>
      <c r="HQ8" s="119" t="str">
        <f t="shared" si="53"/>
        <v/>
      </c>
      <c r="HR8" s="119" t="str">
        <f t="shared" si="53"/>
        <v/>
      </c>
      <c r="HS8" s="119" t="str">
        <f>IF(HK8&lt;&gt;"",SUM(HK8:HR8),"")</f>
        <v/>
      </c>
      <c r="HT8" s="119" t="str">
        <f>IF(HT6="","",IF(HT6&gt;0,(HN9*HT7)+HN10,-1))</f>
        <v/>
      </c>
      <c r="HU8" s="119" t="str">
        <f>IF(HT6="","",IF(HT6&gt;0,(HN9*HU7)+HN10,-1))</f>
        <v/>
      </c>
      <c r="HV8" s="119" t="str">
        <f>IF(HT6="","",IF(HT6&gt;0,(HN9*HV7)+HN10,-1))</f>
        <v/>
      </c>
      <c r="HW8" s="119" t="str">
        <f>IF(HT6="","",IF(HT6&gt;0,(HN9*HW7)+HN10,-1))</f>
        <v/>
      </c>
      <c r="HX8" s="119" t="str">
        <f>IF(HT6="","",IF(HT6&gt;0,(HN9*HX7)+HN10,-1))</f>
        <v/>
      </c>
      <c r="HY8" s="119" t="str">
        <f>IF(HT6="","",IF(HT6&gt;0,(HN9*HY7)+HN10,-1))</f>
        <v/>
      </c>
      <c r="HZ8" s="119" t="str">
        <f>IF(HT6="","",IF(HT6&gt;0,(HN9*HZ7)+HN10,-1))</f>
        <v/>
      </c>
      <c r="IA8" s="119" t="str">
        <f>IF(HT6="","",IF(HT6&gt;0,(HN9*IA7)+HN10,-1))</f>
        <v/>
      </c>
      <c r="IB8" s="1182" t="str">
        <f>IF(HT6="","",IF(HT6&gt;0,(HN9*IB7)+HN10,-1))</f>
        <v/>
      </c>
      <c r="IC8" s="124" t="str">
        <f>IF(ISNUMBER(IC6),IC5-IK5,"")</f>
        <v/>
      </c>
      <c r="ID8" s="117" t="str">
        <f>IF(ISNUMBER(ID6),ID5-IK5,"")</f>
        <v/>
      </c>
      <c r="IE8" s="117" t="str">
        <f>IF(ISNUMBER(IE6),IE5-IK5,"")</f>
        <v/>
      </c>
      <c r="IF8" s="117" t="str">
        <f>IF(ISNUMBER(IF6),IF5-IK5,"")</f>
        <v/>
      </c>
      <c r="IG8" s="117" t="str">
        <f>IF(ISNUMBER(IG6),IG5-IK5,"")</f>
        <v/>
      </c>
      <c r="IH8" s="117" t="str">
        <f>IF(ISNUMBER(IH6),IH5-IK5,"")</f>
        <v/>
      </c>
      <c r="II8" s="117" t="str">
        <f>IF(ISNUMBER(II6),II5-IK5,"")</f>
        <v/>
      </c>
      <c r="IJ8" s="117" t="str">
        <f>IF(ISNUMBER(IJ6),IJ5-IK5,"")</f>
        <v/>
      </c>
      <c r="IK8" s="118" t="str">
        <f>IF(IC8&lt;&gt;"",SUM(IC8:IJ8),"")</f>
        <v/>
      </c>
      <c r="IL8" s="119" t="str">
        <f t="shared" ref="IL8:IS8" si="54">IF(ISERROR(IC8*IC10),"",IC8*IC10)</f>
        <v/>
      </c>
      <c r="IM8" s="119" t="str">
        <f t="shared" si="54"/>
        <v/>
      </c>
      <c r="IN8" s="119" t="str">
        <f t="shared" si="54"/>
        <v/>
      </c>
      <c r="IO8" s="119" t="str">
        <f t="shared" si="54"/>
        <v/>
      </c>
      <c r="IP8" s="119" t="str">
        <f t="shared" si="54"/>
        <v/>
      </c>
      <c r="IQ8" s="119" t="str">
        <f t="shared" si="54"/>
        <v/>
      </c>
      <c r="IR8" s="119" t="str">
        <f t="shared" si="54"/>
        <v/>
      </c>
      <c r="IS8" s="119" t="str">
        <f t="shared" si="54"/>
        <v/>
      </c>
      <c r="IT8" s="119" t="str">
        <f>IF(IL8&lt;&gt;"",SUM(IL8:IS8),"")</f>
        <v/>
      </c>
      <c r="IU8" s="119" t="str">
        <f>IF(IU6="","",IF(IU6&gt;0,(IO9*IU7)+IO10,-1))</f>
        <v/>
      </c>
      <c r="IV8" s="119" t="str">
        <f>IF(IU6="","",IF(IU6&gt;0,(IO9*IV7)+IO10,-1))</f>
        <v/>
      </c>
      <c r="IW8" s="119" t="str">
        <f>IF(IU6="","",IF(IU6&gt;0,(IO9*IW7)+IO10,-1))</f>
        <v/>
      </c>
      <c r="IX8" s="119" t="str">
        <f>IF(IU6="","",IF(IU6&gt;0,(IO9*IX7)+IO10,-1))</f>
        <v/>
      </c>
      <c r="IY8" s="119" t="str">
        <f>IF(IU6="","",IF(IU6&gt;0,(IO9*IY7)+IO10,-1))</f>
        <v/>
      </c>
      <c r="IZ8" s="119" t="str">
        <f>IF(IU6="","",IF(IU6&gt;0,(IO9*IZ7)+IO10,-1))</f>
        <v/>
      </c>
      <c r="JA8" s="119" t="str">
        <f>IF(IU6="","",IF(IU6&gt;0,(IO9*JA7)+IO10,-1))</f>
        <v/>
      </c>
      <c r="JB8" s="119" t="str">
        <f>IF(IU6="","",IF(IU6&gt;0,(IO9*JB7)+IO10,-1))</f>
        <v/>
      </c>
      <c r="JC8" s="1182" t="str">
        <f>IF(IU6="","",IF(IU6&gt;0,(IO9*JC7)+IO10,-1))</f>
        <v/>
      </c>
      <c r="JD8" s="150">
        <f t="shared" si="9"/>
        <v>4</v>
      </c>
      <c r="JE8" s="77" t="str">
        <f t="shared" ref="JE8:JJ8" si="55">IF(ISNUMBER(JE5),JE5-$JK5,"")</f>
        <v/>
      </c>
      <c r="JF8" s="77">
        <f t="shared" si="55"/>
        <v>-1.5135535922890367E-2</v>
      </c>
      <c r="JG8" s="77">
        <f t="shared" si="55"/>
        <v>0</v>
      </c>
      <c r="JH8" s="77">
        <f t="shared" si="55"/>
        <v>1.5135535922890367E-2</v>
      </c>
      <c r="JI8" s="77" t="str">
        <f t="shared" si="55"/>
        <v/>
      </c>
      <c r="JJ8" s="77" t="str">
        <f t="shared" si="55"/>
        <v/>
      </c>
      <c r="JK8" s="76"/>
      <c r="JL8" s="75" t="str">
        <f t="shared" ref="JL8:JQ8" si="56">IF(ISERROR(JE9*JE10),"",JE9*JE10)</f>
        <v/>
      </c>
      <c r="JM8" s="75">
        <f t="shared" si="56"/>
        <v>3.4404613750305142</v>
      </c>
      <c r="JN8" s="75">
        <f t="shared" si="56"/>
        <v>-0.44278597781585488</v>
      </c>
      <c r="JO8" s="75">
        <f t="shared" si="56"/>
        <v>-1.1567385910187462</v>
      </c>
      <c r="JP8" s="75" t="str">
        <f t="shared" si="56"/>
        <v/>
      </c>
      <c r="JQ8" s="75" t="str">
        <f t="shared" si="56"/>
        <v/>
      </c>
      <c r="JR8" s="65">
        <f>SUM(JL8:JQ8)</f>
        <v>1.8409368061959133</v>
      </c>
      <c r="JS8" s="157" t="s">
        <v>99</v>
      </c>
      <c r="JT8" s="1195" t="s">
        <v>100</v>
      </c>
      <c r="JU8" s="123">
        <f>IF(T9&lt;&gt;0,LOOKUP(T9,Tara!$G$6:$G$185,Tara!$J$6:$J$185)/10,"")</f>
        <v>11.479000000000001</v>
      </c>
      <c r="JV8" s="116">
        <f t="shared" si="11"/>
        <v>5.0000000000000044E-2</v>
      </c>
      <c r="JW8" s="155">
        <f t="shared" si="12"/>
        <v>4.3557801202195347E-4</v>
      </c>
      <c r="JX8" s="77" t="str">
        <f t="shared" ref="JX8:KC8" si="57">IF(ISNUMBER(JX5),JX5-$JK5,"")</f>
        <v/>
      </c>
      <c r="JY8" s="77">
        <f t="shared" si="57"/>
        <v>-1.5135535922890367E-2</v>
      </c>
      <c r="JZ8" s="77">
        <f t="shared" si="57"/>
        <v>0</v>
      </c>
      <c r="KA8" s="77">
        <f t="shared" si="57"/>
        <v>1.5135535922890367E-2</v>
      </c>
      <c r="KB8" s="77" t="str">
        <f t="shared" si="57"/>
        <v/>
      </c>
      <c r="KC8" s="77" t="str">
        <f t="shared" si="57"/>
        <v/>
      </c>
      <c r="KD8" s="76"/>
      <c r="KE8" s="75" t="str">
        <f t="shared" ref="KE8:KJ8" si="58">IF(ISERROR(JX9*JX10),"",JX9*JX10)</f>
        <v/>
      </c>
      <c r="KF8" s="75">
        <f t="shared" si="58"/>
        <v>26.730082121475466</v>
      </c>
      <c r="KG8" s="75">
        <f t="shared" si="58"/>
        <v>2.6340104668223403</v>
      </c>
      <c r="KH8" s="75">
        <f t="shared" si="58"/>
        <v>-29.364242139870722</v>
      </c>
      <c r="KI8" s="75" t="str">
        <f t="shared" si="58"/>
        <v/>
      </c>
      <c r="KJ8" s="75" t="str">
        <f t="shared" si="58"/>
        <v/>
      </c>
      <c r="KK8" s="65">
        <f>SUM(KE8:KJ8)</f>
        <v>-1.4955157291751675E-4</v>
      </c>
      <c r="KL8" s="157" t="s">
        <v>99</v>
      </c>
      <c r="KM8" s="1195" t="s">
        <v>87</v>
      </c>
      <c r="KN8" s="168" t="str">
        <f t="shared" ref="KN8:KW8" si="59">IF(ISNUMBER(KN7),KN5/KN7,"")</f>
        <v/>
      </c>
      <c r="KO8" s="105" t="str">
        <f t="shared" si="59"/>
        <v/>
      </c>
      <c r="KP8" s="105" t="str">
        <f t="shared" si="59"/>
        <v/>
      </c>
      <c r="KQ8" s="105" t="str">
        <f t="shared" si="59"/>
        <v/>
      </c>
      <c r="KR8" s="1196" t="str">
        <f t="shared" si="59"/>
        <v/>
      </c>
      <c r="KS8" s="168" t="str">
        <f t="shared" si="59"/>
        <v/>
      </c>
      <c r="KT8" s="105" t="str">
        <f t="shared" si="59"/>
        <v/>
      </c>
      <c r="KU8" s="105" t="str">
        <f t="shared" si="59"/>
        <v/>
      </c>
      <c r="KV8" s="105" t="str">
        <f t="shared" si="59"/>
        <v/>
      </c>
      <c r="KW8" s="105" t="str">
        <f t="shared" si="59"/>
        <v/>
      </c>
      <c r="KX8" s="1197"/>
      <c r="KY8" s="196" t="str">
        <f>IF(AND(KY6&gt;0,ISNUMBER(KY6)),KY7/KY6,"")</f>
        <v/>
      </c>
      <c r="KZ8" s="1198" t="str">
        <f>IF(AND(KZ6&gt;0,ISNUMBER(KZ6)),KZ7/KZ6,"")</f>
        <v/>
      </c>
      <c r="LA8" s="598">
        <f>IF(LA5&lt;&gt;"",LA5/LA7*100,"")</f>
        <v>0</v>
      </c>
      <c r="LB8" s="702">
        <f>IF(LB5&lt;&gt;"",LB5/LB7*100,"")</f>
        <v>0</v>
      </c>
      <c r="LC8" s="120">
        <f>IF(LC6&lt;&gt;"",LC6-LC7,"")</f>
        <v>1325.7399999999998</v>
      </c>
      <c r="LD8" s="120">
        <f>IF(LD6&lt;&gt;"",LD6/(LA9+100)*100,"")</f>
        <v>153.66</v>
      </c>
      <c r="LE8" s="199"/>
      <c r="LF8" s="199"/>
      <c r="LG8" s="199"/>
      <c r="LH8" s="199"/>
      <c r="LI8" s="199"/>
      <c r="LJ8" s="199"/>
      <c r="LK8" s="199"/>
      <c r="LL8" s="200">
        <f>IF(LD6&lt;&gt;"",LL7/LD8,"")</f>
        <v>0.78712742418326165</v>
      </c>
      <c r="LM8" s="1199">
        <f>IF(LD6&lt;&gt;"",LM7/LD8,"")</f>
        <v>0.43238318365221917</v>
      </c>
      <c r="LN8" s="185" t="b">
        <f>IF(LM9="","",IF(AND(LG9&gt;=93%,LG9&lt;=100%,LI9&gt;=43%,LI9&lt;=92%,LJ9&gt;=30%,LJ9&lt;=70%,LK9&gt;=20%,LK9&lt;=55%,LL9&gt;=13%,LL9&lt;=32%,LM9&gt;=3%,LM9&lt;=17%),"Faixa C"))</f>
        <v>0</v>
      </c>
      <c r="LO8" s="180" t="str">
        <f>IF(LM9="","",IF(LN6="Faixa A","A",IF(LN7="Faixa B","B",IF(LN8="Faixa C","C",IF(LN9="Faixa D","D",IF(LO6="Faixa E","E",IF(LO7="Faixa F","F","")))))))</f>
        <v>D</v>
      </c>
      <c r="LP8" s="181"/>
      <c r="LQ8" s="181"/>
      <c r="LR8" s="1279"/>
      <c r="LS8" s="215">
        <v>4</v>
      </c>
      <c r="LT8" s="144">
        <f>IF(LJ9&lt;&gt;"",LJ9*100,"")</f>
        <v>65.427262625212848</v>
      </c>
      <c r="LU8" s="162" t="s">
        <v>101</v>
      </c>
      <c r="LV8" s="162" t="s">
        <v>102</v>
      </c>
      <c r="LW8" s="162" t="s">
        <v>103</v>
      </c>
      <c r="LX8" s="162" t="s">
        <v>104</v>
      </c>
      <c r="LY8" s="199" t="b">
        <f>IF(LG11&lt;LL11,"NP",AND(LU11=0,LO11&lt;=6,LT11&lt;=15,LT10&lt;=30,LT9&lt;=50))</f>
        <v>0</v>
      </c>
      <c r="LZ8" s="199" t="b">
        <f>IF(LH11&lt;LL11,"NP",AND(LU11=0,LO11&lt;=6,LT11&lt;=25,LT10&lt;=50))</f>
        <v>1</v>
      </c>
      <c r="MA8" s="199" t="b">
        <f>IF(LO11&lt;0,IF(MB8="NP",IF(LU11=0,IF(LT11&lt;=10,IF(LT10&gt;50,AND(LU11=0,LO11&lt;0,LT11&lt;=10,LT10&gt;50),"NP")))))</f>
        <v>0</v>
      </c>
      <c r="MB8" s="199" t="b">
        <f>IF(LH11&lt;LL11,"NP",AND(LU11=0,LO11&lt;=10,LH11&lt;=40,LT11&lt;35))</f>
        <v>1</v>
      </c>
      <c r="MC8" s="199" t="b">
        <f>IF(LH11&lt;LL11,"NP",AND(LU11=0,LO11&lt;=10,LH11&gt;40,LT11&lt;=35))</f>
        <v>0</v>
      </c>
      <c r="MD8" s="199" t="b">
        <f>IF(LH11&lt;LL11,"NP",AND(LU11&lt;=4,LO11&gt;10,LH11&lt;=40,LT11&lt;=35))</f>
        <v>0</v>
      </c>
      <c r="ME8" s="1200" t="b">
        <f>IF(LH11&lt;LL11,"NP",AND(LU11&lt;=4,LO11&gt;10,LH11&gt;40,LT11&lt;=35))</f>
        <v>0</v>
      </c>
      <c r="MF8" s="700"/>
      <c r="MG8" s="701"/>
      <c r="MH8" s="701"/>
      <c r="MI8" s="701"/>
      <c r="MJ8" s="701"/>
      <c r="MK8" s="701"/>
      <c r="ML8" s="701"/>
      <c r="MM8" s="701"/>
      <c r="MN8" s="701"/>
      <c r="MO8" s="701"/>
      <c r="MP8" s="701"/>
      <c r="MQ8" s="701"/>
      <c r="MR8" s="701"/>
      <c r="MS8" s="701"/>
      <c r="MT8" s="701"/>
      <c r="MU8" s="701"/>
      <c r="MV8" s="701"/>
      <c r="MW8" s="701"/>
      <c r="MX8" s="701"/>
      <c r="MY8" s="701"/>
      <c r="MZ8" s="701"/>
      <c r="NA8" s="701"/>
      <c r="NB8" s="701"/>
      <c r="NC8" s="701"/>
      <c r="ND8" s="701"/>
      <c r="NE8" s="701"/>
      <c r="NF8" s="701"/>
      <c r="NG8" s="701"/>
      <c r="NH8" s="701"/>
      <c r="NI8" s="701"/>
      <c r="NJ8" s="701"/>
      <c r="NK8" s="701"/>
      <c r="NL8" s="701"/>
      <c r="NM8" s="701"/>
      <c r="NN8" s="701"/>
      <c r="NO8" s="701"/>
      <c r="NP8" s="701"/>
      <c r="NQ8" s="701"/>
      <c r="NR8" s="701"/>
      <c r="NS8" s="144"/>
      <c r="NT8" s="78"/>
      <c r="NU8" s="701"/>
      <c r="NV8" s="701"/>
      <c r="NW8" s="701"/>
      <c r="NX8" s="701"/>
      <c r="NY8" s="701"/>
      <c r="NZ8" s="701"/>
      <c r="OA8" s="701"/>
      <c r="OB8" s="701"/>
      <c r="OC8" s="701"/>
      <c r="OD8" s="1189"/>
      <c r="OE8" s="701"/>
      <c r="OF8" s="132"/>
      <c r="OG8" s="132"/>
      <c r="OH8" s="132"/>
    </row>
    <row r="9" spans="1:398" s="56" customFormat="1" ht="15" customHeight="1" x14ac:dyDescent="0.3">
      <c r="A9" s="1337"/>
      <c r="B9" s="723" t="s">
        <v>105</v>
      </c>
      <c r="C9" s="666" t="s">
        <v>106</v>
      </c>
      <c r="D9" s="1362"/>
      <c r="E9" s="1363"/>
      <c r="F9" s="1370"/>
      <c r="G9" s="726" t="s">
        <v>107</v>
      </c>
      <c r="H9" s="741" t="s">
        <v>59</v>
      </c>
      <c r="I9" s="1374" t="s">
        <v>108</v>
      </c>
      <c r="J9" s="1375"/>
      <c r="K9" s="668">
        <v>100</v>
      </c>
      <c r="L9" s="1376" t="s">
        <v>109</v>
      </c>
      <c r="M9" s="1377"/>
      <c r="N9" s="689">
        <v>1.4999999999999999E-2</v>
      </c>
      <c r="O9" s="1378" t="s">
        <v>110</v>
      </c>
      <c r="P9" s="1379"/>
      <c r="Q9" s="690">
        <v>7000</v>
      </c>
      <c r="R9" s="1380" t="s">
        <v>111</v>
      </c>
      <c r="S9" s="1381"/>
      <c r="T9" s="1181">
        <f>IF(U9="","",4)</f>
        <v>4</v>
      </c>
      <c r="U9" s="728">
        <f>IF(M10="","",M10)</f>
        <v>48</v>
      </c>
      <c r="V9" s="737"/>
      <c r="W9" s="1382">
        <v>19.350000000000001</v>
      </c>
      <c r="X9" s="1383"/>
      <c r="Y9" s="737"/>
      <c r="Z9" s="673">
        <v>1</v>
      </c>
      <c r="AA9" s="673">
        <v>1</v>
      </c>
      <c r="AB9" s="673">
        <v>1</v>
      </c>
      <c r="AC9" s="673">
        <v>1.05</v>
      </c>
      <c r="AD9" s="675">
        <v>150</v>
      </c>
      <c r="AE9" s="675">
        <v>301</v>
      </c>
      <c r="AF9" s="675">
        <v>496</v>
      </c>
      <c r="AG9" s="675">
        <v>602</v>
      </c>
      <c r="AH9" s="675">
        <v>812</v>
      </c>
      <c r="AI9" s="675">
        <v>902</v>
      </c>
      <c r="AJ9" s="675">
        <v>1023</v>
      </c>
      <c r="AK9" s="677">
        <v>1173</v>
      </c>
      <c r="AL9" s="1384" t="s">
        <v>112</v>
      </c>
      <c r="AM9" s="159" t="s">
        <v>19</v>
      </c>
      <c r="AN9" s="340"/>
      <c r="AO9" s="340"/>
      <c r="AP9" s="340"/>
      <c r="AQ9" s="340"/>
      <c r="AR9" s="341"/>
      <c r="AS9" s="1366" t="s">
        <v>72</v>
      </c>
      <c r="AT9" s="678">
        <v>1</v>
      </c>
      <c r="AU9" s="679">
        <v>1</v>
      </c>
      <c r="AV9" s="679">
        <v>1</v>
      </c>
      <c r="AW9" s="680">
        <v>2</v>
      </c>
      <c r="AX9" s="679">
        <v>1</v>
      </c>
      <c r="AY9" s="679">
        <v>1</v>
      </c>
      <c r="AZ9" s="679">
        <v>0</v>
      </c>
      <c r="BA9" s="679">
        <v>0</v>
      </c>
      <c r="BB9" s="681">
        <v>56.94</v>
      </c>
      <c r="BC9" s="681">
        <v>90.69</v>
      </c>
      <c r="BD9" s="681">
        <v>315.08999999999997</v>
      </c>
      <c r="BE9" s="681">
        <v>402.2</v>
      </c>
      <c r="BF9" s="681">
        <v>311.08</v>
      </c>
      <c r="BG9" s="681">
        <v>2501.7399999999998</v>
      </c>
      <c r="BH9" s="681">
        <v>153.66</v>
      </c>
      <c r="BI9" s="681">
        <v>32.71</v>
      </c>
      <c r="BJ9" s="681"/>
      <c r="BK9" s="681">
        <v>54.51</v>
      </c>
      <c r="BL9" s="1291" t="s">
        <v>72</v>
      </c>
      <c r="BM9" s="1307"/>
      <c r="BN9" s="62" t="s">
        <v>113</v>
      </c>
      <c r="BO9" s="68">
        <f>IF(AND(ISNUMBER(BO10),ISNUMBER(BW9)),BO10+BW9,"")</f>
        <v>162.68370443346612</v>
      </c>
      <c r="BP9" s="68">
        <f>IF(AND(ISNUMBER(BP10),ISNUMBER(BW9)),BP10+BW9,"")</f>
        <v>267.68370443346612</v>
      </c>
      <c r="BQ9" s="68">
        <f>IF(AND(ISNUMBER(BQ10),ISNUMBER(BW9)),BQ10+BW9,"")</f>
        <v>372.68370443346612</v>
      </c>
      <c r="BR9" s="68">
        <f>IF(AND(ISNUMBER(BR10),ISNUMBER(BW9)),BR10+BW9,"")</f>
        <v>477.68370443346612</v>
      </c>
      <c r="BS9" s="68">
        <f>IF(AND(ISNUMBER(BS10),ISNUMBER(BW9)),BS10+BW9,"")</f>
        <v>582.68370443346612</v>
      </c>
      <c r="BT9" s="68">
        <f>IF(AND(ISNUMBER(BT10),ISNUMBER(BW9)),BT10+BW9,"")</f>
        <v>687.68370443346612</v>
      </c>
      <c r="BU9" s="107" t="s">
        <v>26</v>
      </c>
      <c r="BV9" s="107"/>
      <c r="BW9" s="69">
        <f>IF(ISNUMBER(Q9),Q9-BW11,"")</f>
        <v>62.683704433466119</v>
      </c>
      <c r="BX9" s="62" t="s">
        <v>114</v>
      </c>
      <c r="BY9" s="68">
        <f t="shared" ref="BY9:CD9" si="60">IF(ISNUMBER(BY8),BY8*1000/BY7,"")</f>
        <v>1942.8434197886647</v>
      </c>
      <c r="BZ9" s="68">
        <f t="shared" si="60"/>
        <v>2096.4954392702834</v>
      </c>
      <c r="CA9" s="68">
        <f t="shared" si="60"/>
        <v>2366.2248404516445</v>
      </c>
      <c r="CB9" s="68">
        <f t="shared" si="60"/>
        <v>2381.5280464216635</v>
      </c>
      <c r="CC9" s="68">
        <f t="shared" si="60"/>
        <v>2146.9740634005761</v>
      </c>
      <c r="CD9" s="68" t="str">
        <f t="shared" si="60"/>
        <v/>
      </c>
      <c r="CE9" s="76">
        <f t="shared" ref="CE9:CJ9" si="61">IF(ISNUMBER(CE6),CE6-$CK6,"")</f>
        <v>-175.92215458060582</v>
      </c>
      <c r="CF9" s="76">
        <f t="shared" si="61"/>
        <v>-55.643409423724279</v>
      </c>
      <c r="CG9" s="76">
        <f t="shared" si="61"/>
        <v>171.33943629805117</v>
      </c>
      <c r="CH9" s="76">
        <f t="shared" si="61"/>
        <v>153.85817040010897</v>
      </c>
      <c r="CI9" s="76">
        <f t="shared" si="61"/>
        <v>-93.63204269382868</v>
      </c>
      <c r="CJ9" s="258" t="str">
        <f t="shared" si="61"/>
        <v/>
      </c>
      <c r="CK9" s="73"/>
      <c r="CL9" s="76">
        <f t="shared" ref="CL9:CQ9" si="62">IF(ISERROR(CE8*CE10),"",CE8*CE10)</f>
        <v>8.4584993918694244E-5</v>
      </c>
      <c r="CM9" s="76">
        <f t="shared" si="62"/>
        <v>2.8080880253937113E-5</v>
      </c>
      <c r="CN9" s="76">
        <f t="shared" si="62"/>
        <v>0</v>
      </c>
      <c r="CO9" s="76">
        <f t="shared" si="62"/>
        <v>2.1146248479673557E-5</v>
      </c>
      <c r="CP9" s="76">
        <f t="shared" si="62"/>
        <v>1.1232352101574844E-4</v>
      </c>
      <c r="CQ9" s="76" t="str">
        <f t="shared" si="62"/>
        <v/>
      </c>
      <c r="CR9" s="65">
        <f>SUM(CL9:CQ9)</f>
        <v>2.4613564366805335E-4</v>
      </c>
      <c r="CS9" s="74"/>
      <c r="CT9" s="63"/>
      <c r="CU9" s="66" t="str">
        <f>IF(ISNUMBER(S10),LOOKUP(S10,Tara!$G$6:$G$185,Tara!$H$6:$H$185),"")</f>
        <v/>
      </c>
      <c r="CV9" s="1280" t="str">
        <f>IF(ISNUMBER(CU11),CU11*1000/CU10,"")</f>
        <v/>
      </c>
      <c r="CW9" s="1282" t="str">
        <f>IF(CV9&lt;&gt;"",CV9/(1+CW5),"")</f>
        <v/>
      </c>
      <c r="CX9" s="124" t="str">
        <f>IF(ISNUMBER(CX6),CX6-DF6,"")</f>
        <v/>
      </c>
      <c r="CY9" s="117" t="str">
        <f>IF(ISNUMBER(CY6),CY6-DF6,"")</f>
        <v/>
      </c>
      <c r="CZ9" s="117" t="str">
        <f>IF(ISNUMBER(CZ6),CZ6-DF6,"")</f>
        <v/>
      </c>
      <c r="DA9" s="117" t="str">
        <f>IF(ISNUMBER(DA6),DA6-DF6,"")</f>
        <v/>
      </c>
      <c r="DB9" s="117" t="str">
        <f>IF(ISNUMBER(DB6),DB6-DF6,"")</f>
        <v/>
      </c>
      <c r="DC9" s="117" t="str">
        <f>IF(ISNUMBER(DC6),DC6-DF6,"")</f>
        <v/>
      </c>
      <c r="DD9" s="117" t="str">
        <f>IF(ISNUMBER(DD6),DD6-DF6,"")</f>
        <v/>
      </c>
      <c r="DE9" s="117" t="str">
        <f>IF(ISNUMBER(DE6),DE6-DF6,"")</f>
        <v/>
      </c>
      <c r="DF9" s="720" t="str">
        <f>IF(CX9&lt;&gt;"",SUM(CX9:DE9),"")</f>
        <v/>
      </c>
      <c r="DG9" s="130" t="s">
        <v>115</v>
      </c>
      <c r="DH9" s="131" t="str">
        <f>IF(DF11&lt;&gt;"",(DO6*DO8-DO7*DF11)/(DO8^2-DO5*DF11),"")</f>
        <v/>
      </c>
      <c r="DI9" s="130" t="s">
        <v>116</v>
      </c>
      <c r="DJ9" s="116" t="str">
        <f>IF(DL9&lt;&gt;"",SLOPE(DL9:DL10,DK9:DK10),"")</f>
        <v/>
      </c>
      <c r="DK9" s="116">
        <v>2.54</v>
      </c>
      <c r="DL9" s="116" t="str">
        <f>IF(DH9&lt;&gt;"",DH9*DK9^2+DH10*DK9+DH11,"")</f>
        <v/>
      </c>
      <c r="DM9" s="116">
        <v>2.54</v>
      </c>
      <c r="DN9" s="116">
        <v>5.08</v>
      </c>
      <c r="DO9" s="132"/>
      <c r="DP9" s="119" t="str">
        <f>IF(DP6="","",IF(DP6&gt;0,DS5,-1))</f>
        <v/>
      </c>
      <c r="DQ9" s="119" t="str">
        <f>IF(DP6="","",IF(DP6&gt;0,DS5,-1))</f>
        <v/>
      </c>
      <c r="DR9" s="119" t="str">
        <f>IF(DP6="","",IF(DP6&gt;0,DV8,-1))</f>
        <v/>
      </c>
      <c r="DS9" s="119" t="str">
        <f>IF(DP6="","",IF(DP6&gt;0,DV8,-1))</f>
        <v/>
      </c>
      <c r="DT9" s="119" t="str">
        <f>IF(DP6="","",IF(DP6&gt;0,DT5,-1))</f>
        <v/>
      </c>
      <c r="DU9" s="119" t="str">
        <f>IF(DP6="","",IF(DP6&gt;0,DT5,-1))</f>
        <v/>
      </c>
      <c r="DV9" s="119" t="str">
        <f>IF(DP6="","",IF(DP6&gt;0,DT5,-1))</f>
        <v/>
      </c>
      <c r="DW9" s="119" t="str">
        <f>IF(DP6="","",IF(DP6&gt;0,DT5,-1))</f>
        <v/>
      </c>
      <c r="DX9" s="1201"/>
      <c r="DY9" s="124">
        <f>IF(ISNUMBER(DY6),DY6-EG6,"")</f>
        <v>-8400.3187499999985</v>
      </c>
      <c r="DZ9" s="117">
        <f>IF(ISNUMBER(DZ6),DZ6-EG6,"")</f>
        <v>-5826.7687499999984</v>
      </c>
      <c r="EA9" s="117">
        <f>IF(ISNUMBER(EA6),EA6-EG6,"")</f>
        <v>-4182.0187499999984</v>
      </c>
      <c r="EB9" s="117">
        <f>IF(ISNUMBER(EB6),EB6-EG6,"")</f>
        <v>-1550.4187499999989</v>
      </c>
      <c r="EC9" s="117">
        <f>IF(ISNUMBER(EC6),EC6-EG6,"")</f>
        <v>1622.9812500000025</v>
      </c>
      <c r="ED9" s="117">
        <f>IF(ISNUMBER(ED6),ED6-EG6,"")</f>
        <v>3732.1312500000022</v>
      </c>
      <c r="EE9" s="117">
        <f>IF(ISNUMBER(EE6),EE6-EG6,"")</f>
        <v>5841.2812500000036</v>
      </c>
      <c r="EF9" s="117">
        <f>IF(ISNUMBER(EF6),EF6-EG6,"")</f>
        <v>8763.1312500000022</v>
      </c>
      <c r="EG9" s="118">
        <f>IF(DY9&lt;&gt;"",SUM(DY9:EF9),"")</f>
        <v>1.8189894035458565E-11</v>
      </c>
      <c r="EH9" s="130" t="s">
        <v>115</v>
      </c>
      <c r="EI9" s="131">
        <f>IF(EG11&lt;&gt;"",(EP6*EP8-EP7*EG11)/(EP8^2-EP5*EG11),"")</f>
        <v>-156.44249469580194</v>
      </c>
      <c r="EJ9" s="130" t="s">
        <v>116</v>
      </c>
      <c r="EK9" s="116">
        <f>IF(EM9&lt;&gt;"",SLOPE(EM9:EM10,EL9:EL10),"")</f>
        <v>2445.1320927739275</v>
      </c>
      <c r="EL9" s="116">
        <v>2.54</v>
      </c>
      <c r="EM9" s="116">
        <f>IF(EI9&lt;&gt;"",EI9*EL9^2+EI10*EL9+EI11,"")</f>
        <v>10017.46138263407</v>
      </c>
      <c r="EN9" s="116">
        <v>2.54</v>
      </c>
      <c r="EO9" s="116">
        <v>5.08</v>
      </c>
      <c r="EP9" s="132"/>
      <c r="EQ9" s="119">
        <f>IF(EQ6="","",IF(EQ6&gt;0,ET5,-1))</f>
        <v>-1</v>
      </c>
      <c r="ER9" s="119">
        <f>IF(EQ6="","",IF(EQ6&gt;0,ET5,-1))</f>
        <v>-1</v>
      </c>
      <c r="ES9" s="119">
        <f>IF(EQ6="","",IF(EQ6&gt;0,EW8,-1))</f>
        <v>-1</v>
      </c>
      <c r="ET9" s="119">
        <f>IF(EQ6="","",IF(EQ6&gt;0,EW8,-1))</f>
        <v>-1</v>
      </c>
      <c r="EU9" s="119">
        <f>IF(EQ6="","",IF(EQ6&gt;0,EU5,-1))</f>
        <v>-1</v>
      </c>
      <c r="EV9" s="119">
        <f>IF(EQ6="","",IF(EQ6&gt;0,EU5,-1))</f>
        <v>-1</v>
      </c>
      <c r="EW9" s="119">
        <f>IF(EQ6="","",IF(EQ6&gt;0,EU5,-1))</f>
        <v>-1</v>
      </c>
      <c r="EX9" s="119">
        <f>IF(EQ6="","",IF(EQ6&gt;0,EU5,-1))</f>
        <v>-1</v>
      </c>
      <c r="EY9" s="1201"/>
      <c r="EZ9" s="124">
        <f>IF(ISNUMBER(EZ6),EZ6-FH6,"")</f>
        <v>-12178.406250000002</v>
      </c>
      <c r="FA9" s="117">
        <f>IF(ISNUMBER(FA6),FA6-FH6,"")</f>
        <v>-7921.4062500000018</v>
      </c>
      <c r="FB9" s="117">
        <f>IF(ISNUMBER(FB6),FB6-FH6,"")</f>
        <v>-4032.0562500000015</v>
      </c>
      <c r="FC9" s="117">
        <f>IF(ISNUMBER(FC6),FC6-FH6,"")</f>
        <v>-1903.5562500000015</v>
      </c>
      <c r="FD9" s="117">
        <f>IF(ISNUMBER(FD6),FD6-FH6,"")</f>
        <v>1637.4937499999978</v>
      </c>
      <c r="FE9" s="117">
        <f>IF(ISNUMBER(FE6),FE6-FH6,"")</f>
        <v>5178.5437500000007</v>
      </c>
      <c r="FF9" s="117">
        <f>IF(ISNUMBER(FF6),FF6-FH6,"")</f>
        <v>8371.2937500000007</v>
      </c>
      <c r="FG9" s="117">
        <f>IF(ISNUMBER(FG6),FG6-FH6,"")</f>
        <v>10848.09375</v>
      </c>
      <c r="FH9" s="118">
        <f>IF(EZ9&lt;&gt;"",SUM(EZ9:FG9),"")</f>
        <v>0</v>
      </c>
      <c r="FI9" s="130" t="s">
        <v>115</v>
      </c>
      <c r="FJ9" s="131">
        <f>IF(FH11&lt;&gt;"",(FQ6*FQ8-FQ7*FH11)/(FQ8^2-FQ5*FH11),"")</f>
        <v>-288.35519955357478</v>
      </c>
      <c r="FK9" s="130" t="s">
        <v>116</v>
      </c>
      <c r="FL9" s="116">
        <f>IF(FN9&lt;&gt;"",SLOPE(FN9:FN10,FM9:FM10),"")</f>
        <v>3277.138460058673</v>
      </c>
      <c r="FM9" s="116">
        <v>2.54</v>
      </c>
      <c r="FN9" s="116">
        <f>IF(FJ9&lt;&gt;"",FJ9*FM9^2+FJ10*FM9+FJ11,"")</f>
        <v>13565.617664136942</v>
      </c>
      <c r="FO9" s="116">
        <v>2.54</v>
      </c>
      <c r="FP9" s="116">
        <v>5.08</v>
      </c>
      <c r="FQ9" s="132"/>
      <c r="FR9" s="119">
        <f>IF(FR6="","",IF(FR6&gt;0,FU5,-1))</f>
        <v>-1</v>
      </c>
      <c r="FS9" s="119">
        <f>IF(FR6="","",IF(FR6&gt;0,FU5,-1))</f>
        <v>-1</v>
      </c>
      <c r="FT9" s="119">
        <f>IF(FR6="","",IF(FR6&gt;0,FX8,-1))</f>
        <v>-1</v>
      </c>
      <c r="FU9" s="119">
        <f>IF(FR6="","",IF(FR6&gt;0,FX8,-1))</f>
        <v>-1</v>
      </c>
      <c r="FV9" s="119">
        <f>IF(FR6="","",IF(FR6&gt;0,FV5,-1))</f>
        <v>-1</v>
      </c>
      <c r="FW9" s="119">
        <f>IF(FR6="","",IF(FR6&gt;0,FV5,-1))</f>
        <v>-1</v>
      </c>
      <c r="FX9" s="119">
        <f>IF(FR6="","",IF(FR6&gt;0,FV5,-1))</f>
        <v>-1</v>
      </c>
      <c r="FY9" s="119">
        <f>IF(FR6="","",IF(FR6&gt;0,FV5,-1))</f>
        <v>-1</v>
      </c>
      <c r="FZ9" s="1201"/>
      <c r="GA9" s="124">
        <f>IF(ISNUMBER(GA6),GA6-GI6,"")</f>
        <v>-10301.456250000001</v>
      </c>
      <c r="GB9" s="117">
        <f>IF(ISNUMBER(GB6),GB6-GI6,"")</f>
        <v>-7379.6062500000007</v>
      </c>
      <c r="GC9" s="117">
        <f>IF(ISNUMBER(GC6),GC6-GI6,"")</f>
        <v>-3606.3562500000007</v>
      </c>
      <c r="GD9" s="117">
        <f>IF(ISNUMBER(GD6),GD6-GI6,"")</f>
        <v>-1555.2562500000004</v>
      </c>
      <c r="GE9" s="117">
        <f>IF(ISNUMBER(GE6),GE6-GI6,"")</f>
        <v>2508.2437499999996</v>
      </c>
      <c r="GF9" s="117">
        <f>IF(ISNUMBER(GF6),GF6-GI6,"")</f>
        <v>4249.7437499999996</v>
      </c>
      <c r="GG9" s="117">
        <f>IF(ISNUMBER(GG6),GG6-GI6,"")</f>
        <v>6591.0937500000018</v>
      </c>
      <c r="GH9" s="117">
        <f>IF(ISNUMBER(GH6),GH6-GI6,"")</f>
        <v>9493.5937500000018</v>
      </c>
      <c r="GI9" s="118">
        <f>IF(GA9&lt;&gt;"",SUM(GA9:GH9),"")</f>
        <v>0</v>
      </c>
      <c r="GJ9" s="130" t="s">
        <v>115</v>
      </c>
      <c r="GK9" s="131">
        <f>IF(GI11&lt;&gt;"",(GR6*GR8-GR7*GI11)/(GR8^2-GR5*GI11),"")</f>
        <v>-274.26046357873167</v>
      </c>
      <c r="GL9" s="130" t="s">
        <v>116</v>
      </c>
      <c r="GM9" s="116">
        <f>IF(GO9&lt;&gt;"",SLOPE(GO9:GO10,GN9:GN10),"")</f>
        <v>2829.3990731774948</v>
      </c>
      <c r="GN9" s="116">
        <v>2.54</v>
      </c>
      <c r="GO9" s="116">
        <f>IF(GK9&lt;&gt;"",GK9*GN9^2+GK10*GN9+GK11,"")</f>
        <v>11143.306132253314</v>
      </c>
      <c r="GP9" s="116">
        <v>2.54</v>
      </c>
      <c r="GQ9" s="116">
        <v>5.08</v>
      </c>
      <c r="GR9" s="132"/>
      <c r="GS9" s="119">
        <f>IF(GS6="","",IF(GS6&gt;0,GV5,-1))</f>
        <v>-1</v>
      </c>
      <c r="GT9" s="119">
        <f>IF(GS6="","",IF(GS6&gt;0,GV5,-1))</f>
        <v>-1</v>
      </c>
      <c r="GU9" s="119">
        <f>IF(GS6="","",IF(GS6&gt;0,GY8,-1))</f>
        <v>-1</v>
      </c>
      <c r="GV9" s="119">
        <f>IF(GS6="","",IF(GS6&gt;0,GY8,-1))</f>
        <v>-1</v>
      </c>
      <c r="GW9" s="119">
        <f>IF(GS6="","",IF(GS6&gt;0,GW5,-1))</f>
        <v>-1</v>
      </c>
      <c r="GX9" s="119">
        <f>IF(GS6="","",IF(GS6&gt;0,GW5,-1))</f>
        <v>-1</v>
      </c>
      <c r="GY9" s="119">
        <f>IF(GS6="","",IF(GS6&gt;0,GW5,-1))</f>
        <v>-1</v>
      </c>
      <c r="GZ9" s="119">
        <f>IF(GS6="","",IF(GS6&gt;0,GW5,-1))</f>
        <v>-1</v>
      </c>
      <c r="HA9" s="1201"/>
      <c r="HB9" s="124" t="str">
        <f>IF(ISNUMBER(HB6),HB6-HJ6,"")</f>
        <v/>
      </c>
      <c r="HC9" s="117" t="str">
        <f>IF(ISNUMBER(HC6),HC6-HJ6,"")</f>
        <v/>
      </c>
      <c r="HD9" s="117" t="str">
        <f>IF(ISNUMBER(HD6),HD6-HJ6,"")</f>
        <v/>
      </c>
      <c r="HE9" s="117" t="str">
        <f>IF(ISNUMBER(HE6),HE6-HJ6,"")</f>
        <v/>
      </c>
      <c r="HF9" s="117" t="str">
        <f>IF(ISNUMBER(HF6),HF6-HJ6,"")</f>
        <v/>
      </c>
      <c r="HG9" s="117" t="str">
        <f>IF(ISNUMBER(HG6),HG6-HJ6,"")</f>
        <v/>
      </c>
      <c r="HH9" s="117" t="str">
        <f>IF(ISNUMBER(HH6),HH6-HJ6,"")</f>
        <v/>
      </c>
      <c r="HI9" s="117" t="str">
        <f>IF(ISNUMBER(HI6),HI6-HJ6,"")</f>
        <v/>
      </c>
      <c r="HJ9" s="118" t="str">
        <f>IF(HB9&lt;&gt;"",SUM(HB9:HI9),"")</f>
        <v/>
      </c>
      <c r="HK9" s="130" t="s">
        <v>115</v>
      </c>
      <c r="HL9" s="131" t="str">
        <f>IF(HJ11&lt;&gt;"",(HS6*HS8-HS7*HJ11)/(HS8^2-HS5*HJ11),"")</f>
        <v/>
      </c>
      <c r="HM9" s="130" t="s">
        <v>116</v>
      </c>
      <c r="HN9" s="116" t="str">
        <f>IF(HP9&lt;&gt;"",SLOPE(HP9:HP10,HO9:HO10),"")</f>
        <v/>
      </c>
      <c r="HO9" s="116">
        <v>2.54</v>
      </c>
      <c r="HP9" s="116" t="str">
        <f>IF(HL9&lt;&gt;"",HL9*HO9^2+HL10*HO9+HL11,"")</f>
        <v/>
      </c>
      <c r="HQ9" s="116">
        <v>2.54</v>
      </c>
      <c r="HR9" s="116">
        <v>5.08</v>
      </c>
      <c r="HS9" s="132"/>
      <c r="HT9" s="119" t="str">
        <f>IF(HT6="","",IF(HT6&gt;0,HW5,-1))</f>
        <v/>
      </c>
      <c r="HU9" s="119" t="str">
        <f>IF(HT6="","",IF(HT6&gt;0,HW5,-1))</f>
        <v/>
      </c>
      <c r="HV9" s="119" t="str">
        <f>IF(HT6="","",IF(HT6&gt;0,HZ8,-1))</f>
        <v/>
      </c>
      <c r="HW9" s="119" t="str">
        <f>IF(HT6="","",IF(HT6&gt;0,HZ8,-1))</f>
        <v/>
      </c>
      <c r="HX9" s="119" t="str">
        <f>IF(HT6="","",IF(HT6&gt;0,HX5,-1))</f>
        <v/>
      </c>
      <c r="HY9" s="119" t="str">
        <f>IF(HT6="","",IF(HT6&gt;0,HX5,-1))</f>
        <v/>
      </c>
      <c r="HZ9" s="119" t="str">
        <f>IF(HT6="","",IF(HT6&gt;0,HX5,-1))</f>
        <v/>
      </c>
      <c r="IA9" s="119" t="str">
        <f>IF(HT6="","",IF(HT6&gt;0,HX5,-1))</f>
        <v/>
      </c>
      <c r="IB9" s="1201"/>
      <c r="IC9" s="124" t="str">
        <f>IF(ISNUMBER(IC6),IC6-IK6,"")</f>
        <v/>
      </c>
      <c r="ID9" s="117" t="str">
        <f>IF(ISNUMBER(ID6),ID6-IK6,"")</f>
        <v/>
      </c>
      <c r="IE9" s="117" t="str">
        <f>IF(ISNUMBER(IE6),IE6-IK6,"")</f>
        <v/>
      </c>
      <c r="IF9" s="117" t="str">
        <f>IF(ISNUMBER(IF6),IF6-IK6,"")</f>
        <v/>
      </c>
      <c r="IG9" s="117" t="str">
        <f>IF(ISNUMBER(IG6),IG6-IK6,"")</f>
        <v/>
      </c>
      <c r="IH9" s="117" t="str">
        <f>IF(ISNUMBER(IH6),IH6-IK6,"")</f>
        <v/>
      </c>
      <c r="II9" s="117" t="str">
        <f>IF(ISNUMBER(II6),II6-IK6,"")</f>
        <v/>
      </c>
      <c r="IJ9" s="117" t="str">
        <f>IF(ISNUMBER(IJ6),IJ6-IK6,"")</f>
        <v/>
      </c>
      <c r="IK9" s="118" t="str">
        <f>IF(IC9&lt;&gt;"",SUM(IC9:IJ9),"")</f>
        <v/>
      </c>
      <c r="IL9" s="130" t="s">
        <v>115</v>
      </c>
      <c r="IM9" s="131" t="str">
        <f>IF(IK11&lt;&gt;"",(IT6*IT8-IT7*IK11)/(IT8^2-IT5*IK11),"")</f>
        <v/>
      </c>
      <c r="IN9" s="130" t="s">
        <v>116</v>
      </c>
      <c r="IO9" s="116" t="str">
        <f>IF(IQ9&lt;&gt;"",SLOPE(IQ9:IQ10,IP9:IP10),"")</f>
        <v/>
      </c>
      <c r="IP9" s="116">
        <v>2.54</v>
      </c>
      <c r="IQ9" s="116" t="str">
        <f>IF(IM9&lt;&gt;"",IM9*IP9^2+IM10*IP9+IM11,"")</f>
        <v/>
      </c>
      <c r="IR9" s="116">
        <v>2.54</v>
      </c>
      <c r="IS9" s="116">
        <v>5.08</v>
      </c>
      <c r="IT9" s="132"/>
      <c r="IU9" s="119" t="str">
        <f>IF(IU6="","",IF(IU6&gt;0,IX5,-1))</f>
        <v/>
      </c>
      <c r="IV9" s="119" t="str">
        <f>IF(IU6="","",IF(IU6&gt;0,IX5,-1))</f>
        <v/>
      </c>
      <c r="IW9" s="119" t="str">
        <f>IF(IU6="","",IF(IU6&gt;0,JA8,-1))</f>
        <v/>
      </c>
      <c r="IX9" s="119" t="str">
        <f>IF(IU6="","",IF(IU6&gt;0,JA8,-1))</f>
        <v/>
      </c>
      <c r="IY9" s="119" t="str">
        <f>IF(IU6="","",IF(IU6&gt;0,IY5,-1))</f>
        <v/>
      </c>
      <c r="IZ9" s="119" t="str">
        <f>IF(IU6="","",IF(IU6&gt;0,IY5,-1))</f>
        <v/>
      </c>
      <c r="JA9" s="119" t="str">
        <f>IF(IU6="","",IF(IU6&gt;0,IY5,-1))</f>
        <v/>
      </c>
      <c r="JB9" s="119" t="str">
        <f>IF(IU6="","",IF(IU6&gt;0,IY5,-1))</f>
        <v/>
      </c>
      <c r="JC9" s="1201"/>
      <c r="JD9" s="150" t="str">
        <f t="shared" si="9"/>
        <v/>
      </c>
      <c r="JE9" s="76" t="str">
        <f t="shared" ref="JE9:JJ9" si="63">IF(ISNUMBER(JE6),JE6-$JK6,"")</f>
        <v/>
      </c>
      <c r="JF9" s="76">
        <f t="shared" si="63"/>
        <v>-2219.869024131247</v>
      </c>
      <c r="JG9" s="76">
        <f t="shared" si="63"/>
        <v>2899.2756752808564</v>
      </c>
      <c r="JH9" s="76">
        <f t="shared" si="63"/>
        <v>-679.40665114960575</v>
      </c>
      <c r="JI9" s="76" t="str">
        <f t="shared" si="63"/>
        <v/>
      </c>
      <c r="JJ9" s="76" t="str">
        <f t="shared" si="63"/>
        <v/>
      </c>
      <c r="JK9" s="73"/>
      <c r="JL9" s="76" t="str">
        <f t="shared" ref="JL9:JQ9" si="64">IF(ISERROR(JE8*JE10),"",JE8*JE10)</f>
        <v/>
      </c>
      <c r="JM9" s="76">
        <f t="shared" si="64"/>
        <v>2.3457792404428077E-5</v>
      </c>
      <c r="JN9" s="76">
        <f t="shared" si="64"/>
        <v>0</v>
      </c>
      <c r="JO9" s="76">
        <f t="shared" si="64"/>
        <v>2.5769336329182593E-5</v>
      </c>
      <c r="JP9" s="76" t="str">
        <f t="shared" si="64"/>
        <v/>
      </c>
      <c r="JQ9" s="76" t="str">
        <f t="shared" si="64"/>
        <v/>
      </c>
      <c r="JR9" s="65">
        <f>SUM(JL9:JQ9)</f>
        <v>4.9227128733610667E-5</v>
      </c>
      <c r="JS9" s="158">
        <f>IF(H8="X",CW5,IF(CT5&lt;&gt;"",CT5,""))</f>
        <v>5.7765822483399835E-2</v>
      </c>
      <c r="JT9" s="1202">
        <f>IF(H8="X",FV11,IF(JS9&lt;&gt;"",JM11*JS9^2+JO11*JS9+JQ11,""))</f>
        <v>20041.621694828224</v>
      </c>
      <c r="JU9" s="123" t="str">
        <f>IF(T10&lt;&gt;0,LOOKUP(T10,Tara!$G$6:$G$185,Tara!$J$6:$J$185)/10,"")</f>
        <v/>
      </c>
      <c r="JV9" s="116" t="str">
        <f t="shared" si="11"/>
        <v/>
      </c>
      <c r="JW9" s="155" t="str">
        <f t="shared" si="12"/>
        <v/>
      </c>
      <c r="JX9" s="76" t="str">
        <f t="shared" ref="JX9:KC9" si="65">IF(ISNUMBER(JX6),JX6-$JK6,"")</f>
        <v/>
      </c>
      <c r="JY9" s="76">
        <f t="shared" si="65"/>
        <v>-17246.896519343009</v>
      </c>
      <c r="JZ9" s="76">
        <f t="shared" si="65"/>
        <v>-17246.983548492433</v>
      </c>
      <c r="KA9" s="76">
        <f t="shared" si="65"/>
        <v>-17246.992164604271</v>
      </c>
      <c r="KB9" s="76" t="str">
        <f t="shared" si="65"/>
        <v/>
      </c>
      <c r="KC9" s="76" t="str">
        <f t="shared" si="65"/>
        <v/>
      </c>
      <c r="KD9" s="73"/>
      <c r="KE9" s="76" t="str">
        <f t="shared" ref="KE9:KJ9" si="66">IF(ISERROR(JX8*JX10),"",JX8*JX10)</f>
        <v/>
      </c>
      <c r="KF9" s="76">
        <f t="shared" si="66"/>
        <v>2.3457792404428077E-5</v>
      </c>
      <c r="KG9" s="76">
        <f t="shared" si="66"/>
        <v>0</v>
      </c>
      <c r="KH9" s="76">
        <f t="shared" si="66"/>
        <v>2.5769336329182593E-5</v>
      </c>
      <c r="KI9" s="76" t="str">
        <f t="shared" si="66"/>
        <v/>
      </c>
      <c r="KJ9" s="76" t="str">
        <f t="shared" si="66"/>
        <v/>
      </c>
      <c r="KK9" s="65">
        <f>SUM(KE9:KJ9)</f>
        <v>4.9227128733610667E-5</v>
      </c>
      <c r="KL9" s="158">
        <f>IF(H8="X",CW5,IF(CT5&lt;&gt;"",CT5,""))</f>
        <v>5.7765822483399835E-2</v>
      </c>
      <c r="KM9" s="1203">
        <f>IF(H8="X",JW7*100,IF(KL9&lt;&gt;"",KF11*KL9^2+KH11*KL9+KJ11,""))</f>
        <v>4.2194868739289348E-2</v>
      </c>
      <c r="KN9" s="174" t="str">
        <f>IF(ISNUMBER(AN8),AN8,"")</f>
        <v/>
      </c>
      <c r="KO9" s="175" t="str">
        <f>IF(ISNUMBER(AO8),AO8,"")</f>
        <v/>
      </c>
      <c r="KP9" s="175" t="str">
        <f>IF(ISNUMBER(AP8),AP8,"")</f>
        <v/>
      </c>
      <c r="KQ9" s="175" t="str">
        <f>IF(ISNUMBER(AQ8),AQ8,"")</f>
        <v/>
      </c>
      <c r="KR9" s="1204" t="str">
        <f>IF(ISNUMBER(AR8),AR8,"")</f>
        <v/>
      </c>
      <c r="KS9" s="184" t="str">
        <f>IF(KS8&lt;&gt;"",AVERAGE(KS8:KW8),"")</f>
        <v/>
      </c>
      <c r="KT9" s="176" t="str">
        <f>IF(KS9&lt;&gt;"",KS9-KS10,"")</f>
        <v/>
      </c>
      <c r="KU9" s="180">
        <f>COUNT(KS11:KW11)</f>
        <v>0</v>
      </c>
      <c r="KV9" s="176" t="str">
        <f>IF(KS11&lt;&gt;"",AVERAGE(KS11:KW11),"")</f>
        <v/>
      </c>
      <c r="KW9" s="176" t="str">
        <f>IF(KV9&lt;&gt;"",KV9+5%*KV9,"")</f>
        <v/>
      </c>
      <c r="KX9" s="1275">
        <f>IF(KW10="NP",0,KW10)*100</f>
        <v>0</v>
      </c>
      <c r="KY9" s="1284" t="str">
        <f>IF(AND(KY8&gt;0,ISNUMBER(KY8)),AVERAGE(KY8:KZ8),"")</f>
        <v/>
      </c>
      <c r="KZ9" s="1285"/>
      <c r="LA9" s="1286">
        <f>IF(LA8&lt;&gt;"",ROUND(AVERAGE(LA8:LB8),2),"")</f>
        <v>0</v>
      </c>
      <c r="LB9" s="1287"/>
      <c r="LC9" s="120">
        <f>IF(LC6&lt;&gt;"",LC8/(LA9+100)*100,"")</f>
        <v>1325.7399999999998</v>
      </c>
      <c r="LD9" s="199"/>
      <c r="LE9" s="203">
        <f t="shared" ref="LE9:LK9" si="67">IF(ISNUMBER(LE7),LE7/$LD7,"")</f>
        <v>1</v>
      </c>
      <c r="LF9" s="203">
        <f t="shared" si="67"/>
        <v>1</v>
      </c>
      <c r="LG9" s="203">
        <f t="shared" si="67"/>
        <v>0.97723984107061479</v>
      </c>
      <c r="LH9" s="203">
        <f t="shared" si="67"/>
        <v>0.94098907160616208</v>
      </c>
      <c r="LI9" s="203">
        <f t="shared" si="67"/>
        <v>0.81504073165077107</v>
      </c>
      <c r="LJ9" s="203">
        <f t="shared" si="67"/>
        <v>0.65427262625212845</v>
      </c>
      <c r="LK9" s="203">
        <f t="shared" si="67"/>
        <v>0.52992717068920026</v>
      </c>
      <c r="LL9" s="203">
        <f>IF(LL8&lt;&gt;"",LL8*LK9,"")</f>
        <v>0.41712020886931384</v>
      </c>
      <c r="LM9" s="1205">
        <f>IF(LM8&lt;&gt;"",LM8*LK9,"")</f>
        <v>0.22913159716640938</v>
      </c>
      <c r="LN9" s="185" t="str">
        <f>IF(LM9="","",IF(AND(LG9&gt;=93%,LG9&lt;=100%,LI9&gt;=53%,LI9&lt;=100%,LJ9&gt;=45%,LJ9&lt;=90%,LK9&gt;=35%,LK9&lt;=75%,LL9&gt;=23%,LL9&lt;=47%,LM9&gt;=8%,LM9&lt;=27%),"Faixa D"))</f>
        <v>Faixa D</v>
      </c>
      <c r="LO9" s="207" t="str">
        <f>IF(LM9="","",IF(LO8&gt;0,LO8,IF(LP9&gt;0,LP9)))</f>
        <v>D</v>
      </c>
      <c r="LP9" s="207"/>
      <c r="LQ9" s="180"/>
      <c r="LR9" s="1279"/>
      <c r="LS9" s="215">
        <v>10</v>
      </c>
      <c r="LT9" s="144">
        <f>IF(LK9&lt;&gt;"",LK9*100,"")</f>
        <v>52.992717068920022</v>
      </c>
      <c r="LU9" s="78">
        <f>IF(LT11="",0,IF(IF((LT11-35)&lt;0,0,(LT11-35))&gt;40,40,IF((LT11-35)&lt;0,0,(LT11-35))))</f>
        <v>0</v>
      </c>
      <c r="LV9" s="78">
        <f>IF(LT11="",0,IF(IF((LT11-15)&lt;0,0,(LT11-15))&gt;40,40,IF((LT11-15)&lt;0,0,(LT11-15))))</f>
        <v>7.9131597166409371</v>
      </c>
      <c r="LW9" s="78">
        <f>IF(LG11="NP",0,IF(IF((LG11-40)&lt;0,0,(LG11-40))&gt;20,20,IF((LG11-40)&lt;0,0,(LG11-40))))</f>
        <v>0</v>
      </c>
      <c r="LX9" s="78">
        <f>IF(LN11="NP",0,IF(IF((LN11-10)&lt;0,0,(LN11-10))&gt;20,20,IF((LN11-10)&lt;0,0,(LN11-10))))</f>
        <v>0</v>
      </c>
      <c r="LY9" s="199"/>
      <c r="LZ9" s="199"/>
      <c r="MA9" s="199"/>
      <c r="MB9" s="199"/>
      <c r="MC9" s="199"/>
      <c r="MD9" s="199"/>
      <c r="ME9" s="1200"/>
      <c r="MF9" s="287" t="str">
        <f>IF(C6&lt;&gt;0,C6,"")</f>
        <v/>
      </c>
      <c r="MG9" s="288" t="str">
        <f>IF(C7&lt;&gt;0,C7,"")</f>
        <v>-</v>
      </c>
      <c r="MH9" s="289">
        <f>IF(E7&lt;&gt;0,E7,"")</f>
        <v>45804</v>
      </c>
      <c r="MI9" s="290">
        <f t="shared" ref="MI9:MQ9" si="68">IF($H6="x","",IF(LE9&lt;&gt;"",LE9*100,""))</f>
        <v>100</v>
      </c>
      <c r="MJ9" s="290">
        <f t="shared" si="68"/>
        <v>100</v>
      </c>
      <c r="MK9" s="290">
        <f t="shared" si="68"/>
        <v>97.723984107061483</v>
      </c>
      <c r="ML9" s="290">
        <f t="shared" si="68"/>
        <v>94.098907160616207</v>
      </c>
      <c r="MM9" s="290">
        <f t="shared" si="68"/>
        <v>81.504073165077102</v>
      </c>
      <c r="MN9" s="290">
        <f t="shared" si="68"/>
        <v>65.427262625212848</v>
      </c>
      <c r="MO9" s="290">
        <f t="shared" si="68"/>
        <v>52.992717068920022</v>
      </c>
      <c r="MP9" s="290">
        <f t="shared" si="68"/>
        <v>41.712020886931384</v>
      </c>
      <c r="MQ9" s="290">
        <f t="shared" si="68"/>
        <v>22.913159716640937</v>
      </c>
      <c r="MR9" s="288"/>
      <c r="MS9" s="290" t="str">
        <f>IF(H6="X","",IF(H7="x",IF(KQ11&gt;0,KQ11,IF(KQ11=0,"NP",""))))</f>
        <v>NP</v>
      </c>
      <c r="MT9" s="290" t="str">
        <f>IF(H6="X","",IF(H7="x",IF(KX5&gt;0,KX5,IF(KX5=0,"NP",""))))</f>
        <v>NP</v>
      </c>
      <c r="MU9" s="290" t="str">
        <f>IF(H6="X","",IF(H7="x",IF(KZ11&lt;&gt;"",KZ11*100,"")))</f>
        <v/>
      </c>
      <c r="MV9" s="291">
        <f>IF(MS9="","",IF(H6="X","",IF(H7="x",IF(LU11&lt;&gt;"",LU11,""))))</f>
        <v>0</v>
      </c>
      <c r="MW9" s="291" t="str">
        <f>IF(H6="X","",IF(H7="x",IF(LW11&lt;&gt;"",LW11,"")))</f>
        <v>A-1b</v>
      </c>
      <c r="MX9" s="291"/>
      <c r="MY9" s="291" t="str">
        <f>IF(H6="X","",IF(H7="x",IF(LR7&lt;&gt;"",LR7,"")))</f>
        <v>D</v>
      </c>
      <c r="MZ9" s="290">
        <f>IF(ISERROR(CT5),"",CT5*100)</f>
        <v>5.7765822483399836</v>
      </c>
      <c r="NA9" s="291">
        <f>IF(ISERROR(CT6),"",CT6)</f>
        <v>2219.2468551635602</v>
      </c>
      <c r="NB9" s="290">
        <f>IF(ISERROR(JT9),"",JT9)</f>
        <v>20041.621694828224</v>
      </c>
      <c r="NC9" s="288">
        <f>IF(ISERROR(KM9),"",KM9)</f>
        <v>4.2194868739289348E-2</v>
      </c>
      <c r="ND9" s="290" t="str">
        <f>IF(MG9&lt;&gt;"",LOOKUP(MF9,'Digitar Dados de Dens. InSitu'!AA:AA,'Digitar Dados de Dens. InSitu'!AB:AB),"")</f>
        <v/>
      </c>
      <c r="NE9" s="291" t="e">
        <f>IF(MG9&lt;&gt;"",LOOKUP(MF9,'Digitar Dados de Dens. InSitu'!AA:AA,'Digitar Dados de Dens. InSitu'!#REF!),"")</f>
        <v>#REF!</v>
      </c>
      <c r="NF9" s="290" t="str">
        <f>IF(MG9&lt;&gt;"",LOOKUP(MF9,'Digitar Dados de Dens. InSitu'!AA:AA,'Digitar Dados de Dens. InSitu'!AC:AC),"")</f>
        <v/>
      </c>
      <c r="NG9" s="290" t="str">
        <f>IF($H6="X","",IF($H8="X","",IF(T6="","",CE5*100)))</f>
        <v/>
      </c>
      <c r="NH9" s="291" t="str">
        <f>IF($H6="X","",IF($H8="X","",IF(T6="","",CE6)))</f>
        <v/>
      </c>
      <c r="NI9" s="288" t="str">
        <f>IF($H6="X","",IF($H8="X","",JX6))</f>
        <v/>
      </c>
      <c r="NJ9" s="288" t="str">
        <f>IF($H6="X","",IF($H8="X","",JE6))</f>
        <v/>
      </c>
      <c r="NK9" s="290">
        <f>IF(T7="","",IF($H6="X","",IF($H8="X","",CF5*100)))</f>
        <v>3.8586060232619941</v>
      </c>
      <c r="NL9" s="291">
        <f>IF($H6="X","",IF($H8="X","",CF6))</f>
        <v>2018.6054093588696</v>
      </c>
      <c r="NM9" s="288">
        <f>IF($H6="X","",IF($H8="X","",JY6))</f>
        <v>0.13920306246737421</v>
      </c>
      <c r="NN9" s="288">
        <f>IF($H6="X","",IF($H8="X","",JF6))</f>
        <v>15027.166698274228</v>
      </c>
      <c r="NO9" s="290">
        <f>IF($H6="X","",IF(T7="","",IF($H8="X",CW5*100,CG5*100)))</f>
        <v>5.3721596155510305</v>
      </c>
      <c r="NP9" s="291">
        <f>IF($H6="X","",IF($H8="X",CW9,CG6))</f>
        <v>2245.588255080645</v>
      </c>
      <c r="NQ9" s="288">
        <f>IF($H6="X","",IF($H8="X","",JZ6))</f>
        <v>5.2173913043478314E-2</v>
      </c>
      <c r="NR9" s="288">
        <f>IF($H6="X","",IF($H8="X","",JG6))</f>
        <v>20146.311397686331</v>
      </c>
      <c r="NS9" s="290">
        <f>IF($H6="X","",IF(T8="","",IF($H8="X","",CH5*100)))</f>
        <v>6.8857132078400678</v>
      </c>
      <c r="NT9" s="291">
        <f>IF($H6="X","",IF($H8="X","",CH6))</f>
        <v>2228.1069891827028</v>
      </c>
      <c r="NU9" s="288">
        <f>IF($H6="X","",IF($H8="X","",KA6))</f>
        <v>4.3557801202195344E-2</v>
      </c>
      <c r="NV9" s="288">
        <f>IF($H6="X","",IF($H8="X","",JH6))</f>
        <v>16567.629071255869</v>
      </c>
      <c r="NW9" s="290" t="str">
        <f>IF($H6="X","",IF($H8="X","",IF(T10="","",CI5*100)))</f>
        <v/>
      </c>
      <c r="NX9" s="291" t="str">
        <f>IF($H6="X","",IF($H8="X","",IF(T10="","",CI6)))</f>
        <v/>
      </c>
      <c r="NY9" s="288" t="str">
        <f>IF($H6="X","",IF($H8="X","",KB6))</f>
        <v/>
      </c>
      <c r="NZ9" s="288" t="str">
        <f>IF($H6="X","",IF($H8="X","",JI6))</f>
        <v/>
      </c>
      <c r="OA9" s="291" t="str">
        <f>IF($H6="X","",IF($H8="X","",CJ5))</f>
        <v/>
      </c>
      <c r="OB9" s="291" t="str">
        <f>IF($H6="X","",IF($H8="X","",CJ6))</f>
        <v/>
      </c>
      <c r="OC9" s="288" t="str">
        <f>IF($H6="X","",IF($H8="X","",KC6))</f>
        <v/>
      </c>
      <c r="OD9" s="288" t="str">
        <f>IF($H6="X","",IF($H8="X","",JJ6))</f>
        <v/>
      </c>
      <c r="OE9" s="120"/>
      <c r="OF9" s="78" t="str">
        <f>C8</f>
        <v>AVALIAR</v>
      </c>
      <c r="OG9" s="132" t="str">
        <f>C9</f>
        <v>GRANULAR</v>
      </c>
      <c r="OH9" s="132"/>
    </row>
    <row r="10" spans="1:398" ht="15" customHeight="1" x14ac:dyDescent="0.3">
      <c r="A10" s="1337"/>
      <c r="B10" s="734" t="s">
        <v>117</v>
      </c>
      <c r="C10" s="666" t="s">
        <v>118</v>
      </c>
      <c r="D10" s="1362"/>
      <c r="E10" s="1363"/>
      <c r="F10" s="1370"/>
      <c r="G10" s="726" t="s">
        <v>119</v>
      </c>
      <c r="H10" s="665"/>
      <c r="I10" s="742" t="s">
        <v>120</v>
      </c>
      <c r="J10" s="667">
        <v>41</v>
      </c>
      <c r="K10" s="667">
        <v>28</v>
      </c>
      <c r="L10" s="667">
        <v>46</v>
      </c>
      <c r="M10" s="667">
        <v>48</v>
      </c>
      <c r="N10" s="667">
        <v>41</v>
      </c>
      <c r="O10" s="667"/>
      <c r="P10" s="743" t="s">
        <v>121</v>
      </c>
      <c r="Q10" s="744">
        <v>3.9300000000000002E-2</v>
      </c>
      <c r="R10" s="743" t="s">
        <v>120</v>
      </c>
      <c r="S10" s="745"/>
      <c r="T10" s="1181"/>
      <c r="U10" s="728"/>
      <c r="V10" s="737"/>
      <c r="W10" s="737"/>
      <c r="X10" s="737"/>
      <c r="Y10" s="737"/>
      <c r="Z10" s="673"/>
      <c r="AA10" s="673"/>
      <c r="AB10" s="673"/>
      <c r="AC10" s="673"/>
      <c r="AD10" s="675"/>
      <c r="AE10" s="675"/>
      <c r="AF10" s="675"/>
      <c r="AG10" s="675"/>
      <c r="AH10" s="675"/>
      <c r="AI10" s="675"/>
      <c r="AJ10" s="675"/>
      <c r="AK10" s="677"/>
      <c r="AL10" s="1385"/>
      <c r="AM10" s="730" t="s">
        <v>39</v>
      </c>
      <c r="AN10" s="746"/>
      <c r="AO10" s="746"/>
      <c r="AP10" s="746"/>
      <c r="AQ10" s="746"/>
      <c r="AR10" s="747"/>
      <c r="AS10" s="1367"/>
      <c r="AT10" s="1294" t="s">
        <v>122</v>
      </c>
      <c r="AU10" s="1295"/>
      <c r="AV10" s="1298" t="s">
        <v>123</v>
      </c>
      <c r="AW10" s="344" t="s">
        <v>124</v>
      </c>
      <c r="AX10" s="292"/>
      <c r="AY10" s="1298" t="s">
        <v>125</v>
      </c>
      <c r="AZ10" s="344" t="s">
        <v>124</v>
      </c>
      <c r="BA10" s="293"/>
      <c r="BB10" s="1300"/>
      <c r="BC10" s="1301"/>
      <c r="BD10" s="1301"/>
      <c r="BE10" s="1301"/>
      <c r="BF10" s="1301"/>
      <c r="BG10" s="1301"/>
      <c r="BH10" s="1301"/>
      <c r="BI10" s="1301"/>
      <c r="BJ10" s="1301"/>
      <c r="BK10" s="1302"/>
      <c r="BL10" s="1292"/>
      <c r="BM10" s="1307"/>
      <c r="BN10" s="62" t="s">
        <v>126</v>
      </c>
      <c r="BO10" s="68">
        <f>IF(ISNUMBER(K9),K9,"")</f>
        <v>100</v>
      </c>
      <c r="BP10" s="108">
        <f>IF(AND(ISNUMBER(BP11),ISNUMBER(Q9)),BP11*Q9,"")</f>
        <v>204.99999999999997</v>
      </c>
      <c r="BQ10" s="108">
        <f>IF(AND(ISNUMBER(BQ11),ISNUMBER(Q9)),BQ11*Q9,"")</f>
        <v>310</v>
      </c>
      <c r="BR10" s="108">
        <f>IF(AND(ISNUMBER(BR11),ISNUMBER(Q9)),BR11*Q9,"")</f>
        <v>415</v>
      </c>
      <c r="BS10" s="108">
        <f>IF(AND(ISNUMBER(BS11),ISNUMBER(Q9)),BS11*Q9,"")</f>
        <v>520</v>
      </c>
      <c r="BT10" s="108">
        <f>IF(AND(ISNUMBER(BT11),ISNUMBER(Q9)),BT11*Q9,"")</f>
        <v>625</v>
      </c>
      <c r="BU10" s="108" t="s">
        <v>127</v>
      </c>
      <c r="BV10" s="108"/>
      <c r="BW10" s="70">
        <f>IF(ISNUMBER(N9),N9,"")</f>
        <v>1.4999999999999999E-2</v>
      </c>
      <c r="BY10" s="87">
        <f t="shared" ref="BY10:CD10" si="69">IF($H10&lt;&gt;"",BO8,BO9/($Q9/(1+$BW5)))</f>
        <v>2.3450524309729576E-2</v>
      </c>
      <c r="BZ10" s="87">
        <f t="shared" si="69"/>
        <v>3.8586060232619943E-2</v>
      </c>
      <c r="CA10" s="87">
        <f t="shared" si="69"/>
        <v>5.3721596155510309E-2</v>
      </c>
      <c r="CB10" s="87">
        <f t="shared" si="69"/>
        <v>6.8857132078400676E-2</v>
      </c>
      <c r="CC10" s="87">
        <f t="shared" si="69"/>
        <v>8.3992668001291043E-2</v>
      </c>
      <c r="CD10" s="87">
        <f t="shared" si="69"/>
        <v>9.912820392418141E-2</v>
      </c>
      <c r="CE10" s="88">
        <f t="shared" ref="CE10:CJ10" si="70">IF(ISNUMBER(CE7),CE7-$CK7,"")</f>
        <v>-2.7942516984407321E-3</v>
      </c>
      <c r="CF10" s="88">
        <f t="shared" si="70"/>
        <v>-1.8552947445665757E-3</v>
      </c>
      <c r="CG10" s="88">
        <f t="shared" si="70"/>
        <v>-4.5816889534620962E-4</v>
      </c>
      <c r="CH10" s="88">
        <f t="shared" si="70"/>
        <v>1.3971258492203658E-3</v>
      </c>
      <c r="CI10" s="88">
        <f t="shared" si="70"/>
        <v>3.7105894891331509E-3</v>
      </c>
      <c r="CJ10" s="89" t="str">
        <f t="shared" si="70"/>
        <v/>
      </c>
      <c r="CK10" s="89"/>
      <c r="CL10" s="73"/>
      <c r="CM10" s="73"/>
      <c r="CN10" s="73"/>
      <c r="CO10" s="73"/>
      <c r="CP10" s="73"/>
      <c r="CQ10" s="73"/>
      <c r="CR10" s="73"/>
      <c r="CS10" s="90"/>
      <c r="CT10" s="102"/>
      <c r="CU10" s="66" t="str">
        <f>IF(ISNUMBER(S10),LOOKUP(S10,Tara!$G$6:$G$185,Tara!$I$6:$I$185),"")</f>
        <v/>
      </c>
      <c r="CV10" s="1280"/>
      <c r="CW10" s="1282"/>
      <c r="CX10" s="124" t="str">
        <f>IF(ISNUMBER(CX7),CX7-DF7,"")</f>
        <v/>
      </c>
      <c r="CY10" s="117" t="str">
        <f>IF(ISNUMBER(CY7),CY7-DF7,"")</f>
        <v/>
      </c>
      <c r="CZ10" s="117" t="str">
        <f>IF(ISNUMBER(CZ7),CZ7-DF7,"")</f>
        <v/>
      </c>
      <c r="DA10" s="117" t="str">
        <f>IF(ISNUMBER(DA7),DA7-DF7,"")</f>
        <v/>
      </c>
      <c r="DB10" s="117" t="str">
        <f>IF(ISNUMBER(DB7),DB7-DF7,"")</f>
        <v/>
      </c>
      <c r="DC10" s="117" t="str">
        <f>IF(ISNUMBER(DC7),DC7-DF7,"")</f>
        <v/>
      </c>
      <c r="DD10" s="117" t="str">
        <f>IF(ISNUMBER(DD7),DD7-DF7,"")</f>
        <v/>
      </c>
      <c r="DE10" s="117" t="str">
        <f>IF(ISNUMBER(DE7),DE7-DF7,"")</f>
        <v/>
      </c>
      <c r="DF10" s="720" t="str">
        <f>IF(CX10&lt;&gt;"",SUM(CX10:DE10),"")</f>
        <v/>
      </c>
      <c r="DG10" s="133" t="s">
        <v>128</v>
      </c>
      <c r="DH10" s="134" t="str">
        <f>IF(DH9&lt;&gt;"",(DO7-DH9*DO5)/DO8,"")</f>
        <v/>
      </c>
      <c r="DI10" s="133" t="s">
        <v>128</v>
      </c>
      <c r="DJ10" s="134" t="str">
        <f>IF(DL9&lt;&gt;"",INTERCEPT(DL9:DL10,DK9:DK10),"")</f>
        <v/>
      </c>
      <c r="DK10" s="116">
        <v>5.08</v>
      </c>
      <c r="DL10" s="116" t="str">
        <f>IF(DH9&lt;&gt;"",DH9*DK10^2+DH10*DK10+DH11,"")</f>
        <v/>
      </c>
      <c r="DM10" s="116" t="str">
        <f>IF(DP6="","",IF(DP6&gt;0,DS5,""))</f>
        <v/>
      </c>
      <c r="DN10" s="116" t="str">
        <f>IF(DP6="","",IF(DP6&gt;0,DT5,""))</f>
        <v/>
      </c>
      <c r="DO10" s="139"/>
      <c r="DP10" s="120">
        <v>0</v>
      </c>
      <c r="DQ10" s="120" t="str">
        <f>IF(DP6="","",IF(DP6&gt;0,DV6,-1))</f>
        <v/>
      </c>
      <c r="DR10" s="120" t="str">
        <f>IF(DP6="","",IF(DP6&gt;0,DV7,-1))</f>
        <v/>
      </c>
      <c r="DS10" s="120" t="str">
        <f>IF(DP6="","",IF(DP6&gt;0,DR6,-1))</f>
        <v/>
      </c>
      <c r="DT10" s="120" t="str">
        <f>IF(DP6="","",IF(DP6&gt;0,DR6,-1))</f>
        <v/>
      </c>
      <c r="DU10" s="120" t="str">
        <f>IF(DP6="","",IF(DP6&gt;0,DR6,-1))</f>
        <v/>
      </c>
      <c r="DV10" s="120">
        <v>0</v>
      </c>
      <c r="DW10" s="120" t="str">
        <f>IF(DP6="","",IF(DP6&gt;0,DR6,-1))</f>
        <v/>
      </c>
      <c r="DX10" s="1206"/>
      <c r="DY10" s="124">
        <f>IF(ISNUMBER(DY7),DY7-EG7,"")</f>
        <v>-18.450700000000001</v>
      </c>
      <c r="DZ10" s="117">
        <f>IF(ISNUMBER(DZ7),DZ7-EG7,"")</f>
        <v>-17.2347</v>
      </c>
      <c r="EA10" s="117">
        <f>IF(ISNUMBER(EA7),EA7-EG7,"")</f>
        <v>-15.2376</v>
      </c>
      <c r="EB10" s="117">
        <f>IF(ISNUMBER(EB7),EB7-EG7,"")</f>
        <v>-12.396000000000001</v>
      </c>
      <c r="EC10" s="117">
        <f>IF(ISNUMBER(EC7),EC7-EG7,"")</f>
        <v>-4.3315000000000001</v>
      </c>
      <c r="ED10" s="117">
        <f>IF(ISNUMBER(ED7),ED7-EG7,"")</f>
        <v>6.9588000000000001</v>
      </c>
      <c r="EE10" s="117">
        <f>IF(ISNUMBER(EE7),EE7-EG7,"")</f>
        <v>21.474899999999998</v>
      </c>
      <c r="EF10" s="117">
        <f>IF(ISNUMBER(EF7),EF7-EG7,"")</f>
        <v>39.216799999999999</v>
      </c>
      <c r="EG10" s="118">
        <f>IF(DY10&lt;&gt;"",SUM(DY10:EF10),"")</f>
        <v>0</v>
      </c>
      <c r="EH10" s="133" t="s">
        <v>128</v>
      </c>
      <c r="EI10" s="134">
        <f>IF(EI9&lt;&gt;"",(EP7-EI9*EP5)/EP8,"")</f>
        <v>3637.2239023559382</v>
      </c>
      <c r="EJ10" s="133" t="s">
        <v>128</v>
      </c>
      <c r="EK10" s="134">
        <f>IF(EM9&lt;&gt;"",INTERCEPT(EM9:EM10,EL9:EL10),"")</f>
        <v>3806.8258669882944</v>
      </c>
      <c r="EL10" s="116">
        <v>5.08</v>
      </c>
      <c r="EM10" s="116">
        <f>IF(EI9&lt;&gt;"",EI9*EL10^2+EI10*EL10+EI11,"")</f>
        <v>16228.096898279846</v>
      </c>
      <c r="EN10" s="138" t="str">
        <f>IF(EQ6="","",IF(EQ6&gt;0,ET5,""))</f>
        <v/>
      </c>
      <c r="EO10" s="138" t="str">
        <f>IF(EQ6="","",IF(EQ6&gt;0,EU5,""))</f>
        <v/>
      </c>
      <c r="EP10" s="139"/>
      <c r="EQ10" s="120">
        <v>0</v>
      </c>
      <c r="ER10" s="120">
        <f>IF(EQ6="","",IF(EQ6&gt;0,EW6,-1))</f>
        <v>-1</v>
      </c>
      <c r="ES10" s="120">
        <f>IF(EQ6="","",IF(EQ6&gt;0,EW7,-1))</f>
        <v>-1</v>
      </c>
      <c r="ET10" s="120">
        <f>IF(EQ6="","",IF(EQ6&gt;0,ES6,-1))</f>
        <v>-1</v>
      </c>
      <c r="EU10" s="120">
        <f>IF(EQ6="","",IF(EQ6&gt;0,ES6,-1))</f>
        <v>-1</v>
      </c>
      <c r="EV10" s="120">
        <f>IF(EQ6="","",IF(EQ6&gt;0,ES6,-1))</f>
        <v>-1</v>
      </c>
      <c r="EW10" s="120">
        <v>0</v>
      </c>
      <c r="EX10" s="120">
        <f>IF(EQ6="","",IF(EQ6&gt;0,ES6,-1))</f>
        <v>-1</v>
      </c>
      <c r="EY10" s="1206"/>
      <c r="EZ10" s="124">
        <f>IF(ISNUMBER(EZ7),EZ7-FH7,"")</f>
        <v>-18.450700000000001</v>
      </c>
      <c r="FA10" s="117">
        <f>IF(ISNUMBER(FA7),FA7-FH7,"")</f>
        <v>-17.2347</v>
      </c>
      <c r="FB10" s="117">
        <f>IF(ISNUMBER(FB7),FB7-FH7,"")</f>
        <v>-15.2376</v>
      </c>
      <c r="FC10" s="117">
        <f>IF(ISNUMBER(FC7),FC7-FH7,"")</f>
        <v>-12.396000000000001</v>
      </c>
      <c r="FD10" s="117">
        <f>IF(ISNUMBER(FD7),FD7-FH7,"")</f>
        <v>-4.3315000000000001</v>
      </c>
      <c r="FE10" s="117">
        <f>IF(ISNUMBER(FE7),FE7-FH7,"")</f>
        <v>6.9588000000000001</v>
      </c>
      <c r="FF10" s="117">
        <f>IF(ISNUMBER(FF7),FF7-FH7,"")</f>
        <v>21.474899999999998</v>
      </c>
      <c r="FG10" s="117">
        <f>IF(ISNUMBER(FG7),FG7-FH7,"")</f>
        <v>39.216799999999999</v>
      </c>
      <c r="FH10" s="118">
        <f>IF(EZ10&lt;&gt;"",SUM(EZ10:FG10),"")</f>
        <v>0</v>
      </c>
      <c r="FI10" s="133" t="s">
        <v>128</v>
      </c>
      <c r="FJ10" s="134">
        <f>IF(FJ9&lt;&gt;"",(FQ7-FJ9*FQ5)/FQ8,"")</f>
        <v>5474.405080656913</v>
      </c>
      <c r="FK10" s="133" t="s">
        <v>128</v>
      </c>
      <c r="FL10" s="134">
        <f>IF(FN9&lt;&gt;"",INTERCEPT(FN9:FN10,FM9:FM10),"")</f>
        <v>5241.6859755879141</v>
      </c>
      <c r="FM10" s="116">
        <v>5.08</v>
      </c>
      <c r="FN10" s="116">
        <f>IF(FJ9&lt;&gt;"",FJ9*FM10^2+FJ10*FM10+FJ11,"")</f>
        <v>21889.549352685972</v>
      </c>
      <c r="FO10" s="138" t="str">
        <f>IF(FR6="","",IF(FR6&gt;0,FU5,""))</f>
        <v/>
      </c>
      <c r="FP10" s="138" t="str">
        <f>IF(FR6="","",IF(FR6&gt;0,FV5,""))</f>
        <v/>
      </c>
      <c r="FQ10" s="139"/>
      <c r="FR10" s="120">
        <v>0</v>
      </c>
      <c r="FS10" s="120">
        <f>IF(FR6="","",IF(FR6&gt;0,FX6,-1))</f>
        <v>-1</v>
      </c>
      <c r="FT10" s="120">
        <f>IF(FR6="","",IF(FR6&gt;0,FX7,-1))</f>
        <v>-1</v>
      </c>
      <c r="FU10" s="120">
        <f>IF(FR6="","",IF(FR6&gt;0,FT6,-1))</f>
        <v>-1</v>
      </c>
      <c r="FV10" s="120">
        <f>IF(FR6="","",IF(FR6&gt;0,FT6,-1))</f>
        <v>-1</v>
      </c>
      <c r="FW10" s="120">
        <f>IF(FR6="","",IF(FR6&gt;0,FT6,-1))</f>
        <v>-1</v>
      </c>
      <c r="FX10" s="120">
        <v>0</v>
      </c>
      <c r="FY10" s="120">
        <f>IF(FR6="","",IF(FR6&gt;0,FT6,-1))</f>
        <v>-1</v>
      </c>
      <c r="FZ10" s="1206"/>
      <c r="GA10" s="124">
        <f>IF(ISNUMBER(GA7),GA7-GI7,"")</f>
        <v>-18.450700000000001</v>
      </c>
      <c r="GB10" s="117">
        <f>IF(ISNUMBER(GB7),GB7-GI7,"")</f>
        <v>-17.2347</v>
      </c>
      <c r="GC10" s="117">
        <f>IF(ISNUMBER(GC7),GC7-GI7,"")</f>
        <v>-15.2376</v>
      </c>
      <c r="GD10" s="117">
        <f>IF(ISNUMBER(GD7),GD7-GI7,"")</f>
        <v>-12.396000000000001</v>
      </c>
      <c r="GE10" s="117">
        <f>IF(ISNUMBER(GE7),GE7-GI7,"")</f>
        <v>-4.3315000000000001</v>
      </c>
      <c r="GF10" s="117">
        <f>IF(ISNUMBER(GF7),GF7-GI7,"")</f>
        <v>6.9588000000000001</v>
      </c>
      <c r="GG10" s="117">
        <f>IF(ISNUMBER(GG7),GG7-GI7,"")</f>
        <v>21.474899999999998</v>
      </c>
      <c r="GH10" s="117">
        <f>IF(ISNUMBER(GH7),GH7-GI7,"")</f>
        <v>39.216799999999999</v>
      </c>
      <c r="GI10" s="118">
        <f>IF(GA10&lt;&gt;"",SUM(GA10:GH10),"")</f>
        <v>0</v>
      </c>
      <c r="GJ10" s="133" t="s">
        <v>128</v>
      </c>
      <c r="GK10" s="134">
        <f>IF(GK9&lt;&gt;"",(GR7-GK9*GR5)/GR8,"")</f>
        <v>4919.2638056474298</v>
      </c>
      <c r="GL10" s="133" t="s">
        <v>128</v>
      </c>
      <c r="GM10" s="134">
        <f>IF(GO9&lt;&gt;"",INTERCEPT(GO9:GO10,GN9:GN10),"")</f>
        <v>3956.6324863824775</v>
      </c>
      <c r="GN10" s="116">
        <v>5.08</v>
      </c>
      <c r="GO10" s="116">
        <f>IF(GK9&lt;&gt;"",GK9*GN10^2+GK10*GN10+GK11,"")</f>
        <v>18329.97977812415</v>
      </c>
      <c r="GP10" s="138" t="str">
        <f>IF(GS6="","",IF(GS6&gt;0,GV5,""))</f>
        <v/>
      </c>
      <c r="GQ10" s="138" t="str">
        <f>IF(GS6="","",IF(GS6&gt;0,GW5,""))</f>
        <v/>
      </c>
      <c r="GR10" s="139"/>
      <c r="GS10" s="120">
        <v>0</v>
      </c>
      <c r="GT10" s="120">
        <f>IF(GS6="","",IF(GS6&gt;0,GY6,-1))</f>
        <v>-1</v>
      </c>
      <c r="GU10" s="120">
        <f>IF(GS6="","",IF(GS6&gt;0,GY7,-1))</f>
        <v>-1</v>
      </c>
      <c r="GV10" s="120">
        <f>IF(GS6="","",IF(GS6&gt;0,GU6,-1))</f>
        <v>-1</v>
      </c>
      <c r="GW10" s="120">
        <f>IF(GS6="","",IF(GS6&gt;0,GU6,-1))</f>
        <v>-1</v>
      </c>
      <c r="GX10" s="120">
        <f>IF(GS6="","",IF(GS6&gt;0,GU6,-1))</f>
        <v>-1</v>
      </c>
      <c r="GY10" s="120">
        <v>0</v>
      </c>
      <c r="GZ10" s="120">
        <f>IF(GS6="","",IF(GS6&gt;0,GU6,-1))</f>
        <v>-1</v>
      </c>
      <c r="HA10" s="1206"/>
      <c r="HB10" s="124" t="str">
        <f>IF(ISNUMBER(HB7),HB7-HJ7,"")</f>
        <v/>
      </c>
      <c r="HC10" s="117" t="str">
        <f>IF(ISNUMBER(HC7),HC7-HJ7,"")</f>
        <v/>
      </c>
      <c r="HD10" s="117" t="str">
        <f>IF(ISNUMBER(HD7),HD7-HJ7,"")</f>
        <v/>
      </c>
      <c r="HE10" s="117" t="str">
        <f>IF(ISNUMBER(HE7),HE7-HJ7,"")</f>
        <v/>
      </c>
      <c r="HF10" s="117" t="str">
        <f>IF(ISNUMBER(HF7),HF7-HJ7,"")</f>
        <v/>
      </c>
      <c r="HG10" s="117" t="str">
        <f>IF(ISNUMBER(HG7),HG7-HJ7,"")</f>
        <v/>
      </c>
      <c r="HH10" s="117" t="str">
        <f>IF(ISNUMBER(HH7),HH7-HJ7,"")</f>
        <v/>
      </c>
      <c r="HI10" s="117" t="str">
        <f>IF(ISNUMBER(HI7),HI7-HJ7,"")</f>
        <v/>
      </c>
      <c r="HJ10" s="118" t="str">
        <f>IF(HB10&lt;&gt;"",SUM(HB10:HI10),"")</f>
        <v/>
      </c>
      <c r="HK10" s="133" t="s">
        <v>128</v>
      </c>
      <c r="HL10" s="134" t="str">
        <f>IF(HL9&lt;&gt;"",(HS7-HL9*HS5)/HS8,"")</f>
        <v/>
      </c>
      <c r="HM10" s="133" t="s">
        <v>128</v>
      </c>
      <c r="HN10" s="134" t="str">
        <f>IF(HP9&lt;&gt;"",INTERCEPT(HP9:HP10,HO9:HO10),"")</f>
        <v/>
      </c>
      <c r="HO10" s="116">
        <v>5.08</v>
      </c>
      <c r="HP10" s="116" t="str">
        <f>IF(HL9&lt;&gt;"",HL9*HO10^2+HL10*HO10+HL11,"")</f>
        <v/>
      </c>
      <c r="HQ10" s="138" t="str">
        <f>IF(HT6="","",IF(HT6&gt;0,HW5,""))</f>
        <v/>
      </c>
      <c r="HR10" s="138" t="str">
        <f>IF(HT6="","",IF(HT6&gt;0,HX5,""))</f>
        <v/>
      </c>
      <c r="HS10" s="139"/>
      <c r="HT10" s="120">
        <v>0</v>
      </c>
      <c r="HU10" s="120" t="str">
        <f>IF(HT6="","",IF(HT6&gt;0,HZ6,-1))</f>
        <v/>
      </c>
      <c r="HV10" s="120" t="str">
        <f>IF(HT6="","",IF(HT6&gt;0,HZ7,-1))</f>
        <v/>
      </c>
      <c r="HW10" s="120" t="str">
        <f>IF(HT6="","",IF(HT6&gt;0,HV6,-1))</f>
        <v/>
      </c>
      <c r="HX10" s="120" t="str">
        <f>IF(HT6="","",IF(HT6&gt;0,HV6,-1))</f>
        <v/>
      </c>
      <c r="HY10" s="120" t="str">
        <f>IF(HT6="","",IF(HT6&gt;0,HV6,-1))</f>
        <v/>
      </c>
      <c r="HZ10" s="120">
        <v>0</v>
      </c>
      <c r="IA10" s="120" t="str">
        <f>IF(HT6="","",IF(HT6&gt;0,HV6,-1))</f>
        <v/>
      </c>
      <c r="IB10" s="1206"/>
      <c r="IC10" s="124" t="str">
        <f>IF(ISNUMBER(IC7),IC7-IK7,"")</f>
        <v/>
      </c>
      <c r="ID10" s="117" t="str">
        <f>IF(ISNUMBER(ID7),ID7-IK7,"")</f>
        <v/>
      </c>
      <c r="IE10" s="117" t="str">
        <f>IF(ISNUMBER(IE7),IE7-IK7,"")</f>
        <v/>
      </c>
      <c r="IF10" s="117" t="str">
        <f>IF(ISNUMBER(IF7),IF7-IK7,"")</f>
        <v/>
      </c>
      <c r="IG10" s="117" t="str">
        <f>IF(ISNUMBER(IG7),IG7-IK7,"")</f>
        <v/>
      </c>
      <c r="IH10" s="117" t="str">
        <f>IF(ISNUMBER(IH7),IH7-IK7,"")</f>
        <v/>
      </c>
      <c r="II10" s="117" t="str">
        <f>IF(ISNUMBER(II7),II7-IK7,"")</f>
        <v/>
      </c>
      <c r="IJ10" s="117" t="str">
        <f>IF(ISNUMBER(IJ7),IJ7-IK7,"")</f>
        <v/>
      </c>
      <c r="IK10" s="118" t="str">
        <f>IF(IC10&lt;&gt;"",SUM(IC10:IJ10),"")</f>
        <v/>
      </c>
      <c r="IL10" s="133" t="s">
        <v>128</v>
      </c>
      <c r="IM10" s="134" t="str">
        <f>IF(IM9&lt;&gt;"",(IT7-IM9*IT5)/IT8,"")</f>
        <v/>
      </c>
      <c r="IN10" s="133" t="s">
        <v>128</v>
      </c>
      <c r="IO10" s="134" t="str">
        <f>IF(IQ9&lt;&gt;"",INTERCEPT(IQ9:IQ10,IP9:IP10),"")</f>
        <v/>
      </c>
      <c r="IP10" s="116">
        <v>5.08</v>
      </c>
      <c r="IQ10" s="116" t="str">
        <f>IF(IM9&lt;&gt;"",IM9*IP10^2+IM10*IP10+IM11,"")</f>
        <v/>
      </c>
      <c r="IR10" s="138" t="str">
        <f>IF(IU6="","",IF(IU6&gt;0,IX5,""))</f>
        <v/>
      </c>
      <c r="IS10" s="138" t="str">
        <f>IF(IU6="","",IF(IU6&gt;0,IY5,""))</f>
        <v/>
      </c>
      <c r="IT10" s="139"/>
      <c r="IU10" s="120">
        <v>0</v>
      </c>
      <c r="IV10" s="120" t="str">
        <f>IF(IU6="","",IF(IU6&gt;0,JA6,-1))</f>
        <v/>
      </c>
      <c r="IW10" s="120" t="str">
        <f>IF(IU6="","",IF(IU6&gt;0,JA7,-1))</f>
        <v/>
      </c>
      <c r="IX10" s="120" t="str">
        <f>IF(IU6="","",IF(IU6&gt;0,IW6,-1))</f>
        <v/>
      </c>
      <c r="IY10" s="120" t="str">
        <f>IF(IU6="","",IF(IU6&gt;0,IW6,-1))</f>
        <v/>
      </c>
      <c r="IZ10" s="120" t="str">
        <f>IF(IU6="","",IF(IU6&gt;0,IW6,-1))</f>
        <v/>
      </c>
      <c r="JA10" s="120">
        <v>0</v>
      </c>
      <c r="JB10" s="120" t="str">
        <f>IF(IU6="","",IF(IU6&gt;0,IW6,-1))</f>
        <v/>
      </c>
      <c r="JC10" s="1206"/>
      <c r="JD10" s="150" t="str">
        <f t="shared" si="9"/>
        <v/>
      </c>
      <c r="JE10" s="88" t="str">
        <f t="shared" ref="JE10:JJ10" si="71">IF(ISNUMBER(JE7),JE7-$JK7,"")</f>
        <v/>
      </c>
      <c r="JF10" s="88">
        <f t="shared" si="71"/>
        <v>-1.5498488143357691E-3</v>
      </c>
      <c r="JG10" s="88">
        <f t="shared" si="71"/>
        <v>-1.5272296511540306E-4</v>
      </c>
      <c r="JH10" s="88">
        <f t="shared" si="71"/>
        <v>1.7025717794511724E-3</v>
      </c>
      <c r="JI10" s="88" t="str">
        <f t="shared" si="71"/>
        <v/>
      </c>
      <c r="JJ10" s="88" t="str">
        <f t="shared" si="71"/>
        <v/>
      </c>
      <c r="JK10" s="89"/>
      <c r="JL10" s="73"/>
      <c r="JM10" s="73"/>
      <c r="JN10" s="73"/>
      <c r="JO10" s="73"/>
      <c r="JP10" s="73"/>
      <c r="JQ10" s="73"/>
      <c r="JR10" s="73"/>
      <c r="JS10" s="90"/>
      <c r="JT10" s="1207"/>
      <c r="JU10" s="123" t="str">
        <f>IF(T11&lt;&gt;0,LOOKUP(T11,Tara!$G$6:$G$185,Tara!$J$6:$J$185)/10,"")</f>
        <v/>
      </c>
      <c r="JV10" s="116" t="str">
        <f t="shared" si="11"/>
        <v/>
      </c>
      <c r="JW10" s="155" t="str">
        <f t="shared" si="12"/>
        <v/>
      </c>
      <c r="JX10" s="88" t="str">
        <f t="shared" ref="JX10:KC10" si="72">IF(ISNUMBER(JX7),JX7-$JK7,"")</f>
        <v/>
      </c>
      <c r="JY10" s="88">
        <f t="shared" si="72"/>
        <v>-1.5498488143357691E-3</v>
      </c>
      <c r="JZ10" s="88">
        <f t="shared" si="72"/>
        <v>-1.5272296511540306E-4</v>
      </c>
      <c r="KA10" s="88">
        <f t="shared" si="72"/>
        <v>1.7025717794511724E-3</v>
      </c>
      <c r="KB10" s="88" t="str">
        <f t="shared" si="72"/>
        <v/>
      </c>
      <c r="KC10" s="88" t="str">
        <f t="shared" si="72"/>
        <v/>
      </c>
      <c r="KD10" s="89"/>
      <c r="KE10" s="73"/>
      <c r="KF10" s="73"/>
      <c r="KG10" s="73"/>
      <c r="KH10" s="73"/>
      <c r="KI10" s="73"/>
      <c r="KJ10" s="73"/>
      <c r="KK10" s="73"/>
      <c r="KL10" s="90"/>
      <c r="KM10" s="1207"/>
      <c r="KN10" s="171" t="str">
        <f>IF(KN8&lt;&gt;"",INDEX(LOGEST(KN9:KR9,KN8:KR8),2),"")</f>
        <v/>
      </c>
      <c r="KO10" s="172" t="str">
        <f>IF(KN11&lt;&gt;"",LN(KN11),"")</f>
        <v/>
      </c>
      <c r="KP10" s="138"/>
      <c r="KQ10" s="176" t="str">
        <f>IF(KN10&lt;&gt;"",LN(25/KN10)/KO10,"NP")</f>
        <v>NP</v>
      </c>
      <c r="KR10" s="1206"/>
      <c r="KS10" s="185" t="str">
        <f>IF(KS9&lt;&gt;"",5%*KS9,"")</f>
        <v/>
      </c>
      <c r="KT10" s="176" t="str">
        <f>IF(KS9&lt;&gt;"",KS9+KS10,"")</f>
        <v/>
      </c>
      <c r="KU10" s="188" t="str">
        <f>IF(KQ10&lt;&gt;"NP",KQ10-KW10,"NP")</f>
        <v>NP</v>
      </c>
      <c r="KV10" s="176" t="str">
        <f>IF(KV9&lt;&gt;"",KV9-5%*KV9,"")</f>
        <v/>
      </c>
      <c r="KW10" s="176" t="str">
        <f>IF(KV9&lt;&gt;"",KV9,"NP")</f>
        <v>NP</v>
      </c>
      <c r="KX10" s="1275"/>
      <c r="KY10" s="190"/>
      <c r="KZ10" s="1208"/>
      <c r="LA10" s="201"/>
      <c r="LB10" s="138"/>
      <c r="LC10" s="138"/>
      <c r="LD10" s="138"/>
      <c r="LE10" s="138"/>
      <c r="LF10" s="138"/>
      <c r="LG10" s="138"/>
      <c r="LH10" s="138"/>
      <c r="LI10" s="138"/>
      <c r="LJ10" s="138"/>
      <c r="LK10" s="138"/>
      <c r="LL10" s="138"/>
      <c r="LM10" s="1206"/>
      <c r="LN10" s="163"/>
      <c r="LO10" s="164"/>
      <c r="LP10" s="164"/>
      <c r="LQ10" s="164"/>
      <c r="LR10" s="1209"/>
      <c r="LS10" s="216">
        <v>40</v>
      </c>
      <c r="LT10" s="144">
        <f>IF(LL9&lt;&gt;"",LL9*100,"")</f>
        <v>41.712020886931384</v>
      </c>
      <c r="LU10" s="1288" t="s">
        <v>129</v>
      </c>
      <c r="LV10" s="1288"/>
      <c r="LW10" s="222" t="s">
        <v>130</v>
      </c>
      <c r="LX10" s="222"/>
      <c r="LY10" s="199" t="b">
        <f>IF(LH11&lt;LL11,"NP",AND(LU11&lt;=8,LO11&lt;=10,LH11&lt;=40,LT11&gt;35))</f>
        <v>0</v>
      </c>
      <c r="LZ10" s="199" t="b">
        <f>IF(LH11&lt;LL11,"NP",AND(LU11&lt;=12,LO11&lt;=10,LH11&gt;40,LT11&gt;35))</f>
        <v>0</v>
      </c>
      <c r="MA10" s="199" t="b">
        <f>IF(LH11&lt;LL11,"NP",AND(LU11&lt;=16,LO11&gt;10,LH11&lt;=40,LT11&gt;35))</f>
        <v>0</v>
      </c>
      <c r="MB10" s="199" t="b">
        <f>IF(LH11&lt;LL11,"NP",AND(LU11&lt;=20,LO11&gt;10,LH11&gt;40,LT11&gt;35,LO11&lt;=LH11-30))</f>
        <v>0</v>
      </c>
      <c r="MC10" s="199" t="b">
        <f>IF(LH11&lt;LL11,"NP",AND(LU11&lt;=20,LO11&gt;10,LH11&gt;40,LS11&gt;35,LO11&gt;LH11-30))</f>
        <v>0</v>
      </c>
      <c r="MD10" s="199"/>
      <c r="ME10" s="1200"/>
      <c r="MF10" s="700"/>
      <c r="MG10" s="701"/>
      <c r="MH10" s="701"/>
      <c r="MI10" s="701"/>
      <c r="MJ10" s="701"/>
      <c r="MK10" s="701"/>
      <c r="ML10" s="701"/>
      <c r="MM10" s="701"/>
      <c r="MN10" s="701"/>
      <c r="MO10" s="701"/>
      <c r="MP10" s="701"/>
      <c r="MQ10" s="701"/>
      <c r="MR10" s="701"/>
      <c r="MS10" s="701"/>
      <c r="MT10" s="701"/>
      <c r="MU10" s="701"/>
      <c r="MV10" s="701"/>
      <c r="MW10" s="701"/>
      <c r="MX10" s="701"/>
      <c r="MY10" s="701"/>
      <c r="MZ10" s="701"/>
      <c r="NA10" s="701"/>
      <c r="NB10" s="701"/>
      <c r="NC10" s="701"/>
      <c r="ND10" s="701"/>
      <c r="NE10" s="701"/>
      <c r="NF10" s="701"/>
      <c r="NG10" s="701"/>
      <c r="NH10" s="701"/>
      <c r="NI10" s="701"/>
      <c r="NJ10" s="701"/>
      <c r="NK10" s="701"/>
      <c r="NL10" s="701"/>
      <c r="NM10" s="701"/>
      <c r="NN10" s="701"/>
      <c r="NO10" s="701"/>
      <c r="NP10" s="701"/>
      <c r="NQ10" s="701"/>
      <c r="NR10" s="701"/>
      <c r="NS10" s="701"/>
      <c r="NT10" s="701"/>
      <c r="NU10" s="701"/>
      <c r="NV10" s="701"/>
      <c r="NW10" s="701"/>
      <c r="NX10" s="701"/>
      <c r="NY10" s="701"/>
      <c r="NZ10" s="701"/>
      <c r="OA10" s="701"/>
      <c r="OB10" s="701"/>
      <c r="OC10" s="701"/>
      <c r="OD10" s="1189"/>
      <c r="OE10" s="701"/>
    </row>
    <row r="11" spans="1:398" ht="15" customHeight="1" thickBot="1" x14ac:dyDescent="0.35">
      <c r="A11" s="1338"/>
      <c r="B11" s="504" t="s">
        <v>131</v>
      </c>
      <c r="C11" s="666">
        <v>55</v>
      </c>
      <c r="D11" s="1364"/>
      <c r="E11" s="1365"/>
      <c r="F11" s="1371"/>
      <c r="G11" s="493" t="s">
        <v>132</v>
      </c>
      <c r="H11" s="505" t="s">
        <v>59</v>
      </c>
      <c r="I11" s="506" t="s">
        <v>133</v>
      </c>
      <c r="J11" s="507">
        <v>9575</v>
      </c>
      <c r="K11" s="507">
        <v>9661</v>
      </c>
      <c r="L11" s="507">
        <v>10042</v>
      </c>
      <c r="M11" s="507">
        <v>10055</v>
      </c>
      <c r="N11" s="507">
        <v>10000</v>
      </c>
      <c r="O11" s="507"/>
      <c r="P11" s="508" t="s">
        <v>134</v>
      </c>
      <c r="Q11" s="509">
        <v>0.36480000000000001</v>
      </c>
      <c r="R11" s="508" t="s">
        <v>133</v>
      </c>
      <c r="S11" s="510"/>
      <c r="T11" s="511"/>
      <c r="U11" s="512"/>
      <c r="V11" s="513"/>
      <c r="W11" s="513"/>
      <c r="X11" s="513"/>
      <c r="Y11" s="513"/>
      <c r="Z11" s="514"/>
      <c r="AA11" s="514"/>
      <c r="AB11" s="514"/>
      <c r="AC11" s="514"/>
      <c r="AD11" s="515"/>
      <c r="AE11" s="515"/>
      <c r="AF11" s="515"/>
      <c r="AG11" s="515"/>
      <c r="AH11" s="515"/>
      <c r="AI11" s="515"/>
      <c r="AJ11" s="515"/>
      <c r="AK11" s="516"/>
      <c r="AL11" s="1386"/>
      <c r="AM11" s="517" t="s">
        <v>61</v>
      </c>
      <c r="AN11" s="518"/>
      <c r="AO11" s="518"/>
      <c r="AP11" s="518"/>
      <c r="AQ11" s="518"/>
      <c r="AR11" s="519"/>
      <c r="AS11" s="1368"/>
      <c r="AT11" s="1296"/>
      <c r="AU11" s="1297"/>
      <c r="AV11" s="1299"/>
      <c r="AW11" s="520" t="s">
        <v>135</v>
      </c>
      <c r="AX11" s="521"/>
      <c r="AY11" s="1299"/>
      <c r="AZ11" s="520" t="s">
        <v>135</v>
      </c>
      <c r="BA11" s="522"/>
      <c r="BB11" s="1303"/>
      <c r="BC11" s="1304"/>
      <c r="BD11" s="1304"/>
      <c r="BE11" s="1304"/>
      <c r="BF11" s="1304"/>
      <c r="BG11" s="1304"/>
      <c r="BH11" s="1304"/>
      <c r="BI11" s="1304"/>
      <c r="BJ11" s="1304"/>
      <c r="BK11" s="1305"/>
      <c r="BL11" s="1293"/>
      <c r="BM11" s="1308"/>
      <c r="BN11" s="91" t="s">
        <v>136</v>
      </c>
      <c r="BO11" s="92">
        <f>IF(J5&lt;&gt;"",BO10/Q9,"")</f>
        <v>1.4285714285714285E-2</v>
      </c>
      <c r="BP11" s="93">
        <f>IF(AND(ISNUMBER(BW10),ISNUMBER(BO11),BW10&lt;&gt;0),BO11+BW10,"")</f>
        <v>2.9285714285714283E-2</v>
      </c>
      <c r="BQ11" s="93">
        <f>IF(AND(ISNUMBER(BW10),ISNUMBER(BP11),BW10&lt;&gt;0),BP11+BW10,"")</f>
        <v>4.4285714285714282E-2</v>
      </c>
      <c r="BR11" s="93">
        <f>IF(AND(ISNUMBER(BW10),ISNUMBER(BQ11),BW10&lt;&gt;0),BQ11+BW10,"")</f>
        <v>5.9285714285714282E-2</v>
      </c>
      <c r="BS11" s="93">
        <f>IF(AND(ISNUMBER(BW10),ISNUMBER(BR11),BW10&lt;&gt;0),BR11+BW10,"")</f>
        <v>7.4285714285714288E-2</v>
      </c>
      <c r="BT11" s="93">
        <f>IF(AND(ISNUMBER(BW10),ISNUMBER(BS11),BW10&lt;&gt;0),BS11+BW10,"")</f>
        <v>8.9285714285714288E-2</v>
      </c>
      <c r="BU11" s="109" t="s">
        <v>137</v>
      </c>
      <c r="BV11" s="109"/>
      <c r="BW11" s="94">
        <f>IF(ISNUMBER(Q9),Q9/(BW5+1),"")</f>
        <v>6937.3162955665339</v>
      </c>
      <c r="BX11" s="95"/>
      <c r="BY11" s="96">
        <f t="shared" ref="BY11:CD11" si="73">IF(BY9&lt;&gt;"",BY9/(1+BY10),"")</f>
        <v>1898.326664201988</v>
      </c>
      <c r="BZ11" s="96">
        <f t="shared" si="73"/>
        <v>2018.6054093588696</v>
      </c>
      <c r="CA11" s="96">
        <f t="shared" si="73"/>
        <v>2245.588255080645</v>
      </c>
      <c r="CB11" s="96">
        <f t="shared" si="73"/>
        <v>2228.1069891827028</v>
      </c>
      <c r="CC11" s="96">
        <f t="shared" si="73"/>
        <v>1980.6167760887652</v>
      </c>
      <c r="CD11" s="96" t="str">
        <f t="shared" si="73"/>
        <v/>
      </c>
      <c r="CE11" s="97"/>
      <c r="CF11" s="97"/>
      <c r="CG11" s="97"/>
      <c r="CH11" s="97"/>
      <c r="CI11" s="97"/>
      <c r="CJ11" s="98" t="str">
        <f>IF(ISNUMBER(CJ8),CJ8^2,"")</f>
        <v/>
      </c>
      <c r="CK11" s="98"/>
      <c r="CL11" s="99" t="s">
        <v>101</v>
      </c>
      <c r="CM11" s="100">
        <f>(CR7*CR9-CR8*CR5)/(CR9^2-CR6*CR5)</f>
        <v>-305564.80623991921</v>
      </c>
      <c r="CN11" s="99" t="s">
        <v>102</v>
      </c>
      <c r="CO11" s="101">
        <f>(CR8-CM11*CR6)/CR9</f>
        <v>35302.404708859278</v>
      </c>
      <c r="CP11" s="99" t="s">
        <v>103</v>
      </c>
      <c r="CQ11" s="100">
        <f>CK6-CO11*CK5-CM11*CK7</f>
        <v>1199.6106333390085</v>
      </c>
      <c r="CR11" s="98"/>
      <c r="CS11" s="99"/>
      <c r="CT11" s="101"/>
      <c r="CU11" s="106" t="str">
        <f>IF(S11&lt;&gt;0,S11-CU9,"")</f>
        <v/>
      </c>
      <c r="CV11" s="1281"/>
      <c r="CW11" s="1283"/>
      <c r="CX11" s="127" t="str">
        <f>IF(ISNUMBER(CX8),CX8^2,"")</f>
        <v/>
      </c>
      <c r="CY11" s="128" t="str">
        <f t="shared" ref="CY11:DE11" si="74">IF(ISNUMBER(CY8),CY8^2,"")</f>
        <v/>
      </c>
      <c r="CZ11" s="128" t="str">
        <f t="shared" si="74"/>
        <v/>
      </c>
      <c r="DA11" s="128" t="str">
        <f t="shared" si="74"/>
        <v/>
      </c>
      <c r="DB11" s="128" t="str">
        <f t="shared" si="74"/>
        <v/>
      </c>
      <c r="DC11" s="128" t="str">
        <f t="shared" si="74"/>
        <v/>
      </c>
      <c r="DD11" s="128" t="str">
        <f t="shared" si="74"/>
        <v/>
      </c>
      <c r="DE11" s="128" t="str">
        <f t="shared" si="74"/>
        <v/>
      </c>
      <c r="DF11" s="721" t="str">
        <f>IF(CX11&lt;&gt;"",SUM(CX11:DE11),"")</f>
        <v/>
      </c>
      <c r="DG11" s="135" t="s">
        <v>138</v>
      </c>
      <c r="DH11" s="136" t="str">
        <f>IF(DH9&lt;&gt;"",DF6-DH10*DF5-DH9*DF7,"")</f>
        <v/>
      </c>
      <c r="DI11" s="135"/>
      <c r="DJ11" s="140"/>
      <c r="DK11" s="140"/>
      <c r="DL11" s="140"/>
      <c r="DM11" s="142" t="str">
        <f>IF(DP6="","",IF(DP6&gt;0,DM10/70.31,""))</f>
        <v/>
      </c>
      <c r="DN11" s="142" t="str">
        <f>IF(DP6="","",IF(DP6&gt;0,DN10/105.46,""))</f>
        <v/>
      </c>
      <c r="DO11" s="140"/>
      <c r="DP11" s="135">
        <v>2.54</v>
      </c>
      <c r="DQ11" s="142" t="str">
        <f>IF(DA6&lt;&gt;"",DA6/70.31,"")</f>
        <v/>
      </c>
      <c r="DR11" s="135">
        <v>5.08</v>
      </c>
      <c r="DS11" s="142" t="str">
        <f>IF(DC6&lt;&gt;"",DC6/105.46,"")</f>
        <v/>
      </c>
      <c r="DT11" s="227" t="str">
        <f>IF(DV11&lt;&gt;"",MAX(DV11,DX11),"")</f>
        <v/>
      </c>
      <c r="DU11" s="143">
        <v>2.54</v>
      </c>
      <c r="DV11" s="146" t="str">
        <f>IF(DA6&lt;&gt;"",MAX(DM11,DQ11)*100,"")</f>
        <v/>
      </c>
      <c r="DW11" s="143">
        <v>5.08</v>
      </c>
      <c r="DX11" s="147" t="str">
        <f>IF(DC6&lt;&gt;"",MAX(DN11,DS11)*100,"")</f>
        <v/>
      </c>
      <c r="DY11" s="127">
        <f>IF(ISNUMBER(DY8),DY8^2,"")</f>
        <v>9.1204000000000001</v>
      </c>
      <c r="DZ11" s="128">
        <f t="shared" ref="DZ11:EF11" si="75">IF(ISNUMBER(DZ8),DZ8^2,"")</f>
        <v>5.6643999999999997</v>
      </c>
      <c r="EA11" s="128">
        <f t="shared" si="75"/>
        <v>3.0625</v>
      </c>
      <c r="EB11" s="128">
        <f t="shared" si="75"/>
        <v>1.2320999999999998</v>
      </c>
      <c r="EC11" s="128">
        <f t="shared" si="75"/>
        <v>2.5600000000000046E-2</v>
      </c>
      <c r="ED11" s="128">
        <f t="shared" si="75"/>
        <v>2.0449000000000006</v>
      </c>
      <c r="EE11" s="128">
        <f t="shared" si="75"/>
        <v>7.2899999999999983</v>
      </c>
      <c r="EF11" s="128">
        <f t="shared" si="75"/>
        <v>15.760900000000001</v>
      </c>
      <c r="EG11" s="129">
        <f>IF(DY11&lt;&gt;"",SUM(DY11:EF11),"")</f>
        <v>44.200800000000001</v>
      </c>
      <c r="EH11" s="135" t="s">
        <v>138</v>
      </c>
      <c r="EI11" s="136">
        <f>IF(EI9&lt;&gt;"",EG6-EI10*EG5-EI9*EG7,"")</f>
        <v>1788.2170694294218</v>
      </c>
      <c r="EJ11" s="135"/>
      <c r="EK11" s="140"/>
      <c r="EL11" s="140"/>
      <c r="EM11" s="140"/>
      <c r="EN11" s="141" t="str">
        <f>IF(EQ6="","",IF(EQ6&gt;0,EN10/70.31,""))</f>
        <v/>
      </c>
      <c r="EO11" s="141" t="str">
        <f>IF(EQ6="","",IF(EQ6&gt;0,EO10/105.46,""))</f>
        <v/>
      </c>
      <c r="EP11" s="140"/>
      <c r="EQ11" s="135">
        <v>2.54</v>
      </c>
      <c r="ER11" s="142">
        <f>IF(EB6&lt;&gt;"",EB6/70.31,"")</f>
        <v>150.26454273929741</v>
      </c>
      <c r="ES11" s="135">
        <v>5.08</v>
      </c>
      <c r="ET11" s="142">
        <f>IF(ED6&lt;&gt;"",ED6/105.46,"")</f>
        <v>150.27166698274229</v>
      </c>
      <c r="EU11" s="227">
        <f>IF(EW11&lt;&gt;"",MAX(EW11,EY11),"")</f>
        <v>15027.166698274228</v>
      </c>
      <c r="EV11" s="143">
        <v>2.54</v>
      </c>
      <c r="EW11" s="146">
        <f>IF(EB6&lt;&gt;"",MAX(EN11,ER11)*100,"")</f>
        <v>15026.454273929741</v>
      </c>
      <c r="EX11" s="143">
        <v>5.08</v>
      </c>
      <c r="EY11" s="147">
        <f>IF(ED6&lt;&gt;"",MAX(EO11,ET11)*100,"")</f>
        <v>15027.166698274228</v>
      </c>
      <c r="EZ11" s="127">
        <f>IF(ISNUMBER(EZ8),EZ8^2,"")</f>
        <v>9.1204000000000001</v>
      </c>
      <c r="FA11" s="128">
        <f t="shared" ref="FA11:FG11" si="76">IF(ISNUMBER(FA8),FA8^2,"")</f>
        <v>5.6643999999999997</v>
      </c>
      <c r="FB11" s="128">
        <f t="shared" si="76"/>
        <v>3.0625</v>
      </c>
      <c r="FC11" s="128">
        <f t="shared" si="76"/>
        <v>1.2320999999999998</v>
      </c>
      <c r="FD11" s="128">
        <f t="shared" si="76"/>
        <v>2.5600000000000046E-2</v>
      </c>
      <c r="FE11" s="128">
        <f t="shared" si="76"/>
        <v>2.0449000000000006</v>
      </c>
      <c r="FF11" s="128">
        <f t="shared" si="76"/>
        <v>7.2899999999999983</v>
      </c>
      <c r="FG11" s="128">
        <f t="shared" si="76"/>
        <v>15.760900000000001</v>
      </c>
      <c r="FH11" s="129">
        <f>IF(EZ11&lt;&gt;"",SUM(EZ11:FG11),"")</f>
        <v>44.200800000000001</v>
      </c>
      <c r="FI11" s="135" t="s">
        <v>138</v>
      </c>
      <c r="FJ11" s="136">
        <f>IF(FJ9&lt;&gt;"",FH6-FJ10*FH5-FJ9*FH7,"")</f>
        <v>1520.9811647082252</v>
      </c>
      <c r="FK11" s="135"/>
      <c r="FL11" s="140"/>
      <c r="FM11" s="140"/>
      <c r="FN11" s="140"/>
      <c r="FO11" s="141" t="str">
        <f>IF(FR6="","",IF(FR6&gt;0,FO10/70.31,""))</f>
        <v/>
      </c>
      <c r="FP11" s="141" t="str">
        <f>IF(FR6="","",IF(FR6&gt;0,FP10/105.46,""))</f>
        <v/>
      </c>
      <c r="FQ11" s="140"/>
      <c r="FR11" s="135">
        <v>2.54</v>
      </c>
      <c r="FS11" s="142">
        <f>IF(FC6&lt;&gt;"",FC6/70.31,"")</f>
        <v>201.45356279334376</v>
      </c>
      <c r="FT11" s="135">
        <v>5.08</v>
      </c>
      <c r="FU11" s="142">
        <f>IF(FE6&lt;&gt;"",FE6/105.46,"")</f>
        <v>201.4631139768633</v>
      </c>
      <c r="FV11" s="227">
        <f>IF(FX11&lt;&gt;"",MAX(FX11,FZ11),"")</f>
        <v>20146.311397686331</v>
      </c>
      <c r="FW11" s="143">
        <v>2.54</v>
      </c>
      <c r="FX11" s="146">
        <f>IF(FC6&lt;&gt;"",MAX(FO11,FS11)*100,"")</f>
        <v>20145.356279334377</v>
      </c>
      <c r="FY11" s="143">
        <v>5.08</v>
      </c>
      <c r="FZ11" s="147">
        <f>IF(FE6&lt;&gt;"",MAX(FP11,FU11)*100,"")</f>
        <v>20146.311397686331</v>
      </c>
      <c r="GA11" s="127">
        <f>IF(ISNUMBER(GA8),GA8^2,"")</f>
        <v>9.1204000000000001</v>
      </c>
      <c r="GB11" s="128">
        <f t="shared" ref="GB11:GH11" si="77">IF(ISNUMBER(GB8),GB8^2,"")</f>
        <v>5.6643999999999997</v>
      </c>
      <c r="GC11" s="128">
        <f t="shared" si="77"/>
        <v>3.0625</v>
      </c>
      <c r="GD11" s="128">
        <f t="shared" si="77"/>
        <v>1.2320999999999998</v>
      </c>
      <c r="GE11" s="128">
        <f t="shared" si="77"/>
        <v>2.5600000000000046E-2</v>
      </c>
      <c r="GF11" s="128">
        <f t="shared" si="77"/>
        <v>2.0449000000000006</v>
      </c>
      <c r="GG11" s="128">
        <f t="shared" si="77"/>
        <v>7.2899999999999983</v>
      </c>
      <c r="GH11" s="128">
        <f t="shared" si="77"/>
        <v>15.760900000000001</v>
      </c>
      <c r="GI11" s="129">
        <f>IF(GA11&lt;&gt;"",SUM(GA11:GH11),"")</f>
        <v>44.200800000000001</v>
      </c>
      <c r="GJ11" s="135" t="s">
        <v>138</v>
      </c>
      <c r="GK11" s="136">
        <f>IF(GK9&lt;&gt;"",GI6-GK10*GI5-GK9*GI7,"")</f>
        <v>417.79487273338691</v>
      </c>
      <c r="GL11" s="135"/>
      <c r="GM11" s="140"/>
      <c r="GN11" s="140"/>
      <c r="GO11" s="140"/>
      <c r="GP11" s="141" t="str">
        <f>IF(GS6="","",IF(GS6&gt;0,GP10/70.31,""))</f>
        <v/>
      </c>
      <c r="GQ11" s="141" t="str">
        <f>IF(GS6="","",IF(GS6&gt;0,GQ10/105.46,""))</f>
        <v/>
      </c>
      <c r="GR11" s="140"/>
      <c r="GS11" s="135">
        <v>2.54</v>
      </c>
      <c r="GT11" s="142">
        <f>IF(GD6&lt;&gt;"",GD6/70.31,"")</f>
        <v>165.67629071255868</v>
      </c>
      <c r="GU11" s="135">
        <v>5.08</v>
      </c>
      <c r="GV11" s="142">
        <f>IF(GF6&lt;&gt;"",GF6/105.46,"")</f>
        <v>165.50066375877111</v>
      </c>
      <c r="GW11" s="227">
        <f>IF(GY11&lt;&gt;"",MAX(GY11,HA11),"")</f>
        <v>16567.629071255869</v>
      </c>
      <c r="GX11" s="143">
        <v>2.54</v>
      </c>
      <c r="GY11" s="146">
        <f>IF(GD6&lt;&gt;"",MAX(GP11,GT11)*100,"")</f>
        <v>16567.629071255869</v>
      </c>
      <c r="GZ11" s="143">
        <v>5.08</v>
      </c>
      <c r="HA11" s="147">
        <f>IF(GF6&lt;&gt;"",MAX(GQ11,GV11)*100,"")</f>
        <v>16550.066375877112</v>
      </c>
      <c r="HB11" s="127" t="str">
        <f>IF(ISNUMBER(HB8),HB8^2,"")</f>
        <v/>
      </c>
      <c r="HC11" s="128" t="str">
        <f t="shared" ref="HC11:HI11" si="78">IF(ISNUMBER(HC8),HC8^2,"")</f>
        <v/>
      </c>
      <c r="HD11" s="128" t="str">
        <f t="shared" si="78"/>
        <v/>
      </c>
      <c r="HE11" s="128" t="str">
        <f t="shared" si="78"/>
        <v/>
      </c>
      <c r="HF11" s="128" t="str">
        <f t="shared" si="78"/>
        <v/>
      </c>
      <c r="HG11" s="128" t="str">
        <f t="shared" si="78"/>
        <v/>
      </c>
      <c r="HH11" s="128" t="str">
        <f t="shared" si="78"/>
        <v/>
      </c>
      <c r="HI11" s="128" t="str">
        <f t="shared" si="78"/>
        <v/>
      </c>
      <c r="HJ11" s="129" t="str">
        <f>IF(HB11&lt;&gt;"",SUM(HB11:HI11),"")</f>
        <v/>
      </c>
      <c r="HK11" s="135" t="s">
        <v>138</v>
      </c>
      <c r="HL11" s="136" t="str">
        <f>IF(HL9&lt;&gt;"",HJ6-HL10*HJ5-HL9*HJ7,"")</f>
        <v/>
      </c>
      <c r="HM11" s="135"/>
      <c r="HN11" s="140"/>
      <c r="HO11" s="140"/>
      <c r="HP11" s="140"/>
      <c r="HQ11" s="141" t="str">
        <f>IF(HT6="","",IF(HT6&gt;0,HQ10/70.31,""))</f>
        <v/>
      </c>
      <c r="HR11" s="141" t="str">
        <f>IF(HT6="","",IF(HT6&gt;0,HR10/105.46,""))</f>
        <v/>
      </c>
      <c r="HS11" s="140"/>
      <c r="HT11" s="135">
        <v>2.54</v>
      </c>
      <c r="HU11" s="142" t="str">
        <f>IF(HE6&lt;&gt;"",HE6/70.31,"")</f>
        <v/>
      </c>
      <c r="HV11" s="135">
        <v>5.08</v>
      </c>
      <c r="HW11" s="142" t="str">
        <f>IF(HG6&lt;&gt;"",HG6/105.46,"")</f>
        <v/>
      </c>
      <c r="HX11" s="227" t="str">
        <f>IF(HZ11&lt;&gt;"",MAX(HZ11,IB11),"")</f>
        <v/>
      </c>
      <c r="HY11" s="143">
        <v>2.54</v>
      </c>
      <c r="HZ11" s="146" t="str">
        <f>IF(HE6&lt;&gt;"",MAX(HQ11,HU11)*100,"")</f>
        <v/>
      </c>
      <c r="IA11" s="143">
        <v>5.08</v>
      </c>
      <c r="IB11" s="147" t="str">
        <f>IF(HG6&lt;&gt;"",MAX(HR11,HW11)*100,"")</f>
        <v/>
      </c>
      <c r="IC11" s="127" t="str">
        <f>IF(ISNUMBER(IC8),IC8^2,"")</f>
        <v/>
      </c>
      <c r="ID11" s="128" t="str">
        <f t="shared" ref="ID11:IJ11" si="79">IF(ISNUMBER(ID8),ID8^2,"")</f>
        <v/>
      </c>
      <c r="IE11" s="128" t="str">
        <f t="shared" si="79"/>
        <v/>
      </c>
      <c r="IF11" s="128" t="str">
        <f t="shared" si="79"/>
        <v/>
      </c>
      <c r="IG11" s="128" t="str">
        <f t="shared" si="79"/>
        <v/>
      </c>
      <c r="IH11" s="128" t="str">
        <f t="shared" si="79"/>
        <v/>
      </c>
      <c r="II11" s="128" t="str">
        <f t="shared" si="79"/>
        <v/>
      </c>
      <c r="IJ11" s="128" t="str">
        <f t="shared" si="79"/>
        <v/>
      </c>
      <c r="IK11" s="129" t="str">
        <f>IF(IC11&lt;&gt;"",SUM(IC11:IJ11),"")</f>
        <v/>
      </c>
      <c r="IL11" s="135" t="s">
        <v>138</v>
      </c>
      <c r="IM11" s="136" t="str">
        <f>IF(IM9&lt;&gt;"",IK6-IM10*IK5-IM9*IK7,"")</f>
        <v/>
      </c>
      <c r="IN11" s="135"/>
      <c r="IO11" s="140"/>
      <c r="IP11" s="140"/>
      <c r="IQ11" s="140"/>
      <c r="IR11" s="141" t="str">
        <f>IF(IU6="","",IF(IU6&gt;0,IR10/70.31,""))</f>
        <v/>
      </c>
      <c r="IS11" s="141" t="str">
        <f>IF(IU6="","",IF(IU6&gt;0,IS10/105.46,""))</f>
        <v/>
      </c>
      <c r="IT11" s="140"/>
      <c r="IU11" s="135">
        <v>2.54</v>
      </c>
      <c r="IV11" s="142" t="str">
        <f>IF(IF6&lt;&gt;"",IF6/70.31,"")</f>
        <v/>
      </c>
      <c r="IW11" s="135">
        <v>5.08</v>
      </c>
      <c r="IX11" s="142" t="str">
        <f>IF(IH6&lt;&gt;"",IH6/105.46,"")</f>
        <v/>
      </c>
      <c r="IY11" s="227" t="str">
        <f>IF(JA11&lt;&gt;"",MAX(JA11,JC11),"")</f>
        <v/>
      </c>
      <c r="IZ11" s="143">
        <v>2.54</v>
      </c>
      <c r="JA11" s="146" t="str">
        <f>IF(IF6&lt;&gt;"",MAX(IR11,IV11)*100,"")</f>
        <v/>
      </c>
      <c r="JB11" s="143">
        <v>5.08</v>
      </c>
      <c r="JC11" s="147" t="str">
        <f>IF(IH6&lt;&gt;"",MAX(IS11,IX11)*100,"")</f>
        <v/>
      </c>
      <c r="JD11" s="151"/>
      <c r="JE11" s="97"/>
      <c r="JF11" s="97"/>
      <c r="JG11" s="97"/>
      <c r="JH11" s="97"/>
      <c r="JI11" s="97"/>
      <c r="JJ11" s="98" t="str">
        <f>IF(ISNUMBER(JJ8),JJ8^2,"")</f>
        <v/>
      </c>
      <c r="JK11" s="98"/>
      <c r="JL11" s="99" t="s">
        <v>101</v>
      </c>
      <c r="JM11" s="145">
        <f>(JR7*JR9-JR8*JR5)/(JR9^2-JR6*JR5)</f>
        <v>-18983888.068764925</v>
      </c>
      <c r="JN11" s="99" t="s">
        <v>102</v>
      </c>
      <c r="JO11" s="101">
        <f>(JR8-JM11*JR6)/JR9</f>
        <v>2090578.4638345928</v>
      </c>
      <c r="JP11" s="99" t="s">
        <v>103</v>
      </c>
      <c r="JQ11" s="145">
        <f>JK6-JO11*JK5-JM11*JK7</f>
        <v>-37375.211784371626</v>
      </c>
      <c r="JR11" s="98"/>
      <c r="JS11" s="99"/>
      <c r="JT11" s="152"/>
      <c r="JU11" s="127"/>
      <c r="JV11" s="156"/>
      <c r="JW11" s="137"/>
      <c r="JX11" s="97"/>
      <c r="JY11" s="97"/>
      <c r="JZ11" s="97"/>
      <c r="KA11" s="97"/>
      <c r="KB11" s="97"/>
      <c r="KC11" s="98" t="str">
        <f>IF(ISNUMBER(KC8),KC8^2,"")</f>
        <v/>
      </c>
      <c r="KD11" s="98"/>
      <c r="KE11" s="99" t="s">
        <v>101</v>
      </c>
      <c r="KF11" s="145">
        <f>(KK7*KK9-KK8*KK5)/(KK9^2-KK6*KK5)</f>
        <v>171.14439309322029</v>
      </c>
      <c r="KG11" s="99" t="s">
        <v>102</v>
      </c>
      <c r="KH11" s="101">
        <f>(KK8-KF11*KK6)/KK9</f>
        <v>-21.547925795085952</v>
      </c>
      <c r="KI11" s="99" t="s">
        <v>103</v>
      </c>
      <c r="KJ11" s="145">
        <f>KD6-KH11*KD5-KF11*KD7</f>
        <v>0.71583846893076308</v>
      </c>
      <c r="KK11" s="98"/>
      <c r="KL11" s="99"/>
      <c r="KM11" s="152"/>
      <c r="KN11" s="173" t="str">
        <f>IF(KN8&lt;&gt;"",INDEX(LOGEST(KN9:KR9,KN8:KR8),1),"")</f>
        <v/>
      </c>
      <c r="KO11" s="141"/>
      <c r="KP11" s="143" t="s">
        <v>78</v>
      </c>
      <c r="KQ11" s="179">
        <f>IF(KQ10="NP",0,KQ10)*100</f>
        <v>0</v>
      </c>
      <c r="KR11" s="178"/>
      <c r="KS11" s="186" t="str">
        <f>IF($KT10&gt;=KS8,IF($KT9&lt;=KS8,KS8))</f>
        <v/>
      </c>
      <c r="KT11" s="187" t="str">
        <f>IF($KT10&gt;=KT8,IF($KT9&lt;=KT8,KT8))</f>
        <v/>
      </c>
      <c r="KU11" s="187" t="str">
        <f>IF($KT10&gt;=KU8,IF($KT9&lt;=KU8,KU8))</f>
        <v/>
      </c>
      <c r="KV11" s="187" t="str">
        <f>IF($KT10&gt;=KV8,IF($KT9&lt;=KV8,KV8))</f>
        <v/>
      </c>
      <c r="KW11" s="187" t="str">
        <f>IF($KT10&gt;=KW8,IF($KT9&lt;=KW8,KW8))</f>
        <v/>
      </c>
      <c r="KX11" s="189" t="s">
        <v>139</v>
      </c>
      <c r="KY11" s="191" t="s">
        <v>140</v>
      </c>
      <c r="KZ11" s="192" t="str">
        <f>IF(KY9&lt;&gt;"",KY9,"")</f>
        <v/>
      </c>
      <c r="LA11" s="202"/>
      <c r="LB11" s="141"/>
      <c r="LC11" s="141"/>
      <c r="LD11" s="141"/>
      <c r="LE11" s="141"/>
      <c r="LF11" s="211" t="s">
        <v>78</v>
      </c>
      <c r="LG11" s="212">
        <f>IF(KQ11&lt;&gt;"",KQ11,"")</f>
        <v>0</v>
      </c>
      <c r="LH11" s="212">
        <f>IF(LG11&lt;&gt;"",LG11,"")</f>
        <v>0</v>
      </c>
      <c r="LI11" s="141"/>
      <c r="LJ11" s="141"/>
      <c r="LK11" s="211" t="s">
        <v>139</v>
      </c>
      <c r="LL11" s="212">
        <f>IF(KX9&lt;&gt;"",KX9,"")</f>
        <v>0</v>
      </c>
      <c r="LM11" s="211" t="s">
        <v>78</v>
      </c>
      <c r="LN11" s="212">
        <f>IF(KX5&lt;&gt;"",KX5,"")</f>
        <v>0</v>
      </c>
      <c r="LO11" s="212">
        <f>IF(LN11&lt;&gt;"",LN11,"")</f>
        <v>0</v>
      </c>
      <c r="LP11" s="169"/>
      <c r="LQ11" s="169"/>
      <c r="LR11" s="170"/>
      <c r="LS11" s="217">
        <v>200</v>
      </c>
      <c r="LT11" s="177">
        <f>IF(LM9&lt;&gt;"",LM9*100,"")</f>
        <v>22.913159716640937</v>
      </c>
      <c r="LU11" s="1289">
        <f>IF(((0.2)*LU9)+((0.005)*(LU9)*(LW9))+((0.01)*(LV9)*(LX9))&lt;0,0,((0.2)*LU9)+((0.005)*(LU9)*(LW9))+((0.01)*(LV9)*(LX9)))</f>
        <v>0</v>
      </c>
      <c r="LV11" s="1289"/>
      <c r="LW11" s="1290" t="str">
        <f>IF(LT11="","",IF(LZ11&lt;&gt;"",LZ11,IF(LZ11="",MA11)))</f>
        <v>A-1b</v>
      </c>
      <c r="LX11" s="1290"/>
      <c r="LY11" s="218"/>
      <c r="LZ11" s="219" t="str">
        <f>IF(MA8="NP","NP",IF(LZ10=TRUE,"A-5",IF(MA10=TRUE,"A-6",IF(MB10=TRUE,"A-7-5",IF(MC10=TRUE,"A-7-6","")))))</f>
        <v/>
      </c>
      <c r="MA11" s="219" t="str">
        <f>IF(LY8=TRUE,"A-1a",IF(LZ8=TRUE,"A-1b",IF(MA8=TRUE,"A-3",IF(MB8=TRUE,"A-2-4",IF(MC8=TRUE,"A-2-5",IF(MD8=TRUE,"A-2-6",IF(ME8=TRUE,"A-2-7",IF(LY10=TRUE,"A-4"," "))))))))</f>
        <v>A-1b</v>
      </c>
      <c r="MB11" s="218"/>
      <c r="MC11" s="218"/>
      <c r="MD11" s="218"/>
      <c r="ME11" s="220"/>
      <c r="MF11" s="286"/>
      <c r="MG11" s="169"/>
      <c r="MH11" s="169"/>
      <c r="MI11" s="169"/>
      <c r="MJ11" s="169"/>
      <c r="MK11" s="169"/>
      <c r="ML11" s="169"/>
      <c r="MM11" s="169"/>
      <c r="MN11" s="169"/>
      <c r="MO11" s="169"/>
      <c r="MP11" s="169"/>
      <c r="MQ11" s="169"/>
      <c r="MR11" s="169"/>
      <c r="MS11" s="169"/>
      <c r="MT11" s="169"/>
      <c r="MU11" s="169"/>
      <c r="MV11" s="169"/>
      <c r="MW11" s="169"/>
      <c r="MX11" s="169"/>
      <c r="MY11" s="169"/>
      <c r="MZ11" s="169"/>
      <c r="NA11" s="169"/>
      <c r="NB11" s="169"/>
      <c r="NC11" s="169"/>
      <c r="ND11" s="169"/>
      <c r="NE11" s="169"/>
      <c r="NF11" s="169"/>
      <c r="NG11" s="169"/>
      <c r="NH11" s="169"/>
      <c r="NI11" s="169"/>
      <c r="NJ11" s="169"/>
      <c r="NK11" s="169"/>
      <c r="NL11" s="169"/>
      <c r="NM11" s="169"/>
      <c r="NN11" s="169"/>
      <c r="NO11" s="169"/>
      <c r="NP11" s="169"/>
      <c r="NQ11" s="169"/>
      <c r="NR11" s="169"/>
      <c r="NS11" s="169"/>
      <c r="NT11" s="169"/>
      <c r="NU11" s="169"/>
      <c r="NV11" s="169"/>
      <c r="NW11" s="169"/>
      <c r="NX11" s="169"/>
      <c r="NY11" s="169"/>
      <c r="NZ11" s="169"/>
      <c r="OA11" s="169"/>
      <c r="OB11" s="169"/>
      <c r="OC11" s="169"/>
      <c r="OD11" s="170"/>
    </row>
    <row r="12" spans="1:398" s="56" customFormat="1" ht="15" hidden="1" customHeight="1" x14ac:dyDescent="0.35">
      <c r="A12" s="1336">
        <f>A5+1</f>
        <v>2</v>
      </c>
      <c r="B12" s="1339" t="s">
        <v>10</v>
      </c>
      <c r="C12" s="1340"/>
      <c r="D12" s="1340"/>
      <c r="E12" s="1341"/>
      <c r="F12" s="1342" t="s">
        <v>11</v>
      </c>
      <c r="G12" s="1343"/>
      <c r="H12" s="1343"/>
      <c r="I12" s="1344"/>
      <c r="J12" s="495">
        <v>1</v>
      </c>
      <c r="K12" s="495">
        <v>2</v>
      </c>
      <c r="L12" s="495">
        <v>3</v>
      </c>
      <c r="M12" s="495">
        <v>4</v>
      </c>
      <c r="N12" s="495">
        <v>5</v>
      </c>
      <c r="O12" s="495"/>
      <c r="P12" s="1345" t="s">
        <v>12</v>
      </c>
      <c r="Q12" s="1346"/>
      <c r="R12" s="1345" t="s">
        <v>13</v>
      </c>
      <c r="S12" s="1347"/>
      <c r="T12" s="496" t="s">
        <v>14</v>
      </c>
      <c r="U12" s="497" t="s">
        <v>15</v>
      </c>
      <c r="V12" s="1348" t="s">
        <v>16</v>
      </c>
      <c r="W12" s="1349"/>
      <c r="X12" s="1349"/>
      <c r="Y12" s="1350"/>
      <c r="Z12" s="1351" t="s">
        <v>17</v>
      </c>
      <c r="AA12" s="1352"/>
      <c r="AB12" s="1352"/>
      <c r="AC12" s="1353"/>
      <c r="AD12" s="498">
        <v>0.5</v>
      </c>
      <c r="AE12" s="498">
        <v>1</v>
      </c>
      <c r="AF12" s="498">
        <v>1.5</v>
      </c>
      <c r="AG12" s="498">
        <v>2</v>
      </c>
      <c r="AH12" s="498">
        <v>3</v>
      </c>
      <c r="AI12" s="498">
        <v>4</v>
      </c>
      <c r="AJ12" s="498">
        <v>5</v>
      </c>
      <c r="AK12" s="499">
        <v>6</v>
      </c>
      <c r="AL12" s="1354" t="s">
        <v>18</v>
      </c>
      <c r="AM12" s="500" t="s">
        <v>19</v>
      </c>
      <c r="AN12" s="501"/>
      <c r="AO12" s="501"/>
      <c r="AP12" s="501"/>
      <c r="AQ12" s="501"/>
      <c r="AR12" s="502"/>
      <c r="AS12" s="1357">
        <f>E14</f>
        <v>0</v>
      </c>
      <c r="AT12" s="1314" t="s">
        <v>20</v>
      </c>
      <c r="AU12" s="1315"/>
      <c r="AV12" s="1315"/>
      <c r="AW12" s="1315"/>
      <c r="AX12" s="1315"/>
      <c r="AY12" s="1316"/>
      <c r="AZ12" s="1317" t="s">
        <v>21</v>
      </c>
      <c r="BA12" s="1315"/>
      <c r="BB12" s="1315"/>
      <c r="BC12" s="1315"/>
      <c r="BD12" s="1315"/>
      <c r="BE12" s="1315"/>
      <c r="BF12" s="1316"/>
      <c r="BG12" s="503" t="s">
        <v>22</v>
      </c>
      <c r="BH12" s="503" t="s">
        <v>23</v>
      </c>
      <c r="BI12" s="1317" t="s">
        <v>24</v>
      </c>
      <c r="BJ12" s="1315"/>
      <c r="BK12" s="1316"/>
      <c r="BL12" s="1318">
        <f>AS12</f>
        <v>0</v>
      </c>
      <c r="BM12" s="1306" t="s">
        <v>25</v>
      </c>
      <c r="BN12" s="80" t="s">
        <v>26</v>
      </c>
      <c r="BO12" s="80" t="str">
        <f t="shared" ref="BO12:BV12" si="80">IF(ISNUMBER(J13),J14-J15,"")</f>
        <v/>
      </c>
      <c r="BP12" s="80" t="str">
        <f t="shared" si="80"/>
        <v/>
      </c>
      <c r="BQ12" s="80" t="str">
        <f t="shared" si="80"/>
        <v/>
      </c>
      <c r="BR12" s="80" t="str">
        <f t="shared" si="80"/>
        <v/>
      </c>
      <c r="BS12" s="80" t="str">
        <f t="shared" si="80"/>
        <v/>
      </c>
      <c r="BT12" s="80" t="str">
        <f t="shared" si="80"/>
        <v/>
      </c>
      <c r="BU12" s="80">
        <f t="shared" si="80"/>
        <v>2</v>
      </c>
      <c r="BV12" s="80">
        <f t="shared" si="80"/>
        <v>2.3000000000000114</v>
      </c>
      <c r="BW12" s="1309">
        <f>IF(ISNUMBER(BU12),AVERAGE(BU15:BV15),"")</f>
        <v>1.3078780081976851E-2</v>
      </c>
      <c r="BX12" s="1311" t="s">
        <v>27</v>
      </c>
      <c r="BY12" s="1311"/>
      <c r="BZ12" s="1311"/>
      <c r="CA12" s="1311"/>
      <c r="CB12" s="1311"/>
      <c r="CC12" s="1311"/>
      <c r="CD12" s="81"/>
      <c r="CE12" s="82">
        <f t="shared" ref="CE12:CJ12" si="81">IF(J12&lt;&gt;"",BY17,"")</f>
        <v>2.2534182029408757E-2</v>
      </c>
      <c r="CF12" s="82">
        <f t="shared" si="81"/>
        <v>3.7730363730638414E-2</v>
      </c>
      <c r="CG12" s="82">
        <f t="shared" si="81"/>
        <v>5.2926545431868068E-2</v>
      </c>
      <c r="CH12" s="82">
        <f t="shared" si="81"/>
        <v>6.8122727133097721E-2</v>
      </c>
      <c r="CI12" s="82">
        <f t="shared" si="81"/>
        <v>8.3318908834327368E-2</v>
      </c>
      <c r="CJ12" s="83" t="str">
        <f t="shared" si="81"/>
        <v/>
      </c>
      <c r="CK12" s="84">
        <f>AVERAGE(CE12:CJ12)</f>
        <v>5.2926545431868068E-2</v>
      </c>
      <c r="CL12" s="85">
        <f t="shared" ref="CL12:CQ12" si="82">IF(ISNUMBER(CE15),CE15^2,"")</f>
        <v>9.2369575318714816E-4</v>
      </c>
      <c r="CM12" s="85">
        <f t="shared" si="82"/>
        <v>2.3092393829678699E-4</v>
      </c>
      <c r="CN12" s="85">
        <f t="shared" si="82"/>
        <v>0</v>
      </c>
      <c r="CO12" s="85">
        <f t="shared" si="82"/>
        <v>2.3092393829678699E-4</v>
      </c>
      <c r="CP12" s="85">
        <f t="shared" si="82"/>
        <v>9.2369575318714751E-4</v>
      </c>
      <c r="CQ12" s="85" t="str">
        <f t="shared" si="82"/>
        <v/>
      </c>
      <c r="CR12" s="86">
        <f>SUM(CL12:CQ12)</f>
        <v>2.3092393829678695E-3</v>
      </c>
      <c r="CS12" s="332" t="s">
        <v>28</v>
      </c>
      <c r="CT12" s="333">
        <f>-CO18/(2*CM18)</f>
        <v>5.8982787610074867E-2</v>
      </c>
      <c r="CU12" s="103" t="str">
        <f>IF(ISNUMBER(R13),R14-R15,"")</f>
        <v/>
      </c>
      <c r="CV12" s="103" t="str">
        <f>IF(ISNUMBER(S13),S14-S15,"")</f>
        <v/>
      </c>
      <c r="CW12" s="1312" t="str">
        <f>IF(ISNUMBER(CU12),AVERAGE(CU15:CV15),"")</f>
        <v/>
      </c>
      <c r="CX12" s="334">
        <v>0.63</v>
      </c>
      <c r="CY12" s="335">
        <v>1.27</v>
      </c>
      <c r="CZ12" s="335">
        <v>1.9</v>
      </c>
      <c r="DA12" s="335">
        <v>2.54</v>
      </c>
      <c r="DB12" s="335">
        <v>3.81</v>
      </c>
      <c r="DC12" s="335">
        <v>5.08</v>
      </c>
      <c r="DD12" s="335">
        <v>6.35</v>
      </c>
      <c r="DE12" s="335">
        <v>7.62</v>
      </c>
      <c r="DF12" s="278" t="str">
        <f>IF(CX13&lt;&gt;"",AVERAGE(CX12:DE12),"")</f>
        <v/>
      </c>
      <c r="DG12" s="121" t="str">
        <f t="shared" ref="DG12:DN12" si="83">IF(ISNUMBER(CX17),CX17^2,"")</f>
        <v/>
      </c>
      <c r="DH12" s="121" t="str">
        <f t="shared" si="83"/>
        <v/>
      </c>
      <c r="DI12" s="121" t="str">
        <f t="shared" si="83"/>
        <v/>
      </c>
      <c r="DJ12" s="121" t="str">
        <f t="shared" si="83"/>
        <v/>
      </c>
      <c r="DK12" s="121" t="str">
        <f t="shared" si="83"/>
        <v/>
      </c>
      <c r="DL12" s="121" t="str">
        <f t="shared" si="83"/>
        <v/>
      </c>
      <c r="DM12" s="121" t="str">
        <f t="shared" si="83"/>
        <v/>
      </c>
      <c r="DN12" s="121" t="str">
        <f t="shared" si="83"/>
        <v/>
      </c>
      <c r="DO12" s="121" t="str">
        <f>IF(DG12&lt;&gt;"",SUM(DG12:DN12),"")</f>
        <v/>
      </c>
      <c r="DP12" s="121">
        <v>0</v>
      </c>
      <c r="DQ12" s="121" t="str">
        <f>IF(DP13="","",IF(DP13&gt;0,DT15,-1))</f>
        <v/>
      </c>
      <c r="DR12" s="121" t="str">
        <f>IF(DP13="","",IF(DP13&gt;0,DV15,-1))</f>
        <v/>
      </c>
      <c r="DS12" s="121" t="str">
        <f>IF(DP13="","",IF(DP13&gt;0,(DJ16*DS13)+DJ17,-1))</f>
        <v/>
      </c>
      <c r="DT12" s="121" t="str">
        <f>IF(DP13="","",IF(DP13&gt;0,(DJ16*DT13)+DJ17,-1))</f>
        <v/>
      </c>
      <c r="DU12" s="121" t="str">
        <f>IF(DP13="","",IF(DP13&gt;0,DT15,-1))</f>
        <v/>
      </c>
      <c r="DV12" s="121" t="str">
        <f>IF(DP13="","",IF(DP13&gt;0,DT15,-1))</f>
        <v/>
      </c>
      <c r="DW12" s="121" t="str">
        <f>IF(DP13="","",IF(DP13&gt;0,DT15,-1))</f>
        <v/>
      </c>
      <c r="DX12" s="126" t="str">
        <f>IF(DP13="","",IF(DP13&gt;0,DS12,-1))</f>
        <v/>
      </c>
      <c r="DY12" s="334">
        <v>0.63</v>
      </c>
      <c r="DZ12" s="335">
        <v>1.27</v>
      </c>
      <c r="EA12" s="335">
        <v>1.9</v>
      </c>
      <c r="EB12" s="335">
        <v>2.54</v>
      </c>
      <c r="EC12" s="335">
        <v>3.81</v>
      </c>
      <c r="ED12" s="335">
        <v>5.08</v>
      </c>
      <c r="EE12" s="335">
        <v>6.35</v>
      </c>
      <c r="EF12" s="335">
        <v>7.62</v>
      </c>
      <c r="EG12" s="125">
        <f>IF(DY13&lt;&gt;"",AVERAGE(DY12:EF12),"")</f>
        <v>3.65</v>
      </c>
      <c r="EH12" s="121">
        <f t="shared" ref="EH12:EO12" si="84">IF(ISNUMBER(DY17),DY17^2,"")</f>
        <v>340.42833049000006</v>
      </c>
      <c r="EI12" s="121">
        <f t="shared" si="84"/>
        <v>297.03488408999999</v>
      </c>
      <c r="EJ12" s="121">
        <f t="shared" si="84"/>
        <v>232.18445376000003</v>
      </c>
      <c r="EK12" s="121">
        <f t="shared" si="84"/>
        <v>153.66081600000001</v>
      </c>
      <c r="EL12" s="121">
        <f t="shared" si="84"/>
        <v>18.761892250000002</v>
      </c>
      <c r="EM12" s="121">
        <f t="shared" si="84"/>
        <v>48.424897440000002</v>
      </c>
      <c r="EN12" s="121">
        <f t="shared" si="84"/>
        <v>461.17133000999991</v>
      </c>
      <c r="EO12" s="121">
        <f t="shared" si="84"/>
        <v>1537.95740224</v>
      </c>
      <c r="EP12" s="121">
        <f>IF(EH12&lt;&gt;"",SUM(EH12:EO12),"")</f>
        <v>3089.6240062799998</v>
      </c>
      <c r="EQ12" s="121">
        <v>0</v>
      </c>
      <c r="ER12" s="121">
        <f>IF(EQ13="","",IF(EQ13&gt;0,EU15,-1))</f>
        <v>-1</v>
      </c>
      <c r="ES12" s="121">
        <f>IF(EQ13="","",IF(EQ13&gt;0,EW15,-1))</f>
        <v>-1</v>
      </c>
      <c r="ET12" s="121">
        <f>IF(EQ13="","",IF(EQ13&gt;0,(EK16*ET13)+EK17,-1))</f>
        <v>-1</v>
      </c>
      <c r="EU12" s="121">
        <f>IF(EQ13="","",IF(EQ13&gt;0,(EK16*EU13)+EK17,-1))</f>
        <v>-1</v>
      </c>
      <c r="EV12" s="121">
        <f>IF(EQ13="","",IF(EQ13&gt;0,EU15,-1))</f>
        <v>-1</v>
      </c>
      <c r="EW12" s="121">
        <f>IF(EQ13="","",IF(EQ13&gt;0,EU15,-1))</f>
        <v>-1</v>
      </c>
      <c r="EX12" s="121">
        <f>IF(EQ13="","",IF(EQ13&gt;0,EU15,-1))</f>
        <v>-1</v>
      </c>
      <c r="EY12" s="126">
        <f>IF(EQ13="","",IF(EQ13&gt;0,ET12,-1))</f>
        <v>-1</v>
      </c>
      <c r="EZ12" s="334">
        <v>0.63</v>
      </c>
      <c r="FA12" s="335">
        <v>1.27</v>
      </c>
      <c r="FB12" s="335">
        <v>1.9</v>
      </c>
      <c r="FC12" s="335">
        <v>2.54</v>
      </c>
      <c r="FD12" s="335">
        <v>3.81</v>
      </c>
      <c r="FE12" s="335">
        <v>5.08</v>
      </c>
      <c r="FF12" s="335">
        <v>6.35</v>
      </c>
      <c r="FG12" s="335">
        <v>7.62</v>
      </c>
      <c r="FH12" s="125">
        <f>IF(EZ13&lt;&gt;"",AVERAGE(EZ12:FG12),"")</f>
        <v>3.65</v>
      </c>
      <c r="FI12" s="121">
        <f t="shared" ref="FI12:FP12" si="85">IF(ISNUMBER(EZ17),EZ17^2,"")</f>
        <v>340.42833049000006</v>
      </c>
      <c r="FJ12" s="121">
        <f t="shared" si="85"/>
        <v>297.03488408999999</v>
      </c>
      <c r="FK12" s="121">
        <f t="shared" si="85"/>
        <v>232.18445376000003</v>
      </c>
      <c r="FL12" s="121">
        <f t="shared" si="85"/>
        <v>153.66081600000001</v>
      </c>
      <c r="FM12" s="121">
        <f t="shared" si="85"/>
        <v>18.761892250000002</v>
      </c>
      <c r="FN12" s="121">
        <f t="shared" si="85"/>
        <v>48.424897440000002</v>
      </c>
      <c r="FO12" s="121">
        <f t="shared" si="85"/>
        <v>461.17133000999991</v>
      </c>
      <c r="FP12" s="121">
        <f t="shared" si="85"/>
        <v>1537.95740224</v>
      </c>
      <c r="FQ12" s="121">
        <f>IF(FI12&lt;&gt;"",SUM(FI12:FP12),"")</f>
        <v>3089.6240062799998</v>
      </c>
      <c r="FR12" s="121">
        <v>0</v>
      </c>
      <c r="FS12" s="121">
        <f>IF(FR13="","",IF(FR13&gt;0,FV15,-1))</f>
        <v>-1</v>
      </c>
      <c r="FT12" s="121">
        <f>IF(FR13="","",IF(FR13&gt;0,FX15,-1))</f>
        <v>-1</v>
      </c>
      <c r="FU12" s="121">
        <f>IF(FR13="","",IF(FR13&gt;0,(FL16*FU13)+FL17,-1))</f>
        <v>-1</v>
      </c>
      <c r="FV12" s="121">
        <f>IF(FR13="","",IF(FR13&gt;0,(FL16*FV13)+FL17,-1))</f>
        <v>-1</v>
      </c>
      <c r="FW12" s="121">
        <f>IF(FR13="","",IF(FR13&gt;0,FV15,-1))</f>
        <v>-1</v>
      </c>
      <c r="FX12" s="121">
        <f>IF(FR13="","",IF(FR13&gt;0,FV15,-1))</f>
        <v>-1</v>
      </c>
      <c r="FY12" s="121">
        <f>IF(FR13="","",IF(FR13&gt;0,FV15,-1))</f>
        <v>-1</v>
      </c>
      <c r="FZ12" s="126">
        <f>IF(FR13="","",IF(FR13&gt;0,FU12,-1))</f>
        <v>-1</v>
      </c>
      <c r="GA12" s="334">
        <v>0.63</v>
      </c>
      <c r="GB12" s="335">
        <v>1.27</v>
      </c>
      <c r="GC12" s="335">
        <v>1.9</v>
      </c>
      <c r="GD12" s="335">
        <v>2.54</v>
      </c>
      <c r="GE12" s="335">
        <v>3.81</v>
      </c>
      <c r="GF12" s="335">
        <v>5.08</v>
      </c>
      <c r="GG12" s="335">
        <v>6.35</v>
      </c>
      <c r="GH12" s="335">
        <v>7.62</v>
      </c>
      <c r="GI12" s="125">
        <f>IF(GA13&lt;&gt;"",AVERAGE(GA12:GH12),"")</f>
        <v>3.65</v>
      </c>
      <c r="GJ12" s="121">
        <f t="shared" ref="GJ12:GQ12" si="86">IF(ISNUMBER(GA17),GA17^2,"")</f>
        <v>340.42833049000006</v>
      </c>
      <c r="GK12" s="121">
        <f t="shared" si="86"/>
        <v>297.03488408999999</v>
      </c>
      <c r="GL12" s="121">
        <f t="shared" si="86"/>
        <v>232.18445376000003</v>
      </c>
      <c r="GM12" s="121">
        <f t="shared" si="86"/>
        <v>153.66081600000001</v>
      </c>
      <c r="GN12" s="121">
        <f t="shared" si="86"/>
        <v>18.761892250000002</v>
      </c>
      <c r="GO12" s="121">
        <f t="shared" si="86"/>
        <v>48.424897440000002</v>
      </c>
      <c r="GP12" s="121">
        <f t="shared" si="86"/>
        <v>461.17133000999991</v>
      </c>
      <c r="GQ12" s="121">
        <f t="shared" si="86"/>
        <v>1537.95740224</v>
      </c>
      <c r="GR12" s="121">
        <f>IF(GJ12&lt;&gt;"",SUM(GJ12:GQ12),"")</f>
        <v>3089.6240062799998</v>
      </c>
      <c r="GS12" s="121">
        <v>0</v>
      </c>
      <c r="GT12" s="121">
        <f>IF(GS13="","",IF(GS13&gt;0,GW15,-1))</f>
        <v>7.3923478179091582</v>
      </c>
      <c r="GU12" s="121">
        <f>IF(GS13="","",IF(GS13&gt;0,GY15,-1))</f>
        <v>16.678053144911221</v>
      </c>
      <c r="GV12" s="121">
        <f>IF(GS13="","",IF(GS13&gt;0,(GM16*GV13)+GM17,-1))</f>
        <v>9.2857053270020629</v>
      </c>
      <c r="GW12" s="121">
        <f>IF(GS13="","",IF(GS13&gt;0,(GM16*GW13)+GM17,-1))</f>
        <v>18.571410654004126</v>
      </c>
      <c r="GX12" s="121">
        <f>IF(GS13="","",IF(GS13&gt;0,GW15,-1))</f>
        <v>7.3923478179091582</v>
      </c>
      <c r="GY12" s="121">
        <f>IF(GS13="","",IF(GS13&gt;0,GW15,-1))</f>
        <v>7.3923478179091582</v>
      </c>
      <c r="GZ12" s="121">
        <f>IF(GS13="","",IF(GS13&gt;0,GW15,-1))</f>
        <v>7.3923478179091582</v>
      </c>
      <c r="HA12" s="126">
        <f>IF(GS13="","",IF(GS13&gt;0,GV12,-1))</f>
        <v>9.2857053270020629</v>
      </c>
      <c r="HB12" s="334">
        <v>0.63</v>
      </c>
      <c r="HC12" s="335">
        <v>1.27</v>
      </c>
      <c r="HD12" s="335">
        <v>1.9</v>
      </c>
      <c r="HE12" s="335">
        <v>2.54</v>
      </c>
      <c r="HF12" s="335">
        <v>3.81</v>
      </c>
      <c r="HG12" s="335">
        <v>5.08</v>
      </c>
      <c r="HH12" s="335">
        <v>6.35</v>
      </c>
      <c r="HI12" s="335">
        <v>7.62</v>
      </c>
      <c r="HJ12" s="125" t="str">
        <f>IF(HB13&lt;&gt;"",AVERAGE(HB12:HI12),"")</f>
        <v/>
      </c>
      <c r="HK12" s="121" t="str">
        <f t="shared" ref="HK12:HR12" si="87">IF(ISNUMBER(HB17),HB17^2,"")</f>
        <v/>
      </c>
      <c r="HL12" s="121" t="str">
        <f t="shared" si="87"/>
        <v/>
      </c>
      <c r="HM12" s="121" t="str">
        <f t="shared" si="87"/>
        <v/>
      </c>
      <c r="HN12" s="121" t="str">
        <f t="shared" si="87"/>
        <v/>
      </c>
      <c r="HO12" s="121" t="str">
        <f t="shared" si="87"/>
        <v/>
      </c>
      <c r="HP12" s="121" t="str">
        <f t="shared" si="87"/>
        <v/>
      </c>
      <c r="HQ12" s="121" t="str">
        <f t="shared" si="87"/>
        <v/>
      </c>
      <c r="HR12" s="121" t="str">
        <f t="shared" si="87"/>
        <v/>
      </c>
      <c r="HS12" s="121" t="str">
        <f>IF(HK12&lt;&gt;"",SUM(HK12:HR12),"")</f>
        <v/>
      </c>
      <c r="HT12" s="121">
        <v>0</v>
      </c>
      <c r="HU12" s="121" t="str">
        <f>IF(HT13="","",IF(HT13&gt;0,HX15,-1))</f>
        <v/>
      </c>
      <c r="HV12" s="121" t="str">
        <f>IF(HT13="","",IF(HT13&gt;0,HZ15,-1))</f>
        <v/>
      </c>
      <c r="HW12" s="121" t="str">
        <f>IF(HT13="","",IF(HT13&gt;0,(HN16*HW13)+HN17,-1))</f>
        <v/>
      </c>
      <c r="HX12" s="121" t="str">
        <f>IF(HT13="","",IF(HT13&gt;0,(HN16*HX13)+HN17,-1))</f>
        <v/>
      </c>
      <c r="HY12" s="121" t="str">
        <f>IF(HT13="","",IF(HT13&gt;0,HX15,-1))</f>
        <v/>
      </c>
      <c r="HZ12" s="121" t="str">
        <f>IF(HT13="","",IF(HT13&gt;0,HX15,-1))</f>
        <v/>
      </c>
      <c r="IA12" s="121" t="str">
        <f>IF(HT13="","",IF(HT13&gt;0,HX15,-1))</f>
        <v/>
      </c>
      <c r="IB12" s="126" t="str">
        <f>IF(HT13="","",IF(HT13&gt;0,HW12,-1))</f>
        <v/>
      </c>
      <c r="IC12" s="334">
        <v>0.63</v>
      </c>
      <c r="ID12" s="335">
        <v>1.27</v>
      </c>
      <c r="IE12" s="335">
        <v>1.9</v>
      </c>
      <c r="IF12" s="335">
        <v>2.54</v>
      </c>
      <c r="IG12" s="335">
        <v>3.81</v>
      </c>
      <c r="IH12" s="335">
        <v>5.08</v>
      </c>
      <c r="II12" s="335">
        <v>6.35</v>
      </c>
      <c r="IJ12" s="335">
        <v>7.62</v>
      </c>
      <c r="IK12" s="125" t="str">
        <f>IF(IC13&lt;&gt;"",AVERAGE(IC12:IJ12),"")</f>
        <v/>
      </c>
      <c r="IL12" s="121" t="str">
        <f t="shared" ref="IL12:IS12" si="88">IF(ISNUMBER(IC17),IC17^2,"")</f>
        <v/>
      </c>
      <c r="IM12" s="121" t="str">
        <f t="shared" si="88"/>
        <v/>
      </c>
      <c r="IN12" s="121" t="str">
        <f t="shared" si="88"/>
        <v/>
      </c>
      <c r="IO12" s="121" t="str">
        <f t="shared" si="88"/>
        <v/>
      </c>
      <c r="IP12" s="121" t="str">
        <f t="shared" si="88"/>
        <v/>
      </c>
      <c r="IQ12" s="121" t="str">
        <f t="shared" si="88"/>
        <v/>
      </c>
      <c r="IR12" s="121" t="str">
        <f t="shared" si="88"/>
        <v/>
      </c>
      <c r="IS12" s="121" t="str">
        <f t="shared" si="88"/>
        <v/>
      </c>
      <c r="IT12" s="121" t="str">
        <f>IF(IL12&lt;&gt;"",SUM(IL12:IS12),"")</f>
        <v/>
      </c>
      <c r="IU12" s="121">
        <v>0</v>
      </c>
      <c r="IV12" s="121" t="str">
        <f>IF(IU13="","",IF(IU13&gt;0,IY15,-1))</f>
        <v/>
      </c>
      <c r="IW12" s="121" t="str">
        <f>IF(IU13="","",IF(IU13&gt;0,JA15,-1))</f>
        <v/>
      </c>
      <c r="IX12" s="121" t="str">
        <f>IF(IU13="","",IF(IU13&gt;0,(IO16*IX13)+IO17,-1))</f>
        <v/>
      </c>
      <c r="IY12" s="121" t="str">
        <f>IF(IU13="","",IF(IU13&gt;0,(IO16*IY13)+IO17,-1))</f>
        <v/>
      </c>
      <c r="IZ12" s="121" t="str">
        <f>IF(IU13="","",IF(IU13&gt;0,IY15,-1))</f>
        <v/>
      </c>
      <c r="JA12" s="121" t="str">
        <f>IF(IU13="","",IF(IU13&gt;0,IY15,-1))</f>
        <v/>
      </c>
      <c r="JB12" s="121" t="str">
        <f>IF(IU13="","",IF(IU13&gt;0,IY15,-1))</f>
        <v/>
      </c>
      <c r="JC12" s="126" t="str">
        <f>IF(IU13="","",IF(IU13&gt;0,IX12,-1))</f>
        <v/>
      </c>
      <c r="JD12" s="149" t="str">
        <f t="shared" ref="JD12:JD17" si="89">IF(T13&lt;&gt;"",T13,"")</f>
        <v/>
      </c>
      <c r="JE12" s="82" t="str">
        <f>IF(JD12&lt;&gt;"",CE12,"")</f>
        <v/>
      </c>
      <c r="JF12" s="82">
        <f>IF(JD13&lt;&gt;"",CF12,"")</f>
        <v>3.7730363730638414E-2</v>
      </c>
      <c r="JG12" s="82">
        <f>IF(JD14&lt;&gt;"",CG12,"")</f>
        <v>5.2926545431868068E-2</v>
      </c>
      <c r="JH12" s="82">
        <f>IF(JD15&lt;&gt;"",CH12,"")</f>
        <v>6.8122727133097721E-2</v>
      </c>
      <c r="JI12" s="82" t="str">
        <f>IF(JD16&lt;&gt;"",CI12,"")</f>
        <v/>
      </c>
      <c r="JJ12" s="82" t="str">
        <f>IF(JD17&lt;&gt;"",CJ12,"")</f>
        <v/>
      </c>
      <c r="JK12" s="84">
        <f>AVERAGE(JE12:JJ12)</f>
        <v>5.2926545431868068E-2</v>
      </c>
      <c r="JL12" s="85" t="str">
        <f t="shared" ref="JL12:JQ12" si="90">IF(ISNUMBER(JE15),JE15^2,"")</f>
        <v/>
      </c>
      <c r="JM12" s="85">
        <f t="shared" si="90"/>
        <v>2.3092393829678699E-4</v>
      </c>
      <c r="JN12" s="85">
        <f t="shared" si="90"/>
        <v>0</v>
      </c>
      <c r="JO12" s="85">
        <f t="shared" si="90"/>
        <v>2.3092393829678699E-4</v>
      </c>
      <c r="JP12" s="85" t="str">
        <f t="shared" si="90"/>
        <v/>
      </c>
      <c r="JQ12" s="85" t="str">
        <f t="shared" si="90"/>
        <v/>
      </c>
      <c r="JR12" s="86">
        <f>SUM(JL12:JQ12)</f>
        <v>4.6184787659357397E-4</v>
      </c>
      <c r="JS12" s="336" t="s">
        <v>28</v>
      </c>
      <c r="JT12" s="337">
        <f>-JO18/(2*JM18)</f>
        <v>5.2946700003105869E-2</v>
      </c>
      <c r="JU12" s="153" t="str">
        <f>IF(T13&lt;&gt;0,LOOKUP(T13,Tara!$G$6:$G$185,Tara!$J$6:$J$185)/10,"")</f>
        <v/>
      </c>
      <c r="JV12" s="125" t="str">
        <f t="shared" ref="JV12:JV17" si="91">IF(ISNUMBER(U13),MAX(Z13:AC13)-MIN(Z13:AC13),"")</f>
        <v/>
      </c>
      <c r="JW12" s="154" t="str">
        <f t="shared" ref="JW12:JW17" si="92">IF(JV12&lt;&gt;"",JV12/JU12/10,"")</f>
        <v/>
      </c>
      <c r="JX12" s="82" t="str">
        <f>IF(JD12&lt;&gt;"",CE12,"")</f>
        <v/>
      </c>
      <c r="JY12" s="82">
        <f>IF(JD13&lt;&gt;"",CF12,"")</f>
        <v>3.7730363730638414E-2</v>
      </c>
      <c r="JZ12" s="82">
        <f>IF(JD14&lt;&gt;"",CG12,"")</f>
        <v>5.2926545431868068E-2</v>
      </c>
      <c r="KA12" s="82">
        <f>IF(JD15&lt;&gt;"",CH12,"")</f>
        <v>6.8122727133097721E-2</v>
      </c>
      <c r="KB12" s="82" t="str">
        <f>IF(JD16&lt;&gt;"",CI12,"")</f>
        <v/>
      </c>
      <c r="KC12" s="82" t="str">
        <f>IF(JD17&lt;&gt;"",CJ12,"")</f>
        <v/>
      </c>
      <c r="KD12" s="84">
        <f>AVERAGE(JX12:KC12)</f>
        <v>5.2926545431868068E-2</v>
      </c>
      <c r="KE12" s="85" t="str">
        <f t="shared" ref="KE12:KJ12" si="93">IF(ISNUMBER(JX15),JX15^2,"")</f>
        <v/>
      </c>
      <c r="KF12" s="85">
        <f t="shared" si="93"/>
        <v>2.3092393829678699E-4</v>
      </c>
      <c r="KG12" s="85">
        <f t="shared" si="93"/>
        <v>0</v>
      </c>
      <c r="KH12" s="85">
        <f t="shared" si="93"/>
        <v>2.3092393829678699E-4</v>
      </c>
      <c r="KI12" s="85" t="str">
        <f t="shared" si="93"/>
        <v/>
      </c>
      <c r="KJ12" s="85" t="str">
        <f t="shared" si="93"/>
        <v/>
      </c>
      <c r="KK12" s="86">
        <f>SUM(KE12:KJ12)</f>
        <v>4.6184787659357397E-4</v>
      </c>
      <c r="KL12" s="336" t="s">
        <v>28</v>
      </c>
      <c r="KM12" s="337">
        <f>-KH18/(2*KF18)</f>
        <v>5.122036550917651E-2</v>
      </c>
      <c r="KN12" s="165" t="str">
        <f>IF(ISNUMBER(AN12),AN13-AN14,"")</f>
        <v/>
      </c>
      <c r="KO12" s="160" t="str">
        <f>IF(ISNUMBER(AO12),AO13-AO14,"")</f>
        <v/>
      </c>
      <c r="KP12" s="160" t="str">
        <f>IF(ISNUMBER(AP12),AP13-AP14,"")</f>
        <v/>
      </c>
      <c r="KQ12" s="160" t="str">
        <f>IF(ISNUMBER(AQ12),AQ13-AQ14,"")</f>
        <v/>
      </c>
      <c r="KR12" s="166" t="str">
        <f>IF(ISNUMBER(AR12),AR13-AR14,"")</f>
        <v/>
      </c>
      <c r="KS12" s="182" t="str">
        <f>IF(ISNUMBER(AN16),AN17-AN18,"")</f>
        <v/>
      </c>
      <c r="KT12" s="183" t="str">
        <f>IF(ISNUMBER(AO16),AO17-AO18,"")</f>
        <v/>
      </c>
      <c r="KU12" s="183" t="str">
        <f>IF(ISNUMBER(AP16),AP17-AP18,"")</f>
        <v/>
      </c>
      <c r="KV12" s="183" t="str">
        <f>IF(ISNUMBER(AQ16),AQ17-AQ18,"")</f>
        <v/>
      </c>
      <c r="KW12" s="183" t="str">
        <f>IF(ISNUMBER(AR16),AR17-AR18,"")</f>
        <v/>
      </c>
      <c r="KX12" s="1274">
        <f>IF(KU17="NP",0,KU17)*100</f>
        <v>0</v>
      </c>
      <c r="KY12" s="193">
        <v>1</v>
      </c>
      <c r="KZ12" s="194">
        <v>2</v>
      </c>
      <c r="LA12" s="182">
        <f>IF(ISNUMBER(AT16),AU16-AV16,"")</f>
        <v>0</v>
      </c>
      <c r="LB12" s="183">
        <f>IF(ISNUMBER(AW16),AX16-AY16,"")</f>
        <v>0</v>
      </c>
      <c r="LC12" s="197"/>
      <c r="LD12" s="198"/>
      <c r="LE12" s="204" t="s">
        <v>29</v>
      </c>
      <c r="LF12" s="204" t="s">
        <v>30</v>
      </c>
      <c r="LG12" s="204" t="s">
        <v>31</v>
      </c>
      <c r="LH12" s="204" t="s">
        <v>32</v>
      </c>
      <c r="LI12" s="204" t="s">
        <v>33</v>
      </c>
      <c r="LJ12" s="204">
        <v>4</v>
      </c>
      <c r="LK12" s="204">
        <v>10</v>
      </c>
      <c r="LL12" s="204">
        <v>40</v>
      </c>
      <c r="LM12" s="205">
        <v>200</v>
      </c>
      <c r="LN12" s="208"/>
      <c r="LO12" s="209"/>
      <c r="LP12" s="209"/>
      <c r="LQ12" s="209"/>
      <c r="LR12" s="210"/>
      <c r="LS12" s="213"/>
      <c r="LT12" s="121"/>
      <c r="LU12" s="121"/>
      <c r="LV12" s="121"/>
      <c r="LW12" s="121"/>
      <c r="LX12" s="121"/>
      <c r="LY12" s="121"/>
      <c r="LZ12" s="121"/>
      <c r="MA12" s="121"/>
      <c r="MB12" s="121"/>
      <c r="MC12" s="121"/>
      <c r="MD12" s="121"/>
      <c r="ME12" s="126"/>
      <c r="MF12" s="208"/>
      <c r="MG12" s="209"/>
      <c r="MH12" s="209"/>
      <c r="MI12" s="209"/>
      <c r="MJ12" s="209"/>
      <c r="MK12" s="209"/>
      <c r="ML12" s="209"/>
      <c r="MM12" s="209"/>
      <c r="MN12" s="209"/>
      <c r="MO12" s="209"/>
      <c r="MP12" s="209"/>
      <c r="MQ12" s="209"/>
      <c r="MR12" s="209"/>
      <c r="MS12" s="209"/>
      <c r="MT12" s="209"/>
      <c r="MU12" s="209"/>
      <c r="MV12" s="209"/>
      <c r="MW12" s="209"/>
      <c r="MX12" s="209"/>
      <c r="MY12" s="209"/>
      <c r="MZ12" s="209"/>
      <c r="NA12" s="209"/>
      <c r="NB12" s="209"/>
      <c r="NC12" s="209"/>
      <c r="ND12" s="209"/>
      <c r="NE12" s="209"/>
      <c r="NF12" s="209"/>
      <c r="NG12" s="209"/>
      <c r="NH12" s="209"/>
      <c r="NI12" s="209"/>
      <c r="NJ12" s="209"/>
      <c r="NK12" s="209"/>
      <c r="NL12" s="209"/>
      <c r="NM12" s="209"/>
      <c r="NN12" s="209"/>
      <c r="NO12" s="209"/>
      <c r="NP12" s="209"/>
      <c r="NQ12" s="209"/>
      <c r="NR12" s="209"/>
      <c r="NS12" s="209"/>
      <c r="NT12" s="209"/>
      <c r="NU12" s="209"/>
      <c r="NV12" s="209"/>
      <c r="NW12" s="209"/>
      <c r="NX12" s="209"/>
      <c r="NY12" s="209"/>
      <c r="NZ12" s="209"/>
      <c r="OA12" s="209"/>
      <c r="OB12" s="209"/>
      <c r="OC12" s="209"/>
      <c r="OD12" s="210"/>
      <c r="OE12" s="132"/>
      <c r="OF12" s="132"/>
      <c r="OG12" s="132"/>
      <c r="OH12" s="132"/>
    </row>
    <row r="13" spans="1:398" s="57" customFormat="1" ht="15" hidden="1" customHeight="1" x14ac:dyDescent="0.3">
      <c r="A13" s="1337"/>
      <c r="B13" s="723" t="s">
        <v>34</v>
      </c>
      <c r="C13" s="665"/>
      <c r="D13" s="724" t="s">
        <v>35</v>
      </c>
      <c r="E13" s="725">
        <v>2</v>
      </c>
      <c r="F13" s="1369" t="s">
        <v>36</v>
      </c>
      <c r="G13" s="726" t="s">
        <v>37</v>
      </c>
      <c r="H13" s="727"/>
      <c r="I13" s="723" t="s">
        <v>38</v>
      </c>
      <c r="J13" s="667"/>
      <c r="K13" s="667"/>
      <c r="L13" s="667"/>
      <c r="M13" s="667"/>
      <c r="N13" s="667"/>
      <c r="O13" s="667"/>
      <c r="P13" s="669">
        <v>13</v>
      </c>
      <c r="Q13" s="670">
        <v>26</v>
      </c>
      <c r="R13" s="669"/>
      <c r="S13" s="670"/>
      <c r="T13" s="1181"/>
      <c r="U13" s="728"/>
      <c r="V13" s="729">
        <v>0.45833333333333331</v>
      </c>
      <c r="W13" s="729"/>
      <c r="X13" s="729"/>
      <c r="Y13" s="729"/>
      <c r="Z13" s="673"/>
      <c r="AA13" s="673"/>
      <c r="AB13" s="673"/>
      <c r="AC13" s="673"/>
      <c r="AD13" s="675"/>
      <c r="AE13" s="675"/>
      <c r="AF13" s="675"/>
      <c r="AG13" s="675"/>
      <c r="AH13" s="675"/>
      <c r="AI13" s="675"/>
      <c r="AJ13" s="675"/>
      <c r="AK13" s="677"/>
      <c r="AL13" s="1355"/>
      <c r="AM13" s="730" t="s">
        <v>39</v>
      </c>
      <c r="AN13" s="731"/>
      <c r="AO13" s="731"/>
      <c r="AP13" s="731"/>
      <c r="AQ13" s="731"/>
      <c r="AR13" s="732"/>
      <c r="AS13" s="1358"/>
      <c r="AT13" s="1321" t="s">
        <v>40</v>
      </c>
      <c r="AU13" s="1322"/>
      <c r="AV13" s="1323"/>
      <c r="AW13" s="1324" t="s">
        <v>41</v>
      </c>
      <c r="AX13" s="1325"/>
      <c r="AY13" s="1326"/>
      <c r="AZ13" s="1327" t="s">
        <v>42</v>
      </c>
      <c r="BA13" s="1328"/>
      <c r="BB13" s="1328"/>
      <c r="BC13" s="1328"/>
      <c r="BD13" s="1328"/>
      <c r="BE13" s="1328"/>
      <c r="BF13" s="1329"/>
      <c r="BG13" s="733" t="s">
        <v>43</v>
      </c>
      <c r="BH13" s="733" t="s">
        <v>44</v>
      </c>
      <c r="BI13" s="1327" t="s">
        <v>42</v>
      </c>
      <c r="BJ13" s="1328"/>
      <c r="BK13" s="1329"/>
      <c r="BL13" s="1319"/>
      <c r="BM13" s="1307"/>
      <c r="BN13" s="62" t="s">
        <v>45</v>
      </c>
      <c r="BO13" s="104" t="str">
        <f>IF(ISNUMBER(J13),LOOKUP(J13,Tara!$C$6:$C$185,Tara!$D$6:$D$185),"")</f>
        <v/>
      </c>
      <c r="BP13" s="104" t="str">
        <f>IF(ISNUMBER(K13),LOOKUP(K13,Tara!$C$6:$C$185,Tara!$D$6:$D$185),"")</f>
        <v/>
      </c>
      <c r="BQ13" s="104" t="str">
        <f>IF(ISNUMBER(L13),LOOKUP(L13,Tara!$C$6:$C$185,Tara!$D$6:$D$185),"")</f>
        <v/>
      </c>
      <c r="BR13" s="104" t="str">
        <f>IF(ISNUMBER(M13),LOOKUP(M13,Tara!$C$6:$C$185,Tara!$D$6:$D$185),"")</f>
        <v/>
      </c>
      <c r="BS13" s="104" t="str">
        <f>IF(ISNUMBER(N13),LOOKUP(N13,Tara!$C$6:$C$185,Tara!$D$6:$D$185),"")</f>
        <v/>
      </c>
      <c r="BT13" s="104" t="str">
        <f>IF(ISNUMBER(O13),LOOKUP(O13,Tara!$C$6:$C$185,Tara!$D$6:$D$185),"")</f>
        <v/>
      </c>
      <c r="BU13" s="104">
        <f>IF(ISNUMBER(P13),LOOKUP(P13,Tara!$C$6:$C$185,Tara!$D$6:$D$185),"")</f>
        <v>24.15</v>
      </c>
      <c r="BV13" s="104">
        <f>IF(ISNUMBER(Q13),LOOKUP(Q13,Tara!$C$6:$C$185,Tara!$D$6:$D$185),"")</f>
        <v>21.95</v>
      </c>
      <c r="BW13" s="1310"/>
      <c r="BX13" s="108" t="s">
        <v>46</v>
      </c>
      <c r="BY13" s="66">
        <f>IF(ISNUMBER(J17),LOOKUP(J17,Tara!$G$6:$G$185,Tara!$H$6:$H$185),"")</f>
        <v>5530</v>
      </c>
      <c r="BZ13" s="66">
        <f>IF(ISNUMBER(K17),LOOKUP(K17,Tara!$G$6:$G$185,Tara!$H$6:$H$185),"")</f>
        <v>4009</v>
      </c>
      <c r="CA13" s="66">
        <f>IF(ISNUMBER(L17),LOOKUP(L17,Tara!$G$6:$G$185,Tara!$H$6:$H$185),"")</f>
        <v>5343</v>
      </c>
      <c r="CB13" s="66">
        <f>IF(ISNUMBER(M17),LOOKUP(M17,Tara!$G$6:$G$185,Tara!$H$6:$H$185),"")</f>
        <v>4705</v>
      </c>
      <c r="CC13" s="66">
        <f>IF(ISNUMBER(N17),LOOKUP(N17,Tara!$G$6:$G$185,Tara!$H$6:$H$185),"")</f>
        <v>5530</v>
      </c>
      <c r="CD13" s="66" t="str">
        <f>IF(ISNUMBER(O17),LOOKUP(O17,Tara!$G$6:$G$185,Tara!$H$6:$H$185),"")</f>
        <v/>
      </c>
      <c r="CE13" s="78">
        <f t="shared" ref="CE13:CJ13" si="94">IF(J12&lt;&gt;"",BY18,"")</f>
        <v>2006.6548726761773</v>
      </c>
      <c r="CF13" s="78">
        <f t="shared" si="94"/>
        <v>2112.1163122143989</v>
      </c>
      <c r="CG13" s="78">
        <f t="shared" si="94"/>
        <v>2284.1700606501286</v>
      </c>
      <c r="CH13" s="78">
        <f t="shared" si="94"/>
        <v>2229.4893717156247</v>
      </c>
      <c r="CI13" s="78">
        <f t="shared" si="94"/>
        <v>2129.489670770407</v>
      </c>
      <c r="CJ13" s="257" t="str">
        <f t="shared" si="94"/>
        <v/>
      </c>
      <c r="CK13" s="75">
        <f>AVERAGE(CE13:CJ13)</f>
        <v>2152.3840576053472</v>
      </c>
      <c r="CL13" s="75">
        <f t="shared" ref="CL13:CQ13" si="95">IF(ISNUMBER(CE17),CE17^2,"")</f>
        <v>7.5915553595735817E-6</v>
      </c>
      <c r="CM13" s="75">
        <f t="shared" si="95"/>
        <v>3.3837114692070368E-6</v>
      </c>
      <c r="CN13" s="75">
        <f t="shared" si="95"/>
        <v>2.1330346111399257E-7</v>
      </c>
      <c r="CO13" s="75">
        <f t="shared" si="95"/>
        <v>1.8978888398933973E-6</v>
      </c>
      <c r="CP13" s="75">
        <f t="shared" si="95"/>
        <v>1.3534845876828152E-5</v>
      </c>
      <c r="CQ13" s="75" t="str">
        <f t="shared" si="95"/>
        <v/>
      </c>
      <c r="CR13" s="65">
        <f>SUM(CL13:CQ13)</f>
        <v>2.6621305006616163E-5</v>
      </c>
      <c r="CS13" s="338" t="s">
        <v>47</v>
      </c>
      <c r="CT13" s="339">
        <f>CM18*CT12^2+CO18*CT12+CQ18</f>
        <v>2250.7121728597476</v>
      </c>
      <c r="CU13" s="104" t="str">
        <f>IF(ISNUMBER(R13),LOOKUP(R13,Tara!$C$6:$C$185,Tara!$D$6:$D$185),"")</f>
        <v/>
      </c>
      <c r="CV13" s="104" t="str">
        <f>IF(ISNUMBER(S13),LOOKUP(S13,Tara!$C$6:$C$185,Tara!$D$6:$D$185),"")</f>
        <v/>
      </c>
      <c r="CW13" s="1313"/>
      <c r="CX13" s="123" t="str">
        <f t="shared" ref="CX13:DE13" si="96">IF(ISNUMBER(AD13),AD13*$W16,"")</f>
        <v/>
      </c>
      <c r="CY13" s="116" t="str">
        <f t="shared" si="96"/>
        <v/>
      </c>
      <c r="CZ13" s="116" t="str">
        <f t="shared" si="96"/>
        <v/>
      </c>
      <c r="DA13" s="116" t="str">
        <f t="shared" si="96"/>
        <v/>
      </c>
      <c r="DB13" s="116" t="str">
        <f t="shared" si="96"/>
        <v/>
      </c>
      <c r="DC13" s="116" t="str">
        <f t="shared" si="96"/>
        <v/>
      </c>
      <c r="DD13" s="116" t="str">
        <f t="shared" si="96"/>
        <v/>
      </c>
      <c r="DE13" s="116" t="str">
        <f t="shared" si="96"/>
        <v/>
      </c>
      <c r="DF13" s="279" t="str">
        <f>IF(CX13&lt;&gt;"",AVERAGE(CX13:DE13),"")</f>
        <v/>
      </c>
      <c r="DG13" s="119" t="str">
        <f t="shared" ref="DG13:DN14" si="97">IF(ISERROR(CX15*CX16),"",CX15*CX16)</f>
        <v/>
      </c>
      <c r="DH13" s="119" t="str">
        <f t="shared" si="97"/>
        <v/>
      </c>
      <c r="DI13" s="119" t="str">
        <f t="shared" si="97"/>
        <v/>
      </c>
      <c r="DJ13" s="119" t="str">
        <f t="shared" si="97"/>
        <v/>
      </c>
      <c r="DK13" s="119" t="str">
        <f t="shared" si="97"/>
        <v/>
      </c>
      <c r="DL13" s="119" t="str">
        <f t="shared" si="97"/>
        <v/>
      </c>
      <c r="DM13" s="119" t="str">
        <f t="shared" si="97"/>
        <v/>
      </c>
      <c r="DN13" s="119" t="str">
        <f t="shared" si="97"/>
        <v/>
      </c>
      <c r="DO13" s="119" t="str">
        <f>IF(DG13&lt;&gt;"",SUM(DG13:DN13),"")</f>
        <v/>
      </c>
      <c r="DP13" s="120" t="str">
        <f>IF(DJ17&lt;&gt;"",(DP12-DJ17)/DJ16,"")</f>
        <v/>
      </c>
      <c r="DQ13" s="119" t="str">
        <f>IF(DP13="","",IF(DP13&gt;0,DT14+DP13,-1))</f>
        <v/>
      </c>
      <c r="DR13" s="119" t="str">
        <f>IF(DP13="","",IF(DP13&gt;0,DV14+DP13,-1))</f>
        <v/>
      </c>
      <c r="DS13" s="119" t="str">
        <f>IF(DP13="","",IF(DP13&gt;0,DQ13,-1))</f>
        <v/>
      </c>
      <c r="DT13" s="119" t="str">
        <f>IF(DP13="","",IF(DP13&gt;0,DR13,-1))</f>
        <v/>
      </c>
      <c r="DU13" s="119" t="str">
        <f>IF(DP13="","",IF(DP13&gt;0,DT14,-1))</f>
        <v/>
      </c>
      <c r="DV13" s="119" t="str">
        <f>IF(DP13="","",IF(DP13&gt;0,DQ13,-1))</f>
        <v/>
      </c>
      <c r="DW13" s="119" t="str">
        <f>IF(DP13="","",IF(DP13&gt;0,DS13,-1))</f>
        <v/>
      </c>
      <c r="DX13" s="1182" t="str">
        <f>IF(DP13="","",IF(DP13&gt;0,DS13,-1))</f>
        <v/>
      </c>
      <c r="DY13" s="123">
        <f t="shared" ref="DY13:EF13" si="98">IF(ISNUMBER(AD14),AD14*$W16,"")</f>
        <v>5.5</v>
      </c>
      <c r="DZ13" s="116">
        <f t="shared" si="98"/>
        <v>8.7000000000000011</v>
      </c>
      <c r="EA13" s="116">
        <f t="shared" si="98"/>
        <v>10</v>
      </c>
      <c r="EB13" s="116">
        <f t="shared" si="98"/>
        <v>11.5</v>
      </c>
      <c r="EC13" s="116">
        <f t="shared" si="98"/>
        <v>13.5</v>
      </c>
      <c r="ED13" s="116">
        <f t="shared" si="98"/>
        <v>18</v>
      </c>
      <c r="EE13" s="116">
        <f t="shared" si="98"/>
        <v>23</v>
      </c>
      <c r="EF13" s="116">
        <f t="shared" si="98"/>
        <v>34</v>
      </c>
      <c r="EG13" s="116">
        <f>IF(DY13&lt;&gt;"",AVERAGE(DY13:EF13),"")</f>
        <v>15.525</v>
      </c>
      <c r="EH13" s="119">
        <f t="shared" ref="EH13:EO14" si="99">IF(ISERROR(DY15*DY16),"",DY15*DY16)</f>
        <v>30.275500000000001</v>
      </c>
      <c r="EI13" s="119">
        <f t="shared" si="99"/>
        <v>16.243499999999997</v>
      </c>
      <c r="EJ13" s="119">
        <f t="shared" si="99"/>
        <v>9.6687500000000011</v>
      </c>
      <c r="EK13" s="119">
        <f t="shared" si="99"/>
        <v>4.4677499999999997</v>
      </c>
      <c r="EL13" s="119">
        <f t="shared" si="99"/>
        <v>-0.32400000000000034</v>
      </c>
      <c r="EM13" s="119">
        <f t="shared" si="99"/>
        <v>3.53925</v>
      </c>
      <c r="EN13" s="119">
        <f t="shared" si="99"/>
        <v>20.182499999999997</v>
      </c>
      <c r="EO13" s="119">
        <f t="shared" si="99"/>
        <v>73.34575000000001</v>
      </c>
      <c r="EP13" s="119">
        <f>IF(EH13&lt;&gt;"",SUM(EH13:EO13),"")</f>
        <v>157.399</v>
      </c>
      <c r="EQ13" s="120">
        <f>IF(EK17&lt;&gt;"",(EQ12-EK17)/EK16,"")</f>
        <v>-0.50366213649218361</v>
      </c>
      <c r="ER13" s="119">
        <f>IF(EQ13="","",IF(EQ13&gt;0,EU14+EQ13,-1))</f>
        <v>-1</v>
      </c>
      <c r="ES13" s="119">
        <f>IF(EQ13="","",IF(EQ13&gt;0,EW14+EQ13,-1))</f>
        <v>-1</v>
      </c>
      <c r="ET13" s="119">
        <f>IF(EQ13="","",IF(EQ13&gt;0,ER13,-1))</f>
        <v>-1</v>
      </c>
      <c r="EU13" s="119">
        <f>IF(EQ13="","",IF(EQ13&gt;0,ES13,-1))</f>
        <v>-1</v>
      </c>
      <c r="EV13" s="119">
        <f>IF(EQ13="","",IF(EQ13&gt;0,EU14,-1))</f>
        <v>-1</v>
      </c>
      <c r="EW13" s="119">
        <f>IF(EQ13="","",IF(EQ13&gt;0,ER13,-1))</f>
        <v>-1</v>
      </c>
      <c r="EX13" s="119">
        <f>IF(EQ13="","",IF(EQ13&gt;0,ET13,-1))</f>
        <v>-1</v>
      </c>
      <c r="EY13" s="1182">
        <f>IF(EQ13="","",IF(EQ13&gt;0,ET13,-1))</f>
        <v>-1</v>
      </c>
      <c r="EZ13" s="123">
        <f t="shared" ref="EZ13:FG13" si="100">IF(ISNUMBER(AD15),AD15*$W16,"")</f>
        <v>17</v>
      </c>
      <c r="FA13" s="116">
        <f t="shared" si="100"/>
        <v>43</v>
      </c>
      <c r="FB13" s="116">
        <f t="shared" si="100"/>
        <v>65.5</v>
      </c>
      <c r="FC13" s="116">
        <f t="shared" si="100"/>
        <v>84</v>
      </c>
      <c r="FD13" s="116">
        <f t="shared" si="100"/>
        <v>103.5</v>
      </c>
      <c r="FE13" s="116">
        <f t="shared" si="100"/>
        <v>116</v>
      </c>
      <c r="FF13" s="116">
        <f t="shared" si="100"/>
        <v>130</v>
      </c>
      <c r="FG13" s="116">
        <f t="shared" si="100"/>
        <v>152</v>
      </c>
      <c r="FH13" s="116">
        <f>IF(EZ13&lt;&gt;"",AVERAGE(EZ13:FG13),"")</f>
        <v>88.875</v>
      </c>
      <c r="FI13" s="119">
        <f t="shared" ref="FI13:FP14" si="101">IF(ISERROR(EZ15*EZ16),"",EZ15*EZ16)</f>
        <v>217.0625</v>
      </c>
      <c r="FJ13" s="119">
        <f t="shared" si="101"/>
        <v>109.18249999999999</v>
      </c>
      <c r="FK13" s="119">
        <f t="shared" si="101"/>
        <v>40.90625</v>
      </c>
      <c r="FL13" s="119">
        <f t="shared" si="101"/>
        <v>5.411249999999999</v>
      </c>
      <c r="FM13" s="119">
        <f t="shared" si="101"/>
        <v>2.3400000000000021</v>
      </c>
      <c r="FN13" s="119">
        <f t="shared" si="101"/>
        <v>38.788750000000007</v>
      </c>
      <c r="FO13" s="119">
        <f t="shared" si="101"/>
        <v>111.03749999999999</v>
      </c>
      <c r="FP13" s="119">
        <f t="shared" si="101"/>
        <v>250.60625000000002</v>
      </c>
      <c r="FQ13" s="119">
        <f>IF(FI13&lt;&gt;"",SUM(FI13:FP13),"")</f>
        <v>775.33500000000004</v>
      </c>
      <c r="FR13" s="120">
        <f>IF(FL17&lt;&gt;"",(FR12-FL17)/FL16,"")</f>
        <v>-1.5477217955710865</v>
      </c>
      <c r="FS13" s="119">
        <f>IF(FR13="","",IF(FR13&gt;0,FV14+FR13,-1))</f>
        <v>-1</v>
      </c>
      <c r="FT13" s="119">
        <f>IF(FR13="","",IF(FR13&gt;0,FX14+FR13,-1))</f>
        <v>-1</v>
      </c>
      <c r="FU13" s="119">
        <f>IF(FR13="","",IF(FR13&gt;0,FS13,-1))</f>
        <v>-1</v>
      </c>
      <c r="FV13" s="119">
        <f>IF(FR13="","",IF(FR13&gt;0,FT13,-1))</f>
        <v>-1</v>
      </c>
      <c r="FW13" s="119">
        <f>IF(FR13="","",IF(FR13&gt;0,FV14,-1))</f>
        <v>-1</v>
      </c>
      <c r="FX13" s="119">
        <f>IF(FR13="","",IF(FR13&gt;0,FS13,-1))</f>
        <v>-1</v>
      </c>
      <c r="FY13" s="119">
        <f>IF(FR13="","",IF(FR13&gt;0,FU13,-1))</f>
        <v>-1</v>
      </c>
      <c r="FZ13" s="1182">
        <f>IF(FR13="","",IF(FR13&gt;0,FU13,-1))</f>
        <v>-1</v>
      </c>
      <c r="GA13" s="123">
        <f t="shared" ref="GA13:GH13" si="102">IF(ISNUMBER(AD16),AD16*$W16,"")</f>
        <v>1.5</v>
      </c>
      <c r="GB13" s="116">
        <f t="shared" si="102"/>
        <v>3</v>
      </c>
      <c r="GC13" s="116">
        <f t="shared" si="102"/>
        <v>5.5</v>
      </c>
      <c r="GD13" s="116">
        <f t="shared" si="102"/>
        <v>7.5</v>
      </c>
      <c r="GE13" s="116">
        <f t="shared" si="102"/>
        <v>12</v>
      </c>
      <c r="GF13" s="116">
        <f t="shared" si="102"/>
        <v>17</v>
      </c>
      <c r="GG13" s="116">
        <f t="shared" si="102"/>
        <v>21</v>
      </c>
      <c r="GH13" s="116">
        <f t="shared" si="102"/>
        <v>28</v>
      </c>
      <c r="GI13" s="116">
        <f>IF(GA13&lt;&gt;"",AVERAGE(GA13:GH13),"")</f>
        <v>11.9375</v>
      </c>
      <c r="GJ13" s="119">
        <f t="shared" ref="GJ13:GQ14" si="103">IF(ISERROR(GA15*GA16),"",GA15*GA16)</f>
        <v>31.521249999999998</v>
      </c>
      <c r="GK13" s="119">
        <f t="shared" si="103"/>
        <v>21.271249999999998</v>
      </c>
      <c r="GL13" s="119">
        <f t="shared" si="103"/>
        <v>11.265625</v>
      </c>
      <c r="GM13" s="119">
        <f t="shared" si="103"/>
        <v>4.9256249999999993</v>
      </c>
      <c r="GN13" s="119">
        <f t="shared" si="103"/>
        <v>1.0000000000000009E-2</v>
      </c>
      <c r="GO13" s="119">
        <f t="shared" si="103"/>
        <v>7.2393750000000008</v>
      </c>
      <c r="GP13" s="119">
        <f t="shared" si="103"/>
        <v>24.468749999999996</v>
      </c>
      <c r="GQ13" s="119">
        <f t="shared" si="103"/>
        <v>63.768125000000005</v>
      </c>
      <c r="GR13" s="119">
        <f>IF(GJ13&lt;&gt;"",SUM(GJ13:GQ13),"")</f>
        <v>164.47</v>
      </c>
      <c r="GS13" s="120">
        <f>IF(GM17&lt;&gt;"",(GS12-GM17)/GM16,"")</f>
        <v>0.51790659984777154</v>
      </c>
      <c r="GT13" s="119">
        <f>IF(GS13="","",IF(GS13&gt;0,GW14+GS13,-1))</f>
        <v>3.0579065998477715</v>
      </c>
      <c r="GU13" s="119">
        <f>IF(GS13="","",IF(GS13&gt;0,GY14+GS13,-1))</f>
        <v>5.5979065998477715</v>
      </c>
      <c r="GV13" s="119">
        <f>IF(GS13="","",IF(GS13&gt;0,GT13,-1))</f>
        <v>3.0579065998477715</v>
      </c>
      <c r="GW13" s="119">
        <f>IF(GS13="","",IF(GS13&gt;0,GU13,-1))</f>
        <v>5.5979065998477715</v>
      </c>
      <c r="GX13" s="119">
        <f>IF(GS13="","",IF(GS13&gt;0,GW14,-1))</f>
        <v>2.54</v>
      </c>
      <c r="GY13" s="119">
        <f>IF(GS13="","",IF(GS13&gt;0,GT13,-1))</f>
        <v>3.0579065998477715</v>
      </c>
      <c r="GZ13" s="119">
        <f>IF(GS13="","",IF(GS13&gt;0,GV13,-1))</f>
        <v>3.0579065998477715</v>
      </c>
      <c r="HA13" s="1182">
        <f>IF(GS13="","",IF(GS13&gt;0,GV13,-1))</f>
        <v>3.0579065998477715</v>
      </c>
      <c r="HB13" s="123" t="str">
        <f t="shared" ref="HB13:HI13" si="104">IF(ISNUMBER(AD17),AD17*$W16,"")</f>
        <v/>
      </c>
      <c r="HC13" s="116" t="str">
        <f t="shared" si="104"/>
        <v/>
      </c>
      <c r="HD13" s="116" t="str">
        <f t="shared" si="104"/>
        <v/>
      </c>
      <c r="HE13" s="116" t="str">
        <f t="shared" si="104"/>
        <v/>
      </c>
      <c r="HF13" s="116" t="str">
        <f t="shared" si="104"/>
        <v/>
      </c>
      <c r="HG13" s="116" t="str">
        <f t="shared" si="104"/>
        <v/>
      </c>
      <c r="HH13" s="116" t="str">
        <f t="shared" si="104"/>
        <v/>
      </c>
      <c r="HI13" s="116" t="str">
        <f t="shared" si="104"/>
        <v/>
      </c>
      <c r="HJ13" s="116" t="str">
        <f>IF(HB13&lt;&gt;"",AVERAGE(HB13:HI13),"")</f>
        <v/>
      </c>
      <c r="HK13" s="119" t="str">
        <f t="shared" ref="HK13:HR14" si="105">IF(ISERROR(HB15*HB16),"",HB15*HB16)</f>
        <v/>
      </c>
      <c r="HL13" s="119" t="str">
        <f t="shared" si="105"/>
        <v/>
      </c>
      <c r="HM13" s="119" t="str">
        <f t="shared" si="105"/>
        <v/>
      </c>
      <c r="HN13" s="119" t="str">
        <f t="shared" si="105"/>
        <v/>
      </c>
      <c r="HO13" s="119" t="str">
        <f t="shared" si="105"/>
        <v/>
      </c>
      <c r="HP13" s="119" t="str">
        <f t="shared" si="105"/>
        <v/>
      </c>
      <c r="HQ13" s="119" t="str">
        <f t="shared" si="105"/>
        <v/>
      </c>
      <c r="HR13" s="119" t="str">
        <f t="shared" si="105"/>
        <v/>
      </c>
      <c r="HS13" s="119" t="str">
        <f>IF(HK13&lt;&gt;"",SUM(HK13:HR13),"")</f>
        <v/>
      </c>
      <c r="HT13" s="120" t="str">
        <f>IF(HN17&lt;&gt;"",(HT12-HN17)/HN16,"")</f>
        <v/>
      </c>
      <c r="HU13" s="119" t="str">
        <f>IF(HT13="","",IF(HT13&gt;0,HX14+HT13,-1))</f>
        <v/>
      </c>
      <c r="HV13" s="119" t="str">
        <f>IF(HT13="","",IF(HT13&gt;0,HZ14+HT13,-1))</f>
        <v/>
      </c>
      <c r="HW13" s="119" t="str">
        <f>IF(HT13="","",IF(HT13&gt;0,HU13,-1))</f>
        <v/>
      </c>
      <c r="HX13" s="119" t="str">
        <f>IF(HT13="","",IF(HT13&gt;0,HV13,-1))</f>
        <v/>
      </c>
      <c r="HY13" s="119" t="str">
        <f>IF(HT13="","",IF(HT13&gt;0,HX14,-1))</f>
        <v/>
      </c>
      <c r="HZ13" s="119" t="str">
        <f>IF(HT13="","",IF(HT13&gt;0,HU13,-1))</f>
        <v/>
      </c>
      <c r="IA13" s="119" t="str">
        <f>IF(HT13="","",IF(HT13&gt;0,HW13,-1))</f>
        <v/>
      </c>
      <c r="IB13" s="1182" t="str">
        <f>IF(HT13="","",IF(HT13&gt;0,HW13,-1))</f>
        <v/>
      </c>
      <c r="IC13" s="123" t="str">
        <f t="shared" ref="IC13:IJ13" si="106">IF(ISNUMBER(AD18),AD18*$W16,"")</f>
        <v/>
      </c>
      <c r="ID13" s="116" t="str">
        <f t="shared" si="106"/>
        <v/>
      </c>
      <c r="IE13" s="116" t="str">
        <f t="shared" si="106"/>
        <v/>
      </c>
      <c r="IF13" s="116" t="str">
        <f t="shared" si="106"/>
        <v/>
      </c>
      <c r="IG13" s="116" t="str">
        <f t="shared" si="106"/>
        <v/>
      </c>
      <c r="IH13" s="116" t="str">
        <f t="shared" si="106"/>
        <v/>
      </c>
      <c r="II13" s="116" t="str">
        <f t="shared" si="106"/>
        <v/>
      </c>
      <c r="IJ13" s="116" t="str">
        <f t="shared" si="106"/>
        <v/>
      </c>
      <c r="IK13" s="116" t="str">
        <f>IF(IC13&lt;&gt;"",AVERAGE(IC13:IJ13),"")</f>
        <v/>
      </c>
      <c r="IL13" s="119" t="str">
        <f t="shared" ref="IL13:IS14" si="107">IF(ISERROR(IC15*IC16),"",IC15*IC16)</f>
        <v/>
      </c>
      <c r="IM13" s="119" t="str">
        <f t="shared" si="107"/>
        <v/>
      </c>
      <c r="IN13" s="119" t="str">
        <f t="shared" si="107"/>
        <v/>
      </c>
      <c r="IO13" s="119" t="str">
        <f t="shared" si="107"/>
        <v/>
      </c>
      <c r="IP13" s="119" t="str">
        <f t="shared" si="107"/>
        <v/>
      </c>
      <c r="IQ13" s="119" t="str">
        <f t="shared" si="107"/>
        <v/>
      </c>
      <c r="IR13" s="119" t="str">
        <f t="shared" si="107"/>
        <v/>
      </c>
      <c r="IS13" s="119" t="str">
        <f t="shared" si="107"/>
        <v/>
      </c>
      <c r="IT13" s="119" t="str">
        <f>IF(IL13&lt;&gt;"",SUM(IL13:IS13),"")</f>
        <v/>
      </c>
      <c r="IU13" s="120" t="str">
        <f>IF(IO17&lt;&gt;"",(IU12-IO17)/IO16,"")</f>
        <v/>
      </c>
      <c r="IV13" s="119" t="str">
        <f>IF(IU13="","",IF(IU13&gt;0,IY14+IU13,-1))</f>
        <v/>
      </c>
      <c r="IW13" s="119" t="str">
        <f>IF(IU13="","",IF(IU13&gt;0,JA14+IU13,-1))</f>
        <v/>
      </c>
      <c r="IX13" s="119" t="str">
        <f>IF(IU13="","",IF(IU13&gt;0,IV13,-1))</f>
        <v/>
      </c>
      <c r="IY13" s="119" t="str">
        <f>IF(IU13="","",IF(IU13&gt;0,IW13,-1))</f>
        <v/>
      </c>
      <c r="IZ13" s="119" t="str">
        <f>IF(IU13="","",IF(IU13&gt;0,IY14,-1))</f>
        <v/>
      </c>
      <c r="JA13" s="119" t="str">
        <f>IF(IU13="","",IF(IU13&gt;0,IV13,-1))</f>
        <v/>
      </c>
      <c r="JB13" s="119" t="str">
        <f>IF(IU13="","",IF(IU13&gt;0,IX13,-1))</f>
        <v/>
      </c>
      <c r="JC13" s="1182" t="str">
        <f>IF(IU13="","",IF(IU13&gt;0,IX13,-1))</f>
        <v/>
      </c>
      <c r="JD13" s="150">
        <f t="shared" si="89"/>
        <v>2</v>
      </c>
      <c r="JE13" s="144" t="str">
        <f>IF(JD12&lt;&gt;"",MAX(DV18,DX18),"")</f>
        <v/>
      </c>
      <c r="JF13" s="144">
        <f>IF(JD13&lt;&gt;"",MAX(EW18,EY18),"")</f>
        <v>17.068082685378343</v>
      </c>
      <c r="JG13" s="144">
        <f>IF(JD14&lt;&gt;"",MAX(FX18,FZ18),"")</f>
        <v>119.47091452140519</v>
      </c>
      <c r="JH13" s="144">
        <f>IF(JD15&lt;&gt;"",MAX(GY18,HA18),"")</f>
        <v>17.609909590369931</v>
      </c>
      <c r="JI13" s="144" t="str">
        <f>IF(JD16&lt;&gt;"",MAX(HZ18,IB18),"")</f>
        <v/>
      </c>
      <c r="JJ13" s="144" t="str">
        <f>IF(JJ12&lt;&gt;"",MAX(JA18,JC18),"")</f>
        <v/>
      </c>
      <c r="JK13" s="148">
        <f>AVERAGE(JE13:JJ13)</f>
        <v>51.382968932384493</v>
      </c>
      <c r="JL13" s="75" t="str">
        <f t="shared" ref="JL13:JQ13" si="108">IF(ISNUMBER(JE17),JE17^2,"")</f>
        <v/>
      </c>
      <c r="JM13" s="75">
        <f t="shared" si="108"/>
        <v>2.3457622805281653E-6</v>
      </c>
      <c r="JN13" s="75">
        <f t="shared" si="108"/>
        <v>2.370038456822131E-8</v>
      </c>
      <c r="JO13" s="75">
        <f t="shared" si="108"/>
        <v>2.8410364902993834E-6</v>
      </c>
      <c r="JP13" s="75" t="str">
        <f t="shared" si="108"/>
        <v/>
      </c>
      <c r="JQ13" s="75" t="str">
        <f t="shared" si="108"/>
        <v/>
      </c>
      <c r="JR13" s="65">
        <f>SUM(JL13:JQ13)</f>
        <v>5.2104991553957701E-6</v>
      </c>
      <c r="JS13" s="138" t="s">
        <v>47</v>
      </c>
      <c r="JT13" s="1183">
        <f>JM18*JT12^2+JO18*JT12+JQ18</f>
        <v>119.47109417654906</v>
      </c>
      <c r="JU13" s="123">
        <f>IF(T14&lt;&gt;0,LOOKUP(T14,Tara!$G$6:$G$185,Tara!$J$6:$J$185)/10,"")</f>
        <v>11.494</v>
      </c>
      <c r="JV13" s="116">
        <f t="shared" si="91"/>
        <v>0.15999999999999992</v>
      </c>
      <c r="JW13" s="155">
        <f t="shared" si="92"/>
        <v>1.392030624673742E-3</v>
      </c>
      <c r="JX13" s="120" t="str">
        <f>IF(JD12&lt;&gt;"",JW12*100,"")</f>
        <v/>
      </c>
      <c r="JY13" s="120">
        <f>IF(JD13&lt;&gt;"",JW13*100,"")</f>
        <v>0.13920306246737421</v>
      </c>
      <c r="JZ13" s="120">
        <f>IF(JD14&lt;&gt;"",JW14*100,"")</f>
        <v>0.3043478260869566</v>
      </c>
      <c r="KA13" s="120">
        <f>IF(JD15&lt;&gt;"",JW15*100,"")</f>
        <v>4.3557801202195344E-2</v>
      </c>
      <c r="KB13" s="120" t="str">
        <f>IF(JD16&lt;&gt;"",JW16*100,"")</f>
        <v/>
      </c>
      <c r="KC13" s="120" t="str">
        <f>IF(KC12&lt;&gt;"",JW17*100,"")</f>
        <v/>
      </c>
      <c r="KD13" s="148">
        <f>AVERAGE(JX13:KC13)</f>
        <v>0.16236956325217536</v>
      </c>
      <c r="KE13" s="75" t="str">
        <f t="shared" ref="KE13:KJ13" si="109">IF(ISNUMBER(JX17),JX17^2,"")</f>
        <v/>
      </c>
      <c r="KF13" s="75">
        <f t="shared" si="109"/>
        <v>2.3457622805281653E-6</v>
      </c>
      <c r="KG13" s="75">
        <f t="shared" si="109"/>
        <v>2.370038456822131E-8</v>
      </c>
      <c r="KH13" s="75">
        <f t="shared" si="109"/>
        <v>2.8410364902993834E-6</v>
      </c>
      <c r="KI13" s="75" t="str">
        <f t="shared" si="109"/>
        <v/>
      </c>
      <c r="KJ13" s="75" t="str">
        <f t="shared" si="109"/>
        <v/>
      </c>
      <c r="KK13" s="65">
        <f>SUM(KE13:KJ13)</f>
        <v>5.2104991553957701E-6</v>
      </c>
      <c r="KL13" s="138" t="s">
        <v>47</v>
      </c>
      <c r="KM13" s="1184">
        <f>KF18*KM12^2+KH18*KM12+KJ18</f>
        <v>0.30703251405165499</v>
      </c>
      <c r="KN13" s="167" t="str">
        <f>IF(ISNUMBER(AN12),LOOKUP(AN12,Tara!$A$6:$A$185,Tara!$B$6:$B$185),"")</f>
        <v/>
      </c>
      <c r="KO13" s="161" t="str">
        <f>IF(ISNUMBER(AO12),LOOKUP(AO12,Tara!$A$6:$A$185,Tara!$B$6:$B$185),"")</f>
        <v/>
      </c>
      <c r="KP13" s="161" t="str">
        <f>IF(ISNUMBER(AP12),LOOKUP(AP12,Tara!$A$6:$A$185,Tara!$B$6:$B$185),"")</f>
        <v/>
      </c>
      <c r="KQ13" s="161" t="str">
        <f>IF(ISNUMBER(AQ12),LOOKUP(AQ12,Tara!$A$6:$A$185,Tara!$B$6:$B$185),"")</f>
        <v/>
      </c>
      <c r="KR13" s="1185" t="str">
        <f>IF(ISNUMBER(AR12),LOOKUP(AR12,Tara!$A$6:$A$185,Tara!$B$6:$B$185),"")</f>
        <v/>
      </c>
      <c r="KS13" s="167" t="str">
        <f>IF(ISNUMBER(AN16),LOOKUP(AN16,Tara!$E$6:$E$185,Tara!$F$6:$F$185),"")</f>
        <v/>
      </c>
      <c r="KT13" s="161" t="str">
        <f>IF(ISNUMBER(AO16),LOOKUP(AO16,Tara!$E$6:$E$185,Tara!$F$6:$F$185),"")</f>
        <v/>
      </c>
      <c r="KU13" s="161" t="str">
        <f>IF(ISNUMBER(AP16),LOOKUP(AP16,Tara!$E$6:$E$185,Tara!$F$6:$F$185),"")</f>
        <v/>
      </c>
      <c r="KV13" s="161" t="str">
        <f>IF(ISNUMBER(AQ16),LOOKUP(AQ16,Tara!$E$6:$E$185,Tara!$F$6:$F$185),"")</f>
        <v/>
      </c>
      <c r="KW13" s="161" t="str">
        <f>IF(ISNUMBER(AR16),LOOKUP(AR16,Tara!$E$6:$E$185,Tara!$F$6:$F$185),"")</f>
        <v/>
      </c>
      <c r="KX13" s="1275"/>
      <c r="KY13" s="195" t="str">
        <f>IF(AX17&lt;&gt;"",AX17,"")</f>
        <v/>
      </c>
      <c r="KZ13" s="1186" t="str">
        <f>IF(BA17&lt;&gt;"",BA17,"")</f>
        <v/>
      </c>
      <c r="LA13" s="167">
        <f>IF(ISNUMBER(AT16),LOOKUP(AT16,Tara!$C$6:$C$185,Tara!$D$6:$D$185),"")</f>
        <v>26.16</v>
      </c>
      <c r="LB13" s="161">
        <f>IF(ISNUMBER(AW16),LOOKUP(AW16,Tara!$C$6:$C$185,Tara!$D$6:$D$185),"")</f>
        <v>26.16</v>
      </c>
      <c r="LC13" s="120">
        <f>IF(BG16&lt;&gt;"",BG16,"")</f>
        <v>2000</v>
      </c>
      <c r="LD13" s="120">
        <f>IF(BH16&lt;&gt;"",BH16,"")</f>
        <v>100</v>
      </c>
      <c r="LE13" s="120">
        <f t="shared" ref="LE13:LK13" si="110">IF(AZ16&lt;&gt;"",AZ16,"")</f>
        <v>0</v>
      </c>
      <c r="LF13" s="120">
        <f t="shared" si="110"/>
        <v>0</v>
      </c>
      <c r="LG13" s="120">
        <f t="shared" si="110"/>
        <v>0</v>
      </c>
      <c r="LH13" s="120">
        <f t="shared" si="110"/>
        <v>0</v>
      </c>
      <c r="LI13" s="120">
        <f t="shared" si="110"/>
        <v>730.63</v>
      </c>
      <c r="LJ13" s="120">
        <f t="shared" si="110"/>
        <v>156.24</v>
      </c>
      <c r="LK13" s="120">
        <f t="shared" si="110"/>
        <v>136.85</v>
      </c>
      <c r="LL13" s="120">
        <f>IF(BI16&lt;&gt;"",BI16,"")</f>
        <v>9.4499999999999993</v>
      </c>
      <c r="LM13" s="1187">
        <f>IF(BK16&lt;&gt;"",BK16,"")</f>
        <v>55.49</v>
      </c>
      <c r="LN13" s="185" t="b">
        <f>IF(LM16="","",IF(AND(LE16&gt;=93%,LE16&lt;=100%,LI16&gt;=23%,LI16&lt;=72%,LJ16&gt;20%,LJ16&lt;=60%,LK16&gt;=10%,LK16&lt;=45%,LL16&gt;=6%,LL16&lt;=22%,LM16&gt;=0%,LM16&lt;=10%),"Faixa A"))</f>
        <v>0</v>
      </c>
      <c r="LO13" s="181" t="str">
        <f>IF(LM16="","",IF(AND(LG16&gt;=93%,LG16&lt;=100%,LJ16&gt;=50%,LJ16&lt;=100%,LK16&gt;=35%,LK16&lt;=100%,LL16&gt;=18%,LL16&lt;=52%,LM16&gt;=4%,LM16&lt;=22%),"Faixa E"))</f>
        <v>Faixa E</v>
      </c>
      <c r="LP13" s="181"/>
      <c r="LQ13" s="206"/>
      <c r="LR13" s="1188" t="s">
        <v>48</v>
      </c>
      <c r="LS13" s="214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82"/>
      <c r="MF13" s="1276" t="s">
        <v>49</v>
      </c>
      <c r="MG13" s="1277"/>
      <c r="MH13" s="1277"/>
      <c r="MI13" s="1277" t="s">
        <v>50</v>
      </c>
      <c r="MJ13" s="1277"/>
      <c r="MK13" s="1277"/>
      <c r="ML13" s="1277"/>
      <c r="MM13" s="1277"/>
      <c r="MN13" s="1277"/>
      <c r="MO13" s="1277"/>
      <c r="MP13" s="1277"/>
      <c r="MQ13" s="1277"/>
      <c r="MR13" s="1277"/>
      <c r="MS13" s="1277" t="s">
        <v>51</v>
      </c>
      <c r="MT13" s="1277"/>
      <c r="MU13" s="1277"/>
      <c r="MV13" s="1277"/>
      <c r="MW13" s="1277"/>
      <c r="MX13" s="1277"/>
      <c r="MY13" s="1277"/>
      <c r="MZ13" s="1277" t="s">
        <v>52</v>
      </c>
      <c r="NA13" s="1277"/>
      <c r="NB13" s="1277"/>
      <c r="NC13" s="1277"/>
      <c r="ND13" s="1277" t="s">
        <v>53</v>
      </c>
      <c r="NE13" s="1277"/>
      <c r="NF13" s="1277"/>
      <c r="NG13" s="1277" t="s">
        <v>54</v>
      </c>
      <c r="NH13" s="1277"/>
      <c r="NI13" s="1277"/>
      <c r="NJ13" s="1277"/>
      <c r="NK13" s="1277"/>
      <c r="NL13" s="1277"/>
      <c r="NM13" s="1277"/>
      <c r="NN13" s="1277"/>
      <c r="NO13" s="1277"/>
      <c r="NP13" s="1277"/>
      <c r="NQ13" s="1277"/>
      <c r="NR13" s="1277"/>
      <c r="NS13" s="1277"/>
      <c r="NT13" s="1277"/>
      <c r="NU13" s="1277"/>
      <c r="NV13" s="1277"/>
      <c r="NW13" s="1277"/>
      <c r="NX13" s="1277"/>
      <c r="NY13" s="1277"/>
      <c r="NZ13" s="1277"/>
      <c r="OA13" s="1277"/>
      <c r="OB13" s="1277"/>
      <c r="OC13" s="1277"/>
      <c r="OD13" s="1278"/>
      <c r="OE13" s="701"/>
      <c r="OF13" s="132"/>
      <c r="OG13" s="132"/>
      <c r="OH13" s="132"/>
    </row>
    <row r="14" spans="1:398" s="56" customFormat="1" ht="15" hidden="1" customHeight="1" x14ac:dyDescent="0.3">
      <c r="A14" s="1337"/>
      <c r="B14" s="734" t="s">
        <v>55</v>
      </c>
      <c r="C14" s="666"/>
      <c r="D14" s="734" t="s">
        <v>57</v>
      </c>
      <c r="E14" s="688"/>
      <c r="F14" s="1370"/>
      <c r="G14" s="726" t="s">
        <v>58</v>
      </c>
      <c r="H14" s="665" t="s">
        <v>59</v>
      </c>
      <c r="I14" s="735" t="s">
        <v>60</v>
      </c>
      <c r="J14" s="736"/>
      <c r="K14" s="736"/>
      <c r="L14" s="736"/>
      <c r="M14" s="736"/>
      <c r="N14" s="736"/>
      <c r="O14" s="736"/>
      <c r="P14" s="671">
        <v>189</v>
      </c>
      <c r="Q14" s="672">
        <v>190</v>
      </c>
      <c r="R14" s="671"/>
      <c r="S14" s="672"/>
      <c r="T14" s="1181">
        <f>IF(U14="","",2)</f>
        <v>2</v>
      </c>
      <c r="U14" s="728">
        <v>57</v>
      </c>
      <c r="V14" s="737"/>
      <c r="W14" s="737"/>
      <c r="X14" s="737"/>
      <c r="Y14" s="737"/>
      <c r="Z14" s="673">
        <v>1</v>
      </c>
      <c r="AA14" s="673">
        <v>1</v>
      </c>
      <c r="AB14" s="673">
        <v>1</v>
      </c>
      <c r="AC14" s="673">
        <v>1.1599999999999999</v>
      </c>
      <c r="AD14" s="674">
        <v>55</v>
      </c>
      <c r="AE14" s="675">
        <v>87</v>
      </c>
      <c r="AF14" s="675">
        <v>100</v>
      </c>
      <c r="AG14" s="675">
        <v>115</v>
      </c>
      <c r="AH14" s="675">
        <v>135</v>
      </c>
      <c r="AI14" s="675">
        <v>180</v>
      </c>
      <c r="AJ14" s="675">
        <v>230</v>
      </c>
      <c r="AK14" s="675">
        <v>340</v>
      </c>
      <c r="AL14" s="1355"/>
      <c r="AM14" s="730" t="s">
        <v>61</v>
      </c>
      <c r="AN14" s="731"/>
      <c r="AO14" s="731"/>
      <c r="AP14" s="731"/>
      <c r="AQ14" s="731"/>
      <c r="AR14" s="732"/>
      <c r="AS14" s="1358"/>
      <c r="AT14" s="1330" t="s">
        <v>62</v>
      </c>
      <c r="AU14" s="1332" t="s">
        <v>63</v>
      </c>
      <c r="AV14" s="1332" t="s">
        <v>64</v>
      </c>
      <c r="AW14" s="1332" t="s">
        <v>62</v>
      </c>
      <c r="AX14" s="1332" t="s">
        <v>63</v>
      </c>
      <c r="AY14" s="1332" t="s">
        <v>64</v>
      </c>
      <c r="AZ14" s="738" t="s">
        <v>29</v>
      </c>
      <c r="BA14" s="738" t="s">
        <v>30</v>
      </c>
      <c r="BB14" s="738" t="s">
        <v>31</v>
      </c>
      <c r="BC14" s="738" t="s">
        <v>32</v>
      </c>
      <c r="BD14" s="738" t="s">
        <v>33</v>
      </c>
      <c r="BE14" s="738">
        <v>4</v>
      </c>
      <c r="BF14" s="738">
        <v>10</v>
      </c>
      <c r="BG14" s="1334" t="s">
        <v>65</v>
      </c>
      <c r="BH14" s="1334" t="s">
        <v>66</v>
      </c>
      <c r="BI14" s="738">
        <v>40</v>
      </c>
      <c r="BJ14" s="738">
        <v>100</v>
      </c>
      <c r="BK14" s="738">
        <v>200</v>
      </c>
      <c r="BL14" s="1319"/>
      <c r="BM14" s="1307"/>
      <c r="BN14" s="62" t="s">
        <v>67</v>
      </c>
      <c r="BO14" s="62" t="str">
        <f t="shared" ref="BO14:BV14" si="111">IF(ISNUMBER(J13),J15-BO13,"")</f>
        <v/>
      </c>
      <c r="BP14" s="62" t="str">
        <f t="shared" si="111"/>
        <v/>
      </c>
      <c r="BQ14" s="62" t="str">
        <f t="shared" si="111"/>
        <v/>
      </c>
      <c r="BR14" s="62" t="str">
        <f t="shared" si="111"/>
        <v/>
      </c>
      <c r="BS14" s="62" t="str">
        <f t="shared" si="111"/>
        <v/>
      </c>
      <c r="BT14" s="62" t="str">
        <f t="shared" si="111"/>
        <v/>
      </c>
      <c r="BU14" s="62">
        <f t="shared" si="111"/>
        <v>162.85</v>
      </c>
      <c r="BV14" s="62">
        <f t="shared" si="111"/>
        <v>165.75</v>
      </c>
      <c r="BW14" s="1310"/>
      <c r="BX14" s="108" t="s">
        <v>68</v>
      </c>
      <c r="BY14" s="66">
        <f>IF(ISNUMBER(J17),LOOKUP(J17,Tara!$G$6:$G$185,Tara!$I$6:$I$185),"")</f>
        <v>2082</v>
      </c>
      <c r="BZ14" s="66">
        <f>IF(ISNUMBER(K17),LOOKUP(K17,Tara!$G$6:$G$185,Tara!$I$6:$I$185),"")</f>
        <v>2075</v>
      </c>
      <c r="CA14" s="66">
        <f>IF(ISNUMBER(L17),LOOKUP(L17,Tara!$G$6:$G$185,Tara!$I$6:$I$185),"")</f>
        <v>2054</v>
      </c>
      <c r="CB14" s="66">
        <f>IF(ISNUMBER(M17),LOOKUP(M17,Tara!$G$6:$G$185,Tara!$I$6:$I$185),"")</f>
        <v>2061</v>
      </c>
      <c r="CC14" s="66">
        <f>IF(ISNUMBER(N17),LOOKUP(N17,Tara!$G$6:$G$185,Tara!$I$6:$I$185),"")</f>
        <v>2082</v>
      </c>
      <c r="CD14" s="66" t="str">
        <f>IF(ISNUMBER(O17),LOOKUP(O17,Tara!$G$6:$G$185,Tara!$I$6:$I$185),"")</f>
        <v/>
      </c>
      <c r="CE14" s="77">
        <f t="shared" ref="CE14:CJ14" si="112">IF(ISNUMBER(CE12),CE12^2,"")</f>
        <v>5.0778935973452854E-4</v>
      </c>
      <c r="CF14" s="77">
        <f t="shared" si="112"/>
        <v>1.4235803472462747E-3</v>
      </c>
      <c r="CG14" s="77">
        <f t="shared" si="112"/>
        <v>2.8012192113515944E-3</v>
      </c>
      <c r="CH14" s="77">
        <f t="shared" si="112"/>
        <v>4.6407059520504881E-3</v>
      </c>
      <c r="CI14" s="77">
        <f t="shared" si="112"/>
        <v>6.9420405693429547E-3</v>
      </c>
      <c r="CJ14" s="72" t="str">
        <f t="shared" si="112"/>
        <v/>
      </c>
      <c r="CK14" s="75">
        <f>AVERAGE(CE14:CJ14)</f>
        <v>3.2630670879451678E-3</v>
      </c>
      <c r="CL14" s="75">
        <f t="shared" ref="CL14:CQ14" si="113">IF(ISERROR(CE16*CE16),"",CE15*CE16)</f>
        <v>4.429054346711526</v>
      </c>
      <c r="CM14" s="75">
        <f t="shared" si="113"/>
        <v>0.61191597565970213</v>
      </c>
      <c r="CN14" s="75">
        <f t="shared" si="113"/>
        <v>0</v>
      </c>
      <c r="CO14" s="75">
        <f t="shared" si="113"/>
        <v>1.1717063633501636</v>
      </c>
      <c r="CP14" s="75">
        <f t="shared" si="113"/>
        <v>-0.69581452456398185</v>
      </c>
      <c r="CQ14" s="75" t="str">
        <f t="shared" si="113"/>
        <v/>
      </c>
      <c r="CR14" s="65">
        <f>SUM(CL14:CQ14)</f>
        <v>5.5168621611574098</v>
      </c>
      <c r="CS14" s="71"/>
      <c r="CT14" s="64"/>
      <c r="CU14" s="702" t="str">
        <f>IF(ISNUMBER(R13),R15-CU13,"")</f>
        <v/>
      </c>
      <c r="CV14" s="702" t="str">
        <f>IF(ISNUMBER(S13),S15-CV13,"")</f>
        <v/>
      </c>
      <c r="CW14" s="1313"/>
      <c r="CX14" s="123" t="str">
        <f>IF(CX13&lt;&gt;"",CX12^2,"")</f>
        <v/>
      </c>
      <c r="CY14" s="116" t="str">
        <f t="shared" ref="CY14:DE14" si="114">IF(CY13&lt;&gt;"",CY12^2,"")</f>
        <v/>
      </c>
      <c r="CZ14" s="116" t="str">
        <f t="shared" si="114"/>
        <v/>
      </c>
      <c r="DA14" s="116" t="str">
        <f t="shared" si="114"/>
        <v/>
      </c>
      <c r="DB14" s="116" t="str">
        <f t="shared" si="114"/>
        <v/>
      </c>
      <c r="DC14" s="116" t="str">
        <f t="shared" si="114"/>
        <v/>
      </c>
      <c r="DD14" s="116" t="str">
        <f t="shared" si="114"/>
        <v/>
      </c>
      <c r="DE14" s="116" t="str">
        <f t="shared" si="114"/>
        <v/>
      </c>
      <c r="DF14" s="279" t="str">
        <f>IF(CX14&lt;&gt;"",AVERAGE(CX14:DE14),"")</f>
        <v/>
      </c>
      <c r="DG14" s="119" t="str">
        <f t="shared" si="97"/>
        <v/>
      </c>
      <c r="DH14" s="119" t="str">
        <f t="shared" si="97"/>
        <v/>
      </c>
      <c r="DI14" s="119" t="str">
        <f t="shared" si="97"/>
        <v/>
      </c>
      <c r="DJ14" s="119" t="str">
        <f t="shared" si="97"/>
        <v/>
      </c>
      <c r="DK14" s="119" t="str">
        <f t="shared" si="97"/>
        <v/>
      </c>
      <c r="DL14" s="119" t="str">
        <f t="shared" si="97"/>
        <v/>
      </c>
      <c r="DM14" s="119" t="str">
        <f t="shared" si="97"/>
        <v/>
      </c>
      <c r="DN14" s="119" t="str">
        <f t="shared" si="97"/>
        <v/>
      </c>
      <c r="DO14" s="119" t="str">
        <f>IF(DG14&lt;&gt;"",SUM(DG14:DN14),"")</f>
        <v/>
      </c>
      <c r="DP14" s="122">
        <v>0</v>
      </c>
      <c r="DQ14" s="122">
        <v>0.63</v>
      </c>
      <c r="DR14" s="122">
        <v>1.27</v>
      </c>
      <c r="DS14" s="122">
        <v>1.9</v>
      </c>
      <c r="DT14" s="122">
        <v>2.54</v>
      </c>
      <c r="DU14" s="122">
        <v>3.81</v>
      </c>
      <c r="DV14" s="122">
        <v>5.08</v>
      </c>
      <c r="DW14" s="122">
        <v>6.35</v>
      </c>
      <c r="DX14" s="1190">
        <v>7.62</v>
      </c>
      <c r="DY14" s="123">
        <f>IF(DY13&lt;&gt;"",DY12^2,"")</f>
        <v>0.39690000000000003</v>
      </c>
      <c r="DZ14" s="116">
        <f t="shared" ref="DZ14:EF14" si="115">IF(DZ13&lt;&gt;"",DZ12^2,"")</f>
        <v>1.6129</v>
      </c>
      <c r="EA14" s="116">
        <f t="shared" si="115"/>
        <v>3.61</v>
      </c>
      <c r="EB14" s="116">
        <f t="shared" si="115"/>
        <v>6.4516</v>
      </c>
      <c r="EC14" s="116">
        <f t="shared" si="115"/>
        <v>14.5161</v>
      </c>
      <c r="ED14" s="116">
        <f t="shared" si="115"/>
        <v>25.8064</v>
      </c>
      <c r="EE14" s="116">
        <f t="shared" si="115"/>
        <v>40.322499999999998</v>
      </c>
      <c r="EF14" s="116">
        <f t="shared" si="115"/>
        <v>58.064399999999999</v>
      </c>
      <c r="EG14" s="116">
        <f>IF(DY14&lt;&gt;"",AVERAGE(DY14:EF14),"")</f>
        <v>18.8476</v>
      </c>
      <c r="EH14" s="119">
        <f t="shared" si="99"/>
        <v>184.96826750000002</v>
      </c>
      <c r="EI14" s="119">
        <f t="shared" si="99"/>
        <v>117.62682749999999</v>
      </c>
      <c r="EJ14" s="119">
        <f t="shared" si="99"/>
        <v>84.187740000000005</v>
      </c>
      <c r="EK14" s="119">
        <f t="shared" si="99"/>
        <v>49.893900000000009</v>
      </c>
      <c r="EL14" s="119">
        <f t="shared" si="99"/>
        <v>8.7712875000000015</v>
      </c>
      <c r="EM14" s="119">
        <f t="shared" si="99"/>
        <v>17.223029999999998</v>
      </c>
      <c r="EN14" s="119">
        <f t="shared" si="99"/>
        <v>160.52487749999997</v>
      </c>
      <c r="EO14" s="119">
        <f t="shared" si="99"/>
        <v>724.53038000000004</v>
      </c>
      <c r="EP14" s="119">
        <f>IF(EH14&lt;&gt;"",SUM(EH14:EO14),"")</f>
        <v>1347.72631</v>
      </c>
      <c r="EQ14" s="122">
        <v>0</v>
      </c>
      <c r="ER14" s="122">
        <v>0.63</v>
      </c>
      <c r="ES14" s="122">
        <v>1.27</v>
      </c>
      <c r="ET14" s="122">
        <v>1.9</v>
      </c>
      <c r="EU14" s="122">
        <v>2.54</v>
      </c>
      <c r="EV14" s="122">
        <v>3.81</v>
      </c>
      <c r="EW14" s="122">
        <v>5.08</v>
      </c>
      <c r="EX14" s="122">
        <v>6.35</v>
      </c>
      <c r="EY14" s="1190">
        <v>7.62</v>
      </c>
      <c r="EZ14" s="123">
        <f>IF(EZ13&lt;&gt;"",EZ12^2,"")</f>
        <v>0.39690000000000003</v>
      </c>
      <c r="FA14" s="116">
        <f t="shared" ref="FA14:FG14" si="116">IF(FA13&lt;&gt;"",FA12^2,"")</f>
        <v>1.6129</v>
      </c>
      <c r="FB14" s="116">
        <f t="shared" si="116"/>
        <v>3.61</v>
      </c>
      <c r="FC14" s="116">
        <f t="shared" si="116"/>
        <v>6.4516</v>
      </c>
      <c r="FD14" s="116">
        <f t="shared" si="116"/>
        <v>14.5161</v>
      </c>
      <c r="FE14" s="116">
        <f t="shared" si="116"/>
        <v>25.8064</v>
      </c>
      <c r="FF14" s="116">
        <f t="shared" si="116"/>
        <v>40.322499999999998</v>
      </c>
      <c r="FG14" s="116">
        <f t="shared" si="116"/>
        <v>58.064399999999999</v>
      </c>
      <c r="FH14" s="116">
        <f>IF(EZ14&lt;&gt;"",AVERAGE(EZ14:FG14),"")</f>
        <v>18.8476</v>
      </c>
      <c r="FI14" s="119">
        <f t="shared" si="101"/>
        <v>1326.1440625</v>
      </c>
      <c r="FJ14" s="119">
        <f t="shared" si="101"/>
        <v>790.6418625</v>
      </c>
      <c r="FK14" s="119">
        <f t="shared" si="101"/>
        <v>356.1789</v>
      </c>
      <c r="FL14" s="119">
        <f t="shared" si="101"/>
        <v>60.430500000000002</v>
      </c>
      <c r="FM14" s="119">
        <f t="shared" si="101"/>
        <v>-63.348187500000002</v>
      </c>
      <c r="FN14" s="119">
        <f t="shared" si="101"/>
        <v>188.75745000000001</v>
      </c>
      <c r="FO14" s="119">
        <f t="shared" si="101"/>
        <v>883.15526249999994</v>
      </c>
      <c r="FP14" s="119">
        <f t="shared" si="101"/>
        <v>2475.5605</v>
      </c>
      <c r="FQ14" s="119">
        <f>IF(FI14&lt;&gt;"",SUM(FI14:FP14),"")</f>
        <v>6017.5203499999998</v>
      </c>
      <c r="FR14" s="122">
        <v>0</v>
      </c>
      <c r="FS14" s="122">
        <v>0.63</v>
      </c>
      <c r="FT14" s="122">
        <v>1.27</v>
      </c>
      <c r="FU14" s="122">
        <v>1.9</v>
      </c>
      <c r="FV14" s="122">
        <v>2.54</v>
      </c>
      <c r="FW14" s="122">
        <v>3.81</v>
      </c>
      <c r="FX14" s="122">
        <v>5.08</v>
      </c>
      <c r="FY14" s="122">
        <v>6.35</v>
      </c>
      <c r="FZ14" s="1190">
        <v>7.62</v>
      </c>
      <c r="GA14" s="123">
        <f>IF(GA13&lt;&gt;"",GA12^2,"")</f>
        <v>0.39690000000000003</v>
      </c>
      <c r="GB14" s="116">
        <f t="shared" ref="GB14:GH14" si="117">IF(GB13&lt;&gt;"",GB12^2,"")</f>
        <v>1.6129</v>
      </c>
      <c r="GC14" s="116">
        <f t="shared" si="117"/>
        <v>3.61</v>
      </c>
      <c r="GD14" s="116">
        <f t="shared" si="117"/>
        <v>6.4516</v>
      </c>
      <c r="GE14" s="116">
        <f t="shared" si="117"/>
        <v>14.5161</v>
      </c>
      <c r="GF14" s="116">
        <f t="shared" si="117"/>
        <v>25.8064</v>
      </c>
      <c r="GG14" s="116">
        <f t="shared" si="117"/>
        <v>40.322499999999998</v>
      </c>
      <c r="GH14" s="116">
        <f t="shared" si="117"/>
        <v>58.064399999999999</v>
      </c>
      <c r="GI14" s="116">
        <f>IF(GA14&lt;&gt;"",AVERAGE(GA14:GH14),"")</f>
        <v>18.8476</v>
      </c>
      <c r="GJ14" s="119">
        <f t="shared" si="103"/>
        <v>192.57918125</v>
      </c>
      <c r="GK14" s="119">
        <f t="shared" si="103"/>
        <v>154.03513125000001</v>
      </c>
      <c r="GL14" s="119">
        <f t="shared" si="103"/>
        <v>98.09205</v>
      </c>
      <c r="GM14" s="119">
        <f t="shared" si="103"/>
        <v>55.007250000000006</v>
      </c>
      <c r="GN14" s="119">
        <f t="shared" si="103"/>
        <v>-0.27071875000000001</v>
      </c>
      <c r="GO14" s="119">
        <f t="shared" si="103"/>
        <v>35.228925000000004</v>
      </c>
      <c r="GP14" s="119">
        <f t="shared" si="103"/>
        <v>194.61628124999999</v>
      </c>
      <c r="GQ14" s="119">
        <f t="shared" si="103"/>
        <v>629.91985</v>
      </c>
      <c r="GR14" s="119">
        <f>IF(GJ14&lt;&gt;"",SUM(GJ14:GQ14),"")</f>
        <v>1359.20795</v>
      </c>
      <c r="GS14" s="122">
        <v>0</v>
      </c>
      <c r="GT14" s="122">
        <v>0.63</v>
      </c>
      <c r="GU14" s="122">
        <v>1.27</v>
      </c>
      <c r="GV14" s="122">
        <v>1.9</v>
      </c>
      <c r="GW14" s="122">
        <v>2.54</v>
      </c>
      <c r="GX14" s="122">
        <v>3.81</v>
      </c>
      <c r="GY14" s="122">
        <v>5.08</v>
      </c>
      <c r="GZ14" s="122">
        <v>6.35</v>
      </c>
      <c r="HA14" s="1190">
        <v>7.62</v>
      </c>
      <c r="HB14" s="123" t="str">
        <f>IF(HB13&lt;&gt;"",HB12^2,"")</f>
        <v/>
      </c>
      <c r="HC14" s="116" t="str">
        <f t="shared" ref="HC14:HI14" si="118">IF(HC13&lt;&gt;"",HC12^2,"")</f>
        <v/>
      </c>
      <c r="HD14" s="116" t="str">
        <f t="shared" si="118"/>
        <v/>
      </c>
      <c r="HE14" s="116" t="str">
        <f t="shared" si="118"/>
        <v/>
      </c>
      <c r="HF14" s="116" t="str">
        <f t="shared" si="118"/>
        <v/>
      </c>
      <c r="HG14" s="116" t="str">
        <f t="shared" si="118"/>
        <v/>
      </c>
      <c r="HH14" s="116" t="str">
        <f t="shared" si="118"/>
        <v/>
      </c>
      <c r="HI14" s="116" t="str">
        <f t="shared" si="118"/>
        <v/>
      </c>
      <c r="HJ14" s="116" t="str">
        <f>IF(HB14&lt;&gt;"",AVERAGE(HB14:HI14),"")</f>
        <v/>
      </c>
      <c r="HK14" s="119" t="str">
        <f t="shared" si="105"/>
        <v/>
      </c>
      <c r="HL14" s="119" t="str">
        <f t="shared" si="105"/>
        <v/>
      </c>
      <c r="HM14" s="119" t="str">
        <f t="shared" si="105"/>
        <v/>
      </c>
      <c r="HN14" s="119" t="str">
        <f t="shared" si="105"/>
        <v/>
      </c>
      <c r="HO14" s="119" t="str">
        <f t="shared" si="105"/>
        <v/>
      </c>
      <c r="HP14" s="119" t="str">
        <f t="shared" si="105"/>
        <v/>
      </c>
      <c r="HQ14" s="119" t="str">
        <f t="shared" si="105"/>
        <v/>
      </c>
      <c r="HR14" s="119" t="str">
        <f t="shared" si="105"/>
        <v/>
      </c>
      <c r="HS14" s="119" t="str">
        <f>IF(HK14&lt;&gt;"",SUM(HK14:HR14),"")</f>
        <v/>
      </c>
      <c r="HT14" s="122">
        <v>0</v>
      </c>
      <c r="HU14" s="122">
        <v>0.63</v>
      </c>
      <c r="HV14" s="122">
        <v>1.27</v>
      </c>
      <c r="HW14" s="122">
        <v>1.9</v>
      </c>
      <c r="HX14" s="122">
        <v>2.54</v>
      </c>
      <c r="HY14" s="122">
        <v>3.81</v>
      </c>
      <c r="HZ14" s="122">
        <v>5.08</v>
      </c>
      <c r="IA14" s="122">
        <v>6.35</v>
      </c>
      <c r="IB14" s="1190">
        <v>7.62</v>
      </c>
      <c r="IC14" s="123" t="str">
        <f>IF(IC13&lt;&gt;"",IC12^2,"")</f>
        <v/>
      </c>
      <c r="ID14" s="116" t="str">
        <f t="shared" ref="ID14:IJ14" si="119">IF(ID13&lt;&gt;"",ID12^2,"")</f>
        <v/>
      </c>
      <c r="IE14" s="116" t="str">
        <f t="shared" si="119"/>
        <v/>
      </c>
      <c r="IF14" s="116" t="str">
        <f t="shared" si="119"/>
        <v/>
      </c>
      <c r="IG14" s="116" t="str">
        <f t="shared" si="119"/>
        <v/>
      </c>
      <c r="IH14" s="116" t="str">
        <f t="shared" si="119"/>
        <v/>
      </c>
      <c r="II14" s="116" t="str">
        <f t="shared" si="119"/>
        <v/>
      </c>
      <c r="IJ14" s="116" t="str">
        <f t="shared" si="119"/>
        <v/>
      </c>
      <c r="IK14" s="116" t="str">
        <f>IF(IC14&lt;&gt;"",AVERAGE(IC14:IJ14),"")</f>
        <v/>
      </c>
      <c r="IL14" s="119" t="str">
        <f t="shared" si="107"/>
        <v/>
      </c>
      <c r="IM14" s="119" t="str">
        <f t="shared" si="107"/>
        <v/>
      </c>
      <c r="IN14" s="119" t="str">
        <f t="shared" si="107"/>
        <v/>
      </c>
      <c r="IO14" s="119" t="str">
        <f t="shared" si="107"/>
        <v/>
      </c>
      <c r="IP14" s="119" t="str">
        <f t="shared" si="107"/>
        <v/>
      </c>
      <c r="IQ14" s="119" t="str">
        <f t="shared" si="107"/>
        <v/>
      </c>
      <c r="IR14" s="119" t="str">
        <f t="shared" si="107"/>
        <v/>
      </c>
      <c r="IS14" s="119" t="str">
        <f t="shared" si="107"/>
        <v/>
      </c>
      <c r="IT14" s="119" t="str">
        <f>IF(IL14&lt;&gt;"",SUM(IL14:IS14),"")</f>
        <v/>
      </c>
      <c r="IU14" s="122">
        <v>0</v>
      </c>
      <c r="IV14" s="122">
        <v>0.63</v>
      </c>
      <c r="IW14" s="122">
        <v>1.27</v>
      </c>
      <c r="IX14" s="122">
        <v>1.9</v>
      </c>
      <c r="IY14" s="122">
        <v>2.54</v>
      </c>
      <c r="IZ14" s="122">
        <v>3.81</v>
      </c>
      <c r="JA14" s="122">
        <v>5.08</v>
      </c>
      <c r="JB14" s="122">
        <v>6.35</v>
      </c>
      <c r="JC14" s="1190">
        <v>7.62</v>
      </c>
      <c r="JD14" s="150">
        <f t="shared" si="89"/>
        <v>3</v>
      </c>
      <c r="JE14" s="77" t="str">
        <f t="shared" ref="JE14:JJ14" si="120">IF(ISNUMBER(JE12),JE12^2,"")</f>
        <v/>
      </c>
      <c r="JF14" s="77">
        <f t="shared" si="120"/>
        <v>1.4235803472462747E-3</v>
      </c>
      <c r="JG14" s="77">
        <f t="shared" si="120"/>
        <v>2.8012192113515944E-3</v>
      </c>
      <c r="JH14" s="77">
        <f t="shared" si="120"/>
        <v>4.6407059520504881E-3</v>
      </c>
      <c r="JI14" s="77" t="str">
        <f t="shared" si="120"/>
        <v/>
      </c>
      <c r="JJ14" s="72" t="str">
        <f t="shared" si="120"/>
        <v/>
      </c>
      <c r="JK14" s="75">
        <f>AVERAGE(JE14:JJ14)</f>
        <v>2.9551685035494519E-3</v>
      </c>
      <c r="JL14" s="75" t="str">
        <f t="shared" ref="JL14:JQ14" si="121">IF(ISERROR(JE16*JE16),"",JE15*JE16)</f>
        <v/>
      </c>
      <c r="JM14" s="75">
        <f t="shared" si="121"/>
        <v>0.52145524646653196</v>
      </c>
      <c r="JN14" s="75">
        <f t="shared" si="121"/>
        <v>0</v>
      </c>
      <c r="JO14" s="75">
        <f t="shared" si="121"/>
        <v>-0.51322154636766493</v>
      </c>
      <c r="JP14" s="75" t="str">
        <f t="shared" si="121"/>
        <v/>
      </c>
      <c r="JQ14" s="75" t="str">
        <f t="shared" si="121"/>
        <v/>
      </c>
      <c r="JR14" s="65">
        <f>SUM(JL14:JQ14)</f>
        <v>8.2337000988670361E-3</v>
      </c>
      <c r="JS14" s="71"/>
      <c r="JT14" s="1191"/>
      <c r="JU14" s="123">
        <f>IF(T15&lt;&gt;0,LOOKUP(T15,Tara!$G$6:$G$185,Tara!$J$6:$J$185)/10,"")</f>
        <v>11.5</v>
      </c>
      <c r="JV14" s="116">
        <f t="shared" si="91"/>
        <v>0.35000000000000009</v>
      </c>
      <c r="JW14" s="155">
        <f t="shared" si="92"/>
        <v>3.043478260869566E-3</v>
      </c>
      <c r="JX14" s="77" t="str">
        <f t="shared" ref="JX14:KC14" si="122">IF(ISNUMBER(JX12),JX12^2,"")</f>
        <v/>
      </c>
      <c r="JY14" s="77">
        <f t="shared" si="122"/>
        <v>1.4235803472462747E-3</v>
      </c>
      <c r="JZ14" s="77">
        <f t="shared" si="122"/>
        <v>2.8012192113515944E-3</v>
      </c>
      <c r="KA14" s="77">
        <f t="shared" si="122"/>
        <v>4.6407059520504881E-3</v>
      </c>
      <c r="KB14" s="77" t="str">
        <f t="shared" si="122"/>
        <v/>
      </c>
      <c r="KC14" s="72" t="str">
        <f t="shared" si="122"/>
        <v/>
      </c>
      <c r="KD14" s="75">
        <f>AVERAGE(JX14:KC14)</f>
        <v>2.9551685035494519E-3</v>
      </c>
      <c r="KE14" s="75" t="str">
        <f t="shared" ref="KE14:KJ14" si="123">IF(ISERROR(JX16*JX16),"",JX15*JX16)</f>
        <v/>
      </c>
      <c r="KF14" s="75">
        <f t="shared" si="123"/>
        <v>0.77870957721453116</v>
      </c>
      <c r="KG14" s="75">
        <f t="shared" si="123"/>
        <v>0</v>
      </c>
      <c r="KH14" s="75">
        <f t="shared" si="123"/>
        <v>-0.7801630199835784</v>
      </c>
      <c r="KI14" s="75" t="str">
        <f t="shared" si="123"/>
        <v/>
      </c>
      <c r="KJ14" s="75" t="str">
        <f t="shared" si="123"/>
        <v/>
      </c>
      <c r="KK14" s="65">
        <f>SUM(KE14:KJ14)</f>
        <v>-1.4534427690472418E-3</v>
      </c>
      <c r="KL14" s="71"/>
      <c r="KM14" s="1191"/>
      <c r="KN14" s="167" t="str">
        <f>IF(ISNUMBER(AN14),AN14-KN13,"")</f>
        <v/>
      </c>
      <c r="KO14" s="161" t="str">
        <f>IF(ISNUMBER(AO14),AO14-KO13,"")</f>
        <v/>
      </c>
      <c r="KP14" s="161" t="str">
        <f>IF(ISNUMBER(AP14),AP14-KP13,"")</f>
        <v/>
      </c>
      <c r="KQ14" s="161" t="str">
        <f>IF(ISNUMBER(AQ14),AQ14-KQ13,"")</f>
        <v/>
      </c>
      <c r="KR14" s="1185" t="str">
        <f>IF(ISNUMBER(AR14),AR14-KR13,"")</f>
        <v/>
      </c>
      <c r="KS14" s="167" t="str">
        <f>IF(ISNUMBER(AN18),AN18-KS13,"")</f>
        <v/>
      </c>
      <c r="KT14" s="161" t="str">
        <f>IF(ISNUMBER(AO18),AO18-KT13,"")</f>
        <v/>
      </c>
      <c r="KU14" s="161" t="str">
        <f>IF(ISNUMBER(AP18),AP18-KU13,"")</f>
        <v/>
      </c>
      <c r="KV14" s="161" t="str">
        <f>IF(ISNUMBER(AQ18),AQ18-KV13,"")</f>
        <v/>
      </c>
      <c r="KW14" s="161" t="str">
        <f>IF(ISNUMBER(AR18),AR18-KW13,"")</f>
        <v/>
      </c>
      <c r="KX14" s="1192" t="s">
        <v>69</v>
      </c>
      <c r="KY14" s="195" t="str">
        <f>IF(AX18&lt;&gt;"",AX18,"")</f>
        <v/>
      </c>
      <c r="KZ14" s="1186" t="str">
        <f>IF(BA18&lt;&gt;"",BA18,"")</f>
        <v/>
      </c>
      <c r="LA14" s="598">
        <f>IF(ISNUMBER(AV16),AV16-LA13,"")</f>
        <v>-25.16</v>
      </c>
      <c r="LB14" s="702">
        <f>IF(ISNUMBER(AY16),AY16-LB13,"")</f>
        <v>-25.16</v>
      </c>
      <c r="LC14" s="120">
        <f>IF(LC13&lt;&gt;"",SUM(LE13:LK13),"")</f>
        <v>1023.72</v>
      </c>
      <c r="LD14" s="120">
        <f>IF(LC13&lt;&gt;"",LC16+LC14,"")</f>
        <v>2000</v>
      </c>
      <c r="LE14" s="120">
        <f>IF(LC13="","",IF(LE13=0,IF(LD14&gt;0,LD14,""),IF(LE13&gt;0,LD14-LE13,"")))</f>
        <v>2000</v>
      </c>
      <c r="LF14" s="120">
        <f t="shared" ref="LF14:LK14" si="124">IF($LC13="","",LE14-LF13)</f>
        <v>2000</v>
      </c>
      <c r="LG14" s="120">
        <f t="shared" si="124"/>
        <v>2000</v>
      </c>
      <c r="LH14" s="120">
        <f t="shared" si="124"/>
        <v>2000</v>
      </c>
      <c r="LI14" s="120">
        <f t="shared" si="124"/>
        <v>1269.3699999999999</v>
      </c>
      <c r="LJ14" s="120">
        <f t="shared" si="124"/>
        <v>1113.1299999999999</v>
      </c>
      <c r="LK14" s="120">
        <f t="shared" si="124"/>
        <v>976.27999999999986</v>
      </c>
      <c r="LL14" s="120">
        <f>IF(LD13&lt;&gt;"",LD15-LL13,"")</f>
        <v>90.55</v>
      </c>
      <c r="LM14" s="1187">
        <f>IF(LD13&lt;&gt;"",LL14-LM13,"")</f>
        <v>35.059999999999995</v>
      </c>
      <c r="LN14" s="185" t="b">
        <f>IF(LM16="","",IF(AND(LE16&gt;=93%,LE16&lt;=100%,LG16&gt;=68%,LG16&lt;=97%,LI16&gt;=33%,LI16&lt;=82%,LJ16&gt;=25%,LJ16&lt;=65%,LK16&gt;=15%,LK16&lt;=50%,LL16&gt;=13%,LL16&lt;=32%,LM16&gt;=3%,LM16&lt;=17%),"Faixa B"))</f>
        <v>0</v>
      </c>
      <c r="LO14" s="181" t="b">
        <f>IF(LM16="","",IF(AND(LG16&gt;=93%,LG16&lt;=100%,LJ16&gt;=65%,LJ16&lt;=100%,LK16&gt;=50%,LK16&lt;=100%,LL16&gt;=28%,LL16&lt;=72%,LM16&gt;=6%,LM16&lt;=27%),"Faixa F"))</f>
        <v>0</v>
      </c>
      <c r="LP14" s="206"/>
      <c r="LQ14" s="181"/>
      <c r="LR14" s="1279" t="str">
        <f>IF(LL16&gt;70%,"",IF(LM16="","",IF(LO16&gt;0,LO16,IF(LQ16&gt;0,LQ16))))</f>
        <v>D</v>
      </c>
      <c r="LS14" s="221"/>
      <c r="LT14" s="162"/>
      <c r="LU14" s="162"/>
      <c r="LV14" s="162"/>
      <c r="LW14" s="162"/>
      <c r="LX14" s="108"/>
      <c r="LY14" s="108"/>
      <c r="LZ14" s="108"/>
      <c r="MA14" s="108"/>
      <c r="MB14" s="108"/>
      <c r="MC14" s="108"/>
      <c r="MD14" s="108"/>
      <c r="ME14" s="1193"/>
      <c r="MF14" s="223" t="s">
        <v>70</v>
      </c>
      <c r="MG14" s="701" t="s">
        <v>71</v>
      </c>
      <c r="MH14" s="701" t="s">
        <v>72</v>
      </c>
      <c r="MI14" s="224" t="s">
        <v>73</v>
      </c>
      <c r="MJ14" s="224" t="s">
        <v>74</v>
      </c>
      <c r="MK14" s="224" t="s">
        <v>75</v>
      </c>
      <c r="ML14" s="224" t="s">
        <v>76</v>
      </c>
      <c r="MM14" s="224" t="s">
        <v>77</v>
      </c>
      <c r="MN14" s="225">
        <v>4</v>
      </c>
      <c r="MO14" s="225">
        <v>10</v>
      </c>
      <c r="MP14" s="225">
        <v>40</v>
      </c>
      <c r="MQ14" s="225">
        <v>200</v>
      </c>
      <c r="MR14" s="225">
        <v>270</v>
      </c>
      <c r="MS14" s="224" t="s">
        <v>78</v>
      </c>
      <c r="MT14" s="224" t="s">
        <v>79</v>
      </c>
      <c r="MU14" s="224" t="s">
        <v>80</v>
      </c>
      <c r="MV14" s="224" t="s">
        <v>81</v>
      </c>
      <c r="MW14" s="224" t="s">
        <v>82</v>
      </c>
      <c r="MX14" s="224" t="s">
        <v>83</v>
      </c>
      <c r="MY14" s="224" t="s">
        <v>48</v>
      </c>
      <c r="MZ14" s="226" t="s">
        <v>84</v>
      </c>
      <c r="NA14" s="226" t="s">
        <v>85</v>
      </c>
      <c r="NB14" s="226" t="s">
        <v>86</v>
      </c>
      <c r="NC14" s="226" t="s">
        <v>87</v>
      </c>
      <c r="ND14" s="226" t="s">
        <v>84</v>
      </c>
      <c r="NE14" s="226" t="s">
        <v>85</v>
      </c>
      <c r="NF14" s="226" t="s">
        <v>88</v>
      </c>
      <c r="NG14" s="226" t="s">
        <v>84</v>
      </c>
      <c r="NH14" s="226" t="s">
        <v>85</v>
      </c>
      <c r="NI14" s="226" t="s">
        <v>89</v>
      </c>
      <c r="NJ14" s="226" t="s">
        <v>90</v>
      </c>
      <c r="NK14" s="226" t="s">
        <v>84</v>
      </c>
      <c r="NL14" s="226" t="s">
        <v>85</v>
      </c>
      <c r="NM14" s="226" t="s">
        <v>89</v>
      </c>
      <c r="NN14" s="226" t="s">
        <v>90</v>
      </c>
      <c r="NO14" s="226" t="s">
        <v>84</v>
      </c>
      <c r="NP14" s="226" t="s">
        <v>85</v>
      </c>
      <c r="NQ14" s="226" t="s">
        <v>89</v>
      </c>
      <c r="NR14" s="226" t="s">
        <v>90</v>
      </c>
      <c r="NS14" s="226" t="s">
        <v>84</v>
      </c>
      <c r="NT14" s="226" t="s">
        <v>85</v>
      </c>
      <c r="NU14" s="226" t="s">
        <v>89</v>
      </c>
      <c r="NV14" s="226" t="s">
        <v>90</v>
      </c>
      <c r="NW14" s="226" t="s">
        <v>84</v>
      </c>
      <c r="NX14" s="226" t="s">
        <v>85</v>
      </c>
      <c r="NY14" s="226" t="s">
        <v>89</v>
      </c>
      <c r="NZ14" s="226" t="s">
        <v>90</v>
      </c>
      <c r="OA14" s="226" t="s">
        <v>84</v>
      </c>
      <c r="OB14" s="226" t="s">
        <v>85</v>
      </c>
      <c r="OC14" s="226" t="s">
        <v>89</v>
      </c>
      <c r="OD14" s="1194" t="s">
        <v>90</v>
      </c>
      <c r="OE14" s="226"/>
      <c r="OF14" s="132"/>
      <c r="OG14" s="132"/>
      <c r="OH14" s="132"/>
    </row>
    <row r="15" spans="1:398" s="56" customFormat="1" ht="15" hidden="1" customHeight="1" x14ac:dyDescent="0.3">
      <c r="A15" s="1337"/>
      <c r="B15" s="723" t="s">
        <v>91</v>
      </c>
      <c r="C15" s="666"/>
      <c r="D15" s="1360"/>
      <c r="E15" s="1361"/>
      <c r="F15" s="1370"/>
      <c r="G15" s="726" t="s">
        <v>93</v>
      </c>
      <c r="H15" s="665"/>
      <c r="I15" s="735" t="s">
        <v>94</v>
      </c>
      <c r="J15" s="736"/>
      <c r="K15" s="736"/>
      <c r="L15" s="736"/>
      <c r="M15" s="736"/>
      <c r="N15" s="736"/>
      <c r="O15" s="736"/>
      <c r="P15" s="671">
        <v>187</v>
      </c>
      <c r="Q15" s="672">
        <v>187.7</v>
      </c>
      <c r="R15" s="671"/>
      <c r="S15" s="672"/>
      <c r="T15" s="1181">
        <f>IF(U15="","",3)</f>
        <v>3</v>
      </c>
      <c r="U15" s="728">
        <v>34</v>
      </c>
      <c r="V15" s="737"/>
      <c r="W15" s="1372" t="s">
        <v>95</v>
      </c>
      <c r="X15" s="1373"/>
      <c r="Y15" s="737"/>
      <c r="Z15" s="673">
        <v>1</v>
      </c>
      <c r="AA15" s="673">
        <v>1</v>
      </c>
      <c r="AB15" s="673">
        <v>1</v>
      </c>
      <c r="AC15" s="673">
        <v>1.35</v>
      </c>
      <c r="AD15" s="676">
        <v>170</v>
      </c>
      <c r="AE15" s="675">
        <v>430</v>
      </c>
      <c r="AF15" s="675">
        <v>655</v>
      </c>
      <c r="AG15" s="675">
        <v>840</v>
      </c>
      <c r="AH15" s="675">
        <v>1035</v>
      </c>
      <c r="AI15" s="675">
        <v>1160</v>
      </c>
      <c r="AJ15" s="675">
        <v>1300</v>
      </c>
      <c r="AK15" s="675">
        <v>1520</v>
      </c>
      <c r="AL15" s="1356"/>
      <c r="AM15" s="739" t="s">
        <v>96</v>
      </c>
      <c r="AN15" s="740"/>
      <c r="AO15" s="740"/>
      <c r="AP15" s="740"/>
      <c r="AQ15" s="740"/>
      <c r="AR15" s="592"/>
      <c r="AS15" s="1359"/>
      <c r="AT15" s="1331"/>
      <c r="AU15" s="1333"/>
      <c r="AV15" s="1333"/>
      <c r="AW15" s="1333"/>
      <c r="AX15" s="1333"/>
      <c r="AY15" s="1333"/>
      <c r="AZ15" s="738">
        <v>50.8</v>
      </c>
      <c r="BA15" s="738">
        <v>38.1</v>
      </c>
      <c r="BB15" s="738">
        <v>25.4</v>
      </c>
      <c r="BC15" s="738">
        <v>19.100000000000001</v>
      </c>
      <c r="BD15" s="738">
        <v>9.52</v>
      </c>
      <c r="BE15" s="738">
        <v>4.76</v>
      </c>
      <c r="BF15" s="738">
        <v>2</v>
      </c>
      <c r="BG15" s="1335"/>
      <c r="BH15" s="1335"/>
      <c r="BI15" s="738">
        <v>0.42</v>
      </c>
      <c r="BJ15" s="738">
        <v>0.14899999999999999</v>
      </c>
      <c r="BK15" s="738">
        <v>7.3999999999999996E-2</v>
      </c>
      <c r="BL15" s="1320"/>
      <c r="BM15" s="1307"/>
      <c r="BN15" s="62" t="s">
        <v>97</v>
      </c>
      <c r="BO15" s="67" t="str">
        <f t="shared" ref="BO15:BV15" si="125">IF(ISNUMBER(BO14),BO12/BO14,"")</f>
        <v/>
      </c>
      <c r="BP15" s="67" t="str">
        <f t="shared" si="125"/>
        <v/>
      </c>
      <c r="BQ15" s="67" t="str">
        <f t="shared" si="125"/>
        <v/>
      </c>
      <c r="BR15" s="67" t="str">
        <f t="shared" si="125"/>
        <v/>
      </c>
      <c r="BS15" s="67" t="str">
        <f t="shared" si="125"/>
        <v/>
      </c>
      <c r="BT15" s="67" t="str">
        <f t="shared" si="125"/>
        <v/>
      </c>
      <c r="BU15" s="67">
        <f t="shared" si="125"/>
        <v>1.2281240405280934E-2</v>
      </c>
      <c r="BV15" s="67">
        <f t="shared" si="125"/>
        <v>1.3876319758672769E-2</v>
      </c>
      <c r="BW15" s="1310"/>
      <c r="BX15" s="62" t="s">
        <v>98</v>
      </c>
      <c r="BY15" s="68">
        <f t="shared" ref="BY15:CD15" si="126">IF(J18&lt;&gt;0,J18-BY13,"")</f>
        <v>4272</v>
      </c>
      <c r="BZ15" s="68">
        <f t="shared" si="126"/>
        <v>4548</v>
      </c>
      <c r="CA15" s="68">
        <f t="shared" si="126"/>
        <v>4940</v>
      </c>
      <c r="CB15" s="68">
        <f t="shared" si="126"/>
        <v>4908</v>
      </c>
      <c r="CC15" s="68">
        <f t="shared" si="126"/>
        <v>4803</v>
      </c>
      <c r="CD15" s="68" t="str">
        <f t="shared" si="126"/>
        <v/>
      </c>
      <c r="CE15" s="77">
        <f t="shared" ref="CE15:CJ15" si="127">IF(ISNUMBER(CE12),CE12-$CK12,"")</f>
        <v>-3.0392363402459311E-2</v>
      </c>
      <c r="CF15" s="77">
        <f t="shared" si="127"/>
        <v>-1.5196181701229654E-2</v>
      </c>
      <c r="CG15" s="77">
        <f t="shared" si="127"/>
        <v>0</v>
      </c>
      <c r="CH15" s="77">
        <f t="shared" si="127"/>
        <v>1.5196181701229654E-2</v>
      </c>
      <c r="CI15" s="77">
        <f t="shared" si="127"/>
        <v>3.0392363402459301E-2</v>
      </c>
      <c r="CJ15" s="77" t="str">
        <f t="shared" si="127"/>
        <v/>
      </c>
      <c r="CK15" s="76"/>
      <c r="CL15" s="75">
        <f t="shared" ref="CL15:CQ15" si="128">IF(ISERROR(CE16*CE17),"",CE16*CE17)</f>
        <v>0.4015243775856312</v>
      </c>
      <c r="CM15" s="75">
        <f t="shared" si="128"/>
        <v>7.4071983724488213E-2</v>
      </c>
      <c r="CN15" s="75">
        <f t="shared" si="128"/>
        <v>-6.0865085670986488E-2</v>
      </c>
      <c r="CO15" s="75">
        <f t="shared" si="128"/>
        <v>0.10622327734736663</v>
      </c>
      <c r="CP15" s="75">
        <f t="shared" si="128"/>
        <v>-8.4227842038607531E-2</v>
      </c>
      <c r="CQ15" s="75" t="str">
        <f t="shared" si="128"/>
        <v/>
      </c>
      <c r="CR15" s="65">
        <f>SUM(CL15:CQ15)</f>
        <v>0.43672671094789195</v>
      </c>
      <c r="CS15" s="74"/>
      <c r="CT15" s="63"/>
      <c r="CU15" s="105" t="str">
        <f>IF(ISNUMBER(CU14),CU12/CU14,"")</f>
        <v/>
      </c>
      <c r="CV15" s="105" t="str">
        <f>IF(ISNUMBER(CV14),CV12/CV14,"")</f>
        <v/>
      </c>
      <c r="CW15" s="1313"/>
      <c r="CX15" s="124" t="str">
        <f>IF(ISNUMBER(CX13),CX12-DF12,"")</f>
        <v/>
      </c>
      <c r="CY15" s="117" t="str">
        <f>IF(ISNUMBER(CY13),CY12-DF12,"")</f>
        <v/>
      </c>
      <c r="CZ15" s="117" t="str">
        <f>IF(ISNUMBER(CZ13),CZ12-DF12,"")</f>
        <v/>
      </c>
      <c r="DA15" s="117" t="str">
        <f>IF(ISNUMBER(DA13),DA12-DF12,"")</f>
        <v/>
      </c>
      <c r="DB15" s="117" t="str">
        <f>IF(ISNUMBER(DB13),DB12-DF12,"")</f>
        <v/>
      </c>
      <c r="DC15" s="117" t="str">
        <f>IF(ISNUMBER(DC13),DC12-DF12,"")</f>
        <v/>
      </c>
      <c r="DD15" s="117" t="str">
        <f>IF(ISNUMBER(DD13),DD12-DF12,"")</f>
        <v/>
      </c>
      <c r="DE15" s="117" t="str">
        <f>IF(ISNUMBER(DE13),DE12-DF12,"")</f>
        <v/>
      </c>
      <c r="DF15" s="280" t="str">
        <f>IF(CX15&lt;&gt;"",SUM(CX15:DE15),"")</f>
        <v/>
      </c>
      <c r="DG15" s="119" t="str">
        <f t="shared" ref="DG15:DN15" si="129">IF(ISERROR(CX15*CX17),"",CX15*CX17)</f>
        <v/>
      </c>
      <c r="DH15" s="119" t="str">
        <f t="shared" si="129"/>
        <v/>
      </c>
      <c r="DI15" s="119" t="str">
        <f t="shared" si="129"/>
        <v/>
      </c>
      <c r="DJ15" s="119" t="str">
        <f t="shared" si="129"/>
        <v/>
      </c>
      <c r="DK15" s="119" t="str">
        <f t="shared" si="129"/>
        <v/>
      </c>
      <c r="DL15" s="119" t="str">
        <f t="shared" si="129"/>
        <v/>
      </c>
      <c r="DM15" s="119" t="str">
        <f t="shared" si="129"/>
        <v/>
      </c>
      <c r="DN15" s="119" t="str">
        <f t="shared" si="129"/>
        <v/>
      </c>
      <c r="DO15" s="119" t="str">
        <f>IF(DG15&lt;&gt;"",SUM(DG15:DN15),"")</f>
        <v/>
      </c>
      <c r="DP15" s="119" t="str">
        <f>IF(DP13="","",IF(DP13&gt;0,(DJ16*DP14)+DJ17,-1))</f>
        <v/>
      </c>
      <c r="DQ15" s="119" t="str">
        <f>IF(DP13="","",IF(DP13&gt;0,(DJ16*DQ14)+DJ17,-1))</f>
        <v/>
      </c>
      <c r="DR15" s="119" t="str">
        <f>IF(DP13="","",IF(DP13&gt;0,(DJ16*DR14)+DJ17,-1))</f>
        <v/>
      </c>
      <c r="DS15" s="119" t="str">
        <f>IF(DP13="","",IF(DP13&gt;0,(DJ16*DS14)+DJ17,-1))</f>
        <v/>
      </c>
      <c r="DT15" s="119" t="str">
        <f>IF(DP13="","",IF(DP13&gt;0,(DJ16*DT14)+DJ17,-1))</f>
        <v/>
      </c>
      <c r="DU15" s="119" t="str">
        <f>IF(DP13="","",IF(DP13&gt;0,(DJ16*DU14)+DJ17,-1))</f>
        <v/>
      </c>
      <c r="DV15" s="119" t="str">
        <f>IF(DP13="","",IF(DP13&gt;0,(DJ16*DV14)+DJ17,-1))</f>
        <v/>
      </c>
      <c r="DW15" s="119" t="str">
        <f>IF(DP13="","",IF(DP13&gt;0,(DJ16*DW14)+DJ17,-1))</f>
        <v/>
      </c>
      <c r="DX15" s="1182" t="str">
        <f>IF(DP13="","",IF(DP13&gt;0,(DJ16*DX14)+DJ17,-1))</f>
        <v/>
      </c>
      <c r="DY15" s="124">
        <f>IF(ISNUMBER(DY13),DY12-EG12,"")</f>
        <v>-3.02</v>
      </c>
      <c r="DZ15" s="117">
        <f>IF(ISNUMBER(DZ13),DZ12-EG12,"")</f>
        <v>-2.38</v>
      </c>
      <c r="EA15" s="117">
        <f>IF(ISNUMBER(EA13),EA12-EG12,"")</f>
        <v>-1.75</v>
      </c>
      <c r="EB15" s="117">
        <f>IF(ISNUMBER(EB13),EB12-EG12,"")</f>
        <v>-1.1099999999999999</v>
      </c>
      <c r="EC15" s="117">
        <f>IF(ISNUMBER(EC13),EC12-EG12,"")</f>
        <v>0.16000000000000014</v>
      </c>
      <c r="ED15" s="117">
        <f>IF(ISNUMBER(ED13),ED12-EG12,"")</f>
        <v>1.4300000000000002</v>
      </c>
      <c r="EE15" s="117">
        <f>IF(ISNUMBER(EE13),EE12-EG12,"")</f>
        <v>2.6999999999999997</v>
      </c>
      <c r="EF15" s="117">
        <f>IF(ISNUMBER(EF13),EF12-EG12,"")</f>
        <v>3.97</v>
      </c>
      <c r="EG15" s="118">
        <f>IF(DY15&lt;&gt;"",SUM(DY15:EF15),"")</f>
        <v>0</v>
      </c>
      <c r="EH15" s="119">
        <f t="shared" ref="EH15:EO15" si="130">IF(ISERROR(DY15*DY17),"",DY15*DY17)</f>
        <v>55.721114000000007</v>
      </c>
      <c r="EI15" s="119">
        <f t="shared" si="130"/>
        <v>41.018585999999999</v>
      </c>
      <c r="EJ15" s="119">
        <f t="shared" si="130"/>
        <v>26.665800000000001</v>
      </c>
      <c r="EK15" s="119">
        <f t="shared" si="130"/>
        <v>13.759559999999999</v>
      </c>
      <c r="EL15" s="119">
        <f t="shared" si="130"/>
        <v>-0.69304000000000066</v>
      </c>
      <c r="EM15" s="119">
        <f t="shared" si="130"/>
        <v>9.9510840000000016</v>
      </c>
      <c r="EN15" s="119">
        <f t="shared" si="130"/>
        <v>57.982229999999987</v>
      </c>
      <c r="EO15" s="119">
        <f t="shared" si="130"/>
        <v>155.690696</v>
      </c>
      <c r="EP15" s="119">
        <f>IF(EH15&lt;&gt;"",SUM(EH15:EO15),"")</f>
        <v>360.09603000000004</v>
      </c>
      <c r="EQ15" s="119">
        <f>IF(EQ13="","",IF(EQ13&gt;0,(EK16*EQ14)+EK17,-1))</f>
        <v>-1</v>
      </c>
      <c r="ER15" s="119">
        <f>IF(EQ13="","",IF(EQ13&gt;0,(EK16*ER14)+EK17,-1))</f>
        <v>-1</v>
      </c>
      <c r="ES15" s="119">
        <f>IF(EQ13="","",IF(EQ13&gt;0,(EK16*ES14)+EK17,-1))</f>
        <v>-1</v>
      </c>
      <c r="ET15" s="119">
        <f>IF(EQ13="","",IF(EQ13&gt;0,(EK16*ET14)+EK17,-1))</f>
        <v>-1</v>
      </c>
      <c r="EU15" s="119">
        <f>IF(EQ13="","",IF(EQ13&gt;0,(EK16*EU14)+EK17,-1))</f>
        <v>-1</v>
      </c>
      <c r="EV15" s="119">
        <f>IF(EQ13="","",IF(EQ13&gt;0,(EK16*EV14)+EK17,-1))</f>
        <v>-1</v>
      </c>
      <c r="EW15" s="119">
        <f>IF(EQ13="","",IF(EQ13&gt;0,(EK16*EW14)+EK17,-1))</f>
        <v>-1</v>
      </c>
      <c r="EX15" s="119">
        <f>IF(EQ13="","",IF(EQ13&gt;0,(EK16*EX14)+EK17,-1))</f>
        <v>-1</v>
      </c>
      <c r="EY15" s="1182">
        <f>IF(EQ13="","",IF(EQ13&gt;0,(EK16*EY14)+EK17,-1))</f>
        <v>-1</v>
      </c>
      <c r="EZ15" s="124">
        <f>IF(ISNUMBER(EZ13),EZ12-FH12,"")</f>
        <v>-3.02</v>
      </c>
      <c r="FA15" s="117">
        <f>IF(ISNUMBER(FA13),FA12-FH12,"")</f>
        <v>-2.38</v>
      </c>
      <c r="FB15" s="117">
        <f>IF(ISNUMBER(FB13),FB12-FH12,"")</f>
        <v>-1.75</v>
      </c>
      <c r="FC15" s="117">
        <f>IF(ISNUMBER(FC13),FC12-FH12,"")</f>
        <v>-1.1099999999999999</v>
      </c>
      <c r="FD15" s="117">
        <f>IF(ISNUMBER(FD13),FD12-FH12,"")</f>
        <v>0.16000000000000014</v>
      </c>
      <c r="FE15" s="117">
        <f>IF(ISNUMBER(FE13),FE12-FH12,"")</f>
        <v>1.4300000000000002</v>
      </c>
      <c r="FF15" s="117">
        <f>IF(ISNUMBER(FF13),FF12-FH12,"")</f>
        <v>2.6999999999999997</v>
      </c>
      <c r="FG15" s="117">
        <f>IF(ISNUMBER(FG13),FG12-FH12,"")</f>
        <v>3.97</v>
      </c>
      <c r="FH15" s="118">
        <f>IF(EZ15&lt;&gt;"",SUM(EZ15:FG15),"")</f>
        <v>0</v>
      </c>
      <c r="FI15" s="119">
        <f t="shared" ref="FI15:FP15" si="131">IF(ISERROR(EZ15*EZ17),"",EZ15*EZ17)</f>
        <v>55.721114000000007</v>
      </c>
      <c r="FJ15" s="119">
        <f t="shared" si="131"/>
        <v>41.018585999999999</v>
      </c>
      <c r="FK15" s="119">
        <f t="shared" si="131"/>
        <v>26.665800000000001</v>
      </c>
      <c r="FL15" s="119">
        <f t="shared" si="131"/>
        <v>13.759559999999999</v>
      </c>
      <c r="FM15" s="119">
        <f t="shared" si="131"/>
        <v>-0.69304000000000066</v>
      </c>
      <c r="FN15" s="119">
        <f t="shared" si="131"/>
        <v>9.9510840000000016</v>
      </c>
      <c r="FO15" s="119">
        <f t="shared" si="131"/>
        <v>57.982229999999987</v>
      </c>
      <c r="FP15" s="119">
        <f t="shared" si="131"/>
        <v>155.690696</v>
      </c>
      <c r="FQ15" s="119">
        <f>IF(FI15&lt;&gt;"",SUM(FI15:FP15),"")</f>
        <v>360.09603000000004</v>
      </c>
      <c r="FR15" s="119">
        <f>IF(FR13="","",IF(FR13&gt;0,(FL16*FR14)+FL17,-1))</f>
        <v>-1</v>
      </c>
      <c r="FS15" s="119">
        <f>IF(FR13="","",IF(FR13&gt;0,(FL16*FS14)+FL17,-1))</f>
        <v>-1</v>
      </c>
      <c r="FT15" s="119">
        <f>IF(FR13="","",IF(FR13&gt;0,(FL16*FT14)+FL17,-1))</f>
        <v>-1</v>
      </c>
      <c r="FU15" s="119">
        <f>IF(FR13="","",IF(FR13&gt;0,(FL16*FU14)+FL17,-1))</f>
        <v>-1</v>
      </c>
      <c r="FV15" s="119">
        <f>IF(FR13="","",IF(FR13&gt;0,(FL16*FV14)+FL17,-1))</f>
        <v>-1</v>
      </c>
      <c r="FW15" s="119">
        <f>IF(FR13="","",IF(FR13&gt;0,(FL16*FW14)+FL17,-1))</f>
        <v>-1</v>
      </c>
      <c r="FX15" s="119">
        <f>IF(FR13="","",IF(FR13&gt;0,(FL16*FX14)+FL17,-1))</f>
        <v>-1</v>
      </c>
      <c r="FY15" s="119">
        <f>IF(FR13="","",IF(FR13&gt;0,(FL16*FY14)+FL17,-1))</f>
        <v>-1</v>
      </c>
      <c r="FZ15" s="1182">
        <f>IF(FR13="","",IF(FR13&gt;0,(FL16*FZ14)+FL17,-1))</f>
        <v>-1</v>
      </c>
      <c r="GA15" s="124">
        <f>IF(ISNUMBER(GA13),GA12-GI12,"")</f>
        <v>-3.02</v>
      </c>
      <c r="GB15" s="117">
        <f>IF(ISNUMBER(GB13),GB12-GI12,"")</f>
        <v>-2.38</v>
      </c>
      <c r="GC15" s="117">
        <f>IF(ISNUMBER(GC13),GC12-GI12,"")</f>
        <v>-1.75</v>
      </c>
      <c r="GD15" s="117">
        <f>IF(ISNUMBER(GD13),GD12-GI12,"")</f>
        <v>-1.1099999999999999</v>
      </c>
      <c r="GE15" s="117">
        <f>IF(ISNUMBER(GE13),GE12-GI12,"")</f>
        <v>0.16000000000000014</v>
      </c>
      <c r="GF15" s="117">
        <f>IF(ISNUMBER(GF13),GF12-GI12,"")</f>
        <v>1.4300000000000002</v>
      </c>
      <c r="GG15" s="117">
        <f>IF(ISNUMBER(GG13),GG12-GI12,"")</f>
        <v>2.6999999999999997</v>
      </c>
      <c r="GH15" s="117">
        <f>IF(ISNUMBER(GH13),GH12-GI12,"")</f>
        <v>3.97</v>
      </c>
      <c r="GI15" s="118">
        <f>IF(GA15&lt;&gt;"",SUM(GA15:GH15),"")</f>
        <v>0</v>
      </c>
      <c r="GJ15" s="119">
        <f t="shared" ref="GJ15:GQ15" si="132">IF(ISERROR(GA15*GA17),"",GA15*GA17)</f>
        <v>55.721114000000007</v>
      </c>
      <c r="GK15" s="119">
        <f t="shared" si="132"/>
        <v>41.018585999999999</v>
      </c>
      <c r="GL15" s="119">
        <f t="shared" si="132"/>
        <v>26.665800000000001</v>
      </c>
      <c r="GM15" s="119">
        <f t="shared" si="132"/>
        <v>13.759559999999999</v>
      </c>
      <c r="GN15" s="119">
        <f t="shared" si="132"/>
        <v>-0.69304000000000066</v>
      </c>
      <c r="GO15" s="119">
        <f t="shared" si="132"/>
        <v>9.9510840000000016</v>
      </c>
      <c r="GP15" s="119">
        <f t="shared" si="132"/>
        <v>57.982229999999987</v>
      </c>
      <c r="GQ15" s="119">
        <f t="shared" si="132"/>
        <v>155.690696</v>
      </c>
      <c r="GR15" s="119">
        <f>IF(GJ15&lt;&gt;"",SUM(GJ15:GQ15),"")</f>
        <v>360.09603000000004</v>
      </c>
      <c r="GS15" s="119">
        <f>IF(GS13="","",IF(GS13&gt;0,(GM16*GS14)+GM17,-1))</f>
        <v>-1.8933575090929047</v>
      </c>
      <c r="GT15" s="119">
        <f>IF(GS13="","",IF(GS13&gt;0,(GM16*GT14)+GM17,-1))</f>
        <v>0.40978987516351273</v>
      </c>
      <c r="GU15" s="119">
        <f>IF(GS13="","",IF(GS13&gt;0,(GM16*GU14)+GM17,-1))</f>
        <v>2.7494951544081268</v>
      </c>
      <c r="GV15" s="119">
        <f>IF(GS13="","",IF(GS13&gt;0,(GM16*GV14)+GM17,-1))</f>
        <v>5.0526425386645437</v>
      </c>
      <c r="GW15" s="119">
        <f>IF(GS13="","",IF(GS13&gt;0,(GM16*GW14)+GM17,-1))</f>
        <v>7.3923478179091582</v>
      </c>
      <c r="GX15" s="119">
        <f>IF(GS13="","",IF(GS13&gt;0,(GM16*GX14)+GM17,-1))</f>
        <v>12.03520048141019</v>
      </c>
      <c r="GY15" s="119">
        <f>IF(GS13="","",IF(GS13&gt;0,(GM16*GY14)+GM17,-1))</f>
        <v>16.678053144911221</v>
      </c>
      <c r="GZ15" s="119">
        <f>IF(GS13="","",IF(GS13&gt;0,(GM16*GZ14)+GM17,-1))</f>
        <v>21.320905808412252</v>
      </c>
      <c r="HA15" s="1182">
        <f>IF(GS13="","",IF(GS13&gt;0,(GM16*HA14)+GM17,-1))</f>
        <v>25.963758471913284</v>
      </c>
      <c r="HB15" s="124" t="str">
        <f>IF(ISNUMBER(HB13),HB12-HJ12,"")</f>
        <v/>
      </c>
      <c r="HC15" s="117" t="str">
        <f>IF(ISNUMBER(HC13),HC12-HJ12,"")</f>
        <v/>
      </c>
      <c r="HD15" s="117" t="str">
        <f>IF(ISNUMBER(HD13),HD12-HJ12,"")</f>
        <v/>
      </c>
      <c r="HE15" s="117" t="str">
        <f>IF(ISNUMBER(HE13),HE12-HJ12,"")</f>
        <v/>
      </c>
      <c r="HF15" s="117" t="str">
        <f>IF(ISNUMBER(HF13),HF12-HJ12,"")</f>
        <v/>
      </c>
      <c r="HG15" s="117" t="str">
        <f>IF(ISNUMBER(HG13),HG12-HJ12,"")</f>
        <v/>
      </c>
      <c r="HH15" s="117" t="str">
        <f>IF(ISNUMBER(HH13),HH12-HJ12,"")</f>
        <v/>
      </c>
      <c r="HI15" s="117" t="str">
        <f>IF(ISNUMBER(HI13),HI12-HJ12,"")</f>
        <v/>
      </c>
      <c r="HJ15" s="118" t="str">
        <f>IF(HB15&lt;&gt;"",SUM(HB15:HI15),"")</f>
        <v/>
      </c>
      <c r="HK15" s="119" t="str">
        <f t="shared" ref="HK15:HR15" si="133">IF(ISERROR(HB15*HB17),"",HB15*HB17)</f>
        <v/>
      </c>
      <c r="HL15" s="119" t="str">
        <f t="shared" si="133"/>
        <v/>
      </c>
      <c r="HM15" s="119" t="str">
        <f t="shared" si="133"/>
        <v/>
      </c>
      <c r="HN15" s="119" t="str">
        <f t="shared" si="133"/>
        <v/>
      </c>
      <c r="HO15" s="119" t="str">
        <f t="shared" si="133"/>
        <v/>
      </c>
      <c r="HP15" s="119" t="str">
        <f t="shared" si="133"/>
        <v/>
      </c>
      <c r="HQ15" s="119" t="str">
        <f t="shared" si="133"/>
        <v/>
      </c>
      <c r="HR15" s="119" t="str">
        <f t="shared" si="133"/>
        <v/>
      </c>
      <c r="HS15" s="119" t="str">
        <f>IF(HK15&lt;&gt;"",SUM(HK15:HR15),"")</f>
        <v/>
      </c>
      <c r="HT15" s="119" t="str">
        <f>IF(HT13="","",IF(HT13&gt;0,(HN16*HT14)+HN17,-1))</f>
        <v/>
      </c>
      <c r="HU15" s="119" t="str">
        <f>IF(HT13="","",IF(HT13&gt;0,(HN16*HU14)+HN17,-1))</f>
        <v/>
      </c>
      <c r="HV15" s="119" t="str">
        <f>IF(HT13="","",IF(HT13&gt;0,(HN16*HV14)+HN17,-1))</f>
        <v/>
      </c>
      <c r="HW15" s="119" t="str">
        <f>IF(HT13="","",IF(HT13&gt;0,(HN16*HW14)+HN17,-1))</f>
        <v/>
      </c>
      <c r="HX15" s="119" t="str">
        <f>IF(HT13="","",IF(HT13&gt;0,(HN16*HX14)+HN17,-1))</f>
        <v/>
      </c>
      <c r="HY15" s="119" t="str">
        <f>IF(HT13="","",IF(HT13&gt;0,(HN16*HY14)+HN17,-1))</f>
        <v/>
      </c>
      <c r="HZ15" s="119" t="str">
        <f>IF(HT13="","",IF(HT13&gt;0,(HN16*HZ14)+HN17,-1))</f>
        <v/>
      </c>
      <c r="IA15" s="119" t="str">
        <f>IF(HT13="","",IF(HT13&gt;0,(HN16*IA14)+HN17,-1))</f>
        <v/>
      </c>
      <c r="IB15" s="1182" t="str">
        <f>IF(HT13="","",IF(HT13&gt;0,(HN16*IB14)+HN17,-1))</f>
        <v/>
      </c>
      <c r="IC15" s="124" t="str">
        <f>IF(ISNUMBER(IC13),IC12-IK12,"")</f>
        <v/>
      </c>
      <c r="ID15" s="117" t="str">
        <f>IF(ISNUMBER(ID13),ID12-IK12,"")</f>
        <v/>
      </c>
      <c r="IE15" s="117" t="str">
        <f>IF(ISNUMBER(IE13),IE12-IK12,"")</f>
        <v/>
      </c>
      <c r="IF15" s="117" t="str">
        <f>IF(ISNUMBER(IF13),IF12-IK12,"")</f>
        <v/>
      </c>
      <c r="IG15" s="117" t="str">
        <f>IF(ISNUMBER(IG13),IG12-IK12,"")</f>
        <v/>
      </c>
      <c r="IH15" s="117" t="str">
        <f>IF(ISNUMBER(IH13),IH12-IK12,"")</f>
        <v/>
      </c>
      <c r="II15" s="117" t="str">
        <f>IF(ISNUMBER(II13),II12-IK12,"")</f>
        <v/>
      </c>
      <c r="IJ15" s="117" t="str">
        <f>IF(ISNUMBER(IJ13),IJ12-IK12,"")</f>
        <v/>
      </c>
      <c r="IK15" s="118" t="str">
        <f>IF(IC15&lt;&gt;"",SUM(IC15:IJ15),"")</f>
        <v/>
      </c>
      <c r="IL15" s="119" t="str">
        <f t="shared" ref="IL15:IS15" si="134">IF(ISERROR(IC15*IC17),"",IC15*IC17)</f>
        <v/>
      </c>
      <c r="IM15" s="119" t="str">
        <f t="shared" si="134"/>
        <v/>
      </c>
      <c r="IN15" s="119" t="str">
        <f t="shared" si="134"/>
        <v/>
      </c>
      <c r="IO15" s="119" t="str">
        <f t="shared" si="134"/>
        <v/>
      </c>
      <c r="IP15" s="119" t="str">
        <f t="shared" si="134"/>
        <v/>
      </c>
      <c r="IQ15" s="119" t="str">
        <f t="shared" si="134"/>
        <v/>
      </c>
      <c r="IR15" s="119" t="str">
        <f t="shared" si="134"/>
        <v/>
      </c>
      <c r="IS15" s="119" t="str">
        <f t="shared" si="134"/>
        <v/>
      </c>
      <c r="IT15" s="119" t="str">
        <f>IF(IL15&lt;&gt;"",SUM(IL15:IS15),"")</f>
        <v/>
      </c>
      <c r="IU15" s="119" t="str">
        <f>IF(IU13="","",IF(IU13&gt;0,(IO16*IU14)+IO17,-1))</f>
        <v/>
      </c>
      <c r="IV15" s="119" t="str">
        <f>IF(IU13="","",IF(IU13&gt;0,(IO16*IV14)+IO17,-1))</f>
        <v/>
      </c>
      <c r="IW15" s="119" t="str">
        <f>IF(IU13="","",IF(IU13&gt;0,(IO16*IW14)+IO17,-1))</f>
        <v/>
      </c>
      <c r="IX15" s="119" t="str">
        <f>IF(IU13="","",IF(IU13&gt;0,(IO16*IX14)+IO17,-1))</f>
        <v/>
      </c>
      <c r="IY15" s="119" t="str">
        <f>IF(IU13="","",IF(IU13&gt;0,(IO16*IY14)+IO17,-1))</f>
        <v/>
      </c>
      <c r="IZ15" s="119" t="str">
        <f>IF(IU13="","",IF(IU13&gt;0,(IO16*IZ14)+IO17,-1))</f>
        <v/>
      </c>
      <c r="JA15" s="119" t="str">
        <f>IF(IU13="","",IF(IU13&gt;0,(IO16*JA14)+IO17,-1))</f>
        <v/>
      </c>
      <c r="JB15" s="119" t="str">
        <f>IF(IU13="","",IF(IU13&gt;0,(IO16*JB14)+IO17,-1))</f>
        <v/>
      </c>
      <c r="JC15" s="1182" t="str">
        <f>IF(IU13="","",IF(IU13&gt;0,(IO16*JC14)+IO17,-1))</f>
        <v/>
      </c>
      <c r="JD15" s="150">
        <f t="shared" si="89"/>
        <v>4</v>
      </c>
      <c r="JE15" s="77" t="str">
        <f t="shared" ref="JE15:JJ15" si="135">IF(ISNUMBER(JE12),JE12-$JK12,"")</f>
        <v/>
      </c>
      <c r="JF15" s="77">
        <f t="shared" si="135"/>
        <v>-1.5196181701229654E-2</v>
      </c>
      <c r="JG15" s="77">
        <f t="shared" si="135"/>
        <v>0</v>
      </c>
      <c r="JH15" s="77">
        <f t="shared" si="135"/>
        <v>1.5196181701229654E-2</v>
      </c>
      <c r="JI15" s="77" t="str">
        <f t="shared" si="135"/>
        <v/>
      </c>
      <c r="JJ15" s="77" t="str">
        <f t="shared" si="135"/>
        <v/>
      </c>
      <c r="JK15" s="76"/>
      <c r="JL15" s="75" t="str">
        <f t="shared" ref="JL15:JQ15" si="136">IF(ISERROR(JE16*JE17),"",JE16*JE17)</f>
        <v/>
      </c>
      <c r="JM15" s="75">
        <f t="shared" si="136"/>
        <v>5.25562733608054E-2</v>
      </c>
      <c r="JN15" s="75">
        <f t="shared" si="136"/>
        <v>-1.0482091030635972E-2</v>
      </c>
      <c r="JO15" s="75">
        <f t="shared" si="136"/>
        <v>-5.6925756271413309E-2</v>
      </c>
      <c r="JP15" s="75" t="str">
        <f t="shared" si="136"/>
        <v/>
      </c>
      <c r="JQ15" s="75" t="str">
        <f t="shared" si="136"/>
        <v/>
      </c>
      <c r="JR15" s="65">
        <f>SUM(JL15:JQ15)</f>
        <v>-1.4851573941243881E-2</v>
      </c>
      <c r="JS15" s="157" t="s">
        <v>99</v>
      </c>
      <c r="JT15" s="1195" t="s">
        <v>100</v>
      </c>
      <c r="JU15" s="123">
        <f>IF(T16&lt;&gt;0,LOOKUP(T16,Tara!$G$6:$G$185,Tara!$J$6:$J$185)/10,"")</f>
        <v>11.479000000000001</v>
      </c>
      <c r="JV15" s="116">
        <f t="shared" si="91"/>
        <v>5.0000000000000044E-2</v>
      </c>
      <c r="JW15" s="155">
        <f t="shared" si="92"/>
        <v>4.3557801202195347E-4</v>
      </c>
      <c r="JX15" s="77" t="str">
        <f t="shared" ref="JX15:KC15" si="137">IF(ISNUMBER(JX12),JX12-$JK12,"")</f>
        <v/>
      </c>
      <c r="JY15" s="77">
        <f t="shared" si="137"/>
        <v>-1.5196181701229654E-2</v>
      </c>
      <c r="JZ15" s="77">
        <f t="shared" si="137"/>
        <v>0</v>
      </c>
      <c r="KA15" s="77">
        <f t="shared" si="137"/>
        <v>1.5196181701229654E-2</v>
      </c>
      <c r="KB15" s="77" t="str">
        <f t="shared" si="137"/>
        <v/>
      </c>
      <c r="KC15" s="77" t="str">
        <f t="shared" si="137"/>
        <v/>
      </c>
      <c r="KD15" s="76"/>
      <c r="KE15" s="75" t="str">
        <f t="shared" ref="KE15:KJ15" si="138">IF(ISERROR(JX16*JX17),"",JX16*JX17)</f>
        <v/>
      </c>
      <c r="KF15" s="75">
        <f t="shared" si="138"/>
        <v>7.8484344890738036E-2</v>
      </c>
      <c r="KG15" s="75">
        <f t="shared" si="138"/>
        <v>7.863517565757051E-3</v>
      </c>
      <c r="KH15" s="75">
        <f t="shared" si="138"/>
        <v>-8.6534500045598706E-2</v>
      </c>
      <c r="KI15" s="75" t="str">
        <f t="shared" si="138"/>
        <v/>
      </c>
      <c r="KJ15" s="75" t="str">
        <f t="shared" si="138"/>
        <v/>
      </c>
      <c r="KK15" s="65">
        <f>SUM(KE15:KJ15)</f>
        <v>-1.866375891036165E-4</v>
      </c>
      <c r="KL15" s="157" t="s">
        <v>99</v>
      </c>
      <c r="KM15" s="1195" t="s">
        <v>87</v>
      </c>
      <c r="KN15" s="168" t="str">
        <f t="shared" ref="KN15:KW15" si="139">IF(ISNUMBER(KN14),KN12/KN14,"")</f>
        <v/>
      </c>
      <c r="KO15" s="105" t="str">
        <f t="shared" si="139"/>
        <v/>
      </c>
      <c r="KP15" s="105" t="str">
        <f t="shared" si="139"/>
        <v/>
      </c>
      <c r="KQ15" s="105" t="str">
        <f t="shared" si="139"/>
        <v/>
      </c>
      <c r="KR15" s="1196" t="str">
        <f t="shared" si="139"/>
        <v/>
      </c>
      <c r="KS15" s="168" t="str">
        <f t="shared" si="139"/>
        <v/>
      </c>
      <c r="KT15" s="105" t="str">
        <f t="shared" si="139"/>
        <v/>
      </c>
      <c r="KU15" s="105" t="str">
        <f t="shared" si="139"/>
        <v/>
      </c>
      <c r="KV15" s="105" t="str">
        <f t="shared" si="139"/>
        <v/>
      </c>
      <c r="KW15" s="105" t="str">
        <f t="shared" si="139"/>
        <v/>
      </c>
      <c r="KX15" s="1197"/>
      <c r="KY15" s="196" t="str">
        <f>IF(AND(KY13&gt;0,ISNUMBER(KY13)),KY14/KY13,"")</f>
        <v/>
      </c>
      <c r="KZ15" s="1198" t="str">
        <f>IF(AND(KZ13&gt;0,ISNUMBER(KZ13)),KZ14/KZ13,"")</f>
        <v/>
      </c>
      <c r="LA15" s="598">
        <f>IF(LA12&lt;&gt;"",LA12/LA14*100,"")</f>
        <v>0</v>
      </c>
      <c r="LB15" s="702">
        <f>IF(LB12&lt;&gt;"",LB12/LB14*100,"")</f>
        <v>0</v>
      </c>
      <c r="LC15" s="120">
        <f>IF(LC13&lt;&gt;"",LC13-LC14,"")</f>
        <v>976.28</v>
      </c>
      <c r="LD15" s="120">
        <f>IF(LD13&lt;&gt;"",LD13/(LA16+100)*100,"")</f>
        <v>100</v>
      </c>
      <c r="LE15" s="199"/>
      <c r="LF15" s="199"/>
      <c r="LG15" s="199"/>
      <c r="LH15" s="199"/>
      <c r="LI15" s="199"/>
      <c r="LJ15" s="199"/>
      <c r="LK15" s="199"/>
      <c r="LL15" s="200">
        <f>IF(LD13&lt;&gt;"",LL14/LD15,"")</f>
        <v>0.90549999999999997</v>
      </c>
      <c r="LM15" s="1199">
        <f>IF(LD13&lt;&gt;"",LM14/LD15,"")</f>
        <v>0.35059999999999997</v>
      </c>
      <c r="LN15" s="185" t="b">
        <f>IF(LM16="","",IF(AND(LG16&gt;=93%,LG16&lt;=100%,LI16&gt;=43%,LI16&lt;=92%,LJ16&gt;=30%,LJ16&lt;=70%,LK16&gt;=20%,LK16&lt;=55%,LL16&gt;=13%,LL16&lt;=32%,LM16&gt;=3%,LM16&lt;=17%),"Faixa C"))</f>
        <v>0</v>
      </c>
      <c r="LO15" s="180" t="str">
        <f>IF(LM16="","",IF(LN13="Faixa A","A",IF(LN14="Faixa B","B",IF(LN15="Faixa C","C",IF(LN16="Faixa D","D",IF(LO13="Faixa E","E",IF(LO14="Faixa F","F","")))))))</f>
        <v>D</v>
      </c>
      <c r="LP15" s="181"/>
      <c r="LQ15" s="181"/>
      <c r="LR15" s="1279"/>
      <c r="LS15" s="215">
        <v>4</v>
      </c>
      <c r="LT15" s="144">
        <f>IF(LJ16&lt;&gt;"",LJ16*100,"")</f>
        <v>55.656499999999994</v>
      </c>
      <c r="LU15" s="162" t="s">
        <v>101</v>
      </c>
      <c r="LV15" s="162" t="s">
        <v>102</v>
      </c>
      <c r="LW15" s="162" t="s">
        <v>103</v>
      </c>
      <c r="LX15" s="162" t="s">
        <v>104</v>
      </c>
      <c r="LY15" s="199" t="b">
        <f>IF(LG18&lt;LL18,"NP",AND(LU18=0,LO18&lt;=6,LT18&lt;=15,LT17&lt;=30,LT16&lt;=50))</f>
        <v>0</v>
      </c>
      <c r="LZ15" s="199" t="b">
        <f>IF(LH18&lt;LL18,"NP",AND(LU18=0,LO18&lt;=6,LT18&lt;=25,LT17&lt;=50))</f>
        <v>1</v>
      </c>
      <c r="MA15" s="199" t="b">
        <f>IF(LO18&lt;0,IF(MB15="NP",IF(LU18=0,IF(LT18&lt;=10,IF(LT17&gt;50,AND(LU18=0,LO18&lt;0,LT18&lt;=10,LT17&gt;50),"NP")))))</f>
        <v>0</v>
      </c>
      <c r="MB15" s="199" t="b">
        <f>IF(LH18&lt;LL18,"NP",AND(LU18=0,LO18&lt;=10,LH18&lt;=40,LT18&lt;35))</f>
        <v>1</v>
      </c>
      <c r="MC15" s="199" t="b">
        <f>IF(LH18&lt;LL18,"NP",AND(LU18=0,LO18&lt;=10,LH18&gt;40,LT18&lt;=35))</f>
        <v>0</v>
      </c>
      <c r="MD15" s="199" t="b">
        <f>IF(LH18&lt;LL18,"NP",AND(LU18&lt;=4,LO18&gt;10,LH18&lt;=40,LT18&lt;=35))</f>
        <v>0</v>
      </c>
      <c r="ME15" s="1200" t="b">
        <f>IF(LH18&lt;LL18,"NP",AND(LU18&lt;=4,LO18&gt;10,LH18&gt;40,LT18&lt;=35))</f>
        <v>0</v>
      </c>
      <c r="MF15" s="700"/>
      <c r="MG15" s="701"/>
      <c r="MH15" s="701"/>
      <c r="MI15" s="701"/>
      <c r="MJ15" s="701"/>
      <c r="MK15" s="701"/>
      <c r="ML15" s="701"/>
      <c r="MM15" s="701"/>
      <c r="MN15" s="701"/>
      <c r="MO15" s="701"/>
      <c r="MP15" s="701"/>
      <c r="MQ15" s="701"/>
      <c r="MR15" s="701"/>
      <c r="MS15" s="701"/>
      <c r="MT15" s="701"/>
      <c r="MU15" s="701"/>
      <c r="MV15" s="701"/>
      <c r="MW15" s="701"/>
      <c r="MX15" s="701"/>
      <c r="MY15" s="701"/>
      <c r="MZ15" s="701"/>
      <c r="NA15" s="701"/>
      <c r="NB15" s="701"/>
      <c r="NC15" s="701"/>
      <c r="ND15" s="701"/>
      <c r="NE15" s="701"/>
      <c r="NF15" s="701"/>
      <c r="NG15" s="701"/>
      <c r="NH15" s="701"/>
      <c r="NI15" s="701"/>
      <c r="NJ15" s="701"/>
      <c r="NK15" s="701"/>
      <c r="NL15" s="701"/>
      <c r="NM15" s="701"/>
      <c r="NN15" s="701"/>
      <c r="NO15" s="701"/>
      <c r="NP15" s="701"/>
      <c r="NQ15" s="701"/>
      <c r="NR15" s="701"/>
      <c r="NS15" s="144"/>
      <c r="NT15" s="78"/>
      <c r="NU15" s="701"/>
      <c r="NV15" s="701"/>
      <c r="NW15" s="701"/>
      <c r="NX15" s="701"/>
      <c r="NY15" s="701"/>
      <c r="NZ15" s="701"/>
      <c r="OA15" s="701"/>
      <c r="OB15" s="701"/>
      <c r="OC15" s="701"/>
      <c r="OD15" s="1189"/>
      <c r="OE15" s="701"/>
      <c r="OF15" s="132"/>
      <c r="OG15" s="132"/>
      <c r="OH15" s="132"/>
    </row>
    <row r="16" spans="1:398" s="56" customFormat="1" ht="15" hidden="1" customHeight="1" x14ac:dyDescent="0.3">
      <c r="A16" s="1337"/>
      <c r="B16" s="723" t="s">
        <v>105</v>
      </c>
      <c r="C16" s="666"/>
      <c r="D16" s="1362"/>
      <c r="E16" s="1363"/>
      <c r="F16" s="1370"/>
      <c r="G16" s="726" t="s">
        <v>107</v>
      </c>
      <c r="H16" s="741" t="s">
        <v>59</v>
      </c>
      <c r="I16" s="1374" t="s">
        <v>108</v>
      </c>
      <c r="J16" s="1375"/>
      <c r="K16" s="668">
        <v>70</v>
      </c>
      <c r="L16" s="1376" t="s">
        <v>109</v>
      </c>
      <c r="M16" s="1377"/>
      <c r="N16" s="689">
        <v>1.4999999999999999E-2</v>
      </c>
      <c r="O16" s="1378" t="s">
        <v>110</v>
      </c>
      <c r="P16" s="1379"/>
      <c r="Q16" s="690">
        <v>7500</v>
      </c>
      <c r="R16" s="1380" t="s">
        <v>111</v>
      </c>
      <c r="S16" s="1381"/>
      <c r="T16" s="1181">
        <f>IF(U16="","",4)</f>
        <v>4</v>
      </c>
      <c r="U16" s="728">
        <v>40</v>
      </c>
      <c r="V16" s="737"/>
      <c r="W16" s="1382">
        <v>0.1</v>
      </c>
      <c r="X16" s="1383"/>
      <c r="Y16" s="737"/>
      <c r="Z16" s="673">
        <v>1</v>
      </c>
      <c r="AA16" s="673">
        <v>1</v>
      </c>
      <c r="AB16" s="673">
        <v>1</v>
      </c>
      <c r="AC16" s="673">
        <v>1.05</v>
      </c>
      <c r="AD16" s="675">
        <v>15</v>
      </c>
      <c r="AE16" s="675">
        <v>30</v>
      </c>
      <c r="AF16" s="675">
        <v>55</v>
      </c>
      <c r="AG16" s="675">
        <v>75</v>
      </c>
      <c r="AH16" s="675">
        <v>120</v>
      </c>
      <c r="AI16" s="675">
        <v>170</v>
      </c>
      <c r="AJ16" s="675">
        <v>210</v>
      </c>
      <c r="AK16" s="677">
        <v>280</v>
      </c>
      <c r="AL16" s="1384" t="s">
        <v>112</v>
      </c>
      <c r="AM16" s="159" t="s">
        <v>19</v>
      </c>
      <c r="AN16" s="340"/>
      <c r="AO16" s="340"/>
      <c r="AP16" s="340"/>
      <c r="AQ16" s="340"/>
      <c r="AR16" s="341"/>
      <c r="AS16" s="1366" t="s">
        <v>72</v>
      </c>
      <c r="AT16" s="678">
        <v>1</v>
      </c>
      <c r="AU16" s="679">
        <v>1</v>
      </c>
      <c r="AV16" s="679">
        <v>1</v>
      </c>
      <c r="AW16" s="680">
        <v>1</v>
      </c>
      <c r="AX16" s="679">
        <v>1</v>
      </c>
      <c r="AY16" s="679">
        <v>1</v>
      </c>
      <c r="AZ16" s="679">
        <v>0</v>
      </c>
      <c r="BA16" s="679">
        <v>0</v>
      </c>
      <c r="BB16" s="681">
        <v>0</v>
      </c>
      <c r="BC16" s="681">
        <v>0</v>
      </c>
      <c r="BD16" s="681">
        <v>730.63</v>
      </c>
      <c r="BE16" s="681">
        <v>156.24</v>
      </c>
      <c r="BF16" s="681">
        <v>136.85</v>
      </c>
      <c r="BG16" s="681">
        <v>2000</v>
      </c>
      <c r="BH16" s="681">
        <v>100</v>
      </c>
      <c r="BI16" s="681">
        <v>9.4499999999999993</v>
      </c>
      <c r="BJ16" s="681"/>
      <c r="BK16" s="681">
        <v>55.49</v>
      </c>
      <c r="BL16" s="1291" t="s">
        <v>72</v>
      </c>
      <c r="BM16" s="1307"/>
      <c r="BN16" s="62" t="s">
        <v>113</v>
      </c>
      <c r="BO16" s="68">
        <f>IF(AND(ISNUMBER(BO17),ISNUMBER(BW16)),BO17+BW16,"")</f>
        <v>166.8245042176186</v>
      </c>
      <c r="BP16" s="68">
        <f>IF(AND(ISNUMBER(BP17),ISNUMBER(BW16)),BP17+BW16,"")</f>
        <v>279.3245042176186</v>
      </c>
      <c r="BQ16" s="68">
        <f>IF(AND(ISNUMBER(BQ17),ISNUMBER(BW16)),BQ17+BW16,"")</f>
        <v>391.8245042176186</v>
      </c>
      <c r="BR16" s="68">
        <f>IF(AND(ISNUMBER(BR17),ISNUMBER(BW16)),BR17+BW16,"")</f>
        <v>504.3245042176186</v>
      </c>
      <c r="BS16" s="68">
        <f>IF(AND(ISNUMBER(BS17),ISNUMBER(BW16)),BS17+BW16,"")</f>
        <v>616.8245042176186</v>
      </c>
      <c r="BT16" s="68">
        <f>IF(AND(ISNUMBER(BT17),ISNUMBER(BW16)),BT17+BW16,"")</f>
        <v>729.3245042176186</v>
      </c>
      <c r="BU16" s="107" t="s">
        <v>26</v>
      </c>
      <c r="BV16" s="107"/>
      <c r="BW16" s="69">
        <f>IF(ISNUMBER(Q16),Q16-BW18,"")</f>
        <v>96.824504217618596</v>
      </c>
      <c r="BX16" s="62" t="s">
        <v>114</v>
      </c>
      <c r="BY16" s="68">
        <f t="shared" ref="BY16:CD16" si="140">IF(ISNUMBER(BY15),BY15*1000/BY14,"")</f>
        <v>2051.8731988472623</v>
      </c>
      <c r="BZ16" s="68">
        <f t="shared" si="140"/>
        <v>2191.8072289156626</v>
      </c>
      <c r="CA16" s="68">
        <f t="shared" si="140"/>
        <v>2405.0632911392404</v>
      </c>
      <c r="CB16" s="68">
        <f t="shared" si="140"/>
        <v>2381.3682678311498</v>
      </c>
      <c r="CC16" s="68">
        <f t="shared" si="140"/>
        <v>2306.9164265129684</v>
      </c>
      <c r="CD16" s="68" t="str">
        <f t="shared" si="140"/>
        <v/>
      </c>
      <c r="CE16" s="76">
        <f t="shared" ref="CE16:CJ16" si="141">IF(ISNUMBER(CE13),CE13-$CK13,"")</f>
        <v>-145.72918492916983</v>
      </c>
      <c r="CF16" s="76">
        <f t="shared" si="141"/>
        <v>-40.267745390948221</v>
      </c>
      <c r="CG16" s="76">
        <f t="shared" si="141"/>
        <v>131.78600304478141</v>
      </c>
      <c r="CH16" s="76">
        <f t="shared" si="141"/>
        <v>77.105314110277504</v>
      </c>
      <c r="CI16" s="76">
        <f t="shared" si="141"/>
        <v>-22.894386834940178</v>
      </c>
      <c r="CJ16" s="258" t="str">
        <f t="shared" si="141"/>
        <v/>
      </c>
      <c r="CK16" s="73"/>
      <c r="CL16" s="76">
        <f t="shared" ref="CL16:CQ16" si="142">IF(ISERROR(CE15*CE17),"",CE15*CE17)</f>
        <v>8.373940199048027E-5</v>
      </c>
      <c r="CM16" s="76">
        <f t="shared" si="142"/>
        <v>2.7953174748663095E-5</v>
      </c>
      <c r="CN16" s="76">
        <f t="shared" si="142"/>
        <v>0</v>
      </c>
      <c r="CO16" s="76">
        <f t="shared" si="142"/>
        <v>2.0934850497620074E-5</v>
      </c>
      <c r="CP16" s="76">
        <f t="shared" si="142"/>
        <v>1.1181269899465238E-4</v>
      </c>
      <c r="CQ16" s="76" t="str">
        <f t="shared" si="142"/>
        <v/>
      </c>
      <c r="CR16" s="65">
        <f>SUM(CL16:CQ16)</f>
        <v>2.4444012623141585E-4</v>
      </c>
      <c r="CS16" s="74"/>
      <c r="CT16" s="63"/>
      <c r="CU16" s="66">
        <f>IF(ISNUMBER(S17),LOOKUP(S17,Tara!$G$6:$G$185,Tara!$H$6:$H$185),"")</f>
        <v>5343</v>
      </c>
      <c r="CV16" s="1280">
        <f>IF(ISNUMBER(CU18),CU18*1000/CU17,"")</f>
        <v>2405.0632911392404</v>
      </c>
      <c r="CW16" s="1282" t="e">
        <f>IF(CV16&lt;&gt;"",CV16/(1+CW12),"")</f>
        <v>#VALUE!</v>
      </c>
      <c r="CX16" s="124" t="str">
        <f>IF(ISNUMBER(CX13),CX13-DF13,"")</f>
        <v/>
      </c>
      <c r="CY16" s="117" t="str">
        <f>IF(ISNUMBER(CY13),CY13-DF13,"")</f>
        <v/>
      </c>
      <c r="CZ16" s="117" t="str">
        <f>IF(ISNUMBER(CZ13),CZ13-DF13,"")</f>
        <v/>
      </c>
      <c r="DA16" s="117" t="str">
        <f>IF(ISNUMBER(DA13),DA13-DF13,"")</f>
        <v/>
      </c>
      <c r="DB16" s="117" t="str">
        <f>IF(ISNUMBER(DB13),DB13-DF13,"")</f>
        <v/>
      </c>
      <c r="DC16" s="117" t="str">
        <f>IF(ISNUMBER(DC13),DC13-DF13,"")</f>
        <v/>
      </c>
      <c r="DD16" s="117" t="str">
        <f>IF(ISNUMBER(DD13),DD13-DF13,"")</f>
        <v/>
      </c>
      <c r="DE16" s="117" t="str">
        <f>IF(ISNUMBER(DE13),DE13-DF13,"")</f>
        <v/>
      </c>
      <c r="DF16" s="280" t="str">
        <f>IF(CX16&lt;&gt;"",SUM(CX16:DE16),"")</f>
        <v/>
      </c>
      <c r="DG16" s="130" t="s">
        <v>115</v>
      </c>
      <c r="DH16" s="131" t="str">
        <f>IF(DF18&lt;&gt;"",(DO13*DO15-DO14*DF18)/(DO15^2-DO12*DF18),"")</f>
        <v/>
      </c>
      <c r="DI16" s="130" t="s">
        <v>116</v>
      </c>
      <c r="DJ16" s="116" t="str">
        <f>IF(DL16&lt;&gt;"",SLOPE(DL16:DL17,DK16:DK17),"")</f>
        <v/>
      </c>
      <c r="DK16" s="116">
        <v>2.54</v>
      </c>
      <c r="DL16" s="116" t="str">
        <f>IF(DH16&lt;&gt;"",DH16*DK16^2+DH17*DK16+DH18,"")</f>
        <v/>
      </c>
      <c r="DM16" s="116">
        <v>2.54</v>
      </c>
      <c r="DN16" s="116">
        <v>5.08</v>
      </c>
      <c r="DO16" s="132"/>
      <c r="DP16" s="119" t="str">
        <f>IF(DP13="","",IF(DP13&gt;0,DS12,-1))</f>
        <v/>
      </c>
      <c r="DQ16" s="119" t="str">
        <f>IF(DP13="","",IF(DP13&gt;0,DS12,-1))</f>
        <v/>
      </c>
      <c r="DR16" s="119" t="str">
        <f>IF(DP13="","",IF(DP13&gt;0,DV15,-1))</f>
        <v/>
      </c>
      <c r="DS16" s="119" t="str">
        <f>IF(DP13="","",IF(DP13&gt;0,DV15,-1))</f>
        <v/>
      </c>
      <c r="DT16" s="119" t="str">
        <f>IF(DP13="","",IF(DP13&gt;0,DT12,-1))</f>
        <v/>
      </c>
      <c r="DU16" s="119" t="str">
        <f>IF(DP13="","",IF(DP13&gt;0,DT12,-1))</f>
        <v/>
      </c>
      <c r="DV16" s="119" t="str">
        <f>IF(DP13="","",IF(DP13&gt;0,DT12,-1))</f>
        <v/>
      </c>
      <c r="DW16" s="119" t="str">
        <f>IF(DP13="","",IF(DP13&gt;0,DT12,-1))</f>
        <v/>
      </c>
      <c r="DX16" s="1201"/>
      <c r="DY16" s="124">
        <f>IF(ISNUMBER(DY13),DY13-EG13,"")</f>
        <v>-10.025</v>
      </c>
      <c r="DZ16" s="117">
        <f>IF(ISNUMBER(DZ13),DZ13-EG13,"")</f>
        <v>-6.8249999999999993</v>
      </c>
      <c r="EA16" s="117">
        <f>IF(ISNUMBER(EA13),EA13-EG13,"")</f>
        <v>-5.5250000000000004</v>
      </c>
      <c r="EB16" s="117">
        <f>IF(ISNUMBER(EB13),EB13-EG13,"")</f>
        <v>-4.0250000000000004</v>
      </c>
      <c r="EC16" s="117">
        <f>IF(ISNUMBER(EC13),EC13-EG13,"")</f>
        <v>-2.0250000000000004</v>
      </c>
      <c r="ED16" s="117">
        <f>IF(ISNUMBER(ED13),ED13-EG13,"")</f>
        <v>2.4749999999999996</v>
      </c>
      <c r="EE16" s="117">
        <f>IF(ISNUMBER(EE13),EE13-EG13,"")</f>
        <v>7.4749999999999996</v>
      </c>
      <c r="EF16" s="117">
        <f>IF(ISNUMBER(EF13),EF13-EG13,"")</f>
        <v>18.475000000000001</v>
      </c>
      <c r="EG16" s="118">
        <f>IF(DY16&lt;&gt;"",SUM(DY16:EF16),"")</f>
        <v>0</v>
      </c>
      <c r="EH16" s="130" t="s">
        <v>115</v>
      </c>
      <c r="EI16" s="131">
        <f>IF(EG18&lt;&gt;"",(EP13*EP15-EP14*EG18)/(EP15^2-EP12*EG18),"")</f>
        <v>0.41942727560144044</v>
      </c>
      <c r="EJ16" s="130" t="s">
        <v>116</v>
      </c>
      <c r="EK16" s="116">
        <f>IF(EM16&lt;&gt;"",SLOPE(EM16:EM17,EL16:EL17),"")</f>
        <v>3.3400355681920919</v>
      </c>
      <c r="EL16" s="116">
        <v>2.54</v>
      </c>
      <c r="EM16" s="116">
        <f>IF(EI16&lt;&gt;"",EI16*EL16^2+EI17*EL16+EI18,"")</f>
        <v>10.165939793443426</v>
      </c>
      <c r="EN16" s="116">
        <v>2.54</v>
      </c>
      <c r="EO16" s="116">
        <v>5.08</v>
      </c>
      <c r="EP16" s="132"/>
      <c r="EQ16" s="119">
        <f>IF(EQ13="","",IF(EQ13&gt;0,ET12,-1))</f>
        <v>-1</v>
      </c>
      <c r="ER16" s="119">
        <f>IF(EQ13="","",IF(EQ13&gt;0,ET12,-1))</f>
        <v>-1</v>
      </c>
      <c r="ES16" s="119">
        <f>IF(EQ13="","",IF(EQ13&gt;0,EW15,-1))</f>
        <v>-1</v>
      </c>
      <c r="ET16" s="119">
        <f>IF(EQ13="","",IF(EQ13&gt;0,EW15,-1))</f>
        <v>-1</v>
      </c>
      <c r="EU16" s="119">
        <f>IF(EQ13="","",IF(EQ13&gt;0,EU12,-1))</f>
        <v>-1</v>
      </c>
      <c r="EV16" s="119">
        <f>IF(EQ13="","",IF(EQ13&gt;0,EU12,-1))</f>
        <v>-1</v>
      </c>
      <c r="EW16" s="119">
        <f>IF(EQ13="","",IF(EQ13&gt;0,EU12,-1))</f>
        <v>-1</v>
      </c>
      <c r="EX16" s="119">
        <f>IF(EQ13="","",IF(EQ13&gt;0,EU12,-1))</f>
        <v>-1</v>
      </c>
      <c r="EY16" s="1201"/>
      <c r="EZ16" s="124">
        <f>IF(ISNUMBER(EZ13),EZ13-FH13,"")</f>
        <v>-71.875</v>
      </c>
      <c r="FA16" s="117">
        <f>IF(ISNUMBER(FA13),FA13-FH13,"")</f>
        <v>-45.875</v>
      </c>
      <c r="FB16" s="117">
        <f>IF(ISNUMBER(FB13),FB13-FH13,"")</f>
        <v>-23.375</v>
      </c>
      <c r="FC16" s="117">
        <f>IF(ISNUMBER(FC13),FC13-FH13,"")</f>
        <v>-4.875</v>
      </c>
      <c r="FD16" s="117">
        <f>IF(ISNUMBER(FD13),FD13-FH13,"")</f>
        <v>14.625</v>
      </c>
      <c r="FE16" s="117">
        <f>IF(ISNUMBER(FE13),FE13-FH13,"")</f>
        <v>27.125</v>
      </c>
      <c r="FF16" s="117">
        <f>IF(ISNUMBER(FF13),FF13-FH13,"")</f>
        <v>41.125</v>
      </c>
      <c r="FG16" s="117">
        <f>IF(ISNUMBER(FG13),FG13-FH13,"")</f>
        <v>63.125</v>
      </c>
      <c r="FH16" s="118">
        <f>IF(EZ16&lt;&gt;"",SUM(EZ16:FG16),"")</f>
        <v>0</v>
      </c>
      <c r="FI16" s="130" t="s">
        <v>115</v>
      </c>
      <c r="FJ16" s="131">
        <f>IF(FH18&lt;&gt;"",(FQ13*FQ15-FQ14*FH18)/(FQ15^2-FQ12*FH18),"")</f>
        <v>-1.9168112008304441</v>
      </c>
      <c r="FK16" s="130" t="s">
        <v>116</v>
      </c>
      <c r="FL16" s="116">
        <f>IF(FN16&lt;&gt;"",SLOPE(FN16:FN17,FM16:FM17),"")</f>
        <v>18.551015798650667</v>
      </c>
      <c r="FM16" s="116">
        <v>2.54</v>
      </c>
      <c r="FN16" s="116">
        <f>IF(FJ16&lt;&gt;"",FJ16*FM16^2+FJ17*FM16+FJ18,"")</f>
        <v>75.831391610127895</v>
      </c>
      <c r="FO16" s="116">
        <v>2.54</v>
      </c>
      <c r="FP16" s="116">
        <v>5.08</v>
      </c>
      <c r="FQ16" s="132"/>
      <c r="FR16" s="119">
        <f>IF(FR13="","",IF(FR13&gt;0,FU12,-1))</f>
        <v>-1</v>
      </c>
      <c r="FS16" s="119">
        <f>IF(FR13="","",IF(FR13&gt;0,FU12,-1))</f>
        <v>-1</v>
      </c>
      <c r="FT16" s="119">
        <f>IF(FR13="","",IF(FR13&gt;0,FX15,-1))</f>
        <v>-1</v>
      </c>
      <c r="FU16" s="119">
        <f>IF(FR13="","",IF(FR13&gt;0,FX15,-1))</f>
        <v>-1</v>
      </c>
      <c r="FV16" s="119">
        <f>IF(FR13="","",IF(FR13&gt;0,FV12,-1))</f>
        <v>-1</v>
      </c>
      <c r="FW16" s="119">
        <f>IF(FR13="","",IF(FR13&gt;0,FV12,-1))</f>
        <v>-1</v>
      </c>
      <c r="FX16" s="119">
        <f>IF(FR13="","",IF(FR13&gt;0,FV12,-1))</f>
        <v>-1</v>
      </c>
      <c r="FY16" s="119">
        <f>IF(FR13="","",IF(FR13&gt;0,FV12,-1))</f>
        <v>-1</v>
      </c>
      <c r="FZ16" s="1201"/>
      <c r="GA16" s="124">
        <f>IF(ISNUMBER(GA13),GA13-GI13,"")</f>
        <v>-10.4375</v>
      </c>
      <c r="GB16" s="117">
        <f>IF(ISNUMBER(GB13),GB13-GI13,"")</f>
        <v>-8.9375</v>
      </c>
      <c r="GC16" s="117">
        <f>IF(ISNUMBER(GC13),GC13-GI13,"")</f>
        <v>-6.4375</v>
      </c>
      <c r="GD16" s="117">
        <f>IF(ISNUMBER(GD13),GD13-GI13,"")</f>
        <v>-4.4375</v>
      </c>
      <c r="GE16" s="117">
        <f>IF(ISNUMBER(GE13),GE13-GI13,"")</f>
        <v>6.25E-2</v>
      </c>
      <c r="GF16" s="117">
        <f>IF(ISNUMBER(GF13),GF13-GI13,"")</f>
        <v>5.0625</v>
      </c>
      <c r="GG16" s="117">
        <f>IF(ISNUMBER(GG13),GG13-GI13,"")</f>
        <v>9.0625</v>
      </c>
      <c r="GH16" s="117">
        <f>IF(ISNUMBER(GH13),GH13-GI13,"")</f>
        <v>16.0625</v>
      </c>
      <c r="GI16" s="118">
        <f>IF(GA16&lt;&gt;"",SUM(GA16:GH16),"")</f>
        <v>0</v>
      </c>
      <c r="GJ16" s="130" t="s">
        <v>115</v>
      </c>
      <c r="GK16" s="131">
        <f>IF(GI18&lt;&gt;"",(GR13*GR15-GR14*GI18)/(GR15^2-GR12*GI18),"")</f>
        <v>0.12373046838360613</v>
      </c>
      <c r="GL16" s="130" t="s">
        <v>116</v>
      </c>
      <c r="GM16" s="116">
        <f>IF(GO16&lt;&gt;"",SLOPE(GO16:GO17,GN16:GN17),"")</f>
        <v>3.6557894988197099</v>
      </c>
      <c r="GN16" s="116">
        <v>2.54</v>
      </c>
      <c r="GO16" s="116">
        <f>IF(GK16&lt;&gt;"",GK16*GN16^2+GK17*GN16+GK18,"")</f>
        <v>7.3923478179091582</v>
      </c>
      <c r="GP16" s="116">
        <v>2.54</v>
      </c>
      <c r="GQ16" s="116">
        <v>5.08</v>
      </c>
      <c r="GR16" s="132"/>
      <c r="GS16" s="119">
        <f>IF(GS13="","",IF(GS13&gt;0,GV12,-1))</f>
        <v>9.2857053270020629</v>
      </c>
      <c r="GT16" s="119">
        <f>IF(GS13="","",IF(GS13&gt;0,GV12,-1))</f>
        <v>9.2857053270020629</v>
      </c>
      <c r="GU16" s="119">
        <f>IF(GS13="","",IF(GS13&gt;0,GY15,-1))</f>
        <v>16.678053144911221</v>
      </c>
      <c r="GV16" s="119">
        <f>IF(GS13="","",IF(GS13&gt;0,GY15,-1))</f>
        <v>16.678053144911221</v>
      </c>
      <c r="GW16" s="119">
        <f>IF(GS13="","",IF(GS13&gt;0,GW12,-1))</f>
        <v>18.571410654004126</v>
      </c>
      <c r="GX16" s="119">
        <f>IF(GS13="","",IF(GS13&gt;0,GW12,-1))</f>
        <v>18.571410654004126</v>
      </c>
      <c r="GY16" s="119">
        <f>IF(GS13="","",IF(GS13&gt;0,GW12,-1))</f>
        <v>18.571410654004126</v>
      </c>
      <c r="GZ16" s="119">
        <f>IF(GS13="","",IF(GS13&gt;0,GW12,-1))</f>
        <v>18.571410654004126</v>
      </c>
      <c r="HA16" s="1201"/>
      <c r="HB16" s="124" t="str">
        <f>IF(ISNUMBER(HB13),HB13-HJ13,"")</f>
        <v/>
      </c>
      <c r="HC16" s="117" t="str">
        <f>IF(ISNUMBER(HC13),HC13-HJ13,"")</f>
        <v/>
      </c>
      <c r="HD16" s="117" t="str">
        <f>IF(ISNUMBER(HD13),HD13-HJ13,"")</f>
        <v/>
      </c>
      <c r="HE16" s="117" t="str">
        <f>IF(ISNUMBER(HE13),HE13-HJ13,"")</f>
        <v/>
      </c>
      <c r="HF16" s="117" t="str">
        <f>IF(ISNUMBER(HF13),HF13-HJ13,"")</f>
        <v/>
      </c>
      <c r="HG16" s="117" t="str">
        <f>IF(ISNUMBER(HG13),HG13-HJ13,"")</f>
        <v/>
      </c>
      <c r="HH16" s="117" t="str">
        <f>IF(ISNUMBER(HH13),HH13-HJ13,"")</f>
        <v/>
      </c>
      <c r="HI16" s="117" t="str">
        <f>IF(ISNUMBER(HI13),HI13-HJ13,"")</f>
        <v/>
      </c>
      <c r="HJ16" s="118" t="str">
        <f>IF(HB16&lt;&gt;"",SUM(HB16:HI16),"")</f>
        <v/>
      </c>
      <c r="HK16" s="130" t="s">
        <v>115</v>
      </c>
      <c r="HL16" s="131" t="str">
        <f>IF(HJ18&lt;&gt;"",(HS13*HS15-HS14*HJ18)/(HS15^2-HS12*HJ18),"")</f>
        <v/>
      </c>
      <c r="HM16" s="130" t="s">
        <v>116</v>
      </c>
      <c r="HN16" s="116" t="str">
        <f>IF(HP16&lt;&gt;"",SLOPE(HP16:HP17,HO16:HO17),"")</f>
        <v/>
      </c>
      <c r="HO16" s="116">
        <v>2.54</v>
      </c>
      <c r="HP16" s="116" t="str">
        <f>IF(HL16&lt;&gt;"",HL16*HO16^2+HL17*HO16+HL18,"")</f>
        <v/>
      </c>
      <c r="HQ16" s="116">
        <v>2.54</v>
      </c>
      <c r="HR16" s="116">
        <v>5.08</v>
      </c>
      <c r="HS16" s="132"/>
      <c r="HT16" s="119" t="str">
        <f>IF(HT13="","",IF(HT13&gt;0,HW12,-1))</f>
        <v/>
      </c>
      <c r="HU16" s="119" t="str">
        <f>IF(HT13="","",IF(HT13&gt;0,HW12,-1))</f>
        <v/>
      </c>
      <c r="HV16" s="119" t="str">
        <f>IF(HT13="","",IF(HT13&gt;0,HZ15,-1))</f>
        <v/>
      </c>
      <c r="HW16" s="119" t="str">
        <f>IF(HT13="","",IF(HT13&gt;0,HZ15,-1))</f>
        <v/>
      </c>
      <c r="HX16" s="119" t="str">
        <f>IF(HT13="","",IF(HT13&gt;0,HX12,-1))</f>
        <v/>
      </c>
      <c r="HY16" s="119" t="str">
        <f>IF(HT13="","",IF(HT13&gt;0,HX12,-1))</f>
        <v/>
      </c>
      <c r="HZ16" s="119" t="str">
        <f>IF(HT13="","",IF(HT13&gt;0,HX12,-1))</f>
        <v/>
      </c>
      <c r="IA16" s="119" t="str">
        <f>IF(HT13="","",IF(HT13&gt;0,HX12,-1))</f>
        <v/>
      </c>
      <c r="IB16" s="1201"/>
      <c r="IC16" s="124" t="str">
        <f>IF(ISNUMBER(IC13),IC13-IK13,"")</f>
        <v/>
      </c>
      <c r="ID16" s="117" t="str">
        <f>IF(ISNUMBER(ID13),ID13-IK13,"")</f>
        <v/>
      </c>
      <c r="IE16" s="117" t="str">
        <f>IF(ISNUMBER(IE13),IE13-IK13,"")</f>
        <v/>
      </c>
      <c r="IF16" s="117" t="str">
        <f>IF(ISNUMBER(IF13),IF13-IK13,"")</f>
        <v/>
      </c>
      <c r="IG16" s="117" t="str">
        <f>IF(ISNUMBER(IG13),IG13-IK13,"")</f>
        <v/>
      </c>
      <c r="IH16" s="117" t="str">
        <f>IF(ISNUMBER(IH13),IH13-IK13,"")</f>
        <v/>
      </c>
      <c r="II16" s="117" t="str">
        <f>IF(ISNUMBER(II13),II13-IK13,"")</f>
        <v/>
      </c>
      <c r="IJ16" s="117" t="str">
        <f>IF(ISNUMBER(IJ13),IJ13-IK13,"")</f>
        <v/>
      </c>
      <c r="IK16" s="118" t="str">
        <f>IF(IC16&lt;&gt;"",SUM(IC16:IJ16),"")</f>
        <v/>
      </c>
      <c r="IL16" s="130" t="s">
        <v>115</v>
      </c>
      <c r="IM16" s="131" t="str">
        <f>IF(IK18&lt;&gt;"",(IT13*IT15-IT14*IK18)/(IT15^2-IT12*IK18),"")</f>
        <v/>
      </c>
      <c r="IN16" s="130" t="s">
        <v>116</v>
      </c>
      <c r="IO16" s="116" t="str">
        <f>IF(IQ16&lt;&gt;"",SLOPE(IQ16:IQ17,IP16:IP17),"")</f>
        <v/>
      </c>
      <c r="IP16" s="116">
        <v>2.54</v>
      </c>
      <c r="IQ16" s="116" t="str">
        <f>IF(IM16&lt;&gt;"",IM16*IP16^2+IM17*IP16+IM18,"")</f>
        <v/>
      </c>
      <c r="IR16" s="116">
        <v>2.54</v>
      </c>
      <c r="IS16" s="116">
        <v>5.08</v>
      </c>
      <c r="IT16" s="132"/>
      <c r="IU16" s="119" t="str">
        <f>IF(IU13="","",IF(IU13&gt;0,IX12,-1))</f>
        <v/>
      </c>
      <c r="IV16" s="119" t="str">
        <f>IF(IU13="","",IF(IU13&gt;0,IX12,-1))</f>
        <v/>
      </c>
      <c r="IW16" s="119" t="str">
        <f>IF(IU13="","",IF(IU13&gt;0,JA15,-1))</f>
        <v/>
      </c>
      <c r="IX16" s="119" t="str">
        <f>IF(IU13="","",IF(IU13&gt;0,JA15,-1))</f>
        <v/>
      </c>
      <c r="IY16" s="119" t="str">
        <f>IF(IU13="","",IF(IU13&gt;0,IY12,-1))</f>
        <v/>
      </c>
      <c r="IZ16" s="119" t="str">
        <f>IF(IU13="","",IF(IU13&gt;0,IY12,-1))</f>
        <v/>
      </c>
      <c r="JA16" s="119" t="str">
        <f>IF(IU13="","",IF(IU13&gt;0,IY12,-1))</f>
        <v/>
      </c>
      <c r="JB16" s="119" t="str">
        <f>IF(IU13="","",IF(IU13&gt;0,IY12,-1))</f>
        <v/>
      </c>
      <c r="JC16" s="1201"/>
      <c r="JD16" s="150" t="str">
        <f t="shared" si="89"/>
        <v/>
      </c>
      <c r="JE16" s="76" t="str">
        <f t="shared" ref="JE16:JJ16" si="143">IF(ISNUMBER(JE13),JE13-$JK13,"")</f>
        <v/>
      </c>
      <c r="JF16" s="76">
        <f t="shared" si="143"/>
        <v>-34.31488624700615</v>
      </c>
      <c r="JG16" s="76">
        <f t="shared" si="143"/>
        <v>68.087945589020705</v>
      </c>
      <c r="JH16" s="76">
        <f t="shared" si="143"/>
        <v>-33.773059342014562</v>
      </c>
      <c r="JI16" s="76" t="str">
        <f t="shared" si="143"/>
        <v/>
      </c>
      <c r="JJ16" s="76" t="str">
        <f t="shared" si="143"/>
        <v/>
      </c>
      <c r="JK16" s="73"/>
      <c r="JL16" s="76" t="str">
        <f t="shared" ref="JL16:JQ16" si="144">IF(ISERROR(JE15*JE17),"",JE15*JE17)</f>
        <v/>
      </c>
      <c r="JM16" s="76">
        <f t="shared" si="144"/>
        <v>2.3274291914634403E-5</v>
      </c>
      <c r="JN16" s="76">
        <f t="shared" si="144"/>
        <v>0</v>
      </c>
      <c r="JO16" s="76">
        <f t="shared" si="144"/>
        <v>2.5613733331648766E-5</v>
      </c>
      <c r="JP16" s="76" t="str">
        <f t="shared" si="144"/>
        <v/>
      </c>
      <c r="JQ16" s="76" t="str">
        <f t="shared" si="144"/>
        <v/>
      </c>
      <c r="JR16" s="65">
        <f>SUM(JL16:JQ16)</f>
        <v>4.888802524628317E-5</v>
      </c>
      <c r="JS16" s="158">
        <f>IF(H15="X",CW12,IF(CT12&lt;&gt;"",CT12,""))</f>
        <v>5.8982787610074867E-2</v>
      </c>
      <c r="JT16" s="1202">
        <f>IF(H15="X",FV18,IF(JS16&lt;&gt;"",JM18*JS16^2+JO18*JS16+JQ18,""))</f>
        <v>103.35708514147132</v>
      </c>
      <c r="JU16" s="123" t="str">
        <f>IF(T17&lt;&gt;0,LOOKUP(T17,Tara!$G$6:$G$185,Tara!$J$6:$J$185)/10,"")</f>
        <v/>
      </c>
      <c r="JV16" s="116" t="str">
        <f t="shared" si="91"/>
        <v/>
      </c>
      <c r="JW16" s="155" t="str">
        <f t="shared" si="92"/>
        <v/>
      </c>
      <c r="JX16" s="76" t="str">
        <f t="shared" ref="JX16:KC16" si="145">IF(ISNUMBER(JX13),JX13-$JK13,"")</f>
        <v/>
      </c>
      <c r="JY16" s="76">
        <f t="shared" si="145"/>
        <v>-51.243765869917119</v>
      </c>
      <c r="JZ16" s="76">
        <f t="shared" si="145"/>
        <v>-51.07862110629754</v>
      </c>
      <c r="KA16" s="76">
        <f t="shared" si="145"/>
        <v>-51.339411131182295</v>
      </c>
      <c r="KB16" s="76" t="str">
        <f t="shared" si="145"/>
        <v/>
      </c>
      <c r="KC16" s="76" t="str">
        <f t="shared" si="145"/>
        <v/>
      </c>
      <c r="KD16" s="73"/>
      <c r="KE16" s="76" t="str">
        <f t="shared" ref="KE16:KJ16" si="146">IF(ISERROR(JX15*JX17),"",JX15*JX17)</f>
        <v/>
      </c>
      <c r="KF16" s="76">
        <f t="shared" si="146"/>
        <v>2.3274291914634403E-5</v>
      </c>
      <c r="KG16" s="76">
        <f t="shared" si="146"/>
        <v>0</v>
      </c>
      <c r="KH16" s="76">
        <f t="shared" si="146"/>
        <v>2.5613733331648766E-5</v>
      </c>
      <c r="KI16" s="76" t="str">
        <f t="shared" si="146"/>
        <v/>
      </c>
      <c r="KJ16" s="76" t="str">
        <f t="shared" si="146"/>
        <v/>
      </c>
      <c r="KK16" s="65">
        <f>SUM(KE16:KJ16)</f>
        <v>4.888802524628317E-5</v>
      </c>
      <c r="KL16" s="158">
        <f>IF(H15="X",CW12,IF(CT12&lt;&gt;"",CT12,""))</f>
        <v>5.8982787610074867E-2</v>
      </c>
      <c r="KM16" s="1203">
        <f>IF(H15="X",JW14*100,IF(KL16&lt;&gt;"",KF18*KL16^2+KH18*KL16+KJ18,""))</f>
        <v>0.25146273483011816</v>
      </c>
      <c r="KN16" s="174" t="str">
        <f>IF(ISNUMBER(AN15),AN15,"")</f>
        <v/>
      </c>
      <c r="KO16" s="175" t="str">
        <f>IF(ISNUMBER(AO15),AO15,"")</f>
        <v/>
      </c>
      <c r="KP16" s="175" t="str">
        <f>IF(ISNUMBER(AP15),AP15,"")</f>
        <v/>
      </c>
      <c r="KQ16" s="175" t="str">
        <f>IF(ISNUMBER(AQ15),AQ15,"")</f>
        <v/>
      </c>
      <c r="KR16" s="1204" t="str">
        <f>IF(ISNUMBER(AR15),AR15,"")</f>
        <v/>
      </c>
      <c r="KS16" s="184" t="str">
        <f>IF(KS15&lt;&gt;"",AVERAGE(KS15:KW15),"")</f>
        <v/>
      </c>
      <c r="KT16" s="176" t="str">
        <f>IF(KS16&lt;&gt;"",KS16-KS17,"")</f>
        <v/>
      </c>
      <c r="KU16" s="180">
        <f>COUNT(KS18:KW18)</f>
        <v>0</v>
      </c>
      <c r="KV16" s="176" t="str">
        <f>IF(KS18&lt;&gt;"",AVERAGE(KS18:KW18),"")</f>
        <v/>
      </c>
      <c r="KW16" s="176" t="str">
        <f>IF(KV16&lt;&gt;"",KV16+5%*KV16,"")</f>
        <v/>
      </c>
      <c r="KX16" s="1275">
        <f>IF(KW17="NP",0,KW17)*100</f>
        <v>0</v>
      </c>
      <c r="KY16" s="1284" t="str">
        <f>IF(AND(KY15&gt;0,ISNUMBER(KY15)),AVERAGE(KY15:KZ15),"")</f>
        <v/>
      </c>
      <c r="KZ16" s="1285"/>
      <c r="LA16" s="1286">
        <f>IF(LA15&lt;&gt;"",ROUND(AVERAGE(LA15:LB15),2),"")</f>
        <v>0</v>
      </c>
      <c r="LB16" s="1287"/>
      <c r="LC16" s="120">
        <f>IF(LC13&lt;&gt;"",LC15/(LA16+100)*100,"")</f>
        <v>976.28000000000009</v>
      </c>
      <c r="LD16" s="199"/>
      <c r="LE16" s="203">
        <f t="shared" ref="LE16:LK16" si="147">IF(ISNUMBER(LE14),LE14/$LD14,"")</f>
        <v>1</v>
      </c>
      <c r="LF16" s="203">
        <f t="shared" si="147"/>
        <v>1</v>
      </c>
      <c r="LG16" s="203">
        <f t="shared" si="147"/>
        <v>1</v>
      </c>
      <c r="LH16" s="203">
        <f t="shared" si="147"/>
        <v>1</v>
      </c>
      <c r="LI16" s="203">
        <f t="shared" si="147"/>
        <v>0.63468499999999994</v>
      </c>
      <c r="LJ16" s="203">
        <f t="shared" si="147"/>
        <v>0.55656499999999998</v>
      </c>
      <c r="LK16" s="203">
        <f t="shared" si="147"/>
        <v>0.48813999999999991</v>
      </c>
      <c r="LL16" s="203">
        <f>IF(LL15&lt;&gt;"",LL15*LK16,"")</f>
        <v>0.44201076999999989</v>
      </c>
      <c r="LM16" s="1205">
        <f>IF(LM15&lt;&gt;"",LM15*LK16,"")</f>
        <v>0.17114188399999994</v>
      </c>
      <c r="LN16" s="185" t="str">
        <f>IF(LM16="","",IF(AND(LG16&gt;=93%,LG16&lt;=100%,LI16&gt;=53%,LI16&lt;=100%,LJ16&gt;=45%,LJ16&lt;=90%,LK16&gt;=35%,LK16&lt;=75%,LL16&gt;=23%,LL16&lt;=47%,LM16&gt;=8%,LM16&lt;=27%),"Faixa D"))</f>
        <v>Faixa D</v>
      </c>
      <c r="LO16" s="207" t="str">
        <f>IF(LM16="","",IF(LO15&gt;0,LO15,IF(LP16&gt;0,LP16)))</f>
        <v>D</v>
      </c>
      <c r="LP16" s="207"/>
      <c r="LQ16" s="180"/>
      <c r="LR16" s="1279"/>
      <c r="LS16" s="215">
        <v>10</v>
      </c>
      <c r="LT16" s="144">
        <f>IF(LK16&lt;&gt;"",LK16*100,"")</f>
        <v>48.813999999999993</v>
      </c>
      <c r="LU16" s="78">
        <f>IF(LT18="",0,IF(IF((LT18-35)&lt;0,0,(LT18-35))&gt;40,40,IF((LT18-35)&lt;0,0,(LT18-35))))</f>
        <v>0</v>
      </c>
      <c r="LV16" s="78">
        <f>IF(LT18="",0,IF(IF((LT18-15)&lt;0,0,(LT18-15))&gt;40,40,IF((LT18-15)&lt;0,0,(LT18-15))))</f>
        <v>2.1141883999999926</v>
      </c>
      <c r="LW16" s="78">
        <f>IF(LG18="NP",0,IF(IF((LG18-40)&lt;0,0,(LG18-40))&gt;20,20,IF((LG18-40)&lt;0,0,(LG18-40))))</f>
        <v>0</v>
      </c>
      <c r="LX16" s="78">
        <f>IF(LN18="NP",0,IF(IF((LN18-10)&lt;0,0,(LN18-10))&gt;20,20,IF((LN18-10)&lt;0,0,(LN18-10))))</f>
        <v>0</v>
      </c>
      <c r="LY16" s="199"/>
      <c r="LZ16" s="199"/>
      <c r="MA16" s="199"/>
      <c r="MB16" s="199"/>
      <c r="MC16" s="199"/>
      <c r="MD16" s="199"/>
      <c r="ME16" s="1200"/>
      <c r="MF16" s="287" t="str">
        <f>IF(C13&lt;&gt;0,C13,"")</f>
        <v/>
      </c>
      <c r="MG16" s="288" t="str">
        <f>IF(C14&lt;&gt;0,C14,"")</f>
        <v/>
      </c>
      <c r="MH16" s="289" t="str">
        <f>IF(E14&lt;&gt;0,E14,"")</f>
        <v/>
      </c>
      <c r="MI16" s="290">
        <f t="shared" ref="MI16:MQ16" si="148">IF($H13="x","",IF(LE16&lt;&gt;"",LE16*100,""))</f>
        <v>100</v>
      </c>
      <c r="MJ16" s="290">
        <f t="shared" si="148"/>
        <v>100</v>
      </c>
      <c r="MK16" s="290">
        <f t="shared" si="148"/>
        <v>100</v>
      </c>
      <c r="ML16" s="290">
        <f t="shared" si="148"/>
        <v>100</v>
      </c>
      <c r="MM16" s="290">
        <f t="shared" si="148"/>
        <v>63.468499999999992</v>
      </c>
      <c r="MN16" s="290">
        <f t="shared" si="148"/>
        <v>55.656499999999994</v>
      </c>
      <c r="MO16" s="290">
        <f t="shared" si="148"/>
        <v>48.813999999999993</v>
      </c>
      <c r="MP16" s="290">
        <f t="shared" si="148"/>
        <v>44.201076999999991</v>
      </c>
      <c r="MQ16" s="290">
        <f t="shared" si="148"/>
        <v>17.114188399999993</v>
      </c>
      <c r="MR16" s="288"/>
      <c r="MS16" s="290" t="str">
        <f>IF(H13="X","",IF(H14="x",IF(KQ18&gt;0,KQ18,IF(KQ18=0,"NP",""))))</f>
        <v>NP</v>
      </c>
      <c r="MT16" s="290" t="str">
        <f>IF(H13="X","",IF(H14="x",IF(KX12&gt;0,KX12,IF(KX12=0,"NP",""))))</f>
        <v>NP</v>
      </c>
      <c r="MU16" s="290" t="str">
        <f>IF(H13="X","",IF(H14="x",IF(KZ18&lt;&gt;"",KZ18*100,"")))</f>
        <v/>
      </c>
      <c r="MV16" s="291">
        <f>IF(MS16="","",IF(H13="X","",IF(H14="x",IF(LU18&lt;&gt;"",LU18,""))))</f>
        <v>0</v>
      </c>
      <c r="MW16" s="291" t="str">
        <f>IF(H13="X","",IF(H14="x",IF(LW18&lt;&gt;"",LW18,"")))</f>
        <v>A-1b</v>
      </c>
      <c r="MX16" s="291"/>
      <c r="MY16" s="291" t="str">
        <f>IF(H13="X","",IF(H14="x",IF(LR14&lt;&gt;"",LR14,"")))</f>
        <v>D</v>
      </c>
      <c r="MZ16" s="290">
        <f>IF(ISERROR(CT12),"",CT12*100)</f>
        <v>5.8982787610074867</v>
      </c>
      <c r="NA16" s="291">
        <f>IF(ISERROR(CT13),"",CT13)</f>
        <v>2250.7121728597476</v>
      </c>
      <c r="NB16" s="290">
        <f>IF(ISERROR(JT16),"",JT16)</f>
        <v>103.35708514147132</v>
      </c>
      <c r="NC16" s="288">
        <f>IF(ISERROR(KM16),"",KM16)</f>
        <v>0.25146273483011816</v>
      </c>
      <c r="ND16" s="290" t="str">
        <f>IF(MG16&lt;&gt;"",LOOKUP(MF16,'Digitar Dados de Dens. InSitu'!AA:AA,'Digitar Dados de Dens. InSitu'!AB:AB),"")</f>
        <v/>
      </c>
      <c r="NE16" s="291" t="str">
        <f>IF(MG16&lt;&gt;"",LOOKUP(MF16,'Digitar Dados de Dens. InSitu'!AA:AA,'Digitar Dados de Dens. InSitu'!#REF!),"")</f>
        <v/>
      </c>
      <c r="NF16" s="290" t="str">
        <f>IF(MG16&lt;&gt;"",LOOKUP(MF16,'Digitar Dados de Dens. InSitu'!AA:AA,'Digitar Dados de Dens. InSitu'!AC:AC),"")</f>
        <v/>
      </c>
      <c r="NG16" s="290" t="str">
        <f>IF($H13="X","",IF($H15="X","",IF(T13="","",CE12*100)))</f>
        <v/>
      </c>
      <c r="NH16" s="291" t="str">
        <f>IF($H13="X","",IF($H15="X","",IF(T13="","",CE13)))</f>
        <v/>
      </c>
      <c r="NI16" s="288" t="str">
        <f>IF($H13="X","",IF($H15="X","",JX13))</f>
        <v/>
      </c>
      <c r="NJ16" s="288" t="str">
        <f>IF($H13="X","",IF($H15="X","",JE13))</f>
        <v/>
      </c>
      <c r="NK16" s="290">
        <f>IF(T14="","",IF($H13="X","",IF($H15="X","",CF12*100)))</f>
        <v>3.7730363730638414</v>
      </c>
      <c r="NL16" s="291">
        <f>IF($H13="X","",IF($H15="X","",CF13))</f>
        <v>2112.1163122143989</v>
      </c>
      <c r="NM16" s="288">
        <f>IF($H13="X","",IF($H15="X","",JY13))</f>
        <v>0.13920306246737421</v>
      </c>
      <c r="NN16" s="288">
        <f>IF($H13="X","",IF($H15="X","",JF13))</f>
        <v>17.068082685378343</v>
      </c>
      <c r="NO16" s="290">
        <f>IF($H13="X","",IF(T14="","",IF($H15="X",CW12*100,CG12*100)))</f>
        <v>5.2926545431868064</v>
      </c>
      <c r="NP16" s="291">
        <f>IF($H13="X","",IF($H15="X",CW16,CG13))</f>
        <v>2284.1700606501286</v>
      </c>
      <c r="NQ16" s="288">
        <f>IF($H13="X","",IF($H15="X","",JZ13))</f>
        <v>0.3043478260869566</v>
      </c>
      <c r="NR16" s="288">
        <f>IF($H13="X","",IF($H15="X","",JG13))</f>
        <v>119.47091452140519</v>
      </c>
      <c r="NS16" s="290">
        <f>IF($H13="X","",IF(T15="","",IF($H15="X","",CH12*100)))</f>
        <v>6.8122727133097722</v>
      </c>
      <c r="NT16" s="291">
        <f>IF($H13="X","",IF($H15="X","",CH13))</f>
        <v>2229.4893717156247</v>
      </c>
      <c r="NU16" s="288">
        <f>IF($H13="X","",IF($H15="X","",KA13))</f>
        <v>4.3557801202195344E-2</v>
      </c>
      <c r="NV16" s="288">
        <f>IF($H13="X","",IF($H15="X","",JH13))</f>
        <v>17.609909590369931</v>
      </c>
      <c r="NW16" s="290" t="str">
        <f>IF($H13="X","",IF($H15="X","",IF(T17="","",CI12*100)))</f>
        <v/>
      </c>
      <c r="NX16" s="291" t="str">
        <f>IF($H13="X","",IF($H15="X","",IF(T17="","",CI13)))</f>
        <v/>
      </c>
      <c r="NY16" s="288" t="str">
        <f>IF($H13="X","",IF($H15="X","",KB13))</f>
        <v/>
      </c>
      <c r="NZ16" s="288" t="str">
        <f>IF($H13="X","",IF($H15="X","",JI13))</f>
        <v/>
      </c>
      <c r="OA16" s="291" t="str">
        <f>IF($H13="X","",IF($H15="X","",CJ12))</f>
        <v/>
      </c>
      <c r="OB16" s="291" t="str">
        <f>IF($H13="X","",IF($H15="X","",CJ13))</f>
        <v/>
      </c>
      <c r="OC16" s="288" t="str">
        <f>IF($H13="X","",IF($H15="X","",KC13))</f>
        <v/>
      </c>
      <c r="OD16" s="288" t="str">
        <f>IF($H13="X","",IF($H15="X","",JJ13))</f>
        <v/>
      </c>
      <c r="OE16" s="120"/>
      <c r="OF16" s="78">
        <f>C15</f>
        <v>0</v>
      </c>
      <c r="OG16" s="132">
        <f>C16</f>
        <v>0</v>
      </c>
      <c r="OH16" s="132"/>
    </row>
    <row r="17" spans="1:1378" ht="15" hidden="1" customHeight="1" x14ac:dyDescent="0.3">
      <c r="A17" s="1337"/>
      <c r="B17" s="734" t="s">
        <v>117</v>
      </c>
      <c r="C17" s="666"/>
      <c r="D17" s="1362"/>
      <c r="E17" s="1363"/>
      <c r="F17" s="1370"/>
      <c r="G17" s="726" t="s">
        <v>119</v>
      </c>
      <c r="H17" s="665"/>
      <c r="I17" s="742" t="s">
        <v>120</v>
      </c>
      <c r="J17" s="667">
        <v>41</v>
      </c>
      <c r="K17" s="667">
        <v>57</v>
      </c>
      <c r="L17" s="667">
        <v>34</v>
      </c>
      <c r="M17" s="667">
        <v>40</v>
      </c>
      <c r="N17" s="667">
        <v>41</v>
      </c>
      <c r="O17" s="667"/>
      <c r="P17" s="743" t="s">
        <v>121</v>
      </c>
      <c r="Q17" s="744"/>
      <c r="R17" s="743" t="s">
        <v>120</v>
      </c>
      <c r="S17" s="745">
        <v>34</v>
      </c>
      <c r="T17" s="1181"/>
      <c r="U17" s="728"/>
      <c r="V17" s="737"/>
      <c r="W17" s="737"/>
      <c r="X17" s="737"/>
      <c r="Y17" s="737"/>
      <c r="Z17" s="673"/>
      <c r="AA17" s="673"/>
      <c r="AB17" s="673"/>
      <c r="AC17" s="673"/>
      <c r="AD17" s="675"/>
      <c r="AE17" s="675"/>
      <c r="AF17" s="675"/>
      <c r="AG17" s="675"/>
      <c r="AH17" s="675"/>
      <c r="AI17" s="675"/>
      <c r="AJ17" s="675"/>
      <c r="AK17" s="677"/>
      <c r="AL17" s="1385"/>
      <c r="AM17" s="730" t="s">
        <v>39</v>
      </c>
      <c r="AN17" s="746"/>
      <c r="AO17" s="746"/>
      <c r="AP17" s="746"/>
      <c r="AQ17" s="746"/>
      <c r="AR17" s="747"/>
      <c r="AS17" s="1367"/>
      <c r="AT17" s="1294" t="s">
        <v>122</v>
      </c>
      <c r="AU17" s="1295"/>
      <c r="AV17" s="1298" t="s">
        <v>123</v>
      </c>
      <c r="AW17" s="344" t="s">
        <v>124</v>
      </c>
      <c r="AX17" s="292"/>
      <c r="AY17" s="1298" t="s">
        <v>125</v>
      </c>
      <c r="AZ17" s="344" t="s">
        <v>124</v>
      </c>
      <c r="BA17" s="293"/>
      <c r="BB17" s="1300"/>
      <c r="BC17" s="1301"/>
      <c r="BD17" s="1301"/>
      <c r="BE17" s="1301"/>
      <c r="BF17" s="1301"/>
      <c r="BG17" s="1301"/>
      <c r="BH17" s="1301"/>
      <c r="BI17" s="1301"/>
      <c r="BJ17" s="1301"/>
      <c r="BK17" s="1302"/>
      <c r="BL17" s="1292"/>
      <c r="BM17" s="1307"/>
      <c r="BN17" s="62" t="s">
        <v>126</v>
      </c>
      <c r="BO17" s="68">
        <f>IF(ISNUMBER(K16),K16,"")</f>
        <v>70</v>
      </c>
      <c r="BP17" s="108">
        <f>IF(AND(ISNUMBER(BP18),ISNUMBER(Q16)),BP18*Q16,"")</f>
        <v>182.5</v>
      </c>
      <c r="BQ17" s="108">
        <f>IF(AND(ISNUMBER(BQ18),ISNUMBER(Q16)),BQ18*Q16,"")</f>
        <v>295</v>
      </c>
      <c r="BR17" s="108">
        <f>IF(AND(ISNUMBER(BR18),ISNUMBER(Q16)),BR18*Q16,"")</f>
        <v>407.5</v>
      </c>
      <c r="BS17" s="108">
        <f>IF(AND(ISNUMBER(BS18),ISNUMBER(Q16)),BS18*Q16,"")</f>
        <v>520</v>
      </c>
      <c r="BT17" s="108">
        <f>IF(AND(ISNUMBER(BT18),ISNUMBER(Q16)),BT18*Q16,"")</f>
        <v>632.5</v>
      </c>
      <c r="BU17" s="108" t="s">
        <v>127</v>
      </c>
      <c r="BV17" s="108"/>
      <c r="BW17" s="70">
        <f>IF(ISNUMBER(N16),N16,"")</f>
        <v>1.4999999999999999E-2</v>
      </c>
      <c r="BY17" s="87">
        <f t="shared" ref="BY17:CD17" si="149">IF($H17&lt;&gt;"",BO15,BO16/($Q16/(1+$BW12)))</f>
        <v>2.2534182029408757E-2</v>
      </c>
      <c r="BZ17" s="87">
        <f t="shared" si="149"/>
        <v>3.7730363730638414E-2</v>
      </c>
      <c r="CA17" s="87">
        <f t="shared" si="149"/>
        <v>5.2926545431868068E-2</v>
      </c>
      <c r="CB17" s="87">
        <f t="shared" si="149"/>
        <v>6.8122727133097721E-2</v>
      </c>
      <c r="CC17" s="87">
        <f t="shared" si="149"/>
        <v>8.3318908834327368E-2</v>
      </c>
      <c r="CD17" s="87">
        <f t="shared" si="149"/>
        <v>9.8515090535557029E-2</v>
      </c>
      <c r="CE17" s="88">
        <f t="shared" ref="CE17:CJ17" si="150">IF(ISNUMBER(CE14),CE14-$CK14,"")</f>
        <v>-2.7552777282106393E-3</v>
      </c>
      <c r="CF17" s="88">
        <f t="shared" si="150"/>
        <v>-1.839486740698893E-3</v>
      </c>
      <c r="CG17" s="88">
        <f t="shared" si="150"/>
        <v>-4.6184787659357338E-4</v>
      </c>
      <c r="CH17" s="88">
        <f t="shared" si="150"/>
        <v>1.3776388641053203E-3</v>
      </c>
      <c r="CI17" s="88">
        <f t="shared" si="150"/>
        <v>3.678973481397787E-3</v>
      </c>
      <c r="CJ17" s="89" t="str">
        <f t="shared" si="150"/>
        <v/>
      </c>
      <c r="CK17" s="89"/>
      <c r="CL17" s="73"/>
      <c r="CM17" s="73"/>
      <c r="CN17" s="73"/>
      <c r="CO17" s="73"/>
      <c r="CP17" s="73"/>
      <c r="CQ17" s="73"/>
      <c r="CR17" s="73"/>
      <c r="CS17" s="90"/>
      <c r="CT17" s="102"/>
      <c r="CU17" s="66">
        <f>IF(ISNUMBER(S17),LOOKUP(S17,Tara!$G$6:$G$185,Tara!$I$6:$I$185),"")</f>
        <v>2054</v>
      </c>
      <c r="CV17" s="1280"/>
      <c r="CW17" s="1282"/>
      <c r="CX17" s="124" t="str">
        <f>IF(ISNUMBER(CX14),CX14-DF14,"")</f>
        <v/>
      </c>
      <c r="CY17" s="117" t="str">
        <f>IF(ISNUMBER(CY14),CY14-DF14,"")</f>
        <v/>
      </c>
      <c r="CZ17" s="117" t="str">
        <f>IF(ISNUMBER(CZ14),CZ14-DF14,"")</f>
        <v/>
      </c>
      <c r="DA17" s="117" t="str">
        <f>IF(ISNUMBER(DA14),DA14-DF14,"")</f>
        <v/>
      </c>
      <c r="DB17" s="117" t="str">
        <f>IF(ISNUMBER(DB14),DB14-DF14,"")</f>
        <v/>
      </c>
      <c r="DC17" s="117" t="str">
        <f>IF(ISNUMBER(DC14),DC14-DF14,"")</f>
        <v/>
      </c>
      <c r="DD17" s="117" t="str">
        <f>IF(ISNUMBER(DD14),DD14-DF14,"")</f>
        <v/>
      </c>
      <c r="DE17" s="117" t="str">
        <f>IF(ISNUMBER(DE14),DE14-DF14,"")</f>
        <v/>
      </c>
      <c r="DF17" s="280" t="str">
        <f>IF(CX17&lt;&gt;"",SUM(CX17:DE17),"")</f>
        <v/>
      </c>
      <c r="DG17" s="133" t="s">
        <v>128</v>
      </c>
      <c r="DH17" s="134" t="str">
        <f>IF(DH16&lt;&gt;"",(DO14-DH16*DO12)/DO15,"")</f>
        <v/>
      </c>
      <c r="DI17" s="133" t="s">
        <v>128</v>
      </c>
      <c r="DJ17" s="134" t="str">
        <f>IF(DL16&lt;&gt;"",INTERCEPT(DL16:DL17,DK16:DK17),"")</f>
        <v/>
      </c>
      <c r="DK17" s="116">
        <v>5.08</v>
      </c>
      <c r="DL17" s="116" t="str">
        <f>IF(DH16&lt;&gt;"",DH16*DK17^2+DH17*DK17+DH18,"")</f>
        <v/>
      </c>
      <c r="DM17" s="116" t="str">
        <f>IF(DP13="","",IF(DP13&gt;0,DS12,""))</f>
        <v/>
      </c>
      <c r="DN17" s="116" t="str">
        <f>IF(DP13="","",IF(DP13&gt;0,DT12,""))</f>
        <v/>
      </c>
      <c r="DO17" s="139"/>
      <c r="DP17" s="120">
        <v>0</v>
      </c>
      <c r="DQ17" s="120" t="str">
        <f>IF(DP13="","",IF(DP13&gt;0,DV13,-1))</f>
        <v/>
      </c>
      <c r="DR17" s="120" t="str">
        <f>IF(DP13="","",IF(DP13&gt;0,DV14,-1))</f>
        <v/>
      </c>
      <c r="DS17" s="120" t="str">
        <f>IF(DP13="","",IF(DP13&gt;0,DR13,-1))</f>
        <v/>
      </c>
      <c r="DT17" s="120" t="str">
        <f>IF(DP13="","",IF(DP13&gt;0,DR13,-1))</f>
        <v/>
      </c>
      <c r="DU17" s="120" t="str">
        <f>IF(DP13="","",IF(DP13&gt;0,DR13,-1))</f>
        <v/>
      </c>
      <c r="DV17" s="120">
        <v>0</v>
      </c>
      <c r="DW17" s="120" t="str">
        <f>IF(DP13="","",IF(DP13&gt;0,DR13,-1))</f>
        <v/>
      </c>
      <c r="DX17" s="1206"/>
      <c r="DY17" s="124">
        <f>IF(ISNUMBER(DY14),DY14-EG14,"")</f>
        <v>-18.450700000000001</v>
      </c>
      <c r="DZ17" s="117">
        <f>IF(ISNUMBER(DZ14),DZ14-EG14,"")</f>
        <v>-17.2347</v>
      </c>
      <c r="EA17" s="117">
        <f>IF(ISNUMBER(EA14),EA14-EG14,"")</f>
        <v>-15.2376</v>
      </c>
      <c r="EB17" s="117">
        <f>IF(ISNUMBER(EB14),EB14-EG14,"")</f>
        <v>-12.396000000000001</v>
      </c>
      <c r="EC17" s="117">
        <f>IF(ISNUMBER(EC14),EC14-EG14,"")</f>
        <v>-4.3315000000000001</v>
      </c>
      <c r="ED17" s="117">
        <f>IF(ISNUMBER(ED14),ED14-EG14,"")</f>
        <v>6.9588000000000001</v>
      </c>
      <c r="EE17" s="117">
        <f>IF(ISNUMBER(EE14),EE14-EG14,"")</f>
        <v>21.474899999999998</v>
      </c>
      <c r="EF17" s="117">
        <f>IF(ISNUMBER(EF14),EF14-EG14,"")</f>
        <v>39.216799999999999</v>
      </c>
      <c r="EG17" s="118">
        <f>IF(DY17&lt;&gt;"",SUM(DY17:EF17),"")</f>
        <v>0</v>
      </c>
      <c r="EH17" s="133" t="s">
        <v>128</v>
      </c>
      <c r="EI17" s="134">
        <f>IF(EI16&lt;&gt;"",(EP14-EI16*EP12)/EP15,"")</f>
        <v>0.14399972810911546</v>
      </c>
      <c r="EJ17" s="133" t="s">
        <v>128</v>
      </c>
      <c r="EK17" s="134">
        <f>IF(EM16&lt;&gt;"",INTERCEPT(EM16:EM17,EL16:EL17),"")</f>
        <v>1.6822494502355134</v>
      </c>
      <c r="EL17" s="116">
        <v>5.08</v>
      </c>
      <c r="EM17" s="116">
        <f>IF(EI16&lt;&gt;"",EI16*EL17^2+EI17*EL17+EI18,"")</f>
        <v>18.649630136651339</v>
      </c>
      <c r="EN17" s="138" t="str">
        <f>IF(EQ13="","",IF(EQ13&gt;0,ET12,""))</f>
        <v/>
      </c>
      <c r="EO17" s="138" t="str">
        <f>IF(EQ13="","",IF(EQ13&gt;0,EU12,""))</f>
        <v/>
      </c>
      <c r="EP17" s="139"/>
      <c r="EQ17" s="120">
        <v>0</v>
      </c>
      <c r="ER17" s="120">
        <f>IF(EQ13="","",IF(EQ13&gt;0,EW13,-1))</f>
        <v>-1</v>
      </c>
      <c r="ES17" s="120">
        <f>IF(EQ13="","",IF(EQ13&gt;0,EW14,-1))</f>
        <v>-1</v>
      </c>
      <c r="ET17" s="120">
        <f>IF(EQ13="","",IF(EQ13&gt;0,ES13,-1))</f>
        <v>-1</v>
      </c>
      <c r="EU17" s="120">
        <f>IF(EQ13="","",IF(EQ13&gt;0,ES13,-1))</f>
        <v>-1</v>
      </c>
      <c r="EV17" s="120">
        <f>IF(EQ13="","",IF(EQ13&gt;0,ES13,-1))</f>
        <v>-1</v>
      </c>
      <c r="EW17" s="120">
        <v>0</v>
      </c>
      <c r="EX17" s="120">
        <f>IF(EQ13="","",IF(EQ13&gt;0,ES13,-1))</f>
        <v>-1</v>
      </c>
      <c r="EY17" s="1206"/>
      <c r="EZ17" s="124">
        <f>IF(ISNUMBER(EZ14),EZ14-FH14,"")</f>
        <v>-18.450700000000001</v>
      </c>
      <c r="FA17" s="117">
        <f>IF(ISNUMBER(FA14),FA14-FH14,"")</f>
        <v>-17.2347</v>
      </c>
      <c r="FB17" s="117">
        <f>IF(ISNUMBER(FB14),FB14-FH14,"")</f>
        <v>-15.2376</v>
      </c>
      <c r="FC17" s="117">
        <f>IF(ISNUMBER(FC14),FC14-FH14,"")</f>
        <v>-12.396000000000001</v>
      </c>
      <c r="FD17" s="117">
        <f>IF(ISNUMBER(FD14),FD14-FH14,"")</f>
        <v>-4.3315000000000001</v>
      </c>
      <c r="FE17" s="117">
        <f>IF(ISNUMBER(FE14),FE14-FH14,"")</f>
        <v>6.9588000000000001</v>
      </c>
      <c r="FF17" s="117">
        <f>IF(ISNUMBER(FF14),FF14-FH14,"")</f>
        <v>21.474899999999998</v>
      </c>
      <c r="FG17" s="117">
        <f>IF(ISNUMBER(FG14),FG14-FH14,"")</f>
        <v>39.216799999999999</v>
      </c>
      <c r="FH17" s="118">
        <f>IF(EZ17&lt;&gt;"",SUM(EZ17:FG17),"")</f>
        <v>0</v>
      </c>
      <c r="FI17" s="133" t="s">
        <v>128</v>
      </c>
      <c r="FJ17" s="134">
        <f>IF(FJ16&lt;&gt;"",(FQ14-FJ16*FQ12)/FQ15,"")</f>
        <v>33.157117148978649</v>
      </c>
      <c r="FK17" s="133" t="s">
        <v>128</v>
      </c>
      <c r="FL17" s="134">
        <f>IF(FN16&lt;&gt;"",INTERCEPT(FN16:FN17,FM16:FM17),"")</f>
        <v>28.711811481555202</v>
      </c>
      <c r="FM17" s="116">
        <v>5.08</v>
      </c>
      <c r="FN17" s="116">
        <f>IF(FJ16&lt;&gt;"",FJ16*FM17^2+FJ17*FM17+FJ18,"")</f>
        <v>122.95097173870059</v>
      </c>
      <c r="FO17" s="138" t="str">
        <f>IF(FR13="","",IF(FR13&gt;0,FU12,""))</f>
        <v/>
      </c>
      <c r="FP17" s="138" t="str">
        <f>IF(FR13="","",IF(FR13&gt;0,FV12,""))</f>
        <v/>
      </c>
      <c r="FQ17" s="139"/>
      <c r="FR17" s="120">
        <v>0</v>
      </c>
      <c r="FS17" s="120">
        <f>IF(FR13="","",IF(FR13&gt;0,FX13,-1))</f>
        <v>-1</v>
      </c>
      <c r="FT17" s="120">
        <f>IF(FR13="","",IF(FR13&gt;0,FX14,-1))</f>
        <v>-1</v>
      </c>
      <c r="FU17" s="120">
        <f>IF(FR13="","",IF(FR13&gt;0,FT13,-1))</f>
        <v>-1</v>
      </c>
      <c r="FV17" s="120">
        <f>IF(FR13="","",IF(FR13&gt;0,FT13,-1))</f>
        <v>-1</v>
      </c>
      <c r="FW17" s="120">
        <f>IF(FR13="","",IF(FR13&gt;0,FT13,-1))</f>
        <v>-1</v>
      </c>
      <c r="FX17" s="120">
        <v>0</v>
      </c>
      <c r="FY17" s="120">
        <f>IF(FR13="","",IF(FR13&gt;0,FT13,-1))</f>
        <v>-1</v>
      </c>
      <c r="FZ17" s="1206"/>
      <c r="GA17" s="124">
        <f>IF(ISNUMBER(GA14),GA14-GI14,"")</f>
        <v>-18.450700000000001</v>
      </c>
      <c r="GB17" s="117">
        <f>IF(ISNUMBER(GB14),GB14-GI14,"")</f>
        <v>-17.2347</v>
      </c>
      <c r="GC17" s="117">
        <f>IF(ISNUMBER(GC14),GC14-GI14,"")</f>
        <v>-15.2376</v>
      </c>
      <c r="GD17" s="117">
        <f>IF(ISNUMBER(GD14),GD14-GI14,"")</f>
        <v>-12.396000000000001</v>
      </c>
      <c r="GE17" s="117">
        <f>IF(ISNUMBER(GE14),GE14-GI14,"")</f>
        <v>-4.3315000000000001</v>
      </c>
      <c r="GF17" s="117">
        <f>IF(ISNUMBER(GF14),GF14-GI14,"")</f>
        <v>6.9588000000000001</v>
      </c>
      <c r="GG17" s="117">
        <f>IF(ISNUMBER(GG14),GG14-GI14,"")</f>
        <v>21.474899999999998</v>
      </c>
      <c r="GH17" s="117">
        <f>IF(ISNUMBER(GH14),GH14-GI14,"")</f>
        <v>39.216799999999999</v>
      </c>
      <c r="GI17" s="118">
        <f>IF(GA17&lt;&gt;"",SUM(GA17:GH17),"")</f>
        <v>0</v>
      </c>
      <c r="GJ17" s="133" t="s">
        <v>128</v>
      </c>
      <c r="GK17" s="134">
        <f>IF(GK16&lt;&gt;"",(GR14-GK16*GR12)/GR15,"")</f>
        <v>2.7129633297366311</v>
      </c>
      <c r="GL17" s="133" t="s">
        <v>128</v>
      </c>
      <c r="GM17" s="134">
        <f>IF(GO16&lt;&gt;"",INTERCEPT(GO16:GO17,GN16:GN17),"")</f>
        <v>-1.8933575090929047</v>
      </c>
      <c r="GN17" s="116">
        <v>5.08</v>
      </c>
      <c r="GO17" s="116">
        <f>IF(GK16&lt;&gt;"",GK16*GN17^2+GK17*GN17+GK18,"")</f>
        <v>16.678053144911221</v>
      </c>
      <c r="GP17" s="138">
        <f>IF(GS13="","",IF(GS13&gt;0,GV12,""))</f>
        <v>9.2857053270020629</v>
      </c>
      <c r="GQ17" s="138">
        <f>IF(GS13="","",IF(GS13&gt;0,GW12,""))</f>
        <v>18.571410654004126</v>
      </c>
      <c r="GR17" s="139"/>
      <c r="GS17" s="120">
        <v>0</v>
      </c>
      <c r="GT17" s="120">
        <f>IF(GS13="","",IF(GS13&gt;0,GY13,-1))</f>
        <v>3.0579065998477715</v>
      </c>
      <c r="GU17" s="120">
        <f>IF(GS13="","",IF(GS13&gt;0,GY14,-1))</f>
        <v>5.08</v>
      </c>
      <c r="GV17" s="120">
        <f>IF(GS13="","",IF(GS13&gt;0,GU13,-1))</f>
        <v>5.5979065998477715</v>
      </c>
      <c r="GW17" s="120">
        <f>IF(GS13="","",IF(GS13&gt;0,GU13,-1))</f>
        <v>5.5979065998477715</v>
      </c>
      <c r="GX17" s="120">
        <f>IF(GS13="","",IF(GS13&gt;0,GU13,-1))</f>
        <v>5.5979065998477715</v>
      </c>
      <c r="GY17" s="120">
        <v>0</v>
      </c>
      <c r="GZ17" s="120">
        <f>IF(GS13="","",IF(GS13&gt;0,GU13,-1))</f>
        <v>5.5979065998477715</v>
      </c>
      <c r="HA17" s="1206"/>
      <c r="HB17" s="124" t="str">
        <f>IF(ISNUMBER(HB14),HB14-HJ14,"")</f>
        <v/>
      </c>
      <c r="HC17" s="117" t="str">
        <f>IF(ISNUMBER(HC14),HC14-HJ14,"")</f>
        <v/>
      </c>
      <c r="HD17" s="117" t="str">
        <f>IF(ISNUMBER(HD14),HD14-HJ14,"")</f>
        <v/>
      </c>
      <c r="HE17" s="117" t="str">
        <f>IF(ISNUMBER(HE14),HE14-HJ14,"")</f>
        <v/>
      </c>
      <c r="HF17" s="117" t="str">
        <f>IF(ISNUMBER(HF14),HF14-HJ14,"")</f>
        <v/>
      </c>
      <c r="HG17" s="117" t="str">
        <f>IF(ISNUMBER(HG14),HG14-HJ14,"")</f>
        <v/>
      </c>
      <c r="HH17" s="117" t="str">
        <f>IF(ISNUMBER(HH14),HH14-HJ14,"")</f>
        <v/>
      </c>
      <c r="HI17" s="117" t="str">
        <f>IF(ISNUMBER(HI14),HI14-HJ14,"")</f>
        <v/>
      </c>
      <c r="HJ17" s="118" t="str">
        <f>IF(HB17&lt;&gt;"",SUM(HB17:HI17),"")</f>
        <v/>
      </c>
      <c r="HK17" s="133" t="s">
        <v>128</v>
      </c>
      <c r="HL17" s="134" t="str">
        <f>IF(HL16&lt;&gt;"",(HS14-HL16*HS12)/HS15,"")</f>
        <v/>
      </c>
      <c r="HM17" s="133" t="s">
        <v>128</v>
      </c>
      <c r="HN17" s="134" t="str">
        <f>IF(HP16&lt;&gt;"",INTERCEPT(HP16:HP17,HO16:HO17),"")</f>
        <v/>
      </c>
      <c r="HO17" s="116">
        <v>5.08</v>
      </c>
      <c r="HP17" s="116" t="str">
        <f>IF(HL16&lt;&gt;"",HL16*HO17^2+HL17*HO17+HL18,"")</f>
        <v/>
      </c>
      <c r="HQ17" s="138" t="str">
        <f>IF(HT13="","",IF(HT13&gt;0,HW12,""))</f>
        <v/>
      </c>
      <c r="HR17" s="138" t="str">
        <f>IF(HT13="","",IF(HT13&gt;0,HX12,""))</f>
        <v/>
      </c>
      <c r="HS17" s="139"/>
      <c r="HT17" s="120">
        <v>0</v>
      </c>
      <c r="HU17" s="120" t="str">
        <f>IF(HT13="","",IF(HT13&gt;0,HZ13,-1))</f>
        <v/>
      </c>
      <c r="HV17" s="120" t="str">
        <f>IF(HT13="","",IF(HT13&gt;0,HZ14,-1))</f>
        <v/>
      </c>
      <c r="HW17" s="120" t="str">
        <f>IF(HT13="","",IF(HT13&gt;0,HV13,-1))</f>
        <v/>
      </c>
      <c r="HX17" s="120" t="str">
        <f>IF(HT13="","",IF(HT13&gt;0,HV13,-1))</f>
        <v/>
      </c>
      <c r="HY17" s="120" t="str">
        <f>IF(HT13="","",IF(HT13&gt;0,HV13,-1))</f>
        <v/>
      </c>
      <c r="HZ17" s="120">
        <v>0</v>
      </c>
      <c r="IA17" s="120" t="str">
        <f>IF(HT13="","",IF(HT13&gt;0,HV13,-1))</f>
        <v/>
      </c>
      <c r="IB17" s="1206"/>
      <c r="IC17" s="124" t="str">
        <f>IF(ISNUMBER(IC14),IC14-IK14,"")</f>
        <v/>
      </c>
      <c r="ID17" s="117" t="str">
        <f>IF(ISNUMBER(ID14),ID14-IK14,"")</f>
        <v/>
      </c>
      <c r="IE17" s="117" t="str">
        <f>IF(ISNUMBER(IE14),IE14-IK14,"")</f>
        <v/>
      </c>
      <c r="IF17" s="117" t="str">
        <f>IF(ISNUMBER(IF14),IF14-IK14,"")</f>
        <v/>
      </c>
      <c r="IG17" s="117" t="str">
        <f>IF(ISNUMBER(IG14),IG14-IK14,"")</f>
        <v/>
      </c>
      <c r="IH17" s="117" t="str">
        <f>IF(ISNUMBER(IH14),IH14-IK14,"")</f>
        <v/>
      </c>
      <c r="II17" s="117" t="str">
        <f>IF(ISNUMBER(II14),II14-IK14,"")</f>
        <v/>
      </c>
      <c r="IJ17" s="117" t="str">
        <f>IF(ISNUMBER(IJ14),IJ14-IK14,"")</f>
        <v/>
      </c>
      <c r="IK17" s="118" t="str">
        <f>IF(IC17&lt;&gt;"",SUM(IC17:IJ17),"")</f>
        <v/>
      </c>
      <c r="IL17" s="133" t="s">
        <v>128</v>
      </c>
      <c r="IM17" s="134" t="str">
        <f>IF(IM16&lt;&gt;"",(IT14-IM16*IT12)/IT15,"")</f>
        <v/>
      </c>
      <c r="IN17" s="133" t="s">
        <v>128</v>
      </c>
      <c r="IO17" s="134" t="str">
        <f>IF(IQ16&lt;&gt;"",INTERCEPT(IQ16:IQ17,IP16:IP17),"")</f>
        <v/>
      </c>
      <c r="IP17" s="116">
        <v>5.08</v>
      </c>
      <c r="IQ17" s="116" t="str">
        <f>IF(IM16&lt;&gt;"",IM16*IP17^2+IM17*IP17+IM18,"")</f>
        <v/>
      </c>
      <c r="IR17" s="138" t="str">
        <f>IF(IU13="","",IF(IU13&gt;0,IX12,""))</f>
        <v/>
      </c>
      <c r="IS17" s="138" t="str">
        <f>IF(IU13="","",IF(IU13&gt;0,IY12,""))</f>
        <v/>
      </c>
      <c r="IT17" s="139"/>
      <c r="IU17" s="120">
        <v>0</v>
      </c>
      <c r="IV17" s="120" t="str">
        <f>IF(IU13="","",IF(IU13&gt;0,JA13,-1))</f>
        <v/>
      </c>
      <c r="IW17" s="120" t="str">
        <f>IF(IU13="","",IF(IU13&gt;0,JA14,-1))</f>
        <v/>
      </c>
      <c r="IX17" s="120" t="str">
        <f>IF(IU13="","",IF(IU13&gt;0,IW13,-1))</f>
        <v/>
      </c>
      <c r="IY17" s="120" t="str">
        <f>IF(IU13="","",IF(IU13&gt;0,IW13,-1))</f>
        <v/>
      </c>
      <c r="IZ17" s="120" t="str">
        <f>IF(IU13="","",IF(IU13&gt;0,IW13,-1))</f>
        <v/>
      </c>
      <c r="JA17" s="120">
        <v>0</v>
      </c>
      <c r="JB17" s="120" t="str">
        <f>IF(IU13="","",IF(IU13&gt;0,IW13,-1))</f>
        <v/>
      </c>
      <c r="JC17" s="1206"/>
      <c r="JD17" s="150" t="str">
        <f t="shared" si="89"/>
        <v/>
      </c>
      <c r="JE17" s="88" t="str">
        <f t="shared" ref="JE17:JJ17" si="151">IF(ISNUMBER(JE14),JE14-$JK14,"")</f>
        <v/>
      </c>
      <c r="JF17" s="88">
        <f t="shared" si="151"/>
        <v>-1.5315881563031772E-3</v>
      </c>
      <c r="JG17" s="88">
        <f t="shared" si="151"/>
        <v>-1.539492921978575E-4</v>
      </c>
      <c r="JH17" s="88">
        <f t="shared" si="151"/>
        <v>1.6855374485010362E-3</v>
      </c>
      <c r="JI17" s="88" t="str">
        <f t="shared" si="151"/>
        <v/>
      </c>
      <c r="JJ17" s="88" t="str">
        <f t="shared" si="151"/>
        <v/>
      </c>
      <c r="JK17" s="89"/>
      <c r="JL17" s="73"/>
      <c r="JM17" s="73"/>
      <c r="JN17" s="73"/>
      <c r="JO17" s="73"/>
      <c r="JP17" s="73"/>
      <c r="JQ17" s="73"/>
      <c r="JR17" s="73"/>
      <c r="JS17" s="90"/>
      <c r="JT17" s="1207"/>
      <c r="JU17" s="123" t="str">
        <f>IF(T18&lt;&gt;0,LOOKUP(T18,Tara!$G$6:$G$185,Tara!$J$6:$J$185)/10,"")</f>
        <v/>
      </c>
      <c r="JV17" s="116" t="str">
        <f t="shared" si="91"/>
        <v/>
      </c>
      <c r="JW17" s="155" t="str">
        <f t="shared" si="92"/>
        <v/>
      </c>
      <c r="JX17" s="88" t="str">
        <f t="shared" ref="JX17:KC17" si="152">IF(ISNUMBER(JX14),JX14-$JK14,"")</f>
        <v/>
      </c>
      <c r="JY17" s="88">
        <f t="shared" si="152"/>
        <v>-1.5315881563031772E-3</v>
      </c>
      <c r="JZ17" s="88">
        <f t="shared" si="152"/>
        <v>-1.539492921978575E-4</v>
      </c>
      <c r="KA17" s="88">
        <f t="shared" si="152"/>
        <v>1.6855374485010362E-3</v>
      </c>
      <c r="KB17" s="88" t="str">
        <f t="shared" si="152"/>
        <v/>
      </c>
      <c r="KC17" s="88" t="str">
        <f t="shared" si="152"/>
        <v/>
      </c>
      <c r="KD17" s="89"/>
      <c r="KE17" s="73"/>
      <c r="KF17" s="73"/>
      <c r="KG17" s="73"/>
      <c r="KH17" s="73"/>
      <c r="KI17" s="73"/>
      <c r="KJ17" s="73"/>
      <c r="KK17" s="73"/>
      <c r="KL17" s="90"/>
      <c r="KM17" s="1207"/>
      <c r="KN17" s="171" t="str">
        <f>IF(KN15&lt;&gt;"",INDEX(LOGEST(KN16:KR16,KN15:KR15),2),"")</f>
        <v/>
      </c>
      <c r="KO17" s="172" t="str">
        <f>IF(KN18&lt;&gt;"",LN(KN18),"")</f>
        <v/>
      </c>
      <c r="KP17" s="138"/>
      <c r="KQ17" s="176" t="str">
        <f>IF(KN17&lt;&gt;"",LN(25/KN17)/KO17,"NP")</f>
        <v>NP</v>
      </c>
      <c r="KR17" s="1206"/>
      <c r="KS17" s="185" t="str">
        <f>IF(KS16&lt;&gt;"",5%*KS16,"")</f>
        <v/>
      </c>
      <c r="KT17" s="176" t="str">
        <f>IF(KS16&lt;&gt;"",KS16+KS17,"")</f>
        <v/>
      </c>
      <c r="KU17" s="188" t="str">
        <f>IF(KQ17&lt;&gt;"NP",KQ17-KW17,"NP")</f>
        <v>NP</v>
      </c>
      <c r="KV17" s="176" t="str">
        <f>IF(KV16&lt;&gt;"",KV16-5%*KV16,"")</f>
        <v/>
      </c>
      <c r="KW17" s="176" t="str">
        <f>IF(KV16&lt;&gt;"",KV16,"NP")</f>
        <v>NP</v>
      </c>
      <c r="KX17" s="1275"/>
      <c r="KY17" s="190"/>
      <c r="KZ17" s="1208"/>
      <c r="LA17" s="201"/>
      <c r="LB17" s="138"/>
      <c r="LC17" s="138"/>
      <c r="LD17" s="138"/>
      <c r="LE17" s="138"/>
      <c r="LF17" s="138"/>
      <c r="LG17" s="138"/>
      <c r="LH17" s="138"/>
      <c r="LI17" s="138"/>
      <c r="LJ17" s="138"/>
      <c r="LK17" s="138"/>
      <c r="LL17" s="138"/>
      <c r="LM17" s="1206"/>
      <c r="LN17" s="163"/>
      <c r="LO17" s="164"/>
      <c r="LP17" s="164"/>
      <c r="LQ17" s="164"/>
      <c r="LR17" s="1209"/>
      <c r="LS17" s="216">
        <v>40</v>
      </c>
      <c r="LT17" s="144">
        <f>IF(LL16&lt;&gt;"",LL16*100,"")</f>
        <v>44.201076999999991</v>
      </c>
      <c r="LU17" s="1288" t="s">
        <v>129</v>
      </c>
      <c r="LV17" s="1288"/>
      <c r="LW17" s="222" t="s">
        <v>130</v>
      </c>
      <c r="LX17" s="222"/>
      <c r="LY17" s="199" t="b">
        <f>IF(LH18&lt;LL18,"NP",AND(LU18&lt;=8,LO18&lt;=10,LH18&lt;=40,LT18&gt;35))</f>
        <v>0</v>
      </c>
      <c r="LZ17" s="199" t="b">
        <f>IF(LH18&lt;LL18,"NP",AND(LU18&lt;=12,LO18&lt;=10,LH18&gt;40,LT18&gt;35))</f>
        <v>0</v>
      </c>
      <c r="MA17" s="199" t="b">
        <f>IF(LH18&lt;LL18,"NP",AND(LU18&lt;=16,LO18&gt;10,LH18&lt;=40,LT18&gt;35))</f>
        <v>0</v>
      </c>
      <c r="MB17" s="199" t="b">
        <f>IF(LH18&lt;LL18,"NP",AND(LU18&lt;=20,LO18&gt;10,LH18&gt;40,LT18&gt;35,LO18&lt;=LH18-30))</f>
        <v>0</v>
      </c>
      <c r="MC17" s="199" t="b">
        <f>IF(LH18&lt;LL18,"NP",AND(LU18&lt;=20,LO18&gt;10,LH18&gt;40,LS18&gt;35,LO18&gt;LH18-30))</f>
        <v>0</v>
      </c>
      <c r="MD17" s="199"/>
      <c r="ME17" s="1200"/>
      <c r="MF17" s="700"/>
      <c r="MG17" s="701"/>
      <c r="MH17" s="701"/>
      <c r="MI17" s="701"/>
      <c r="MJ17" s="701"/>
      <c r="MK17" s="701"/>
      <c r="ML17" s="701"/>
      <c r="MM17" s="701"/>
      <c r="MN17" s="701"/>
      <c r="MO17" s="701"/>
      <c r="MP17" s="701"/>
      <c r="MQ17" s="701"/>
      <c r="MR17" s="701"/>
      <c r="MS17" s="701"/>
      <c r="MT17" s="701"/>
      <c r="MU17" s="701"/>
      <c r="MV17" s="701"/>
      <c r="MW17" s="701"/>
      <c r="MX17" s="701"/>
      <c r="MY17" s="701"/>
      <c r="MZ17" s="701"/>
      <c r="NA17" s="701"/>
      <c r="NB17" s="701"/>
      <c r="NC17" s="701"/>
      <c r="ND17" s="701"/>
      <c r="NE17" s="701"/>
      <c r="NF17" s="701"/>
      <c r="NG17" s="701"/>
      <c r="NH17" s="701"/>
      <c r="NI17" s="701"/>
      <c r="NJ17" s="701"/>
      <c r="NK17" s="701"/>
      <c r="NL17" s="701"/>
      <c r="NM17" s="701"/>
      <c r="NN17" s="701"/>
      <c r="NO17" s="701"/>
      <c r="NP17" s="701"/>
      <c r="NQ17" s="701"/>
      <c r="NR17" s="701"/>
      <c r="NS17" s="701"/>
      <c r="NT17" s="701"/>
      <c r="NU17" s="701"/>
      <c r="NV17" s="701"/>
      <c r="NW17" s="701"/>
      <c r="NX17" s="701"/>
      <c r="NY17" s="701"/>
      <c r="NZ17" s="701"/>
      <c r="OA17" s="701"/>
      <c r="OB17" s="701"/>
      <c r="OC17" s="701"/>
      <c r="OD17" s="1189"/>
      <c r="OE17" s="701"/>
    </row>
    <row r="18" spans="1:1378" ht="15" hidden="1" customHeight="1" thickBot="1" x14ac:dyDescent="0.35">
      <c r="A18" s="1338"/>
      <c r="B18" s="504" t="s">
        <v>131</v>
      </c>
      <c r="C18" s="666"/>
      <c r="D18" s="1364"/>
      <c r="E18" s="1365"/>
      <c r="F18" s="1371"/>
      <c r="G18" s="493" t="s">
        <v>132</v>
      </c>
      <c r="H18" s="505" t="s">
        <v>59</v>
      </c>
      <c r="I18" s="506" t="s">
        <v>133</v>
      </c>
      <c r="J18" s="507">
        <v>9802</v>
      </c>
      <c r="K18" s="507">
        <v>8557</v>
      </c>
      <c r="L18" s="507">
        <v>10283</v>
      </c>
      <c r="M18" s="507">
        <v>9613</v>
      </c>
      <c r="N18" s="507">
        <v>10333</v>
      </c>
      <c r="O18" s="507"/>
      <c r="P18" s="508" t="s">
        <v>134</v>
      </c>
      <c r="Q18" s="509"/>
      <c r="R18" s="508" t="s">
        <v>133</v>
      </c>
      <c r="S18" s="510">
        <v>10283</v>
      </c>
      <c r="T18" s="511"/>
      <c r="U18" s="512"/>
      <c r="V18" s="513"/>
      <c r="W18" s="513"/>
      <c r="X18" s="513"/>
      <c r="Y18" s="513"/>
      <c r="Z18" s="514"/>
      <c r="AA18" s="514"/>
      <c r="AB18" s="514"/>
      <c r="AC18" s="514"/>
      <c r="AD18" s="515"/>
      <c r="AE18" s="515"/>
      <c r="AF18" s="515"/>
      <c r="AG18" s="515"/>
      <c r="AH18" s="515"/>
      <c r="AI18" s="515"/>
      <c r="AJ18" s="515"/>
      <c r="AK18" s="516"/>
      <c r="AL18" s="1386"/>
      <c r="AM18" s="517" t="s">
        <v>61</v>
      </c>
      <c r="AN18" s="518"/>
      <c r="AO18" s="518"/>
      <c r="AP18" s="518"/>
      <c r="AQ18" s="518"/>
      <c r="AR18" s="519"/>
      <c r="AS18" s="1368"/>
      <c r="AT18" s="1296"/>
      <c r="AU18" s="1297"/>
      <c r="AV18" s="1299"/>
      <c r="AW18" s="520" t="s">
        <v>135</v>
      </c>
      <c r="AX18" s="521"/>
      <c r="AY18" s="1299"/>
      <c r="AZ18" s="520" t="s">
        <v>135</v>
      </c>
      <c r="BA18" s="522"/>
      <c r="BB18" s="1303"/>
      <c r="BC18" s="1304"/>
      <c r="BD18" s="1304"/>
      <c r="BE18" s="1304"/>
      <c r="BF18" s="1304"/>
      <c r="BG18" s="1304"/>
      <c r="BH18" s="1304"/>
      <c r="BI18" s="1304"/>
      <c r="BJ18" s="1304"/>
      <c r="BK18" s="1305"/>
      <c r="BL18" s="1293"/>
      <c r="BM18" s="1308"/>
      <c r="BN18" s="91" t="s">
        <v>136</v>
      </c>
      <c r="BO18" s="92">
        <f>IF(J12&lt;&gt;"",BO17/Q16,"")</f>
        <v>9.3333333333333341E-3</v>
      </c>
      <c r="BP18" s="93">
        <f>IF(AND(ISNUMBER(BW17),ISNUMBER(BO18),BW17&lt;&gt;0),BO18+BW17,"")</f>
        <v>2.4333333333333332E-2</v>
      </c>
      <c r="BQ18" s="93">
        <f>IF(AND(ISNUMBER(BW17),ISNUMBER(BP18),BW17&lt;&gt;0),BP18+BW17,"")</f>
        <v>3.9333333333333331E-2</v>
      </c>
      <c r="BR18" s="93">
        <f>IF(AND(ISNUMBER(BW17),ISNUMBER(BQ18),BW17&lt;&gt;0),BQ18+BW17,"")</f>
        <v>5.4333333333333331E-2</v>
      </c>
      <c r="BS18" s="93">
        <f>IF(AND(ISNUMBER(BW17),ISNUMBER(BR18),BW17&lt;&gt;0),BR18+BW17,"")</f>
        <v>6.933333333333333E-2</v>
      </c>
      <c r="BT18" s="93">
        <f>IF(AND(ISNUMBER(BW17),ISNUMBER(BS18),BW17&lt;&gt;0),BS18+BW17,"")</f>
        <v>8.433333333333333E-2</v>
      </c>
      <c r="BU18" s="109" t="s">
        <v>137</v>
      </c>
      <c r="BV18" s="109"/>
      <c r="BW18" s="94">
        <f>IF(ISNUMBER(Q16),Q16/(BW12+1),"")</f>
        <v>7403.1754957823814</v>
      </c>
      <c r="BX18" s="95"/>
      <c r="BY18" s="96">
        <f t="shared" ref="BY18:CD18" si="153">IF(BY16&lt;&gt;"",BY16/(1+BY17),"")</f>
        <v>2006.6548726761773</v>
      </c>
      <c r="BZ18" s="96">
        <f t="shared" si="153"/>
        <v>2112.1163122143989</v>
      </c>
      <c r="CA18" s="96">
        <f t="shared" si="153"/>
        <v>2284.1700606501286</v>
      </c>
      <c r="CB18" s="96">
        <f t="shared" si="153"/>
        <v>2229.4893717156247</v>
      </c>
      <c r="CC18" s="96">
        <f t="shared" si="153"/>
        <v>2129.489670770407</v>
      </c>
      <c r="CD18" s="96" t="str">
        <f t="shared" si="153"/>
        <v/>
      </c>
      <c r="CE18" s="97"/>
      <c r="CF18" s="97"/>
      <c r="CG18" s="97"/>
      <c r="CH18" s="97"/>
      <c r="CI18" s="97"/>
      <c r="CJ18" s="98" t="str">
        <f>IF(ISNUMBER(CJ15),CJ15^2,"")</f>
        <v/>
      </c>
      <c r="CK18" s="98"/>
      <c r="CL18" s="99" t="s">
        <v>101</v>
      </c>
      <c r="CM18" s="100">
        <f>(CR14*CR16-CR15*CR12)/(CR16^2-CR13*CR12)</f>
        <v>-197237.70860911623</v>
      </c>
      <c r="CN18" s="99" t="s">
        <v>102</v>
      </c>
      <c r="CO18" s="101">
        <f>(CR15-CM18*CR13)/CR16</f>
        <v>23267.259751178677</v>
      </c>
      <c r="CP18" s="99" t="s">
        <v>103</v>
      </c>
      <c r="CQ18" s="100">
        <f>CK13-CO18*CK12-CM18*CK14</f>
        <v>1564.5282527736399</v>
      </c>
      <c r="CR18" s="98"/>
      <c r="CS18" s="99"/>
      <c r="CT18" s="101"/>
      <c r="CU18" s="106">
        <f>IF(S18&lt;&gt;0,S18-CU16,"")</f>
        <v>4940</v>
      </c>
      <c r="CV18" s="1281"/>
      <c r="CW18" s="1283"/>
      <c r="CX18" s="127" t="str">
        <f>IF(ISNUMBER(CX15),CX15^2,"")</f>
        <v/>
      </c>
      <c r="CY18" s="128" t="str">
        <f t="shared" ref="CY18:DE18" si="154">IF(ISNUMBER(CY15),CY15^2,"")</f>
        <v/>
      </c>
      <c r="CZ18" s="128" t="str">
        <f t="shared" si="154"/>
        <v/>
      </c>
      <c r="DA18" s="128" t="str">
        <f t="shared" si="154"/>
        <v/>
      </c>
      <c r="DB18" s="128" t="str">
        <f t="shared" si="154"/>
        <v/>
      </c>
      <c r="DC18" s="128" t="str">
        <f t="shared" si="154"/>
        <v/>
      </c>
      <c r="DD18" s="128" t="str">
        <f t="shared" si="154"/>
        <v/>
      </c>
      <c r="DE18" s="128" t="str">
        <f t="shared" si="154"/>
        <v/>
      </c>
      <c r="DF18" s="281" t="str">
        <f>IF(CX18&lt;&gt;"",SUM(CX18:DE18),"")</f>
        <v/>
      </c>
      <c r="DG18" s="135" t="s">
        <v>138</v>
      </c>
      <c r="DH18" s="136" t="str">
        <f>IF(DH16&lt;&gt;"",DF13-DH17*DF12-DH16*DF14,"")</f>
        <v/>
      </c>
      <c r="DI18" s="135"/>
      <c r="DJ18" s="140"/>
      <c r="DK18" s="140"/>
      <c r="DL18" s="140"/>
      <c r="DM18" s="142" t="str">
        <f>IF(DP13="","",IF(DP13&gt;0,DM17/70.31,""))</f>
        <v/>
      </c>
      <c r="DN18" s="142" t="str">
        <f>IF(DP13="","",IF(DP13&gt;0,DN17/105.46,""))</f>
        <v/>
      </c>
      <c r="DO18" s="140"/>
      <c r="DP18" s="135">
        <v>2.54</v>
      </c>
      <c r="DQ18" s="142" t="str">
        <f>IF(DA13&lt;&gt;"",DA13/70.31,"")</f>
        <v/>
      </c>
      <c r="DR18" s="135">
        <v>5.08</v>
      </c>
      <c r="DS18" s="142" t="str">
        <f>IF(DC13&lt;&gt;"",DC13/105.46,"")</f>
        <v/>
      </c>
      <c r="DT18" s="227" t="str">
        <f>IF(DV18&lt;&gt;"",MAX(DV18,DX18),"")</f>
        <v/>
      </c>
      <c r="DU18" s="143">
        <v>2.54</v>
      </c>
      <c r="DV18" s="146" t="str">
        <f>IF(DA13&lt;&gt;"",MAX(DM18,DQ18)*100,"")</f>
        <v/>
      </c>
      <c r="DW18" s="143">
        <v>5.08</v>
      </c>
      <c r="DX18" s="147" t="str">
        <f>IF(DC13&lt;&gt;"",MAX(DN18,DS18)*100,"")</f>
        <v/>
      </c>
      <c r="DY18" s="127">
        <f>IF(ISNUMBER(DY15),DY15^2,"")</f>
        <v>9.1204000000000001</v>
      </c>
      <c r="DZ18" s="128">
        <f t="shared" ref="DZ18:EF18" si="155">IF(ISNUMBER(DZ15),DZ15^2,"")</f>
        <v>5.6643999999999997</v>
      </c>
      <c r="EA18" s="128">
        <f t="shared" si="155"/>
        <v>3.0625</v>
      </c>
      <c r="EB18" s="128">
        <f t="shared" si="155"/>
        <v>1.2320999999999998</v>
      </c>
      <c r="EC18" s="128">
        <f t="shared" si="155"/>
        <v>2.5600000000000046E-2</v>
      </c>
      <c r="ED18" s="128">
        <f t="shared" si="155"/>
        <v>2.0449000000000006</v>
      </c>
      <c r="EE18" s="128">
        <f t="shared" si="155"/>
        <v>7.2899999999999983</v>
      </c>
      <c r="EF18" s="128">
        <f t="shared" si="155"/>
        <v>15.760900000000001</v>
      </c>
      <c r="EG18" s="129">
        <f>IF(DY18&lt;&gt;"",SUM(DY18:EF18),"")</f>
        <v>44.200800000000001</v>
      </c>
      <c r="EH18" s="135" t="s">
        <v>138</v>
      </c>
      <c r="EI18" s="136">
        <f>IF(EI16&lt;&gt;"",EG13-EI17*EG12-EI16*EG14,"")</f>
        <v>7.0942034727760195</v>
      </c>
      <c r="EJ18" s="135"/>
      <c r="EK18" s="140"/>
      <c r="EL18" s="140"/>
      <c r="EM18" s="140"/>
      <c r="EN18" s="141" t="str">
        <f>IF(EQ13="","",IF(EQ13&gt;0,EN17/70.31,""))</f>
        <v/>
      </c>
      <c r="EO18" s="141" t="str">
        <f>IF(EQ13="","",IF(EQ13&gt;0,EO17/105.46,""))</f>
        <v/>
      </c>
      <c r="EP18" s="140"/>
      <c r="EQ18" s="135">
        <v>2.54</v>
      </c>
      <c r="ER18" s="142">
        <f>IF(EB13&lt;&gt;"",EB13/70.31,"")</f>
        <v>0.16356137107097141</v>
      </c>
      <c r="ES18" s="135">
        <v>5.08</v>
      </c>
      <c r="ET18" s="142">
        <f>IF(ED13&lt;&gt;"",ED13/105.46,"")</f>
        <v>0.17068082685378344</v>
      </c>
      <c r="EU18" s="227">
        <f>IF(EW18&lt;&gt;"",MAX(EW18,EY18),"")</f>
        <v>17.068082685378343</v>
      </c>
      <c r="EV18" s="143">
        <v>2.54</v>
      </c>
      <c r="EW18" s="146">
        <f>IF(EB13&lt;&gt;"",MAX(EN18,ER18)*100,"")</f>
        <v>16.35613710709714</v>
      </c>
      <c r="EX18" s="143">
        <v>5.08</v>
      </c>
      <c r="EY18" s="147">
        <f>IF(ED13&lt;&gt;"",MAX(EO18,ET18)*100,"")</f>
        <v>17.068082685378343</v>
      </c>
      <c r="EZ18" s="127">
        <f>IF(ISNUMBER(EZ15),EZ15^2,"")</f>
        <v>9.1204000000000001</v>
      </c>
      <c r="FA18" s="128">
        <f t="shared" ref="FA18:FG18" si="156">IF(ISNUMBER(FA15),FA15^2,"")</f>
        <v>5.6643999999999997</v>
      </c>
      <c r="FB18" s="128">
        <f t="shared" si="156"/>
        <v>3.0625</v>
      </c>
      <c r="FC18" s="128">
        <f t="shared" si="156"/>
        <v>1.2320999999999998</v>
      </c>
      <c r="FD18" s="128">
        <f t="shared" si="156"/>
        <v>2.5600000000000046E-2</v>
      </c>
      <c r="FE18" s="128">
        <f t="shared" si="156"/>
        <v>2.0449000000000006</v>
      </c>
      <c r="FF18" s="128">
        <f t="shared" si="156"/>
        <v>7.2899999999999983</v>
      </c>
      <c r="FG18" s="128">
        <f t="shared" si="156"/>
        <v>15.760900000000001</v>
      </c>
      <c r="FH18" s="129">
        <f>IF(EZ18&lt;&gt;"",SUM(EZ18:FG18),"")</f>
        <v>44.200800000000001</v>
      </c>
      <c r="FI18" s="135" t="s">
        <v>138</v>
      </c>
      <c r="FJ18" s="136">
        <f>IF(FJ16&lt;&gt;"",FH13-FJ17*FH12-FJ16*FH14,"")</f>
        <v>3.9788131949998089</v>
      </c>
      <c r="FK18" s="135"/>
      <c r="FL18" s="140"/>
      <c r="FM18" s="140"/>
      <c r="FN18" s="140"/>
      <c r="FO18" s="141" t="str">
        <f>IF(FR13="","",IF(FR13&gt;0,FO17/70.31,""))</f>
        <v/>
      </c>
      <c r="FP18" s="141" t="str">
        <f>IF(FR13="","",IF(FR13&gt;0,FP17/105.46,""))</f>
        <v/>
      </c>
      <c r="FQ18" s="140"/>
      <c r="FR18" s="135">
        <v>2.54</v>
      </c>
      <c r="FS18" s="142">
        <f>IF(FC13&lt;&gt;"",FC13/70.31,"")</f>
        <v>1.1947091452140519</v>
      </c>
      <c r="FT18" s="135">
        <v>5.08</v>
      </c>
      <c r="FU18" s="142">
        <f>IF(FE13&lt;&gt;"",FE13/105.46,"")</f>
        <v>1.0999431063910488</v>
      </c>
      <c r="FV18" s="227">
        <f>IF(FX18&lt;&gt;"",MAX(FX18,FZ18),"")</f>
        <v>119.47091452140519</v>
      </c>
      <c r="FW18" s="143">
        <v>2.54</v>
      </c>
      <c r="FX18" s="146">
        <f>IF(FC13&lt;&gt;"",MAX(FO18,FS18)*100,"")</f>
        <v>119.47091452140519</v>
      </c>
      <c r="FY18" s="143">
        <v>5.08</v>
      </c>
      <c r="FZ18" s="147">
        <f>IF(FE13&lt;&gt;"",MAX(FP18,FU18)*100,"")</f>
        <v>109.99431063910488</v>
      </c>
      <c r="GA18" s="127">
        <f>IF(ISNUMBER(GA15),GA15^2,"")</f>
        <v>9.1204000000000001</v>
      </c>
      <c r="GB18" s="128">
        <f t="shared" ref="GB18:GH18" si="157">IF(ISNUMBER(GB15),GB15^2,"")</f>
        <v>5.6643999999999997</v>
      </c>
      <c r="GC18" s="128">
        <f t="shared" si="157"/>
        <v>3.0625</v>
      </c>
      <c r="GD18" s="128">
        <f t="shared" si="157"/>
        <v>1.2320999999999998</v>
      </c>
      <c r="GE18" s="128">
        <f t="shared" si="157"/>
        <v>2.5600000000000046E-2</v>
      </c>
      <c r="GF18" s="128">
        <f t="shared" si="157"/>
        <v>2.0449000000000006</v>
      </c>
      <c r="GG18" s="128">
        <f t="shared" si="157"/>
        <v>7.2899999999999983</v>
      </c>
      <c r="GH18" s="128">
        <f t="shared" si="157"/>
        <v>15.760900000000001</v>
      </c>
      <c r="GI18" s="129">
        <f>IF(GA18&lt;&gt;"",SUM(GA18:GH18),"")</f>
        <v>44.200800000000001</v>
      </c>
      <c r="GJ18" s="135" t="s">
        <v>138</v>
      </c>
      <c r="GK18" s="136">
        <f>IF(GK16&lt;&gt;"",GI13-GK17*GI12-GK16*GI14,"")</f>
        <v>-0.29683852944555733</v>
      </c>
      <c r="GL18" s="135"/>
      <c r="GM18" s="140"/>
      <c r="GN18" s="140"/>
      <c r="GO18" s="140"/>
      <c r="GP18" s="141">
        <f>IF(GS13="","",IF(GS13&gt;0,GP17/70.31,""))</f>
        <v>0.1320680604039548</v>
      </c>
      <c r="GQ18" s="141">
        <f>IF(GS13="","",IF(GS13&gt;0,GQ17/105.46,""))</f>
        <v>0.17609909590369929</v>
      </c>
      <c r="GR18" s="140"/>
      <c r="GS18" s="135">
        <v>2.54</v>
      </c>
      <c r="GT18" s="142">
        <f>IF(GD13&lt;&gt;"",GD13/70.31,"")</f>
        <v>0.10667045939411179</v>
      </c>
      <c r="GU18" s="135">
        <v>5.08</v>
      </c>
      <c r="GV18" s="142">
        <f>IF(GF13&lt;&gt;"",GF13/105.46,"")</f>
        <v>0.16119855869523991</v>
      </c>
      <c r="GW18" s="227">
        <f>IF(GY18&lt;&gt;"",MAX(GY18,HA18),"")</f>
        <v>17.609909590369931</v>
      </c>
      <c r="GX18" s="143">
        <v>2.54</v>
      </c>
      <c r="GY18" s="146">
        <f>IF(GD13&lt;&gt;"",MAX(GP18,GT18)*100,"")</f>
        <v>13.206806040395481</v>
      </c>
      <c r="GZ18" s="143">
        <v>5.08</v>
      </c>
      <c r="HA18" s="147">
        <f>IF(GF13&lt;&gt;"",MAX(GQ18,GV18)*100,"")</f>
        <v>17.609909590369931</v>
      </c>
      <c r="HB18" s="127" t="str">
        <f>IF(ISNUMBER(HB15),HB15^2,"")</f>
        <v/>
      </c>
      <c r="HC18" s="128" t="str">
        <f t="shared" ref="HC18:HI18" si="158">IF(ISNUMBER(HC15),HC15^2,"")</f>
        <v/>
      </c>
      <c r="HD18" s="128" t="str">
        <f t="shared" si="158"/>
        <v/>
      </c>
      <c r="HE18" s="128" t="str">
        <f t="shared" si="158"/>
        <v/>
      </c>
      <c r="HF18" s="128" t="str">
        <f t="shared" si="158"/>
        <v/>
      </c>
      <c r="HG18" s="128" t="str">
        <f t="shared" si="158"/>
        <v/>
      </c>
      <c r="HH18" s="128" t="str">
        <f t="shared" si="158"/>
        <v/>
      </c>
      <c r="HI18" s="128" t="str">
        <f t="shared" si="158"/>
        <v/>
      </c>
      <c r="HJ18" s="129" t="str">
        <f>IF(HB18&lt;&gt;"",SUM(HB18:HI18),"")</f>
        <v/>
      </c>
      <c r="HK18" s="135" t="s">
        <v>138</v>
      </c>
      <c r="HL18" s="136" t="str">
        <f>IF(HL16&lt;&gt;"",HJ13-HL17*HJ12-HL16*HJ14,"")</f>
        <v/>
      </c>
      <c r="HM18" s="135"/>
      <c r="HN18" s="140"/>
      <c r="HO18" s="140"/>
      <c r="HP18" s="140"/>
      <c r="HQ18" s="141" t="str">
        <f>IF(HT13="","",IF(HT13&gt;0,HQ17/70.31,""))</f>
        <v/>
      </c>
      <c r="HR18" s="141" t="str">
        <f>IF(HT13="","",IF(HT13&gt;0,HR17/105.46,""))</f>
        <v/>
      </c>
      <c r="HS18" s="140"/>
      <c r="HT18" s="135">
        <v>2.54</v>
      </c>
      <c r="HU18" s="142" t="str">
        <f>IF(HE13&lt;&gt;"",HE13/70.31,"")</f>
        <v/>
      </c>
      <c r="HV18" s="135">
        <v>5.08</v>
      </c>
      <c r="HW18" s="142" t="str">
        <f>IF(HG13&lt;&gt;"",HG13/105.46,"")</f>
        <v/>
      </c>
      <c r="HX18" s="227" t="str">
        <f>IF(HZ18&lt;&gt;"",MAX(HZ18,IB18),"")</f>
        <v/>
      </c>
      <c r="HY18" s="143">
        <v>2.54</v>
      </c>
      <c r="HZ18" s="146" t="str">
        <f>IF(HE13&lt;&gt;"",MAX(HQ18,HU18)*100,"")</f>
        <v/>
      </c>
      <c r="IA18" s="143">
        <v>5.08</v>
      </c>
      <c r="IB18" s="147" t="str">
        <f>IF(HG13&lt;&gt;"",MAX(HR18,HW18)*100,"")</f>
        <v/>
      </c>
      <c r="IC18" s="127" t="str">
        <f>IF(ISNUMBER(IC15),IC15^2,"")</f>
        <v/>
      </c>
      <c r="ID18" s="128" t="str">
        <f t="shared" ref="ID18:IJ18" si="159">IF(ISNUMBER(ID15),ID15^2,"")</f>
        <v/>
      </c>
      <c r="IE18" s="128" t="str">
        <f t="shared" si="159"/>
        <v/>
      </c>
      <c r="IF18" s="128" t="str">
        <f t="shared" si="159"/>
        <v/>
      </c>
      <c r="IG18" s="128" t="str">
        <f t="shared" si="159"/>
        <v/>
      </c>
      <c r="IH18" s="128" t="str">
        <f t="shared" si="159"/>
        <v/>
      </c>
      <c r="II18" s="128" t="str">
        <f t="shared" si="159"/>
        <v/>
      </c>
      <c r="IJ18" s="128" t="str">
        <f t="shared" si="159"/>
        <v/>
      </c>
      <c r="IK18" s="129" t="str">
        <f>IF(IC18&lt;&gt;"",SUM(IC18:IJ18),"")</f>
        <v/>
      </c>
      <c r="IL18" s="135" t="s">
        <v>138</v>
      </c>
      <c r="IM18" s="136" t="str">
        <f>IF(IM16&lt;&gt;"",IK13-IM17*IK12-IM16*IK14,"")</f>
        <v/>
      </c>
      <c r="IN18" s="135"/>
      <c r="IO18" s="140"/>
      <c r="IP18" s="140"/>
      <c r="IQ18" s="140"/>
      <c r="IR18" s="141" t="str">
        <f>IF(IU13="","",IF(IU13&gt;0,IR17/70.31,""))</f>
        <v/>
      </c>
      <c r="IS18" s="141" t="str">
        <f>IF(IU13="","",IF(IU13&gt;0,IS17/105.46,""))</f>
        <v/>
      </c>
      <c r="IT18" s="140"/>
      <c r="IU18" s="135">
        <v>2.54</v>
      </c>
      <c r="IV18" s="142" t="str">
        <f>IF(IF13&lt;&gt;"",IF13/70.31,"")</f>
        <v/>
      </c>
      <c r="IW18" s="135">
        <v>5.08</v>
      </c>
      <c r="IX18" s="142" t="str">
        <f>IF(IH13&lt;&gt;"",IH13/105.46,"")</f>
        <v/>
      </c>
      <c r="IY18" s="227" t="str">
        <f>IF(JA18&lt;&gt;"",MAX(JA18,JC18),"")</f>
        <v/>
      </c>
      <c r="IZ18" s="143">
        <v>2.54</v>
      </c>
      <c r="JA18" s="146" t="str">
        <f>IF(IF13&lt;&gt;"",MAX(IR18,IV18)*100,"")</f>
        <v/>
      </c>
      <c r="JB18" s="143">
        <v>5.08</v>
      </c>
      <c r="JC18" s="147" t="str">
        <f>IF(IH13&lt;&gt;"",MAX(IS18,IX18)*100,"")</f>
        <v/>
      </c>
      <c r="JD18" s="151"/>
      <c r="JE18" s="97"/>
      <c r="JF18" s="97"/>
      <c r="JG18" s="97"/>
      <c r="JH18" s="97"/>
      <c r="JI18" s="97"/>
      <c r="JJ18" s="98" t="str">
        <f>IF(ISNUMBER(JJ15),JJ15^2,"")</f>
        <v/>
      </c>
      <c r="JK18" s="98"/>
      <c r="JL18" s="99" t="s">
        <v>101</v>
      </c>
      <c r="JM18" s="145">
        <f>(JR14*JR16-JR15*JR12)/(JR16^2-JR13*JR12)</f>
        <v>-442275.14538690838</v>
      </c>
      <c r="JN18" s="99" t="s">
        <v>102</v>
      </c>
      <c r="JO18" s="101">
        <f>(JR15-JM18*JR13)/JR16</f>
        <v>46834.018883261342</v>
      </c>
      <c r="JP18" s="99" t="s">
        <v>103</v>
      </c>
      <c r="JQ18" s="145">
        <f>JK13-JO18*JK12-JM18*JK14</f>
        <v>-1120.3822796993677</v>
      </c>
      <c r="JR18" s="98"/>
      <c r="JS18" s="99"/>
      <c r="JT18" s="152"/>
      <c r="JU18" s="127"/>
      <c r="JV18" s="156"/>
      <c r="JW18" s="137"/>
      <c r="JX18" s="97"/>
      <c r="JY18" s="97"/>
      <c r="JZ18" s="97"/>
      <c r="KA18" s="97"/>
      <c r="KB18" s="97"/>
      <c r="KC18" s="98" t="str">
        <f>IF(ISNUMBER(KC15),KC15^2,"")</f>
        <v/>
      </c>
      <c r="KD18" s="98"/>
      <c r="KE18" s="99" t="s">
        <v>101</v>
      </c>
      <c r="KF18" s="145">
        <f>(KK14*KK16-KK15*KK12)/(KK16^2-KK13*KK12)</f>
        <v>-922.2404390961965</v>
      </c>
      <c r="KG18" s="99" t="s">
        <v>102</v>
      </c>
      <c r="KH18" s="101">
        <f>(KK15-KF18*KK13)/KK16</f>
        <v>94.474984755701243</v>
      </c>
      <c r="KI18" s="99" t="s">
        <v>103</v>
      </c>
      <c r="KJ18" s="145">
        <f>KD13-KH18*KD12-KF18*KD14</f>
        <v>-2.1124891112787934</v>
      </c>
      <c r="KK18" s="98"/>
      <c r="KL18" s="99"/>
      <c r="KM18" s="152"/>
      <c r="KN18" s="173" t="str">
        <f>IF(KN15&lt;&gt;"",INDEX(LOGEST(KN16:KR16,KN15:KR15),1),"")</f>
        <v/>
      </c>
      <c r="KO18" s="141"/>
      <c r="KP18" s="143" t="s">
        <v>78</v>
      </c>
      <c r="KQ18" s="179">
        <f>IF(KQ17="NP",0,KQ17)*100</f>
        <v>0</v>
      </c>
      <c r="KR18" s="178"/>
      <c r="KS18" s="186" t="str">
        <f>IF($KT17&gt;=KS15,IF($KT16&lt;=KS15,KS15))</f>
        <v/>
      </c>
      <c r="KT18" s="187" t="str">
        <f>IF($KT17&gt;=KT15,IF($KT16&lt;=KT15,KT15))</f>
        <v/>
      </c>
      <c r="KU18" s="187" t="str">
        <f>IF($KT17&gt;=KU15,IF($KT16&lt;=KU15,KU15))</f>
        <v/>
      </c>
      <c r="KV18" s="187" t="str">
        <f>IF($KT17&gt;=KV15,IF($KT16&lt;=KV15,KV15))</f>
        <v/>
      </c>
      <c r="KW18" s="187" t="str">
        <f>IF($KT17&gt;=KW15,IF($KT16&lt;=KW15,KW15))</f>
        <v/>
      </c>
      <c r="KX18" s="189" t="s">
        <v>139</v>
      </c>
      <c r="KY18" s="191" t="s">
        <v>140</v>
      </c>
      <c r="KZ18" s="192" t="str">
        <f>IF(KY16&lt;&gt;"",KY16,"")</f>
        <v/>
      </c>
      <c r="LA18" s="202"/>
      <c r="LB18" s="141"/>
      <c r="LC18" s="141"/>
      <c r="LD18" s="141"/>
      <c r="LE18" s="141"/>
      <c r="LF18" s="211" t="s">
        <v>78</v>
      </c>
      <c r="LG18" s="212">
        <f>IF(KQ18&lt;&gt;"",KQ18,"")</f>
        <v>0</v>
      </c>
      <c r="LH18" s="212">
        <f>IF(LG18&lt;&gt;"",LG18,"")</f>
        <v>0</v>
      </c>
      <c r="LI18" s="141"/>
      <c r="LJ18" s="141"/>
      <c r="LK18" s="211" t="s">
        <v>139</v>
      </c>
      <c r="LL18" s="212">
        <f>IF(KX16&lt;&gt;"",KX16,"")</f>
        <v>0</v>
      </c>
      <c r="LM18" s="211" t="s">
        <v>78</v>
      </c>
      <c r="LN18" s="212">
        <f>IF(KX12&lt;&gt;"",KX12,"")</f>
        <v>0</v>
      </c>
      <c r="LO18" s="212">
        <f>IF(LN18&lt;&gt;"",LN18,"")</f>
        <v>0</v>
      </c>
      <c r="LP18" s="169"/>
      <c r="LQ18" s="169"/>
      <c r="LR18" s="170"/>
      <c r="LS18" s="217">
        <v>200</v>
      </c>
      <c r="LT18" s="177">
        <f>IF(LM16&lt;&gt;"",LM16*100,"")</f>
        <v>17.114188399999993</v>
      </c>
      <c r="LU18" s="1289">
        <f>IF(((0.2)*LU16)+((0.005)*(LU16)*(LW16))+((0.01)*(LV16)*(LX16))&lt;0,0,((0.2)*LU16)+((0.005)*(LU16)*(LW16))+((0.01)*(LV16)*(LX16)))</f>
        <v>0</v>
      </c>
      <c r="LV18" s="1289"/>
      <c r="LW18" s="1290" t="str">
        <f>IF(LT18="","",IF(LZ18&lt;&gt;"",LZ18,IF(LZ18="",MA18)))</f>
        <v>A-1b</v>
      </c>
      <c r="LX18" s="1290"/>
      <c r="LY18" s="218"/>
      <c r="LZ18" s="219" t="str">
        <f>IF(MA15="NP","NP",IF(LZ17=TRUE,"A-5",IF(MA17=TRUE,"A-6",IF(MB17=TRUE,"A-7-5",IF(MC17=TRUE,"A-7-6","")))))</f>
        <v/>
      </c>
      <c r="MA18" s="219" t="str">
        <f>IF(LY15=TRUE,"A-1a",IF(LZ15=TRUE,"A-1b",IF(MA15=TRUE,"A-3",IF(MB15=TRUE,"A-2-4",IF(MC15=TRUE,"A-2-5",IF(MD15=TRUE,"A-2-6",IF(ME15=TRUE,"A-2-7",IF(LY17=TRUE,"A-4"," "))))))))</f>
        <v>A-1b</v>
      </c>
      <c r="MB18" s="218"/>
      <c r="MC18" s="218"/>
      <c r="MD18" s="218"/>
      <c r="ME18" s="220"/>
      <c r="MF18" s="286"/>
      <c r="MG18" s="169"/>
      <c r="MH18" s="169"/>
      <c r="MI18" s="169"/>
      <c r="MJ18" s="169"/>
      <c r="MK18" s="169"/>
      <c r="ML18" s="169"/>
      <c r="MM18" s="169"/>
      <c r="MN18" s="169"/>
      <c r="MO18" s="169"/>
      <c r="MP18" s="169"/>
      <c r="MQ18" s="169"/>
      <c r="MR18" s="169"/>
      <c r="MS18" s="169"/>
      <c r="MT18" s="169"/>
      <c r="MU18" s="169"/>
      <c r="MV18" s="169"/>
      <c r="MW18" s="169"/>
      <c r="MX18" s="169"/>
      <c r="MY18" s="169"/>
      <c r="MZ18" s="169"/>
      <c r="NA18" s="169"/>
      <c r="NB18" s="169"/>
      <c r="NC18" s="169"/>
      <c r="ND18" s="169"/>
      <c r="NE18" s="169"/>
      <c r="NF18" s="169"/>
      <c r="NG18" s="169"/>
      <c r="NH18" s="169"/>
      <c r="NI18" s="169"/>
      <c r="NJ18" s="169"/>
      <c r="NK18" s="169"/>
      <c r="NL18" s="169"/>
      <c r="NM18" s="169"/>
      <c r="NN18" s="169"/>
      <c r="NO18" s="169"/>
      <c r="NP18" s="169"/>
      <c r="NQ18" s="169"/>
      <c r="NR18" s="169"/>
      <c r="NS18" s="169"/>
      <c r="NT18" s="169"/>
      <c r="NU18" s="169"/>
      <c r="NV18" s="169"/>
      <c r="NW18" s="169"/>
      <c r="NX18" s="169"/>
      <c r="NY18" s="169"/>
      <c r="NZ18" s="169"/>
      <c r="OA18" s="169"/>
      <c r="OB18" s="169"/>
      <c r="OC18" s="169"/>
      <c r="OD18" s="170"/>
    </row>
    <row r="19" spans="1:1378" ht="15" hidden="1" customHeight="1" x14ac:dyDescent="0.35">
      <c r="A19" s="1336">
        <f>A12+1</f>
        <v>3</v>
      </c>
      <c r="B19" s="1339" t="s">
        <v>10</v>
      </c>
      <c r="C19" s="1340"/>
      <c r="D19" s="1340"/>
      <c r="E19" s="1341"/>
      <c r="F19" s="1342" t="s">
        <v>11</v>
      </c>
      <c r="G19" s="1343"/>
      <c r="H19" s="1343"/>
      <c r="I19" s="1344"/>
      <c r="J19" s="495">
        <v>1</v>
      </c>
      <c r="K19" s="495">
        <v>2</v>
      </c>
      <c r="L19" s="495">
        <v>3</v>
      </c>
      <c r="M19" s="495">
        <v>4</v>
      </c>
      <c r="N19" s="495">
        <v>5</v>
      </c>
      <c r="O19" s="495"/>
      <c r="P19" s="1345" t="s">
        <v>12</v>
      </c>
      <c r="Q19" s="1346"/>
      <c r="R19" s="1345" t="s">
        <v>13</v>
      </c>
      <c r="S19" s="1347"/>
      <c r="T19" s="496" t="s">
        <v>14</v>
      </c>
      <c r="U19" s="497" t="s">
        <v>15</v>
      </c>
      <c r="V19" s="1348" t="s">
        <v>16</v>
      </c>
      <c r="W19" s="1349"/>
      <c r="X19" s="1349"/>
      <c r="Y19" s="1350"/>
      <c r="Z19" s="1351" t="s">
        <v>17</v>
      </c>
      <c r="AA19" s="1352"/>
      <c r="AB19" s="1352"/>
      <c r="AC19" s="1353"/>
      <c r="AD19" s="498">
        <v>0.5</v>
      </c>
      <c r="AE19" s="498">
        <v>1</v>
      </c>
      <c r="AF19" s="498">
        <v>1.5</v>
      </c>
      <c r="AG19" s="498">
        <v>2</v>
      </c>
      <c r="AH19" s="498">
        <v>3</v>
      </c>
      <c r="AI19" s="498">
        <v>4</v>
      </c>
      <c r="AJ19" s="498">
        <v>5</v>
      </c>
      <c r="AK19" s="499">
        <v>6</v>
      </c>
      <c r="AL19" s="1354" t="s">
        <v>18</v>
      </c>
      <c r="AM19" s="500" t="s">
        <v>19</v>
      </c>
      <c r="AN19" s="501"/>
      <c r="AO19" s="501"/>
      <c r="AP19" s="501"/>
      <c r="AQ19" s="501"/>
      <c r="AR19" s="502"/>
      <c r="AS19" s="1357">
        <f>E21</f>
        <v>0</v>
      </c>
      <c r="AT19" s="1314" t="s">
        <v>20</v>
      </c>
      <c r="AU19" s="1315"/>
      <c r="AV19" s="1315"/>
      <c r="AW19" s="1315"/>
      <c r="AX19" s="1315"/>
      <c r="AY19" s="1316"/>
      <c r="AZ19" s="1317" t="s">
        <v>21</v>
      </c>
      <c r="BA19" s="1315"/>
      <c r="BB19" s="1315"/>
      <c r="BC19" s="1315"/>
      <c r="BD19" s="1315"/>
      <c r="BE19" s="1315"/>
      <c r="BF19" s="1316"/>
      <c r="BG19" s="503" t="s">
        <v>22</v>
      </c>
      <c r="BH19" s="503" t="s">
        <v>23</v>
      </c>
      <c r="BI19" s="1317" t="s">
        <v>24</v>
      </c>
      <c r="BJ19" s="1315"/>
      <c r="BK19" s="1316"/>
      <c r="BL19" s="1318">
        <f>AS19</f>
        <v>0</v>
      </c>
      <c r="BM19" s="1306" t="s">
        <v>25</v>
      </c>
      <c r="BN19" s="80" t="s">
        <v>26</v>
      </c>
      <c r="BO19" s="80" t="str">
        <f t="shared" ref="BO19:BV19" si="160">IF(ISNUMBER(J20),J21-J22,"")</f>
        <v/>
      </c>
      <c r="BP19" s="80" t="str">
        <f t="shared" si="160"/>
        <v/>
      </c>
      <c r="BQ19" s="80" t="str">
        <f t="shared" si="160"/>
        <v/>
      </c>
      <c r="BR19" s="80" t="str">
        <f t="shared" si="160"/>
        <v/>
      </c>
      <c r="BS19" s="80" t="str">
        <f t="shared" si="160"/>
        <v/>
      </c>
      <c r="BT19" s="80" t="str">
        <f t="shared" si="160"/>
        <v/>
      </c>
      <c r="BU19" s="80">
        <f t="shared" si="160"/>
        <v>3.2999999999999829</v>
      </c>
      <c r="BV19" s="80">
        <f t="shared" si="160"/>
        <v>3.4000000000000057</v>
      </c>
      <c r="BW19" s="1309">
        <f>IF(ISNUMBER(BU19),AVERAGE(BU22:BV22),"")</f>
        <v>1.9203327026174673E-2</v>
      </c>
      <c r="BX19" s="1311" t="s">
        <v>27</v>
      </c>
      <c r="BY19" s="1311"/>
      <c r="BZ19" s="1311"/>
      <c r="CA19" s="1311"/>
      <c r="CB19" s="1311"/>
      <c r="CC19" s="1311"/>
      <c r="CD19" s="81"/>
      <c r="CE19" s="82">
        <f t="shared" ref="CE19:CJ19" si="161">IF(J19&lt;&gt;"",BY24,"")</f>
        <v>3.0123362672883722E-2</v>
      </c>
      <c r="CF19" s="82">
        <f t="shared" si="161"/>
        <v>4.0315395943145468E-2</v>
      </c>
      <c r="CG19" s="82">
        <f t="shared" si="161"/>
        <v>5.0507429213407215E-2</v>
      </c>
      <c r="CH19" s="82">
        <f t="shared" si="161"/>
        <v>6.0699462483668962E-2</v>
      </c>
      <c r="CI19" s="82">
        <f t="shared" si="161"/>
        <v>7.0891495753930722E-2</v>
      </c>
      <c r="CJ19" s="83" t="str">
        <f t="shared" si="161"/>
        <v/>
      </c>
      <c r="CK19" s="84">
        <f>AVERAGE(CE19:CJ19)</f>
        <v>5.0507429213407215E-2</v>
      </c>
      <c r="CL19" s="85">
        <f t="shared" ref="CL19:CQ19" si="162">IF(ISNUMBER(CE22),CE22^2,"")</f>
        <v>4.1551016872848942E-4</v>
      </c>
      <c r="CM19" s="85">
        <f t="shared" si="162"/>
        <v>1.0387754218212235E-4</v>
      </c>
      <c r="CN19" s="85">
        <f t="shared" si="162"/>
        <v>0</v>
      </c>
      <c r="CO19" s="85">
        <f t="shared" si="162"/>
        <v>1.0387754218212235E-4</v>
      </c>
      <c r="CP19" s="85">
        <f t="shared" si="162"/>
        <v>4.1551016872848996E-4</v>
      </c>
      <c r="CQ19" s="85" t="str">
        <f t="shared" si="162"/>
        <v/>
      </c>
      <c r="CR19" s="86">
        <f>SUM(CL19:CQ19)</f>
        <v>1.0387754218212242E-3</v>
      </c>
      <c r="CS19" s="332" t="s">
        <v>28</v>
      </c>
      <c r="CT19" s="333">
        <f>-CO25/(2*CM25)</f>
        <v>5.1644623927943063E-2</v>
      </c>
      <c r="CU19" s="103" t="str">
        <f>IF(ISNUMBER(R20),R21-R22,"")</f>
        <v/>
      </c>
      <c r="CV19" s="103" t="str">
        <f>IF(ISNUMBER(S20),S21-S22,"")</f>
        <v/>
      </c>
      <c r="CW19" s="1312" t="str">
        <f>IF(ISNUMBER(CU19),AVERAGE(CU22:CV22),"")</f>
        <v/>
      </c>
      <c r="CX19" s="334">
        <v>0.63</v>
      </c>
      <c r="CY19" s="335">
        <v>1.27</v>
      </c>
      <c r="CZ19" s="335">
        <v>1.9</v>
      </c>
      <c r="DA19" s="335">
        <v>2.54</v>
      </c>
      <c r="DB19" s="335">
        <v>3.81</v>
      </c>
      <c r="DC19" s="335">
        <v>5.08</v>
      </c>
      <c r="DD19" s="335">
        <v>6.35</v>
      </c>
      <c r="DE19" s="335">
        <v>7.62</v>
      </c>
      <c r="DF19" s="278" t="str">
        <f>IF(CX20&lt;&gt;"",AVERAGE(CX19:DE19),"")</f>
        <v/>
      </c>
      <c r="DG19" s="121" t="str">
        <f t="shared" ref="DG19:DN19" si="163">IF(ISNUMBER(CX24),CX24^2,"")</f>
        <v/>
      </c>
      <c r="DH19" s="121" t="str">
        <f t="shared" si="163"/>
        <v/>
      </c>
      <c r="DI19" s="121" t="str">
        <f t="shared" si="163"/>
        <v/>
      </c>
      <c r="DJ19" s="121" t="str">
        <f t="shared" si="163"/>
        <v/>
      </c>
      <c r="DK19" s="121" t="str">
        <f t="shared" si="163"/>
        <v/>
      </c>
      <c r="DL19" s="121" t="str">
        <f t="shared" si="163"/>
        <v/>
      </c>
      <c r="DM19" s="121" t="str">
        <f t="shared" si="163"/>
        <v/>
      </c>
      <c r="DN19" s="121" t="str">
        <f t="shared" si="163"/>
        <v/>
      </c>
      <c r="DO19" s="121" t="str">
        <f>IF(DG19&lt;&gt;"",SUM(DG19:DN19),"")</f>
        <v/>
      </c>
      <c r="DP19" s="121">
        <v>0</v>
      </c>
      <c r="DQ19" s="121" t="str">
        <f>IF(DP20="","",IF(DP20&gt;0,DT22,-1))</f>
        <v/>
      </c>
      <c r="DR19" s="121" t="str">
        <f>IF(DP20="","",IF(DP20&gt;0,DV22,-1))</f>
        <v/>
      </c>
      <c r="DS19" s="121" t="str">
        <f>IF(DP20="","",IF(DP20&gt;0,(DJ23*DS20)+DJ24,-1))</f>
        <v/>
      </c>
      <c r="DT19" s="121" t="str">
        <f>IF(DP20="","",IF(DP20&gt;0,(DJ23*DT20)+DJ24,-1))</f>
        <v/>
      </c>
      <c r="DU19" s="121" t="str">
        <f>IF(DP20="","",IF(DP20&gt;0,DT22,-1))</f>
        <v/>
      </c>
      <c r="DV19" s="121" t="str">
        <f>IF(DP20="","",IF(DP20&gt;0,DT22,-1))</f>
        <v/>
      </c>
      <c r="DW19" s="121" t="str">
        <f>IF(DP20="","",IF(DP20&gt;0,DT22,-1))</f>
        <v/>
      </c>
      <c r="DX19" s="126" t="str">
        <f>IF(DP20="","",IF(DP20&gt;0,DS19,-1))</f>
        <v/>
      </c>
      <c r="DY19" s="334">
        <v>0.63</v>
      </c>
      <c r="DZ19" s="335">
        <v>1.27</v>
      </c>
      <c r="EA19" s="335">
        <v>1.9</v>
      </c>
      <c r="EB19" s="335">
        <v>2.54</v>
      </c>
      <c r="EC19" s="335">
        <v>3.81</v>
      </c>
      <c r="ED19" s="335">
        <v>5.08</v>
      </c>
      <c r="EE19" s="335">
        <v>6.35</v>
      </c>
      <c r="EF19" s="335">
        <v>7.62</v>
      </c>
      <c r="EG19" s="125" t="str">
        <f>IF(DY20&lt;&gt;"",AVERAGE(DY19:EF19),"")</f>
        <v/>
      </c>
      <c r="EH19" s="121" t="str">
        <f t="shared" ref="EH19:EO19" si="164">IF(ISNUMBER(DY24),DY24^2,"")</f>
        <v/>
      </c>
      <c r="EI19" s="121" t="str">
        <f t="shared" si="164"/>
        <v/>
      </c>
      <c r="EJ19" s="121" t="str">
        <f t="shared" si="164"/>
        <v/>
      </c>
      <c r="EK19" s="121" t="str">
        <f t="shared" si="164"/>
        <v/>
      </c>
      <c r="EL19" s="121" t="str">
        <f t="shared" si="164"/>
        <v/>
      </c>
      <c r="EM19" s="121" t="str">
        <f t="shared" si="164"/>
        <v/>
      </c>
      <c r="EN19" s="121" t="str">
        <f t="shared" si="164"/>
        <v/>
      </c>
      <c r="EO19" s="121" t="str">
        <f t="shared" si="164"/>
        <v/>
      </c>
      <c r="EP19" s="121" t="str">
        <f>IF(EH19&lt;&gt;"",SUM(EH19:EO19),"")</f>
        <v/>
      </c>
      <c r="EQ19" s="121">
        <v>0</v>
      </c>
      <c r="ER19" s="121" t="str">
        <f>IF(EQ20="","",IF(EQ20&gt;0,EU22,-1))</f>
        <v/>
      </c>
      <c r="ES19" s="121" t="str">
        <f>IF(EQ20="","",IF(EQ20&gt;0,EW22,-1))</f>
        <v/>
      </c>
      <c r="ET19" s="121" t="str">
        <f>IF(EQ20="","",IF(EQ20&gt;0,(EK23*ET20)+EK24,-1))</f>
        <v/>
      </c>
      <c r="EU19" s="121" t="str">
        <f>IF(EQ20="","",IF(EQ20&gt;0,(EK23*EU20)+EK24,-1))</f>
        <v/>
      </c>
      <c r="EV19" s="121" t="str">
        <f>IF(EQ20="","",IF(EQ20&gt;0,EU22,-1))</f>
        <v/>
      </c>
      <c r="EW19" s="121" t="str">
        <f>IF(EQ20="","",IF(EQ20&gt;0,EU22,-1))</f>
        <v/>
      </c>
      <c r="EX19" s="121" t="str">
        <f>IF(EQ20="","",IF(EQ20&gt;0,EU22,-1))</f>
        <v/>
      </c>
      <c r="EY19" s="126" t="str">
        <f>IF(EQ20="","",IF(EQ20&gt;0,ET19,-1))</f>
        <v/>
      </c>
      <c r="EZ19" s="334">
        <v>0.63</v>
      </c>
      <c r="FA19" s="335">
        <v>1.27</v>
      </c>
      <c r="FB19" s="335">
        <v>1.9</v>
      </c>
      <c r="FC19" s="335">
        <v>2.54</v>
      </c>
      <c r="FD19" s="335">
        <v>3.81</v>
      </c>
      <c r="FE19" s="335">
        <v>5.08</v>
      </c>
      <c r="FF19" s="335">
        <v>6.35</v>
      </c>
      <c r="FG19" s="335">
        <v>7.62</v>
      </c>
      <c r="FH19" s="125" t="str">
        <f>IF(EZ20&lt;&gt;"",AVERAGE(EZ19:FG19),"")</f>
        <v/>
      </c>
      <c r="FI19" s="121" t="str">
        <f t="shared" ref="FI19:FP19" si="165">IF(ISNUMBER(EZ24),EZ24^2,"")</f>
        <v/>
      </c>
      <c r="FJ19" s="121" t="str">
        <f t="shared" si="165"/>
        <v/>
      </c>
      <c r="FK19" s="121" t="str">
        <f t="shared" si="165"/>
        <v/>
      </c>
      <c r="FL19" s="121" t="str">
        <f t="shared" si="165"/>
        <v/>
      </c>
      <c r="FM19" s="121" t="str">
        <f t="shared" si="165"/>
        <v/>
      </c>
      <c r="FN19" s="121" t="str">
        <f t="shared" si="165"/>
        <v/>
      </c>
      <c r="FO19" s="121" t="str">
        <f t="shared" si="165"/>
        <v/>
      </c>
      <c r="FP19" s="121" t="str">
        <f t="shared" si="165"/>
        <v/>
      </c>
      <c r="FQ19" s="121" t="str">
        <f>IF(FI19&lt;&gt;"",SUM(FI19:FP19),"")</f>
        <v/>
      </c>
      <c r="FR19" s="121">
        <v>0</v>
      </c>
      <c r="FS19" s="121" t="str">
        <f>IF(FR20="","",IF(FR20&gt;0,FV22,-1))</f>
        <v/>
      </c>
      <c r="FT19" s="121" t="str">
        <f>IF(FR20="","",IF(FR20&gt;0,FX22,-1))</f>
        <v/>
      </c>
      <c r="FU19" s="121" t="str">
        <f>IF(FR20="","",IF(FR20&gt;0,(FL23*FU20)+FL24,-1))</f>
        <v/>
      </c>
      <c r="FV19" s="121" t="str">
        <f>IF(FR20="","",IF(FR20&gt;0,(FL23*FV20)+FL24,-1))</f>
        <v/>
      </c>
      <c r="FW19" s="121" t="str">
        <f>IF(FR20="","",IF(FR20&gt;0,FV22,-1))</f>
        <v/>
      </c>
      <c r="FX19" s="121" t="str">
        <f>IF(FR20="","",IF(FR20&gt;0,FV22,-1))</f>
        <v/>
      </c>
      <c r="FY19" s="121" t="str">
        <f>IF(FR20="","",IF(FR20&gt;0,FV22,-1))</f>
        <v/>
      </c>
      <c r="FZ19" s="126" t="str">
        <f>IF(FR20="","",IF(FR20&gt;0,FU19,-1))</f>
        <v/>
      </c>
      <c r="GA19" s="334">
        <v>0.63</v>
      </c>
      <c r="GB19" s="335">
        <v>1.27</v>
      </c>
      <c r="GC19" s="335">
        <v>1.9</v>
      </c>
      <c r="GD19" s="335">
        <v>2.54</v>
      </c>
      <c r="GE19" s="335">
        <v>3.81</v>
      </c>
      <c r="GF19" s="335">
        <v>5.08</v>
      </c>
      <c r="GG19" s="335">
        <v>6.35</v>
      </c>
      <c r="GH19" s="335">
        <v>7.62</v>
      </c>
      <c r="GI19" s="125" t="str">
        <f>IF(GA20&lt;&gt;"",AVERAGE(GA19:GH19),"")</f>
        <v/>
      </c>
      <c r="GJ19" s="121" t="str">
        <f t="shared" ref="GJ19:GQ19" si="166">IF(ISNUMBER(GA24),GA24^2,"")</f>
        <v/>
      </c>
      <c r="GK19" s="121" t="str">
        <f t="shared" si="166"/>
        <v/>
      </c>
      <c r="GL19" s="121" t="str">
        <f t="shared" si="166"/>
        <v/>
      </c>
      <c r="GM19" s="121" t="str">
        <f t="shared" si="166"/>
        <v/>
      </c>
      <c r="GN19" s="121" t="str">
        <f t="shared" si="166"/>
        <v/>
      </c>
      <c r="GO19" s="121" t="str">
        <f t="shared" si="166"/>
        <v/>
      </c>
      <c r="GP19" s="121" t="str">
        <f t="shared" si="166"/>
        <v/>
      </c>
      <c r="GQ19" s="121" t="str">
        <f t="shared" si="166"/>
        <v/>
      </c>
      <c r="GR19" s="121" t="str">
        <f>IF(GJ19&lt;&gt;"",SUM(GJ19:GQ19),"")</f>
        <v/>
      </c>
      <c r="GS19" s="121">
        <v>0</v>
      </c>
      <c r="GT19" s="121" t="str">
        <f>IF(GS20="","",IF(GS20&gt;0,GW22,-1))</f>
        <v/>
      </c>
      <c r="GU19" s="121" t="str">
        <f>IF(GS20="","",IF(GS20&gt;0,GY22,-1))</f>
        <v/>
      </c>
      <c r="GV19" s="121" t="str">
        <f>IF(GS20="","",IF(GS20&gt;0,(GM23*GV20)+GM24,-1))</f>
        <v/>
      </c>
      <c r="GW19" s="121" t="str">
        <f>IF(GS20="","",IF(GS20&gt;0,(GM23*GW20)+GM24,-1))</f>
        <v/>
      </c>
      <c r="GX19" s="121" t="str">
        <f>IF(GS20="","",IF(GS20&gt;0,GW22,-1))</f>
        <v/>
      </c>
      <c r="GY19" s="121" t="str">
        <f>IF(GS20="","",IF(GS20&gt;0,GW22,-1))</f>
        <v/>
      </c>
      <c r="GZ19" s="121" t="str">
        <f>IF(GS20="","",IF(GS20&gt;0,GW22,-1))</f>
        <v/>
      </c>
      <c r="HA19" s="126" t="str">
        <f>IF(GS20="","",IF(GS20&gt;0,GV19,-1))</f>
        <v/>
      </c>
      <c r="HB19" s="334">
        <v>0.63</v>
      </c>
      <c r="HC19" s="335">
        <v>1.27</v>
      </c>
      <c r="HD19" s="335">
        <v>1.9</v>
      </c>
      <c r="HE19" s="335">
        <v>2.54</v>
      </c>
      <c r="HF19" s="335">
        <v>3.81</v>
      </c>
      <c r="HG19" s="335">
        <v>5.08</v>
      </c>
      <c r="HH19" s="335">
        <v>6.35</v>
      </c>
      <c r="HI19" s="335">
        <v>7.62</v>
      </c>
      <c r="HJ19" s="125" t="str">
        <f>IF(HB20&lt;&gt;"",AVERAGE(HB19:HI19),"")</f>
        <v/>
      </c>
      <c r="HK19" s="121" t="str">
        <f t="shared" ref="HK19:HR19" si="167">IF(ISNUMBER(HB24),HB24^2,"")</f>
        <v/>
      </c>
      <c r="HL19" s="121" t="str">
        <f t="shared" si="167"/>
        <v/>
      </c>
      <c r="HM19" s="121" t="str">
        <f t="shared" si="167"/>
        <v/>
      </c>
      <c r="HN19" s="121" t="str">
        <f t="shared" si="167"/>
        <v/>
      </c>
      <c r="HO19" s="121" t="str">
        <f t="shared" si="167"/>
        <v/>
      </c>
      <c r="HP19" s="121" t="str">
        <f t="shared" si="167"/>
        <v/>
      </c>
      <c r="HQ19" s="121" t="str">
        <f t="shared" si="167"/>
        <v/>
      </c>
      <c r="HR19" s="121" t="str">
        <f t="shared" si="167"/>
        <v/>
      </c>
      <c r="HS19" s="121" t="str">
        <f>IF(HK19&lt;&gt;"",SUM(HK19:HR19),"")</f>
        <v/>
      </c>
      <c r="HT19" s="121">
        <v>0</v>
      </c>
      <c r="HU19" s="121" t="str">
        <f>IF(HT20="","",IF(HT20&gt;0,HX22,-1))</f>
        <v/>
      </c>
      <c r="HV19" s="121" t="str">
        <f>IF(HT20="","",IF(HT20&gt;0,HZ22,-1))</f>
        <v/>
      </c>
      <c r="HW19" s="121" t="str">
        <f>IF(HT20="","",IF(HT20&gt;0,(HN23*HW20)+HN24,-1))</f>
        <v/>
      </c>
      <c r="HX19" s="121" t="str">
        <f>IF(HT20="","",IF(HT20&gt;0,(HN23*HX20)+HN24,-1))</f>
        <v/>
      </c>
      <c r="HY19" s="121" t="str">
        <f>IF(HT20="","",IF(HT20&gt;0,HX22,-1))</f>
        <v/>
      </c>
      <c r="HZ19" s="121" t="str">
        <f>IF(HT20="","",IF(HT20&gt;0,HX22,-1))</f>
        <v/>
      </c>
      <c r="IA19" s="121" t="str">
        <f>IF(HT20="","",IF(HT20&gt;0,HX22,-1))</f>
        <v/>
      </c>
      <c r="IB19" s="126" t="str">
        <f>IF(HT20="","",IF(HT20&gt;0,HW19,-1))</f>
        <v/>
      </c>
      <c r="IC19" s="334">
        <v>0.63</v>
      </c>
      <c r="ID19" s="335">
        <v>1.27</v>
      </c>
      <c r="IE19" s="335">
        <v>1.9</v>
      </c>
      <c r="IF19" s="335">
        <v>2.54</v>
      </c>
      <c r="IG19" s="335">
        <v>3.81</v>
      </c>
      <c r="IH19" s="335">
        <v>5.08</v>
      </c>
      <c r="II19" s="335">
        <v>6.35</v>
      </c>
      <c r="IJ19" s="335">
        <v>7.62</v>
      </c>
      <c r="IK19" s="125" t="str">
        <f>IF(IC20&lt;&gt;"",AVERAGE(IC19:IJ19),"")</f>
        <v/>
      </c>
      <c r="IL19" s="121" t="str">
        <f t="shared" ref="IL19:IS19" si="168">IF(ISNUMBER(IC24),IC24^2,"")</f>
        <v/>
      </c>
      <c r="IM19" s="121" t="str">
        <f t="shared" si="168"/>
        <v/>
      </c>
      <c r="IN19" s="121" t="str">
        <f t="shared" si="168"/>
        <v/>
      </c>
      <c r="IO19" s="121" t="str">
        <f t="shared" si="168"/>
        <v/>
      </c>
      <c r="IP19" s="121" t="str">
        <f t="shared" si="168"/>
        <v/>
      </c>
      <c r="IQ19" s="121" t="str">
        <f t="shared" si="168"/>
        <v/>
      </c>
      <c r="IR19" s="121" t="str">
        <f t="shared" si="168"/>
        <v/>
      </c>
      <c r="IS19" s="121" t="str">
        <f t="shared" si="168"/>
        <v/>
      </c>
      <c r="IT19" s="121" t="str">
        <f>IF(IL19&lt;&gt;"",SUM(IL19:IS19),"")</f>
        <v/>
      </c>
      <c r="IU19" s="121">
        <v>0</v>
      </c>
      <c r="IV19" s="121" t="str">
        <f>IF(IU20="","",IF(IU20&gt;0,IY22,-1))</f>
        <v/>
      </c>
      <c r="IW19" s="121" t="str">
        <f>IF(IU20="","",IF(IU20&gt;0,JA22,-1))</f>
        <v/>
      </c>
      <c r="IX19" s="121" t="str">
        <f>IF(IU20="","",IF(IU20&gt;0,(IO23*IX20)+IO24,-1))</f>
        <v/>
      </c>
      <c r="IY19" s="121" t="str">
        <f>IF(IU20="","",IF(IU20&gt;0,(IO23*IY20)+IO24,-1))</f>
        <v/>
      </c>
      <c r="IZ19" s="121" t="str">
        <f>IF(IU20="","",IF(IU20&gt;0,IY22,-1))</f>
        <v/>
      </c>
      <c r="JA19" s="121" t="str">
        <f>IF(IU20="","",IF(IU20&gt;0,IY22,-1))</f>
        <v/>
      </c>
      <c r="JB19" s="121" t="str">
        <f>IF(IU20="","",IF(IU20&gt;0,IY22,-1))</f>
        <v/>
      </c>
      <c r="JC19" s="126" t="str">
        <f>IF(IU20="","",IF(IU20&gt;0,IX19,-1))</f>
        <v/>
      </c>
      <c r="JD19" s="149" t="str">
        <f t="shared" ref="JD19:JD24" si="169">IF(T20&lt;&gt;"",T20,"")</f>
        <v/>
      </c>
      <c r="JE19" s="82" t="str">
        <f>IF(JD19&lt;&gt;"",CE19,"")</f>
        <v/>
      </c>
      <c r="JF19" s="82">
        <f>IF(JD20&lt;&gt;"",CF19,"")</f>
        <v>4.0315395943145468E-2</v>
      </c>
      <c r="JG19" s="82">
        <f>IF(JD21&lt;&gt;"",CG19,"")</f>
        <v>5.0507429213407215E-2</v>
      </c>
      <c r="JH19" s="82">
        <f>IF(JD22&lt;&gt;"",CH19,"")</f>
        <v>6.0699462483668962E-2</v>
      </c>
      <c r="JI19" s="82" t="str">
        <f>IF(JD23&lt;&gt;"",CI19,"")</f>
        <v/>
      </c>
      <c r="JJ19" s="82" t="str">
        <f>IF(JD24&lt;&gt;"",CJ19,"")</f>
        <v/>
      </c>
      <c r="JK19" s="84">
        <f>AVERAGE(JE19:JJ19)</f>
        <v>5.0507429213407208E-2</v>
      </c>
      <c r="JL19" s="85" t="str">
        <f t="shared" ref="JL19:JQ19" si="170">IF(ISNUMBER(JE22),JE22^2,"")</f>
        <v/>
      </c>
      <c r="JM19" s="85">
        <f t="shared" si="170"/>
        <v>1.0387754218212222E-4</v>
      </c>
      <c r="JN19" s="85">
        <f t="shared" si="170"/>
        <v>4.8148248609680896E-35</v>
      </c>
      <c r="JO19" s="85">
        <f t="shared" si="170"/>
        <v>1.0387754218212249E-4</v>
      </c>
      <c r="JP19" s="85" t="str">
        <f t="shared" si="170"/>
        <v/>
      </c>
      <c r="JQ19" s="85" t="str">
        <f t="shared" si="170"/>
        <v/>
      </c>
      <c r="JR19" s="86">
        <f>SUM(JL19:JQ19)</f>
        <v>2.0775508436424471E-4</v>
      </c>
      <c r="JS19" s="336" t="s">
        <v>28</v>
      </c>
      <c r="JT19" s="337" t="e">
        <f>-JO25/(2*JM25)</f>
        <v>#DIV/0!</v>
      </c>
      <c r="JU19" s="153" t="str">
        <f>IF(T20&lt;&gt;0,LOOKUP(T20,Tara!$G$6:$G$185,Tara!$J$6:$J$185)/10,"")</f>
        <v/>
      </c>
      <c r="JV19" s="125" t="str">
        <f t="shared" ref="JV19:JV24" si="171">IF(ISNUMBER(U20),MAX(Z20:AC20)-MIN(Z20:AC20),"")</f>
        <v/>
      </c>
      <c r="JW19" s="154" t="str">
        <f t="shared" ref="JW19:JW24" si="172">IF(JV19&lt;&gt;"",JV19/JU19/10,"")</f>
        <v/>
      </c>
      <c r="JX19" s="82" t="str">
        <f>IF(JD19&lt;&gt;"",CE19,"")</f>
        <v/>
      </c>
      <c r="JY19" s="82">
        <f>IF(JD20&lt;&gt;"",CF19,"")</f>
        <v>4.0315395943145468E-2</v>
      </c>
      <c r="JZ19" s="82">
        <f>IF(JD21&lt;&gt;"",CG19,"")</f>
        <v>5.0507429213407215E-2</v>
      </c>
      <c r="KA19" s="82">
        <f>IF(JD22&lt;&gt;"",CH19,"")</f>
        <v>6.0699462483668962E-2</v>
      </c>
      <c r="KB19" s="82" t="str">
        <f>IF(JD23&lt;&gt;"",CI19,"")</f>
        <v/>
      </c>
      <c r="KC19" s="82" t="str">
        <f>IF(JD24&lt;&gt;"",CJ19,"")</f>
        <v/>
      </c>
      <c r="KD19" s="84">
        <f>AVERAGE(JX19:KC19)</f>
        <v>5.0507429213407208E-2</v>
      </c>
      <c r="KE19" s="85" t="str">
        <f t="shared" ref="KE19:KJ19" si="173">IF(ISNUMBER(JX22),JX22^2,"")</f>
        <v/>
      </c>
      <c r="KF19" s="85">
        <f t="shared" si="173"/>
        <v>1.0387754218212222E-4</v>
      </c>
      <c r="KG19" s="85">
        <f t="shared" si="173"/>
        <v>4.8148248609680896E-35</v>
      </c>
      <c r="KH19" s="85">
        <f t="shared" si="173"/>
        <v>1.0387754218212249E-4</v>
      </c>
      <c r="KI19" s="85" t="str">
        <f t="shared" si="173"/>
        <v/>
      </c>
      <c r="KJ19" s="85" t="str">
        <f t="shared" si="173"/>
        <v/>
      </c>
      <c r="KK19" s="86">
        <f>SUM(KE19:KJ19)</f>
        <v>2.0775508436424471E-4</v>
      </c>
      <c r="KL19" s="336" t="s">
        <v>28</v>
      </c>
      <c r="KM19" s="337" t="e">
        <f>-KH25/(2*KF25)</f>
        <v>#DIV/0!</v>
      </c>
      <c r="KN19" s="165" t="str">
        <f>IF(ISNUMBER(AN19),AN20-AN21,"")</f>
        <v/>
      </c>
      <c r="KO19" s="160" t="str">
        <f>IF(ISNUMBER(AO19),AO20-AO21,"")</f>
        <v/>
      </c>
      <c r="KP19" s="160" t="str">
        <f>IF(ISNUMBER(AP19),AP20-AP21,"")</f>
        <v/>
      </c>
      <c r="KQ19" s="160" t="str">
        <f>IF(ISNUMBER(AQ19),AQ20-AQ21,"")</f>
        <v/>
      </c>
      <c r="KR19" s="166" t="str">
        <f>IF(ISNUMBER(AR19),AR20-AR21,"")</f>
        <v/>
      </c>
      <c r="KS19" s="182" t="str">
        <f>IF(ISNUMBER(AN23),AN24-AN25,"")</f>
        <v/>
      </c>
      <c r="KT19" s="183" t="str">
        <f>IF(ISNUMBER(AO23),AO24-AO25,"")</f>
        <v/>
      </c>
      <c r="KU19" s="183" t="str">
        <f>IF(ISNUMBER(AP23),AP24-AP25,"")</f>
        <v/>
      </c>
      <c r="KV19" s="183" t="str">
        <f>IF(ISNUMBER(AQ23),AQ24-AQ25,"")</f>
        <v/>
      </c>
      <c r="KW19" s="183" t="str">
        <f>IF(ISNUMBER(AR23),AR24-AR25,"")</f>
        <v/>
      </c>
      <c r="KX19" s="1274">
        <f>IF(KU24="NP",0,KU24)*100</f>
        <v>0</v>
      </c>
      <c r="KY19" s="193">
        <v>1</v>
      </c>
      <c r="KZ19" s="194">
        <v>2</v>
      </c>
      <c r="LA19" s="182">
        <f>IF(ISNUMBER(AT23),AU23-AV23,"")</f>
        <v>0</v>
      </c>
      <c r="LB19" s="183">
        <f>IF(ISNUMBER(AW23),AX23-AY23,"")</f>
        <v>0</v>
      </c>
      <c r="LC19" s="197"/>
      <c r="LD19" s="198"/>
      <c r="LE19" s="204" t="s">
        <v>29</v>
      </c>
      <c r="LF19" s="204" t="s">
        <v>30</v>
      </c>
      <c r="LG19" s="204" t="s">
        <v>31</v>
      </c>
      <c r="LH19" s="204" t="s">
        <v>32</v>
      </c>
      <c r="LI19" s="204" t="s">
        <v>33</v>
      </c>
      <c r="LJ19" s="204">
        <v>4</v>
      </c>
      <c r="LK19" s="204">
        <v>10</v>
      </c>
      <c r="LL19" s="204">
        <v>40</v>
      </c>
      <c r="LM19" s="205">
        <v>200</v>
      </c>
      <c r="LN19" s="208"/>
      <c r="LO19" s="209"/>
      <c r="LP19" s="209"/>
      <c r="LQ19" s="209"/>
      <c r="LR19" s="210"/>
      <c r="LS19" s="213"/>
      <c r="LT19" s="121"/>
      <c r="LU19" s="121"/>
      <c r="LV19" s="121"/>
      <c r="LW19" s="121"/>
      <c r="LX19" s="121"/>
      <c r="LY19" s="121"/>
      <c r="LZ19" s="121"/>
      <c r="MA19" s="121"/>
      <c r="MB19" s="121"/>
      <c r="MC19" s="121"/>
      <c r="MD19" s="121"/>
      <c r="ME19" s="126"/>
      <c r="MF19" s="208"/>
      <c r="MG19" s="209"/>
      <c r="MH19" s="209"/>
      <c r="MI19" s="209"/>
      <c r="MJ19" s="209"/>
      <c r="MK19" s="209"/>
      <c r="ML19" s="209"/>
      <c r="MM19" s="209"/>
      <c r="MN19" s="209"/>
      <c r="MO19" s="209"/>
      <c r="MP19" s="209"/>
      <c r="MQ19" s="209"/>
      <c r="MR19" s="209"/>
      <c r="MS19" s="209"/>
      <c r="MT19" s="209"/>
      <c r="MU19" s="209"/>
      <c r="MV19" s="209"/>
      <c r="MW19" s="209"/>
      <c r="MX19" s="209"/>
      <c r="MY19" s="209"/>
      <c r="MZ19" s="209"/>
      <c r="NA19" s="209"/>
      <c r="NB19" s="209"/>
      <c r="NC19" s="209"/>
      <c r="ND19" s="209"/>
      <c r="NE19" s="209"/>
      <c r="NF19" s="209"/>
      <c r="NG19" s="209"/>
      <c r="NH19" s="209"/>
      <c r="NI19" s="209"/>
      <c r="NJ19" s="209"/>
      <c r="NK19" s="209"/>
      <c r="NL19" s="209"/>
      <c r="NM19" s="209"/>
      <c r="NN19" s="209"/>
      <c r="NO19" s="209"/>
      <c r="NP19" s="209"/>
      <c r="NQ19" s="209"/>
      <c r="NR19" s="209"/>
      <c r="NS19" s="209"/>
      <c r="NT19" s="209"/>
      <c r="NU19" s="209"/>
      <c r="NV19" s="209"/>
      <c r="NW19" s="209"/>
      <c r="NX19" s="209"/>
      <c r="NY19" s="209"/>
      <c r="NZ19" s="209"/>
      <c r="OA19" s="209"/>
      <c r="OB19" s="209"/>
      <c r="OC19" s="209"/>
      <c r="OD19" s="210"/>
      <c r="OE19" s="132"/>
      <c r="OF19" s="132"/>
      <c r="OG19" s="132"/>
      <c r="OH19" s="132"/>
      <c r="OI19" s="56"/>
      <c r="OJ19" s="56"/>
      <c r="OK19" s="56"/>
      <c r="OL19" s="56"/>
      <c r="OM19" s="56"/>
      <c r="ON19" s="56"/>
      <c r="OO19" s="56"/>
      <c r="OP19" s="56"/>
      <c r="OQ19" s="56"/>
      <c r="OR19" s="56"/>
      <c r="OS19" s="56"/>
      <c r="OT19" s="56"/>
      <c r="OU19" s="56"/>
      <c r="OV19" s="56"/>
      <c r="OW19" s="56"/>
      <c r="OX19" s="56"/>
      <c r="OY19" s="56"/>
      <c r="OZ19" s="56"/>
      <c r="PA19" s="56"/>
      <c r="PB19" s="56"/>
      <c r="PC19" s="56"/>
      <c r="PD19" s="56"/>
      <c r="PE19" s="56"/>
      <c r="PF19" s="56"/>
      <c r="PG19" s="56"/>
      <c r="PH19" s="56"/>
      <c r="PI19" s="56"/>
      <c r="PJ19" s="56"/>
      <c r="PK19" s="56"/>
      <c r="PL19" s="56"/>
      <c r="PM19" s="56"/>
      <c r="PN19" s="56"/>
      <c r="PO19" s="56"/>
      <c r="PP19" s="56"/>
      <c r="PQ19" s="56"/>
      <c r="PR19" s="56"/>
      <c r="PS19" s="56"/>
      <c r="PT19" s="56"/>
      <c r="PU19" s="56"/>
      <c r="PV19" s="56"/>
      <c r="PW19" s="56"/>
      <c r="PX19" s="56"/>
      <c r="PY19" s="56"/>
      <c r="PZ19" s="56"/>
      <c r="QA19" s="56"/>
      <c r="QB19" s="56"/>
      <c r="QC19" s="56"/>
      <c r="QD19" s="56"/>
      <c r="QE19" s="56"/>
      <c r="QF19" s="56"/>
      <c r="QG19" s="56"/>
      <c r="QH19" s="56"/>
      <c r="QI19" s="56"/>
      <c r="QJ19" s="56"/>
      <c r="QK19" s="56"/>
      <c r="QL19" s="56"/>
      <c r="QM19" s="56"/>
      <c r="QN19" s="56"/>
      <c r="QO19" s="56"/>
      <c r="QP19" s="56"/>
      <c r="QQ19" s="56"/>
      <c r="QR19" s="56"/>
      <c r="QS19" s="56"/>
      <c r="QT19" s="56"/>
      <c r="QU19" s="56"/>
      <c r="QV19" s="56"/>
      <c r="QW19" s="56"/>
      <c r="QX19" s="56"/>
      <c r="QY19" s="56"/>
      <c r="QZ19" s="56"/>
      <c r="RA19" s="56"/>
      <c r="RB19" s="56"/>
      <c r="RC19" s="56"/>
      <c r="RD19" s="56"/>
      <c r="RE19" s="56"/>
      <c r="RF19" s="56"/>
      <c r="RG19" s="56"/>
      <c r="RH19" s="56"/>
      <c r="RI19" s="56"/>
      <c r="RJ19" s="56"/>
      <c r="RK19" s="56"/>
      <c r="RL19" s="56"/>
      <c r="RM19" s="56"/>
      <c r="RN19" s="56"/>
      <c r="RO19" s="56"/>
      <c r="RP19" s="56"/>
      <c r="RQ19" s="56"/>
      <c r="RR19" s="56"/>
      <c r="RS19" s="56"/>
      <c r="RT19" s="56"/>
      <c r="RU19" s="56"/>
      <c r="RV19" s="56"/>
      <c r="RW19" s="56"/>
      <c r="RX19" s="56"/>
      <c r="RY19" s="56"/>
      <c r="RZ19" s="56"/>
      <c r="SA19" s="56"/>
      <c r="SB19" s="56"/>
      <c r="SC19" s="56"/>
      <c r="SD19" s="56"/>
      <c r="SE19" s="56"/>
      <c r="SF19" s="56"/>
      <c r="SG19" s="56"/>
      <c r="SH19" s="56"/>
      <c r="SI19" s="56"/>
      <c r="SJ19" s="56"/>
      <c r="SK19" s="56"/>
      <c r="SL19" s="56"/>
      <c r="SM19" s="56"/>
      <c r="SN19" s="56"/>
      <c r="SO19" s="56"/>
      <c r="SP19" s="56"/>
      <c r="SQ19" s="56"/>
      <c r="SR19" s="56"/>
      <c r="SS19" s="56"/>
      <c r="ST19" s="56"/>
      <c r="SU19" s="56"/>
      <c r="SV19" s="56"/>
      <c r="SW19" s="56"/>
      <c r="SX19" s="56"/>
      <c r="SY19" s="56"/>
      <c r="SZ19" s="56"/>
      <c r="TA19" s="56"/>
      <c r="TB19" s="56"/>
      <c r="TC19" s="56"/>
      <c r="TD19" s="56"/>
      <c r="TE19" s="56"/>
      <c r="TF19" s="56"/>
      <c r="TG19" s="56"/>
      <c r="TH19" s="56"/>
      <c r="TI19" s="56"/>
      <c r="TJ19" s="56"/>
      <c r="TK19" s="56"/>
      <c r="TL19" s="56"/>
      <c r="TM19" s="56"/>
      <c r="TN19" s="56"/>
      <c r="TO19" s="56"/>
      <c r="TP19" s="56"/>
      <c r="TQ19" s="56"/>
      <c r="TR19" s="56"/>
      <c r="TS19" s="56"/>
      <c r="TT19" s="56"/>
      <c r="TU19" s="56"/>
      <c r="TV19" s="56"/>
      <c r="TW19" s="56"/>
      <c r="TX19" s="56"/>
      <c r="TY19" s="56"/>
      <c r="TZ19" s="56"/>
      <c r="UA19" s="56"/>
      <c r="UB19" s="56"/>
      <c r="UC19" s="56"/>
      <c r="UD19" s="56"/>
      <c r="UE19" s="56"/>
      <c r="UF19" s="56"/>
      <c r="UG19" s="56"/>
      <c r="UH19" s="56"/>
      <c r="UI19" s="56"/>
      <c r="UJ19" s="56"/>
      <c r="UK19" s="56"/>
      <c r="UL19" s="56"/>
      <c r="UM19" s="56"/>
      <c r="UN19" s="56"/>
      <c r="UO19" s="56"/>
      <c r="UP19" s="56"/>
      <c r="UQ19" s="56"/>
      <c r="UR19" s="56"/>
      <c r="US19" s="56"/>
      <c r="UT19" s="56"/>
      <c r="UU19" s="56"/>
      <c r="UV19" s="56"/>
      <c r="UW19" s="56"/>
      <c r="UX19" s="56"/>
      <c r="UY19" s="56"/>
      <c r="UZ19" s="56"/>
      <c r="VA19" s="56"/>
      <c r="VB19" s="56"/>
      <c r="VC19" s="56"/>
      <c r="VD19" s="56"/>
      <c r="VE19" s="56"/>
      <c r="VF19" s="56"/>
      <c r="VG19" s="56"/>
      <c r="VH19" s="56"/>
      <c r="VI19" s="56"/>
      <c r="VJ19" s="56"/>
      <c r="VK19" s="56"/>
      <c r="VL19" s="56"/>
      <c r="VM19" s="56"/>
      <c r="VN19" s="56"/>
      <c r="VO19" s="56"/>
      <c r="VP19" s="56"/>
      <c r="VQ19" s="56"/>
      <c r="VR19" s="56"/>
      <c r="VS19" s="56"/>
      <c r="VT19" s="56"/>
      <c r="VU19" s="56"/>
      <c r="VV19" s="56"/>
      <c r="VW19" s="56"/>
      <c r="VX19" s="56"/>
      <c r="VY19" s="56"/>
      <c r="VZ19" s="56"/>
      <c r="WA19" s="56"/>
      <c r="WB19" s="56"/>
      <c r="WC19" s="56"/>
      <c r="WD19" s="56"/>
      <c r="WE19" s="56"/>
      <c r="WF19" s="56"/>
      <c r="WG19" s="56"/>
      <c r="WH19" s="56"/>
      <c r="WI19" s="56"/>
      <c r="WJ19" s="56"/>
      <c r="WK19" s="56"/>
      <c r="WL19" s="56"/>
      <c r="WM19" s="56"/>
      <c r="WN19" s="56"/>
      <c r="WO19" s="56"/>
      <c r="WP19" s="56"/>
      <c r="WQ19" s="56"/>
      <c r="WR19" s="56"/>
      <c r="WS19" s="56"/>
      <c r="WT19" s="56"/>
      <c r="WU19" s="56"/>
      <c r="WV19" s="56"/>
      <c r="WW19" s="56"/>
      <c r="WX19" s="56"/>
      <c r="WY19" s="56"/>
      <c r="WZ19" s="56"/>
      <c r="XA19" s="56"/>
      <c r="XB19" s="56"/>
      <c r="XC19" s="56"/>
      <c r="XD19" s="56"/>
      <c r="XE19" s="56"/>
      <c r="XF19" s="56"/>
      <c r="XG19" s="56"/>
      <c r="XH19" s="56"/>
      <c r="XI19" s="56"/>
      <c r="XJ19" s="56"/>
      <c r="XK19" s="56"/>
      <c r="XL19" s="56"/>
      <c r="XM19" s="56"/>
      <c r="XN19" s="56"/>
      <c r="XO19" s="56"/>
      <c r="XP19" s="56"/>
      <c r="XQ19" s="56"/>
      <c r="XR19" s="56"/>
      <c r="XS19" s="56"/>
      <c r="XT19" s="56"/>
      <c r="XU19" s="56"/>
      <c r="XV19" s="56"/>
      <c r="XW19" s="56"/>
      <c r="XX19" s="56"/>
      <c r="XY19" s="56"/>
      <c r="XZ19" s="56"/>
      <c r="YA19" s="56"/>
      <c r="YB19" s="56"/>
      <c r="YC19" s="56"/>
      <c r="YD19" s="56"/>
      <c r="YE19" s="56"/>
      <c r="YF19" s="56"/>
      <c r="YG19" s="56"/>
      <c r="YH19" s="56"/>
      <c r="YI19" s="56"/>
      <c r="YJ19" s="56"/>
      <c r="YK19" s="56"/>
      <c r="YL19" s="56"/>
      <c r="YM19" s="56"/>
      <c r="YN19" s="56"/>
      <c r="YO19" s="56"/>
      <c r="YP19" s="56"/>
      <c r="YQ19" s="56"/>
      <c r="YR19" s="56"/>
      <c r="YS19" s="56"/>
      <c r="YT19" s="56"/>
      <c r="YU19" s="56"/>
      <c r="YV19" s="56"/>
      <c r="YW19" s="56"/>
      <c r="YX19" s="56"/>
      <c r="YY19" s="56"/>
      <c r="YZ19" s="56"/>
      <c r="ZA19" s="56"/>
      <c r="ZB19" s="56"/>
      <c r="ZC19" s="56"/>
      <c r="ZD19" s="56"/>
      <c r="ZE19" s="56"/>
      <c r="ZF19" s="56"/>
      <c r="ZG19" s="56"/>
      <c r="ZH19" s="56"/>
      <c r="ZI19" s="56"/>
      <c r="ZJ19" s="56"/>
      <c r="ZK19" s="56"/>
      <c r="ZL19" s="56"/>
      <c r="ZM19" s="56"/>
      <c r="ZN19" s="56"/>
      <c r="ZO19" s="56"/>
      <c r="ZP19" s="56"/>
      <c r="ZQ19" s="56"/>
      <c r="ZR19" s="56"/>
      <c r="ZS19" s="56"/>
      <c r="ZT19" s="56"/>
      <c r="ZU19" s="56"/>
      <c r="ZV19" s="56"/>
      <c r="ZW19" s="56"/>
      <c r="ZX19" s="56"/>
      <c r="ZY19" s="56"/>
      <c r="ZZ19" s="56"/>
      <c r="AAA19" s="56"/>
      <c r="AAB19" s="56"/>
      <c r="AAC19" s="56"/>
      <c r="AAD19" s="56"/>
      <c r="AAE19" s="56"/>
      <c r="AAF19" s="56"/>
      <c r="AAG19" s="56"/>
      <c r="AAH19" s="56"/>
      <c r="AAI19" s="56"/>
      <c r="AAJ19" s="56"/>
      <c r="AAK19" s="56"/>
      <c r="AAL19" s="56"/>
      <c r="AAM19" s="56"/>
      <c r="AAN19" s="56"/>
      <c r="AAO19" s="56"/>
      <c r="AAP19" s="56"/>
      <c r="AAQ19" s="56"/>
      <c r="AAR19" s="56"/>
      <c r="AAS19" s="56"/>
      <c r="AAT19" s="56"/>
      <c r="AAU19" s="56"/>
      <c r="AAV19" s="56"/>
      <c r="AAW19" s="56"/>
      <c r="AAX19" s="56"/>
      <c r="AAY19" s="56"/>
      <c r="AAZ19" s="56"/>
      <c r="ABA19" s="56"/>
      <c r="ABB19" s="56"/>
      <c r="ABC19" s="56"/>
      <c r="ABD19" s="56"/>
      <c r="ABE19" s="56"/>
      <c r="ABF19" s="56"/>
      <c r="ABG19" s="56"/>
      <c r="ABH19" s="56"/>
      <c r="ABI19" s="56"/>
      <c r="ABJ19" s="56"/>
      <c r="ABK19" s="56"/>
      <c r="ABL19" s="56"/>
      <c r="ABM19" s="56"/>
      <c r="ABN19" s="56"/>
      <c r="ABO19" s="56"/>
      <c r="ABP19" s="56"/>
      <c r="ABQ19" s="56"/>
      <c r="ABR19" s="56"/>
      <c r="ABS19" s="56"/>
      <c r="ABT19" s="56"/>
      <c r="ABU19" s="56"/>
      <c r="ABV19" s="56"/>
      <c r="ABW19" s="56"/>
      <c r="ABX19" s="56"/>
      <c r="ABY19" s="56"/>
      <c r="ABZ19" s="56"/>
      <c r="ACA19" s="56"/>
      <c r="ACB19" s="56"/>
      <c r="ACC19" s="56"/>
      <c r="ACD19" s="56"/>
      <c r="ACE19" s="56"/>
      <c r="ACF19" s="56"/>
      <c r="ACG19" s="56"/>
      <c r="ACH19" s="56"/>
      <c r="ACI19" s="56"/>
      <c r="ACJ19" s="56"/>
      <c r="ACK19" s="56"/>
      <c r="ACL19" s="56"/>
      <c r="ACM19" s="56"/>
      <c r="ACN19" s="56"/>
      <c r="ACO19" s="56"/>
      <c r="ACP19" s="56"/>
      <c r="ACQ19" s="56"/>
      <c r="ACR19" s="56"/>
      <c r="ACS19" s="56"/>
      <c r="ACT19" s="56"/>
      <c r="ACU19" s="56"/>
      <c r="ACV19" s="56"/>
      <c r="ACW19" s="56"/>
      <c r="ACX19" s="56"/>
      <c r="ACY19" s="56"/>
      <c r="ACZ19" s="56"/>
      <c r="ADA19" s="56"/>
      <c r="ADB19" s="56"/>
      <c r="ADC19" s="56"/>
      <c r="ADD19" s="56"/>
      <c r="ADE19" s="56"/>
      <c r="ADF19" s="56"/>
      <c r="ADG19" s="56"/>
      <c r="ADH19" s="56"/>
      <c r="ADI19" s="56"/>
      <c r="ADJ19" s="56"/>
      <c r="ADK19" s="56"/>
      <c r="ADL19" s="56"/>
      <c r="ADM19" s="56"/>
      <c r="ADN19" s="56"/>
      <c r="ADO19" s="56"/>
      <c r="ADP19" s="56"/>
      <c r="ADQ19" s="56"/>
      <c r="ADR19" s="56"/>
      <c r="ADS19" s="56"/>
      <c r="ADT19" s="56"/>
      <c r="ADU19" s="56"/>
      <c r="ADV19" s="56"/>
      <c r="ADW19" s="56"/>
      <c r="ADX19" s="56"/>
      <c r="ADY19" s="56"/>
      <c r="ADZ19" s="56"/>
      <c r="AEA19" s="56"/>
      <c r="AEB19" s="56"/>
      <c r="AEC19" s="56"/>
      <c r="AED19" s="56"/>
      <c r="AEE19" s="56"/>
      <c r="AEF19" s="56"/>
      <c r="AEG19" s="56"/>
      <c r="AEH19" s="56"/>
      <c r="AEI19" s="56"/>
      <c r="AEJ19" s="56"/>
      <c r="AEK19" s="56"/>
      <c r="AEL19" s="56"/>
      <c r="AEM19" s="56"/>
      <c r="AEN19" s="56"/>
      <c r="AEO19" s="56"/>
      <c r="AEP19" s="56"/>
      <c r="AEQ19" s="56"/>
      <c r="AER19" s="56"/>
      <c r="AES19" s="56"/>
      <c r="AET19" s="56"/>
      <c r="AEU19" s="56"/>
      <c r="AEV19" s="56"/>
      <c r="AEW19" s="56"/>
      <c r="AEX19" s="56"/>
      <c r="AEY19" s="56"/>
      <c r="AEZ19" s="56"/>
      <c r="AFA19" s="56"/>
      <c r="AFB19" s="56"/>
      <c r="AFC19" s="56"/>
      <c r="AFD19" s="56"/>
      <c r="AFE19" s="56"/>
      <c r="AFF19" s="56"/>
      <c r="AFG19" s="56"/>
      <c r="AFH19" s="56"/>
      <c r="AFI19" s="56"/>
      <c r="AFJ19" s="56"/>
      <c r="AFK19" s="56"/>
      <c r="AFL19" s="56"/>
      <c r="AFM19" s="56"/>
      <c r="AFN19" s="56"/>
      <c r="AFO19" s="56"/>
      <c r="AFP19" s="56"/>
      <c r="AFQ19" s="56"/>
      <c r="AFR19" s="56"/>
      <c r="AFS19" s="56"/>
      <c r="AFT19" s="56"/>
      <c r="AFU19" s="56"/>
      <c r="AFV19" s="56"/>
      <c r="AFW19" s="56"/>
      <c r="AFX19" s="56"/>
      <c r="AFY19" s="56"/>
      <c r="AFZ19" s="56"/>
      <c r="AGA19" s="56"/>
      <c r="AGB19" s="56"/>
      <c r="AGC19" s="56"/>
      <c r="AGD19" s="56"/>
      <c r="AGE19" s="56"/>
      <c r="AGF19" s="56"/>
      <c r="AGG19" s="56"/>
      <c r="AGH19" s="56"/>
      <c r="AGI19" s="56"/>
      <c r="AGJ19" s="56"/>
      <c r="AGK19" s="56"/>
      <c r="AGL19" s="56"/>
      <c r="AGM19" s="56"/>
      <c r="AGN19" s="56"/>
      <c r="AGO19" s="56"/>
      <c r="AGP19" s="56"/>
      <c r="AGQ19" s="56"/>
      <c r="AGR19" s="56"/>
      <c r="AGS19" s="56"/>
      <c r="AGT19" s="56"/>
      <c r="AGU19" s="56"/>
      <c r="AGV19" s="56"/>
      <c r="AGW19" s="56"/>
      <c r="AGX19" s="56"/>
      <c r="AGY19" s="56"/>
      <c r="AGZ19" s="56"/>
      <c r="AHA19" s="56"/>
      <c r="AHB19" s="56"/>
      <c r="AHC19" s="56"/>
      <c r="AHD19" s="56"/>
      <c r="AHE19" s="56"/>
      <c r="AHF19" s="56"/>
      <c r="AHG19" s="56"/>
      <c r="AHH19" s="56"/>
      <c r="AHI19" s="56"/>
      <c r="AHJ19" s="56"/>
      <c r="AHK19" s="56"/>
      <c r="AHL19" s="56"/>
      <c r="AHM19" s="56"/>
      <c r="AHN19" s="56"/>
      <c r="AHO19" s="56"/>
      <c r="AHP19" s="56"/>
      <c r="AHQ19" s="56"/>
      <c r="AHR19" s="56"/>
      <c r="AHS19" s="56"/>
      <c r="AHT19" s="56"/>
      <c r="AHU19" s="56"/>
      <c r="AHV19" s="56"/>
      <c r="AHW19" s="56"/>
      <c r="AHX19" s="56"/>
      <c r="AHY19" s="56"/>
      <c r="AHZ19" s="56"/>
      <c r="AIA19" s="56"/>
      <c r="AIB19" s="56"/>
      <c r="AIC19" s="56"/>
      <c r="AID19" s="56"/>
      <c r="AIE19" s="56"/>
      <c r="AIF19" s="56"/>
      <c r="AIG19" s="56"/>
      <c r="AIH19" s="56"/>
      <c r="AII19" s="56"/>
      <c r="AIJ19" s="56"/>
      <c r="AIK19" s="56"/>
      <c r="AIL19" s="56"/>
      <c r="AIM19" s="56"/>
      <c r="AIN19" s="56"/>
      <c r="AIO19" s="56"/>
      <c r="AIP19" s="56"/>
      <c r="AIQ19" s="56"/>
      <c r="AIR19" s="56"/>
      <c r="AIS19" s="56"/>
      <c r="AIT19" s="56"/>
      <c r="AIU19" s="56"/>
      <c r="AIV19" s="56"/>
      <c r="AIW19" s="56"/>
      <c r="AIX19" s="56"/>
      <c r="AIY19" s="56"/>
      <c r="AIZ19" s="56"/>
      <c r="AJA19" s="56"/>
      <c r="AJB19" s="56"/>
      <c r="AJC19" s="56"/>
      <c r="AJD19" s="56"/>
      <c r="AJE19" s="56"/>
      <c r="AJF19" s="56"/>
      <c r="AJG19" s="56"/>
      <c r="AJH19" s="56"/>
      <c r="AJI19" s="56"/>
      <c r="AJJ19" s="56"/>
      <c r="AJK19" s="56"/>
      <c r="AJL19" s="56"/>
      <c r="AJM19" s="56"/>
      <c r="AJN19" s="56"/>
      <c r="AJO19" s="56"/>
      <c r="AJP19" s="56"/>
      <c r="AJQ19" s="56"/>
      <c r="AJR19" s="56"/>
      <c r="AJS19" s="56"/>
      <c r="AJT19" s="56"/>
      <c r="AJU19" s="56"/>
      <c r="AJV19" s="56"/>
      <c r="AJW19" s="56"/>
      <c r="AJX19" s="56"/>
      <c r="AJY19" s="56"/>
      <c r="AJZ19" s="56"/>
      <c r="AKA19" s="56"/>
      <c r="AKB19" s="56"/>
      <c r="AKC19" s="56"/>
      <c r="AKD19" s="56"/>
      <c r="AKE19" s="56"/>
      <c r="AKF19" s="56"/>
      <c r="AKG19" s="56"/>
      <c r="AKH19" s="56"/>
      <c r="AKI19" s="56"/>
      <c r="AKJ19" s="56"/>
      <c r="AKK19" s="56"/>
      <c r="AKL19" s="56"/>
      <c r="AKM19" s="56"/>
      <c r="AKN19" s="56"/>
      <c r="AKO19" s="56"/>
      <c r="AKP19" s="56"/>
      <c r="AKQ19" s="56"/>
      <c r="AKR19" s="56"/>
      <c r="AKS19" s="56"/>
      <c r="AKT19" s="56"/>
      <c r="AKU19" s="56"/>
      <c r="AKV19" s="56"/>
      <c r="AKW19" s="56"/>
      <c r="AKX19" s="56"/>
      <c r="AKY19" s="56"/>
      <c r="AKZ19" s="56"/>
      <c r="ALA19" s="56"/>
      <c r="ALB19" s="56"/>
      <c r="ALC19" s="56"/>
      <c r="ALD19" s="56"/>
      <c r="ALE19" s="56"/>
      <c r="ALF19" s="56"/>
      <c r="ALG19" s="56"/>
      <c r="ALH19" s="56"/>
      <c r="ALI19" s="56"/>
      <c r="ALJ19" s="56"/>
      <c r="ALK19" s="56"/>
      <c r="ALL19" s="56"/>
      <c r="ALM19" s="56"/>
      <c r="ALN19" s="56"/>
      <c r="ALO19" s="56"/>
      <c r="ALP19" s="56"/>
      <c r="ALQ19" s="56"/>
      <c r="ALR19" s="56"/>
      <c r="ALS19" s="56"/>
      <c r="ALT19" s="56"/>
      <c r="ALU19" s="56"/>
      <c r="ALV19" s="56"/>
      <c r="ALW19" s="56"/>
      <c r="ALX19" s="56"/>
      <c r="ALY19" s="56"/>
      <c r="ALZ19" s="56"/>
      <c r="AMA19" s="56"/>
      <c r="AMB19" s="56"/>
      <c r="AMC19" s="56"/>
      <c r="AMD19" s="56"/>
      <c r="AME19" s="56"/>
      <c r="AMF19" s="56"/>
      <c r="AMG19" s="56"/>
      <c r="AMH19" s="56"/>
      <c r="AMI19" s="56"/>
      <c r="AMJ19" s="56"/>
      <c r="AMK19" s="56"/>
      <c r="AML19" s="56"/>
      <c r="AMM19" s="56"/>
      <c r="AMN19" s="56"/>
      <c r="AMO19" s="56"/>
      <c r="AMP19" s="56"/>
      <c r="AMQ19" s="56"/>
      <c r="AMR19" s="56"/>
      <c r="AMS19" s="56"/>
      <c r="AMT19" s="56"/>
      <c r="AMU19" s="56"/>
      <c r="AMV19" s="56"/>
      <c r="AMW19" s="56"/>
      <c r="AMX19" s="56"/>
      <c r="AMY19" s="56"/>
      <c r="AMZ19" s="56"/>
      <c r="ANA19" s="56"/>
      <c r="ANB19" s="56"/>
      <c r="ANC19" s="56"/>
      <c r="AND19" s="56"/>
      <c r="ANE19" s="56"/>
      <c r="ANF19" s="56"/>
      <c r="ANG19" s="56"/>
      <c r="ANH19" s="56"/>
      <c r="ANI19" s="56"/>
      <c r="ANJ19" s="56"/>
      <c r="ANK19" s="56"/>
      <c r="ANL19" s="56"/>
      <c r="ANM19" s="56"/>
      <c r="ANN19" s="56"/>
      <c r="ANO19" s="56"/>
      <c r="ANP19" s="56"/>
      <c r="ANQ19" s="56"/>
      <c r="ANR19" s="56"/>
      <c r="ANS19" s="56"/>
      <c r="ANT19" s="56"/>
      <c r="ANU19" s="56"/>
      <c r="ANV19" s="56"/>
      <c r="ANW19" s="56"/>
      <c r="ANX19" s="56"/>
      <c r="ANY19" s="56"/>
      <c r="ANZ19" s="56"/>
      <c r="AOA19" s="56"/>
      <c r="AOB19" s="56"/>
      <c r="AOC19" s="56"/>
      <c r="AOD19" s="56"/>
      <c r="AOE19" s="56"/>
      <c r="AOF19" s="56"/>
      <c r="AOG19" s="56"/>
      <c r="AOH19" s="56"/>
      <c r="AOI19" s="56"/>
      <c r="AOJ19" s="56"/>
      <c r="AOK19" s="56"/>
      <c r="AOL19" s="56"/>
      <c r="AOM19" s="56"/>
      <c r="AON19" s="56"/>
      <c r="AOO19" s="56"/>
      <c r="AOP19" s="56"/>
      <c r="AOQ19" s="56"/>
      <c r="AOR19" s="56"/>
      <c r="AOS19" s="56"/>
      <c r="AOT19" s="56"/>
      <c r="AOU19" s="56"/>
      <c r="AOV19" s="56"/>
      <c r="AOW19" s="56"/>
      <c r="AOX19" s="56"/>
      <c r="AOY19" s="56"/>
      <c r="AOZ19" s="56"/>
      <c r="APA19" s="56"/>
      <c r="APB19" s="56"/>
      <c r="APC19" s="56"/>
      <c r="APD19" s="56"/>
      <c r="APE19" s="56"/>
      <c r="APF19" s="56"/>
      <c r="APG19" s="56"/>
      <c r="APH19" s="56"/>
      <c r="API19" s="56"/>
      <c r="APJ19" s="56"/>
      <c r="APK19" s="56"/>
      <c r="APL19" s="56"/>
      <c r="APM19" s="56"/>
      <c r="APN19" s="56"/>
      <c r="APO19" s="56"/>
      <c r="APP19" s="56"/>
      <c r="APQ19" s="56"/>
      <c r="APR19" s="56"/>
      <c r="APS19" s="56"/>
      <c r="APT19" s="56"/>
      <c r="APU19" s="56"/>
      <c r="APV19" s="56"/>
      <c r="APW19" s="56"/>
      <c r="APX19" s="56"/>
      <c r="APY19" s="56"/>
      <c r="APZ19" s="56"/>
      <c r="AQA19" s="56"/>
      <c r="AQB19" s="56"/>
      <c r="AQC19" s="56"/>
      <c r="AQD19" s="56"/>
      <c r="AQE19" s="56"/>
      <c r="AQF19" s="56"/>
      <c r="AQG19" s="56"/>
      <c r="AQH19" s="56"/>
      <c r="AQI19" s="56"/>
      <c r="AQJ19" s="56"/>
      <c r="AQK19" s="56"/>
      <c r="AQL19" s="56"/>
      <c r="AQM19" s="56"/>
      <c r="AQN19" s="56"/>
      <c r="AQO19" s="56"/>
      <c r="AQP19" s="56"/>
      <c r="AQQ19" s="56"/>
      <c r="AQR19" s="56"/>
      <c r="AQS19" s="56"/>
      <c r="AQT19" s="56"/>
      <c r="AQU19" s="56"/>
      <c r="AQV19" s="56"/>
      <c r="AQW19" s="56"/>
      <c r="AQX19" s="56"/>
      <c r="AQY19" s="56"/>
      <c r="AQZ19" s="56"/>
      <c r="ARA19" s="56"/>
      <c r="ARB19" s="56"/>
      <c r="ARC19" s="56"/>
      <c r="ARD19" s="56"/>
      <c r="ARE19" s="56"/>
      <c r="ARF19" s="56"/>
      <c r="ARG19" s="56"/>
      <c r="ARH19" s="56"/>
      <c r="ARI19" s="56"/>
      <c r="ARJ19" s="56"/>
      <c r="ARK19" s="56"/>
      <c r="ARL19" s="56"/>
      <c r="ARM19" s="56"/>
      <c r="ARN19" s="56"/>
      <c r="ARO19" s="56"/>
      <c r="ARP19" s="56"/>
      <c r="ARQ19" s="56"/>
      <c r="ARR19" s="56"/>
      <c r="ARS19" s="56"/>
      <c r="ART19" s="56"/>
      <c r="ARU19" s="56"/>
      <c r="ARV19" s="56"/>
      <c r="ARW19" s="56"/>
      <c r="ARX19" s="56"/>
      <c r="ARY19" s="56"/>
      <c r="ARZ19" s="56"/>
      <c r="ASA19" s="56"/>
      <c r="ASB19" s="56"/>
      <c r="ASC19" s="56"/>
      <c r="ASD19" s="56"/>
      <c r="ASE19" s="56"/>
      <c r="ASF19" s="56"/>
      <c r="ASG19" s="56"/>
      <c r="ASH19" s="56"/>
      <c r="ASI19" s="56"/>
      <c r="ASJ19" s="56"/>
      <c r="ASK19" s="56"/>
      <c r="ASL19" s="56"/>
      <c r="ASM19" s="56"/>
      <c r="ASN19" s="56"/>
      <c r="ASO19" s="56"/>
      <c r="ASP19" s="56"/>
      <c r="ASQ19" s="56"/>
      <c r="ASR19" s="56"/>
      <c r="ASS19" s="56"/>
      <c r="AST19" s="56"/>
      <c r="ASU19" s="56"/>
      <c r="ASV19" s="56"/>
      <c r="ASW19" s="56"/>
      <c r="ASX19" s="56"/>
      <c r="ASY19" s="56"/>
      <c r="ASZ19" s="56"/>
      <c r="ATA19" s="56"/>
      <c r="ATB19" s="56"/>
      <c r="ATC19" s="56"/>
      <c r="ATD19" s="56"/>
      <c r="ATE19" s="56"/>
      <c r="ATF19" s="56"/>
      <c r="ATG19" s="56"/>
      <c r="ATH19" s="56"/>
      <c r="ATI19" s="56"/>
      <c r="ATJ19" s="56"/>
      <c r="ATK19" s="56"/>
      <c r="ATL19" s="56"/>
      <c r="ATM19" s="56"/>
      <c r="ATN19" s="56"/>
      <c r="ATO19" s="56"/>
      <c r="ATP19" s="56"/>
      <c r="ATQ19" s="56"/>
      <c r="ATR19" s="56"/>
      <c r="ATS19" s="56"/>
      <c r="ATT19" s="56"/>
      <c r="ATU19" s="56"/>
      <c r="ATV19" s="56"/>
      <c r="ATW19" s="56"/>
      <c r="ATX19" s="56"/>
      <c r="ATY19" s="56"/>
      <c r="ATZ19" s="56"/>
      <c r="AUA19" s="56"/>
      <c r="AUB19" s="56"/>
      <c r="AUC19" s="56"/>
      <c r="AUD19" s="56"/>
      <c r="AUE19" s="56"/>
      <c r="AUF19" s="56"/>
      <c r="AUG19" s="56"/>
      <c r="AUH19" s="56"/>
      <c r="AUI19" s="56"/>
      <c r="AUJ19" s="56"/>
      <c r="AUK19" s="56"/>
      <c r="AUL19" s="56"/>
      <c r="AUM19" s="56"/>
      <c r="AUN19" s="56"/>
      <c r="AUO19" s="56"/>
      <c r="AUP19" s="56"/>
      <c r="AUQ19" s="56"/>
      <c r="AUR19" s="56"/>
      <c r="AUS19" s="56"/>
      <c r="AUT19" s="56"/>
      <c r="AUU19" s="56"/>
      <c r="AUV19" s="56"/>
      <c r="AUW19" s="56"/>
      <c r="AUX19" s="56"/>
      <c r="AUY19" s="56"/>
      <c r="AUZ19" s="56"/>
      <c r="AVA19" s="56"/>
      <c r="AVB19" s="56"/>
      <c r="AVC19" s="56"/>
      <c r="AVD19" s="56"/>
      <c r="AVE19" s="56"/>
      <c r="AVF19" s="56"/>
      <c r="AVG19" s="56"/>
      <c r="AVH19" s="56"/>
      <c r="AVI19" s="56"/>
      <c r="AVJ19" s="56"/>
      <c r="AVK19" s="56"/>
      <c r="AVL19" s="56"/>
      <c r="AVM19" s="56"/>
      <c r="AVN19" s="56"/>
      <c r="AVO19" s="56"/>
      <c r="AVP19" s="56"/>
      <c r="AVQ19" s="56"/>
      <c r="AVR19" s="56"/>
      <c r="AVS19" s="56"/>
      <c r="AVT19" s="56"/>
      <c r="AVU19" s="56"/>
      <c r="AVV19" s="56"/>
      <c r="AVW19" s="56"/>
      <c r="AVX19" s="56"/>
      <c r="AVY19" s="56"/>
      <c r="AVZ19" s="56"/>
      <c r="AWA19" s="56"/>
      <c r="AWB19" s="56"/>
      <c r="AWC19" s="56"/>
      <c r="AWD19" s="56"/>
      <c r="AWE19" s="56"/>
      <c r="AWF19" s="56"/>
      <c r="AWG19" s="56"/>
      <c r="AWH19" s="56"/>
      <c r="AWI19" s="56"/>
      <c r="AWJ19" s="56"/>
      <c r="AWK19" s="56"/>
      <c r="AWL19" s="56"/>
      <c r="AWM19" s="56"/>
      <c r="AWN19" s="56"/>
      <c r="AWO19" s="56"/>
      <c r="AWP19" s="56"/>
      <c r="AWQ19" s="56"/>
      <c r="AWR19" s="56"/>
      <c r="AWS19" s="56"/>
      <c r="AWT19" s="56"/>
      <c r="AWU19" s="56"/>
      <c r="AWV19" s="56"/>
      <c r="AWW19" s="56"/>
      <c r="AWX19" s="56"/>
      <c r="AWY19" s="56"/>
      <c r="AWZ19" s="56"/>
      <c r="AXA19" s="56"/>
      <c r="AXB19" s="56"/>
      <c r="AXC19" s="56"/>
      <c r="AXD19" s="56"/>
      <c r="AXE19" s="56"/>
      <c r="AXF19" s="56"/>
      <c r="AXG19" s="56"/>
      <c r="AXH19" s="56"/>
      <c r="AXI19" s="56"/>
      <c r="AXJ19" s="56"/>
      <c r="AXK19" s="56"/>
      <c r="AXL19" s="56"/>
      <c r="AXM19" s="56"/>
      <c r="AXN19" s="56"/>
      <c r="AXO19" s="56"/>
      <c r="AXP19" s="56"/>
      <c r="AXQ19" s="56"/>
      <c r="AXR19" s="56"/>
      <c r="AXS19" s="56"/>
      <c r="AXT19" s="56"/>
      <c r="AXU19" s="56"/>
      <c r="AXV19" s="56"/>
      <c r="AXW19" s="56"/>
      <c r="AXX19" s="56"/>
      <c r="AXY19" s="56"/>
      <c r="AXZ19" s="56"/>
      <c r="AYA19" s="56"/>
      <c r="AYB19" s="56"/>
      <c r="AYC19" s="56"/>
      <c r="AYD19" s="56"/>
      <c r="AYE19" s="56"/>
      <c r="AYF19" s="56"/>
      <c r="AYG19" s="56"/>
      <c r="AYH19" s="56"/>
      <c r="AYI19" s="56"/>
      <c r="AYJ19" s="56"/>
      <c r="AYK19" s="56"/>
      <c r="AYL19" s="56"/>
      <c r="AYM19" s="56"/>
      <c r="AYN19" s="56"/>
      <c r="AYO19" s="56"/>
      <c r="AYP19" s="56"/>
      <c r="AYQ19" s="56"/>
      <c r="AYR19" s="56"/>
      <c r="AYS19" s="56"/>
      <c r="AYT19" s="56"/>
      <c r="AYU19" s="56"/>
      <c r="AYV19" s="56"/>
      <c r="AYW19" s="56"/>
      <c r="AYX19" s="56"/>
      <c r="AYY19" s="56"/>
      <c r="AYZ19" s="56"/>
      <c r="AZA19" s="56"/>
      <c r="AZB19" s="56"/>
      <c r="AZC19" s="56"/>
      <c r="AZD19" s="56"/>
      <c r="AZE19" s="56"/>
      <c r="AZF19" s="56"/>
      <c r="AZG19" s="56"/>
      <c r="AZH19" s="56"/>
      <c r="AZI19" s="56"/>
      <c r="AZJ19" s="56"/>
      <c r="AZK19" s="56"/>
      <c r="AZL19" s="56"/>
      <c r="AZM19" s="56"/>
      <c r="AZN19" s="56"/>
      <c r="AZO19" s="56"/>
      <c r="AZP19" s="56"/>
      <c r="AZQ19" s="56"/>
      <c r="AZR19" s="56"/>
      <c r="AZS19" s="56"/>
      <c r="AZT19" s="56"/>
      <c r="AZU19" s="56"/>
      <c r="AZV19" s="56"/>
      <c r="AZW19" s="56"/>
      <c r="AZX19" s="56"/>
      <c r="AZY19" s="56"/>
      <c r="AZZ19" s="56"/>
    </row>
    <row r="20" spans="1:1378" ht="15" hidden="1" customHeight="1" x14ac:dyDescent="0.3">
      <c r="A20" s="1337"/>
      <c r="B20" s="723" t="s">
        <v>34</v>
      </c>
      <c r="C20" s="665"/>
      <c r="D20" s="724" t="s">
        <v>35</v>
      </c>
      <c r="E20" s="725">
        <v>3</v>
      </c>
      <c r="F20" s="1369" t="s">
        <v>36</v>
      </c>
      <c r="G20" s="726" t="s">
        <v>37</v>
      </c>
      <c r="H20" s="727"/>
      <c r="I20" s="723" t="s">
        <v>38</v>
      </c>
      <c r="J20" s="667"/>
      <c r="K20" s="667"/>
      <c r="L20" s="667"/>
      <c r="M20" s="667"/>
      <c r="N20" s="667"/>
      <c r="O20" s="667"/>
      <c r="P20" s="669">
        <v>13</v>
      </c>
      <c r="Q20" s="670">
        <v>24</v>
      </c>
      <c r="R20" s="669"/>
      <c r="S20" s="670"/>
      <c r="T20" s="1181"/>
      <c r="U20" s="728"/>
      <c r="V20" s="729">
        <v>0.45833333333333331</v>
      </c>
      <c r="W20" s="729"/>
      <c r="X20" s="729"/>
      <c r="Y20" s="729"/>
      <c r="Z20" s="673"/>
      <c r="AA20" s="673"/>
      <c r="AB20" s="673"/>
      <c r="AC20" s="673"/>
      <c r="AD20" s="675"/>
      <c r="AE20" s="675"/>
      <c r="AF20" s="675"/>
      <c r="AG20" s="675"/>
      <c r="AH20" s="675"/>
      <c r="AI20" s="675"/>
      <c r="AJ20" s="675"/>
      <c r="AK20" s="677"/>
      <c r="AL20" s="1355"/>
      <c r="AM20" s="730" t="s">
        <v>39</v>
      </c>
      <c r="AN20" s="731"/>
      <c r="AO20" s="731"/>
      <c r="AP20" s="731"/>
      <c r="AQ20" s="731"/>
      <c r="AR20" s="732"/>
      <c r="AS20" s="1358"/>
      <c r="AT20" s="1321" t="s">
        <v>40</v>
      </c>
      <c r="AU20" s="1322"/>
      <c r="AV20" s="1323"/>
      <c r="AW20" s="1324" t="s">
        <v>41</v>
      </c>
      <c r="AX20" s="1325"/>
      <c r="AY20" s="1326"/>
      <c r="AZ20" s="1327" t="s">
        <v>42</v>
      </c>
      <c r="BA20" s="1328"/>
      <c r="BB20" s="1328"/>
      <c r="BC20" s="1328"/>
      <c r="BD20" s="1328"/>
      <c r="BE20" s="1328"/>
      <c r="BF20" s="1329"/>
      <c r="BG20" s="733" t="s">
        <v>43</v>
      </c>
      <c r="BH20" s="733" t="s">
        <v>44</v>
      </c>
      <c r="BI20" s="1327" t="s">
        <v>42</v>
      </c>
      <c r="BJ20" s="1328"/>
      <c r="BK20" s="1329"/>
      <c r="BL20" s="1319"/>
      <c r="BM20" s="1307"/>
      <c r="BN20" s="62" t="s">
        <v>45</v>
      </c>
      <c r="BO20" s="104" t="str">
        <f>IF(ISNUMBER(J20),LOOKUP(J20,Tara!$C$6:$C$185,Tara!$D$6:$D$185),"")</f>
        <v/>
      </c>
      <c r="BP20" s="104" t="str">
        <f>IF(ISNUMBER(K20),LOOKUP(K20,Tara!$C$6:$C$185,Tara!$D$6:$D$185),"")</f>
        <v/>
      </c>
      <c r="BQ20" s="104" t="str">
        <f>IF(ISNUMBER(L20),LOOKUP(L20,Tara!$C$6:$C$185,Tara!$D$6:$D$185),"")</f>
        <v/>
      </c>
      <c r="BR20" s="104" t="str">
        <f>IF(ISNUMBER(M20),LOOKUP(M20,Tara!$C$6:$C$185,Tara!$D$6:$D$185),"")</f>
        <v/>
      </c>
      <c r="BS20" s="104" t="str">
        <f>IF(ISNUMBER(N20),LOOKUP(N20,Tara!$C$6:$C$185,Tara!$D$6:$D$185),"")</f>
        <v/>
      </c>
      <c r="BT20" s="104" t="str">
        <f>IF(ISNUMBER(O20),LOOKUP(O20,Tara!$C$6:$C$185,Tara!$D$6:$D$185),"")</f>
        <v/>
      </c>
      <c r="BU20" s="104">
        <f>IF(ISNUMBER(P20),LOOKUP(P20,Tara!$C$6:$C$185,Tara!$D$6:$D$185),"")</f>
        <v>24.15</v>
      </c>
      <c r="BV20" s="104">
        <f>IF(ISNUMBER(Q20),LOOKUP(Q20,Tara!$C$6:$C$185,Tara!$D$6:$D$185),"")</f>
        <v>26.05</v>
      </c>
      <c r="BW20" s="1310"/>
      <c r="BX20" s="108" t="s">
        <v>46</v>
      </c>
      <c r="BY20" s="66">
        <f>IF(ISNUMBER(J24),LOOKUP(J24,Tara!$G$6:$G$185,Tara!$H$6:$H$185),"")</f>
        <v>5530</v>
      </c>
      <c r="BZ20" s="66">
        <f>IF(ISNUMBER(K24),LOOKUP(K24,Tara!$G$6:$G$185,Tara!$H$6:$H$185),"")</f>
        <v>4705</v>
      </c>
      <c r="CA20" s="66">
        <f>IF(ISNUMBER(L24),LOOKUP(L24,Tara!$G$6:$G$185,Tara!$H$6:$H$185),"")</f>
        <v>5093</v>
      </c>
      <c r="CB20" s="66">
        <f>IF(ISNUMBER(M24),LOOKUP(M24,Tara!$G$6:$G$185,Tara!$H$6:$H$185),"")</f>
        <v>4009</v>
      </c>
      <c r="CC20" s="66">
        <f>IF(ISNUMBER(N24),LOOKUP(N24,Tara!$G$6:$G$185,Tara!$H$6:$H$185),"")</f>
        <v>5530</v>
      </c>
      <c r="CD20" s="66" t="str">
        <f>IF(ISNUMBER(O24),LOOKUP(O24,Tara!$G$6:$G$185,Tara!$H$6:$H$185),"")</f>
        <v/>
      </c>
      <c r="CE20" s="78">
        <f t="shared" ref="CE20:CJ20" si="174">IF(J19&lt;&gt;"",BY25,"")</f>
        <v>2104.2404822619928</v>
      </c>
      <c r="CF20" s="78">
        <f t="shared" si="174"/>
        <v>2210.7280624328287</v>
      </c>
      <c r="CG20" s="78">
        <f t="shared" si="174"/>
        <v>2275.1420560291153</v>
      </c>
      <c r="CH20" s="78">
        <f t="shared" si="174"/>
        <v>2231.3078036355155</v>
      </c>
      <c r="CI20" s="78">
        <f t="shared" si="174"/>
        <v>2134.9158318264836</v>
      </c>
      <c r="CJ20" s="257" t="str">
        <f t="shared" si="174"/>
        <v/>
      </c>
      <c r="CK20" s="75">
        <f>AVERAGE(CE20:CJ20)</f>
        <v>2191.266847237187</v>
      </c>
      <c r="CL20" s="75">
        <f t="shared" ref="CL20:CQ20" si="175">IF(ISNUMBER(CE24),CE24^2,"")</f>
        <v>3.427454283753895E-6</v>
      </c>
      <c r="CM20" s="75">
        <f t="shared" si="175"/>
        <v>1.2846507346381696E-6</v>
      </c>
      <c r="CN20" s="75">
        <f t="shared" si="175"/>
        <v>4.3162175079194642E-8</v>
      </c>
      <c r="CO20" s="75">
        <f t="shared" si="175"/>
        <v>8.5686357093847269E-7</v>
      </c>
      <c r="CP20" s="75">
        <f t="shared" si="175"/>
        <v>5.1386029385526802E-6</v>
      </c>
      <c r="CQ20" s="75" t="str">
        <f t="shared" si="175"/>
        <v/>
      </c>
      <c r="CR20" s="65">
        <f>SUM(CL20:CQ20)</f>
        <v>1.0750733702962413E-5</v>
      </c>
      <c r="CS20" s="338" t="s">
        <v>47</v>
      </c>
      <c r="CT20" s="339">
        <f>CM25*CT19^2+CO25*CT19+CQ25</f>
        <v>2265.1535455794969</v>
      </c>
      <c r="CU20" s="104" t="str">
        <f>IF(ISNUMBER(R20),LOOKUP(R20,Tara!$C$6:$C$185,Tara!$D$6:$D$185),"")</f>
        <v/>
      </c>
      <c r="CV20" s="104" t="str">
        <f>IF(ISNUMBER(S20),LOOKUP(S20,Tara!$C$6:$C$185,Tara!$D$6:$D$185),"")</f>
        <v/>
      </c>
      <c r="CW20" s="1313"/>
      <c r="CX20" s="123" t="str">
        <f t="shared" ref="CX20:DE20" si="176">IF(ISNUMBER(AD20),AD20*$W23,"")</f>
        <v/>
      </c>
      <c r="CY20" s="116" t="str">
        <f t="shared" si="176"/>
        <v/>
      </c>
      <c r="CZ20" s="116" t="str">
        <f t="shared" si="176"/>
        <v/>
      </c>
      <c r="DA20" s="116" t="str">
        <f t="shared" si="176"/>
        <v/>
      </c>
      <c r="DB20" s="116" t="str">
        <f t="shared" si="176"/>
        <v/>
      </c>
      <c r="DC20" s="116" t="str">
        <f t="shared" si="176"/>
        <v/>
      </c>
      <c r="DD20" s="116" t="str">
        <f t="shared" si="176"/>
        <v/>
      </c>
      <c r="DE20" s="116" t="str">
        <f t="shared" si="176"/>
        <v/>
      </c>
      <c r="DF20" s="279" t="str">
        <f>IF(CX20&lt;&gt;"",AVERAGE(CX20:DE20),"")</f>
        <v/>
      </c>
      <c r="DG20" s="119" t="str">
        <f t="shared" ref="DG20:DN21" si="177">IF(ISERROR(CX22*CX23),"",CX22*CX23)</f>
        <v/>
      </c>
      <c r="DH20" s="119" t="str">
        <f t="shared" si="177"/>
        <v/>
      </c>
      <c r="DI20" s="119" t="str">
        <f t="shared" si="177"/>
        <v/>
      </c>
      <c r="DJ20" s="119" t="str">
        <f t="shared" si="177"/>
        <v/>
      </c>
      <c r="DK20" s="119" t="str">
        <f t="shared" si="177"/>
        <v/>
      </c>
      <c r="DL20" s="119" t="str">
        <f t="shared" si="177"/>
        <v/>
      </c>
      <c r="DM20" s="119" t="str">
        <f t="shared" si="177"/>
        <v/>
      </c>
      <c r="DN20" s="119" t="str">
        <f t="shared" si="177"/>
        <v/>
      </c>
      <c r="DO20" s="119" t="str">
        <f>IF(DG20&lt;&gt;"",SUM(DG20:DN20),"")</f>
        <v/>
      </c>
      <c r="DP20" s="120" t="str">
        <f>IF(DJ24&lt;&gt;"",(DP19-DJ24)/DJ23,"")</f>
        <v/>
      </c>
      <c r="DQ20" s="119" t="str">
        <f>IF(DP20="","",IF(DP20&gt;0,DT21+DP20,-1))</f>
        <v/>
      </c>
      <c r="DR20" s="119" t="str">
        <f>IF(DP20="","",IF(DP20&gt;0,DV21+DP20,-1))</f>
        <v/>
      </c>
      <c r="DS20" s="119" t="str">
        <f>IF(DP20="","",IF(DP20&gt;0,DQ20,-1))</f>
        <v/>
      </c>
      <c r="DT20" s="119" t="str">
        <f>IF(DP20="","",IF(DP20&gt;0,DR20,-1))</f>
        <v/>
      </c>
      <c r="DU20" s="119" t="str">
        <f>IF(DP20="","",IF(DP20&gt;0,DT21,-1))</f>
        <v/>
      </c>
      <c r="DV20" s="119" t="str">
        <f>IF(DP20="","",IF(DP20&gt;0,DQ20,-1))</f>
        <v/>
      </c>
      <c r="DW20" s="119" t="str">
        <f>IF(DP20="","",IF(DP20&gt;0,DS20,-1))</f>
        <v/>
      </c>
      <c r="DX20" s="1182" t="str">
        <f>IF(DP20="","",IF(DP20&gt;0,DS20,-1))</f>
        <v/>
      </c>
      <c r="DY20" s="123" t="str">
        <f t="shared" ref="DY20:EF20" si="178">IF(ISNUMBER(AD21),AD21*$W23,"")</f>
        <v/>
      </c>
      <c r="DZ20" s="116" t="str">
        <f t="shared" si="178"/>
        <v/>
      </c>
      <c r="EA20" s="116" t="str">
        <f t="shared" si="178"/>
        <v/>
      </c>
      <c r="EB20" s="116" t="str">
        <f t="shared" si="178"/>
        <v/>
      </c>
      <c r="EC20" s="116" t="str">
        <f t="shared" si="178"/>
        <v/>
      </c>
      <c r="ED20" s="116" t="str">
        <f t="shared" si="178"/>
        <v/>
      </c>
      <c r="EE20" s="116" t="str">
        <f t="shared" si="178"/>
        <v/>
      </c>
      <c r="EF20" s="116" t="str">
        <f t="shared" si="178"/>
        <v/>
      </c>
      <c r="EG20" s="116" t="str">
        <f>IF(DY20&lt;&gt;"",AVERAGE(DY20:EF20),"")</f>
        <v/>
      </c>
      <c r="EH20" s="119" t="str">
        <f t="shared" ref="EH20:EO21" si="179">IF(ISERROR(DY22*DY23),"",DY22*DY23)</f>
        <v/>
      </c>
      <c r="EI20" s="119" t="str">
        <f t="shared" si="179"/>
        <v/>
      </c>
      <c r="EJ20" s="119" t="str">
        <f t="shared" si="179"/>
        <v/>
      </c>
      <c r="EK20" s="119" t="str">
        <f t="shared" si="179"/>
        <v/>
      </c>
      <c r="EL20" s="119" t="str">
        <f t="shared" si="179"/>
        <v/>
      </c>
      <c r="EM20" s="119" t="str">
        <f t="shared" si="179"/>
        <v/>
      </c>
      <c r="EN20" s="119" t="str">
        <f t="shared" si="179"/>
        <v/>
      </c>
      <c r="EO20" s="119" t="str">
        <f t="shared" si="179"/>
        <v/>
      </c>
      <c r="EP20" s="119" t="str">
        <f>IF(EH20&lt;&gt;"",SUM(EH20:EO20),"")</f>
        <v/>
      </c>
      <c r="EQ20" s="120" t="str">
        <f>IF(EK24&lt;&gt;"",(EQ19-EK24)/EK23,"")</f>
        <v/>
      </c>
      <c r="ER20" s="119" t="str">
        <f>IF(EQ20="","",IF(EQ20&gt;0,EU21+EQ20,-1))</f>
        <v/>
      </c>
      <c r="ES20" s="119" t="str">
        <f>IF(EQ20="","",IF(EQ20&gt;0,EW21+EQ20,-1))</f>
        <v/>
      </c>
      <c r="ET20" s="119" t="str">
        <f>IF(EQ20="","",IF(EQ20&gt;0,ER20,-1))</f>
        <v/>
      </c>
      <c r="EU20" s="119" t="str">
        <f>IF(EQ20="","",IF(EQ20&gt;0,ES20,-1))</f>
        <v/>
      </c>
      <c r="EV20" s="119" t="str">
        <f>IF(EQ20="","",IF(EQ20&gt;0,EU21,-1))</f>
        <v/>
      </c>
      <c r="EW20" s="119" t="str">
        <f>IF(EQ20="","",IF(EQ20&gt;0,ER20,-1))</f>
        <v/>
      </c>
      <c r="EX20" s="119" t="str">
        <f>IF(EQ20="","",IF(EQ20&gt;0,ET20,-1))</f>
        <v/>
      </c>
      <c r="EY20" s="1182" t="str">
        <f>IF(EQ20="","",IF(EQ20&gt;0,ET20,-1))</f>
        <v/>
      </c>
      <c r="EZ20" s="123" t="str">
        <f t="shared" ref="EZ20:FG20" si="180">IF(ISNUMBER(AD22),AD22*$W23,"")</f>
        <v/>
      </c>
      <c r="FA20" s="116" t="str">
        <f t="shared" si="180"/>
        <v/>
      </c>
      <c r="FB20" s="116" t="str">
        <f t="shared" si="180"/>
        <v/>
      </c>
      <c r="FC20" s="116" t="str">
        <f t="shared" si="180"/>
        <v/>
      </c>
      <c r="FD20" s="116" t="str">
        <f t="shared" si="180"/>
        <v/>
      </c>
      <c r="FE20" s="116" t="str">
        <f t="shared" si="180"/>
        <v/>
      </c>
      <c r="FF20" s="116" t="str">
        <f t="shared" si="180"/>
        <v/>
      </c>
      <c r="FG20" s="116" t="str">
        <f t="shared" si="180"/>
        <v/>
      </c>
      <c r="FH20" s="116" t="str">
        <f>IF(EZ20&lt;&gt;"",AVERAGE(EZ20:FG20),"")</f>
        <v/>
      </c>
      <c r="FI20" s="119" t="str">
        <f t="shared" ref="FI20:FP21" si="181">IF(ISERROR(EZ22*EZ23),"",EZ22*EZ23)</f>
        <v/>
      </c>
      <c r="FJ20" s="119" t="str">
        <f t="shared" si="181"/>
        <v/>
      </c>
      <c r="FK20" s="119" t="str">
        <f t="shared" si="181"/>
        <v/>
      </c>
      <c r="FL20" s="119" t="str">
        <f t="shared" si="181"/>
        <v/>
      </c>
      <c r="FM20" s="119" t="str">
        <f t="shared" si="181"/>
        <v/>
      </c>
      <c r="FN20" s="119" t="str">
        <f t="shared" si="181"/>
        <v/>
      </c>
      <c r="FO20" s="119" t="str">
        <f t="shared" si="181"/>
        <v/>
      </c>
      <c r="FP20" s="119" t="str">
        <f t="shared" si="181"/>
        <v/>
      </c>
      <c r="FQ20" s="119" t="str">
        <f>IF(FI20&lt;&gt;"",SUM(FI20:FP20),"")</f>
        <v/>
      </c>
      <c r="FR20" s="120" t="str">
        <f>IF(FL24&lt;&gt;"",(FR19-FL24)/FL23,"")</f>
        <v/>
      </c>
      <c r="FS20" s="119" t="str">
        <f>IF(FR20="","",IF(FR20&gt;0,FV21+FR20,-1))</f>
        <v/>
      </c>
      <c r="FT20" s="119" t="str">
        <f>IF(FR20="","",IF(FR20&gt;0,FX21+FR20,-1))</f>
        <v/>
      </c>
      <c r="FU20" s="119" t="str">
        <f>IF(FR20="","",IF(FR20&gt;0,FS20,-1))</f>
        <v/>
      </c>
      <c r="FV20" s="119" t="str">
        <f>IF(FR20="","",IF(FR20&gt;0,FT20,-1))</f>
        <v/>
      </c>
      <c r="FW20" s="119" t="str">
        <f>IF(FR20="","",IF(FR20&gt;0,FV21,-1))</f>
        <v/>
      </c>
      <c r="FX20" s="119" t="str">
        <f>IF(FR20="","",IF(FR20&gt;0,FS20,-1))</f>
        <v/>
      </c>
      <c r="FY20" s="119" t="str">
        <f>IF(FR20="","",IF(FR20&gt;0,FU20,-1))</f>
        <v/>
      </c>
      <c r="FZ20" s="1182" t="str">
        <f>IF(FR20="","",IF(FR20&gt;0,FU20,-1))</f>
        <v/>
      </c>
      <c r="GA20" s="123" t="str">
        <f t="shared" ref="GA20:GH20" si="182">IF(ISNUMBER(AD23),AD23*$W23,"")</f>
        <v/>
      </c>
      <c r="GB20" s="116" t="str">
        <f t="shared" si="182"/>
        <v/>
      </c>
      <c r="GC20" s="116" t="str">
        <f t="shared" si="182"/>
        <v/>
      </c>
      <c r="GD20" s="116" t="str">
        <f t="shared" si="182"/>
        <v/>
      </c>
      <c r="GE20" s="116" t="str">
        <f t="shared" si="182"/>
        <v/>
      </c>
      <c r="GF20" s="116" t="str">
        <f t="shared" si="182"/>
        <v/>
      </c>
      <c r="GG20" s="116" t="str">
        <f t="shared" si="182"/>
        <v/>
      </c>
      <c r="GH20" s="116" t="str">
        <f t="shared" si="182"/>
        <v/>
      </c>
      <c r="GI20" s="116" t="str">
        <f>IF(GA20&lt;&gt;"",AVERAGE(GA20:GH20),"")</f>
        <v/>
      </c>
      <c r="GJ20" s="119" t="str">
        <f t="shared" ref="GJ20:GQ21" si="183">IF(ISERROR(GA22*GA23),"",GA22*GA23)</f>
        <v/>
      </c>
      <c r="GK20" s="119" t="str">
        <f t="shared" si="183"/>
        <v/>
      </c>
      <c r="GL20" s="119" t="str">
        <f t="shared" si="183"/>
        <v/>
      </c>
      <c r="GM20" s="119" t="str">
        <f t="shared" si="183"/>
        <v/>
      </c>
      <c r="GN20" s="119" t="str">
        <f t="shared" si="183"/>
        <v/>
      </c>
      <c r="GO20" s="119" t="str">
        <f t="shared" si="183"/>
        <v/>
      </c>
      <c r="GP20" s="119" t="str">
        <f t="shared" si="183"/>
        <v/>
      </c>
      <c r="GQ20" s="119" t="str">
        <f t="shared" si="183"/>
        <v/>
      </c>
      <c r="GR20" s="119" t="str">
        <f>IF(GJ20&lt;&gt;"",SUM(GJ20:GQ20),"")</f>
        <v/>
      </c>
      <c r="GS20" s="120" t="str">
        <f>IF(GM24&lt;&gt;"",(GS19-GM24)/GM23,"")</f>
        <v/>
      </c>
      <c r="GT20" s="119" t="str">
        <f>IF(GS20="","",IF(GS20&gt;0,GW21+GS20,-1))</f>
        <v/>
      </c>
      <c r="GU20" s="119" t="str">
        <f>IF(GS20="","",IF(GS20&gt;0,GY21+GS20,-1))</f>
        <v/>
      </c>
      <c r="GV20" s="119" t="str">
        <f>IF(GS20="","",IF(GS20&gt;0,GT20,-1))</f>
        <v/>
      </c>
      <c r="GW20" s="119" t="str">
        <f>IF(GS20="","",IF(GS20&gt;0,GU20,-1))</f>
        <v/>
      </c>
      <c r="GX20" s="119" t="str">
        <f>IF(GS20="","",IF(GS20&gt;0,GW21,-1))</f>
        <v/>
      </c>
      <c r="GY20" s="119" t="str">
        <f>IF(GS20="","",IF(GS20&gt;0,GT20,-1))</f>
        <v/>
      </c>
      <c r="GZ20" s="119" t="str">
        <f>IF(GS20="","",IF(GS20&gt;0,GV20,-1))</f>
        <v/>
      </c>
      <c r="HA20" s="1182" t="str">
        <f>IF(GS20="","",IF(GS20&gt;0,GV20,-1))</f>
        <v/>
      </c>
      <c r="HB20" s="123" t="str">
        <f t="shared" ref="HB20:HI20" si="184">IF(ISNUMBER(AD24),AD24*$W23,"")</f>
        <v/>
      </c>
      <c r="HC20" s="116" t="str">
        <f t="shared" si="184"/>
        <v/>
      </c>
      <c r="HD20" s="116" t="str">
        <f t="shared" si="184"/>
        <v/>
      </c>
      <c r="HE20" s="116" t="str">
        <f t="shared" si="184"/>
        <v/>
      </c>
      <c r="HF20" s="116" t="str">
        <f t="shared" si="184"/>
        <v/>
      </c>
      <c r="HG20" s="116" t="str">
        <f t="shared" si="184"/>
        <v/>
      </c>
      <c r="HH20" s="116" t="str">
        <f t="shared" si="184"/>
        <v/>
      </c>
      <c r="HI20" s="116" t="str">
        <f t="shared" si="184"/>
        <v/>
      </c>
      <c r="HJ20" s="116" t="str">
        <f>IF(HB20&lt;&gt;"",AVERAGE(HB20:HI20),"")</f>
        <v/>
      </c>
      <c r="HK20" s="119" t="str">
        <f t="shared" ref="HK20:HR21" si="185">IF(ISERROR(HB22*HB23),"",HB22*HB23)</f>
        <v/>
      </c>
      <c r="HL20" s="119" t="str">
        <f t="shared" si="185"/>
        <v/>
      </c>
      <c r="HM20" s="119" t="str">
        <f t="shared" si="185"/>
        <v/>
      </c>
      <c r="HN20" s="119" t="str">
        <f t="shared" si="185"/>
        <v/>
      </c>
      <c r="HO20" s="119" t="str">
        <f t="shared" si="185"/>
        <v/>
      </c>
      <c r="HP20" s="119" t="str">
        <f t="shared" si="185"/>
        <v/>
      </c>
      <c r="HQ20" s="119" t="str">
        <f t="shared" si="185"/>
        <v/>
      </c>
      <c r="HR20" s="119" t="str">
        <f t="shared" si="185"/>
        <v/>
      </c>
      <c r="HS20" s="119" t="str">
        <f>IF(HK20&lt;&gt;"",SUM(HK20:HR20),"")</f>
        <v/>
      </c>
      <c r="HT20" s="120" t="str">
        <f>IF(HN24&lt;&gt;"",(HT19-HN24)/HN23,"")</f>
        <v/>
      </c>
      <c r="HU20" s="119" t="str">
        <f>IF(HT20="","",IF(HT20&gt;0,HX21+HT20,-1))</f>
        <v/>
      </c>
      <c r="HV20" s="119" t="str">
        <f>IF(HT20="","",IF(HT20&gt;0,HZ21+HT20,-1))</f>
        <v/>
      </c>
      <c r="HW20" s="119" t="str">
        <f>IF(HT20="","",IF(HT20&gt;0,HU20,-1))</f>
        <v/>
      </c>
      <c r="HX20" s="119" t="str">
        <f>IF(HT20="","",IF(HT20&gt;0,HV20,-1))</f>
        <v/>
      </c>
      <c r="HY20" s="119" t="str">
        <f>IF(HT20="","",IF(HT20&gt;0,HX21,-1))</f>
        <v/>
      </c>
      <c r="HZ20" s="119" t="str">
        <f>IF(HT20="","",IF(HT20&gt;0,HU20,-1))</f>
        <v/>
      </c>
      <c r="IA20" s="119" t="str">
        <f>IF(HT20="","",IF(HT20&gt;0,HW20,-1))</f>
        <v/>
      </c>
      <c r="IB20" s="1182" t="str">
        <f>IF(HT20="","",IF(HT20&gt;0,HW20,-1))</f>
        <v/>
      </c>
      <c r="IC20" s="123" t="str">
        <f t="shared" ref="IC20:IJ20" si="186">IF(ISNUMBER(AD25),AD25*$W23,"")</f>
        <v/>
      </c>
      <c r="ID20" s="116" t="str">
        <f t="shared" si="186"/>
        <v/>
      </c>
      <c r="IE20" s="116" t="str">
        <f t="shared" si="186"/>
        <v/>
      </c>
      <c r="IF20" s="116" t="str">
        <f t="shared" si="186"/>
        <v/>
      </c>
      <c r="IG20" s="116" t="str">
        <f t="shared" si="186"/>
        <v/>
      </c>
      <c r="IH20" s="116" t="str">
        <f t="shared" si="186"/>
        <v/>
      </c>
      <c r="II20" s="116" t="str">
        <f t="shared" si="186"/>
        <v/>
      </c>
      <c r="IJ20" s="116" t="str">
        <f t="shared" si="186"/>
        <v/>
      </c>
      <c r="IK20" s="116" t="str">
        <f>IF(IC20&lt;&gt;"",AVERAGE(IC20:IJ20),"")</f>
        <v/>
      </c>
      <c r="IL20" s="119" t="str">
        <f t="shared" ref="IL20:IS21" si="187">IF(ISERROR(IC22*IC23),"",IC22*IC23)</f>
        <v/>
      </c>
      <c r="IM20" s="119" t="str">
        <f t="shared" si="187"/>
        <v/>
      </c>
      <c r="IN20" s="119" t="str">
        <f t="shared" si="187"/>
        <v/>
      </c>
      <c r="IO20" s="119" t="str">
        <f t="shared" si="187"/>
        <v/>
      </c>
      <c r="IP20" s="119" t="str">
        <f t="shared" si="187"/>
        <v/>
      </c>
      <c r="IQ20" s="119" t="str">
        <f t="shared" si="187"/>
        <v/>
      </c>
      <c r="IR20" s="119" t="str">
        <f t="shared" si="187"/>
        <v/>
      </c>
      <c r="IS20" s="119" t="str">
        <f t="shared" si="187"/>
        <v/>
      </c>
      <c r="IT20" s="119" t="str">
        <f>IF(IL20&lt;&gt;"",SUM(IL20:IS20),"")</f>
        <v/>
      </c>
      <c r="IU20" s="120" t="str">
        <f>IF(IO24&lt;&gt;"",(IU19-IO24)/IO23,"")</f>
        <v/>
      </c>
      <c r="IV20" s="119" t="str">
        <f>IF(IU20="","",IF(IU20&gt;0,IY21+IU20,-1))</f>
        <v/>
      </c>
      <c r="IW20" s="119" t="str">
        <f>IF(IU20="","",IF(IU20&gt;0,JA21+IU20,-1))</f>
        <v/>
      </c>
      <c r="IX20" s="119" t="str">
        <f>IF(IU20="","",IF(IU20&gt;0,IV20,-1))</f>
        <v/>
      </c>
      <c r="IY20" s="119" t="str">
        <f>IF(IU20="","",IF(IU20&gt;0,IW20,-1))</f>
        <v/>
      </c>
      <c r="IZ20" s="119" t="str">
        <f>IF(IU20="","",IF(IU20&gt;0,IY21,-1))</f>
        <v/>
      </c>
      <c r="JA20" s="119" t="str">
        <f>IF(IU20="","",IF(IU20&gt;0,IV20,-1))</f>
        <v/>
      </c>
      <c r="JB20" s="119" t="str">
        <f>IF(IU20="","",IF(IU20&gt;0,IX20,-1))</f>
        <v/>
      </c>
      <c r="JC20" s="1182" t="str">
        <f>IF(IU20="","",IF(IU20&gt;0,IX20,-1))</f>
        <v/>
      </c>
      <c r="JD20" s="150">
        <f t="shared" si="169"/>
        <v>2</v>
      </c>
      <c r="JE20" s="144" t="str">
        <f>IF(JD19&lt;&gt;"",MAX(DV25,DX25),"")</f>
        <v/>
      </c>
      <c r="JF20" s="144">
        <f>IF(JD20&lt;&gt;"",MAX(EW25,EY25),"")</f>
        <v>0</v>
      </c>
      <c r="JG20" s="144">
        <f>IF(JD21&lt;&gt;"",MAX(FX25,FZ25),"")</f>
        <v>0</v>
      </c>
      <c r="JH20" s="144">
        <f>IF(JD22&lt;&gt;"",MAX(GY25,HA25),"")</f>
        <v>0</v>
      </c>
      <c r="JI20" s="144" t="str">
        <f>IF(JD23&lt;&gt;"",MAX(HZ25,IB25),"")</f>
        <v/>
      </c>
      <c r="JJ20" s="144" t="str">
        <f>IF(JJ19&lt;&gt;"",MAX(JA25,JC25),"")</f>
        <v/>
      </c>
      <c r="JK20" s="148">
        <f>AVERAGE(JE20:JJ20)</f>
        <v>0</v>
      </c>
      <c r="JL20" s="75" t="str">
        <f t="shared" ref="JL20:JQ20" si="188">IF(ISNUMBER(JE24),JE24^2,"")</f>
        <v/>
      </c>
      <c r="JM20" s="75">
        <f t="shared" si="188"/>
        <v>9.8986769770966143E-7</v>
      </c>
      <c r="JN20" s="75">
        <f t="shared" si="188"/>
        <v>4.7957972310215869E-9</v>
      </c>
      <c r="JO20" s="75">
        <f t="shared" si="188"/>
        <v>1.1324634189428944E-6</v>
      </c>
      <c r="JP20" s="75" t="str">
        <f t="shared" si="188"/>
        <v/>
      </c>
      <c r="JQ20" s="75" t="str">
        <f t="shared" si="188"/>
        <v/>
      </c>
      <c r="JR20" s="65">
        <f>SUM(JL20:JQ20)</f>
        <v>2.1271269138835774E-6</v>
      </c>
      <c r="JS20" s="138" t="s">
        <v>47</v>
      </c>
      <c r="JT20" s="1183" t="e">
        <f>JM25*JT19^2+JO25*JT19+JQ25</f>
        <v>#DIV/0!</v>
      </c>
      <c r="JU20" s="123">
        <f>IF(T21&lt;&gt;0,LOOKUP(T21,Tara!$G$6:$G$185,Tara!$J$6:$J$185)/10,"")</f>
        <v>11.494</v>
      </c>
      <c r="JV20" s="116">
        <f t="shared" si="171"/>
        <v>0</v>
      </c>
      <c r="JW20" s="155">
        <f t="shared" si="172"/>
        <v>0</v>
      </c>
      <c r="JX20" s="120" t="str">
        <f>IF(JD19&lt;&gt;"",JW19*100,"")</f>
        <v/>
      </c>
      <c r="JY20" s="120">
        <f>IF(JD20&lt;&gt;"",JW20*100,"")</f>
        <v>0</v>
      </c>
      <c r="JZ20" s="120">
        <f>IF(JD21&lt;&gt;"",JW21*100,"")</f>
        <v>0</v>
      </c>
      <c r="KA20" s="120">
        <f>IF(JD22&lt;&gt;"",JW22*100,"")</f>
        <v>0</v>
      </c>
      <c r="KB20" s="120" t="str">
        <f>IF(JD23&lt;&gt;"",JW23*100,"")</f>
        <v/>
      </c>
      <c r="KC20" s="120" t="str">
        <f>IF(KC19&lt;&gt;"",JW24*100,"")</f>
        <v/>
      </c>
      <c r="KD20" s="148">
        <f>AVERAGE(JX20:KC20)</f>
        <v>0</v>
      </c>
      <c r="KE20" s="75" t="str">
        <f t="shared" ref="KE20:KJ20" si="189">IF(ISNUMBER(JX24),JX24^2,"")</f>
        <v/>
      </c>
      <c r="KF20" s="75">
        <f t="shared" si="189"/>
        <v>9.8986769770966143E-7</v>
      </c>
      <c r="KG20" s="75">
        <f t="shared" si="189"/>
        <v>4.7957972310215869E-9</v>
      </c>
      <c r="KH20" s="75">
        <f t="shared" si="189"/>
        <v>1.1324634189428944E-6</v>
      </c>
      <c r="KI20" s="75" t="str">
        <f t="shared" si="189"/>
        <v/>
      </c>
      <c r="KJ20" s="75" t="str">
        <f t="shared" si="189"/>
        <v/>
      </c>
      <c r="KK20" s="65">
        <f>SUM(KE20:KJ20)</f>
        <v>2.1271269138835774E-6</v>
      </c>
      <c r="KL20" s="138" t="s">
        <v>47</v>
      </c>
      <c r="KM20" s="1184" t="e">
        <f>KF25*KM19^2+KH25*KM19+KJ25</f>
        <v>#DIV/0!</v>
      </c>
      <c r="KN20" s="167" t="str">
        <f>IF(ISNUMBER(AN19),LOOKUP(AN19,Tara!$A$6:$A$185,Tara!$B$6:$B$185),"")</f>
        <v/>
      </c>
      <c r="KO20" s="161" t="str">
        <f>IF(ISNUMBER(AO19),LOOKUP(AO19,Tara!$A$6:$A$185,Tara!$B$6:$B$185),"")</f>
        <v/>
      </c>
      <c r="KP20" s="161" t="str">
        <f>IF(ISNUMBER(AP19),LOOKUP(AP19,Tara!$A$6:$A$185,Tara!$B$6:$B$185),"")</f>
        <v/>
      </c>
      <c r="KQ20" s="161" t="str">
        <f>IF(ISNUMBER(AQ19),LOOKUP(AQ19,Tara!$A$6:$A$185,Tara!$B$6:$B$185),"")</f>
        <v/>
      </c>
      <c r="KR20" s="1185" t="str">
        <f>IF(ISNUMBER(AR19),LOOKUP(AR19,Tara!$A$6:$A$185,Tara!$B$6:$B$185),"")</f>
        <v/>
      </c>
      <c r="KS20" s="167" t="str">
        <f>IF(ISNUMBER(AN23),LOOKUP(AN23,Tara!$E$6:$E$185,Tara!$F$6:$F$185),"")</f>
        <v/>
      </c>
      <c r="KT20" s="161" t="str">
        <f>IF(ISNUMBER(AO23),LOOKUP(AO23,Tara!$E$6:$E$185,Tara!$F$6:$F$185),"")</f>
        <v/>
      </c>
      <c r="KU20" s="161" t="str">
        <f>IF(ISNUMBER(AP23),LOOKUP(AP23,Tara!$E$6:$E$185,Tara!$F$6:$F$185),"")</f>
        <v/>
      </c>
      <c r="KV20" s="161" t="str">
        <f>IF(ISNUMBER(AQ23),LOOKUP(AQ23,Tara!$E$6:$E$185,Tara!$F$6:$F$185),"")</f>
        <v/>
      </c>
      <c r="KW20" s="161" t="str">
        <f>IF(ISNUMBER(AR23),LOOKUP(AR23,Tara!$E$6:$E$185,Tara!$F$6:$F$185),"")</f>
        <v/>
      </c>
      <c r="KX20" s="1275"/>
      <c r="KY20" s="195" t="str">
        <f>IF(AX24&lt;&gt;"",AX24,"")</f>
        <v/>
      </c>
      <c r="KZ20" s="1186" t="str">
        <f>IF(BA24&lt;&gt;"",BA24,"")</f>
        <v/>
      </c>
      <c r="LA20" s="167">
        <f>IF(ISNUMBER(AT23),LOOKUP(AT23,Tara!$C$6:$C$185,Tara!$D$6:$D$185),"")</f>
        <v>26.16</v>
      </c>
      <c r="LB20" s="161">
        <f>IF(ISNUMBER(AW23),LOOKUP(AW23,Tara!$C$6:$C$185,Tara!$D$6:$D$185),"")</f>
        <v>26.16</v>
      </c>
      <c r="LC20" s="120">
        <f>IF(BG23&lt;&gt;"",BG23,"")</f>
        <v>2000</v>
      </c>
      <c r="LD20" s="120">
        <f>IF(BH23&lt;&gt;"",BH23,"")</f>
        <v>100</v>
      </c>
      <c r="LE20" s="120">
        <f t="shared" ref="LE20:LK20" si="190">IF(AZ23&lt;&gt;"",AZ23,"")</f>
        <v>0</v>
      </c>
      <c r="LF20" s="120">
        <f t="shared" si="190"/>
        <v>0</v>
      </c>
      <c r="LG20" s="120">
        <f t="shared" si="190"/>
        <v>0</v>
      </c>
      <c r="LH20" s="120">
        <f t="shared" si="190"/>
        <v>0</v>
      </c>
      <c r="LI20" s="120">
        <f t="shared" si="190"/>
        <v>670.55</v>
      </c>
      <c r="LJ20" s="120">
        <f t="shared" si="190"/>
        <v>295.89</v>
      </c>
      <c r="LK20" s="120">
        <f t="shared" si="190"/>
        <v>147.08000000000001</v>
      </c>
      <c r="LL20" s="120">
        <f>IF(BI23&lt;&gt;"",BI23,"")</f>
        <v>7.26</v>
      </c>
      <c r="LM20" s="1187">
        <f>IF(BK23&lt;&gt;"",BK23,"")</f>
        <v>55.61</v>
      </c>
      <c r="LN20" s="185" t="b">
        <f>IF(LM23="","",IF(AND(LE23&gt;=93%,LE23&lt;=100%,LI23&gt;=23%,LI23&lt;=72%,LJ23&gt;20%,LJ23&lt;=60%,LK23&gt;=10%,LK23&lt;=45%,LL23&gt;=6%,LL23&lt;=22%,LM23&gt;=0%,LM23&lt;=10%),"Faixa A"))</f>
        <v>0</v>
      </c>
      <c r="LO20" s="181" t="str">
        <f>IF(LM23="","",IF(AND(LG23&gt;=93%,LG23&lt;=100%,LJ23&gt;=50%,LJ23&lt;=100%,LK23&gt;=35%,LK23&lt;=100%,LL23&gt;=18%,LL23&lt;=52%,LM23&gt;=4%,LM23&lt;=22%),"Faixa E"))</f>
        <v>Faixa E</v>
      </c>
      <c r="LP20" s="181"/>
      <c r="LQ20" s="206"/>
      <c r="LR20" s="1188" t="s">
        <v>48</v>
      </c>
      <c r="LS20" s="214"/>
      <c r="LT20" s="119"/>
      <c r="LU20" s="119"/>
      <c r="LV20" s="119"/>
      <c r="LW20" s="119"/>
      <c r="LX20" s="119"/>
      <c r="LY20" s="119"/>
      <c r="LZ20" s="119"/>
      <c r="MA20" s="119"/>
      <c r="MB20" s="119"/>
      <c r="MC20" s="119"/>
      <c r="MD20" s="119"/>
      <c r="ME20" s="1182"/>
      <c r="MF20" s="1276" t="s">
        <v>49</v>
      </c>
      <c r="MG20" s="1277"/>
      <c r="MH20" s="1277"/>
      <c r="MI20" s="1277" t="s">
        <v>50</v>
      </c>
      <c r="MJ20" s="1277"/>
      <c r="MK20" s="1277"/>
      <c r="ML20" s="1277"/>
      <c r="MM20" s="1277"/>
      <c r="MN20" s="1277"/>
      <c r="MO20" s="1277"/>
      <c r="MP20" s="1277"/>
      <c r="MQ20" s="1277"/>
      <c r="MR20" s="1277"/>
      <c r="MS20" s="1277" t="s">
        <v>51</v>
      </c>
      <c r="MT20" s="1277"/>
      <c r="MU20" s="1277"/>
      <c r="MV20" s="1277"/>
      <c r="MW20" s="1277"/>
      <c r="MX20" s="1277"/>
      <c r="MY20" s="1277"/>
      <c r="MZ20" s="1277" t="s">
        <v>52</v>
      </c>
      <c r="NA20" s="1277"/>
      <c r="NB20" s="1277"/>
      <c r="NC20" s="1277"/>
      <c r="ND20" s="1277" t="s">
        <v>53</v>
      </c>
      <c r="NE20" s="1277"/>
      <c r="NF20" s="1277"/>
      <c r="NG20" s="1277" t="s">
        <v>54</v>
      </c>
      <c r="NH20" s="1277"/>
      <c r="NI20" s="1277"/>
      <c r="NJ20" s="1277"/>
      <c r="NK20" s="1277"/>
      <c r="NL20" s="1277"/>
      <c r="NM20" s="1277"/>
      <c r="NN20" s="1277"/>
      <c r="NO20" s="1277"/>
      <c r="NP20" s="1277"/>
      <c r="NQ20" s="1277"/>
      <c r="NR20" s="1277"/>
      <c r="NS20" s="1277"/>
      <c r="NT20" s="1277"/>
      <c r="NU20" s="1277"/>
      <c r="NV20" s="1277"/>
      <c r="NW20" s="1277"/>
      <c r="NX20" s="1277"/>
      <c r="NY20" s="1277"/>
      <c r="NZ20" s="1277"/>
      <c r="OA20" s="1277"/>
      <c r="OB20" s="1277"/>
      <c r="OC20" s="1277"/>
      <c r="OD20" s="1278"/>
      <c r="OE20" s="701"/>
      <c r="OF20" s="132"/>
      <c r="OG20" s="132"/>
      <c r="OH20" s="132"/>
      <c r="OI20" s="57"/>
      <c r="OJ20" s="57"/>
      <c r="OK20" s="57"/>
      <c r="OL20" s="57"/>
      <c r="OM20" s="57"/>
      <c r="ON20" s="57"/>
      <c r="OO20" s="57"/>
      <c r="OP20" s="57"/>
      <c r="OQ20" s="57"/>
      <c r="OR20" s="57"/>
      <c r="OS20" s="57"/>
      <c r="OT20" s="57"/>
      <c r="OU20" s="57"/>
      <c r="OV20" s="57"/>
      <c r="OW20" s="57"/>
      <c r="OX20" s="57"/>
      <c r="OY20" s="57"/>
      <c r="OZ20" s="57"/>
      <c r="PA20" s="57"/>
      <c r="PB20" s="57"/>
      <c r="PC20" s="57"/>
      <c r="PD20" s="57"/>
      <c r="PE20" s="57"/>
      <c r="PF20" s="57"/>
      <c r="PG20" s="57"/>
      <c r="PH20" s="57"/>
      <c r="PI20" s="57"/>
      <c r="PJ20" s="57"/>
      <c r="PK20" s="57"/>
      <c r="PL20" s="57"/>
      <c r="PM20" s="57"/>
      <c r="PN20" s="57"/>
      <c r="PO20" s="57"/>
      <c r="PP20" s="57"/>
      <c r="PQ20" s="57"/>
      <c r="PR20" s="57"/>
      <c r="PS20" s="57"/>
      <c r="PT20" s="57"/>
      <c r="PU20" s="57"/>
      <c r="PV20" s="57"/>
      <c r="PW20" s="57"/>
      <c r="PX20" s="57"/>
      <c r="PY20" s="57"/>
      <c r="PZ20" s="57"/>
      <c r="QA20" s="57"/>
      <c r="QB20" s="57"/>
      <c r="QC20" s="57"/>
      <c r="QD20" s="57"/>
      <c r="QE20" s="57"/>
      <c r="QF20" s="57"/>
      <c r="QG20" s="57"/>
      <c r="QH20" s="57"/>
      <c r="QI20" s="57"/>
      <c r="QJ20" s="57"/>
      <c r="QK20" s="57"/>
      <c r="QL20" s="57"/>
      <c r="QM20" s="57"/>
      <c r="QN20" s="57"/>
      <c r="QO20" s="57"/>
      <c r="QP20" s="57"/>
      <c r="QQ20" s="57"/>
      <c r="QR20" s="57"/>
      <c r="QS20" s="57"/>
      <c r="QT20" s="57"/>
      <c r="QU20" s="57"/>
      <c r="QV20" s="57"/>
      <c r="QW20" s="57"/>
      <c r="QX20" s="57"/>
      <c r="QY20" s="57"/>
      <c r="QZ20" s="57"/>
      <c r="RA20" s="57"/>
      <c r="RB20" s="57"/>
      <c r="RC20" s="57"/>
      <c r="RD20" s="57"/>
      <c r="RE20" s="57"/>
      <c r="RF20" s="57"/>
      <c r="RG20" s="57"/>
      <c r="RH20" s="57"/>
      <c r="RI20" s="57"/>
      <c r="RJ20" s="57"/>
      <c r="RK20" s="57"/>
      <c r="RL20" s="57"/>
      <c r="RM20" s="57"/>
      <c r="RN20" s="57"/>
      <c r="RO20" s="57"/>
      <c r="RP20" s="57"/>
      <c r="RQ20" s="57"/>
      <c r="RR20" s="57"/>
      <c r="RS20" s="57"/>
      <c r="RT20" s="57"/>
      <c r="RU20" s="57"/>
      <c r="RV20" s="57"/>
      <c r="RW20" s="57"/>
      <c r="RX20" s="57"/>
      <c r="RY20" s="57"/>
      <c r="RZ20" s="57"/>
      <c r="SA20" s="57"/>
      <c r="SB20" s="57"/>
      <c r="SC20" s="57"/>
      <c r="SD20" s="57"/>
      <c r="SE20" s="57"/>
      <c r="SF20" s="57"/>
      <c r="SG20" s="57"/>
      <c r="SH20" s="57"/>
      <c r="SI20" s="57"/>
      <c r="SJ20" s="57"/>
      <c r="SK20" s="57"/>
      <c r="SL20" s="57"/>
      <c r="SM20" s="57"/>
      <c r="SN20" s="57"/>
      <c r="SO20" s="57"/>
      <c r="SP20" s="57"/>
      <c r="SQ20" s="57"/>
      <c r="SR20" s="57"/>
      <c r="SS20" s="57"/>
      <c r="ST20" s="57"/>
      <c r="SU20" s="57"/>
      <c r="SV20" s="57"/>
      <c r="SW20" s="57"/>
      <c r="SX20" s="57"/>
      <c r="SY20" s="57"/>
      <c r="SZ20" s="57"/>
      <c r="TA20" s="57"/>
      <c r="TB20" s="57"/>
      <c r="TC20" s="57"/>
      <c r="TD20" s="57"/>
      <c r="TE20" s="57"/>
      <c r="TF20" s="57"/>
      <c r="TG20" s="57"/>
      <c r="TH20" s="57"/>
      <c r="TI20" s="57"/>
      <c r="TJ20" s="57"/>
      <c r="TK20" s="57"/>
      <c r="TL20" s="57"/>
      <c r="TM20" s="57"/>
      <c r="TN20" s="57"/>
      <c r="TO20" s="57"/>
      <c r="TP20" s="57"/>
      <c r="TQ20" s="57"/>
      <c r="TR20" s="57"/>
      <c r="TS20" s="57"/>
      <c r="TT20" s="57"/>
      <c r="TU20" s="57"/>
      <c r="TV20" s="57"/>
      <c r="TW20" s="57"/>
      <c r="TX20" s="57"/>
      <c r="TY20" s="57"/>
      <c r="TZ20" s="57"/>
      <c r="UA20" s="57"/>
      <c r="UB20" s="57"/>
      <c r="UC20" s="57"/>
      <c r="UD20" s="57"/>
      <c r="UE20" s="57"/>
      <c r="UF20" s="57"/>
      <c r="UG20" s="57"/>
      <c r="UH20" s="57"/>
      <c r="UI20" s="57"/>
      <c r="UJ20" s="57"/>
      <c r="UK20" s="57"/>
      <c r="UL20" s="57"/>
      <c r="UM20" s="57"/>
      <c r="UN20" s="57"/>
      <c r="UO20" s="57"/>
      <c r="UP20" s="57"/>
      <c r="UQ20" s="57"/>
      <c r="UR20" s="57"/>
      <c r="US20" s="57"/>
      <c r="UT20" s="57"/>
      <c r="UU20" s="57"/>
      <c r="UV20" s="57"/>
      <c r="UW20" s="57"/>
      <c r="UX20" s="57"/>
      <c r="UY20" s="57"/>
      <c r="UZ20" s="57"/>
      <c r="VA20" s="57"/>
      <c r="VB20" s="57"/>
      <c r="VC20" s="57"/>
      <c r="VD20" s="57"/>
      <c r="VE20" s="57"/>
      <c r="VF20" s="57"/>
      <c r="VG20" s="57"/>
      <c r="VH20" s="57"/>
      <c r="VI20" s="57"/>
      <c r="VJ20" s="57"/>
      <c r="VK20" s="57"/>
      <c r="VL20" s="57"/>
      <c r="VM20" s="57"/>
      <c r="VN20" s="57"/>
      <c r="VO20" s="57"/>
      <c r="VP20" s="57"/>
      <c r="VQ20" s="57"/>
      <c r="VR20" s="57"/>
      <c r="VS20" s="57"/>
      <c r="VT20" s="57"/>
      <c r="VU20" s="57"/>
      <c r="VV20" s="57"/>
      <c r="VW20" s="57"/>
      <c r="VX20" s="57"/>
      <c r="VY20" s="57"/>
      <c r="VZ20" s="57"/>
      <c r="WA20" s="57"/>
      <c r="WB20" s="57"/>
      <c r="WC20" s="57"/>
      <c r="WD20" s="57"/>
      <c r="WE20" s="57"/>
      <c r="WF20" s="57"/>
      <c r="WG20" s="57"/>
      <c r="WH20" s="57"/>
      <c r="WI20" s="57"/>
      <c r="WJ20" s="57"/>
      <c r="WK20" s="57"/>
      <c r="WL20" s="57"/>
      <c r="WM20" s="57"/>
      <c r="WN20" s="57"/>
      <c r="WO20" s="57"/>
      <c r="WP20" s="57"/>
      <c r="WQ20" s="57"/>
      <c r="WR20" s="57"/>
      <c r="WS20" s="57"/>
      <c r="WT20" s="57"/>
      <c r="WU20" s="57"/>
      <c r="WV20" s="57"/>
      <c r="WW20" s="57"/>
      <c r="WX20" s="57"/>
      <c r="WY20" s="57"/>
      <c r="WZ20" s="57"/>
      <c r="XA20" s="57"/>
      <c r="XB20" s="57"/>
      <c r="XC20" s="57"/>
      <c r="XD20" s="57"/>
      <c r="XE20" s="57"/>
      <c r="XF20" s="57"/>
      <c r="XG20" s="57"/>
      <c r="XH20" s="57"/>
      <c r="XI20" s="57"/>
      <c r="XJ20" s="57"/>
      <c r="XK20" s="57"/>
      <c r="XL20" s="57"/>
      <c r="XM20" s="57"/>
      <c r="XN20" s="57"/>
      <c r="XO20" s="57"/>
      <c r="XP20" s="57"/>
      <c r="XQ20" s="57"/>
      <c r="XR20" s="57"/>
      <c r="XS20" s="57"/>
      <c r="XT20" s="57"/>
      <c r="XU20" s="57"/>
      <c r="XV20" s="57"/>
      <c r="XW20" s="57"/>
      <c r="XX20" s="57"/>
      <c r="XY20" s="57"/>
      <c r="XZ20" s="57"/>
      <c r="YA20" s="57"/>
      <c r="YB20" s="57"/>
      <c r="YC20" s="57"/>
      <c r="YD20" s="57"/>
      <c r="YE20" s="57"/>
      <c r="YF20" s="57"/>
      <c r="YG20" s="57"/>
      <c r="YH20" s="57"/>
      <c r="YI20" s="57"/>
      <c r="YJ20" s="57"/>
      <c r="YK20" s="57"/>
      <c r="YL20" s="57"/>
      <c r="YM20" s="57"/>
      <c r="YN20" s="57"/>
      <c r="YO20" s="57"/>
      <c r="YP20" s="57"/>
      <c r="YQ20" s="57"/>
      <c r="YR20" s="57"/>
      <c r="YS20" s="57"/>
      <c r="YT20" s="57"/>
      <c r="YU20" s="57"/>
      <c r="YV20" s="57"/>
      <c r="YW20" s="57"/>
      <c r="YX20" s="57"/>
      <c r="YY20" s="57"/>
      <c r="YZ20" s="57"/>
      <c r="ZA20" s="57"/>
      <c r="ZB20" s="57"/>
      <c r="ZC20" s="57"/>
      <c r="ZD20" s="57"/>
      <c r="ZE20" s="57"/>
      <c r="ZF20" s="57"/>
      <c r="ZG20" s="57"/>
      <c r="ZH20" s="57"/>
      <c r="ZI20" s="57"/>
      <c r="ZJ20" s="57"/>
      <c r="ZK20" s="57"/>
      <c r="ZL20" s="57"/>
      <c r="ZM20" s="57"/>
      <c r="ZN20" s="57"/>
      <c r="ZO20" s="57"/>
      <c r="ZP20" s="57"/>
      <c r="ZQ20" s="57"/>
      <c r="ZR20" s="57"/>
      <c r="ZS20" s="57"/>
      <c r="ZT20" s="57"/>
      <c r="ZU20" s="57"/>
      <c r="ZV20" s="57"/>
      <c r="ZW20" s="57"/>
      <c r="ZX20" s="57"/>
      <c r="ZY20" s="57"/>
      <c r="ZZ20" s="57"/>
      <c r="AAA20" s="57"/>
      <c r="AAB20" s="57"/>
      <c r="AAC20" s="57"/>
      <c r="AAD20" s="57"/>
      <c r="AAE20" s="57"/>
      <c r="AAF20" s="57"/>
      <c r="AAG20" s="57"/>
      <c r="AAH20" s="57"/>
      <c r="AAI20" s="57"/>
      <c r="AAJ20" s="57"/>
      <c r="AAK20" s="57"/>
      <c r="AAL20" s="57"/>
      <c r="AAM20" s="57"/>
      <c r="AAN20" s="57"/>
      <c r="AAO20" s="57"/>
      <c r="AAP20" s="57"/>
      <c r="AAQ20" s="57"/>
      <c r="AAR20" s="57"/>
      <c r="AAS20" s="57"/>
      <c r="AAT20" s="57"/>
      <c r="AAU20" s="57"/>
      <c r="AAV20" s="57"/>
      <c r="AAW20" s="57"/>
      <c r="AAX20" s="57"/>
      <c r="AAY20" s="57"/>
      <c r="AAZ20" s="57"/>
      <c r="ABA20" s="57"/>
      <c r="ABB20" s="57"/>
      <c r="ABC20" s="57"/>
      <c r="ABD20" s="57"/>
      <c r="ABE20" s="57"/>
      <c r="ABF20" s="57"/>
      <c r="ABG20" s="57"/>
      <c r="ABH20" s="57"/>
      <c r="ABI20" s="57"/>
      <c r="ABJ20" s="57"/>
      <c r="ABK20" s="57"/>
      <c r="ABL20" s="57"/>
      <c r="ABM20" s="57"/>
      <c r="ABN20" s="57"/>
      <c r="ABO20" s="57"/>
      <c r="ABP20" s="57"/>
      <c r="ABQ20" s="57"/>
      <c r="ABR20" s="57"/>
      <c r="ABS20" s="57"/>
      <c r="ABT20" s="57"/>
      <c r="ABU20" s="57"/>
      <c r="ABV20" s="57"/>
      <c r="ABW20" s="57"/>
      <c r="ABX20" s="57"/>
      <c r="ABY20" s="57"/>
      <c r="ABZ20" s="57"/>
      <c r="ACA20" s="57"/>
      <c r="ACB20" s="57"/>
      <c r="ACC20" s="57"/>
      <c r="ACD20" s="57"/>
      <c r="ACE20" s="57"/>
      <c r="ACF20" s="57"/>
      <c r="ACG20" s="57"/>
      <c r="ACH20" s="57"/>
      <c r="ACI20" s="57"/>
      <c r="ACJ20" s="57"/>
      <c r="ACK20" s="57"/>
      <c r="ACL20" s="57"/>
      <c r="ACM20" s="57"/>
      <c r="ACN20" s="57"/>
      <c r="ACO20" s="57"/>
      <c r="ACP20" s="57"/>
      <c r="ACQ20" s="57"/>
      <c r="ACR20" s="57"/>
      <c r="ACS20" s="57"/>
      <c r="ACT20" s="57"/>
      <c r="ACU20" s="57"/>
      <c r="ACV20" s="57"/>
      <c r="ACW20" s="57"/>
      <c r="ACX20" s="57"/>
      <c r="ACY20" s="57"/>
      <c r="ACZ20" s="57"/>
      <c r="ADA20" s="57"/>
      <c r="ADB20" s="57"/>
      <c r="ADC20" s="57"/>
      <c r="ADD20" s="57"/>
      <c r="ADE20" s="57"/>
      <c r="ADF20" s="57"/>
      <c r="ADG20" s="57"/>
      <c r="ADH20" s="57"/>
      <c r="ADI20" s="57"/>
      <c r="ADJ20" s="57"/>
      <c r="ADK20" s="57"/>
      <c r="ADL20" s="57"/>
      <c r="ADM20" s="57"/>
      <c r="ADN20" s="57"/>
      <c r="ADO20" s="57"/>
      <c r="ADP20" s="57"/>
      <c r="ADQ20" s="57"/>
      <c r="ADR20" s="57"/>
      <c r="ADS20" s="57"/>
      <c r="ADT20" s="57"/>
      <c r="ADU20" s="57"/>
      <c r="ADV20" s="57"/>
      <c r="ADW20" s="57"/>
      <c r="ADX20" s="57"/>
      <c r="ADY20" s="57"/>
      <c r="ADZ20" s="57"/>
      <c r="AEA20" s="57"/>
      <c r="AEB20" s="57"/>
      <c r="AEC20" s="57"/>
      <c r="AED20" s="57"/>
      <c r="AEE20" s="57"/>
      <c r="AEF20" s="57"/>
      <c r="AEG20" s="57"/>
      <c r="AEH20" s="57"/>
      <c r="AEI20" s="57"/>
      <c r="AEJ20" s="57"/>
      <c r="AEK20" s="57"/>
      <c r="AEL20" s="57"/>
      <c r="AEM20" s="57"/>
      <c r="AEN20" s="57"/>
      <c r="AEO20" s="57"/>
      <c r="AEP20" s="57"/>
      <c r="AEQ20" s="57"/>
      <c r="AER20" s="57"/>
      <c r="AES20" s="57"/>
      <c r="AET20" s="57"/>
      <c r="AEU20" s="57"/>
      <c r="AEV20" s="57"/>
      <c r="AEW20" s="57"/>
      <c r="AEX20" s="57"/>
      <c r="AEY20" s="57"/>
      <c r="AEZ20" s="57"/>
      <c r="AFA20" s="57"/>
      <c r="AFB20" s="57"/>
      <c r="AFC20" s="57"/>
      <c r="AFD20" s="57"/>
      <c r="AFE20" s="57"/>
      <c r="AFF20" s="57"/>
      <c r="AFG20" s="57"/>
      <c r="AFH20" s="57"/>
      <c r="AFI20" s="57"/>
      <c r="AFJ20" s="57"/>
      <c r="AFK20" s="57"/>
      <c r="AFL20" s="57"/>
      <c r="AFM20" s="57"/>
      <c r="AFN20" s="57"/>
      <c r="AFO20" s="57"/>
      <c r="AFP20" s="57"/>
      <c r="AFQ20" s="57"/>
      <c r="AFR20" s="57"/>
      <c r="AFS20" s="57"/>
      <c r="AFT20" s="57"/>
      <c r="AFU20" s="57"/>
      <c r="AFV20" s="57"/>
      <c r="AFW20" s="57"/>
      <c r="AFX20" s="57"/>
      <c r="AFY20" s="57"/>
      <c r="AFZ20" s="57"/>
      <c r="AGA20" s="57"/>
      <c r="AGB20" s="57"/>
      <c r="AGC20" s="57"/>
      <c r="AGD20" s="57"/>
      <c r="AGE20" s="57"/>
      <c r="AGF20" s="57"/>
      <c r="AGG20" s="57"/>
      <c r="AGH20" s="57"/>
      <c r="AGI20" s="57"/>
      <c r="AGJ20" s="57"/>
      <c r="AGK20" s="57"/>
      <c r="AGL20" s="57"/>
      <c r="AGM20" s="57"/>
      <c r="AGN20" s="57"/>
      <c r="AGO20" s="57"/>
      <c r="AGP20" s="57"/>
      <c r="AGQ20" s="57"/>
      <c r="AGR20" s="57"/>
      <c r="AGS20" s="57"/>
      <c r="AGT20" s="57"/>
      <c r="AGU20" s="57"/>
      <c r="AGV20" s="57"/>
      <c r="AGW20" s="57"/>
      <c r="AGX20" s="57"/>
      <c r="AGY20" s="57"/>
      <c r="AGZ20" s="57"/>
      <c r="AHA20" s="57"/>
      <c r="AHB20" s="57"/>
      <c r="AHC20" s="57"/>
      <c r="AHD20" s="57"/>
      <c r="AHE20" s="57"/>
      <c r="AHF20" s="57"/>
      <c r="AHG20" s="57"/>
      <c r="AHH20" s="57"/>
      <c r="AHI20" s="57"/>
      <c r="AHJ20" s="57"/>
      <c r="AHK20" s="57"/>
      <c r="AHL20" s="57"/>
      <c r="AHM20" s="57"/>
      <c r="AHN20" s="57"/>
      <c r="AHO20" s="57"/>
      <c r="AHP20" s="57"/>
      <c r="AHQ20" s="57"/>
      <c r="AHR20" s="57"/>
      <c r="AHS20" s="57"/>
      <c r="AHT20" s="57"/>
      <c r="AHU20" s="57"/>
      <c r="AHV20" s="57"/>
      <c r="AHW20" s="57"/>
      <c r="AHX20" s="57"/>
      <c r="AHY20" s="57"/>
      <c r="AHZ20" s="57"/>
      <c r="AIA20" s="57"/>
      <c r="AIB20" s="57"/>
      <c r="AIC20" s="57"/>
      <c r="AID20" s="57"/>
      <c r="AIE20" s="57"/>
      <c r="AIF20" s="57"/>
      <c r="AIG20" s="57"/>
      <c r="AIH20" s="57"/>
      <c r="AII20" s="57"/>
      <c r="AIJ20" s="57"/>
      <c r="AIK20" s="57"/>
      <c r="AIL20" s="57"/>
      <c r="AIM20" s="57"/>
      <c r="AIN20" s="57"/>
      <c r="AIO20" s="57"/>
      <c r="AIP20" s="57"/>
      <c r="AIQ20" s="57"/>
      <c r="AIR20" s="57"/>
      <c r="AIS20" s="57"/>
      <c r="AIT20" s="57"/>
      <c r="AIU20" s="57"/>
      <c r="AIV20" s="57"/>
      <c r="AIW20" s="57"/>
      <c r="AIX20" s="57"/>
      <c r="AIY20" s="57"/>
      <c r="AIZ20" s="57"/>
      <c r="AJA20" s="57"/>
      <c r="AJB20" s="57"/>
      <c r="AJC20" s="57"/>
      <c r="AJD20" s="57"/>
      <c r="AJE20" s="57"/>
      <c r="AJF20" s="57"/>
      <c r="AJG20" s="57"/>
      <c r="AJH20" s="57"/>
      <c r="AJI20" s="57"/>
      <c r="AJJ20" s="57"/>
      <c r="AJK20" s="57"/>
      <c r="AJL20" s="57"/>
      <c r="AJM20" s="57"/>
      <c r="AJN20" s="57"/>
      <c r="AJO20" s="57"/>
      <c r="AJP20" s="57"/>
      <c r="AJQ20" s="57"/>
      <c r="AJR20" s="57"/>
      <c r="AJS20" s="57"/>
      <c r="AJT20" s="57"/>
      <c r="AJU20" s="57"/>
      <c r="AJV20" s="57"/>
      <c r="AJW20" s="57"/>
      <c r="AJX20" s="57"/>
      <c r="AJY20" s="57"/>
      <c r="AJZ20" s="57"/>
      <c r="AKA20" s="57"/>
      <c r="AKB20" s="57"/>
      <c r="AKC20" s="57"/>
      <c r="AKD20" s="57"/>
      <c r="AKE20" s="57"/>
      <c r="AKF20" s="57"/>
      <c r="AKG20" s="57"/>
      <c r="AKH20" s="57"/>
      <c r="AKI20" s="57"/>
      <c r="AKJ20" s="57"/>
      <c r="AKK20" s="57"/>
      <c r="AKL20" s="57"/>
      <c r="AKM20" s="57"/>
      <c r="AKN20" s="57"/>
      <c r="AKO20" s="57"/>
      <c r="AKP20" s="57"/>
      <c r="AKQ20" s="57"/>
      <c r="AKR20" s="57"/>
      <c r="AKS20" s="57"/>
      <c r="AKT20" s="57"/>
      <c r="AKU20" s="57"/>
      <c r="AKV20" s="57"/>
      <c r="AKW20" s="57"/>
      <c r="AKX20" s="57"/>
      <c r="AKY20" s="57"/>
      <c r="AKZ20" s="57"/>
      <c r="ALA20" s="57"/>
      <c r="ALB20" s="57"/>
      <c r="ALC20" s="57"/>
      <c r="ALD20" s="57"/>
      <c r="ALE20" s="57"/>
      <c r="ALF20" s="57"/>
      <c r="ALG20" s="57"/>
      <c r="ALH20" s="57"/>
      <c r="ALI20" s="57"/>
      <c r="ALJ20" s="57"/>
      <c r="ALK20" s="57"/>
      <c r="ALL20" s="57"/>
      <c r="ALM20" s="57"/>
      <c r="ALN20" s="57"/>
      <c r="ALO20" s="57"/>
      <c r="ALP20" s="57"/>
      <c r="ALQ20" s="57"/>
      <c r="ALR20" s="57"/>
      <c r="ALS20" s="57"/>
      <c r="ALT20" s="57"/>
      <c r="ALU20" s="57"/>
      <c r="ALV20" s="57"/>
      <c r="ALW20" s="57"/>
      <c r="ALX20" s="57"/>
      <c r="ALY20" s="57"/>
      <c r="ALZ20" s="57"/>
      <c r="AMA20" s="57"/>
      <c r="AMB20" s="57"/>
      <c r="AMC20" s="57"/>
      <c r="AMD20" s="57"/>
      <c r="AME20" s="57"/>
      <c r="AMF20" s="57"/>
      <c r="AMG20" s="57"/>
      <c r="AMH20" s="57"/>
      <c r="AMI20" s="57"/>
      <c r="AMJ20" s="57"/>
      <c r="AMK20" s="57"/>
      <c r="AML20" s="57"/>
      <c r="AMM20" s="57"/>
      <c r="AMN20" s="57"/>
      <c r="AMO20" s="57"/>
      <c r="AMP20" s="57"/>
      <c r="AMQ20" s="57"/>
      <c r="AMR20" s="57"/>
      <c r="AMS20" s="57"/>
      <c r="AMT20" s="57"/>
      <c r="AMU20" s="57"/>
      <c r="AMV20" s="57"/>
      <c r="AMW20" s="57"/>
      <c r="AMX20" s="57"/>
      <c r="AMY20" s="57"/>
      <c r="AMZ20" s="57"/>
      <c r="ANA20" s="57"/>
      <c r="ANB20" s="57"/>
      <c r="ANC20" s="57"/>
      <c r="AND20" s="57"/>
      <c r="ANE20" s="57"/>
      <c r="ANF20" s="57"/>
      <c r="ANG20" s="57"/>
      <c r="ANH20" s="57"/>
      <c r="ANI20" s="57"/>
      <c r="ANJ20" s="57"/>
      <c r="ANK20" s="57"/>
      <c r="ANL20" s="57"/>
      <c r="ANM20" s="57"/>
      <c r="ANN20" s="57"/>
      <c r="ANO20" s="57"/>
      <c r="ANP20" s="57"/>
      <c r="ANQ20" s="57"/>
      <c r="ANR20" s="57"/>
      <c r="ANS20" s="57"/>
      <c r="ANT20" s="57"/>
      <c r="ANU20" s="57"/>
      <c r="ANV20" s="57"/>
      <c r="ANW20" s="57"/>
      <c r="ANX20" s="57"/>
      <c r="ANY20" s="57"/>
      <c r="ANZ20" s="57"/>
      <c r="AOA20" s="57"/>
      <c r="AOB20" s="57"/>
      <c r="AOC20" s="57"/>
      <c r="AOD20" s="57"/>
      <c r="AOE20" s="57"/>
      <c r="AOF20" s="57"/>
      <c r="AOG20" s="57"/>
      <c r="AOH20" s="57"/>
      <c r="AOI20" s="57"/>
      <c r="AOJ20" s="57"/>
      <c r="AOK20" s="57"/>
      <c r="AOL20" s="57"/>
      <c r="AOM20" s="57"/>
      <c r="AON20" s="57"/>
      <c r="AOO20" s="57"/>
      <c r="AOP20" s="57"/>
      <c r="AOQ20" s="57"/>
      <c r="AOR20" s="57"/>
      <c r="AOS20" s="57"/>
      <c r="AOT20" s="57"/>
      <c r="AOU20" s="57"/>
      <c r="AOV20" s="57"/>
      <c r="AOW20" s="57"/>
      <c r="AOX20" s="57"/>
      <c r="AOY20" s="57"/>
      <c r="AOZ20" s="57"/>
      <c r="APA20" s="57"/>
      <c r="APB20" s="57"/>
      <c r="APC20" s="57"/>
      <c r="APD20" s="57"/>
      <c r="APE20" s="57"/>
      <c r="APF20" s="57"/>
      <c r="APG20" s="57"/>
      <c r="APH20" s="57"/>
      <c r="API20" s="57"/>
      <c r="APJ20" s="57"/>
      <c r="APK20" s="57"/>
      <c r="APL20" s="57"/>
      <c r="APM20" s="57"/>
      <c r="APN20" s="57"/>
      <c r="APO20" s="57"/>
      <c r="APP20" s="57"/>
      <c r="APQ20" s="57"/>
      <c r="APR20" s="57"/>
      <c r="APS20" s="57"/>
      <c r="APT20" s="57"/>
      <c r="APU20" s="57"/>
      <c r="APV20" s="57"/>
      <c r="APW20" s="57"/>
      <c r="APX20" s="57"/>
      <c r="APY20" s="57"/>
      <c r="APZ20" s="57"/>
      <c r="AQA20" s="57"/>
      <c r="AQB20" s="57"/>
      <c r="AQC20" s="57"/>
      <c r="AQD20" s="57"/>
      <c r="AQE20" s="57"/>
      <c r="AQF20" s="57"/>
      <c r="AQG20" s="57"/>
      <c r="AQH20" s="57"/>
      <c r="AQI20" s="57"/>
      <c r="AQJ20" s="57"/>
      <c r="AQK20" s="57"/>
      <c r="AQL20" s="57"/>
      <c r="AQM20" s="57"/>
      <c r="AQN20" s="57"/>
      <c r="AQO20" s="57"/>
      <c r="AQP20" s="57"/>
      <c r="AQQ20" s="57"/>
      <c r="AQR20" s="57"/>
      <c r="AQS20" s="57"/>
      <c r="AQT20" s="57"/>
      <c r="AQU20" s="57"/>
      <c r="AQV20" s="57"/>
      <c r="AQW20" s="57"/>
      <c r="AQX20" s="57"/>
      <c r="AQY20" s="57"/>
      <c r="AQZ20" s="57"/>
      <c r="ARA20" s="57"/>
      <c r="ARB20" s="57"/>
      <c r="ARC20" s="57"/>
      <c r="ARD20" s="57"/>
      <c r="ARE20" s="57"/>
      <c r="ARF20" s="57"/>
      <c r="ARG20" s="57"/>
      <c r="ARH20" s="57"/>
      <c r="ARI20" s="57"/>
      <c r="ARJ20" s="57"/>
      <c r="ARK20" s="57"/>
      <c r="ARL20" s="57"/>
      <c r="ARM20" s="57"/>
      <c r="ARN20" s="57"/>
      <c r="ARO20" s="57"/>
      <c r="ARP20" s="57"/>
      <c r="ARQ20" s="57"/>
      <c r="ARR20" s="57"/>
      <c r="ARS20" s="57"/>
      <c r="ART20" s="57"/>
      <c r="ARU20" s="57"/>
      <c r="ARV20" s="57"/>
      <c r="ARW20" s="57"/>
      <c r="ARX20" s="57"/>
      <c r="ARY20" s="57"/>
      <c r="ARZ20" s="57"/>
      <c r="ASA20" s="57"/>
      <c r="ASB20" s="57"/>
      <c r="ASC20" s="57"/>
      <c r="ASD20" s="57"/>
      <c r="ASE20" s="57"/>
      <c r="ASF20" s="57"/>
      <c r="ASG20" s="57"/>
      <c r="ASH20" s="57"/>
      <c r="ASI20" s="57"/>
      <c r="ASJ20" s="57"/>
      <c r="ASK20" s="57"/>
      <c r="ASL20" s="57"/>
      <c r="ASM20" s="57"/>
      <c r="ASN20" s="57"/>
      <c r="ASO20" s="57"/>
      <c r="ASP20" s="57"/>
      <c r="ASQ20" s="57"/>
      <c r="ASR20" s="57"/>
      <c r="ASS20" s="57"/>
      <c r="AST20" s="57"/>
      <c r="ASU20" s="57"/>
      <c r="ASV20" s="57"/>
      <c r="ASW20" s="57"/>
      <c r="ASX20" s="57"/>
      <c r="ASY20" s="57"/>
      <c r="ASZ20" s="57"/>
      <c r="ATA20" s="57"/>
      <c r="ATB20" s="57"/>
      <c r="ATC20" s="57"/>
      <c r="ATD20" s="57"/>
      <c r="ATE20" s="57"/>
      <c r="ATF20" s="57"/>
      <c r="ATG20" s="57"/>
      <c r="ATH20" s="57"/>
      <c r="ATI20" s="57"/>
      <c r="ATJ20" s="57"/>
      <c r="ATK20" s="57"/>
      <c r="ATL20" s="57"/>
      <c r="ATM20" s="57"/>
      <c r="ATN20" s="57"/>
      <c r="ATO20" s="57"/>
      <c r="ATP20" s="57"/>
      <c r="ATQ20" s="57"/>
      <c r="ATR20" s="57"/>
      <c r="ATS20" s="57"/>
      <c r="ATT20" s="57"/>
      <c r="ATU20" s="57"/>
      <c r="ATV20" s="57"/>
      <c r="ATW20" s="57"/>
      <c r="ATX20" s="57"/>
      <c r="ATY20" s="57"/>
      <c r="ATZ20" s="57"/>
      <c r="AUA20" s="57"/>
      <c r="AUB20" s="57"/>
      <c r="AUC20" s="57"/>
      <c r="AUD20" s="57"/>
      <c r="AUE20" s="57"/>
      <c r="AUF20" s="57"/>
      <c r="AUG20" s="57"/>
      <c r="AUH20" s="57"/>
      <c r="AUI20" s="57"/>
      <c r="AUJ20" s="57"/>
      <c r="AUK20" s="57"/>
      <c r="AUL20" s="57"/>
      <c r="AUM20" s="57"/>
      <c r="AUN20" s="57"/>
      <c r="AUO20" s="57"/>
      <c r="AUP20" s="57"/>
      <c r="AUQ20" s="57"/>
      <c r="AUR20" s="57"/>
      <c r="AUS20" s="57"/>
      <c r="AUT20" s="57"/>
      <c r="AUU20" s="57"/>
      <c r="AUV20" s="57"/>
      <c r="AUW20" s="57"/>
      <c r="AUX20" s="57"/>
      <c r="AUY20" s="57"/>
      <c r="AUZ20" s="57"/>
      <c r="AVA20" s="57"/>
      <c r="AVB20" s="57"/>
      <c r="AVC20" s="57"/>
      <c r="AVD20" s="57"/>
      <c r="AVE20" s="57"/>
      <c r="AVF20" s="57"/>
      <c r="AVG20" s="57"/>
      <c r="AVH20" s="57"/>
      <c r="AVI20" s="57"/>
      <c r="AVJ20" s="57"/>
      <c r="AVK20" s="57"/>
      <c r="AVL20" s="57"/>
      <c r="AVM20" s="57"/>
      <c r="AVN20" s="57"/>
      <c r="AVO20" s="57"/>
      <c r="AVP20" s="57"/>
      <c r="AVQ20" s="57"/>
      <c r="AVR20" s="57"/>
      <c r="AVS20" s="57"/>
      <c r="AVT20" s="57"/>
      <c r="AVU20" s="57"/>
      <c r="AVV20" s="57"/>
      <c r="AVW20" s="57"/>
      <c r="AVX20" s="57"/>
      <c r="AVY20" s="57"/>
      <c r="AVZ20" s="57"/>
      <c r="AWA20" s="57"/>
      <c r="AWB20" s="57"/>
      <c r="AWC20" s="57"/>
      <c r="AWD20" s="57"/>
      <c r="AWE20" s="57"/>
      <c r="AWF20" s="57"/>
      <c r="AWG20" s="57"/>
      <c r="AWH20" s="57"/>
      <c r="AWI20" s="57"/>
      <c r="AWJ20" s="57"/>
      <c r="AWK20" s="57"/>
      <c r="AWL20" s="57"/>
      <c r="AWM20" s="57"/>
      <c r="AWN20" s="57"/>
      <c r="AWO20" s="57"/>
      <c r="AWP20" s="57"/>
      <c r="AWQ20" s="57"/>
      <c r="AWR20" s="57"/>
      <c r="AWS20" s="57"/>
      <c r="AWT20" s="57"/>
      <c r="AWU20" s="57"/>
      <c r="AWV20" s="57"/>
      <c r="AWW20" s="57"/>
      <c r="AWX20" s="57"/>
      <c r="AWY20" s="57"/>
      <c r="AWZ20" s="57"/>
      <c r="AXA20" s="57"/>
      <c r="AXB20" s="57"/>
      <c r="AXC20" s="57"/>
      <c r="AXD20" s="57"/>
      <c r="AXE20" s="57"/>
      <c r="AXF20" s="57"/>
      <c r="AXG20" s="57"/>
      <c r="AXH20" s="57"/>
      <c r="AXI20" s="57"/>
      <c r="AXJ20" s="57"/>
      <c r="AXK20" s="57"/>
      <c r="AXL20" s="57"/>
      <c r="AXM20" s="57"/>
      <c r="AXN20" s="57"/>
      <c r="AXO20" s="57"/>
      <c r="AXP20" s="57"/>
      <c r="AXQ20" s="57"/>
      <c r="AXR20" s="57"/>
      <c r="AXS20" s="57"/>
      <c r="AXT20" s="57"/>
      <c r="AXU20" s="57"/>
      <c r="AXV20" s="57"/>
      <c r="AXW20" s="57"/>
      <c r="AXX20" s="57"/>
      <c r="AXY20" s="57"/>
      <c r="AXZ20" s="57"/>
      <c r="AYA20" s="57"/>
      <c r="AYB20" s="57"/>
      <c r="AYC20" s="57"/>
      <c r="AYD20" s="57"/>
      <c r="AYE20" s="57"/>
      <c r="AYF20" s="57"/>
      <c r="AYG20" s="57"/>
      <c r="AYH20" s="57"/>
      <c r="AYI20" s="57"/>
      <c r="AYJ20" s="57"/>
      <c r="AYK20" s="57"/>
      <c r="AYL20" s="57"/>
      <c r="AYM20" s="57"/>
      <c r="AYN20" s="57"/>
      <c r="AYO20" s="57"/>
      <c r="AYP20" s="57"/>
      <c r="AYQ20" s="57"/>
      <c r="AYR20" s="57"/>
      <c r="AYS20" s="57"/>
      <c r="AYT20" s="57"/>
      <c r="AYU20" s="57"/>
      <c r="AYV20" s="57"/>
      <c r="AYW20" s="57"/>
      <c r="AYX20" s="57"/>
      <c r="AYY20" s="57"/>
      <c r="AYZ20" s="57"/>
      <c r="AZA20" s="57"/>
      <c r="AZB20" s="57"/>
      <c r="AZC20" s="57"/>
      <c r="AZD20" s="57"/>
      <c r="AZE20" s="57"/>
      <c r="AZF20" s="57"/>
      <c r="AZG20" s="57"/>
      <c r="AZH20" s="57"/>
      <c r="AZI20" s="57"/>
      <c r="AZJ20" s="57"/>
      <c r="AZK20" s="57"/>
      <c r="AZL20" s="57"/>
      <c r="AZM20" s="57"/>
      <c r="AZN20" s="57"/>
      <c r="AZO20" s="57"/>
      <c r="AZP20" s="57"/>
      <c r="AZQ20" s="57"/>
      <c r="AZR20" s="57"/>
      <c r="AZS20" s="57"/>
      <c r="AZT20" s="57"/>
      <c r="AZU20" s="57"/>
      <c r="AZV20" s="57"/>
      <c r="AZW20" s="57"/>
      <c r="AZX20" s="57"/>
      <c r="AZY20" s="57"/>
      <c r="AZZ20" s="57"/>
    </row>
    <row r="21" spans="1:1378" ht="15" hidden="1" customHeight="1" x14ac:dyDescent="0.3">
      <c r="A21" s="1337"/>
      <c r="B21" s="734" t="s">
        <v>55</v>
      </c>
      <c r="C21" s="666"/>
      <c r="D21" s="734" t="s">
        <v>57</v>
      </c>
      <c r="E21" s="688"/>
      <c r="F21" s="1370"/>
      <c r="G21" s="726" t="s">
        <v>58</v>
      </c>
      <c r="H21" s="665" t="s">
        <v>59</v>
      </c>
      <c r="I21" s="735" t="s">
        <v>60</v>
      </c>
      <c r="J21" s="736"/>
      <c r="K21" s="736"/>
      <c r="L21" s="736"/>
      <c r="M21" s="736"/>
      <c r="N21" s="736"/>
      <c r="O21" s="736"/>
      <c r="P21" s="671">
        <v>195.45</v>
      </c>
      <c r="Q21" s="672">
        <v>210.65</v>
      </c>
      <c r="R21" s="671"/>
      <c r="S21" s="672"/>
      <c r="T21" s="1181">
        <f>IF(U21="","",2)</f>
        <v>2</v>
      </c>
      <c r="U21" s="728">
        <v>40</v>
      </c>
      <c r="V21" s="737"/>
      <c r="W21" s="737"/>
      <c r="X21" s="737"/>
      <c r="Y21" s="737"/>
      <c r="Z21" s="673"/>
      <c r="AA21" s="673"/>
      <c r="AB21" s="673"/>
      <c r="AC21" s="673"/>
      <c r="AD21" s="674"/>
      <c r="AE21" s="675"/>
      <c r="AF21" s="675"/>
      <c r="AG21" s="675"/>
      <c r="AH21" s="675"/>
      <c r="AI21" s="675"/>
      <c r="AJ21" s="675"/>
      <c r="AK21" s="675"/>
      <c r="AL21" s="1355"/>
      <c r="AM21" s="730" t="s">
        <v>61</v>
      </c>
      <c r="AN21" s="731"/>
      <c r="AO21" s="731"/>
      <c r="AP21" s="731"/>
      <c r="AQ21" s="731"/>
      <c r="AR21" s="732"/>
      <c r="AS21" s="1358"/>
      <c r="AT21" s="1330" t="s">
        <v>62</v>
      </c>
      <c r="AU21" s="1332" t="s">
        <v>63</v>
      </c>
      <c r="AV21" s="1332" t="s">
        <v>64</v>
      </c>
      <c r="AW21" s="1332" t="s">
        <v>62</v>
      </c>
      <c r="AX21" s="1332" t="s">
        <v>63</v>
      </c>
      <c r="AY21" s="1332" t="s">
        <v>64</v>
      </c>
      <c r="AZ21" s="738" t="s">
        <v>29</v>
      </c>
      <c r="BA21" s="738" t="s">
        <v>30</v>
      </c>
      <c r="BB21" s="738" t="s">
        <v>31</v>
      </c>
      <c r="BC21" s="738" t="s">
        <v>32</v>
      </c>
      <c r="BD21" s="738" t="s">
        <v>33</v>
      </c>
      <c r="BE21" s="738">
        <v>4</v>
      </c>
      <c r="BF21" s="738">
        <v>10</v>
      </c>
      <c r="BG21" s="1334" t="s">
        <v>65</v>
      </c>
      <c r="BH21" s="1334" t="s">
        <v>66</v>
      </c>
      <c r="BI21" s="738">
        <v>40</v>
      </c>
      <c r="BJ21" s="738">
        <v>100</v>
      </c>
      <c r="BK21" s="738">
        <v>200</v>
      </c>
      <c r="BL21" s="1319"/>
      <c r="BM21" s="1307"/>
      <c r="BN21" s="62" t="s">
        <v>67</v>
      </c>
      <c r="BO21" s="62" t="str">
        <f t="shared" ref="BO21:BV21" si="191">IF(ISNUMBER(J20),J22-BO20,"")</f>
        <v/>
      </c>
      <c r="BP21" s="62" t="str">
        <f t="shared" si="191"/>
        <v/>
      </c>
      <c r="BQ21" s="62" t="str">
        <f t="shared" si="191"/>
        <v/>
      </c>
      <c r="BR21" s="62" t="str">
        <f t="shared" si="191"/>
        <v/>
      </c>
      <c r="BS21" s="62" t="str">
        <f t="shared" si="191"/>
        <v/>
      </c>
      <c r="BT21" s="62" t="str">
        <f t="shared" si="191"/>
        <v/>
      </c>
      <c r="BU21" s="62">
        <f t="shared" si="191"/>
        <v>168</v>
      </c>
      <c r="BV21" s="62">
        <f t="shared" si="191"/>
        <v>181.2</v>
      </c>
      <c r="BW21" s="1310"/>
      <c r="BX21" s="108" t="s">
        <v>68</v>
      </c>
      <c r="BY21" s="66">
        <f>IF(ISNUMBER(J24),LOOKUP(J24,Tara!$G$6:$G$185,Tara!$I$6:$I$185),"")</f>
        <v>2082</v>
      </c>
      <c r="BZ21" s="66">
        <f>IF(ISNUMBER(K24),LOOKUP(K24,Tara!$G$6:$G$185,Tara!$I$6:$I$185),"")</f>
        <v>2061</v>
      </c>
      <c r="CA21" s="66">
        <f>IF(ISNUMBER(L24),LOOKUP(L24,Tara!$G$6:$G$185,Tara!$I$6:$I$185),"")</f>
        <v>2051</v>
      </c>
      <c r="CB21" s="66">
        <f>IF(ISNUMBER(M24),LOOKUP(M24,Tara!$G$6:$G$185,Tara!$I$6:$I$185),"")</f>
        <v>2075</v>
      </c>
      <c r="CC21" s="66">
        <f>IF(ISNUMBER(N24),LOOKUP(N24,Tara!$G$6:$G$185,Tara!$I$6:$I$185),"")</f>
        <v>2082</v>
      </c>
      <c r="CD21" s="66" t="str">
        <f>IF(ISNUMBER(O24),LOOKUP(O24,Tara!$G$6:$G$185,Tara!$I$6:$I$185),"")</f>
        <v/>
      </c>
      <c r="CE21" s="77">
        <f t="shared" ref="CE21:CJ21" si="192">IF(ISNUMBER(CE19),CE19^2,"")</f>
        <v>9.0741697872208436E-4</v>
      </c>
      <c r="CF21" s="77">
        <f t="shared" si="192"/>
        <v>1.6253311500525902E-3</v>
      </c>
      <c r="CG21" s="77">
        <f t="shared" si="192"/>
        <v>2.5510004057473406E-3</v>
      </c>
      <c r="CH21" s="77">
        <f t="shared" si="192"/>
        <v>3.6844247458063359E-3</v>
      </c>
      <c r="CI21" s="77">
        <f t="shared" si="192"/>
        <v>5.0256041702295773E-3</v>
      </c>
      <c r="CJ21" s="72" t="str">
        <f t="shared" si="192"/>
        <v/>
      </c>
      <c r="CK21" s="75">
        <f>AVERAGE(CE21:CJ21)</f>
        <v>2.7587554901115858E-3</v>
      </c>
      <c r="CL21" s="75">
        <f t="shared" ref="CL21:CQ21" si="193">IF(ISERROR(CE23*CE23),"",CE22*CE23)</f>
        <v>1.7739512144342409</v>
      </c>
      <c r="CM21" s="75">
        <f t="shared" si="193"/>
        <v>-0.19834935275370338</v>
      </c>
      <c r="CN21" s="75">
        <f t="shared" si="193"/>
        <v>0</v>
      </c>
      <c r="CO21" s="75">
        <f t="shared" si="193"/>
        <v>0.40809875978486393</v>
      </c>
      <c r="CP21" s="75">
        <f t="shared" si="193"/>
        <v>-1.1486628477578444</v>
      </c>
      <c r="CQ21" s="75" t="str">
        <f t="shared" si="193"/>
        <v/>
      </c>
      <c r="CR21" s="65">
        <f>SUM(CL21:CQ21)</f>
        <v>0.83503777370755694</v>
      </c>
      <c r="CS21" s="71"/>
      <c r="CT21" s="64"/>
      <c r="CU21" s="702" t="str">
        <f>IF(ISNUMBER(R20),R22-CU20,"")</f>
        <v/>
      </c>
      <c r="CV21" s="702" t="str">
        <f>IF(ISNUMBER(S20),S22-CV20,"")</f>
        <v/>
      </c>
      <c r="CW21" s="1313"/>
      <c r="CX21" s="123" t="str">
        <f>IF(CX20&lt;&gt;"",CX19^2,"")</f>
        <v/>
      </c>
      <c r="CY21" s="116" t="str">
        <f t="shared" ref="CY21:DE21" si="194">IF(CY20&lt;&gt;"",CY19^2,"")</f>
        <v/>
      </c>
      <c r="CZ21" s="116" t="str">
        <f t="shared" si="194"/>
        <v/>
      </c>
      <c r="DA21" s="116" t="str">
        <f t="shared" si="194"/>
        <v/>
      </c>
      <c r="DB21" s="116" t="str">
        <f t="shared" si="194"/>
        <v/>
      </c>
      <c r="DC21" s="116" t="str">
        <f t="shared" si="194"/>
        <v/>
      </c>
      <c r="DD21" s="116" t="str">
        <f t="shared" si="194"/>
        <v/>
      </c>
      <c r="DE21" s="116" t="str">
        <f t="shared" si="194"/>
        <v/>
      </c>
      <c r="DF21" s="279" t="str">
        <f>IF(CX21&lt;&gt;"",AVERAGE(CX21:DE21),"")</f>
        <v/>
      </c>
      <c r="DG21" s="119" t="str">
        <f t="shared" si="177"/>
        <v/>
      </c>
      <c r="DH21" s="119" t="str">
        <f t="shared" si="177"/>
        <v/>
      </c>
      <c r="DI21" s="119" t="str">
        <f t="shared" si="177"/>
        <v/>
      </c>
      <c r="DJ21" s="119" t="str">
        <f t="shared" si="177"/>
        <v/>
      </c>
      <c r="DK21" s="119" t="str">
        <f t="shared" si="177"/>
        <v/>
      </c>
      <c r="DL21" s="119" t="str">
        <f t="shared" si="177"/>
        <v/>
      </c>
      <c r="DM21" s="119" t="str">
        <f t="shared" si="177"/>
        <v/>
      </c>
      <c r="DN21" s="119" t="str">
        <f t="shared" si="177"/>
        <v/>
      </c>
      <c r="DO21" s="119" t="str">
        <f>IF(DG21&lt;&gt;"",SUM(DG21:DN21),"")</f>
        <v/>
      </c>
      <c r="DP21" s="122">
        <v>0</v>
      </c>
      <c r="DQ21" s="122">
        <v>0.63</v>
      </c>
      <c r="DR21" s="122">
        <v>1.27</v>
      </c>
      <c r="DS21" s="122">
        <v>1.9</v>
      </c>
      <c r="DT21" s="122">
        <v>2.54</v>
      </c>
      <c r="DU21" s="122">
        <v>3.81</v>
      </c>
      <c r="DV21" s="122">
        <v>5.08</v>
      </c>
      <c r="DW21" s="122">
        <v>6.35</v>
      </c>
      <c r="DX21" s="1190">
        <v>7.62</v>
      </c>
      <c r="DY21" s="123" t="str">
        <f>IF(DY20&lt;&gt;"",DY19^2,"")</f>
        <v/>
      </c>
      <c r="DZ21" s="116" t="str">
        <f t="shared" ref="DZ21:EF21" si="195">IF(DZ20&lt;&gt;"",DZ19^2,"")</f>
        <v/>
      </c>
      <c r="EA21" s="116" t="str">
        <f t="shared" si="195"/>
        <v/>
      </c>
      <c r="EB21" s="116" t="str">
        <f t="shared" si="195"/>
        <v/>
      </c>
      <c r="EC21" s="116" t="str">
        <f t="shared" si="195"/>
        <v/>
      </c>
      <c r="ED21" s="116" t="str">
        <f t="shared" si="195"/>
        <v/>
      </c>
      <c r="EE21" s="116" t="str">
        <f t="shared" si="195"/>
        <v/>
      </c>
      <c r="EF21" s="116" t="str">
        <f t="shared" si="195"/>
        <v/>
      </c>
      <c r="EG21" s="116" t="str">
        <f>IF(DY21&lt;&gt;"",AVERAGE(DY21:EF21),"")</f>
        <v/>
      </c>
      <c r="EH21" s="119" t="str">
        <f t="shared" si="179"/>
        <v/>
      </c>
      <c r="EI21" s="119" t="str">
        <f t="shared" si="179"/>
        <v/>
      </c>
      <c r="EJ21" s="119" t="str">
        <f t="shared" si="179"/>
        <v/>
      </c>
      <c r="EK21" s="119" t="str">
        <f t="shared" si="179"/>
        <v/>
      </c>
      <c r="EL21" s="119" t="str">
        <f t="shared" si="179"/>
        <v/>
      </c>
      <c r="EM21" s="119" t="str">
        <f t="shared" si="179"/>
        <v/>
      </c>
      <c r="EN21" s="119" t="str">
        <f t="shared" si="179"/>
        <v/>
      </c>
      <c r="EO21" s="119" t="str">
        <f t="shared" si="179"/>
        <v/>
      </c>
      <c r="EP21" s="119" t="str">
        <f>IF(EH21&lt;&gt;"",SUM(EH21:EO21),"")</f>
        <v/>
      </c>
      <c r="EQ21" s="122">
        <v>0</v>
      </c>
      <c r="ER21" s="122">
        <v>0.63</v>
      </c>
      <c r="ES21" s="122">
        <v>1.27</v>
      </c>
      <c r="ET21" s="122">
        <v>1.9</v>
      </c>
      <c r="EU21" s="122">
        <v>2.54</v>
      </c>
      <c r="EV21" s="122">
        <v>3.81</v>
      </c>
      <c r="EW21" s="122">
        <v>5.08</v>
      </c>
      <c r="EX21" s="122">
        <v>6.35</v>
      </c>
      <c r="EY21" s="1190">
        <v>7.62</v>
      </c>
      <c r="EZ21" s="123" t="str">
        <f>IF(EZ20&lt;&gt;"",EZ19^2,"")</f>
        <v/>
      </c>
      <c r="FA21" s="116" t="str">
        <f t="shared" ref="FA21:FG21" si="196">IF(FA20&lt;&gt;"",FA19^2,"")</f>
        <v/>
      </c>
      <c r="FB21" s="116" t="str">
        <f t="shared" si="196"/>
        <v/>
      </c>
      <c r="FC21" s="116" t="str">
        <f t="shared" si="196"/>
        <v/>
      </c>
      <c r="FD21" s="116" t="str">
        <f t="shared" si="196"/>
        <v/>
      </c>
      <c r="FE21" s="116" t="str">
        <f t="shared" si="196"/>
        <v/>
      </c>
      <c r="FF21" s="116" t="str">
        <f t="shared" si="196"/>
        <v/>
      </c>
      <c r="FG21" s="116" t="str">
        <f t="shared" si="196"/>
        <v/>
      </c>
      <c r="FH21" s="116" t="str">
        <f>IF(EZ21&lt;&gt;"",AVERAGE(EZ21:FG21),"")</f>
        <v/>
      </c>
      <c r="FI21" s="119" t="str">
        <f t="shared" si="181"/>
        <v/>
      </c>
      <c r="FJ21" s="119" t="str">
        <f t="shared" si="181"/>
        <v/>
      </c>
      <c r="FK21" s="119" t="str">
        <f t="shared" si="181"/>
        <v/>
      </c>
      <c r="FL21" s="119" t="str">
        <f t="shared" si="181"/>
        <v/>
      </c>
      <c r="FM21" s="119" t="str">
        <f t="shared" si="181"/>
        <v/>
      </c>
      <c r="FN21" s="119" t="str">
        <f t="shared" si="181"/>
        <v/>
      </c>
      <c r="FO21" s="119" t="str">
        <f t="shared" si="181"/>
        <v/>
      </c>
      <c r="FP21" s="119" t="str">
        <f t="shared" si="181"/>
        <v/>
      </c>
      <c r="FQ21" s="119" t="str">
        <f>IF(FI21&lt;&gt;"",SUM(FI21:FP21),"")</f>
        <v/>
      </c>
      <c r="FR21" s="122">
        <v>0</v>
      </c>
      <c r="FS21" s="122">
        <v>0.63</v>
      </c>
      <c r="FT21" s="122">
        <v>1.27</v>
      </c>
      <c r="FU21" s="122">
        <v>1.9</v>
      </c>
      <c r="FV21" s="122">
        <v>2.54</v>
      </c>
      <c r="FW21" s="122">
        <v>3.81</v>
      </c>
      <c r="FX21" s="122">
        <v>5.08</v>
      </c>
      <c r="FY21" s="122">
        <v>6.35</v>
      </c>
      <c r="FZ21" s="1190">
        <v>7.62</v>
      </c>
      <c r="GA21" s="123" t="str">
        <f>IF(GA20&lt;&gt;"",GA19^2,"")</f>
        <v/>
      </c>
      <c r="GB21" s="116" t="str">
        <f t="shared" ref="GB21:GH21" si="197">IF(GB20&lt;&gt;"",GB19^2,"")</f>
        <v/>
      </c>
      <c r="GC21" s="116" t="str">
        <f t="shared" si="197"/>
        <v/>
      </c>
      <c r="GD21" s="116" t="str">
        <f t="shared" si="197"/>
        <v/>
      </c>
      <c r="GE21" s="116" t="str">
        <f t="shared" si="197"/>
        <v/>
      </c>
      <c r="GF21" s="116" t="str">
        <f t="shared" si="197"/>
        <v/>
      </c>
      <c r="GG21" s="116" t="str">
        <f t="shared" si="197"/>
        <v/>
      </c>
      <c r="GH21" s="116" t="str">
        <f t="shared" si="197"/>
        <v/>
      </c>
      <c r="GI21" s="116" t="str">
        <f>IF(GA21&lt;&gt;"",AVERAGE(GA21:GH21),"")</f>
        <v/>
      </c>
      <c r="GJ21" s="119" t="str">
        <f t="shared" si="183"/>
        <v/>
      </c>
      <c r="GK21" s="119" t="str">
        <f t="shared" si="183"/>
        <v/>
      </c>
      <c r="GL21" s="119" t="str">
        <f t="shared" si="183"/>
        <v/>
      </c>
      <c r="GM21" s="119" t="str">
        <f t="shared" si="183"/>
        <v/>
      </c>
      <c r="GN21" s="119" t="str">
        <f t="shared" si="183"/>
        <v/>
      </c>
      <c r="GO21" s="119" t="str">
        <f t="shared" si="183"/>
        <v/>
      </c>
      <c r="GP21" s="119" t="str">
        <f t="shared" si="183"/>
        <v/>
      </c>
      <c r="GQ21" s="119" t="str">
        <f t="shared" si="183"/>
        <v/>
      </c>
      <c r="GR21" s="119" t="str">
        <f>IF(GJ21&lt;&gt;"",SUM(GJ21:GQ21),"")</f>
        <v/>
      </c>
      <c r="GS21" s="122">
        <v>0</v>
      </c>
      <c r="GT21" s="122">
        <v>0.63</v>
      </c>
      <c r="GU21" s="122">
        <v>1.27</v>
      </c>
      <c r="GV21" s="122">
        <v>1.9</v>
      </c>
      <c r="GW21" s="122">
        <v>2.54</v>
      </c>
      <c r="GX21" s="122">
        <v>3.81</v>
      </c>
      <c r="GY21" s="122">
        <v>5.08</v>
      </c>
      <c r="GZ21" s="122">
        <v>6.35</v>
      </c>
      <c r="HA21" s="1190">
        <v>7.62</v>
      </c>
      <c r="HB21" s="123" t="str">
        <f>IF(HB20&lt;&gt;"",HB19^2,"")</f>
        <v/>
      </c>
      <c r="HC21" s="116" t="str">
        <f t="shared" ref="HC21:HI21" si="198">IF(HC20&lt;&gt;"",HC19^2,"")</f>
        <v/>
      </c>
      <c r="HD21" s="116" t="str">
        <f t="shared" si="198"/>
        <v/>
      </c>
      <c r="HE21" s="116" t="str">
        <f t="shared" si="198"/>
        <v/>
      </c>
      <c r="HF21" s="116" t="str">
        <f t="shared" si="198"/>
        <v/>
      </c>
      <c r="HG21" s="116" t="str">
        <f t="shared" si="198"/>
        <v/>
      </c>
      <c r="HH21" s="116" t="str">
        <f t="shared" si="198"/>
        <v/>
      </c>
      <c r="HI21" s="116" t="str">
        <f t="shared" si="198"/>
        <v/>
      </c>
      <c r="HJ21" s="116" t="str">
        <f>IF(HB21&lt;&gt;"",AVERAGE(HB21:HI21),"")</f>
        <v/>
      </c>
      <c r="HK21" s="119" t="str">
        <f t="shared" si="185"/>
        <v/>
      </c>
      <c r="HL21" s="119" t="str">
        <f t="shared" si="185"/>
        <v/>
      </c>
      <c r="HM21" s="119" t="str">
        <f t="shared" si="185"/>
        <v/>
      </c>
      <c r="HN21" s="119" t="str">
        <f t="shared" si="185"/>
        <v/>
      </c>
      <c r="HO21" s="119" t="str">
        <f t="shared" si="185"/>
        <v/>
      </c>
      <c r="HP21" s="119" t="str">
        <f t="shared" si="185"/>
        <v/>
      </c>
      <c r="HQ21" s="119" t="str">
        <f t="shared" si="185"/>
        <v/>
      </c>
      <c r="HR21" s="119" t="str">
        <f t="shared" si="185"/>
        <v/>
      </c>
      <c r="HS21" s="119" t="str">
        <f>IF(HK21&lt;&gt;"",SUM(HK21:HR21),"")</f>
        <v/>
      </c>
      <c r="HT21" s="122">
        <v>0</v>
      </c>
      <c r="HU21" s="122">
        <v>0.63</v>
      </c>
      <c r="HV21" s="122">
        <v>1.27</v>
      </c>
      <c r="HW21" s="122">
        <v>1.9</v>
      </c>
      <c r="HX21" s="122">
        <v>2.54</v>
      </c>
      <c r="HY21" s="122">
        <v>3.81</v>
      </c>
      <c r="HZ21" s="122">
        <v>5.08</v>
      </c>
      <c r="IA21" s="122">
        <v>6.35</v>
      </c>
      <c r="IB21" s="1190">
        <v>7.62</v>
      </c>
      <c r="IC21" s="123" t="str">
        <f>IF(IC20&lt;&gt;"",IC19^2,"")</f>
        <v/>
      </c>
      <c r="ID21" s="116" t="str">
        <f t="shared" ref="ID21:IJ21" si="199">IF(ID20&lt;&gt;"",ID19^2,"")</f>
        <v/>
      </c>
      <c r="IE21" s="116" t="str">
        <f t="shared" si="199"/>
        <v/>
      </c>
      <c r="IF21" s="116" t="str">
        <f t="shared" si="199"/>
        <v/>
      </c>
      <c r="IG21" s="116" t="str">
        <f t="shared" si="199"/>
        <v/>
      </c>
      <c r="IH21" s="116" t="str">
        <f t="shared" si="199"/>
        <v/>
      </c>
      <c r="II21" s="116" t="str">
        <f t="shared" si="199"/>
        <v/>
      </c>
      <c r="IJ21" s="116" t="str">
        <f t="shared" si="199"/>
        <v/>
      </c>
      <c r="IK21" s="116" t="str">
        <f>IF(IC21&lt;&gt;"",AVERAGE(IC21:IJ21),"")</f>
        <v/>
      </c>
      <c r="IL21" s="119" t="str">
        <f t="shared" si="187"/>
        <v/>
      </c>
      <c r="IM21" s="119" t="str">
        <f t="shared" si="187"/>
        <v/>
      </c>
      <c r="IN21" s="119" t="str">
        <f t="shared" si="187"/>
        <v/>
      </c>
      <c r="IO21" s="119" t="str">
        <f t="shared" si="187"/>
        <v/>
      </c>
      <c r="IP21" s="119" t="str">
        <f t="shared" si="187"/>
        <v/>
      </c>
      <c r="IQ21" s="119" t="str">
        <f t="shared" si="187"/>
        <v/>
      </c>
      <c r="IR21" s="119" t="str">
        <f t="shared" si="187"/>
        <v/>
      </c>
      <c r="IS21" s="119" t="str">
        <f t="shared" si="187"/>
        <v/>
      </c>
      <c r="IT21" s="119" t="str">
        <f>IF(IL21&lt;&gt;"",SUM(IL21:IS21),"")</f>
        <v/>
      </c>
      <c r="IU21" s="122">
        <v>0</v>
      </c>
      <c r="IV21" s="122">
        <v>0.63</v>
      </c>
      <c r="IW21" s="122">
        <v>1.27</v>
      </c>
      <c r="IX21" s="122">
        <v>1.9</v>
      </c>
      <c r="IY21" s="122">
        <v>2.54</v>
      </c>
      <c r="IZ21" s="122">
        <v>3.81</v>
      </c>
      <c r="JA21" s="122">
        <v>5.08</v>
      </c>
      <c r="JB21" s="122">
        <v>6.35</v>
      </c>
      <c r="JC21" s="1190">
        <v>7.62</v>
      </c>
      <c r="JD21" s="150">
        <f t="shared" si="169"/>
        <v>3</v>
      </c>
      <c r="JE21" s="77" t="str">
        <f t="shared" ref="JE21:JJ21" si="200">IF(ISNUMBER(JE19),JE19^2,"")</f>
        <v/>
      </c>
      <c r="JF21" s="77">
        <f t="shared" si="200"/>
        <v>1.6253311500525902E-3</v>
      </c>
      <c r="JG21" s="77">
        <f t="shared" si="200"/>
        <v>2.5510004057473406E-3</v>
      </c>
      <c r="JH21" s="77">
        <f t="shared" si="200"/>
        <v>3.6844247458063359E-3</v>
      </c>
      <c r="JI21" s="77" t="str">
        <f t="shared" si="200"/>
        <v/>
      </c>
      <c r="JJ21" s="72" t="str">
        <f t="shared" si="200"/>
        <v/>
      </c>
      <c r="JK21" s="75">
        <f>AVERAGE(JE21:JJ21)</f>
        <v>2.620252100535422E-3</v>
      </c>
      <c r="JL21" s="75" t="str">
        <f t="shared" ref="JL21:JQ21" si="201">IF(ISERROR(JE23*JE23),"",JE22*JE23)</f>
        <v/>
      </c>
      <c r="JM21" s="75">
        <f t="shared" si="201"/>
        <v>0</v>
      </c>
      <c r="JN21" s="75">
        <f t="shared" si="201"/>
        <v>0</v>
      </c>
      <c r="JO21" s="75">
        <f t="shared" si="201"/>
        <v>0</v>
      </c>
      <c r="JP21" s="75" t="str">
        <f t="shared" si="201"/>
        <v/>
      </c>
      <c r="JQ21" s="75" t="str">
        <f t="shared" si="201"/>
        <v/>
      </c>
      <c r="JR21" s="65">
        <f>SUM(JL21:JQ21)</f>
        <v>0</v>
      </c>
      <c r="JS21" s="71"/>
      <c r="JT21" s="1191"/>
      <c r="JU21" s="123">
        <f>IF(T22&lt;&gt;0,LOOKUP(T22,Tara!$G$6:$G$185,Tara!$J$6:$J$185)/10,"")</f>
        <v>11.5</v>
      </c>
      <c r="JV21" s="116">
        <f t="shared" si="171"/>
        <v>0</v>
      </c>
      <c r="JW21" s="155">
        <f t="shared" si="172"/>
        <v>0</v>
      </c>
      <c r="JX21" s="77" t="str">
        <f t="shared" ref="JX21:KC21" si="202">IF(ISNUMBER(JX19),JX19^2,"")</f>
        <v/>
      </c>
      <c r="JY21" s="77">
        <f t="shared" si="202"/>
        <v>1.6253311500525902E-3</v>
      </c>
      <c r="JZ21" s="77">
        <f t="shared" si="202"/>
        <v>2.5510004057473406E-3</v>
      </c>
      <c r="KA21" s="77">
        <f t="shared" si="202"/>
        <v>3.6844247458063359E-3</v>
      </c>
      <c r="KB21" s="77" t="str">
        <f t="shared" si="202"/>
        <v/>
      </c>
      <c r="KC21" s="72" t="str">
        <f t="shared" si="202"/>
        <v/>
      </c>
      <c r="KD21" s="75">
        <f>AVERAGE(JX21:KC21)</f>
        <v>2.620252100535422E-3</v>
      </c>
      <c r="KE21" s="75" t="str">
        <f t="shared" ref="KE21:KJ21" si="203">IF(ISERROR(JX23*JX23),"",JX22*JX23)</f>
        <v/>
      </c>
      <c r="KF21" s="75">
        <f t="shared" si="203"/>
        <v>0</v>
      </c>
      <c r="KG21" s="75">
        <f t="shared" si="203"/>
        <v>0</v>
      </c>
      <c r="KH21" s="75">
        <f t="shared" si="203"/>
        <v>0</v>
      </c>
      <c r="KI21" s="75" t="str">
        <f t="shared" si="203"/>
        <v/>
      </c>
      <c r="KJ21" s="75" t="str">
        <f t="shared" si="203"/>
        <v/>
      </c>
      <c r="KK21" s="65">
        <f>SUM(KE21:KJ21)</f>
        <v>0</v>
      </c>
      <c r="KL21" s="71"/>
      <c r="KM21" s="1191"/>
      <c r="KN21" s="167" t="str">
        <f>IF(ISNUMBER(AN21),AN21-KN20,"")</f>
        <v/>
      </c>
      <c r="KO21" s="161" t="str">
        <f>IF(ISNUMBER(AO21),AO21-KO20,"")</f>
        <v/>
      </c>
      <c r="KP21" s="161" t="str">
        <f>IF(ISNUMBER(AP21),AP21-KP20,"")</f>
        <v/>
      </c>
      <c r="KQ21" s="161" t="str">
        <f>IF(ISNUMBER(AQ21),AQ21-KQ20,"")</f>
        <v/>
      </c>
      <c r="KR21" s="1185" t="str">
        <f>IF(ISNUMBER(AR21),AR21-KR20,"")</f>
        <v/>
      </c>
      <c r="KS21" s="167" t="str">
        <f>IF(ISNUMBER(AN25),AN25-KS20,"")</f>
        <v/>
      </c>
      <c r="KT21" s="161" t="str">
        <f>IF(ISNUMBER(AO25),AO25-KT20,"")</f>
        <v/>
      </c>
      <c r="KU21" s="161" t="str">
        <f>IF(ISNUMBER(AP25),AP25-KU20,"")</f>
        <v/>
      </c>
      <c r="KV21" s="161" t="str">
        <f>IF(ISNUMBER(AQ25),AQ25-KV20,"")</f>
        <v/>
      </c>
      <c r="KW21" s="161" t="str">
        <f>IF(ISNUMBER(AR25),AR25-KW20,"")</f>
        <v/>
      </c>
      <c r="KX21" s="1192" t="s">
        <v>69</v>
      </c>
      <c r="KY21" s="195" t="str">
        <f>IF(AX25&lt;&gt;"",AX25,"")</f>
        <v/>
      </c>
      <c r="KZ21" s="1186" t="str">
        <f>IF(BA25&lt;&gt;"",BA25,"")</f>
        <v/>
      </c>
      <c r="LA21" s="598">
        <f>IF(ISNUMBER(AV23),AV23-LA20,"")</f>
        <v>-25.16</v>
      </c>
      <c r="LB21" s="702">
        <f>IF(ISNUMBER(AY23),AY23-LB20,"")</f>
        <v>-25.16</v>
      </c>
      <c r="LC21" s="120">
        <f>IF(LC20&lt;&gt;"",SUM(LE20:LK20),"")</f>
        <v>1113.52</v>
      </c>
      <c r="LD21" s="120">
        <f>IF(LC20&lt;&gt;"",LC23+LC21,"")</f>
        <v>2000</v>
      </c>
      <c r="LE21" s="120">
        <f>IF(LC20="","",IF(LE20=0,IF(LD21&gt;0,LD21,""),IF(LE20&gt;0,LD21-LE20,"")))</f>
        <v>2000</v>
      </c>
      <c r="LF21" s="120">
        <f t="shared" ref="LF21:LK21" si="204">IF($LC20="","",LE21-LF20)</f>
        <v>2000</v>
      </c>
      <c r="LG21" s="120">
        <f t="shared" si="204"/>
        <v>2000</v>
      </c>
      <c r="LH21" s="120">
        <f t="shared" si="204"/>
        <v>2000</v>
      </c>
      <c r="LI21" s="120">
        <f t="shared" si="204"/>
        <v>1329.45</v>
      </c>
      <c r="LJ21" s="120">
        <f t="shared" si="204"/>
        <v>1033.56</v>
      </c>
      <c r="LK21" s="120">
        <f t="shared" si="204"/>
        <v>886.4799999999999</v>
      </c>
      <c r="LL21" s="120">
        <f>IF(LD20&lt;&gt;"",LD22-LL20,"")</f>
        <v>92.74</v>
      </c>
      <c r="LM21" s="1187">
        <f>IF(LD20&lt;&gt;"",LL21-LM20,"")</f>
        <v>37.129999999999995</v>
      </c>
      <c r="LN21" s="185" t="b">
        <f>IF(LM23="","",IF(AND(LE23&gt;=93%,LE23&lt;=100%,LG23&gt;=68%,LG23&lt;=97%,LI23&gt;=33%,LI23&lt;=82%,LJ23&gt;=25%,LJ23&lt;=65%,LK23&gt;=15%,LK23&lt;=50%,LL23&gt;=13%,LL23&lt;=32%,LM23&gt;=3%,LM23&lt;=17%),"Faixa B"))</f>
        <v>0</v>
      </c>
      <c r="LO21" s="181" t="b">
        <f>IF(LM23="","",IF(AND(LG23&gt;=93%,LG23&lt;=100%,LJ23&gt;=65%,LJ23&lt;=100%,LK23&gt;=50%,LK23&lt;=100%,LL23&gt;=28%,LL23&lt;=72%,LM23&gt;=6%,LM23&lt;=27%),"Faixa F"))</f>
        <v>0</v>
      </c>
      <c r="LP21" s="206"/>
      <c r="LQ21" s="181"/>
      <c r="LR21" s="1279" t="str">
        <f>IF(LL23&gt;70%,"",IF(LM23="","",IF(LO23&gt;0,LO23,IF(LQ23&gt;0,LQ23))))</f>
        <v>D</v>
      </c>
      <c r="LS21" s="221"/>
      <c r="LT21" s="162"/>
      <c r="LU21" s="162"/>
      <c r="LV21" s="162"/>
      <c r="LW21" s="162"/>
      <c r="LX21" s="108"/>
      <c r="LY21" s="108"/>
      <c r="LZ21" s="108"/>
      <c r="MA21" s="108"/>
      <c r="MB21" s="108"/>
      <c r="MC21" s="108"/>
      <c r="MD21" s="108"/>
      <c r="ME21" s="1193"/>
      <c r="MF21" s="223" t="s">
        <v>70</v>
      </c>
      <c r="MG21" s="701" t="s">
        <v>71</v>
      </c>
      <c r="MH21" s="701" t="s">
        <v>72</v>
      </c>
      <c r="MI21" s="224" t="s">
        <v>73</v>
      </c>
      <c r="MJ21" s="224" t="s">
        <v>74</v>
      </c>
      <c r="MK21" s="224" t="s">
        <v>75</v>
      </c>
      <c r="ML21" s="224" t="s">
        <v>76</v>
      </c>
      <c r="MM21" s="224" t="s">
        <v>77</v>
      </c>
      <c r="MN21" s="225">
        <v>4</v>
      </c>
      <c r="MO21" s="225">
        <v>10</v>
      </c>
      <c r="MP21" s="225">
        <v>40</v>
      </c>
      <c r="MQ21" s="225">
        <v>200</v>
      </c>
      <c r="MR21" s="225">
        <v>270</v>
      </c>
      <c r="MS21" s="224" t="s">
        <v>78</v>
      </c>
      <c r="MT21" s="224" t="s">
        <v>79</v>
      </c>
      <c r="MU21" s="224" t="s">
        <v>80</v>
      </c>
      <c r="MV21" s="224" t="s">
        <v>81</v>
      </c>
      <c r="MW21" s="224" t="s">
        <v>82</v>
      </c>
      <c r="MX21" s="224" t="s">
        <v>83</v>
      </c>
      <c r="MY21" s="224" t="s">
        <v>48</v>
      </c>
      <c r="MZ21" s="226" t="s">
        <v>84</v>
      </c>
      <c r="NA21" s="226" t="s">
        <v>85</v>
      </c>
      <c r="NB21" s="226" t="s">
        <v>86</v>
      </c>
      <c r="NC21" s="226" t="s">
        <v>87</v>
      </c>
      <c r="ND21" s="226" t="s">
        <v>84</v>
      </c>
      <c r="NE21" s="226" t="s">
        <v>85</v>
      </c>
      <c r="NF21" s="226" t="s">
        <v>88</v>
      </c>
      <c r="NG21" s="226" t="s">
        <v>84</v>
      </c>
      <c r="NH21" s="226" t="s">
        <v>85</v>
      </c>
      <c r="NI21" s="226" t="s">
        <v>89</v>
      </c>
      <c r="NJ21" s="226" t="s">
        <v>90</v>
      </c>
      <c r="NK21" s="226" t="s">
        <v>84</v>
      </c>
      <c r="NL21" s="226" t="s">
        <v>85</v>
      </c>
      <c r="NM21" s="226" t="s">
        <v>89</v>
      </c>
      <c r="NN21" s="226" t="s">
        <v>90</v>
      </c>
      <c r="NO21" s="226" t="s">
        <v>84</v>
      </c>
      <c r="NP21" s="226" t="s">
        <v>85</v>
      </c>
      <c r="NQ21" s="226" t="s">
        <v>89</v>
      </c>
      <c r="NR21" s="226" t="s">
        <v>90</v>
      </c>
      <c r="NS21" s="226" t="s">
        <v>84</v>
      </c>
      <c r="NT21" s="226" t="s">
        <v>85</v>
      </c>
      <c r="NU21" s="226" t="s">
        <v>89</v>
      </c>
      <c r="NV21" s="226" t="s">
        <v>90</v>
      </c>
      <c r="NW21" s="226" t="s">
        <v>84</v>
      </c>
      <c r="NX21" s="226" t="s">
        <v>85</v>
      </c>
      <c r="NY21" s="226" t="s">
        <v>89</v>
      </c>
      <c r="NZ21" s="226" t="s">
        <v>90</v>
      </c>
      <c r="OA21" s="226" t="s">
        <v>84</v>
      </c>
      <c r="OB21" s="226" t="s">
        <v>85</v>
      </c>
      <c r="OC21" s="226" t="s">
        <v>89</v>
      </c>
      <c r="OD21" s="1194" t="s">
        <v>90</v>
      </c>
      <c r="OE21" s="226"/>
      <c r="OF21" s="132"/>
      <c r="OG21" s="132"/>
      <c r="OH21" s="132"/>
      <c r="OI21" s="56"/>
      <c r="OJ21" s="56"/>
      <c r="OK21" s="56"/>
      <c r="OL21" s="56"/>
      <c r="OM21" s="56"/>
      <c r="ON21" s="56"/>
      <c r="OO21" s="56"/>
      <c r="OP21" s="56"/>
      <c r="OQ21" s="56"/>
      <c r="OR21" s="56"/>
      <c r="OS21" s="56"/>
      <c r="OT21" s="56"/>
      <c r="OU21" s="56"/>
      <c r="OV21" s="56"/>
      <c r="OW21" s="56"/>
      <c r="OX21" s="56"/>
      <c r="OY21" s="56"/>
      <c r="OZ21" s="56"/>
      <c r="PA21" s="56"/>
      <c r="PB21" s="56"/>
      <c r="PC21" s="56"/>
      <c r="PD21" s="56"/>
      <c r="PE21" s="56"/>
      <c r="PF21" s="56"/>
      <c r="PG21" s="56"/>
      <c r="PH21" s="56"/>
      <c r="PI21" s="56"/>
      <c r="PJ21" s="56"/>
      <c r="PK21" s="56"/>
      <c r="PL21" s="56"/>
      <c r="PM21" s="56"/>
      <c r="PN21" s="56"/>
      <c r="PO21" s="56"/>
      <c r="PP21" s="56"/>
      <c r="PQ21" s="56"/>
      <c r="PR21" s="56"/>
      <c r="PS21" s="56"/>
      <c r="PT21" s="56"/>
      <c r="PU21" s="56"/>
      <c r="PV21" s="56"/>
      <c r="PW21" s="56"/>
      <c r="PX21" s="56"/>
      <c r="PY21" s="56"/>
      <c r="PZ21" s="56"/>
      <c r="QA21" s="56"/>
      <c r="QB21" s="56"/>
      <c r="QC21" s="56"/>
      <c r="QD21" s="56"/>
      <c r="QE21" s="56"/>
      <c r="QF21" s="56"/>
      <c r="QG21" s="56"/>
      <c r="QH21" s="56"/>
      <c r="QI21" s="56"/>
      <c r="QJ21" s="56"/>
      <c r="QK21" s="56"/>
      <c r="QL21" s="56"/>
      <c r="QM21" s="56"/>
      <c r="QN21" s="56"/>
      <c r="QO21" s="56"/>
      <c r="QP21" s="56"/>
      <c r="QQ21" s="56"/>
      <c r="QR21" s="56"/>
      <c r="QS21" s="56"/>
      <c r="QT21" s="56"/>
      <c r="QU21" s="56"/>
      <c r="QV21" s="56"/>
      <c r="QW21" s="56"/>
      <c r="QX21" s="56"/>
      <c r="QY21" s="56"/>
      <c r="QZ21" s="56"/>
      <c r="RA21" s="56"/>
      <c r="RB21" s="56"/>
      <c r="RC21" s="56"/>
      <c r="RD21" s="56"/>
      <c r="RE21" s="56"/>
      <c r="RF21" s="56"/>
      <c r="RG21" s="56"/>
      <c r="RH21" s="56"/>
      <c r="RI21" s="56"/>
      <c r="RJ21" s="56"/>
      <c r="RK21" s="56"/>
      <c r="RL21" s="56"/>
      <c r="RM21" s="56"/>
      <c r="RN21" s="56"/>
      <c r="RO21" s="56"/>
      <c r="RP21" s="56"/>
      <c r="RQ21" s="56"/>
      <c r="RR21" s="56"/>
      <c r="RS21" s="56"/>
      <c r="RT21" s="56"/>
      <c r="RU21" s="56"/>
      <c r="RV21" s="56"/>
      <c r="RW21" s="56"/>
      <c r="RX21" s="56"/>
      <c r="RY21" s="56"/>
      <c r="RZ21" s="56"/>
      <c r="SA21" s="56"/>
      <c r="SB21" s="56"/>
      <c r="SC21" s="56"/>
      <c r="SD21" s="56"/>
      <c r="SE21" s="56"/>
      <c r="SF21" s="56"/>
      <c r="SG21" s="56"/>
      <c r="SH21" s="56"/>
      <c r="SI21" s="56"/>
      <c r="SJ21" s="56"/>
      <c r="SK21" s="56"/>
      <c r="SL21" s="56"/>
      <c r="SM21" s="56"/>
      <c r="SN21" s="56"/>
      <c r="SO21" s="56"/>
      <c r="SP21" s="56"/>
      <c r="SQ21" s="56"/>
      <c r="SR21" s="56"/>
      <c r="SS21" s="56"/>
      <c r="ST21" s="56"/>
      <c r="SU21" s="56"/>
      <c r="SV21" s="56"/>
      <c r="SW21" s="56"/>
      <c r="SX21" s="56"/>
      <c r="SY21" s="56"/>
      <c r="SZ21" s="56"/>
      <c r="TA21" s="56"/>
      <c r="TB21" s="56"/>
      <c r="TC21" s="56"/>
      <c r="TD21" s="56"/>
      <c r="TE21" s="56"/>
      <c r="TF21" s="56"/>
      <c r="TG21" s="56"/>
      <c r="TH21" s="56"/>
      <c r="TI21" s="56"/>
      <c r="TJ21" s="56"/>
      <c r="TK21" s="56"/>
      <c r="TL21" s="56"/>
      <c r="TM21" s="56"/>
      <c r="TN21" s="56"/>
      <c r="TO21" s="56"/>
      <c r="TP21" s="56"/>
      <c r="TQ21" s="56"/>
      <c r="TR21" s="56"/>
      <c r="TS21" s="56"/>
      <c r="TT21" s="56"/>
      <c r="TU21" s="56"/>
      <c r="TV21" s="56"/>
      <c r="TW21" s="56"/>
      <c r="TX21" s="56"/>
      <c r="TY21" s="56"/>
      <c r="TZ21" s="56"/>
      <c r="UA21" s="56"/>
      <c r="UB21" s="56"/>
      <c r="UC21" s="56"/>
      <c r="UD21" s="56"/>
      <c r="UE21" s="56"/>
      <c r="UF21" s="56"/>
      <c r="UG21" s="56"/>
      <c r="UH21" s="56"/>
      <c r="UI21" s="56"/>
      <c r="UJ21" s="56"/>
      <c r="UK21" s="56"/>
      <c r="UL21" s="56"/>
      <c r="UM21" s="56"/>
      <c r="UN21" s="56"/>
      <c r="UO21" s="56"/>
      <c r="UP21" s="56"/>
      <c r="UQ21" s="56"/>
      <c r="UR21" s="56"/>
      <c r="US21" s="56"/>
      <c r="UT21" s="56"/>
      <c r="UU21" s="56"/>
      <c r="UV21" s="56"/>
      <c r="UW21" s="56"/>
      <c r="UX21" s="56"/>
      <c r="UY21" s="56"/>
      <c r="UZ21" s="56"/>
      <c r="VA21" s="56"/>
      <c r="VB21" s="56"/>
      <c r="VC21" s="56"/>
      <c r="VD21" s="56"/>
      <c r="VE21" s="56"/>
      <c r="VF21" s="56"/>
      <c r="VG21" s="56"/>
      <c r="VH21" s="56"/>
      <c r="VI21" s="56"/>
      <c r="VJ21" s="56"/>
      <c r="VK21" s="56"/>
      <c r="VL21" s="56"/>
      <c r="VM21" s="56"/>
      <c r="VN21" s="56"/>
      <c r="VO21" s="56"/>
      <c r="VP21" s="56"/>
      <c r="VQ21" s="56"/>
      <c r="VR21" s="56"/>
      <c r="VS21" s="56"/>
      <c r="VT21" s="56"/>
      <c r="VU21" s="56"/>
      <c r="VV21" s="56"/>
      <c r="VW21" s="56"/>
      <c r="VX21" s="56"/>
      <c r="VY21" s="56"/>
      <c r="VZ21" s="56"/>
      <c r="WA21" s="56"/>
      <c r="WB21" s="56"/>
      <c r="WC21" s="56"/>
      <c r="WD21" s="56"/>
      <c r="WE21" s="56"/>
      <c r="WF21" s="56"/>
      <c r="WG21" s="56"/>
      <c r="WH21" s="56"/>
      <c r="WI21" s="56"/>
      <c r="WJ21" s="56"/>
      <c r="WK21" s="56"/>
      <c r="WL21" s="56"/>
      <c r="WM21" s="56"/>
      <c r="WN21" s="56"/>
      <c r="WO21" s="56"/>
      <c r="WP21" s="56"/>
      <c r="WQ21" s="56"/>
      <c r="WR21" s="56"/>
      <c r="WS21" s="56"/>
      <c r="WT21" s="56"/>
      <c r="WU21" s="56"/>
      <c r="WV21" s="56"/>
      <c r="WW21" s="56"/>
      <c r="WX21" s="56"/>
      <c r="WY21" s="56"/>
      <c r="WZ21" s="56"/>
      <c r="XA21" s="56"/>
      <c r="XB21" s="56"/>
      <c r="XC21" s="56"/>
      <c r="XD21" s="56"/>
      <c r="XE21" s="56"/>
      <c r="XF21" s="56"/>
      <c r="XG21" s="56"/>
      <c r="XH21" s="56"/>
      <c r="XI21" s="56"/>
      <c r="XJ21" s="56"/>
      <c r="XK21" s="56"/>
      <c r="XL21" s="56"/>
      <c r="XM21" s="56"/>
      <c r="XN21" s="56"/>
      <c r="XO21" s="56"/>
      <c r="XP21" s="56"/>
      <c r="XQ21" s="56"/>
      <c r="XR21" s="56"/>
      <c r="XS21" s="56"/>
      <c r="XT21" s="56"/>
      <c r="XU21" s="56"/>
      <c r="XV21" s="56"/>
      <c r="XW21" s="56"/>
      <c r="XX21" s="56"/>
      <c r="XY21" s="56"/>
      <c r="XZ21" s="56"/>
      <c r="YA21" s="56"/>
      <c r="YB21" s="56"/>
      <c r="YC21" s="56"/>
      <c r="YD21" s="56"/>
      <c r="YE21" s="56"/>
      <c r="YF21" s="56"/>
      <c r="YG21" s="56"/>
      <c r="YH21" s="56"/>
      <c r="YI21" s="56"/>
      <c r="YJ21" s="56"/>
      <c r="YK21" s="56"/>
      <c r="YL21" s="56"/>
      <c r="YM21" s="56"/>
      <c r="YN21" s="56"/>
      <c r="YO21" s="56"/>
      <c r="YP21" s="56"/>
      <c r="YQ21" s="56"/>
      <c r="YR21" s="56"/>
      <c r="YS21" s="56"/>
      <c r="YT21" s="56"/>
      <c r="YU21" s="56"/>
      <c r="YV21" s="56"/>
      <c r="YW21" s="56"/>
      <c r="YX21" s="56"/>
      <c r="YY21" s="56"/>
      <c r="YZ21" s="56"/>
      <c r="ZA21" s="56"/>
      <c r="ZB21" s="56"/>
      <c r="ZC21" s="56"/>
      <c r="ZD21" s="56"/>
      <c r="ZE21" s="56"/>
      <c r="ZF21" s="56"/>
      <c r="ZG21" s="56"/>
      <c r="ZH21" s="56"/>
      <c r="ZI21" s="56"/>
      <c r="ZJ21" s="56"/>
      <c r="ZK21" s="56"/>
      <c r="ZL21" s="56"/>
      <c r="ZM21" s="56"/>
      <c r="ZN21" s="56"/>
      <c r="ZO21" s="56"/>
      <c r="ZP21" s="56"/>
      <c r="ZQ21" s="56"/>
      <c r="ZR21" s="56"/>
      <c r="ZS21" s="56"/>
      <c r="ZT21" s="56"/>
      <c r="ZU21" s="56"/>
      <c r="ZV21" s="56"/>
      <c r="ZW21" s="56"/>
      <c r="ZX21" s="56"/>
      <c r="ZY21" s="56"/>
      <c r="ZZ21" s="56"/>
      <c r="AAA21" s="56"/>
      <c r="AAB21" s="56"/>
      <c r="AAC21" s="56"/>
      <c r="AAD21" s="56"/>
      <c r="AAE21" s="56"/>
      <c r="AAF21" s="56"/>
      <c r="AAG21" s="56"/>
      <c r="AAH21" s="56"/>
      <c r="AAI21" s="56"/>
      <c r="AAJ21" s="56"/>
      <c r="AAK21" s="56"/>
      <c r="AAL21" s="56"/>
      <c r="AAM21" s="56"/>
      <c r="AAN21" s="56"/>
      <c r="AAO21" s="56"/>
      <c r="AAP21" s="56"/>
      <c r="AAQ21" s="56"/>
      <c r="AAR21" s="56"/>
      <c r="AAS21" s="56"/>
      <c r="AAT21" s="56"/>
      <c r="AAU21" s="56"/>
      <c r="AAV21" s="56"/>
      <c r="AAW21" s="56"/>
      <c r="AAX21" s="56"/>
      <c r="AAY21" s="56"/>
      <c r="AAZ21" s="56"/>
      <c r="ABA21" s="56"/>
      <c r="ABB21" s="56"/>
      <c r="ABC21" s="56"/>
      <c r="ABD21" s="56"/>
      <c r="ABE21" s="56"/>
      <c r="ABF21" s="56"/>
      <c r="ABG21" s="56"/>
      <c r="ABH21" s="56"/>
      <c r="ABI21" s="56"/>
      <c r="ABJ21" s="56"/>
      <c r="ABK21" s="56"/>
      <c r="ABL21" s="56"/>
      <c r="ABM21" s="56"/>
      <c r="ABN21" s="56"/>
      <c r="ABO21" s="56"/>
      <c r="ABP21" s="56"/>
      <c r="ABQ21" s="56"/>
      <c r="ABR21" s="56"/>
      <c r="ABS21" s="56"/>
      <c r="ABT21" s="56"/>
      <c r="ABU21" s="56"/>
      <c r="ABV21" s="56"/>
      <c r="ABW21" s="56"/>
      <c r="ABX21" s="56"/>
      <c r="ABY21" s="56"/>
      <c r="ABZ21" s="56"/>
      <c r="ACA21" s="56"/>
      <c r="ACB21" s="56"/>
      <c r="ACC21" s="56"/>
      <c r="ACD21" s="56"/>
      <c r="ACE21" s="56"/>
      <c r="ACF21" s="56"/>
      <c r="ACG21" s="56"/>
      <c r="ACH21" s="56"/>
      <c r="ACI21" s="56"/>
      <c r="ACJ21" s="56"/>
      <c r="ACK21" s="56"/>
      <c r="ACL21" s="56"/>
      <c r="ACM21" s="56"/>
      <c r="ACN21" s="56"/>
      <c r="ACO21" s="56"/>
      <c r="ACP21" s="56"/>
      <c r="ACQ21" s="56"/>
      <c r="ACR21" s="56"/>
      <c r="ACS21" s="56"/>
      <c r="ACT21" s="56"/>
      <c r="ACU21" s="56"/>
      <c r="ACV21" s="56"/>
      <c r="ACW21" s="56"/>
      <c r="ACX21" s="56"/>
      <c r="ACY21" s="56"/>
      <c r="ACZ21" s="56"/>
      <c r="ADA21" s="56"/>
      <c r="ADB21" s="56"/>
      <c r="ADC21" s="56"/>
      <c r="ADD21" s="56"/>
      <c r="ADE21" s="56"/>
      <c r="ADF21" s="56"/>
      <c r="ADG21" s="56"/>
      <c r="ADH21" s="56"/>
      <c r="ADI21" s="56"/>
      <c r="ADJ21" s="56"/>
      <c r="ADK21" s="56"/>
      <c r="ADL21" s="56"/>
      <c r="ADM21" s="56"/>
      <c r="ADN21" s="56"/>
      <c r="ADO21" s="56"/>
      <c r="ADP21" s="56"/>
      <c r="ADQ21" s="56"/>
      <c r="ADR21" s="56"/>
      <c r="ADS21" s="56"/>
      <c r="ADT21" s="56"/>
      <c r="ADU21" s="56"/>
      <c r="ADV21" s="56"/>
      <c r="ADW21" s="56"/>
      <c r="ADX21" s="56"/>
      <c r="ADY21" s="56"/>
      <c r="ADZ21" s="56"/>
      <c r="AEA21" s="56"/>
      <c r="AEB21" s="56"/>
      <c r="AEC21" s="56"/>
      <c r="AED21" s="56"/>
      <c r="AEE21" s="56"/>
      <c r="AEF21" s="56"/>
      <c r="AEG21" s="56"/>
      <c r="AEH21" s="56"/>
      <c r="AEI21" s="56"/>
      <c r="AEJ21" s="56"/>
      <c r="AEK21" s="56"/>
      <c r="AEL21" s="56"/>
      <c r="AEM21" s="56"/>
      <c r="AEN21" s="56"/>
      <c r="AEO21" s="56"/>
      <c r="AEP21" s="56"/>
      <c r="AEQ21" s="56"/>
      <c r="AER21" s="56"/>
      <c r="AES21" s="56"/>
      <c r="AET21" s="56"/>
      <c r="AEU21" s="56"/>
      <c r="AEV21" s="56"/>
      <c r="AEW21" s="56"/>
      <c r="AEX21" s="56"/>
      <c r="AEY21" s="56"/>
      <c r="AEZ21" s="56"/>
      <c r="AFA21" s="56"/>
      <c r="AFB21" s="56"/>
      <c r="AFC21" s="56"/>
      <c r="AFD21" s="56"/>
      <c r="AFE21" s="56"/>
      <c r="AFF21" s="56"/>
      <c r="AFG21" s="56"/>
      <c r="AFH21" s="56"/>
      <c r="AFI21" s="56"/>
      <c r="AFJ21" s="56"/>
      <c r="AFK21" s="56"/>
      <c r="AFL21" s="56"/>
      <c r="AFM21" s="56"/>
      <c r="AFN21" s="56"/>
      <c r="AFO21" s="56"/>
      <c r="AFP21" s="56"/>
      <c r="AFQ21" s="56"/>
      <c r="AFR21" s="56"/>
      <c r="AFS21" s="56"/>
      <c r="AFT21" s="56"/>
      <c r="AFU21" s="56"/>
      <c r="AFV21" s="56"/>
      <c r="AFW21" s="56"/>
      <c r="AFX21" s="56"/>
      <c r="AFY21" s="56"/>
      <c r="AFZ21" s="56"/>
      <c r="AGA21" s="56"/>
      <c r="AGB21" s="56"/>
      <c r="AGC21" s="56"/>
      <c r="AGD21" s="56"/>
      <c r="AGE21" s="56"/>
      <c r="AGF21" s="56"/>
      <c r="AGG21" s="56"/>
      <c r="AGH21" s="56"/>
      <c r="AGI21" s="56"/>
      <c r="AGJ21" s="56"/>
      <c r="AGK21" s="56"/>
      <c r="AGL21" s="56"/>
      <c r="AGM21" s="56"/>
      <c r="AGN21" s="56"/>
      <c r="AGO21" s="56"/>
      <c r="AGP21" s="56"/>
      <c r="AGQ21" s="56"/>
      <c r="AGR21" s="56"/>
      <c r="AGS21" s="56"/>
      <c r="AGT21" s="56"/>
      <c r="AGU21" s="56"/>
      <c r="AGV21" s="56"/>
      <c r="AGW21" s="56"/>
      <c r="AGX21" s="56"/>
      <c r="AGY21" s="56"/>
      <c r="AGZ21" s="56"/>
      <c r="AHA21" s="56"/>
      <c r="AHB21" s="56"/>
      <c r="AHC21" s="56"/>
      <c r="AHD21" s="56"/>
      <c r="AHE21" s="56"/>
      <c r="AHF21" s="56"/>
      <c r="AHG21" s="56"/>
      <c r="AHH21" s="56"/>
      <c r="AHI21" s="56"/>
      <c r="AHJ21" s="56"/>
      <c r="AHK21" s="56"/>
      <c r="AHL21" s="56"/>
      <c r="AHM21" s="56"/>
      <c r="AHN21" s="56"/>
      <c r="AHO21" s="56"/>
      <c r="AHP21" s="56"/>
      <c r="AHQ21" s="56"/>
      <c r="AHR21" s="56"/>
      <c r="AHS21" s="56"/>
      <c r="AHT21" s="56"/>
      <c r="AHU21" s="56"/>
      <c r="AHV21" s="56"/>
      <c r="AHW21" s="56"/>
      <c r="AHX21" s="56"/>
      <c r="AHY21" s="56"/>
      <c r="AHZ21" s="56"/>
      <c r="AIA21" s="56"/>
      <c r="AIB21" s="56"/>
      <c r="AIC21" s="56"/>
      <c r="AID21" s="56"/>
      <c r="AIE21" s="56"/>
      <c r="AIF21" s="56"/>
      <c r="AIG21" s="56"/>
      <c r="AIH21" s="56"/>
      <c r="AII21" s="56"/>
      <c r="AIJ21" s="56"/>
      <c r="AIK21" s="56"/>
      <c r="AIL21" s="56"/>
      <c r="AIM21" s="56"/>
      <c r="AIN21" s="56"/>
      <c r="AIO21" s="56"/>
      <c r="AIP21" s="56"/>
      <c r="AIQ21" s="56"/>
      <c r="AIR21" s="56"/>
      <c r="AIS21" s="56"/>
      <c r="AIT21" s="56"/>
      <c r="AIU21" s="56"/>
      <c r="AIV21" s="56"/>
      <c r="AIW21" s="56"/>
      <c r="AIX21" s="56"/>
      <c r="AIY21" s="56"/>
      <c r="AIZ21" s="56"/>
      <c r="AJA21" s="56"/>
      <c r="AJB21" s="56"/>
      <c r="AJC21" s="56"/>
      <c r="AJD21" s="56"/>
      <c r="AJE21" s="56"/>
      <c r="AJF21" s="56"/>
      <c r="AJG21" s="56"/>
      <c r="AJH21" s="56"/>
      <c r="AJI21" s="56"/>
      <c r="AJJ21" s="56"/>
      <c r="AJK21" s="56"/>
      <c r="AJL21" s="56"/>
      <c r="AJM21" s="56"/>
      <c r="AJN21" s="56"/>
      <c r="AJO21" s="56"/>
      <c r="AJP21" s="56"/>
      <c r="AJQ21" s="56"/>
      <c r="AJR21" s="56"/>
      <c r="AJS21" s="56"/>
      <c r="AJT21" s="56"/>
      <c r="AJU21" s="56"/>
      <c r="AJV21" s="56"/>
      <c r="AJW21" s="56"/>
      <c r="AJX21" s="56"/>
      <c r="AJY21" s="56"/>
      <c r="AJZ21" s="56"/>
      <c r="AKA21" s="56"/>
      <c r="AKB21" s="56"/>
      <c r="AKC21" s="56"/>
      <c r="AKD21" s="56"/>
      <c r="AKE21" s="56"/>
      <c r="AKF21" s="56"/>
      <c r="AKG21" s="56"/>
      <c r="AKH21" s="56"/>
      <c r="AKI21" s="56"/>
      <c r="AKJ21" s="56"/>
      <c r="AKK21" s="56"/>
      <c r="AKL21" s="56"/>
      <c r="AKM21" s="56"/>
      <c r="AKN21" s="56"/>
      <c r="AKO21" s="56"/>
      <c r="AKP21" s="56"/>
      <c r="AKQ21" s="56"/>
      <c r="AKR21" s="56"/>
      <c r="AKS21" s="56"/>
      <c r="AKT21" s="56"/>
      <c r="AKU21" s="56"/>
      <c r="AKV21" s="56"/>
      <c r="AKW21" s="56"/>
      <c r="AKX21" s="56"/>
      <c r="AKY21" s="56"/>
      <c r="AKZ21" s="56"/>
      <c r="ALA21" s="56"/>
      <c r="ALB21" s="56"/>
      <c r="ALC21" s="56"/>
      <c r="ALD21" s="56"/>
      <c r="ALE21" s="56"/>
      <c r="ALF21" s="56"/>
      <c r="ALG21" s="56"/>
      <c r="ALH21" s="56"/>
      <c r="ALI21" s="56"/>
      <c r="ALJ21" s="56"/>
      <c r="ALK21" s="56"/>
      <c r="ALL21" s="56"/>
      <c r="ALM21" s="56"/>
      <c r="ALN21" s="56"/>
      <c r="ALO21" s="56"/>
      <c r="ALP21" s="56"/>
      <c r="ALQ21" s="56"/>
      <c r="ALR21" s="56"/>
      <c r="ALS21" s="56"/>
      <c r="ALT21" s="56"/>
      <c r="ALU21" s="56"/>
      <c r="ALV21" s="56"/>
      <c r="ALW21" s="56"/>
      <c r="ALX21" s="56"/>
      <c r="ALY21" s="56"/>
      <c r="ALZ21" s="56"/>
      <c r="AMA21" s="56"/>
      <c r="AMB21" s="56"/>
      <c r="AMC21" s="56"/>
      <c r="AMD21" s="56"/>
      <c r="AME21" s="56"/>
      <c r="AMF21" s="56"/>
      <c r="AMG21" s="56"/>
      <c r="AMH21" s="56"/>
      <c r="AMI21" s="56"/>
      <c r="AMJ21" s="56"/>
      <c r="AMK21" s="56"/>
      <c r="AML21" s="56"/>
      <c r="AMM21" s="56"/>
      <c r="AMN21" s="56"/>
      <c r="AMO21" s="56"/>
      <c r="AMP21" s="56"/>
      <c r="AMQ21" s="56"/>
      <c r="AMR21" s="56"/>
      <c r="AMS21" s="56"/>
      <c r="AMT21" s="56"/>
      <c r="AMU21" s="56"/>
      <c r="AMV21" s="56"/>
      <c r="AMW21" s="56"/>
      <c r="AMX21" s="56"/>
      <c r="AMY21" s="56"/>
      <c r="AMZ21" s="56"/>
      <c r="ANA21" s="56"/>
      <c r="ANB21" s="56"/>
      <c r="ANC21" s="56"/>
      <c r="AND21" s="56"/>
      <c r="ANE21" s="56"/>
      <c r="ANF21" s="56"/>
      <c r="ANG21" s="56"/>
      <c r="ANH21" s="56"/>
      <c r="ANI21" s="56"/>
      <c r="ANJ21" s="56"/>
      <c r="ANK21" s="56"/>
      <c r="ANL21" s="56"/>
      <c r="ANM21" s="56"/>
      <c r="ANN21" s="56"/>
      <c r="ANO21" s="56"/>
      <c r="ANP21" s="56"/>
      <c r="ANQ21" s="56"/>
      <c r="ANR21" s="56"/>
      <c r="ANS21" s="56"/>
      <c r="ANT21" s="56"/>
      <c r="ANU21" s="56"/>
      <c r="ANV21" s="56"/>
      <c r="ANW21" s="56"/>
      <c r="ANX21" s="56"/>
      <c r="ANY21" s="56"/>
      <c r="ANZ21" s="56"/>
      <c r="AOA21" s="56"/>
      <c r="AOB21" s="56"/>
      <c r="AOC21" s="56"/>
      <c r="AOD21" s="56"/>
      <c r="AOE21" s="56"/>
      <c r="AOF21" s="56"/>
      <c r="AOG21" s="56"/>
      <c r="AOH21" s="56"/>
      <c r="AOI21" s="56"/>
      <c r="AOJ21" s="56"/>
      <c r="AOK21" s="56"/>
      <c r="AOL21" s="56"/>
      <c r="AOM21" s="56"/>
      <c r="AON21" s="56"/>
      <c r="AOO21" s="56"/>
      <c r="AOP21" s="56"/>
      <c r="AOQ21" s="56"/>
      <c r="AOR21" s="56"/>
      <c r="AOS21" s="56"/>
      <c r="AOT21" s="56"/>
      <c r="AOU21" s="56"/>
      <c r="AOV21" s="56"/>
      <c r="AOW21" s="56"/>
      <c r="AOX21" s="56"/>
      <c r="AOY21" s="56"/>
      <c r="AOZ21" s="56"/>
      <c r="APA21" s="56"/>
      <c r="APB21" s="56"/>
      <c r="APC21" s="56"/>
      <c r="APD21" s="56"/>
      <c r="APE21" s="56"/>
      <c r="APF21" s="56"/>
      <c r="APG21" s="56"/>
      <c r="APH21" s="56"/>
      <c r="API21" s="56"/>
      <c r="APJ21" s="56"/>
      <c r="APK21" s="56"/>
      <c r="APL21" s="56"/>
      <c r="APM21" s="56"/>
      <c r="APN21" s="56"/>
      <c r="APO21" s="56"/>
      <c r="APP21" s="56"/>
      <c r="APQ21" s="56"/>
      <c r="APR21" s="56"/>
      <c r="APS21" s="56"/>
      <c r="APT21" s="56"/>
      <c r="APU21" s="56"/>
      <c r="APV21" s="56"/>
      <c r="APW21" s="56"/>
      <c r="APX21" s="56"/>
      <c r="APY21" s="56"/>
      <c r="APZ21" s="56"/>
      <c r="AQA21" s="56"/>
      <c r="AQB21" s="56"/>
      <c r="AQC21" s="56"/>
      <c r="AQD21" s="56"/>
      <c r="AQE21" s="56"/>
      <c r="AQF21" s="56"/>
      <c r="AQG21" s="56"/>
      <c r="AQH21" s="56"/>
      <c r="AQI21" s="56"/>
      <c r="AQJ21" s="56"/>
      <c r="AQK21" s="56"/>
      <c r="AQL21" s="56"/>
      <c r="AQM21" s="56"/>
      <c r="AQN21" s="56"/>
      <c r="AQO21" s="56"/>
      <c r="AQP21" s="56"/>
      <c r="AQQ21" s="56"/>
      <c r="AQR21" s="56"/>
      <c r="AQS21" s="56"/>
      <c r="AQT21" s="56"/>
      <c r="AQU21" s="56"/>
      <c r="AQV21" s="56"/>
      <c r="AQW21" s="56"/>
      <c r="AQX21" s="56"/>
      <c r="AQY21" s="56"/>
      <c r="AQZ21" s="56"/>
      <c r="ARA21" s="56"/>
      <c r="ARB21" s="56"/>
      <c r="ARC21" s="56"/>
      <c r="ARD21" s="56"/>
      <c r="ARE21" s="56"/>
      <c r="ARF21" s="56"/>
      <c r="ARG21" s="56"/>
      <c r="ARH21" s="56"/>
      <c r="ARI21" s="56"/>
      <c r="ARJ21" s="56"/>
      <c r="ARK21" s="56"/>
      <c r="ARL21" s="56"/>
      <c r="ARM21" s="56"/>
      <c r="ARN21" s="56"/>
      <c r="ARO21" s="56"/>
      <c r="ARP21" s="56"/>
      <c r="ARQ21" s="56"/>
      <c r="ARR21" s="56"/>
      <c r="ARS21" s="56"/>
      <c r="ART21" s="56"/>
      <c r="ARU21" s="56"/>
      <c r="ARV21" s="56"/>
      <c r="ARW21" s="56"/>
      <c r="ARX21" s="56"/>
      <c r="ARY21" s="56"/>
      <c r="ARZ21" s="56"/>
      <c r="ASA21" s="56"/>
      <c r="ASB21" s="56"/>
      <c r="ASC21" s="56"/>
      <c r="ASD21" s="56"/>
      <c r="ASE21" s="56"/>
      <c r="ASF21" s="56"/>
      <c r="ASG21" s="56"/>
      <c r="ASH21" s="56"/>
      <c r="ASI21" s="56"/>
      <c r="ASJ21" s="56"/>
      <c r="ASK21" s="56"/>
      <c r="ASL21" s="56"/>
      <c r="ASM21" s="56"/>
      <c r="ASN21" s="56"/>
      <c r="ASO21" s="56"/>
      <c r="ASP21" s="56"/>
      <c r="ASQ21" s="56"/>
      <c r="ASR21" s="56"/>
      <c r="ASS21" s="56"/>
      <c r="AST21" s="56"/>
      <c r="ASU21" s="56"/>
      <c r="ASV21" s="56"/>
      <c r="ASW21" s="56"/>
      <c r="ASX21" s="56"/>
      <c r="ASY21" s="56"/>
      <c r="ASZ21" s="56"/>
      <c r="ATA21" s="56"/>
      <c r="ATB21" s="56"/>
      <c r="ATC21" s="56"/>
      <c r="ATD21" s="56"/>
      <c r="ATE21" s="56"/>
      <c r="ATF21" s="56"/>
      <c r="ATG21" s="56"/>
      <c r="ATH21" s="56"/>
      <c r="ATI21" s="56"/>
      <c r="ATJ21" s="56"/>
      <c r="ATK21" s="56"/>
      <c r="ATL21" s="56"/>
      <c r="ATM21" s="56"/>
      <c r="ATN21" s="56"/>
      <c r="ATO21" s="56"/>
      <c r="ATP21" s="56"/>
      <c r="ATQ21" s="56"/>
      <c r="ATR21" s="56"/>
      <c r="ATS21" s="56"/>
      <c r="ATT21" s="56"/>
      <c r="ATU21" s="56"/>
      <c r="ATV21" s="56"/>
      <c r="ATW21" s="56"/>
      <c r="ATX21" s="56"/>
      <c r="ATY21" s="56"/>
      <c r="ATZ21" s="56"/>
      <c r="AUA21" s="56"/>
      <c r="AUB21" s="56"/>
      <c r="AUC21" s="56"/>
      <c r="AUD21" s="56"/>
      <c r="AUE21" s="56"/>
      <c r="AUF21" s="56"/>
      <c r="AUG21" s="56"/>
      <c r="AUH21" s="56"/>
      <c r="AUI21" s="56"/>
      <c r="AUJ21" s="56"/>
      <c r="AUK21" s="56"/>
      <c r="AUL21" s="56"/>
      <c r="AUM21" s="56"/>
      <c r="AUN21" s="56"/>
      <c r="AUO21" s="56"/>
      <c r="AUP21" s="56"/>
      <c r="AUQ21" s="56"/>
      <c r="AUR21" s="56"/>
      <c r="AUS21" s="56"/>
      <c r="AUT21" s="56"/>
      <c r="AUU21" s="56"/>
      <c r="AUV21" s="56"/>
      <c r="AUW21" s="56"/>
      <c r="AUX21" s="56"/>
      <c r="AUY21" s="56"/>
      <c r="AUZ21" s="56"/>
      <c r="AVA21" s="56"/>
      <c r="AVB21" s="56"/>
      <c r="AVC21" s="56"/>
      <c r="AVD21" s="56"/>
      <c r="AVE21" s="56"/>
      <c r="AVF21" s="56"/>
      <c r="AVG21" s="56"/>
      <c r="AVH21" s="56"/>
      <c r="AVI21" s="56"/>
      <c r="AVJ21" s="56"/>
      <c r="AVK21" s="56"/>
      <c r="AVL21" s="56"/>
      <c r="AVM21" s="56"/>
      <c r="AVN21" s="56"/>
      <c r="AVO21" s="56"/>
      <c r="AVP21" s="56"/>
      <c r="AVQ21" s="56"/>
      <c r="AVR21" s="56"/>
      <c r="AVS21" s="56"/>
      <c r="AVT21" s="56"/>
      <c r="AVU21" s="56"/>
      <c r="AVV21" s="56"/>
      <c r="AVW21" s="56"/>
      <c r="AVX21" s="56"/>
      <c r="AVY21" s="56"/>
      <c r="AVZ21" s="56"/>
      <c r="AWA21" s="56"/>
      <c r="AWB21" s="56"/>
      <c r="AWC21" s="56"/>
      <c r="AWD21" s="56"/>
      <c r="AWE21" s="56"/>
      <c r="AWF21" s="56"/>
      <c r="AWG21" s="56"/>
      <c r="AWH21" s="56"/>
      <c r="AWI21" s="56"/>
      <c r="AWJ21" s="56"/>
      <c r="AWK21" s="56"/>
      <c r="AWL21" s="56"/>
      <c r="AWM21" s="56"/>
      <c r="AWN21" s="56"/>
      <c r="AWO21" s="56"/>
      <c r="AWP21" s="56"/>
      <c r="AWQ21" s="56"/>
      <c r="AWR21" s="56"/>
      <c r="AWS21" s="56"/>
      <c r="AWT21" s="56"/>
      <c r="AWU21" s="56"/>
      <c r="AWV21" s="56"/>
      <c r="AWW21" s="56"/>
      <c r="AWX21" s="56"/>
      <c r="AWY21" s="56"/>
      <c r="AWZ21" s="56"/>
      <c r="AXA21" s="56"/>
      <c r="AXB21" s="56"/>
      <c r="AXC21" s="56"/>
      <c r="AXD21" s="56"/>
      <c r="AXE21" s="56"/>
      <c r="AXF21" s="56"/>
      <c r="AXG21" s="56"/>
      <c r="AXH21" s="56"/>
      <c r="AXI21" s="56"/>
      <c r="AXJ21" s="56"/>
      <c r="AXK21" s="56"/>
      <c r="AXL21" s="56"/>
      <c r="AXM21" s="56"/>
      <c r="AXN21" s="56"/>
      <c r="AXO21" s="56"/>
      <c r="AXP21" s="56"/>
      <c r="AXQ21" s="56"/>
      <c r="AXR21" s="56"/>
      <c r="AXS21" s="56"/>
      <c r="AXT21" s="56"/>
      <c r="AXU21" s="56"/>
      <c r="AXV21" s="56"/>
      <c r="AXW21" s="56"/>
      <c r="AXX21" s="56"/>
      <c r="AXY21" s="56"/>
      <c r="AXZ21" s="56"/>
      <c r="AYA21" s="56"/>
      <c r="AYB21" s="56"/>
      <c r="AYC21" s="56"/>
      <c r="AYD21" s="56"/>
      <c r="AYE21" s="56"/>
      <c r="AYF21" s="56"/>
      <c r="AYG21" s="56"/>
      <c r="AYH21" s="56"/>
      <c r="AYI21" s="56"/>
      <c r="AYJ21" s="56"/>
      <c r="AYK21" s="56"/>
      <c r="AYL21" s="56"/>
      <c r="AYM21" s="56"/>
      <c r="AYN21" s="56"/>
      <c r="AYO21" s="56"/>
      <c r="AYP21" s="56"/>
      <c r="AYQ21" s="56"/>
      <c r="AYR21" s="56"/>
      <c r="AYS21" s="56"/>
      <c r="AYT21" s="56"/>
      <c r="AYU21" s="56"/>
      <c r="AYV21" s="56"/>
      <c r="AYW21" s="56"/>
      <c r="AYX21" s="56"/>
      <c r="AYY21" s="56"/>
      <c r="AYZ21" s="56"/>
      <c r="AZA21" s="56"/>
      <c r="AZB21" s="56"/>
      <c r="AZC21" s="56"/>
      <c r="AZD21" s="56"/>
      <c r="AZE21" s="56"/>
      <c r="AZF21" s="56"/>
      <c r="AZG21" s="56"/>
      <c r="AZH21" s="56"/>
      <c r="AZI21" s="56"/>
      <c r="AZJ21" s="56"/>
      <c r="AZK21" s="56"/>
      <c r="AZL21" s="56"/>
      <c r="AZM21" s="56"/>
      <c r="AZN21" s="56"/>
      <c r="AZO21" s="56"/>
      <c r="AZP21" s="56"/>
      <c r="AZQ21" s="56"/>
      <c r="AZR21" s="56"/>
      <c r="AZS21" s="56"/>
      <c r="AZT21" s="56"/>
      <c r="AZU21" s="56"/>
      <c r="AZV21" s="56"/>
      <c r="AZW21" s="56"/>
      <c r="AZX21" s="56"/>
      <c r="AZY21" s="56"/>
      <c r="AZZ21" s="56"/>
    </row>
    <row r="22" spans="1:1378" ht="15" hidden="1" customHeight="1" x14ac:dyDescent="0.3">
      <c r="A22" s="1337"/>
      <c r="B22" s="723" t="s">
        <v>91</v>
      </c>
      <c r="C22" s="666"/>
      <c r="D22" s="1360"/>
      <c r="E22" s="1361"/>
      <c r="F22" s="1370"/>
      <c r="G22" s="726" t="s">
        <v>93</v>
      </c>
      <c r="H22" s="665"/>
      <c r="I22" s="735" t="s">
        <v>94</v>
      </c>
      <c r="J22" s="736"/>
      <c r="K22" s="736"/>
      <c r="L22" s="736"/>
      <c r="M22" s="736"/>
      <c r="N22" s="736"/>
      <c r="O22" s="736"/>
      <c r="P22" s="671">
        <v>192.15</v>
      </c>
      <c r="Q22" s="672">
        <v>207.25</v>
      </c>
      <c r="R22" s="671"/>
      <c r="S22" s="672"/>
      <c r="T22" s="1181">
        <f>IF(U22="","",3)</f>
        <v>3</v>
      </c>
      <c r="U22" s="728">
        <v>47</v>
      </c>
      <c r="V22" s="737"/>
      <c r="W22" s="1372" t="s">
        <v>95</v>
      </c>
      <c r="X22" s="1373"/>
      <c r="Y22" s="737"/>
      <c r="Z22" s="673"/>
      <c r="AA22" s="673"/>
      <c r="AB22" s="673"/>
      <c r="AC22" s="673"/>
      <c r="AD22" s="676"/>
      <c r="AE22" s="675"/>
      <c r="AF22" s="675"/>
      <c r="AG22" s="675"/>
      <c r="AH22" s="675"/>
      <c r="AI22" s="675"/>
      <c r="AJ22" s="675"/>
      <c r="AK22" s="675"/>
      <c r="AL22" s="1356"/>
      <c r="AM22" s="739" t="s">
        <v>96</v>
      </c>
      <c r="AN22" s="740"/>
      <c r="AO22" s="740"/>
      <c r="AP22" s="740"/>
      <c r="AQ22" s="740"/>
      <c r="AR22" s="592"/>
      <c r="AS22" s="1359"/>
      <c r="AT22" s="1331"/>
      <c r="AU22" s="1333"/>
      <c r="AV22" s="1333"/>
      <c r="AW22" s="1333"/>
      <c r="AX22" s="1333"/>
      <c r="AY22" s="1333"/>
      <c r="AZ22" s="738">
        <v>50.8</v>
      </c>
      <c r="BA22" s="738">
        <v>38.1</v>
      </c>
      <c r="BB22" s="738">
        <v>25.4</v>
      </c>
      <c r="BC22" s="738">
        <v>19.100000000000001</v>
      </c>
      <c r="BD22" s="738">
        <v>9.52</v>
      </c>
      <c r="BE22" s="738">
        <v>4.76</v>
      </c>
      <c r="BF22" s="738">
        <v>2</v>
      </c>
      <c r="BG22" s="1335"/>
      <c r="BH22" s="1335"/>
      <c r="BI22" s="738">
        <v>0.42</v>
      </c>
      <c r="BJ22" s="738">
        <v>0.14899999999999999</v>
      </c>
      <c r="BK22" s="738">
        <v>7.3999999999999996E-2</v>
      </c>
      <c r="BL22" s="1320"/>
      <c r="BM22" s="1307"/>
      <c r="BN22" s="62" t="s">
        <v>97</v>
      </c>
      <c r="BO22" s="67" t="str">
        <f t="shared" ref="BO22:BV22" si="205">IF(ISNUMBER(BO21),BO19/BO21,"")</f>
        <v/>
      </c>
      <c r="BP22" s="67" t="str">
        <f t="shared" si="205"/>
        <v/>
      </c>
      <c r="BQ22" s="67" t="str">
        <f t="shared" si="205"/>
        <v/>
      </c>
      <c r="BR22" s="67" t="str">
        <f t="shared" si="205"/>
        <v/>
      </c>
      <c r="BS22" s="67" t="str">
        <f t="shared" si="205"/>
        <v/>
      </c>
      <c r="BT22" s="67" t="str">
        <f t="shared" si="205"/>
        <v/>
      </c>
      <c r="BU22" s="67">
        <f t="shared" si="205"/>
        <v>1.9642857142857042E-2</v>
      </c>
      <c r="BV22" s="67">
        <f t="shared" si="205"/>
        <v>1.8763796909492307E-2</v>
      </c>
      <c r="BW22" s="1310"/>
      <c r="BX22" s="62" t="s">
        <v>98</v>
      </c>
      <c r="BY22" s="68">
        <f t="shared" ref="BY22:CD22" si="206">IF(J25&lt;&gt;0,J25-BY20,"")</f>
        <v>4513</v>
      </c>
      <c r="BZ22" s="68">
        <f t="shared" si="206"/>
        <v>4740</v>
      </c>
      <c r="CA22" s="68">
        <f t="shared" si="206"/>
        <v>4902</v>
      </c>
      <c r="CB22" s="68">
        <f t="shared" si="206"/>
        <v>4911</v>
      </c>
      <c r="CC22" s="68">
        <f t="shared" si="206"/>
        <v>4760</v>
      </c>
      <c r="CD22" s="68" t="str">
        <f t="shared" si="206"/>
        <v/>
      </c>
      <c r="CE22" s="77">
        <f t="shared" ref="CE22:CJ22" si="207">IF(ISNUMBER(CE19),CE19-$CK19,"")</f>
        <v>-2.0384066540523493E-2</v>
      </c>
      <c r="CF22" s="77">
        <f t="shared" si="207"/>
        <v>-1.0192033270261747E-2</v>
      </c>
      <c r="CG22" s="77">
        <f t="shared" si="207"/>
        <v>0</v>
      </c>
      <c r="CH22" s="77">
        <f t="shared" si="207"/>
        <v>1.0192033270261747E-2</v>
      </c>
      <c r="CI22" s="77">
        <f t="shared" si="207"/>
        <v>2.0384066540523507E-2</v>
      </c>
      <c r="CJ22" s="77" t="str">
        <f t="shared" si="207"/>
        <v/>
      </c>
      <c r="CK22" s="76"/>
      <c r="CL22" s="75">
        <f t="shared" ref="CL22:CQ22" si="208">IF(ISERROR(CE23*CE24),"",CE23*CE24)</f>
        <v>0.16111526098481538</v>
      </c>
      <c r="CM22" s="75">
        <f t="shared" si="208"/>
        <v>-2.2057814989866257E-2</v>
      </c>
      <c r="CN22" s="75">
        <f t="shared" si="208"/>
        <v>-1.7425501078635754E-2</v>
      </c>
      <c r="CO22" s="75">
        <f t="shared" si="208"/>
        <v>3.7064682306546679E-2</v>
      </c>
      <c r="CP22" s="75">
        <f t="shared" si="208"/>
        <v>-0.12773922490706169</v>
      </c>
      <c r="CQ22" s="75" t="str">
        <f t="shared" si="208"/>
        <v/>
      </c>
      <c r="CR22" s="65">
        <f>SUM(CL22:CQ22)</f>
        <v>3.0957402315798355E-2</v>
      </c>
      <c r="CS22" s="74"/>
      <c r="CT22" s="63"/>
      <c r="CU22" s="105" t="str">
        <f>IF(ISNUMBER(CU21),CU19/CU21,"")</f>
        <v/>
      </c>
      <c r="CV22" s="105" t="str">
        <f>IF(ISNUMBER(CV21),CV19/CV21,"")</f>
        <v/>
      </c>
      <c r="CW22" s="1313"/>
      <c r="CX22" s="124" t="str">
        <f>IF(ISNUMBER(CX20),CX19-DF19,"")</f>
        <v/>
      </c>
      <c r="CY22" s="117" t="str">
        <f>IF(ISNUMBER(CY20),CY19-DF19,"")</f>
        <v/>
      </c>
      <c r="CZ22" s="117" t="str">
        <f>IF(ISNUMBER(CZ20),CZ19-DF19,"")</f>
        <v/>
      </c>
      <c r="DA22" s="117" t="str">
        <f>IF(ISNUMBER(DA20),DA19-DF19,"")</f>
        <v/>
      </c>
      <c r="DB22" s="117" t="str">
        <f>IF(ISNUMBER(DB20),DB19-DF19,"")</f>
        <v/>
      </c>
      <c r="DC22" s="117" t="str">
        <f>IF(ISNUMBER(DC20),DC19-DF19,"")</f>
        <v/>
      </c>
      <c r="DD22" s="117" t="str">
        <f>IF(ISNUMBER(DD20),DD19-DF19,"")</f>
        <v/>
      </c>
      <c r="DE22" s="117" t="str">
        <f>IF(ISNUMBER(DE20),DE19-DF19,"")</f>
        <v/>
      </c>
      <c r="DF22" s="280" t="str">
        <f>IF(CX22&lt;&gt;"",SUM(CX22:DE22),"")</f>
        <v/>
      </c>
      <c r="DG22" s="119" t="str">
        <f t="shared" ref="DG22:DN22" si="209">IF(ISERROR(CX22*CX24),"",CX22*CX24)</f>
        <v/>
      </c>
      <c r="DH22" s="119" t="str">
        <f t="shared" si="209"/>
        <v/>
      </c>
      <c r="DI22" s="119" t="str">
        <f t="shared" si="209"/>
        <v/>
      </c>
      <c r="DJ22" s="119" t="str">
        <f t="shared" si="209"/>
        <v/>
      </c>
      <c r="DK22" s="119" t="str">
        <f t="shared" si="209"/>
        <v/>
      </c>
      <c r="DL22" s="119" t="str">
        <f t="shared" si="209"/>
        <v/>
      </c>
      <c r="DM22" s="119" t="str">
        <f t="shared" si="209"/>
        <v/>
      </c>
      <c r="DN22" s="119" t="str">
        <f t="shared" si="209"/>
        <v/>
      </c>
      <c r="DO22" s="119" t="str">
        <f>IF(DG22&lt;&gt;"",SUM(DG22:DN22),"")</f>
        <v/>
      </c>
      <c r="DP22" s="119" t="str">
        <f>IF(DP20="","",IF(DP20&gt;0,(DJ23*DP21)+DJ24,-1))</f>
        <v/>
      </c>
      <c r="DQ22" s="119" t="str">
        <f>IF(DP20="","",IF(DP20&gt;0,(DJ23*DQ21)+DJ24,-1))</f>
        <v/>
      </c>
      <c r="DR22" s="119" t="str">
        <f>IF(DP20="","",IF(DP20&gt;0,(DJ23*DR21)+DJ24,-1))</f>
        <v/>
      </c>
      <c r="DS22" s="119" t="str">
        <f>IF(DP20="","",IF(DP20&gt;0,(DJ23*DS21)+DJ24,-1))</f>
        <v/>
      </c>
      <c r="DT22" s="119" t="str">
        <f>IF(DP20="","",IF(DP20&gt;0,(DJ23*DT21)+DJ24,-1))</f>
        <v/>
      </c>
      <c r="DU22" s="119" t="str">
        <f>IF(DP20="","",IF(DP20&gt;0,(DJ23*DU21)+DJ24,-1))</f>
        <v/>
      </c>
      <c r="DV22" s="119" t="str">
        <f>IF(DP20="","",IF(DP20&gt;0,(DJ23*DV21)+DJ24,-1))</f>
        <v/>
      </c>
      <c r="DW22" s="119" t="str">
        <f>IF(DP20="","",IF(DP20&gt;0,(DJ23*DW21)+DJ24,-1))</f>
        <v/>
      </c>
      <c r="DX22" s="1182" t="str">
        <f>IF(DP20="","",IF(DP20&gt;0,(DJ23*DX21)+DJ24,-1))</f>
        <v/>
      </c>
      <c r="DY22" s="124" t="str">
        <f>IF(ISNUMBER(DY20),DY19-EG19,"")</f>
        <v/>
      </c>
      <c r="DZ22" s="117" t="str">
        <f>IF(ISNUMBER(DZ20),DZ19-EG19,"")</f>
        <v/>
      </c>
      <c r="EA22" s="117" t="str">
        <f>IF(ISNUMBER(EA20),EA19-EG19,"")</f>
        <v/>
      </c>
      <c r="EB22" s="117" t="str">
        <f>IF(ISNUMBER(EB20),EB19-EG19,"")</f>
        <v/>
      </c>
      <c r="EC22" s="117" t="str">
        <f>IF(ISNUMBER(EC20),EC19-EG19,"")</f>
        <v/>
      </c>
      <c r="ED22" s="117" t="str">
        <f>IF(ISNUMBER(ED20),ED19-EG19,"")</f>
        <v/>
      </c>
      <c r="EE22" s="117" t="str">
        <f>IF(ISNUMBER(EE20),EE19-EG19,"")</f>
        <v/>
      </c>
      <c r="EF22" s="117" t="str">
        <f>IF(ISNUMBER(EF20),EF19-EG19,"")</f>
        <v/>
      </c>
      <c r="EG22" s="118" t="str">
        <f>IF(DY22&lt;&gt;"",SUM(DY22:EF22),"")</f>
        <v/>
      </c>
      <c r="EH22" s="119" t="str">
        <f t="shared" ref="EH22:EO22" si="210">IF(ISERROR(DY22*DY24),"",DY22*DY24)</f>
        <v/>
      </c>
      <c r="EI22" s="119" t="str">
        <f t="shared" si="210"/>
        <v/>
      </c>
      <c r="EJ22" s="119" t="str">
        <f t="shared" si="210"/>
        <v/>
      </c>
      <c r="EK22" s="119" t="str">
        <f t="shared" si="210"/>
        <v/>
      </c>
      <c r="EL22" s="119" t="str">
        <f t="shared" si="210"/>
        <v/>
      </c>
      <c r="EM22" s="119" t="str">
        <f t="shared" si="210"/>
        <v/>
      </c>
      <c r="EN22" s="119" t="str">
        <f t="shared" si="210"/>
        <v/>
      </c>
      <c r="EO22" s="119" t="str">
        <f t="shared" si="210"/>
        <v/>
      </c>
      <c r="EP22" s="119" t="str">
        <f>IF(EH22&lt;&gt;"",SUM(EH22:EO22),"")</f>
        <v/>
      </c>
      <c r="EQ22" s="119" t="str">
        <f>IF(EQ20="","",IF(EQ20&gt;0,(EK23*EQ21)+EK24,-1))</f>
        <v/>
      </c>
      <c r="ER22" s="119" t="str">
        <f>IF(EQ20="","",IF(EQ20&gt;0,(EK23*ER21)+EK24,-1))</f>
        <v/>
      </c>
      <c r="ES22" s="119" t="str">
        <f>IF(EQ20="","",IF(EQ20&gt;0,(EK23*ES21)+EK24,-1))</f>
        <v/>
      </c>
      <c r="ET22" s="119" t="str">
        <f>IF(EQ20="","",IF(EQ20&gt;0,(EK23*ET21)+EK24,-1))</f>
        <v/>
      </c>
      <c r="EU22" s="119" t="str">
        <f>IF(EQ20="","",IF(EQ20&gt;0,(EK23*EU21)+EK24,-1))</f>
        <v/>
      </c>
      <c r="EV22" s="119" t="str">
        <f>IF(EQ20="","",IF(EQ20&gt;0,(EK23*EV21)+EK24,-1))</f>
        <v/>
      </c>
      <c r="EW22" s="119" t="str">
        <f>IF(EQ20="","",IF(EQ20&gt;0,(EK23*EW21)+EK24,-1))</f>
        <v/>
      </c>
      <c r="EX22" s="119" t="str">
        <f>IF(EQ20="","",IF(EQ20&gt;0,(EK23*EX21)+EK24,-1))</f>
        <v/>
      </c>
      <c r="EY22" s="1182" t="str">
        <f>IF(EQ20="","",IF(EQ20&gt;0,(EK23*EY21)+EK24,-1))</f>
        <v/>
      </c>
      <c r="EZ22" s="124" t="str">
        <f>IF(ISNUMBER(EZ20),EZ19-FH19,"")</f>
        <v/>
      </c>
      <c r="FA22" s="117" t="str">
        <f>IF(ISNUMBER(FA20),FA19-FH19,"")</f>
        <v/>
      </c>
      <c r="FB22" s="117" t="str">
        <f>IF(ISNUMBER(FB20),FB19-FH19,"")</f>
        <v/>
      </c>
      <c r="FC22" s="117" t="str">
        <f>IF(ISNUMBER(FC20),FC19-FH19,"")</f>
        <v/>
      </c>
      <c r="FD22" s="117" t="str">
        <f>IF(ISNUMBER(FD20),FD19-FH19,"")</f>
        <v/>
      </c>
      <c r="FE22" s="117" t="str">
        <f>IF(ISNUMBER(FE20),FE19-FH19,"")</f>
        <v/>
      </c>
      <c r="FF22" s="117" t="str">
        <f>IF(ISNUMBER(FF20),FF19-FH19,"")</f>
        <v/>
      </c>
      <c r="FG22" s="117" t="str">
        <f>IF(ISNUMBER(FG20),FG19-FH19,"")</f>
        <v/>
      </c>
      <c r="FH22" s="118" t="str">
        <f>IF(EZ22&lt;&gt;"",SUM(EZ22:FG22),"")</f>
        <v/>
      </c>
      <c r="FI22" s="119" t="str">
        <f t="shared" ref="FI22:FP22" si="211">IF(ISERROR(EZ22*EZ24),"",EZ22*EZ24)</f>
        <v/>
      </c>
      <c r="FJ22" s="119" t="str">
        <f t="shared" si="211"/>
        <v/>
      </c>
      <c r="FK22" s="119" t="str">
        <f t="shared" si="211"/>
        <v/>
      </c>
      <c r="FL22" s="119" t="str">
        <f t="shared" si="211"/>
        <v/>
      </c>
      <c r="FM22" s="119" t="str">
        <f t="shared" si="211"/>
        <v/>
      </c>
      <c r="FN22" s="119" t="str">
        <f t="shared" si="211"/>
        <v/>
      </c>
      <c r="FO22" s="119" t="str">
        <f t="shared" si="211"/>
        <v/>
      </c>
      <c r="FP22" s="119" t="str">
        <f t="shared" si="211"/>
        <v/>
      </c>
      <c r="FQ22" s="119" t="str">
        <f>IF(FI22&lt;&gt;"",SUM(FI22:FP22),"")</f>
        <v/>
      </c>
      <c r="FR22" s="119" t="str">
        <f>IF(FR20="","",IF(FR20&gt;0,(FL23*FR21)+FL24,-1))</f>
        <v/>
      </c>
      <c r="FS22" s="119" t="str">
        <f>IF(FR20="","",IF(FR20&gt;0,(FL23*FS21)+FL24,-1))</f>
        <v/>
      </c>
      <c r="FT22" s="119" t="str">
        <f>IF(FR20="","",IF(FR20&gt;0,(FL23*FT21)+FL24,-1))</f>
        <v/>
      </c>
      <c r="FU22" s="119" t="str">
        <f>IF(FR20="","",IF(FR20&gt;0,(FL23*FU21)+FL24,-1))</f>
        <v/>
      </c>
      <c r="FV22" s="119" t="str">
        <f>IF(FR20="","",IF(FR20&gt;0,(FL23*FV21)+FL24,-1))</f>
        <v/>
      </c>
      <c r="FW22" s="119" t="str">
        <f>IF(FR20="","",IF(FR20&gt;0,(FL23*FW21)+FL24,-1))</f>
        <v/>
      </c>
      <c r="FX22" s="119" t="str">
        <f>IF(FR20="","",IF(FR20&gt;0,(FL23*FX21)+FL24,-1))</f>
        <v/>
      </c>
      <c r="FY22" s="119" t="str">
        <f>IF(FR20="","",IF(FR20&gt;0,(FL23*FY21)+FL24,-1))</f>
        <v/>
      </c>
      <c r="FZ22" s="1182" t="str">
        <f>IF(FR20="","",IF(FR20&gt;0,(FL23*FZ21)+FL24,-1))</f>
        <v/>
      </c>
      <c r="GA22" s="124" t="str">
        <f>IF(ISNUMBER(GA20),GA19-GI19,"")</f>
        <v/>
      </c>
      <c r="GB22" s="117" t="str">
        <f>IF(ISNUMBER(GB20),GB19-GI19,"")</f>
        <v/>
      </c>
      <c r="GC22" s="117" t="str">
        <f>IF(ISNUMBER(GC20),GC19-GI19,"")</f>
        <v/>
      </c>
      <c r="GD22" s="117" t="str">
        <f>IF(ISNUMBER(GD20),GD19-GI19,"")</f>
        <v/>
      </c>
      <c r="GE22" s="117" t="str">
        <f>IF(ISNUMBER(GE20),GE19-GI19,"")</f>
        <v/>
      </c>
      <c r="GF22" s="117" t="str">
        <f>IF(ISNUMBER(GF20),GF19-GI19,"")</f>
        <v/>
      </c>
      <c r="GG22" s="117" t="str">
        <f>IF(ISNUMBER(GG20),GG19-GI19,"")</f>
        <v/>
      </c>
      <c r="GH22" s="117" t="str">
        <f>IF(ISNUMBER(GH20),GH19-GI19,"")</f>
        <v/>
      </c>
      <c r="GI22" s="118" t="str">
        <f>IF(GA22&lt;&gt;"",SUM(GA22:GH22),"")</f>
        <v/>
      </c>
      <c r="GJ22" s="119" t="str">
        <f t="shared" ref="GJ22:GQ22" si="212">IF(ISERROR(GA22*GA24),"",GA22*GA24)</f>
        <v/>
      </c>
      <c r="GK22" s="119" t="str">
        <f t="shared" si="212"/>
        <v/>
      </c>
      <c r="GL22" s="119" t="str">
        <f t="shared" si="212"/>
        <v/>
      </c>
      <c r="GM22" s="119" t="str">
        <f t="shared" si="212"/>
        <v/>
      </c>
      <c r="GN22" s="119" t="str">
        <f t="shared" si="212"/>
        <v/>
      </c>
      <c r="GO22" s="119" t="str">
        <f t="shared" si="212"/>
        <v/>
      </c>
      <c r="GP22" s="119" t="str">
        <f t="shared" si="212"/>
        <v/>
      </c>
      <c r="GQ22" s="119" t="str">
        <f t="shared" si="212"/>
        <v/>
      </c>
      <c r="GR22" s="119" t="str">
        <f>IF(GJ22&lt;&gt;"",SUM(GJ22:GQ22),"")</f>
        <v/>
      </c>
      <c r="GS22" s="119" t="str">
        <f>IF(GS20="","",IF(GS20&gt;0,(GM23*GS21)+GM24,-1))</f>
        <v/>
      </c>
      <c r="GT22" s="119" t="str">
        <f>IF(GS20="","",IF(GS20&gt;0,(GM23*GT21)+GM24,-1))</f>
        <v/>
      </c>
      <c r="GU22" s="119" t="str">
        <f>IF(GS20="","",IF(GS20&gt;0,(GM23*GU21)+GM24,-1))</f>
        <v/>
      </c>
      <c r="GV22" s="119" t="str">
        <f>IF(GS20="","",IF(GS20&gt;0,(GM23*GV21)+GM24,-1))</f>
        <v/>
      </c>
      <c r="GW22" s="119" t="str">
        <f>IF(GS20="","",IF(GS20&gt;0,(GM23*GW21)+GM24,-1))</f>
        <v/>
      </c>
      <c r="GX22" s="119" t="str">
        <f>IF(GS20="","",IF(GS20&gt;0,(GM23*GX21)+GM24,-1))</f>
        <v/>
      </c>
      <c r="GY22" s="119" t="str">
        <f>IF(GS20="","",IF(GS20&gt;0,(GM23*GY21)+GM24,-1))</f>
        <v/>
      </c>
      <c r="GZ22" s="119" t="str">
        <f>IF(GS20="","",IF(GS20&gt;0,(GM23*GZ21)+GM24,-1))</f>
        <v/>
      </c>
      <c r="HA22" s="1182" t="str">
        <f>IF(GS20="","",IF(GS20&gt;0,(GM23*HA21)+GM24,-1))</f>
        <v/>
      </c>
      <c r="HB22" s="124" t="str">
        <f>IF(ISNUMBER(HB20),HB19-HJ19,"")</f>
        <v/>
      </c>
      <c r="HC22" s="117" t="str">
        <f>IF(ISNUMBER(HC20),HC19-HJ19,"")</f>
        <v/>
      </c>
      <c r="HD22" s="117" t="str">
        <f>IF(ISNUMBER(HD20),HD19-HJ19,"")</f>
        <v/>
      </c>
      <c r="HE22" s="117" t="str">
        <f>IF(ISNUMBER(HE20),HE19-HJ19,"")</f>
        <v/>
      </c>
      <c r="HF22" s="117" t="str">
        <f>IF(ISNUMBER(HF20),HF19-HJ19,"")</f>
        <v/>
      </c>
      <c r="HG22" s="117" t="str">
        <f>IF(ISNUMBER(HG20),HG19-HJ19,"")</f>
        <v/>
      </c>
      <c r="HH22" s="117" t="str">
        <f>IF(ISNUMBER(HH20),HH19-HJ19,"")</f>
        <v/>
      </c>
      <c r="HI22" s="117" t="str">
        <f>IF(ISNUMBER(HI20),HI19-HJ19,"")</f>
        <v/>
      </c>
      <c r="HJ22" s="118" t="str">
        <f>IF(HB22&lt;&gt;"",SUM(HB22:HI22),"")</f>
        <v/>
      </c>
      <c r="HK22" s="119" t="str">
        <f t="shared" ref="HK22:HR22" si="213">IF(ISERROR(HB22*HB24),"",HB22*HB24)</f>
        <v/>
      </c>
      <c r="HL22" s="119" t="str">
        <f t="shared" si="213"/>
        <v/>
      </c>
      <c r="HM22" s="119" t="str">
        <f t="shared" si="213"/>
        <v/>
      </c>
      <c r="HN22" s="119" t="str">
        <f t="shared" si="213"/>
        <v/>
      </c>
      <c r="HO22" s="119" t="str">
        <f t="shared" si="213"/>
        <v/>
      </c>
      <c r="HP22" s="119" t="str">
        <f t="shared" si="213"/>
        <v/>
      </c>
      <c r="HQ22" s="119" t="str">
        <f t="shared" si="213"/>
        <v/>
      </c>
      <c r="HR22" s="119" t="str">
        <f t="shared" si="213"/>
        <v/>
      </c>
      <c r="HS22" s="119" t="str">
        <f>IF(HK22&lt;&gt;"",SUM(HK22:HR22),"")</f>
        <v/>
      </c>
      <c r="HT22" s="119" t="str">
        <f>IF(HT20="","",IF(HT20&gt;0,(HN23*HT21)+HN24,-1))</f>
        <v/>
      </c>
      <c r="HU22" s="119" t="str">
        <f>IF(HT20="","",IF(HT20&gt;0,(HN23*HU21)+HN24,-1))</f>
        <v/>
      </c>
      <c r="HV22" s="119" t="str">
        <f>IF(HT20="","",IF(HT20&gt;0,(HN23*HV21)+HN24,-1))</f>
        <v/>
      </c>
      <c r="HW22" s="119" t="str">
        <f>IF(HT20="","",IF(HT20&gt;0,(HN23*HW21)+HN24,-1))</f>
        <v/>
      </c>
      <c r="HX22" s="119" t="str">
        <f>IF(HT20="","",IF(HT20&gt;0,(HN23*HX21)+HN24,-1))</f>
        <v/>
      </c>
      <c r="HY22" s="119" t="str">
        <f>IF(HT20="","",IF(HT20&gt;0,(HN23*HY21)+HN24,-1))</f>
        <v/>
      </c>
      <c r="HZ22" s="119" t="str">
        <f>IF(HT20="","",IF(HT20&gt;0,(HN23*HZ21)+HN24,-1))</f>
        <v/>
      </c>
      <c r="IA22" s="119" t="str">
        <f>IF(HT20="","",IF(HT20&gt;0,(HN23*IA21)+HN24,-1))</f>
        <v/>
      </c>
      <c r="IB22" s="1182" t="str">
        <f>IF(HT20="","",IF(HT20&gt;0,(HN23*IB21)+HN24,-1))</f>
        <v/>
      </c>
      <c r="IC22" s="124" t="str">
        <f>IF(ISNUMBER(IC20),IC19-IK19,"")</f>
        <v/>
      </c>
      <c r="ID22" s="117" t="str">
        <f>IF(ISNUMBER(ID20),ID19-IK19,"")</f>
        <v/>
      </c>
      <c r="IE22" s="117" t="str">
        <f>IF(ISNUMBER(IE20),IE19-IK19,"")</f>
        <v/>
      </c>
      <c r="IF22" s="117" t="str">
        <f>IF(ISNUMBER(IF20),IF19-IK19,"")</f>
        <v/>
      </c>
      <c r="IG22" s="117" t="str">
        <f>IF(ISNUMBER(IG20),IG19-IK19,"")</f>
        <v/>
      </c>
      <c r="IH22" s="117" t="str">
        <f>IF(ISNUMBER(IH20),IH19-IK19,"")</f>
        <v/>
      </c>
      <c r="II22" s="117" t="str">
        <f>IF(ISNUMBER(II20),II19-IK19,"")</f>
        <v/>
      </c>
      <c r="IJ22" s="117" t="str">
        <f>IF(ISNUMBER(IJ20),IJ19-IK19,"")</f>
        <v/>
      </c>
      <c r="IK22" s="118" t="str">
        <f>IF(IC22&lt;&gt;"",SUM(IC22:IJ22),"")</f>
        <v/>
      </c>
      <c r="IL22" s="119" t="str">
        <f t="shared" ref="IL22:IS22" si="214">IF(ISERROR(IC22*IC24),"",IC22*IC24)</f>
        <v/>
      </c>
      <c r="IM22" s="119" t="str">
        <f t="shared" si="214"/>
        <v/>
      </c>
      <c r="IN22" s="119" t="str">
        <f t="shared" si="214"/>
        <v/>
      </c>
      <c r="IO22" s="119" t="str">
        <f t="shared" si="214"/>
        <v/>
      </c>
      <c r="IP22" s="119" t="str">
        <f t="shared" si="214"/>
        <v/>
      </c>
      <c r="IQ22" s="119" t="str">
        <f t="shared" si="214"/>
        <v/>
      </c>
      <c r="IR22" s="119" t="str">
        <f t="shared" si="214"/>
        <v/>
      </c>
      <c r="IS22" s="119" t="str">
        <f t="shared" si="214"/>
        <v/>
      </c>
      <c r="IT22" s="119" t="str">
        <f>IF(IL22&lt;&gt;"",SUM(IL22:IS22),"")</f>
        <v/>
      </c>
      <c r="IU22" s="119" t="str">
        <f>IF(IU20="","",IF(IU20&gt;0,(IO23*IU21)+IO24,-1))</f>
        <v/>
      </c>
      <c r="IV22" s="119" t="str">
        <f>IF(IU20="","",IF(IU20&gt;0,(IO23*IV21)+IO24,-1))</f>
        <v/>
      </c>
      <c r="IW22" s="119" t="str">
        <f>IF(IU20="","",IF(IU20&gt;0,(IO23*IW21)+IO24,-1))</f>
        <v/>
      </c>
      <c r="IX22" s="119" t="str">
        <f>IF(IU20="","",IF(IU20&gt;0,(IO23*IX21)+IO24,-1))</f>
        <v/>
      </c>
      <c r="IY22" s="119" t="str">
        <f>IF(IU20="","",IF(IU20&gt;0,(IO23*IY21)+IO24,-1))</f>
        <v/>
      </c>
      <c r="IZ22" s="119" t="str">
        <f>IF(IU20="","",IF(IU20&gt;0,(IO23*IZ21)+IO24,-1))</f>
        <v/>
      </c>
      <c r="JA22" s="119" t="str">
        <f>IF(IU20="","",IF(IU20&gt;0,(IO23*JA21)+IO24,-1))</f>
        <v/>
      </c>
      <c r="JB22" s="119" t="str">
        <f>IF(IU20="","",IF(IU20&gt;0,(IO23*JB21)+IO24,-1))</f>
        <v/>
      </c>
      <c r="JC22" s="1182" t="str">
        <f>IF(IU20="","",IF(IU20&gt;0,(IO23*JC21)+IO24,-1))</f>
        <v/>
      </c>
      <c r="JD22" s="150">
        <f t="shared" si="169"/>
        <v>4</v>
      </c>
      <c r="JE22" s="77" t="str">
        <f t="shared" ref="JE22:JJ22" si="215">IF(ISNUMBER(JE19),JE19-$JK19,"")</f>
        <v/>
      </c>
      <c r="JF22" s="77">
        <f t="shared" si="215"/>
        <v>-1.019203327026174E-2</v>
      </c>
      <c r="JG22" s="77">
        <f t="shared" si="215"/>
        <v>6.9388939039072284E-18</v>
      </c>
      <c r="JH22" s="77">
        <f t="shared" si="215"/>
        <v>1.0192033270261754E-2</v>
      </c>
      <c r="JI22" s="77" t="str">
        <f t="shared" si="215"/>
        <v/>
      </c>
      <c r="JJ22" s="77" t="str">
        <f t="shared" si="215"/>
        <v/>
      </c>
      <c r="JK22" s="76"/>
      <c r="JL22" s="75" t="str">
        <f t="shared" ref="JL22:JQ22" si="216">IF(ISERROR(JE23*JE24),"",JE23*JE24)</f>
        <v/>
      </c>
      <c r="JM22" s="75">
        <f t="shared" si="216"/>
        <v>0</v>
      </c>
      <c r="JN22" s="75">
        <f t="shared" si="216"/>
        <v>0</v>
      </c>
      <c r="JO22" s="75">
        <f t="shared" si="216"/>
        <v>0</v>
      </c>
      <c r="JP22" s="75" t="str">
        <f t="shared" si="216"/>
        <v/>
      </c>
      <c r="JQ22" s="75" t="str">
        <f t="shared" si="216"/>
        <v/>
      </c>
      <c r="JR22" s="65">
        <f>SUM(JL22:JQ22)</f>
        <v>0</v>
      </c>
      <c r="JS22" s="157" t="s">
        <v>99</v>
      </c>
      <c r="JT22" s="1195" t="s">
        <v>100</v>
      </c>
      <c r="JU22" s="123">
        <f>IF(T23&lt;&gt;0,LOOKUP(T23,Tara!$G$6:$G$185,Tara!$J$6:$J$185)/10,"")</f>
        <v>11.479000000000001</v>
      </c>
      <c r="JV22" s="116">
        <f t="shared" si="171"/>
        <v>0</v>
      </c>
      <c r="JW22" s="155">
        <f t="shared" si="172"/>
        <v>0</v>
      </c>
      <c r="JX22" s="77" t="str">
        <f t="shared" ref="JX22:KC22" si="217">IF(ISNUMBER(JX19),JX19-$JK19,"")</f>
        <v/>
      </c>
      <c r="JY22" s="77">
        <f t="shared" si="217"/>
        <v>-1.019203327026174E-2</v>
      </c>
      <c r="JZ22" s="77">
        <f t="shared" si="217"/>
        <v>6.9388939039072284E-18</v>
      </c>
      <c r="KA22" s="77">
        <f t="shared" si="217"/>
        <v>1.0192033270261754E-2</v>
      </c>
      <c r="KB22" s="77" t="str">
        <f t="shared" si="217"/>
        <v/>
      </c>
      <c r="KC22" s="77" t="str">
        <f t="shared" si="217"/>
        <v/>
      </c>
      <c r="KD22" s="76"/>
      <c r="KE22" s="75" t="str">
        <f t="shared" ref="KE22:KJ22" si="218">IF(ISERROR(JX23*JX24),"",JX23*JX24)</f>
        <v/>
      </c>
      <c r="KF22" s="75">
        <f t="shared" si="218"/>
        <v>0</v>
      </c>
      <c r="KG22" s="75">
        <f t="shared" si="218"/>
        <v>0</v>
      </c>
      <c r="KH22" s="75">
        <f t="shared" si="218"/>
        <v>0</v>
      </c>
      <c r="KI22" s="75" t="str">
        <f t="shared" si="218"/>
        <v/>
      </c>
      <c r="KJ22" s="75" t="str">
        <f t="shared" si="218"/>
        <v/>
      </c>
      <c r="KK22" s="65">
        <f>SUM(KE22:KJ22)</f>
        <v>0</v>
      </c>
      <c r="KL22" s="157" t="s">
        <v>99</v>
      </c>
      <c r="KM22" s="1195" t="s">
        <v>87</v>
      </c>
      <c r="KN22" s="168" t="str">
        <f t="shared" ref="KN22:KW22" si="219">IF(ISNUMBER(KN21),KN19/KN21,"")</f>
        <v/>
      </c>
      <c r="KO22" s="105" t="str">
        <f t="shared" si="219"/>
        <v/>
      </c>
      <c r="KP22" s="105" t="str">
        <f t="shared" si="219"/>
        <v/>
      </c>
      <c r="KQ22" s="105" t="str">
        <f t="shared" si="219"/>
        <v/>
      </c>
      <c r="KR22" s="1196" t="str">
        <f t="shared" si="219"/>
        <v/>
      </c>
      <c r="KS22" s="168" t="str">
        <f t="shared" si="219"/>
        <v/>
      </c>
      <c r="KT22" s="105" t="str">
        <f t="shared" si="219"/>
        <v/>
      </c>
      <c r="KU22" s="105" t="str">
        <f t="shared" si="219"/>
        <v/>
      </c>
      <c r="KV22" s="105" t="str">
        <f t="shared" si="219"/>
        <v/>
      </c>
      <c r="KW22" s="105" t="str">
        <f t="shared" si="219"/>
        <v/>
      </c>
      <c r="KX22" s="1197"/>
      <c r="KY22" s="196" t="str">
        <f>IF(AND(KY20&gt;0,ISNUMBER(KY20)),KY21/KY20,"")</f>
        <v/>
      </c>
      <c r="KZ22" s="1198" t="str">
        <f>IF(AND(KZ20&gt;0,ISNUMBER(KZ20)),KZ21/KZ20,"")</f>
        <v/>
      </c>
      <c r="LA22" s="598">
        <f>IF(LA19&lt;&gt;"",LA19/LA21*100,"")</f>
        <v>0</v>
      </c>
      <c r="LB22" s="702">
        <f>IF(LB19&lt;&gt;"",LB19/LB21*100,"")</f>
        <v>0</v>
      </c>
      <c r="LC22" s="120">
        <f>IF(LC20&lt;&gt;"",LC20-LC21,"")</f>
        <v>886.48</v>
      </c>
      <c r="LD22" s="120">
        <f>IF(LD20&lt;&gt;"",LD20/(LA23+100)*100,"")</f>
        <v>100</v>
      </c>
      <c r="LE22" s="199"/>
      <c r="LF22" s="199"/>
      <c r="LG22" s="199"/>
      <c r="LH22" s="199"/>
      <c r="LI22" s="199"/>
      <c r="LJ22" s="199"/>
      <c r="LK22" s="199"/>
      <c r="LL22" s="200">
        <f>IF(LD20&lt;&gt;"",LL21/LD22,"")</f>
        <v>0.9274</v>
      </c>
      <c r="LM22" s="1199">
        <f>IF(LD20&lt;&gt;"",LM21/LD22,"")</f>
        <v>0.37129999999999996</v>
      </c>
      <c r="LN22" s="185" t="b">
        <f>IF(LM23="","",IF(AND(LG23&gt;=93%,LG23&lt;=100%,LI23&gt;=43%,LI23&lt;=92%,LJ23&gt;=30%,LJ23&lt;=70%,LK23&gt;=20%,LK23&lt;=55%,LL23&gt;=13%,LL23&lt;=32%,LM23&gt;=3%,LM23&lt;=17%),"Faixa C"))</f>
        <v>0</v>
      </c>
      <c r="LO22" s="180" t="str">
        <f>IF(LM23="","",IF(LN20="Faixa A","A",IF(LN21="Faixa B","B",IF(LN22="Faixa C","C",IF(LN23="Faixa D","D",IF(LO20="Faixa E","E",IF(LO21="Faixa F","F","")))))))</f>
        <v>D</v>
      </c>
      <c r="LP22" s="181"/>
      <c r="LQ22" s="181"/>
      <c r="LR22" s="1279"/>
      <c r="LS22" s="215">
        <v>4</v>
      </c>
      <c r="LT22" s="144">
        <f>IF(LJ23&lt;&gt;"",LJ23*100,"")</f>
        <v>51.678000000000004</v>
      </c>
      <c r="LU22" s="162" t="s">
        <v>101</v>
      </c>
      <c r="LV22" s="162" t="s">
        <v>102</v>
      </c>
      <c r="LW22" s="162" t="s">
        <v>103</v>
      </c>
      <c r="LX22" s="162" t="s">
        <v>104</v>
      </c>
      <c r="LY22" s="199" t="b">
        <f>IF(LG25&lt;LL25,"NP",AND(LU25=0,LO25&lt;=6,LT25&lt;=15,LT24&lt;=30,LT23&lt;=50))</f>
        <v>0</v>
      </c>
      <c r="LZ22" s="199" t="b">
        <f>IF(LH25&lt;LL25,"NP",AND(LU25=0,LO25&lt;=6,LT25&lt;=25,LT24&lt;=50))</f>
        <v>1</v>
      </c>
      <c r="MA22" s="199" t="b">
        <f>IF(LO25&lt;0,IF(MB22="NP",IF(LU25=0,IF(LT25&lt;=10,IF(LT24&gt;50,AND(LU25=0,LO25&lt;0,LT25&lt;=10,LT24&gt;50),"NP")))))</f>
        <v>0</v>
      </c>
      <c r="MB22" s="199" t="b">
        <f>IF(LH25&lt;LL25,"NP",AND(LU25=0,LO25&lt;=10,LH25&lt;=40,LT25&lt;35))</f>
        <v>1</v>
      </c>
      <c r="MC22" s="199" t="b">
        <f>IF(LH25&lt;LL25,"NP",AND(LU25=0,LO25&lt;=10,LH25&gt;40,LT25&lt;=35))</f>
        <v>0</v>
      </c>
      <c r="MD22" s="199" t="b">
        <f>IF(LH25&lt;LL25,"NP",AND(LU25&lt;=4,LO25&gt;10,LH25&lt;=40,LT25&lt;=35))</f>
        <v>0</v>
      </c>
      <c r="ME22" s="1200" t="b">
        <f>IF(LH25&lt;LL25,"NP",AND(LU25&lt;=4,LO25&gt;10,LH25&gt;40,LT25&lt;=35))</f>
        <v>0</v>
      </c>
      <c r="MF22" s="700"/>
      <c r="MG22" s="701"/>
      <c r="MH22" s="701"/>
      <c r="MI22" s="701"/>
      <c r="MJ22" s="701"/>
      <c r="MK22" s="701"/>
      <c r="ML22" s="701"/>
      <c r="MM22" s="701"/>
      <c r="MN22" s="701"/>
      <c r="MO22" s="701"/>
      <c r="MP22" s="701"/>
      <c r="MQ22" s="701"/>
      <c r="MR22" s="701"/>
      <c r="MS22" s="701"/>
      <c r="MT22" s="701"/>
      <c r="MU22" s="701"/>
      <c r="MV22" s="701"/>
      <c r="MW22" s="701"/>
      <c r="MX22" s="701"/>
      <c r="MY22" s="701"/>
      <c r="MZ22" s="701"/>
      <c r="NA22" s="701"/>
      <c r="NB22" s="701"/>
      <c r="NC22" s="701"/>
      <c r="ND22" s="701"/>
      <c r="NE22" s="701"/>
      <c r="NF22" s="701"/>
      <c r="NG22" s="701"/>
      <c r="NH22" s="701"/>
      <c r="NI22" s="701"/>
      <c r="NJ22" s="701"/>
      <c r="NK22" s="701"/>
      <c r="NL22" s="701"/>
      <c r="NM22" s="701"/>
      <c r="NN22" s="701"/>
      <c r="NO22" s="701"/>
      <c r="NP22" s="701"/>
      <c r="NQ22" s="701"/>
      <c r="NR22" s="701"/>
      <c r="NS22" s="144"/>
      <c r="NT22" s="78"/>
      <c r="NU22" s="701"/>
      <c r="NV22" s="701"/>
      <c r="NW22" s="701"/>
      <c r="NX22" s="701"/>
      <c r="NY22" s="701"/>
      <c r="NZ22" s="701"/>
      <c r="OA22" s="701"/>
      <c r="OB22" s="701"/>
      <c r="OC22" s="701"/>
      <c r="OD22" s="1189"/>
      <c r="OE22" s="701"/>
      <c r="OF22" s="132"/>
      <c r="OG22" s="132"/>
      <c r="OH22" s="132"/>
      <c r="OI22" s="56"/>
      <c r="OJ22" s="56"/>
      <c r="OK22" s="56"/>
      <c r="OL22" s="56"/>
      <c r="OM22" s="56"/>
      <c r="ON22" s="56"/>
      <c r="OO22" s="56"/>
      <c r="OP22" s="56"/>
      <c r="OQ22" s="56"/>
      <c r="OR22" s="56"/>
      <c r="OS22" s="56"/>
      <c r="OT22" s="56"/>
      <c r="OU22" s="56"/>
      <c r="OV22" s="56"/>
      <c r="OW22" s="56"/>
      <c r="OX22" s="56"/>
      <c r="OY22" s="56"/>
      <c r="OZ22" s="56"/>
      <c r="PA22" s="56"/>
      <c r="PB22" s="56"/>
      <c r="PC22" s="56"/>
      <c r="PD22" s="56"/>
      <c r="PE22" s="56"/>
      <c r="PF22" s="56"/>
      <c r="PG22" s="56"/>
      <c r="PH22" s="56"/>
      <c r="PI22" s="56"/>
      <c r="PJ22" s="56"/>
      <c r="PK22" s="56"/>
      <c r="PL22" s="56"/>
      <c r="PM22" s="56"/>
      <c r="PN22" s="56"/>
      <c r="PO22" s="56"/>
      <c r="PP22" s="56"/>
      <c r="PQ22" s="56"/>
      <c r="PR22" s="56"/>
      <c r="PS22" s="56"/>
      <c r="PT22" s="56"/>
      <c r="PU22" s="56"/>
      <c r="PV22" s="56"/>
      <c r="PW22" s="56"/>
      <c r="PX22" s="56"/>
      <c r="PY22" s="56"/>
      <c r="PZ22" s="56"/>
      <c r="QA22" s="56"/>
      <c r="QB22" s="56"/>
      <c r="QC22" s="56"/>
      <c r="QD22" s="56"/>
      <c r="QE22" s="56"/>
      <c r="QF22" s="56"/>
      <c r="QG22" s="56"/>
      <c r="QH22" s="56"/>
      <c r="QI22" s="56"/>
      <c r="QJ22" s="56"/>
      <c r="QK22" s="56"/>
      <c r="QL22" s="56"/>
      <c r="QM22" s="56"/>
      <c r="QN22" s="56"/>
      <c r="QO22" s="56"/>
      <c r="QP22" s="56"/>
      <c r="QQ22" s="56"/>
      <c r="QR22" s="56"/>
      <c r="QS22" s="56"/>
      <c r="QT22" s="56"/>
      <c r="QU22" s="56"/>
      <c r="QV22" s="56"/>
      <c r="QW22" s="56"/>
      <c r="QX22" s="56"/>
      <c r="QY22" s="56"/>
      <c r="QZ22" s="56"/>
      <c r="RA22" s="56"/>
      <c r="RB22" s="56"/>
      <c r="RC22" s="56"/>
      <c r="RD22" s="56"/>
      <c r="RE22" s="56"/>
      <c r="RF22" s="56"/>
      <c r="RG22" s="56"/>
      <c r="RH22" s="56"/>
      <c r="RI22" s="56"/>
      <c r="RJ22" s="56"/>
      <c r="RK22" s="56"/>
      <c r="RL22" s="56"/>
      <c r="RM22" s="56"/>
      <c r="RN22" s="56"/>
      <c r="RO22" s="56"/>
      <c r="RP22" s="56"/>
      <c r="RQ22" s="56"/>
      <c r="RR22" s="56"/>
      <c r="RS22" s="56"/>
      <c r="RT22" s="56"/>
      <c r="RU22" s="56"/>
      <c r="RV22" s="56"/>
      <c r="RW22" s="56"/>
      <c r="RX22" s="56"/>
      <c r="RY22" s="56"/>
      <c r="RZ22" s="56"/>
      <c r="SA22" s="56"/>
      <c r="SB22" s="56"/>
      <c r="SC22" s="56"/>
      <c r="SD22" s="56"/>
      <c r="SE22" s="56"/>
      <c r="SF22" s="56"/>
      <c r="SG22" s="56"/>
      <c r="SH22" s="56"/>
      <c r="SI22" s="56"/>
      <c r="SJ22" s="56"/>
      <c r="SK22" s="56"/>
      <c r="SL22" s="56"/>
      <c r="SM22" s="56"/>
      <c r="SN22" s="56"/>
      <c r="SO22" s="56"/>
      <c r="SP22" s="56"/>
      <c r="SQ22" s="56"/>
      <c r="SR22" s="56"/>
      <c r="SS22" s="56"/>
      <c r="ST22" s="56"/>
      <c r="SU22" s="56"/>
      <c r="SV22" s="56"/>
      <c r="SW22" s="56"/>
      <c r="SX22" s="56"/>
      <c r="SY22" s="56"/>
      <c r="SZ22" s="56"/>
      <c r="TA22" s="56"/>
      <c r="TB22" s="56"/>
      <c r="TC22" s="56"/>
      <c r="TD22" s="56"/>
      <c r="TE22" s="56"/>
      <c r="TF22" s="56"/>
      <c r="TG22" s="56"/>
      <c r="TH22" s="56"/>
      <c r="TI22" s="56"/>
      <c r="TJ22" s="56"/>
      <c r="TK22" s="56"/>
      <c r="TL22" s="56"/>
      <c r="TM22" s="56"/>
      <c r="TN22" s="56"/>
      <c r="TO22" s="56"/>
      <c r="TP22" s="56"/>
      <c r="TQ22" s="56"/>
      <c r="TR22" s="56"/>
      <c r="TS22" s="56"/>
      <c r="TT22" s="56"/>
      <c r="TU22" s="56"/>
      <c r="TV22" s="56"/>
      <c r="TW22" s="56"/>
      <c r="TX22" s="56"/>
      <c r="TY22" s="56"/>
      <c r="TZ22" s="56"/>
      <c r="UA22" s="56"/>
      <c r="UB22" s="56"/>
      <c r="UC22" s="56"/>
      <c r="UD22" s="56"/>
      <c r="UE22" s="56"/>
      <c r="UF22" s="56"/>
      <c r="UG22" s="56"/>
      <c r="UH22" s="56"/>
      <c r="UI22" s="56"/>
      <c r="UJ22" s="56"/>
      <c r="UK22" s="56"/>
      <c r="UL22" s="56"/>
      <c r="UM22" s="56"/>
      <c r="UN22" s="56"/>
      <c r="UO22" s="56"/>
      <c r="UP22" s="56"/>
      <c r="UQ22" s="56"/>
      <c r="UR22" s="56"/>
      <c r="US22" s="56"/>
      <c r="UT22" s="56"/>
      <c r="UU22" s="56"/>
      <c r="UV22" s="56"/>
      <c r="UW22" s="56"/>
      <c r="UX22" s="56"/>
      <c r="UY22" s="56"/>
      <c r="UZ22" s="56"/>
      <c r="VA22" s="56"/>
      <c r="VB22" s="56"/>
      <c r="VC22" s="56"/>
      <c r="VD22" s="56"/>
      <c r="VE22" s="56"/>
      <c r="VF22" s="56"/>
      <c r="VG22" s="56"/>
      <c r="VH22" s="56"/>
      <c r="VI22" s="56"/>
      <c r="VJ22" s="56"/>
      <c r="VK22" s="56"/>
      <c r="VL22" s="56"/>
      <c r="VM22" s="56"/>
      <c r="VN22" s="56"/>
      <c r="VO22" s="56"/>
      <c r="VP22" s="56"/>
      <c r="VQ22" s="56"/>
      <c r="VR22" s="56"/>
      <c r="VS22" s="56"/>
      <c r="VT22" s="56"/>
      <c r="VU22" s="56"/>
      <c r="VV22" s="56"/>
      <c r="VW22" s="56"/>
      <c r="VX22" s="56"/>
      <c r="VY22" s="56"/>
      <c r="VZ22" s="56"/>
      <c r="WA22" s="56"/>
      <c r="WB22" s="56"/>
      <c r="WC22" s="56"/>
      <c r="WD22" s="56"/>
      <c r="WE22" s="56"/>
      <c r="WF22" s="56"/>
      <c r="WG22" s="56"/>
      <c r="WH22" s="56"/>
      <c r="WI22" s="56"/>
      <c r="WJ22" s="56"/>
      <c r="WK22" s="56"/>
      <c r="WL22" s="56"/>
      <c r="WM22" s="56"/>
      <c r="WN22" s="56"/>
      <c r="WO22" s="56"/>
      <c r="WP22" s="56"/>
      <c r="WQ22" s="56"/>
      <c r="WR22" s="56"/>
      <c r="WS22" s="56"/>
      <c r="WT22" s="56"/>
      <c r="WU22" s="56"/>
      <c r="WV22" s="56"/>
      <c r="WW22" s="56"/>
      <c r="WX22" s="56"/>
      <c r="WY22" s="56"/>
      <c r="WZ22" s="56"/>
      <c r="XA22" s="56"/>
      <c r="XB22" s="56"/>
      <c r="XC22" s="56"/>
      <c r="XD22" s="56"/>
      <c r="XE22" s="56"/>
      <c r="XF22" s="56"/>
      <c r="XG22" s="56"/>
      <c r="XH22" s="56"/>
      <c r="XI22" s="56"/>
      <c r="XJ22" s="56"/>
      <c r="XK22" s="56"/>
      <c r="XL22" s="56"/>
      <c r="XM22" s="56"/>
      <c r="XN22" s="56"/>
      <c r="XO22" s="56"/>
      <c r="XP22" s="56"/>
      <c r="XQ22" s="56"/>
      <c r="XR22" s="56"/>
      <c r="XS22" s="56"/>
      <c r="XT22" s="56"/>
      <c r="XU22" s="56"/>
      <c r="XV22" s="56"/>
      <c r="XW22" s="56"/>
      <c r="XX22" s="56"/>
      <c r="XY22" s="56"/>
      <c r="XZ22" s="56"/>
      <c r="YA22" s="56"/>
      <c r="YB22" s="56"/>
      <c r="YC22" s="56"/>
      <c r="YD22" s="56"/>
      <c r="YE22" s="56"/>
      <c r="YF22" s="56"/>
      <c r="YG22" s="56"/>
      <c r="YH22" s="56"/>
      <c r="YI22" s="56"/>
      <c r="YJ22" s="56"/>
      <c r="YK22" s="56"/>
      <c r="YL22" s="56"/>
      <c r="YM22" s="56"/>
      <c r="YN22" s="56"/>
      <c r="YO22" s="56"/>
      <c r="YP22" s="56"/>
      <c r="YQ22" s="56"/>
      <c r="YR22" s="56"/>
      <c r="YS22" s="56"/>
      <c r="YT22" s="56"/>
      <c r="YU22" s="56"/>
      <c r="YV22" s="56"/>
      <c r="YW22" s="56"/>
      <c r="YX22" s="56"/>
      <c r="YY22" s="56"/>
      <c r="YZ22" s="56"/>
      <c r="ZA22" s="56"/>
      <c r="ZB22" s="56"/>
      <c r="ZC22" s="56"/>
      <c r="ZD22" s="56"/>
      <c r="ZE22" s="56"/>
      <c r="ZF22" s="56"/>
      <c r="ZG22" s="56"/>
      <c r="ZH22" s="56"/>
      <c r="ZI22" s="56"/>
      <c r="ZJ22" s="56"/>
      <c r="ZK22" s="56"/>
      <c r="ZL22" s="56"/>
      <c r="ZM22" s="56"/>
      <c r="ZN22" s="56"/>
      <c r="ZO22" s="56"/>
      <c r="ZP22" s="56"/>
      <c r="ZQ22" s="56"/>
      <c r="ZR22" s="56"/>
      <c r="ZS22" s="56"/>
      <c r="ZT22" s="56"/>
      <c r="ZU22" s="56"/>
      <c r="ZV22" s="56"/>
      <c r="ZW22" s="56"/>
      <c r="ZX22" s="56"/>
      <c r="ZY22" s="56"/>
      <c r="ZZ22" s="56"/>
      <c r="AAA22" s="56"/>
      <c r="AAB22" s="56"/>
      <c r="AAC22" s="56"/>
      <c r="AAD22" s="56"/>
      <c r="AAE22" s="56"/>
      <c r="AAF22" s="56"/>
      <c r="AAG22" s="56"/>
      <c r="AAH22" s="56"/>
      <c r="AAI22" s="56"/>
      <c r="AAJ22" s="56"/>
      <c r="AAK22" s="56"/>
      <c r="AAL22" s="56"/>
      <c r="AAM22" s="56"/>
      <c r="AAN22" s="56"/>
      <c r="AAO22" s="56"/>
      <c r="AAP22" s="56"/>
      <c r="AAQ22" s="56"/>
      <c r="AAR22" s="56"/>
      <c r="AAS22" s="56"/>
      <c r="AAT22" s="56"/>
      <c r="AAU22" s="56"/>
      <c r="AAV22" s="56"/>
      <c r="AAW22" s="56"/>
      <c r="AAX22" s="56"/>
      <c r="AAY22" s="56"/>
      <c r="AAZ22" s="56"/>
      <c r="ABA22" s="56"/>
      <c r="ABB22" s="56"/>
      <c r="ABC22" s="56"/>
      <c r="ABD22" s="56"/>
      <c r="ABE22" s="56"/>
      <c r="ABF22" s="56"/>
      <c r="ABG22" s="56"/>
      <c r="ABH22" s="56"/>
      <c r="ABI22" s="56"/>
      <c r="ABJ22" s="56"/>
      <c r="ABK22" s="56"/>
      <c r="ABL22" s="56"/>
      <c r="ABM22" s="56"/>
      <c r="ABN22" s="56"/>
      <c r="ABO22" s="56"/>
      <c r="ABP22" s="56"/>
      <c r="ABQ22" s="56"/>
      <c r="ABR22" s="56"/>
      <c r="ABS22" s="56"/>
      <c r="ABT22" s="56"/>
      <c r="ABU22" s="56"/>
      <c r="ABV22" s="56"/>
      <c r="ABW22" s="56"/>
      <c r="ABX22" s="56"/>
      <c r="ABY22" s="56"/>
      <c r="ABZ22" s="56"/>
      <c r="ACA22" s="56"/>
      <c r="ACB22" s="56"/>
      <c r="ACC22" s="56"/>
      <c r="ACD22" s="56"/>
      <c r="ACE22" s="56"/>
      <c r="ACF22" s="56"/>
      <c r="ACG22" s="56"/>
      <c r="ACH22" s="56"/>
      <c r="ACI22" s="56"/>
      <c r="ACJ22" s="56"/>
      <c r="ACK22" s="56"/>
      <c r="ACL22" s="56"/>
      <c r="ACM22" s="56"/>
      <c r="ACN22" s="56"/>
      <c r="ACO22" s="56"/>
      <c r="ACP22" s="56"/>
      <c r="ACQ22" s="56"/>
      <c r="ACR22" s="56"/>
      <c r="ACS22" s="56"/>
      <c r="ACT22" s="56"/>
      <c r="ACU22" s="56"/>
      <c r="ACV22" s="56"/>
      <c r="ACW22" s="56"/>
      <c r="ACX22" s="56"/>
      <c r="ACY22" s="56"/>
      <c r="ACZ22" s="56"/>
      <c r="ADA22" s="56"/>
      <c r="ADB22" s="56"/>
      <c r="ADC22" s="56"/>
      <c r="ADD22" s="56"/>
      <c r="ADE22" s="56"/>
      <c r="ADF22" s="56"/>
      <c r="ADG22" s="56"/>
      <c r="ADH22" s="56"/>
      <c r="ADI22" s="56"/>
      <c r="ADJ22" s="56"/>
      <c r="ADK22" s="56"/>
      <c r="ADL22" s="56"/>
      <c r="ADM22" s="56"/>
      <c r="ADN22" s="56"/>
      <c r="ADO22" s="56"/>
      <c r="ADP22" s="56"/>
      <c r="ADQ22" s="56"/>
      <c r="ADR22" s="56"/>
      <c r="ADS22" s="56"/>
      <c r="ADT22" s="56"/>
      <c r="ADU22" s="56"/>
      <c r="ADV22" s="56"/>
      <c r="ADW22" s="56"/>
      <c r="ADX22" s="56"/>
      <c r="ADY22" s="56"/>
      <c r="ADZ22" s="56"/>
      <c r="AEA22" s="56"/>
      <c r="AEB22" s="56"/>
      <c r="AEC22" s="56"/>
      <c r="AED22" s="56"/>
      <c r="AEE22" s="56"/>
      <c r="AEF22" s="56"/>
      <c r="AEG22" s="56"/>
      <c r="AEH22" s="56"/>
      <c r="AEI22" s="56"/>
      <c r="AEJ22" s="56"/>
      <c r="AEK22" s="56"/>
      <c r="AEL22" s="56"/>
      <c r="AEM22" s="56"/>
      <c r="AEN22" s="56"/>
      <c r="AEO22" s="56"/>
      <c r="AEP22" s="56"/>
      <c r="AEQ22" s="56"/>
      <c r="AER22" s="56"/>
      <c r="AES22" s="56"/>
      <c r="AET22" s="56"/>
      <c r="AEU22" s="56"/>
      <c r="AEV22" s="56"/>
      <c r="AEW22" s="56"/>
      <c r="AEX22" s="56"/>
      <c r="AEY22" s="56"/>
      <c r="AEZ22" s="56"/>
      <c r="AFA22" s="56"/>
      <c r="AFB22" s="56"/>
      <c r="AFC22" s="56"/>
      <c r="AFD22" s="56"/>
      <c r="AFE22" s="56"/>
      <c r="AFF22" s="56"/>
      <c r="AFG22" s="56"/>
      <c r="AFH22" s="56"/>
      <c r="AFI22" s="56"/>
      <c r="AFJ22" s="56"/>
      <c r="AFK22" s="56"/>
      <c r="AFL22" s="56"/>
      <c r="AFM22" s="56"/>
      <c r="AFN22" s="56"/>
      <c r="AFO22" s="56"/>
      <c r="AFP22" s="56"/>
      <c r="AFQ22" s="56"/>
      <c r="AFR22" s="56"/>
      <c r="AFS22" s="56"/>
      <c r="AFT22" s="56"/>
      <c r="AFU22" s="56"/>
      <c r="AFV22" s="56"/>
      <c r="AFW22" s="56"/>
      <c r="AFX22" s="56"/>
      <c r="AFY22" s="56"/>
      <c r="AFZ22" s="56"/>
      <c r="AGA22" s="56"/>
      <c r="AGB22" s="56"/>
      <c r="AGC22" s="56"/>
      <c r="AGD22" s="56"/>
      <c r="AGE22" s="56"/>
      <c r="AGF22" s="56"/>
      <c r="AGG22" s="56"/>
      <c r="AGH22" s="56"/>
      <c r="AGI22" s="56"/>
      <c r="AGJ22" s="56"/>
      <c r="AGK22" s="56"/>
      <c r="AGL22" s="56"/>
      <c r="AGM22" s="56"/>
      <c r="AGN22" s="56"/>
      <c r="AGO22" s="56"/>
      <c r="AGP22" s="56"/>
      <c r="AGQ22" s="56"/>
      <c r="AGR22" s="56"/>
      <c r="AGS22" s="56"/>
      <c r="AGT22" s="56"/>
      <c r="AGU22" s="56"/>
      <c r="AGV22" s="56"/>
      <c r="AGW22" s="56"/>
      <c r="AGX22" s="56"/>
      <c r="AGY22" s="56"/>
      <c r="AGZ22" s="56"/>
      <c r="AHA22" s="56"/>
      <c r="AHB22" s="56"/>
      <c r="AHC22" s="56"/>
      <c r="AHD22" s="56"/>
      <c r="AHE22" s="56"/>
      <c r="AHF22" s="56"/>
      <c r="AHG22" s="56"/>
      <c r="AHH22" s="56"/>
      <c r="AHI22" s="56"/>
      <c r="AHJ22" s="56"/>
      <c r="AHK22" s="56"/>
      <c r="AHL22" s="56"/>
      <c r="AHM22" s="56"/>
      <c r="AHN22" s="56"/>
      <c r="AHO22" s="56"/>
      <c r="AHP22" s="56"/>
      <c r="AHQ22" s="56"/>
      <c r="AHR22" s="56"/>
      <c r="AHS22" s="56"/>
      <c r="AHT22" s="56"/>
      <c r="AHU22" s="56"/>
      <c r="AHV22" s="56"/>
      <c r="AHW22" s="56"/>
      <c r="AHX22" s="56"/>
      <c r="AHY22" s="56"/>
      <c r="AHZ22" s="56"/>
      <c r="AIA22" s="56"/>
      <c r="AIB22" s="56"/>
      <c r="AIC22" s="56"/>
      <c r="AID22" s="56"/>
      <c r="AIE22" s="56"/>
      <c r="AIF22" s="56"/>
      <c r="AIG22" s="56"/>
      <c r="AIH22" s="56"/>
      <c r="AII22" s="56"/>
      <c r="AIJ22" s="56"/>
      <c r="AIK22" s="56"/>
      <c r="AIL22" s="56"/>
      <c r="AIM22" s="56"/>
      <c r="AIN22" s="56"/>
      <c r="AIO22" s="56"/>
      <c r="AIP22" s="56"/>
      <c r="AIQ22" s="56"/>
      <c r="AIR22" s="56"/>
      <c r="AIS22" s="56"/>
      <c r="AIT22" s="56"/>
      <c r="AIU22" s="56"/>
      <c r="AIV22" s="56"/>
      <c r="AIW22" s="56"/>
      <c r="AIX22" s="56"/>
      <c r="AIY22" s="56"/>
      <c r="AIZ22" s="56"/>
      <c r="AJA22" s="56"/>
      <c r="AJB22" s="56"/>
      <c r="AJC22" s="56"/>
      <c r="AJD22" s="56"/>
      <c r="AJE22" s="56"/>
      <c r="AJF22" s="56"/>
      <c r="AJG22" s="56"/>
      <c r="AJH22" s="56"/>
      <c r="AJI22" s="56"/>
      <c r="AJJ22" s="56"/>
      <c r="AJK22" s="56"/>
      <c r="AJL22" s="56"/>
      <c r="AJM22" s="56"/>
      <c r="AJN22" s="56"/>
      <c r="AJO22" s="56"/>
      <c r="AJP22" s="56"/>
      <c r="AJQ22" s="56"/>
      <c r="AJR22" s="56"/>
      <c r="AJS22" s="56"/>
      <c r="AJT22" s="56"/>
      <c r="AJU22" s="56"/>
      <c r="AJV22" s="56"/>
      <c r="AJW22" s="56"/>
      <c r="AJX22" s="56"/>
      <c r="AJY22" s="56"/>
      <c r="AJZ22" s="56"/>
      <c r="AKA22" s="56"/>
      <c r="AKB22" s="56"/>
      <c r="AKC22" s="56"/>
      <c r="AKD22" s="56"/>
      <c r="AKE22" s="56"/>
      <c r="AKF22" s="56"/>
      <c r="AKG22" s="56"/>
      <c r="AKH22" s="56"/>
      <c r="AKI22" s="56"/>
      <c r="AKJ22" s="56"/>
      <c r="AKK22" s="56"/>
      <c r="AKL22" s="56"/>
      <c r="AKM22" s="56"/>
      <c r="AKN22" s="56"/>
      <c r="AKO22" s="56"/>
      <c r="AKP22" s="56"/>
      <c r="AKQ22" s="56"/>
      <c r="AKR22" s="56"/>
      <c r="AKS22" s="56"/>
      <c r="AKT22" s="56"/>
      <c r="AKU22" s="56"/>
      <c r="AKV22" s="56"/>
      <c r="AKW22" s="56"/>
      <c r="AKX22" s="56"/>
      <c r="AKY22" s="56"/>
      <c r="AKZ22" s="56"/>
      <c r="ALA22" s="56"/>
      <c r="ALB22" s="56"/>
      <c r="ALC22" s="56"/>
      <c r="ALD22" s="56"/>
      <c r="ALE22" s="56"/>
      <c r="ALF22" s="56"/>
      <c r="ALG22" s="56"/>
      <c r="ALH22" s="56"/>
      <c r="ALI22" s="56"/>
      <c r="ALJ22" s="56"/>
      <c r="ALK22" s="56"/>
      <c r="ALL22" s="56"/>
      <c r="ALM22" s="56"/>
      <c r="ALN22" s="56"/>
      <c r="ALO22" s="56"/>
      <c r="ALP22" s="56"/>
      <c r="ALQ22" s="56"/>
      <c r="ALR22" s="56"/>
      <c r="ALS22" s="56"/>
      <c r="ALT22" s="56"/>
      <c r="ALU22" s="56"/>
      <c r="ALV22" s="56"/>
      <c r="ALW22" s="56"/>
      <c r="ALX22" s="56"/>
      <c r="ALY22" s="56"/>
      <c r="ALZ22" s="56"/>
      <c r="AMA22" s="56"/>
      <c r="AMB22" s="56"/>
      <c r="AMC22" s="56"/>
      <c r="AMD22" s="56"/>
      <c r="AME22" s="56"/>
      <c r="AMF22" s="56"/>
      <c r="AMG22" s="56"/>
      <c r="AMH22" s="56"/>
      <c r="AMI22" s="56"/>
      <c r="AMJ22" s="56"/>
      <c r="AMK22" s="56"/>
      <c r="AML22" s="56"/>
      <c r="AMM22" s="56"/>
      <c r="AMN22" s="56"/>
      <c r="AMO22" s="56"/>
      <c r="AMP22" s="56"/>
      <c r="AMQ22" s="56"/>
      <c r="AMR22" s="56"/>
      <c r="AMS22" s="56"/>
      <c r="AMT22" s="56"/>
      <c r="AMU22" s="56"/>
      <c r="AMV22" s="56"/>
      <c r="AMW22" s="56"/>
      <c r="AMX22" s="56"/>
      <c r="AMY22" s="56"/>
      <c r="AMZ22" s="56"/>
      <c r="ANA22" s="56"/>
      <c r="ANB22" s="56"/>
      <c r="ANC22" s="56"/>
      <c r="AND22" s="56"/>
      <c r="ANE22" s="56"/>
      <c r="ANF22" s="56"/>
      <c r="ANG22" s="56"/>
      <c r="ANH22" s="56"/>
      <c r="ANI22" s="56"/>
      <c r="ANJ22" s="56"/>
      <c r="ANK22" s="56"/>
      <c r="ANL22" s="56"/>
      <c r="ANM22" s="56"/>
      <c r="ANN22" s="56"/>
      <c r="ANO22" s="56"/>
      <c r="ANP22" s="56"/>
      <c r="ANQ22" s="56"/>
      <c r="ANR22" s="56"/>
      <c r="ANS22" s="56"/>
      <c r="ANT22" s="56"/>
      <c r="ANU22" s="56"/>
      <c r="ANV22" s="56"/>
      <c r="ANW22" s="56"/>
      <c r="ANX22" s="56"/>
      <c r="ANY22" s="56"/>
      <c r="ANZ22" s="56"/>
      <c r="AOA22" s="56"/>
      <c r="AOB22" s="56"/>
      <c r="AOC22" s="56"/>
      <c r="AOD22" s="56"/>
      <c r="AOE22" s="56"/>
      <c r="AOF22" s="56"/>
      <c r="AOG22" s="56"/>
      <c r="AOH22" s="56"/>
      <c r="AOI22" s="56"/>
      <c r="AOJ22" s="56"/>
      <c r="AOK22" s="56"/>
      <c r="AOL22" s="56"/>
      <c r="AOM22" s="56"/>
      <c r="AON22" s="56"/>
      <c r="AOO22" s="56"/>
      <c r="AOP22" s="56"/>
      <c r="AOQ22" s="56"/>
      <c r="AOR22" s="56"/>
      <c r="AOS22" s="56"/>
      <c r="AOT22" s="56"/>
      <c r="AOU22" s="56"/>
      <c r="AOV22" s="56"/>
      <c r="AOW22" s="56"/>
      <c r="AOX22" s="56"/>
      <c r="AOY22" s="56"/>
      <c r="AOZ22" s="56"/>
      <c r="APA22" s="56"/>
      <c r="APB22" s="56"/>
      <c r="APC22" s="56"/>
      <c r="APD22" s="56"/>
      <c r="APE22" s="56"/>
      <c r="APF22" s="56"/>
      <c r="APG22" s="56"/>
      <c r="APH22" s="56"/>
      <c r="API22" s="56"/>
      <c r="APJ22" s="56"/>
      <c r="APK22" s="56"/>
      <c r="APL22" s="56"/>
      <c r="APM22" s="56"/>
      <c r="APN22" s="56"/>
      <c r="APO22" s="56"/>
      <c r="APP22" s="56"/>
      <c r="APQ22" s="56"/>
      <c r="APR22" s="56"/>
      <c r="APS22" s="56"/>
      <c r="APT22" s="56"/>
      <c r="APU22" s="56"/>
      <c r="APV22" s="56"/>
      <c r="APW22" s="56"/>
      <c r="APX22" s="56"/>
      <c r="APY22" s="56"/>
      <c r="APZ22" s="56"/>
      <c r="AQA22" s="56"/>
      <c r="AQB22" s="56"/>
      <c r="AQC22" s="56"/>
      <c r="AQD22" s="56"/>
      <c r="AQE22" s="56"/>
      <c r="AQF22" s="56"/>
      <c r="AQG22" s="56"/>
      <c r="AQH22" s="56"/>
      <c r="AQI22" s="56"/>
      <c r="AQJ22" s="56"/>
      <c r="AQK22" s="56"/>
      <c r="AQL22" s="56"/>
      <c r="AQM22" s="56"/>
      <c r="AQN22" s="56"/>
      <c r="AQO22" s="56"/>
      <c r="AQP22" s="56"/>
      <c r="AQQ22" s="56"/>
      <c r="AQR22" s="56"/>
      <c r="AQS22" s="56"/>
      <c r="AQT22" s="56"/>
      <c r="AQU22" s="56"/>
      <c r="AQV22" s="56"/>
      <c r="AQW22" s="56"/>
      <c r="AQX22" s="56"/>
      <c r="AQY22" s="56"/>
      <c r="AQZ22" s="56"/>
      <c r="ARA22" s="56"/>
      <c r="ARB22" s="56"/>
      <c r="ARC22" s="56"/>
      <c r="ARD22" s="56"/>
      <c r="ARE22" s="56"/>
      <c r="ARF22" s="56"/>
      <c r="ARG22" s="56"/>
      <c r="ARH22" s="56"/>
      <c r="ARI22" s="56"/>
      <c r="ARJ22" s="56"/>
      <c r="ARK22" s="56"/>
      <c r="ARL22" s="56"/>
      <c r="ARM22" s="56"/>
      <c r="ARN22" s="56"/>
      <c r="ARO22" s="56"/>
      <c r="ARP22" s="56"/>
      <c r="ARQ22" s="56"/>
      <c r="ARR22" s="56"/>
      <c r="ARS22" s="56"/>
      <c r="ART22" s="56"/>
      <c r="ARU22" s="56"/>
      <c r="ARV22" s="56"/>
      <c r="ARW22" s="56"/>
      <c r="ARX22" s="56"/>
      <c r="ARY22" s="56"/>
      <c r="ARZ22" s="56"/>
      <c r="ASA22" s="56"/>
      <c r="ASB22" s="56"/>
      <c r="ASC22" s="56"/>
      <c r="ASD22" s="56"/>
      <c r="ASE22" s="56"/>
      <c r="ASF22" s="56"/>
      <c r="ASG22" s="56"/>
      <c r="ASH22" s="56"/>
      <c r="ASI22" s="56"/>
      <c r="ASJ22" s="56"/>
      <c r="ASK22" s="56"/>
      <c r="ASL22" s="56"/>
      <c r="ASM22" s="56"/>
      <c r="ASN22" s="56"/>
      <c r="ASO22" s="56"/>
      <c r="ASP22" s="56"/>
      <c r="ASQ22" s="56"/>
      <c r="ASR22" s="56"/>
      <c r="ASS22" s="56"/>
      <c r="AST22" s="56"/>
      <c r="ASU22" s="56"/>
      <c r="ASV22" s="56"/>
      <c r="ASW22" s="56"/>
      <c r="ASX22" s="56"/>
      <c r="ASY22" s="56"/>
      <c r="ASZ22" s="56"/>
      <c r="ATA22" s="56"/>
      <c r="ATB22" s="56"/>
      <c r="ATC22" s="56"/>
      <c r="ATD22" s="56"/>
      <c r="ATE22" s="56"/>
      <c r="ATF22" s="56"/>
      <c r="ATG22" s="56"/>
      <c r="ATH22" s="56"/>
      <c r="ATI22" s="56"/>
      <c r="ATJ22" s="56"/>
      <c r="ATK22" s="56"/>
      <c r="ATL22" s="56"/>
      <c r="ATM22" s="56"/>
      <c r="ATN22" s="56"/>
      <c r="ATO22" s="56"/>
      <c r="ATP22" s="56"/>
      <c r="ATQ22" s="56"/>
      <c r="ATR22" s="56"/>
      <c r="ATS22" s="56"/>
      <c r="ATT22" s="56"/>
      <c r="ATU22" s="56"/>
      <c r="ATV22" s="56"/>
      <c r="ATW22" s="56"/>
      <c r="ATX22" s="56"/>
      <c r="ATY22" s="56"/>
      <c r="ATZ22" s="56"/>
      <c r="AUA22" s="56"/>
      <c r="AUB22" s="56"/>
      <c r="AUC22" s="56"/>
      <c r="AUD22" s="56"/>
      <c r="AUE22" s="56"/>
      <c r="AUF22" s="56"/>
      <c r="AUG22" s="56"/>
      <c r="AUH22" s="56"/>
      <c r="AUI22" s="56"/>
      <c r="AUJ22" s="56"/>
      <c r="AUK22" s="56"/>
      <c r="AUL22" s="56"/>
      <c r="AUM22" s="56"/>
      <c r="AUN22" s="56"/>
      <c r="AUO22" s="56"/>
      <c r="AUP22" s="56"/>
      <c r="AUQ22" s="56"/>
      <c r="AUR22" s="56"/>
      <c r="AUS22" s="56"/>
      <c r="AUT22" s="56"/>
      <c r="AUU22" s="56"/>
      <c r="AUV22" s="56"/>
      <c r="AUW22" s="56"/>
      <c r="AUX22" s="56"/>
      <c r="AUY22" s="56"/>
      <c r="AUZ22" s="56"/>
      <c r="AVA22" s="56"/>
      <c r="AVB22" s="56"/>
      <c r="AVC22" s="56"/>
      <c r="AVD22" s="56"/>
      <c r="AVE22" s="56"/>
      <c r="AVF22" s="56"/>
      <c r="AVG22" s="56"/>
      <c r="AVH22" s="56"/>
      <c r="AVI22" s="56"/>
      <c r="AVJ22" s="56"/>
      <c r="AVK22" s="56"/>
      <c r="AVL22" s="56"/>
      <c r="AVM22" s="56"/>
      <c r="AVN22" s="56"/>
      <c r="AVO22" s="56"/>
      <c r="AVP22" s="56"/>
      <c r="AVQ22" s="56"/>
      <c r="AVR22" s="56"/>
      <c r="AVS22" s="56"/>
      <c r="AVT22" s="56"/>
      <c r="AVU22" s="56"/>
      <c r="AVV22" s="56"/>
      <c r="AVW22" s="56"/>
      <c r="AVX22" s="56"/>
      <c r="AVY22" s="56"/>
      <c r="AVZ22" s="56"/>
      <c r="AWA22" s="56"/>
      <c r="AWB22" s="56"/>
      <c r="AWC22" s="56"/>
      <c r="AWD22" s="56"/>
      <c r="AWE22" s="56"/>
      <c r="AWF22" s="56"/>
      <c r="AWG22" s="56"/>
      <c r="AWH22" s="56"/>
      <c r="AWI22" s="56"/>
      <c r="AWJ22" s="56"/>
      <c r="AWK22" s="56"/>
      <c r="AWL22" s="56"/>
      <c r="AWM22" s="56"/>
      <c r="AWN22" s="56"/>
      <c r="AWO22" s="56"/>
      <c r="AWP22" s="56"/>
      <c r="AWQ22" s="56"/>
      <c r="AWR22" s="56"/>
      <c r="AWS22" s="56"/>
      <c r="AWT22" s="56"/>
      <c r="AWU22" s="56"/>
      <c r="AWV22" s="56"/>
      <c r="AWW22" s="56"/>
      <c r="AWX22" s="56"/>
      <c r="AWY22" s="56"/>
      <c r="AWZ22" s="56"/>
      <c r="AXA22" s="56"/>
      <c r="AXB22" s="56"/>
      <c r="AXC22" s="56"/>
      <c r="AXD22" s="56"/>
      <c r="AXE22" s="56"/>
      <c r="AXF22" s="56"/>
      <c r="AXG22" s="56"/>
      <c r="AXH22" s="56"/>
      <c r="AXI22" s="56"/>
      <c r="AXJ22" s="56"/>
      <c r="AXK22" s="56"/>
      <c r="AXL22" s="56"/>
      <c r="AXM22" s="56"/>
      <c r="AXN22" s="56"/>
      <c r="AXO22" s="56"/>
      <c r="AXP22" s="56"/>
      <c r="AXQ22" s="56"/>
      <c r="AXR22" s="56"/>
      <c r="AXS22" s="56"/>
      <c r="AXT22" s="56"/>
      <c r="AXU22" s="56"/>
      <c r="AXV22" s="56"/>
      <c r="AXW22" s="56"/>
      <c r="AXX22" s="56"/>
      <c r="AXY22" s="56"/>
      <c r="AXZ22" s="56"/>
      <c r="AYA22" s="56"/>
      <c r="AYB22" s="56"/>
      <c r="AYC22" s="56"/>
      <c r="AYD22" s="56"/>
      <c r="AYE22" s="56"/>
      <c r="AYF22" s="56"/>
      <c r="AYG22" s="56"/>
      <c r="AYH22" s="56"/>
      <c r="AYI22" s="56"/>
      <c r="AYJ22" s="56"/>
      <c r="AYK22" s="56"/>
      <c r="AYL22" s="56"/>
      <c r="AYM22" s="56"/>
      <c r="AYN22" s="56"/>
      <c r="AYO22" s="56"/>
      <c r="AYP22" s="56"/>
      <c r="AYQ22" s="56"/>
      <c r="AYR22" s="56"/>
      <c r="AYS22" s="56"/>
      <c r="AYT22" s="56"/>
      <c r="AYU22" s="56"/>
      <c r="AYV22" s="56"/>
      <c r="AYW22" s="56"/>
      <c r="AYX22" s="56"/>
      <c r="AYY22" s="56"/>
      <c r="AYZ22" s="56"/>
      <c r="AZA22" s="56"/>
      <c r="AZB22" s="56"/>
      <c r="AZC22" s="56"/>
      <c r="AZD22" s="56"/>
      <c r="AZE22" s="56"/>
      <c r="AZF22" s="56"/>
      <c r="AZG22" s="56"/>
      <c r="AZH22" s="56"/>
      <c r="AZI22" s="56"/>
      <c r="AZJ22" s="56"/>
      <c r="AZK22" s="56"/>
      <c r="AZL22" s="56"/>
      <c r="AZM22" s="56"/>
      <c r="AZN22" s="56"/>
      <c r="AZO22" s="56"/>
      <c r="AZP22" s="56"/>
      <c r="AZQ22" s="56"/>
      <c r="AZR22" s="56"/>
      <c r="AZS22" s="56"/>
      <c r="AZT22" s="56"/>
      <c r="AZU22" s="56"/>
      <c r="AZV22" s="56"/>
      <c r="AZW22" s="56"/>
      <c r="AZX22" s="56"/>
      <c r="AZY22" s="56"/>
      <c r="AZZ22" s="56"/>
    </row>
    <row r="23" spans="1:1378" ht="15" hidden="1" customHeight="1" x14ac:dyDescent="0.3">
      <c r="A23" s="1337"/>
      <c r="B23" s="723" t="s">
        <v>105</v>
      </c>
      <c r="C23" s="666"/>
      <c r="D23" s="1362"/>
      <c r="E23" s="1363"/>
      <c r="F23" s="1370"/>
      <c r="G23" s="726" t="s">
        <v>107</v>
      </c>
      <c r="H23" s="741" t="s">
        <v>59</v>
      </c>
      <c r="I23" s="1374" t="s">
        <v>108</v>
      </c>
      <c r="J23" s="1375"/>
      <c r="K23" s="668">
        <v>75</v>
      </c>
      <c r="L23" s="1376" t="s">
        <v>109</v>
      </c>
      <c r="M23" s="1377"/>
      <c r="N23" s="689">
        <v>0.01</v>
      </c>
      <c r="O23" s="1378" t="s">
        <v>110</v>
      </c>
      <c r="P23" s="1379"/>
      <c r="Q23" s="690">
        <v>7000</v>
      </c>
      <c r="R23" s="1380" t="s">
        <v>111</v>
      </c>
      <c r="S23" s="1381"/>
      <c r="T23" s="1181">
        <f>IF(U23="","",4)</f>
        <v>4</v>
      </c>
      <c r="U23" s="728">
        <v>57</v>
      </c>
      <c r="V23" s="737"/>
      <c r="W23" s="1382">
        <v>0.1</v>
      </c>
      <c r="X23" s="1383"/>
      <c r="Y23" s="737"/>
      <c r="Z23" s="673"/>
      <c r="AA23" s="673"/>
      <c r="AB23" s="673"/>
      <c r="AC23" s="673"/>
      <c r="AD23" s="675"/>
      <c r="AE23" s="675"/>
      <c r="AF23" s="675"/>
      <c r="AG23" s="675"/>
      <c r="AH23" s="675"/>
      <c r="AI23" s="675"/>
      <c r="AJ23" s="675"/>
      <c r="AK23" s="677"/>
      <c r="AL23" s="1384" t="s">
        <v>112</v>
      </c>
      <c r="AM23" s="159" t="s">
        <v>19</v>
      </c>
      <c r="AN23" s="340"/>
      <c r="AO23" s="340"/>
      <c r="AP23" s="340"/>
      <c r="AQ23" s="340"/>
      <c r="AR23" s="341"/>
      <c r="AS23" s="1366" t="s">
        <v>72</v>
      </c>
      <c r="AT23" s="678">
        <v>1</v>
      </c>
      <c r="AU23" s="679">
        <v>1</v>
      </c>
      <c r="AV23" s="679">
        <v>1</v>
      </c>
      <c r="AW23" s="680">
        <v>1</v>
      </c>
      <c r="AX23" s="679">
        <v>1</v>
      </c>
      <c r="AY23" s="679">
        <v>1</v>
      </c>
      <c r="AZ23" s="679">
        <v>0</v>
      </c>
      <c r="BA23" s="679">
        <v>0</v>
      </c>
      <c r="BB23" s="681">
        <v>0</v>
      </c>
      <c r="BC23" s="681">
        <v>0</v>
      </c>
      <c r="BD23" s="681">
        <v>670.55</v>
      </c>
      <c r="BE23" s="681">
        <v>295.89</v>
      </c>
      <c r="BF23" s="681">
        <v>147.08000000000001</v>
      </c>
      <c r="BG23" s="681">
        <v>2000</v>
      </c>
      <c r="BH23" s="681">
        <v>100</v>
      </c>
      <c r="BI23" s="681">
        <v>7.26</v>
      </c>
      <c r="BJ23" s="681"/>
      <c r="BK23" s="681">
        <v>55.61</v>
      </c>
      <c r="BL23" s="1291" t="s">
        <v>72</v>
      </c>
      <c r="BM23" s="1307"/>
      <c r="BN23" s="62" t="s">
        <v>113</v>
      </c>
      <c r="BO23" s="68">
        <f>IF(AND(ISNUMBER(BO24),ISNUMBER(BW23)),BO24+BW23,"")</f>
        <v>206.89055178562103</v>
      </c>
      <c r="BP23" s="68">
        <f>IF(AND(ISNUMBER(BP24),ISNUMBER(BW23)),BP24+BW23,"")</f>
        <v>276.89055178562103</v>
      </c>
      <c r="BQ23" s="68">
        <f>IF(AND(ISNUMBER(BQ24),ISNUMBER(BW23)),BQ24+BW23,"")</f>
        <v>346.89055178562103</v>
      </c>
      <c r="BR23" s="68">
        <f>IF(AND(ISNUMBER(BR24),ISNUMBER(BW23)),BR24+BW23,"")</f>
        <v>416.89055178562103</v>
      </c>
      <c r="BS23" s="68">
        <f>IF(AND(ISNUMBER(BS24),ISNUMBER(BW23)),BS24+BW23,"")</f>
        <v>486.89055178562108</v>
      </c>
      <c r="BT23" s="68">
        <f>IF(AND(ISNUMBER(BT24),ISNUMBER(BW23)),BT24+BW23,"")</f>
        <v>556.89055178562103</v>
      </c>
      <c r="BU23" s="107" t="s">
        <v>26</v>
      </c>
      <c r="BV23" s="107"/>
      <c r="BW23" s="69">
        <f>IF(ISNUMBER(Q23),Q23-BW25,"")</f>
        <v>131.89055178562103</v>
      </c>
      <c r="BX23" s="62" t="s">
        <v>114</v>
      </c>
      <c r="BY23" s="68">
        <f t="shared" ref="BY23:CD23" si="220">IF(ISNUMBER(BY22),BY22*1000/BY21,"")</f>
        <v>2167.6272814601343</v>
      </c>
      <c r="BZ23" s="68">
        <f t="shared" si="220"/>
        <v>2299.8544395924309</v>
      </c>
      <c r="CA23" s="68">
        <f t="shared" si="220"/>
        <v>2390.0536323744514</v>
      </c>
      <c r="CB23" s="68">
        <f t="shared" si="220"/>
        <v>2366.7469879518071</v>
      </c>
      <c r="CC23" s="68">
        <f t="shared" si="220"/>
        <v>2286.2632084534102</v>
      </c>
      <c r="CD23" s="68" t="str">
        <f t="shared" si="220"/>
        <v/>
      </c>
      <c r="CE23" s="76">
        <f t="shared" ref="CE23:CJ23" si="221">IF(ISNUMBER(CE20),CE20-$CK20,"")</f>
        <v>-87.026364975194156</v>
      </c>
      <c r="CF23" s="76">
        <f t="shared" si="221"/>
        <v>19.461215195641671</v>
      </c>
      <c r="CG23" s="76">
        <f t="shared" si="221"/>
        <v>83.875208791928344</v>
      </c>
      <c r="CH23" s="76">
        <f t="shared" si="221"/>
        <v>40.04095639832849</v>
      </c>
      <c r="CI23" s="76">
        <f t="shared" si="221"/>
        <v>-56.35101541070344</v>
      </c>
      <c r="CJ23" s="258" t="str">
        <f t="shared" si="221"/>
        <v/>
      </c>
      <c r="CK23" s="73"/>
      <c r="CL23" s="76">
        <f t="shared" ref="CL23:CQ23" si="222">IF(ISERROR(CE22*CE24),"",CE22*CE24)</f>
        <v>3.7737807405197308E-5</v>
      </c>
      <c r="CM23" s="76">
        <f t="shared" si="222"/>
        <v>1.1551898583205747E-5</v>
      </c>
      <c r="CN23" s="76">
        <f t="shared" si="222"/>
        <v>0</v>
      </c>
      <c r="CO23" s="76">
        <f t="shared" si="222"/>
        <v>9.4344518512993219E-6</v>
      </c>
      <c r="CP23" s="76">
        <f t="shared" si="222"/>
        <v>4.6207594332823028E-5</v>
      </c>
      <c r="CQ23" s="76" t="str">
        <f t="shared" si="222"/>
        <v/>
      </c>
      <c r="CR23" s="65">
        <f>SUM(CL23:CQ23)</f>
        <v>1.0493175217252541E-4</v>
      </c>
      <c r="CS23" s="74"/>
      <c r="CT23" s="63"/>
      <c r="CU23" s="66" t="str">
        <f>IF(ISNUMBER(S24),LOOKUP(S24,Tara!$G$6:$G$185,Tara!$H$6:$H$185),"")</f>
        <v/>
      </c>
      <c r="CV23" s="1280" t="str">
        <f>IF(ISNUMBER(CU25),CU25*1000/CU24,"")</f>
        <v/>
      </c>
      <c r="CW23" s="1282" t="str">
        <f>IF(CV23&lt;&gt;"",CV23/(1+CW19),"")</f>
        <v/>
      </c>
      <c r="CX23" s="124" t="str">
        <f>IF(ISNUMBER(CX20),CX20-DF20,"")</f>
        <v/>
      </c>
      <c r="CY23" s="117" t="str">
        <f>IF(ISNUMBER(CY20),CY20-DF20,"")</f>
        <v/>
      </c>
      <c r="CZ23" s="117" t="str">
        <f>IF(ISNUMBER(CZ20),CZ20-DF20,"")</f>
        <v/>
      </c>
      <c r="DA23" s="117" t="str">
        <f>IF(ISNUMBER(DA20),DA20-DF20,"")</f>
        <v/>
      </c>
      <c r="DB23" s="117" t="str">
        <f>IF(ISNUMBER(DB20),DB20-DF20,"")</f>
        <v/>
      </c>
      <c r="DC23" s="117" t="str">
        <f>IF(ISNUMBER(DC20),DC20-DF20,"")</f>
        <v/>
      </c>
      <c r="DD23" s="117" t="str">
        <f>IF(ISNUMBER(DD20),DD20-DF20,"")</f>
        <v/>
      </c>
      <c r="DE23" s="117" t="str">
        <f>IF(ISNUMBER(DE20),DE20-DF20,"")</f>
        <v/>
      </c>
      <c r="DF23" s="280" t="str">
        <f>IF(CX23&lt;&gt;"",SUM(CX23:DE23),"")</f>
        <v/>
      </c>
      <c r="DG23" s="130" t="s">
        <v>115</v>
      </c>
      <c r="DH23" s="131" t="str">
        <f>IF(DF25&lt;&gt;"",(DO20*DO22-DO21*DF25)/(DO22^2-DO19*DF25),"")</f>
        <v/>
      </c>
      <c r="DI23" s="130" t="s">
        <v>116</v>
      </c>
      <c r="DJ23" s="116" t="str">
        <f>IF(DL23&lt;&gt;"",SLOPE(DL23:DL24,DK23:DK24),"")</f>
        <v/>
      </c>
      <c r="DK23" s="116">
        <v>2.54</v>
      </c>
      <c r="DL23" s="116" t="str">
        <f>IF(DH23&lt;&gt;"",DH23*DK23^2+DH24*DK23+DH25,"")</f>
        <v/>
      </c>
      <c r="DM23" s="116">
        <v>2.54</v>
      </c>
      <c r="DN23" s="116">
        <v>5.08</v>
      </c>
      <c r="DO23" s="132"/>
      <c r="DP23" s="119" t="str">
        <f>IF(DP20="","",IF(DP20&gt;0,DS19,-1))</f>
        <v/>
      </c>
      <c r="DQ23" s="119" t="str">
        <f>IF(DP20="","",IF(DP20&gt;0,DS19,-1))</f>
        <v/>
      </c>
      <c r="DR23" s="119" t="str">
        <f>IF(DP20="","",IF(DP20&gt;0,DV22,-1))</f>
        <v/>
      </c>
      <c r="DS23" s="119" t="str">
        <f>IF(DP20="","",IF(DP20&gt;0,DV22,-1))</f>
        <v/>
      </c>
      <c r="DT23" s="119" t="str">
        <f>IF(DP20="","",IF(DP20&gt;0,DT19,-1))</f>
        <v/>
      </c>
      <c r="DU23" s="119" t="str">
        <f>IF(DP20="","",IF(DP20&gt;0,DT19,-1))</f>
        <v/>
      </c>
      <c r="DV23" s="119" t="str">
        <f>IF(DP20="","",IF(DP20&gt;0,DT19,-1))</f>
        <v/>
      </c>
      <c r="DW23" s="119" t="str">
        <f>IF(DP20="","",IF(DP20&gt;0,DT19,-1))</f>
        <v/>
      </c>
      <c r="DX23" s="1201"/>
      <c r="DY23" s="124" t="str">
        <f>IF(ISNUMBER(DY20),DY20-EG20,"")</f>
        <v/>
      </c>
      <c r="DZ23" s="117" t="str">
        <f>IF(ISNUMBER(DZ20),DZ20-EG20,"")</f>
        <v/>
      </c>
      <c r="EA23" s="117" t="str">
        <f>IF(ISNUMBER(EA20),EA20-EG20,"")</f>
        <v/>
      </c>
      <c r="EB23" s="117" t="str">
        <f>IF(ISNUMBER(EB20),EB20-EG20,"")</f>
        <v/>
      </c>
      <c r="EC23" s="117" t="str">
        <f>IF(ISNUMBER(EC20),EC20-EG20,"")</f>
        <v/>
      </c>
      <c r="ED23" s="117" t="str">
        <f>IF(ISNUMBER(ED20),ED20-EG20,"")</f>
        <v/>
      </c>
      <c r="EE23" s="117" t="str">
        <f>IF(ISNUMBER(EE20),EE20-EG20,"")</f>
        <v/>
      </c>
      <c r="EF23" s="117" t="str">
        <f>IF(ISNUMBER(EF20),EF20-EG20,"")</f>
        <v/>
      </c>
      <c r="EG23" s="118" t="str">
        <f>IF(DY23&lt;&gt;"",SUM(DY23:EF23),"")</f>
        <v/>
      </c>
      <c r="EH23" s="130" t="s">
        <v>115</v>
      </c>
      <c r="EI23" s="131" t="str">
        <f>IF(EG25&lt;&gt;"",(EP20*EP22-EP21*EG25)/(EP22^2-EP19*EG25),"")</f>
        <v/>
      </c>
      <c r="EJ23" s="130" t="s">
        <v>116</v>
      </c>
      <c r="EK23" s="116" t="str">
        <f>IF(EM23&lt;&gt;"",SLOPE(EM23:EM24,EL23:EL24),"")</f>
        <v/>
      </c>
      <c r="EL23" s="116">
        <v>2.54</v>
      </c>
      <c r="EM23" s="116" t="str">
        <f>IF(EI23&lt;&gt;"",EI23*EL23^2+EI24*EL23+EI25,"")</f>
        <v/>
      </c>
      <c r="EN23" s="116">
        <v>2.54</v>
      </c>
      <c r="EO23" s="116">
        <v>5.08</v>
      </c>
      <c r="EP23" s="132"/>
      <c r="EQ23" s="119" t="str">
        <f>IF(EQ20="","",IF(EQ20&gt;0,ET19,-1))</f>
        <v/>
      </c>
      <c r="ER23" s="119" t="str">
        <f>IF(EQ20="","",IF(EQ20&gt;0,ET19,-1))</f>
        <v/>
      </c>
      <c r="ES23" s="119" t="str">
        <f>IF(EQ20="","",IF(EQ20&gt;0,EW22,-1))</f>
        <v/>
      </c>
      <c r="ET23" s="119" t="str">
        <f>IF(EQ20="","",IF(EQ20&gt;0,EW22,-1))</f>
        <v/>
      </c>
      <c r="EU23" s="119" t="str">
        <f>IF(EQ20="","",IF(EQ20&gt;0,EU19,-1))</f>
        <v/>
      </c>
      <c r="EV23" s="119" t="str">
        <f>IF(EQ20="","",IF(EQ20&gt;0,EU19,-1))</f>
        <v/>
      </c>
      <c r="EW23" s="119" t="str">
        <f>IF(EQ20="","",IF(EQ20&gt;0,EU19,-1))</f>
        <v/>
      </c>
      <c r="EX23" s="119" t="str">
        <f>IF(EQ20="","",IF(EQ20&gt;0,EU19,-1))</f>
        <v/>
      </c>
      <c r="EY23" s="1201"/>
      <c r="EZ23" s="124" t="str">
        <f>IF(ISNUMBER(EZ20),EZ20-FH20,"")</f>
        <v/>
      </c>
      <c r="FA23" s="117" t="str">
        <f>IF(ISNUMBER(FA20),FA20-FH20,"")</f>
        <v/>
      </c>
      <c r="FB23" s="117" t="str">
        <f>IF(ISNUMBER(FB20),FB20-FH20,"")</f>
        <v/>
      </c>
      <c r="FC23" s="117" t="str">
        <f>IF(ISNUMBER(FC20),FC20-FH20,"")</f>
        <v/>
      </c>
      <c r="FD23" s="117" t="str">
        <f>IF(ISNUMBER(FD20),FD20-FH20,"")</f>
        <v/>
      </c>
      <c r="FE23" s="117" t="str">
        <f>IF(ISNUMBER(FE20),FE20-FH20,"")</f>
        <v/>
      </c>
      <c r="FF23" s="117" t="str">
        <f>IF(ISNUMBER(FF20),FF20-FH20,"")</f>
        <v/>
      </c>
      <c r="FG23" s="117" t="str">
        <f>IF(ISNUMBER(FG20),FG20-FH20,"")</f>
        <v/>
      </c>
      <c r="FH23" s="118" t="str">
        <f>IF(EZ23&lt;&gt;"",SUM(EZ23:FG23),"")</f>
        <v/>
      </c>
      <c r="FI23" s="130" t="s">
        <v>115</v>
      </c>
      <c r="FJ23" s="131" t="str">
        <f>IF(FH25&lt;&gt;"",(FQ20*FQ22-FQ21*FH25)/(FQ22^2-FQ19*FH25),"")</f>
        <v/>
      </c>
      <c r="FK23" s="130" t="s">
        <v>116</v>
      </c>
      <c r="FL23" s="116" t="str">
        <f>IF(FN23&lt;&gt;"",SLOPE(FN23:FN24,FM23:FM24),"")</f>
        <v/>
      </c>
      <c r="FM23" s="116">
        <v>2.54</v>
      </c>
      <c r="FN23" s="116" t="str">
        <f>IF(FJ23&lt;&gt;"",FJ23*FM23^2+FJ24*FM23+FJ25,"")</f>
        <v/>
      </c>
      <c r="FO23" s="116">
        <v>2.54</v>
      </c>
      <c r="FP23" s="116">
        <v>5.08</v>
      </c>
      <c r="FQ23" s="132"/>
      <c r="FR23" s="119" t="str">
        <f>IF(FR20="","",IF(FR20&gt;0,FU19,-1))</f>
        <v/>
      </c>
      <c r="FS23" s="119" t="str">
        <f>IF(FR20="","",IF(FR20&gt;0,FU19,-1))</f>
        <v/>
      </c>
      <c r="FT23" s="119" t="str">
        <f>IF(FR20="","",IF(FR20&gt;0,FX22,-1))</f>
        <v/>
      </c>
      <c r="FU23" s="119" t="str">
        <f>IF(FR20="","",IF(FR20&gt;0,FX22,-1))</f>
        <v/>
      </c>
      <c r="FV23" s="119" t="str">
        <f>IF(FR20="","",IF(FR20&gt;0,FV19,-1))</f>
        <v/>
      </c>
      <c r="FW23" s="119" t="str">
        <f>IF(FR20="","",IF(FR20&gt;0,FV19,-1))</f>
        <v/>
      </c>
      <c r="FX23" s="119" t="str">
        <f>IF(FR20="","",IF(FR20&gt;0,FV19,-1))</f>
        <v/>
      </c>
      <c r="FY23" s="119" t="str">
        <f>IF(FR20="","",IF(FR20&gt;0,FV19,-1))</f>
        <v/>
      </c>
      <c r="FZ23" s="1201"/>
      <c r="GA23" s="124" t="str">
        <f>IF(ISNUMBER(GA20),GA20-GI20,"")</f>
        <v/>
      </c>
      <c r="GB23" s="117" t="str">
        <f>IF(ISNUMBER(GB20),GB20-GI20,"")</f>
        <v/>
      </c>
      <c r="GC23" s="117" t="str">
        <f>IF(ISNUMBER(GC20),GC20-GI20,"")</f>
        <v/>
      </c>
      <c r="GD23" s="117" t="str">
        <f>IF(ISNUMBER(GD20),GD20-GI20,"")</f>
        <v/>
      </c>
      <c r="GE23" s="117" t="str">
        <f>IF(ISNUMBER(GE20),GE20-GI20,"")</f>
        <v/>
      </c>
      <c r="GF23" s="117" t="str">
        <f>IF(ISNUMBER(GF20),GF20-GI20,"")</f>
        <v/>
      </c>
      <c r="GG23" s="117" t="str">
        <f>IF(ISNUMBER(GG20),GG20-GI20,"")</f>
        <v/>
      </c>
      <c r="GH23" s="117" t="str">
        <f>IF(ISNUMBER(GH20),GH20-GI20,"")</f>
        <v/>
      </c>
      <c r="GI23" s="118" t="str">
        <f>IF(GA23&lt;&gt;"",SUM(GA23:GH23),"")</f>
        <v/>
      </c>
      <c r="GJ23" s="130" t="s">
        <v>115</v>
      </c>
      <c r="GK23" s="131" t="str">
        <f>IF(GI25&lt;&gt;"",(GR20*GR22-GR21*GI25)/(GR22^2-GR19*GI25),"")</f>
        <v/>
      </c>
      <c r="GL23" s="130" t="s">
        <v>116</v>
      </c>
      <c r="GM23" s="116" t="str">
        <f>IF(GO23&lt;&gt;"",SLOPE(GO23:GO24,GN23:GN24),"")</f>
        <v/>
      </c>
      <c r="GN23" s="116">
        <v>2.54</v>
      </c>
      <c r="GO23" s="116" t="str">
        <f>IF(GK23&lt;&gt;"",GK23*GN23^2+GK24*GN23+GK25,"")</f>
        <v/>
      </c>
      <c r="GP23" s="116">
        <v>2.54</v>
      </c>
      <c r="GQ23" s="116">
        <v>5.08</v>
      </c>
      <c r="GR23" s="132"/>
      <c r="GS23" s="119" t="str">
        <f>IF(GS20="","",IF(GS20&gt;0,GV19,-1))</f>
        <v/>
      </c>
      <c r="GT23" s="119" t="str">
        <f>IF(GS20="","",IF(GS20&gt;0,GV19,-1))</f>
        <v/>
      </c>
      <c r="GU23" s="119" t="str">
        <f>IF(GS20="","",IF(GS20&gt;0,GY22,-1))</f>
        <v/>
      </c>
      <c r="GV23" s="119" t="str">
        <f>IF(GS20="","",IF(GS20&gt;0,GY22,-1))</f>
        <v/>
      </c>
      <c r="GW23" s="119" t="str">
        <f>IF(GS20="","",IF(GS20&gt;0,GW19,-1))</f>
        <v/>
      </c>
      <c r="GX23" s="119" t="str">
        <f>IF(GS20="","",IF(GS20&gt;0,GW19,-1))</f>
        <v/>
      </c>
      <c r="GY23" s="119" t="str">
        <f>IF(GS20="","",IF(GS20&gt;0,GW19,-1))</f>
        <v/>
      </c>
      <c r="GZ23" s="119" t="str">
        <f>IF(GS20="","",IF(GS20&gt;0,GW19,-1))</f>
        <v/>
      </c>
      <c r="HA23" s="1201"/>
      <c r="HB23" s="124" t="str">
        <f>IF(ISNUMBER(HB20),HB20-HJ20,"")</f>
        <v/>
      </c>
      <c r="HC23" s="117" t="str">
        <f>IF(ISNUMBER(HC20),HC20-HJ20,"")</f>
        <v/>
      </c>
      <c r="HD23" s="117" t="str">
        <f>IF(ISNUMBER(HD20),HD20-HJ20,"")</f>
        <v/>
      </c>
      <c r="HE23" s="117" t="str">
        <f>IF(ISNUMBER(HE20),HE20-HJ20,"")</f>
        <v/>
      </c>
      <c r="HF23" s="117" t="str">
        <f>IF(ISNUMBER(HF20),HF20-HJ20,"")</f>
        <v/>
      </c>
      <c r="HG23" s="117" t="str">
        <f>IF(ISNUMBER(HG20),HG20-HJ20,"")</f>
        <v/>
      </c>
      <c r="HH23" s="117" t="str">
        <f>IF(ISNUMBER(HH20),HH20-HJ20,"")</f>
        <v/>
      </c>
      <c r="HI23" s="117" t="str">
        <f>IF(ISNUMBER(HI20),HI20-HJ20,"")</f>
        <v/>
      </c>
      <c r="HJ23" s="118" t="str">
        <f>IF(HB23&lt;&gt;"",SUM(HB23:HI23),"")</f>
        <v/>
      </c>
      <c r="HK23" s="130" t="s">
        <v>115</v>
      </c>
      <c r="HL23" s="131" t="str">
        <f>IF(HJ25&lt;&gt;"",(HS20*HS22-HS21*HJ25)/(HS22^2-HS19*HJ25),"")</f>
        <v/>
      </c>
      <c r="HM23" s="130" t="s">
        <v>116</v>
      </c>
      <c r="HN23" s="116" t="str">
        <f>IF(HP23&lt;&gt;"",SLOPE(HP23:HP24,HO23:HO24),"")</f>
        <v/>
      </c>
      <c r="HO23" s="116">
        <v>2.54</v>
      </c>
      <c r="HP23" s="116" t="str">
        <f>IF(HL23&lt;&gt;"",HL23*HO23^2+HL24*HO23+HL25,"")</f>
        <v/>
      </c>
      <c r="HQ23" s="116">
        <v>2.54</v>
      </c>
      <c r="HR23" s="116">
        <v>5.08</v>
      </c>
      <c r="HS23" s="132"/>
      <c r="HT23" s="119" t="str">
        <f>IF(HT20="","",IF(HT20&gt;0,HW19,-1))</f>
        <v/>
      </c>
      <c r="HU23" s="119" t="str">
        <f>IF(HT20="","",IF(HT20&gt;0,HW19,-1))</f>
        <v/>
      </c>
      <c r="HV23" s="119" t="str">
        <f>IF(HT20="","",IF(HT20&gt;0,HZ22,-1))</f>
        <v/>
      </c>
      <c r="HW23" s="119" t="str">
        <f>IF(HT20="","",IF(HT20&gt;0,HZ22,-1))</f>
        <v/>
      </c>
      <c r="HX23" s="119" t="str">
        <f>IF(HT20="","",IF(HT20&gt;0,HX19,-1))</f>
        <v/>
      </c>
      <c r="HY23" s="119" t="str">
        <f>IF(HT20="","",IF(HT20&gt;0,HX19,-1))</f>
        <v/>
      </c>
      <c r="HZ23" s="119" t="str">
        <f>IF(HT20="","",IF(HT20&gt;0,HX19,-1))</f>
        <v/>
      </c>
      <c r="IA23" s="119" t="str">
        <f>IF(HT20="","",IF(HT20&gt;0,HX19,-1))</f>
        <v/>
      </c>
      <c r="IB23" s="1201"/>
      <c r="IC23" s="124" t="str">
        <f>IF(ISNUMBER(IC20),IC20-IK20,"")</f>
        <v/>
      </c>
      <c r="ID23" s="117" t="str">
        <f>IF(ISNUMBER(ID20),ID20-IK20,"")</f>
        <v/>
      </c>
      <c r="IE23" s="117" t="str">
        <f>IF(ISNUMBER(IE20),IE20-IK20,"")</f>
        <v/>
      </c>
      <c r="IF23" s="117" t="str">
        <f>IF(ISNUMBER(IF20),IF20-IK20,"")</f>
        <v/>
      </c>
      <c r="IG23" s="117" t="str">
        <f>IF(ISNUMBER(IG20),IG20-IK20,"")</f>
        <v/>
      </c>
      <c r="IH23" s="117" t="str">
        <f>IF(ISNUMBER(IH20),IH20-IK20,"")</f>
        <v/>
      </c>
      <c r="II23" s="117" t="str">
        <f>IF(ISNUMBER(II20),II20-IK20,"")</f>
        <v/>
      </c>
      <c r="IJ23" s="117" t="str">
        <f>IF(ISNUMBER(IJ20),IJ20-IK20,"")</f>
        <v/>
      </c>
      <c r="IK23" s="118" t="str">
        <f>IF(IC23&lt;&gt;"",SUM(IC23:IJ23),"")</f>
        <v/>
      </c>
      <c r="IL23" s="130" t="s">
        <v>115</v>
      </c>
      <c r="IM23" s="131" t="str">
        <f>IF(IK25&lt;&gt;"",(IT20*IT22-IT21*IK25)/(IT22^2-IT19*IK25),"")</f>
        <v/>
      </c>
      <c r="IN23" s="130" t="s">
        <v>116</v>
      </c>
      <c r="IO23" s="116" t="str">
        <f>IF(IQ23&lt;&gt;"",SLOPE(IQ23:IQ24,IP23:IP24),"")</f>
        <v/>
      </c>
      <c r="IP23" s="116">
        <v>2.54</v>
      </c>
      <c r="IQ23" s="116" t="str">
        <f>IF(IM23&lt;&gt;"",IM23*IP23^2+IM24*IP23+IM25,"")</f>
        <v/>
      </c>
      <c r="IR23" s="116">
        <v>2.54</v>
      </c>
      <c r="IS23" s="116">
        <v>5.08</v>
      </c>
      <c r="IT23" s="132"/>
      <c r="IU23" s="119" t="str">
        <f>IF(IU20="","",IF(IU20&gt;0,IX19,-1))</f>
        <v/>
      </c>
      <c r="IV23" s="119" t="str">
        <f>IF(IU20="","",IF(IU20&gt;0,IX19,-1))</f>
        <v/>
      </c>
      <c r="IW23" s="119" t="str">
        <f>IF(IU20="","",IF(IU20&gt;0,JA22,-1))</f>
        <v/>
      </c>
      <c r="IX23" s="119" t="str">
        <f>IF(IU20="","",IF(IU20&gt;0,JA22,-1))</f>
        <v/>
      </c>
      <c r="IY23" s="119" t="str">
        <f>IF(IU20="","",IF(IU20&gt;0,IY19,-1))</f>
        <v/>
      </c>
      <c r="IZ23" s="119" t="str">
        <f>IF(IU20="","",IF(IU20&gt;0,IY19,-1))</f>
        <v/>
      </c>
      <c r="JA23" s="119" t="str">
        <f>IF(IU20="","",IF(IU20&gt;0,IY19,-1))</f>
        <v/>
      </c>
      <c r="JB23" s="119" t="str">
        <f>IF(IU20="","",IF(IU20&gt;0,IY19,-1))</f>
        <v/>
      </c>
      <c r="JC23" s="1201"/>
      <c r="JD23" s="150" t="str">
        <f t="shared" si="169"/>
        <v/>
      </c>
      <c r="JE23" s="76" t="str">
        <f t="shared" ref="JE23:JJ23" si="223">IF(ISNUMBER(JE20),JE20-$JK20,"")</f>
        <v/>
      </c>
      <c r="JF23" s="76">
        <f t="shared" si="223"/>
        <v>0</v>
      </c>
      <c r="JG23" s="76">
        <f t="shared" si="223"/>
        <v>0</v>
      </c>
      <c r="JH23" s="76">
        <f t="shared" si="223"/>
        <v>0</v>
      </c>
      <c r="JI23" s="76" t="str">
        <f t="shared" si="223"/>
        <v/>
      </c>
      <c r="JJ23" s="76" t="str">
        <f t="shared" si="223"/>
        <v/>
      </c>
      <c r="JK23" s="73"/>
      <c r="JL23" s="76" t="str">
        <f t="shared" ref="JL23:JQ23" si="224">IF(ISERROR(JE22*JE24),"",JE22*JE24)</f>
        <v/>
      </c>
      <c r="JM23" s="76">
        <f t="shared" si="224"/>
        <v>1.0140267428601455E-5</v>
      </c>
      <c r="JN23" s="76">
        <f t="shared" si="224"/>
        <v>-4.805301628002623E-22</v>
      </c>
      <c r="JO23" s="76">
        <f t="shared" si="224"/>
        <v>1.0846083005903614E-5</v>
      </c>
      <c r="JP23" s="76" t="str">
        <f t="shared" si="224"/>
        <v/>
      </c>
      <c r="JQ23" s="76" t="str">
        <f t="shared" si="224"/>
        <v/>
      </c>
      <c r="JR23" s="65">
        <f>SUM(JL23:JQ23)</f>
        <v>2.0986350434505069E-5</v>
      </c>
      <c r="JS23" s="158">
        <f>IF(H22="X",CW19,IF(CT19&lt;&gt;"",CT19,""))</f>
        <v>5.1644623927943063E-2</v>
      </c>
      <c r="JT23" s="1202">
        <f>IF(H22="X",FV25,IF(JS23&lt;&gt;"",JM25*JS23^2+JO25*JS23+JQ25,""))</f>
        <v>0</v>
      </c>
      <c r="JU23" s="123" t="str">
        <f>IF(T24&lt;&gt;0,LOOKUP(T24,Tara!$G$6:$G$185,Tara!$J$6:$J$185)/10,"")</f>
        <v/>
      </c>
      <c r="JV23" s="116" t="str">
        <f t="shared" si="171"/>
        <v/>
      </c>
      <c r="JW23" s="155" t="str">
        <f t="shared" si="172"/>
        <v/>
      </c>
      <c r="JX23" s="76" t="str">
        <f t="shared" ref="JX23:KC23" si="225">IF(ISNUMBER(JX20),JX20-$JK20,"")</f>
        <v/>
      </c>
      <c r="JY23" s="76">
        <f t="shared" si="225"/>
        <v>0</v>
      </c>
      <c r="JZ23" s="76">
        <f t="shared" si="225"/>
        <v>0</v>
      </c>
      <c r="KA23" s="76">
        <f t="shared" si="225"/>
        <v>0</v>
      </c>
      <c r="KB23" s="76" t="str">
        <f t="shared" si="225"/>
        <v/>
      </c>
      <c r="KC23" s="76" t="str">
        <f t="shared" si="225"/>
        <v/>
      </c>
      <c r="KD23" s="73"/>
      <c r="KE23" s="76" t="str">
        <f t="shared" ref="KE23:KJ23" si="226">IF(ISERROR(JX22*JX24),"",JX22*JX24)</f>
        <v/>
      </c>
      <c r="KF23" s="76">
        <f t="shared" si="226"/>
        <v>1.0140267428601455E-5</v>
      </c>
      <c r="KG23" s="76">
        <f t="shared" si="226"/>
        <v>-4.805301628002623E-22</v>
      </c>
      <c r="KH23" s="76">
        <f t="shared" si="226"/>
        <v>1.0846083005903614E-5</v>
      </c>
      <c r="KI23" s="76" t="str">
        <f t="shared" si="226"/>
        <v/>
      </c>
      <c r="KJ23" s="76" t="str">
        <f t="shared" si="226"/>
        <v/>
      </c>
      <c r="KK23" s="65">
        <f>SUM(KE23:KJ23)</f>
        <v>2.0986350434505069E-5</v>
      </c>
      <c r="KL23" s="158">
        <f>IF(H22="X",CW19,IF(CT19&lt;&gt;"",CT19,""))</f>
        <v>5.1644623927943063E-2</v>
      </c>
      <c r="KM23" s="1203">
        <f>IF(H22="X",JW21*100,IF(KL23&lt;&gt;"",KF25*KL23^2+KH25*KL23+KJ25,""))</f>
        <v>0</v>
      </c>
      <c r="KN23" s="174" t="str">
        <f>IF(ISNUMBER(AN22),AN22,"")</f>
        <v/>
      </c>
      <c r="KO23" s="175" t="str">
        <f>IF(ISNUMBER(AO22),AO22,"")</f>
        <v/>
      </c>
      <c r="KP23" s="175" t="str">
        <f>IF(ISNUMBER(AP22),AP22,"")</f>
        <v/>
      </c>
      <c r="KQ23" s="175" t="str">
        <f>IF(ISNUMBER(AQ22),AQ22,"")</f>
        <v/>
      </c>
      <c r="KR23" s="1204" t="str">
        <f>IF(ISNUMBER(AR22),AR22,"")</f>
        <v/>
      </c>
      <c r="KS23" s="184" t="str">
        <f>IF(KS22&lt;&gt;"",AVERAGE(KS22:KW22),"")</f>
        <v/>
      </c>
      <c r="KT23" s="176" t="str">
        <f>IF(KS23&lt;&gt;"",KS23-KS24,"")</f>
        <v/>
      </c>
      <c r="KU23" s="180">
        <f>COUNT(KS25:KW25)</f>
        <v>0</v>
      </c>
      <c r="KV23" s="176" t="str">
        <f>IF(KS25&lt;&gt;"",AVERAGE(KS25:KW25),"")</f>
        <v/>
      </c>
      <c r="KW23" s="176" t="str">
        <f>IF(KV23&lt;&gt;"",KV23+5%*KV23,"")</f>
        <v/>
      </c>
      <c r="KX23" s="1275">
        <f>IF(KW24="NP",0,KW24)*100</f>
        <v>0</v>
      </c>
      <c r="KY23" s="1284" t="str">
        <f>IF(AND(KY22&gt;0,ISNUMBER(KY22)),AVERAGE(KY22:KZ22),"")</f>
        <v/>
      </c>
      <c r="KZ23" s="1285"/>
      <c r="LA23" s="1286">
        <f>IF(LA22&lt;&gt;"",ROUND(AVERAGE(LA22:LB22),2),"")</f>
        <v>0</v>
      </c>
      <c r="LB23" s="1287"/>
      <c r="LC23" s="120">
        <f>IF(LC20&lt;&gt;"",LC22/(LA23+100)*100,"")</f>
        <v>886.48</v>
      </c>
      <c r="LD23" s="199"/>
      <c r="LE23" s="203">
        <f t="shared" ref="LE23:LK23" si="227">IF(ISNUMBER(LE21),LE21/$LD21,"")</f>
        <v>1</v>
      </c>
      <c r="LF23" s="203">
        <f t="shared" si="227"/>
        <v>1</v>
      </c>
      <c r="LG23" s="203">
        <f t="shared" si="227"/>
        <v>1</v>
      </c>
      <c r="LH23" s="203">
        <f t="shared" si="227"/>
        <v>1</v>
      </c>
      <c r="LI23" s="203">
        <f t="shared" si="227"/>
        <v>0.66472500000000001</v>
      </c>
      <c r="LJ23" s="203">
        <f t="shared" si="227"/>
        <v>0.51678000000000002</v>
      </c>
      <c r="LK23" s="203">
        <f t="shared" si="227"/>
        <v>0.44323999999999997</v>
      </c>
      <c r="LL23" s="203">
        <f>IF(LL22&lt;&gt;"",LL22*LK23,"")</f>
        <v>0.41106077599999996</v>
      </c>
      <c r="LM23" s="1205">
        <f>IF(LM22&lt;&gt;"",LM22*LK23,"")</f>
        <v>0.16457501199999996</v>
      </c>
      <c r="LN23" s="185" t="str">
        <f>IF(LM23="","",IF(AND(LG23&gt;=93%,LG23&lt;=100%,LI23&gt;=53%,LI23&lt;=100%,LJ23&gt;=45%,LJ23&lt;=90%,LK23&gt;=35%,LK23&lt;=75%,LL23&gt;=23%,LL23&lt;=47%,LM23&gt;=8%,LM23&lt;=27%),"Faixa D"))</f>
        <v>Faixa D</v>
      </c>
      <c r="LO23" s="207" t="str">
        <f>IF(LM23="","",IF(LO22&gt;0,LO22,IF(LP23&gt;0,LP23)))</f>
        <v>D</v>
      </c>
      <c r="LP23" s="207"/>
      <c r="LQ23" s="180"/>
      <c r="LR23" s="1279"/>
      <c r="LS23" s="215">
        <v>10</v>
      </c>
      <c r="LT23" s="144">
        <f>IF(LK23&lt;&gt;"",LK23*100,"")</f>
        <v>44.323999999999998</v>
      </c>
      <c r="LU23" s="78">
        <f>IF(LT25="",0,IF(IF((LT25-35)&lt;0,0,(LT25-35))&gt;40,40,IF((LT25-35)&lt;0,0,(LT25-35))))</f>
        <v>0</v>
      </c>
      <c r="LV23" s="78">
        <f>IF(LT25="",0,IF(IF((LT25-15)&lt;0,0,(LT25-15))&gt;40,40,IF((LT25-15)&lt;0,0,(LT25-15))))</f>
        <v>1.4575011999999958</v>
      </c>
      <c r="LW23" s="78">
        <f>IF(LG25="NP",0,IF(IF((LG25-40)&lt;0,0,(LG25-40))&gt;20,20,IF((LG25-40)&lt;0,0,(LG25-40))))</f>
        <v>0</v>
      </c>
      <c r="LX23" s="78">
        <f>IF(LN25="NP",0,IF(IF((LN25-10)&lt;0,0,(LN25-10))&gt;20,20,IF((LN25-10)&lt;0,0,(LN25-10))))</f>
        <v>0</v>
      </c>
      <c r="LY23" s="199"/>
      <c r="LZ23" s="199"/>
      <c r="MA23" s="199"/>
      <c r="MB23" s="199"/>
      <c r="MC23" s="199"/>
      <c r="MD23" s="199"/>
      <c r="ME23" s="1200"/>
      <c r="MF23" s="287" t="str">
        <f>IF(C20&lt;&gt;0,C20,"")</f>
        <v/>
      </c>
      <c r="MG23" s="288" t="str">
        <f>IF(C21&lt;&gt;0,C21,"")</f>
        <v/>
      </c>
      <c r="MH23" s="289" t="str">
        <f>IF(E21&lt;&gt;0,E21,"")</f>
        <v/>
      </c>
      <c r="MI23" s="290">
        <f t="shared" ref="MI23:MQ23" si="228">IF($H20="x","",IF(LE23&lt;&gt;"",LE23*100,""))</f>
        <v>100</v>
      </c>
      <c r="MJ23" s="290">
        <f t="shared" si="228"/>
        <v>100</v>
      </c>
      <c r="MK23" s="290">
        <f t="shared" si="228"/>
        <v>100</v>
      </c>
      <c r="ML23" s="290">
        <f t="shared" si="228"/>
        <v>100</v>
      </c>
      <c r="MM23" s="290">
        <f t="shared" si="228"/>
        <v>66.472499999999997</v>
      </c>
      <c r="MN23" s="290">
        <f t="shared" si="228"/>
        <v>51.678000000000004</v>
      </c>
      <c r="MO23" s="290">
        <f t="shared" si="228"/>
        <v>44.323999999999998</v>
      </c>
      <c r="MP23" s="290">
        <f t="shared" si="228"/>
        <v>41.106077599999999</v>
      </c>
      <c r="MQ23" s="290">
        <f t="shared" si="228"/>
        <v>16.457501199999996</v>
      </c>
      <c r="MR23" s="288"/>
      <c r="MS23" s="290" t="str">
        <f>IF(H20="X","",IF(H21="x",IF(KQ25&gt;0,KQ25,IF(KQ25=0,"NP",""))))</f>
        <v>NP</v>
      </c>
      <c r="MT23" s="290" t="str">
        <f>IF(H20="X","",IF(H21="x",IF(KX19&gt;0,KX19,IF(KX19=0,"NP",""))))</f>
        <v>NP</v>
      </c>
      <c r="MU23" s="290" t="str">
        <f>IF(H20="X","",IF(H21="x",IF(KZ25&lt;&gt;"",KZ25*100,"")))</f>
        <v/>
      </c>
      <c r="MV23" s="291">
        <f>IF(MS23="","",IF(H20="X","",IF(H21="x",IF(LU25&lt;&gt;"",LU25,""))))</f>
        <v>0</v>
      </c>
      <c r="MW23" s="291" t="str">
        <f>IF(H20="X","",IF(H21="x",IF(LW25&lt;&gt;"",LW25,"")))</f>
        <v>A-1b</v>
      </c>
      <c r="MX23" s="291"/>
      <c r="MY23" s="291" t="str">
        <f>IF(H20="X","",IF(H21="x",IF(LR21&lt;&gt;"",LR21,"")))</f>
        <v>D</v>
      </c>
      <c r="MZ23" s="290">
        <f>IF(ISERROR(CT19),"",CT19*100)</f>
        <v>5.1644623927943067</v>
      </c>
      <c r="NA23" s="291">
        <f>IF(ISERROR(CT20),"",CT20)</f>
        <v>2265.1535455794969</v>
      </c>
      <c r="NB23" s="290">
        <f>IF(ISERROR(JT23),"",JT23)</f>
        <v>0</v>
      </c>
      <c r="NC23" s="288">
        <f>IF(ISERROR(KM23),"",KM23)</f>
        <v>0</v>
      </c>
      <c r="ND23" s="290" t="str">
        <f>IF(MG23&lt;&gt;"",LOOKUP(MF23,'Digitar Dados de Dens. InSitu'!AA:AA,'Digitar Dados de Dens. InSitu'!AB:AB),"")</f>
        <v/>
      </c>
      <c r="NE23" s="291" t="str">
        <f>IF(MG23&lt;&gt;"",LOOKUP(MF23,'Digitar Dados de Dens. InSitu'!AA:AA,'Digitar Dados de Dens. InSitu'!#REF!),"")</f>
        <v/>
      </c>
      <c r="NF23" s="290" t="str">
        <f>IF(MG23&lt;&gt;"",LOOKUP(MF23,'Digitar Dados de Dens. InSitu'!AA:AA,'Digitar Dados de Dens. InSitu'!AC:AC),"")</f>
        <v/>
      </c>
      <c r="NG23" s="290" t="str">
        <f>IF($H20="X","",IF($H22="X","",IF(T20="","",CE19*100)))</f>
        <v/>
      </c>
      <c r="NH23" s="291" t="str">
        <f>IF($H20="X","",IF($H22="X","",IF(T20="","",CE20)))</f>
        <v/>
      </c>
      <c r="NI23" s="288" t="str">
        <f>IF($H20="X","",IF($H22="X","",JX20))</f>
        <v/>
      </c>
      <c r="NJ23" s="288" t="str">
        <f>IF($H20="X","",IF($H22="X","",JE20))</f>
        <v/>
      </c>
      <c r="NK23" s="290">
        <f>IF(T21="","",IF($H20="X","",IF($H22="X","",CF19*100)))</f>
        <v>4.0315395943145464</v>
      </c>
      <c r="NL23" s="291">
        <f>IF($H20="X","",IF($H22="X","",CF20))</f>
        <v>2210.7280624328287</v>
      </c>
      <c r="NM23" s="288">
        <f>IF($H20="X","",IF($H22="X","",JY20))</f>
        <v>0</v>
      </c>
      <c r="NN23" s="288">
        <f>IF($H20="X","",IF($H22="X","",JF20))</f>
        <v>0</v>
      </c>
      <c r="NO23" s="290">
        <f>IF($H20="X","",IF(T21="","",IF($H22="X",CW19*100,CG19*100)))</f>
        <v>5.0507429213407216</v>
      </c>
      <c r="NP23" s="291">
        <f>IF($H20="X","",IF($H22="X",CW23,CG20))</f>
        <v>2275.1420560291153</v>
      </c>
      <c r="NQ23" s="288">
        <f>IF($H20="X","",IF($H22="X","",JZ20))</f>
        <v>0</v>
      </c>
      <c r="NR23" s="288">
        <f>IF($H20="X","",IF($H22="X","",JG20))</f>
        <v>0</v>
      </c>
      <c r="NS23" s="290">
        <f>IF($H20="X","",IF(T22="","",IF($H22="X","",CH19*100)))</f>
        <v>6.0699462483668958</v>
      </c>
      <c r="NT23" s="291">
        <f>IF($H20="X","",IF($H22="X","",CH20))</f>
        <v>2231.3078036355155</v>
      </c>
      <c r="NU23" s="288">
        <f>IF($H20="X","",IF($H22="X","",KA20))</f>
        <v>0</v>
      </c>
      <c r="NV23" s="288">
        <f>IF($H20="X","",IF($H22="X","",JH20))</f>
        <v>0</v>
      </c>
      <c r="NW23" s="290" t="str">
        <f>IF($H20="X","",IF($H22="X","",IF(T24="","",CI19*100)))</f>
        <v/>
      </c>
      <c r="NX23" s="291" t="str">
        <f>IF($H20="X","",IF($H22="X","",IF(T24="","",CI20)))</f>
        <v/>
      </c>
      <c r="NY23" s="288" t="str">
        <f>IF($H20="X","",IF($H22="X","",KB20))</f>
        <v/>
      </c>
      <c r="NZ23" s="288" t="str">
        <f>IF($H20="X","",IF($H22="X","",JI20))</f>
        <v/>
      </c>
      <c r="OA23" s="291" t="str">
        <f>IF($H20="X","",IF($H22="X","",CJ19))</f>
        <v/>
      </c>
      <c r="OB23" s="291" t="str">
        <f>IF($H20="X","",IF($H22="X","",CJ20))</f>
        <v/>
      </c>
      <c r="OC23" s="288" t="str">
        <f>IF($H20="X","",IF($H22="X","",KC20))</f>
        <v/>
      </c>
      <c r="OD23" s="288" t="str">
        <f>IF($H20="X","",IF($H22="X","",JJ20))</f>
        <v/>
      </c>
      <c r="OE23" s="120"/>
      <c r="OF23" s="78">
        <f>C22</f>
        <v>0</v>
      </c>
      <c r="OG23" s="132">
        <f>C23</f>
        <v>0</v>
      </c>
      <c r="OH23" s="132"/>
      <c r="OI23" s="56"/>
      <c r="OJ23" s="56"/>
      <c r="OK23" s="56"/>
      <c r="OL23" s="56"/>
      <c r="OM23" s="56"/>
      <c r="ON23" s="56"/>
      <c r="OO23" s="56"/>
      <c r="OP23" s="56"/>
      <c r="OQ23" s="56"/>
      <c r="OR23" s="56"/>
      <c r="OS23" s="56"/>
      <c r="OT23" s="56"/>
      <c r="OU23" s="56"/>
      <c r="OV23" s="56"/>
      <c r="OW23" s="56"/>
      <c r="OX23" s="56"/>
      <c r="OY23" s="56"/>
      <c r="OZ23" s="56"/>
      <c r="PA23" s="56"/>
      <c r="PB23" s="56"/>
      <c r="PC23" s="56"/>
      <c r="PD23" s="56"/>
      <c r="PE23" s="56"/>
      <c r="PF23" s="56"/>
      <c r="PG23" s="56"/>
      <c r="PH23" s="56"/>
      <c r="PI23" s="56"/>
      <c r="PJ23" s="56"/>
      <c r="PK23" s="56"/>
      <c r="PL23" s="56"/>
      <c r="PM23" s="56"/>
      <c r="PN23" s="56"/>
      <c r="PO23" s="56"/>
      <c r="PP23" s="56"/>
      <c r="PQ23" s="56"/>
      <c r="PR23" s="56"/>
      <c r="PS23" s="56"/>
      <c r="PT23" s="56"/>
      <c r="PU23" s="56"/>
      <c r="PV23" s="56"/>
      <c r="PW23" s="56"/>
      <c r="PX23" s="56"/>
      <c r="PY23" s="56"/>
      <c r="PZ23" s="56"/>
      <c r="QA23" s="56"/>
      <c r="QB23" s="56"/>
      <c r="QC23" s="56"/>
      <c r="QD23" s="56"/>
      <c r="QE23" s="56"/>
      <c r="QF23" s="56"/>
      <c r="QG23" s="56"/>
      <c r="QH23" s="56"/>
      <c r="QI23" s="56"/>
      <c r="QJ23" s="56"/>
      <c r="QK23" s="56"/>
      <c r="QL23" s="56"/>
      <c r="QM23" s="56"/>
      <c r="QN23" s="56"/>
      <c r="QO23" s="56"/>
      <c r="QP23" s="56"/>
      <c r="QQ23" s="56"/>
      <c r="QR23" s="56"/>
      <c r="QS23" s="56"/>
      <c r="QT23" s="56"/>
      <c r="QU23" s="56"/>
      <c r="QV23" s="56"/>
      <c r="QW23" s="56"/>
      <c r="QX23" s="56"/>
      <c r="QY23" s="56"/>
      <c r="QZ23" s="56"/>
      <c r="RA23" s="56"/>
      <c r="RB23" s="56"/>
      <c r="RC23" s="56"/>
      <c r="RD23" s="56"/>
      <c r="RE23" s="56"/>
      <c r="RF23" s="56"/>
      <c r="RG23" s="56"/>
      <c r="RH23" s="56"/>
      <c r="RI23" s="56"/>
      <c r="RJ23" s="56"/>
      <c r="RK23" s="56"/>
      <c r="RL23" s="56"/>
      <c r="RM23" s="56"/>
      <c r="RN23" s="56"/>
      <c r="RO23" s="56"/>
      <c r="RP23" s="56"/>
      <c r="RQ23" s="56"/>
      <c r="RR23" s="56"/>
      <c r="RS23" s="56"/>
      <c r="RT23" s="56"/>
      <c r="RU23" s="56"/>
      <c r="RV23" s="56"/>
      <c r="RW23" s="56"/>
      <c r="RX23" s="56"/>
      <c r="RY23" s="56"/>
      <c r="RZ23" s="56"/>
      <c r="SA23" s="56"/>
      <c r="SB23" s="56"/>
      <c r="SC23" s="56"/>
      <c r="SD23" s="56"/>
      <c r="SE23" s="56"/>
      <c r="SF23" s="56"/>
      <c r="SG23" s="56"/>
      <c r="SH23" s="56"/>
      <c r="SI23" s="56"/>
      <c r="SJ23" s="56"/>
      <c r="SK23" s="56"/>
      <c r="SL23" s="56"/>
      <c r="SM23" s="56"/>
      <c r="SN23" s="56"/>
      <c r="SO23" s="56"/>
      <c r="SP23" s="56"/>
      <c r="SQ23" s="56"/>
      <c r="SR23" s="56"/>
      <c r="SS23" s="56"/>
      <c r="ST23" s="56"/>
      <c r="SU23" s="56"/>
      <c r="SV23" s="56"/>
      <c r="SW23" s="56"/>
      <c r="SX23" s="56"/>
      <c r="SY23" s="56"/>
      <c r="SZ23" s="56"/>
      <c r="TA23" s="56"/>
      <c r="TB23" s="56"/>
      <c r="TC23" s="56"/>
      <c r="TD23" s="56"/>
      <c r="TE23" s="56"/>
      <c r="TF23" s="56"/>
      <c r="TG23" s="56"/>
      <c r="TH23" s="56"/>
      <c r="TI23" s="56"/>
      <c r="TJ23" s="56"/>
      <c r="TK23" s="56"/>
      <c r="TL23" s="56"/>
      <c r="TM23" s="56"/>
      <c r="TN23" s="56"/>
      <c r="TO23" s="56"/>
      <c r="TP23" s="56"/>
      <c r="TQ23" s="56"/>
      <c r="TR23" s="56"/>
      <c r="TS23" s="56"/>
      <c r="TT23" s="56"/>
      <c r="TU23" s="56"/>
      <c r="TV23" s="56"/>
      <c r="TW23" s="56"/>
      <c r="TX23" s="56"/>
      <c r="TY23" s="56"/>
      <c r="TZ23" s="56"/>
      <c r="UA23" s="56"/>
      <c r="UB23" s="56"/>
      <c r="UC23" s="56"/>
      <c r="UD23" s="56"/>
      <c r="UE23" s="56"/>
      <c r="UF23" s="56"/>
      <c r="UG23" s="56"/>
      <c r="UH23" s="56"/>
      <c r="UI23" s="56"/>
      <c r="UJ23" s="56"/>
      <c r="UK23" s="56"/>
      <c r="UL23" s="56"/>
      <c r="UM23" s="56"/>
      <c r="UN23" s="56"/>
      <c r="UO23" s="56"/>
      <c r="UP23" s="56"/>
      <c r="UQ23" s="56"/>
      <c r="UR23" s="56"/>
      <c r="US23" s="56"/>
      <c r="UT23" s="56"/>
      <c r="UU23" s="56"/>
      <c r="UV23" s="56"/>
      <c r="UW23" s="56"/>
      <c r="UX23" s="56"/>
      <c r="UY23" s="56"/>
      <c r="UZ23" s="56"/>
      <c r="VA23" s="56"/>
      <c r="VB23" s="56"/>
      <c r="VC23" s="56"/>
      <c r="VD23" s="56"/>
      <c r="VE23" s="56"/>
      <c r="VF23" s="56"/>
      <c r="VG23" s="56"/>
      <c r="VH23" s="56"/>
      <c r="VI23" s="56"/>
      <c r="VJ23" s="56"/>
      <c r="VK23" s="56"/>
      <c r="VL23" s="56"/>
      <c r="VM23" s="56"/>
      <c r="VN23" s="56"/>
      <c r="VO23" s="56"/>
      <c r="VP23" s="56"/>
      <c r="VQ23" s="56"/>
      <c r="VR23" s="56"/>
      <c r="VS23" s="56"/>
      <c r="VT23" s="56"/>
      <c r="VU23" s="56"/>
      <c r="VV23" s="56"/>
      <c r="VW23" s="56"/>
      <c r="VX23" s="56"/>
      <c r="VY23" s="56"/>
      <c r="VZ23" s="56"/>
      <c r="WA23" s="56"/>
      <c r="WB23" s="56"/>
      <c r="WC23" s="56"/>
      <c r="WD23" s="56"/>
      <c r="WE23" s="56"/>
      <c r="WF23" s="56"/>
      <c r="WG23" s="56"/>
      <c r="WH23" s="56"/>
      <c r="WI23" s="56"/>
      <c r="WJ23" s="56"/>
      <c r="WK23" s="56"/>
      <c r="WL23" s="56"/>
      <c r="WM23" s="56"/>
      <c r="WN23" s="56"/>
      <c r="WO23" s="56"/>
      <c r="WP23" s="56"/>
      <c r="WQ23" s="56"/>
      <c r="WR23" s="56"/>
      <c r="WS23" s="56"/>
      <c r="WT23" s="56"/>
      <c r="WU23" s="56"/>
      <c r="WV23" s="56"/>
      <c r="WW23" s="56"/>
      <c r="WX23" s="56"/>
      <c r="WY23" s="56"/>
      <c r="WZ23" s="56"/>
      <c r="XA23" s="56"/>
      <c r="XB23" s="56"/>
      <c r="XC23" s="56"/>
      <c r="XD23" s="56"/>
      <c r="XE23" s="56"/>
      <c r="XF23" s="56"/>
      <c r="XG23" s="56"/>
      <c r="XH23" s="56"/>
      <c r="XI23" s="56"/>
      <c r="XJ23" s="56"/>
      <c r="XK23" s="56"/>
      <c r="XL23" s="56"/>
      <c r="XM23" s="56"/>
      <c r="XN23" s="56"/>
      <c r="XO23" s="56"/>
      <c r="XP23" s="56"/>
      <c r="XQ23" s="56"/>
      <c r="XR23" s="56"/>
      <c r="XS23" s="56"/>
      <c r="XT23" s="56"/>
      <c r="XU23" s="56"/>
      <c r="XV23" s="56"/>
      <c r="XW23" s="56"/>
      <c r="XX23" s="56"/>
      <c r="XY23" s="56"/>
      <c r="XZ23" s="56"/>
      <c r="YA23" s="56"/>
      <c r="YB23" s="56"/>
      <c r="YC23" s="56"/>
      <c r="YD23" s="56"/>
      <c r="YE23" s="56"/>
      <c r="YF23" s="56"/>
      <c r="YG23" s="56"/>
      <c r="YH23" s="56"/>
      <c r="YI23" s="56"/>
      <c r="YJ23" s="56"/>
      <c r="YK23" s="56"/>
      <c r="YL23" s="56"/>
      <c r="YM23" s="56"/>
      <c r="YN23" s="56"/>
      <c r="YO23" s="56"/>
      <c r="YP23" s="56"/>
      <c r="YQ23" s="56"/>
      <c r="YR23" s="56"/>
      <c r="YS23" s="56"/>
      <c r="YT23" s="56"/>
      <c r="YU23" s="56"/>
      <c r="YV23" s="56"/>
      <c r="YW23" s="56"/>
      <c r="YX23" s="56"/>
      <c r="YY23" s="56"/>
      <c r="YZ23" s="56"/>
      <c r="ZA23" s="56"/>
      <c r="ZB23" s="56"/>
      <c r="ZC23" s="56"/>
      <c r="ZD23" s="56"/>
      <c r="ZE23" s="56"/>
      <c r="ZF23" s="56"/>
      <c r="ZG23" s="56"/>
      <c r="ZH23" s="56"/>
      <c r="ZI23" s="56"/>
      <c r="ZJ23" s="56"/>
      <c r="ZK23" s="56"/>
      <c r="ZL23" s="56"/>
      <c r="ZM23" s="56"/>
      <c r="ZN23" s="56"/>
      <c r="ZO23" s="56"/>
      <c r="ZP23" s="56"/>
      <c r="ZQ23" s="56"/>
      <c r="ZR23" s="56"/>
      <c r="ZS23" s="56"/>
      <c r="ZT23" s="56"/>
      <c r="ZU23" s="56"/>
      <c r="ZV23" s="56"/>
      <c r="ZW23" s="56"/>
      <c r="ZX23" s="56"/>
      <c r="ZY23" s="56"/>
      <c r="ZZ23" s="56"/>
      <c r="AAA23" s="56"/>
      <c r="AAB23" s="56"/>
      <c r="AAC23" s="56"/>
      <c r="AAD23" s="56"/>
      <c r="AAE23" s="56"/>
      <c r="AAF23" s="56"/>
      <c r="AAG23" s="56"/>
      <c r="AAH23" s="56"/>
      <c r="AAI23" s="56"/>
      <c r="AAJ23" s="56"/>
      <c r="AAK23" s="56"/>
      <c r="AAL23" s="56"/>
      <c r="AAM23" s="56"/>
      <c r="AAN23" s="56"/>
      <c r="AAO23" s="56"/>
      <c r="AAP23" s="56"/>
      <c r="AAQ23" s="56"/>
      <c r="AAR23" s="56"/>
      <c r="AAS23" s="56"/>
      <c r="AAT23" s="56"/>
      <c r="AAU23" s="56"/>
      <c r="AAV23" s="56"/>
      <c r="AAW23" s="56"/>
      <c r="AAX23" s="56"/>
      <c r="AAY23" s="56"/>
      <c r="AAZ23" s="56"/>
      <c r="ABA23" s="56"/>
      <c r="ABB23" s="56"/>
      <c r="ABC23" s="56"/>
      <c r="ABD23" s="56"/>
      <c r="ABE23" s="56"/>
      <c r="ABF23" s="56"/>
      <c r="ABG23" s="56"/>
      <c r="ABH23" s="56"/>
      <c r="ABI23" s="56"/>
      <c r="ABJ23" s="56"/>
      <c r="ABK23" s="56"/>
      <c r="ABL23" s="56"/>
      <c r="ABM23" s="56"/>
      <c r="ABN23" s="56"/>
      <c r="ABO23" s="56"/>
      <c r="ABP23" s="56"/>
      <c r="ABQ23" s="56"/>
      <c r="ABR23" s="56"/>
      <c r="ABS23" s="56"/>
      <c r="ABT23" s="56"/>
      <c r="ABU23" s="56"/>
      <c r="ABV23" s="56"/>
      <c r="ABW23" s="56"/>
      <c r="ABX23" s="56"/>
      <c r="ABY23" s="56"/>
      <c r="ABZ23" s="56"/>
      <c r="ACA23" s="56"/>
      <c r="ACB23" s="56"/>
      <c r="ACC23" s="56"/>
      <c r="ACD23" s="56"/>
      <c r="ACE23" s="56"/>
      <c r="ACF23" s="56"/>
      <c r="ACG23" s="56"/>
      <c r="ACH23" s="56"/>
      <c r="ACI23" s="56"/>
      <c r="ACJ23" s="56"/>
      <c r="ACK23" s="56"/>
      <c r="ACL23" s="56"/>
      <c r="ACM23" s="56"/>
      <c r="ACN23" s="56"/>
      <c r="ACO23" s="56"/>
      <c r="ACP23" s="56"/>
      <c r="ACQ23" s="56"/>
      <c r="ACR23" s="56"/>
      <c r="ACS23" s="56"/>
      <c r="ACT23" s="56"/>
      <c r="ACU23" s="56"/>
      <c r="ACV23" s="56"/>
      <c r="ACW23" s="56"/>
      <c r="ACX23" s="56"/>
      <c r="ACY23" s="56"/>
      <c r="ACZ23" s="56"/>
      <c r="ADA23" s="56"/>
      <c r="ADB23" s="56"/>
      <c r="ADC23" s="56"/>
      <c r="ADD23" s="56"/>
      <c r="ADE23" s="56"/>
      <c r="ADF23" s="56"/>
      <c r="ADG23" s="56"/>
      <c r="ADH23" s="56"/>
      <c r="ADI23" s="56"/>
      <c r="ADJ23" s="56"/>
      <c r="ADK23" s="56"/>
      <c r="ADL23" s="56"/>
      <c r="ADM23" s="56"/>
      <c r="ADN23" s="56"/>
      <c r="ADO23" s="56"/>
      <c r="ADP23" s="56"/>
      <c r="ADQ23" s="56"/>
      <c r="ADR23" s="56"/>
      <c r="ADS23" s="56"/>
      <c r="ADT23" s="56"/>
      <c r="ADU23" s="56"/>
      <c r="ADV23" s="56"/>
      <c r="ADW23" s="56"/>
      <c r="ADX23" s="56"/>
      <c r="ADY23" s="56"/>
      <c r="ADZ23" s="56"/>
      <c r="AEA23" s="56"/>
      <c r="AEB23" s="56"/>
      <c r="AEC23" s="56"/>
      <c r="AED23" s="56"/>
      <c r="AEE23" s="56"/>
      <c r="AEF23" s="56"/>
      <c r="AEG23" s="56"/>
      <c r="AEH23" s="56"/>
      <c r="AEI23" s="56"/>
      <c r="AEJ23" s="56"/>
      <c r="AEK23" s="56"/>
      <c r="AEL23" s="56"/>
      <c r="AEM23" s="56"/>
      <c r="AEN23" s="56"/>
      <c r="AEO23" s="56"/>
      <c r="AEP23" s="56"/>
      <c r="AEQ23" s="56"/>
      <c r="AER23" s="56"/>
      <c r="AES23" s="56"/>
      <c r="AET23" s="56"/>
      <c r="AEU23" s="56"/>
      <c r="AEV23" s="56"/>
      <c r="AEW23" s="56"/>
      <c r="AEX23" s="56"/>
      <c r="AEY23" s="56"/>
      <c r="AEZ23" s="56"/>
      <c r="AFA23" s="56"/>
      <c r="AFB23" s="56"/>
      <c r="AFC23" s="56"/>
      <c r="AFD23" s="56"/>
      <c r="AFE23" s="56"/>
      <c r="AFF23" s="56"/>
      <c r="AFG23" s="56"/>
      <c r="AFH23" s="56"/>
      <c r="AFI23" s="56"/>
      <c r="AFJ23" s="56"/>
      <c r="AFK23" s="56"/>
      <c r="AFL23" s="56"/>
      <c r="AFM23" s="56"/>
      <c r="AFN23" s="56"/>
      <c r="AFO23" s="56"/>
      <c r="AFP23" s="56"/>
      <c r="AFQ23" s="56"/>
      <c r="AFR23" s="56"/>
      <c r="AFS23" s="56"/>
      <c r="AFT23" s="56"/>
      <c r="AFU23" s="56"/>
      <c r="AFV23" s="56"/>
      <c r="AFW23" s="56"/>
      <c r="AFX23" s="56"/>
      <c r="AFY23" s="56"/>
      <c r="AFZ23" s="56"/>
      <c r="AGA23" s="56"/>
      <c r="AGB23" s="56"/>
      <c r="AGC23" s="56"/>
      <c r="AGD23" s="56"/>
      <c r="AGE23" s="56"/>
      <c r="AGF23" s="56"/>
      <c r="AGG23" s="56"/>
      <c r="AGH23" s="56"/>
      <c r="AGI23" s="56"/>
      <c r="AGJ23" s="56"/>
      <c r="AGK23" s="56"/>
      <c r="AGL23" s="56"/>
      <c r="AGM23" s="56"/>
      <c r="AGN23" s="56"/>
      <c r="AGO23" s="56"/>
      <c r="AGP23" s="56"/>
      <c r="AGQ23" s="56"/>
      <c r="AGR23" s="56"/>
      <c r="AGS23" s="56"/>
      <c r="AGT23" s="56"/>
      <c r="AGU23" s="56"/>
      <c r="AGV23" s="56"/>
      <c r="AGW23" s="56"/>
      <c r="AGX23" s="56"/>
      <c r="AGY23" s="56"/>
      <c r="AGZ23" s="56"/>
      <c r="AHA23" s="56"/>
      <c r="AHB23" s="56"/>
      <c r="AHC23" s="56"/>
      <c r="AHD23" s="56"/>
      <c r="AHE23" s="56"/>
      <c r="AHF23" s="56"/>
      <c r="AHG23" s="56"/>
      <c r="AHH23" s="56"/>
      <c r="AHI23" s="56"/>
      <c r="AHJ23" s="56"/>
      <c r="AHK23" s="56"/>
      <c r="AHL23" s="56"/>
      <c r="AHM23" s="56"/>
      <c r="AHN23" s="56"/>
      <c r="AHO23" s="56"/>
      <c r="AHP23" s="56"/>
      <c r="AHQ23" s="56"/>
      <c r="AHR23" s="56"/>
      <c r="AHS23" s="56"/>
      <c r="AHT23" s="56"/>
      <c r="AHU23" s="56"/>
      <c r="AHV23" s="56"/>
      <c r="AHW23" s="56"/>
      <c r="AHX23" s="56"/>
      <c r="AHY23" s="56"/>
      <c r="AHZ23" s="56"/>
      <c r="AIA23" s="56"/>
      <c r="AIB23" s="56"/>
      <c r="AIC23" s="56"/>
      <c r="AID23" s="56"/>
      <c r="AIE23" s="56"/>
      <c r="AIF23" s="56"/>
      <c r="AIG23" s="56"/>
      <c r="AIH23" s="56"/>
      <c r="AII23" s="56"/>
      <c r="AIJ23" s="56"/>
      <c r="AIK23" s="56"/>
      <c r="AIL23" s="56"/>
      <c r="AIM23" s="56"/>
      <c r="AIN23" s="56"/>
      <c r="AIO23" s="56"/>
      <c r="AIP23" s="56"/>
      <c r="AIQ23" s="56"/>
      <c r="AIR23" s="56"/>
      <c r="AIS23" s="56"/>
      <c r="AIT23" s="56"/>
      <c r="AIU23" s="56"/>
      <c r="AIV23" s="56"/>
      <c r="AIW23" s="56"/>
      <c r="AIX23" s="56"/>
      <c r="AIY23" s="56"/>
      <c r="AIZ23" s="56"/>
      <c r="AJA23" s="56"/>
      <c r="AJB23" s="56"/>
      <c r="AJC23" s="56"/>
      <c r="AJD23" s="56"/>
      <c r="AJE23" s="56"/>
      <c r="AJF23" s="56"/>
      <c r="AJG23" s="56"/>
      <c r="AJH23" s="56"/>
      <c r="AJI23" s="56"/>
      <c r="AJJ23" s="56"/>
      <c r="AJK23" s="56"/>
      <c r="AJL23" s="56"/>
      <c r="AJM23" s="56"/>
      <c r="AJN23" s="56"/>
      <c r="AJO23" s="56"/>
      <c r="AJP23" s="56"/>
      <c r="AJQ23" s="56"/>
      <c r="AJR23" s="56"/>
      <c r="AJS23" s="56"/>
      <c r="AJT23" s="56"/>
      <c r="AJU23" s="56"/>
      <c r="AJV23" s="56"/>
      <c r="AJW23" s="56"/>
      <c r="AJX23" s="56"/>
      <c r="AJY23" s="56"/>
      <c r="AJZ23" s="56"/>
      <c r="AKA23" s="56"/>
      <c r="AKB23" s="56"/>
      <c r="AKC23" s="56"/>
      <c r="AKD23" s="56"/>
      <c r="AKE23" s="56"/>
      <c r="AKF23" s="56"/>
      <c r="AKG23" s="56"/>
      <c r="AKH23" s="56"/>
      <c r="AKI23" s="56"/>
      <c r="AKJ23" s="56"/>
      <c r="AKK23" s="56"/>
      <c r="AKL23" s="56"/>
      <c r="AKM23" s="56"/>
      <c r="AKN23" s="56"/>
      <c r="AKO23" s="56"/>
      <c r="AKP23" s="56"/>
      <c r="AKQ23" s="56"/>
      <c r="AKR23" s="56"/>
      <c r="AKS23" s="56"/>
      <c r="AKT23" s="56"/>
      <c r="AKU23" s="56"/>
      <c r="AKV23" s="56"/>
      <c r="AKW23" s="56"/>
      <c r="AKX23" s="56"/>
      <c r="AKY23" s="56"/>
      <c r="AKZ23" s="56"/>
      <c r="ALA23" s="56"/>
      <c r="ALB23" s="56"/>
      <c r="ALC23" s="56"/>
      <c r="ALD23" s="56"/>
      <c r="ALE23" s="56"/>
      <c r="ALF23" s="56"/>
      <c r="ALG23" s="56"/>
      <c r="ALH23" s="56"/>
      <c r="ALI23" s="56"/>
      <c r="ALJ23" s="56"/>
      <c r="ALK23" s="56"/>
      <c r="ALL23" s="56"/>
      <c r="ALM23" s="56"/>
      <c r="ALN23" s="56"/>
      <c r="ALO23" s="56"/>
      <c r="ALP23" s="56"/>
      <c r="ALQ23" s="56"/>
      <c r="ALR23" s="56"/>
      <c r="ALS23" s="56"/>
      <c r="ALT23" s="56"/>
      <c r="ALU23" s="56"/>
      <c r="ALV23" s="56"/>
      <c r="ALW23" s="56"/>
      <c r="ALX23" s="56"/>
      <c r="ALY23" s="56"/>
      <c r="ALZ23" s="56"/>
      <c r="AMA23" s="56"/>
      <c r="AMB23" s="56"/>
      <c r="AMC23" s="56"/>
      <c r="AMD23" s="56"/>
      <c r="AME23" s="56"/>
      <c r="AMF23" s="56"/>
      <c r="AMG23" s="56"/>
      <c r="AMH23" s="56"/>
      <c r="AMI23" s="56"/>
      <c r="AMJ23" s="56"/>
      <c r="AMK23" s="56"/>
      <c r="AML23" s="56"/>
      <c r="AMM23" s="56"/>
      <c r="AMN23" s="56"/>
      <c r="AMO23" s="56"/>
      <c r="AMP23" s="56"/>
      <c r="AMQ23" s="56"/>
      <c r="AMR23" s="56"/>
      <c r="AMS23" s="56"/>
      <c r="AMT23" s="56"/>
      <c r="AMU23" s="56"/>
      <c r="AMV23" s="56"/>
      <c r="AMW23" s="56"/>
      <c r="AMX23" s="56"/>
      <c r="AMY23" s="56"/>
      <c r="AMZ23" s="56"/>
      <c r="ANA23" s="56"/>
      <c r="ANB23" s="56"/>
      <c r="ANC23" s="56"/>
      <c r="AND23" s="56"/>
      <c r="ANE23" s="56"/>
      <c r="ANF23" s="56"/>
      <c r="ANG23" s="56"/>
      <c r="ANH23" s="56"/>
      <c r="ANI23" s="56"/>
      <c r="ANJ23" s="56"/>
      <c r="ANK23" s="56"/>
      <c r="ANL23" s="56"/>
      <c r="ANM23" s="56"/>
      <c r="ANN23" s="56"/>
      <c r="ANO23" s="56"/>
      <c r="ANP23" s="56"/>
      <c r="ANQ23" s="56"/>
      <c r="ANR23" s="56"/>
      <c r="ANS23" s="56"/>
      <c r="ANT23" s="56"/>
      <c r="ANU23" s="56"/>
      <c r="ANV23" s="56"/>
      <c r="ANW23" s="56"/>
      <c r="ANX23" s="56"/>
      <c r="ANY23" s="56"/>
      <c r="ANZ23" s="56"/>
      <c r="AOA23" s="56"/>
      <c r="AOB23" s="56"/>
      <c r="AOC23" s="56"/>
      <c r="AOD23" s="56"/>
      <c r="AOE23" s="56"/>
      <c r="AOF23" s="56"/>
      <c r="AOG23" s="56"/>
      <c r="AOH23" s="56"/>
      <c r="AOI23" s="56"/>
      <c r="AOJ23" s="56"/>
      <c r="AOK23" s="56"/>
      <c r="AOL23" s="56"/>
      <c r="AOM23" s="56"/>
      <c r="AON23" s="56"/>
      <c r="AOO23" s="56"/>
      <c r="AOP23" s="56"/>
      <c r="AOQ23" s="56"/>
      <c r="AOR23" s="56"/>
      <c r="AOS23" s="56"/>
      <c r="AOT23" s="56"/>
      <c r="AOU23" s="56"/>
      <c r="AOV23" s="56"/>
      <c r="AOW23" s="56"/>
      <c r="AOX23" s="56"/>
      <c r="AOY23" s="56"/>
      <c r="AOZ23" s="56"/>
      <c r="APA23" s="56"/>
      <c r="APB23" s="56"/>
      <c r="APC23" s="56"/>
      <c r="APD23" s="56"/>
      <c r="APE23" s="56"/>
      <c r="APF23" s="56"/>
      <c r="APG23" s="56"/>
      <c r="APH23" s="56"/>
      <c r="API23" s="56"/>
      <c r="APJ23" s="56"/>
      <c r="APK23" s="56"/>
      <c r="APL23" s="56"/>
      <c r="APM23" s="56"/>
      <c r="APN23" s="56"/>
      <c r="APO23" s="56"/>
      <c r="APP23" s="56"/>
      <c r="APQ23" s="56"/>
      <c r="APR23" s="56"/>
      <c r="APS23" s="56"/>
      <c r="APT23" s="56"/>
      <c r="APU23" s="56"/>
      <c r="APV23" s="56"/>
      <c r="APW23" s="56"/>
      <c r="APX23" s="56"/>
      <c r="APY23" s="56"/>
      <c r="APZ23" s="56"/>
      <c r="AQA23" s="56"/>
      <c r="AQB23" s="56"/>
      <c r="AQC23" s="56"/>
      <c r="AQD23" s="56"/>
      <c r="AQE23" s="56"/>
      <c r="AQF23" s="56"/>
      <c r="AQG23" s="56"/>
      <c r="AQH23" s="56"/>
      <c r="AQI23" s="56"/>
      <c r="AQJ23" s="56"/>
      <c r="AQK23" s="56"/>
      <c r="AQL23" s="56"/>
      <c r="AQM23" s="56"/>
      <c r="AQN23" s="56"/>
      <c r="AQO23" s="56"/>
      <c r="AQP23" s="56"/>
      <c r="AQQ23" s="56"/>
      <c r="AQR23" s="56"/>
      <c r="AQS23" s="56"/>
      <c r="AQT23" s="56"/>
      <c r="AQU23" s="56"/>
      <c r="AQV23" s="56"/>
      <c r="AQW23" s="56"/>
      <c r="AQX23" s="56"/>
      <c r="AQY23" s="56"/>
      <c r="AQZ23" s="56"/>
      <c r="ARA23" s="56"/>
      <c r="ARB23" s="56"/>
      <c r="ARC23" s="56"/>
      <c r="ARD23" s="56"/>
      <c r="ARE23" s="56"/>
      <c r="ARF23" s="56"/>
      <c r="ARG23" s="56"/>
      <c r="ARH23" s="56"/>
      <c r="ARI23" s="56"/>
      <c r="ARJ23" s="56"/>
      <c r="ARK23" s="56"/>
      <c r="ARL23" s="56"/>
      <c r="ARM23" s="56"/>
      <c r="ARN23" s="56"/>
      <c r="ARO23" s="56"/>
      <c r="ARP23" s="56"/>
      <c r="ARQ23" s="56"/>
      <c r="ARR23" s="56"/>
      <c r="ARS23" s="56"/>
      <c r="ART23" s="56"/>
      <c r="ARU23" s="56"/>
      <c r="ARV23" s="56"/>
      <c r="ARW23" s="56"/>
      <c r="ARX23" s="56"/>
      <c r="ARY23" s="56"/>
      <c r="ARZ23" s="56"/>
      <c r="ASA23" s="56"/>
      <c r="ASB23" s="56"/>
      <c r="ASC23" s="56"/>
      <c r="ASD23" s="56"/>
      <c r="ASE23" s="56"/>
      <c r="ASF23" s="56"/>
      <c r="ASG23" s="56"/>
      <c r="ASH23" s="56"/>
      <c r="ASI23" s="56"/>
      <c r="ASJ23" s="56"/>
      <c r="ASK23" s="56"/>
      <c r="ASL23" s="56"/>
      <c r="ASM23" s="56"/>
      <c r="ASN23" s="56"/>
      <c r="ASO23" s="56"/>
      <c r="ASP23" s="56"/>
      <c r="ASQ23" s="56"/>
      <c r="ASR23" s="56"/>
      <c r="ASS23" s="56"/>
      <c r="AST23" s="56"/>
      <c r="ASU23" s="56"/>
      <c r="ASV23" s="56"/>
      <c r="ASW23" s="56"/>
      <c r="ASX23" s="56"/>
      <c r="ASY23" s="56"/>
      <c r="ASZ23" s="56"/>
      <c r="ATA23" s="56"/>
      <c r="ATB23" s="56"/>
      <c r="ATC23" s="56"/>
      <c r="ATD23" s="56"/>
      <c r="ATE23" s="56"/>
      <c r="ATF23" s="56"/>
      <c r="ATG23" s="56"/>
      <c r="ATH23" s="56"/>
      <c r="ATI23" s="56"/>
      <c r="ATJ23" s="56"/>
      <c r="ATK23" s="56"/>
      <c r="ATL23" s="56"/>
      <c r="ATM23" s="56"/>
      <c r="ATN23" s="56"/>
      <c r="ATO23" s="56"/>
      <c r="ATP23" s="56"/>
      <c r="ATQ23" s="56"/>
      <c r="ATR23" s="56"/>
      <c r="ATS23" s="56"/>
      <c r="ATT23" s="56"/>
      <c r="ATU23" s="56"/>
      <c r="ATV23" s="56"/>
      <c r="ATW23" s="56"/>
      <c r="ATX23" s="56"/>
      <c r="ATY23" s="56"/>
      <c r="ATZ23" s="56"/>
      <c r="AUA23" s="56"/>
      <c r="AUB23" s="56"/>
      <c r="AUC23" s="56"/>
      <c r="AUD23" s="56"/>
      <c r="AUE23" s="56"/>
      <c r="AUF23" s="56"/>
      <c r="AUG23" s="56"/>
      <c r="AUH23" s="56"/>
      <c r="AUI23" s="56"/>
      <c r="AUJ23" s="56"/>
      <c r="AUK23" s="56"/>
      <c r="AUL23" s="56"/>
      <c r="AUM23" s="56"/>
      <c r="AUN23" s="56"/>
      <c r="AUO23" s="56"/>
      <c r="AUP23" s="56"/>
      <c r="AUQ23" s="56"/>
      <c r="AUR23" s="56"/>
      <c r="AUS23" s="56"/>
      <c r="AUT23" s="56"/>
      <c r="AUU23" s="56"/>
      <c r="AUV23" s="56"/>
      <c r="AUW23" s="56"/>
      <c r="AUX23" s="56"/>
      <c r="AUY23" s="56"/>
      <c r="AUZ23" s="56"/>
      <c r="AVA23" s="56"/>
      <c r="AVB23" s="56"/>
      <c r="AVC23" s="56"/>
      <c r="AVD23" s="56"/>
      <c r="AVE23" s="56"/>
      <c r="AVF23" s="56"/>
      <c r="AVG23" s="56"/>
      <c r="AVH23" s="56"/>
      <c r="AVI23" s="56"/>
      <c r="AVJ23" s="56"/>
      <c r="AVK23" s="56"/>
      <c r="AVL23" s="56"/>
      <c r="AVM23" s="56"/>
      <c r="AVN23" s="56"/>
      <c r="AVO23" s="56"/>
      <c r="AVP23" s="56"/>
      <c r="AVQ23" s="56"/>
      <c r="AVR23" s="56"/>
      <c r="AVS23" s="56"/>
      <c r="AVT23" s="56"/>
      <c r="AVU23" s="56"/>
      <c r="AVV23" s="56"/>
      <c r="AVW23" s="56"/>
      <c r="AVX23" s="56"/>
      <c r="AVY23" s="56"/>
      <c r="AVZ23" s="56"/>
      <c r="AWA23" s="56"/>
      <c r="AWB23" s="56"/>
      <c r="AWC23" s="56"/>
      <c r="AWD23" s="56"/>
      <c r="AWE23" s="56"/>
      <c r="AWF23" s="56"/>
      <c r="AWG23" s="56"/>
      <c r="AWH23" s="56"/>
      <c r="AWI23" s="56"/>
      <c r="AWJ23" s="56"/>
      <c r="AWK23" s="56"/>
      <c r="AWL23" s="56"/>
      <c r="AWM23" s="56"/>
      <c r="AWN23" s="56"/>
      <c r="AWO23" s="56"/>
      <c r="AWP23" s="56"/>
      <c r="AWQ23" s="56"/>
      <c r="AWR23" s="56"/>
      <c r="AWS23" s="56"/>
      <c r="AWT23" s="56"/>
      <c r="AWU23" s="56"/>
      <c r="AWV23" s="56"/>
      <c r="AWW23" s="56"/>
      <c r="AWX23" s="56"/>
      <c r="AWY23" s="56"/>
      <c r="AWZ23" s="56"/>
      <c r="AXA23" s="56"/>
      <c r="AXB23" s="56"/>
      <c r="AXC23" s="56"/>
      <c r="AXD23" s="56"/>
      <c r="AXE23" s="56"/>
      <c r="AXF23" s="56"/>
      <c r="AXG23" s="56"/>
      <c r="AXH23" s="56"/>
      <c r="AXI23" s="56"/>
      <c r="AXJ23" s="56"/>
      <c r="AXK23" s="56"/>
      <c r="AXL23" s="56"/>
      <c r="AXM23" s="56"/>
      <c r="AXN23" s="56"/>
      <c r="AXO23" s="56"/>
      <c r="AXP23" s="56"/>
      <c r="AXQ23" s="56"/>
      <c r="AXR23" s="56"/>
      <c r="AXS23" s="56"/>
      <c r="AXT23" s="56"/>
      <c r="AXU23" s="56"/>
      <c r="AXV23" s="56"/>
      <c r="AXW23" s="56"/>
      <c r="AXX23" s="56"/>
      <c r="AXY23" s="56"/>
      <c r="AXZ23" s="56"/>
      <c r="AYA23" s="56"/>
      <c r="AYB23" s="56"/>
      <c r="AYC23" s="56"/>
      <c r="AYD23" s="56"/>
      <c r="AYE23" s="56"/>
      <c r="AYF23" s="56"/>
      <c r="AYG23" s="56"/>
      <c r="AYH23" s="56"/>
      <c r="AYI23" s="56"/>
      <c r="AYJ23" s="56"/>
      <c r="AYK23" s="56"/>
      <c r="AYL23" s="56"/>
      <c r="AYM23" s="56"/>
      <c r="AYN23" s="56"/>
      <c r="AYO23" s="56"/>
      <c r="AYP23" s="56"/>
      <c r="AYQ23" s="56"/>
      <c r="AYR23" s="56"/>
      <c r="AYS23" s="56"/>
      <c r="AYT23" s="56"/>
      <c r="AYU23" s="56"/>
      <c r="AYV23" s="56"/>
      <c r="AYW23" s="56"/>
      <c r="AYX23" s="56"/>
      <c r="AYY23" s="56"/>
      <c r="AYZ23" s="56"/>
      <c r="AZA23" s="56"/>
      <c r="AZB23" s="56"/>
      <c r="AZC23" s="56"/>
      <c r="AZD23" s="56"/>
      <c r="AZE23" s="56"/>
      <c r="AZF23" s="56"/>
      <c r="AZG23" s="56"/>
      <c r="AZH23" s="56"/>
      <c r="AZI23" s="56"/>
      <c r="AZJ23" s="56"/>
      <c r="AZK23" s="56"/>
      <c r="AZL23" s="56"/>
      <c r="AZM23" s="56"/>
      <c r="AZN23" s="56"/>
      <c r="AZO23" s="56"/>
      <c r="AZP23" s="56"/>
      <c r="AZQ23" s="56"/>
      <c r="AZR23" s="56"/>
      <c r="AZS23" s="56"/>
      <c r="AZT23" s="56"/>
      <c r="AZU23" s="56"/>
      <c r="AZV23" s="56"/>
      <c r="AZW23" s="56"/>
      <c r="AZX23" s="56"/>
      <c r="AZY23" s="56"/>
      <c r="AZZ23" s="56"/>
    </row>
    <row r="24" spans="1:1378" ht="15" hidden="1" customHeight="1" x14ac:dyDescent="0.3">
      <c r="A24" s="1337"/>
      <c r="B24" s="734" t="s">
        <v>117</v>
      </c>
      <c r="C24" s="666"/>
      <c r="D24" s="1362"/>
      <c r="E24" s="1363"/>
      <c r="F24" s="1370"/>
      <c r="G24" s="726" t="s">
        <v>119</v>
      </c>
      <c r="H24" s="665"/>
      <c r="I24" s="742" t="s">
        <v>120</v>
      </c>
      <c r="J24" s="667">
        <v>41</v>
      </c>
      <c r="K24" s="667">
        <v>40</v>
      </c>
      <c r="L24" s="667">
        <v>47</v>
      </c>
      <c r="M24" s="667">
        <v>57</v>
      </c>
      <c r="N24" s="667">
        <v>41</v>
      </c>
      <c r="O24" s="667"/>
      <c r="P24" s="743" t="s">
        <v>121</v>
      </c>
      <c r="Q24" s="744">
        <v>0.1037</v>
      </c>
      <c r="R24" s="743" t="s">
        <v>120</v>
      </c>
      <c r="S24" s="745"/>
      <c r="T24" s="1181"/>
      <c r="U24" s="728"/>
      <c r="V24" s="737"/>
      <c r="W24" s="737"/>
      <c r="X24" s="737"/>
      <c r="Y24" s="737"/>
      <c r="Z24" s="673"/>
      <c r="AA24" s="673"/>
      <c r="AB24" s="673"/>
      <c r="AC24" s="673"/>
      <c r="AD24" s="675"/>
      <c r="AE24" s="675"/>
      <c r="AF24" s="675"/>
      <c r="AG24" s="675"/>
      <c r="AH24" s="675"/>
      <c r="AI24" s="675"/>
      <c r="AJ24" s="675"/>
      <c r="AK24" s="677"/>
      <c r="AL24" s="1385"/>
      <c r="AM24" s="730" t="s">
        <v>39</v>
      </c>
      <c r="AN24" s="746"/>
      <c r="AO24" s="746"/>
      <c r="AP24" s="746"/>
      <c r="AQ24" s="746"/>
      <c r="AR24" s="747"/>
      <c r="AS24" s="1367"/>
      <c r="AT24" s="1294" t="s">
        <v>122</v>
      </c>
      <c r="AU24" s="1295"/>
      <c r="AV24" s="1298" t="s">
        <v>123</v>
      </c>
      <c r="AW24" s="344" t="s">
        <v>124</v>
      </c>
      <c r="AX24" s="292"/>
      <c r="AY24" s="1298" t="s">
        <v>125</v>
      </c>
      <c r="AZ24" s="344" t="s">
        <v>124</v>
      </c>
      <c r="BA24" s="293"/>
      <c r="BB24" s="1300"/>
      <c r="BC24" s="1301"/>
      <c r="BD24" s="1301"/>
      <c r="BE24" s="1301"/>
      <c r="BF24" s="1301"/>
      <c r="BG24" s="1301"/>
      <c r="BH24" s="1301"/>
      <c r="BI24" s="1301"/>
      <c r="BJ24" s="1301"/>
      <c r="BK24" s="1302"/>
      <c r="BL24" s="1292"/>
      <c r="BM24" s="1307"/>
      <c r="BN24" s="62" t="s">
        <v>126</v>
      </c>
      <c r="BO24" s="68">
        <f>IF(ISNUMBER(K23),K23,"")</f>
        <v>75</v>
      </c>
      <c r="BP24" s="108">
        <f>IF(AND(ISNUMBER(BP25),ISNUMBER(Q23)),BP25*Q23,"")</f>
        <v>145</v>
      </c>
      <c r="BQ24" s="108">
        <f>IF(AND(ISNUMBER(BQ25),ISNUMBER(Q23)),BQ25*Q23,"")</f>
        <v>215</v>
      </c>
      <c r="BR24" s="108">
        <f>IF(AND(ISNUMBER(BR25),ISNUMBER(Q23)),BR25*Q23,"")</f>
        <v>285</v>
      </c>
      <c r="BS24" s="108">
        <f>IF(AND(ISNUMBER(BS25),ISNUMBER(Q23)),BS25*Q23,"")</f>
        <v>355.00000000000006</v>
      </c>
      <c r="BT24" s="108">
        <f>IF(AND(ISNUMBER(BT25),ISNUMBER(Q23)),BT25*Q23,"")</f>
        <v>425.00000000000006</v>
      </c>
      <c r="BU24" s="108" t="s">
        <v>127</v>
      </c>
      <c r="BV24" s="108"/>
      <c r="BW24" s="70">
        <f>IF(ISNUMBER(N23),N23,"")</f>
        <v>0.01</v>
      </c>
      <c r="BY24" s="87">
        <f t="shared" ref="BY24:CD24" si="229">IF($H24&lt;&gt;"",BO22,BO23/($Q23/(1+$BW19)))</f>
        <v>3.0123362672883722E-2</v>
      </c>
      <c r="BZ24" s="87">
        <f t="shared" si="229"/>
        <v>4.0315395943145468E-2</v>
      </c>
      <c r="CA24" s="87">
        <f t="shared" si="229"/>
        <v>5.0507429213407215E-2</v>
      </c>
      <c r="CB24" s="87">
        <f t="shared" si="229"/>
        <v>6.0699462483668962E-2</v>
      </c>
      <c r="CC24" s="87">
        <f t="shared" si="229"/>
        <v>7.0891495753930722E-2</v>
      </c>
      <c r="CD24" s="87">
        <f t="shared" si="229"/>
        <v>8.1083529024192455E-2</v>
      </c>
      <c r="CE24" s="88">
        <f t="shared" ref="CE24:CJ24" si="230">IF(ISNUMBER(CE21),CE21-$CK21,"")</f>
        <v>-1.8513385113895014E-3</v>
      </c>
      <c r="CF24" s="88">
        <f t="shared" si="230"/>
        <v>-1.1334243400589956E-3</v>
      </c>
      <c r="CG24" s="88">
        <f t="shared" si="230"/>
        <v>-2.077550843642452E-4</v>
      </c>
      <c r="CH24" s="88">
        <f t="shared" si="230"/>
        <v>9.2566925569475015E-4</v>
      </c>
      <c r="CI24" s="88">
        <f t="shared" si="230"/>
        <v>2.2668486801179916E-3</v>
      </c>
      <c r="CJ24" s="89" t="str">
        <f t="shared" si="230"/>
        <v/>
      </c>
      <c r="CK24" s="89"/>
      <c r="CL24" s="73"/>
      <c r="CM24" s="73"/>
      <c r="CN24" s="73"/>
      <c r="CO24" s="73"/>
      <c r="CP24" s="73"/>
      <c r="CQ24" s="73"/>
      <c r="CR24" s="73"/>
      <c r="CS24" s="90"/>
      <c r="CT24" s="102"/>
      <c r="CU24" s="66" t="str">
        <f>IF(ISNUMBER(S24),LOOKUP(S24,Tara!$G$6:$G$185,Tara!$I$6:$I$185),"")</f>
        <v/>
      </c>
      <c r="CV24" s="1280"/>
      <c r="CW24" s="1282"/>
      <c r="CX24" s="124" t="str">
        <f>IF(ISNUMBER(CX21),CX21-DF21,"")</f>
        <v/>
      </c>
      <c r="CY24" s="117" t="str">
        <f>IF(ISNUMBER(CY21),CY21-DF21,"")</f>
        <v/>
      </c>
      <c r="CZ24" s="117" t="str">
        <f>IF(ISNUMBER(CZ21),CZ21-DF21,"")</f>
        <v/>
      </c>
      <c r="DA24" s="117" t="str">
        <f>IF(ISNUMBER(DA21),DA21-DF21,"")</f>
        <v/>
      </c>
      <c r="DB24" s="117" t="str">
        <f>IF(ISNUMBER(DB21),DB21-DF21,"")</f>
        <v/>
      </c>
      <c r="DC24" s="117" t="str">
        <f>IF(ISNUMBER(DC21),DC21-DF21,"")</f>
        <v/>
      </c>
      <c r="DD24" s="117" t="str">
        <f>IF(ISNUMBER(DD21),DD21-DF21,"")</f>
        <v/>
      </c>
      <c r="DE24" s="117" t="str">
        <f>IF(ISNUMBER(DE21),DE21-DF21,"")</f>
        <v/>
      </c>
      <c r="DF24" s="280" t="str">
        <f>IF(CX24&lt;&gt;"",SUM(CX24:DE24),"")</f>
        <v/>
      </c>
      <c r="DG24" s="133" t="s">
        <v>128</v>
      </c>
      <c r="DH24" s="134" t="str">
        <f>IF(DH23&lt;&gt;"",(DO21-DH23*DO19)/DO22,"")</f>
        <v/>
      </c>
      <c r="DI24" s="133" t="s">
        <v>128</v>
      </c>
      <c r="DJ24" s="134" t="str">
        <f>IF(DL23&lt;&gt;"",INTERCEPT(DL23:DL24,DK23:DK24),"")</f>
        <v/>
      </c>
      <c r="DK24" s="116">
        <v>5.08</v>
      </c>
      <c r="DL24" s="116" t="str">
        <f>IF(DH23&lt;&gt;"",DH23*DK24^2+DH24*DK24+DH25,"")</f>
        <v/>
      </c>
      <c r="DM24" s="116" t="str">
        <f>IF(DP20="","",IF(DP20&gt;0,DS19,""))</f>
        <v/>
      </c>
      <c r="DN24" s="116" t="str">
        <f>IF(DP20="","",IF(DP20&gt;0,DT19,""))</f>
        <v/>
      </c>
      <c r="DO24" s="139"/>
      <c r="DP24" s="120">
        <v>0</v>
      </c>
      <c r="DQ24" s="120" t="str">
        <f>IF(DP20="","",IF(DP20&gt;0,DV20,-1))</f>
        <v/>
      </c>
      <c r="DR24" s="120" t="str">
        <f>IF(DP20="","",IF(DP20&gt;0,DV21,-1))</f>
        <v/>
      </c>
      <c r="DS24" s="120" t="str">
        <f>IF(DP20="","",IF(DP20&gt;0,DR20,-1))</f>
        <v/>
      </c>
      <c r="DT24" s="120" t="str">
        <f>IF(DP20="","",IF(DP20&gt;0,DR20,-1))</f>
        <v/>
      </c>
      <c r="DU24" s="120" t="str">
        <f>IF(DP20="","",IF(DP20&gt;0,DR20,-1))</f>
        <v/>
      </c>
      <c r="DV24" s="120">
        <v>0</v>
      </c>
      <c r="DW24" s="120" t="str">
        <f>IF(DP20="","",IF(DP20&gt;0,DR20,-1))</f>
        <v/>
      </c>
      <c r="DX24" s="1206"/>
      <c r="DY24" s="124" t="str">
        <f>IF(ISNUMBER(DY21),DY21-EG21,"")</f>
        <v/>
      </c>
      <c r="DZ24" s="117" t="str">
        <f>IF(ISNUMBER(DZ21),DZ21-EG21,"")</f>
        <v/>
      </c>
      <c r="EA24" s="117" t="str">
        <f>IF(ISNUMBER(EA21),EA21-EG21,"")</f>
        <v/>
      </c>
      <c r="EB24" s="117" t="str">
        <f>IF(ISNUMBER(EB21),EB21-EG21,"")</f>
        <v/>
      </c>
      <c r="EC24" s="117" t="str">
        <f>IF(ISNUMBER(EC21),EC21-EG21,"")</f>
        <v/>
      </c>
      <c r="ED24" s="117" t="str">
        <f>IF(ISNUMBER(ED21),ED21-EG21,"")</f>
        <v/>
      </c>
      <c r="EE24" s="117" t="str">
        <f>IF(ISNUMBER(EE21),EE21-EG21,"")</f>
        <v/>
      </c>
      <c r="EF24" s="117" t="str">
        <f>IF(ISNUMBER(EF21),EF21-EG21,"")</f>
        <v/>
      </c>
      <c r="EG24" s="118" t="str">
        <f>IF(DY24&lt;&gt;"",SUM(DY24:EF24),"")</f>
        <v/>
      </c>
      <c r="EH24" s="133" t="s">
        <v>128</v>
      </c>
      <c r="EI24" s="134" t="str">
        <f>IF(EI23&lt;&gt;"",(EP21-EI23*EP19)/EP22,"")</f>
        <v/>
      </c>
      <c r="EJ24" s="133" t="s">
        <v>128</v>
      </c>
      <c r="EK24" s="134" t="str">
        <f>IF(EM23&lt;&gt;"",INTERCEPT(EM23:EM24,EL23:EL24),"")</f>
        <v/>
      </c>
      <c r="EL24" s="116">
        <v>5.08</v>
      </c>
      <c r="EM24" s="116" t="str">
        <f>IF(EI23&lt;&gt;"",EI23*EL24^2+EI24*EL24+EI25,"")</f>
        <v/>
      </c>
      <c r="EN24" s="138" t="str">
        <f>IF(EQ20="","",IF(EQ20&gt;0,ET19,""))</f>
        <v/>
      </c>
      <c r="EO24" s="138" t="str">
        <f>IF(EQ20="","",IF(EQ20&gt;0,EU19,""))</f>
        <v/>
      </c>
      <c r="EP24" s="139"/>
      <c r="EQ24" s="120">
        <v>0</v>
      </c>
      <c r="ER24" s="120" t="str">
        <f>IF(EQ20="","",IF(EQ20&gt;0,EW20,-1))</f>
        <v/>
      </c>
      <c r="ES24" s="120" t="str">
        <f>IF(EQ20="","",IF(EQ20&gt;0,EW21,-1))</f>
        <v/>
      </c>
      <c r="ET24" s="120" t="str">
        <f>IF(EQ20="","",IF(EQ20&gt;0,ES20,-1))</f>
        <v/>
      </c>
      <c r="EU24" s="120" t="str">
        <f>IF(EQ20="","",IF(EQ20&gt;0,ES20,-1))</f>
        <v/>
      </c>
      <c r="EV24" s="120" t="str">
        <f>IF(EQ20="","",IF(EQ20&gt;0,ES20,-1))</f>
        <v/>
      </c>
      <c r="EW24" s="120">
        <v>0</v>
      </c>
      <c r="EX24" s="120" t="str">
        <f>IF(EQ20="","",IF(EQ20&gt;0,ES20,-1))</f>
        <v/>
      </c>
      <c r="EY24" s="1206"/>
      <c r="EZ24" s="124" t="str">
        <f>IF(ISNUMBER(EZ21),EZ21-FH21,"")</f>
        <v/>
      </c>
      <c r="FA24" s="117" t="str">
        <f>IF(ISNUMBER(FA21),FA21-FH21,"")</f>
        <v/>
      </c>
      <c r="FB24" s="117" t="str">
        <f>IF(ISNUMBER(FB21),FB21-FH21,"")</f>
        <v/>
      </c>
      <c r="FC24" s="117" t="str">
        <f>IF(ISNUMBER(FC21),FC21-FH21,"")</f>
        <v/>
      </c>
      <c r="FD24" s="117" t="str">
        <f>IF(ISNUMBER(FD21),FD21-FH21,"")</f>
        <v/>
      </c>
      <c r="FE24" s="117" t="str">
        <f>IF(ISNUMBER(FE21),FE21-FH21,"")</f>
        <v/>
      </c>
      <c r="FF24" s="117" t="str">
        <f>IF(ISNUMBER(FF21),FF21-FH21,"")</f>
        <v/>
      </c>
      <c r="FG24" s="117" t="str">
        <f>IF(ISNUMBER(FG21),FG21-FH21,"")</f>
        <v/>
      </c>
      <c r="FH24" s="118" t="str">
        <f>IF(EZ24&lt;&gt;"",SUM(EZ24:FG24),"")</f>
        <v/>
      </c>
      <c r="FI24" s="133" t="s">
        <v>128</v>
      </c>
      <c r="FJ24" s="134" t="str">
        <f>IF(FJ23&lt;&gt;"",(FQ21-FJ23*FQ19)/FQ22,"")</f>
        <v/>
      </c>
      <c r="FK24" s="133" t="s">
        <v>128</v>
      </c>
      <c r="FL24" s="134" t="str">
        <f>IF(FN23&lt;&gt;"",INTERCEPT(FN23:FN24,FM23:FM24),"")</f>
        <v/>
      </c>
      <c r="FM24" s="116">
        <v>5.08</v>
      </c>
      <c r="FN24" s="116" t="str">
        <f>IF(FJ23&lt;&gt;"",FJ23*FM24^2+FJ24*FM24+FJ25,"")</f>
        <v/>
      </c>
      <c r="FO24" s="138" t="str">
        <f>IF(FR20="","",IF(FR20&gt;0,FU19,""))</f>
        <v/>
      </c>
      <c r="FP24" s="138" t="str">
        <f>IF(FR20="","",IF(FR20&gt;0,FV19,""))</f>
        <v/>
      </c>
      <c r="FQ24" s="139"/>
      <c r="FR24" s="120">
        <v>0</v>
      </c>
      <c r="FS24" s="120" t="str">
        <f>IF(FR20="","",IF(FR20&gt;0,FX20,-1))</f>
        <v/>
      </c>
      <c r="FT24" s="120" t="str">
        <f>IF(FR20="","",IF(FR20&gt;0,FX21,-1))</f>
        <v/>
      </c>
      <c r="FU24" s="120" t="str">
        <f>IF(FR20="","",IF(FR20&gt;0,FT20,-1))</f>
        <v/>
      </c>
      <c r="FV24" s="120" t="str">
        <f>IF(FR20="","",IF(FR20&gt;0,FT20,-1))</f>
        <v/>
      </c>
      <c r="FW24" s="120" t="str">
        <f>IF(FR20="","",IF(FR20&gt;0,FT20,-1))</f>
        <v/>
      </c>
      <c r="FX24" s="120">
        <v>0</v>
      </c>
      <c r="FY24" s="120" t="str">
        <f>IF(FR20="","",IF(FR20&gt;0,FT20,-1))</f>
        <v/>
      </c>
      <c r="FZ24" s="1206"/>
      <c r="GA24" s="124" t="str">
        <f>IF(ISNUMBER(GA21),GA21-GI21,"")</f>
        <v/>
      </c>
      <c r="GB24" s="117" t="str">
        <f>IF(ISNUMBER(GB21),GB21-GI21,"")</f>
        <v/>
      </c>
      <c r="GC24" s="117" t="str">
        <f>IF(ISNUMBER(GC21),GC21-GI21,"")</f>
        <v/>
      </c>
      <c r="GD24" s="117" t="str">
        <f>IF(ISNUMBER(GD21),GD21-GI21,"")</f>
        <v/>
      </c>
      <c r="GE24" s="117" t="str">
        <f>IF(ISNUMBER(GE21),GE21-GI21,"")</f>
        <v/>
      </c>
      <c r="GF24" s="117" t="str">
        <f>IF(ISNUMBER(GF21),GF21-GI21,"")</f>
        <v/>
      </c>
      <c r="GG24" s="117" t="str">
        <f>IF(ISNUMBER(GG21),GG21-GI21,"")</f>
        <v/>
      </c>
      <c r="GH24" s="117" t="str">
        <f>IF(ISNUMBER(GH21),GH21-GI21,"")</f>
        <v/>
      </c>
      <c r="GI24" s="118" t="str">
        <f>IF(GA24&lt;&gt;"",SUM(GA24:GH24),"")</f>
        <v/>
      </c>
      <c r="GJ24" s="133" t="s">
        <v>128</v>
      </c>
      <c r="GK24" s="134" t="str">
        <f>IF(GK23&lt;&gt;"",(GR21-GK23*GR19)/GR22,"")</f>
        <v/>
      </c>
      <c r="GL24" s="133" t="s">
        <v>128</v>
      </c>
      <c r="GM24" s="134" t="str">
        <f>IF(GO23&lt;&gt;"",INTERCEPT(GO23:GO24,GN23:GN24),"")</f>
        <v/>
      </c>
      <c r="GN24" s="116">
        <v>5.08</v>
      </c>
      <c r="GO24" s="116" t="str">
        <f>IF(GK23&lt;&gt;"",GK23*GN24^2+GK24*GN24+GK25,"")</f>
        <v/>
      </c>
      <c r="GP24" s="138" t="str">
        <f>IF(GS20="","",IF(GS20&gt;0,GV19,""))</f>
        <v/>
      </c>
      <c r="GQ24" s="138" t="str">
        <f>IF(GS20="","",IF(GS20&gt;0,GW19,""))</f>
        <v/>
      </c>
      <c r="GR24" s="139"/>
      <c r="GS24" s="120">
        <v>0</v>
      </c>
      <c r="GT24" s="120" t="str">
        <f>IF(GS20="","",IF(GS20&gt;0,GY20,-1))</f>
        <v/>
      </c>
      <c r="GU24" s="120" t="str">
        <f>IF(GS20="","",IF(GS20&gt;0,GY21,-1))</f>
        <v/>
      </c>
      <c r="GV24" s="120" t="str">
        <f>IF(GS20="","",IF(GS20&gt;0,GU20,-1))</f>
        <v/>
      </c>
      <c r="GW24" s="120" t="str">
        <f>IF(GS20="","",IF(GS20&gt;0,GU20,-1))</f>
        <v/>
      </c>
      <c r="GX24" s="120" t="str">
        <f>IF(GS20="","",IF(GS20&gt;0,GU20,-1))</f>
        <v/>
      </c>
      <c r="GY24" s="120">
        <v>0</v>
      </c>
      <c r="GZ24" s="120" t="str">
        <f>IF(GS20="","",IF(GS20&gt;0,GU20,-1))</f>
        <v/>
      </c>
      <c r="HA24" s="1206"/>
      <c r="HB24" s="124" t="str">
        <f>IF(ISNUMBER(HB21),HB21-HJ21,"")</f>
        <v/>
      </c>
      <c r="HC24" s="117" t="str">
        <f>IF(ISNUMBER(HC21),HC21-HJ21,"")</f>
        <v/>
      </c>
      <c r="HD24" s="117" t="str">
        <f>IF(ISNUMBER(HD21),HD21-HJ21,"")</f>
        <v/>
      </c>
      <c r="HE24" s="117" t="str">
        <f>IF(ISNUMBER(HE21),HE21-HJ21,"")</f>
        <v/>
      </c>
      <c r="HF24" s="117" t="str">
        <f>IF(ISNUMBER(HF21),HF21-HJ21,"")</f>
        <v/>
      </c>
      <c r="HG24" s="117" t="str">
        <f>IF(ISNUMBER(HG21),HG21-HJ21,"")</f>
        <v/>
      </c>
      <c r="HH24" s="117" t="str">
        <f>IF(ISNUMBER(HH21),HH21-HJ21,"")</f>
        <v/>
      </c>
      <c r="HI24" s="117" t="str">
        <f>IF(ISNUMBER(HI21),HI21-HJ21,"")</f>
        <v/>
      </c>
      <c r="HJ24" s="118" t="str">
        <f>IF(HB24&lt;&gt;"",SUM(HB24:HI24),"")</f>
        <v/>
      </c>
      <c r="HK24" s="133" t="s">
        <v>128</v>
      </c>
      <c r="HL24" s="134" t="str">
        <f>IF(HL23&lt;&gt;"",(HS21-HL23*HS19)/HS22,"")</f>
        <v/>
      </c>
      <c r="HM24" s="133" t="s">
        <v>128</v>
      </c>
      <c r="HN24" s="134" t="str">
        <f>IF(HP23&lt;&gt;"",INTERCEPT(HP23:HP24,HO23:HO24),"")</f>
        <v/>
      </c>
      <c r="HO24" s="116">
        <v>5.08</v>
      </c>
      <c r="HP24" s="116" t="str">
        <f>IF(HL23&lt;&gt;"",HL23*HO24^2+HL24*HO24+HL25,"")</f>
        <v/>
      </c>
      <c r="HQ24" s="138" t="str">
        <f>IF(HT20="","",IF(HT20&gt;0,HW19,""))</f>
        <v/>
      </c>
      <c r="HR24" s="138" t="str">
        <f>IF(HT20="","",IF(HT20&gt;0,HX19,""))</f>
        <v/>
      </c>
      <c r="HS24" s="139"/>
      <c r="HT24" s="120">
        <v>0</v>
      </c>
      <c r="HU24" s="120" t="str">
        <f>IF(HT20="","",IF(HT20&gt;0,HZ20,-1))</f>
        <v/>
      </c>
      <c r="HV24" s="120" t="str">
        <f>IF(HT20="","",IF(HT20&gt;0,HZ21,-1))</f>
        <v/>
      </c>
      <c r="HW24" s="120" t="str">
        <f>IF(HT20="","",IF(HT20&gt;0,HV20,-1))</f>
        <v/>
      </c>
      <c r="HX24" s="120" t="str">
        <f>IF(HT20="","",IF(HT20&gt;0,HV20,-1))</f>
        <v/>
      </c>
      <c r="HY24" s="120" t="str">
        <f>IF(HT20="","",IF(HT20&gt;0,HV20,-1))</f>
        <v/>
      </c>
      <c r="HZ24" s="120">
        <v>0</v>
      </c>
      <c r="IA24" s="120" t="str">
        <f>IF(HT20="","",IF(HT20&gt;0,HV20,-1))</f>
        <v/>
      </c>
      <c r="IB24" s="1206"/>
      <c r="IC24" s="124" t="str">
        <f>IF(ISNUMBER(IC21),IC21-IK21,"")</f>
        <v/>
      </c>
      <c r="ID24" s="117" t="str">
        <f>IF(ISNUMBER(ID21),ID21-IK21,"")</f>
        <v/>
      </c>
      <c r="IE24" s="117" t="str">
        <f>IF(ISNUMBER(IE21),IE21-IK21,"")</f>
        <v/>
      </c>
      <c r="IF24" s="117" t="str">
        <f>IF(ISNUMBER(IF21),IF21-IK21,"")</f>
        <v/>
      </c>
      <c r="IG24" s="117" t="str">
        <f>IF(ISNUMBER(IG21),IG21-IK21,"")</f>
        <v/>
      </c>
      <c r="IH24" s="117" t="str">
        <f>IF(ISNUMBER(IH21),IH21-IK21,"")</f>
        <v/>
      </c>
      <c r="II24" s="117" t="str">
        <f>IF(ISNUMBER(II21),II21-IK21,"")</f>
        <v/>
      </c>
      <c r="IJ24" s="117" t="str">
        <f>IF(ISNUMBER(IJ21),IJ21-IK21,"")</f>
        <v/>
      </c>
      <c r="IK24" s="118" t="str">
        <f>IF(IC24&lt;&gt;"",SUM(IC24:IJ24),"")</f>
        <v/>
      </c>
      <c r="IL24" s="133" t="s">
        <v>128</v>
      </c>
      <c r="IM24" s="134" t="str">
        <f>IF(IM23&lt;&gt;"",(IT21-IM23*IT19)/IT22,"")</f>
        <v/>
      </c>
      <c r="IN24" s="133" t="s">
        <v>128</v>
      </c>
      <c r="IO24" s="134" t="str">
        <f>IF(IQ23&lt;&gt;"",INTERCEPT(IQ23:IQ24,IP23:IP24),"")</f>
        <v/>
      </c>
      <c r="IP24" s="116">
        <v>5.08</v>
      </c>
      <c r="IQ24" s="116" t="str">
        <f>IF(IM23&lt;&gt;"",IM23*IP24^2+IM24*IP24+IM25,"")</f>
        <v/>
      </c>
      <c r="IR24" s="138" t="str">
        <f>IF(IU20="","",IF(IU20&gt;0,IX19,""))</f>
        <v/>
      </c>
      <c r="IS24" s="138" t="str">
        <f>IF(IU20="","",IF(IU20&gt;0,IY19,""))</f>
        <v/>
      </c>
      <c r="IT24" s="139"/>
      <c r="IU24" s="120">
        <v>0</v>
      </c>
      <c r="IV24" s="120" t="str">
        <f>IF(IU20="","",IF(IU20&gt;0,JA20,-1))</f>
        <v/>
      </c>
      <c r="IW24" s="120" t="str">
        <f>IF(IU20="","",IF(IU20&gt;0,JA21,-1))</f>
        <v/>
      </c>
      <c r="IX24" s="120" t="str">
        <f>IF(IU20="","",IF(IU20&gt;0,IW20,-1))</f>
        <v/>
      </c>
      <c r="IY24" s="120" t="str">
        <f>IF(IU20="","",IF(IU20&gt;0,IW20,-1))</f>
        <v/>
      </c>
      <c r="IZ24" s="120" t="str">
        <f>IF(IU20="","",IF(IU20&gt;0,IW20,-1))</f>
        <v/>
      </c>
      <c r="JA24" s="120">
        <v>0</v>
      </c>
      <c r="JB24" s="120" t="str">
        <f>IF(IU20="","",IF(IU20&gt;0,IW20,-1))</f>
        <v/>
      </c>
      <c r="JC24" s="1206"/>
      <c r="JD24" s="150" t="str">
        <f t="shared" si="169"/>
        <v/>
      </c>
      <c r="JE24" s="88" t="str">
        <f t="shared" ref="JE24:JJ24" si="231">IF(ISNUMBER(JE21),JE21-$JK21,"")</f>
        <v/>
      </c>
      <c r="JF24" s="88">
        <f t="shared" si="231"/>
        <v>-9.9492095048283181E-4</v>
      </c>
      <c r="JG24" s="88">
        <f t="shared" si="231"/>
        <v>-6.9251694788081443E-5</v>
      </c>
      <c r="JH24" s="88">
        <f t="shared" si="231"/>
        <v>1.0641726452709139E-3</v>
      </c>
      <c r="JI24" s="88" t="str">
        <f t="shared" si="231"/>
        <v/>
      </c>
      <c r="JJ24" s="88" t="str">
        <f t="shared" si="231"/>
        <v/>
      </c>
      <c r="JK24" s="89"/>
      <c r="JL24" s="73"/>
      <c r="JM24" s="73"/>
      <c r="JN24" s="73"/>
      <c r="JO24" s="73"/>
      <c r="JP24" s="73"/>
      <c r="JQ24" s="73"/>
      <c r="JR24" s="73"/>
      <c r="JS24" s="90"/>
      <c r="JT24" s="1207"/>
      <c r="JU24" s="123" t="str">
        <f>IF(T25&lt;&gt;0,LOOKUP(T25,Tara!$G$6:$G$185,Tara!$J$6:$J$185)/10,"")</f>
        <v/>
      </c>
      <c r="JV24" s="116" t="str">
        <f t="shared" si="171"/>
        <v/>
      </c>
      <c r="JW24" s="155" t="str">
        <f t="shared" si="172"/>
        <v/>
      </c>
      <c r="JX24" s="88" t="str">
        <f t="shared" ref="JX24:KC24" si="232">IF(ISNUMBER(JX21),JX21-$JK21,"")</f>
        <v/>
      </c>
      <c r="JY24" s="88">
        <f t="shared" si="232"/>
        <v>-9.9492095048283181E-4</v>
      </c>
      <c r="JZ24" s="88">
        <f t="shared" si="232"/>
        <v>-6.9251694788081443E-5</v>
      </c>
      <c r="KA24" s="88">
        <f t="shared" si="232"/>
        <v>1.0641726452709139E-3</v>
      </c>
      <c r="KB24" s="88" t="str">
        <f t="shared" si="232"/>
        <v/>
      </c>
      <c r="KC24" s="88" t="str">
        <f t="shared" si="232"/>
        <v/>
      </c>
      <c r="KD24" s="89"/>
      <c r="KE24" s="73"/>
      <c r="KF24" s="73"/>
      <c r="KG24" s="73"/>
      <c r="KH24" s="73"/>
      <c r="KI24" s="73"/>
      <c r="KJ24" s="73"/>
      <c r="KK24" s="73"/>
      <c r="KL24" s="90"/>
      <c r="KM24" s="1207"/>
      <c r="KN24" s="171" t="str">
        <f>IF(KN22&lt;&gt;"",INDEX(LOGEST(KN23:KR23,KN22:KR22),2),"")</f>
        <v/>
      </c>
      <c r="KO24" s="172" t="str">
        <f>IF(KN25&lt;&gt;"",LN(KN25),"")</f>
        <v/>
      </c>
      <c r="KP24" s="138"/>
      <c r="KQ24" s="176" t="str">
        <f>IF(KN24&lt;&gt;"",LN(25/KN24)/KO24,"NP")</f>
        <v>NP</v>
      </c>
      <c r="KR24" s="1206"/>
      <c r="KS24" s="185" t="str">
        <f>IF(KS23&lt;&gt;"",5%*KS23,"")</f>
        <v/>
      </c>
      <c r="KT24" s="176" t="str">
        <f>IF(KS23&lt;&gt;"",KS23+KS24,"")</f>
        <v/>
      </c>
      <c r="KU24" s="188" t="str">
        <f>IF(KQ24&lt;&gt;"NP",KQ24-KW24,"NP")</f>
        <v>NP</v>
      </c>
      <c r="KV24" s="176" t="str">
        <f>IF(KV23&lt;&gt;"",KV23-5%*KV23,"")</f>
        <v/>
      </c>
      <c r="KW24" s="176" t="str">
        <f>IF(KV23&lt;&gt;"",KV23,"NP")</f>
        <v>NP</v>
      </c>
      <c r="KX24" s="1275"/>
      <c r="KY24" s="190"/>
      <c r="KZ24" s="1208"/>
      <c r="LA24" s="201"/>
      <c r="LB24" s="138"/>
      <c r="LC24" s="138"/>
      <c r="LD24" s="138"/>
      <c r="LE24" s="138"/>
      <c r="LF24" s="138"/>
      <c r="LG24" s="138"/>
      <c r="LH24" s="138"/>
      <c r="LI24" s="138"/>
      <c r="LJ24" s="138"/>
      <c r="LK24" s="138"/>
      <c r="LL24" s="138"/>
      <c r="LM24" s="1206"/>
      <c r="LN24" s="163"/>
      <c r="LO24" s="164"/>
      <c r="LP24" s="164"/>
      <c r="LQ24" s="164"/>
      <c r="LR24" s="1209"/>
      <c r="LS24" s="216">
        <v>40</v>
      </c>
      <c r="LT24" s="144">
        <f>IF(LL23&lt;&gt;"",LL23*100,"")</f>
        <v>41.106077599999999</v>
      </c>
      <c r="LU24" s="1288" t="s">
        <v>129</v>
      </c>
      <c r="LV24" s="1288"/>
      <c r="LW24" s="222" t="s">
        <v>130</v>
      </c>
      <c r="LX24" s="222"/>
      <c r="LY24" s="199" t="b">
        <f>IF(LH25&lt;LL25,"NP",AND(LU25&lt;=8,LO25&lt;=10,LH25&lt;=40,LT25&gt;35))</f>
        <v>0</v>
      </c>
      <c r="LZ24" s="199" t="b">
        <f>IF(LH25&lt;LL25,"NP",AND(LU25&lt;=12,LO25&lt;=10,LH25&gt;40,LT25&gt;35))</f>
        <v>0</v>
      </c>
      <c r="MA24" s="199" t="b">
        <f>IF(LH25&lt;LL25,"NP",AND(LU25&lt;=16,LO25&gt;10,LH25&lt;=40,LT25&gt;35))</f>
        <v>0</v>
      </c>
      <c r="MB24" s="199" t="b">
        <f>IF(LH25&lt;LL25,"NP",AND(LU25&lt;=20,LO25&gt;10,LH25&gt;40,LT25&gt;35,LO25&lt;=LH25-30))</f>
        <v>0</v>
      </c>
      <c r="MC24" s="199" t="b">
        <f>IF(LH25&lt;LL25,"NP",AND(LU25&lt;=20,LO25&gt;10,LH25&gt;40,LS25&gt;35,LO25&gt;LH25-30))</f>
        <v>0</v>
      </c>
      <c r="MD24" s="199"/>
      <c r="ME24" s="1200"/>
      <c r="MF24" s="700"/>
      <c r="MG24" s="701"/>
      <c r="MH24" s="701"/>
      <c r="MI24" s="701"/>
      <c r="MJ24" s="701"/>
      <c r="MK24" s="701"/>
      <c r="ML24" s="701"/>
      <c r="MM24" s="701"/>
      <c r="MN24" s="701"/>
      <c r="MO24" s="701"/>
      <c r="MP24" s="701"/>
      <c r="MQ24" s="701"/>
      <c r="MR24" s="701"/>
      <c r="MS24" s="701"/>
      <c r="MT24" s="701"/>
      <c r="MU24" s="701"/>
      <c r="MV24" s="701"/>
      <c r="MW24" s="701"/>
      <c r="MX24" s="701"/>
      <c r="MY24" s="701"/>
      <c r="MZ24" s="701"/>
      <c r="NA24" s="701"/>
      <c r="NB24" s="701"/>
      <c r="NC24" s="701"/>
      <c r="ND24" s="701"/>
      <c r="NE24" s="701"/>
      <c r="NF24" s="701"/>
      <c r="NG24" s="701"/>
      <c r="NH24" s="701"/>
      <c r="NI24" s="701"/>
      <c r="NJ24" s="701"/>
      <c r="NK24" s="701"/>
      <c r="NL24" s="701"/>
      <c r="NM24" s="701"/>
      <c r="NN24" s="701"/>
      <c r="NO24" s="701"/>
      <c r="NP24" s="701"/>
      <c r="NQ24" s="701"/>
      <c r="NR24" s="701"/>
      <c r="NS24" s="701"/>
      <c r="NT24" s="701"/>
      <c r="NU24" s="701"/>
      <c r="NV24" s="701"/>
      <c r="NW24" s="701"/>
      <c r="NX24" s="701"/>
      <c r="NY24" s="701"/>
      <c r="NZ24" s="701"/>
      <c r="OA24" s="701"/>
      <c r="OB24" s="701"/>
      <c r="OC24" s="701"/>
      <c r="OD24" s="1189"/>
      <c r="OE24" s="701"/>
    </row>
    <row r="25" spans="1:1378" ht="15" hidden="1" customHeight="1" thickBot="1" x14ac:dyDescent="0.35">
      <c r="A25" s="1338"/>
      <c r="B25" s="504" t="s">
        <v>131</v>
      </c>
      <c r="C25" s="666"/>
      <c r="D25" s="1364"/>
      <c r="E25" s="1365"/>
      <c r="F25" s="1371"/>
      <c r="G25" s="493" t="s">
        <v>132</v>
      </c>
      <c r="H25" s="505" t="s">
        <v>59</v>
      </c>
      <c r="I25" s="506" t="s">
        <v>133</v>
      </c>
      <c r="J25" s="507">
        <v>10043</v>
      </c>
      <c r="K25" s="507">
        <v>9445</v>
      </c>
      <c r="L25" s="507">
        <v>9995</v>
      </c>
      <c r="M25" s="507">
        <v>8920</v>
      </c>
      <c r="N25" s="507">
        <v>10290</v>
      </c>
      <c r="O25" s="507"/>
      <c r="P25" s="508" t="s">
        <v>134</v>
      </c>
      <c r="Q25" s="509">
        <v>0.4133</v>
      </c>
      <c r="R25" s="508" t="s">
        <v>133</v>
      </c>
      <c r="S25" s="510"/>
      <c r="T25" s="511"/>
      <c r="U25" s="512"/>
      <c r="V25" s="513"/>
      <c r="W25" s="513"/>
      <c r="X25" s="513"/>
      <c r="Y25" s="513"/>
      <c r="Z25" s="514"/>
      <c r="AA25" s="514"/>
      <c r="AB25" s="514"/>
      <c r="AC25" s="514"/>
      <c r="AD25" s="515"/>
      <c r="AE25" s="515"/>
      <c r="AF25" s="515"/>
      <c r="AG25" s="515"/>
      <c r="AH25" s="515"/>
      <c r="AI25" s="515"/>
      <c r="AJ25" s="515"/>
      <c r="AK25" s="516"/>
      <c r="AL25" s="1386"/>
      <c r="AM25" s="517" t="s">
        <v>61</v>
      </c>
      <c r="AN25" s="518"/>
      <c r="AO25" s="518"/>
      <c r="AP25" s="518"/>
      <c r="AQ25" s="518"/>
      <c r="AR25" s="519"/>
      <c r="AS25" s="1368"/>
      <c r="AT25" s="1296"/>
      <c r="AU25" s="1297"/>
      <c r="AV25" s="1299"/>
      <c r="AW25" s="520" t="s">
        <v>135</v>
      </c>
      <c r="AX25" s="521"/>
      <c r="AY25" s="1299"/>
      <c r="AZ25" s="520" t="s">
        <v>135</v>
      </c>
      <c r="BA25" s="522"/>
      <c r="BB25" s="1303"/>
      <c r="BC25" s="1304"/>
      <c r="BD25" s="1304"/>
      <c r="BE25" s="1304"/>
      <c r="BF25" s="1304"/>
      <c r="BG25" s="1304"/>
      <c r="BH25" s="1304"/>
      <c r="BI25" s="1304"/>
      <c r="BJ25" s="1304"/>
      <c r="BK25" s="1305"/>
      <c r="BL25" s="1293"/>
      <c r="BM25" s="1308"/>
      <c r="BN25" s="91" t="s">
        <v>136</v>
      </c>
      <c r="BO25" s="92">
        <f>IF(J19&lt;&gt;"",BO24/Q23,"")</f>
        <v>1.0714285714285714E-2</v>
      </c>
      <c r="BP25" s="93">
        <f>IF(AND(ISNUMBER(BW24),ISNUMBER(BO25),BW24&lt;&gt;0),BO25+BW24,"")</f>
        <v>2.0714285714285713E-2</v>
      </c>
      <c r="BQ25" s="93">
        <f>IF(AND(ISNUMBER(BW24),ISNUMBER(BP25),BW24&lt;&gt;0),BP25+BW24,"")</f>
        <v>3.0714285714285715E-2</v>
      </c>
      <c r="BR25" s="93">
        <f>IF(AND(ISNUMBER(BW24),ISNUMBER(BQ25),BW24&lt;&gt;0),BQ25+BW24,"")</f>
        <v>4.0714285714285717E-2</v>
      </c>
      <c r="BS25" s="93">
        <f>IF(AND(ISNUMBER(BW24),ISNUMBER(BR25),BW24&lt;&gt;0),BR25+BW24,"")</f>
        <v>5.0714285714285719E-2</v>
      </c>
      <c r="BT25" s="93">
        <f>IF(AND(ISNUMBER(BW24),ISNUMBER(BS25),BW24&lt;&gt;0),BS25+BW24,"")</f>
        <v>6.0714285714285721E-2</v>
      </c>
      <c r="BU25" s="109" t="s">
        <v>137</v>
      </c>
      <c r="BV25" s="109"/>
      <c r="BW25" s="94">
        <f>IF(ISNUMBER(Q23),Q23/(BW19+1),"")</f>
        <v>6868.109448214379</v>
      </c>
      <c r="BX25" s="95"/>
      <c r="BY25" s="96">
        <f t="shared" ref="BY25:CD25" si="233">IF(BY23&lt;&gt;"",BY23/(1+BY24),"")</f>
        <v>2104.2404822619928</v>
      </c>
      <c r="BZ25" s="96">
        <f t="shared" si="233"/>
        <v>2210.7280624328287</v>
      </c>
      <c r="CA25" s="96">
        <f t="shared" si="233"/>
        <v>2275.1420560291153</v>
      </c>
      <c r="CB25" s="96">
        <f t="shared" si="233"/>
        <v>2231.3078036355155</v>
      </c>
      <c r="CC25" s="96">
        <f t="shared" si="233"/>
        <v>2134.9158318264836</v>
      </c>
      <c r="CD25" s="96" t="str">
        <f t="shared" si="233"/>
        <v/>
      </c>
      <c r="CE25" s="97"/>
      <c r="CF25" s="97"/>
      <c r="CG25" s="97"/>
      <c r="CH25" s="97"/>
      <c r="CI25" s="97"/>
      <c r="CJ25" s="98" t="str">
        <f>IF(ISNUMBER(CJ22),CJ22^2,"")</f>
        <v/>
      </c>
      <c r="CK25" s="98"/>
      <c r="CL25" s="99" t="s">
        <v>101</v>
      </c>
      <c r="CM25" s="100">
        <f>(CR21*CR23-CR22*CR19)/(CR23^2-CR20*CR19)</f>
        <v>-353443.19801403687</v>
      </c>
      <c r="CN25" s="99" t="s">
        <v>102</v>
      </c>
      <c r="CO25" s="101">
        <f>(CR22-CM25*CR20)/CR23</f>
        <v>36506.882082648895</v>
      </c>
      <c r="CP25" s="99" t="s">
        <v>103</v>
      </c>
      <c r="CQ25" s="100">
        <f>CK20-CO25*CK19-CM25*CK21</f>
        <v>1322.4614476094143</v>
      </c>
      <c r="CR25" s="98"/>
      <c r="CS25" s="99"/>
      <c r="CT25" s="101"/>
      <c r="CU25" s="106" t="str">
        <f>IF(S25&lt;&gt;0,S25-CU23,"")</f>
        <v/>
      </c>
      <c r="CV25" s="1281"/>
      <c r="CW25" s="1283"/>
      <c r="CX25" s="127" t="str">
        <f>IF(ISNUMBER(CX22),CX22^2,"")</f>
        <v/>
      </c>
      <c r="CY25" s="128" t="str">
        <f t="shared" ref="CY25:DE25" si="234">IF(ISNUMBER(CY22),CY22^2,"")</f>
        <v/>
      </c>
      <c r="CZ25" s="128" t="str">
        <f t="shared" si="234"/>
        <v/>
      </c>
      <c r="DA25" s="128" t="str">
        <f t="shared" si="234"/>
        <v/>
      </c>
      <c r="DB25" s="128" t="str">
        <f t="shared" si="234"/>
        <v/>
      </c>
      <c r="DC25" s="128" t="str">
        <f t="shared" si="234"/>
        <v/>
      </c>
      <c r="DD25" s="128" t="str">
        <f t="shared" si="234"/>
        <v/>
      </c>
      <c r="DE25" s="128" t="str">
        <f t="shared" si="234"/>
        <v/>
      </c>
      <c r="DF25" s="281" t="str">
        <f>IF(CX25&lt;&gt;"",SUM(CX25:DE25),"")</f>
        <v/>
      </c>
      <c r="DG25" s="135" t="s">
        <v>138</v>
      </c>
      <c r="DH25" s="136" t="str">
        <f>IF(DH23&lt;&gt;"",DF20-DH24*DF19-DH23*DF21,"")</f>
        <v/>
      </c>
      <c r="DI25" s="135"/>
      <c r="DJ25" s="140"/>
      <c r="DK25" s="140"/>
      <c r="DL25" s="140"/>
      <c r="DM25" s="142" t="str">
        <f>IF(DP20="","",IF(DP20&gt;0,DM24/70.31,""))</f>
        <v/>
      </c>
      <c r="DN25" s="142" t="str">
        <f>IF(DP20="","",IF(DP20&gt;0,DN24/105.46,""))</f>
        <v/>
      </c>
      <c r="DO25" s="140"/>
      <c r="DP25" s="135">
        <v>2.54</v>
      </c>
      <c r="DQ25" s="142" t="str">
        <f>IF(DA20&lt;&gt;"",DA20/70.31,"")</f>
        <v/>
      </c>
      <c r="DR25" s="135">
        <v>5.08</v>
      </c>
      <c r="DS25" s="142" t="str">
        <f>IF(DC20&lt;&gt;"",DC20/105.46,"")</f>
        <v/>
      </c>
      <c r="DT25" s="227" t="str">
        <f>IF(DV25&lt;&gt;"",MAX(DV25,DX25),"")</f>
        <v/>
      </c>
      <c r="DU25" s="143">
        <v>2.54</v>
      </c>
      <c r="DV25" s="146" t="str">
        <f>IF(DA20&lt;&gt;"",MAX(DM25,DQ25)*100,"")</f>
        <v/>
      </c>
      <c r="DW25" s="143">
        <v>5.08</v>
      </c>
      <c r="DX25" s="147" t="str">
        <f>IF(DC20&lt;&gt;"",MAX(DN25,DS25)*100,"")</f>
        <v/>
      </c>
      <c r="DY25" s="127" t="str">
        <f>IF(ISNUMBER(DY22),DY22^2,"")</f>
        <v/>
      </c>
      <c r="DZ25" s="128" t="str">
        <f t="shared" ref="DZ25:EF25" si="235">IF(ISNUMBER(DZ22),DZ22^2,"")</f>
        <v/>
      </c>
      <c r="EA25" s="128" t="str">
        <f t="shared" si="235"/>
        <v/>
      </c>
      <c r="EB25" s="128" t="str">
        <f t="shared" si="235"/>
        <v/>
      </c>
      <c r="EC25" s="128" t="str">
        <f t="shared" si="235"/>
        <v/>
      </c>
      <c r="ED25" s="128" t="str">
        <f t="shared" si="235"/>
        <v/>
      </c>
      <c r="EE25" s="128" t="str">
        <f t="shared" si="235"/>
        <v/>
      </c>
      <c r="EF25" s="128" t="str">
        <f t="shared" si="235"/>
        <v/>
      </c>
      <c r="EG25" s="129" t="str">
        <f>IF(DY25&lt;&gt;"",SUM(DY25:EF25),"")</f>
        <v/>
      </c>
      <c r="EH25" s="135" t="s">
        <v>138</v>
      </c>
      <c r="EI25" s="136" t="str">
        <f>IF(EI23&lt;&gt;"",EG20-EI24*EG19-EI23*EG21,"")</f>
        <v/>
      </c>
      <c r="EJ25" s="135"/>
      <c r="EK25" s="140"/>
      <c r="EL25" s="140"/>
      <c r="EM25" s="140"/>
      <c r="EN25" s="141" t="str">
        <f>IF(EQ20="","",IF(EQ20&gt;0,EN24/70.31,""))</f>
        <v/>
      </c>
      <c r="EO25" s="141" t="str">
        <f>IF(EQ20="","",IF(EQ20&gt;0,EO24/105.46,""))</f>
        <v/>
      </c>
      <c r="EP25" s="140"/>
      <c r="EQ25" s="135">
        <v>2.54</v>
      </c>
      <c r="ER25" s="142" t="str">
        <f>IF(EB20&lt;&gt;"",EB20/70.31,"")</f>
        <v/>
      </c>
      <c r="ES25" s="135">
        <v>5.08</v>
      </c>
      <c r="ET25" s="142" t="str">
        <f>IF(ED20&lt;&gt;"",ED20/105.46,"")</f>
        <v/>
      </c>
      <c r="EU25" s="227" t="str">
        <f>IF(EW25&lt;&gt;"",MAX(EW25,EY25),"")</f>
        <v/>
      </c>
      <c r="EV25" s="143">
        <v>2.54</v>
      </c>
      <c r="EW25" s="146" t="str">
        <f>IF(EB20&lt;&gt;"",MAX(EN25,ER25)*100,"")</f>
        <v/>
      </c>
      <c r="EX25" s="143">
        <v>5.08</v>
      </c>
      <c r="EY25" s="147" t="str">
        <f>IF(ED20&lt;&gt;"",MAX(EO25,ET25)*100,"")</f>
        <v/>
      </c>
      <c r="EZ25" s="127" t="str">
        <f>IF(ISNUMBER(EZ22),EZ22^2,"")</f>
        <v/>
      </c>
      <c r="FA25" s="128" t="str">
        <f t="shared" ref="FA25:FG25" si="236">IF(ISNUMBER(FA22),FA22^2,"")</f>
        <v/>
      </c>
      <c r="FB25" s="128" t="str">
        <f t="shared" si="236"/>
        <v/>
      </c>
      <c r="FC25" s="128" t="str">
        <f t="shared" si="236"/>
        <v/>
      </c>
      <c r="FD25" s="128" t="str">
        <f t="shared" si="236"/>
        <v/>
      </c>
      <c r="FE25" s="128" t="str">
        <f t="shared" si="236"/>
        <v/>
      </c>
      <c r="FF25" s="128" t="str">
        <f t="shared" si="236"/>
        <v/>
      </c>
      <c r="FG25" s="128" t="str">
        <f t="shared" si="236"/>
        <v/>
      </c>
      <c r="FH25" s="129" t="str">
        <f>IF(EZ25&lt;&gt;"",SUM(EZ25:FG25),"")</f>
        <v/>
      </c>
      <c r="FI25" s="135" t="s">
        <v>138</v>
      </c>
      <c r="FJ25" s="136" t="str">
        <f>IF(FJ23&lt;&gt;"",FH20-FJ24*FH19-FJ23*FH21,"")</f>
        <v/>
      </c>
      <c r="FK25" s="135"/>
      <c r="FL25" s="140"/>
      <c r="FM25" s="140"/>
      <c r="FN25" s="140"/>
      <c r="FO25" s="141" t="str">
        <f>IF(FR20="","",IF(FR20&gt;0,FO24/70.31,""))</f>
        <v/>
      </c>
      <c r="FP25" s="141" t="str">
        <f>IF(FR20="","",IF(FR20&gt;0,FP24/105.46,""))</f>
        <v/>
      </c>
      <c r="FQ25" s="140"/>
      <c r="FR25" s="135">
        <v>2.54</v>
      </c>
      <c r="FS25" s="142" t="str">
        <f>IF(FC20&lt;&gt;"",FC20/70.31,"")</f>
        <v/>
      </c>
      <c r="FT25" s="135">
        <v>5.08</v>
      </c>
      <c r="FU25" s="142" t="str">
        <f>IF(FE20&lt;&gt;"",FE20/105.46,"")</f>
        <v/>
      </c>
      <c r="FV25" s="227" t="str">
        <f>IF(FX25&lt;&gt;"",MAX(FX25,FZ25),"")</f>
        <v/>
      </c>
      <c r="FW25" s="143">
        <v>2.54</v>
      </c>
      <c r="FX25" s="146" t="str">
        <f>IF(FC20&lt;&gt;"",MAX(FO25,FS25)*100,"")</f>
        <v/>
      </c>
      <c r="FY25" s="143">
        <v>5.08</v>
      </c>
      <c r="FZ25" s="147" t="str">
        <f>IF(FE20&lt;&gt;"",MAX(FP25,FU25)*100,"")</f>
        <v/>
      </c>
      <c r="GA25" s="127" t="str">
        <f>IF(ISNUMBER(GA22),GA22^2,"")</f>
        <v/>
      </c>
      <c r="GB25" s="128" t="str">
        <f t="shared" ref="GB25:GH25" si="237">IF(ISNUMBER(GB22),GB22^2,"")</f>
        <v/>
      </c>
      <c r="GC25" s="128" t="str">
        <f t="shared" si="237"/>
        <v/>
      </c>
      <c r="GD25" s="128" t="str">
        <f t="shared" si="237"/>
        <v/>
      </c>
      <c r="GE25" s="128" t="str">
        <f t="shared" si="237"/>
        <v/>
      </c>
      <c r="GF25" s="128" t="str">
        <f t="shared" si="237"/>
        <v/>
      </c>
      <c r="GG25" s="128" t="str">
        <f t="shared" si="237"/>
        <v/>
      </c>
      <c r="GH25" s="128" t="str">
        <f t="shared" si="237"/>
        <v/>
      </c>
      <c r="GI25" s="129" t="str">
        <f>IF(GA25&lt;&gt;"",SUM(GA25:GH25),"")</f>
        <v/>
      </c>
      <c r="GJ25" s="135" t="s">
        <v>138</v>
      </c>
      <c r="GK25" s="136" t="str">
        <f>IF(GK23&lt;&gt;"",GI20-GK24*GI19-GK23*GI21,"")</f>
        <v/>
      </c>
      <c r="GL25" s="135"/>
      <c r="GM25" s="140"/>
      <c r="GN25" s="140"/>
      <c r="GO25" s="140"/>
      <c r="GP25" s="141" t="str">
        <f>IF(GS20="","",IF(GS20&gt;0,GP24/70.31,""))</f>
        <v/>
      </c>
      <c r="GQ25" s="141" t="str">
        <f>IF(GS20="","",IF(GS20&gt;0,GQ24/105.46,""))</f>
        <v/>
      </c>
      <c r="GR25" s="140"/>
      <c r="GS25" s="135">
        <v>2.54</v>
      </c>
      <c r="GT25" s="142" t="str">
        <f>IF(GD20&lt;&gt;"",GD20/70.31,"")</f>
        <v/>
      </c>
      <c r="GU25" s="135">
        <v>5.08</v>
      </c>
      <c r="GV25" s="142" t="str">
        <f>IF(GF20&lt;&gt;"",GF20/105.46,"")</f>
        <v/>
      </c>
      <c r="GW25" s="227" t="str">
        <f>IF(GY25&lt;&gt;"",MAX(GY25,HA25),"")</f>
        <v/>
      </c>
      <c r="GX25" s="143">
        <v>2.54</v>
      </c>
      <c r="GY25" s="146" t="str">
        <f>IF(GD20&lt;&gt;"",MAX(GP25,GT25)*100,"")</f>
        <v/>
      </c>
      <c r="GZ25" s="143">
        <v>5.08</v>
      </c>
      <c r="HA25" s="147" t="str">
        <f>IF(GF20&lt;&gt;"",MAX(GQ25,GV25)*100,"")</f>
        <v/>
      </c>
      <c r="HB25" s="127" t="str">
        <f>IF(ISNUMBER(HB22),HB22^2,"")</f>
        <v/>
      </c>
      <c r="HC25" s="128" t="str">
        <f t="shared" ref="HC25:HI25" si="238">IF(ISNUMBER(HC22),HC22^2,"")</f>
        <v/>
      </c>
      <c r="HD25" s="128" t="str">
        <f t="shared" si="238"/>
        <v/>
      </c>
      <c r="HE25" s="128" t="str">
        <f t="shared" si="238"/>
        <v/>
      </c>
      <c r="HF25" s="128" t="str">
        <f t="shared" si="238"/>
        <v/>
      </c>
      <c r="HG25" s="128" t="str">
        <f t="shared" si="238"/>
        <v/>
      </c>
      <c r="HH25" s="128" t="str">
        <f t="shared" si="238"/>
        <v/>
      </c>
      <c r="HI25" s="128" t="str">
        <f t="shared" si="238"/>
        <v/>
      </c>
      <c r="HJ25" s="129" t="str">
        <f>IF(HB25&lt;&gt;"",SUM(HB25:HI25),"")</f>
        <v/>
      </c>
      <c r="HK25" s="135" t="s">
        <v>138</v>
      </c>
      <c r="HL25" s="136" t="str">
        <f>IF(HL23&lt;&gt;"",HJ20-HL24*HJ19-HL23*HJ21,"")</f>
        <v/>
      </c>
      <c r="HM25" s="135"/>
      <c r="HN25" s="140"/>
      <c r="HO25" s="140"/>
      <c r="HP25" s="140"/>
      <c r="HQ25" s="141" t="str">
        <f>IF(HT20="","",IF(HT20&gt;0,HQ24/70.31,""))</f>
        <v/>
      </c>
      <c r="HR25" s="141" t="str">
        <f>IF(HT20="","",IF(HT20&gt;0,HR24/105.46,""))</f>
        <v/>
      </c>
      <c r="HS25" s="140"/>
      <c r="HT25" s="135">
        <v>2.54</v>
      </c>
      <c r="HU25" s="142" t="str">
        <f>IF(HE20&lt;&gt;"",HE20/70.31,"")</f>
        <v/>
      </c>
      <c r="HV25" s="135">
        <v>5.08</v>
      </c>
      <c r="HW25" s="142" t="str">
        <f>IF(HG20&lt;&gt;"",HG20/105.46,"")</f>
        <v/>
      </c>
      <c r="HX25" s="227" t="str">
        <f>IF(HZ25&lt;&gt;"",MAX(HZ25,IB25),"")</f>
        <v/>
      </c>
      <c r="HY25" s="143">
        <v>2.54</v>
      </c>
      <c r="HZ25" s="146" t="str">
        <f>IF(HE20&lt;&gt;"",MAX(HQ25,HU25)*100,"")</f>
        <v/>
      </c>
      <c r="IA25" s="143">
        <v>5.08</v>
      </c>
      <c r="IB25" s="147" t="str">
        <f>IF(HG20&lt;&gt;"",MAX(HR25,HW25)*100,"")</f>
        <v/>
      </c>
      <c r="IC25" s="127" t="str">
        <f>IF(ISNUMBER(IC22),IC22^2,"")</f>
        <v/>
      </c>
      <c r="ID25" s="128" t="str">
        <f t="shared" ref="ID25:IJ25" si="239">IF(ISNUMBER(ID22),ID22^2,"")</f>
        <v/>
      </c>
      <c r="IE25" s="128" t="str">
        <f t="shared" si="239"/>
        <v/>
      </c>
      <c r="IF25" s="128" t="str">
        <f t="shared" si="239"/>
        <v/>
      </c>
      <c r="IG25" s="128" t="str">
        <f t="shared" si="239"/>
        <v/>
      </c>
      <c r="IH25" s="128" t="str">
        <f t="shared" si="239"/>
        <v/>
      </c>
      <c r="II25" s="128" t="str">
        <f t="shared" si="239"/>
        <v/>
      </c>
      <c r="IJ25" s="128" t="str">
        <f t="shared" si="239"/>
        <v/>
      </c>
      <c r="IK25" s="129" t="str">
        <f>IF(IC25&lt;&gt;"",SUM(IC25:IJ25),"")</f>
        <v/>
      </c>
      <c r="IL25" s="135" t="s">
        <v>138</v>
      </c>
      <c r="IM25" s="136" t="str">
        <f>IF(IM23&lt;&gt;"",IK20-IM24*IK19-IM23*IK21,"")</f>
        <v/>
      </c>
      <c r="IN25" s="135"/>
      <c r="IO25" s="140"/>
      <c r="IP25" s="140"/>
      <c r="IQ25" s="140"/>
      <c r="IR25" s="141" t="str">
        <f>IF(IU20="","",IF(IU20&gt;0,IR24/70.31,""))</f>
        <v/>
      </c>
      <c r="IS25" s="141" t="str">
        <f>IF(IU20="","",IF(IU20&gt;0,IS24/105.46,""))</f>
        <v/>
      </c>
      <c r="IT25" s="140"/>
      <c r="IU25" s="135">
        <v>2.54</v>
      </c>
      <c r="IV25" s="142" t="str">
        <f>IF(IF20&lt;&gt;"",IF20/70.31,"")</f>
        <v/>
      </c>
      <c r="IW25" s="135">
        <v>5.08</v>
      </c>
      <c r="IX25" s="142" t="str">
        <f>IF(IH20&lt;&gt;"",IH20/105.46,"")</f>
        <v/>
      </c>
      <c r="IY25" s="227" t="str">
        <f>IF(JA25&lt;&gt;"",MAX(JA25,JC25),"")</f>
        <v/>
      </c>
      <c r="IZ25" s="143">
        <v>2.54</v>
      </c>
      <c r="JA25" s="146" t="str">
        <f>IF(IF20&lt;&gt;"",MAX(IR25,IV25)*100,"")</f>
        <v/>
      </c>
      <c r="JB25" s="143">
        <v>5.08</v>
      </c>
      <c r="JC25" s="147" t="str">
        <f>IF(IH20&lt;&gt;"",MAX(IS25,IX25)*100,"")</f>
        <v/>
      </c>
      <c r="JD25" s="151"/>
      <c r="JE25" s="97"/>
      <c r="JF25" s="97"/>
      <c r="JG25" s="97"/>
      <c r="JH25" s="97"/>
      <c r="JI25" s="97"/>
      <c r="JJ25" s="98" t="str">
        <f>IF(ISNUMBER(JJ22),JJ22^2,"")</f>
        <v/>
      </c>
      <c r="JK25" s="98"/>
      <c r="JL25" s="99" t="s">
        <v>101</v>
      </c>
      <c r="JM25" s="145">
        <f>(JR21*JR23-JR22*JR19)/(JR23^2-JR20*JR19)</f>
        <v>0</v>
      </c>
      <c r="JN25" s="99" t="s">
        <v>102</v>
      </c>
      <c r="JO25" s="101">
        <f>(JR22-JM25*JR20)/JR23</f>
        <v>0</v>
      </c>
      <c r="JP25" s="99" t="s">
        <v>103</v>
      </c>
      <c r="JQ25" s="145">
        <f>JK20-JO25*JK19-JM25*JK21</f>
        <v>0</v>
      </c>
      <c r="JR25" s="98"/>
      <c r="JS25" s="99"/>
      <c r="JT25" s="152"/>
      <c r="JU25" s="127"/>
      <c r="JV25" s="156"/>
      <c r="JW25" s="137"/>
      <c r="JX25" s="97"/>
      <c r="JY25" s="97"/>
      <c r="JZ25" s="97"/>
      <c r="KA25" s="97"/>
      <c r="KB25" s="97"/>
      <c r="KC25" s="98" t="str">
        <f>IF(ISNUMBER(KC22),KC22^2,"")</f>
        <v/>
      </c>
      <c r="KD25" s="98"/>
      <c r="KE25" s="99" t="s">
        <v>101</v>
      </c>
      <c r="KF25" s="145">
        <f>(KK21*KK23-KK22*KK19)/(KK23^2-KK20*KK19)</f>
        <v>0</v>
      </c>
      <c r="KG25" s="99" t="s">
        <v>102</v>
      </c>
      <c r="KH25" s="101">
        <f>(KK22-KF25*KK20)/KK23</f>
        <v>0</v>
      </c>
      <c r="KI25" s="99" t="s">
        <v>103</v>
      </c>
      <c r="KJ25" s="145">
        <f>KD20-KH25*KD19-KF25*KD21</f>
        <v>0</v>
      </c>
      <c r="KK25" s="98"/>
      <c r="KL25" s="99"/>
      <c r="KM25" s="152"/>
      <c r="KN25" s="173" t="str">
        <f>IF(KN22&lt;&gt;"",INDEX(LOGEST(KN23:KR23,KN22:KR22),1),"")</f>
        <v/>
      </c>
      <c r="KO25" s="141"/>
      <c r="KP25" s="143" t="s">
        <v>78</v>
      </c>
      <c r="KQ25" s="179">
        <f>IF(KQ24="NP",0,KQ24)*100</f>
        <v>0</v>
      </c>
      <c r="KR25" s="178"/>
      <c r="KS25" s="186" t="str">
        <f>IF($KT24&gt;=KS22,IF($KT23&lt;=KS22,KS22))</f>
        <v/>
      </c>
      <c r="KT25" s="187" t="str">
        <f>IF($KT24&gt;=KT22,IF($KT23&lt;=KT22,KT22))</f>
        <v/>
      </c>
      <c r="KU25" s="187" t="str">
        <f>IF($KT24&gt;=KU22,IF($KT23&lt;=KU22,KU22))</f>
        <v/>
      </c>
      <c r="KV25" s="187" t="str">
        <f>IF($KT24&gt;=KV22,IF($KT23&lt;=KV22,KV22))</f>
        <v/>
      </c>
      <c r="KW25" s="187" t="str">
        <f>IF($KT24&gt;=KW22,IF($KT23&lt;=KW22,KW22))</f>
        <v/>
      </c>
      <c r="KX25" s="189" t="s">
        <v>139</v>
      </c>
      <c r="KY25" s="191" t="s">
        <v>140</v>
      </c>
      <c r="KZ25" s="192" t="str">
        <f>IF(KY23&lt;&gt;"",KY23,"")</f>
        <v/>
      </c>
      <c r="LA25" s="202"/>
      <c r="LB25" s="141"/>
      <c r="LC25" s="141"/>
      <c r="LD25" s="141"/>
      <c r="LE25" s="141"/>
      <c r="LF25" s="211" t="s">
        <v>78</v>
      </c>
      <c r="LG25" s="212">
        <f>IF(KQ25&lt;&gt;"",KQ25,"")</f>
        <v>0</v>
      </c>
      <c r="LH25" s="212">
        <f>IF(LG25&lt;&gt;"",LG25,"")</f>
        <v>0</v>
      </c>
      <c r="LI25" s="141"/>
      <c r="LJ25" s="141"/>
      <c r="LK25" s="211" t="s">
        <v>139</v>
      </c>
      <c r="LL25" s="212">
        <f>IF(KX23&lt;&gt;"",KX23,"")</f>
        <v>0</v>
      </c>
      <c r="LM25" s="211" t="s">
        <v>78</v>
      </c>
      <c r="LN25" s="212">
        <f>IF(KX19&lt;&gt;"",KX19,"")</f>
        <v>0</v>
      </c>
      <c r="LO25" s="212">
        <f>IF(LN25&lt;&gt;"",LN25,"")</f>
        <v>0</v>
      </c>
      <c r="LP25" s="169"/>
      <c r="LQ25" s="169"/>
      <c r="LR25" s="170"/>
      <c r="LS25" s="217">
        <v>200</v>
      </c>
      <c r="LT25" s="177">
        <f>IF(LM23&lt;&gt;"",LM23*100,"")</f>
        <v>16.457501199999996</v>
      </c>
      <c r="LU25" s="1289">
        <f>IF(((0.2)*LU23)+((0.005)*(LU23)*(LW23))+((0.01)*(LV23)*(LX23))&lt;0,0,((0.2)*LU23)+((0.005)*(LU23)*(LW23))+((0.01)*(LV23)*(LX23)))</f>
        <v>0</v>
      </c>
      <c r="LV25" s="1289"/>
      <c r="LW25" s="1290" t="str">
        <f>IF(LT25="","",IF(LZ25&lt;&gt;"",LZ25,IF(LZ25="",MA25)))</f>
        <v>A-1b</v>
      </c>
      <c r="LX25" s="1290"/>
      <c r="LY25" s="218"/>
      <c r="LZ25" s="219" t="str">
        <f>IF(MA22="NP","NP",IF(LZ24=TRUE,"A-5",IF(MA24=TRUE,"A-6",IF(MB24=TRUE,"A-7-5",IF(MC24=TRUE,"A-7-6","")))))</f>
        <v/>
      </c>
      <c r="MA25" s="219" t="str">
        <f>IF(LY22=TRUE,"A-1a",IF(LZ22=TRUE,"A-1b",IF(MA22=TRUE,"A-3",IF(MB22=TRUE,"A-2-4",IF(MC22=TRUE,"A-2-5",IF(MD22=TRUE,"A-2-6",IF(ME22=TRUE,"A-2-7",IF(LY24=TRUE,"A-4"," "))))))))</f>
        <v>A-1b</v>
      </c>
      <c r="MB25" s="218"/>
      <c r="MC25" s="218"/>
      <c r="MD25" s="218"/>
      <c r="ME25" s="220"/>
      <c r="MF25" s="286"/>
      <c r="MG25" s="169"/>
      <c r="MH25" s="169"/>
      <c r="MI25" s="169"/>
      <c r="MJ25" s="169"/>
      <c r="MK25" s="169"/>
      <c r="ML25" s="169"/>
      <c r="MM25" s="169"/>
      <c r="MN25" s="169"/>
      <c r="MO25" s="169"/>
      <c r="MP25" s="169"/>
      <c r="MQ25" s="169"/>
      <c r="MR25" s="169"/>
      <c r="MS25" s="169"/>
      <c r="MT25" s="169"/>
      <c r="MU25" s="169"/>
      <c r="MV25" s="169"/>
      <c r="MW25" s="169"/>
      <c r="MX25" s="169"/>
      <c r="MY25" s="169"/>
      <c r="MZ25" s="169"/>
      <c r="NA25" s="169"/>
      <c r="NB25" s="169"/>
      <c r="NC25" s="169"/>
      <c r="ND25" s="169"/>
      <c r="NE25" s="169"/>
      <c r="NF25" s="169"/>
      <c r="NG25" s="169"/>
      <c r="NH25" s="169"/>
      <c r="NI25" s="169"/>
      <c r="NJ25" s="169"/>
      <c r="NK25" s="169"/>
      <c r="NL25" s="169"/>
      <c r="NM25" s="169"/>
      <c r="NN25" s="169"/>
      <c r="NO25" s="169"/>
      <c r="NP25" s="169"/>
      <c r="NQ25" s="169"/>
      <c r="NR25" s="169"/>
      <c r="NS25" s="169"/>
      <c r="NT25" s="169"/>
      <c r="NU25" s="169"/>
      <c r="NV25" s="169"/>
      <c r="NW25" s="169"/>
      <c r="NX25" s="169"/>
      <c r="NY25" s="169"/>
      <c r="NZ25" s="169"/>
      <c r="OA25" s="169"/>
      <c r="OB25" s="169"/>
      <c r="OC25" s="169"/>
      <c r="OD25" s="170"/>
    </row>
    <row r="26" spans="1:1378" ht="15" hidden="1" customHeight="1" x14ac:dyDescent="0.35">
      <c r="A26" s="1336">
        <f>A19+1</f>
        <v>4</v>
      </c>
      <c r="B26" s="1339" t="s">
        <v>10</v>
      </c>
      <c r="C26" s="1340"/>
      <c r="D26" s="1340"/>
      <c r="E26" s="1341"/>
      <c r="F26" s="1342" t="s">
        <v>11</v>
      </c>
      <c r="G26" s="1343"/>
      <c r="H26" s="1343"/>
      <c r="I26" s="1344"/>
      <c r="J26" s="495">
        <v>1</v>
      </c>
      <c r="K26" s="495">
        <v>2</v>
      </c>
      <c r="L26" s="495">
        <v>3</v>
      </c>
      <c r="M26" s="495">
        <v>4</v>
      </c>
      <c r="N26" s="495">
        <v>5</v>
      </c>
      <c r="O26" s="495"/>
      <c r="P26" s="1345" t="s">
        <v>12</v>
      </c>
      <c r="Q26" s="1346"/>
      <c r="R26" s="1345" t="s">
        <v>13</v>
      </c>
      <c r="S26" s="1347"/>
      <c r="T26" s="496" t="s">
        <v>14</v>
      </c>
      <c r="U26" s="497" t="s">
        <v>15</v>
      </c>
      <c r="V26" s="1348" t="s">
        <v>16</v>
      </c>
      <c r="W26" s="1349"/>
      <c r="X26" s="1349"/>
      <c r="Y26" s="1350"/>
      <c r="Z26" s="1351" t="s">
        <v>17</v>
      </c>
      <c r="AA26" s="1352"/>
      <c r="AB26" s="1352"/>
      <c r="AC26" s="1353"/>
      <c r="AD26" s="498">
        <v>0.5</v>
      </c>
      <c r="AE26" s="498">
        <v>1</v>
      </c>
      <c r="AF26" s="498">
        <v>1.5</v>
      </c>
      <c r="AG26" s="498">
        <v>2</v>
      </c>
      <c r="AH26" s="498">
        <v>3</v>
      </c>
      <c r="AI26" s="498">
        <v>4</v>
      </c>
      <c r="AJ26" s="498">
        <v>5</v>
      </c>
      <c r="AK26" s="499">
        <v>6</v>
      </c>
      <c r="AL26" s="1354" t="s">
        <v>18</v>
      </c>
      <c r="AM26" s="500" t="s">
        <v>19</v>
      </c>
      <c r="AN26" s="501"/>
      <c r="AO26" s="501"/>
      <c r="AP26" s="501"/>
      <c r="AQ26" s="501"/>
      <c r="AR26" s="502"/>
      <c r="AS26" s="1357">
        <f>E28</f>
        <v>0</v>
      </c>
      <c r="AT26" s="1314" t="s">
        <v>20</v>
      </c>
      <c r="AU26" s="1315"/>
      <c r="AV26" s="1315"/>
      <c r="AW26" s="1315"/>
      <c r="AX26" s="1315"/>
      <c r="AY26" s="1316"/>
      <c r="AZ26" s="1317" t="s">
        <v>21</v>
      </c>
      <c r="BA26" s="1315"/>
      <c r="BB26" s="1315"/>
      <c r="BC26" s="1315"/>
      <c r="BD26" s="1315"/>
      <c r="BE26" s="1315"/>
      <c r="BF26" s="1316"/>
      <c r="BG26" s="503" t="s">
        <v>22</v>
      </c>
      <c r="BH26" s="503" t="s">
        <v>23</v>
      </c>
      <c r="BI26" s="1317" t="s">
        <v>24</v>
      </c>
      <c r="BJ26" s="1315"/>
      <c r="BK26" s="1316"/>
      <c r="BL26" s="1318">
        <f>AS26</f>
        <v>0</v>
      </c>
      <c r="BM26" s="1306" t="s">
        <v>25</v>
      </c>
      <c r="BN26" s="80" t="s">
        <v>26</v>
      </c>
      <c r="BO26" s="80" t="str">
        <f t="shared" ref="BO26:BV26" si="240">IF(ISNUMBER(J27),J28-J29,"")</f>
        <v/>
      </c>
      <c r="BP26" s="80" t="str">
        <f t="shared" si="240"/>
        <v/>
      </c>
      <c r="BQ26" s="80" t="str">
        <f t="shared" si="240"/>
        <v/>
      </c>
      <c r="BR26" s="80" t="str">
        <f t="shared" si="240"/>
        <v/>
      </c>
      <c r="BS26" s="80" t="str">
        <f t="shared" si="240"/>
        <v/>
      </c>
      <c r="BT26" s="80" t="str">
        <f t="shared" si="240"/>
        <v/>
      </c>
      <c r="BU26" s="80">
        <f t="shared" si="240"/>
        <v>1.1699999999999875</v>
      </c>
      <c r="BV26" s="80">
        <f t="shared" si="240"/>
        <v>1.3000000000000114</v>
      </c>
      <c r="BW26" s="1309">
        <f>IF(ISNUMBER(BU26),AVERAGE(BU29:BV29),"")</f>
        <v>6.9846462842557133E-3</v>
      </c>
      <c r="BX26" s="1311" t="s">
        <v>27</v>
      </c>
      <c r="BY26" s="1311"/>
      <c r="BZ26" s="1311"/>
      <c r="CA26" s="1311"/>
      <c r="CB26" s="1311"/>
      <c r="CC26" s="1311"/>
      <c r="CD26" s="81"/>
      <c r="CE26" s="82">
        <f t="shared" ref="CE26:CJ26" si="241">IF(J26&lt;&gt;"",BY31,"")</f>
        <v>3.0001438199324416E-2</v>
      </c>
      <c r="CF26" s="82">
        <f t="shared" si="241"/>
        <v>4.0071284662166973E-2</v>
      </c>
      <c r="CG26" s="82">
        <f t="shared" si="241"/>
        <v>5.0141131125009529E-2</v>
      </c>
      <c r="CH26" s="82">
        <f t="shared" si="241"/>
        <v>6.0210977587852085E-2</v>
      </c>
      <c r="CI26" s="82">
        <f t="shared" si="241"/>
        <v>7.0280824050694649E-2</v>
      </c>
      <c r="CJ26" s="83" t="str">
        <f t="shared" si="241"/>
        <v/>
      </c>
      <c r="CK26" s="84">
        <f>AVERAGE(CE26:CJ26)</f>
        <v>5.0141131125009529E-2</v>
      </c>
      <c r="CL26" s="85">
        <f t="shared" ref="CL26:CQ26" si="242">IF(ISNUMBER(CE29),CE29^2,"")</f>
        <v>4.0560723114089098E-4</v>
      </c>
      <c r="CM26" s="85">
        <f t="shared" si="242"/>
        <v>1.0140180778522275E-4</v>
      </c>
      <c r="CN26" s="85">
        <f t="shared" si="242"/>
        <v>0</v>
      </c>
      <c r="CO26" s="85">
        <f t="shared" si="242"/>
        <v>1.0140180778522275E-4</v>
      </c>
      <c r="CP26" s="85">
        <f t="shared" si="242"/>
        <v>4.0560723114089125E-4</v>
      </c>
      <c r="CQ26" s="85" t="str">
        <f t="shared" si="242"/>
        <v/>
      </c>
      <c r="CR26" s="86">
        <f>SUM(CL26:CQ26)</f>
        <v>1.0140180778522277E-3</v>
      </c>
      <c r="CS26" s="332" t="s">
        <v>28</v>
      </c>
      <c r="CT26" s="333">
        <f>-CO32/(2*CM32)</f>
        <v>5.2782550799308686E-2</v>
      </c>
      <c r="CU26" s="103" t="str">
        <f>IF(ISNUMBER(R27),R28-R29,"")</f>
        <v/>
      </c>
      <c r="CV26" s="103" t="str">
        <f>IF(ISNUMBER(S27),S28-S29,"")</f>
        <v/>
      </c>
      <c r="CW26" s="1312" t="str">
        <f>IF(ISNUMBER(CU26),AVERAGE(CU29:CV29),"")</f>
        <v/>
      </c>
      <c r="CX26" s="334">
        <v>0.63</v>
      </c>
      <c r="CY26" s="335">
        <v>1.27</v>
      </c>
      <c r="CZ26" s="335">
        <v>1.9</v>
      </c>
      <c r="DA26" s="335">
        <v>2.54</v>
      </c>
      <c r="DB26" s="335">
        <v>3.81</v>
      </c>
      <c r="DC26" s="335">
        <v>5.08</v>
      </c>
      <c r="DD26" s="335">
        <v>6.35</v>
      </c>
      <c r="DE26" s="335">
        <v>7.62</v>
      </c>
      <c r="DF26" s="278" t="str">
        <f>IF(CX27&lt;&gt;"",AVERAGE(CX26:DE26),"")</f>
        <v/>
      </c>
      <c r="DG26" s="121" t="str">
        <f t="shared" ref="DG26:DN26" si="243">IF(ISNUMBER(CX31),CX31^2,"")</f>
        <v/>
      </c>
      <c r="DH26" s="121" t="str">
        <f t="shared" si="243"/>
        <v/>
      </c>
      <c r="DI26" s="121" t="str">
        <f t="shared" si="243"/>
        <v/>
      </c>
      <c r="DJ26" s="121" t="str">
        <f t="shared" si="243"/>
        <v/>
      </c>
      <c r="DK26" s="121" t="str">
        <f t="shared" si="243"/>
        <v/>
      </c>
      <c r="DL26" s="121" t="str">
        <f t="shared" si="243"/>
        <v/>
      </c>
      <c r="DM26" s="121" t="str">
        <f t="shared" si="243"/>
        <v/>
      </c>
      <c r="DN26" s="121" t="str">
        <f t="shared" si="243"/>
        <v/>
      </c>
      <c r="DO26" s="121" t="str">
        <f>IF(DG26&lt;&gt;"",SUM(DG26:DN26),"")</f>
        <v/>
      </c>
      <c r="DP26" s="121">
        <v>0</v>
      </c>
      <c r="DQ26" s="121" t="str">
        <f>IF(DP27="","",IF(DP27&gt;0,DT29,-1))</f>
        <v/>
      </c>
      <c r="DR26" s="121" t="str">
        <f>IF(DP27="","",IF(DP27&gt;0,DV29,-1))</f>
        <v/>
      </c>
      <c r="DS26" s="121" t="str">
        <f>IF(DP27="","",IF(DP27&gt;0,(DJ30*DS27)+DJ31,-1))</f>
        <v/>
      </c>
      <c r="DT26" s="121" t="str">
        <f>IF(DP27="","",IF(DP27&gt;0,(DJ30*DT27)+DJ31,-1))</f>
        <v/>
      </c>
      <c r="DU26" s="121" t="str">
        <f>IF(DP27="","",IF(DP27&gt;0,DT29,-1))</f>
        <v/>
      </c>
      <c r="DV26" s="121" t="str">
        <f>IF(DP27="","",IF(DP27&gt;0,DT29,-1))</f>
        <v/>
      </c>
      <c r="DW26" s="121" t="str">
        <f>IF(DP27="","",IF(DP27&gt;0,DT29,-1))</f>
        <v/>
      </c>
      <c r="DX26" s="126" t="str">
        <f>IF(DP27="","",IF(DP27&gt;0,DS26,-1))</f>
        <v/>
      </c>
      <c r="DY26" s="334">
        <v>0.63</v>
      </c>
      <c r="DZ26" s="335">
        <v>1.27</v>
      </c>
      <c r="EA26" s="335">
        <v>1.9</v>
      </c>
      <c r="EB26" s="335">
        <v>2.54</v>
      </c>
      <c r="EC26" s="335">
        <v>3.81</v>
      </c>
      <c r="ED26" s="335">
        <v>5.08</v>
      </c>
      <c r="EE26" s="335">
        <v>6.35</v>
      </c>
      <c r="EF26" s="335">
        <v>7.62</v>
      </c>
      <c r="EG26" s="125" t="str">
        <f>IF(DY27&lt;&gt;"",AVERAGE(DY26:EF26),"")</f>
        <v/>
      </c>
      <c r="EH26" s="121" t="str">
        <f t="shared" ref="EH26:EO26" si="244">IF(ISNUMBER(DY31),DY31^2,"")</f>
        <v/>
      </c>
      <c r="EI26" s="121" t="str">
        <f t="shared" si="244"/>
        <v/>
      </c>
      <c r="EJ26" s="121" t="str">
        <f t="shared" si="244"/>
        <v/>
      </c>
      <c r="EK26" s="121" t="str">
        <f t="shared" si="244"/>
        <v/>
      </c>
      <c r="EL26" s="121" t="str">
        <f t="shared" si="244"/>
        <v/>
      </c>
      <c r="EM26" s="121" t="str">
        <f t="shared" si="244"/>
        <v/>
      </c>
      <c r="EN26" s="121" t="str">
        <f t="shared" si="244"/>
        <v/>
      </c>
      <c r="EO26" s="121" t="str">
        <f t="shared" si="244"/>
        <v/>
      </c>
      <c r="EP26" s="121" t="str">
        <f>IF(EH26&lt;&gt;"",SUM(EH26:EO26),"")</f>
        <v/>
      </c>
      <c r="EQ26" s="121">
        <v>0</v>
      </c>
      <c r="ER26" s="121" t="str">
        <f>IF(EQ27="","",IF(EQ27&gt;0,EU29,-1))</f>
        <v/>
      </c>
      <c r="ES26" s="121" t="str">
        <f>IF(EQ27="","",IF(EQ27&gt;0,EW29,-1))</f>
        <v/>
      </c>
      <c r="ET26" s="121" t="str">
        <f>IF(EQ27="","",IF(EQ27&gt;0,(EK30*ET27)+EK31,-1))</f>
        <v/>
      </c>
      <c r="EU26" s="121" t="str">
        <f>IF(EQ27="","",IF(EQ27&gt;0,(EK30*EU27)+EK31,-1))</f>
        <v/>
      </c>
      <c r="EV26" s="121" t="str">
        <f>IF(EQ27="","",IF(EQ27&gt;0,EU29,-1))</f>
        <v/>
      </c>
      <c r="EW26" s="121" t="str">
        <f>IF(EQ27="","",IF(EQ27&gt;0,EU29,-1))</f>
        <v/>
      </c>
      <c r="EX26" s="121" t="str">
        <f>IF(EQ27="","",IF(EQ27&gt;0,EU29,-1))</f>
        <v/>
      </c>
      <c r="EY26" s="126" t="str">
        <f>IF(EQ27="","",IF(EQ27&gt;0,ET26,-1))</f>
        <v/>
      </c>
      <c r="EZ26" s="334">
        <v>0.63</v>
      </c>
      <c r="FA26" s="335">
        <v>1.27</v>
      </c>
      <c r="FB26" s="335">
        <v>1.9</v>
      </c>
      <c r="FC26" s="335">
        <v>2.54</v>
      </c>
      <c r="FD26" s="335">
        <v>3.81</v>
      </c>
      <c r="FE26" s="335">
        <v>5.08</v>
      </c>
      <c r="FF26" s="335">
        <v>6.35</v>
      </c>
      <c r="FG26" s="335">
        <v>7.62</v>
      </c>
      <c r="FH26" s="125" t="str">
        <f>IF(EZ27&lt;&gt;"",AVERAGE(EZ26:FG26),"")</f>
        <v/>
      </c>
      <c r="FI26" s="121" t="str">
        <f t="shared" ref="FI26:FP26" si="245">IF(ISNUMBER(EZ31),EZ31^2,"")</f>
        <v/>
      </c>
      <c r="FJ26" s="121" t="str">
        <f t="shared" si="245"/>
        <v/>
      </c>
      <c r="FK26" s="121" t="str">
        <f t="shared" si="245"/>
        <v/>
      </c>
      <c r="FL26" s="121" t="str">
        <f t="shared" si="245"/>
        <v/>
      </c>
      <c r="FM26" s="121" t="str">
        <f t="shared" si="245"/>
        <v/>
      </c>
      <c r="FN26" s="121" t="str">
        <f t="shared" si="245"/>
        <v/>
      </c>
      <c r="FO26" s="121" t="str">
        <f t="shared" si="245"/>
        <v/>
      </c>
      <c r="FP26" s="121" t="str">
        <f t="shared" si="245"/>
        <v/>
      </c>
      <c r="FQ26" s="121" t="str">
        <f>IF(FI26&lt;&gt;"",SUM(FI26:FP26),"")</f>
        <v/>
      </c>
      <c r="FR26" s="121">
        <v>0</v>
      </c>
      <c r="FS26" s="121" t="str">
        <f>IF(FR27="","",IF(FR27&gt;0,FV29,-1))</f>
        <v/>
      </c>
      <c r="FT26" s="121" t="str">
        <f>IF(FR27="","",IF(FR27&gt;0,FX29,-1))</f>
        <v/>
      </c>
      <c r="FU26" s="121" t="str">
        <f>IF(FR27="","",IF(FR27&gt;0,(FL30*FU27)+FL31,-1))</f>
        <v/>
      </c>
      <c r="FV26" s="121" t="str">
        <f>IF(FR27="","",IF(FR27&gt;0,(FL30*FV27)+FL31,-1))</f>
        <v/>
      </c>
      <c r="FW26" s="121" t="str">
        <f>IF(FR27="","",IF(FR27&gt;0,FV29,-1))</f>
        <v/>
      </c>
      <c r="FX26" s="121" t="str">
        <f>IF(FR27="","",IF(FR27&gt;0,FV29,-1))</f>
        <v/>
      </c>
      <c r="FY26" s="121" t="str">
        <f>IF(FR27="","",IF(FR27&gt;0,FV29,-1))</f>
        <v/>
      </c>
      <c r="FZ26" s="126" t="str">
        <f>IF(FR27="","",IF(FR27&gt;0,FU26,-1))</f>
        <v/>
      </c>
      <c r="GA26" s="334">
        <v>0.63</v>
      </c>
      <c r="GB26" s="335">
        <v>1.27</v>
      </c>
      <c r="GC26" s="335">
        <v>1.9</v>
      </c>
      <c r="GD26" s="335">
        <v>2.54</v>
      </c>
      <c r="GE26" s="335">
        <v>3.81</v>
      </c>
      <c r="GF26" s="335">
        <v>5.08</v>
      </c>
      <c r="GG26" s="335">
        <v>6.35</v>
      </c>
      <c r="GH26" s="335">
        <v>7.62</v>
      </c>
      <c r="GI26" s="125" t="str">
        <f>IF(GA27&lt;&gt;"",AVERAGE(GA26:GH26),"")</f>
        <v/>
      </c>
      <c r="GJ26" s="121" t="str">
        <f t="shared" ref="GJ26:GQ26" si="246">IF(ISNUMBER(GA31),GA31^2,"")</f>
        <v/>
      </c>
      <c r="GK26" s="121" t="str">
        <f t="shared" si="246"/>
        <v/>
      </c>
      <c r="GL26" s="121" t="str">
        <f t="shared" si="246"/>
        <v/>
      </c>
      <c r="GM26" s="121" t="str">
        <f t="shared" si="246"/>
        <v/>
      </c>
      <c r="GN26" s="121" t="str">
        <f t="shared" si="246"/>
        <v/>
      </c>
      <c r="GO26" s="121" t="str">
        <f t="shared" si="246"/>
        <v/>
      </c>
      <c r="GP26" s="121" t="str">
        <f t="shared" si="246"/>
        <v/>
      </c>
      <c r="GQ26" s="121" t="str">
        <f t="shared" si="246"/>
        <v/>
      </c>
      <c r="GR26" s="121" t="str">
        <f>IF(GJ26&lt;&gt;"",SUM(GJ26:GQ26),"")</f>
        <v/>
      </c>
      <c r="GS26" s="121">
        <v>0</v>
      </c>
      <c r="GT26" s="121" t="str">
        <f>IF(GS27="","",IF(GS27&gt;0,GW29,-1))</f>
        <v/>
      </c>
      <c r="GU26" s="121" t="str">
        <f>IF(GS27="","",IF(GS27&gt;0,GY29,-1))</f>
        <v/>
      </c>
      <c r="GV26" s="121" t="str">
        <f>IF(GS27="","",IF(GS27&gt;0,(GM30*GV27)+GM31,-1))</f>
        <v/>
      </c>
      <c r="GW26" s="121" t="str">
        <f>IF(GS27="","",IF(GS27&gt;0,(GM30*GW27)+GM31,-1))</f>
        <v/>
      </c>
      <c r="GX26" s="121" t="str">
        <f>IF(GS27="","",IF(GS27&gt;0,GW29,-1))</f>
        <v/>
      </c>
      <c r="GY26" s="121" t="str">
        <f>IF(GS27="","",IF(GS27&gt;0,GW29,-1))</f>
        <v/>
      </c>
      <c r="GZ26" s="121" t="str">
        <f>IF(GS27="","",IF(GS27&gt;0,GW29,-1))</f>
        <v/>
      </c>
      <c r="HA26" s="126" t="str">
        <f>IF(GS27="","",IF(GS27&gt;0,GV26,-1))</f>
        <v/>
      </c>
      <c r="HB26" s="334">
        <v>0.63</v>
      </c>
      <c r="HC26" s="335">
        <v>1.27</v>
      </c>
      <c r="HD26" s="335">
        <v>1.9</v>
      </c>
      <c r="HE26" s="335">
        <v>2.54</v>
      </c>
      <c r="HF26" s="335">
        <v>3.81</v>
      </c>
      <c r="HG26" s="335">
        <v>5.08</v>
      </c>
      <c r="HH26" s="335">
        <v>6.35</v>
      </c>
      <c r="HI26" s="335">
        <v>7.62</v>
      </c>
      <c r="HJ26" s="125" t="str">
        <f>IF(HB27&lt;&gt;"",AVERAGE(HB26:HI26),"")</f>
        <v/>
      </c>
      <c r="HK26" s="121" t="str">
        <f t="shared" ref="HK26:HR26" si="247">IF(ISNUMBER(HB31),HB31^2,"")</f>
        <v/>
      </c>
      <c r="HL26" s="121" t="str">
        <f t="shared" si="247"/>
        <v/>
      </c>
      <c r="HM26" s="121" t="str">
        <f t="shared" si="247"/>
        <v/>
      </c>
      <c r="HN26" s="121" t="str">
        <f t="shared" si="247"/>
        <v/>
      </c>
      <c r="HO26" s="121" t="str">
        <f t="shared" si="247"/>
        <v/>
      </c>
      <c r="HP26" s="121" t="str">
        <f t="shared" si="247"/>
        <v/>
      </c>
      <c r="HQ26" s="121" t="str">
        <f t="shared" si="247"/>
        <v/>
      </c>
      <c r="HR26" s="121" t="str">
        <f t="shared" si="247"/>
        <v/>
      </c>
      <c r="HS26" s="121" t="str">
        <f>IF(HK26&lt;&gt;"",SUM(HK26:HR26),"")</f>
        <v/>
      </c>
      <c r="HT26" s="121">
        <v>0</v>
      </c>
      <c r="HU26" s="121" t="str">
        <f>IF(HT27="","",IF(HT27&gt;0,HX29,-1))</f>
        <v/>
      </c>
      <c r="HV26" s="121" t="str">
        <f>IF(HT27="","",IF(HT27&gt;0,HZ29,-1))</f>
        <v/>
      </c>
      <c r="HW26" s="121" t="str">
        <f>IF(HT27="","",IF(HT27&gt;0,(HN30*HW27)+HN31,-1))</f>
        <v/>
      </c>
      <c r="HX26" s="121" t="str">
        <f>IF(HT27="","",IF(HT27&gt;0,(HN30*HX27)+HN31,-1))</f>
        <v/>
      </c>
      <c r="HY26" s="121" t="str">
        <f>IF(HT27="","",IF(HT27&gt;0,HX29,-1))</f>
        <v/>
      </c>
      <c r="HZ26" s="121" t="str">
        <f>IF(HT27="","",IF(HT27&gt;0,HX29,-1))</f>
        <v/>
      </c>
      <c r="IA26" s="121" t="str">
        <f>IF(HT27="","",IF(HT27&gt;0,HX29,-1))</f>
        <v/>
      </c>
      <c r="IB26" s="126" t="str">
        <f>IF(HT27="","",IF(HT27&gt;0,HW26,-1))</f>
        <v/>
      </c>
      <c r="IC26" s="334">
        <v>0.63</v>
      </c>
      <c r="ID26" s="335">
        <v>1.27</v>
      </c>
      <c r="IE26" s="335">
        <v>1.9</v>
      </c>
      <c r="IF26" s="335">
        <v>2.54</v>
      </c>
      <c r="IG26" s="335">
        <v>3.81</v>
      </c>
      <c r="IH26" s="335">
        <v>5.08</v>
      </c>
      <c r="II26" s="335">
        <v>6.35</v>
      </c>
      <c r="IJ26" s="335">
        <v>7.62</v>
      </c>
      <c r="IK26" s="125" t="str">
        <f>IF(IC27&lt;&gt;"",AVERAGE(IC26:IJ26),"")</f>
        <v/>
      </c>
      <c r="IL26" s="121" t="str">
        <f t="shared" ref="IL26:IS26" si="248">IF(ISNUMBER(IC31),IC31^2,"")</f>
        <v/>
      </c>
      <c r="IM26" s="121" t="str">
        <f t="shared" si="248"/>
        <v/>
      </c>
      <c r="IN26" s="121" t="str">
        <f t="shared" si="248"/>
        <v/>
      </c>
      <c r="IO26" s="121" t="str">
        <f t="shared" si="248"/>
        <v/>
      </c>
      <c r="IP26" s="121" t="str">
        <f t="shared" si="248"/>
        <v/>
      </c>
      <c r="IQ26" s="121" t="str">
        <f t="shared" si="248"/>
        <v/>
      </c>
      <c r="IR26" s="121" t="str">
        <f t="shared" si="248"/>
        <v/>
      </c>
      <c r="IS26" s="121" t="str">
        <f t="shared" si="248"/>
        <v/>
      </c>
      <c r="IT26" s="121" t="str">
        <f>IF(IL26&lt;&gt;"",SUM(IL26:IS26),"")</f>
        <v/>
      </c>
      <c r="IU26" s="121">
        <v>0</v>
      </c>
      <c r="IV26" s="121" t="str">
        <f>IF(IU27="","",IF(IU27&gt;0,IY29,-1))</f>
        <v/>
      </c>
      <c r="IW26" s="121" t="str">
        <f>IF(IU27="","",IF(IU27&gt;0,JA29,-1))</f>
        <v/>
      </c>
      <c r="IX26" s="121" t="str">
        <f>IF(IU27="","",IF(IU27&gt;0,(IO30*IX27)+IO31,-1))</f>
        <v/>
      </c>
      <c r="IY26" s="121" t="str">
        <f>IF(IU27="","",IF(IU27&gt;0,(IO30*IY27)+IO31,-1))</f>
        <v/>
      </c>
      <c r="IZ26" s="121" t="str">
        <f>IF(IU27="","",IF(IU27&gt;0,IY29,-1))</f>
        <v/>
      </c>
      <c r="JA26" s="121" t="str">
        <f>IF(IU27="","",IF(IU27&gt;0,IY29,-1))</f>
        <v/>
      </c>
      <c r="JB26" s="121" t="str">
        <f>IF(IU27="","",IF(IU27&gt;0,IY29,-1))</f>
        <v/>
      </c>
      <c r="JC26" s="126" t="str">
        <f>IF(IU27="","",IF(IU27&gt;0,IX26,-1))</f>
        <v/>
      </c>
      <c r="JD26" s="149" t="str">
        <f t="shared" ref="JD26:JD31" si="249">IF(T27&lt;&gt;"",T27,"")</f>
        <v/>
      </c>
      <c r="JE26" s="82" t="str">
        <f>IF(JD26&lt;&gt;"",CE26,"")</f>
        <v/>
      </c>
      <c r="JF26" s="82">
        <f>IF(JD27&lt;&gt;"",CF26,"")</f>
        <v>4.0071284662166973E-2</v>
      </c>
      <c r="JG26" s="82">
        <f>IF(JD28&lt;&gt;"",CG26,"")</f>
        <v>5.0141131125009529E-2</v>
      </c>
      <c r="JH26" s="82">
        <f>IF(JD29&lt;&gt;"",CH26,"")</f>
        <v>6.0210977587852085E-2</v>
      </c>
      <c r="JI26" s="82" t="str">
        <f>IF(JD30&lt;&gt;"",CI26,"")</f>
        <v/>
      </c>
      <c r="JJ26" s="82" t="str">
        <f>IF(JD31&lt;&gt;"",CJ26,"")</f>
        <v/>
      </c>
      <c r="JK26" s="84">
        <f>AVERAGE(JE26:JJ26)</f>
        <v>5.0141131125009529E-2</v>
      </c>
      <c r="JL26" s="85" t="str">
        <f t="shared" ref="JL26:JQ26" si="250">IF(ISNUMBER(JE29),JE29^2,"")</f>
        <v/>
      </c>
      <c r="JM26" s="85">
        <f t="shared" si="250"/>
        <v>1.0140180778522275E-4</v>
      </c>
      <c r="JN26" s="85">
        <f t="shared" si="250"/>
        <v>0</v>
      </c>
      <c r="JO26" s="85">
        <f t="shared" si="250"/>
        <v>1.0140180778522275E-4</v>
      </c>
      <c r="JP26" s="85" t="str">
        <f t="shared" si="250"/>
        <v/>
      </c>
      <c r="JQ26" s="85" t="str">
        <f t="shared" si="250"/>
        <v/>
      </c>
      <c r="JR26" s="86">
        <f>SUM(JL26:JQ26)</f>
        <v>2.0280361557044549E-4</v>
      </c>
      <c r="JS26" s="336" t="s">
        <v>28</v>
      </c>
      <c r="JT26" s="337" t="e">
        <f>-JO32/(2*JM32)</f>
        <v>#DIV/0!</v>
      </c>
      <c r="JU26" s="153" t="str">
        <f>IF(T27&lt;&gt;0,LOOKUP(T27,Tara!$G$6:$G$185,Tara!$J$6:$J$185)/10,"")</f>
        <v/>
      </c>
      <c r="JV26" s="125" t="str">
        <f t="shared" ref="JV26:JV31" si="251">IF(ISNUMBER(U27),MAX(Z27:AC27)-MIN(Z27:AC27),"")</f>
        <v/>
      </c>
      <c r="JW26" s="154" t="str">
        <f t="shared" ref="JW26:JW31" si="252">IF(JV26&lt;&gt;"",JV26/JU26/10,"")</f>
        <v/>
      </c>
      <c r="JX26" s="82" t="str">
        <f>IF(JD26&lt;&gt;"",CE26,"")</f>
        <v/>
      </c>
      <c r="JY26" s="82">
        <f>IF(JD27&lt;&gt;"",CF26,"")</f>
        <v>4.0071284662166973E-2</v>
      </c>
      <c r="JZ26" s="82">
        <f>IF(JD28&lt;&gt;"",CG26,"")</f>
        <v>5.0141131125009529E-2</v>
      </c>
      <c r="KA26" s="82">
        <f>IF(JD29&lt;&gt;"",CH26,"")</f>
        <v>6.0210977587852085E-2</v>
      </c>
      <c r="KB26" s="82" t="str">
        <f>IF(JD30&lt;&gt;"",CI26,"")</f>
        <v/>
      </c>
      <c r="KC26" s="82" t="str">
        <f>IF(JD31&lt;&gt;"",CJ26,"")</f>
        <v/>
      </c>
      <c r="KD26" s="84">
        <f>AVERAGE(JX26:KC26)</f>
        <v>5.0141131125009529E-2</v>
      </c>
      <c r="KE26" s="85" t="str">
        <f t="shared" ref="KE26:KJ26" si="253">IF(ISNUMBER(JX29),JX29^2,"")</f>
        <v/>
      </c>
      <c r="KF26" s="85">
        <f t="shared" si="253"/>
        <v>1.0140180778522275E-4</v>
      </c>
      <c r="KG26" s="85">
        <f t="shared" si="253"/>
        <v>0</v>
      </c>
      <c r="KH26" s="85">
        <f t="shared" si="253"/>
        <v>1.0140180778522275E-4</v>
      </c>
      <c r="KI26" s="85" t="str">
        <f t="shared" si="253"/>
        <v/>
      </c>
      <c r="KJ26" s="85" t="str">
        <f t="shared" si="253"/>
        <v/>
      </c>
      <c r="KK26" s="86">
        <f>SUM(KE26:KJ26)</f>
        <v>2.0280361557044549E-4</v>
      </c>
      <c r="KL26" s="336" t="s">
        <v>28</v>
      </c>
      <c r="KM26" s="337" t="e">
        <f>-KH32/(2*KF32)</f>
        <v>#DIV/0!</v>
      </c>
      <c r="KN26" s="165" t="str">
        <f>IF(ISNUMBER(AN26),AN27-AN28,"")</f>
        <v/>
      </c>
      <c r="KO26" s="160" t="str">
        <f>IF(ISNUMBER(AO26),AO27-AO28,"")</f>
        <v/>
      </c>
      <c r="KP26" s="160" t="str">
        <f>IF(ISNUMBER(AP26),AP27-AP28,"")</f>
        <v/>
      </c>
      <c r="KQ26" s="160" t="str">
        <f>IF(ISNUMBER(AQ26),AQ27-AQ28,"")</f>
        <v/>
      </c>
      <c r="KR26" s="166" t="str">
        <f>IF(ISNUMBER(AR26),AR27-AR28,"")</f>
        <v/>
      </c>
      <c r="KS26" s="182" t="str">
        <f>IF(ISNUMBER(AN30),AN31-AN32,"")</f>
        <v/>
      </c>
      <c r="KT26" s="183" t="str">
        <f>IF(ISNUMBER(AO30),AO31-AO32,"")</f>
        <v/>
      </c>
      <c r="KU26" s="183" t="str">
        <f>IF(ISNUMBER(AP30),AP31-AP32,"")</f>
        <v/>
      </c>
      <c r="KV26" s="183" t="str">
        <f>IF(ISNUMBER(AQ30),AQ31-AQ32,"")</f>
        <v/>
      </c>
      <c r="KW26" s="183" t="str">
        <f>IF(ISNUMBER(AR30),AR31-AR32,"")</f>
        <v/>
      </c>
      <c r="KX26" s="1274">
        <f>IF(KU31="NP",0,KU31)*100</f>
        <v>0</v>
      </c>
      <c r="KY26" s="193">
        <v>1</v>
      </c>
      <c r="KZ26" s="194">
        <v>2</v>
      </c>
      <c r="LA26" s="182">
        <f>IF(ISNUMBER(AT30),AU30-AV30,"")</f>
        <v>3.2999999999999829</v>
      </c>
      <c r="LB26" s="183">
        <f>IF(ISNUMBER(AW30),AX30-AY30,"")</f>
        <v>3.1800000000000068</v>
      </c>
      <c r="LC26" s="197"/>
      <c r="LD26" s="198"/>
      <c r="LE26" s="204" t="s">
        <v>29</v>
      </c>
      <c r="LF26" s="204" t="s">
        <v>30</v>
      </c>
      <c r="LG26" s="204" t="s">
        <v>31</v>
      </c>
      <c r="LH26" s="204" t="s">
        <v>32</v>
      </c>
      <c r="LI26" s="204" t="s">
        <v>33</v>
      </c>
      <c r="LJ26" s="204">
        <v>4</v>
      </c>
      <c r="LK26" s="204">
        <v>10</v>
      </c>
      <c r="LL26" s="204">
        <v>40</v>
      </c>
      <c r="LM26" s="205">
        <v>200</v>
      </c>
      <c r="LN26" s="208"/>
      <c r="LO26" s="209"/>
      <c r="LP26" s="209"/>
      <c r="LQ26" s="209"/>
      <c r="LR26" s="210"/>
      <c r="LS26" s="213"/>
      <c r="LT26" s="121"/>
      <c r="LU26" s="121"/>
      <c r="LV26" s="121"/>
      <c r="LW26" s="121"/>
      <c r="LX26" s="121"/>
      <c r="LY26" s="121"/>
      <c r="LZ26" s="121"/>
      <c r="MA26" s="121"/>
      <c r="MB26" s="121"/>
      <c r="MC26" s="121"/>
      <c r="MD26" s="121"/>
      <c r="ME26" s="126"/>
      <c r="MF26" s="208"/>
      <c r="MG26" s="209"/>
      <c r="MH26" s="209"/>
      <c r="MI26" s="209"/>
      <c r="MJ26" s="209"/>
      <c r="MK26" s="209"/>
      <c r="ML26" s="209"/>
      <c r="MM26" s="209"/>
      <c r="MN26" s="209"/>
      <c r="MO26" s="209"/>
      <c r="MP26" s="209"/>
      <c r="MQ26" s="209"/>
      <c r="MR26" s="209"/>
      <c r="MS26" s="209"/>
      <c r="MT26" s="209"/>
      <c r="MU26" s="209"/>
      <c r="MV26" s="209"/>
      <c r="MW26" s="209"/>
      <c r="MX26" s="209"/>
      <c r="MY26" s="209"/>
      <c r="MZ26" s="209"/>
      <c r="NA26" s="209"/>
      <c r="NB26" s="209"/>
      <c r="NC26" s="209"/>
      <c r="ND26" s="209"/>
      <c r="NE26" s="209"/>
      <c r="NF26" s="209"/>
      <c r="NG26" s="209"/>
      <c r="NH26" s="209"/>
      <c r="NI26" s="209"/>
      <c r="NJ26" s="209"/>
      <c r="NK26" s="209"/>
      <c r="NL26" s="209"/>
      <c r="NM26" s="209"/>
      <c r="NN26" s="209"/>
      <c r="NO26" s="209"/>
      <c r="NP26" s="209"/>
      <c r="NQ26" s="209"/>
      <c r="NR26" s="209"/>
      <c r="NS26" s="209"/>
      <c r="NT26" s="209"/>
      <c r="NU26" s="209"/>
      <c r="NV26" s="209"/>
      <c r="NW26" s="209"/>
      <c r="NX26" s="209"/>
      <c r="NY26" s="209"/>
      <c r="NZ26" s="209"/>
      <c r="OA26" s="209"/>
      <c r="OB26" s="209"/>
      <c r="OC26" s="209"/>
      <c r="OD26" s="210"/>
      <c r="OE26" s="132"/>
      <c r="OF26" s="132"/>
      <c r="OG26" s="132"/>
      <c r="OH26" s="132"/>
      <c r="OI26" s="56"/>
      <c r="OJ26" s="56"/>
      <c r="OK26" s="56"/>
      <c r="OL26" s="56"/>
      <c r="OM26" s="56"/>
      <c r="ON26" s="56"/>
      <c r="OO26" s="56"/>
      <c r="OP26" s="56"/>
      <c r="OQ26" s="56"/>
      <c r="OR26" s="56"/>
      <c r="OS26" s="56"/>
      <c r="OT26" s="56"/>
      <c r="OU26" s="56"/>
      <c r="OV26" s="56"/>
      <c r="OW26" s="56"/>
      <c r="OX26" s="56"/>
      <c r="OY26" s="56"/>
      <c r="OZ26" s="56"/>
      <c r="PA26" s="56"/>
      <c r="PB26" s="56"/>
      <c r="PC26" s="56"/>
      <c r="PD26" s="56"/>
      <c r="PE26" s="56"/>
      <c r="PF26" s="56"/>
      <c r="PG26" s="56"/>
      <c r="PH26" s="56"/>
      <c r="PI26" s="56"/>
      <c r="PJ26" s="56"/>
      <c r="PK26" s="56"/>
      <c r="PL26" s="56"/>
      <c r="PM26" s="56"/>
    </row>
    <row r="27" spans="1:1378" ht="15" hidden="1" customHeight="1" x14ac:dyDescent="0.3">
      <c r="A27" s="1337"/>
      <c r="B27" s="723" t="s">
        <v>34</v>
      </c>
      <c r="C27" s="665"/>
      <c r="D27" s="724" t="s">
        <v>35</v>
      </c>
      <c r="E27" s="725">
        <v>4</v>
      </c>
      <c r="F27" s="1369" t="s">
        <v>36</v>
      </c>
      <c r="G27" s="726" t="s">
        <v>37</v>
      </c>
      <c r="H27" s="727"/>
      <c r="I27" s="723" t="s">
        <v>38</v>
      </c>
      <c r="J27" s="667"/>
      <c r="K27" s="667"/>
      <c r="L27" s="667"/>
      <c r="M27" s="667"/>
      <c r="N27" s="667"/>
      <c r="O27" s="667"/>
      <c r="P27" s="669">
        <v>13</v>
      </c>
      <c r="Q27" s="670">
        <v>24</v>
      </c>
      <c r="R27" s="669"/>
      <c r="S27" s="670"/>
      <c r="T27" s="1181"/>
      <c r="U27" s="728"/>
      <c r="V27" s="729">
        <v>0.45833333333333331</v>
      </c>
      <c r="W27" s="729"/>
      <c r="X27" s="729"/>
      <c r="Y27" s="729"/>
      <c r="Z27" s="673"/>
      <c r="AA27" s="673"/>
      <c r="AB27" s="673"/>
      <c r="AC27" s="673"/>
      <c r="AD27" s="675"/>
      <c r="AE27" s="675"/>
      <c r="AF27" s="675"/>
      <c r="AG27" s="675"/>
      <c r="AH27" s="675"/>
      <c r="AI27" s="675"/>
      <c r="AJ27" s="675"/>
      <c r="AK27" s="677"/>
      <c r="AL27" s="1355"/>
      <c r="AM27" s="730" t="s">
        <v>39</v>
      </c>
      <c r="AN27" s="731"/>
      <c r="AO27" s="731"/>
      <c r="AP27" s="731"/>
      <c r="AQ27" s="731"/>
      <c r="AR27" s="732"/>
      <c r="AS27" s="1358"/>
      <c r="AT27" s="1321" t="s">
        <v>40</v>
      </c>
      <c r="AU27" s="1322"/>
      <c r="AV27" s="1323"/>
      <c r="AW27" s="1324" t="s">
        <v>41</v>
      </c>
      <c r="AX27" s="1325"/>
      <c r="AY27" s="1326"/>
      <c r="AZ27" s="1327" t="s">
        <v>42</v>
      </c>
      <c r="BA27" s="1328"/>
      <c r="BB27" s="1328"/>
      <c r="BC27" s="1328"/>
      <c r="BD27" s="1328"/>
      <c r="BE27" s="1328"/>
      <c r="BF27" s="1329"/>
      <c r="BG27" s="733" t="s">
        <v>43</v>
      </c>
      <c r="BH27" s="733" t="s">
        <v>44</v>
      </c>
      <c r="BI27" s="1327" t="s">
        <v>42</v>
      </c>
      <c r="BJ27" s="1328"/>
      <c r="BK27" s="1329"/>
      <c r="BL27" s="1319"/>
      <c r="BM27" s="1307"/>
      <c r="BN27" s="62" t="s">
        <v>45</v>
      </c>
      <c r="BO27" s="104" t="str">
        <f>IF(ISNUMBER(J27),LOOKUP(J27,Tara!$C$6:$C$185,Tara!$D$6:$D$185),"")</f>
        <v/>
      </c>
      <c r="BP27" s="104" t="str">
        <f>IF(ISNUMBER(K27),LOOKUP(K27,Tara!$C$6:$C$185,Tara!$D$6:$D$185),"")</f>
        <v/>
      </c>
      <c r="BQ27" s="104" t="str">
        <f>IF(ISNUMBER(L27),LOOKUP(L27,Tara!$C$6:$C$185,Tara!$D$6:$D$185),"")</f>
        <v/>
      </c>
      <c r="BR27" s="104" t="str">
        <f>IF(ISNUMBER(M27),LOOKUP(M27,Tara!$C$6:$C$185,Tara!$D$6:$D$185),"")</f>
        <v/>
      </c>
      <c r="BS27" s="104" t="str">
        <f>IF(ISNUMBER(N27),LOOKUP(N27,Tara!$C$6:$C$185,Tara!$D$6:$D$185),"")</f>
        <v/>
      </c>
      <c r="BT27" s="104" t="str">
        <f>IF(ISNUMBER(O27),LOOKUP(O27,Tara!$C$6:$C$185,Tara!$D$6:$D$185),"")</f>
        <v/>
      </c>
      <c r="BU27" s="104">
        <f>IF(ISNUMBER(P27),LOOKUP(P27,Tara!$C$6:$C$185,Tara!$D$6:$D$185),"")</f>
        <v>24.15</v>
      </c>
      <c r="BV27" s="104">
        <f>IF(ISNUMBER(Q27),LOOKUP(Q27,Tara!$C$6:$C$185,Tara!$D$6:$D$185),"")</f>
        <v>26.05</v>
      </c>
      <c r="BW27" s="1310"/>
      <c r="BX27" s="108" t="s">
        <v>46</v>
      </c>
      <c r="BY27" s="66">
        <f>IF(ISNUMBER(J31),LOOKUP(J31,Tara!$G$6:$G$185,Tara!$H$6:$H$185),"")</f>
        <v>5530</v>
      </c>
      <c r="BZ27" s="66">
        <f>IF(ISNUMBER(K31),LOOKUP(K31,Tara!$G$6:$G$185,Tara!$H$6:$H$185),"")</f>
        <v>5373</v>
      </c>
      <c r="CA27" s="66">
        <f>IF(ISNUMBER(L31),LOOKUP(L31,Tara!$G$6:$G$185,Tara!$H$6:$H$185),"")</f>
        <v>5343</v>
      </c>
      <c r="CB27" s="66">
        <f>IF(ISNUMBER(M31),LOOKUP(M31,Tara!$G$6:$G$185,Tara!$H$6:$H$185),"")</f>
        <v>5119</v>
      </c>
      <c r="CC27" s="66">
        <f>IF(ISNUMBER(N31),LOOKUP(N31,Tara!$G$6:$G$185,Tara!$H$6:$H$185),"")</f>
        <v>5530</v>
      </c>
      <c r="CD27" s="66" t="str">
        <f>IF(ISNUMBER(O31),LOOKUP(O31,Tara!$G$6:$G$185,Tara!$H$6:$H$185),"")</f>
        <v/>
      </c>
      <c r="CE27" s="78">
        <f t="shared" ref="CE27:CJ27" si="254">IF(J26&lt;&gt;"",BY32,"")</f>
        <v>2110.0853742694967</v>
      </c>
      <c r="CF27" s="78">
        <f t="shared" si="254"/>
        <v>2183.5657499217118</v>
      </c>
      <c r="CG27" s="78">
        <f t="shared" si="254"/>
        <v>2289.765027721558</v>
      </c>
      <c r="CH27" s="78">
        <f t="shared" si="254"/>
        <v>2273.7979959345384</v>
      </c>
      <c r="CI27" s="78">
        <f t="shared" si="254"/>
        <v>2158.572335759869</v>
      </c>
      <c r="CJ27" s="257" t="str">
        <f t="shared" si="254"/>
        <v/>
      </c>
      <c r="CK27" s="75">
        <f>AVERAGE(CE27:CJ27)</f>
        <v>2203.1572967214352</v>
      </c>
      <c r="CL27" s="75">
        <f t="shared" ref="CL27:CQ27" si="255">IF(ISNUMBER(CE31),CE31^2,"")</f>
        <v>3.3009452017004687E-6</v>
      </c>
      <c r="CM27" s="75">
        <f t="shared" si="255"/>
        <v>1.234829427257298E-6</v>
      </c>
      <c r="CN27" s="75">
        <f t="shared" si="255"/>
        <v>4.1129306488445184E-8</v>
      </c>
      <c r="CO27" s="75">
        <f t="shared" si="255"/>
        <v>8.2523630042511675E-7</v>
      </c>
      <c r="CP27" s="75">
        <f t="shared" si="255"/>
        <v>4.9393177090291939E-6</v>
      </c>
      <c r="CQ27" s="75" t="str">
        <f t="shared" si="255"/>
        <v/>
      </c>
      <c r="CR27" s="65">
        <f>SUM(CL27:CQ27)</f>
        <v>1.0341457944900523E-5</v>
      </c>
      <c r="CS27" s="338" t="s">
        <v>47</v>
      </c>
      <c r="CT27" s="339">
        <f>CM32*CT26^2+CO32*CT26+CQ32</f>
        <v>2276.9809377801403</v>
      </c>
      <c r="CU27" s="104" t="str">
        <f>IF(ISNUMBER(R27),LOOKUP(R27,Tara!$C$6:$C$185,Tara!$D$6:$D$185),"")</f>
        <v/>
      </c>
      <c r="CV27" s="104" t="str">
        <f>IF(ISNUMBER(S27),LOOKUP(S27,Tara!$C$6:$C$185,Tara!$D$6:$D$185),"")</f>
        <v/>
      </c>
      <c r="CW27" s="1313"/>
      <c r="CX27" s="123" t="str">
        <f t="shared" ref="CX27:DE27" si="256">IF(ISNUMBER(AD27),AD27*$W30,"")</f>
        <v/>
      </c>
      <c r="CY27" s="116" t="str">
        <f t="shared" si="256"/>
        <v/>
      </c>
      <c r="CZ27" s="116" t="str">
        <f t="shared" si="256"/>
        <v/>
      </c>
      <c r="DA27" s="116" t="str">
        <f t="shared" si="256"/>
        <v/>
      </c>
      <c r="DB27" s="116" t="str">
        <f t="shared" si="256"/>
        <v/>
      </c>
      <c r="DC27" s="116" t="str">
        <f t="shared" si="256"/>
        <v/>
      </c>
      <c r="DD27" s="116" t="str">
        <f t="shared" si="256"/>
        <v/>
      </c>
      <c r="DE27" s="116" t="str">
        <f t="shared" si="256"/>
        <v/>
      </c>
      <c r="DF27" s="279" t="str">
        <f>IF(CX27&lt;&gt;"",AVERAGE(CX27:DE27),"")</f>
        <v/>
      </c>
      <c r="DG27" s="119" t="str">
        <f t="shared" ref="DG27:DN28" si="257">IF(ISERROR(CX29*CX30),"",CX29*CX30)</f>
        <v/>
      </c>
      <c r="DH27" s="119" t="str">
        <f t="shared" si="257"/>
        <v/>
      </c>
      <c r="DI27" s="119" t="str">
        <f t="shared" si="257"/>
        <v/>
      </c>
      <c r="DJ27" s="119" t="str">
        <f t="shared" si="257"/>
        <v/>
      </c>
      <c r="DK27" s="119" t="str">
        <f t="shared" si="257"/>
        <v/>
      </c>
      <c r="DL27" s="119" t="str">
        <f t="shared" si="257"/>
        <v/>
      </c>
      <c r="DM27" s="119" t="str">
        <f t="shared" si="257"/>
        <v/>
      </c>
      <c r="DN27" s="119" t="str">
        <f t="shared" si="257"/>
        <v/>
      </c>
      <c r="DO27" s="119" t="str">
        <f>IF(DG27&lt;&gt;"",SUM(DG27:DN27),"")</f>
        <v/>
      </c>
      <c r="DP27" s="120" t="str">
        <f>IF(DJ31&lt;&gt;"",(DP26-DJ31)/DJ30,"")</f>
        <v/>
      </c>
      <c r="DQ27" s="119" t="str">
        <f>IF(DP27="","",IF(DP27&gt;0,DT28+DP27,-1))</f>
        <v/>
      </c>
      <c r="DR27" s="119" t="str">
        <f>IF(DP27="","",IF(DP27&gt;0,DV28+DP27,-1))</f>
        <v/>
      </c>
      <c r="DS27" s="119" t="str">
        <f>IF(DP27="","",IF(DP27&gt;0,DQ27,-1))</f>
        <v/>
      </c>
      <c r="DT27" s="119" t="str">
        <f>IF(DP27="","",IF(DP27&gt;0,DR27,-1))</f>
        <v/>
      </c>
      <c r="DU27" s="119" t="str">
        <f>IF(DP27="","",IF(DP27&gt;0,DT28,-1))</f>
        <v/>
      </c>
      <c r="DV27" s="119" t="str">
        <f>IF(DP27="","",IF(DP27&gt;0,DQ27,-1))</f>
        <v/>
      </c>
      <c r="DW27" s="119" t="str">
        <f>IF(DP27="","",IF(DP27&gt;0,DS27,-1))</f>
        <v/>
      </c>
      <c r="DX27" s="1182" t="str">
        <f>IF(DP27="","",IF(DP27&gt;0,DS27,-1))</f>
        <v/>
      </c>
      <c r="DY27" s="123" t="str">
        <f t="shared" ref="DY27:EF27" si="258">IF(ISNUMBER(AD28),AD28*$W30,"")</f>
        <v/>
      </c>
      <c r="DZ27" s="116" t="str">
        <f t="shared" si="258"/>
        <v/>
      </c>
      <c r="EA27" s="116" t="str">
        <f t="shared" si="258"/>
        <v/>
      </c>
      <c r="EB27" s="116" t="str">
        <f t="shared" si="258"/>
        <v/>
      </c>
      <c r="EC27" s="116" t="str">
        <f t="shared" si="258"/>
        <v/>
      </c>
      <c r="ED27" s="116" t="str">
        <f t="shared" si="258"/>
        <v/>
      </c>
      <c r="EE27" s="116" t="str">
        <f t="shared" si="258"/>
        <v/>
      </c>
      <c r="EF27" s="116" t="str">
        <f t="shared" si="258"/>
        <v/>
      </c>
      <c r="EG27" s="116" t="str">
        <f>IF(DY27&lt;&gt;"",AVERAGE(DY27:EF27),"")</f>
        <v/>
      </c>
      <c r="EH27" s="119" t="str">
        <f t="shared" ref="EH27:EO28" si="259">IF(ISERROR(DY29*DY30),"",DY29*DY30)</f>
        <v/>
      </c>
      <c r="EI27" s="119" t="str">
        <f t="shared" si="259"/>
        <v/>
      </c>
      <c r="EJ27" s="119" t="str">
        <f t="shared" si="259"/>
        <v/>
      </c>
      <c r="EK27" s="119" t="str">
        <f t="shared" si="259"/>
        <v/>
      </c>
      <c r="EL27" s="119" t="str">
        <f t="shared" si="259"/>
        <v/>
      </c>
      <c r="EM27" s="119" t="str">
        <f t="shared" si="259"/>
        <v/>
      </c>
      <c r="EN27" s="119" t="str">
        <f t="shared" si="259"/>
        <v/>
      </c>
      <c r="EO27" s="119" t="str">
        <f t="shared" si="259"/>
        <v/>
      </c>
      <c r="EP27" s="119" t="str">
        <f>IF(EH27&lt;&gt;"",SUM(EH27:EO27),"")</f>
        <v/>
      </c>
      <c r="EQ27" s="120" t="str">
        <f>IF(EK31&lt;&gt;"",(EQ26-EK31)/EK30,"")</f>
        <v/>
      </c>
      <c r="ER27" s="119" t="str">
        <f>IF(EQ27="","",IF(EQ27&gt;0,EU28+EQ27,-1))</f>
        <v/>
      </c>
      <c r="ES27" s="119" t="str">
        <f>IF(EQ27="","",IF(EQ27&gt;0,EW28+EQ27,-1))</f>
        <v/>
      </c>
      <c r="ET27" s="119" t="str">
        <f>IF(EQ27="","",IF(EQ27&gt;0,ER27,-1))</f>
        <v/>
      </c>
      <c r="EU27" s="119" t="str">
        <f>IF(EQ27="","",IF(EQ27&gt;0,ES27,-1))</f>
        <v/>
      </c>
      <c r="EV27" s="119" t="str">
        <f>IF(EQ27="","",IF(EQ27&gt;0,EU28,-1))</f>
        <v/>
      </c>
      <c r="EW27" s="119" t="str">
        <f>IF(EQ27="","",IF(EQ27&gt;0,ER27,-1))</f>
        <v/>
      </c>
      <c r="EX27" s="119" t="str">
        <f>IF(EQ27="","",IF(EQ27&gt;0,ET27,-1))</f>
        <v/>
      </c>
      <c r="EY27" s="1182" t="str">
        <f>IF(EQ27="","",IF(EQ27&gt;0,ET27,-1))</f>
        <v/>
      </c>
      <c r="EZ27" s="123" t="str">
        <f t="shared" ref="EZ27:FG27" si="260">IF(ISNUMBER(AD29),AD29*$W30,"")</f>
        <v/>
      </c>
      <c r="FA27" s="116" t="str">
        <f t="shared" si="260"/>
        <v/>
      </c>
      <c r="FB27" s="116" t="str">
        <f t="shared" si="260"/>
        <v/>
      </c>
      <c r="FC27" s="116" t="str">
        <f t="shared" si="260"/>
        <v/>
      </c>
      <c r="FD27" s="116" t="str">
        <f t="shared" si="260"/>
        <v/>
      </c>
      <c r="FE27" s="116" t="str">
        <f t="shared" si="260"/>
        <v/>
      </c>
      <c r="FF27" s="116" t="str">
        <f t="shared" si="260"/>
        <v/>
      </c>
      <c r="FG27" s="116" t="str">
        <f t="shared" si="260"/>
        <v/>
      </c>
      <c r="FH27" s="116" t="str">
        <f>IF(EZ27&lt;&gt;"",AVERAGE(EZ27:FG27),"")</f>
        <v/>
      </c>
      <c r="FI27" s="119" t="str">
        <f t="shared" ref="FI27:FP28" si="261">IF(ISERROR(EZ29*EZ30),"",EZ29*EZ30)</f>
        <v/>
      </c>
      <c r="FJ27" s="119" t="str">
        <f t="shared" si="261"/>
        <v/>
      </c>
      <c r="FK27" s="119" t="str">
        <f t="shared" si="261"/>
        <v/>
      </c>
      <c r="FL27" s="119" t="str">
        <f t="shared" si="261"/>
        <v/>
      </c>
      <c r="FM27" s="119" t="str">
        <f t="shared" si="261"/>
        <v/>
      </c>
      <c r="FN27" s="119" t="str">
        <f t="shared" si="261"/>
        <v/>
      </c>
      <c r="FO27" s="119" t="str">
        <f t="shared" si="261"/>
        <v/>
      </c>
      <c r="FP27" s="119" t="str">
        <f t="shared" si="261"/>
        <v/>
      </c>
      <c r="FQ27" s="119" t="str">
        <f>IF(FI27&lt;&gt;"",SUM(FI27:FP27),"")</f>
        <v/>
      </c>
      <c r="FR27" s="120" t="str">
        <f>IF(FL31&lt;&gt;"",(FR26-FL31)/FL30,"")</f>
        <v/>
      </c>
      <c r="FS27" s="119" t="str">
        <f>IF(FR27="","",IF(FR27&gt;0,FV28+FR27,-1))</f>
        <v/>
      </c>
      <c r="FT27" s="119" t="str">
        <f>IF(FR27="","",IF(FR27&gt;0,FX28+FR27,-1))</f>
        <v/>
      </c>
      <c r="FU27" s="119" t="str">
        <f>IF(FR27="","",IF(FR27&gt;0,FS27,-1))</f>
        <v/>
      </c>
      <c r="FV27" s="119" t="str">
        <f>IF(FR27="","",IF(FR27&gt;0,FT27,-1))</f>
        <v/>
      </c>
      <c r="FW27" s="119" t="str">
        <f>IF(FR27="","",IF(FR27&gt;0,FV28,-1))</f>
        <v/>
      </c>
      <c r="FX27" s="119" t="str">
        <f>IF(FR27="","",IF(FR27&gt;0,FS27,-1))</f>
        <v/>
      </c>
      <c r="FY27" s="119" t="str">
        <f>IF(FR27="","",IF(FR27&gt;0,FU27,-1))</f>
        <v/>
      </c>
      <c r="FZ27" s="1182" t="str">
        <f>IF(FR27="","",IF(FR27&gt;0,FU27,-1))</f>
        <v/>
      </c>
      <c r="GA27" s="123" t="str">
        <f t="shared" ref="GA27:GH27" si="262">IF(ISNUMBER(AD30),AD30*$W30,"")</f>
        <v/>
      </c>
      <c r="GB27" s="116" t="str">
        <f t="shared" si="262"/>
        <v/>
      </c>
      <c r="GC27" s="116" t="str">
        <f t="shared" si="262"/>
        <v/>
      </c>
      <c r="GD27" s="116" t="str">
        <f t="shared" si="262"/>
        <v/>
      </c>
      <c r="GE27" s="116" t="str">
        <f t="shared" si="262"/>
        <v/>
      </c>
      <c r="GF27" s="116" t="str">
        <f t="shared" si="262"/>
        <v/>
      </c>
      <c r="GG27" s="116" t="str">
        <f t="shared" si="262"/>
        <v/>
      </c>
      <c r="GH27" s="116" t="str">
        <f t="shared" si="262"/>
        <v/>
      </c>
      <c r="GI27" s="116" t="str">
        <f>IF(GA27&lt;&gt;"",AVERAGE(GA27:GH27),"")</f>
        <v/>
      </c>
      <c r="GJ27" s="119" t="str">
        <f t="shared" ref="GJ27:GQ28" si="263">IF(ISERROR(GA29*GA30),"",GA29*GA30)</f>
        <v/>
      </c>
      <c r="GK27" s="119" t="str">
        <f t="shared" si="263"/>
        <v/>
      </c>
      <c r="GL27" s="119" t="str">
        <f t="shared" si="263"/>
        <v/>
      </c>
      <c r="GM27" s="119" t="str">
        <f t="shared" si="263"/>
        <v/>
      </c>
      <c r="GN27" s="119" t="str">
        <f t="shared" si="263"/>
        <v/>
      </c>
      <c r="GO27" s="119" t="str">
        <f t="shared" si="263"/>
        <v/>
      </c>
      <c r="GP27" s="119" t="str">
        <f t="shared" si="263"/>
        <v/>
      </c>
      <c r="GQ27" s="119" t="str">
        <f t="shared" si="263"/>
        <v/>
      </c>
      <c r="GR27" s="119" t="str">
        <f>IF(GJ27&lt;&gt;"",SUM(GJ27:GQ27),"")</f>
        <v/>
      </c>
      <c r="GS27" s="120" t="str">
        <f>IF(GM31&lt;&gt;"",(GS26-GM31)/GM30,"")</f>
        <v/>
      </c>
      <c r="GT27" s="119" t="str">
        <f>IF(GS27="","",IF(GS27&gt;0,GW28+GS27,-1))</f>
        <v/>
      </c>
      <c r="GU27" s="119" t="str">
        <f>IF(GS27="","",IF(GS27&gt;0,GY28+GS27,-1))</f>
        <v/>
      </c>
      <c r="GV27" s="119" t="str">
        <f>IF(GS27="","",IF(GS27&gt;0,GT27,-1))</f>
        <v/>
      </c>
      <c r="GW27" s="119" t="str">
        <f>IF(GS27="","",IF(GS27&gt;0,GU27,-1))</f>
        <v/>
      </c>
      <c r="GX27" s="119" t="str">
        <f>IF(GS27="","",IF(GS27&gt;0,GW28,-1))</f>
        <v/>
      </c>
      <c r="GY27" s="119" t="str">
        <f>IF(GS27="","",IF(GS27&gt;0,GT27,-1))</f>
        <v/>
      </c>
      <c r="GZ27" s="119" t="str">
        <f>IF(GS27="","",IF(GS27&gt;0,GV27,-1))</f>
        <v/>
      </c>
      <c r="HA27" s="1182" t="str">
        <f>IF(GS27="","",IF(GS27&gt;0,GV27,-1))</f>
        <v/>
      </c>
      <c r="HB27" s="123" t="str">
        <f t="shared" ref="HB27:HI27" si="264">IF(ISNUMBER(AD31),AD31*$W30,"")</f>
        <v/>
      </c>
      <c r="HC27" s="116" t="str">
        <f t="shared" si="264"/>
        <v/>
      </c>
      <c r="HD27" s="116" t="str">
        <f t="shared" si="264"/>
        <v/>
      </c>
      <c r="HE27" s="116" t="str">
        <f t="shared" si="264"/>
        <v/>
      </c>
      <c r="HF27" s="116" t="str">
        <f t="shared" si="264"/>
        <v/>
      </c>
      <c r="HG27" s="116" t="str">
        <f t="shared" si="264"/>
        <v/>
      </c>
      <c r="HH27" s="116" t="str">
        <f t="shared" si="264"/>
        <v/>
      </c>
      <c r="HI27" s="116" t="str">
        <f t="shared" si="264"/>
        <v/>
      </c>
      <c r="HJ27" s="116" t="str">
        <f>IF(HB27&lt;&gt;"",AVERAGE(HB27:HI27),"")</f>
        <v/>
      </c>
      <c r="HK27" s="119" t="str">
        <f t="shared" ref="HK27:HR28" si="265">IF(ISERROR(HB29*HB30),"",HB29*HB30)</f>
        <v/>
      </c>
      <c r="HL27" s="119" t="str">
        <f t="shared" si="265"/>
        <v/>
      </c>
      <c r="HM27" s="119" t="str">
        <f t="shared" si="265"/>
        <v/>
      </c>
      <c r="HN27" s="119" t="str">
        <f t="shared" si="265"/>
        <v/>
      </c>
      <c r="HO27" s="119" t="str">
        <f t="shared" si="265"/>
        <v/>
      </c>
      <c r="HP27" s="119" t="str">
        <f t="shared" si="265"/>
        <v/>
      </c>
      <c r="HQ27" s="119" t="str">
        <f t="shared" si="265"/>
        <v/>
      </c>
      <c r="HR27" s="119" t="str">
        <f t="shared" si="265"/>
        <v/>
      </c>
      <c r="HS27" s="119" t="str">
        <f>IF(HK27&lt;&gt;"",SUM(HK27:HR27),"")</f>
        <v/>
      </c>
      <c r="HT27" s="120" t="str">
        <f>IF(HN31&lt;&gt;"",(HT26-HN31)/HN30,"")</f>
        <v/>
      </c>
      <c r="HU27" s="119" t="str">
        <f>IF(HT27="","",IF(HT27&gt;0,HX28+HT27,-1))</f>
        <v/>
      </c>
      <c r="HV27" s="119" t="str">
        <f>IF(HT27="","",IF(HT27&gt;0,HZ28+HT27,-1))</f>
        <v/>
      </c>
      <c r="HW27" s="119" t="str">
        <f>IF(HT27="","",IF(HT27&gt;0,HU27,-1))</f>
        <v/>
      </c>
      <c r="HX27" s="119" t="str">
        <f>IF(HT27="","",IF(HT27&gt;0,HV27,-1))</f>
        <v/>
      </c>
      <c r="HY27" s="119" t="str">
        <f>IF(HT27="","",IF(HT27&gt;0,HX28,-1))</f>
        <v/>
      </c>
      <c r="HZ27" s="119" t="str">
        <f>IF(HT27="","",IF(HT27&gt;0,HU27,-1))</f>
        <v/>
      </c>
      <c r="IA27" s="119" t="str">
        <f>IF(HT27="","",IF(HT27&gt;0,HW27,-1))</f>
        <v/>
      </c>
      <c r="IB27" s="1182" t="str">
        <f>IF(HT27="","",IF(HT27&gt;0,HW27,-1))</f>
        <v/>
      </c>
      <c r="IC27" s="123" t="str">
        <f t="shared" ref="IC27:IJ27" si="266">IF(ISNUMBER(AD32),AD32*$W30,"")</f>
        <v/>
      </c>
      <c r="ID27" s="116" t="str">
        <f t="shared" si="266"/>
        <v/>
      </c>
      <c r="IE27" s="116" t="str">
        <f t="shared" si="266"/>
        <v/>
      </c>
      <c r="IF27" s="116" t="str">
        <f t="shared" si="266"/>
        <v/>
      </c>
      <c r="IG27" s="116" t="str">
        <f t="shared" si="266"/>
        <v/>
      </c>
      <c r="IH27" s="116" t="str">
        <f t="shared" si="266"/>
        <v/>
      </c>
      <c r="II27" s="116" t="str">
        <f t="shared" si="266"/>
        <v/>
      </c>
      <c r="IJ27" s="116" t="str">
        <f t="shared" si="266"/>
        <v/>
      </c>
      <c r="IK27" s="116" t="str">
        <f>IF(IC27&lt;&gt;"",AVERAGE(IC27:IJ27),"")</f>
        <v/>
      </c>
      <c r="IL27" s="119" t="str">
        <f t="shared" ref="IL27:IS28" si="267">IF(ISERROR(IC29*IC30),"",IC29*IC30)</f>
        <v/>
      </c>
      <c r="IM27" s="119" t="str">
        <f t="shared" si="267"/>
        <v/>
      </c>
      <c r="IN27" s="119" t="str">
        <f t="shared" si="267"/>
        <v/>
      </c>
      <c r="IO27" s="119" t="str">
        <f t="shared" si="267"/>
        <v/>
      </c>
      <c r="IP27" s="119" t="str">
        <f t="shared" si="267"/>
        <v/>
      </c>
      <c r="IQ27" s="119" t="str">
        <f t="shared" si="267"/>
        <v/>
      </c>
      <c r="IR27" s="119" t="str">
        <f t="shared" si="267"/>
        <v/>
      </c>
      <c r="IS27" s="119" t="str">
        <f t="shared" si="267"/>
        <v/>
      </c>
      <c r="IT27" s="119" t="str">
        <f>IF(IL27&lt;&gt;"",SUM(IL27:IS27),"")</f>
        <v/>
      </c>
      <c r="IU27" s="120" t="str">
        <f>IF(IO31&lt;&gt;"",(IU26-IO31)/IO30,"")</f>
        <v/>
      </c>
      <c r="IV27" s="119" t="str">
        <f>IF(IU27="","",IF(IU27&gt;0,IY28+IU27,-1))</f>
        <v/>
      </c>
      <c r="IW27" s="119" t="str">
        <f>IF(IU27="","",IF(IU27&gt;0,JA28+IU27,-1))</f>
        <v/>
      </c>
      <c r="IX27" s="119" t="str">
        <f>IF(IU27="","",IF(IU27&gt;0,IV27,-1))</f>
        <v/>
      </c>
      <c r="IY27" s="119" t="str">
        <f>IF(IU27="","",IF(IU27&gt;0,IW27,-1))</f>
        <v/>
      </c>
      <c r="IZ27" s="119" t="str">
        <f>IF(IU27="","",IF(IU27&gt;0,IY28,-1))</f>
        <v/>
      </c>
      <c r="JA27" s="119" t="str">
        <f>IF(IU27="","",IF(IU27&gt;0,IV27,-1))</f>
        <v/>
      </c>
      <c r="JB27" s="119" t="str">
        <f>IF(IU27="","",IF(IU27&gt;0,IX27,-1))</f>
        <v/>
      </c>
      <c r="JC27" s="1182" t="str">
        <f>IF(IU27="","",IF(IU27&gt;0,IX27,-1))</f>
        <v/>
      </c>
      <c r="JD27" s="150">
        <f t="shared" si="249"/>
        <v>2</v>
      </c>
      <c r="JE27" s="144" t="str">
        <f>IF(JD26&lt;&gt;"",MAX(DV32,DX32),"")</f>
        <v/>
      </c>
      <c r="JF27" s="144">
        <f>IF(JD27&lt;&gt;"",MAX(EW32,EY32),"")</f>
        <v>0</v>
      </c>
      <c r="JG27" s="144">
        <f>IF(JD28&lt;&gt;"",MAX(FX32,FZ32),"")</f>
        <v>0</v>
      </c>
      <c r="JH27" s="144">
        <f>IF(JD29&lt;&gt;"",MAX(GY32,HA32),"")</f>
        <v>0</v>
      </c>
      <c r="JI27" s="144" t="str">
        <f>IF(JD30&lt;&gt;"",MAX(HZ32,IB32),"")</f>
        <v/>
      </c>
      <c r="JJ27" s="144" t="str">
        <f>IF(JJ26&lt;&gt;"",MAX(JA32,JC32),"")</f>
        <v/>
      </c>
      <c r="JK27" s="148">
        <f>AVERAGE(JE27:JJ27)</f>
        <v>0</v>
      </c>
      <c r="JL27" s="75" t="str">
        <f t="shared" ref="JL27:JQ27" si="268">IF(ISNUMBER(JE31),JE31^2,"")</f>
        <v/>
      </c>
      <c r="JM27" s="75">
        <f t="shared" si="268"/>
        <v>9.5262749681618972E-7</v>
      </c>
      <c r="JN27" s="75">
        <f t="shared" si="268"/>
        <v>4.5699229431605952E-9</v>
      </c>
      <c r="JO27" s="75">
        <f t="shared" si="268"/>
        <v>1.0891585390935829E-6</v>
      </c>
      <c r="JP27" s="75" t="str">
        <f t="shared" si="268"/>
        <v/>
      </c>
      <c r="JQ27" s="75" t="str">
        <f t="shared" si="268"/>
        <v/>
      </c>
      <c r="JR27" s="65">
        <f>SUM(JL27:JQ27)</f>
        <v>2.0463559588529335E-6</v>
      </c>
      <c r="JS27" s="138" t="s">
        <v>47</v>
      </c>
      <c r="JT27" s="1183" t="e">
        <f>JM32*JT26^2+JO32*JT26+JQ32</f>
        <v>#DIV/0!</v>
      </c>
      <c r="JU27" s="123">
        <f>IF(T28&lt;&gt;0,LOOKUP(T28,Tara!$G$6:$G$185,Tara!$J$6:$J$185)/10,"")</f>
        <v>11.494</v>
      </c>
      <c r="JV27" s="116">
        <f t="shared" si="251"/>
        <v>0</v>
      </c>
      <c r="JW27" s="155">
        <f t="shared" si="252"/>
        <v>0</v>
      </c>
      <c r="JX27" s="120" t="str">
        <f>IF(JD26&lt;&gt;"",JW26*100,"")</f>
        <v/>
      </c>
      <c r="JY27" s="120">
        <f>IF(JD27&lt;&gt;"",JW27*100,"")</f>
        <v>0</v>
      </c>
      <c r="JZ27" s="120">
        <f>IF(JD28&lt;&gt;"",JW28*100,"")</f>
        <v>0</v>
      </c>
      <c r="KA27" s="120">
        <f>IF(JD29&lt;&gt;"",JW29*100,"")</f>
        <v>0</v>
      </c>
      <c r="KB27" s="120" t="str">
        <f>IF(JD30&lt;&gt;"",JW30*100,"")</f>
        <v/>
      </c>
      <c r="KC27" s="120" t="str">
        <f>IF(KC26&lt;&gt;"",JW31*100,"")</f>
        <v/>
      </c>
      <c r="KD27" s="148">
        <f>AVERAGE(JX27:KC27)</f>
        <v>0</v>
      </c>
      <c r="KE27" s="75" t="str">
        <f t="shared" ref="KE27:KJ27" si="269">IF(ISNUMBER(JX31),JX31^2,"")</f>
        <v/>
      </c>
      <c r="KF27" s="75">
        <f t="shared" si="269"/>
        <v>9.5262749681618972E-7</v>
      </c>
      <c r="KG27" s="75">
        <f t="shared" si="269"/>
        <v>4.5699229431605952E-9</v>
      </c>
      <c r="KH27" s="75">
        <f t="shared" si="269"/>
        <v>1.0891585390935829E-6</v>
      </c>
      <c r="KI27" s="75" t="str">
        <f t="shared" si="269"/>
        <v/>
      </c>
      <c r="KJ27" s="75" t="str">
        <f t="shared" si="269"/>
        <v/>
      </c>
      <c r="KK27" s="65">
        <f>SUM(KE27:KJ27)</f>
        <v>2.0463559588529335E-6</v>
      </c>
      <c r="KL27" s="138" t="s">
        <v>47</v>
      </c>
      <c r="KM27" s="1184" t="e">
        <f>KF32*KM26^2+KH32*KM26+KJ32</f>
        <v>#DIV/0!</v>
      </c>
      <c r="KN27" s="167" t="str">
        <f>IF(ISNUMBER(AN26),LOOKUP(AN26,Tara!$A$6:$A$185,Tara!$B$6:$B$185),"")</f>
        <v/>
      </c>
      <c r="KO27" s="161" t="str">
        <f>IF(ISNUMBER(AO26),LOOKUP(AO26,Tara!$A$6:$A$185,Tara!$B$6:$B$185),"")</f>
        <v/>
      </c>
      <c r="KP27" s="161" t="str">
        <f>IF(ISNUMBER(AP26),LOOKUP(AP26,Tara!$A$6:$A$185,Tara!$B$6:$B$185),"")</f>
        <v/>
      </c>
      <c r="KQ27" s="161" t="str">
        <f>IF(ISNUMBER(AQ26),LOOKUP(AQ26,Tara!$A$6:$A$185,Tara!$B$6:$B$185),"")</f>
        <v/>
      </c>
      <c r="KR27" s="1185" t="str">
        <f>IF(ISNUMBER(AR26),LOOKUP(AR26,Tara!$A$6:$A$185,Tara!$B$6:$B$185),"")</f>
        <v/>
      </c>
      <c r="KS27" s="167" t="str">
        <f>IF(ISNUMBER(AN30),LOOKUP(AN30,Tara!$E$6:$E$185,Tara!$F$6:$F$185),"")</f>
        <v/>
      </c>
      <c r="KT27" s="161" t="str">
        <f>IF(ISNUMBER(AO30),LOOKUP(AO30,Tara!$E$6:$E$185,Tara!$F$6:$F$185),"")</f>
        <v/>
      </c>
      <c r="KU27" s="161" t="str">
        <f>IF(ISNUMBER(AP30),LOOKUP(AP30,Tara!$E$6:$E$185,Tara!$F$6:$F$185),"")</f>
        <v/>
      </c>
      <c r="KV27" s="161" t="str">
        <f>IF(ISNUMBER(AQ30),LOOKUP(AQ30,Tara!$E$6:$E$185,Tara!$F$6:$F$185),"")</f>
        <v/>
      </c>
      <c r="KW27" s="161" t="str">
        <f>IF(ISNUMBER(AR30),LOOKUP(AR30,Tara!$E$6:$E$185,Tara!$F$6:$F$185),"")</f>
        <v/>
      </c>
      <c r="KX27" s="1275"/>
      <c r="KY27" s="195" t="str">
        <f>IF(AX31&lt;&gt;"",AX31,"")</f>
        <v/>
      </c>
      <c r="KZ27" s="1186" t="str">
        <f>IF(BA31&lt;&gt;"",BA31,"")</f>
        <v/>
      </c>
      <c r="LA27" s="167">
        <f>IF(ISNUMBER(AT30),LOOKUP(AT30,Tara!$C$6:$C$185,Tara!$D$6:$D$185),"")</f>
        <v>24.15</v>
      </c>
      <c r="LB27" s="161">
        <f>IF(ISNUMBER(AW30),LOOKUP(AW30,Tara!$C$6:$C$185,Tara!$D$6:$D$185),"")</f>
        <v>26.05</v>
      </c>
      <c r="LC27" s="120">
        <f>IF(BG30&lt;&gt;"",BG30,"")</f>
        <v>2000</v>
      </c>
      <c r="LD27" s="120">
        <f>IF(BH30&lt;&gt;"",BH30,"")</f>
        <v>100</v>
      </c>
      <c r="LE27" s="120">
        <f t="shared" ref="LE27:LK27" si="270">IF(AZ30&lt;&gt;"",AZ30,"")</f>
        <v>0</v>
      </c>
      <c r="LF27" s="120">
        <f t="shared" si="270"/>
        <v>0</v>
      </c>
      <c r="LG27" s="120">
        <f t="shared" si="270"/>
        <v>0</v>
      </c>
      <c r="LH27" s="120">
        <f t="shared" si="270"/>
        <v>0</v>
      </c>
      <c r="LI27" s="120">
        <f t="shared" si="270"/>
        <v>670.55</v>
      </c>
      <c r="LJ27" s="120">
        <f t="shared" si="270"/>
        <v>295.89</v>
      </c>
      <c r="LK27" s="120">
        <f t="shared" si="270"/>
        <v>147.08000000000001</v>
      </c>
      <c r="LL27" s="120">
        <f>IF(BI30&lt;&gt;"",BI30,"")</f>
        <v>7.26</v>
      </c>
      <c r="LM27" s="1187">
        <f>IF(BK30&lt;&gt;"",BK30,"")</f>
        <v>55.61</v>
      </c>
      <c r="LN27" s="185" t="b">
        <f>IF(LM30="","",IF(AND(LE30&gt;=93%,LE30&lt;=100%,LI30&gt;=23%,LI30&lt;=72%,LJ30&gt;20%,LJ30&lt;=60%,LK30&gt;=10%,LK30&lt;=45%,LL30&gt;=6%,LL30&lt;=22%,LM30&gt;=0%,LM30&lt;=10%),"Faixa A"))</f>
        <v>0</v>
      </c>
      <c r="LO27" s="181" t="str">
        <f>IF(LM30="","",IF(AND(LG30&gt;=93%,LG30&lt;=100%,LJ30&gt;=50%,LJ30&lt;=100%,LK30&gt;=35%,LK30&lt;=100%,LL30&gt;=18%,LL30&lt;=52%,LM30&gt;=4%,LM30&lt;=22%),"Faixa E"))</f>
        <v>Faixa E</v>
      </c>
      <c r="LP27" s="181"/>
      <c r="LQ27" s="206"/>
      <c r="LR27" s="1188" t="s">
        <v>48</v>
      </c>
      <c r="LS27" s="214"/>
      <c r="LT27" s="119"/>
      <c r="LU27" s="119"/>
      <c r="LV27" s="119"/>
      <c r="LW27" s="119"/>
      <c r="LX27" s="119"/>
      <c r="LY27" s="119"/>
      <c r="LZ27" s="119"/>
      <c r="MA27" s="119"/>
      <c r="MB27" s="119"/>
      <c r="MC27" s="119"/>
      <c r="MD27" s="119"/>
      <c r="ME27" s="1182"/>
      <c r="MF27" s="1276" t="s">
        <v>49</v>
      </c>
      <c r="MG27" s="1277"/>
      <c r="MH27" s="1277"/>
      <c r="MI27" s="1277" t="s">
        <v>50</v>
      </c>
      <c r="MJ27" s="1277"/>
      <c r="MK27" s="1277"/>
      <c r="ML27" s="1277"/>
      <c r="MM27" s="1277"/>
      <c r="MN27" s="1277"/>
      <c r="MO27" s="1277"/>
      <c r="MP27" s="1277"/>
      <c r="MQ27" s="1277"/>
      <c r="MR27" s="1277"/>
      <c r="MS27" s="1277" t="s">
        <v>51</v>
      </c>
      <c r="MT27" s="1277"/>
      <c r="MU27" s="1277"/>
      <c r="MV27" s="1277"/>
      <c r="MW27" s="1277"/>
      <c r="MX27" s="1277"/>
      <c r="MY27" s="1277"/>
      <c r="MZ27" s="1277" t="s">
        <v>52</v>
      </c>
      <c r="NA27" s="1277"/>
      <c r="NB27" s="1277"/>
      <c r="NC27" s="1277"/>
      <c r="ND27" s="1277" t="s">
        <v>53</v>
      </c>
      <c r="NE27" s="1277"/>
      <c r="NF27" s="1277"/>
      <c r="NG27" s="1277" t="s">
        <v>54</v>
      </c>
      <c r="NH27" s="1277"/>
      <c r="NI27" s="1277"/>
      <c r="NJ27" s="1277"/>
      <c r="NK27" s="1277"/>
      <c r="NL27" s="1277"/>
      <c r="NM27" s="1277"/>
      <c r="NN27" s="1277"/>
      <c r="NO27" s="1277"/>
      <c r="NP27" s="1277"/>
      <c r="NQ27" s="1277"/>
      <c r="NR27" s="1277"/>
      <c r="NS27" s="1277"/>
      <c r="NT27" s="1277"/>
      <c r="NU27" s="1277"/>
      <c r="NV27" s="1277"/>
      <c r="NW27" s="1277"/>
      <c r="NX27" s="1277"/>
      <c r="NY27" s="1277"/>
      <c r="NZ27" s="1277"/>
      <c r="OA27" s="1277"/>
      <c r="OB27" s="1277"/>
      <c r="OC27" s="1277"/>
      <c r="OD27" s="1278"/>
      <c r="OE27" s="701"/>
      <c r="OF27" s="132"/>
      <c r="OG27" s="132"/>
      <c r="OH27" s="132"/>
      <c r="OI27" s="57"/>
      <c r="OJ27" s="57"/>
      <c r="OK27" s="57"/>
      <c r="OL27" s="57"/>
      <c r="OM27" s="57"/>
      <c r="ON27" s="57"/>
      <c r="OO27" s="57"/>
      <c r="OP27" s="57"/>
      <c r="OQ27" s="57"/>
      <c r="OR27" s="57"/>
      <c r="OS27" s="57"/>
      <c r="OT27" s="57"/>
      <c r="OU27" s="57"/>
      <c r="OV27" s="57"/>
      <c r="OW27" s="57"/>
      <c r="OX27" s="57"/>
      <c r="OY27" s="57"/>
      <c r="OZ27" s="57"/>
      <c r="PA27" s="57"/>
      <c r="PB27" s="57"/>
      <c r="PC27" s="57"/>
      <c r="PD27" s="57"/>
      <c r="PE27" s="57"/>
      <c r="PF27" s="57"/>
      <c r="PG27" s="57"/>
      <c r="PH27" s="57"/>
      <c r="PI27" s="57"/>
      <c r="PJ27" s="57"/>
      <c r="PK27" s="57"/>
      <c r="PL27" s="57"/>
      <c r="PM27" s="57"/>
    </row>
    <row r="28" spans="1:1378" ht="15" hidden="1" customHeight="1" x14ac:dyDescent="0.3">
      <c r="A28" s="1337"/>
      <c r="B28" s="734" t="s">
        <v>55</v>
      </c>
      <c r="C28" s="666"/>
      <c r="D28" s="734" t="s">
        <v>57</v>
      </c>
      <c r="E28" s="688"/>
      <c r="F28" s="1370"/>
      <c r="G28" s="726" t="s">
        <v>58</v>
      </c>
      <c r="H28" s="665" t="s">
        <v>59</v>
      </c>
      <c r="I28" s="735" t="s">
        <v>60</v>
      </c>
      <c r="J28" s="736"/>
      <c r="K28" s="736"/>
      <c r="L28" s="736"/>
      <c r="M28" s="736"/>
      <c r="N28" s="736"/>
      <c r="O28" s="736"/>
      <c r="P28" s="671">
        <v>195.45</v>
      </c>
      <c r="Q28" s="672">
        <v>210.65</v>
      </c>
      <c r="R28" s="671"/>
      <c r="S28" s="672"/>
      <c r="T28" s="1181">
        <f>IF(U28="","",2)</f>
        <v>2</v>
      </c>
      <c r="U28" s="728">
        <v>40</v>
      </c>
      <c r="V28" s="737"/>
      <c r="W28" s="737"/>
      <c r="X28" s="737"/>
      <c r="Y28" s="737"/>
      <c r="Z28" s="673"/>
      <c r="AA28" s="673"/>
      <c r="AB28" s="673"/>
      <c r="AC28" s="673"/>
      <c r="AD28" s="674"/>
      <c r="AE28" s="675"/>
      <c r="AF28" s="675"/>
      <c r="AG28" s="675"/>
      <c r="AH28" s="675"/>
      <c r="AI28" s="675"/>
      <c r="AJ28" s="675"/>
      <c r="AK28" s="675"/>
      <c r="AL28" s="1355"/>
      <c r="AM28" s="730" t="s">
        <v>61</v>
      </c>
      <c r="AN28" s="731"/>
      <c r="AO28" s="731"/>
      <c r="AP28" s="731"/>
      <c r="AQ28" s="731"/>
      <c r="AR28" s="732"/>
      <c r="AS28" s="1358"/>
      <c r="AT28" s="1330" t="s">
        <v>62</v>
      </c>
      <c r="AU28" s="1332" t="s">
        <v>63</v>
      </c>
      <c r="AV28" s="1332" t="s">
        <v>64</v>
      </c>
      <c r="AW28" s="1332" t="s">
        <v>62</v>
      </c>
      <c r="AX28" s="1332" t="s">
        <v>63</v>
      </c>
      <c r="AY28" s="1332" t="s">
        <v>64</v>
      </c>
      <c r="AZ28" s="738" t="s">
        <v>29</v>
      </c>
      <c r="BA28" s="738" t="s">
        <v>30</v>
      </c>
      <c r="BB28" s="738" t="s">
        <v>31</v>
      </c>
      <c r="BC28" s="738" t="s">
        <v>32</v>
      </c>
      <c r="BD28" s="738" t="s">
        <v>33</v>
      </c>
      <c r="BE28" s="738">
        <v>4</v>
      </c>
      <c r="BF28" s="738">
        <v>10</v>
      </c>
      <c r="BG28" s="1334" t="s">
        <v>65</v>
      </c>
      <c r="BH28" s="1334" t="s">
        <v>66</v>
      </c>
      <c r="BI28" s="738">
        <v>40</v>
      </c>
      <c r="BJ28" s="738">
        <v>100</v>
      </c>
      <c r="BK28" s="738">
        <v>200</v>
      </c>
      <c r="BL28" s="1319"/>
      <c r="BM28" s="1307"/>
      <c r="BN28" s="62" t="s">
        <v>67</v>
      </c>
      <c r="BO28" s="62" t="str">
        <f t="shared" ref="BO28:BV28" si="271">IF(ISNUMBER(J27),J29-BO27,"")</f>
        <v/>
      </c>
      <c r="BP28" s="62" t="str">
        <f t="shared" si="271"/>
        <v/>
      </c>
      <c r="BQ28" s="62" t="str">
        <f t="shared" si="271"/>
        <v/>
      </c>
      <c r="BR28" s="62" t="str">
        <f t="shared" si="271"/>
        <v/>
      </c>
      <c r="BS28" s="62" t="str">
        <f t="shared" si="271"/>
        <v/>
      </c>
      <c r="BT28" s="62" t="str">
        <f t="shared" si="271"/>
        <v/>
      </c>
      <c r="BU28" s="62">
        <f t="shared" si="271"/>
        <v>170.13</v>
      </c>
      <c r="BV28" s="62">
        <f t="shared" si="271"/>
        <v>183.29999999999998</v>
      </c>
      <c r="BW28" s="1310"/>
      <c r="BX28" s="108" t="s">
        <v>68</v>
      </c>
      <c r="BY28" s="66">
        <f>IF(ISNUMBER(J31),LOOKUP(J31,Tara!$G$6:$G$185,Tara!$I$6:$I$185),"")</f>
        <v>2082</v>
      </c>
      <c r="BZ28" s="66">
        <f>IF(ISNUMBER(K31),LOOKUP(K31,Tara!$G$6:$G$185,Tara!$I$6:$I$185),"")</f>
        <v>2077</v>
      </c>
      <c r="CA28" s="66">
        <f>IF(ISNUMBER(L31),LOOKUP(L31,Tara!$G$6:$G$185,Tara!$I$6:$I$185),"")</f>
        <v>2054</v>
      </c>
      <c r="CB28" s="66">
        <f>IF(ISNUMBER(M31),LOOKUP(M31,Tara!$G$6:$G$185,Tara!$I$6:$I$185),"")</f>
        <v>2055</v>
      </c>
      <c r="CC28" s="66">
        <f>IF(ISNUMBER(N31),LOOKUP(N31,Tara!$G$6:$G$185,Tara!$I$6:$I$185),"")</f>
        <v>2082</v>
      </c>
      <c r="CD28" s="66" t="str">
        <f>IF(ISNUMBER(O31),LOOKUP(O31,Tara!$G$6:$G$185,Tara!$I$6:$I$185),"")</f>
        <v/>
      </c>
      <c r="CE28" s="77">
        <f t="shared" ref="CE28:CJ28" si="272">IF(ISNUMBER(CE26),CE26^2,"")</f>
        <v>9.0008629402788226E-4</v>
      </c>
      <c r="CF28" s="77">
        <f t="shared" si="272"/>
        <v>1.6057078544764181E-3</v>
      </c>
      <c r="CG28" s="77">
        <f t="shared" si="272"/>
        <v>2.5141330304953992E-3</v>
      </c>
      <c r="CH28" s="77">
        <f t="shared" si="272"/>
        <v>3.6253618220848261E-3</v>
      </c>
      <c r="CI28" s="77">
        <f t="shared" si="272"/>
        <v>4.9393942292446993E-3</v>
      </c>
      <c r="CJ28" s="72" t="str">
        <f t="shared" si="272"/>
        <v/>
      </c>
      <c r="CK28" s="75">
        <f>AVERAGE(CE28:CJ28)</f>
        <v>2.716936646065845E-3</v>
      </c>
      <c r="CL28" s="75">
        <f t="shared" ref="CL28:CQ28" si="273">IF(ISERROR(CE30*CE30),"",CE29*CE30)</f>
        <v>1.8744399381852184</v>
      </c>
      <c r="CM28" s="75">
        <f t="shared" si="273"/>
        <v>0.19728386824280855</v>
      </c>
      <c r="CN28" s="75">
        <f t="shared" si="273"/>
        <v>0</v>
      </c>
      <c r="CO28" s="75">
        <f t="shared" si="273"/>
        <v>0.71134099510379312</v>
      </c>
      <c r="CP28" s="75">
        <f t="shared" si="273"/>
        <v>-0.89792742286960081</v>
      </c>
      <c r="CQ28" s="75" t="str">
        <f t="shared" si="273"/>
        <v/>
      </c>
      <c r="CR28" s="65">
        <f>SUM(CL28:CQ28)</f>
        <v>1.8851373786622192</v>
      </c>
      <c r="CS28" s="71"/>
      <c r="CT28" s="64"/>
      <c r="CU28" s="702" t="str">
        <f>IF(ISNUMBER(R27),R29-CU27,"")</f>
        <v/>
      </c>
      <c r="CV28" s="702" t="str">
        <f>IF(ISNUMBER(S27),S29-CV27,"")</f>
        <v/>
      </c>
      <c r="CW28" s="1313"/>
      <c r="CX28" s="123" t="str">
        <f>IF(CX27&lt;&gt;"",CX26^2,"")</f>
        <v/>
      </c>
      <c r="CY28" s="116" t="str">
        <f t="shared" ref="CY28:DE28" si="274">IF(CY27&lt;&gt;"",CY26^2,"")</f>
        <v/>
      </c>
      <c r="CZ28" s="116" t="str">
        <f t="shared" si="274"/>
        <v/>
      </c>
      <c r="DA28" s="116" t="str">
        <f t="shared" si="274"/>
        <v/>
      </c>
      <c r="DB28" s="116" t="str">
        <f t="shared" si="274"/>
        <v/>
      </c>
      <c r="DC28" s="116" t="str">
        <f t="shared" si="274"/>
        <v/>
      </c>
      <c r="DD28" s="116" t="str">
        <f t="shared" si="274"/>
        <v/>
      </c>
      <c r="DE28" s="116" t="str">
        <f t="shared" si="274"/>
        <v/>
      </c>
      <c r="DF28" s="279" t="str">
        <f>IF(CX28&lt;&gt;"",AVERAGE(CX28:DE28),"")</f>
        <v/>
      </c>
      <c r="DG28" s="119" t="str">
        <f t="shared" si="257"/>
        <v/>
      </c>
      <c r="DH28" s="119" t="str">
        <f t="shared" si="257"/>
        <v/>
      </c>
      <c r="DI28" s="119" t="str">
        <f t="shared" si="257"/>
        <v/>
      </c>
      <c r="DJ28" s="119" t="str">
        <f t="shared" si="257"/>
        <v/>
      </c>
      <c r="DK28" s="119" t="str">
        <f t="shared" si="257"/>
        <v/>
      </c>
      <c r="DL28" s="119" t="str">
        <f t="shared" si="257"/>
        <v/>
      </c>
      <c r="DM28" s="119" t="str">
        <f t="shared" si="257"/>
        <v/>
      </c>
      <c r="DN28" s="119" t="str">
        <f t="shared" si="257"/>
        <v/>
      </c>
      <c r="DO28" s="119" t="str">
        <f>IF(DG28&lt;&gt;"",SUM(DG28:DN28),"")</f>
        <v/>
      </c>
      <c r="DP28" s="122">
        <v>0</v>
      </c>
      <c r="DQ28" s="122">
        <v>0.63</v>
      </c>
      <c r="DR28" s="122">
        <v>1.27</v>
      </c>
      <c r="DS28" s="122">
        <v>1.9</v>
      </c>
      <c r="DT28" s="122">
        <v>2.54</v>
      </c>
      <c r="DU28" s="122">
        <v>3.81</v>
      </c>
      <c r="DV28" s="122">
        <v>5.08</v>
      </c>
      <c r="DW28" s="122">
        <v>6.35</v>
      </c>
      <c r="DX28" s="1190">
        <v>7.62</v>
      </c>
      <c r="DY28" s="123" t="str">
        <f>IF(DY27&lt;&gt;"",DY26^2,"")</f>
        <v/>
      </c>
      <c r="DZ28" s="116" t="str">
        <f t="shared" ref="DZ28:EF28" si="275">IF(DZ27&lt;&gt;"",DZ26^2,"")</f>
        <v/>
      </c>
      <c r="EA28" s="116" t="str">
        <f t="shared" si="275"/>
        <v/>
      </c>
      <c r="EB28" s="116" t="str">
        <f t="shared" si="275"/>
        <v/>
      </c>
      <c r="EC28" s="116" t="str">
        <f t="shared" si="275"/>
        <v/>
      </c>
      <c r="ED28" s="116" t="str">
        <f t="shared" si="275"/>
        <v/>
      </c>
      <c r="EE28" s="116" t="str">
        <f t="shared" si="275"/>
        <v/>
      </c>
      <c r="EF28" s="116" t="str">
        <f t="shared" si="275"/>
        <v/>
      </c>
      <c r="EG28" s="116" t="str">
        <f>IF(DY28&lt;&gt;"",AVERAGE(DY28:EF28),"")</f>
        <v/>
      </c>
      <c r="EH28" s="119" t="str">
        <f t="shared" si="259"/>
        <v/>
      </c>
      <c r="EI28" s="119" t="str">
        <f t="shared" si="259"/>
        <v/>
      </c>
      <c r="EJ28" s="119" t="str">
        <f t="shared" si="259"/>
        <v/>
      </c>
      <c r="EK28" s="119" t="str">
        <f t="shared" si="259"/>
        <v/>
      </c>
      <c r="EL28" s="119" t="str">
        <f t="shared" si="259"/>
        <v/>
      </c>
      <c r="EM28" s="119" t="str">
        <f t="shared" si="259"/>
        <v/>
      </c>
      <c r="EN28" s="119" t="str">
        <f t="shared" si="259"/>
        <v/>
      </c>
      <c r="EO28" s="119" t="str">
        <f t="shared" si="259"/>
        <v/>
      </c>
      <c r="EP28" s="119" t="str">
        <f>IF(EH28&lt;&gt;"",SUM(EH28:EO28),"")</f>
        <v/>
      </c>
      <c r="EQ28" s="122">
        <v>0</v>
      </c>
      <c r="ER28" s="122">
        <v>0.63</v>
      </c>
      <c r="ES28" s="122">
        <v>1.27</v>
      </c>
      <c r="ET28" s="122">
        <v>1.9</v>
      </c>
      <c r="EU28" s="122">
        <v>2.54</v>
      </c>
      <c r="EV28" s="122">
        <v>3.81</v>
      </c>
      <c r="EW28" s="122">
        <v>5.08</v>
      </c>
      <c r="EX28" s="122">
        <v>6.35</v>
      </c>
      <c r="EY28" s="1190">
        <v>7.62</v>
      </c>
      <c r="EZ28" s="123" t="str">
        <f>IF(EZ27&lt;&gt;"",EZ26^2,"")</f>
        <v/>
      </c>
      <c r="FA28" s="116" t="str">
        <f t="shared" ref="FA28:FG28" si="276">IF(FA27&lt;&gt;"",FA26^2,"")</f>
        <v/>
      </c>
      <c r="FB28" s="116" t="str">
        <f t="shared" si="276"/>
        <v/>
      </c>
      <c r="FC28" s="116" t="str">
        <f t="shared" si="276"/>
        <v/>
      </c>
      <c r="FD28" s="116" t="str">
        <f t="shared" si="276"/>
        <v/>
      </c>
      <c r="FE28" s="116" t="str">
        <f t="shared" si="276"/>
        <v/>
      </c>
      <c r="FF28" s="116" t="str">
        <f t="shared" si="276"/>
        <v/>
      </c>
      <c r="FG28" s="116" t="str">
        <f t="shared" si="276"/>
        <v/>
      </c>
      <c r="FH28" s="116" t="str">
        <f>IF(EZ28&lt;&gt;"",AVERAGE(EZ28:FG28),"")</f>
        <v/>
      </c>
      <c r="FI28" s="119" t="str">
        <f t="shared" si="261"/>
        <v/>
      </c>
      <c r="FJ28" s="119" t="str">
        <f t="shared" si="261"/>
        <v/>
      </c>
      <c r="FK28" s="119" t="str">
        <f t="shared" si="261"/>
        <v/>
      </c>
      <c r="FL28" s="119" t="str">
        <f t="shared" si="261"/>
        <v/>
      </c>
      <c r="FM28" s="119" t="str">
        <f t="shared" si="261"/>
        <v/>
      </c>
      <c r="FN28" s="119" t="str">
        <f t="shared" si="261"/>
        <v/>
      </c>
      <c r="FO28" s="119" t="str">
        <f t="shared" si="261"/>
        <v/>
      </c>
      <c r="FP28" s="119" t="str">
        <f t="shared" si="261"/>
        <v/>
      </c>
      <c r="FQ28" s="119" t="str">
        <f>IF(FI28&lt;&gt;"",SUM(FI28:FP28),"")</f>
        <v/>
      </c>
      <c r="FR28" s="122">
        <v>0</v>
      </c>
      <c r="FS28" s="122">
        <v>0.63</v>
      </c>
      <c r="FT28" s="122">
        <v>1.27</v>
      </c>
      <c r="FU28" s="122">
        <v>1.9</v>
      </c>
      <c r="FV28" s="122">
        <v>2.54</v>
      </c>
      <c r="FW28" s="122">
        <v>3.81</v>
      </c>
      <c r="FX28" s="122">
        <v>5.08</v>
      </c>
      <c r="FY28" s="122">
        <v>6.35</v>
      </c>
      <c r="FZ28" s="1190">
        <v>7.62</v>
      </c>
      <c r="GA28" s="123" t="str">
        <f>IF(GA27&lt;&gt;"",GA26^2,"")</f>
        <v/>
      </c>
      <c r="GB28" s="116" t="str">
        <f t="shared" ref="GB28:GH28" si="277">IF(GB27&lt;&gt;"",GB26^2,"")</f>
        <v/>
      </c>
      <c r="GC28" s="116" t="str">
        <f t="shared" si="277"/>
        <v/>
      </c>
      <c r="GD28" s="116" t="str">
        <f t="shared" si="277"/>
        <v/>
      </c>
      <c r="GE28" s="116" t="str">
        <f t="shared" si="277"/>
        <v/>
      </c>
      <c r="GF28" s="116" t="str">
        <f t="shared" si="277"/>
        <v/>
      </c>
      <c r="GG28" s="116" t="str">
        <f t="shared" si="277"/>
        <v/>
      </c>
      <c r="GH28" s="116" t="str">
        <f t="shared" si="277"/>
        <v/>
      </c>
      <c r="GI28" s="116" t="str">
        <f>IF(GA28&lt;&gt;"",AVERAGE(GA28:GH28),"")</f>
        <v/>
      </c>
      <c r="GJ28" s="119" t="str">
        <f t="shared" si="263"/>
        <v/>
      </c>
      <c r="GK28" s="119" t="str">
        <f t="shared" si="263"/>
        <v/>
      </c>
      <c r="GL28" s="119" t="str">
        <f t="shared" si="263"/>
        <v/>
      </c>
      <c r="GM28" s="119" t="str">
        <f t="shared" si="263"/>
        <v/>
      </c>
      <c r="GN28" s="119" t="str">
        <f t="shared" si="263"/>
        <v/>
      </c>
      <c r="GO28" s="119" t="str">
        <f t="shared" si="263"/>
        <v/>
      </c>
      <c r="GP28" s="119" t="str">
        <f t="shared" si="263"/>
        <v/>
      </c>
      <c r="GQ28" s="119" t="str">
        <f t="shared" si="263"/>
        <v/>
      </c>
      <c r="GR28" s="119" t="str">
        <f>IF(GJ28&lt;&gt;"",SUM(GJ28:GQ28),"")</f>
        <v/>
      </c>
      <c r="GS28" s="122">
        <v>0</v>
      </c>
      <c r="GT28" s="122">
        <v>0.63</v>
      </c>
      <c r="GU28" s="122">
        <v>1.27</v>
      </c>
      <c r="GV28" s="122">
        <v>1.9</v>
      </c>
      <c r="GW28" s="122">
        <v>2.54</v>
      </c>
      <c r="GX28" s="122">
        <v>3.81</v>
      </c>
      <c r="GY28" s="122">
        <v>5.08</v>
      </c>
      <c r="GZ28" s="122">
        <v>6.35</v>
      </c>
      <c r="HA28" s="1190">
        <v>7.62</v>
      </c>
      <c r="HB28" s="123" t="str">
        <f>IF(HB27&lt;&gt;"",HB26^2,"")</f>
        <v/>
      </c>
      <c r="HC28" s="116" t="str">
        <f t="shared" ref="HC28:HI28" si="278">IF(HC27&lt;&gt;"",HC26^2,"")</f>
        <v/>
      </c>
      <c r="HD28" s="116" t="str">
        <f t="shared" si="278"/>
        <v/>
      </c>
      <c r="HE28" s="116" t="str">
        <f t="shared" si="278"/>
        <v/>
      </c>
      <c r="HF28" s="116" t="str">
        <f t="shared" si="278"/>
        <v/>
      </c>
      <c r="HG28" s="116" t="str">
        <f t="shared" si="278"/>
        <v/>
      </c>
      <c r="HH28" s="116" t="str">
        <f t="shared" si="278"/>
        <v/>
      </c>
      <c r="HI28" s="116" t="str">
        <f t="shared" si="278"/>
        <v/>
      </c>
      <c r="HJ28" s="116" t="str">
        <f>IF(HB28&lt;&gt;"",AVERAGE(HB28:HI28),"")</f>
        <v/>
      </c>
      <c r="HK28" s="119" t="str">
        <f t="shared" si="265"/>
        <v/>
      </c>
      <c r="HL28" s="119" t="str">
        <f t="shared" si="265"/>
        <v/>
      </c>
      <c r="HM28" s="119" t="str">
        <f t="shared" si="265"/>
        <v/>
      </c>
      <c r="HN28" s="119" t="str">
        <f t="shared" si="265"/>
        <v/>
      </c>
      <c r="HO28" s="119" t="str">
        <f t="shared" si="265"/>
        <v/>
      </c>
      <c r="HP28" s="119" t="str">
        <f t="shared" si="265"/>
        <v/>
      </c>
      <c r="HQ28" s="119" t="str">
        <f t="shared" si="265"/>
        <v/>
      </c>
      <c r="HR28" s="119" t="str">
        <f t="shared" si="265"/>
        <v/>
      </c>
      <c r="HS28" s="119" t="str">
        <f>IF(HK28&lt;&gt;"",SUM(HK28:HR28),"")</f>
        <v/>
      </c>
      <c r="HT28" s="122">
        <v>0</v>
      </c>
      <c r="HU28" s="122">
        <v>0.63</v>
      </c>
      <c r="HV28" s="122">
        <v>1.27</v>
      </c>
      <c r="HW28" s="122">
        <v>1.9</v>
      </c>
      <c r="HX28" s="122">
        <v>2.54</v>
      </c>
      <c r="HY28" s="122">
        <v>3.81</v>
      </c>
      <c r="HZ28" s="122">
        <v>5.08</v>
      </c>
      <c r="IA28" s="122">
        <v>6.35</v>
      </c>
      <c r="IB28" s="1190">
        <v>7.62</v>
      </c>
      <c r="IC28" s="123" t="str">
        <f>IF(IC27&lt;&gt;"",IC26^2,"")</f>
        <v/>
      </c>
      <c r="ID28" s="116" t="str">
        <f t="shared" ref="ID28:IJ28" si="279">IF(ID27&lt;&gt;"",ID26^2,"")</f>
        <v/>
      </c>
      <c r="IE28" s="116" t="str">
        <f t="shared" si="279"/>
        <v/>
      </c>
      <c r="IF28" s="116" t="str">
        <f t="shared" si="279"/>
        <v/>
      </c>
      <c r="IG28" s="116" t="str">
        <f t="shared" si="279"/>
        <v/>
      </c>
      <c r="IH28" s="116" t="str">
        <f t="shared" si="279"/>
        <v/>
      </c>
      <c r="II28" s="116" t="str">
        <f t="shared" si="279"/>
        <v/>
      </c>
      <c r="IJ28" s="116" t="str">
        <f t="shared" si="279"/>
        <v/>
      </c>
      <c r="IK28" s="116" t="str">
        <f>IF(IC28&lt;&gt;"",AVERAGE(IC28:IJ28),"")</f>
        <v/>
      </c>
      <c r="IL28" s="119" t="str">
        <f t="shared" si="267"/>
        <v/>
      </c>
      <c r="IM28" s="119" t="str">
        <f t="shared" si="267"/>
        <v/>
      </c>
      <c r="IN28" s="119" t="str">
        <f t="shared" si="267"/>
        <v/>
      </c>
      <c r="IO28" s="119" t="str">
        <f t="shared" si="267"/>
        <v/>
      </c>
      <c r="IP28" s="119" t="str">
        <f t="shared" si="267"/>
        <v/>
      </c>
      <c r="IQ28" s="119" t="str">
        <f t="shared" si="267"/>
        <v/>
      </c>
      <c r="IR28" s="119" t="str">
        <f t="shared" si="267"/>
        <v/>
      </c>
      <c r="IS28" s="119" t="str">
        <f t="shared" si="267"/>
        <v/>
      </c>
      <c r="IT28" s="119" t="str">
        <f>IF(IL28&lt;&gt;"",SUM(IL28:IS28),"")</f>
        <v/>
      </c>
      <c r="IU28" s="122">
        <v>0</v>
      </c>
      <c r="IV28" s="122">
        <v>0.63</v>
      </c>
      <c r="IW28" s="122">
        <v>1.27</v>
      </c>
      <c r="IX28" s="122">
        <v>1.9</v>
      </c>
      <c r="IY28" s="122">
        <v>2.54</v>
      </c>
      <c r="IZ28" s="122">
        <v>3.81</v>
      </c>
      <c r="JA28" s="122">
        <v>5.08</v>
      </c>
      <c r="JB28" s="122">
        <v>6.35</v>
      </c>
      <c r="JC28" s="1190">
        <v>7.62</v>
      </c>
      <c r="JD28" s="150">
        <f t="shared" si="249"/>
        <v>3</v>
      </c>
      <c r="JE28" s="77" t="str">
        <f t="shared" ref="JE28:JJ28" si="280">IF(ISNUMBER(JE26),JE26^2,"")</f>
        <v/>
      </c>
      <c r="JF28" s="77">
        <f t="shared" si="280"/>
        <v>1.6057078544764181E-3</v>
      </c>
      <c r="JG28" s="77">
        <f t="shared" si="280"/>
        <v>2.5141330304953992E-3</v>
      </c>
      <c r="JH28" s="77">
        <f t="shared" si="280"/>
        <v>3.6253618220848261E-3</v>
      </c>
      <c r="JI28" s="77" t="str">
        <f t="shared" si="280"/>
        <v/>
      </c>
      <c r="JJ28" s="72" t="str">
        <f t="shared" si="280"/>
        <v/>
      </c>
      <c r="JK28" s="75">
        <f>AVERAGE(JE28:JJ28)</f>
        <v>2.5817342356855479E-3</v>
      </c>
      <c r="JL28" s="75" t="str">
        <f t="shared" ref="JL28:JQ28" si="281">IF(ISERROR(JE30*JE30),"",JE29*JE30)</f>
        <v/>
      </c>
      <c r="JM28" s="75">
        <f t="shared" si="281"/>
        <v>0</v>
      </c>
      <c r="JN28" s="75">
        <f t="shared" si="281"/>
        <v>0</v>
      </c>
      <c r="JO28" s="75">
        <f t="shared" si="281"/>
        <v>0</v>
      </c>
      <c r="JP28" s="75" t="str">
        <f t="shared" si="281"/>
        <v/>
      </c>
      <c r="JQ28" s="75" t="str">
        <f t="shared" si="281"/>
        <v/>
      </c>
      <c r="JR28" s="65">
        <f>SUM(JL28:JQ28)</f>
        <v>0</v>
      </c>
      <c r="JS28" s="71"/>
      <c r="JT28" s="1191"/>
      <c r="JU28" s="123">
        <f>IF(T29&lt;&gt;0,LOOKUP(T29,Tara!$G$6:$G$185,Tara!$J$6:$J$185)/10,"")</f>
        <v>11.5</v>
      </c>
      <c r="JV28" s="116">
        <f t="shared" si="251"/>
        <v>0</v>
      </c>
      <c r="JW28" s="155">
        <f t="shared" si="252"/>
        <v>0</v>
      </c>
      <c r="JX28" s="77" t="str">
        <f t="shared" ref="JX28:KC28" si="282">IF(ISNUMBER(JX26),JX26^2,"")</f>
        <v/>
      </c>
      <c r="JY28" s="77">
        <f t="shared" si="282"/>
        <v>1.6057078544764181E-3</v>
      </c>
      <c r="JZ28" s="77">
        <f t="shared" si="282"/>
        <v>2.5141330304953992E-3</v>
      </c>
      <c r="KA28" s="77">
        <f t="shared" si="282"/>
        <v>3.6253618220848261E-3</v>
      </c>
      <c r="KB28" s="77" t="str">
        <f t="shared" si="282"/>
        <v/>
      </c>
      <c r="KC28" s="72" t="str">
        <f t="shared" si="282"/>
        <v/>
      </c>
      <c r="KD28" s="75">
        <f>AVERAGE(JX28:KC28)</f>
        <v>2.5817342356855479E-3</v>
      </c>
      <c r="KE28" s="75" t="str">
        <f t="shared" ref="KE28:KJ28" si="283">IF(ISERROR(JX30*JX30),"",JX29*JX30)</f>
        <v/>
      </c>
      <c r="KF28" s="75">
        <f t="shared" si="283"/>
        <v>0</v>
      </c>
      <c r="KG28" s="75">
        <f t="shared" si="283"/>
        <v>0</v>
      </c>
      <c r="KH28" s="75">
        <f t="shared" si="283"/>
        <v>0</v>
      </c>
      <c r="KI28" s="75" t="str">
        <f t="shared" si="283"/>
        <v/>
      </c>
      <c r="KJ28" s="75" t="str">
        <f t="shared" si="283"/>
        <v/>
      </c>
      <c r="KK28" s="65">
        <f>SUM(KE28:KJ28)</f>
        <v>0</v>
      </c>
      <c r="KL28" s="71"/>
      <c r="KM28" s="1191"/>
      <c r="KN28" s="167" t="str">
        <f>IF(ISNUMBER(AN28),AN28-KN27,"")</f>
        <v/>
      </c>
      <c r="KO28" s="161" t="str">
        <f>IF(ISNUMBER(AO28),AO28-KO27,"")</f>
        <v/>
      </c>
      <c r="KP28" s="161" t="str">
        <f>IF(ISNUMBER(AP28),AP28-KP27,"")</f>
        <v/>
      </c>
      <c r="KQ28" s="161" t="str">
        <f>IF(ISNUMBER(AQ28),AQ28-KQ27,"")</f>
        <v/>
      </c>
      <c r="KR28" s="1185" t="str">
        <f>IF(ISNUMBER(AR28),AR28-KR27,"")</f>
        <v/>
      </c>
      <c r="KS28" s="167" t="str">
        <f>IF(ISNUMBER(AN32),AN32-KS27,"")</f>
        <v/>
      </c>
      <c r="KT28" s="161" t="str">
        <f>IF(ISNUMBER(AO32),AO32-KT27,"")</f>
        <v/>
      </c>
      <c r="KU28" s="161" t="str">
        <f>IF(ISNUMBER(AP32),AP32-KU27,"")</f>
        <v/>
      </c>
      <c r="KV28" s="161" t="str">
        <f>IF(ISNUMBER(AQ32),AQ32-KV27,"")</f>
        <v/>
      </c>
      <c r="KW28" s="161" t="str">
        <f>IF(ISNUMBER(AR32),AR32-KW27,"")</f>
        <v/>
      </c>
      <c r="KX28" s="1192" t="s">
        <v>69</v>
      </c>
      <c r="KY28" s="195" t="str">
        <f>IF(AX32&lt;&gt;"",AX32,"")</f>
        <v/>
      </c>
      <c r="KZ28" s="1186" t="str">
        <f>IF(BA32&lt;&gt;"",BA32,"")</f>
        <v/>
      </c>
      <c r="LA28" s="598">
        <f>IF(ISNUMBER(AV30),AV30-LA27,"")</f>
        <v>168</v>
      </c>
      <c r="LB28" s="702">
        <f>IF(ISNUMBER(AY30),AY30-LB27,"")</f>
        <v>181.42</v>
      </c>
      <c r="LC28" s="120">
        <f>IF(LC27&lt;&gt;"",SUM(LE27:LK27),"")</f>
        <v>1113.52</v>
      </c>
      <c r="LD28" s="120">
        <f>IF(LC27&lt;&gt;"",LC30+LC28,"")</f>
        <v>1983.8125584135087</v>
      </c>
      <c r="LE28" s="120">
        <f>IF(LC27="","",IF(LE27=0,IF(LD28&gt;0,LD28,""),IF(LE27&gt;0,LD28-LE27,"")))</f>
        <v>1983.8125584135087</v>
      </c>
      <c r="LF28" s="120">
        <f t="shared" ref="LF28:LK28" si="284">IF($LC27="","",LE28-LF27)</f>
        <v>1983.8125584135087</v>
      </c>
      <c r="LG28" s="120">
        <f t="shared" si="284"/>
        <v>1983.8125584135087</v>
      </c>
      <c r="LH28" s="120">
        <f t="shared" si="284"/>
        <v>1983.8125584135087</v>
      </c>
      <c r="LI28" s="120">
        <f t="shared" si="284"/>
        <v>1313.2625584135087</v>
      </c>
      <c r="LJ28" s="120">
        <f t="shared" si="284"/>
        <v>1017.3725584135087</v>
      </c>
      <c r="LK28" s="120">
        <f t="shared" si="284"/>
        <v>870.29255841350869</v>
      </c>
      <c r="LL28" s="120">
        <f>IF(LD27&lt;&gt;"",LD29-LL27,"")</f>
        <v>90.913964264677006</v>
      </c>
      <c r="LM28" s="1187">
        <f>IF(LD27&lt;&gt;"",LL28-LM27,"")</f>
        <v>35.303964264677006</v>
      </c>
      <c r="LN28" s="185" t="b">
        <f>IF(LM30="","",IF(AND(LE30&gt;=93%,LE30&lt;=100%,LG30&gt;=68%,LG30&lt;=97%,LI30&gt;=33%,LI30&lt;=82%,LJ30&gt;=25%,LJ30&lt;=65%,LK30&gt;=15%,LK30&lt;=50%,LL30&gt;=13%,LL30&lt;=32%,LM30&gt;=3%,LM30&lt;=17%),"Faixa B"))</f>
        <v>0</v>
      </c>
      <c r="LO28" s="181" t="b">
        <f>IF(LM30="","",IF(AND(LG30&gt;=93%,LG30&lt;=100%,LJ30&gt;=65%,LJ30&lt;=100%,LK30&gt;=50%,LK30&lt;=100%,LL30&gt;=28%,LL30&lt;=72%,LM30&gt;=6%,LM30&lt;=27%),"Faixa F"))</f>
        <v>0</v>
      </c>
      <c r="LP28" s="206"/>
      <c r="LQ28" s="181"/>
      <c r="LR28" s="1279" t="str">
        <f>IF(LL30&gt;70%,"",IF(LM30="","",IF(LO30&gt;0,LO30,IF(LQ30&gt;0,LQ30))))</f>
        <v>D</v>
      </c>
      <c r="LS28" s="221"/>
      <c r="LT28" s="162"/>
      <c r="LU28" s="162"/>
      <c r="LV28" s="162"/>
      <c r="LW28" s="162"/>
      <c r="LX28" s="108"/>
      <c r="LY28" s="108"/>
      <c r="LZ28" s="108"/>
      <c r="MA28" s="108"/>
      <c r="MB28" s="108"/>
      <c r="MC28" s="108"/>
      <c r="MD28" s="108"/>
      <c r="ME28" s="1193"/>
      <c r="MF28" s="223" t="s">
        <v>70</v>
      </c>
      <c r="MG28" s="701" t="s">
        <v>71</v>
      </c>
      <c r="MH28" s="701" t="s">
        <v>72</v>
      </c>
      <c r="MI28" s="224" t="s">
        <v>73</v>
      </c>
      <c r="MJ28" s="224" t="s">
        <v>74</v>
      </c>
      <c r="MK28" s="224" t="s">
        <v>75</v>
      </c>
      <c r="ML28" s="224" t="s">
        <v>76</v>
      </c>
      <c r="MM28" s="224" t="s">
        <v>77</v>
      </c>
      <c r="MN28" s="225">
        <v>4</v>
      </c>
      <c r="MO28" s="225">
        <v>10</v>
      </c>
      <c r="MP28" s="225">
        <v>40</v>
      </c>
      <c r="MQ28" s="225">
        <v>200</v>
      </c>
      <c r="MR28" s="225">
        <v>270</v>
      </c>
      <c r="MS28" s="224" t="s">
        <v>78</v>
      </c>
      <c r="MT28" s="224" t="s">
        <v>79</v>
      </c>
      <c r="MU28" s="224" t="s">
        <v>80</v>
      </c>
      <c r="MV28" s="224" t="s">
        <v>81</v>
      </c>
      <c r="MW28" s="224" t="s">
        <v>82</v>
      </c>
      <c r="MX28" s="224" t="s">
        <v>83</v>
      </c>
      <c r="MY28" s="224" t="s">
        <v>48</v>
      </c>
      <c r="MZ28" s="226" t="s">
        <v>84</v>
      </c>
      <c r="NA28" s="226" t="s">
        <v>85</v>
      </c>
      <c r="NB28" s="226" t="s">
        <v>86</v>
      </c>
      <c r="NC28" s="226" t="s">
        <v>87</v>
      </c>
      <c r="ND28" s="226" t="s">
        <v>84</v>
      </c>
      <c r="NE28" s="226" t="s">
        <v>85</v>
      </c>
      <c r="NF28" s="226" t="s">
        <v>88</v>
      </c>
      <c r="NG28" s="226" t="s">
        <v>84</v>
      </c>
      <c r="NH28" s="226" t="s">
        <v>85</v>
      </c>
      <c r="NI28" s="226" t="s">
        <v>89</v>
      </c>
      <c r="NJ28" s="226" t="s">
        <v>90</v>
      </c>
      <c r="NK28" s="226" t="s">
        <v>84</v>
      </c>
      <c r="NL28" s="226" t="s">
        <v>85</v>
      </c>
      <c r="NM28" s="226" t="s">
        <v>89</v>
      </c>
      <c r="NN28" s="226" t="s">
        <v>90</v>
      </c>
      <c r="NO28" s="226" t="s">
        <v>84</v>
      </c>
      <c r="NP28" s="226" t="s">
        <v>85</v>
      </c>
      <c r="NQ28" s="226" t="s">
        <v>89</v>
      </c>
      <c r="NR28" s="226" t="s">
        <v>90</v>
      </c>
      <c r="NS28" s="226" t="s">
        <v>84</v>
      </c>
      <c r="NT28" s="226" t="s">
        <v>85</v>
      </c>
      <c r="NU28" s="226" t="s">
        <v>89</v>
      </c>
      <c r="NV28" s="226" t="s">
        <v>90</v>
      </c>
      <c r="NW28" s="226" t="s">
        <v>84</v>
      </c>
      <c r="NX28" s="226" t="s">
        <v>85</v>
      </c>
      <c r="NY28" s="226" t="s">
        <v>89</v>
      </c>
      <c r="NZ28" s="226" t="s">
        <v>90</v>
      </c>
      <c r="OA28" s="226" t="s">
        <v>84</v>
      </c>
      <c r="OB28" s="226" t="s">
        <v>85</v>
      </c>
      <c r="OC28" s="226" t="s">
        <v>89</v>
      </c>
      <c r="OD28" s="1194" t="s">
        <v>90</v>
      </c>
      <c r="OE28" s="226"/>
      <c r="OF28" s="132"/>
      <c r="OG28" s="132"/>
      <c r="OH28" s="132"/>
      <c r="OI28" s="56"/>
      <c r="OJ28" s="56"/>
      <c r="OK28" s="56"/>
      <c r="OL28" s="56"/>
      <c r="OM28" s="56"/>
      <c r="ON28" s="56"/>
      <c r="OO28" s="56"/>
      <c r="OP28" s="56"/>
      <c r="OQ28" s="56"/>
      <c r="OR28" s="56"/>
      <c r="OS28" s="56"/>
      <c r="OT28" s="56"/>
      <c r="OU28" s="56"/>
      <c r="OV28" s="56"/>
      <c r="OW28" s="56"/>
      <c r="OX28" s="56"/>
      <c r="OY28" s="56"/>
      <c r="OZ28" s="56"/>
      <c r="PA28" s="56"/>
      <c r="PB28" s="56"/>
      <c r="PC28" s="56"/>
      <c r="PD28" s="56"/>
      <c r="PE28" s="56"/>
      <c r="PF28" s="56"/>
      <c r="PG28" s="56"/>
      <c r="PH28" s="56"/>
      <c r="PI28" s="56"/>
      <c r="PJ28" s="56"/>
      <c r="PK28" s="56"/>
      <c r="PL28" s="56"/>
      <c r="PM28" s="56"/>
    </row>
    <row r="29" spans="1:1378" ht="15" hidden="1" customHeight="1" x14ac:dyDescent="0.3">
      <c r="A29" s="1337"/>
      <c r="B29" s="723" t="s">
        <v>91</v>
      </c>
      <c r="C29" s="666"/>
      <c r="D29" s="1360"/>
      <c r="E29" s="1361"/>
      <c r="F29" s="1370"/>
      <c r="G29" s="726" t="s">
        <v>93</v>
      </c>
      <c r="H29" s="665"/>
      <c r="I29" s="735" t="s">
        <v>94</v>
      </c>
      <c r="J29" s="736"/>
      <c r="K29" s="736"/>
      <c r="L29" s="736"/>
      <c r="M29" s="736"/>
      <c r="N29" s="736"/>
      <c r="O29" s="736"/>
      <c r="P29" s="671">
        <v>194.28</v>
      </c>
      <c r="Q29" s="672">
        <v>209.35</v>
      </c>
      <c r="R29" s="671"/>
      <c r="S29" s="672"/>
      <c r="T29" s="1181">
        <f>IF(U29="","",3)</f>
        <v>3</v>
      </c>
      <c r="U29" s="728">
        <v>47</v>
      </c>
      <c r="V29" s="737"/>
      <c r="W29" s="1372" t="s">
        <v>95</v>
      </c>
      <c r="X29" s="1373"/>
      <c r="Y29" s="737"/>
      <c r="Z29" s="673"/>
      <c r="AA29" s="673"/>
      <c r="AB29" s="673"/>
      <c r="AC29" s="673"/>
      <c r="AD29" s="676"/>
      <c r="AE29" s="675"/>
      <c r="AF29" s="675"/>
      <c r="AG29" s="675"/>
      <c r="AH29" s="675"/>
      <c r="AI29" s="675"/>
      <c r="AJ29" s="675"/>
      <c r="AK29" s="675"/>
      <c r="AL29" s="1356"/>
      <c r="AM29" s="739" t="s">
        <v>96</v>
      </c>
      <c r="AN29" s="740"/>
      <c r="AO29" s="740"/>
      <c r="AP29" s="740"/>
      <c r="AQ29" s="740"/>
      <c r="AR29" s="592"/>
      <c r="AS29" s="1359"/>
      <c r="AT29" s="1331"/>
      <c r="AU29" s="1333"/>
      <c r="AV29" s="1333"/>
      <c r="AW29" s="1333"/>
      <c r="AX29" s="1333"/>
      <c r="AY29" s="1333"/>
      <c r="AZ29" s="738">
        <v>50.8</v>
      </c>
      <c r="BA29" s="738">
        <v>38.1</v>
      </c>
      <c r="BB29" s="738">
        <v>25.4</v>
      </c>
      <c r="BC29" s="738">
        <v>19.100000000000001</v>
      </c>
      <c r="BD29" s="738">
        <v>9.52</v>
      </c>
      <c r="BE29" s="738">
        <v>4.76</v>
      </c>
      <c r="BF29" s="738">
        <v>2</v>
      </c>
      <c r="BG29" s="1335"/>
      <c r="BH29" s="1335"/>
      <c r="BI29" s="738">
        <v>0.42</v>
      </c>
      <c r="BJ29" s="738">
        <v>0.14899999999999999</v>
      </c>
      <c r="BK29" s="738">
        <v>7.3999999999999996E-2</v>
      </c>
      <c r="BL29" s="1320"/>
      <c r="BM29" s="1307"/>
      <c r="BN29" s="62" t="s">
        <v>97</v>
      </c>
      <c r="BO29" s="67" t="str">
        <f t="shared" ref="BO29:BV29" si="285">IF(ISNUMBER(BO28),BO26/BO28,"")</f>
        <v/>
      </c>
      <c r="BP29" s="67" t="str">
        <f t="shared" si="285"/>
        <v/>
      </c>
      <c r="BQ29" s="67" t="str">
        <f t="shared" si="285"/>
        <v/>
      </c>
      <c r="BR29" s="67" t="str">
        <f t="shared" si="285"/>
        <v/>
      </c>
      <c r="BS29" s="67" t="str">
        <f t="shared" si="285"/>
        <v/>
      </c>
      <c r="BT29" s="67" t="str">
        <f t="shared" si="285"/>
        <v/>
      </c>
      <c r="BU29" s="67">
        <f t="shared" si="285"/>
        <v>6.8770939869510815E-3</v>
      </c>
      <c r="BV29" s="67">
        <f t="shared" si="285"/>
        <v>7.092198581560346E-3</v>
      </c>
      <c r="BW29" s="1310"/>
      <c r="BX29" s="62" t="s">
        <v>98</v>
      </c>
      <c r="BY29" s="68">
        <f t="shared" ref="BY29:CD29" si="286">IF(J32&lt;&gt;0,J32-BY27,"")</f>
        <v>4525</v>
      </c>
      <c r="BZ29" s="68">
        <f t="shared" si="286"/>
        <v>4717</v>
      </c>
      <c r="CA29" s="68">
        <f t="shared" si="286"/>
        <v>4939</v>
      </c>
      <c r="CB29" s="68">
        <f t="shared" si="286"/>
        <v>4954</v>
      </c>
      <c r="CC29" s="68">
        <f t="shared" si="286"/>
        <v>4810</v>
      </c>
      <c r="CD29" s="68" t="str">
        <f t="shared" si="286"/>
        <v/>
      </c>
      <c r="CE29" s="77">
        <f t="shared" ref="CE29:CJ29" si="287">IF(ISNUMBER(CE26),CE26-$CK26,"")</f>
        <v>-2.0139692925685113E-2</v>
      </c>
      <c r="CF29" s="77">
        <f t="shared" si="287"/>
        <v>-1.0069846462842556E-2</v>
      </c>
      <c r="CG29" s="77">
        <f t="shared" si="287"/>
        <v>0</v>
      </c>
      <c r="CH29" s="77">
        <f t="shared" si="287"/>
        <v>1.0069846462842556E-2</v>
      </c>
      <c r="CI29" s="77">
        <f t="shared" si="287"/>
        <v>2.013969292568512E-2</v>
      </c>
      <c r="CJ29" s="77" t="str">
        <f t="shared" si="287"/>
        <v/>
      </c>
      <c r="CK29" s="76"/>
      <c r="CL29" s="75">
        <f t="shared" ref="CL29:CQ29" si="288">IF(ISERROR(CE30*CE31),"",CE30*CE31)</f>
        <v>0.16909775507165437</v>
      </c>
      <c r="CM29" s="75">
        <f t="shared" si="288"/>
        <v>2.177069087562428E-2</v>
      </c>
      <c r="CN29" s="75">
        <f t="shared" si="288"/>
        <v>-1.7564360983177499E-2</v>
      </c>
      <c r="CO29" s="75">
        <f t="shared" si="288"/>
        <v>6.4171789616767255E-2</v>
      </c>
      <c r="CP29" s="75">
        <f t="shared" si="288"/>
        <v>-9.9088184584765857E-2</v>
      </c>
      <c r="CQ29" s="75" t="str">
        <f t="shared" si="288"/>
        <v/>
      </c>
      <c r="CR29" s="65">
        <f>SUM(CL29:CQ29)</f>
        <v>0.13838768999610257</v>
      </c>
      <c r="CS29" s="74"/>
      <c r="CT29" s="63"/>
      <c r="CU29" s="105" t="str">
        <f>IF(ISNUMBER(CU28),CU26/CU28,"")</f>
        <v/>
      </c>
      <c r="CV29" s="105" t="str">
        <f>IF(ISNUMBER(CV28),CV26/CV28,"")</f>
        <v/>
      </c>
      <c r="CW29" s="1313"/>
      <c r="CX29" s="124" t="str">
        <f>IF(ISNUMBER(CX27),CX26-DF26,"")</f>
        <v/>
      </c>
      <c r="CY29" s="117" t="str">
        <f>IF(ISNUMBER(CY27),CY26-DF26,"")</f>
        <v/>
      </c>
      <c r="CZ29" s="117" t="str">
        <f>IF(ISNUMBER(CZ27),CZ26-DF26,"")</f>
        <v/>
      </c>
      <c r="DA29" s="117" t="str">
        <f>IF(ISNUMBER(DA27),DA26-DF26,"")</f>
        <v/>
      </c>
      <c r="DB29" s="117" t="str">
        <f>IF(ISNUMBER(DB27),DB26-DF26,"")</f>
        <v/>
      </c>
      <c r="DC29" s="117" t="str">
        <f>IF(ISNUMBER(DC27),DC26-DF26,"")</f>
        <v/>
      </c>
      <c r="DD29" s="117" t="str">
        <f>IF(ISNUMBER(DD27),DD26-DF26,"")</f>
        <v/>
      </c>
      <c r="DE29" s="117" t="str">
        <f>IF(ISNUMBER(DE27),DE26-DF26,"")</f>
        <v/>
      </c>
      <c r="DF29" s="280" t="str">
        <f>IF(CX29&lt;&gt;"",SUM(CX29:DE29),"")</f>
        <v/>
      </c>
      <c r="DG29" s="119" t="str">
        <f t="shared" ref="DG29:DN29" si="289">IF(ISERROR(CX29*CX31),"",CX29*CX31)</f>
        <v/>
      </c>
      <c r="DH29" s="119" t="str">
        <f t="shared" si="289"/>
        <v/>
      </c>
      <c r="DI29" s="119" t="str">
        <f t="shared" si="289"/>
        <v/>
      </c>
      <c r="DJ29" s="119" t="str">
        <f t="shared" si="289"/>
        <v/>
      </c>
      <c r="DK29" s="119" t="str">
        <f t="shared" si="289"/>
        <v/>
      </c>
      <c r="DL29" s="119" t="str">
        <f t="shared" si="289"/>
        <v/>
      </c>
      <c r="DM29" s="119" t="str">
        <f t="shared" si="289"/>
        <v/>
      </c>
      <c r="DN29" s="119" t="str">
        <f t="shared" si="289"/>
        <v/>
      </c>
      <c r="DO29" s="119" t="str">
        <f>IF(DG29&lt;&gt;"",SUM(DG29:DN29),"")</f>
        <v/>
      </c>
      <c r="DP29" s="119" t="str">
        <f>IF(DP27="","",IF(DP27&gt;0,(DJ30*DP28)+DJ31,-1))</f>
        <v/>
      </c>
      <c r="DQ29" s="119" t="str">
        <f>IF(DP27="","",IF(DP27&gt;0,(DJ30*DQ28)+DJ31,-1))</f>
        <v/>
      </c>
      <c r="DR29" s="119" t="str">
        <f>IF(DP27="","",IF(DP27&gt;0,(DJ30*DR28)+DJ31,-1))</f>
        <v/>
      </c>
      <c r="DS29" s="119" t="str">
        <f>IF(DP27="","",IF(DP27&gt;0,(DJ30*DS28)+DJ31,-1))</f>
        <v/>
      </c>
      <c r="DT29" s="119" t="str">
        <f>IF(DP27="","",IF(DP27&gt;0,(DJ30*DT28)+DJ31,-1))</f>
        <v/>
      </c>
      <c r="DU29" s="119" t="str">
        <f>IF(DP27="","",IF(DP27&gt;0,(DJ30*DU28)+DJ31,-1))</f>
        <v/>
      </c>
      <c r="DV29" s="119" t="str">
        <f>IF(DP27="","",IF(DP27&gt;0,(DJ30*DV28)+DJ31,-1))</f>
        <v/>
      </c>
      <c r="DW29" s="119" t="str">
        <f>IF(DP27="","",IF(DP27&gt;0,(DJ30*DW28)+DJ31,-1))</f>
        <v/>
      </c>
      <c r="DX29" s="1182" t="str">
        <f>IF(DP27="","",IF(DP27&gt;0,(DJ30*DX28)+DJ31,-1))</f>
        <v/>
      </c>
      <c r="DY29" s="124" t="str">
        <f>IF(ISNUMBER(DY27),DY26-EG26,"")</f>
        <v/>
      </c>
      <c r="DZ29" s="117" t="str">
        <f>IF(ISNUMBER(DZ27),DZ26-EG26,"")</f>
        <v/>
      </c>
      <c r="EA29" s="117" t="str">
        <f>IF(ISNUMBER(EA27),EA26-EG26,"")</f>
        <v/>
      </c>
      <c r="EB29" s="117" t="str">
        <f>IF(ISNUMBER(EB27),EB26-EG26,"")</f>
        <v/>
      </c>
      <c r="EC29" s="117" t="str">
        <f>IF(ISNUMBER(EC27),EC26-EG26,"")</f>
        <v/>
      </c>
      <c r="ED29" s="117" t="str">
        <f>IF(ISNUMBER(ED27),ED26-EG26,"")</f>
        <v/>
      </c>
      <c r="EE29" s="117" t="str">
        <f>IF(ISNUMBER(EE27),EE26-EG26,"")</f>
        <v/>
      </c>
      <c r="EF29" s="117" t="str">
        <f>IF(ISNUMBER(EF27),EF26-EG26,"")</f>
        <v/>
      </c>
      <c r="EG29" s="118" t="str">
        <f>IF(DY29&lt;&gt;"",SUM(DY29:EF29),"")</f>
        <v/>
      </c>
      <c r="EH29" s="119" t="str">
        <f t="shared" ref="EH29:EO29" si="290">IF(ISERROR(DY29*DY31),"",DY29*DY31)</f>
        <v/>
      </c>
      <c r="EI29" s="119" t="str">
        <f t="shared" si="290"/>
        <v/>
      </c>
      <c r="EJ29" s="119" t="str">
        <f t="shared" si="290"/>
        <v/>
      </c>
      <c r="EK29" s="119" t="str">
        <f t="shared" si="290"/>
        <v/>
      </c>
      <c r="EL29" s="119" t="str">
        <f t="shared" si="290"/>
        <v/>
      </c>
      <c r="EM29" s="119" t="str">
        <f t="shared" si="290"/>
        <v/>
      </c>
      <c r="EN29" s="119" t="str">
        <f t="shared" si="290"/>
        <v/>
      </c>
      <c r="EO29" s="119" t="str">
        <f t="shared" si="290"/>
        <v/>
      </c>
      <c r="EP29" s="119" t="str">
        <f>IF(EH29&lt;&gt;"",SUM(EH29:EO29),"")</f>
        <v/>
      </c>
      <c r="EQ29" s="119" t="str">
        <f>IF(EQ27="","",IF(EQ27&gt;0,(EK30*EQ28)+EK31,-1))</f>
        <v/>
      </c>
      <c r="ER29" s="119" t="str">
        <f>IF(EQ27="","",IF(EQ27&gt;0,(EK30*ER28)+EK31,-1))</f>
        <v/>
      </c>
      <c r="ES29" s="119" t="str">
        <f>IF(EQ27="","",IF(EQ27&gt;0,(EK30*ES28)+EK31,-1))</f>
        <v/>
      </c>
      <c r="ET29" s="119" t="str">
        <f>IF(EQ27="","",IF(EQ27&gt;0,(EK30*ET28)+EK31,-1))</f>
        <v/>
      </c>
      <c r="EU29" s="119" t="str">
        <f>IF(EQ27="","",IF(EQ27&gt;0,(EK30*EU28)+EK31,-1))</f>
        <v/>
      </c>
      <c r="EV29" s="119" t="str">
        <f>IF(EQ27="","",IF(EQ27&gt;0,(EK30*EV28)+EK31,-1))</f>
        <v/>
      </c>
      <c r="EW29" s="119" t="str">
        <f>IF(EQ27="","",IF(EQ27&gt;0,(EK30*EW28)+EK31,-1))</f>
        <v/>
      </c>
      <c r="EX29" s="119" t="str">
        <f>IF(EQ27="","",IF(EQ27&gt;0,(EK30*EX28)+EK31,-1))</f>
        <v/>
      </c>
      <c r="EY29" s="1182" t="str">
        <f>IF(EQ27="","",IF(EQ27&gt;0,(EK30*EY28)+EK31,-1))</f>
        <v/>
      </c>
      <c r="EZ29" s="124" t="str">
        <f>IF(ISNUMBER(EZ27),EZ26-FH26,"")</f>
        <v/>
      </c>
      <c r="FA29" s="117" t="str">
        <f>IF(ISNUMBER(FA27),FA26-FH26,"")</f>
        <v/>
      </c>
      <c r="FB29" s="117" t="str">
        <f>IF(ISNUMBER(FB27),FB26-FH26,"")</f>
        <v/>
      </c>
      <c r="FC29" s="117" t="str">
        <f>IF(ISNUMBER(FC27),FC26-FH26,"")</f>
        <v/>
      </c>
      <c r="FD29" s="117" t="str">
        <f>IF(ISNUMBER(FD27),FD26-FH26,"")</f>
        <v/>
      </c>
      <c r="FE29" s="117" t="str">
        <f>IF(ISNUMBER(FE27),FE26-FH26,"")</f>
        <v/>
      </c>
      <c r="FF29" s="117" t="str">
        <f>IF(ISNUMBER(FF27),FF26-FH26,"")</f>
        <v/>
      </c>
      <c r="FG29" s="117" t="str">
        <f>IF(ISNUMBER(FG27),FG26-FH26,"")</f>
        <v/>
      </c>
      <c r="FH29" s="118" t="str">
        <f>IF(EZ29&lt;&gt;"",SUM(EZ29:FG29),"")</f>
        <v/>
      </c>
      <c r="FI29" s="119" t="str">
        <f t="shared" ref="FI29:FP29" si="291">IF(ISERROR(EZ29*EZ31),"",EZ29*EZ31)</f>
        <v/>
      </c>
      <c r="FJ29" s="119" t="str">
        <f t="shared" si="291"/>
        <v/>
      </c>
      <c r="FK29" s="119" t="str">
        <f t="shared" si="291"/>
        <v/>
      </c>
      <c r="FL29" s="119" t="str">
        <f t="shared" si="291"/>
        <v/>
      </c>
      <c r="FM29" s="119" t="str">
        <f t="shared" si="291"/>
        <v/>
      </c>
      <c r="FN29" s="119" t="str">
        <f t="shared" si="291"/>
        <v/>
      </c>
      <c r="FO29" s="119" t="str">
        <f t="shared" si="291"/>
        <v/>
      </c>
      <c r="FP29" s="119" t="str">
        <f t="shared" si="291"/>
        <v/>
      </c>
      <c r="FQ29" s="119" t="str">
        <f>IF(FI29&lt;&gt;"",SUM(FI29:FP29),"")</f>
        <v/>
      </c>
      <c r="FR29" s="119" t="str">
        <f>IF(FR27="","",IF(FR27&gt;0,(FL30*FR28)+FL31,-1))</f>
        <v/>
      </c>
      <c r="FS29" s="119" t="str">
        <f>IF(FR27="","",IF(FR27&gt;0,(FL30*FS28)+FL31,-1))</f>
        <v/>
      </c>
      <c r="FT29" s="119" t="str">
        <f>IF(FR27="","",IF(FR27&gt;0,(FL30*FT28)+FL31,-1))</f>
        <v/>
      </c>
      <c r="FU29" s="119" t="str">
        <f>IF(FR27="","",IF(FR27&gt;0,(FL30*FU28)+FL31,-1))</f>
        <v/>
      </c>
      <c r="FV29" s="119" t="str">
        <f>IF(FR27="","",IF(FR27&gt;0,(FL30*FV28)+FL31,-1))</f>
        <v/>
      </c>
      <c r="FW29" s="119" t="str">
        <f>IF(FR27="","",IF(FR27&gt;0,(FL30*FW28)+FL31,-1))</f>
        <v/>
      </c>
      <c r="FX29" s="119" t="str">
        <f>IF(FR27="","",IF(FR27&gt;0,(FL30*FX28)+FL31,-1))</f>
        <v/>
      </c>
      <c r="FY29" s="119" t="str">
        <f>IF(FR27="","",IF(FR27&gt;0,(FL30*FY28)+FL31,-1))</f>
        <v/>
      </c>
      <c r="FZ29" s="1182" t="str">
        <f>IF(FR27="","",IF(FR27&gt;0,(FL30*FZ28)+FL31,-1))</f>
        <v/>
      </c>
      <c r="GA29" s="124" t="str">
        <f>IF(ISNUMBER(GA27),GA26-GI26,"")</f>
        <v/>
      </c>
      <c r="GB29" s="117" t="str">
        <f>IF(ISNUMBER(GB27),GB26-GI26,"")</f>
        <v/>
      </c>
      <c r="GC29" s="117" t="str">
        <f>IF(ISNUMBER(GC27),GC26-GI26,"")</f>
        <v/>
      </c>
      <c r="GD29" s="117" t="str">
        <f>IF(ISNUMBER(GD27),GD26-GI26,"")</f>
        <v/>
      </c>
      <c r="GE29" s="117" t="str">
        <f>IF(ISNUMBER(GE27),GE26-GI26,"")</f>
        <v/>
      </c>
      <c r="GF29" s="117" t="str">
        <f>IF(ISNUMBER(GF27),GF26-GI26,"")</f>
        <v/>
      </c>
      <c r="GG29" s="117" t="str">
        <f>IF(ISNUMBER(GG27),GG26-GI26,"")</f>
        <v/>
      </c>
      <c r="GH29" s="117" t="str">
        <f>IF(ISNUMBER(GH27),GH26-GI26,"")</f>
        <v/>
      </c>
      <c r="GI29" s="118" t="str">
        <f>IF(GA29&lt;&gt;"",SUM(GA29:GH29),"")</f>
        <v/>
      </c>
      <c r="GJ29" s="119" t="str">
        <f t="shared" ref="GJ29:GQ29" si="292">IF(ISERROR(GA29*GA31),"",GA29*GA31)</f>
        <v/>
      </c>
      <c r="GK29" s="119" t="str">
        <f t="shared" si="292"/>
        <v/>
      </c>
      <c r="GL29" s="119" t="str">
        <f t="shared" si="292"/>
        <v/>
      </c>
      <c r="GM29" s="119" t="str">
        <f t="shared" si="292"/>
        <v/>
      </c>
      <c r="GN29" s="119" t="str">
        <f t="shared" si="292"/>
        <v/>
      </c>
      <c r="GO29" s="119" t="str">
        <f t="shared" si="292"/>
        <v/>
      </c>
      <c r="GP29" s="119" t="str">
        <f t="shared" si="292"/>
        <v/>
      </c>
      <c r="GQ29" s="119" t="str">
        <f t="shared" si="292"/>
        <v/>
      </c>
      <c r="GR29" s="119" t="str">
        <f>IF(GJ29&lt;&gt;"",SUM(GJ29:GQ29),"")</f>
        <v/>
      </c>
      <c r="GS29" s="119" t="str">
        <f>IF(GS27="","",IF(GS27&gt;0,(GM30*GS28)+GM31,-1))</f>
        <v/>
      </c>
      <c r="GT29" s="119" t="str">
        <f>IF(GS27="","",IF(GS27&gt;0,(GM30*GT28)+GM31,-1))</f>
        <v/>
      </c>
      <c r="GU29" s="119" t="str">
        <f>IF(GS27="","",IF(GS27&gt;0,(GM30*GU28)+GM31,-1))</f>
        <v/>
      </c>
      <c r="GV29" s="119" t="str">
        <f>IF(GS27="","",IF(GS27&gt;0,(GM30*GV28)+GM31,-1))</f>
        <v/>
      </c>
      <c r="GW29" s="119" t="str">
        <f>IF(GS27="","",IF(GS27&gt;0,(GM30*GW28)+GM31,-1))</f>
        <v/>
      </c>
      <c r="GX29" s="119" t="str">
        <f>IF(GS27="","",IF(GS27&gt;0,(GM30*GX28)+GM31,-1))</f>
        <v/>
      </c>
      <c r="GY29" s="119" t="str">
        <f>IF(GS27="","",IF(GS27&gt;0,(GM30*GY28)+GM31,-1))</f>
        <v/>
      </c>
      <c r="GZ29" s="119" t="str">
        <f>IF(GS27="","",IF(GS27&gt;0,(GM30*GZ28)+GM31,-1))</f>
        <v/>
      </c>
      <c r="HA29" s="1182" t="str">
        <f>IF(GS27="","",IF(GS27&gt;0,(GM30*HA28)+GM31,-1))</f>
        <v/>
      </c>
      <c r="HB29" s="124" t="str">
        <f>IF(ISNUMBER(HB27),HB26-HJ26,"")</f>
        <v/>
      </c>
      <c r="HC29" s="117" t="str">
        <f>IF(ISNUMBER(HC27),HC26-HJ26,"")</f>
        <v/>
      </c>
      <c r="HD29" s="117" t="str">
        <f>IF(ISNUMBER(HD27),HD26-HJ26,"")</f>
        <v/>
      </c>
      <c r="HE29" s="117" t="str">
        <f>IF(ISNUMBER(HE27),HE26-HJ26,"")</f>
        <v/>
      </c>
      <c r="HF29" s="117" t="str">
        <f>IF(ISNUMBER(HF27),HF26-HJ26,"")</f>
        <v/>
      </c>
      <c r="HG29" s="117" t="str">
        <f>IF(ISNUMBER(HG27),HG26-HJ26,"")</f>
        <v/>
      </c>
      <c r="HH29" s="117" t="str">
        <f>IF(ISNUMBER(HH27),HH26-HJ26,"")</f>
        <v/>
      </c>
      <c r="HI29" s="117" t="str">
        <f>IF(ISNUMBER(HI27),HI26-HJ26,"")</f>
        <v/>
      </c>
      <c r="HJ29" s="118" t="str">
        <f>IF(HB29&lt;&gt;"",SUM(HB29:HI29),"")</f>
        <v/>
      </c>
      <c r="HK29" s="119" t="str">
        <f t="shared" ref="HK29:HR29" si="293">IF(ISERROR(HB29*HB31),"",HB29*HB31)</f>
        <v/>
      </c>
      <c r="HL29" s="119" t="str">
        <f t="shared" si="293"/>
        <v/>
      </c>
      <c r="HM29" s="119" t="str">
        <f t="shared" si="293"/>
        <v/>
      </c>
      <c r="HN29" s="119" t="str">
        <f t="shared" si="293"/>
        <v/>
      </c>
      <c r="HO29" s="119" t="str">
        <f t="shared" si="293"/>
        <v/>
      </c>
      <c r="HP29" s="119" t="str">
        <f t="shared" si="293"/>
        <v/>
      </c>
      <c r="HQ29" s="119" t="str">
        <f t="shared" si="293"/>
        <v/>
      </c>
      <c r="HR29" s="119" t="str">
        <f t="shared" si="293"/>
        <v/>
      </c>
      <c r="HS29" s="119" t="str">
        <f>IF(HK29&lt;&gt;"",SUM(HK29:HR29),"")</f>
        <v/>
      </c>
      <c r="HT29" s="119" t="str">
        <f>IF(HT27="","",IF(HT27&gt;0,(HN30*HT28)+HN31,-1))</f>
        <v/>
      </c>
      <c r="HU29" s="119" t="str">
        <f>IF(HT27="","",IF(HT27&gt;0,(HN30*HU28)+HN31,-1))</f>
        <v/>
      </c>
      <c r="HV29" s="119" t="str">
        <f>IF(HT27="","",IF(HT27&gt;0,(HN30*HV28)+HN31,-1))</f>
        <v/>
      </c>
      <c r="HW29" s="119" t="str">
        <f>IF(HT27="","",IF(HT27&gt;0,(HN30*HW28)+HN31,-1))</f>
        <v/>
      </c>
      <c r="HX29" s="119" t="str">
        <f>IF(HT27="","",IF(HT27&gt;0,(HN30*HX28)+HN31,-1))</f>
        <v/>
      </c>
      <c r="HY29" s="119" t="str">
        <f>IF(HT27="","",IF(HT27&gt;0,(HN30*HY28)+HN31,-1))</f>
        <v/>
      </c>
      <c r="HZ29" s="119" t="str">
        <f>IF(HT27="","",IF(HT27&gt;0,(HN30*HZ28)+HN31,-1))</f>
        <v/>
      </c>
      <c r="IA29" s="119" t="str">
        <f>IF(HT27="","",IF(HT27&gt;0,(HN30*IA28)+HN31,-1))</f>
        <v/>
      </c>
      <c r="IB29" s="1182" t="str">
        <f>IF(HT27="","",IF(HT27&gt;0,(HN30*IB28)+HN31,-1))</f>
        <v/>
      </c>
      <c r="IC29" s="124" t="str">
        <f>IF(ISNUMBER(IC27),IC26-IK26,"")</f>
        <v/>
      </c>
      <c r="ID29" s="117" t="str">
        <f>IF(ISNUMBER(ID27),ID26-IK26,"")</f>
        <v/>
      </c>
      <c r="IE29" s="117" t="str">
        <f>IF(ISNUMBER(IE27),IE26-IK26,"")</f>
        <v/>
      </c>
      <c r="IF29" s="117" t="str">
        <f>IF(ISNUMBER(IF27),IF26-IK26,"")</f>
        <v/>
      </c>
      <c r="IG29" s="117" t="str">
        <f>IF(ISNUMBER(IG27),IG26-IK26,"")</f>
        <v/>
      </c>
      <c r="IH29" s="117" t="str">
        <f>IF(ISNUMBER(IH27),IH26-IK26,"")</f>
        <v/>
      </c>
      <c r="II29" s="117" t="str">
        <f>IF(ISNUMBER(II27),II26-IK26,"")</f>
        <v/>
      </c>
      <c r="IJ29" s="117" t="str">
        <f>IF(ISNUMBER(IJ27),IJ26-IK26,"")</f>
        <v/>
      </c>
      <c r="IK29" s="118" t="str">
        <f>IF(IC29&lt;&gt;"",SUM(IC29:IJ29),"")</f>
        <v/>
      </c>
      <c r="IL29" s="119" t="str">
        <f t="shared" ref="IL29:IS29" si="294">IF(ISERROR(IC29*IC31),"",IC29*IC31)</f>
        <v/>
      </c>
      <c r="IM29" s="119" t="str">
        <f t="shared" si="294"/>
        <v/>
      </c>
      <c r="IN29" s="119" t="str">
        <f t="shared" si="294"/>
        <v/>
      </c>
      <c r="IO29" s="119" t="str">
        <f t="shared" si="294"/>
        <v/>
      </c>
      <c r="IP29" s="119" t="str">
        <f t="shared" si="294"/>
        <v/>
      </c>
      <c r="IQ29" s="119" t="str">
        <f t="shared" si="294"/>
        <v/>
      </c>
      <c r="IR29" s="119" t="str">
        <f t="shared" si="294"/>
        <v/>
      </c>
      <c r="IS29" s="119" t="str">
        <f t="shared" si="294"/>
        <v/>
      </c>
      <c r="IT29" s="119" t="str">
        <f>IF(IL29&lt;&gt;"",SUM(IL29:IS29),"")</f>
        <v/>
      </c>
      <c r="IU29" s="119" t="str">
        <f>IF(IU27="","",IF(IU27&gt;0,(IO30*IU28)+IO31,-1))</f>
        <v/>
      </c>
      <c r="IV29" s="119" t="str">
        <f>IF(IU27="","",IF(IU27&gt;0,(IO30*IV28)+IO31,-1))</f>
        <v/>
      </c>
      <c r="IW29" s="119" t="str">
        <f>IF(IU27="","",IF(IU27&gt;0,(IO30*IW28)+IO31,-1))</f>
        <v/>
      </c>
      <c r="IX29" s="119" t="str">
        <f>IF(IU27="","",IF(IU27&gt;0,(IO30*IX28)+IO31,-1))</f>
        <v/>
      </c>
      <c r="IY29" s="119" t="str">
        <f>IF(IU27="","",IF(IU27&gt;0,(IO30*IY28)+IO31,-1))</f>
        <v/>
      </c>
      <c r="IZ29" s="119" t="str">
        <f>IF(IU27="","",IF(IU27&gt;0,(IO30*IZ28)+IO31,-1))</f>
        <v/>
      </c>
      <c r="JA29" s="119" t="str">
        <f>IF(IU27="","",IF(IU27&gt;0,(IO30*JA28)+IO31,-1))</f>
        <v/>
      </c>
      <c r="JB29" s="119" t="str">
        <f>IF(IU27="","",IF(IU27&gt;0,(IO30*JB28)+IO31,-1))</f>
        <v/>
      </c>
      <c r="JC29" s="1182" t="str">
        <f>IF(IU27="","",IF(IU27&gt;0,(IO30*JC28)+IO31,-1))</f>
        <v/>
      </c>
      <c r="JD29" s="150">
        <f t="shared" si="249"/>
        <v>4</v>
      </c>
      <c r="JE29" s="77" t="str">
        <f t="shared" ref="JE29:JJ29" si="295">IF(ISNUMBER(JE26),JE26-$JK26,"")</f>
        <v/>
      </c>
      <c r="JF29" s="77">
        <f t="shared" si="295"/>
        <v>-1.0069846462842556E-2</v>
      </c>
      <c r="JG29" s="77">
        <f t="shared" si="295"/>
        <v>0</v>
      </c>
      <c r="JH29" s="77">
        <f t="shared" si="295"/>
        <v>1.0069846462842556E-2</v>
      </c>
      <c r="JI29" s="77" t="str">
        <f t="shared" si="295"/>
        <v/>
      </c>
      <c r="JJ29" s="77" t="str">
        <f t="shared" si="295"/>
        <v/>
      </c>
      <c r="JK29" s="76"/>
      <c r="JL29" s="75" t="str">
        <f t="shared" ref="JL29:JQ29" si="296">IF(ISERROR(JE30*JE31),"",JE30*JE31)</f>
        <v/>
      </c>
      <c r="JM29" s="75">
        <f t="shared" si="296"/>
        <v>0</v>
      </c>
      <c r="JN29" s="75">
        <f t="shared" si="296"/>
        <v>0</v>
      </c>
      <c r="JO29" s="75">
        <f t="shared" si="296"/>
        <v>0</v>
      </c>
      <c r="JP29" s="75" t="str">
        <f t="shared" si="296"/>
        <v/>
      </c>
      <c r="JQ29" s="75" t="str">
        <f t="shared" si="296"/>
        <v/>
      </c>
      <c r="JR29" s="65">
        <f>SUM(JL29:JQ29)</f>
        <v>0</v>
      </c>
      <c r="JS29" s="157" t="s">
        <v>99</v>
      </c>
      <c r="JT29" s="1195" t="s">
        <v>100</v>
      </c>
      <c r="JU29" s="123">
        <f>IF(T30&lt;&gt;0,LOOKUP(T30,Tara!$G$6:$G$185,Tara!$J$6:$J$185)/10,"")</f>
        <v>11.479000000000001</v>
      </c>
      <c r="JV29" s="116">
        <f t="shared" si="251"/>
        <v>0</v>
      </c>
      <c r="JW29" s="155">
        <f t="shared" si="252"/>
        <v>0</v>
      </c>
      <c r="JX29" s="77" t="str">
        <f t="shared" ref="JX29:KC29" si="297">IF(ISNUMBER(JX26),JX26-$JK26,"")</f>
        <v/>
      </c>
      <c r="JY29" s="77">
        <f t="shared" si="297"/>
        <v>-1.0069846462842556E-2</v>
      </c>
      <c r="JZ29" s="77">
        <f t="shared" si="297"/>
        <v>0</v>
      </c>
      <c r="KA29" s="77">
        <f t="shared" si="297"/>
        <v>1.0069846462842556E-2</v>
      </c>
      <c r="KB29" s="77" t="str">
        <f t="shared" si="297"/>
        <v/>
      </c>
      <c r="KC29" s="77" t="str">
        <f t="shared" si="297"/>
        <v/>
      </c>
      <c r="KD29" s="76"/>
      <c r="KE29" s="75" t="str">
        <f t="shared" ref="KE29:KJ29" si="298">IF(ISERROR(JX30*JX31),"",JX30*JX31)</f>
        <v/>
      </c>
      <c r="KF29" s="75">
        <f t="shared" si="298"/>
        <v>0</v>
      </c>
      <c r="KG29" s="75">
        <f t="shared" si="298"/>
        <v>0</v>
      </c>
      <c r="KH29" s="75">
        <f t="shared" si="298"/>
        <v>0</v>
      </c>
      <c r="KI29" s="75" t="str">
        <f t="shared" si="298"/>
        <v/>
      </c>
      <c r="KJ29" s="75" t="str">
        <f t="shared" si="298"/>
        <v/>
      </c>
      <c r="KK29" s="65">
        <f>SUM(KE29:KJ29)</f>
        <v>0</v>
      </c>
      <c r="KL29" s="157" t="s">
        <v>99</v>
      </c>
      <c r="KM29" s="1195" t="s">
        <v>87</v>
      </c>
      <c r="KN29" s="168" t="str">
        <f t="shared" ref="KN29:KW29" si="299">IF(ISNUMBER(KN28),KN26/KN28,"")</f>
        <v/>
      </c>
      <c r="KO29" s="105" t="str">
        <f t="shared" si="299"/>
        <v/>
      </c>
      <c r="KP29" s="105" t="str">
        <f t="shared" si="299"/>
        <v/>
      </c>
      <c r="KQ29" s="105" t="str">
        <f t="shared" si="299"/>
        <v/>
      </c>
      <c r="KR29" s="1196" t="str">
        <f t="shared" si="299"/>
        <v/>
      </c>
      <c r="KS29" s="168" t="str">
        <f t="shared" si="299"/>
        <v/>
      </c>
      <c r="KT29" s="105" t="str">
        <f t="shared" si="299"/>
        <v/>
      </c>
      <c r="KU29" s="105" t="str">
        <f t="shared" si="299"/>
        <v/>
      </c>
      <c r="KV29" s="105" t="str">
        <f t="shared" si="299"/>
        <v/>
      </c>
      <c r="KW29" s="105" t="str">
        <f t="shared" si="299"/>
        <v/>
      </c>
      <c r="KX29" s="1197"/>
      <c r="KY29" s="196" t="str">
        <f>IF(AND(KY27&gt;0,ISNUMBER(KY27)),KY28/KY27,"")</f>
        <v/>
      </c>
      <c r="KZ29" s="1198" t="str">
        <f>IF(AND(KZ27&gt;0,ISNUMBER(KZ27)),KZ28/KZ27,"")</f>
        <v/>
      </c>
      <c r="LA29" s="598">
        <f>IF(LA26&lt;&gt;"",LA26/LA28*100,"")</f>
        <v>1.9642857142857042</v>
      </c>
      <c r="LB29" s="702">
        <f>IF(LB26&lt;&gt;"",LB26/LB28*100,"")</f>
        <v>1.7528387167897734</v>
      </c>
      <c r="LC29" s="120">
        <f>IF(LC27&lt;&gt;"",LC27-LC28,"")</f>
        <v>886.48</v>
      </c>
      <c r="LD29" s="120">
        <f>IF(LD27&lt;&gt;"",LD27/(LA30+100)*100,"")</f>
        <v>98.173964264677011</v>
      </c>
      <c r="LE29" s="199"/>
      <c r="LF29" s="199"/>
      <c r="LG29" s="199"/>
      <c r="LH29" s="199"/>
      <c r="LI29" s="199"/>
      <c r="LJ29" s="199"/>
      <c r="LK29" s="199"/>
      <c r="LL29" s="200">
        <f>IF(LD27&lt;&gt;"",LL28/LD29,"")</f>
        <v>0.9260496399999999</v>
      </c>
      <c r="LM29" s="1199">
        <f>IF(LD27&lt;&gt;"",LM28/LD29,"")</f>
        <v>0.35960618</v>
      </c>
      <c r="LN29" s="185" t="b">
        <f>IF(LM30="","",IF(AND(LG30&gt;=93%,LG30&lt;=100%,LI30&gt;=43%,LI30&lt;=92%,LJ30&gt;=30%,LJ30&lt;=70%,LK30&gt;=20%,LK30&lt;=55%,LL30&gt;=13%,LL30&lt;=32%,LM30&gt;=3%,LM30&lt;=17%),"Faixa C"))</f>
        <v>0</v>
      </c>
      <c r="LO29" s="180" t="str">
        <f>IF(LM30="","",IF(LN27="Faixa A","A",IF(LN28="Faixa B","B",IF(LN29="Faixa C","C",IF(LN30="Faixa D","D",IF(LO27="Faixa E","E",IF(LO28="Faixa F","F","")))))))</f>
        <v>D</v>
      </c>
      <c r="LP29" s="181"/>
      <c r="LQ29" s="181"/>
      <c r="LR29" s="1279"/>
      <c r="LS29" s="215">
        <v>4</v>
      </c>
      <c r="LT29" s="144">
        <f>IF(LJ30&lt;&gt;"",LJ30*100,"")</f>
        <v>51.283703901296008</v>
      </c>
      <c r="LU29" s="162" t="s">
        <v>101</v>
      </c>
      <c r="LV29" s="162" t="s">
        <v>102</v>
      </c>
      <c r="LW29" s="162" t="s">
        <v>103</v>
      </c>
      <c r="LX29" s="162" t="s">
        <v>104</v>
      </c>
      <c r="LY29" s="199" t="b">
        <f>IF(LG32&lt;LL32,"NP",AND(LU32=0,LO32&lt;=6,LT32&lt;=15,LT31&lt;=30,LT30&lt;=50))</f>
        <v>0</v>
      </c>
      <c r="LZ29" s="199" t="b">
        <f>IF(LH32&lt;LL32,"NP",AND(LU32=0,LO32&lt;=6,LT32&lt;=25,LT31&lt;=50))</f>
        <v>1</v>
      </c>
      <c r="MA29" s="199" t="b">
        <f>IF(LO32&lt;0,IF(MB29="NP",IF(LU32=0,IF(LT32&lt;=10,IF(LT31&gt;50,AND(LU32=0,LO32&lt;0,LT32&lt;=10,LT31&gt;50),"NP")))))</f>
        <v>0</v>
      </c>
      <c r="MB29" s="199" t="b">
        <f>IF(LH32&lt;LL32,"NP",AND(LU32=0,LO32&lt;=10,LH32&lt;=40,LT32&lt;35))</f>
        <v>1</v>
      </c>
      <c r="MC29" s="199" t="b">
        <f>IF(LH32&lt;LL32,"NP",AND(LU32=0,LO32&lt;=10,LH32&gt;40,LT32&lt;=35))</f>
        <v>0</v>
      </c>
      <c r="MD29" s="199" t="b">
        <f>IF(LH32&lt;LL32,"NP",AND(LU32&lt;=4,LO32&gt;10,LH32&lt;=40,LT32&lt;=35))</f>
        <v>0</v>
      </c>
      <c r="ME29" s="1200" t="b">
        <f>IF(LH32&lt;LL32,"NP",AND(LU32&lt;=4,LO32&gt;10,LH32&gt;40,LT32&lt;=35))</f>
        <v>0</v>
      </c>
      <c r="MF29" s="700"/>
      <c r="MG29" s="701"/>
      <c r="MH29" s="701"/>
      <c r="MI29" s="701"/>
      <c r="MJ29" s="701"/>
      <c r="MK29" s="701"/>
      <c r="ML29" s="701"/>
      <c r="MM29" s="701"/>
      <c r="MN29" s="701"/>
      <c r="MO29" s="701"/>
      <c r="MP29" s="701"/>
      <c r="MQ29" s="701"/>
      <c r="MR29" s="701"/>
      <c r="MS29" s="701"/>
      <c r="MT29" s="701"/>
      <c r="MU29" s="701"/>
      <c r="MV29" s="701"/>
      <c r="MW29" s="701"/>
      <c r="MX29" s="701"/>
      <c r="MY29" s="701"/>
      <c r="MZ29" s="701"/>
      <c r="NA29" s="701"/>
      <c r="NB29" s="701"/>
      <c r="NC29" s="701"/>
      <c r="ND29" s="701"/>
      <c r="NE29" s="701"/>
      <c r="NF29" s="701"/>
      <c r="NG29" s="701"/>
      <c r="NH29" s="701"/>
      <c r="NI29" s="701"/>
      <c r="NJ29" s="701"/>
      <c r="NK29" s="701"/>
      <c r="NL29" s="701"/>
      <c r="NM29" s="701"/>
      <c r="NN29" s="701"/>
      <c r="NO29" s="701"/>
      <c r="NP29" s="701"/>
      <c r="NQ29" s="701"/>
      <c r="NR29" s="701"/>
      <c r="NS29" s="144"/>
      <c r="NT29" s="78"/>
      <c r="NU29" s="701"/>
      <c r="NV29" s="701"/>
      <c r="NW29" s="701"/>
      <c r="NX29" s="701"/>
      <c r="NY29" s="701"/>
      <c r="NZ29" s="701"/>
      <c r="OA29" s="701"/>
      <c r="OB29" s="701"/>
      <c r="OC29" s="701"/>
      <c r="OD29" s="1189"/>
      <c r="OE29" s="701"/>
      <c r="OF29" s="132"/>
      <c r="OG29" s="132"/>
      <c r="OH29" s="132"/>
      <c r="OI29" s="56"/>
      <c r="OJ29" s="56"/>
      <c r="OK29" s="56"/>
      <c r="OL29" s="56"/>
      <c r="OM29" s="56"/>
      <c r="ON29" s="56"/>
      <c r="OO29" s="56"/>
      <c r="OP29" s="56"/>
      <c r="OQ29" s="56"/>
      <c r="OR29" s="56"/>
      <c r="OS29" s="56"/>
      <c r="OT29" s="56"/>
      <c r="OU29" s="56"/>
      <c r="OV29" s="56"/>
      <c r="OW29" s="56"/>
      <c r="OX29" s="56"/>
      <c r="OY29" s="56"/>
      <c r="OZ29" s="56"/>
      <c r="PA29" s="56"/>
      <c r="PB29" s="56"/>
      <c r="PC29" s="56"/>
      <c r="PD29" s="56"/>
      <c r="PE29" s="56"/>
      <c r="PF29" s="56"/>
      <c r="PG29" s="56"/>
      <c r="PH29" s="56"/>
      <c r="PI29" s="56"/>
      <c r="PJ29" s="56"/>
      <c r="PK29" s="56"/>
      <c r="PL29" s="56"/>
      <c r="PM29" s="56"/>
    </row>
    <row r="30" spans="1:1378" ht="15" hidden="1" customHeight="1" x14ac:dyDescent="0.3">
      <c r="A30" s="1337"/>
      <c r="B30" s="723" t="s">
        <v>105</v>
      </c>
      <c r="C30" s="666"/>
      <c r="D30" s="1362"/>
      <c r="E30" s="1363"/>
      <c r="F30" s="1370"/>
      <c r="G30" s="726" t="s">
        <v>107</v>
      </c>
      <c r="H30" s="741" t="s">
        <v>59</v>
      </c>
      <c r="I30" s="1374" t="s">
        <v>108</v>
      </c>
      <c r="J30" s="1375"/>
      <c r="K30" s="668">
        <v>160</v>
      </c>
      <c r="L30" s="1376" t="s">
        <v>109</v>
      </c>
      <c r="M30" s="1377"/>
      <c r="N30" s="689">
        <v>0.01</v>
      </c>
      <c r="O30" s="1378" t="s">
        <v>110</v>
      </c>
      <c r="P30" s="1379"/>
      <c r="Q30" s="690">
        <v>7000</v>
      </c>
      <c r="R30" s="1380" t="s">
        <v>111</v>
      </c>
      <c r="S30" s="1381"/>
      <c r="T30" s="1181">
        <f>IF(U30="","",4)</f>
        <v>4</v>
      </c>
      <c r="U30" s="728">
        <v>57</v>
      </c>
      <c r="V30" s="737"/>
      <c r="W30" s="1382">
        <v>0.1</v>
      </c>
      <c r="X30" s="1383"/>
      <c r="Y30" s="737"/>
      <c r="Z30" s="673"/>
      <c r="AA30" s="673"/>
      <c r="AB30" s="673"/>
      <c r="AC30" s="673"/>
      <c r="AD30" s="675"/>
      <c r="AE30" s="675"/>
      <c r="AF30" s="675"/>
      <c r="AG30" s="675"/>
      <c r="AH30" s="675"/>
      <c r="AI30" s="675"/>
      <c r="AJ30" s="675"/>
      <c r="AK30" s="677"/>
      <c r="AL30" s="1384" t="s">
        <v>112</v>
      </c>
      <c r="AM30" s="159" t="s">
        <v>19</v>
      </c>
      <c r="AN30" s="340"/>
      <c r="AO30" s="340"/>
      <c r="AP30" s="340"/>
      <c r="AQ30" s="340"/>
      <c r="AR30" s="341"/>
      <c r="AS30" s="1366" t="s">
        <v>72</v>
      </c>
      <c r="AT30" s="678">
        <v>13</v>
      </c>
      <c r="AU30" s="679">
        <v>195.45</v>
      </c>
      <c r="AV30" s="679">
        <v>192.15</v>
      </c>
      <c r="AW30" s="680">
        <v>24</v>
      </c>
      <c r="AX30" s="679">
        <v>210.65</v>
      </c>
      <c r="AY30" s="679">
        <v>207.47</v>
      </c>
      <c r="AZ30" s="679">
        <v>0</v>
      </c>
      <c r="BA30" s="679">
        <v>0</v>
      </c>
      <c r="BB30" s="681">
        <v>0</v>
      </c>
      <c r="BC30" s="681">
        <v>0</v>
      </c>
      <c r="BD30" s="681">
        <v>670.55</v>
      </c>
      <c r="BE30" s="681">
        <v>295.89</v>
      </c>
      <c r="BF30" s="681">
        <v>147.08000000000001</v>
      </c>
      <c r="BG30" s="681">
        <v>2000</v>
      </c>
      <c r="BH30" s="681">
        <v>100</v>
      </c>
      <c r="BI30" s="681">
        <v>7.26</v>
      </c>
      <c r="BJ30" s="681"/>
      <c r="BK30" s="681">
        <v>55.61</v>
      </c>
      <c r="BL30" s="1291" t="s">
        <v>72</v>
      </c>
      <c r="BM30" s="1307"/>
      <c r="BN30" s="62" t="s">
        <v>113</v>
      </c>
      <c r="BO30" s="68">
        <f>IF(AND(ISNUMBER(BO31),ISNUMBER(BW30)),BO31+BW30,"")</f>
        <v>208.55339569496118</v>
      </c>
      <c r="BP30" s="68">
        <f>IF(AND(ISNUMBER(BP31),ISNUMBER(BW30)),BP31+BW30,"")</f>
        <v>278.55339569496118</v>
      </c>
      <c r="BQ30" s="68">
        <f>IF(AND(ISNUMBER(BQ31),ISNUMBER(BW30)),BQ31+BW30,"")</f>
        <v>348.55339569496118</v>
      </c>
      <c r="BR30" s="68">
        <f>IF(AND(ISNUMBER(BR31),ISNUMBER(BW30)),BR31+BW30,"")</f>
        <v>418.55339569496118</v>
      </c>
      <c r="BS30" s="68">
        <f>IF(AND(ISNUMBER(BS31),ISNUMBER(BW30)),BS31+BW30,"")</f>
        <v>488.55339569496124</v>
      </c>
      <c r="BT30" s="68">
        <f>IF(AND(ISNUMBER(BT31),ISNUMBER(BW30)),BT31+BW30,"")</f>
        <v>558.55339569496118</v>
      </c>
      <c r="BU30" s="107" t="s">
        <v>26</v>
      </c>
      <c r="BV30" s="107"/>
      <c r="BW30" s="69">
        <f>IF(ISNUMBER(Q30),Q30-BW32,"")</f>
        <v>48.553395694961182</v>
      </c>
      <c r="BX30" s="62" t="s">
        <v>114</v>
      </c>
      <c r="BY30" s="68">
        <f t="shared" ref="BY30:CD30" si="300">IF(ISNUMBER(BY29),BY29*1000/BY28,"")</f>
        <v>2173.3909702209412</v>
      </c>
      <c r="BZ30" s="68">
        <f t="shared" si="300"/>
        <v>2271.0640346653827</v>
      </c>
      <c r="CA30" s="68">
        <f t="shared" si="300"/>
        <v>2404.5764362220057</v>
      </c>
      <c r="CB30" s="68">
        <f t="shared" si="300"/>
        <v>2410.705596107056</v>
      </c>
      <c r="CC30" s="68">
        <f t="shared" si="300"/>
        <v>2310.2785782901055</v>
      </c>
      <c r="CD30" s="68" t="str">
        <f t="shared" si="300"/>
        <v/>
      </c>
      <c r="CE30" s="76">
        <f t="shared" ref="CE30:CJ30" si="301">IF(ISNUMBER(CE27),CE27-$CK27,"")</f>
        <v>-93.071922451938462</v>
      </c>
      <c r="CF30" s="76">
        <f t="shared" si="301"/>
        <v>-19.591546799723346</v>
      </c>
      <c r="CG30" s="76">
        <f t="shared" si="301"/>
        <v>86.60773100012284</v>
      </c>
      <c r="CH30" s="76">
        <f t="shared" si="301"/>
        <v>70.640699213103289</v>
      </c>
      <c r="CI30" s="76">
        <f t="shared" si="301"/>
        <v>-44.584960961566139</v>
      </c>
      <c r="CJ30" s="258" t="str">
        <f t="shared" si="301"/>
        <v/>
      </c>
      <c r="CK30" s="73"/>
      <c r="CL30" s="76">
        <f t="shared" ref="CL30:CQ30" si="302">IF(ISERROR(CE29*CE31),"",CE29*CE31)</f>
        <v>3.6590808181967462E-5</v>
      </c>
      <c r="CM30" s="76">
        <f t="shared" si="302"/>
        <v>1.1189903316395599E-5</v>
      </c>
      <c r="CN30" s="76">
        <f t="shared" si="302"/>
        <v>0</v>
      </c>
      <c r="CO30" s="76">
        <f t="shared" si="302"/>
        <v>9.1477020454918638E-6</v>
      </c>
      <c r="CP30" s="76">
        <f t="shared" si="302"/>
        <v>4.4759613265582423E-5</v>
      </c>
      <c r="CQ30" s="76" t="str">
        <f t="shared" si="302"/>
        <v/>
      </c>
      <c r="CR30" s="65">
        <f>SUM(CL30:CQ30)</f>
        <v>1.0168802680943735E-4</v>
      </c>
      <c r="CS30" s="74"/>
      <c r="CT30" s="63"/>
      <c r="CU30" s="66" t="str">
        <f>IF(ISNUMBER(S31),LOOKUP(S31,Tara!$G$6:$G$185,Tara!$H$6:$H$185),"")</f>
        <v/>
      </c>
      <c r="CV30" s="1280" t="str">
        <f>IF(ISNUMBER(CU32),CU32*1000/CU31,"")</f>
        <v/>
      </c>
      <c r="CW30" s="1282" t="str">
        <f>IF(CV30&lt;&gt;"",CV30/(1+CW26),"")</f>
        <v/>
      </c>
      <c r="CX30" s="124" t="str">
        <f>IF(ISNUMBER(CX27),CX27-DF27,"")</f>
        <v/>
      </c>
      <c r="CY30" s="117" t="str">
        <f>IF(ISNUMBER(CY27),CY27-DF27,"")</f>
        <v/>
      </c>
      <c r="CZ30" s="117" t="str">
        <f>IF(ISNUMBER(CZ27),CZ27-DF27,"")</f>
        <v/>
      </c>
      <c r="DA30" s="117" t="str">
        <f>IF(ISNUMBER(DA27),DA27-DF27,"")</f>
        <v/>
      </c>
      <c r="DB30" s="117" t="str">
        <f>IF(ISNUMBER(DB27),DB27-DF27,"")</f>
        <v/>
      </c>
      <c r="DC30" s="117" t="str">
        <f>IF(ISNUMBER(DC27),DC27-DF27,"")</f>
        <v/>
      </c>
      <c r="DD30" s="117" t="str">
        <f>IF(ISNUMBER(DD27),DD27-DF27,"")</f>
        <v/>
      </c>
      <c r="DE30" s="117" t="str">
        <f>IF(ISNUMBER(DE27),DE27-DF27,"")</f>
        <v/>
      </c>
      <c r="DF30" s="280" t="str">
        <f>IF(CX30&lt;&gt;"",SUM(CX30:DE30),"")</f>
        <v/>
      </c>
      <c r="DG30" s="130" t="s">
        <v>115</v>
      </c>
      <c r="DH30" s="131" t="str">
        <f>IF(DF32&lt;&gt;"",(DO27*DO29-DO28*DF32)/(DO29^2-DO26*DF32),"")</f>
        <v/>
      </c>
      <c r="DI30" s="130" t="s">
        <v>116</v>
      </c>
      <c r="DJ30" s="116" t="str">
        <f>IF(DL30&lt;&gt;"",SLOPE(DL30:DL31,DK30:DK31),"")</f>
        <v/>
      </c>
      <c r="DK30" s="116">
        <v>2.54</v>
      </c>
      <c r="DL30" s="116" t="str">
        <f>IF(DH30&lt;&gt;"",DH30*DK30^2+DH31*DK30+DH32,"")</f>
        <v/>
      </c>
      <c r="DM30" s="116">
        <v>2.54</v>
      </c>
      <c r="DN30" s="116">
        <v>5.08</v>
      </c>
      <c r="DO30" s="132"/>
      <c r="DP30" s="119" t="str">
        <f>IF(DP27="","",IF(DP27&gt;0,DS26,-1))</f>
        <v/>
      </c>
      <c r="DQ30" s="119" t="str">
        <f>IF(DP27="","",IF(DP27&gt;0,DS26,-1))</f>
        <v/>
      </c>
      <c r="DR30" s="119" t="str">
        <f>IF(DP27="","",IF(DP27&gt;0,DV29,-1))</f>
        <v/>
      </c>
      <c r="DS30" s="119" t="str">
        <f>IF(DP27="","",IF(DP27&gt;0,DV29,-1))</f>
        <v/>
      </c>
      <c r="DT30" s="119" t="str">
        <f>IF(DP27="","",IF(DP27&gt;0,DT26,-1))</f>
        <v/>
      </c>
      <c r="DU30" s="119" t="str">
        <f>IF(DP27="","",IF(DP27&gt;0,DT26,-1))</f>
        <v/>
      </c>
      <c r="DV30" s="119" t="str">
        <f>IF(DP27="","",IF(DP27&gt;0,DT26,-1))</f>
        <v/>
      </c>
      <c r="DW30" s="119" t="str">
        <f>IF(DP27="","",IF(DP27&gt;0,DT26,-1))</f>
        <v/>
      </c>
      <c r="DX30" s="1201"/>
      <c r="DY30" s="124" t="str">
        <f>IF(ISNUMBER(DY27),DY27-EG27,"")</f>
        <v/>
      </c>
      <c r="DZ30" s="117" t="str">
        <f>IF(ISNUMBER(DZ27),DZ27-EG27,"")</f>
        <v/>
      </c>
      <c r="EA30" s="117" t="str">
        <f>IF(ISNUMBER(EA27),EA27-EG27,"")</f>
        <v/>
      </c>
      <c r="EB30" s="117" t="str">
        <f>IF(ISNUMBER(EB27),EB27-EG27,"")</f>
        <v/>
      </c>
      <c r="EC30" s="117" t="str">
        <f>IF(ISNUMBER(EC27),EC27-EG27,"")</f>
        <v/>
      </c>
      <c r="ED30" s="117" t="str">
        <f>IF(ISNUMBER(ED27),ED27-EG27,"")</f>
        <v/>
      </c>
      <c r="EE30" s="117" t="str">
        <f>IF(ISNUMBER(EE27),EE27-EG27,"")</f>
        <v/>
      </c>
      <c r="EF30" s="117" t="str">
        <f>IF(ISNUMBER(EF27),EF27-EG27,"")</f>
        <v/>
      </c>
      <c r="EG30" s="118" t="str">
        <f>IF(DY30&lt;&gt;"",SUM(DY30:EF30),"")</f>
        <v/>
      </c>
      <c r="EH30" s="130" t="s">
        <v>115</v>
      </c>
      <c r="EI30" s="131" t="str">
        <f>IF(EG32&lt;&gt;"",(EP27*EP29-EP28*EG32)/(EP29^2-EP26*EG32),"")</f>
        <v/>
      </c>
      <c r="EJ30" s="130" t="s">
        <v>116</v>
      </c>
      <c r="EK30" s="116" t="str">
        <f>IF(EM30&lt;&gt;"",SLOPE(EM30:EM31,EL30:EL31),"")</f>
        <v/>
      </c>
      <c r="EL30" s="116">
        <v>2.54</v>
      </c>
      <c r="EM30" s="116" t="str">
        <f>IF(EI30&lt;&gt;"",EI30*EL30^2+EI31*EL30+EI32,"")</f>
        <v/>
      </c>
      <c r="EN30" s="116">
        <v>2.54</v>
      </c>
      <c r="EO30" s="116">
        <v>5.08</v>
      </c>
      <c r="EP30" s="132"/>
      <c r="EQ30" s="119" t="str">
        <f>IF(EQ27="","",IF(EQ27&gt;0,ET26,-1))</f>
        <v/>
      </c>
      <c r="ER30" s="119" t="str">
        <f>IF(EQ27="","",IF(EQ27&gt;0,ET26,-1))</f>
        <v/>
      </c>
      <c r="ES30" s="119" t="str">
        <f>IF(EQ27="","",IF(EQ27&gt;0,EW29,-1))</f>
        <v/>
      </c>
      <c r="ET30" s="119" t="str">
        <f>IF(EQ27="","",IF(EQ27&gt;0,EW29,-1))</f>
        <v/>
      </c>
      <c r="EU30" s="119" t="str">
        <f>IF(EQ27="","",IF(EQ27&gt;0,EU26,-1))</f>
        <v/>
      </c>
      <c r="EV30" s="119" t="str">
        <f>IF(EQ27="","",IF(EQ27&gt;0,EU26,-1))</f>
        <v/>
      </c>
      <c r="EW30" s="119" t="str">
        <f>IF(EQ27="","",IF(EQ27&gt;0,EU26,-1))</f>
        <v/>
      </c>
      <c r="EX30" s="119" t="str">
        <f>IF(EQ27="","",IF(EQ27&gt;0,EU26,-1))</f>
        <v/>
      </c>
      <c r="EY30" s="1201"/>
      <c r="EZ30" s="124" t="str">
        <f>IF(ISNUMBER(EZ27),EZ27-FH27,"")</f>
        <v/>
      </c>
      <c r="FA30" s="117" t="str">
        <f>IF(ISNUMBER(FA27),FA27-FH27,"")</f>
        <v/>
      </c>
      <c r="FB30" s="117" t="str">
        <f>IF(ISNUMBER(FB27),FB27-FH27,"")</f>
        <v/>
      </c>
      <c r="FC30" s="117" t="str">
        <f>IF(ISNUMBER(FC27),FC27-FH27,"")</f>
        <v/>
      </c>
      <c r="FD30" s="117" t="str">
        <f>IF(ISNUMBER(FD27),FD27-FH27,"")</f>
        <v/>
      </c>
      <c r="FE30" s="117" t="str">
        <f>IF(ISNUMBER(FE27),FE27-FH27,"")</f>
        <v/>
      </c>
      <c r="FF30" s="117" t="str">
        <f>IF(ISNUMBER(FF27),FF27-FH27,"")</f>
        <v/>
      </c>
      <c r="FG30" s="117" t="str">
        <f>IF(ISNUMBER(FG27),FG27-FH27,"")</f>
        <v/>
      </c>
      <c r="FH30" s="118" t="str">
        <f>IF(EZ30&lt;&gt;"",SUM(EZ30:FG30),"")</f>
        <v/>
      </c>
      <c r="FI30" s="130" t="s">
        <v>115</v>
      </c>
      <c r="FJ30" s="131" t="str">
        <f>IF(FH32&lt;&gt;"",(FQ27*FQ29-FQ28*FH32)/(FQ29^2-FQ26*FH32),"")</f>
        <v/>
      </c>
      <c r="FK30" s="130" t="s">
        <v>116</v>
      </c>
      <c r="FL30" s="116" t="str">
        <f>IF(FN30&lt;&gt;"",SLOPE(FN30:FN31,FM30:FM31),"")</f>
        <v/>
      </c>
      <c r="FM30" s="116">
        <v>2.54</v>
      </c>
      <c r="FN30" s="116" t="str">
        <f>IF(FJ30&lt;&gt;"",FJ30*FM30^2+FJ31*FM30+FJ32,"")</f>
        <v/>
      </c>
      <c r="FO30" s="116">
        <v>2.54</v>
      </c>
      <c r="FP30" s="116">
        <v>5.08</v>
      </c>
      <c r="FQ30" s="132"/>
      <c r="FR30" s="119" t="str">
        <f>IF(FR27="","",IF(FR27&gt;0,FU26,-1))</f>
        <v/>
      </c>
      <c r="FS30" s="119" t="str">
        <f>IF(FR27="","",IF(FR27&gt;0,FU26,-1))</f>
        <v/>
      </c>
      <c r="FT30" s="119" t="str">
        <f>IF(FR27="","",IF(FR27&gt;0,FX29,-1))</f>
        <v/>
      </c>
      <c r="FU30" s="119" t="str">
        <f>IF(FR27="","",IF(FR27&gt;0,FX29,-1))</f>
        <v/>
      </c>
      <c r="FV30" s="119" t="str">
        <f>IF(FR27="","",IF(FR27&gt;0,FV26,-1))</f>
        <v/>
      </c>
      <c r="FW30" s="119" t="str">
        <f>IF(FR27="","",IF(FR27&gt;0,FV26,-1))</f>
        <v/>
      </c>
      <c r="FX30" s="119" t="str">
        <f>IF(FR27="","",IF(FR27&gt;0,FV26,-1))</f>
        <v/>
      </c>
      <c r="FY30" s="119" t="str">
        <f>IF(FR27="","",IF(FR27&gt;0,FV26,-1))</f>
        <v/>
      </c>
      <c r="FZ30" s="1201"/>
      <c r="GA30" s="124" t="str">
        <f>IF(ISNUMBER(GA27),GA27-GI27,"")</f>
        <v/>
      </c>
      <c r="GB30" s="117" t="str">
        <f>IF(ISNUMBER(GB27),GB27-GI27,"")</f>
        <v/>
      </c>
      <c r="GC30" s="117" t="str">
        <f>IF(ISNUMBER(GC27),GC27-GI27,"")</f>
        <v/>
      </c>
      <c r="GD30" s="117" t="str">
        <f>IF(ISNUMBER(GD27),GD27-GI27,"")</f>
        <v/>
      </c>
      <c r="GE30" s="117" t="str">
        <f>IF(ISNUMBER(GE27),GE27-GI27,"")</f>
        <v/>
      </c>
      <c r="GF30" s="117" t="str">
        <f>IF(ISNUMBER(GF27),GF27-GI27,"")</f>
        <v/>
      </c>
      <c r="GG30" s="117" t="str">
        <f>IF(ISNUMBER(GG27),GG27-GI27,"")</f>
        <v/>
      </c>
      <c r="GH30" s="117" t="str">
        <f>IF(ISNUMBER(GH27),GH27-GI27,"")</f>
        <v/>
      </c>
      <c r="GI30" s="118" t="str">
        <f>IF(GA30&lt;&gt;"",SUM(GA30:GH30),"")</f>
        <v/>
      </c>
      <c r="GJ30" s="130" t="s">
        <v>115</v>
      </c>
      <c r="GK30" s="131" t="str">
        <f>IF(GI32&lt;&gt;"",(GR27*GR29-GR28*GI32)/(GR29^2-GR26*GI32),"")</f>
        <v/>
      </c>
      <c r="GL30" s="130" t="s">
        <v>116</v>
      </c>
      <c r="GM30" s="116" t="str">
        <f>IF(GO30&lt;&gt;"",SLOPE(GO30:GO31,GN30:GN31),"")</f>
        <v/>
      </c>
      <c r="GN30" s="116">
        <v>2.54</v>
      </c>
      <c r="GO30" s="116" t="str">
        <f>IF(GK30&lt;&gt;"",GK30*GN30^2+GK31*GN30+GK32,"")</f>
        <v/>
      </c>
      <c r="GP30" s="116">
        <v>2.54</v>
      </c>
      <c r="GQ30" s="116">
        <v>5.08</v>
      </c>
      <c r="GR30" s="132"/>
      <c r="GS30" s="119" t="str">
        <f>IF(GS27="","",IF(GS27&gt;0,GV26,-1))</f>
        <v/>
      </c>
      <c r="GT30" s="119" t="str">
        <f>IF(GS27="","",IF(GS27&gt;0,GV26,-1))</f>
        <v/>
      </c>
      <c r="GU30" s="119" t="str">
        <f>IF(GS27="","",IF(GS27&gt;0,GY29,-1))</f>
        <v/>
      </c>
      <c r="GV30" s="119" t="str">
        <f>IF(GS27="","",IF(GS27&gt;0,GY29,-1))</f>
        <v/>
      </c>
      <c r="GW30" s="119" t="str">
        <f>IF(GS27="","",IF(GS27&gt;0,GW26,-1))</f>
        <v/>
      </c>
      <c r="GX30" s="119" t="str">
        <f>IF(GS27="","",IF(GS27&gt;0,GW26,-1))</f>
        <v/>
      </c>
      <c r="GY30" s="119" t="str">
        <f>IF(GS27="","",IF(GS27&gt;0,GW26,-1))</f>
        <v/>
      </c>
      <c r="GZ30" s="119" t="str">
        <f>IF(GS27="","",IF(GS27&gt;0,GW26,-1))</f>
        <v/>
      </c>
      <c r="HA30" s="1201"/>
      <c r="HB30" s="124" t="str">
        <f>IF(ISNUMBER(HB27),HB27-HJ27,"")</f>
        <v/>
      </c>
      <c r="HC30" s="117" t="str">
        <f>IF(ISNUMBER(HC27),HC27-HJ27,"")</f>
        <v/>
      </c>
      <c r="HD30" s="117" t="str">
        <f>IF(ISNUMBER(HD27),HD27-HJ27,"")</f>
        <v/>
      </c>
      <c r="HE30" s="117" t="str">
        <f>IF(ISNUMBER(HE27),HE27-HJ27,"")</f>
        <v/>
      </c>
      <c r="HF30" s="117" t="str">
        <f>IF(ISNUMBER(HF27),HF27-HJ27,"")</f>
        <v/>
      </c>
      <c r="HG30" s="117" t="str">
        <f>IF(ISNUMBER(HG27),HG27-HJ27,"")</f>
        <v/>
      </c>
      <c r="HH30" s="117" t="str">
        <f>IF(ISNUMBER(HH27),HH27-HJ27,"")</f>
        <v/>
      </c>
      <c r="HI30" s="117" t="str">
        <f>IF(ISNUMBER(HI27),HI27-HJ27,"")</f>
        <v/>
      </c>
      <c r="HJ30" s="118" t="str">
        <f>IF(HB30&lt;&gt;"",SUM(HB30:HI30),"")</f>
        <v/>
      </c>
      <c r="HK30" s="130" t="s">
        <v>115</v>
      </c>
      <c r="HL30" s="131" t="str">
        <f>IF(HJ32&lt;&gt;"",(HS27*HS29-HS28*HJ32)/(HS29^2-HS26*HJ32),"")</f>
        <v/>
      </c>
      <c r="HM30" s="130" t="s">
        <v>116</v>
      </c>
      <c r="HN30" s="116" t="str">
        <f>IF(HP30&lt;&gt;"",SLOPE(HP30:HP31,HO30:HO31),"")</f>
        <v/>
      </c>
      <c r="HO30" s="116">
        <v>2.54</v>
      </c>
      <c r="HP30" s="116" t="str">
        <f>IF(HL30&lt;&gt;"",HL30*HO30^2+HL31*HO30+HL32,"")</f>
        <v/>
      </c>
      <c r="HQ30" s="116">
        <v>2.54</v>
      </c>
      <c r="HR30" s="116">
        <v>5.08</v>
      </c>
      <c r="HS30" s="132"/>
      <c r="HT30" s="119" t="str">
        <f>IF(HT27="","",IF(HT27&gt;0,HW26,-1))</f>
        <v/>
      </c>
      <c r="HU30" s="119" t="str">
        <f>IF(HT27="","",IF(HT27&gt;0,HW26,-1))</f>
        <v/>
      </c>
      <c r="HV30" s="119" t="str">
        <f>IF(HT27="","",IF(HT27&gt;0,HZ29,-1))</f>
        <v/>
      </c>
      <c r="HW30" s="119" t="str">
        <f>IF(HT27="","",IF(HT27&gt;0,HZ29,-1))</f>
        <v/>
      </c>
      <c r="HX30" s="119" t="str">
        <f>IF(HT27="","",IF(HT27&gt;0,HX26,-1))</f>
        <v/>
      </c>
      <c r="HY30" s="119" t="str">
        <f>IF(HT27="","",IF(HT27&gt;0,HX26,-1))</f>
        <v/>
      </c>
      <c r="HZ30" s="119" t="str">
        <f>IF(HT27="","",IF(HT27&gt;0,HX26,-1))</f>
        <v/>
      </c>
      <c r="IA30" s="119" t="str">
        <f>IF(HT27="","",IF(HT27&gt;0,HX26,-1))</f>
        <v/>
      </c>
      <c r="IB30" s="1201"/>
      <c r="IC30" s="124" t="str">
        <f>IF(ISNUMBER(IC27),IC27-IK27,"")</f>
        <v/>
      </c>
      <c r="ID30" s="117" t="str">
        <f>IF(ISNUMBER(ID27),ID27-IK27,"")</f>
        <v/>
      </c>
      <c r="IE30" s="117" t="str">
        <f>IF(ISNUMBER(IE27),IE27-IK27,"")</f>
        <v/>
      </c>
      <c r="IF30" s="117" t="str">
        <f>IF(ISNUMBER(IF27),IF27-IK27,"")</f>
        <v/>
      </c>
      <c r="IG30" s="117" t="str">
        <f>IF(ISNUMBER(IG27),IG27-IK27,"")</f>
        <v/>
      </c>
      <c r="IH30" s="117" t="str">
        <f>IF(ISNUMBER(IH27),IH27-IK27,"")</f>
        <v/>
      </c>
      <c r="II30" s="117" t="str">
        <f>IF(ISNUMBER(II27),II27-IK27,"")</f>
        <v/>
      </c>
      <c r="IJ30" s="117" t="str">
        <f>IF(ISNUMBER(IJ27),IJ27-IK27,"")</f>
        <v/>
      </c>
      <c r="IK30" s="118" t="str">
        <f>IF(IC30&lt;&gt;"",SUM(IC30:IJ30),"")</f>
        <v/>
      </c>
      <c r="IL30" s="130" t="s">
        <v>115</v>
      </c>
      <c r="IM30" s="131" t="str">
        <f>IF(IK32&lt;&gt;"",(IT27*IT29-IT28*IK32)/(IT29^2-IT26*IK32),"")</f>
        <v/>
      </c>
      <c r="IN30" s="130" t="s">
        <v>116</v>
      </c>
      <c r="IO30" s="116" t="str">
        <f>IF(IQ30&lt;&gt;"",SLOPE(IQ30:IQ31,IP30:IP31),"")</f>
        <v/>
      </c>
      <c r="IP30" s="116">
        <v>2.54</v>
      </c>
      <c r="IQ30" s="116" t="str">
        <f>IF(IM30&lt;&gt;"",IM30*IP30^2+IM31*IP30+IM32,"")</f>
        <v/>
      </c>
      <c r="IR30" s="116">
        <v>2.54</v>
      </c>
      <c r="IS30" s="116">
        <v>5.08</v>
      </c>
      <c r="IT30" s="132"/>
      <c r="IU30" s="119" t="str">
        <f>IF(IU27="","",IF(IU27&gt;0,IX26,-1))</f>
        <v/>
      </c>
      <c r="IV30" s="119" t="str">
        <f>IF(IU27="","",IF(IU27&gt;0,IX26,-1))</f>
        <v/>
      </c>
      <c r="IW30" s="119" t="str">
        <f>IF(IU27="","",IF(IU27&gt;0,JA29,-1))</f>
        <v/>
      </c>
      <c r="IX30" s="119" t="str">
        <f>IF(IU27="","",IF(IU27&gt;0,JA29,-1))</f>
        <v/>
      </c>
      <c r="IY30" s="119" t="str">
        <f>IF(IU27="","",IF(IU27&gt;0,IY26,-1))</f>
        <v/>
      </c>
      <c r="IZ30" s="119" t="str">
        <f>IF(IU27="","",IF(IU27&gt;0,IY26,-1))</f>
        <v/>
      </c>
      <c r="JA30" s="119" t="str">
        <f>IF(IU27="","",IF(IU27&gt;0,IY26,-1))</f>
        <v/>
      </c>
      <c r="JB30" s="119" t="str">
        <f>IF(IU27="","",IF(IU27&gt;0,IY26,-1))</f>
        <v/>
      </c>
      <c r="JC30" s="1201"/>
      <c r="JD30" s="150" t="str">
        <f t="shared" si="249"/>
        <v/>
      </c>
      <c r="JE30" s="76" t="str">
        <f t="shared" ref="JE30:JJ30" si="303">IF(ISNUMBER(JE27),JE27-$JK27,"")</f>
        <v/>
      </c>
      <c r="JF30" s="76">
        <f t="shared" si="303"/>
        <v>0</v>
      </c>
      <c r="JG30" s="76">
        <f t="shared" si="303"/>
        <v>0</v>
      </c>
      <c r="JH30" s="76">
        <f t="shared" si="303"/>
        <v>0</v>
      </c>
      <c r="JI30" s="76" t="str">
        <f t="shared" si="303"/>
        <v/>
      </c>
      <c r="JJ30" s="76" t="str">
        <f t="shared" si="303"/>
        <v/>
      </c>
      <c r="JK30" s="73"/>
      <c r="JL30" s="76" t="str">
        <f t="shared" ref="JL30:JQ30" si="304">IF(ISERROR(JE29*JE31),"",JE29*JE31)</f>
        <v/>
      </c>
      <c r="JM30" s="76">
        <f t="shared" si="304"/>
        <v>9.8284358024597761E-6</v>
      </c>
      <c r="JN30" s="76">
        <f t="shared" si="304"/>
        <v>0</v>
      </c>
      <c r="JO30" s="76">
        <f t="shared" si="304"/>
        <v>1.0509169559427685E-5</v>
      </c>
      <c r="JP30" s="76" t="str">
        <f t="shared" si="304"/>
        <v/>
      </c>
      <c r="JQ30" s="76" t="str">
        <f t="shared" si="304"/>
        <v/>
      </c>
      <c r="JR30" s="65">
        <f>SUM(JL30:JQ30)</f>
        <v>2.0337605361887461E-5</v>
      </c>
      <c r="JS30" s="158">
        <f>IF(H29="X",CW26,IF(CT26&lt;&gt;"",CT26,""))</f>
        <v>5.2782550799308686E-2</v>
      </c>
      <c r="JT30" s="1202">
        <f>IF(H29="X",FV32,IF(JS30&lt;&gt;"",JM32*JS30^2+JO32*JS30+JQ32,""))</f>
        <v>0</v>
      </c>
      <c r="JU30" s="123" t="str">
        <f>IF(T31&lt;&gt;0,LOOKUP(T31,Tara!$G$6:$G$185,Tara!$J$6:$J$185)/10,"")</f>
        <v/>
      </c>
      <c r="JV30" s="116" t="str">
        <f t="shared" si="251"/>
        <v/>
      </c>
      <c r="JW30" s="155" t="str">
        <f t="shared" si="252"/>
        <v/>
      </c>
      <c r="JX30" s="76" t="str">
        <f t="shared" ref="JX30:KC30" si="305">IF(ISNUMBER(JX27),JX27-$JK27,"")</f>
        <v/>
      </c>
      <c r="JY30" s="76">
        <f t="shared" si="305"/>
        <v>0</v>
      </c>
      <c r="JZ30" s="76">
        <f t="shared" si="305"/>
        <v>0</v>
      </c>
      <c r="KA30" s="76">
        <f t="shared" si="305"/>
        <v>0</v>
      </c>
      <c r="KB30" s="76" t="str">
        <f t="shared" si="305"/>
        <v/>
      </c>
      <c r="KC30" s="76" t="str">
        <f t="shared" si="305"/>
        <v/>
      </c>
      <c r="KD30" s="73"/>
      <c r="KE30" s="76" t="str">
        <f t="shared" ref="KE30:KJ30" si="306">IF(ISERROR(JX29*JX31),"",JX29*JX31)</f>
        <v/>
      </c>
      <c r="KF30" s="76">
        <f t="shared" si="306"/>
        <v>9.8284358024597761E-6</v>
      </c>
      <c r="KG30" s="76">
        <f t="shared" si="306"/>
        <v>0</v>
      </c>
      <c r="KH30" s="76">
        <f t="shared" si="306"/>
        <v>1.0509169559427685E-5</v>
      </c>
      <c r="KI30" s="76" t="str">
        <f t="shared" si="306"/>
        <v/>
      </c>
      <c r="KJ30" s="76" t="str">
        <f t="shared" si="306"/>
        <v/>
      </c>
      <c r="KK30" s="65">
        <f>SUM(KE30:KJ30)</f>
        <v>2.0337605361887461E-5</v>
      </c>
      <c r="KL30" s="158">
        <f>IF(H29="X",CW26,IF(CT26&lt;&gt;"",CT26,""))</f>
        <v>5.2782550799308686E-2</v>
      </c>
      <c r="KM30" s="1203">
        <f>IF(H29="X",JW28*100,IF(KL30&lt;&gt;"",KF32*KL30^2+KH32*KL30+KJ32,""))</f>
        <v>0</v>
      </c>
      <c r="KN30" s="174" t="str">
        <f>IF(ISNUMBER(AN29),AN29,"")</f>
        <v/>
      </c>
      <c r="KO30" s="175" t="str">
        <f>IF(ISNUMBER(AO29),AO29,"")</f>
        <v/>
      </c>
      <c r="KP30" s="175" t="str">
        <f>IF(ISNUMBER(AP29),AP29,"")</f>
        <v/>
      </c>
      <c r="KQ30" s="175" t="str">
        <f>IF(ISNUMBER(AQ29),AQ29,"")</f>
        <v/>
      </c>
      <c r="KR30" s="1204" t="str">
        <f>IF(ISNUMBER(AR29),AR29,"")</f>
        <v/>
      </c>
      <c r="KS30" s="184" t="str">
        <f>IF(KS29&lt;&gt;"",AVERAGE(KS29:KW29),"")</f>
        <v/>
      </c>
      <c r="KT30" s="176" t="str">
        <f>IF(KS30&lt;&gt;"",KS30-KS31,"")</f>
        <v/>
      </c>
      <c r="KU30" s="180">
        <f>COUNT(KS32:KW32)</f>
        <v>0</v>
      </c>
      <c r="KV30" s="176" t="str">
        <f>IF(KS32&lt;&gt;"",AVERAGE(KS32:KW32),"")</f>
        <v/>
      </c>
      <c r="KW30" s="176" t="str">
        <f>IF(KV30&lt;&gt;"",KV30+5%*KV30,"")</f>
        <v/>
      </c>
      <c r="KX30" s="1275">
        <f>IF(KW31="NP",0,KW31)*100</f>
        <v>0</v>
      </c>
      <c r="KY30" s="1284" t="str">
        <f>IF(AND(KY29&gt;0,ISNUMBER(KY29)),AVERAGE(KY29:KZ29),"")</f>
        <v/>
      </c>
      <c r="KZ30" s="1285"/>
      <c r="LA30" s="1286">
        <f>IF(LA29&lt;&gt;"",ROUND(AVERAGE(LA29:LB29),2),"")</f>
        <v>1.86</v>
      </c>
      <c r="LB30" s="1287"/>
      <c r="LC30" s="120">
        <f>IF(LC27&lt;&gt;"",LC29/(LA30+100)*100,"")</f>
        <v>870.29255841350869</v>
      </c>
      <c r="LD30" s="199"/>
      <c r="LE30" s="203">
        <f t="shared" ref="LE30:LK30" si="307">IF(ISNUMBER(LE28),LE28/$LD28,"")</f>
        <v>1</v>
      </c>
      <c r="LF30" s="203">
        <f t="shared" si="307"/>
        <v>1</v>
      </c>
      <c r="LG30" s="203">
        <f t="shared" si="307"/>
        <v>1</v>
      </c>
      <c r="LH30" s="203">
        <f t="shared" si="307"/>
        <v>1</v>
      </c>
      <c r="LI30" s="203">
        <f t="shared" si="307"/>
        <v>0.66198923524496134</v>
      </c>
      <c r="LJ30" s="203">
        <f t="shared" si="307"/>
        <v>0.51283703901296007</v>
      </c>
      <c r="LK30" s="203">
        <f t="shared" si="307"/>
        <v>0.43869696999473462</v>
      </c>
      <c r="LL30" s="203">
        <f>IF(LL29&lt;&gt;"",LL29*LK30,"")</f>
        <v>0.40625517113271475</v>
      </c>
      <c r="LM30" s="1205">
        <f>IF(LM29&lt;&gt;"",LM29*LK30,"")</f>
        <v>0.15775814155738113</v>
      </c>
      <c r="LN30" s="185" t="str">
        <f>IF(LM30="","",IF(AND(LG30&gt;=93%,LG30&lt;=100%,LI30&gt;=53%,LI30&lt;=100%,LJ30&gt;=45%,LJ30&lt;=90%,LK30&gt;=35%,LK30&lt;=75%,LL30&gt;=23%,LL30&lt;=47%,LM30&gt;=8%,LM30&lt;=27%),"Faixa D"))</f>
        <v>Faixa D</v>
      </c>
      <c r="LO30" s="207" t="str">
        <f>IF(LM30="","",IF(LO29&gt;0,LO29,IF(LP30&gt;0,LP30)))</f>
        <v>D</v>
      </c>
      <c r="LP30" s="207"/>
      <c r="LQ30" s="180"/>
      <c r="LR30" s="1279"/>
      <c r="LS30" s="215">
        <v>10</v>
      </c>
      <c r="LT30" s="144">
        <f>IF(LK30&lt;&gt;"",LK30*100,"")</f>
        <v>43.869696999473462</v>
      </c>
      <c r="LU30" s="78">
        <f>IF(LT32="",0,IF(IF((LT32-35)&lt;0,0,(LT32-35))&gt;40,40,IF((LT32-35)&lt;0,0,(LT32-35))))</f>
        <v>0</v>
      </c>
      <c r="LV30" s="78">
        <f>IF(LT32="",0,IF(IF((LT32-15)&lt;0,0,(LT32-15))&gt;40,40,IF((LT32-15)&lt;0,0,(LT32-15))))</f>
        <v>0.77581415573811263</v>
      </c>
      <c r="LW30" s="78">
        <f>IF(LG32="NP",0,IF(IF((LG32-40)&lt;0,0,(LG32-40))&gt;20,20,IF((LG32-40)&lt;0,0,(LG32-40))))</f>
        <v>0</v>
      </c>
      <c r="LX30" s="78">
        <f>IF(LN32="NP",0,IF(IF((LN32-10)&lt;0,0,(LN32-10))&gt;20,20,IF((LN32-10)&lt;0,0,(LN32-10))))</f>
        <v>0</v>
      </c>
      <c r="LY30" s="199"/>
      <c r="LZ30" s="199"/>
      <c r="MA30" s="199"/>
      <c r="MB30" s="199"/>
      <c r="MC30" s="199"/>
      <c r="MD30" s="199"/>
      <c r="ME30" s="1200"/>
      <c r="MF30" s="287" t="str">
        <f>IF(C27&lt;&gt;0,C27,"")</f>
        <v/>
      </c>
      <c r="MG30" s="288" t="str">
        <f>IF(C28&lt;&gt;0,C28,"")</f>
        <v/>
      </c>
      <c r="MH30" s="289" t="str">
        <f>IF(E28&lt;&gt;0,E28,"")</f>
        <v/>
      </c>
      <c r="MI30" s="290">
        <f t="shared" ref="MI30:MQ30" si="308">IF($H27="x","",IF(LE30&lt;&gt;"",LE30*100,""))</f>
        <v>100</v>
      </c>
      <c r="MJ30" s="290">
        <f t="shared" si="308"/>
        <v>100</v>
      </c>
      <c r="MK30" s="290">
        <f t="shared" si="308"/>
        <v>100</v>
      </c>
      <c r="ML30" s="290">
        <f t="shared" si="308"/>
        <v>100</v>
      </c>
      <c r="MM30" s="290">
        <f t="shared" si="308"/>
        <v>66.198923524496138</v>
      </c>
      <c r="MN30" s="290">
        <f t="shared" si="308"/>
        <v>51.283703901296008</v>
      </c>
      <c r="MO30" s="290">
        <f t="shared" si="308"/>
        <v>43.869696999473462</v>
      </c>
      <c r="MP30" s="290">
        <f t="shared" si="308"/>
        <v>40.625517113271478</v>
      </c>
      <c r="MQ30" s="290">
        <f t="shared" si="308"/>
        <v>15.775814155738113</v>
      </c>
      <c r="MR30" s="288"/>
      <c r="MS30" s="290" t="str">
        <f>IF(H27="X","",IF(H28="x",IF(KQ32&gt;0,KQ32,IF(KQ32=0,"NP",""))))</f>
        <v>NP</v>
      </c>
      <c r="MT30" s="290" t="str">
        <f>IF(H27="X","",IF(H28="x",IF(KX26&gt;0,KX26,IF(KX26=0,"NP",""))))</f>
        <v>NP</v>
      </c>
      <c r="MU30" s="290" t="str">
        <f>IF(H27="X","",IF(H28="x",IF(KZ32&lt;&gt;"",KZ32*100,"")))</f>
        <v/>
      </c>
      <c r="MV30" s="291">
        <f>IF(MS30="","",IF(H27="X","",IF(H28="x",IF(LU32&lt;&gt;"",LU32,""))))</f>
        <v>0</v>
      </c>
      <c r="MW30" s="291" t="str">
        <f>IF(H27="X","",IF(H28="x",IF(LW32&lt;&gt;"",LW32,"")))</f>
        <v>A-1b</v>
      </c>
      <c r="MX30" s="291"/>
      <c r="MY30" s="291" t="str">
        <f>IF(H27="X","",IF(H28="x",IF(LR28&lt;&gt;"",LR28,"")))</f>
        <v>D</v>
      </c>
      <c r="MZ30" s="290">
        <f>IF(ISERROR(CT26),"",CT26*100)</f>
        <v>5.2782550799308687</v>
      </c>
      <c r="NA30" s="291">
        <f>IF(ISERROR(CT27),"",CT27)</f>
        <v>2276.9809377801403</v>
      </c>
      <c r="NB30" s="290">
        <f>IF(ISERROR(JT30),"",JT30)</f>
        <v>0</v>
      </c>
      <c r="NC30" s="288">
        <f>IF(ISERROR(KM30),"",KM30)</f>
        <v>0</v>
      </c>
      <c r="ND30" s="290" t="str">
        <f>IF(MG30&lt;&gt;"",LOOKUP(MF30,'Digitar Dados de Dens. InSitu'!AA:AA,'Digitar Dados de Dens. InSitu'!AB:AB),"")</f>
        <v/>
      </c>
      <c r="NE30" s="291" t="str">
        <f>IF(MG30&lt;&gt;"",LOOKUP(MF30,'Digitar Dados de Dens. InSitu'!AA:AA,'Digitar Dados de Dens. InSitu'!#REF!),"")</f>
        <v/>
      </c>
      <c r="NF30" s="290" t="str">
        <f>IF(MG30&lt;&gt;"",LOOKUP(MF30,'Digitar Dados de Dens. InSitu'!AA:AA,'Digitar Dados de Dens. InSitu'!AC:AC),"")</f>
        <v/>
      </c>
      <c r="NG30" s="290" t="str">
        <f>IF($H27="X","",IF($H29="X","",IF(T27="","",CE26*100)))</f>
        <v/>
      </c>
      <c r="NH30" s="291" t="str">
        <f>IF($H27="X","",IF($H29="X","",IF(T27="","",CE27)))</f>
        <v/>
      </c>
      <c r="NI30" s="288" t="str">
        <f>IF($H27="X","",IF($H29="X","",JX27))</f>
        <v/>
      </c>
      <c r="NJ30" s="288" t="str">
        <f>IF($H27="X","",IF($H29="X","",JE27))</f>
        <v/>
      </c>
      <c r="NK30" s="290">
        <f>IF(T28="","",IF($H27="X","",IF($H29="X","",CF26*100)))</f>
        <v>4.007128466216697</v>
      </c>
      <c r="NL30" s="291">
        <f>IF($H27="X","",IF($H29="X","",CF27))</f>
        <v>2183.5657499217118</v>
      </c>
      <c r="NM30" s="288">
        <f>IF($H27="X","",IF($H29="X","",JY27))</f>
        <v>0</v>
      </c>
      <c r="NN30" s="288">
        <f>IF($H27="X","",IF($H29="X","",JF27))</f>
        <v>0</v>
      </c>
      <c r="NO30" s="290">
        <f>IF($H27="X","",IF(T28="","",IF($H29="X",CW26*100,CG26*100)))</f>
        <v>5.0141131125009526</v>
      </c>
      <c r="NP30" s="291">
        <f>IF($H27="X","",IF($H29="X",CW30,CG27))</f>
        <v>2289.765027721558</v>
      </c>
      <c r="NQ30" s="288">
        <f>IF($H27="X","",IF($H29="X","",JZ27))</f>
        <v>0</v>
      </c>
      <c r="NR30" s="288">
        <f>IF($H27="X","",IF($H29="X","",JG27))</f>
        <v>0</v>
      </c>
      <c r="NS30" s="290">
        <f>IF($H27="X","",IF(T29="","",IF($H29="X","",CH26*100)))</f>
        <v>6.0210977587852081</v>
      </c>
      <c r="NT30" s="291">
        <f>IF($H27="X","",IF($H29="X","",CH27))</f>
        <v>2273.7979959345384</v>
      </c>
      <c r="NU30" s="288">
        <f>IF($H27="X","",IF($H29="X","",KA27))</f>
        <v>0</v>
      </c>
      <c r="NV30" s="288">
        <f>IF($H27="X","",IF($H29="X","",JH27))</f>
        <v>0</v>
      </c>
      <c r="NW30" s="290" t="str">
        <f>IF($H27="X","",IF($H29="X","",IF(T31="","",CI26*100)))</f>
        <v/>
      </c>
      <c r="NX30" s="291" t="str">
        <f>IF($H27="X","",IF($H29="X","",IF(T31="","",CI27)))</f>
        <v/>
      </c>
      <c r="NY30" s="288" t="str">
        <f>IF($H27="X","",IF($H29="X","",KB27))</f>
        <v/>
      </c>
      <c r="NZ30" s="288" t="str">
        <f>IF($H27="X","",IF($H29="X","",JI27))</f>
        <v/>
      </c>
      <c r="OA30" s="291" t="str">
        <f>IF($H27="X","",IF($H29="X","",CJ26))</f>
        <v/>
      </c>
      <c r="OB30" s="291" t="str">
        <f>IF($H27="X","",IF($H29="X","",CJ27))</f>
        <v/>
      </c>
      <c r="OC30" s="288" t="str">
        <f>IF($H27="X","",IF($H29="X","",KC27))</f>
        <v/>
      </c>
      <c r="OD30" s="288" t="str">
        <f>IF($H27="X","",IF($H29="X","",JJ27))</f>
        <v/>
      </c>
      <c r="OE30" s="120"/>
      <c r="OF30" s="78">
        <f>C29</f>
        <v>0</v>
      </c>
      <c r="OG30" s="132">
        <f>C30</f>
        <v>0</v>
      </c>
      <c r="OH30" s="132"/>
      <c r="OI30" s="56"/>
      <c r="OJ30" s="56"/>
      <c r="OK30" s="56"/>
      <c r="OL30" s="56"/>
      <c r="OM30" s="56"/>
      <c r="ON30" s="56"/>
      <c r="OO30" s="56"/>
      <c r="OP30" s="56"/>
      <c r="OQ30" s="56"/>
      <c r="OR30" s="56"/>
      <c r="OS30" s="56"/>
      <c r="OT30" s="56"/>
      <c r="OU30" s="56"/>
      <c r="OV30" s="56"/>
      <c r="OW30" s="56"/>
      <c r="OX30" s="56"/>
      <c r="OY30" s="56"/>
      <c r="OZ30" s="56"/>
      <c r="PA30" s="56"/>
      <c r="PB30" s="56"/>
      <c r="PC30" s="56"/>
      <c r="PD30" s="56"/>
      <c r="PE30" s="56"/>
      <c r="PF30" s="56"/>
      <c r="PG30" s="56"/>
      <c r="PH30" s="56"/>
      <c r="PI30" s="56"/>
      <c r="PJ30" s="56"/>
      <c r="PK30" s="56"/>
      <c r="PL30" s="56"/>
      <c r="PM30" s="56"/>
    </row>
    <row r="31" spans="1:1378" ht="15" hidden="1" customHeight="1" x14ac:dyDescent="0.3">
      <c r="A31" s="1337"/>
      <c r="B31" s="734" t="s">
        <v>117</v>
      </c>
      <c r="C31" s="666"/>
      <c r="D31" s="1362"/>
      <c r="E31" s="1363"/>
      <c r="F31" s="1370"/>
      <c r="G31" s="726" t="s">
        <v>119</v>
      </c>
      <c r="H31" s="665"/>
      <c r="I31" s="742" t="s">
        <v>120</v>
      </c>
      <c r="J31" s="667">
        <v>41</v>
      </c>
      <c r="K31" s="667">
        <v>26</v>
      </c>
      <c r="L31" s="667">
        <v>34</v>
      </c>
      <c r="M31" s="667">
        <v>49</v>
      </c>
      <c r="N31" s="667">
        <v>41</v>
      </c>
      <c r="O31" s="667"/>
      <c r="P31" s="743" t="s">
        <v>121</v>
      </c>
      <c r="Q31" s="744">
        <v>0.1037</v>
      </c>
      <c r="R31" s="743" t="s">
        <v>120</v>
      </c>
      <c r="S31" s="745"/>
      <c r="T31" s="1181"/>
      <c r="U31" s="728"/>
      <c r="V31" s="737"/>
      <c r="W31" s="737"/>
      <c r="X31" s="737"/>
      <c r="Y31" s="737"/>
      <c r="Z31" s="673"/>
      <c r="AA31" s="673"/>
      <c r="AB31" s="673"/>
      <c r="AC31" s="673"/>
      <c r="AD31" s="675"/>
      <c r="AE31" s="675"/>
      <c r="AF31" s="675"/>
      <c r="AG31" s="675"/>
      <c r="AH31" s="675"/>
      <c r="AI31" s="675"/>
      <c r="AJ31" s="675"/>
      <c r="AK31" s="677"/>
      <c r="AL31" s="1385"/>
      <c r="AM31" s="730" t="s">
        <v>39</v>
      </c>
      <c r="AN31" s="746"/>
      <c r="AO31" s="746"/>
      <c r="AP31" s="746"/>
      <c r="AQ31" s="746"/>
      <c r="AR31" s="747"/>
      <c r="AS31" s="1367"/>
      <c r="AT31" s="1294" t="s">
        <v>122</v>
      </c>
      <c r="AU31" s="1295"/>
      <c r="AV31" s="1298" t="s">
        <v>123</v>
      </c>
      <c r="AW31" s="344" t="s">
        <v>124</v>
      </c>
      <c r="AX31" s="292"/>
      <c r="AY31" s="1298" t="s">
        <v>125</v>
      </c>
      <c r="AZ31" s="344" t="s">
        <v>124</v>
      </c>
      <c r="BA31" s="293"/>
      <c r="BB31" s="1300"/>
      <c r="BC31" s="1301"/>
      <c r="BD31" s="1301"/>
      <c r="BE31" s="1301"/>
      <c r="BF31" s="1301"/>
      <c r="BG31" s="1301"/>
      <c r="BH31" s="1301"/>
      <c r="BI31" s="1301"/>
      <c r="BJ31" s="1301"/>
      <c r="BK31" s="1302"/>
      <c r="BL31" s="1292"/>
      <c r="BM31" s="1307"/>
      <c r="BN31" s="62" t="s">
        <v>126</v>
      </c>
      <c r="BO31" s="68">
        <f>IF(ISNUMBER(K30),K30,"")</f>
        <v>160</v>
      </c>
      <c r="BP31" s="108">
        <f>IF(AND(ISNUMBER(BP32),ISNUMBER(Q30)),BP32*Q30,"")</f>
        <v>230</v>
      </c>
      <c r="BQ31" s="108">
        <f>IF(AND(ISNUMBER(BQ32),ISNUMBER(Q30)),BQ32*Q30,"")</f>
        <v>300</v>
      </c>
      <c r="BR31" s="108">
        <f>IF(AND(ISNUMBER(BR32),ISNUMBER(Q30)),BR32*Q30,"")</f>
        <v>370</v>
      </c>
      <c r="BS31" s="108">
        <f>IF(AND(ISNUMBER(BS32),ISNUMBER(Q30)),BS32*Q30,"")</f>
        <v>440.00000000000006</v>
      </c>
      <c r="BT31" s="108">
        <f>IF(AND(ISNUMBER(BT32),ISNUMBER(Q30)),BT32*Q30,"")</f>
        <v>510</v>
      </c>
      <c r="BU31" s="108" t="s">
        <v>127</v>
      </c>
      <c r="BV31" s="108"/>
      <c r="BW31" s="70">
        <f>IF(ISNUMBER(N30),N30,"")</f>
        <v>0.01</v>
      </c>
      <c r="BY31" s="87">
        <f t="shared" ref="BY31:CD31" si="309">IF($H31&lt;&gt;"",BO29,BO30/($Q30/(1+$BW26)))</f>
        <v>3.0001438199324416E-2</v>
      </c>
      <c r="BZ31" s="87">
        <f t="shared" si="309"/>
        <v>4.0071284662166973E-2</v>
      </c>
      <c r="CA31" s="87">
        <f t="shared" si="309"/>
        <v>5.0141131125009529E-2</v>
      </c>
      <c r="CB31" s="87">
        <f t="shared" si="309"/>
        <v>6.0210977587852085E-2</v>
      </c>
      <c r="CC31" s="87">
        <f t="shared" si="309"/>
        <v>7.0280824050694649E-2</v>
      </c>
      <c r="CD31" s="87">
        <f t="shared" si="309"/>
        <v>8.0350670513537198E-2</v>
      </c>
      <c r="CE31" s="88">
        <f t="shared" ref="CE31:CJ31" si="310">IF(ISNUMBER(CE28),CE28-$CK28,"")</f>
        <v>-1.8168503520379626E-3</v>
      </c>
      <c r="CF31" s="88">
        <f t="shared" si="310"/>
        <v>-1.1112287915894269E-3</v>
      </c>
      <c r="CG31" s="88">
        <f t="shared" si="310"/>
        <v>-2.0280361557044584E-4</v>
      </c>
      <c r="CH31" s="88">
        <f t="shared" si="310"/>
        <v>9.0842517601898111E-4</v>
      </c>
      <c r="CI31" s="88">
        <f t="shared" si="310"/>
        <v>2.2224575831788543E-3</v>
      </c>
      <c r="CJ31" s="89" t="str">
        <f t="shared" si="310"/>
        <v/>
      </c>
      <c r="CK31" s="89"/>
      <c r="CL31" s="73"/>
      <c r="CM31" s="73"/>
      <c r="CN31" s="73"/>
      <c r="CO31" s="73"/>
      <c r="CP31" s="73"/>
      <c r="CQ31" s="73"/>
      <c r="CR31" s="73"/>
      <c r="CS31" s="90"/>
      <c r="CT31" s="102"/>
      <c r="CU31" s="66" t="str">
        <f>IF(ISNUMBER(S31),LOOKUP(S31,Tara!$G$6:$G$185,Tara!$I$6:$I$185),"")</f>
        <v/>
      </c>
      <c r="CV31" s="1280"/>
      <c r="CW31" s="1282"/>
      <c r="CX31" s="124" t="str">
        <f>IF(ISNUMBER(CX28),CX28-DF28,"")</f>
        <v/>
      </c>
      <c r="CY31" s="117" t="str">
        <f>IF(ISNUMBER(CY28),CY28-DF28,"")</f>
        <v/>
      </c>
      <c r="CZ31" s="117" t="str">
        <f>IF(ISNUMBER(CZ28),CZ28-DF28,"")</f>
        <v/>
      </c>
      <c r="DA31" s="117" t="str">
        <f>IF(ISNUMBER(DA28),DA28-DF28,"")</f>
        <v/>
      </c>
      <c r="DB31" s="117" t="str">
        <f>IF(ISNUMBER(DB28),DB28-DF28,"")</f>
        <v/>
      </c>
      <c r="DC31" s="117" t="str">
        <f>IF(ISNUMBER(DC28),DC28-DF28,"")</f>
        <v/>
      </c>
      <c r="DD31" s="117" t="str">
        <f>IF(ISNUMBER(DD28),DD28-DF28,"")</f>
        <v/>
      </c>
      <c r="DE31" s="117" t="str">
        <f>IF(ISNUMBER(DE28),DE28-DF28,"")</f>
        <v/>
      </c>
      <c r="DF31" s="280" t="str">
        <f>IF(CX31&lt;&gt;"",SUM(CX31:DE31),"")</f>
        <v/>
      </c>
      <c r="DG31" s="133" t="s">
        <v>128</v>
      </c>
      <c r="DH31" s="134" t="str">
        <f>IF(DH30&lt;&gt;"",(DO28-DH30*DO26)/DO29,"")</f>
        <v/>
      </c>
      <c r="DI31" s="133" t="s">
        <v>128</v>
      </c>
      <c r="DJ31" s="134" t="str">
        <f>IF(DL30&lt;&gt;"",INTERCEPT(DL30:DL31,DK30:DK31),"")</f>
        <v/>
      </c>
      <c r="DK31" s="116">
        <v>5.08</v>
      </c>
      <c r="DL31" s="116" t="str">
        <f>IF(DH30&lt;&gt;"",DH30*DK31^2+DH31*DK31+DH32,"")</f>
        <v/>
      </c>
      <c r="DM31" s="116" t="str">
        <f>IF(DP27="","",IF(DP27&gt;0,DS26,""))</f>
        <v/>
      </c>
      <c r="DN31" s="116" t="str">
        <f>IF(DP27="","",IF(DP27&gt;0,DT26,""))</f>
        <v/>
      </c>
      <c r="DO31" s="139"/>
      <c r="DP31" s="120">
        <v>0</v>
      </c>
      <c r="DQ31" s="120" t="str">
        <f>IF(DP27="","",IF(DP27&gt;0,DV27,-1))</f>
        <v/>
      </c>
      <c r="DR31" s="120" t="str">
        <f>IF(DP27="","",IF(DP27&gt;0,DV28,-1))</f>
        <v/>
      </c>
      <c r="DS31" s="120" t="str">
        <f>IF(DP27="","",IF(DP27&gt;0,DR27,-1))</f>
        <v/>
      </c>
      <c r="DT31" s="120" t="str">
        <f>IF(DP27="","",IF(DP27&gt;0,DR27,-1))</f>
        <v/>
      </c>
      <c r="DU31" s="120" t="str">
        <f>IF(DP27="","",IF(DP27&gt;0,DR27,-1))</f>
        <v/>
      </c>
      <c r="DV31" s="120">
        <v>0</v>
      </c>
      <c r="DW31" s="120" t="str">
        <f>IF(DP27="","",IF(DP27&gt;0,DR27,-1))</f>
        <v/>
      </c>
      <c r="DX31" s="1206"/>
      <c r="DY31" s="124" t="str">
        <f>IF(ISNUMBER(DY28),DY28-EG28,"")</f>
        <v/>
      </c>
      <c r="DZ31" s="117" t="str">
        <f>IF(ISNUMBER(DZ28),DZ28-EG28,"")</f>
        <v/>
      </c>
      <c r="EA31" s="117" t="str">
        <f>IF(ISNUMBER(EA28),EA28-EG28,"")</f>
        <v/>
      </c>
      <c r="EB31" s="117" t="str">
        <f>IF(ISNUMBER(EB28),EB28-EG28,"")</f>
        <v/>
      </c>
      <c r="EC31" s="117" t="str">
        <f>IF(ISNUMBER(EC28),EC28-EG28,"")</f>
        <v/>
      </c>
      <c r="ED31" s="117" t="str">
        <f>IF(ISNUMBER(ED28),ED28-EG28,"")</f>
        <v/>
      </c>
      <c r="EE31" s="117" t="str">
        <f>IF(ISNUMBER(EE28),EE28-EG28,"")</f>
        <v/>
      </c>
      <c r="EF31" s="117" t="str">
        <f>IF(ISNUMBER(EF28),EF28-EG28,"")</f>
        <v/>
      </c>
      <c r="EG31" s="118" t="str">
        <f>IF(DY31&lt;&gt;"",SUM(DY31:EF31),"")</f>
        <v/>
      </c>
      <c r="EH31" s="133" t="s">
        <v>128</v>
      </c>
      <c r="EI31" s="134" t="str">
        <f>IF(EI30&lt;&gt;"",(EP28-EI30*EP26)/EP29,"")</f>
        <v/>
      </c>
      <c r="EJ31" s="133" t="s">
        <v>128</v>
      </c>
      <c r="EK31" s="134" t="str">
        <f>IF(EM30&lt;&gt;"",INTERCEPT(EM30:EM31,EL30:EL31),"")</f>
        <v/>
      </c>
      <c r="EL31" s="116">
        <v>5.08</v>
      </c>
      <c r="EM31" s="116" t="str">
        <f>IF(EI30&lt;&gt;"",EI30*EL31^2+EI31*EL31+EI32,"")</f>
        <v/>
      </c>
      <c r="EN31" s="138" t="str">
        <f>IF(EQ27="","",IF(EQ27&gt;0,ET26,""))</f>
        <v/>
      </c>
      <c r="EO31" s="138" t="str">
        <f>IF(EQ27="","",IF(EQ27&gt;0,EU26,""))</f>
        <v/>
      </c>
      <c r="EP31" s="139"/>
      <c r="EQ31" s="120">
        <v>0</v>
      </c>
      <c r="ER31" s="120" t="str">
        <f>IF(EQ27="","",IF(EQ27&gt;0,EW27,-1))</f>
        <v/>
      </c>
      <c r="ES31" s="120" t="str">
        <f>IF(EQ27="","",IF(EQ27&gt;0,EW28,-1))</f>
        <v/>
      </c>
      <c r="ET31" s="120" t="str">
        <f>IF(EQ27="","",IF(EQ27&gt;0,ES27,-1))</f>
        <v/>
      </c>
      <c r="EU31" s="120" t="str">
        <f>IF(EQ27="","",IF(EQ27&gt;0,ES27,-1))</f>
        <v/>
      </c>
      <c r="EV31" s="120" t="str">
        <f>IF(EQ27="","",IF(EQ27&gt;0,ES27,-1))</f>
        <v/>
      </c>
      <c r="EW31" s="120">
        <v>0</v>
      </c>
      <c r="EX31" s="120" t="str">
        <f>IF(EQ27="","",IF(EQ27&gt;0,ES27,-1))</f>
        <v/>
      </c>
      <c r="EY31" s="1206"/>
      <c r="EZ31" s="124" t="str">
        <f>IF(ISNUMBER(EZ28),EZ28-FH28,"")</f>
        <v/>
      </c>
      <c r="FA31" s="117" t="str">
        <f>IF(ISNUMBER(FA28),FA28-FH28,"")</f>
        <v/>
      </c>
      <c r="FB31" s="117" t="str">
        <f>IF(ISNUMBER(FB28),FB28-FH28,"")</f>
        <v/>
      </c>
      <c r="FC31" s="117" t="str">
        <f>IF(ISNUMBER(FC28),FC28-FH28,"")</f>
        <v/>
      </c>
      <c r="FD31" s="117" t="str">
        <f>IF(ISNUMBER(FD28),FD28-FH28,"")</f>
        <v/>
      </c>
      <c r="FE31" s="117" t="str">
        <f>IF(ISNUMBER(FE28),FE28-FH28,"")</f>
        <v/>
      </c>
      <c r="FF31" s="117" t="str">
        <f>IF(ISNUMBER(FF28),FF28-FH28,"")</f>
        <v/>
      </c>
      <c r="FG31" s="117" t="str">
        <f>IF(ISNUMBER(FG28),FG28-FH28,"")</f>
        <v/>
      </c>
      <c r="FH31" s="118" t="str">
        <f>IF(EZ31&lt;&gt;"",SUM(EZ31:FG31),"")</f>
        <v/>
      </c>
      <c r="FI31" s="133" t="s">
        <v>128</v>
      </c>
      <c r="FJ31" s="134" t="str">
        <f>IF(FJ30&lt;&gt;"",(FQ28-FJ30*FQ26)/FQ29,"")</f>
        <v/>
      </c>
      <c r="FK31" s="133" t="s">
        <v>128</v>
      </c>
      <c r="FL31" s="134" t="str">
        <f>IF(FN30&lt;&gt;"",INTERCEPT(FN30:FN31,FM30:FM31),"")</f>
        <v/>
      </c>
      <c r="FM31" s="116">
        <v>5.08</v>
      </c>
      <c r="FN31" s="116" t="str">
        <f>IF(FJ30&lt;&gt;"",FJ30*FM31^2+FJ31*FM31+FJ32,"")</f>
        <v/>
      </c>
      <c r="FO31" s="138" t="str">
        <f>IF(FR27="","",IF(FR27&gt;0,FU26,""))</f>
        <v/>
      </c>
      <c r="FP31" s="138" t="str">
        <f>IF(FR27="","",IF(FR27&gt;0,FV26,""))</f>
        <v/>
      </c>
      <c r="FQ31" s="139"/>
      <c r="FR31" s="120">
        <v>0</v>
      </c>
      <c r="FS31" s="120" t="str">
        <f>IF(FR27="","",IF(FR27&gt;0,FX27,-1))</f>
        <v/>
      </c>
      <c r="FT31" s="120" t="str">
        <f>IF(FR27="","",IF(FR27&gt;0,FX28,-1))</f>
        <v/>
      </c>
      <c r="FU31" s="120" t="str">
        <f>IF(FR27="","",IF(FR27&gt;0,FT27,-1))</f>
        <v/>
      </c>
      <c r="FV31" s="120" t="str">
        <f>IF(FR27="","",IF(FR27&gt;0,FT27,-1))</f>
        <v/>
      </c>
      <c r="FW31" s="120" t="str">
        <f>IF(FR27="","",IF(FR27&gt;0,FT27,-1))</f>
        <v/>
      </c>
      <c r="FX31" s="120">
        <v>0</v>
      </c>
      <c r="FY31" s="120" t="str">
        <f>IF(FR27="","",IF(FR27&gt;0,FT27,-1))</f>
        <v/>
      </c>
      <c r="FZ31" s="1206"/>
      <c r="GA31" s="124" t="str">
        <f>IF(ISNUMBER(GA28),GA28-GI28,"")</f>
        <v/>
      </c>
      <c r="GB31" s="117" t="str">
        <f>IF(ISNUMBER(GB28),GB28-GI28,"")</f>
        <v/>
      </c>
      <c r="GC31" s="117" t="str">
        <f>IF(ISNUMBER(GC28),GC28-GI28,"")</f>
        <v/>
      </c>
      <c r="GD31" s="117" t="str">
        <f>IF(ISNUMBER(GD28),GD28-GI28,"")</f>
        <v/>
      </c>
      <c r="GE31" s="117" t="str">
        <f>IF(ISNUMBER(GE28),GE28-GI28,"")</f>
        <v/>
      </c>
      <c r="GF31" s="117" t="str">
        <f>IF(ISNUMBER(GF28),GF28-GI28,"")</f>
        <v/>
      </c>
      <c r="GG31" s="117" t="str">
        <f>IF(ISNUMBER(GG28),GG28-GI28,"")</f>
        <v/>
      </c>
      <c r="GH31" s="117" t="str">
        <f>IF(ISNUMBER(GH28),GH28-GI28,"")</f>
        <v/>
      </c>
      <c r="GI31" s="118" t="str">
        <f>IF(GA31&lt;&gt;"",SUM(GA31:GH31),"")</f>
        <v/>
      </c>
      <c r="GJ31" s="133" t="s">
        <v>128</v>
      </c>
      <c r="GK31" s="134" t="str">
        <f>IF(GK30&lt;&gt;"",(GR28-GK30*GR26)/GR29,"")</f>
        <v/>
      </c>
      <c r="GL31" s="133" t="s">
        <v>128</v>
      </c>
      <c r="GM31" s="134" t="str">
        <f>IF(GO30&lt;&gt;"",INTERCEPT(GO30:GO31,GN30:GN31),"")</f>
        <v/>
      </c>
      <c r="GN31" s="116">
        <v>5.08</v>
      </c>
      <c r="GO31" s="116" t="str">
        <f>IF(GK30&lt;&gt;"",GK30*GN31^2+GK31*GN31+GK32,"")</f>
        <v/>
      </c>
      <c r="GP31" s="138" t="str">
        <f>IF(GS27="","",IF(GS27&gt;0,GV26,""))</f>
        <v/>
      </c>
      <c r="GQ31" s="138" t="str">
        <f>IF(GS27="","",IF(GS27&gt;0,GW26,""))</f>
        <v/>
      </c>
      <c r="GR31" s="139"/>
      <c r="GS31" s="120">
        <v>0</v>
      </c>
      <c r="GT31" s="120" t="str">
        <f>IF(GS27="","",IF(GS27&gt;0,GY27,-1))</f>
        <v/>
      </c>
      <c r="GU31" s="120" t="str">
        <f>IF(GS27="","",IF(GS27&gt;0,GY28,-1))</f>
        <v/>
      </c>
      <c r="GV31" s="120" t="str">
        <f>IF(GS27="","",IF(GS27&gt;0,GU27,-1))</f>
        <v/>
      </c>
      <c r="GW31" s="120" t="str">
        <f>IF(GS27="","",IF(GS27&gt;0,GU27,-1))</f>
        <v/>
      </c>
      <c r="GX31" s="120" t="str">
        <f>IF(GS27="","",IF(GS27&gt;0,GU27,-1))</f>
        <v/>
      </c>
      <c r="GY31" s="120">
        <v>0</v>
      </c>
      <c r="GZ31" s="120" t="str">
        <f>IF(GS27="","",IF(GS27&gt;0,GU27,-1))</f>
        <v/>
      </c>
      <c r="HA31" s="1206"/>
      <c r="HB31" s="124" t="str">
        <f>IF(ISNUMBER(HB28),HB28-HJ28,"")</f>
        <v/>
      </c>
      <c r="HC31" s="117" t="str">
        <f>IF(ISNUMBER(HC28),HC28-HJ28,"")</f>
        <v/>
      </c>
      <c r="HD31" s="117" t="str">
        <f>IF(ISNUMBER(HD28),HD28-HJ28,"")</f>
        <v/>
      </c>
      <c r="HE31" s="117" t="str">
        <f>IF(ISNUMBER(HE28),HE28-HJ28,"")</f>
        <v/>
      </c>
      <c r="HF31" s="117" t="str">
        <f>IF(ISNUMBER(HF28),HF28-HJ28,"")</f>
        <v/>
      </c>
      <c r="HG31" s="117" t="str">
        <f>IF(ISNUMBER(HG28),HG28-HJ28,"")</f>
        <v/>
      </c>
      <c r="HH31" s="117" t="str">
        <f>IF(ISNUMBER(HH28),HH28-HJ28,"")</f>
        <v/>
      </c>
      <c r="HI31" s="117" t="str">
        <f>IF(ISNUMBER(HI28),HI28-HJ28,"")</f>
        <v/>
      </c>
      <c r="HJ31" s="118" t="str">
        <f>IF(HB31&lt;&gt;"",SUM(HB31:HI31),"")</f>
        <v/>
      </c>
      <c r="HK31" s="133" t="s">
        <v>128</v>
      </c>
      <c r="HL31" s="134" t="str">
        <f>IF(HL30&lt;&gt;"",(HS28-HL30*HS26)/HS29,"")</f>
        <v/>
      </c>
      <c r="HM31" s="133" t="s">
        <v>128</v>
      </c>
      <c r="HN31" s="134" t="str">
        <f>IF(HP30&lt;&gt;"",INTERCEPT(HP30:HP31,HO30:HO31),"")</f>
        <v/>
      </c>
      <c r="HO31" s="116">
        <v>5.08</v>
      </c>
      <c r="HP31" s="116" t="str">
        <f>IF(HL30&lt;&gt;"",HL30*HO31^2+HL31*HO31+HL32,"")</f>
        <v/>
      </c>
      <c r="HQ31" s="138" t="str">
        <f>IF(HT27="","",IF(HT27&gt;0,HW26,""))</f>
        <v/>
      </c>
      <c r="HR31" s="138" t="str">
        <f>IF(HT27="","",IF(HT27&gt;0,HX26,""))</f>
        <v/>
      </c>
      <c r="HS31" s="139"/>
      <c r="HT31" s="120">
        <v>0</v>
      </c>
      <c r="HU31" s="120" t="str">
        <f>IF(HT27="","",IF(HT27&gt;0,HZ27,-1))</f>
        <v/>
      </c>
      <c r="HV31" s="120" t="str">
        <f>IF(HT27="","",IF(HT27&gt;0,HZ28,-1))</f>
        <v/>
      </c>
      <c r="HW31" s="120" t="str">
        <f>IF(HT27="","",IF(HT27&gt;0,HV27,-1))</f>
        <v/>
      </c>
      <c r="HX31" s="120" t="str">
        <f>IF(HT27="","",IF(HT27&gt;0,HV27,-1))</f>
        <v/>
      </c>
      <c r="HY31" s="120" t="str">
        <f>IF(HT27="","",IF(HT27&gt;0,HV27,-1))</f>
        <v/>
      </c>
      <c r="HZ31" s="120">
        <v>0</v>
      </c>
      <c r="IA31" s="120" t="str">
        <f>IF(HT27="","",IF(HT27&gt;0,HV27,-1))</f>
        <v/>
      </c>
      <c r="IB31" s="1206"/>
      <c r="IC31" s="124" t="str">
        <f>IF(ISNUMBER(IC28),IC28-IK28,"")</f>
        <v/>
      </c>
      <c r="ID31" s="117" t="str">
        <f>IF(ISNUMBER(ID28),ID28-IK28,"")</f>
        <v/>
      </c>
      <c r="IE31" s="117" t="str">
        <f>IF(ISNUMBER(IE28),IE28-IK28,"")</f>
        <v/>
      </c>
      <c r="IF31" s="117" t="str">
        <f>IF(ISNUMBER(IF28),IF28-IK28,"")</f>
        <v/>
      </c>
      <c r="IG31" s="117" t="str">
        <f>IF(ISNUMBER(IG28),IG28-IK28,"")</f>
        <v/>
      </c>
      <c r="IH31" s="117" t="str">
        <f>IF(ISNUMBER(IH28),IH28-IK28,"")</f>
        <v/>
      </c>
      <c r="II31" s="117" t="str">
        <f>IF(ISNUMBER(II28),II28-IK28,"")</f>
        <v/>
      </c>
      <c r="IJ31" s="117" t="str">
        <f>IF(ISNUMBER(IJ28),IJ28-IK28,"")</f>
        <v/>
      </c>
      <c r="IK31" s="118" t="str">
        <f>IF(IC31&lt;&gt;"",SUM(IC31:IJ31),"")</f>
        <v/>
      </c>
      <c r="IL31" s="133" t="s">
        <v>128</v>
      </c>
      <c r="IM31" s="134" t="str">
        <f>IF(IM30&lt;&gt;"",(IT28-IM30*IT26)/IT29,"")</f>
        <v/>
      </c>
      <c r="IN31" s="133" t="s">
        <v>128</v>
      </c>
      <c r="IO31" s="134" t="str">
        <f>IF(IQ30&lt;&gt;"",INTERCEPT(IQ30:IQ31,IP30:IP31),"")</f>
        <v/>
      </c>
      <c r="IP31" s="116">
        <v>5.08</v>
      </c>
      <c r="IQ31" s="116" t="str">
        <f>IF(IM30&lt;&gt;"",IM30*IP31^2+IM31*IP31+IM32,"")</f>
        <v/>
      </c>
      <c r="IR31" s="138" t="str">
        <f>IF(IU27="","",IF(IU27&gt;0,IX26,""))</f>
        <v/>
      </c>
      <c r="IS31" s="138" t="str">
        <f>IF(IU27="","",IF(IU27&gt;0,IY26,""))</f>
        <v/>
      </c>
      <c r="IT31" s="139"/>
      <c r="IU31" s="120">
        <v>0</v>
      </c>
      <c r="IV31" s="120" t="str">
        <f>IF(IU27="","",IF(IU27&gt;0,JA27,-1))</f>
        <v/>
      </c>
      <c r="IW31" s="120" t="str">
        <f>IF(IU27="","",IF(IU27&gt;0,JA28,-1))</f>
        <v/>
      </c>
      <c r="IX31" s="120" t="str">
        <f>IF(IU27="","",IF(IU27&gt;0,IW27,-1))</f>
        <v/>
      </c>
      <c r="IY31" s="120" t="str">
        <f>IF(IU27="","",IF(IU27&gt;0,IW27,-1))</f>
        <v/>
      </c>
      <c r="IZ31" s="120" t="str">
        <f>IF(IU27="","",IF(IU27&gt;0,IW27,-1))</f>
        <v/>
      </c>
      <c r="JA31" s="120">
        <v>0</v>
      </c>
      <c r="JB31" s="120" t="str">
        <f>IF(IU27="","",IF(IU27&gt;0,IW27,-1))</f>
        <v/>
      </c>
      <c r="JC31" s="1206"/>
      <c r="JD31" s="150" t="str">
        <f t="shared" si="249"/>
        <v/>
      </c>
      <c r="JE31" s="88" t="str">
        <f t="shared" ref="JE31:JJ31" si="311">IF(ISNUMBER(JE28),JE28-$JK28,"")</f>
        <v/>
      </c>
      <c r="JF31" s="88">
        <f t="shared" si="311"/>
        <v>-9.7602638120912986E-4</v>
      </c>
      <c r="JG31" s="88">
        <f t="shared" si="311"/>
        <v>-6.7601205190148759E-5</v>
      </c>
      <c r="JH31" s="88">
        <f t="shared" si="311"/>
        <v>1.0436275863992782E-3</v>
      </c>
      <c r="JI31" s="88" t="str">
        <f t="shared" si="311"/>
        <v/>
      </c>
      <c r="JJ31" s="88" t="str">
        <f t="shared" si="311"/>
        <v/>
      </c>
      <c r="JK31" s="89"/>
      <c r="JL31" s="73"/>
      <c r="JM31" s="73"/>
      <c r="JN31" s="73"/>
      <c r="JO31" s="73"/>
      <c r="JP31" s="73"/>
      <c r="JQ31" s="73"/>
      <c r="JR31" s="73"/>
      <c r="JS31" s="90"/>
      <c r="JT31" s="1207"/>
      <c r="JU31" s="123" t="str">
        <f>IF(T32&lt;&gt;0,LOOKUP(T32,Tara!$G$6:$G$185,Tara!$J$6:$J$185)/10,"")</f>
        <v/>
      </c>
      <c r="JV31" s="116" t="str">
        <f t="shared" si="251"/>
        <v/>
      </c>
      <c r="JW31" s="155" t="str">
        <f t="shared" si="252"/>
        <v/>
      </c>
      <c r="JX31" s="88" t="str">
        <f t="shared" ref="JX31:KC31" si="312">IF(ISNUMBER(JX28),JX28-$JK28,"")</f>
        <v/>
      </c>
      <c r="JY31" s="88">
        <f t="shared" si="312"/>
        <v>-9.7602638120912986E-4</v>
      </c>
      <c r="JZ31" s="88">
        <f t="shared" si="312"/>
        <v>-6.7601205190148759E-5</v>
      </c>
      <c r="KA31" s="88">
        <f t="shared" si="312"/>
        <v>1.0436275863992782E-3</v>
      </c>
      <c r="KB31" s="88" t="str">
        <f t="shared" si="312"/>
        <v/>
      </c>
      <c r="KC31" s="88" t="str">
        <f t="shared" si="312"/>
        <v/>
      </c>
      <c r="KD31" s="89"/>
      <c r="KE31" s="73"/>
      <c r="KF31" s="73"/>
      <c r="KG31" s="73"/>
      <c r="KH31" s="73"/>
      <c r="KI31" s="73"/>
      <c r="KJ31" s="73"/>
      <c r="KK31" s="73"/>
      <c r="KL31" s="90"/>
      <c r="KM31" s="1207"/>
      <c r="KN31" s="171" t="str">
        <f>IF(KN29&lt;&gt;"",INDEX(LOGEST(KN30:KR30,KN29:KR29),2),"")</f>
        <v/>
      </c>
      <c r="KO31" s="172" t="str">
        <f>IF(KN32&lt;&gt;"",LN(KN32),"")</f>
        <v/>
      </c>
      <c r="KP31" s="138"/>
      <c r="KQ31" s="176" t="str">
        <f>IF(KN31&lt;&gt;"",LN(25/KN31)/KO31,"NP")</f>
        <v>NP</v>
      </c>
      <c r="KR31" s="1206"/>
      <c r="KS31" s="185" t="str">
        <f>IF(KS30&lt;&gt;"",5%*KS30,"")</f>
        <v/>
      </c>
      <c r="KT31" s="176" t="str">
        <f>IF(KS30&lt;&gt;"",KS30+KS31,"")</f>
        <v/>
      </c>
      <c r="KU31" s="188" t="str">
        <f>IF(KQ31&lt;&gt;"NP",KQ31-KW31,"NP")</f>
        <v>NP</v>
      </c>
      <c r="KV31" s="176" t="str">
        <f>IF(KV30&lt;&gt;"",KV30-5%*KV30,"")</f>
        <v/>
      </c>
      <c r="KW31" s="176" t="str">
        <f>IF(KV30&lt;&gt;"",KV30,"NP")</f>
        <v>NP</v>
      </c>
      <c r="KX31" s="1275"/>
      <c r="KY31" s="190"/>
      <c r="KZ31" s="1208"/>
      <c r="LA31" s="201"/>
      <c r="LB31" s="138"/>
      <c r="LC31" s="138"/>
      <c r="LD31" s="138"/>
      <c r="LE31" s="138"/>
      <c r="LF31" s="138"/>
      <c r="LG31" s="138"/>
      <c r="LH31" s="138"/>
      <c r="LI31" s="138"/>
      <c r="LJ31" s="138"/>
      <c r="LK31" s="138"/>
      <c r="LL31" s="138"/>
      <c r="LM31" s="1206"/>
      <c r="LN31" s="163"/>
      <c r="LO31" s="164"/>
      <c r="LP31" s="164"/>
      <c r="LQ31" s="164"/>
      <c r="LR31" s="1209"/>
      <c r="LS31" s="216">
        <v>40</v>
      </c>
      <c r="LT31" s="144">
        <f>IF(LL30&lt;&gt;"",LL30*100,"")</f>
        <v>40.625517113271478</v>
      </c>
      <c r="LU31" s="1288" t="s">
        <v>129</v>
      </c>
      <c r="LV31" s="1288"/>
      <c r="LW31" s="222" t="s">
        <v>130</v>
      </c>
      <c r="LX31" s="222"/>
      <c r="LY31" s="199" t="b">
        <f>IF(LH32&lt;LL32,"NP",AND(LU32&lt;=8,LO32&lt;=10,LH32&lt;=40,LT32&gt;35))</f>
        <v>0</v>
      </c>
      <c r="LZ31" s="199" t="b">
        <f>IF(LH32&lt;LL32,"NP",AND(LU32&lt;=12,LO32&lt;=10,LH32&gt;40,LT32&gt;35))</f>
        <v>0</v>
      </c>
      <c r="MA31" s="199" t="b">
        <f>IF(LH32&lt;LL32,"NP",AND(LU32&lt;=16,LO32&gt;10,LH32&lt;=40,LT32&gt;35))</f>
        <v>0</v>
      </c>
      <c r="MB31" s="199" t="b">
        <f>IF(LH32&lt;LL32,"NP",AND(LU32&lt;=20,LO32&gt;10,LH32&gt;40,LT32&gt;35,LO32&lt;=LH32-30))</f>
        <v>0</v>
      </c>
      <c r="MC31" s="199" t="b">
        <f>IF(LH32&lt;LL32,"NP",AND(LU32&lt;=20,LO32&gt;10,LH32&gt;40,LS32&gt;35,LO32&gt;LH32-30))</f>
        <v>0</v>
      </c>
      <c r="MD31" s="199"/>
      <c r="ME31" s="1200"/>
      <c r="MF31" s="700"/>
      <c r="MG31" s="701"/>
      <c r="MH31" s="701"/>
      <c r="MI31" s="701"/>
      <c r="MJ31" s="701"/>
      <c r="MK31" s="701"/>
      <c r="ML31" s="701"/>
      <c r="MM31" s="701"/>
      <c r="MN31" s="701"/>
      <c r="MO31" s="701"/>
      <c r="MP31" s="701"/>
      <c r="MQ31" s="701"/>
      <c r="MR31" s="701"/>
      <c r="MS31" s="701"/>
      <c r="MT31" s="701"/>
      <c r="MU31" s="701"/>
      <c r="MV31" s="701"/>
      <c r="MW31" s="701"/>
      <c r="MX31" s="701"/>
      <c r="MY31" s="701"/>
      <c r="MZ31" s="701"/>
      <c r="NA31" s="701"/>
      <c r="NB31" s="701"/>
      <c r="NC31" s="701"/>
      <c r="ND31" s="701"/>
      <c r="NE31" s="701"/>
      <c r="NF31" s="701"/>
      <c r="NG31" s="701"/>
      <c r="NH31" s="701"/>
      <c r="NI31" s="701"/>
      <c r="NJ31" s="701"/>
      <c r="NK31" s="701"/>
      <c r="NL31" s="701"/>
      <c r="NM31" s="701"/>
      <c r="NN31" s="701"/>
      <c r="NO31" s="701"/>
      <c r="NP31" s="701"/>
      <c r="NQ31" s="701"/>
      <c r="NR31" s="701"/>
      <c r="NS31" s="701"/>
      <c r="NT31" s="701"/>
      <c r="NU31" s="701"/>
      <c r="NV31" s="701"/>
      <c r="NW31" s="701"/>
      <c r="NX31" s="701"/>
      <c r="NY31" s="701"/>
      <c r="NZ31" s="701"/>
      <c r="OA31" s="701"/>
      <c r="OB31" s="701"/>
      <c r="OC31" s="701"/>
      <c r="OD31" s="1189"/>
      <c r="OE31" s="701"/>
    </row>
    <row r="32" spans="1:1378" ht="15" hidden="1" customHeight="1" thickBot="1" x14ac:dyDescent="0.35">
      <c r="A32" s="1338"/>
      <c r="B32" s="504" t="s">
        <v>131</v>
      </c>
      <c r="C32" s="666"/>
      <c r="D32" s="1364"/>
      <c r="E32" s="1365"/>
      <c r="F32" s="1371"/>
      <c r="G32" s="493" t="s">
        <v>132</v>
      </c>
      <c r="H32" s="505" t="s">
        <v>59</v>
      </c>
      <c r="I32" s="506" t="s">
        <v>133</v>
      </c>
      <c r="J32" s="507">
        <v>10055</v>
      </c>
      <c r="K32" s="507">
        <v>10090</v>
      </c>
      <c r="L32" s="507">
        <v>10282</v>
      </c>
      <c r="M32" s="507">
        <v>10073</v>
      </c>
      <c r="N32" s="507">
        <v>10340</v>
      </c>
      <c r="O32" s="507"/>
      <c r="P32" s="508" t="s">
        <v>134</v>
      </c>
      <c r="Q32" s="509">
        <v>0.4133</v>
      </c>
      <c r="R32" s="508" t="s">
        <v>133</v>
      </c>
      <c r="S32" s="510"/>
      <c r="T32" s="511"/>
      <c r="U32" s="512"/>
      <c r="V32" s="513"/>
      <c r="W32" s="513"/>
      <c r="X32" s="513"/>
      <c r="Y32" s="513"/>
      <c r="Z32" s="514"/>
      <c r="AA32" s="514"/>
      <c r="AB32" s="514"/>
      <c r="AC32" s="514"/>
      <c r="AD32" s="515"/>
      <c r="AE32" s="515"/>
      <c r="AF32" s="515"/>
      <c r="AG32" s="515"/>
      <c r="AH32" s="515"/>
      <c r="AI32" s="515"/>
      <c r="AJ32" s="515"/>
      <c r="AK32" s="516"/>
      <c r="AL32" s="1386"/>
      <c r="AM32" s="517" t="s">
        <v>61</v>
      </c>
      <c r="AN32" s="518"/>
      <c r="AO32" s="518"/>
      <c r="AP32" s="518"/>
      <c r="AQ32" s="518"/>
      <c r="AR32" s="519"/>
      <c r="AS32" s="1368"/>
      <c r="AT32" s="1296"/>
      <c r="AU32" s="1297"/>
      <c r="AV32" s="1299"/>
      <c r="AW32" s="520" t="s">
        <v>135</v>
      </c>
      <c r="AX32" s="521"/>
      <c r="AY32" s="1299"/>
      <c r="AZ32" s="520" t="s">
        <v>135</v>
      </c>
      <c r="BA32" s="522"/>
      <c r="BB32" s="1303"/>
      <c r="BC32" s="1304"/>
      <c r="BD32" s="1304"/>
      <c r="BE32" s="1304"/>
      <c r="BF32" s="1304"/>
      <c r="BG32" s="1304"/>
      <c r="BH32" s="1304"/>
      <c r="BI32" s="1304"/>
      <c r="BJ32" s="1304"/>
      <c r="BK32" s="1305"/>
      <c r="BL32" s="1293"/>
      <c r="BM32" s="1308"/>
      <c r="BN32" s="91" t="s">
        <v>136</v>
      </c>
      <c r="BO32" s="92">
        <f>IF(J26&lt;&gt;"",BO31/Q30,"")</f>
        <v>2.2857142857142857E-2</v>
      </c>
      <c r="BP32" s="93">
        <f>IF(AND(ISNUMBER(BW31),ISNUMBER(BO32),BW31&lt;&gt;0),BO32+BW31,"")</f>
        <v>3.2857142857142856E-2</v>
      </c>
      <c r="BQ32" s="93">
        <f>IF(AND(ISNUMBER(BW31),ISNUMBER(BP32),BW31&lt;&gt;0),BP32+BW31,"")</f>
        <v>4.2857142857142858E-2</v>
      </c>
      <c r="BR32" s="93">
        <f>IF(AND(ISNUMBER(BW31),ISNUMBER(BQ32),BW31&lt;&gt;0),BQ32+BW31,"")</f>
        <v>5.2857142857142859E-2</v>
      </c>
      <c r="BS32" s="93">
        <f>IF(AND(ISNUMBER(BW31),ISNUMBER(BR32),BW31&lt;&gt;0),BR32+BW31,"")</f>
        <v>6.2857142857142861E-2</v>
      </c>
      <c r="BT32" s="93">
        <f>IF(AND(ISNUMBER(BW31),ISNUMBER(BS32),BW31&lt;&gt;0),BS32+BW31,"")</f>
        <v>7.2857142857142856E-2</v>
      </c>
      <c r="BU32" s="109" t="s">
        <v>137</v>
      </c>
      <c r="BV32" s="109"/>
      <c r="BW32" s="94">
        <f>IF(ISNUMBER(Q30),Q30/(BW26+1),"")</f>
        <v>6951.4466043050388</v>
      </c>
      <c r="BX32" s="95"/>
      <c r="BY32" s="96">
        <f t="shared" ref="BY32:CD32" si="313">IF(BY30&lt;&gt;"",BY30/(1+BY31),"")</f>
        <v>2110.0853742694967</v>
      </c>
      <c r="BZ32" s="96">
        <f t="shared" si="313"/>
        <v>2183.5657499217118</v>
      </c>
      <c r="CA32" s="96">
        <f t="shared" si="313"/>
        <v>2289.765027721558</v>
      </c>
      <c r="CB32" s="96">
        <f t="shared" si="313"/>
        <v>2273.7979959345384</v>
      </c>
      <c r="CC32" s="96">
        <f t="shared" si="313"/>
        <v>2158.572335759869</v>
      </c>
      <c r="CD32" s="96" t="str">
        <f t="shared" si="313"/>
        <v/>
      </c>
      <c r="CE32" s="97"/>
      <c r="CF32" s="97"/>
      <c r="CG32" s="97"/>
      <c r="CH32" s="97"/>
      <c r="CI32" s="97"/>
      <c r="CJ32" s="98" t="str">
        <f>IF(ISNUMBER(CJ29),CJ29^2,"")</f>
        <v/>
      </c>
      <c r="CK32" s="98"/>
      <c r="CL32" s="99" t="s">
        <v>101</v>
      </c>
      <c r="CM32" s="100">
        <f>(CR28*CR30-CR29*CR26)/(CR30^2-CR27*CR26)</f>
        <v>-351908.61847551464</v>
      </c>
      <c r="CN32" s="99" t="s">
        <v>102</v>
      </c>
      <c r="CO32" s="101">
        <f>(CR29-CM32*CR27)/CR30</f>
        <v>37149.269062796782</v>
      </c>
      <c r="CP32" s="99" t="s">
        <v>103</v>
      </c>
      <c r="CQ32" s="100">
        <f>CK27-CO32*CK26-CM32*CK28</f>
        <v>1296.5643470480115</v>
      </c>
      <c r="CR32" s="98"/>
      <c r="CS32" s="99"/>
      <c r="CT32" s="101"/>
      <c r="CU32" s="106" t="str">
        <f>IF(S32&lt;&gt;0,S32-CU30,"")</f>
        <v/>
      </c>
      <c r="CV32" s="1281"/>
      <c r="CW32" s="1283"/>
      <c r="CX32" s="127" t="str">
        <f>IF(ISNUMBER(CX29),CX29^2,"")</f>
        <v/>
      </c>
      <c r="CY32" s="128" t="str">
        <f t="shared" ref="CY32:DE32" si="314">IF(ISNUMBER(CY29),CY29^2,"")</f>
        <v/>
      </c>
      <c r="CZ32" s="128" t="str">
        <f t="shared" si="314"/>
        <v/>
      </c>
      <c r="DA32" s="128" t="str">
        <f t="shared" si="314"/>
        <v/>
      </c>
      <c r="DB32" s="128" t="str">
        <f t="shared" si="314"/>
        <v/>
      </c>
      <c r="DC32" s="128" t="str">
        <f t="shared" si="314"/>
        <v/>
      </c>
      <c r="DD32" s="128" t="str">
        <f t="shared" si="314"/>
        <v/>
      </c>
      <c r="DE32" s="128" t="str">
        <f t="shared" si="314"/>
        <v/>
      </c>
      <c r="DF32" s="281" t="str">
        <f>IF(CX32&lt;&gt;"",SUM(CX32:DE32),"")</f>
        <v/>
      </c>
      <c r="DG32" s="135" t="s">
        <v>138</v>
      </c>
      <c r="DH32" s="136" t="str">
        <f>IF(DH30&lt;&gt;"",DF27-DH31*DF26-DH30*DF28,"")</f>
        <v/>
      </c>
      <c r="DI32" s="135"/>
      <c r="DJ32" s="140"/>
      <c r="DK32" s="140"/>
      <c r="DL32" s="140"/>
      <c r="DM32" s="142" t="str">
        <f>IF(DP27="","",IF(DP27&gt;0,DM31/70.31,""))</f>
        <v/>
      </c>
      <c r="DN32" s="142" t="str">
        <f>IF(DP27="","",IF(DP27&gt;0,DN31/105.46,""))</f>
        <v/>
      </c>
      <c r="DO32" s="140"/>
      <c r="DP32" s="135">
        <v>2.54</v>
      </c>
      <c r="DQ32" s="142" t="str">
        <f>IF(DA27&lt;&gt;"",DA27/70.31,"")</f>
        <v/>
      </c>
      <c r="DR32" s="135">
        <v>5.08</v>
      </c>
      <c r="DS32" s="142" t="str">
        <f>IF(DC27&lt;&gt;"",DC27/105.46,"")</f>
        <v/>
      </c>
      <c r="DT32" s="227" t="str">
        <f>IF(DV32&lt;&gt;"",MAX(DV32,DX32),"")</f>
        <v/>
      </c>
      <c r="DU32" s="143">
        <v>2.54</v>
      </c>
      <c r="DV32" s="146" t="str">
        <f>IF(DA27&lt;&gt;"",MAX(DM32,DQ32)*100,"")</f>
        <v/>
      </c>
      <c r="DW32" s="143">
        <v>5.08</v>
      </c>
      <c r="DX32" s="147" t="str">
        <f>IF(DC27&lt;&gt;"",MAX(DN32,DS32)*100,"")</f>
        <v/>
      </c>
      <c r="DY32" s="127" t="str">
        <f>IF(ISNUMBER(DY29),DY29^2,"")</f>
        <v/>
      </c>
      <c r="DZ32" s="128" t="str">
        <f t="shared" ref="DZ32:EF32" si="315">IF(ISNUMBER(DZ29),DZ29^2,"")</f>
        <v/>
      </c>
      <c r="EA32" s="128" t="str">
        <f t="shared" si="315"/>
        <v/>
      </c>
      <c r="EB32" s="128" t="str">
        <f t="shared" si="315"/>
        <v/>
      </c>
      <c r="EC32" s="128" t="str">
        <f t="shared" si="315"/>
        <v/>
      </c>
      <c r="ED32" s="128" t="str">
        <f t="shared" si="315"/>
        <v/>
      </c>
      <c r="EE32" s="128" t="str">
        <f t="shared" si="315"/>
        <v/>
      </c>
      <c r="EF32" s="128" t="str">
        <f t="shared" si="315"/>
        <v/>
      </c>
      <c r="EG32" s="129" t="str">
        <f>IF(DY32&lt;&gt;"",SUM(DY32:EF32),"")</f>
        <v/>
      </c>
      <c r="EH32" s="135" t="s">
        <v>138</v>
      </c>
      <c r="EI32" s="136" t="str">
        <f>IF(EI30&lt;&gt;"",EG27-EI31*EG26-EI30*EG28,"")</f>
        <v/>
      </c>
      <c r="EJ32" s="135"/>
      <c r="EK32" s="140"/>
      <c r="EL32" s="140"/>
      <c r="EM32" s="140"/>
      <c r="EN32" s="141" t="str">
        <f>IF(EQ27="","",IF(EQ27&gt;0,EN31/70.31,""))</f>
        <v/>
      </c>
      <c r="EO32" s="141" t="str">
        <f>IF(EQ27="","",IF(EQ27&gt;0,EO31/105.46,""))</f>
        <v/>
      </c>
      <c r="EP32" s="140"/>
      <c r="EQ32" s="135">
        <v>2.54</v>
      </c>
      <c r="ER32" s="142" t="str">
        <f>IF(EB27&lt;&gt;"",EB27/70.31,"")</f>
        <v/>
      </c>
      <c r="ES32" s="135">
        <v>5.08</v>
      </c>
      <c r="ET32" s="142" t="str">
        <f>IF(ED27&lt;&gt;"",ED27/105.46,"")</f>
        <v/>
      </c>
      <c r="EU32" s="227" t="str">
        <f>IF(EW32&lt;&gt;"",MAX(EW32,EY32),"")</f>
        <v/>
      </c>
      <c r="EV32" s="143">
        <v>2.54</v>
      </c>
      <c r="EW32" s="146" t="str">
        <f>IF(EB27&lt;&gt;"",MAX(EN32,ER32)*100,"")</f>
        <v/>
      </c>
      <c r="EX32" s="143">
        <v>5.08</v>
      </c>
      <c r="EY32" s="147" t="str">
        <f>IF(ED27&lt;&gt;"",MAX(EO32,ET32)*100,"")</f>
        <v/>
      </c>
      <c r="EZ32" s="127" t="str">
        <f>IF(ISNUMBER(EZ29),EZ29^2,"")</f>
        <v/>
      </c>
      <c r="FA32" s="128" t="str">
        <f t="shared" ref="FA32:FG32" si="316">IF(ISNUMBER(FA29),FA29^2,"")</f>
        <v/>
      </c>
      <c r="FB32" s="128" t="str">
        <f t="shared" si="316"/>
        <v/>
      </c>
      <c r="FC32" s="128" t="str">
        <f t="shared" si="316"/>
        <v/>
      </c>
      <c r="FD32" s="128" t="str">
        <f t="shared" si="316"/>
        <v/>
      </c>
      <c r="FE32" s="128" t="str">
        <f t="shared" si="316"/>
        <v/>
      </c>
      <c r="FF32" s="128" t="str">
        <f t="shared" si="316"/>
        <v/>
      </c>
      <c r="FG32" s="128" t="str">
        <f t="shared" si="316"/>
        <v/>
      </c>
      <c r="FH32" s="129" t="str">
        <f>IF(EZ32&lt;&gt;"",SUM(EZ32:FG32),"")</f>
        <v/>
      </c>
      <c r="FI32" s="135" t="s">
        <v>138</v>
      </c>
      <c r="FJ32" s="136" t="str">
        <f>IF(FJ30&lt;&gt;"",FH27-FJ31*FH26-FJ30*FH28,"")</f>
        <v/>
      </c>
      <c r="FK32" s="135"/>
      <c r="FL32" s="140"/>
      <c r="FM32" s="140"/>
      <c r="FN32" s="140"/>
      <c r="FO32" s="141" t="str">
        <f>IF(FR27="","",IF(FR27&gt;0,FO31/70.31,""))</f>
        <v/>
      </c>
      <c r="FP32" s="141" t="str">
        <f>IF(FR27="","",IF(FR27&gt;0,FP31/105.46,""))</f>
        <v/>
      </c>
      <c r="FQ32" s="140"/>
      <c r="FR32" s="135">
        <v>2.54</v>
      </c>
      <c r="FS32" s="142" t="str">
        <f>IF(FC27&lt;&gt;"",FC27/70.31,"")</f>
        <v/>
      </c>
      <c r="FT32" s="135">
        <v>5.08</v>
      </c>
      <c r="FU32" s="142" t="str">
        <f>IF(FE27&lt;&gt;"",FE27/105.46,"")</f>
        <v/>
      </c>
      <c r="FV32" s="227" t="str">
        <f>IF(FX32&lt;&gt;"",MAX(FX32,FZ32),"")</f>
        <v/>
      </c>
      <c r="FW32" s="143">
        <v>2.54</v>
      </c>
      <c r="FX32" s="146" t="str">
        <f>IF(FC27&lt;&gt;"",MAX(FO32,FS32)*100,"")</f>
        <v/>
      </c>
      <c r="FY32" s="143">
        <v>5.08</v>
      </c>
      <c r="FZ32" s="147" t="str">
        <f>IF(FE27&lt;&gt;"",MAX(FP32,FU32)*100,"")</f>
        <v/>
      </c>
      <c r="GA32" s="127" t="str">
        <f>IF(ISNUMBER(GA29),GA29^2,"")</f>
        <v/>
      </c>
      <c r="GB32" s="128" t="str">
        <f t="shared" ref="GB32:GH32" si="317">IF(ISNUMBER(GB29),GB29^2,"")</f>
        <v/>
      </c>
      <c r="GC32" s="128" t="str">
        <f t="shared" si="317"/>
        <v/>
      </c>
      <c r="GD32" s="128" t="str">
        <f t="shared" si="317"/>
        <v/>
      </c>
      <c r="GE32" s="128" t="str">
        <f t="shared" si="317"/>
        <v/>
      </c>
      <c r="GF32" s="128" t="str">
        <f t="shared" si="317"/>
        <v/>
      </c>
      <c r="GG32" s="128" t="str">
        <f t="shared" si="317"/>
        <v/>
      </c>
      <c r="GH32" s="128" t="str">
        <f t="shared" si="317"/>
        <v/>
      </c>
      <c r="GI32" s="129" t="str">
        <f>IF(GA32&lt;&gt;"",SUM(GA32:GH32),"")</f>
        <v/>
      </c>
      <c r="GJ32" s="135" t="s">
        <v>138</v>
      </c>
      <c r="GK32" s="136" t="str">
        <f>IF(GK30&lt;&gt;"",GI27-GK31*GI26-GK30*GI28,"")</f>
        <v/>
      </c>
      <c r="GL32" s="135"/>
      <c r="GM32" s="140"/>
      <c r="GN32" s="140"/>
      <c r="GO32" s="140"/>
      <c r="GP32" s="141" t="str">
        <f>IF(GS27="","",IF(GS27&gt;0,GP31/70.31,""))</f>
        <v/>
      </c>
      <c r="GQ32" s="141" t="str">
        <f>IF(GS27="","",IF(GS27&gt;0,GQ31/105.46,""))</f>
        <v/>
      </c>
      <c r="GR32" s="140"/>
      <c r="GS32" s="135">
        <v>2.54</v>
      </c>
      <c r="GT32" s="142" t="str">
        <f>IF(GD27&lt;&gt;"",GD27/70.31,"")</f>
        <v/>
      </c>
      <c r="GU32" s="135">
        <v>5.08</v>
      </c>
      <c r="GV32" s="142" t="str">
        <f>IF(GF27&lt;&gt;"",GF27/105.46,"")</f>
        <v/>
      </c>
      <c r="GW32" s="227" t="str">
        <f>IF(GY32&lt;&gt;"",MAX(GY32,HA32),"")</f>
        <v/>
      </c>
      <c r="GX32" s="143">
        <v>2.54</v>
      </c>
      <c r="GY32" s="146" t="str">
        <f>IF(GD27&lt;&gt;"",MAX(GP32,GT32)*100,"")</f>
        <v/>
      </c>
      <c r="GZ32" s="143">
        <v>5.08</v>
      </c>
      <c r="HA32" s="147" t="str">
        <f>IF(GF27&lt;&gt;"",MAX(GQ32,GV32)*100,"")</f>
        <v/>
      </c>
      <c r="HB32" s="127" t="str">
        <f>IF(ISNUMBER(HB29),HB29^2,"")</f>
        <v/>
      </c>
      <c r="HC32" s="128" t="str">
        <f t="shared" ref="HC32:HI32" si="318">IF(ISNUMBER(HC29),HC29^2,"")</f>
        <v/>
      </c>
      <c r="HD32" s="128" t="str">
        <f t="shared" si="318"/>
        <v/>
      </c>
      <c r="HE32" s="128" t="str">
        <f t="shared" si="318"/>
        <v/>
      </c>
      <c r="HF32" s="128" t="str">
        <f t="shared" si="318"/>
        <v/>
      </c>
      <c r="HG32" s="128" t="str">
        <f t="shared" si="318"/>
        <v/>
      </c>
      <c r="HH32" s="128" t="str">
        <f t="shared" si="318"/>
        <v/>
      </c>
      <c r="HI32" s="128" t="str">
        <f t="shared" si="318"/>
        <v/>
      </c>
      <c r="HJ32" s="129" t="str">
        <f>IF(HB32&lt;&gt;"",SUM(HB32:HI32),"")</f>
        <v/>
      </c>
      <c r="HK32" s="135" t="s">
        <v>138</v>
      </c>
      <c r="HL32" s="136" t="str">
        <f>IF(HL30&lt;&gt;"",HJ27-HL31*HJ26-HL30*HJ28,"")</f>
        <v/>
      </c>
      <c r="HM32" s="135"/>
      <c r="HN32" s="140"/>
      <c r="HO32" s="140"/>
      <c r="HP32" s="140"/>
      <c r="HQ32" s="141" t="str">
        <f>IF(HT27="","",IF(HT27&gt;0,HQ31/70.31,""))</f>
        <v/>
      </c>
      <c r="HR32" s="141" t="str">
        <f>IF(HT27="","",IF(HT27&gt;0,HR31/105.46,""))</f>
        <v/>
      </c>
      <c r="HS32" s="140"/>
      <c r="HT32" s="135">
        <v>2.54</v>
      </c>
      <c r="HU32" s="142" t="str">
        <f>IF(HE27&lt;&gt;"",HE27/70.31,"")</f>
        <v/>
      </c>
      <c r="HV32" s="135">
        <v>5.08</v>
      </c>
      <c r="HW32" s="142" t="str">
        <f>IF(HG27&lt;&gt;"",HG27/105.46,"")</f>
        <v/>
      </c>
      <c r="HX32" s="227" t="str">
        <f>IF(HZ32&lt;&gt;"",MAX(HZ32,IB32),"")</f>
        <v/>
      </c>
      <c r="HY32" s="143">
        <v>2.54</v>
      </c>
      <c r="HZ32" s="146" t="str">
        <f>IF(HE27&lt;&gt;"",MAX(HQ32,HU32)*100,"")</f>
        <v/>
      </c>
      <c r="IA32" s="143">
        <v>5.08</v>
      </c>
      <c r="IB32" s="147" t="str">
        <f>IF(HG27&lt;&gt;"",MAX(HR32,HW32)*100,"")</f>
        <v/>
      </c>
      <c r="IC32" s="127" t="str">
        <f>IF(ISNUMBER(IC29),IC29^2,"")</f>
        <v/>
      </c>
      <c r="ID32" s="128" t="str">
        <f t="shared" ref="ID32:IJ32" si="319">IF(ISNUMBER(ID29),ID29^2,"")</f>
        <v/>
      </c>
      <c r="IE32" s="128" t="str">
        <f t="shared" si="319"/>
        <v/>
      </c>
      <c r="IF32" s="128" t="str">
        <f t="shared" si="319"/>
        <v/>
      </c>
      <c r="IG32" s="128" t="str">
        <f t="shared" si="319"/>
        <v/>
      </c>
      <c r="IH32" s="128" t="str">
        <f t="shared" si="319"/>
        <v/>
      </c>
      <c r="II32" s="128" t="str">
        <f t="shared" si="319"/>
        <v/>
      </c>
      <c r="IJ32" s="128" t="str">
        <f t="shared" si="319"/>
        <v/>
      </c>
      <c r="IK32" s="129" t="str">
        <f>IF(IC32&lt;&gt;"",SUM(IC32:IJ32),"")</f>
        <v/>
      </c>
      <c r="IL32" s="135" t="s">
        <v>138</v>
      </c>
      <c r="IM32" s="136" t="str">
        <f>IF(IM30&lt;&gt;"",IK27-IM31*IK26-IM30*IK28,"")</f>
        <v/>
      </c>
      <c r="IN32" s="135"/>
      <c r="IO32" s="140"/>
      <c r="IP32" s="140"/>
      <c r="IQ32" s="140"/>
      <c r="IR32" s="141" t="str">
        <f>IF(IU27="","",IF(IU27&gt;0,IR31/70.31,""))</f>
        <v/>
      </c>
      <c r="IS32" s="141" t="str">
        <f>IF(IU27="","",IF(IU27&gt;0,IS31/105.46,""))</f>
        <v/>
      </c>
      <c r="IT32" s="140"/>
      <c r="IU32" s="135">
        <v>2.54</v>
      </c>
      <c r="IV32" s="142" t="str">
        <f>IF(IF27&lt;&gt;"",IF27/70.31,"")</f>
        <v/>
      </c>
      <c r="IW32" s="135">
        <v>5.08</v>
      </c>
      <c r="IX32" s="142" t="str">
        <f>IF(IH27&lt;&gt;"",IH27/105.46,"")</f>
        <v/>
      </c>
      <c r="IY32" s="227" t="str">
        <f>IF(JA32&lt;&gt;"",MAX(JA32,JC32),"")</f>
        <v/>
      </c>
      <c r="IZ32" s="143">
        <v>2.54</v>
      </c>
      <c r="JA32" s="146" t="str">
        <f>IF(IF27&lt;&gt;"",MAX(IR32,IV32)*100,"")</f>
        <v/>
      </c>
      <c r="JB32" s="143">
        <v>5.08</v>
      </c>
      <c r="JC32" s="147" t="str">
        <f>IF(IH27&lt;&gt;"",MAX(IS32,IX32)*100,"")</f>
        <v/>
      </c>
      <c r="JD32" s="151"/>
      <c r="JE32" s="97"/>
      <c r="JF32" s="97"/>
      <c r="JG32" s="97"/>
      <c r="JH32" s="97"/>
      <c r="JI32" s="97"/>
      <c r="JJ32" s="98" t="str">
        <f>IF(ISNUMBER(JJ29),JJ29^2,"")</f>
        <v/>
      </c>
      <c r="JK32" s="98"/>
      <c r="JL32" s="99" t="s">
        <v>101</v>
      </c>
      <c r="JM32" s="145">
        <f>(JR28*JR30-JR29*JR26)/(JR30^2-JR27*JR26)</f>
        <v>0</v>
      </c>
      <c r="JN32" s="99" t="s">
        <v>102</v>
      </c>
      <c r="JO32" s="101">
        <f>(JR29-JM32*JR27)/JR30</f>
        <v>0</v>
      </c>
      <c r="JP32" s="99" t="s">
        <v>103</v>
      </c>
      <c r="JQ32" s="145">
        <f>JK27-JO32*JK26-JM32*JK28</f>
        <v>0</v>
      </c>
      <c r="JR32" s="98"/>
      <c r="JS32" s="99"/>
      <c r="JT32" s="152"/>
      <c r="JU32" s="127"/>
      <c r="JV32" s="156"/>
      <c r="JW32" s="137"/>
      <c r="JX32" s="97"/>
      <c r="JY32" s="97"/>
      <c r="JZ32" s="97"/>
      <c r="KA32" s="97"/>
      <c r="KB32" s="97"/>
      <c r="KC32" s="98" t="str">
        <f>IF(ISNUMBER(KC29),KC29^2,"")</f>
        <v/>
      </c>
      <c r="KD32" s="98"/>
      <c r="KE32" s="99" t="s">
        <v>101</v>
      </c>
      <c r="KF32" s="145">
        <f>(KK28*KK30-KK29*KK26)/(KK30^2-KK27*KK26)</f>
        <v>0</v>
      </c>
      <c r="KG32" s="99" t="s">
        <v>102</v>
      </c>
      <c r="KH32" s="101">
        <f>(KK29-KF32*KK27)/KK30</f>
        <v>0</v>
      </c>
      <c r="KI32" s="99" t="s">
        <v>103</v>
      </c>
      <c r="KJ32" s="145">
        <f>KD27-KH32*KD26-KF32*KD28</f>
        <v>0</v>
      </c>
      <c r="KK32" s="98"/>
      <c r="KL32" s="99"/>
      <c r="KM32" s="152"/>
      <c r="KN32" s="173" t="str">
        <f>IF(KN29&lt;&gt;"",INDEX(LOGEST(KN30:KR30,KN29:KR29),1),"")</f>
        <v/>
      </c>
      <c r="KO32" s="141"/>
      <c r="KP32" s="143" t="s">
        <v>78</v>
      </c>
      <c r="KQ32" s="179">
        <f>IF(KQ31="NP",0,KQ31)*100</f>
        <v>0</v>
      </c>
      <c r="KR32" s="178"/>
      <c r="KS32" s="186" t="str">
        <f>IF($KT31&gt;=KS29,IF($KT30&lt;=KS29,KS29))</f>
        <v/>
      </c>
      <c r="KT32" s="187" t="str">
        <f>IF($KT31&gt;=KT29,IF($KT30&lt;=KT29,KT29))</f>
        <v/>
      </c>
      <c r="KU32" s="187" t="str">
        <f>IF($KT31&gt;=KU29,IF($KT30&lt;=KU29,KU29))</f>
        <v/>
      </c>
      <c r="KV32" s="187" t="str">
        <f>IF($KT31&gt;=KV29,IF($KT30&lt;=KV29,KV29))</f>
        <v/>
      </c>
      <c r="KW32" s="187" t="str">
        <f>IF($KT31&gt;=KW29,IF($KT30&lt;=KW29,KW29))</f>
        <v/>
      </c>
      <c r="KX32" s="189" t="s">
        <v>139</v>
      </c>
      <c r="KY32" s="191" t="s">
        <v>140</v>
      </c>
      <c r="KZ32" s="192" t="str">
        <f>IF(KY30&lt;&gt;"",KY30,"")</f>
        <v/>
      </c>
      <c r="LA32" s="202"/>
      <c r="LB32" s="141"/>
      <c r="LC32" s="141"/>
      <c r="LD32" s="141"/>
      <c r="LE32" s="141"/>
      <c r="LF32" s="211" t="s">
        <v>78</v>
      </c>
      <c r="LG32" s="212">
        <f>IF(KQ32&lt;&gt;"",KQ32,"")</f>
        <v>0</v>
      </c>
      <c r="LH32" s="212">
        <f>IF(LG32&lt;&gt;"",LG32,"")</f>
        <v>0</v>
      </c>
      <c r="LI32" s="141"/>
      <c r="LJ32" s="141"/>
      <c r="LK32" s="211" t="s">
        <v>139</v>
      </c>
      <c r="LL32" s="212">
        <f>IF(KX30&lt;&gt;"",KX30,"")</f>
        <v>0</v>
      </c>
      <c r="LM32" s="211" t="s">
        <v>78</v>
      </c>
      <c r="LN32" s="212">
        <f>IF(KX26&lt;&gt;"",KX26,"")</f>
        <v>0</v>
      </c>
      <c r="LO32" s="212">
        <f>IF(LN32&lt;&gt;"",LN32,"")</f>
        <v>0</v>
      </c>
      <c r="LP32" s="169"/>
      <c r="LQ32" s="169"/>
      <c r="LR32" s="170"/>
      <c r="LS32" s="217">
        <v>200</v>
      </c>
      <c r="LT32" s="177">
        <f>IF(LM30&lt;&gt;"",LM30*100,"")</f>
        <v>15.775814155738113</v>
      </c>
      <c r="LU32" s="1289">
        <f>IF(((0.2)*LU30)+((0.005)*(LU30)*(LW30))+((0.01)*(LV30)*(LX30))&lt;0,0,((0.2)*LU30)+((0.005)*(LU30)*(LW30))+((0.01)*(LV30)*(LX30)))</f>
        <v>0</v>
      </c>
      <c r="LV32" s="1289"/>
      <c r="LW32" s="1290" t="str">
        <f>IF(LT32="","",IF(LZ32&lt;&gt;"",LZ32,IF(LZ32="",MA32)))</f>
        <v>A-1b</v>
      </c>
      <c r="LX32" s="1290"/>
      <c r="LY32" s="218"/>
      <c r="LZ32" s="219" t="str">
        <f>IF(MA29="NP","NP",IF(LZ31=TRUE,"A-5",IF(MA31=TRUE,"A-6",IF(MB31=TRUE,"A-7-5",IF(MC31=TRUE,"A-7-6","")))))</f>
        <v/>
      </c>
      <c r="MA32" s="219" t="str">
        <f>IF(LY29=TRUE,"A-1a",IF(LZ29=TRUE,"A-1b",IF(MA29=TRUE,"A-3",IF(MB29=TRUE,"A-2-4",IF(MC29=TRUE,"A-2-5",IF(MD29=TRUE,"A-2-6",IF(ME29=TRUE,"A-2-7",IF(LY31=TRUE,"A-4"," "))))))))</f>
        <v>A-1b</v>
      </c>
      <c r="MB32" s="218"/>
      <c r="MC32" s="218"/>
      <c r="MD32" s="218"/>
      <c r="ME32" s="220"/>
      <c r="MF32" s="286"/>
      <c r="MG32" s="169"/>
      <c r="MH32" s="169"/>
      <c r="MI32" s="169"/>
      <c r="MJ32" s="169"/>
      <c r="MK32" s="169"/>
      <c r="ML32" s="169"/>
      <c r="MM32" s="169"/>
      <c r="MN32" s="169"/>
      <c r="MO32" s="169"/>
      <c r="MP32" s="169"/>
      <c r="MQ32" s="169"/>
      <c r="MR32" s="169"/>
      <c r="MS32" s="169"/>
      <c r="MT32" s="169"/>
      <c r="MU32" s="169"/>
      <c r="MV32" s="169"/>
      <c r="MW32" s="169"/>
      <c r="MX32" s="169"/>
      <c r="MY32" s="169"/>
      <c r="MZ32" s="169"/>
      <c r="NA32" s="169"/>
      <c r="NB32" s="169"/>
      <c r="NC32" s="169"/>
      <c r="ND32" s="169"/>
      <c r="NE32" s="169"/>
      <c r="NF32" s="169"/>
      <c r="NG32" s="169"/>
      <c r="NH32" s="169"/>
      <c r="NI32" s="169"/>
      <c r="NJ32" s="169"/>
      <c r="NK32" s="169"/>
      <c r="NL32" s="169"/>
      <c r="NM32" s="169"/>
      <c r="NN32" s="169"/>
      <c r="NO32" s="169"/>
      <c r="NP32" s="169"/>
      <c r="NQ32" s="169"/>
      <c r="NR32" s="169"/>
      <c r="NS32" s="169"/>
      <c r="NT32" s="169"/>
      <c r="NU32" s="169"/>
      <c r="NV32" s="169"/>
      <c r="NW32" s="169"/>
      <c r="NX32" s="169"/>
      <c r="NY32" s="169"/>
      <c r="NZ32" s="169"/>
      <c r="OA32" s="169"/>
      <c r="OB32" s="169"/>
      <c r="OC32" s="169"/>
      <c r="OD32" s="170"/>
    </row>
    <row r="33" spans="1:398" ht="15" hidden="1" customHeight="1" x14ac:dyDescent="0.35">
      <c r="A33" s="1336">
        <f>A26+1</f>
        <v>5</v>
      </c>
      <c r="B33" s="1339" t="s">
        <v>10</v>
      </c>
      <c r="C33" s="1340"/>
      <c r="D33" s="1340"/>
      <c r="E33" s="1341"/>
      <c r="F33" s="1342" t="s">
        <v>11</v>
      </c>
      <c r="G33" s="1343"/>
      <c r="H33" s="1343"/>
      <c r="I33" s="1344"/>
      <c r="J33" s="495">
        <v>1</v>
      </c>
      <c r="K33" s="495">
        <v>2</v>
      </c>
      <c r="L33" s="495">
        <v>3</v>
      </c>
      <c r="M33" s="495">
        <v>4</v>
      </c>
      <c r="N33" s="495">
        <v>5</v>
      </c>
      <c r="O33" s="495"/>
      <c r="P33" s="1345" t="s">
        <v>12</v>
      </c>
      <c r="Q33" s="1346"/>
      <c r="R33" s="1345" t="s">
        <v>13</v>
      </c>
      <c r="S33" s="1347"/>
      <c r="T33" s="496" t="s">
        <v>14</v>
      </c>
      <c r="U33" s="497" t="s">
        <v>15</v>
      </c>
      <c r="V33" s="1348" t="s">
        <v>16</v>
      </c>
      <c r="W33" s="1349"/>
      <c r="X33" s="1349"/>
      <c r="Y33" s="1350"/>
      <c r="Z33" s="1351" t="s">
        <v>17</v>
      </c>
      <c r="AA33" s="1352"/>
      <c r="AB33" s="1352"/>
      <c r="AC33" s="1353"/>
      <c r="AD33" s="498">
        <v>0.5</v>
      </c>
      <c r="AE33" s="498">
        <v>1</v>
      </c>
      <c r="AF33" s="498">
        <v>1.5</v>
      </c>
      <c r="AG33" s="498">
        <v>2</v>
      </c>
      <c r="AH33" s="498">
        <v>3</v>
      </c>
      <c r="AI33" s="498">
        <v>4</v>
      </c>
      <c r="AJ33" s="498">
        <v>5</v>
      </c>
      <c r="AK33" s="499">
        <v>6</v>
      </c>
      <c r="AL33" s="1354" t="s">
        <v>18</v>
      </c>
      <c r="AM33" s="500" t="s">
        <v>19</v>
      </c>
      <c r="AN33" s="501"/>
      <c r="AO33" s="501"/>
      <c r="AP33" s="501"/>
      <c r="AQ33" s="501"/>
      <c r="AR33" s="502"/>
      <c r="AS33" s="1357">
        <f>E35</f>
        <v>0</v>
      </c>
      <c r="AT33" s="1314" t="s">
        <v>20</v>
      </c>
      <c r="AU33" s="1315"/>
      <c r="AV33" s="1315"/>
      <c r="AW33" s="1315"/>
      <c r="AX33" s="1315"/>
      <c r="AY33" s="1316"/>
      <c r="AZ33" s="1317" t="s">
        <v>21</v>
      </c>
      <c r="BA33" s="1315"/>
      <c r="BB33" s="1315"/>
      <c r="BC33" s="1315"/>
      <c r="BD33" s="1315"/>
      <c r="BE33" s="1315"/>
      <c r="BF33" s="1316"/>
      <c r="BG33" s="503" t="s">
        <v>22</v>
      </c>
      <c r="BH33" s="503" t="s">
        <v>23</v>
      </c>
      <c r="BI33" s="1317" t="s">
        <v>24</v>
      </c>
      <c r="BJ33" s="1315"/>
      <c r="BK33" s="1316"/>
      <c r="BL33" s="1318">
        <f>AS33</f>
        <v>0</v>
      </c>
      <c r="BM33" s="1306" t="s">
        <v>25</v>
      </c>
      <c r="BN33" s="80" t="s">
        <v>26</v>
      </c>
      <c r="BO33" s="80" t="str">
        <f t="shared" ref="BO33" si="320">IF(ISNUMBER(J34),J35-J36,"")</f>
        <v/>
      </c>
      <c r="BP33" s="80" t="str">
        <f t="shared" ref="BP33" si="321">IF(ISNUMBER(K34),K35-K36,"")</f>
        <v/>
      </c>
      <c r="BQ33" s="80" t="str">
        <f t="shared" ref="BQ33" si="322">IF(ISNUMBER(L34),L35-L36,"")</f>
        <v/>
      </c>
      <c r="BR33" s="80" t="str">
        <f t="shared" ref="BR33" si="323">IF(ISNUMBER(M34),M35-M36,"")</f>
        <v/>
      </c>
      <c r="BS33" s="80" t="str">
        <f t="shared" ref="BS33" si="324">IF(ISNUMBER(N34),N35-N36,"")</f>
        <v/>
      </c>
      <c r="BT33" s="80" t="str">
        <f t="shared" ref="BT33" si="325">IF(ISNUMBER(O34),O35-O36,"")</f>
        <v/>
      </c>
      <c r="BU33" s="80">
        <f t="shared" ref="BU33" si="326">IF(ISNUMBER(P34),P35-P36,"")</f>
        <v>1.3800000000000239</v>
      </c>
      <c r="BV33" s="80">
        <f t="shared" ref="BV33" si="327">IF(ISNUMBER(Q34),Q35-Q36,"")</f>
        <v>1.7599999999999909</v>
      </c>
      <c r="BW33" s="1309">
        <f>IF(ISNUMBER(BU33),AVERAGE(BU36:BV36),"")</f>
        <v>9.0357281926911788E-3</v>
      </c>
      <c r="BX33" s="1311" t="s">
        <v>27</v>
      </c>
      <c r="BY33" s="1311"/>
      <c r="BZ33" s="1311"/>
      <c r="CA33" s="1311"/>
      <c r="CB33" s="1311"/>
      <c r="CC33" s="1311"/>
      <c r="CD33" s="81"/>
      <c r="CE33" s="82">
        <f t="shared" ref="CE33" si="328">IF(J33&lt;&gt;"",BY38,"")</f>
        <v>2.3450524309729576E-2</v>
      </c>
      <c r="CF33" s="82">
        <f t="shared" ref="CF33" si="329">IF(K33&lt;&gt;"",BZ38,"")</f>
        <v>3.8586060232619943E-2</v>
      </c>
      <c r="CG33" s="82">
        <f t="shared" ref="CG33" si="330">IF(L33&lt;&gt;"",CA38,"")</f>
        <v>5.3721596155510309E-2</v>
      </c>
      <c r="CH33" s="82">
        <f t="shared" ref="CH33" si="331">IF(M33&lt;&gt;"",CB38,"")</f>
        <v>6.8857132078400676E-2</v>
      </c>
      <c r="CI33" s="82">
        <f t="shared" ref="CI33" si="332">IF(N33&lt;&gt;"",CC38,"")</f>
        <v>8.3992668001291043E-2</v>
      </c>
      <c r="CJ33" s="83" t="str">
        <f t="shared" ref="CJ33" si="333">IF(O33&lt;&gt;"",CD38,"")</f>
        <v/>
      </c>
      <c r="CK33" s="84">
        <f>AVERAGE(CE33:CJ33)</f>
        <v>5.3721596155510309E-2</v>
      </c>
      <c r="CL33" s="85">
        <f t="shared" ref="CL33" si="334">IF(ISNUMBER(CE36),CE36^2,"")</f>
        <v>9.1633779069241902E-4</v>
      </c>
      <c r="CM33" s="85">
        <f t="shared" ref="CM33" si="335">IF(ISNUMBER(CF36),CF36^2,"")</f>
        <v>2.2908444767310475E-4</v>
      </c>
      <c r="CN33" s="85">
        <f t="shared" ref="CN33" si="336">IF(ISNUMBER(CG36),CG36^2,"")</f>
        <v>0</v>
      </c>
      <c r="CO33" s="85">
        <f t="shared" ref="CO33" si="337">IF(ISNUMBER(CH36),CH36^2,"")</f>
        <v>2.2908444767310475E-4</v>
      </c>
      <c r="CP33" s="85">
        <f t="shared" ref="CP33" si="338">IF(ISNUMBER(CI36),CI36^2,"")</f>
        <v>9.1633779069241902E-4</v>
      </c>
      <c r="CQ33" s="85" t="str">
        <f t="shared" ref="CQ33" si="339">IF(ISNUMBER(CJ36),CJ36^2,"")</f>
        <v/>
      </c>
      <c r="CR33" s="86">
        <f>SUM(CL33:CQ33)</f>
        <v>2.2908444767310476E-3</v>
      </c>
      <c r="CS33" s="332" t="s">
        <v>28</v>
      </c>
      <c r="CT33" s="333">
        <f>-CO39/(2*CM39)</f>
        <v>5.7765822483399835E-2</v>
      </c>
      <c r="CU33" s="103" t="str">
        <f>IF(ISNUMBER(R34),R35-R36,"")</f>
        <v/>
      </c>
      <c r="CV33" s="103" t="str">
        <f>IF(ISNUMBER(S34),S35-S36,"")</f>
        <v/>
      </c>
      <c r="CW33" s="1312" t="str">
        <f>IF(ISNUMBER(CU33),AVERAGE(CU36:CV36),"")</f>
        <v/>
      </c>
      <c r="CX33" s="334">
        <v>0.63</v>
      </c>
      <c r="CY33" s="335">
        <v>1.27</v>
      </c>
      <c r="CZ33" s="335">
        <v>1.9</v>
      </c>
      <c r="DA33" s="335">
        <v>2.54</v>
      </c>
      <c r="DB33" s="335">
        <v>3.81</v>
      </c>
      <c r="DC33" s="335">
        <v>5.08</v>
      </c>
      <c r="DD33" s="335">
        <v>6.35</v>
      </c>
      <c r="DE33" s="335">
        <v>7.62</v>
      </c>
      <c r="DF33" s="718" t="str">
        <f>IF(CX34&lt;&gt;"",AVERAGE(CX33:DE33),"")</f>
        <v/>
      </c>
      <c r="DG33" s="121" t="str">
        <f t="shared" ref="DG33" si="340">IF(ISNUMBER(CX38),CX38^2,"")</f>
        <v/>
      </c>
      <c r="DH33" s="121" t="str">
        <f t="shared" ref="DH33" si="341">IF(ISNUMBER(CY38),CY38^2,"")</f>
        <v/>
      </c>
      <c r="DI33" s="121" t="str">
        <f t="shared" ref="DI33" si="342">IF(ISNUMBER(CZ38),CZ38^2,"")</f>
        <v/>
      </c>
      <c r="DJ33" s="121" t="str">
        <f t="shared" ref="DJ33" si="343">IF(ISNUMBER(DA38),DA38^2,"")</f>
        <v/>
      </c>
      <c r="DK33" s="121" t="str">
        <f t="shared" ref="DK33" si="344">IF(ISNUMBER(DB38),DB38^2,"")</f>
        <v/>
      </c>
      <c r="DL33" s="121" t="str">
        <f t="shared" ref="DL33" si="345">IF(ISNUMBER(DC38),DC38^2,"")</f>
        <v/>
      </c>
      <c r="DM33" s="121" t="str">
        <f t="shared" ref="DM33" si="346">IF(ISNUMBER(DD38),DD38^2,"")</f>
        <v/>
      </c>
      <c r="DN33" s="121" t="str">
        <f t="shared" ref="DN33" si="347">IF(ISNUMBER(DE38),DE38^2,"")</f>
        <v/>
      </c>
      <c r="DO33" s="121" t="str">
        <f>IF(DG33&lt;&gt;"",SUM(DG33:DN33),"")</f>
        <v/>
      </c>
      <c r="DP33" s="121">
        <v>0</v>
      </c>
      <c r="DQ33" s="121" t="str">
        <f>IF(DP34="","",IF(DP34&gt;0,DT36,-1))</f>
        <v/>
      </c>
      <c r="DR33" s="121" t="str">
        <f>IF(DP34="","",IF(DP34&gt;0,DV36,-1))</f>
        <v/>
      </c>
      <c r="DS33" s="121" t="str">
        <f>IF(DP34="","",IF(DP34&gt;0,(DJ37*DS34)+DJ38,-1))</f>
        <v/>
      </c>
      <c r="DT33" s="121" t="str">
        <f>IF(DP34="","",IF(DP34&gt;0,(DJ37*DT34)+DJ38,-1))</f>
        <v/>
      </c>
      <c r="DU33" s="121" t="str">
        <f>IF(DP34="","",IF(DP34&gt;0,DT36,-1))</f>
        <v/>
      </c>
      <c r="DV33" s="121" t="str">
        <f>IF(DP34="","",IF(DP34&gt;0,DT36,-1))</f>
        <v/>
      </c>
      <c r="DW33" s="121" t="str">
        <f>IF(DP34="","",IF(DP34&gt;0,DT36,-1))</f>
        <v/>
      </c>
      <c r="DX33" s="126" t="str">
        <f>IF(DP34="","",IF(DP34&gt;0,DS33,-1))</f>
        <v/>
      </c>
      <c r="DY33" s="334">
        <v>0.63</v>
      </c>
      <c r="DZ33" s="335">
        <v>1.27</v>
      </c>
      <c r="EA33" s="335">
        <v>1.9</v>
      </c>
      <c r="EB33" s="335">
        <v>2.54</v>
      </c>
      <c r="EC33" s="335">
        <v>3.81</v>
      </c>
      <c r="ED33" s="335">
        <v>5.08</v>
      </c>
      <c r="EE33" s="335">
        <v>6.35</v>
      </c>
      <c r="EF33" s="335">
        <v>7.62</v>
      </c>
      <c r="EG33" s="125">
        <f>IF(DY34&lt;&gt;"",AVERAGE(DY33:EF33),"")</f>
        <v>3.65</v>
      </c>
      <c r="EH33" s="121">
        <f t="shared" ref="EH33" si="348">IF(ISNUMBER(DY38),DY38^2,"")</f>
        <v>340.42833049000006</v>
      </c>
      <c r="EI33" s="121">
        <f t="shared" ref="EI33" si="349">IF(ISNUMBER(DZ38),DZ38^2,"")</f>
        <v>297.03488408999999</v>
      </c>
      <c r="EJ33" s="121">
        <f t="shared" ref="EJ33" si="350">IF(ISNUMBER(EA38),EA38^2,"")</f>
        <v>232.18445376000003</v>
      </c>
      <c r="EK33" s="121">
        <f t="shared" ref="EK33" si="351">IF(ISNUMBER(EB38),EB38^2,"")</f>
        <v>153.66081600000001</v>
      </c>
      <c r="EL33" s="121">
        <f t="shared" ref="EL33" si="352">IF(ISNUMBER(EC38),EC38^2,"")</f>
        <v>18.761892250000002</v>
      </c>
      <c r="EM33" s="121">
        <f t="shared" ref="EM33" si="353">IF(ISNUMBER(ED38),ED38^2,"")</f>
        <v>48.424897440000002</v>
      </c>
      <c r="EN33" s="121">
        <f t="shared" ref="EN33" si="354">IF(ISNUMBER(EE38),EE38^2,"")</f>
        <v>461.17133000999991</v>
      </c>
      <c r="EO33" s="121">
        <f t="shared" ref="EO33" si="355">IF(ISNUMBER(EF38),EF38^2,"")</f>
        <v>1537.95740224</v>
      </c>
      <c r="EP33" s="121">
        <f>IF(EH33&lt;&gt;"",SUM(EH33:EO33),"")</f>
        <v>3089.6240062799998</v>
      </c>
      <c r="EQ33" s="121">
        <v>0</v>
      </c>
      <c r="ER33" s="121">
        <f>IF(EQ34="","",IF(EQ34&gt;0,EU36,-1))</f>
        <v>-1</v>
      </c>
      <c r="ES33" s="121">
        <f>IF(EQ34="","",IF(EQ34&gt;0,EW36,-1))</f>
        <v>-1</v>
      </c>
      <c r="ET33" s="121">
        <f>IF(EQ34="","",IF(EQ34&gt;0,(EK37*ET34)+EK38,-1))</f>
        <v>-1</v>
      </c>
      <c r="EU33" s="121">
        <f>IF(EQ34="","",IF(EQ34&gt;0,(EK37*EU34)+EK38,-1))</f>
        <v>-1</v>
      </c>
      <c r="EV33" s="121">
        <f>IF(EQ34="","",IF(EQ34&gt;0,EU36,-1))</f>
        <v>-1</v>
      </c>
      <c r="EW33" s="121">
        <f>IF(EQ34="","",IF(EQ34&gt;0,EU36,-1))</f>
        <v>-1</v>
      </c>
      <c r="EX33" s="121">
        <f>IF(EQ34="","",IF(EQ34&gt;0,EU36,-1))</f>
        <v>-1</v>
      </c>
      <c r="EY33" s="126">
        <f>IF(EQ34="","",IF(EQ34&gt;0,ET33,-1))</f>
        <v>-1</v>
      </c>
      <c r="EZ33" s="334">
        <v>0.63</v>
      </c>
      <c r="FA33" s="335">
        <v>1.27</v>
      </c>
      <c r="FB33" s="335">
        <v>1.9</v>
      </c>
      <c r="FC33" s="335">
        <v>2.54</v>
      </c>
      <c r="FD33" s="335">
        <v>3.81</v>
      </c>
      <c r="FE33" s="335">
        <v>5.08</v>
      </c>
      <c r="FF33" s="335">
        <v>6.35</v>
      </c>
      <c r="FG33" s="335">
        <v>7.62</v>
      </c>
      <c r="FH33" s="125">
        <f>IF(EZ34&lt;&gt;"",AVERAGE(EZ33:FG33),"")</f>
        <v>3.65</v>
      </c>
      <c r="FI33" s="121">
        <f t="shared" ref="FI33" si="356">IF(ISNUMBER(EZ38),EZ38^2,"")</f>
        <v>340.42833049000006</v>
      </c>
      <c r="FJ33" s="121">
        <f t="shared" ref="FJ33" si="357">IF(ISNUMBER(FA38),FA38^2,"")</f>
        <v>297.03488408999999</v>
      </c>
      <c r="FK33" s="121">
        <f t="shared" ref="FK33" si="358">IF(ISNUMBER(FB38),FB38^2,"")</f>
        <v>232.18445376000003</v>
      </c>
      <c r="FL33" s="121">
        <f t="shared" ref="FL33" si="359">IF(ISNUMBER(FC38),FC38^2,"")</f>
        <v>153.66081600000001</v>
      </c>
      <c r="FM33" s="121">
        <f t="shared" ref="FM33" si="360">IF(ISNUMBER(FD38),FD38^2,"")</f>
        <v>18.761892250000002</v>
      </c>
      <c r="FN33" s="121">
        <f t="shared" ref="FN33" si="361">IF(ISNUMBER(FE38),FE38^2,"")</f>
        <v>48.424897440000002</v>
      </c>
      <c r="FO33" s="121">
        <f t="shared" ref="FO33" si="362">IF(ISNUMBER(FF38),FF38^2,"")</f>
        <v>461.17133000999991</v>
      </c>
      <c r="FP33" s="121">
        <f t="shared" ref="FP33" si="363">IF(ISNUMBER(FG38),FG38^2,"")</f>
        <v>1537.95740224</v>
      </c>
      <c r="FQ33" s="121">
        <f>IF(FI33&lt;&gt;"",SUM(FI33:FP33),"")</f>
        <v>3089.6240062799998</v>
      </c>
      <c r="FR33" s="121">
        <v>0</v>
      </c>
      <c r="FS33" s="121">
        <f>IF(FR34="","",IF(FR34&gt;0,FV36,-1))</f>
        <v>-1</v>
      </c>
      <c r="FT33" s="121">
        <f>IF(FR34="","",IF(FR34&gt;0,FX36,-1))</f>
        <v>-1</v>
      </c>
      <c r="FU33" s="121">
        <f>IF(FR34="","",IF(FR34&gt;0,(FL37*FU34)+FL38,-1))</f>
        <v>-1</v>
      </c>
      <c r="FV33" s="121">
        <f>IF(FR34="","",IF(FR34&gt;0,(FL37*FV34)+FL38,-1))</f>
        <v>-1</v>
      </c>
      <c r="FW33" s="121">
        <f>IF(FR34="","",IF(FR34&gt;0,FV36,-1))</f>
        <v>-1</v>
      </c>
      <c r="FX33" s="121">
        <f>IF(FR34="","",IF(FR34&gt;0,FV36,-1))</f>
        <v>-1</v>
      </c>
      <c r="FY33" s="121">
        <f>IF(FR34="","",IF(FR34&gt;0,FV36,-1))</f>
        <v>-1</v>
      </c>
      <c r="FZ33" s="126">
        <f>IF(FR34="","",IF(FR34&gt;0,FU33,-1))</f>
        <v>-1</v>
      </c>
      <c r="GA33" s="334">
        <v>0.63</v>
      </c>
      <c r="GB33" s="335">
        <v>1.27</v>
      </c>
      <c r="GC33" s="335">
        <v>1.9</v>
      </c>
      <c r="GD33" s="335">
        <v>2.54</v>
      </c>
      <c r="GE33" s="335">
        <v>3.81</v>
      </c>
      <c r="GF33" s="335">
        <v>5.08</v>
      </c>
      <c r="GG33" s="335">
        <v>6.35</v>
      </c>
      <c r="GH33" s="335">
        <v>7.62</v>
      </c>
      <c r="GI33" s="125">
        <f>IF(GA34&lt;&gt;"",AVERAGE(GA33:GH33),"")</f>
        <v>3.65</v>
      </c>
      <c r="GJ33" s="121">
        <f t="shared" ref="GJ33" si="364">IF(ISNUMBER(GA38),GA38^2,"")</f>
        <v>340.42833049000006</v>
      </c>
      <c r="GK33" s="121">
        <f t="shared" ref="GK33" si="365">IF(ISNUMBER(GB38),GB38^2,"")</f>
        <v>297.03488408999999</v>
      </c>
      <c r="GL33" s="121">
        <f t="shared" ref="GL33" si="366">IF(ISNUMBER(GC38),GC38^2,"")</f>
        <v>232.18445376000003</v>
      </c>
      <c r="GM33" s="121">
        <f t="shared" ref="GM33" si="367">IF(ISNUMBER(GD38),GD38^2,"")</f>
        <v>153.66081600000001</v>
      </c>
      <c r="GN33" s="121">
        <f t="shared" ref="GN33" si="368">IF(ISNUMBER(GE38),GE38^2,"")</f>
        <v>18.761892250000002</v>
      </c>
      <c r="GO33" s="121">
        <f t="shared" ref="GO33" si="369">IF(ISNUMBER(GF38),GF38^2,"")</f>
        <v>48.424897440000002</v>
      </c>
      <c r="GP33" s="121">
        <f t="shared" ref="GP33" si="370">IF(ISNUMBER(GG38),GG38^2,"")</f>
        <v>461.17133000999991</v>
      </c>
      <c r="GQ33" s="121">
        <f t="shared" ref="GQ33" si="371">IF(ISNUMBER(GH38),GH38^2,"")</f>
        <v>1537.95740224</v>
      </c>
      <c r="GR33" s="121">
        <f>IF(GJ33&lt;&gt;"",SUM(GJ33:GQ33),"")</f>
        <v>3089.6240062799998</v>
      </c>
      <c r="GS33" s="121">
        <v>0</v>
      </c>
      <c r="GT33" s="121">
        <f>IF(GS34="","",IF(GS34&gt;0,GW36,-1))</f>
        <v>-1</v>
      </c>
      <c r="GU33" s="121">
        <f>IF(GS34="","",IF(GS34&gt;0,GY36,-1))</f>
        <v>-1</v>
      </c>
      <c r="GV33" s="121">
        <f>IF(GS34="","",IF(GS34&gt;0,(GM37*GV34)+GM38,-1))</f>
        <v>-1</v>
      </c>
      <c r="GW33" s="121">
        <f>IF(GS34="","",IF(GS34&gt;0,(GM37*GW34)+GM38,-1))</f>
        <v>-1</v>
      </c>
      <c r="GX33" s="121">
        <f>IF(GS34="","",IF(GS34&gt;0,GW36,-1))</f>
        <v>-1</v>
      </c>
      <c r="GY33" s="121">
        <f>IF(GS34="","",IF(GS34&gt;0,GW36,-1))</f>
        <v>-1</v>
      </c>
      <c r="GZ33" s="121">
        <f>IF(GS34="","",IF(GS34&gt;0,GW36,-1))</f>
        <v>-1</v>
      </c>
      <c r="HA33" s="126">
        <f>IF(GS34="","",IF(GS34&gt;0,GV33,-1))</f>
        <v>-1</v>
      </c>
      <c r="HB33" s="334">
        <v>0.63</v>
      </c>
      <c r="HC33" s="335">
        <v>1.27</v>
      </c>
      <c r="HD33" s="335">
        <v>1.9</v>
      </c>
      <c r="HE33" s="335">
        <v>2.54</v>
      </c>
      <c r="HF33" s="335">
        <v>3.81</v>
      </c>
      <c r="HG33" s="335">
        <v>5.08</v>
      </c>
      <c r="HH33" s="335">
        <v>6.35</v>
      </c>
      <c r="HI33" s="335">
        <v>7.62</v>
      </c>
      <c r="HJ33" s="125" t="str">
        <f>IF(HB34&lt;&gt;"",AVERAGE(HB33:HI33),"")</f>
        <v/>
      </c>
      <c r="HK33" s="121" t="str">
        <f t="shared" ref="HK33" si="372">IF(ISNUMBER(HB38),HB38^2,"")</f>
        <v/>
      </c>
      <c r="HL33" s="121" t="str">
        <f t="shared" ref="HL33" si="373">IF(ISNUMBER(HC38),HC38^2,"")</f>
        <v/>
      </c>
      <c r="HM33" s="121" t="str">
        <f t="shared" ref="HM33" si="374">IF(ISNUMBER(HD38),HD38^2,"")</f>
        <v/>
      </c>
      <c r="HN33" s="121" t="str">
        <f t="shared" ref="HN33" si="375">IF(ISNUMBER(HE38),HE38^2,"")</f>
        <v/>
      </c>
      <c r="HO33" s="121" t="str">
        <f t="shared" ref="HO33" si="376">IF(ISNUMBER(HF38),HF38^2,"")</f>
        <v/>
      </c>
      <c r="HP33" s="121" t="str">
        <f t="shared" ref="HP33" si="377">IF(ISNUMBER(HG38),HG38^2,"")</f>
        <v/>
      </c>
      <c r="HQ33" s="121" t="str">
        <f t="shared" ref="HQ33" si="378">IF(ISNUMBER(HH38),HH38^2,"")</f>
        <v/>
      </c>
      <c r="HR33" s="121" t="str">
        <f t="shared" ref="HR33" si="379">IF(ISNUMBER(HI38),HI38^2,"")</f>
        <v/>
      </c>
      <c r="HS33" s="121" t="str">
        <f>IF(HK33&lt;&gt;"",SUM(HK33:HR33),"")</f>
        <v/>
      </c>
      <c r="HT33" s="121">
        <v>0</v>
      </c>
      <c r="HU33" s="121" t="str">
        <f>IF(HT34="","",IF(HT34&gt;0,HX36,-1))</f>
        <v/>
      </c>
      <c r="HV33" s="121" t="str">
        <f>IF(HT34="","",IF(HT34&gt;0,HZ36,-1))</f>
        <v/>
      </c>
      <c r="HW33" s="121" t="str">
        <f>IF(HT34="","",IF(HT34&gt;0,(HN37*HW34)+HN38,-1))</f>
        <v/>
      </c>
      <c r="HX33" s="121" t="str">
        <f>IF(HT34="","",IF(HT34&gt;0,(HN37*HX34)+HN38,-1))</f>
        <v/>
      </c>
      <c r="HY33" s="121" t="str">
        <f>IF(HT34="","",IF(HT34&gt;0,HX36,-1))</f>
        <v/>
      </c>
      <c r="HZ33" s="121" t="str">
        <f>IF(HT34="","",IF(HT34&gt;0,HX36,-1))</f>
        <v/>
      </c>
      <c r="IA33" s="121" t="str">
        <f>IF(HT34="","",IF(HT34&gt;0,HX36,-1))</f>
        <v/>
      </c>
      <c r="IB33" s="126" t="str">
        <f>IF(HT34="","",IF(HT34&gt;0,HW33,-1))</f>
        <v/>
      </c>
      <c r="IC33" s="334">
        <v>0.63</v>
      </c>
      <c r="ID33" s="335">
        <v>1.27</v>
      </c>
      <c r="IE33" s="335">
        <v>1.9</v>
      </c>
      <c r="IF33" s="335">
        <v>2.54</v>
      </c>
      <c r="IG33" s="335">
        <v>3.81</v>
      </c>
      <c r="IH33" s="335">
        <v>5.08</v>
      </c>
      <c r="II33" s="335">
        <v>6.35</v>
      </c>
      <c r="IJ33" s="335">
        <v>7.62</v>
      </c>
      <c r="IK33" s="125" t="str">
        <f>IF(IC34&lt;&gt;"",AVERAGE(IC33:IJ33),"")</f>
        <v/>
      </c>
      <c r="IL33" s="121" t="str">
        <f t="shared" ref="IL33" si="380">IF(ISNUMBER(IC38),IC38^2,"")</f>
        <v/>
      </c>
      <c r="IM33" s="121" t="str">
        <f t="shared" ref="IM33" si="381">IF(ISNUMBER(ID38),ID38^2,"")</f>
        <v/>
      </c>
      <c r="IN33" s="121" t="str">
        <f t="shared" ref="IN33" si="382">IF(ISNUMBER(IE38),IE38^2,"")</f>
        <v/>
      </c>
      <c r="IO33" s="121" t="str">
        <f t="shared" ref="IO33" si="383">IF(ISNUMBER(IF38),IF38^2,"")</f>
        <v/>
      </c>
      <c r="IP33" s="121" t="str">
        <f t="shared" ref="IP33" si="384">IF(ISNUMBER(IG38),IG38^2,"")</f>
        <v/>
      </c>
      <c r="IQ33" s="121" t="str">
        <f t="shared" ref="IQ33" si="385">IF(ISNUMBER(IH38),IH38^2,"")</f>
        <v/>
      </c>
      <c r="IR33" s="121" t="str">
        <f t="shared" ref="IR33" si="386">IF(ISNUMBER(II38),II38^2,"")</f>
        <v/>
      </c>
      <c r="IS33" s="121" t="str">
        <f t="shared" ref="IS33" si="387">IF(ISNUMBER(IJ38),IJ38^2,"")</f>
        <v/>
      </c>
      <c r="IT33" s="121" t="str">
        <f>IF(IL33&lt;&gt;"",SUM(IL33:IS33),"")</f>
        <v/>
      </c>
      <c r="IU33" s="121">
        <v>0</v>
      </c>
      <c r="IV33" s="121" t="str">
        <f>IF(IU34="","",IF(IU34&gt;0,IY36,-1))</f>
        <v/>
      </c>
      <c r="IW33" s="121" t="str">
        <f>IF(IU34="","",IF(IU34&gt;0,JA36,-1))</f>
        <v/>
      </c>
      <c r="IX33" s="121" t="str">
        <f>IF(IU34="","",IF(IU34&gt;0,(IO37*IX34)+IO38,-1))</f>
        <v/>
      </c>
      <c r="IY33" s="121" t="str">
        <f>IF(IU34="","",IF(IU34&gt;0,(IO37*IY34)+IO38,-1))</f>
        <v/>
      </c>
      <c r="IZ33" s="121" t="str">
        <f>IF(IU34="","",IF(IU34&gt;0,IY36,-1))</f>
        <v/>
      </c>
      <c r="JA33" s="121" t="str">
        <f>IF(IU34="","",IF(IU34&gt;0,IY36,-1))</f>
        <v/>
      </c>
      <c r="JB33" s="121" t="str">
        <f>IF(IU34="","",IF(IU34&gt;0,IY36,-1))</f>
        <v/>
      </c>
      <c r="JC33" s="126" t="str">
        <f>IF(IU34="","",IF(IU34&gt;0,IX33,-1))</f>
        <v/>
      </c>
      <c r="JD33" s="149" t="str">
        <f t="shared" ref="JD33:JD38" si="388">IF(T34&lt;&gt;"",T34,"")</f>
        <v/>
      </c>
      <c r="JE33" s="82" t="str">
        <f>IF(JD33&lt;&gt;"",CE33,"")</f>
        <v/>
      </c>
      <c r="JF33" s="82">
        <f>IF(JD34&lt;&gt;"",CF33,"")</f>
        <v>3.8586060232619943E-2</v>
      </c>
      <c r="JG33" s="82">
        <f>IF(JD35&lt;&gt;"",CG33,"")</f>
        <v>5.3721596155510309E-2</v>
      </c>
      <c r="JH33" s="82">
        <f>IF(JD36&lt;&gt;"",CH33,"")</f>
        <v>6.8857132078400676E-2</v>
      </c>
      <c r="JI33" s="82" t="str">
        <f>IF(JD37&lt;&gt;"",CI33,"")</f>
        <v/>
      </c>
      <c r="JJ33" s="82" t="str">
        <f>IF(JD38&lt;&gt;"",CJ33,"")</f>
        <v/>
      </c>
      <c r="JK33" s="84">
        <f>AVERAGE(JE33:JJ33)</f>
        <v>5.3721596155510309E-2</v>
      </c>
      <c r="JL33" s="85" t="str">
        <f t="shared" ref="JL33" si="389">IF(ISNUMBER(JE36),JE36^2,"")</f>
        <v/>
      </c>
      <c r="JM33" s="85">
        <f t="shared" ref="JM33" si="390">IF(ISNUMBER(JF36),JF36^2,"")</f>
        <v>2.2908444767310475E-4</v>
      </c>
      <c r="JN33" s="85">
        <f t="shared" ref="JN33" si="391">IF(ISNUMBER(JG36),JG36^2,"")</f>
        <v>0</v>
      </c>
      <c r="JO33" s="85">
        <f t="shared" ref="JO33" si="392">IF(ISNUMBER(JH36),JH36^2,"")</f>
        <v>2.2908444767310475E-4</v>
      </c>
      <c r="JP33" s="85" t="str">
        <f t="shared" ref="JP33" si="393">IF(ISNUMBER(JI36),JI36^2,"")</f>
        <v/>
      </c>
      <c r="JQ33" s="85" t="str">
        <f t="shared" ref="JQ33" si="394">IF(ISNUMBER(JJ36),JJ36^2,"")</f>
        <v/>
      </c>
      <c r="JR33" s="86">
        <f>SUM(JL33:JQ33)</f>
        <v>4.5816889534620951E-4</v>
      </c>
      <c r="JS33" s="336" t="s">
        <v>28</v>
      </c>
      <c r="JT33" s="337">
        <f>-JO39/(2*JM39)</f>
        <v>5.5061915037160361E-2</v>
      </c>
      <c r="JU33" s="153" t="str">
        <f>IF(T34&lt;&gt;0,LOOKUP(T34,Tara!$G$6:$G$185,Tara!$J$6:$J$185)/10,"")</f>
        <v/>
      </c>
      <c r="JV33" s="125" t="str">
        <f t="shared" ref="JV33:JV38" si="395">IF(ISNUMBER(U34),MAX(Z34:AC34)-MIN(Z34:AC34),"")</f>
        <v/>
      </c>
      <c r="JW33" s="154" t="str">
        <f t="shared" ref="JW33:JW38" si="396">IF(JV33&lt;&gt;"",JV33/JU33/10,"")</f>
        <v/>
      </c>
      <c r="JX33" s="82" t="str">
        <f>IF(JD33&lt;&gt;"",CE33,"")</f>
        <v/>
      </c>
      <c r="JY33" s="82">
        <f>IF(JD34&lt;&gt;"",CF33,"")</f>
        <v>3.8586060232619943E-2</v>
      </c>
      <c r="JZ33" s="82">
        <f>IF(JD35&lt;&gt;"",CG33,"")</f>
        <v>5.3721596155510309E-2</v>
      </c>
      <c r="KA33" s="82">
        <f>IF(JD36&lt;&gt;"",CH33,"")</f>
        <v>6.8857132078400676E-2</v>
      </c>
      <c r="KB33" s="82" t="str">
        <f>IF(JD37&lt;&gt;"",CI33,"")</f>
        <v/>
      </c>
      <c r="KC33" s="82" t="str">
        <f>IF(JD38&lt;&gt;"",CJ33,"")</f>
        <v/>
      </c>
      <c r="KD33" s="84">
        <f>AVERAGE(JX33:KC33)</f>
        <v>5.3721596155510309E-2</v>
      </c>
      <c r="KE33" s="85" t="str">
        <f t="shared" ref="KE33" si="397">IF(ISNUMBER(JX36),JX36^2,"")</f>
        <v/>
      </c>
      <c r="KF33" s="85">
        <f t="shared" ref="KF33" si="398">IF(ISNUMBER(JY36),JY36^2,"")</f>
        <v>2.2908444767310475E-4</v>
      </c>
      <c r="KG33" s="85">
        <f t="shared" ref="KG33" si="399">IF(ISNUMBER(JZ36),JZ36^2,"")</f>
        <v>0</v>
      </c>
      <c r="KH33" s="85">
        <f t="shared" ref="KH33" si="400">IF(ISNUMBER(KA36),KA36^2,"")</f>
        <v>2.2908444767310475E-4</v>
      </c>
      <c r="KI33" s="85" t="str">
        <f t="shared" ref="KI33" si="401">IF(ISNUMBER(KB36),KB36^2,"")</f>
        <v/>
      </c>
      <c r="KJ33" s="85" t="str">
        <f t="shared" ref="KJ33" si="402">IF(ISNUMBER(KC36),KC36^2,"")</f>
        <v/>
      </c>
      <c r="KK33" s="86">
        <f>SUM(KE33:KJ33)</f>
        <v>4.5816889534620951E-4</v>
      </c>
      <c r="KL33" s="336" t="s">
        <v>28</v>
      </c>
      <c r="KM33" s="337">
        <f>-KH39/(2*KF39)</f>
        <v>6.2952473649669632E-2</v>
      </c>
      <c r="KN33" s="165" t="str">
        <f>IF(ISNUMBER(AN33),AN34-AN35,"")</f>
        <v/>
      </c>
      <c r="KO33" s="160" t="str">
        <f>IF(ISNUMBER(AO33),AO34-AO35,"")</f>
        <v/>
      </c>
      <c r="KP33" s="160" t="str">
        <f>IF(ISNUMBER(AP33),AP34-AP35,"")</f>
        <v/>
      </c>
      <c r="KQ33" s="160" t="str">
        <f>IF(ISNUMBER(AQ33),AQ34-AQ35,"")</f>
        <v/>
      </c>
      <c r="KR33" s="166" t="str">
        <f>IF(ISNUMBER(AR33),AR34-AR35,"")</f>
        <v/>
      </c>
      <c r="KS33" s="182" t="str">
        <f>IF(ISNUMBER(AN37),AN38-AN39,"")</f>
        <v/>
      </c>
      <c r="KT33" s="183" t="str">
        <f>IF(ISNUMBER(AO37),AO38-AO39,"")</f>
        <v/>
      </c>
      <c r="KU33" s="183" t="str">
        <f>IF(ISNUMBER(AP37),AP38-AP39,"")</f>
        <v/>
      </c>
      <c r="KV33" s="183" t="str">
        <f>IF(ISNUMBER(AQ37),AQ38-AQ39,"")</f>
        <v/>
      </c>
      <c r="KW33" s="183" t="str">
        <f>IF(ISNUMBER(AR37),AR38-AR39,"")</f>
        <v/>
      </c>
      <c r="KX33" s="1274">
        <f>IF(KU38="NP",0,KU38)*100</f>
        <v>0</v>
      </c>
      <c r="KY33" s="193">
        <v>1</v>
      </c>
      <c r="KZ33" s="194">
        <v>2</v>
      </c>
      <c r="LA33" s="182">
        <f>IF(ISNUMBER(AT37),AU37-AV37,"")</f>
        <v>0</v>
      </c>
      <c r="LB33" s="183">
        <f>IF(ISNUMBER(AW37),AX37-AY37,"")</f>
        <v>0</v>
      </c>
      <c r="LC33" s="197"/>
      <c r="LD33" s="198"/>
      <c r="LE33" s="204" t="s">
        <v>29</v>
      </c>
      <c r="LF33" s="204" t="s">
        <v>30</v>
      </c>
      <c r="LG33" s="204" t="s">
        <v>31</v>
      </c>
      <c r="LH33" s="204" t="s">
        <v>32</v>
      </c>
      <c r="LI33" s="204" t="s">
        <v>33</v>
      </c>
      <c r="LJ33" s="204">
        <v>4</v>
      </c>
      <c r="LK33" s="204">
        <v>10</v>
      </c>
      <c r="LL33" s="204">
        <v>40</v>
      </c>
      <c r="LM33" s="205">
        <v>200</v>
      </c>
      <c r="LN33" s="208"/>
      <c r="LO33" s="209"/>
      <c r="LP33" s="209"/>
      <c r="LQ33" s="209"/>
      <c r="LR33" s="210"/>
      <c r="LS33" s="213"/>
      <c r="LT33" s="121"/>
      <c r="LU33" s="121"/>
      <c r="LV33" s="121"/>
      <c r="LW33" s="121"/>
      <c r="LX33" s="121"/>
      <c r="LY33" s="121"/>
      <c r="LZ33" s="121"/>
      <c r="MA33" s="121"/>
      <c r="MB33" s="121"/>
      <c r="MC33" s="121"/>
      <c r="MD33" s="121"/>
      <c r="ME33" s="126"/>
      <c r="MF33" s="208"/>
      <c r="MG33" s="209"/>
      <c r="MH33" s="209"/>
      <c r="MI33" s="209"/>
      <c r="MJ33" s="209"/>
      <c r="MK33" s="209"/>
      <c r="ML33" s="209"/>
      <c r="MM33" s="209"/>
      <c r="MN33" s="209"/>
      <c r="MO33" s="209"/>
      <c r="MP33" s="209"/>
      <c r="MQ33" s="209"/>
      <c r="MR33" s="209"/>
      <c r="MS33" s="209"/>
      <c r="MT33" s="209"/>
      <c r="MU33" s="209"/>
      <c r="MV33" s="209"/>
      <c r="MW33" s="209"/>
      <c r="MX33" s="209"/>
      <c r="MY33" s="209"/>
      <c r="MZ33" s="209"/>
      <c r="NA33" s="209"/>
      <c r="NB33" s="209"/>
      <c r="NC33" s="209"/>
      <c r="ND33" s="209"/>
      <c r="NE33" s="209"/>
      <c r="NF33" s="209"/>
      <c r="NG33" s="209"/>
      <c r="NH33" s="209"/>
      <c r="NI33" s="209"/>
      <c r="NJ33" s="209"/>
      <c r="NK33" s="209"/>
      <c r="NL33" s="209"/>
      <c r="NM33" s="209"/>
      <c r="NN33" s="209"/>
      <c r="NO33" s="209"/>
      <c r="NP33" s="209"/>
      <c r="NQ33" s="209"/>
      <c r="NR33" s="209"/>
      <c r="NS33" s="209"/>
      <c r="NT33" s="209"/>
      <c r="NU33" s="209"/>
      <c r="NV33" s="209"/>
      <c r="NW33" s="209"/>
      <c r="NX33" s="209"/>
      <c r="NY33" s="209"/>
      <c r="NZ33" s="209"/>
      <c r="OA33" s="209"/>
      <c r="OB33" s="209"/>
      <c r="OC33" s="209"/>
      <c r="OD33" s="210"/>
      <c r="OE33" s="132"/>
      <c r="OF33" s="132"/>
      <c r="OG33" s="132"/>
      <c r="OH33" s="132"/>
    </row>
    <row r="34" spans="1:398" ht="15" hidden="1" customHeight="1" x14ac:dyDescent="0.3">
      <c r="A34" s="1337"/>
      <c r="B34" s="723" t="s">
        <v>34</v>
      </c>
      <c r="C34" s="665"/>
      <c r="D34" s="724" t="s">
        <v>35</v>
      </c>
      <c r="E34" s="725">
        <f>A33</f>
        <v>5</v>
      </c>
      <c r="F34" s="1369" t="s">
        <v>36</v>
      </c>
      <c r="G34" s="726" t="s">
        <v>37</v>
      </c>
      <c r="H34" s="727"/>
      <c r="I34" s="723" t="s">
        <v>38</v>
      </c>
      <c r="J34" s="667"/>
      <c r="K34" s="667"/>
      <c r="L34" s="667"/>
      <c r="M34" s="667"/>
      <c r="N34" s="667"/>
      <c r="O34" s="667"/>
      <c r="P34" s="669">
        <v>10</v>
      </c>
      <c r="Q34" s="670">
        <v>21</v>
      </c>
      <c r="R34" s="669"/>
      <c r="S34" s="670"/>
      <c r="T34" s="1181"/>
      <c r="U34" s="728"/>
      <c r="V34" s="729">
        <v>0.45833333333333331</v>
      </c>
      <c r="W34" s="729"/>
      <c r="X34" s="729"/>
      <c r="Y34" s="729"/>
      <c r="Z34" s="673"/>
      <c r="AA34" s="673"/>
      <c r="AB34" s="673"/>
      <c r="AC34" s="673"/>
      <c r="AD34" s="675"/>
      <c r="AE34" s="675"/>
      <c r="AF34" s="675"/>
      <c r="AG34" s="675"/>
      <c r="AH34" s="675"/>
      <c r="AI34" s="675"/>
      <c r="AJ34" s="675"/>
      <c r="AK34" s="677"/>
      <c r="AL34" s="1355"/>
      <c r="AM34" s="730" t="s">
        <v>39</v>
      </c>
      <c r="AN34" s="731"/>
      <c r="AO34" s="731"/>
      <c r="AP34" s="731"/>
      <c r="AQ34" s="731"/>
      <c r="AR34" s="732"/>
      <c r="AS34" s="1358"/>
      <c r="AT34" s="1321" t="s">
        <v>40</v>
      </c>
      <c r="AU34" s="1322"/>
      <c r="AV34" s="1323"/>
      <c r="AW34" s="1324" t="s">
        <v>41</v>
      </c>
      <c r="AX34" s="1325"/>
      <c r="AY34" s="1326"/>
      <c r="AZ34" s="1327" t="s">
        <v>42</v>
      </c>
      <c r="BA34" s="1328"/>
      <c r="BB34" s="1328"/>
      <c r="BC34" s="1328"/>
      <c r="BD34" s="1328"/>
      <c r="BE34" s="1328"/>
      <c r="BF34" s="1329"/>
      <c r="BG34" s="733" t="s">
        <v>43</v>
      </c>
      <c r="BH34" s="733" t="s">
        <v>44</v>
      </c>
      <c r="BI34" s="1327" t="s">
        <v>42</v>
      </c>
      <c r="BJ34" s="1328"/>
      <c r="BK34" s="1329"/>
      <c r="BL34" s="1319"/>
      <c r="BM34" s="1307"/>
      <c r="BN34" s="62" t="s">
        <v>45</v>
      </c>
      <c r="BO34" s="104" t="str">
        <f>IF(ISNUMBER(J34),LOOKUP(J34,Tara!$C$6:$C$185,Tara!$D$6:$D$185),"")</f>
        <v/>
      </c>
      <c r="BP34" s="104" t="str">
        <f>IF(ISNUMBER(K34),LOOKUP(K34,Tara!$C$6:$C$185,Tara!$D$6:$D$185),"")</f>
        <v/>
      </c>
      <c r="BQ34" s="104" t="str">
        <f>IF(ISNUMBER(L34),LOOKUP(L34,Tara!$C$6:$C$185,Tara!$D$6:$D$185),"")</f>
        <v/>
      </c>
      <c r="BR34" s="104" t="str">
        <f>IF(ISNUMBER(M34),LOOKUP(M34,Tara!$C$6:$C$185,Tara!$D$6:$D$185),"")</f>
        <v/>
      </c>
      <c r="BS34" s="104" t="str">
        <f>IF(ISNUMBER(N34),LOOKUP(N34,Tara!$C$6:$C$185,Tara!$D$6:$D$185),"")</f>
        <v/>
      </c>
      <c r="BT34" s="104" t="str">
        <f>IF(ISNUMBER(O34),LOOKUP(O34,Tara!$C$6:$C$185,Tara!$D$6:$D$185),"")</f>
        <v/>
      </c>
      <c r="BU34" s="104">
        <f>IF(ISNUMBER(P34),LOOKUP(P34,Tara!$C$6:$C$185,Tara!$D$6:$D$185),"")</f>
        <v>24.1</v>
      </c>
      <c r="BV34" s="104">
        <f>IF(ISNUMBER(Q34),LOOKUP(Q34,Tara!$C$6:$C$185,Tara!$D$6:$D$185),"")</f>
        <v>14.81</v>
      </c>
      <c r="BW34" s="1310"/>
      <c r="BX34" s="108" t="s">
        <v>46</v>
      </c>
      <c r="BY34" s="66">
        <f>IF(ISNUMBER(J38),LOOKUP(J38,Tara!$G$6:$G$185,Tara!$H$6:$H$185),"")</f>
        <v>5530</v>
      </c>
      <c r="BZ34" s="66">
        <f>IF(ISNUMBER(K38),LOOKUP(K38,Tara!$G$6:$G$185,Tara!$H$6:$H$185),"")</f>
        <v>5294</v>
      </c>
      <c r="CA34" s="66">
        <f>IF(ISNUMBER(L38),LOOKUP(L38,Tara!$G$6:$G$185,Tara!$H$6:$H$185),"")</f>
        <v>5222</v>
      </c>
      <c r="CB34" s="66">
        <f>IF(ISNUMBER(M38),LOOKUP(M38,Tara!$G$6:$G$185,Tara!$H$6:$H$185),"")</f>
        <v>5130</v>
      </c>
      <c r="CC34" s="66">
        <f>IF(ISNUMBER(N38),LOOKUP(N38,Tara!$G$6:$G$185,Tara!$H$6:$H$185),"")</f>
        <v>5530</v>
      </c>
      <c r="CD34" s="66" t="str">
        <f>IF(ISNUMBER(O38),LOOKUP(O38,Tara!$G$6:$G$185,Tara!$H$6:$H$185),"")</f>
        <v/>
      </c>
      <c r="CE34" s="78">
        <f t="shared" ref="CE34" si="403">IF(J33&lt;&gt;"",BY39,"")</f>
        <v>1898.326664201988</v>
      </c>
      <c r="CF34" s="78">
        <f t="shared" ref="CF34" si="404">IF(K33&lt;&gt;"",BZ39,"")</f>
        <v>2018.6054093588696</v>
      </c>
      <c r="CG34" s="78">
        <f t="shared" ref="CG34" si="405">IF(L33&lt;&gt;"",CA39,"")</f>
        <v>2245.588255080645</v>
      </c>
      <c r="CH34" s="78">
        <f t="shared" ref="CH34" si="406">IF(M33&lt;&gt;"",CB39,"")</f>
        <v>2228.1069891827028</v>
      </c>
      <c r="CI34" s="78">
        <f t="shared" ref="CI34" si="407">IF(N33&lt;&gt;"",CC39,"")</f>
        <v>1980.6167760887652</v>
      </c>
      <c r="CJ34" s="257" t="str">
        <f t="shared" ref="CJ34" si="408">IF(O33&lt;&gt;"",CD39,"")</f>
        <v/>
      </c>
      <c r="CK34" s="75">
        <f>AVERAGE(CE34:CJ34)</f>
        <v>2074.2488187825938</v>
      </c>
      <c r="CL34" s="75">
        <f t="shared" ref="CL34" si="409">IF(ISNUMBER(CE38),CE38^2,"")</f>
        <v>7.8078425542389158E-6</v>
      </c>
      <c r="CM34" s="75">
        <f t="shared" ref="CM34" si="410">IF(ISNUMBER(CF38),CF38^2,"")</f>
        <v>3.4421185892163551E-6</v>
      </c>
      <c r="CN34" s="75">
        <f t="shared" ref="CN34" si="411">IF(ISNUMBER(CG38),CG38^2,"")</f>
        <v>2.0991873666276597E-7</v>
      </c>
      <c r="CO34" s="75">
        <f t="shared" ref="CO34" si="412">IF(ISNUMBER(CH38),CH38^2,"")</f>
        <v>1.9519606385597285E-6</v>
      </c>
      <c r="CP34" s="75">
        <f t="shared" ref="CP34" si="413">IF(ISNUMBER(CI38),CI38^2,"")</f>
        <v>1.3768474356865417E-5</v>
      </c>
      <c r="CQ34" s="75" t="str">
        <f t="shared" ref="CQ34" si="414">IF(ISNUMBER(CJ38),CJ38^2,"")</f>
        <v/>
      </c>
      <c r="CR34" s="65">
        <f>SUM(CL34:CQ34)</f>
        <v>2.7180314875543181E-5</v>
      </c>
      <c r="CS34" s="338" t="s">
        <v>47</v>
      </c>
      <c r="CT34" s="339">
        <f>CM39*CT33^2+CO39*CT33+CQ39</f>
        <v>2219.2468551635602</v>
      </c>
      <c r="CU34" s="104" t="str">
        <f>IF(ISNUMBER(R34),LOOKUP(R34,Tara!$C$6:$C$185,Tara!$D$6:$D$185),"")</f>
        <v/>
      </c>
      <c r="CV34" s="104" t="str">
        <f>IF(ISNUMBER(S34),LOOKUP(S34,Tara!$C$6:$C$185,Tara!$D$6:$D$185),"")</f>
        <v/>
      </c>
      <c r="CW34" s="1313"/>
      <c r="CX34" s="123" t="str">
        <f t="shared" ref="CX34" si="415">IF(ISNUMBER(AD34),AD34*$W37,"")</f>
        <v/>
      </c>
      <c r="CY34" s="116" t="str">
        <f t="shared" ref="CY34" si="416">IF(ISNUMBER(AE34),AE34*$W37,"")</f>
        <v/>
      </c>
      <c r="CZ34" s="116" t="str">
        <f t="shared" ref="CZ34" si="417">IF(ISNUMBER(AF34),AF34*$W37,"")</f>
        <v/>
      </c>
      <c r="DA34" s="116" t="str">
        <f t="shared" ref="DA34" si="418">IF(ISNUMBER(AG34),AG34*$W37,"")</f>
        <v/>
      </c>
      <c r="DB34" s="116" t="str">
        <f t="shared" ref="DB34" si="419">IF(ISNUMBER(AH34),AH34*$W37,"")</f>
        <v/>
      </c>
      <c r="DC34" s="116" t="str">
        <f t="shared" ref="DC34" si="420">IF(ISNUMBER(AI34),AI34*$W37,"")</f>
        <v/>
      </c>
      <c r="DD34" s="116" t="str">
        <f t="shared" ref="DD34" si="421">IF(ISNUMBER(AJ34),AJ34*$W37,"")</f>
        <v/>
      </c>
      <c r="DE34" s="116" t="str">
        <f t="shared" ref="DE34" si="422">IF(ISNUMBER(AK34),AK34*$W37,"")</f>
        <v/>
      </c>
      <c r="DF34" s="719" t="str">
        <f>IF(CX34&lt;&gt;"",AVERAGE(CX34:DE34),"")</f>
        <v/>
      </c>
      <c r="DG34" s="119" t="str">
        <f t="shared" ref="DG34:DG35" si="423">IF(ISERROR(CX36*CX37),"",CX36*CX37)</f>
        <v/>
      </c>
      <c r="DH34" s="119" t="str">
        <f t="shared" ref="DH34:DH35" si="424">IF(ISERROR(CY36*CY37),"",CY36*CY37)</f>
        <v/>
      </c>
      <c r="DI34" s="119" t="str">
        <f t="shared" ref="DI34:DI35" si="425">IF(ISERROR(CZ36*CZ37),"",CZ36*CZ37)</f>
        <v/>
      </c>
      <c r="DJ34" s="119" t="str">
        <f t="shared" ref="DJ34:DJ35" si="426">IF(ISERROR(DA36*DA37),"",DA36*DA37)</f>
        <v/>
      </c>
      <c r="DK34" s="119" t="str">
        <f t="shared" ref="DK34:DK35" si="427">IF(ISERROR(DB36*DB37),"",DB36*DB37)</f>
        <v/>
      </c>
      <c r="DL34" s="119" t="str">
        <f t="shared" ref="DL34:DL35" si="428">IF(ISERROR(DC36*DC37),"",DC36*DC37)</f>
        <v/>
      </c>
      <c r="DM34" s="119" t="str">
        <f t="shared" ref="DM34:DM35" si="429">IF(ISERROR(DD36*DD37),"",DD36*DD37)</f>
        <v/>
      </c>
      <c r="DN34" s="119" t="str">
        <f t="shared" ref="DN34:DN35" si="430">IF(ISERROR(DE36*DE37),"",DE36*DE37)</f>
        <v/>
      </c>
      <c r="DO34" s="119" t="str">
        <f>IF(DG34&lt;&gt;"",SUM(DG34:DN34),"")</f>
        <v/>
      </c>
      <c r="DP34" s="120" t="str">
        <f>IF(DJ38&lt;&gt;"",(DP33-DJ38)/DJ37,"")</f>
        <v/>
      </c>
      <c r="DQ34" s="119" t="str">
        <f>IF(DP34="","",IF(DP34&gt;0,DT35+DP34,-1))</f>
        <v/>
      </c>
      <c r="DR34" s="119" t="str">
        <f>IF(DP34="","",IF(DP34&gt;0,DV35+DP34,-1))</f>
        <v/>
      </c>
      <c r="DS34" s="119" t="str">
        <f>IF(DP34="","",IF(DP34&gt;0,DQ34,-1))</f>
        <v/>
      </c>
      <c r="DT34" s="119" t="str">
        <f>IF(DP34="","",IF(DP34&gt;0,DR34,-1))</f>
        <v/>
      </c>
      <c r="DU34" s="119" t="str">
        <f>IF(DP34="","",IF(DP34&gt;0,DT35,-1))</f>
        <v/>
      </c>
      <c r="DV34" s="119" t="str">
        <f>IF(DP34="","",IF(DP34&gt;0,DQ34,-1))</f>
        <v/>
      </c>
      <c r="DW34" s="119" t="str">
        <f>IF(DP34="","",IF(DP34&gt;0,DS34,-1))</f>
        <v/>
      </c>
      <c r="DX34" s="1182" t="str">
        <f>IF(DP34="","",IF(DP34&gt;0,DS34,-1))</f>
        <v/>
      </c>
      <c r="DY34" s="123">
        <f t="shared" ref="DY34" si="431">IF(ISNUMBER(AD35),AD35*$W37,"")</f>
        <v>19.200000000000003</v>
      </c>
      <c r="DZ34" s="116">
        <f t="shared" ref="DZ34" si="432">IF(ISNUMBER(AE35),AE35*$W37,"")</f>
        <v>32.5</v>
      </c>
      <c r="EA34" s="116">
        <f t="shared" ref="EA34" si="433">IF(ISNUMBER(AF35),AF35*$W37,"")</f>
        <v>41</v>
      </c>
      <c r="EB34" s="116">
        <f t="shared" ref="EB34" si="434">IF(ISNUMBER(AG35),AG35*$W37,"")</f>
        <v>54.6</v>
      </c>
      <c r="EC34" s="116">
        <f t="shared" ref="EC34" si="435">IF(ISNUMBER(AH35),AH35*$W37,"")</f>
        <v>71</v>
      </c>
      <c r="ED34" s="116">
        <f t="shared" ref="ED34" si="436">IF(ISNUMBER(AI35),AI35*$W37,"")</f>
        <v>81.900000000000006</v>
      </c>
      <c r="EE34" s="116">
        <f t="shared" ref="EE34" si="437">IF(ISNUMBER(AJ35),AJ35*$W37,"")</f>
        <v>92.800000000000011</v>
      </c>
      <c r="EF34" s="116">
        <f t="shared" ref="EF34" si="438">IF(ISNUMBER(AK35),AK35*$W37,"")</f>
        <v>107.9</v>
      </c>
      <c r="EG34" s="116">
        <f>IF(DY34&lt;&gt;"",AVERAGE(DY34:EF34),"")</f>
        <v>62.612500000000011</v>
      </c>
      <c r="EH34" s="119">
        <f t="shared" ref="EH34:EH35" si="439">IF(ISERROR(DY36*DY37),"",DY36*DY37)</f>
        <v>131.10575000000003</v>
      </c>
      <c r="EI34" s="119">
        <f t="shared" ref="EI34:EI35" si="440">IF(ISERROR(DZ36*DZ37),"",DZ36*DZ37)</f>
        <v>71.667750000000026</v>
      </c>
      <c r="EJ34" s="119">
        <f t="shared" ref="EJ34:EJ35" si="441">IF(ISERROR(EA36*EA37),"",EA36*EA37)</f>
        <v>37.82187500000002</v>
      </c>
      <c r="EK34" s="119">
        <f t="shared" ref="EK34:EK35" si="442">IF(ISERROR(EB36*EB37),"",EB36*EB37)</f>
        <v>8.8938750000000102</v>
      </c>
      <c r="EL34" s="119">
        <f t="shared" ref="EL34:EL35" si="443">IF(ISERROR(EC36*EC37),"",EC36*EC37)</f>
        <v>1.3419999999999994</v>
      </c>
      <c r="EM34" s="119">
        <f t="shared" ref="EM34:EM35" si="444">IF(ISERROR(ED36*ED37),"",ED36*ED37)</f>
        <v>27.581124999999997</v>
      </c>
      <c r="EN34" s="119">
        <f t="shared" ref="EN34:EN35" si="445">IF(ISERROR(EE36*EE37),"",EE36*EE37)</f>
        <v>81.506249999999994</v>
      </c>
      <c r="EO34" s="119">
        <f t="shared" ref="EO34:EO35" si="446">IF(ISERROR(EF36*EF37),"",EF36*EF37)</f>
        <v>179.79137499999999</v>
      </c>
      <c r="EP34" s="119">
        <f>IF(EH34&lt;&gt;"",SUM(EH34:EO34),"")</f>
        <v>539.71000000000015</v>
      </c>
      <c r="EQ34" s="120">
        <f>IF(EK38&lt;&gt;"",(EQ33-EK38)/EK37,"")</f>
        <v>-1.5568998821121214</v>
      </c>
      <c r="ER34" s="119">
        <f>IF(EQ34="","",IF(EQ34&gt;0,EU35+EQ34,-1))</f>
        <v>-1</v>
      </c>
      <c r="ES34" s="119">
        <f>IF(EQ34="","",IF(EQ34&gt;0,EW35+EQ34,-1))</f>
        <v>-1</v>
      </c>
      <c r="ET34" s="119">
        <f>IF(EQ34="","",IF(EQ34&gt;0,ER34,-1))</f>
        <v>-1</v>
      </c>
      <c r="EU34" s="119">
        <f>IF(EQ34="","",IF(EQ34&gt;0,ES34,-1))</f>
        <v>-1</v>
      </c>
      <c r="EV34" s="119">
        <f>IF(EQ34="","",IF(EQ34&gt;0,EU35,-1))</f>
        <v>-1</v>
      </c>
      <c r="EW34" s="119">
        <f>IF(EQ34="","",IF(EQ34&gt;0,ER34,-1))</f>
        <v>-1</v>
      </c>
      <c r="EX34" s="119">
        <f>IF(EQ34="","",IF(EQ34&gt;0,ET34,-1))</f>
        <v>-1</v>
      </c>
      <c r="EY34" s="1182">
        <f>IF(EQ34="","",IF(EQ34&gt;0,ET34,-1))</f>
        <v>-1</v>
      </c>
      <c r="EZ34" s="123">
        <f t="shared" ref="EZ34" si="447">IF(ISNUMBER(AD36),AD36*$W37,"")</f>
        <v>20.100000000000001</v>
      </c>
      <c r="FA34" s="116">
        <f t="shared" ref="FA34" si="448">IF(ISNUMBER(AE36),AE36*$W37,"")</f>
        <v>42.1</v>
      </c>
      <c r="FB34" s="116">
        <f t="shared" ref="FB34" si="449">IF(ISNUMBER(AF36),AF36*$W37,"")</f>
        <v>62.2</v>
      </c>
      <c r="FC34" s="116">
        <f t="shared" ref="FC34" si="450">IF(ISNUMBER(AG36),AG36*$W37,"")</f>
        <v>73.2</v>
      </c>
      <c r="FD34" s="116">
        <f t="shared" ref="FD34" si="451">IF(ISNUMBER(AH36),AH36*$W37,"")</f>
        <v>91.5</v>
      </c>
      <c r="FE34" s="116">
        <f t="shared" ref="FE34" si="452">IF(ISNUMBER(AI36),AI36*$W37,"")</f>
        <v>109.80000000000001</v>
      </c>
      <c r="FF34" s="116">
        <f t="shared" ref="FF34" si="453">IF(ISNUMBER(AJ36),AJ36*$W37,"")</f>
        <v>126.30000000000001</v>
      </c>
      <c r="FG34" s="116">
        <f t="shared" ref="FG34" si="454">IF(ISNUMBER(AK36),AK36*$W37,"")</f>
        <v>139.1</v>
      </c>
      <c r="FH34" s="116">
        <f>IF(EZ34&lt;&gt;"",AVERAGE(EZ34:FG34),"")</f>
        <v>83.037500000000009</v>
      </c>
      <c r="FI34" s="119">
        <f t="shared" ref="FI34:FI35" si="455">IF(ISERROR(EZ36*EZ37),"",EZ36*EZ37)</f>
        <v>190.07125000000002</v>
      </c>
      <c r="FJ34" s="119">
        <f t="shared" ref="FJ34:FJ35" si="456">IF(ISERROR(FA36*FA37),"",FA36*FA37)</f>
        <v>97.431250000000006</v>
      </c>
      <c r="FK34" s="119">
        <f t="shared" ref="FK34:FK35" si="457">IF(ISERROR(FB36*FB37),"",FB36*FB37)</f>
        <v>36.46562500000001</v>
      </c>
      <c r="FL34" s="119">
        <f t="shared" ref="FL34:FL35" si="458">IF(ISERROR(FC36*FC37),"",FC36*FC37)</f>
        <v>10.919625000000005</v>
      </c>
      <c r="FM34" s="119">
        <f t="shared" ref="FM34:FM35" si="459">IF(ISERROR(FD36*FD37),"",FD36*FD37)</f>
        <v>1.3539999999999999</v>
      </c>
      <c r="FN34" s="119">
        <f t="shared" ref="FN34:FN35" si="460">IF(ISERROR(FE36*FE37),"",FE36*FE37)</f>
        <v>38.270375000000008</v>
      </c>
      <c r="FO34" s="119">
        <f t="shared" ref="FO34:FO35" si="461">IF(ISERROR(FF36*FF37),"",FF36*FF37)</f>
        <v>116.80874999999999</v>
      </c>
      <c r="FP34" s="119">
        <f t="shared" ref="FP34:FP35" si="462">IF(ISERROR(FG36*FG37),"",FG36*FG37)</f>
        <v>222.56812499999995</v>
      </c>
      <c r="FQ34" s="119">
        <f>IF(FI34&lt;&gt;"",SUM(FI34:FP34),"")</f>
        <v>713.8889999999999</v>
      </c>
      <c r="FR34" s="120">
        <f>IF(FL38&lt;&gt;"",(FR33-FL38)/FL37,"")</f>
        <v>-1.5994704036685896</v>
      </c>
      <c r="FS34" s="119">
        <f>IF(FR34="","",IF(FR34&gt;0,FV35+FR34,-1))</f>
        <v>-1</v>
      </c>
      <c r="FT34" s="119">
        <f>IF(FR34="","",IF(FR34&gt;0,FX35+FR34,-1))</f>
        <v>-1</v>
      </c>
      <c r="FU34" s="119">
        <f>IF(FR34="","",IF(FR34&gt;0,FS34,-1))</f>
        <v>-1</v>
      </c>
      <c r="FV34" s="119">
        <f>IF(FR34="","",IF(FR34&gt;0,FT34,-1))</f>
        <v>-1</v>
      </c>
      <c r="FW34" s="119">
        <f>IF(FR34="","",IF(FR34&gt;0,FV35,-1))</f>
        <v>-1</v>
      </c>
      <c r="FX34" s="119">
        <f>IF(FR34="","",IF(FR34&gt;0,FS34,-1))</f>
        <v>-1</v>
      </c>
      <c r="FY34" s="119">
        <f>IF(FR34="","",IF(FR34&gt;0,FU34,-1))</f>
        <v>-1</v>
      </c>
      <c r="FZ34" s="1182">
        <f>IF(FR34="","",IF(FR34&gt;0,FU34,-1))</f>
        <v>-1</v>
      </c>
      <c r="GA34" s="123">
        <f t="shared" ref="GA34" si="463">IF(ISNUMBER(AD37),AD37*$W37,"")</f>
        <v>15</v>
      </c>
      <c r="GB34" s="116">
        <f t="shared" ref="GB34" si="464">IF(ISNUMBER(AE37),AE37*$W37,"")</f>
        <v>30.1</v>
      </c>
      <c r="GC34" s="116">
        <f t="shared" ref="GC34" si="465">IF(ISNUMBER(AF37),AF37*$W37,"")</f>
        <v>49.6</v>
      </c>
      <c r="GD34" s="116">
        <f t="shared" ref="GD34" si="466">IF(ISNUMBER(AG37),AG37*$W37,"")</f>
        <v>60.2</v>
      </c>
      <c r="GE34" s="116">
        <f t="shared" ref="GE34" si="467">IF(ISNUMBER(AH37),AH37*$W37,"")</f>
        <v>81.2</v>
      </c>
      <c r="GF34" s="116">
        <f t="shared" ref="GF34" si="468">IF(ISNUMBER(AI37),AI37*$W37,"")</f>
        <v>90.2</v>
      </c>
      <c r="GG34" s="116">
        <f t="shared" ref="GG34" si="469">IF(ISNUMBER(AJ37),AJ37*$W37,"")</f>
        <v>102.30000000000001</v>
      </c>
      <c r="GH34" s="116">
        <f t="shared" ref="GH34" si="470">IF(ISNUMBER(AK37),AK37*$W37,"")</f>
        <v>117.30000000000001</v>
      </c>
      <c r="GI34" s="116">
        <f>IF(GA34&lt;&gt;"",AVERAGE(GA34:GH34),"")</f>
        <v>68.237500000000011</v>
      </c>
      <c r="GJ34" s="119">
        <f t="shared" ref="GJ34:GJ35" si="471">IF(ISERROR(GA36*GA37),"",GA36*GA37)</f>
        <v>160.77725000000004</v>
      </c>
      <c r="GK34" s="119">
        <f t="shared" ref="GK34:GK35" si="472">IF(ISERROR(GB36*GB37),"",GB36*GB37)</f>
        <v>90.767250000000018</v>
      </c>
      <c r="GL34" s="119">
        <f t="shared" ref="GL34:GL35" si="473">IF(ISERROR(GC36*GC37),"",GC36*GC37)</f>
        <v>32.615625000000016</v>
      </c>
      <c r="GM34" s="119">
        <f t="shared" ref="GM34:GM35" si="474">IF(ISERROR(GD36*GD37),"",GD36*GD37)</f>
        <v>8.9216250000000077</v>
      </c>
      <c r="GN34" s="119">
        <f t="shared" ref="GN34:GN35" si="475">IF(ISERROR(GE36*GE37),"",GE36*GE37)</f>
        <v>2.0740000000000003</v>
      </c>
      <c r="GO34" s="119">
        <f t="shared" ref="GO34:GO35" si="476">IF(ISERROR(GF36*GF37),"",GF36*GF37)</f>
        <v>31.40637499999999</v>
      </c>
      <c r="GP34" s="119">
        <f t="shared" ref="GP34:GP35" si="477">IF(ISERROR(GG36*GG37),"",GG36*GG37)</f>
        <v>91.968749999999986</v>
      </c>
      <c r="GQ34" s="119">
        <f t="shared" ref="GQ34:GQ35" si="478">IF(ISERROR(GH36*GH37),"",GH36*GH37)</f>
        <v>194.77812500000002</v>
      </c>
      <c r="GR34" s="119">
        <f>IF(GJ34&lt;&gt;"",SUM(GJ34:GQ34),"")</f>
        <v>613.30900000000008</v>
      </c>
      <c r="GS34" s="120">
        <f>IF(GM38&lt;&gt;"",(GS33-GM38)/GM37,"")</f>
        <v>-1.3984002906804747</v>
      </c>
      <c r="GT34" s="119">
        <f>IF(GS34="","",IF(GS34&gt;0,GW35+GS34,-1))</f>
        <v>-1</v>
      </c>
      <c r="GU34" s="119">
        <f>IF(GS34="","",IF(GS34&gt;0,GY35+GS34,-1))</f>
        <v>-1</v>
      </c>
      <c r="GV34" s="119">
        <f>IF(GS34="","",IF(GS34&gt;0,GT34,-1))</f>
        <v>-1</v>
      </c>
      <c r="GW34" s="119">
        <f>IF(GS34="","",IF(GS34&gt;0,GU34,-1))</f>
        <v>-1</v>
      </c>
      <c r="GX34" s="119">
        <f>IF(GS34="","",IF(GS34&gt;0,GW35,-1))</f>
        <v>-1</v>
      </c>
      <c r="GY34" s="119">
        <f>IF(GS34="","",IF(GS34&gt;0,GT34,-1))</f>
        <v>-1</v>
      </c>
      <c r="GZ34" s="119">
        <f>IF(GS34="","",IF(GS34&gt;0,GV34,-1))</f>
        <v>-1</v>
      </c>
      <c r="HA34" s="1182">
        <f>IF(GS34="","",IF(GS34&gt;0,GV34,-1))</f>
        <v>-1</v>
      </c>
      <c r="HB34" s="123" t="str">
        <f t="shared" ref="HB34" si="479">IF(ISNUMBER(AD38),AD38*$W37,"")</f>
        <v/>
      </c>
      <c r="HC34" s="116" t="str">
        <f t="shared" ref="HC34" si="480">IF(ISNUMBER(AE38),AE38*$W37,"")</f>
        <v/>
      </c>
      <c r="HD34" s="116" t="str">
        <f t="shared" ref="HD34" si="481">IF(ISNUMBER(AF38),AF38*$W37,"")</f>
        <v/>
      </c>
      <c r="HE34" s="116" t="str">
        <f t="shared" ref="HE34" si="482">IF(ISNUMBER(AG38),AG38*$W37,"")</f>
        <v/>
      </c>
      <c r="HF34" s="116" t="str">
        <f t="shared" ref="HF34" si="483">IF(ISNUMBER(AH38),AH38*$W37,"")</f>
        <v/>
      </c>
      <c r="HG34" s="116" t="str">
        <f t="shared" ref="HG34" si="484">IF(ISNUMBER(AI38),AI38*$W37,"")</f>
        <v/>
      </c>
      <c r="HH34" s="116" t="str">
        <f t="shared" ref="HH34" si="485">IF(ISNUMBER(AJ38),AJ38*$W37,"")</f>
        <v/>
      </c>
      <c r="HI34" s="116" t="str">
        <f t="shared" ref="HI34" si="486">IF(ISNUMBER(AK38),AK38*$W37,"")</f>
        <v/>
      </c>
      <c r="HJ34" s="116" t="str">
        <f>IF(HB34&lt;&gt;"",AVERAGE(HB34:HI34),"")</f>
        <v/>
      </c>
      <c r="HK34" s="119" t="str">
        <f t="shared" ref="HK34:HK35" si="487">IF(ISERROR(HB36*HB37),"",HB36*HB37)</f>
        <v/>
      </c>
      <c r="HL34" s="119" t="str">
        <f t="shared" ref="HL34:HL35" si="488">IF(ISERROR(HC36*HC37),"",HC36*HC37)</f>
        <v/>
      </c>
      <c r="HM34" s="119" t="str">
        <f t="shared" ref="HM34:HM35" si="489">IF(ISERROR(HD36*HD37),"",HD36*HD37)</f>
        <v/>
      </c>
      <c r="HN34" s="119" t="str">
        <f t="shared" ref="HN34:HN35" si="490">IF(ISERROR(HE36*HE37),"",HE36*HE37)</f>
        <v/>
      </c>
      <c r="HO34" s="119" t="str">
        <f t="shared" ref="HO34:HO35" si="491">IF(ISERROR(HF36*HF37),"",HF36*HF37)</f>
        <v/>
      </c>
      <c r="HP34" s="119" t="str">
        <f t="shared" ref="HP34:HP35" si="492">IF(ISERROR(HG36*HG37),"",HG36*HG37)</f>
        <v/>
      </c>
      <c r="HQ34" s="119" t="str">
        <f t="shared" ref="HQ34:HQ35" si="493">IF(ISERROR(HH36*HH37),"",HH36*HH37)</f>
        <v/>
      </c>
      <c r="HR34" s="119" t="str">
        <f t="shared" ref="HR34:HR35" si="494">IF(ISERROR(HI36*HI37),"",HI36*HI37)</f>
        <v/>
      </c>
      <c r="HS34" s="119" t="str">
        <f>IF(HK34&lt;&gt;"",SUM(HK34:HR34),"")</f>
        <v/>
      </c>
      <c r="HT34" s="120" t="str">
        <f>IF(HN38&lt;&gt;"",(HT33-HN38)/HN37,"")</f>
        <v/>
      </c>
      <c r="HU34" s="119" t="str">
        <f>IF(HT34="","",IF(HT34&gt;0,HX35+HT34,-1))</f>
        <v/>
      </c>
      <c r="HV34" s="119" t="str">
        <f>IF(HT34="","",IF(HT34&gt;0,HZ35+HT34,-1))</f>
        <v/>
      </c>
      <c r="HW34" s="119" t="str">
        <f>IF(HT34="","",IF(HT34&gt;0,HU34,-1))</f>
        <v/>
      </c>
      <c r="HX34" s="119" t="str">
        <f>IF(HT34="","",IF(HT34&gt;0,HV34,-1))</f>
        <v/>
      </c>
      <c r="HY34" s="119" t="str">
        <f>IF(HT34="","",IF(HT34&gt;0,HX35,-1))</f>
        <v/>
      </c>
      <c r="HZ34" s="119" t="str">
        <f>IF(HT34="","",IF(HT34&gt;0,HU34,-1))</f>
        <v/>
      </c>
      <c r="IA34" s="119" t="str">
        <f>IF(HT34="","",IF(HT34&gt;0,HW34,-1))</f>
        <v/>
      </c>
      <c r="IB34" s="1182" t="str">
        <f>IF(HT34="","",IF(HT34&gt;0,HW34,-1))</f>
        <v/>
      </c>
      <c r="IC34" s="123" t="str">
        <f t="shared" ref="IC34" si="495">IF(ISNUMBER(AD39),AD39*$W37,"")</f>
        <v/>
      </c>
      <c r="ID34" s="116" t="str">
        <f t="shared" ref="ID34" si="496">IF(ISNUMBER(AE39),AE39*$W37,"")</f>
        <v/>
      </c>
      <c r="IE34" s="116" t="str">
        <f t="shared" ref="IE34" si="497">IF(ISNUMBER(AF39),AF39*$W37,"")</f>
        <v/>
      </c>
      <c r="IF34" s="116" t="str">
        <f t="shared" ref="IF34" si="498">IF(ISNUMBER(AG39),AG39*$W37,"")</f>
        <v/>
      </c>
      <c r="IG34" s="116" t="str">
        <f t="shared" ref="IG34" si="499">IF(ISNUMBER(AH39),AH39*$W37,"")</f>
        <v/>
      </c>
      <c r="IH34" s="116" t="str">
        <f t="shared" ref="IH34" si="500">IF(ISNUMBER(AI39),AI39*$W37,"")</f>
        <v/>
      </c>
      <c r="II34" s="116" t="str">
        <f t="shared" ref="II34" si="501">IF(ISNUMBER(AJ39),AJ39*$W37,"")</f>
        <v/>
      </c>
      <c r="IJ34" s="116" t="str">
        <f t="shared" ref="IJ34" si="502">IF(ISNUMBER(AK39),AK39*$W37,"")</f>
        <v/>
      </c>
      <c r="IK34" s="116" t="str">
        <f>IF(IC34&lt;&gt;"",AVERAGE(IC34:IJ34),"")</f>
        <v/>
      </c>
      <c r="IL34" s="119" t="str">
        <f t="shared" ref="IL34:IL35" si="503">IF(ISERROR(IC36*IC37),"",IC36*IC37)</f>
        <v/>
      </c>
      <c r="IM34" s="119" t="str">
        <f t="shared" ref="IM34:IM35" si="504">IF(ISERROR(ID36*ID37),"",ID36*ID37)</f>
        <v/>
      </c>
      <c r="IN34" s="119" t="str">
        <f t="shared" ref="IN34:IN35" si="505">IF(ISERROR(IE36*IE37),"",IE36*IE37)</f>
        <v/>
      </c>
      <c r="IO34" s="119" t="str">
        <f t="shared" ref="IO34:IO35" si="506">IF(ISERROR(IF36*IF37),"",IF36*IF37)</f>
        <v/>
      </c>
      <c r="IP34" s="119" t="str">
        <f t="shared" ref="IP34:IP35" si="507">IF(ISERROR(IG36*IG37),"",IG36*IG37)</f>
        <v/>
      </c>
      <c r="IQ34" s="119" t="str">
        <f t="shared" ref="IQ34:IQ35" si="508">IF(ISERROR(IH36*IH37),"",IH36*IH37)</f>
        <v/>
      </c>
      <c r="IR34" s="119" t="str">
        <f t="shared" ref="IR34:IR35" si="509">IF(ISERROR(II36*II37),"",II36*II37)</f>
        <v/>
      </c>
      <c r="IS34" s="119" t="str">
        <f t="shared" ref="IS34:IS35" si="510">IF(ISERROR(IJ36*IJ37),"",IJ36*IJ37)</f>
        <v/>
      </c>
      <c r="IT34" s="119" t="str">
        <f>IF(IL34&lt;&gt;"",SUM(IL34:IS34),"")</f>
        <v/>
      </c>
      <c r="IU34" s="120" t="str">
        <f>IF(IO38&lt;&gt;"",(IU33-IO38)/IO37,"")</f>
        <v/>
      </c>
      <c r="IV34" s="119" t="str">
        <f>IF(IU34="","",IF(IU34&gt;0,IY35+IU34,-1))</f>
        <v/>
      </c>
      <c r="IW34" s="119" t="str">
        <f>IF(IU34="","",IF(IU34&gt;0,JA35+IU34,-1))</f>
        <v/>
      </c>
      <c r="IX34" s="119" t="str">
        <f>IF(IU34="","",IF(IU34&gt;0,IV34,-1))</f>
        <v/>
      </c>
      <c r="IY34" s="119" t="str">
        <f>IF(IU34="","",IF(IU34&gt;0,IW34,-1))</f>
        <v/>
      </c>
      <c r="IZ34" s="119" t="str">
        <f>IF(IU34="","",IF(IU34&gt;0,IY35,-1))</f>
        <v/>
      </c>
      <c r="JA34" s="119" t="str">
        <f>IF(IU34="","",IF(IU34&gt;0,IV34,-1))</f>
        <v/>
      </c>
      <c r="JB34" s="119" t="str">
        <f>IF(IU34="","",IF(IU34&gt;0,IX34,-1))</f>
        <v/>
      </c>
      <c r="JC34" s="1182" t="str">
        <f>IF(IU34="","",IF(IU34&gt;0,IX34,-1))</f>
        <v/>
      </c>
      <c r="JD34" s="150">
        <f t="shared" si="388"/>
        <v>2</v>
      </c>
      <c r="JE34" s="144" t="str">
        <f>IF(JD33&lt;&gt;"",MAX(DV39,DX39),"")</f>
        <v/>
      </c>
      <c r="JF34" s="144">
        <f>IF(JD34&lt;&gt;"",MAX(EW39,EY39),"")</f>
        <v>77.659776218471464</v>
      </c>
      <c r="JG34" s="144">
        <f>IF(JD35&lt;&gt;"",MAX(FX39,FZ39),"")</f>
        <v>104.11530438080791</v>
      </c>
      <c r="JH34" s="144">
        <f>IF(JD36&lt;&gt;"",MAX(GY39,HA39),"")</f>
        <v>85.620822073673736</v>
      </c>
      <c r="JI34" s="144" t="str">
        <f>IF(JD37&lt;&gt;"",MAX(HZ39,IB39),"")</f>
        <v/>
      </c>
      <c r="JJ34" s="144" t="str">
        <f>IF(JJ33&lt;&gt;"",MAX(JA39,JC39),"")</f>
        <v/>
      </c>
      <c r="JK34" s="148">
        <f>AVERAGE(JE34:JJ34)</f>
        <v>89.131967557651024</v>
      </c>
      <c r="JL34" s="75" t="str">
        <f t="shared" ref="JL34" si="511">IF(ISNUMBER(JE38),JE38^2,"")</f>
        <v/>
      </c>
      <c r="JM34" s="75">
        <f t="shared" ref="JM34" si="512">IF(ISNUMBER(JF38),JF38^2,"")</f>
        <v>2.4020313472979895E-6</v>
      </c>
      <c r="JN34" s="75">
        <f t="shared" ref="JN34" si="513">IF(ISNUMBER(JG38),JG38^2,"")</f>
        <v>2.3324304073640619E-8</v>
      </c>
      <c r="JO34" s="75">
        <f t="shared" ref="JO34" si="514">IF(ISNUMBER(JH38),JH38^2,"")</f>
        <v>2.8987506641835316E-6</v>
      </c>
      <c r="JP34" s="75" t="str">
        <f t="shared" ref="JP34" si="515">IF(ISNUMBER(JI38),JI38^2,"")</f>
        <v/>
      </c>
      <c r="JQ34" s="75" t="str">
        <f t="shared" ref="JQ34" si="516">IF(ISNUMBER(JJ38),JJ38^2,"")</f>
        <v/>
      </c>
      <c r="JR34" s="65">
        <f>SUM(JL34:JQ34)</f>
        <v>5.324106315555162E-6</v>
      </c>
      <c r="JS34" s="138" t="s">
        <v>47</v>
      </c>
      <c r="JT34" s="1183">
        <f>JM39*JT33^2+JO39*JT33+JQ39</f>
        <v>104.29155086675536</v>
      </c>
      <c r="JU34" s="123">
        <f>IF(T35&lt;&gt;0,LOOKUP(T35,Tara!$G$6:$G$185,Tara!$J$6:$J$185)/10,"")</f>
        <v>11.494</v>
      </c>
      <c r="JV34" s="116">
        <f t="shared" si="395"/>
        <v>0.15999999999999992</v>
      </c>
      <c r="JW34" s="155">
        <f t="shared" si="396"/>
        <v>1.392030624673742E-3</v>
      </c>
      <c r="JX34" s="120" t="str">
        <f>IF(JD33&lt;&gt;"",JW33*100,"")</f>
        <v/>
      </c>
      <c r="JY34" s="120">
        <f>IF(JD34&lt;&gt;"",JW34*100,"")</f>
        <v>0.13920306246737421</v>
      </c>
      <c r="JZ34" s="120">
        <f>IF(JD35&lt;&gt;"",JW35*100,"")</f>
        <v>5.2173913043478314E-2</v>
      </c>
      <c r="KA34" s="120">
        <f>IF(JD36&lt;&gt;"",JW36*100,"")</f>
        <v>4.3557801202195344E-2</v>
      </c>
      <c r="KB34" s="120" t="str">
        <f>IF(JD37&lt;&gt;"",JW37*100,"")</f>
        <v/>
      </c>
      <c r="KC34" s="120" t="str">
        <f>IF(KC33&lt;&gt;"",JW38*100,"")</f>
        <v/>
      </c>
      <c r="KD34" s="148">
        <f>AVERAGE(JX34:KC34)</f>
        <v>7.8311592237682623E-2</v>
      </c>
      <c r="KE34" s="75" t="str">
        <f t="shared" ref="KE34" si="517">IF(ISNUMBER(JX38),JX38^2,"")</f>
        <v/>
      </c>
      <c r="KF34" s="75">
        <f t="shared" ref="KF34" si="518">IF(ISNUMBER(JY38),JY38^2,"")</f>
        <v>2.4020313472979895E-6</v>
      </c>
      <c r="KG34" s="75">
        <f t="shared" ref="KG34" si="519">IF(ISNUMBER(JZ38),JZ38^2,"")</f>
        <v>2.3324304073640619E-8</v>
      </c>
      <c r="KH34" s="75">
        <f t="shared" ref="KH34" si="520">IF(ISNUMBER(KA38),KA38^2,"")</f>
        <v>2.8987506641835316E-6</v>
      </c>
      <c r="KI34" s="75" t="str">
        <f t="shared" ref="KI34" si="521">IF(ISNUMBER(KB38),KB38^2,"")</f>
        <v/>
      </c>
      <c r="KJ34" s="75" t="str">
        <f t="shared" ref="KJ34" si="522">IF(ISNUMBER(KC38),KC38^2,"")</f>
        <v/>
      </c>
      <c r="KK34" s="65">
        <f>SUM(KE34:KJ34)</f>
        <v>5.324106315555162E-6</v>
      </c>
      <c r="KL34" s="138" t="s">
        <v>47</v>
      </c>
      <c r="KM34" s="1184">
        <f>KF39*KM33^2+KH39*KM33+KJ39</f>
        <v>3.7590853445751859E-2</v>
      </c>
      <c r="KN34" s="167" t="str">
        <f>IF(ISNUMBER(AN33),LOOKUP(AN33,Tara!$A$6:$A$185,Tara!$B$6:$B$185),"")</f>
        <v/>
      </c>
      <c r="KO34" s="161" t="str">
        <f>IF(ISNUMBER(AO33),LOOKUP(AO33,Tara!$A$6:$A$185,Tara!$B$6:$B$185),"")</f>
        <v/>
      </c>
      <c r="KP34" s="161" t="str">
        <f>IF(ISNUMBER(AP33),LOOKUP(AP33,Tara!$A$6:$A$185,Tara!$B$6:$B$185),"")</f>
        <v/>
      </c>
      <c r="KQ34" s="161" t="str">
        <f>IF(ISNUMBER(AQ33),LOOKUP(AQ33,Tara!$A$6:$A$185,Tara!$B$6:$B$185),"")</f>
        <v/>
      </c>
      <c r="KR34" s="1185" t="str">
        <f>IF(ISNUMBER(AR33),LOOKUP(AR33,Tara!$A$6:$A$185,Tara!$B$6:$B$185),"")</f>
        <v/>
      </c>
      <c r="KS34" s="167" t="str">
        <f>IF(ISNUMBER(AN37),LOOKUP(AN37,Tara!$E$6:$E$185,Tara!$F$6:$F$185),"")</f>
        <v/>
      </c>
      <c r="KT34" s="161" t="str">
        <f>IF(ISNUMBER(AO37),LOOKUP(AO37,Tara!$E$6:$E$185,Tara!$F$6:$F$185),"")</f>
        <v/>
      </c>
      <c r="KU34" s="161" t="str">
        <f>IF(ISNUMBER(AP37),LOOKUP(AP37,Tara!$E$6:$E$185,Tara!$F$6:$F$185),"")</f>
        <v/>
      </c>
      <c r="KV34" s="161" t="str">
        <f>IF(ISNUMBER(AQ37),LOOKUP(AQ37,Tara!$E$6:$E$185,Tara!$F$6:$F$185),"")</f>
        <v/>
      </c>
      <c r="KW34" s="161" t="str">
        <f>IF(ISNUMBER(AR37),LOOKUP(AR37,Tara!$E$6:$E$185,Tara!$F$6:$F$185),"")</f>
        <v/>
      </c>
      <c r="KX34" s="1275"/>
      <c r="KY34" s="195" t="str">
        <f>IF(AX38&lt;&gt;"",AX38,"")</f>
        <v/>
      </c>
      <c r="KZ34" s="1186" t="str">
        <f>IF(BA38&lt;&gt;"",BA38,"")</f>
        <v/>
      </c>
      <c r="LA34" s="167">
        <f>IF(ISNUMBER(AT37),LOOKUP(AT37,Tara!$C$6:$C$185,Tara!$D$6:$D$185),"")</f>
        <v>26.16</v>
      </c>
      <c r="LB34" s="161">
        <f>IF(ISNUMBER(AW37),LOOKUP(AW37,Tara!$C$6:$C$185,Tara!$D$6:$D$185),"")</f>
        <v>34.159999999999997</v>
      </c>
      <c r="LC34" s="120">
        <f>IF(BG37&lt;&gt;"",BG37,"")</f>
        <v>2501.7399999999998</v>
      </c>
      <c r="LD34" s="120">
        <f>IF(BH37&lt;&gt;"",BH37,"")</f>
        <v>153.66</v>
      </c>
      <c r="LE34" s="120">
        <f t="shared" ref="LE34" si="523">IF(AZ37&lt;&gt;"",AZ37,"")</f>
        <v>0</v>
      </c>
      <c r="LF34" s="120">
        <f t="shared" ref="LF34" si="524">IF(BA37&lt;&gt;"",BA37,"")</f>
        <v>0</v>
      </c>
      <c r="LG34" s="120">
        <f t="shared" ref="LG34" si="525">IF(BB37&lt;&gt;"",BB37,"")</f>
        <v>56.94</v>
      </c>
      <c r="LH34" s="120">
        <f t="shared" ref="LH34" si="526">IF(BC37&lt;&gt;"",BC37,"")</f>
        <v>90.69</v>
      </c>
      <c r="LI34" s="120">
        <f t="shared" ref="LI34" si="527">IF(BD37&lt;&gt;"",BD37,"")</f>
        <v>315.08999999999997</v>
      </c>
      <c r="LJ34" s="120">
        <f t="shared" ref="LJ34" si="528">IF(BE37&lt;&gt;"",BE37,"")</f>
        <v>402.2</v>
      </c>
      <c r="LK34" s="120">
        <f t="shared" ref="LK34" si="529">IF(BF37&lt;&gt;"",BF37,"")</f>
        <v>311.08</v>
      </c>
      <c r="LL34" s="120">
        <f>IF(BI37&lt;&gt;"",BI37,"")</f>
        <v>32.71</v>
      </c>
      <c r="LM34" s="1187">
        <f>IF(BK37&lt;&gt;"",BK37,"")</f>
        <v>54.51</v>
      </c>
      <c r="LN34" s="185" t="b">
        <f>IF(LM37="","",IF(AND(LE37&gt;=93%,LE37&lt;=100%,LI37&gt;=23%,LI37&lt;=72%,LJ37&gt;20%,LJ37&lt;=60%,LK37&gt;=10%,LK37&lt;=45%,LL37&gt;=6%,LL37&lt;=22%,LM37&gt;=0%,LM37&lt;=10%),"Faixa A"))</f>
        <v>0</v>
      </c>
      <c r="LO34" s="181" t="b">
        <f>IF(LM37="","",IF(AND(LG37&gt;=93%,LG37&lt;=100%,LJ37&gt;=50%,LJ37&lt;=100%,LK37&gt;=35%,LK37&lt;=100%,LL37&gt;=18%,LL37&lt;=52%,LM37&gt;=4%,LM37&lt;=22%),"Faixa E"))</f>
        <v>0</v>
      </c>
      <c r="LP34" s="181"/>
      <c r="LQ34" s="206"/>
      <c r="LR34" s="1188" t="s">
        <v>48</v>
      </c>
      <c r="LS34" s="214"/>
      <c r="LT34" s="119"/>
      <c r="LU34" s="119"/>
      <c r="LV34" s="119"/>
      <c r="LW34" s="119"/>
      <c r="LX34" s="119"/>
      <c r="LY34" s="119"/>
      <c r="LZ34" s="119"/>
      <c r="MA34" s="119"/>
      <c r="MB34" s="119"/>
      <c r="MC34" s="119"/>
      <c r="MD34" s="119"/>
      <c r="ME34" s="1182"/>
      <c r="MF34" s="1276" t="s">
        <v>49</v>
      </c>
      <c r="MG34" s="1277"/>
      <c r="MH34" s="1277"/>
      <c r="MI34" s="1277" t="s">
        <v>50</v>
      </c>
      <c r="MJ34" s="1277"/>
      <c r="MK34" s="1277"/>
      <c r="ML34" s="1277"/>
      <c r="MM34" s="1277"/>
      <c r="MN34" s="1277"/>
      <c r="MO34" s="1277"/>
      <c r="MP34" s="1277"/>
      <c r="MQ34" s="1277"/>
      <c r="MR34" s="1277"/>
      <c r="MS34" s="1277" t="s">
        <v>51</v>
      </c>
      <c r="MT34" s="1277"/>
      <c r="MU34" s="1277"/>
      <c r="MV34" s="1277"/>
      <c r="MW34" s="1277"/>
      <c r="MX34" s="1277"/>
      <c r="MY34" s="1277"/>
      <c r="MZ34" s="1277" t="s">
        <v>52</v>
      </c>
      <c r="NA34" s="1277"/>
      <c r="NB34" s="1277"/>
      <c r="NC34" s="1277"/>
      <c r="ND34" s="1277" t="s">
        <v>53</v>
      </c>
      <c r="NE34" s="1277"/>
      <c r="NF34" s="1277"/>
      <c r="NG34" s="1277" t="s">
        <v>54</v>
      </c>
      <c r="NH34" s="1277"/>
      <c r="NI34" s="1277"/>
      <c r="NJ34" s="1277"/>
      <c r="NK34" s="1277"/>
      <c r="NL34" s="1277"/>
      <c r="NM34" s="1277"/>
      <c r="NN34" s="1277"/>
      <c r="NO34" s="1277"/>
      <c r="NP34" s="1277"/>
      <c r="NQ34" s="1277"/>
      <c r="NR34" s="1277"/>
      <c r="NS34" s="1277"/>
      <c r="NT34" s="1277"/>
      <c r="NU34" s="1277"/>
      <c r="NV34" s="1277"/>
      <c r="NW34" s="1277"/>
      <c r="NX34" s="1277"/>
      <c r="NY34" s="1277"/>
      <c r="NZ34" s="1277"/>
      <c r="OA34" s="1277"/>
      <c r="OB34" s="1277"/>
      <c r="OC34" s="1277"/>
      <c r="OD34" s="1278"/>
      <c r="OE34" s="701"/>
      <c r="OF34" s="132"/>
      <c r="OG34" s="132"/>
      <c r="OH34" s="132"/>
    </row>
    <row r="35" spans="1:398" ht="15" hidden="1" customHeight="1" x14ac:dyDescent="0.3">
      <c r="A35" s="1337"/>
      <c r="B35" s="734" t="s">
        <v>55</v>
      </c>
      <c r="C35" s="666" t="s">
        <v>56</v>
      </c>
      <c r="D35" s="734" t="s">
        <v>57</v>
      </c>
      <c r="E35" s="688"/>
      <c r="F35" s="1370"/>
      <c r="G35" s="726" t="s">
        <v>58</v>
      </c>
      <c r="H35" s="665" t="s">
        <v>59</v>
      </c>
      <c r="I35" s="735" t="s">
        <v>60</v>
      </c>
      <c r="J35" s="736"/>
      <c r="K35" s="736"/>
      <c r="L35" s="736"/>
      <c r="M35" s="736"/>
      <c r="N35" s="736"/>
      <c r="O35" s="736"/>
      <c r="P35" s="671">
        <v>186.55</v>
      </c>
      <c r="Q35" s="672">
        <v>201.76</v>
      </c>
      <c r="R35" s="671"/>
      <c r="S35" s="672"/>
      <c r="T35" s="1181">
        <f>IF(U35="","",2)</f>
        <v>2</v>
      </c>
      <c r="U35" s="728">
        <f>IF(K38="","",K38)</f>
        <v>28</v>
      </c>
      <c r="V35" s="737"/>
      <c r="W35" s="737"/>
      <c r="X35" s="737"/>
      <c r="Y35" s="737"/>
      <c r="Z35" s="673">
        <v>1</v>
      </c>
      <c r="AA35" s="673">
        <v>1</v>
      </c>
      <c r="AB35" s="673">
        <v>1</v>
      </c>
      <c r="AC35" s="673">
        <v>1.1599999999999999</v>
      </c>
      <c r="AD35" s="674">
        <v>192</v>
      </c>
      <c r="AE35" s="675">
        <v>325</v>
      </c>
      <c r="AF35" s="675">
        <v>410</v>
      </c>
      <c r="AG35" s="675">
        <v>546</v>
      </c>
      <c r="AH35" s="675">
        <v>710</v>
      </c>
      <c r="AI35" s="675">
        <v>819</v>
      </c>
      <c r="AJ35" s="675">
        <v>928</v>
      </c>
      <c r="AK35" s="675">
        <v>1079</v>
      </c>
      <c r="AL35" s="1355"/>
      <c r="AM35" s="730" t="s">
        <v>61</v>
      </c>
      <c r="AN35" s="731"/>
      <c r="AO35" s="731"/>
      <c r="AP35" s="731"/>
      <c r="AQ35" s="731"/>
      <c r="AR35" s="732"/>
      <c r="AS35" s="1358"/>
      <c r="AT35" s="1330" t="s">
        <v>62</v>
      </c>
      <c r="AU35" s="1332" t="s">
        <v>63</v>
      </c>
      <c r="AV35" s="1332" t="s">
        <v>64</v>
      </c>
      <c r="AW35" s="1332" t="s">
        <v>62</v>
      </c>
      <c r="AX35" s="1332" t="s">
        <v>63</v>
      </c>
      <c r="AY35" s="1332" t="s">
        <v>64</v>
      </c>
      <c r="AZ35" s="738" t="s">
        <v>29</v>
      </c>
      <c r="BA35" s="738" t="s">
        <v>30</v>
      </c>
      <c r="BB35" s="738" t="s">
        <v>31</v>
      </c>
      <c r="BC35" s="738" t="s">
        <v>32</v>
      </c>
      <c r="BD35" s="738" t="s">
        <v>33</v>
      </c>
      <c r="BE35" s="738">
        <v>4</v>
      </c>
      <c r="BF35" s="738">
        <v>10</v>
      </c>
      <c r="BG35" s="1334" t="s">
        <v>65</v>
      </c>
      <c r="BH35" s="1334" t="s">
        <v>66</v>
      </c>
      <c r="BI35" s="738">
        <v>40</v>
      </c>
      <c r="BJ35" s="738">
        <v>100</v>
      </c>
      <c r="BK35" s="738">
        <v>200</v>
      </c>
      <c r="BL35" s="1319"/>
      <c r="BM35" s="1307"/>
      <c r="BN35" s="62" t="s">
        <v>67</v>
      </c>
      <c r="BO35" s="62" t="str">
        <f t="shared" ref="BO35" si="530">IF(ISNUMBER(J34),J36-BO34,"")</f>
        <v/>
      </c>
      <c r="BP35" s="62" t="str">
        <f t="shared" ref="BP35" si="531">IF(ISNUMBER(K34),K36-BP34,"")</f>
        <v/>
      </c>
      <c r="BQ35" s="62" t="str">
        <f t="shared" ref="BQ35" si="532">IF(ISNUMBER(L34),L36-BQ34,"")</f>
        <v/>
      </c>
      <c r="BR35" s="62" t="str">
        <f t="shared" ref="BR35" si="533">IF(ISNUMBER(M34),M36-BR34,"")</f>
        <v/>
      </c>
      <c r="BS35" s="62" t="str">
        <f t="shared" ref="BS35" si="534">IF(ISNUMBER(N34),N36-BS34,"")</f>
        <v/>
      </c>
      <c r="BT35" s="62" t="str">
        <f t="shared" ref="BT35" si="535">IF(ISNUMBER(O34),O36-BT34,"")</f>
        <v/>
      </c>
      <c r="BU35" s="62">
        <f t="shared" ref="BU35" si="536">IF(ISNUMBER(P34),P36-BU34,"")</f>
        <v>161.07</v>
      </c>
      <c r="BV35" s="62">
        <f t="shared" ref="BV35" si="537">IF(ISNUMBER(Q34),Q36-BV34,"")</f>
        <v>185.19</v>
      </c>
      <c r="BW35" s="1310"/>
      <c r="BX35" s="108" t="s">
        <v>68</v>
      </c>
      <c r="BY35" s="66">
        <f>IF(ISNUMBER(J38),LOOKUP(J38,Tara!$G$6:$G$185,Tara!$I$6:$I$185),"")</f>
        <v>2082</v>
      </c>
      <c r="BZ35" s="66">
        <f>IF(ISNUMBER(K38),LOOKUP(K38,Tara!$G$6:$G$185,Tara!$I$6:$I$185),"")</f>
        <v>2083</v>
      </c>
      <c r="CA35" s="66">
        <f>IF(ISNUMBER(L38),LOOKUP(L38,Tara!$G$6:$G$185,Tara!$I$6:$I$185),"")</f>
        <v>2037</v>
      </c>
      <c r="CB35" s="66">
        <f>IF(ISNUMBER(M38),LOOKUP(M38,Tara!$G$6:$G$185,Tara!$I$6:$I$185),"")</f>
        <v>2068</v>
      </c>
      <c r="CC35" s="66">
        <f>IF(ISNUMBER(N38),LOOKUP(N38,Tara!$G$6:$G$185,Tara!$I$6:$I$185),"")</f>
        <v>2082</v>
      </c>
      <c r="CD35" s="66" t="str">
        <f>IF(ISNUMBER(O38),LOOKUP(O38,Tara!$G$6:$G$185,Tara!$I$6:$I$185),"")</f>
        <v/>
      </c>
      <c r="CE35" s="77">
        <f t="shared" ref="CE35:CJ35" si="538">IF(ISNUMBER(CE33),CE33^2,"")</f>
        <v>5.4992709040121784E-4</v>
      </c>
      <c r="CF35" s="77">
        <f t="shared" si="538"/>
        <v>1.4888840442753742E-3</v>
      </c>
      <c r="CG35" s="77">
        <f t="shared" si="538"/>
        <v>2.8860098934957402E-3</v>
      </c>
      <c r="CH35" s="77">
        <f t="shared" si="538"/>
        <v>4.7413046380623157E-3</v>
      </c>
      <c r="CI35" s="77">
        <f t="shared" si="538"/>
        <v>7.0547682779751007E-3</v>
      </c>
      <c r="CJ35" s="72" t="str">
        <f t="shared" si="538"/>
        <v/>
      </c>
      <c r="CK35" s="75">
        <f>AVERAGE(CE35:CJ35)</f>
        <v>3.3441787888419498E-3</v>
      </c>
      <c r="CL35" s="75">
        <f t="shared" ref="CL35" si="539">IF(ISERROR(CE37*CE37),"",CE36*CE37)</f>
        <v>5.3253521805740629</v>
      </c>
      <c r="CM35" s="75">
        <f t="shared" ref="CM35" si="540">IF(ISERROR(CF37*CF37),"",CF36*CF37)</f>
        <v>0.84219282220487524</v>
      </c>
      <c r="CN35" s="75">
        <f t="shared" ref="CN35" si="541">IF(ISERROR(CG37*CG37),"",CG36*CG37)</f>
        <v>0</v>
      </c>
      <c r="CO35" s="75">
        <f t="shared" ref="CO35" si="542">IF(ISERROR(CH37*CH37),"",CH36*CH37)</f>
        <v>2.3287258651210365</v>
      </c>
      <c r="CP35" s="75">
        <f t="shared" ref="CP35" si="543">IF(ISERROR(CI37*CI37),"",CI36*CI37)</f>
        <v>-2.834342291452097</v>
      </c>
      <c r="CQ35" s="75" t="str">
        <f t="shared" ref="CQ35" si="544">IF(ISERROR(CJ37*CJ37),"",CJ36*CJ37)</f>
        <v/>
      </c>
      <c r="CR35" s="65">
        <f>SUM(CL35:CQ35)</f>
        <v>5.6619285764478775</v>
      </c>
      <c r="CS35" s="71"/>
      <c r="CT35" s="64"/>
      <c r="CU35" s="702" t="str">
        <f>IF(ISNUMBER(R34),R36-CU34,"")</f>
        <v/>
      </c>
      <c r="CV35" s="702" t="str">
        <f>IF(ISNUMBER(S34),S36-CV34,"")</f>
        <v/>
      </c>
      <c r="CW35" s="1313"/>
      <c r="CX35" s="123" t="str">
        <f>IF(CX34&lt;&gt;"",CX33^2,"")</f>
        <v/>
      </c>
      <c r="CY35" s="116" t="str">
        <f t="shared" ref="CY35:DE35" si="545">IF(CY34&lt;&gt;"",CY33^2,"")</f>
        <v/>
      </c>
      <c r="CZ35" s="116" t="str">
        <f t="shared" si="545"/>
        <v/>
      </c>
      <c r="DA35" s="116" t="str">
        <f t="shared" si="545"/>
        <v/>
      </c>
      <c r="DB35" s="116" t="str">
        <f t="shared" si="545"/>
        <v/>
      </c>
      <c r="DC35" s="116" t="str">
        <f t="shared" si="545"/>
        <v/>
      </c>
      <c r="DD35" s="116" t="str">
        <f t="shared" si="545"/>
        <v/>
      </c>
      <c r="DE35" s="116" t="str">
        <f t="shared" si="545"/>
        <v/>
      </c>
      <c r="DF35" s="719" t="str">
        <f>IF(CX35&lt;&gt;"",AVERAGE(CX35:DE35),"")</f>
        <v/>
      </c>
      <c r="DG35" s="119" t="str">
        <f t="shared" si="423"/>
        <v/>
      </c>
      <c r="DH35" s="119" t="str">
        <f t="shared" si="424"/>
        <v/>
      </c>
      <c r="DI35" s="119" t="str">
        <f t="shared" si="425"/>
        <v/>
      </c>
      <c r="DJ35" s="119" t="str">
        <f t="shared" si="426"/>
        <v/>
      </c>
      <c r="DK35" s="119" t="str">
        <f t="shared" si="427"/>
        <v/>
      </c>
      <c r="DL35" s="119" t="str">
        <f t="shared" si="428"/>
        <v/>
      </c>
      <c r="DM35" s="119" t="str">
        <f t="shared" si="429"/>
        <v/>
      </c>
      <c r="DN35" s="119" t="str">
        <f t="shared" si="430"/>
        <v/>
      </c>
      <c r="DO35" s="119" t="str">
        <f>IF(DG35&lt;&gt;"",SUM(DG35:DN35),"")</f>
        <v/>
      </c>
      <c r="DP35" s="122">
        <v>0</v>
      </c>
      <c r="DQ35" s="122">
        <v>0.63</v>
      </c>
      <c r="DR35" s="122">
        <v>1.27</v>
      </c>
      <c r="DS35" s="122">
        <v>1.9</v>
      </c>
      <c r="DT35" s="122">
        <v>2.54</v>
      </c>
      <c r="DU35" s="122">
        <v>3.81</v>
      </c>
      <c r="DV35" s="122">
        <v>5.08</v>
      </c>
      <c r="DW35" s="122">
        <v>6.35</v>
      </c>
      <c r="DX35" s="1190">
        <v>7.62</v>
      </c>
      <c r="DY35" s="123">
        <f>IF(DY34&lt;&gt;"",DY33^2,"")</f>
        <v>0.39690000000000003</v>
      </c>
      <c r="DZ35" s="116">
        <f t="shared" ref="DZ35:EF35" si="546">IF(DZ34&lt;&gt;"",DZ33^2,"")</f>
        <v>1.6129</v>
      </c>
      <c r="EA35" s="116">
        <f t="shared" si="546"/>
        <v>3.61</v>
      </c>
      <c r="EB35" s="116">
        <f t="shared" si="546"/>
        <v>6.4516</v>
      </c>
      <c r="EC35" s="116">
        <f t="shared" si="546"/>
        <v>14.5161</v>
      </c>
      <c r="ED35" s="116">
        <f t="shared" si="546"/>
        <v>25.8064</v>
      </c>
      <c r="EE35" s="116">
        <f t="shared" si="546"/>
        <v>40.322499999999998</v>
      </c>
      <c r="EF35" s="116">
        <f t="shared" si="546"/>
        <v>58.064399999999999</v>
      </c>
      <c r="EG35" s="116">
        <f>IF(DY35&lt;&gt;"",AVERAGE(DY35:EF35),"")</f>
        <v>18.8476</v>
      </c>
      <c r="EH35" s="119">
        <f t="shared" si="439"/>
        <v>800.99101375000021</v>
      </c>
      <c r="EI35" s="119">
        <f t="shared" si="440"/>
        <v>518.97990375000018</v>
      </c>
      <c r="EJ35" s="119">
        <f t="shared" si="441"/>
        <v>329.32263000000017</v>
      </c>
      <c r="EK35" s="119">
        <f t="shared" si="442"/>
        <v>99.322950000000134</v>
      </c>
      <c r="EL35" s="119">
        <f t="shared" si="443"/>
        <v>-36.330456249999955</v>
      </c>
      <c r="EM35" s="119">
        <f t="shared" si="444"/>
        <v>134.21785499999996</v>
      </c>
      <c r="EN35" s="119">
        <f t="shared" si="445"/>
        <v>648.27354374999993</v>
      </c>
      <c r="EO35" s="119">
        <f t="shared" si="446"/>
        <v>1776.0308299999997</v>
      </c>
      <c r="EP35" s="119">
        <f>IF(EH35&lt;&gt;"",SUM(EH35:EO35),"")</f>
        <v>4270.8082699999995</v>
      </c>
      <c r="EQ35" s="122">
        <v>0</v>
      </c>
      <c r="ER35" s="122">
        <v>0.63</v>
      </c>
      <c r="ES35" s="122">
        <v>1.27</v>
      </c>
      <c r="ET35" s="122">
        <v>1.9</v>
      </c>
      <c r="EU35" s="122">
        <v>2.54</v>
      </c>
      <c r="EV35" s="122">
        <v>3.81</v>
      </c>
      <c r="EW35" s="122">
        <v>5.08</v>
      </c>
      <c r="EX35" s="122">
        <v>6.35</v>
      </c>
      <c r="EY35" s="1190">
        <v>7.62</v>
      </c>
      <c r="EZ35" s="123">
        <f>IF(EZ34&lt;&gt;"",EZ33^2,"")</f>
        <v>0.39690000000000003</v>
      </c>
      <c r="FA35" s="116">
        <f t="shared" ref="FA35:FG35" si="547">IF(FA34&lt;&gt;"",FA33^2,"")</f>
        <v>1.6129</v>
      </c>
      <c r="FB35" s="116">
        <f t="shared" si="547"/>
        <v>3.61</v>
      </c>
      <c r="FC35" s="116">
        <f t="shared" si="547"/>
        <v>6.4516</v>
      </c>
      <c r="FD35" s="116">
        <f t="shared" si="547"/>
        <v>14.5161</v>
      </c>
      <c r="FE35" s="116">
        <f t="shared" si="547"/>
        <v>25.8064</v>
      </c>
      <c r="FF35" s="116">
        <f t="shared" si="547"/>
        <v>40.322499999999998</v>
      </c>
      <c r="FG35" s="116">
        <f t="shared" si="547"/>
        <v>58.064399999999999</v>
      </c>
      <c r="FH35" s="116">
        <f>IF(EZ35&lt;&gt;"",AVERAGE(EZ35:FG35),"")</f>
        <v>18.8476</v>
      </c>
      <c r="FI35" s="119">
        <f t="shared" si="455"/>
        <v>1161.2409312500001</v>
      </c>
      <c r="FJ35" s="119">
        <f t="shared" si="456"/>
        <v>705.54553125000018</v>
      </c>
      <c r="FK35" s="119">
        <f t="shared" si="457"/>
        <v>317.5134900000001</v>
      </c>
      <c r="FL35" s="119">
        <f t="shared" si="458"/>
        <v>121.94565000000007</v>
      </c>
      <c r="FM35" s="119">
        <f t="shared" si="459"/>
        <v>-36.655318749999964</v>
      </c>
      <c r="FN35" s="119">
        <f t="shared" si="460"/>
        <v>186.23488500000002</v>
      </c>
      <c r="FO35" s="119">
        <f t="shared" si="461"/>
        <v>929.05786124999997</v>
      </c>
      <c r="FP35" s="119">
        <f t="shared" si="462"/>
        <v>2198.5918499999993</v>
      </c>
      <c r="FQ35" s="119">
        <f>IF(FI35&lt;&gt;"",SUM(FI35:FP35),"")</f>
        <v>5583.4748799999998</v>
      </c>
      <c r="FR35" s="122">
        <v>0</v>
      </c>
      <c r="FS35" s="122">
        <v>0.63</v>
      </c>
      <c r="FT35" s="122">
        <v>1.27</v>
      </c>
      <c r="FU35" s="122">
        <v>1.9</v>
      </c>
      <c r="FV35" s="122">
        <v>2.54</v>
      </c>
      <c r="FW35" s="122">
        <v>3.81</v>
      </c>
      <c r="FX35" s="122">
        <v>5.08</v>
      </c>
      <c r="FY35" s="122">
        <v>6.35</v>
      </c>
      <c r="FZ35" s="1190">
        <v>7.62</v>
      </c>
      <c r="GA35" s="123">
        <f>IF(GA34&lt;&gt;"",GA33^2,"")</f>
        <v>0.39690000000000003</v>
      </c>
      <c r="GB35" s="116">
        <f t="shared" ref="GB35:GH35" si="548">IF(GB34&lt;&gt;"",GB33^2,"")</f>
        <v>1.6129</v>
      </c>
      <c r="GC35" s="116">
        <f t="shared" si="548"/>
        <v>3.61</v>
      </c>
      <c r="GD35" s="116">
        <f t="shared" si="548"/>
        <v>6.4516</v>
      </c>
      <c r="GE35" s="116">
        <f t="shared" si="548"/>
        <v>14.5161</v>
      </c>
      <c r="GF35" s="116">
        <f t="shared" si="548"/>
        <v>25.8064</v>
      </c>
      <c r="GG35" s="116">
        <f t="shared" si="548"/>
        <v>40.322499999999998</v>
      </c>
      <c r="GH35" s="116">
        <f t="shared" si="548"/>
        <v>58.064399999999999</v>
      </c>
      <c r="GI35" s="116">
        <f>IF(GA35&lt;&gt;"",AVERAGE(GA35:GH35),"")</f>
        <v>18.8476</v>
      </c>
      <c r="GJ35" s="119">
        <f t="shared" si="471"/>
        <v>982.2691412500003</v>
      </c>
      <c r="GK35" s="119">
        <f t="shared" si="472"/>
        <v>657.28837125000018</v>
      </c>
      <c r="GL35" s="119">
        <f t="shared" si="473"/>
        <v>283.99077000000017</v>
      </c>
      <c r="GM35" s="119">
        <f t="shared" si="474"/>
        <v>99.632850000000118</v>
      </c>
      <c r="GN35" s="119">
        <f t="shared" si="475"/>
        <v>-56.147068749999967</v>
      </c>
      <c r="GO35" s="119">
        <f t="shared" si="476"/>
        <v>152.83264499999996</v>
      </c>
      <c r="GP35" s="119">
        <f t="shared" si="477"/>
        <v>731.48878124999999</v>
      </c>
      <c r="GQ35" s="119">
        <f t="shared" si="478"/>
        <v>1924.0742499999999</v>
      </c>
      <c r="GR35" s="119">
        <f>IF(GJ35&lt;&gt;"",SUM(GJ35:GQ35),"")</f>
        <v>4775.4297400000005</v>
      </c>
      <c r="GS35" s="122">
        <v>0</v>
      </c>
      <c r="GT35" s="122">
        <v>0.63</v>
      </c>
      <c r="GU35" s="122">
        <v>1.27</v>
      </c>
      <c r="GV35" s="122">
        <v>1.9</v>
      </c>
      <c r="GW35" s="122">
        <v>2.54</v>
      </c>
      <c r="GX35" s="122">
        <v>3.81</v>
      </c>
      <c r="GY35" s="122">
        <v>5.08</v>
      </c>
      <c r="GZ35" s="122">
        <v>6.35</v>
      </c>
      <c r="HA35" s="1190">
        <v>7.62</v>
      </c>
      <c r="HB35" s="123" t="str">
        <f>IF(HB34&lt;&gt;"",HB33^2,"")</f>
        <v/>
      </c>
      <c r="HC35" s="116" t="str">
        <f t="shared" ref="HC35:HI35" si="549">IF(HC34&lt;&gt;"",HC33^2,"")</f>
        <v/>
      </c>
      <c r="HD35" s="116" t="str">
        <f t="shared" si="549"/>
        <v/>
      </c>
      <c r="HE35" s="116" t="str">
        <f t="shared" si="549"/>
        <v/>
      </c>
      <c r="HF35" s="116" t="str">
        <f t="shared" si="549"/>
        <v/>
      </c>
      <c r="HG35" s="116" t="str">
        <f t="shared" si="549"/>
        <v/>
      </c>
      <c r="HH35" s="116" t="str">
        <f t="shared" si="549"/>
        <v/>
      </c>
      <c r="HI35" s="116" t="str">
        <f t="shared" si="549"/>
        <v/>
      </c>
      <c r="HJ35" s="116" t="str">
        <f>IF(HB35&lt;&gt;"",AVERAGE(HB35:HI35),"")</f>
        <v/>
      </c>
      <c r="HK35" s="119" t="str">
        <f t="shared" si="487"/>
        <v/>
      </c>
      <c r="HL35" s="119" t="str">
        <f t="shared" si="488"/>
        <v/>
      </c>
      <c r="HM35" s="119" t="str">
        <f t="shared" si="489"/>
        <v/>
      </c>
      <c r="HN35" s="119" t="str">
        <f t="shared" si="490"/>
        <v/>
      </c>
      <c r="HO35" s="119" t="str">
        <f t="shared" si="491"/>
        <v/>
      </c>
      <c r="HP35" s="119" t="str">
        <f t="shared" si="492"/>
        <v/>
      </c>
      <c r="HQ35" s="119" t="str">
        <f t="shared" si="493"/>
        <v/>
      </c>
      <c r="HR35" s="119" t="str">
        <f t="shared" si="494"/>
        <v/>
      </c>
      <c r="HS35" s="119" t="str">
        <f>IF(HK35&lt;&gt;"",SUM(HK35:HR35),"")</f>
        <v/>
      </c>
      <c r="HT35" s="122">
        <v>0</v>
      </c>
      <c r="HU35" s="122">
        <v>0.63</v>
      </c>
      <c r="HV35" s="122">
        <v>1.27</v>
      </c>
      <c r="HW35" s="122">
        <v>1.9</v>
      </c>
      <c r="HX35" s="122">
        <v>2.54</v>
      </c>
      <c r="HY35" s="122">
        <v>3.81</v>
      </c>
      <c r="HZ35" s="122">
        <v>5.08</v>
      </c>
      <c r="IA35" s="122">
        <v>6.35</v>
      </c>
      <c r="IB35" s="1190">
        <v>7.62</v>
      </c>
      <c r="IC35" s="123" t="str">
        <f>IF(IC34&lt;&gt;"",IC33^2,"")</f>
        <v/>
      </c>
      <c r="ID35" s="116" t="str">
        <f t="shared" ref="ID35:IJ35" si="550">IF(ID34&lt;&gt;"",ID33^2,"")</f>
        <v/>
      </c>
      <c r="IE35" s="116" t="str">
        <f t="shared" si="550"/>
        <v/>
      </c>
      <c r="IF35" s="116" t="str">
        <f t="shared" si="550"/>
        <v/>
      </c>
      <c r="IG35" s="116" t="str">
        <f t="shared" si="550"/>
        <v/>
      </c>
      <c r="IH35" s="116" t="str">
        <f t="shared" si="550"/>
        <v/>
      </c>
      <c r="II35" s="116" t="str">
        <f t="shared" si="550"/>
        <v/>
      </c>
      <c r="IJ35" s="116" t="str">
        <f t="shared" si="550"/>
        <v/>
      </c>
      <c r="IK35" s="116" t="str">
        <f>IF(IC35&lt;&gt;"",AVERAGE(IC35:IJ35),"")</f>
        <v/>
      </c>
      <c r="IL35" s="119" t="str">
        <f t="shared" si="503"/>
        <v/>
      </c>
      <c r="IM35" s="119" t="str">
        <f t="shared" si="504"/>
        <v/>
      </c>
      <c r="IN35" s="119" t="str">
        <f t="shared" si="505"/>
        <v/>
      </c>
      <c r="IO35" s="119" t="str">
        <f t="shared" si="506"/>
        <v/>
      </c>
      <c r="IP35" s="119" t="str">
        <f t="shared" si="507"/>
        <v/>
      </c>
      <c r="IQ35" s="119" t="str">
        <f t="shared" si="508"/>
        <v/>
      </c>
      <c r="IR35" s="119" t="str">
        <f t="shared" si="509"/>
        <v/>
      </c>
      <c r="IS35" s="119" t="str">
        <f t="shared" si="510"/>
        <v/>
      </c>
      <c r="IT35" s="119" t="str">
        <f>IF(IL35&lt;&gt;"",SUM(IL35:IS35),"")</f>
        <v/>
      </c>
      <c r="IU35" s="122">
        <v>0</v>
      </c>
      <c r="IV35" s="122">
        <v>0.63</v>
      </c>
      <c r="IW35" s="122">
        <v>1.27</v>
      </c>
      <c r="IX35" s="122">
        <v>1.9</v>
      </c>
      <c r="IY35" s="122">
        <v>2.54</v>
      </c>
      <c r="IZ35" s="122">
        <v>3.81</v>
      </c>
      <c r="JA35" s="122">
        <v>5.08</v>
      </c>
      <c r="JB35" s="122">
        <v>6.35</v>
      </c>
      <c r="JC35" s="1190">
        <v>7.62</v>
      </c>
      <c r="JD35" s="150">
        <f t="shared" si="388"/>
        <v>3</v>
      </c>
      <c r="JE35" s="77" t="str">
        <f t="shared" ref="JE35:JJ35" si="551">IF(ISNUMBER(JE33),JE33^2,"")</f>
        <v/>
      </c>
      <c r="JF35" s="77">
        <f t="shared" si="551"/>
        <v>1.4888840442753742E-3</v>
      </c>
      <c r="JG35" s="77">
        <f t="shared" si="551"/>
        <v>2.8860098934957402E-3</v>
      </c>
      <c r="JH35" s="77">
        <f t="shared" si="551"/>
        <v>4.7413046380623157E-3</v>
      </c>
      <c r="JI35" s="77" t="str">
        <f t="shared" si="551"/>
        <v/>
      </c>
      <c r="JJ35" s="72" t="str">
        <f t="shared" si="551"/>
        <v/>
      </c>
      <c r="JK35" s="75">
        <f>AVERAGE(JE35:JJ35)</f>
        <v>3.0387328586111433E-3</v>
      </c>
      <c r="JL35" s="75" t="str">
        <f t="shared" ref="JL35" si="552">IF(ISERROR(JE37*JE37),"",JE36*JE37)</f>
        <v/>
      </c>
      <c r="JM35" s="75">
        <f t="shared" ref="JM35" si="553">IF(ISERROR(JF37*JF37),"",JF36*JF37)</f>
        <v>0.17363776412842397</v>
      </c>
      <c r="JN35" s="75">
        <f t="shared" ref="JN35" si="554">IF(ISERROR(JG37*JG37),"",JG36*JG37)</f>
        <v>0</v>
      </c>
      <c r="JO35" s="75">
        <f t="shared" ref="JO35" si="555">IF(ISERROR(JH37*JH37),"",JH36*JH37)</f>
        <v>-5.3143068603232521E-2</v>
      </c>
      <c r="JP35" s="75" t="str">
        <f t="shared" ref="JP35" si="556">IF(ISERROR(JI37*JI37),"",JI36*JI37)</f>
        <v/>
      </c>
      <c r="JQ35" s="75" t="str">
        <f t="shared" ref="JQ35" si="557">IF(ISERROR(JJ37*JJ37),"",JJ36*JJ37)</f>
        <v/>
      </c>
      <c r="JR35" s="65">
        <f>SUM(JL35:JQ35)</f>
        <v>0.12049469552519144</v>
      </c>
      <c r="JS35" s="71"/>
      <c r="JT35" s="1191"/>
      <c r="JU35" s="123">
        <f>IF(T36&lt;&gt;0,LOOKUP(T36,Tara!$G$6:$G$185,Tara!$J$6:$J$185)/10,"")</f>
        <v>11.5</v>
      </c>
      <c r="JV35" s="116">
        <f t="shared" si="395"/>
        <v>6.0000000000000053E-2</v>
      </c>
      <c r="JW35" s="155">
        <f t="shared" si="396"/>
        <v>5.2173913043478311E-4</v>
      </c>
      <c r="JX35" s="77" t="str">
        <f t="shared" ref="JX35:KC35" si="558">IF(ISNUMBER(JX33),JX33^2,"")</f>
        <v/>
      </c>
      <c r="JY35" s="77">
        <f t="shared" si="558"/>
        <v>1.4888840442753742E-3</v>
      </c>
      <c r="JZ35" s="77">
        <f t="shared" si="558"/>
        <v>2.8860098934957402E-3</v>
      </c>
      <c r="KA35" s="77">
        <f t="shared" si="558"/>
        <v>4.7413046380623157E-3</v>
      </c>
      <c r="KB35" s="77" t="str">
        <f t="shared" si="558"/>
        <v/>
      </c>
      <c r="KC35" s="72" t="str">
        <f t="shared" si="558"/>
        <v/>
      </c>
      <c r="KD35" s="75">
        <f>AVERAGE(JX35:KC35)</f>
        <v>3.0387328586111433E-3</v>
      </c>
      <c r="KE35" s="75" t="str">
        <f t="shared" ref="KE35" si="559">IF(ISERROR(JX37*JX37),"",JX36*JX37)</f>
        <v/>
      </c>
      <c r="KF35" s="75">
        <f t="shared" ref="KF35" si="560">IF(ISERROR(JY37*JY37),"",JY36*JY37)</f>
        <v>1.3469531838941746</v>
      </c>
      <c r="KG35" s="75">
        <f t="shared" ref="KG35" si="561">IF(ISERROR(JZ37*JZ37),"",JZ36*JZ37)</f>
        <v>0</v>
      </c>
      <c r="KH35" s="75">
        <f t="shared" ref="KH35" si="562">IF(ISERROR(KA37*KA37),"",KA36*KA37)</f>
        <v>-1.3484008261819078</v>
      </c>
      <c r="KI35" s="75" t="str">
        <f t="shared" ref="KI35" si="563">IF(ISERROR(KB37*KB37),"",KB36*KB37)</f>
        <v/>
      </c>
      <c r="KJ35" s="75" t="str">
        <f t="shared" ref="KJ35" si="564">IF(ISERROR(KC37*KC37),"",KC36*KC37)</f>
        <v/>
      </c>
      <c r="KK35" s="65">
        <f>SUM(KE35:KJ35)</f>
        <v>-1.4476422877331974E-3</v>
      </c>
      <c r="KL35" s="71"/>
      <c r="KM35" s="1191"/>
      <c r="KN35" s="167" t="str">
        <f>IF(ISNUMBER(AN35),AN35-KN34,"")</f>
        <v/>
      </c>
      <c r="KO35" s="161" t="str">
        <f>IF(ISNUMBER(AO35),AO35-KO34,"")</f>
        <v/>
      </c>
      <c r="KP35" s="161" t="str">
        <f>IF(ISNUMBER(AP35),AP35-KP34,"")</f>
        <v/>
      </c>
      <c r="KQ35" s="161" t="str">
        <f>IF(ISNUMBER(AQ35),AQ35-KQ34,"")</f>
        <v/>
      </c>
      <c r="KR35" s="1185" t="str">
        <f>IF(ISNUMBER(AR35),AR35-KR34,"")</f>
        <v/>
      </c>
      <c r="KS35" s="167" t="str">
        <f>IF(ISNUMBER(AN39),AN39-KS34,"")</f>
        <v/>
      </c>
      <c r="KT35" s="161" t="str">
        <f>IF(ISNUMBER(AO39),AO39-KT34,"")</f>
        <v/>
      </c>
      <c r="KU35" s="161" t="str">
        <f>IF(ISNUMBER(AP39),AP39-KU34,"")</f>
        <v/>
      </c>
      <c r="KV35" s="161" t="str">
        <f>IF(ISNUMBER(AQ39),AQ39-KV34,"")</f>
        <v/>
      </c>
      <c r="KW35" s="161" t="str">
        <f>IF(ISNUMBER(AR39),AR39-KW34,"")</f>
        <v/>
      </c>
      <c r="KX35" s="1192" t="s">
        <v>69</v>
      </c>
      <c r="KY35" s="195" t="str">
        <f>IF(AX39&lt;&gt;"",AX39,"")</f>
        <v/>
      </c>
      <c r="KZ35" s="1186" t="str">
        <f>IF(BA39&lt;&gt;"",BA39,"")</f>
        <v/>
      </c>
      <c r="LA35" s="598">
        <f>IF(ISNUMBER(AV37),AV37-LA34,"")</f>
        <v>-25.16</v>
      </c>
      <c r="LB35" s="702">
        <f>IF(ISNUMBER(AY37),AY37-LB34,"")</f>
        <v>-33.159999999999997</v>
      </c>
      <c r="LC35" s="120">
        <f>IF(LC34&lt;&gt;"",SUM(LE34:LK34),"")</f>
        <v>1176</v>
      </c>
      <c r="LD35" s="120">
        <f>IF(LC34&lt;&gt;"",LC37+LC35,"")</f>
        <v>2501.7399999999998</v>
      </c>
      <c r="LE35" s="120">
        <f>IF(LC34="","",IF(LE34=0,IF(LD35&gt;0,LD35,""),IF(LE34&gt;0,LD35-LE34,"")))</f>
        <v>2501.7399999999998</v>
      </c>
      <c r="LF35" s="120">
        <f t="shared" ref="LF35" si="565">IF($LC34="","",LE35-LF34)</f>
        <v>2501.7399999999998</v>
      </c>
      <c r="LG35" s="120">
        <f t="shared" ref="LG35" si="566">IF($LC34="","",LF35-LG34)</f>
        <v>2444.7999999999997</v>
      </c>
      <c r="LH35" s="120">
        <f t="shared" ref="LH35" si="567">IF($LC34="","",LG35-LH34)</f>
        <v>2354.1099999999997</v>
      </c>
      <c r="LI35" s="120">
        <f t="shared" ref="LI35" si="568">IF($LC34="","",LH35-LI34)</f>
        <v>2039.0199999999998</v>
      </c>
      <c r="LJ35" s="120">
        <f t="shared" ref="LJ35" si="569">IF($LC34="","",LI35-LJ34)</f>
        <v>1636.8199999999997</v>
      </c>
      <c r="LK35" s="120">
        <f t="shared" ref="LK35" si="570">IF($LC34="","",LJ35-LK34)</f>
        <v>1325.7399999999998</v>
      </c>
      <c r="LL35" s="120">
        <f>IF(LD34&lt;&gt;"",LD36-LL34,"")</f>
        <v>120.94999999999999</v>
      </c>
      <c r="LM35" s="1187">
        <f>IF(LD34&lt;&gt;"",LL35-LM34,"")</f>
        <v>66.44</v>
      </c>
      <c r="LN35" s="185" t="b">
        <f>IF(LM37="","",IF(AND(LE37&gt;=93%,LE37&lt;=100%,LG37&gt;=68%,LG37&lt;=97%,LI37&gt;=33%,LI37&lt;=82%,LJ37&gt;=25%,LJ37&lt;=65%,LK37&gt;=15%,LK37&lt;=50%,LL37&gt;=13%,LL37&lt;=32%,LM37&gt;=3%,LM37&lt;=17%),"Faixa B"))</f>
        <v>0</v>
      </c>
      <c r="LO35" s="181" t="str">
        <f>IF(LM37="","",IF(AND(LG37&gt;=93%,LG37&lt;=100%,LJ37&gt;=65%,LJ37&lt;=100%,LK37&gt;=50%,LK37&lt;=100%,LL37&gt;=28%,LL37&lt;=72%,LM37&gt;=6%,LM37&lt;=27%),"Faixa F"))</f>
        <v>Faixa F</v>
      </c>
      <c r="LP35" s="206"/>
      <c r="LQ35" s="181"/>
      <c r="LR35" s="1279" t="str">
        <f>IF(LL37&gt;70%,"",IF(LM37="","",IF(LO37&gt;0,LO37,IF(LQ37&gt;0,LQ37))))</f>
        <v>D</v>
      </c>
      <c r="LS35" s="221"/>
      <c r="LT35" s="162"/>
      <c r="LU35" s="162"/>
      <c r="LV35" s="162"/>
      <c r="LW35" s="162"/>
      <c r="LX35" s="108"/>
      <c r="LY35" s="108"/>
      <c r="LZ35" s="108"/>
      <c r="MA35" s="108"/>
      <c r="MB35" s="108"/>
      <c r="MC35" s="108"/>
      <c r="MD35" s="108"/>
      <c r="ME35" s="1193"/>
      <c r="MF35" s="223" t="s">
        <v>70</v>
      </c>
      <c r="MG35" s="701" t="s">
        <v>71</v>
      </c>
      <c r="MH35" s="701" t="s">
        <v>72</v>
      </c>
      <c r="MI35" s="224" t="s">
        <v>73</v>
      </c>
      <c r="MJ35" s="224" t="s">
        <v>74</v>
      </c>
      <c r="MK35" s="224" t="s">
        <v>75</v>
      </c>
      <c r="ML35" s="224" t="s">
        <v>76</v>
      </c>
      <c r="MM35" s="224" t="s">
        <v>77</v>
      </c>
      <c r="MN35" s="225">
        <v>4</v>
      </c>
      <c r="MO35" s="225">
        <v>10</v>
      </c>
      <c r="MP35" s="225">
        <v>40</v>
      </c>
      <c r="MQ35" s="225">
        <v>200</v>
      </c>
      <c r="MR35" s="225">
        <v>270</v>
      </c>
      <c r="MS35" s="224" t="s">
        <v>78</v>
      </c>
      <c r="MT35" s="224" t="s">
        <v>79</v>
      </c>
      <c r="MU35" s="224" t="s">
        <v>80</v>
      </c>
      <c r="MV35" s="224" t="s">
        <v>81</v>
      </c>
      <c r="MW35" s="224" t="s">
        <v>82</v>
      </c>
      <c r="MX35" s="224" t="s">
        <v>83</v>
      </c>
      <c r="MY35" s="224" t="s">
        <v>48</v>
      </c>
      <c r="MZ35" s="226" t="s">
        <v>84</v>
      </c>
      <c r="NA35" s="226" t="s">
        <v>85</v>
      </c>
      <c r="NB35" s="226" t="s">
        <v>86</v>
      </c>
      <c r="NC35" s="226" t="s">
        <v>87</v>
      </c>
      <c r="ND35" s="226" t="s">
        <v>84</v>
      </c>
      <c r="NE35" s="226" t="s">
        <v>85</v>
      </c>
      <c r="NF35" s="226" t="s">
        <v>88</v>
      </c>
      <c r="NG35" s="226" t="s">
        <v>84</v>
      </c>
      <c r="NH35" s="226" t="s">
        <v>85</v>
      </c>
      <c r="NI35" s="226" t="s">
        <v>89</v>
      </c>
      <c r="NJ35" s="226" t="s">
        <v>90</v>
      </c>
      <c r="NK35" s="226" t="s">
        <v>84</v>
      </c>
      <c r="NL35" s="226" t="s">
        <v>85</v>
      </c>
      <c r="NM35" s="226" t="s">
        <v>89</v>
      </c>
      <c r="NN35" s="226" t="s">
        <v>90</v>
      </c>
      <c r="NO35" s="226" t="s">
        <v>84</v>
      </c>
      <c r="NP35" s="226" t="s">
        <v>85</v>
      </c>
      <c r="NQ35" s="226" t="s">
        <v>89</v>
      </c>
      <c r="NR35" s="226" t="s">
        <v>90</v>
      </c>
      <c r="NS35" s="226" t="s">
        <v>84</v>
      </c>
      <c r="NT35" s="226" t="s">
        <v>85</v>
      </c>
      <c r="NU35" s="226" t="s">
        <v>89</v>
      </c>
      <c r="NV35" s="226" t="s">
        <v>90</v>
      </c>
      <c r="NW35" s="226" t="s">
        <v>84</v>
      </c>
      <c r="NX35" s="226" t="s">
        <v>85</v>
      </c>
      <c r="NY35" s="226" t="s">
        <v>89</v>
      </c>
      <c r="NZ35" s="226" t="s">
        <v>90</v>
      </c>
      <c r="OA35" s="226" t="s">
        <v>84</v>
      </c>
      <c r="OB35" s="226" t="s">
        <v>85</v>
      </c>
      <c r="OC35" s="226" t="s">
        <v>89</v>
      </c>
      <c r="OD35" s="1194" t="s">
        <v>90</v>
      </c>
      <c r="OE35" s="226"/>
      <c r="OF35" s="132"/>
      <c r="OG35" s="132"/>
      <c r="OH35" s="132"/>
    </row>
    <row r="36" spans="1:398" ht="15" hidden="1" customHeight="1" x14ac:dyDescent="0.3">
      <c r="A36" s="1337"/>
      <c r="B36" s="723" t="s">
        <v>91</v>
      </c>
      <c r="C36" s="666" t="s">
        <v>92</v>
      </c>
      <c r="D36" s="1360"/>
      <c r="E36" s="1361"/>
      <c r="F36" s="1370"/>
      <c r="G36" s="726" t="s">
        <v>93</v>
      </c>
      <c r="H36" s="665"/>
      <c r="I36" s="735" t="s">
        <v>94</v>
      </c>
      <c r="J36" s="736"/>
      <c r="K36" s="736"/>
      <c r="L36" s="736"/>
      <c r="M36" s="736"/>
      <c r="N36" s="736"/>
      <c r="O36" s="736"/>
      <c r="P36" s="671">
        <v>185.17</v>
      </c>
      <c r="Q36" s="672">
        <v>200</v>
      </c>
      <c r="R36" s="671"/>
      <c r="S36" s="672"/>
      <c r="T36" s="1181">
        <f>IF(U36="","",3)</f>
        <v>3</v>
      </c>
      <c r="U36" s="728">
        <f>IF(L38="","",L38)</f>
        <v>46</v>
      </c>
      <c r="V36" s="737"/>
      <c r="W36" s="1372" t="s">
        <v>95</v>
      </c>
      <c r="X36" s="1373"/>
      <c r="Y36" s="737"/>
      <c r="Z36" s="673">
        <v>1</v>
      </c>
      <c r="AA36" s="673">
        <v>1</v>
      </c>
      <c r="AB36" s="673">
        <v>1</v>
      </c>
      <c r="AC36" s="673">
        <v>1.06</v>
      </c>
      <c r="AD36" s="676">
        <v>201</v>
      </c>
      <c r="AE36" s="675">
        <v>421</v>
      </c>
      <c r="AF36" s="675">
        <v>622</v>
      </c>
      <c r="AG36" s="675">
        <v>732</v>
      </c>
      <c r="AH36" s="675">
        <v>915</v>
      </c>
      <c r="AI36" s="675">
        <v>1098</v>
      </c>
      <c r="AJ36" s="675">
        <v>1263</v>
      </c>
      <c r="AK36" s="675">
        <v>1391</v>
      </c>
      <c r="AL36" s="1356"/>
      <c r="AM36" s="739" t="s">
        <v>96</v>
      </c>
      <c r="AN36" s="740"/>
      <c r="AO36" s="740"/>
      <c r="AP36" s="740"/>
      <c r="AQ36" s="740"/>
      <c r="AR36" s="592"/>
      <c r="AS36" s="1359"/>
      <c r="AT36" s="1331"/>
      <c r="AU36" s="1333"/>
      <c r="AV36" s="1333"/>
      <c r="AW36" s="1333"/>
      <c r="AX36" s="1333"/>
      <c r="AY36" s="1333"/>
      <c r="AZ36" s="738">
        <v>50.8</v>
      </c>
      <c r="BA36" s="738">
        <v>38.1</v>
      </c>
      <c r="BB36" s="738">
        <v>25.4</v>
      </c>
      <c r="BC36" s="738">
        <v>19.100000000000001</v>
      </c>
      <c r="BD36" s="738">
        <v>9.52</v>
      </c>
      <c r="BE36" s="738">
        <v>4.76</v>
      </c>
      <c r="BF36" s="738">
        <v>2</v>
      </c>
      <c r="BG36" s="1335"/>
      <c r="BH36" s="1335"/>
      <c r="BI36" s="738">
        <v>0.42</v>
      </c>
      <c r="BJ36" s="738">
        <v>0.14899999999999999</v>
      </c>
      <c r="BK36" s="738">
        <v>7.3999999999999996E-2</v>
      </c>
      <c r="BL36" s="1320"/>
      <c r="BM36" s="1307"/>
      <c r="BN36" s="62" t="s">
        <v>97</v>
      </c>
      <c r="BO36" s="67" t="str">
        <f t="shared" ref="BO36:BV36" si="571">IF(ISNUMBER(BO35),BO33/BO35,"")</f>
        <v/>
      </c>
      <c r="BP36" s="67" t="str">
        <f t="shared" si="571"/>
        <v/>
      </c>
      <c r="BQ36" s="67" t="str">
        <f t="shared" si="571"/>
        <v/>
      </c>
      <c r="BR36" s="67" t="str">
        <f t="shared" si="571"/>
        <v/>
      </c>
      <c r="BS36" s="67" t="str">
        <f t="shared" si="571"/>
        <v/>
      </c>
      <c r="BT36" s="67" t="str">
        <f t="shared" si="571"/>
        <v/>
      </c>
      <c r="BU36" s="67">
        <f t="shared" si="571"/>
        <v>8.5677034829578693E-3</v>
      </c>
      <c r="BV36" s="67">
        <f t="shared" si="571"/>
        <v>9.5037529024244883E-3</v>
      </c>
      <c r="BW36" s="1310"/>
      <c r="BX36" s="62" t="s">
        <v>98</v>
      </c>
      <c r="BY36" s="68">
        <f t="shared" ref="BY36" si="572">IF(J39&lt;&gt;0,J39-BY34,"")</f>
        <v>4045</v>
      </c>
      <c r="BZ36" s="68">
        <f t="shared" ref="BZ36" si="573">IF(K39&lt;&gt;0,K39-BZ34,"")</f>
        <v>4367</v>
      </c>
      <c r="CA36" s="68">
        <f t="shared" ref="CA36" si="574">IF(L39&lt;&gt;0,L39-CA34,"")</f>
        <v>4820</v>
      </c>
      <c r="CB36" s="68">
        <f t="shared" ref="CB36" si="575">IF(M39&lt;&gt;0,M39-CB34,"")</f>
        <v>4925</v>
      </c>
      <c r="CC36" s="68">
        <f t="shared" ref="CC36" si="576">IF(N39&lt;&gt;0,N39-CC34,"")</f>
        <v>4470</v>
      </c>
      <c r="CD36" s="68" t="str">
        <f t="shared" ref="CD36" si="577">IF(O39&lt;&gt;0,O39-CD34,"")</f>
        <v/>
      </c>
      <c r="CE36" s="77">
        <f t="shared" ref="CE36:CJ36" si="578">IF(ISNUMBER(CE33),CE33-$CK33,"")</f>
        <v>-3.0271071845780734E-2</v>
      </c>
      <c r="CF36" s="77">
        <f t="shared" si="578"/>
        <v>-1.5135535922890367E-2</v>
      </c>
      <c r="CG36" s="77">
        <f t="shared" si="578"/>
        <v>0</v>
      </c>
      <c r="CH36" s="77">
        <f t="shared" si="578"/>
        <v>1.5135535922890367E-2</v>
      </c>
      <c r="CI36" s="77">
        <f t="shared" si="578"/>
        <v>3.0271071845780734E-2</v>
      </c>
      <c r="CJ36" s="77" t="str">
        <f t="shared" si="578"/>
        <v/>
      </c>
      <c r="CK36" s="76"/>
      <c r="CL36" s="75">
        <f t="shared" ref="CL36" si="579">IF(ISERROR(CE37*CE38),"",CE37*CE38)</f>
        <v>0.49157077923021081</v>
      </c>
      <c r="CM36" s="75">
        <f t="shared" ref="CM36" si="580">IF(ISERROR(CF37*CF38),"",CF37*CF38)</f>
        <v>0.10323492507360192</v>
      </c>
      <c r="CN36" s="75">
        <f t="shared" ref="CN36" si="581">IF(ISERROR(CG37*CG38),"",CG37*CG38)</f>
        <v>-7.8502400257920352E-2</v>
      </c>
      <c r="CO36" s="75">
        <f t="shared" ref="CO36" si="582">IF(ISERROR(CH37*CH38),"",CH37*CH38)</f>
        <v>0.21495922697974401</v>
      </c>
      <c r="CP36" s="75">
        <f t="shared" ref="CP36" si="583">IF(ISERROR(CI37*CI38),"",CI37*CI38)</f>
        <v>-0.34743007346578714</v>
      </c>
      <c r="CQ36" s="75" t="str">
        <f t="shared" ref="CQ36" si="584">IF(ISERROR(CJ37*CJ38),"",CJ37*CJ38)</f>
        <v/>
      </c>
      <c r="CR36" s="65">
        <f>SUM(CL36:CQ36)</f>
        <v>0.38383245755984929</v>
      </c>
      <c r="CS36" s="74"/>
      <c r="CT36" s="63"/>
      <c r="CU36" s="105" t="str">
        <f>IF(ISNUMBER(CU35),CU33/CU35,"")</f>
        <v/>
      </c>
      <c r="CV36" s="105" t="str">
        <f>IF(ISNUMBER(CV35),CV33/CV35,"")</f>
        <v/>
      </c>
      <c r="CW36" s="1313"/>
      <c r="CX36" s="124" t="str">
        <f>IF(ISNUMBER(CX34),CX33-DF33,"")</f>
        <v/>
      </c>
      <c r="CY36" s="117" t="str">
        <f>IF(ISNUMBER(CY34),CY33-DF33,"")</f>
        <v/>
      </c>
      <c r="CZ36" s="117" t="str">
        <f>IF(ISNUMBER(CZ34),CZ33-DF33,"")</f>
        <v/>
      </c>
      <c r="DA36" s="117" t="str">
        <f>IF(ISNUMBER(DA34),DA33-DF33,"")</f>
        <v/>
      </c>
      <c r="DB36" s="117" t="str">
        <f>IF(ISNUMBER(DB34),DB33-DF33,"")</f>
        <v/>
      </c>
      <c r="DC36" s="117" t="str">
        <f>IF(ISNUMBER(DC34),DC33-DF33,"")</f>
        <v/>
      </c>
      <c r="DD36" s="117" t="str">
        <f>IF(ISNUMBER(DD34),DD33-DF33,"")</f>
        <v/>
      </c>
      <c r="DE36" s="117" t="str">
        <f>IF(ISNUMBER(DE34),DE33-DF33,"")</f>
        <v/>
      </c>
      <c r="DF36" s="720" t="str">
        <f>IF(CX36&lt;&gt;"",SUM(CX36:DE36),"")</f>
        <v/>
      </c>
      <c r="DG36" s="119" t="str">
        <f t="shared" ref="DG36" si="585">IF(ISERROR(CX36*CX38),"",CX36*CX38)</f>
        <v/>
      </c>
      <c r="DH36" s="119" t="str">
        <f t="shared" ref="DH36" si="586">IF(ISERROR(CY36*CY38),"",CY36*CY38)</f>
        <v/>
      </c>
      <c r="DI36" s="119" t="str">
        <f t="shared" ref="DI36" si="587">IF(ISERROR(CZ36*CZ38),"",CZ36*CZ38)</f>
        <v/>
      </c>
      <c r="DJ36" s="119" t="str">
        <f t="shared" ref="DJ36" si="588">IF(ISERROR(DA36*DA38),"",DA36*DA38)</f>
        <v/>
      </c>
      <c r="DK36" s="119" t="str">
        <f t="shared" ref="DK36" si="589">IF(ISERROR(DB36*DB38),"",DB36*DB38)</f>
        <v/>
      </c>
      <c r="DL36" s="119" t="str">
        <f t="shared" ref="DL36" si="590">IF(ISERROR(DC36*DC38),"",DC36*DC38)</f>
        <v/>
      </c>
      <c r="DM36" s="119" t="str">
        <f t="shared" ref="DM36" si="591">IF(ISERROR(DD36*DD38),"",DD36*DD38)</f>
        <v/>
      </c>
      <c r="DN36" s="119" t="str">
        <f t="shared" ref="DN36" si="592">IF(ISERROR(DE36*DE38),"",DE36*DE38)</f>
        <v/>
      </c>
      <c r="DO36" s="119" t="str">
        <f>IF(DG36&lt;&gt;"",SUM(DG36:DN36),"")</f>
        <v/>
      </c>
      <c r="DP36" s="119" t="str">
        <f>IF(DP34="","",IF(DP34&gt;0,(DJ37*DP35)+DJ38,-1))</f>
        <v/>
      </c>
      <c r="DQ36" s="119" t="str">
        <f>IF(DP34="","",IF(DP34&gt;0,(DJ37*DQ35)+DJ38,-1))</f>
        <v/>
      </c>
      <c r="DR36" s="119" t="str">
        <f>IF(DP34="","",IF(DP34&gt;0,(DJ37*DR35)+DJ38,-1))</f>
        <v/>
      </c>
      <c r="DS36" s="119" t="str">
        <f>IF(DP34="","",IF(DP34&gt;0,(DJ37*DS35)+DJ38,-1))</f>
        <v/>
      </c>
      <c r="DT36" s="119" t="str">
        <f>IF(DP34="","",IF(DP34&gt;0,(DJ37*DT35)+DJ38,-1))</f>
        <v/>
      </c>
      <c r="DU36" s="119" t="str">
        <f>IF(DP34="","",IF(DP34&gt;0,(DJ37*DU35)+DJ38,-1))</f>
        <v/>
      </c>
      <c r="DV36" s="119" t="str">
        <f>IF(DP34="","",IF(DP34&gt;0,(DJ37*DV35)+DJ38,-1))</f>
        <v/>
      </c>
      <c r="DW36" s="119" t="str">
        <f>IF(DP34="","",IF(DP34&gt;0,(DJ37*DW35)+DJ38,-1))</f>
        <v/>
      </c>
      <c r="DX36" s="1182" t="str">
        <f>IF(DP34="","",IF(DP34&gt;0,(DJ37*DX35)+DJ38,-1))</f>
        <v/>
      </c>
      <c r="DY36" s="124">
        <f>IF(ISNUMBER(DY34),DY33-EG33,"")</f>
        <v>-3.02</v>
      </c>
      <c r="DZ36" s="117">
        <f>IF(ISNUMBER(DZ34),DZ33-EG33,"")</f>
        <v>-2.38</v>
      </c>
      <c r="EA36" s="117">
        <f>IF(ISNUMBER(EA34),EA33-EG33,"")</f>
        <v>-1.75</v>
      </c>
      <c r="EB36" s="117">
        <f>IF(ISNUMBER(EB34),EB33-EG33,"")</f>
        <v>-1.1099999999999999</v>
      </c>
      <c r="EC36" s="117">
        <f>IF(ISNUMBER(EC34),EC33-EG33,"")</f>
        <v>0.16000000000000014</v>
      </c>
      <c r="ED36" s="117">
        <f>IF(ISNUMBER(ED34),ED33-EG33,"")</f>
        <v>1.4300000000000002</v>
      </c>
      <c r="EE36" s="117">
        <f>IF(ISNUMBER(EE34),EE33-EG33,"")</f>
        <v>2.6999999999999997</v>
      </c>
      <c r="EF36" s="117">
        <f>IF(ISNUMBER(EF34),EF33-EG33,"")</f>
        <v>3.97</v>
      </c>
      <c r="EG36" s="118">
        <f>IF(DY36&lt;&gt;"",SUM(DY36:EF36),"")</f>
        <v>0</v>
      </c>
      <c r="EH36" s="119">
        <f t="shared" ref="EH36" si="593">IF(ISERROR(DY36*DY38),"",DY36*DY38)</f>
        <v>55.721114000000007</v>
      </c>
      <c r="EI36" s="119">
        <f t="shared" ref="EI36" si="594">IF(ISERROR(DZ36*DZ38),"",DZ36*DZ38)</f>
        <v>41.018585999999999</v>
      </c>
      <c r="EJ36" s="119">
        <f t="shared" ref="EJ36" si="595">IF(ISERROR(EA36*EA38),"",EA36*EA38)</f>
        <v>26.665800000000001</v>
      </c>
      <c r="EK36" s="119">
        <f t="shared" ref="EK36" si="596">IF(ISERROR(EB36*EB38),"",EB36*EB38)</f>
        <v>13.759559999999999</v>
      </c>
      <c r="EL36" s="119">
        <f t="shared" ref="EL36" si="597">IF(ISERROR(EC36*EC38),"",EC36*EC38)</f>
        <v>-0.69304000000000066</v>
      </c>
      <c r="EM36" s="119">
        <f t="shared" ref="EM36" si="598">IF(ISERROR(ED36*ED38),"",ED36*ED38)</f>
        <v>9.9510840000000016</v>
      </c>
      <c r="EN36" s="119">
        <f t="shared" ref="EN36" si="599">IF(ISERROR(EE36*EE38),"",EE36*EE38)</f>
        <v>57.982229999999987</v>
      </c>
      <c r="EO36" s="119">
        <f t="shared" ref="EO36" si="600">IF(ISERROR(EF36*EF38),"",EF36*EF38)</f>
        <v>155.690696</v>
      </c>
      <c r="EP36" s="119">
        <f>IF(EH36&lt;&gt;"",SUM(EH36:EO36),"")</f>
        <v>360.09603000000004</v>
      </c>
      <c r="EQ36" s="119">
        <f>IF(EQ34="","",IF(EQ34&gt;0,(EK37*EQ35)+EK38,-1))</f>
        <v>-1</v>
      </c>
      <c r="ER36" s="119">
        <f>IF(EQ34="","",IF(EQ34&gt;0,(EK37*ER35)+EK38,-1))</f>
        <v>-1</v>
      </c>
      <c r="ES36" s="119">
        <f>IF(EQ34="","",IF(EQ34&gt;0,(EK37*ES35)+EK38,-1))</f>
        <v>-1</v>
      </c>
      <c r="ET36" s="119">
        <f>IF(EQ34="","",IF(EQ34&gt;0,(EK37*ET35)+EK38,-1))</f>
        <v>-1</v>
      </c>
      <c r="EU36" s="119">
        <f>IF(EQ34="","",IF(EQ34&gt;0,(EK37*EU35)+EK38,-1))</f>
        <v>-1</v>
      </c>
      <c r="EV36" s="119">
        <f>IF(EQ34="","",IF(EQ34&gt;0,(EK37*EV35)+EK38,-1))</f>
        <v>-1</v>
      </c>
      <c r="EW36" s="119">
        <f>IF(EQ34="","",IF(EQ34&gt;0,(EK37*EW35)+EK38,-1))</f>
        <v>-1</v>
      </c>
      <c r="EX36" s="119">
        <f>IF(EQ34="","",IF(EQ34&gt;0,(EK37*EX35)+EK38,-1))</f>
        <v>-1</v>
      </c>
      <c r="EY36" s="1182">
        <f>IF(EQ34="","",IF(EQ34&gt;0,(EK37*EY35)+EK38,-1))</f>
        <v>-1</v>
      </c>
      <c r="EZ36" s="124">
        <f>IF(ISNUMBER(EZ34),EZ33-FH33,"")</f>
        <v>-3.02</v>
      </c>
      <c r="FA36" s="117">
        <f>IF(ISNUMBER(FA34),FA33-FH33,"")</f>
        <v>-2.38</v>
      </c>
      <c r="FB36" s="117">
        <f>IF(ISNUMBER(FB34),FB33-FH33,"")</f>
        <v>-1.75</v>
      </c>
      <c r="FC36" s="117">
        <f>IF(ISNUMBER(FC34),FC33-FH33,"")</f>
        <v>-1.1099999999999999</v>
      </c>
      <c r="FD36" s="117">
        <f>IF(ISNUMBER(FD34),FD33-FH33,"")</f>
        <v>0.16000000000000014</v>
      </c>
      <c r="FE36" s="117">
        <f>IF(ISNUMBER(FE34),FE33-FH33,"")</f>
        <v>1.4300000000000002</v>
      </c>
      <c r="FF36" s="117">
        <f>IF(ISNUMBER(FF34),FF33-FH33,"")</f>
        <v>2.6999999999999997</v>
      </c>
      <c r="FG36" s="117">
        <f>IF(ISNUMBER(FG34),FG33-FH33,"")</f>
        <v>3.97</v>
      </c>
      <c r="FH36" s="118">
        <f>IF(EZ36&lt;&gt;"",SUM(EZ36:FG36),"")</f>
        <v>0</v>
      </c>
      <c r="FI36" s="119">
        <f t="shared" ref="FI36" si="601">IF(ISERROR(EZ36*EZ38),"",EZ36*EZ38)</f>
        <v>55.721114000000007</v>
      </c>
      <c r="FJ36" s="119">
        <f t="shared" ref="FJ36" si="602">IF(ISERROR(FA36*FA38),"",FA36*FA38)</f>
        <v>41.018585999999999</v>
      </c>
      <c r="FK36" s="119">
        <f t="shared" ref="FK36" si="603">IF(ISERROR(FB36*FB38),"",FB36*FB38)</f>
        <v>26.665800000000001</v>
      </c>
      <c r="FL36" s="119">
        <f t="shared" ref="FL36" si="604">IF(ISERROR(FC36*FC38),"",FC36*FC38)</f>
        <v>13.759559999999999</v>
      </c>
      <c r="FM36" s="119">
        <f t="shared" ref="FM36" si="605">IF(ISERROR(FD36*FD38),"",FD36*FD38)</f>
        <v>-0.69304000000000066</v>
      </c>
      <c r="FN36" s="119">
        <f t="shared" ref="FN36" si="606">IF(ISERROR(FE36*FE38),"",FE36*FE38)</f>
        <v>9.9510840000000016</v>
      </c>
      <c r="FO36" s="119">
        <f t="shared" ref="FO36" si="607">IF(ISERROR(FF36*FF38),"",FF36*FF38)</f>
        <v>57.982229999999987</v>
      </c>
      <c r="FP36" s="119">
        <f t="shared" ref="FP36" si="608">IF(ISERROR(FG36*FG38),"",FG36*FG38)</f>
        <v>155.690696</v>
      </c>
      <c r="FQ36" s="119">
        <f>IF(FI36&lt;&gt;"",SUM(FI36:FP36),"")</f>
        <v>360.09603000000004</v>
      </c>
      <c r="FR36" s="119">
        <f>IF(FR34="","",IF(FR34&gt;0,(FL37*FR35)+FL38,-1))</f>
        <v>-1</v>
      </c>
      <c r="FS36" s="119">
        <f>IF(FR34="","",IF(FR34&gt;0,(FL37*FS35)+FL38,-1))</f>
        <v>-1</v>
      </c>
      <c r="FT36" s="119">
        <f>IF(FR34="","",IF(FR34&gt;0,(FL37*FT35)+FL38,-1))</f>
        <v>-1</v>
      </c>
      <c r="FU36" s="119">
        <f>IF(FR34="","",IF(FR34&gt;0,(FL37*FU35)+FL38,-1))</f>
        <v>-1</v>
      </c>
      <c r="FV36" s="119">
        <f>IF(FR34="","",IF(FR34&gt;0,(FL37*FV35)+FL38,-1))</f>
        <v>-1</v>
      </c>
      <c r="FW36" s="119">
        <f>IF(FR34="","",IF(FR34&gt;0,(FL37*FW35)+FL38,-1))</f>
        <v>-1</v>
      </c>
      <c r="FX36" s="119">
        <f>IF(FR34="","",IF(FR34&gt;0,(FL37*FX35)+FL38,-1))</f>
        <v>-1</v>
      </c>
      <c r="FY36" s="119">
        <f>IF(FR34="","",IF(FR34&gt;0,(FL37*FY35)+FL38,-1))</f>
        <v>-1</v>
      </c>
      <c r="FZ36" s="1182">
        <f>IF(FR34="","",IF(FR34&gt;0,(FL37*FZ35)+FL38,-1))</f>
        <v>-1</v>
      </c>
      <c r="GA36" s="124">
        <f>IF(ISNUMBER(GA34),GA33-GI33,"")</f>
        <v>-3.02</v>
      </c>
      <c r="GB36" s="117">
        <f>IF(ISNUMBER(GB34),GB33-GI33,"")</f>
        <v>-2.38</v>
      </c>
      <c r="GC36" s="117">
        <f>IF(ISNUMBER(GC34),GC33-GI33,"")</f>
        <v>-1.75</v>
      </c>
      <c r="GD36" s="117">
        <f>IF(ISNUMBER(GD34),GD33-GI33,"")</f>
        <v>-1.1099999999999999</v>
      </c>
      <c r="GE36" s="117">
        <f>IF(ISNUMBER(GE34),GE33-GI33,"")</f>
        <v>0.16000000000000014</v>
      </c>
      <c r="GF36" s="117">
        <f>IF(ISNUMBER(GF34),GF33-GI33,"")</f>
        <v>1.4300000000000002</v>
      </c>
      <c r="GG36" s="117">
        <f>IF(ISNUMBER(GG34),GG33-GI33,"")</f>
        <v>2.6999999999999997</v>
      </c>
      <c r="GH36" s="117">
        <f>IF(ISNUMBER(GH34),GH33-GI33,"")</f>
        <v>3.97</v>
      </c>
      <c r="GI36" s="118">
        <f>IF(GA36&lt;&gt;"",SUM(GA36:GH36),"")</f>
        <v>0</v>
      </c>
      <c r="GJ36" s="119">
        <f t="shared" ref="GJ36" si="609">IF(ISERROR(GA36*GA38),"",GA36*GA38)</f>
        <v>55.721114000000007</v>
      </c>
      <c r="GK36" s="119">
        <f t="shared" ref="GK36" si="610">IF(ISERROR(GB36*GB38),"",GB36*GB38)</f>
        <v>41.018585999999999</v>
      </c>
      <c r="GL36" s="119">
        <f t="shared" ref="GL36" si="611">IF(ISERROR(GC36*GC38),"",GC36*GC38)</f>
        <v>26.665800000000001</v>
      </c>
      <c r="GM36" s="119">
        <f t="shared" ref="GM36" si="612">IF(ISERROR(GD36*GD38),"",GD36*GD38)</f>
        <v>13.759559999999999</v>
      </c>
      <c r="GN36" s="119">
        <f t="shared" ref="GN36" si="613">IF(ISERROR(GE36*GE38),"",GE36*GE38)</f>
        <v>-0.69304000000000066</v>
      </c>
      <c r="GO36" s="119">
        <f t="shared" ref="GO36" si="614">IF(ISERROR(GF36*GF38),"",GF36*GF38)</f>
        <v>9.9510840000000016</v>
      </c>
      <c r="GP36" s="119">
        <f t="shared" ref="GP36" si="615">IF(ISERROR(GG36*GG38),"",GG36*GG38)</f>
        <v>57.982229999999987</v>
      </c>
      <c r="GQ36" s="119">
        <f t="shared" ref="GQ36" si="616">IF(ISERROR(GH36*GH38),"",GH36*GH38)</f>
        <v>155.690696</v>
      </c>
      <c r="GR36" s="119">
        <f>IF(GJ36&lt;&gt;"",SUM(GJ36:GQ36),"")</f>
        <v>360.09603000000004</v>
      </c>
      <c r="GS36" s="119">
        <f>IF(GS34="","",IF(GS34&gt;0,(GM37*GS35)+GM38,-1))</f>
        <v>-1</v>
      </c>
      <c r="GT36" s="119">
        <f>IF(GS34="","",IF(GS34&gt;0,(GM37*GT35)+GM38,-1))</f>
        <v>-1</v>
      </c>
      <c r="GU36" s="119">
        <f>IF(GS34="","",IF(GS34&gt;0,(GM37*GU35)+GM38,-1))</f>
        <v>-1</v>
      </c>
      <c r="GV36" s="119">
        <f>IF(GS34="","",IF(GS34&gt;0,(GM37*GV35)+GM38,-1))</f>
        <v>-1</v>
      </c>
      <c r="GW36" s="119">
        <f>IF(GS34="","",IF(GS34&gt;0,(GM37*GW35)+GM38,-1))</f>
        <v>-1</v>
      </c>
      <c r="GX36" s="119">
        <f>IF(GS34="","",IF(GS34&gt;0,(GM37*GX35)+GM38,-1))</f>
        <v>-1</v>
      </c>
      <c r="GY36" s="119">
        <f>IF(GS34="","",IF(GS34&gt;0,(GM37*GY35)+GM38,-1))</f>
        <v>-1</v>
      </c>
      <c r="GZ36" s="119">
        <f>IF(GS34="","",IF(GS34&gt;0,(GM37*GZ35)+GM38,-1))</f>
        <v>-1</v>
      </c>
      <c r="HA36" s="1182">
        <f>IF(GS34="","",IF(GS34&gt;0,(GM37*HA35)+GM38,-1))</f>
        <v>-1</v>
      </c>
      <c r="HB36" s="124" t="str">
        <f>IF(ISNUMBER(HB34),HB33-HJ33,"")</f>
        <v/>
      </c>
      <c r="HC36" s="117" t="str">
        <f>IF(ISNUMBER(HC34),HC33-HJ33,"")</f>
        <v/>
      </c>
      <c r="HD36" s="117" t="str">
        <f>IF(ISNUMBER(HD34),HD33-HJ33,"")</f>
        <v/>
      </c>
      <c r="HE36" s="117" t="str">
        <f>IF(ISNUMBER(HE34),HE33-HJ33,"")</f>
        <v/>
      </c>
      <c r="HF36" s="117" t="str">
        <f>IF(ISNUMBER(HF34),HF33-HJ33,"")</f>
        <v/>
      </c>
      <c r="HG36" s="117" t="str">
        <f>IF(ISNUMBER(HG34),HG33-HJ33,"")</f>
        <v/>
      </c>
      <c r="HH36" s="117" t="str">
        <f>IF(ISNUMBER(HH34),HH33-HJ33,"")</f>
        <v/>
      </c>
      <c r="HI36" s="117" t="str">
        <f>IF(ISNUMBER(HI34),HI33-HJ33,"")</f>
        <v/>
      </c>
      <c r="HJ36" s="118" t="str">
        <f>IF(HB36&lt;&gt;"",SUM(HB36:HI36),"")</f>
        <v/>
      </c>
      <c r="HK36" s="119" t="str">
        <f t="shared" ref="HK36" si="617">IF(ISERROR(HB36*HB38),"",HB36*HB38)</f>
        <v/>
      </c>
      <c r="HL36" s="119" t="str">
        <f t="shared" ref="HL36" si="618">IF(ISERROR(HC36*HC38),"",HC36*HC38)</f>
        <v/>
      </c>
      <c r="HM36" s="119" t="str">
        <f t="shared" ref="HM36" si="619">IF(ISERROR(HD36*HD38),"",HD36*HD38)</f>
        <v/>
      </c>
      <c r="HN36" s="119" t="str">
        <f t="shared" ref="HN36" si="620">IF(ISERROR(HE36*HE38),"",HE36*HE38)</f>
        <v/>
      </c>
      <c r="HO36" s="119" t="str">
        <f t="shared" ref="HO36" si="621">IF(ISERROR(HF36*HF38),"",HF36*HF38)</f>
        <v/>
      </c>
      <c r="HP36" s="119" t="str">
        <f t="shared" ref="HP36" si="622">IF(ISERROR(HG36*HG38),"",HG36*HG38)</f>
        <v/>
      </c>
      <c r="HQ36" s="119" t="str">
        <f t="shared" ref="HQ36" si="623">IF(ISERROR(HH36*HH38),"",HH36*HH38)</f>
        <v/>
      </c>
      <c r="HR36" s="119" t="str">
        <f t="shared" ref="HR36" si="624">IF(ISERROR(HI36*HI38),"",HI36*HI38)</f>
        <v/>
      </c>
      <c r="HS36" s="119" t="str">
        <f>IF(HK36&lt;&gt;"",SUM(HK36:HR36),"")</f>
        <v/>
      </c>
      <c r="HT36" s="119" t="str">
        <f>IF(HT34="","",IF(HT34&gt;0,(HN37*HT35)+HN38,-1))</f>
        <v/>
      </c>
      <c r="HU36" s="119" t="str">
        <f>IF(HT34="","",IF(HT34&gt;0,(HN37*HU35)+HN38,-1))</f>
        <v/>
      </c>
      <c r="HV36" s="119" t="str">
        <f>IF(HT34="","",IF(HT34&gt;0,(HN37*HV35)+HN38,-1))</f>
        <v/>
      </c>
      <c r="HW36" s="119" t="str">
        <f>IF(HT34="","",IF(HT34&gt;0,(HN37*HW35)+HN38,-1))</f>
        <v/>
      </c>
      <c r="HX36" s="119" t="str">
        <f>IF(HT34="","",IF(HT34&gt;0,(HN37*HX35)+HN38,-1))</f>
        <v/>
      </c>
      <c r="HY36" s="119" t="str">
        <f>IF(HT34="","",IF(HT34&gt;0,(HN37*HY35)+HN38,-1))</f>
        <v/>
      </c>
      <c r="HZ36" s="119" t="str">
        <f>IF(HT34="","",IF(HT34&gt;0,(HN37*HZ35)+HN38,-1))</f>
        <v/>
      </c>
      <c r="IA36" s="119" t="str">
        <f>IF(HT34="","",IF(HT34&gt;0,(HN37*IA35)+HN38,-1))</f>
        <v/>
      </c>
      <c r="IB36" s="1182" t="str">
        <f>IF(HT34="","",IF(HT34&gt;0,(HN37*IB35)+HN38,-1))</f>
        <v/>
      </c>
      <c r="IC36" s="124" t="str">
        <f>IF(ISNUMBER(IC34),IC33-IK33,"")</f>
        <v/>
      </c>
      <c r="ID36" s="117" t="str">
        <f>IF(ISNUMBER(ID34),ID33-IK33,"")</f>
        <v/>
      </c>
      <c r="IE36" s="117" t="str">
        <f>IF(ISNUMBER(IE34),IE33-IK33,"")</f>
        <v/>
      </c>
      <c r="IF36" s="117" t="str">
        <f>IF(ISNUMBER(IF34),IF33-IK33,"")</f>
        <v/>
      </c>
      <c r="IG36" s="117" t="str">
        <f>IF(ISNUMBER(IG34),IG33-IK33,"")</f>
        <v/>
      </c>
      <c r="IH36" s="117" t="str">
        <f>IF(ISNUMBER(IH34),IH33-IK33,"")</f>
        <v/>
      </c>
      <c r="II36" s="117" t="str">
        <f>IF(ISNUMBER(II34),II33-IK33,"")</f>
        <v/>
      </c>
      <c r="IJ36" s="117" t="str">
        <f>IF(ISNUMBER(IJ34),IJ33-IK33,"")</f>
        <v/>
      </c>
      <c r="IK36" s="118" t="str">
        <f>IF(IC36&lt;&gt;"",SUM(IC36:IJ36),"")</f>
        <v/>
      </c>
      <c r="IL36" s="119" t="str">
        <f t="shared" ref="IL36" si="625">IF(ISERROR(IC36*IC38),"",IC36*IC38)</f>
        <v/>
      </c>
      <c r="IM36" s="119" t="str">
        <f t="shared" ref="IM36" si="626">IF(ISERROR(ID36*ID38),"",ID36*ID38)</f>
        <v/>
      </c>
      <c r="IN36" s="119" t="str">
        <f t="shared" ref="IN36" si="627">IF(ISERROR(IE36*IE38),"",IE36*IE38)</f>
        <v/>
      </c>
      <c r="IO36" s="119" t="str">
        <f t="shared" ref="IO36" si="628">IF(ISERROR(IF36*IF38),"",IF36*IF38)</f>
        <v/>
      </c>
      <c r="IP36" s="119" t="str">
        <f t="shared" ref="IP36" si="629">IF(ISERROR(IG36*IG38),"",IG36*IG38)</f>
        <v/>
      </c>
      <c r="IQ36" s="119" t="str">
        <f t="shared" ref="IQ36" si="630">IF(ISERROR(IH36*IH38),"",IH36*IH38)</f>
        <v/>
      </c>
      <c r="IR36" s="119" t="str">
        <f t="shared" ref="IR36" si="631">IF(ISERROR(II36*II38),"",II36*II38)</f>
        <v/>
      </c>
      <c r="IS36" s="119" t="str">
        <f t="shared" ref="IS36" si="632">IF(ISERROR(IJ36*IJ38),"",IJ36*IJ38)</f>
        <v/>
      </c>
      <c r="IT36" s="119" t="str">
        <f>IF(IL36&lt;&gt;"",SUM(IL36:IS36),"")</f>
        <v/>
      </c>
      <c r="IU36" s="119" t="str">
        <f>IF(IU34="","",IF(IU34&gt;0,(IO37*IU35)+IO38,-1))</f>
        <v/>
      </c>
      <c r="IV36" s="119" t="str">
        <f>IF(IU34="","",IF(IU34&gt;0,(IO37*IV35)+IO38,-1))</f>
        <v/>
      </c>
      <c r="IW36" s="119" t="str">
        <f>IF(IU34="","",IF(IU34&gt;0,(IO37*IW35)+IO38,-1))</f>
        <v/>
      </c>
      <c r="IX36" s="119" t="str">
        <f>IF(IU34="","",IF(IU34&gt;0,(IO37*IX35)+IO38,-1))</f>
        <v/>
      </c>
      <c r="IY36" s="119" t="str">
        <f>IF(IU34="","",IF(IU34&gt;0,(IO37*IY35)+IO38,-1))</f>
        <v/>
      </c>
      <c r="IZ36" s="119" t="str">
        <f>IF(IU34="","",IF(IU34&gt;0,(IO37*IZ35)+IO38,-1))</f>
        <v/>
      </c>
      <c r="JA36" s="119" t="str">
        <f>IF(IU34="","",IF(IU34&gt;0,(IO37*JA35)+IO38,-1))</f>
        <v/>
      </c>
      <c r="JB36" s="119" t="str">
        <f>IF(IU34="","",IF(IU34&gt;0,(IO37*JB35)+IO38,-1))</f>
        <v/>
      </c>
      <c r="JC36" s="1182" t="str">
        <f>IF(IU34="","",IF(IU34&gt;0,(IO37*JC35)+IO38,-1))</f>
        <v/>
      </c>
      <c r="JD36" s="150">
        <f t="shared" si="388"/>
        <v>4</v>
      </c>
      <c r="JE36" s="77" t="str">
        <f t="shared" ref="JE36:JJ36" si="633">IF(ISNUMBER(JE33),JE33-$JK33,"")</f>
        <v/>
      </c>
      <c r="JF36" s="77">
        <f t="shared" si="633"/>
        <v>-1.5135535922890367E-2</v>
      </c>
      <c r="JG36" s="77">
        <f t="shared" si="633"/>
        <v>0</v>
      </c>
      <c r="JH36" s="77">
        <f t="shared" si="633"/>
        <v>1.5135535922890367E-2</v>
      </c>
      <c r="JI36" s="77" t="str">
        <f t="shared" si="633"/>
        <v/>
      </c>
      <c r="JJ36" s="77" t="str">
        <f t="shared" si="633"/>
        <v/>
      </c>
      <c r="JK36" s="76"/>
      <c r="JL36" s="75" t="str">
        <f t="shared" ref="JL36" si="634">IF(ISERROR(JE37*JE38),"",JE37*JE38)</f>
        <v/>
      </c>
      <c r="JM36" s="75">
        <f t="shared" ref="JM36" si="635">IF(ISERROR(JF37*JF38),"",JF37*JF38)</f>
        <v>1.7780162144860518E-2</v>
      </c>
      <c r="JN36" s="75">
        <f t="shared" ref="JN36" si="636">IF(ISERROR(JG37*JG38),"",JG37*JG38)</f>
        <v>-2.2882996269553237E-3</v>
      </c>
      <c r="JO36" s="75">
        <f t="shared" ref="JO36" si="637">IF(ISERROR(JH37*JH38),"",JH37*JH38)</f>
        <v>-5.9779772145671581E-3</v>
      </c>
      <c r="JP36" s="75" t="str">
        <f t="shared" ref="JP36" si="638">IF(ISERROR(JI37*JI38),"",JI37*JI38)</f>
        <v/>
      </c>
      <c r="JQ36" s="75" t="str">
        <f t="shared" ref="JQ36" si="639">IF(ISERROR(JJ37*JJ38),"",JJ37*JJ38)</f>
        <v/>
      </c>
      <c r="JR36" s="65">
        <f>SUM(JL36:JQ36)</f>
        <v>9.5138853033380367E-3</v>
      </c>
      <c r="JS36" s="157" t="s">
        <v>99</v>
      </c>
      <c r="JT36" s="1195" t="s">
        <v>100</v>
      </c>
      <c r="JU36" s="123">
        <f>IF(T37&lt;&gt;0,LOOKUP(T37,Tara!$G$6:$G$185,Tara!$J$6:$J$185)/10,"")</f>
        <v>11.479000000000001</v>
      </c>
      <c r="JV36" s="116">
        <f t="shared" si="395"/>
        <v>5.0000000000000044E-2</v>
      </c>
      <c r="JW36" s="155">
        <f t="shared" si="396"/>
        <v>4.3557801202195347E-4</v>
      </c>
      <c r="JX36" s="77" t="str">
        <f t="shared" ref="JX36:KC36" si="640">IF(ISNUMBER(JX33),JX33-$JK33,"")</f>
        <v/>
      </c>
      <c r="JY36" s="77">
        <f t="shared" si="640"/>
        <v>-1.5135535922890367E-2</v>
      </c>
      <c r="JZ36" s="77">
        <f t="shared" si="640"/>
        <v>0</v>
      </c>
      <c r="KA36" s="77">
        <f t="shared" si="640"/>
        <v>1.5135535922890367E-2</v>
      </c>
      <c r="KB36" s="77" t="str">
        <f t="shared" si="640"/>
        <v/>
      </c>
      <c r="KC36" s="77" t="str">
        <f t="shared" si="640"/>
        <v/>
      </c>
      <c r="KD36" s="76"/>
      <c r="KE36" s="75" t="str">
        <f t="shared" ref="KE36" si="641">IF(ISERROR(JX37*JX38),"",JX37*JX38)</f>
        <v/>
      </c>
      <c r="KF36" s="75">
        <f t="shared" ref="KF36" si="642">IF(ISERROR(JY37*JY38),"",JY37*JY38)</f>
        <v>0.1379253305373227</v>
      </c>
      <c r="KG36" s="75">
        <f t="shared" ref="KG36" si="643">IF(ISERROR(JZ37*JZ38),"",JZ37*JZ38)</f>
        <v>1.3604530217272702E-2</v>
      </c>
      <c r="KH36" s="75">
        <f t="shared" ref="KH36" si="644">IF(ISERROR(KA37*KA38),"",KA37*KA38)</f>
        <v>-0.15167941232751225</v>
      </c>
      <c r="KI36" s="75" t="str">
        <f t="shared" ref="KI36" si="645">IF(ISERROR(KB37*KB38),"",KB37*KB38)</f>
        <v/>
      </c>
      <c r="KJ36" s="75" t="str">
        <f t="shared" ref="KJ36" si="646">IF(ISERROR(KC37*KC38),"",KC37*KC38)</f>
        <v/>
      </c>
      <c r="KK36" s="65">
        <f>SUM(KE36:KJ36)</f>
        <v>-1.4955157291685062E-4</v>
      </c>
      <c r="KL36" s="157" t="s">
        <v>99</v>
      </c>
      <c r="KM36" s="1195" t="s">
        <v>87</v>
      </c>
      <c r="KN36" s="168" t="str">
        <f t="shared" ref="KN36:KW36" si="647">IF(ISNUMBER(KN35),KN33/KN35,"")</f>
        <v/>
      </c>
      <c r="KO36" s="105" t="str">
        <f t="shared" si="647"/>
        <v/>
      </c>
      <c r="KP36" s="105" t="str">
        <f t="shared" si="647"/>
        <v/>
      </c>
      <c r="KQ36" s="105" t="str">
        <f t="shared" si="647"/>
        <v/>
      </c>
      <c r="KR36" s="1196" t="str">
        <f t="shared" si="647"/>
        <v/>
      </c>
      <c r="KS36" s="168" t="str">
        <f t="shared" si="647"/>
        <v/>
      </c>
      <c r="KT36" s="105" t="str">
        <f t="shared" si="647"/>
        <v/>
      </c>
      <c r="KU36" s="105" t="str">
        <f t="shared" si="647"/>
        <v/>
      </c>
      <c r="KV36" s="105" t="str">
        <f t="shared" si="647"/>
        <v/>
      </c>
      <c r="KW36" s="105" t="str">
        <f t="shared" si="647"/>
        <v/>
      </c>
      <c r="KX36" s="1197"/>
      <c r="KY36" s="196" t="str">
        <f>IF(AND(KY34&gt;0,ISNUMBER(KY34)),KY35/KY34,"")</f>
        <v/>
      </c>
      <c r="KZ36" s="1198" t="str">
        <f>IF(AND(KZ34&gt;0,ISNUMBER(KZ34)),KZ35/KZ34,"")</f>
        <v/>
      </c>
      <c r="LA36" s="598">
        <f>IF(LA33&lt;&gt;"",LA33/LA35*100,"")</f>
        <v>0</v>
      </c>
      <c r="LB36" s="702">
        <f>IF(LB33&lt;&gt;"",LB33/LB35*100,"")</f>
        <v>0</v>
      </c>
      <c r="LC36" s="120">
        <f>IF(LC34&lt;&gt;"",LC34-LC35,"")</f>
        <v>1325.7399999999998</v>
      </c>
      <c r="LD36" s="120">
        <f>IF(LD34&lt;&gt;"",LD34/(LA37+100)*100,"")</f>
        <v>153.66</v>
      </c>
      <c r="LE36" s="199"/>
      <c r="LF36" s="199"/>
      <c r="LG36" s="199"/>
      <c r="LH36" s="199"/>
      <c r="LI36" s="199"/>
      <c r="LJ36" s="199"/>
      <c r="LK36" s="199"/>
      <c r="LL36" s="200">
        <f>IF(LD34&lt;&gt;"",LL35/LD36,"")</f>
        <v>0.78712742418326165</v>
      </c>
      <c r="LM36" s="1199">
        <f>IF(LD34&lt;&gt;"",LM35/LD36,"")</f>
        <v>0.43238318365221917</v>
      </c>
      <c r="LN36" s="185" t="b">
        <f>IF(LM37="","",IF(AND(LG37&gt;=93%,LG37&lt;=100%,LI37&gt;=43%,LI37&lt;=92%,LJ37&gt;=30%,LJ37&lt;=70%,LK37&gt;=20%,LK37&lt;=55%,LL37&gt;=13%,LL37&lt;=32%,LM37&gt;=3%,LM37&lt;=17%),"Faixa C"))</f>
        <v>0</v>
      </c>
      <c r="LO36" s="180" t="str">
        <f>IF(LM37="","",IF(LN34="Faixa A","A",IF(LN35="Faixa B","B",IF(LN36="Faixa C","C",IF(LN37="Faixa D","D",IF(LO34="Faixa E","E",IF(LO35="Faixa F","F","")))))))</f>
        <v>D</v>
      </c>
      <c r="LP36" s="181"/>
      <c r="LQ36" s="181"/>
      <c r="LR36" s="1279"/>
      <c r="LS36" s="215">
        <v>4</v>
      </c>
      <c r="LT36" s="144">
        <f>IF(LJ37&lt;&gt;"",LJ37*100,"")</f>
        <v>65.427262625212848</v>
      </c>
      <c r="LU36" s="162" t="s">
        <v>101</v>
      </c>
      <c r="LV36" s="162" t="s">
        <v>102</v>
      </c>
      <c r="LW36" s="162" t="s">
        <v>103</v>
      </c>
      <c r="LX36" s="162" t="s">
        <v>104</v>
      </c>
      <c r="LY36" s="199" t="b">
        <f>IF(LG39&lt;LL39,"NP",AND(LU39=0,LO39&lt;=6,LT39&lt;=15,LT38&lt;=30,LT37&lt;=50))</f>
        <v>0</v>
      </c>
      <c r="LZ36" s="199" t="b">
        <f>IF(LH39&lt;LL39,"NP",AND(LU39=0,LO39&lt;=6,LT39&lt;=25,LT38&lt;=50))</f>
        <v>1</v>
      </c>
      <c r="MA36" s="199" t="b">
        <f>IF(LO39&lt;0,IF(MB36="NP",IF(LU39=0,IF(LT39&lt;=10,IF(LT38&gt;50,AND(LU39=0,LO39&lt;0,LT39&lt;=10,LT38&gt;50),"NP")))))</f>
        <v>0</v>
      </c>
      <c r="MB36" s="199" t="b">
        <f>IF(LH39&lt;LL39,"NP",AND(LU39=0,LO39&lt;=10,LH39&lt;=40,LT39&lt;35))</f>
        <v>1</v>
      </c>
      <c r="MC36" s="199" t="b">
        <f>IF(LH39&lt;LL39,"NP",AND(LU39=0,LO39&lt;=10,LH39&gt;40,LT39&lt;=35))</f>
        <v>0</v>
      </c>
      <c r="MD36" s="199" t="b">
        <f>IF(LH39&lt;LL39,"NP",AND(LU39&lt;=4,LO39&gt;10,LH39&lt;=40,LT39&lt;=35))</f>
        <v>0</v>
      </c>
      <c r="ME36" s="1200" t="b">
        <f>IF(LH39&lt;LL39,"NP",AND(LU39&lt;=4,LO39&gt;10,LH39&gt;40,LT39&lt;=35))</f>
        <v>0</v>
      </c>
      <c r="MF36" s="700"/>
      <c r="MG36" s="701"/>
      <c r="MH36" s="701"/>
      <c r="MI36" s="701"/>
      <c r="MJ36" s="701"/>
      <c r="MK36" s="701"/>
      <c r="ML36" s="701"/>
      <c r="MM36" s="701"/>
      <c r="MN36" s="701"/>
      <c r="MO36" s="701"/>
      <c r="MP36" s="701"/>
      <c r="MQ36" s="701"/>
      <c r="MR36" s="701"/>
      <c r="MS36" s="701"/>
      <c r="MT36" s="701"/>
      <c r="MU36" s="701"/>
      <c r="MV36" s="701"/>
      <c r="MW36" s="701"/>
      <c r="MX36" s="701"/>
      <c r="MY36" s="701"/>
      <c r="MZ36" s="701"/>
      <c r="NA36" s="701"/>
      <c r="NB36" s="701"/>
      <c r="NC36" s="701"/>
      <c r="ND36" s="701"/>
      <c r="NE36" s="701"/>
      <c r="NF36" s="701"/>
      <c r="NG36" s="701"/>
      <c r="NH36" s="701"/>
      <c r="NI36" s="701"/>
      <c r="NJ36" s="701"/>
      <c r="NK36" s="701"/>
      <c r="NL36" s="701"/>
      <c r="NM36" s="701"/>
      <c r="NN36" s="701"/>
      <c r="NO36" s="701"/>
      <c r="NP36" s="701"/>
      <c r="NQ36" s="701"/>
      <c r="NR36" s="701"/>
      <c r="NS36" s="144"/>
      <c r="NT36" s="78"/>
      <c r="NU36" s="701"/>
      <c r="NV36" s="701"/>
      <c r="NW36" s="701"/>
      <c r="NX36" s="701"/>
      <c r="NY36" s="701"/>
      <c r="NZ36" s="701"/>
      <c r="OA36" s="701"/>
      <c r="OB36" s="701"/>
      <c r="OC36" s="701"/>
      <c r="OD36" s="1189"/>
      <c r="OE36" s="701"/>
      <c r="OF36" s="132"/>
      <c r="OG36" s="132"/>
      <c r="OH36" s="132"/>
    </row>
    <row r="37" spans="1:398" ht="15" hidden="1" customHeight="1" x14ac:dyDescent="0.3">
      <c r="A37" s="1337"/>
      <c r="B37" s="723" t="s">
        <v>105</v>
      </c>
      <c r="C37" s="666" t="s">
        <v>141</v>
      </c>
      <c r="D37" s="1362"/>
      <c r="E37" s="1363"/>
      <c r="F37" s="1370"/>
      <c r="G37" s="726" t="s">
        <v>107</v>
      </c>
      <c r="H37" s="741" t="s">
        <v>59</v>
      </c>
      <c r="I37" s="1374" t="s">
        <v>108</v>
      </c>
      <c r="J37" s="1375"/>
      <c r="K37" s="668">
        <v>100</v>
      </c>
      <c r="L37" s="1376" t="s">
        <v>109</v>
      </c>
      <c r="M37" s="1377"/>
      <c r="N37" s="689">
        <v>1.4999999999999999E-2</v>
      </c>
      <c r="O37" s="1378" t="s">
        <v>110</v>
      </c>
      <c r="P37" s="1379"/>
      <c r="Q37" s="690">
        <v>7000</v>
      </c>
      <c r="R37" s="1380" t="s">
        <v>111</v>
      </c>
      <c r="S37" s="1381"/>
      <c r="T37" s="1181">
        <f>IF(U37="","",4)</f>
        <v>4</v>
      </c>
      <c r="U37" s="728">
        <f>IF(M38="","",M38)</f>
        <v>48</v>
      </c>
      <c r="V37" s="737"/>
      <c r="W37" s="1382">
        <v>0.1</v>
      </c>
      <c r="X37" s="1383"/>
      <c r="Y37" s="737"/>
      <c r="Z37" s="673">
        <v>1</v>
      </c>
      <c r="AA37" s="673">
        <v>1</v>
      </c>
      <c r="AB37" s="673">
        <v>1</v>
      </c>
      <c r="AC37" s="673">
        <v>1.05</v>
      </c>
      <c r="AD37" s="675">
        <v>150</v>
      </c>
      <c r="AE37" s="675">
        <v>301</v>
      </c>
      <c r="AF37" s="675">
        <v>496</v>
      </c>
      <c r="AG37" s="675">
        <v>602</v>
      </c>
      <c r="AH37" s="675">
        <v>812</v>
      </c>
      <c r="AI37" s="675">
        <v>902</v>
      </c>
      <c r="AJ37" s="675">
        <v>1023</v>
      </c>
      <c r="AK37" s="677">
        <v>1173</v>
      </c>
      <c r="AL37" s="1384" t="s">
        <v>112</v>
      </c>
      <c r="AM37" s="159" t="s">
        <v>19</v>
      </c>
      <c r="AN37" s="340"/>
      <c r="AO37" s="340"/>
      <c r="AP37" s="340"/>
      <c r="AQ37" s="340"/>
      <c r="AR37" s="341"/>
      <c r="AS37" s="1366" t="s">
        <v>72</v>
      </c>
      <c r="AT37" s="678">
        <v>1</v>
      </c>
      <c r="AU37" s="679">
        <v>1</v>
      </c>
      <c r="AV37" s="679">
        <v>1</v>
      </c>
      <c r="AW37" s="680">
        <v>2</v>
      </c>
      <c r="AX37" s="679">
        <v>1</v>
      </c>
      <c r="AY37" s="679">
        <v>1</v>
      </c>
      <c r="AZ37" s="679">
        <v>0</v>
      </c>
      <c r="BA37" s="679">
        <v>0</v>
      </c>
      <c r="BB37" s="681">
        <v>56.94</v>
      </c>
      <c r="BC37" s="681">
        <v>90.69</v>
      </c>
      <c r="BD37" s="681">
        <v>315.08999999999997</v>
      </c>
      <c r="BE37" s="681">
        <v>402.2</v>
      </c>
      <c r="BF37" s="681">
        <v>311.08</v>
      </c>
      <c r="BG37" s="681">
        <v>2501.7399999999998</v>
      </c>
      <c r="BH37" s="681">
        <v>153.66</v>
      </c>
      <c r="BI37" s="681">
        <v>32.71</v>
      </c>
      <c r="BJ37" s="681"/>
      <c r="BK37" s="681">
        <v>54.51</v>
      </c>
      <c r="BL37" s="1291" t="s">
        <v>72</v>
      </c>
      <c r="BM37" s="1307"/>
      <c r="BN37" s="62" t="s">
        <v>113</v>
      </c>
      <c r="BO37" s="68">
        <f>IF(AND(ISNUMBER(BO38),ISNUMBER(BW37)),BO38+BW37,"")</f>
        <v>162.68370443346612</v>
      </c>
      <c r="BP37" s="68">
        <f>IF(AND(ISNUMBER(BP38),ISNUMBER(BW37)),BP38+BW37,"")</f>
        <v>267.68370443346612</v>
      </c>
      <c r="BQ37" s="68">
        <f>IF(AND(ISNUMBER(BQ38),ISNUMBER(BW37)),BQ38+BW37,"")</f>
        <v>372.68370443346612</v>
      </c>
      <c r="BR37" s="68">
        <f>IF(AND(ISNUMBER(BR38),ISNUMBER(BW37)),BR38+BW37,"")</f>
        <v>477.68370443346612</v>
      </c>
      <c r="BS37" s="68">
        <f>IF(AND(ISNUMBER(BS38),ISNUMBER(BW37)),BS38+BW37,"")</f>
        <v>582.68370443346612</v>
      </c>
      <c r="BT37" s="68">
        <f>IF(AND(ISNUMBER(BT38),ISNUMBER(BW37)),BT38+BW37,"")</f>
        <v>687.68370443346612</v>
      </c>
      <c r="BU37" s="107" t="s">
        <v>26</v>
      </c>
      <c r="BV37" s="107"/>
      <c r="BW37" s="69">
        <f>IF(ISNUMBER(Q37),Q37-BW39,"")</f>
        <v>62.683704433466119</v>
      </c>
      <c r="BX37" s="62" t="s">
        <v>114</v>
      </c>
      <c r="BY37" s="68">
        <f t="shared" ref="BY37:CD37" si="648">IF(ISNUMBER(BY36),BY36*1000/BY35,"")</f>
        <v>1942.8434197886647</v>
      </c>
      <c r="BZ37" s="68">
        <f t="shared" si="648"/>
        <v>2096.4954392702834</v>
      </c>
      <c r="CA37" s="68">
        <f t="shared" si="648"/>
        <v>2366.2248404516445</v>
      </c>
      <c r="CB37" s="68">
        <f t="shared" si="648"/>
        <v>2381.5280464216635</v>
      </c>
      <c r="CC37" s="68">
        <f t="shared" si="648"/>
        <v>2146.9740634005761</v>
      </c>
      <c r="CD37" s="68" t="str">
        <f t="shared" si="648"/>
        <v/>
      </c>
      <c r="CE37" s="76">
        <f t="shared" ref="CE37:CJ37" si="649">IF(ISNUMBER(CE34),CE34-$CK34,"")</f>
        <v>-175.92215458060582</v>
      </c>
      <c r="CF37" s="76">
        <f t="shared" si="649"/>
        <v>-55.643409423724279</v>
      </c>
      <c r="CG37" s="76">
        <f t="shared" si="649"/>
        <v>171.33943629805117</v>
      </c>
      <c r="CH37" s="76">
        <f t="shared" si="649"/>
        <v>153.85817040010897</v>
      </c>
      <c r="CI37" s="76">
        <f t="shared" si="649"/>
        <v>-93.63204269382868</v>
      </c>
      <c r="CJ37" s="258" t="str">
        <f t="shared" si="649"/>
        <v/>
      </c>
      <c r="CK37" s="73"/>
      <c r="CL37" s="76">
        <f t="shared" ref="CL37" si="650">IF(ISERROR(CE36*CE38),"",CE36*CE38)</f>
        <v>8.4584993918694244E-5</v>
      </c>
      <c r="CM37" s="76">
        <f t="shared" ref="CM37" si="651">IF(ISERROR(CF36*CF38),"",CF36*CF38)</f>
        <v>2.8080880253937113E-5</v>
      </c>
      <c r="CN37" s="76">
        <f t="shared" ref="CN37" si="652">IF(ISERROR(CG36*CG38),"",CG36*CG38)</f>
        <v>0</v>
      </c>
      <c r="CO37" s="76">
        <f t="shared" ref="CO37" si="653">IF(ISERROR(CH36*CH38),"",CH36*CH38)</f>
        <v>2.1146248479673557E-5</v>
      </c>
      <c r="CP37" s="76">
        <f t="shared" ref="CP37" si="654">IF(ISERROR(CI36*CI38),"",CI36*CI38)</f>
        <v>1.1232352101574844E-4</v>
      </c>
      <c r="CQ37" s="76" t="str">
        <f t="shared" ref="CQ37" si="655">IF(ISERROR(CJ36*CJ38),"",CJ36*CJ38)</f>
        <v/>
      </c>
      <c r="CR37" s="65">
        <f>SUM(CL37:CQ37)</f>
        <v>2.4613564366805335E-4</v>
      </c>
      <c r="CS37" s="74"/>
      <c r="CT37" s="63"/>
      <c r="CU37" s="66" t="str">
        <f>IF(ISNUMBER(S38),LOOKUP(S38,Tara!$G$6:$G$185,Tara!$H$6:$H$185),"")</f>
        <v/>
      </c>
      <c r="CV37" s="1280" t="str">
        <f>IF(ISNUMBER(CU39),CU39*1000/CU38,"")</f>
        <v/>
      </c>
      <c r="CW37" s="1282" t="str">
        <f>IF(CV37&lt;&gt;"",CV37/(1+CW33),"")</f>
        <v/>
      </c>
      <c r="CX37" s="124" t="str">
        <f>IF(ISNUMBER(CX34),CX34-DF34,"")</f>
        <v/>
      </c>
      <c r="CY37" s="117" t="str">
        <f>IF(ISNUMBER(CY34),CY34-DF34,"")</f>
        <v/>
      </c>
      <c r="CZ37" s="117" t="str">
        <f>IF(ISNUMBER(CZ34),CZ34-DF34,"")</f>
        <v/>
      </c>
      <c r="DA37" s="117" t="str">
        <f>IF(ISNUMBER(DA34),DA34-DF34,"")</f>
        <v/>
      </c>
      <c r="DB37" s="117" t="str">
        <f>IF(ISNUMBER(DB34),DB34-DF34,"")</f>
        <v/>
      </c>
      <c r="DC37" s="117" t="str">
        <f>IF(ISNUMBER(DC34),DC34-DF34,"")</f>
        <v/>
      </c>
      <c r="DD37" s="117" t="str">
        <f>IF(ISNUMBER(DD34),DD34-DF34,"")</f>
        <v/>
      </c>
      <c r="DE37" s="117" t="str">
        <f>IF(ISNUMBER(DE34),DE34-DF34,"")</f>
        <v/>
      </c>
      <c r="DF37" s="720" t="str">
        <f>IF(CX37&lt;&gt;"",SUM(CX37:DE37),"")</f>
        <v/>
      </c>
      <c r="DG37" s="130" t="s">
        <v>115</v>
      </c>
      <c r="DH37" s="131" t="str">
        <f>IF(DF39&lt;&gt;"",(DO34*DO36-DO35*DF39)/(DO36^2-DO33*DF39),"")</f>
        <v/>
      </c>
      <c r="DI37" s="130" t="s">
        <v>116</v>
      </c>
      <c r="DJ37" s="116" t="str">
        <f>IF(DL37&lt;&gt;"",SLOPE(DL37:DL38,DK37:DK38),"")</f>
        <v/>
      </c>
      <c r="DK37" s="116">
        <v>2.54</v>
      </c>
      <c r="DL37" s="116" t="str">
        <f>IF(DH37&lt;&gt;"",DH37*DK37^2+DH38*DK37+DH39,"")</f>
        <v/>
      </c>
      <c r="DM37" s="116">
        <v>2.54</v>
      </c>
      <c r="DN37" s="116">
        <v>5.08</v>
      </c>
      <c r="DO37" s="132"/>
      <c r="DP37" s="119" t="str">
        <f>IF(DP34="","",IF(DP34&gt;0,DS33,-1))</f>
        <v/>
      </c>
      <c r="DQ37" s="119" t="str">
        <f>IF(DP34="","",IF(DP34&gt;0,DS33,-1))</f>
        <v/>
      </c>
      <c r="DR37" s="119" t="str">
        <f>IF(DP34="","",IF(DP34&gt;0,DV36,-1))</f>
        <v/>
      </c>
      <c r="DS37" s="119" t="str">
        <f>IF(DP34="","",IF(DP34&gt;0,DV36,-1))</f>
        <v/>
      </c>
      <c r="DT37" s="119" t="str">
        <f>IF(DP34="","",IF(DP34&gt;0,DT33,-1))</f>
        <v/>
      </c>
      <c r="DU37" s="119" t="str">
        <f>IF(DP34="","",IF(DP34&gt;0,DT33,-1))</f>
        <v/>
      </c>
      <c r="DV37" s="119" t="str">
        <f>IF(DP34="","",IF(DP34&gt;0,DT33,-1))</f>
        <v/>
      </c>
      <c r="DW37" s="119" t="str">
        <f>IF(DP34="","",IF(DP34&gt;0,DT33,-1))</f>
        <v/>
      </c>
      <c r="DX37" s="1201"/>
      <c r="DY37" s="124">
        <f>IF(ISNUMBER(DY34),DY34-EG34,"")</f>
        <v>-43.412500000000009</v>
      </c>
      <c r="DZ37" s="117">
        <f>IF(ISNUMBER(DZ34),DZ34-EG34,"")</f>
        <v>-30.112500000000011</v>
      </c>
      <c r="EA37" s="117">
        <f>IF(ISNUMBER(EA34),EA34-EG34,"")</f>
        <v>-21.612500000000011</v>
      </c>
      <c r="EB37" s="117">
        <f>IF(ISNUMBER(EB34),EB34-EG34,"")</f>
        <v>-8.0125000000000099</v>
      </c>
      <c r="EC37" s="117">
        <f>IF(ISNUMBER(EC34),EC34-EG34,"")</f>
        <v>8.3874999999999886</v>
      </c>
      <c r="ED37" s="117">
        <f>IF(ISNUMBER(ED34),ED34-EG34,"")</f>
        <v>19.287499999999994</v>
      </c>
      <c r="EE37" s="117">
        <f>IF(ISNUMBER(EE34),EE34-EG34,"")</f>
        <v>30.1875</v>
      </c>
      <c r="EF37" s="117">
        <f>IF(ISNUMBER(EF34),EF34-EG34,"")</f>
        <v>45.287499999999994</v>
      </c>
      <c r="EG37" s="118">
        <f>IF(DY37&lt;&gt;"",SUM(DY37:EF37),"")</f>
        <v>-5.6843418860808015E-14</v>
      </c>
      <c r="EH37" s="130" t="s">
        <v>115</v>
      </c>
      <c r="EI37" s="131">
        <f>IF(EG39&lt;&gt;"",(EP34*EP36-EP35*EG39)/(EP36^2-EP33*EG39),"")</f>
        <v>-0.80848834468115294</v>
      </c>
      <c r="EJ37" s="130" t="s">
        <v>116</v>
      </c>
      <c r="EK37" s="116">
        <f>IF(EM37&lt;&gt;"",SLOPE(EM37:EM38,EL37:EL38),"")</f>
        <v>12.636341564723146</v>
      </c>
      <c r="EL37" s="116">
        <v>2.54</v>
      </c>
      <c r="EM37" s="116">
        <f>IF(EI37&lt;&gt;"",EI37*EL37^2+EI38*EL37+EI39,"")</f>
        <v>51.76982626684277</v>
      </c>
      <c r="EN37" s="116">
        <v>2.54</v>
      </c>
      <c r="EO37" s="116">
        <v>5.08</v>
      </c>
      <c r="EP37" s="132"/>
      <c r="EQ37" s="119">
        <f>IF(EQ34="","",IF(EQ34&gt;0,ET33,-1))</f>
        <v>-1</v>
      </c>
      <c r="ER37" s="119">
        <f>IF(EQ34="","",IF(EQ34&gt;0,ET33,-1))</f>
        <v>-1</v>
      </c>
      <c r="ES37" s="119">
        <f>IF(EQ34="","",IF(EQ34&gt;0,EW36,-1))</f>
        <v>-1</v>
      </c>
      <c r="ET37" s="119">
        <f>IF(EQ34="","",IF(EQ34&gt;0,EW36,-1))</f>
        <v>-1</v>
      </c>
      <c r="EU37" s="119">
        <f>IF(EQ34="","",IF(EQ34&gt;0,EU33,-1))</f>
        <v>-1</v>
      </c>
      <c r="EV37" s="119">
        <f>IF(EQ34="","",IF(EQ34&gt;0,EU33,-1))</f>
        <v>-1</v>
      </c>
      <c r="EW37" s="119">
        <f>IF(EQ34="","",IF(EQ34&gt;0,EU33,-1))</f>
        <v>-1</v>
      </c>
      <c r="EX37" s="119">
        <f>IF(EQ34="","",IF(EQ34&gt;0,EU33,-1))</f>
        <v>-1</v>
      </c>
      <c r="EY37" s="1201"/>
      <c r="EZ37" s="124">
        <f>IF(ISNUMBER(EZ34),EZ34-FH34,"")</f>
        <v>-62.937500000000007</v>
      </c>
      <c r="FA37" s="117">
        <f>IF(ISNUMBER(FA34),FA34-FH34,"")</f>
        <v>-40.937500000000007</v>
      </c>
      <c r="FB37" s="117">
        <f>IF(ISNUMBER(FB34),FB34-FH34,"")</f>
        <v>-20.837500000000006</v>
      </c>
      <c r="FC37" s="117">
        <f>IF(ISNUMBER(FC34),FC34-FH34,"")</f>
        <v>-9.8375000000000057</v>
      </c>
      <c r="FD37" s="117">
        <f>IF(ISNUMBER(FD34),FD34-FH34,"")</f>
        <v>8.4624999999999915</v>
      </c>
      <c r="FE37" s="117">
        <f>IF(ISNUMBER(FE34),FE34-FH34,"")</f>
        <v>26.762500000000003</v>
      </c>
      <c r="FF37" s="117">
        <f>IF(ISNUMBER(FF34),FF34-FH34,"")</f>
        <v>43.262500000000003</v>
      </c>
      <c r="FG37" s="117">
        <f>IF(ISNUMBER(FG34),FG34-FH34,"")</f>
        <v>56.062499999999986</v>
      </c>
      <c r="FH37" s="118">
        <f>IF(EZ37&lt;&gt;"",SUM(EZ37:FG37),"")</f>
        <v>0</v>
      </c>
      <c r="FI37" s="130" t="s">
        <v>115</v>
      </c>
      <c r="FJ37" s="131">
        <f>IF(FH39&lt;&gt;"",(FQ34*FQ36-FQ35*FH39)/(FQ36^2-FQ33*FH39),"")</f>
        <v>-1.4902077496308688</v>
      </c>
      <c r="FK37" s="130" t="s">
        <v>116</v>
      </c>
      <c r="FL37" s="116">
        <f>IF(FN37&lt;&gt;"",SLOPE(FN37:FN38,FM37:FM38),"")</f>
        <v>16.936116072654642</v>
      </c>
      <c r="FM37" s="116">
        <v>2.54</v>
      </c>
      <c r="FN37" s="116">
        <f>IF(FJ37&lt;&gt;"",FJ37*FM37^2+FJ38*FM37+FJ39,"")</f>
        <v>70.106551235849807</v>
      </c>
      <c r="FO37" s="116">
        <v>2.54</v>
      </c>
      <c r="FP37" s="116">
        <v>5.08</v>
      </c>
      <c r="FQ37" s="132"/>
      <c r="FR37" s="119">
        <f>IF(FR34="","",IF(FR34&gt;0,FU33,-1))</f>
        <v>-1</v>
      </c>
      <c r="FS37" s="119">
        <f>IF(FR34="","",IF(FR34&gt;0,FU33,-1))</f>
        <v>-1</v>
      </c>
      <c r="FT37" s="119">
        <f>IF(FR34="","",IF(FR34&gt;0,FX36,-1))</f>
        <v>-1</v>
      </c>
      <c r="FU37" s="119">
        <f>IF(FR34="","",IF(FR34&gt;0,FX36,-1))</f>
        <v>-1</v>
      </c>
      <c r="FV37" s="119">
        <f>IF(FR34="","",IF(FR34&gt;0,FV33,-1))</f>
        <v>-1</v>
      </c>
      <c r="FW37" s="119">
        <f>IF(FR34="","",IF(FR34&gt;0,FV33,-1))</f>
        <v>-1</v>
      </c>
      <c r="FX37" s="119">
        <f>IF(FR34="","",IF(FR34&gt;0,FV33,-1))</f>
        <v>-1</v>
      </c>
      <c r="FY37" s="119">
        <f>IF(FR34="","",IF(FR34&gt;0,FV33,-1))</f>
        <v>-1</v>
      </c>
      <c r="FZ37" s="1201"/>
      <c r="GA37" s="124">
        <f>IF(ISNUMBER(GA34),GA34-GI34,"")</f>
        <v>-53.237500000000011</v>
      </c>
      <c r="GB37" s="117">
        <f>IF(ISNUMBER(GB34),GB34-GI34,"")</f>
        <v>-38.13750000000001</v>
      </c>
      <c r="GC37" s="117">
        <f>IF(ISNUMBER(GC34),GC34-GI34,"")</f>
        <v>-18.63750000000001</v>
      </c>
      <c r="GD37" s="117">
        <f>IF(ISNUMBER(GD34),GD34-GI34,"")</f>
        <v>-8.0375000000000085</v>
      </c>
      <c r="GE37" s="117">
        <f>IF(ISNUMBER(GE34),GE34-GI34,"")</f>
        <v>12.962499999999991</v>
      </c>
      <c r="GF37" s="117">
        <f>IF(ISNUMBER(GF34),GF34-GI34,"")</f>
        <v>21.962499999999991</v>
      </c>
      <c r="GG37" s="117">
        <f>IF(ISNUMBER(GG34),GG34-GI34,"")</f>
        <v>34.0625</v>
      </c>
      <c r="GH37" s="117">
        <f>IF(ISNUMBER(GH34),GH34-GI34,"")</f>
        <v>49.0625</v>
      </c>
      <c r="GI37" s="118">
        <f>IF(GA37&lt;&gt;"",SUM(GA37:GH37),"")</f>
        <v>-7.1054273576010019E-14</v>
      </c>
      <c r="GJ37" s="130" t="s">
        <v>115</v>
      </c>
      <c r="GK37" s="131">
        <f>IF(GI39&lt;&gt;"",(GR34*GR36-GR35*GI39)/(GR36^2-GR33*GI39),"")</f>
        <v>-1.4173667368409943</v>
      </c>
      <c r="GL37" s="130" t="s">
        <v>116</v>
      </c>
      <c r="GM37" s="116">
        <f>IF(GO37&lt;&gt;"",SLOPE(GO37:GO38,GN37:GN38),"")</f>
        <v>14.622217432441836</v>
      </c>
      <c r="GN37" s="116">
        <v>2.54</v>
      </c>
      <c r="GO37" s="116">
        <f>IF(GK37&lt;&gt;"",GK37*GN37^2+GK38*GN37+GK39,"")</f>
        <v>57.58814538632204</v>
      </c>
      <c r="GP37" s="116">
        <v>2.54</v>
      </c>
      <c r="GQ37" s="116">
        <v>5.08</v>
      </c>
      <c r="GR37" s="132"/>
      <c r="GS37" s="119">
        <f>IF(GS34="","",IF(GS34&gt;0,GV33,-1))</f>
        <v>-1</v>
      </c>
      <c r="GT37" s="119">
        <f>IF(GS34="","",IF(GS34&gt;0,GV33,-1))</f>
        <v>-1</v>
      </c>
      <c r="GU37" s="119">
        <f>IF(GS34="","",IF(GS34&gt;0,GY36,-1))</f>
        <v>-1</v>
      </c>
      <c r="GV37" s="119">
        <f>IF(GS34="","",IF(GS34&gt;0,GY36,-1))</f>
        <v>-1</v>
      </c>
      <c r="GW37" s="119">
        <f>IF(GS34="","",IF(GS34&gt;0,GW33,-1))</f>
        <v>-1</v>
      </c>
      <c r="GX37" s="119">
        <f>IF(GS34="","",IF(GS34&gt;0,GW33,-1))</f>
        <v>-1</v>
      </c>
      <c r="GY37" s="119">
        <f>IF(GS34="","",IF(GS34&gt;0,GW33,-1))</f>
        <v>-1</v>
      </c>
      <c r="GZ37" s="119">
        <f>IF(GS34="","",IF(GS34&gt;0,GW33,-1))</f>
        <v>-1</v>
      </c>
      <c r="HA37" s="1201"/>
      <c r="HB37" s="124" t="str">
        <f>IF(ISNUMBER(HB34),HB34-HJ34,"")</f>
        <v/>
      </c>
      <c r="HC37" s="117" t="str">
        <f>IF(ISNUMBER(HC34),HC34-HJ34,"")</f>
        <v/>
      </c>
      <c r="HD37" s="117" t="str">
        <f>IF(ISNUMBER(HD34),HD34-HJ34,"")</f>
        <v/>
      </c>
      <c r="HE37" s="117" t="str">
        <f>IF(ISNUMBER(HE34),HE34-HJ34,"")</f>
        <v/>
      </c>
      <c r="HF37" s="117" t="str">
        <f>IF(ISNUMBER(HF34),HF34-HJ34,"")</f>
        <v/>
      </c>
      <c r="HG37" s="117" t="str">
        <f>IF(ISNUMBER(HG34),HG34-HJ34,"")</f>
        <v/>
      </c>
      <c r="HH37" s="117" t="str">
        <f>IF(ISNUMBER(HH34),HH34-HJ34,"")</f>
        <v/>
      </c>
      <c r="HI37" s="117" t="str">
        <f>IF(ISNUMBER(HI34),HI34-HJ34,"")</f>
        <v/>
      </c>
      <c r="HJ37" s="118" t="str">
        <f>IF(HB37&lt;&gt;"",SUM(HB37:HI37),"")</f>
        <v/>
      </c>
      <c r="HK37" s="130" t="s">
        <v>115</v>
      </c>
      <c r="HL37" s="131" t="str">
        <f>IF(HJ39&lt;&gt;"",(HS34*HS36-HS35*HJ39)/(HS36^2-HS33*HJ39),"")</f>
        <v/>
      </c>
      <c r="HM37" s="130" t="s">
        <v>116</v>
      </c>
      <c r="HN37" s="116" t="str">
        <f>IF(HP37&lt;&gt;"",SLOPE(HP37:HP38,HO37:HO38),"")</f>
        <v/>
      </c>
      <c r="HO37" s="116">
        <v>2.54</v>
      </c>
      <c r="HP37" s="116" t="str">
        <f>IF(HL37&lt;&gt;"",HL37*HO37^2+HL38*HO37+HL39,"")</f>
        <v/>
      </c>
      <c r="HQ37" s="116">
        <v>2.54</v>
      </c>
      <c r="HR37" s="116">
        <v>5.08</v>
      </c>
      <c r="HS37" s="132"/>
      <c r="HT37" s="119" t="str">
        <f>IF(HT34="","",IF(HT34&gt;0,HW33,-1))</f>
        <v/>
      </c>
      <c r="HU37" s="119" t="str">
        <f>IF(HT34="","",IF(HT34&gt;0,HW33,-1))</f>
        <v/>
      </c>
      <c r="HV37" s="119" t="str">
        <f>IF(HT34="","",IF(HT34&gt;0,HZ36,-1))</f>
        <v/>
      </c>
      <c r="HW37" s="119" t="str">
        <f>IF(HT34="","",IF(HT34&gt;0,HZ36,-1))</f>
        <v/>
      </c>
      <c r="HX37" s="119" t="str">
        <f>IF(HT34="","",IF(HT34&gt;0,HX33,-1))</f>
        <v/>
      </c>
      <c r="HY37" s="119" t="str">
        <f>IF(HT34="","",IF(HT34&gt;0,HX33,-1))</f>
        <v/>
      </c>
      <c r="HZ37" s="119" t="str">
        <f>IF(HT34="","",IF(HT34&gt;0,HX33,-1))</f>
        <v/>
      </c>
      <c r="IA37" s="119" t="str">
        <f>IF(HT34="","",IF(HT34&gt;0,HX33,-1))</f>
        <v/>
      </c>
      <c r="IB37" s="1201"/>
      <c r="IC37" s="124" t="str">
        <f>IF(ISNUMBER(IC34),IC34-IK34,"")</f>
        <v/>
      </c>
      <c r="ID37" s="117" t="str">
        <f>IF(ISNUMBER(ID34),ID34-IK34,"")</f>
        <v/>
      </c>
      <c r="IE37" s="117" t="str">
        <f>IF(ISNUMBER(IE34),IE34-IK34,"")</f>
        <v/>
      </c>
      <c r="IF37" s="117" t="str">
        <f>IF(ISNUMBER(IF34),IF34-IK34,"")</f>
        <v/>
      </c>
      <c r="IG37" s="117" t="str">
        <f>IF(ISNUMBER(IG34),IG34-IK34,"")</f>
        <v/>
      </c>
      <c r="IH37" s="117" t="str">
        <f>IF(ISNUMBER(IH34),IH34-IK34,"")</f>
        <v/>
      </c>
      <c r="II37" s="117" t="str">
        <f>IF(ISNUMBER(II34),II34-IK34,"")</f>
        <v/>
      </c>
      <c r="IJ37" s="117" t="str">
        <f>IF(ISNUMBER(IJ34),IJ34-IK34,"")</f>
        <v/>
      </c>
      <c r="IK37" s="118" t="str">
        <f>IF(IC37&lt;&gt;"",SUM(IC37:IJ37),"")</f>
        <v/>
      </c>
      <c r="IL37" s="130" t="s">
        <v>115</v>
      </c>
      <c r="IM37" s="131" t="str">
        <f>IF(IK39&lt;&gt;"",(IT34*IT36-IT35*IK39)/(IT36^2-IT33*IK39),"")</f>
        <v/>
      </c>
      <c r="IN37" s="130" t="s">
        <v>116</v>
      </c>
      <c r="IO37" s="116" t="str">
        <f>IF(IQ37&lt;&gt;"",SLOPE(IQ37:IQ38,IP37:IP38),"")</f>
        <v/>
      </c>
      <c r="IP37" s="116">
        <v>2.54</v>
      </c>
      <c r="IQ37" s="116" t="str">
        <f>IF(IM37&lt;&gt;"",IM37*IP37^2+IM38*IP37+IM39,"")</f>
        <v/>
      </c>
      <c r="IR37" s="116">
        <v>2.54</v>
      </c>
      <c r="IS37" s="116">
        <v>5.08</v>
      </c>
      <c r="IT37" s="132"/>
      <c r="IU37" s="119" t="str">
        <f>IF(IU34="","",IF(IU34&gt;0,IX33,-1))</f>
        <v/>
      </c>
      <c r="IV37" s="119" t="str">
        <f>IF(IU34="","",IF(IU34&gt;0,IX33,-1))</f>
        <v/>
      </c>
      <c r="IW37" s="119" t="str">
        <f>IF(IU34="","",IF(IU34&gt;0,JA36,-1))</f>
        <v/>
      </c>
      <c r="IX37" s="119" t="str">
        <f>IF(IU34="","",IF(IU34&gt;0,JA36,-1))</f>
        <v/>
      </c>
      <c r="IY37" s="119" t="str">
        <f>IF(IU34="","",IF(IU34&gt;0,IY33,-1))</f>
        <v/>
      </c>
      <c r="IZ37" s="119" t="str">
        <f>IF(IU34="","",IF(IU34&gt;0,IY33,-1))</f>
        <v/>
      </c>
      <c r="JA37" s="119" t="str">
        <f>IF(IU34="","",IF(IU34&gt;0,IY33,-1))</f>
        <v/>
      </c>
      <c r="JB37" s="119" t="str">
        <f>IF(IU34="","",IF(IU34&gt;0,IY33,-1))</f>
        <v/>
      </c>
      <c r="JC37" s="1201"/>
      <c r="JD37" s="150" t="str">
        <f t="shared" si="388"/>
        <v/>
      </c>
      <c r="JE37" s="76" t="str">
        <f t="shared" ref="JE37:JJ37" si="656">IF(ISNUMBER(JE34),JE34-$JK34,"")</f>
        <v/>
      </c>
      <c r="JF37" s="76">
        <f t="shared" si="656"/>
        <v>-11.47219133917956</v>
      </c>
      <c r="JG37" s="76">
        <f t="shared" si="656"/>
        <v>14.98333682315689</v>
      </c>
      <c r="JH37" s="76">
        <f t="shared" si="656"/>
        <v>-3.5111454839772875</v>
      </c>
      <c r="JI37" s="76" t="str">
        <f t="shared" si="656"/>
        <v/>
      </c>
      <c r="JJ37" s="76" t="str">
        <f t="shared" si="656"/>
        <v/>
      </c>
      <c r="JK37" s="73"/>
      <c r="JL37" s="76" t="str">
        <f t="shared" ref="JL37" si="657">IF(ISERROR(JE36*JE38),"",JE36*JE38)</f>
        <v/>
      </c>
      <c r="JM37" s="76">
        <f t="shared" ref="JM37" si="658">IF(ISERROR(JF36*JF38),"",JF36*JF38)</f>
        <v>2.3457792404428077E-5</v>
      </c>
      <c r="JN37" s="76">
        <f t="shared" ref="JN37" si="659">IF(ISERROR(JG36*JG38),"",JG36*JG38)</f>
        <v>0</v>
      </c>
      <c r="JO37" s="76">
        <f t="shared" ref="JO37" si="660">IF(ISERROR(JH36*JH38),"",JH36*JH38)</f>
        <v>2.5769336329182593E-5</v>
      </c>
      <c r="JP37" s="76" t="str">
        <f t="shared" ref="JP37" si="661">IF(ISERROR(JI36*JI38),"",JI36*JI38)</f>
        <v/>
      </c>
      <c r="JQ37" s="76" t="str">
        <f t="shared" ref="JQ37" si="662">IF(ISERROR(JJ36*JJ38),"",JJ36*JJ38)</f>
        <v/>
      </c>
      <c r="JR37" s="65">
        <f>SUM(JL37:JQ37)</f>
        <v>4.9227128733610667E-5</v>
      </c>
      <c r="JS37" s="158">
        <f>IF(H36="X",CW33,IF(CT33&lt;&gt;"",CT33,""))</f>
        <v>5.7765822483399835E-2</v>
      </c>
      <c r="JT37" s="1202">
        <f>IF(H36="X",FV39,IF(JS37&lt;&gt;"",JM39*JS37^2+JO39*JS37+JQ39,""))</f>
        <v>103.57427232469377</v>
      </c>
      <c r="JU37" s="123" t="str">
        <f>IF(T38&lt;&gt;0,LOOKUP(T38,Tara!$G$6:$G$185,Tara!$J$6:$J$185)/10,"")</f>
        <v/>
      </c>
      <c r="JV37" s="116" t="str">
        <f t="shared" si="395"/>
        <v/>
      </c>
      <c r="JW37" s="155" t="str">
        <f t="shared" si="396"/>
        <v/>
      </c>
      <c r="JX37" s="76" t="str">
        <f t="shared" ref="JX37:KC37" si="663">IF(ISNUMBER(JX34),JX34-$JK34,"")</f>
        <v/>
      </c>
      <c r="JY37" s="76">
        <f t="shared" si="663"/>
        <v>-88.99276449518365</v>
      </c>
      <c r="JZ37" s="76">
        <f t="shared" si="663"/>
        <v>-89.079793644607548</v>
      </c>
      <c r="KA37" s="76">
        <f t="shared" si="663"/>
        <v>-89.088409756448826</v>
      </c>
      <c r="KB37" s="76" t="str">
        <f t="shared" si="663"/>
        <v/>
      </c>
      <c r="KC37" s="76" t="str">
        <f t="shared" si="663"/>
        <v/>
      </c>
      <c r="KD37" s="73"/>
      <c r="KE37" s="76" t="str">
        <f t="shared" ref="KE37" si="664">IF(ISERROR(JX36*JX38),"",JX36*JX38)</f>
        <v/>
      </c>
      <c r="KF37" s="76">
        <f t="shared" ref="KF37" si="665">IF(ISERROR(JY36*JY38),"",JY36*JY38)</f>
        <v>2.3457792404428077E-5</v>
      </c>
      <c r="KG37" s="76">
        <f t="shared" ref="KG37" si="666">IF(ISERROR(JZ36*JZ38),"",JZ36*JZ38)</f>
        <v>0</v>
      </c>
      <c r="KH37" s="76">
        <f t="shared" ref="KH37" si="667">IF(ISERROR(KA36*KA38),"",KA36*KA38)</f>
        <v>2.5769336329182593E-5</v>
      </c>
      <c r="KI37" s="76" t="str">
        <f t="shared" ref="KI37" si="668">IF(ISERROR(KB36*KB38),"",KB36*KB38)</f>
        <v/>
      </c>
      <c r="KJ37" s="76" t="str">
        <f t="shared" ref="KJ37" si="669">IF(ISERROR(KC36*KC38),"",KC36*KC38)</f>
        <v/>
      </c>
      <c r="KK37" s="65">
        <f>SUM(KE37:KJ37)</f>
        <v>4.9227128733610667E-5</v>
      </c>
      <c r="KL37" s="158">
        <f>IF(H36="X",CW33,IF(CT33&lt;&gt;"",CT33,""))</f>
        <v>5.7765822483399835E-2</v>
      </c>
      <c r="KM37" s="1203">
        <f>IF(H36="X",JW35*100,IF(KL37&lt;&gt;"",KF39*KL37^2+KH39*KL37+KJ39,""))</f>
        <v>4.2194868722925549E-2</v>
      </c>
      <c r="KN37" s="174" t="str">
        <f>IF(ISNUMBER(AN36),AN36,"")</f>
        <v/>
      </c>
      <c r="KO37" s="175" t="str">
        <f>IF(ISNUMBER(AO36),AO36,"")</f>
        <v/>
      </c>
      <c r="KP37" s="175" t="str">
        <f>IF(ISNUMBER(AP36),AP36,"")</f>
        <v/>
      </c>
      <c r="KQ37" s="175" t="str">
        <f>IF(ISNUMBER(AQ36),AQ36,"")</f>
        <v/>
      </c>
      <c r="KR37" s="1204" t="str">
        <f>IF(ISNUMBER(AR36),AR36,"")</f>
        <v/>
      </c>
      <c r="KS37" s="184" t="str">
        <f>IF(KS36&lt;&gt;"",AVERAGE(KS36:KW36),"")</f>
        <v/>
      </c>
      <c r="KT37" s="176" t="str">
        <f>IF(KS37&lt;&gt;"",KS37-KS38,"")</f>
        <v/>
      </c>
      <c r="KU37" s="180">
        <f>COUNT(KS39:KW39)</f>
        <v>0</v>
      </c>
      <c r="KV37" s="176" t="str">
        <f>IF(KS39&lt;&gt;"",AVERAGE(KS39:KW39),"")</f>
        <v/>
      </c>
      <c r="KW37" s="176" t="str">
        <f>IF(KV37&lt;&gt;"",KV37+5%*KV37,"")</f>
        <v/>
      </c>
      <c r="KX37" s="1275">
        <f>IF(KW38="NP",0,KW38)*100</f>
        <v>0</v>
      </c>
      <c r="KY37" s="1284" t="str">
        <f>IF(AND(KY36&gt;0,ISNUMBER(KY36)),AVERAGE(KY36:KZ36),"")</f>
        <v/>
      </c>
      <c r="KZ37" s="1285"/>
      <c r="LA37" s="1286">
        <f>IF(LA36&lt;&gt;"",ROUND(AVERAGE(LA36:LB36),2),"")</f>
        <v>0</v>
      </c>
      <c r="LB37" s="1287"/>
      <c r="LC37" s="120">
        <f>IF(LC34&lt;&gt;"",LC36/(LA37+100)*100,"")</f>
        <v>1325.7399999999998</v>
      </c>
      <c r="LD37" s="199"/>
      <c r="LE37" s="203">
        <f t="shared" ref="LE37:LK37" si="670">IF(ISNUMBER(LE35),LE35/$LD35,"")</f>
        <v>1</v>
      </c>
      <c r="LF37" s="203">
        <f t="shared" si="670"/>
        <v>1</v>
      </c>
      <c r="LG37" s="203">
        <f t="shared" si="670"/>
        <v>0.97723984107061479</v>
      </c>
      <c r="LH37" s="203">
        <f t="shared" si="670"/>
        <v>0.94098907160616208</v>
      </c>
      <c r="LI37" s="203">
        <f t="shared" si="670"/>
        <v>0.81504073165077107</v>
      </c>
      <c r="LJ37" s="203">
        <f t="shared" si="670"/>
        <v>0.65427262625212845</v>
      </c>
      <c r="LK37" s="203">
        <f t="shared" si="670"/>
        <v>0.52992717068920026</v>
      </c>
      <c r="LL37" s="203">
        <f>IF(LL36&lt;&gt;"",LL36*LK37,"")</f>
        <v>0.41712020886931384</v>
      </c>
      <c r="LM37" s="1205">
        <f>IF(LM36&lt;&gt;"",LM36*LK37,"")</f>
        <v>0.22913159716640938</v>
      </c>
      <c r="LN37" s="185" t="str">
        <f>IF(LM37="","",IF(AND(LG37&gt;=93%,LG37&lt;=100%,LI37&gt;=53%,LI37&lt;=100%,LJ37&gt;=45%,LJ37&lt;=90%,LK37&gt;=35%,LK37&lt;=75%,LL37&gt;=23%,LL37&lt;=47%,LM37&gt;=8%,LM37&lt;=27%),"Faixa D"))</f>
        <v>Faixa D</v>
      </c>
      <c r="LO37" s="207" t="str">
        <f>IF(LM37="","",IF(LO36&gt;0,LO36,IF(LP37&gt;0,LP37)))</f>
        <v>D</v>
      </c>
      <c r="LP37" s="207"/>
      <c r="LQ37" s="180"/>
      <c r="LR37" s="1279"/>
      <c r="LS37" s="215">
        <v>10</v>
      </c>
      <c r="LT37" s="144">
        <f>IF(LK37&lt;&gt;"",LK37*100,"")</f>
        <v>52.992717068920022</v>
      </c>
      <c r="LU37" s="78">
        <f>IF(LT39="",0,IF(IF((LT39-35)&lt;0,0,(LT39-35))&gt;40,40,IF((LT39-35)&lt;0,0,(LT39-35))))</f>
        <v>0</v>
      </c>
      <c r="LV37" s="78">
        <f>IF(LT39="",0,IF(IF((LT39-15)&lt;0,0,(LT39-15))&gt;40,40,IF((LT39-15)&lt;0,0,(LT39-15))))</f>
        <v>7.9131597166409371</v>
      </c>
      <c r="LW37" s="78">
        <f>IF(LG39="NP",0,IF(IF((LG39-40)&lt;0,0,(LG39-40))&gt;20,20,IF((LG39-40)&lt;0,0,(LG39-40))))</f>
        <v>0</v>
      </c>
      <c r="LX37" s="78">
        <f>IF(LN39="NP",0,IF(IF((LN39-10)&lt;0,0,(LN39-10))&gt;20,20,IF((LN39-10)&lt;0,0,(LN39-10))))</f>
        <v>0</v>
      </c>
      <c r="LY37" s="199"/>
      <c r="LZ37" s="199"/>
      <c r="MA37" s="199"/>
      <c r="MB37" s="199"/>
      <c r="MC37" s="199"/>
      <c r="MD37" s="199"/>
      <c r="ME37" s="1200"/>
      <c r="MF37" s="287" t="str">
        <f>IF(C34&lt;&gt;0,C34,"")</f>
        <v/>
      </c>
      <c r="MG37" s="288" t="str">
        <f>IF(C35&lt;&gt;0,C35,"")</f>
        <v>-</v>
      </c>
      <c r="MH37" s="289" t="str">
        <f>IF(E35&lt;&gt;0,E35,"")</f>
        <v/>
      </c>
      <c r="MI37" s="290">
        <f t="shared" ref="MI37" si="671">IF($H34="x","",IF(LE37&lt;&gt;"",LE37*100,""))</f>
        <v>100</v>
      </c>
      <c r="MJ37" s="290">
        <f t="shared" ref="MJ37" si="672">IF($H34="x","",IF(LF37&lt;&gt;"",LF37*100,""))</f>
        <v>100</v>
      </c>
      <c r="MK37" s="290">
        <f t="shared" ref="MK37" si="673">IF($H34="x","",IF(LG37&lt;&gt;"",LG37*100,""))</f>
        <v>97.723984107061483</v>
      </c>
      <c r="ML37" s="290">
        <f t="shared" ref="ML37" si="674">IF($H34="x","",IF(LH37&lt;&gt;"",LH37*100,""))</f>
        <v>94.098907160616207</v>
      </c>
      <c r="MM37" s="290">
        <f t="shared" ref="MM37" si="675">IF($H34="x","",IF(LI37&lt;&gt;"",LI37*100,""))</f>
        <v>81.504073165077102</v>
      </c>
      <c r="MN37" s="290">
        <f t="shared" ref="MN37" si="676">IF($H34="x","",IF(LJ37&lt;&gt;"",LJ37*100,""))</f>
        <v>65.427262625212848</v>
      </c>
      <c r="MO37" s="290">
        <f t="shared" ref="MO37" si="677">IF($H34="x","",IF(LK37&lt;&gt;"",LK37*100,""))</f>
        <v>52.992717068920022</v>
      </c>
      <c r="MP37" s="290">
        <f t="shared" ref="MP37" si="678">IF($H34="x","",IF(LL37&lt;&gt;"",LL37*100,""))</f>
        <v>41.712020886931384</v>
      </c>
      <c r="MQ37" s="290">
        <f t="shared" ref="MQ37" si="679">IF($H34="x","",IF(LM37&lt;&gt;"",LM37*100,""))</f>
        <v>22.913159716640937</v>
      </c>
      <c r="MR37" s="288"/>
      <c r="MS37" s="290" t="str">
        <f>IF(H34="X","",IF(H35="x",IF(KQ39&gt;0,KQ39,IF(KQ39=0,"NP",""))))</f>
        <v>NP</v>
      </c>
      <c r="MT37" s="290" t="str">
        <f>IF(H34="X","",IF(H35="x",IF(KX33&gt;0,KX33,IF(KX33=0,"NP",""))))</f>
        <v>NP</v>
      </c>
      <c r="MU37" s="290" t="str">
        <f>IF(H34="X","",IF(H35="x",IF(KZ39&lt;&gt;"",KZ39*100,"")))</f>
        <v/>
      </c>
      <c r="MV37" s="291">
        <f>IF(MS37="","",IF(H34="X","",IF(H35="x",IF(LU39&lt;&gt;"",LU39,""))))</f>
        <v>0</v>
      </c>
      <c r="MW37" s="291" t="str">
        <f>IF(H34="X","",IF(H35="x",IF(LW39&lt;&gt;"",LW39,"")))</f>
        <v>A-1b</v>
      </c>
      <c r="MX37" s="291"/>
      <c r="MY37" s="291" t="str">
        <f>IF(H34="X","",IF(H35="x",IF(LR35&lt;&gt;"",LR35,"")))</f>
        <v>D</v>
      </c>
      <c r="MZ37" s="290">
        <f>IF(ISERROR(CT33),"",CT33*100)</f>
        <v>5.7765822483399836</v>
      </c>
      <c r="NA37" s="291">
        <f>IF(ISERROR(CT34),"",CT34)</f>
        <v>2219.2468551635602</v>
      </c>
      <c r="NB37" s="290">
        <f>IF(ISERROR(JT37),"",JT37)</f>
        <v>103.57427232469377</v>
      </c>
      <c r="NC37" s="288">
        <f>IF(ISERROR(KM37),"",KM37)</f>
        <v>4.2194868722925549E-2</v>
      </c>
      <c r="ND37" s="290" t="str">
        <f>IF(MG37&lt;&gt;"",LOOKUP(MF37,'Digitar Dados de Dens. InSitu'!AA:AA,'Digitar Dados de Dens. InSitu'!AB:AB),"")</f>
        <v/>
      </c>
      <c r="NE37" s="291" t="e">
        <f>IF(MG37&lt;&gt;"",LOOKUP(MF37,'Digitar Dados de Dens. InSitu'!AA:AA,'Digitar Dados de Dens. InSitu'!#REF!),"")</f>
        <v>#REF!</v>
      </c>
      <c r="NF37" s="290" t="str">
        <f>IF(MG37&lt;&gt;"",LOOKUP(MF37,'Digitar Dados de Dens. InSitu'!AA:AA,'Digitar Dados de Dens. InSitu'!AC:AC),"")</f>
        <v/>
      </c>
      <c r="NG37" s="290" t="str">
        <f>IF($H34="X","",IF($H36="X","",IF(T34="","",CE33*100)))</f>
        <v/>
      </c>
      <c r="NH37" s="291" t="str">
        <f>IF($H34="X","",IF($H36="X","",IF(T34="","",CE34)))</f>
        <v/>
      </c>
      <c r="NI37" s="288" t="str">
        <f>IF($H34="X","",IF($H36="X","",JX34))</f>
        <v/>
      </c>
      <c r="NJ37" s="288" t="str">
        <f>IF($H34="X","",IF($H36="X","",JE34))</f>
        <v/>
      </c>
      <c r="NK37" s="290">
        <f>IF(T35="","",IF($H34="X","",IF($H36="X","",CF33*100)))</f>
        <v>3.8586060232619941</v>
      </c>
      <c r="NL37" s="291">
        <f>IF($H34="X","",IF($H36="X","",CF34))</f>
        <v>2018.6054093588696</v>
      </c>
      <c r="NM37" s="288">
        <f>IF($H34="X","",IF($H36="X","",JY34))</f>
        <v>0.13920306246737421</v>
      </c>
      <c r="NN37" s="288">
        <f>IF($H34="X","",IF($H36="X","",JF34))</f>
        <v>77.659776218471464</v>
      </c>
      <c r="NO37" s="290">
        <f>IF($H34="X","",IF(T35="","",IF($H36="X",CW33*100,CG33*100)))</f>
        <v>5.3721596155510305</v>
      </c>
      <c r="NP37" s="291">
        <f>IF($H34="X","",IF($H36="X",CW37,CG34))</f>
        <v>2245.588255080645</v>
      </c>
      <c r="NQ37" s="288">
        <f>IF($H34="X","",IF($H36="X","",JZ34))</f>
        <v>5.2173913043478314E-2</v>
      </c>
      <c r="NR37" s="288">
        <f>IF($H34="X","",IF($H36="X","",JG34))</f>
        <v>104.11530438080791</v>
      </c>
      <c r="NS37" s="290">
        <f>IF($H34="X","",IF(T36="","",IF($H36="X","",CH33*100)))</f>
        <v>6.8857132078400678</v>
      </c>
      <c r="NT37" s="291">
        <f>IF($H34="X","",IF($H36="X","",CH34))</f>
        <v>2228.1069891827028</v>
      </c>
      <c r="NU37" s="288">
        <f>IF($H34="X","",IF($H36="X","",KA34))</f>
        <v>4.3557801202195344E-2</v>
      </c>
      <c r="NV37" s="288">
        <f>IF($H34="X","",IF($H36="X","",JH34))</f>
        <v>85.620822073673736</v>
      </c>
      <c r="NW37" s="290" t="str">
        <f>IF($H34="X","",IF($H36="X","",IF(T38="","",CI33*100)))</f>
        <v/>
      </c>
      <c r="NX37" s="291" t="str">
        <f>IF($H34="X","",IF($H36="X","",IF(T38="","",CI34)))</f>
        <v/>
      </c>
      <c r="NY37" s="288" t="str">
        <f>IF($H34="X","",IF($H36="X","",KB34))</f>
        <v/>
      </c>
      <c r="NZ37" s="288" t="str">
        <f>IF($H34="X","",IF($H36="X","",JI34))</f>
        <v/>
      </c>
      <c r="OA37" s="291" t="str">
        <f>IF($H34="X","",IF($H36="X","",CJ33))</f>
        <v/>
      </c>
      <c r="OB37" s="291" t="str">
        <f>IF($H34="X","",IF($H36="X","",CJ34))</f>
        <v/>
      </c>
      <c r="OC37" s="288" t="str">
        <f>IF($H34="X","",IF($H36="X","",KC34))</f>
        <v/>
      </c>
      <c r="OD37" s="288" t="str">
        <f>IF($H34="X","",IF($H36="X","",JJ34))</f>
        <v/>
      </c>
      <c r="OE37" s="120"/>
      <c r="OF37" s="78" t="str">
        <f>C36</f>
        <v>AVALIAR</v>
      </c>
      <c r="OG37" s="132" t="str">
        <f>C37</f>
        <v xml:space="preserve">ARGILA VERMELHA </v>
      </c>
      <c r="OH37" s="132"/>
    </row>
    <row r="38" spans="1:398" ht="15" hidden="1" customHeight="1" x14ac:dyDescent="0.3">
      <c r="A38" s="1337"/>
      <c r="B38" s="734" t="s">
        <v>117</v>
      </c>
      <c r="C38" s="666" t="s">
        <v>142</v>
      </c>
      <c r="D38" s="1362"/>
      <c r="E38" s="1363"/>
      <c r="F38" s="1370"/>
      <c r="G38" s="726" t="s">
        <v>119</v>
      </c>
      <c r="H38" s="665"/>
      <c r="I38" s="742" t="s">
        <v>120</v>
      </c>
      <c r="J38" s="667">
        <v>41</v>
      </c>
      <c r="K38" s="667">
        <v>28</v>
      </c>
      <c r="L38" s="667">
        <v>46</v>
      </c>
      <c r="M38" s="667">
        <v>48</v>
      </c>
      <c r="N38" s="667">
        <v>41</v>
      </c>
      <c r="O38" s="667"/>
      <c r="P38" s="743" t="s">
        <v>121</v>
      </c>
      <c r="Q38" s="744">
        <v>3.9300000000000002E-2</v>
      </c>
      <c r="R38" s="743" t="s">
        <v>120</v>
      </c>
      <c r="S38" s="745"/>
      <c r="T38" s="1181"/>
      <c r="U38" s="728"/>
      <c r="V38" s="737"/>
      <c r="W38" s="737"/>
      <c r="X38" s="737"/>
      <c r="Y38" s="737"/>
      <c r="Z38" s="673"/>
      <c r="AA38" s="673"/>
      <c r="AB38" s="673"/>
      <c r="AC38" s="673"/>
      <c r="AD38" s="675"/>
      <c r="AE38" s="675"/>
      <c r="AF38" s="675"/>
      <c r="AG38" s="675"/>
      <c r="AH38" s="675"/>
      <c r="AI38" s="675"/>
      <c r="AJ38" s="675"/>
      <c r="AK38" s="677"/>
      <c r="AL38" s="1385"/>
      <c r="AM38" s="730" t="s">
        <v>39</v>
      </c>
      <c r="AN38" s="746"/>
      <c r="AO38" s="746"/>
      <c r="AP38" s="746"/>
      <c r="AQ38" s="746"/>
      <c r="AR38" s="747"/>
      <c r="AS38" s="1367"/>
      <c r="AT38" s="1294" t="s">
        <v>122</v>
      </c>
      <c r="AU38" s="1295"/>
      <c r="AV38" s="1298" t="s">
        <v>123</v>
      </c>
      <c r="AW38" s="344" t="s">
        <v>124</v>
      </c>
      <c r="AX38" s="292"/>
      <c r="AY38" s="1298" t="s">
        <v>125</v>
      </c>
      <c r="AZ38" s="344" t="s">
        <v>124</v>
      </c>
      <c r="BA38" s="293"/>
      <c r="BB38" s="1300"/>
      <c r="BC38" s="1301"/>
      <c r="BD38" s="1301"/>
      <c r="BE38" s="1301"/>
      <c r="BF38" s="1301"/>
      <c r="BG38" s="1301"/>
      <c r="BH38" s="1301"/>
      <c r="BI38" s="1301"/>
      <c r="BJ38" s="1301"/>
      <c r="BK38" s="1302"/>
      <c r="BL38" s="1292"/>
      <c r="BM38" s="1307"/>
      <c r="BN38" s="62" t="s">
        <v>126</v>
      </c>
      <c r="BO38" s="68">
        <f>IF(ISNUMBER(K37),K37,"")</f>
        <v>100</v>
      </c>
      <c r="BP38" s="108">
        <f>IF(AND(ISNUMBER(BP39),ISNUMBER(Q37)),BP39*Q37,"")</f>
        <v>204.99999999999997</v>
      </c>
      <c r="BQ38" s="108">
        <f>IF(AND(ISNUMBER(BQ39),ISNUMBER(Q37)),BQ39*Q37,"")</f>
        <v>310</v>
      </c>
      <c r="BR38" s="108">
        <f>IF(AND(ISNUMBER(BR39),ISNUMBER(Q37)),BR39*Q37,"")</f>
        <v>415</v>
      </c>
      <c r="BS38" s="108">
        <f>IF(AND(ISNUMBER(BS39),ISNUMBER(Q37)),BS39*Q37,"")</f>
        <v>520</v>
      </c>
      <c r="BT38" s="108">
        <f>IF(AND(ISNUMBER(BT39),ISNUMBER(Q37)),BT39*Q37,"")</f>
        <v>625</v>
      </c>
      <c r="BU38" s="108" t="s">
        <v>127</v>
      </c>
      <c r="BV38" s="108"/>
      <c r="BW38" s="70">
        <f>IF(ISNUMBER(N37),N37,"")</f>
        <v>1.4999999999999999E-2</v>
      </c>
      <c r="BY38" s="87">
        <f t="shared" ref="BY38" si="680">IF($H38&lt;&gt;"",BO36,BO37/($Q37/(1+$BW33)))</f>
        <v>2.3450524309729576E-2</v>
      </c>
      <c r="BZ38" s="87">
        <f t="shared" ref="BZ38" si="681">IF($H38&lt;&gt;"",BP36,BP37/($Q37/(1+$BW33)))</f>
        <v>3.8586060232619943E-2</v>
      </c>
      <c r="CA38" s="87">
        <f t="shared" ref="CA38" si="682">IF($H38&lt;&gt;"",BQ36,BQ37/($Q37/(1+$BW33)))</f>
        <v>5.3721596155510309E-2</v>
      </c>
      <c r="CB38" s="87">
        <f t="shared" ref="CB38" si="683">IF($H38&lt;&gt;"",BR36,BR37/($Q37/(1+$BW33)))</f>
        <v>6.8857132078400676E-2</v>
      </c>
      <c r="CC38" s="87">
        <f t="shared" ref="CC38" si="684">IF($H38&lt;&gt;"",BS36,BS37/($Q37/(1+$BW33)))</f>
        <v>8.3992668001291043E-2</v>
      </c>
      <c r="CD38" s="87">
        <f t="shared" ref="CD38" si="685">IF($H38&lt;&gt;"",BT36,BT37/($Q37/(1+$BW33)))</f>
        <v>9.912820392418141E-2</v>
      </c>
      <c r="CE38" s="88">
        <f t="shared" ref="CE38:CJ38" si="686">IF(ISNUMBER(CE35),CE35-$CK35,"")</f>
        <v>-2.7942516984407321E-3</v>
      </c>
      <c r="CF38" s="88">
        <f t="shared" si="686"/>
        <v>-1.8552947445665757E-3</v>
      </c>
      <c r="CG38" s="88">
        <f t="shared" si="686"/>
        <v>-4.5816889534620962E-4</v>
      </c>
      <c r="CH38" s="88">
        <f t="shared" si="686"/>
        <v>1.3971258492203658E-3</v>
      </c>
      <c r="CI38" s="88">
        <f t="shared" si="686"/>
        <v>3.7105894891331509E-3</v>
      </c>
      <c r="CJ38" s="89" t="str">
        <f t="shared" si="686"/>
        <v/>
      </c>
      <c r="CK38" s="89"/>
      <c r="CL38" s="73"/>
      <c r="CM38" s="73"/>
      <c r="CN38" s="73"/>
      <c r="CO38" s="73"/>
      <c r="CP38" s="73"/>
      <c r="CQ38" s="73"/>
      <c r="CR38" s="73"/>
      <c r="CS38" s="90"/>
      <c r="CT38" s="102"/>
      <c r="CU38" s="66" t="str">
        <f>IF(ISNUMBER(S38),LOOKUP(S38,Tara!$G$6:$G$185,Tara!$I$6:$I$185),"")</f>
        <v/>
      </c>
      <c r="CV38" s="1280"/>
      <c r="CW38" s="1282"/>
      <c r="CX38" s="124" t="str">
        <f>IF(ISNUMBER(CX35),CX35-DF35,"")</f>
        <v/>
      </c>
      <c r="CY38" s="117" t="str">
        <f>IF(ISNUMBER(CY35),CY35-DF35,"")</f>
        <v/>
      </c>
      <c r="CZ38" s="117" t="str">
        <f>IF(ISNUMBER(CZ35),CZ35-DF35,"")</f>
        <v/>
      </c>
      <c r="DA38" s="117" t="str">
        <f>IF(ISNUMBER(DA35),DA35-DF35,"")</f>
        <v/>
      </c>
      <c r="DB38" s="117" t="str">
        <f>IF(ISNUMBER(DB35),DB35-DF35,"")</f>
        <v/>
      </c>
      <c r="DC38" s="117" t="str">
        <f>IF(ISNUMBER(DC35),DC35-DF35,"")</f>
        <v/>
      </c>
      <c r="DD38" s="117" t="str">
        <f>IF(ISNUMBER(DD35),DD35-DF35,"")</f>
        <v/>
      </c>
      <c r="DE38" s="117" t="str">
        <f>IF(ISNUMBER(DE35),DE35-DF35,"")</f>
        <v/>
      </c>
      <c r="DF38" s="720" t="str">
        <f>IF(CX38&lt;&gt;"",SUM(CX38:DE38),"")</f>
        <v/>
      </c>
      <c r="DG38" s="133" t="s">
        <v>128</v>
      </c>
      <c r="DH38" s="134" t="str">
        <f>IF(DH37&lt;&gt;"",(DO35-DH37*DO33)/DO36,"")</f>
        <v/>
      </c>
      <c r="DI38" s="133" t="s">
        <v>128</v>
      </c>
      <c r="DJ38" s="134" t="str">
        <f>IF(DL37&lt;&gt;"",INTERCEPT(DL37:DL38,DK37:DK38),"")</f>
        <v/>
      </c>
      <c r="DK38" s="116">
        <v>5.08</v>
      </c>
      <c r="DL38" s="116" t="str">
        <f>IF(DH37&lt;&gt;"",DH37*DK38^2+DH38*DK38+DH39,"")</f>
        <v/>
      </c>
      <c r="DM38" s="116" t="str">
        <f>IF(DP34="","",IF(DP34&gt;0,DS33,""))</f>
        <v/>
      </c>
      <c r="DN38" s="116" t="str">
        <f>IF(DP34="","",IF(DP34&gt;0,DT33,""))</f>
        <v/>
      </c>
      <c r="DO38" s="139"/>
      <c r="DP38" s="120">
        <v>0</v>
      </c>
      <c r="DQ38" s="120" t="str">
        <f>IF(DP34="","",IF(DP34&gt;0,DV34,-1))</f>
        <v/>
      </c>
      <c r="DR38" s="120" t="str">
        <f>IF(DP34="","",IF(DP34&gt;0,DV35,-1))</f>
        <v/>
      </c>
      <c r="DS38" s="120" t="str">
        <f>IF(DP34="","",IF(DP34&gt;0,DR34,-1))</f>
        <v/>
      </c>
      <c r="DT38" s="120" t="str">
        <f>IF(DP34="","",IF(DP34&gt;0,DR34,-1))</f>
        <v/>
      </c>
      <c r="DU38" s="120" t="str">
        <f>IF(DP34="","",IF(DP34&gt;0,DR34,-1))</f>
        <v/>
      </c>
      <c r="DV38" s="120">
        <v>0</v>
      </c>
      <c r="DW38" s="120" t="str">
        <f>IF(DP34="","",IF(DP34&gt;0,DR34,-1))</f>
        <v/>
      </c>
      <c r="DX38" s="1206"/>
      <c r="DY38" s="124">
        <f>IF(ISNUMBER(DY35),DY35-EG35,"")</f>
        <v>-18.450700000000001</v>
      </c>
      <c r="DZ38" s="117">
        <f>IF(ISNUMBER(DZ35),DZ35-EG35,"")</f>
        <v>-17.2347</v>
      </c>
      <c r="EA38" s="117">
        <f>IF(ISNUMBER(EA35),EA35-EG35,"")</f>
        <v>-15.2376</v>
      </c>
      <c r="EB38" s="117">
        <f>IF(ISNUMBER(EB35),EB35-EG35,"")</f>
        <v>-12.396000000000001</v>
      </c>
      <c r="EC38" s="117">
        <f>IF(ISNUMBER(EC35),EC35-EG35,"")</f>
        <v>-4.3315000000000001</v>
      </c>
      <c r="ED38" s="117">
        <f>IF(ISNUMBER(ED35),ED35-EG35,"")</f>
        <v>6.9588000000000001</v>
      </c>
      <c r="EE38" s="117">
        <f>IF(ISNUMBER(EE35),EE35-EG35,"")</f>
        <v>21.474899999999998</v>
      </c>
      <c r="EF38" s="117">
        <f>IF(ISNUMBER(EF35),EF35-EG35,"")</f>
        <v>39.216799999999999</v>
      </c>
      <c r="EG38" s="118">
        <f>IF(DY38&lt;&gt;"",SUM(DY38:EF38),"")</f>
        <v>0</v>
      </c>
      <c r="EH38" s="133" t="s">
        <v>128</v>
      </c>
      <c r="EI38" s="134">
        <f>IF(EI37&lt;&gt;"",(EP35-EI37*EP33)/EP36,"")</f>
        <v>18.797022751193531</v>
      </c>
      <c r="EJ38" s="133" t="s">
        <v>128</v>
      </c>
      <c r="EK38" s="134">
        <f>IF(EM37&lt;&gt;"",INTERCEPT(EM37:EM38,EL37:EL38),"")</f>
        <v>19.673518692445967</v>
      </c>
      <c r="EL38" s="116">
        <v>5.08</v>
      </c>
      <c r="EM38" s="116">
        <f>IF(EI37&lt;&gt;"",EI37*EL38^2+EI38*EL38+EI39,"")</f>
        <v>83.866133841239559</v>
      </c>
      <c r="EN38" s="138" t="str">
        <f>IF(EQ34="","",IF(EQ34&gt;0,ET33,""))</f>
        <v/>
      </c>
      <c r="EO38" s="138" t="str">
        <f>IF(EQ34="","",IF(EQ34&gt;0,EU33,""))</f>
        <v/>
      </c>
      <c r="EP38" s="139"/>
      <c r="EQ38" s="120">
        <v>0</v>
      </c>
      <c r="ER38" s="120">
        <f>IF(EQ34="","",IF(EQ34&gt;0,EW34,-1))</f>
        <v>-1</v>
      </c>
      <c r="ES38" s="120">
        <f>IF(EQ34="","",IF(EQ34&gt;0,EW35,-1))</f>
        <v>-1</v>
      </c>
      <c r="ET38" s="120">
        <f>IF(EQ34="","",IF(EQ34&gt;0,ES34,-1))</f>
        <v>-1</v>
      </c>
      <c r="EU38" s="120">
        <f>IF(EQ34="","",IF(EQ34&gt;0,ES34,-1))</f>
        <v>-1</v>
      </c>
      <c r="EV38" s="120">
        <f>IF(EQ34="","",IF(EQ34&gt;0,ES34,-1))</f>
        <v>-1</v>
      </c>
      <c r="EW38" s="120">
        <v>0</v>
      </c>
      <c r="EX38" s="120">
        <f>IF(EQ34="","",IF(EQ34&gt;0,ES34,-1))</f>
        <v>-1</v>
      </c>
      <c r="EY38" s="1206"/>
      <c r="EZ38" s="124">
        <f>IF(ISNUMBER(EZ35),EZ35-FH35,"")</f>
        <v>-18.450700000000001</v>
      </c>
      <c r="FA38" s="117">
        <f>IF(ISNUMBER(FA35),FA35-FH35,"")</f>
        <v>-17.2347</v>
      </c>
      <c r="FB38" s="117">
        <f>IF(ISNUMBER(FB35),FB35-FH35,"")</f>
        <v>-15.2376</v>
      </c>
      <c r="FC38" s="117">
        <f>IF(ISNUMBER(FC35),FC35-FH35,"")</f>
        <v>-12.396000000000001</v>
      </c>
      <c r="FD38" s="117">
        <f>IF(ISNUMBER(FD35),FD35-FH35,"")</f>
        <v>-4.3315000000000001</v>
      </c>
      <c r="FE38" s="117">
        <f>IF(ISNUMBER(FE35),FE35-FH35,"")</f>
        <v>6.9588000000000001</v>
      </c>
      <c r="FF38" s="117">
        <f>IF(ISNUMBER(FF35),FF35-FH35,"")</f>
        <v>21.474899999999998</v>
      </c>
      <c r="FG38" s="117">
        <f>IF(ISNUMBER(FG35),FG35-FH35,"")</f>
        <v>39.216799999999999</v>
      </c>
      <c r="FH38" s="118">
        <f>IF(EZ38&lt;&gt;"",SUM(EZ38:FG38),"")</f>
        <v>0</v>
      </c>
      <c r="FI38" s="133" t="s">
        <v>128</v>
      </c>
      <c r="FJ38" s="134">
        <f>IF(FJ37&lt;&gt;"",(FQ35-FJ37*FQ33)/FQ36,"")</f>
        <v>28.291499124841856</v>
      </c>
      <c r="FK38" s="133" t="s">
        <v>128</v>
      </c>
      <c r="FL38" s="134">
        <f>IF(FN37&lt;&gt;"",INTERCEPT(FN37:FN38,FM37:FM38),"")</f>
        <v>27.088816411307008</v>
      </c>
      <c r="FM38" s="116">
        <v>5.08</v>
      </c>
      <c r="FN38" s="116">
        <f>IF(FJ37&lt;&gt;"",FJ37*FM38^2+FJ38*FM38+FJ39,"")</f>
        <v>113.12428606039259</v>
      </c>
      <c r="FO38" s="138" t="str">
        <f>IF(FR34="","",IF(FR34&gt;0,FU33,""))</f>
        <v/>
      </c>
      <c r="FP38" s="138" t="str">
        <f>IF(FR34="","",IF(FR34&gt;0,FV33,""))</f>
        <v/>
      </c>
      <c r="FQ38" s="139"/>
      <c r="FR38" s="120">
        <v>0</v>
      </c>
      <c r="FS38" s="120">
        <f>IF(FR34="","",IF(FR34&gt;0,FX34,-1))</f>
        <v>-1</v>
      </c>
      <c r="FT38" s="120">
        <f>IF(FR34="","",IF(FR34&gt;0,FX35,-1))</f>
        <v>-1</v>
      </c>
      <c r="FU38" s="120">
        <f>IF(FR34="","",IF(FR34&gt;0,FT34,-1))</f>
        <v>-1</v>
      </c>
      <c r="FV38" s="120">
        <f>IF(FR34="","",IF(FR34&gt;0,FT34,-1))</f>
        <v>-1</v>
      </c>
      <c r="FW38" s="120">
        <f>IF(FR34="","",IF(FR34&gt;0,FT34,-1))</f>
        <v>-1</v>
      </c>
      <c r="FX38" s="120">
        <v>0</v>
      </c>
      <c r="FY38" s="120">
        <f>IF(FR34="","",IF(FR34&gt;0,FT34,-1))</f>
        <v>-1</v>
      </c>
      <c r="FZ38" s="1206"/>
      <c r="GA38" s="124">
        <f>IF(ISNUMBER(GA35),GA35-GI35,"")</f>
        <v>-18.450700000000001</v>
      </c>
      <c r="GB38" s="117">
        <f>IF(ISNUMBER(GB35),GB35-GI35,"")</f>
        <v>-17.2347</v>
      </c>
      <c r="GC38" s="117">
        <f>IF(ISNUMBER(GC35),GC35-GI35,"")</f>
        <v>-15.2376</v>
      </c>
      <c r="GD38" s="117">
        <f>IF(ISNUMBER(GD35),GD35-GI35,"")</f>
        <v>-12.396000000000001</v>
      </c>
      <c r="GE38" s="117">
        <f>IF(ISNUMBER(GE35),GE35-GI35,"")</f>
        <v>-4.3315000000000001</v>
      </c>
      <c r="GF38" s="117">
        <f>IF(ISNUMBER(GF35),GF35-GI35,"")</f>
        <v>6.9588000000000001</v>
      </c>
      <c r="GG38" s="117">
        <f>IF(ISNUMBER(GG35),GG35-GI35,"")</f>
        <v>21.474899999999998</v>
      </c>
      <c r="GH38" s="117">
        <f>IF(ISNUMBER(GH35),GH35-GI35,"")</f>
        <v>39.216799999999999</v>
      </c>
      <c r="GI38" s="118">
        <f>IF(GA38&lt;&gt;"",SUM(GA38:GH38),"")</f>
        <v>0</v>
      </c>
      <c r="GJ38" s="133" t="s">
        <v>128</v>
      </c>
      <c r="GK38" s="134">
        <f>IF(GK37&lt;&gt;"",(GR35-GK37*GR33)/GR36,"")</f>
        <v>25.422551967170207</v>
      </c>
      <c r="GL38" s="133" t="s">
        <v>128</v>
      </c>
      <c r="GM38" s="134">
        <f>IF(GO37&lt;&gt;"",INTERCEPT(GO37:GO38,GN37:GN38),"")</f>
        <v>20.447713107919768</v>
      </c>
      <c r="GN38" s="116">
        <v>5.08</v>
      </c>
      <c r="GO38" s="116">
        <f>IF(GK37&lt;&gt;"",GK37*GN38^2+GK38*GN38+GK39,"")</f>
        <v>94.728577664724298</v>
      </c>
      <c r="GP38" s="138" t="str">
        <f>IF(GS34="","",IF(GS34&gt;0,GV33,""))</f>
        <v/>
      </c>
      <c r="GQ38" s="138" t="str">
        <f>IF(GS34="","",IF(GS34&gt;0,GW33,""))</f>
        <v/>
      </c>
      <c r="GR38" s="139"/>
      <c r="GS38" s="120">
        <v>0</v>
      </c>
      <c r="GT38" s="120">
        <f>IF(GS34="","",IF(GS34&gt;0,GY34,-1))</f>
        <v>-1</v>
      </c>
      <c r="GU38" s="120">
        <f>IF(GS34="","",IF(GS34&gt;0,GY35,-1))</f>
        <v>-1</v>
      </c>
      <c r="GV38" s="120">
        <f>IF(GS34="","",IF(GS34&gt;0,GU34,-1))</f>
        <v>-1</v>
      </c>
      <c r="GW38" s="120">
        <f>IF(GS34="","",IF(GS34&gt;0,GU34,-1))</f>
        <v>-1</v>
      </c>
      <c r="GX38" s="120">
        <f>IF(GS34="","",IF(GS34&gt;0,GU34,-1))</f>
        <v>-1</v>
      </c>
      <c r="GY38" s="120">
        <v>0</v>
      </c>
      <c r="GZ38" s="120">
        <f>IF(GS34="","",IF(GS34&gt;0,GU34,-1))</f>
        <v>-1</v>
      </c>
      <c r="HA38" s="1206"/>
      <c r="HB38" s="124" t="str">
        <f>IF(ISNUMBER(HB35),HB35-HJ35,"")</f>
        <v/>
      </c>
      <c r="HC38" s="117" t="str">
        <f>IF(ISNUMBER(HC35),HC35-HJ35,"")</f>
        <v/>
      </c>
      <c r="HD38" s="117" t="str">
        <f>IF(ISNUMBER(HD35),HD35-HJ35,"")</f>
        <v/>
      </c>
      <c r="HE38" s="117" t="str">
        <f>IF(ISNUMBER(HE35),HE35-HJ35,"")</f>
        <v/>
      </c>
      <c r="HF38" s="117" t="str">
        <f>IF(ISNUMBER(HF35),HF35-HJ35,"")</f>
        <v/>
      </c>
      <c r="HG38" s="117" t="str">
        <f>IF(ISNUMBER(HG35),HG35-HJ35,"")</f>
        <v/>
      </c>
      <c r="HH38" s="117" t="str">
        <f>IF(ISNUMBER(HH35),HH35-HJ35,"")</f>
        <v/>
      </c>
      <c r="HI38" s="117" t="str">
        <f>IF(ISNUMBER(HI35),HI35-HJ35,"")</f>
        <v/>
      </c>
      <c r="HJ38" s="118" t="str">
        <f>IF(HB38&lt;&gt;"",SUM(HB38:HI38),"")</f>
        <v/>
      </c>
      <c r="HK38" s="133" t="s">
        <v>128</v>
      </c>
      <c r="HL38" s="134" t="str">
        <f>IF(HL37&lt;&gt;"",(HS35-HL37*HS33)/HS36,"")</f>
        <v/>
      </c>
      <c r="HM38" s="133" t="s">
        <v>128</v>
      </c>
      <c r="HN38" s="134" t="str">
        <f>IF(HP37&lt;&gt;"",INTERCEPT(HP37:HP38,HO37:HO38),"")</f>
        <v/>
      </c>
      <c r="HO38" s="116">
        <v>5.08</v>
      </c>
      <c r="HP38" s="116" t="str">
        <f>IF(HL37&lt;&gt;"",HL37*HO38^2+HL38*HO38+HL39,"")</f>
        <v/>
      </c>
      <c r="HQ38" s="138" t="str">
        <f>IF(HT34="","",IF(HT34&gt;0,HW33,""))</f>
        <v/>
      </c>
      <c r="HR38" s="138" t="str">
        <f>IF(HT34="","",IF(HT34&gt;0,HX33,""))</f>
        <v/>
      </c>
      <c r="HS38" s="139"/>
      <c r="HT38" s="120">
        <v>0</v>
      </c>
      <c r="HU38" s="120" t="str">
        <f>IF(HT34="","",IF(HT34&gt;0,HZ34,-1))</f>
        <v/>
      </c>
      <c r="HV38" s="120" t="str">
        <f>IF(HT34="","",IF(HT34&gt;0,HZ35,-1))</f>
        <v/>
      </c>
      <c r="HW38" s="120" t="str">
        <f>IF(HT34="","",IF(HT34&gt;0,HV34,-1))</f>
        <v/>
      </c>
      <c r="HX38" s="120" t="str">
        <f>IF(HT34="","",IF(HT34&gt;0,HV34,-1))</f>
        <v/>
      </c>
      <c r="HY38" s="120" t="str">
        <f>IF(HT34="","",IF(HT34&gt;0,HV34,-1))</f>
        <v/>
      </c>
      <c r="HZ38" s="120">
        <v>0</v>
      </c>
      <c r="IA38" s="120" t="str">
        <f>IF(HT34="","",IF(HT34&gt;0,HV34,-1))</f>
        <v/>
      </c>
      <c r="IB38" s="1206"/>
      <c r="IC38" s="124" t="str">
        <f>IF(ISNUMBER(IC35),IC35-IK35,"")</f>
        <v/>
      </c>
      <c r="ID38" s="117" t="str">
        <f>IF(ISNUMBER(ID35),ID35-IK35,"")</f>
        <v/>
      </c>
      <c r="IE38" s="117" t="str">
        <f>IF(ISNUMBER(IE35),IE35-IK35,"")</f>
        <v/>
      </c>
      <c r="IF38" s="117" t="str">
        <f>IF(ISNUMBER(IF35),IF35-IK35,"")</f>
        <v/>
      </c>
      <c r="IG38" s="117" t="str">
        <f>IF(ISNUMBER(IG35),IG35-IK35,"")</f>
        <v/>
      </c>
      <c r="IH38" s="117" t="str">
        <f>IF(ISNUMBER(IH35),IH35-IK35,"")</f>
        <v/>
      </c>
      <c r="II38" s="117" t="str">
        <f>IF(ISNUMBER(II35),II35-IK35,"")</f>
        <v/>
      </c>
      <c r="IJ38" s="117" t="str">
        <f>IF(ISNUMBER(IJ35),IJ35-IK35,"")</f>
        <v/>
      </c>
      <c r="IK38" s="118" t="str">
        <f>IF(IC38&lt;&gt;"",SUM(IC38:IJ38),"")</f>
        <v/>
      </c>
      <c r="IL38" s="133" t="s">
        <v>128</v>
      </c>
      <c r="IM38" s="134" t="str">
        <f>IF(IM37&lt;&gt;"",(IT35-IM37*IT33)/IT36,"")</f>
        <v/>
      </c>
      <c r="IN38" s="133" t="s">
        <v>128</v>
      </c>
      <c r="IO38" s="134" t="str">
        <f>IF(IQ37&lt;&gt;"",INTERCEPT(IQ37:IQ38,IP37:IP38),"")</f>
        <v/>
      </c>
      <c r="IP38" s="116">
        <v>5.08</v>
      </c>
      <c r="IQ38" s="116" t="str">
        <f>IF(IM37&lt;&gt;"",IM37*IP38^2+IM38*IP38+IM39,"")</f>
        <v/>
      </c>
      <c r="IR38" s="138" t="str">
        <f>IF(IU34="","",IF(IU34&gt;0,IX33,""))</f>
        <v/>
      </c>
      <c r="IS38" s="138" t="str">
        <f>IF(IU34="","",IF(IU34&gt;0,IY33,""))</f>
        <v/>
      </c>
      <c r="IT38" s="139"/>
      <c r="IU38" s="120">
        <v>0</v>
      </c>
      <c r="IV38" s="120" t="str">
        <f>IF(IU34="","",IF(IU34&gt;0,JA34,-1))</f>
        <v/>
      </c>
      <c r="IW38" s="120" t="str">
        <f>IF(IU34="","",IF(IU34&gt;0,JA35,-1))</f>
        <v/>
      </c>
      <c r="IX38" s="120" t="str">
        <f>IF(IU34="","",IF(IU34&gt;0,IW34,-1))</f>
        <v/>
      </c>
      <c r="IY38" s="120" t="str">
        <f>IF(IU34="","",IF(IU34&gt;0,IW34,-1))</f>
        <v/>
      </c>
      <c r="IZ38" s="120" t="str">
        <f>IF(IU34="","",IF(IU34&gt;0,IW34,-1))</f>
        <v/>
      </c>
      <c r="JA38" s="120">
        <v>0</v>
      </c>
      <c r="JB38" s="120" t="str">
        <f>IF(IU34="","",IF(IU34&gt;0,IW34,-1))</f>
        <v/>
      </c>
      <c r="JC38" s="1206"/>
      <c r="JD38" s="150" t="str">
        <f t="shared" si="388"/>
        <v/>
      </c>
      <c r="JE38" s="88" t="str">
        <f t="shared" ref="JE38:JJ38" si="687">IF(ISNUMBER(JE35),JE35-$JK35,"")</f>
        <v/>
      </c>
      <c r="JF38" s="88">
        <f t="shared" si="687"/>
        <v>-1.5498488143357691E-3</v>
      </c>
      <c r="JG38" s="88">
        <f t="shared" si="687"/>
        <v>-1.5272296511540306E-4</v>
      </c>
      <c r="JH38" s="88">
        <f t="shared" si="687"/>
        <v>1.7025717794511724E-3</v>
      </c>
      <c r="JI38" s="88" t="str">
        <f t="shared" si="687"/>
        <v/>
      </c>
      <c r="JJ38" s="88" t="str">
        <f t="shared" si="687"/>
        <v/>
      </c>
      <c r="JK38" s="89"/>
      <c r="JL38" s="73"/>
      <c r="JM38" s="73"/>
      <c r="JN38" s="73"/>
      <c r="JO38" s="73"/>
      <c r="JP38" s="73"/>
      <c r="JQ38" s="73"/>
      <c r="JR38" s="73"/>
      <c r="JS38" s="90"/>
      <c r="JT38" s="1207"/>
      <c r="JU38" s="123" t="str">
        <f>IF(T39&lt;&gt;0,LOOKUP(T39,Tara!$G$6:$G$185,Tara!$J$6:$J$185)/10,"")</f>
        <v/>
      </c>
      <c r="JV38" s="116" t="str">
        <f t="shared" si="395"/>
        <v/>
      </c>
      <c r="JW38" s="155" t="str">
        <f t="shared" si="396"/>
        <v/>
      </c>
      <c r="JX38" s="88" t="str">
        <f t="shared" ref="JX38:KC38" si="688">IF(ISNUMBER(JX35),JX35-$JK35,"")</f>
        <v/>
      </c>
      <c r="JY38" s="88">
        <f t="shared" si="688"/>
        <v>-1.5498488143357691E-3</v>
      </c>
      <c r="JZ38" s="88">
        <f t="shared" si="688"/>
        <v>-1.5272296511540306E-4</v>
      </c>
      <c r="KA38" s="88">
        <f t="shared" si="688"/>
        <v>1.7025717794511724E-3</v>
      </c>
      <c r="KB38" s="88" t="str">
        <f t="shared" si="688"/>
        <v/>
      </c>
      <c r="KC38" s="88" t="str">
        <f t="shared" si="688"/>
        <v/>
      </c>
      <c r="KD38" s="89"/>
      <c r="KE38" s="73"/>
      <c r="KF38" s="73"/>
      <c r="KG38" s="73"/>
      <c r="KH38" s="73"/>
      <c r="KI38" s="73"/>
      <c r="KJ38" s="73"/>
      <c r="KK38" s="73"/>
      <c r="KL38" s="90"/>
      <c r="KM38" s="1207"/>
      <c r="KN38" s="171" t="str">
        <f>IF(KN36&lt;&gt;"",INDEX(LOGEST(KN37:KR37,KN36:KR36),2),"")</f>
        <v/>
      </c>
      <c r="KO38" s="172" t="str">
        <f>IF(KN39&lt;&gt;"",LN(KN39),"")</f>
        <v/>
      </c>
      <c r="KP38" s="138"/>
      <c r="KQ38" s="176" t="str">
        <f>IF(KN38&lt;&gt;"",LN(25/KN38)/KO38,"NP")</f>
        <v>NP</v>
      </c>
      <c r="KR38" s="1206"/>
      <c r="KS38" s="185" t="str">
        <f>IF(KS37&lt;&gt;"",5%*KS37,"")</f>
        <v/>
      </c>
      <c r="KT38" s="176" t="str">
        <f>IF(KS37&lt;&gt;"",KS37+KS38,"")</f>
        <v/>
      </c>
      <c r="KU38" s="188" t="str">
        <f>IF(KQ38&lt;&gt;"NP",KQ38-KW38,"NP")</f>
        <v>NP</v>
      </c>
      <c r="KV38" s="176" t="str">
        <f>IF(KV37&lt;&gt;"",KV37-5%*KV37,"")</f>
        <v/>
      </c>
      <c r="KW38" s="176" t="str">
        <f>IF(KV37&lt;&gt;"",KV37,"NP")</f>
        <v>NP</v>
      </c>
      <c r="KX38" s="1275"/>
      <c r="KY38" s="190"/>
      <c r="KZ38" s="1208"/>
      <c r="LA38" s="201"/>
      <c r="LB38" s="138"/>
      <c r="LC38" s="138"/>
      <c r="LD38" s="138"/>
      <c r="LE38" s="138"/>
      <c r="LF38" s="138"/>
      <c r="LG38" s="138"/>
      <c r="LH38" s="138"/>
      <c r="LI38" s="138"/>
      <c r="LJ38" s="138"/>
      <c r="LK38" s="138"/>
      <c r="LL38" s="138"/>
      <c r="LM38" s="1206"/>
      <c r="LN38" s="163"/>
      <c r="LO38" s="164"/>
      <c r="LP38" s="164"/>
      <c r="LQ38" s="164"/>
      <c r="LR38" s="1209"/>
      <c r="LS38" s="216">
        <v>40</v>
      </c>
      <c r="LT38" s="144">
        <f>IF(LL37&lt;&gt;"",LL37*100,"")</f>
        <v>41.712020886931384</v>
      </c>
      <c r="LU38" s="1288" t="s">
        <v>129</v>
      </c>
      <c r="LV38" s="1288"/>
      <c r="LW38" s="222" t="s">
        <v>130</v>
      </c>
      <c r="LX38" s="222"/>
      <c r="LY38" s="199" t="b">
        <f>IF(LH39&lt;LL39,"NP",AND(LU39&lt;=8,LO39&lt;=10,LH39&lt;=40,LT39&gt;35))</f>
        <v>0</v>
      </c>
      <c r="LZ38" s="199" t="b">
        <f>IF(LH39&lt;LL39,"NP",AND(LU39&lt;=12,LO39&lt;=10,LH39&gt;40,LT39&gt;35))</f>
        <v>0</v>
      </c>
      <c r="MA38" s="199" t="b">
        <f>IF(LH39&lt;LL39,"NP",AND(LU39&lt;=16,LO39&gt;10,LH39&lt;=40,LT39&gt;35))</f>
        <v>0</v>
      </c>
      <c r="MB38" s="199" t="b">
        <f>IF(LH39&lt;LL39,"NP",AND(LU39&lt;=20,LO39&gt;10,LH39&gt;40,LT39&gt;35,LO39&lt;=LH39-30))</f>
        <v>0</v>
      </c>
      <c r="MC38" s="199" t="b">
        <f>IF(LH39&lt;LL39,"NP",AND(LU39&lt;=20,LO39&gt;10,LH39&gt;40,LS39&gt;35,LO39&gt;LH39-30))</f>
        <v>0</v>
      </c>
      <c r="MD38" s="199"/>
      <c r="ME38" s="1200"/>
      <c r="MF38" s="700"/>
      <c r="MG38" s="701"/>
      <c r="MH38" s="701"/>
      <c r="MI38" s="701"/>
      <c r="MJ38" s="701"/>
      <c r="MK38" s="701"/>
      <c r="ML38" s="701"/>
      <c r="MM38" s="701"/>
      <c r="MN38" s="701"/>
      <c r="MO38" s="701"/>
      <c r="MP38" s="701"/>
      <c r="MQ38" s="701"/>
      <c r="MR38" s="701"/>
      <c r="MS38" s="701"/>
      <c r="MT38" s="701"/>
      <c r="MU38" s="701"/>
      <c r="MV38" s="701"/>
      <c r="MW38" s="701"/>
      <c r="MX38" s="701"/>
      <c r="MY38" s="701"/>
      <c r="MZ38" s="701"/>
      <c r="NA38" s="701"/>
      <c r="NB38" s="701"/>
      <c r="NC38" s="701"/>
      <c r="ND38" s="701"/>
      <c r="NE38" s="701"/>
      <c r="NF38" s="701"/>
      <c r="NG38" s="701"/>
      <c r="NH38" s="701"/>
      <c r="NI38" s="701"/>
      <c r="NJ38" s="701"/>
      <c r="NK38" s="701"/>
      <c r="NL38" s="701"/>
      <c r="NM38" s="701"/>
      <c r="NN38" s="701"/>
      <c r="NO38" s="701"/>
      <c r="NP38" s="701"/>
      <c r="NQ38" s="701"/>
      <c r="NR38" s="701"/>
      <c r="NS38" s="701"/>
      <c r="NT38" s="701"/>
      <c r="NU38" s="701"/>
      <c r="NV38" s="701"/>
      <c r="NW38" s="701"/>
      <c r="NX38" s="701"/>
      <c r="NY38" s="701"/>
      <c r="NZ38" s="701"/>
      <c r="OA38" s="701"/>
      <c r="OB38" s="701"/>
      <c r="OC38" s="701"/>
      <c r="OD38" s="1189"/>
      <c r="OE38" s="701"/>
    </row>
    <row r="39" spans="1:398" ht="15" hidden="1" customHeight="1" thickBot="1" x14ac:dyDescent="0.35">
      <c r="A39" s="1338"/>
      <c r="B39" s="504" t="s">
        <v>131</v>
      </c>
      <c r="C39" s="666">
        <v>26</v>
      </c>
      <c r="D39" s="1364"/>
      <c r="E39" s="1365"/>
      <c r="F39" s="1371"/>
      <c r="G39" s="493" t="s">
        <v>132</v>
      </c>
      <c r="H39" s="505" t="s">
        <v>59</v>
      </c>
      <c r="I39" s="506" t="s">
        <v>133</v>
      </c>
      <c r="J39" s="507">
        <v>9575</v>
      </c>
      <c r="K39" s="507">
        <v>9661</v>
      </c>
      <c r="L39" s="507">
        <v>10042</v>
      </c>
      <c r="M39" s="507">
        <v>10055</v>
      </c>
      <c r="N39" s="507">
        <v>10000</v>
      </c>
      <c r="O39" s="507"/>
      <c r="P39" s="508" t="s">
        <v>134</v>
      </c>
      <c r="Q39" s="509">
        <v>0.36480000000000001</v>
      </c>
      <c r="R39" s="508" t="s">
        <v>133</v>
      </c>
      <c r="S39" s="510"/>
      <c r="T39" s="511"/>
      <c r="U39" s="512"/>
      <c r="V39" s="513"/>
      <c r="W39" s="513"/>
      <c r="X39" s="513"/>
      <c r="Y39" s="513"/>
      <c r="Z39" s="514"/>
      <c r="AA39" s="514"/>
      <c r="AB39" s="514"/>
      <c r="AC39" s="514"/>
      <c r="AD39" s="515"/>
      <c r="AE39" s="515"/>
      <c r="AF39" s="515"/>
      <c r="AG39" s="515"/>
      <c r="AH39" s="515"/>
      <c r="AI39" s="515"/>
      <c r="AJ39" s="515"/>
      <c r="AK39" s="516"/>
      <c r="AL39" s="1386"/>
      <c r="AM39" s="517" t="s">
        <v>61</v>
      </c>
      <c r="AN39" s="518"/>
      <c r="AO39" s="518"/>
      <c r="AP39" s="518"/>
      <c r="AQ39" s="518"/>
      <c r="AR39" s="519"/>
      <c r="AS39" s="1368"/>
      <c r="AT39" s="1296"/>
      <c r="AU39" s="1297"/>
      <c r="AV39" s="1299"/>
      <c r="AW39" s="520" t="s">
        <v>135</v>
      </c>
      <c r="AX39" s="521"/>
      <c r="AY39" s="1299"/>
      <c r="AZ39" s="520" t="s">
        <v>135</v>
      </c>
      <c r="BA39" s="522"/>
      <c r="BB39" s="1303"/>
      <c r="BC39" s="1304"/>
      <c r="BD39" s="1304"/>
      <c r="BE39" s="1304"/>
      <c r="BF39" s="1304"/>
      <c r="BG39" s="1304"/>
      <c r="BH39" s="1304"/>
      <c r="BI39" s="1304"/>
      <c r="BJ39" s="1304"/>
      <c r="BK39" s="1305"/>
      <c r="BL39" s="1293"/>
      <c r="BM39" s="1308"/>
      <c r="BN39" s="91" t="s">
        <v>136</v>
      </c>
      <c r="BO39" s="92">
        <f>IF(J33&lt;&gt;"",BO38/Q37,"")</f>
        <v>1.4285714285714285E-2</v>
      </c>
      <c r="BP39" s="93">
        <f>IF(AND(ISNUMBER(BW38),ISNUMBER(BO39),BW38&lt;&gt;0),BO39+BW38,"")</f>
        <v>2.9285714285714283E-2</v>
      </c>
      <c r="BQ39" s="93">
        <f>IF(AND(ISNUMBER(BW38),ISNUMBER(BP39),BW38&lt;&gt;0),BP39+BW38,"")</f>
        <v>4.4285714285714282E-2</v>
      </c>
      <c r="BR39" s="93">
        <f>IF(AND(ISNUMBER(BW38),ISNUMBER(BQ39),BW38&lt;&gt;0),BQ39+BW38,"")</f>
        <v>5.9285714285714282E-2</v>
      </c>
      <c r="BS39" s="93">
        <f>IF(AND(ISNUMBER(BW38),ISNUMBER(BR39),BW38&lt;&gt;0),BR39+BW38,"")</f>
        <v>7.4285714285714288E-2</v>
      </c>
      <c r="BT39" s="93">
        <f>IF(AND(ISNUMBER(BW38),ISNUMBER(BS39),BW38&lt;&gt;0),BS39+BW38,"")</f>
        <v>8.9285714285714288E-2</v>
      </c>
      <c r="BU39" s="109" t="s">
        <v>137</v>
      </c>
      <c r="BV39" s="109"/>
      <c r="BW39" s="94">
        <f>IF(ISNUMBER(Q37),Q37/(BW33+1),"")</f>
        <v>6937.3162955665339</v>
      </c>
      <c r="BX39" s="95"/>
      <c r="BY39" s="96">
        <f t="shared" ref="BY39:CD39" si="689">IF(BY37&lt;&gt;"",BY37/(1+BY38),"")</f>
        <v>1898.326664201988</v>
      </c>
      <c r="BZ39" s="96">
        <f t="shared" si="689"/>
        <v>2018.6054093588696</v>
      </c>
      <c r="CA39" s="96">
        <f t="shared" si="689"/>
        <v>2245.588255080645</v>
      </c>
      <c r="CB39" s="96">
        <f t="shared" si="689"/>
        <v>2228.1069891827028</v>
      </c>
      <c r="CC39" s="96">
        <f t="shared" si="689"/>
        <v>1980.6167760887652</v>
      </c>
      <c r="CD39" s="96" t="str">
        <f t="shared" si="689"/>
        <v/>
      </c>
      <c r="CE39" s="97"/>
      <c r="CF39" s="97"/>
      <c r="CG39" s="97"/>
      <c r="CH39" s="97"/>
      <c r="CI39" s="97"/>
      <c r="CJ39" s="98" t="str">
        <f>IF(ISNUMBER(CJ36),CJ36^2,"")</f>
        <v/>
      </c>
      <c r="CK39" s="98"/>
      <c r="CL39" s="99" t="s">
        <v>101</v>
      </c>
      <c r="CM39" s="100">
        <f>(CR35*CR37-CR36*CR33)/(CR37^2-CR34*CR33)</f>
        <v>-305564.80623991921</v>
      </c>
      <c r="CN39" s="99" t="s">
        <v>102</v>
      </c>
      <c r="CO39" s="101">
        <f>(CR36-CM39*CR34)/CR37</f>
        <v>35302.404708859278</v>
      </c>
      <c r="CP39" s="99" t="s">
        <v>103</v>
      </c>
      <c r="CQ39" s="100">
        <f>CK34-CO39*CK33-CM39*CK35</f>
        <v>1199.6106333390085</v>
      </c>
      <c r="CR39" s="98"/>
      <c r="CS39" s="99"/>
      <c r="CT39" s="101"/>
      <c r="CU39" s="106" t="str">
        <f>IF(S39&lt;&gt;0,S39-CU37,"")</f>
        <v/>
      </c>
      <c r="CV39" s="1281"/>
      <c r="CW39" s="1283"/>
      <c r="CX39" s="127" t="str">
        <f>IF(ISNUMBER(CX36),CX36^2,"")</f>
        <v/>
      </c>
      <c r="CY39" s="128" t="str">
        <f t="shared" ref="CY39:DE39" si="690">IF(ISNUMBER(CY36),CY36^2,"")</f>
        <v/>
      </c>
      <c r="CZ39" s="128" t="str">
        <f t="shared" si="690"/>
        <v/>
      </c>
      <c r="DA39" s="128" t="str">
        <f t="shared" si="690"/>
        <v/>
      </c>
      <c r="DB39" s="128" t="str">
        <f t="shared" si="690"/>
        <v/>
      </c>
      <c r="DC39" s="128" t="str">
        <f t="shared" si="690"/>
        <v/>
      </c>
      <c r="DD39" s="128" t="str">
        <f t="shared" si="690"/>
        <v/>
      </c>
      <c r="DE39" s="128" t="str">
        <f t="shared" si="690"/>
        <v/>
      </c>
      <c r="DF39" s="721" t="str">
        <f>IF(CX39&lt;&gt;"",SUM(CX39:DE39),"")</f>
        <v/>
      </c>
      <c r="DG39" s="135" t="s">
        <v>138</v>
      </c>
      <c r="DH39" s="136" t="str">
        <f>IF(DH37&lt;&gt;"",DF34-DH38*DF33-DH37*DF35,"")</f>
        <v/>
      </c>
      <c r="DI39" s="135"/>
      <c r="DJ39" s="140"/>
      <c r="DK39" s="140"/>
      <c r="DL39" s="140"/>
      <c r="DM39" s="142" t="str">
        <f>IF(DP34="","",IF(DP34&gt;0,DM38/70.31,""))</f>
        <v/>
      </c>
      <c r="DN39" s="142" t="str">
        <f>IF(DP34="","",IF(DP34&gt;0,DN38/105.46,""))</f>
        <v/>
      </c>
      <c r="DO39" s="140"/>
      <c r="DP39" s="135">
        <v>2.54</v>
      </c>
      <c r="DQ39" s="142" t="str">
        <f>IF(DA34&lt;&gt;"",DA34/70.31,"")</f>
        <v/>
      </c>
      <c r="DR39" s="135">
        <v>5.08</v>
      </c>
      <c r="DS39" s="142" t="str">
        <f>IF(DC34&lt;&gt;"",DC34/105.46,"")</f>
        <v/>
      </c>
      <c r="DT39" s="227" t="str">
        <f>IF(DV39&lt;&gt;"",MAX(DV39,DX39),"")</f>
        <v/>
      </c>
      <c r="DU39" s="143">
        <v>2.54</v>
      </c>
      <c r="DV39" s="146" t="str">
        <f>IF(DA34&lt;&gt;"",MAX(DM39,DQ39)*100,"")</f>
        <v/>
      </c>
      <c r="DW39" s="143">
        <v>5.08</v>
      </c>
      <c r="DX39" s="147" t="str">
        <f>IF(DC34&lt;&gt;"",MAX(DN39,DS39)*100,"")</f>
        <v/>
      </c>
      <c r="DY39" s="127">
        <f>IF(ISNUMBER(DY36),DY36^2,"")</f>
        <v>9.1204000000000001</v>
      </c>
      <c r="DZ39" s="128">
        <f t="shared" ref="DZ39:EF39" si="691">IF(ISNUMBER(DZ36),DZ36^2,"")</f>
        <v>5.6643999999999997</v>
      </c>
      <c r="EA39" s="128">
        <f t="shared" si="691"/>
        <v>3.0625</v>
      </c>
      <c r="EB39" s="128">
        <f t="shared" si="691"/>
        <v>1.2320999999999998</v>
      </c>
      <c r="EC39" s="128">
        <f t="shared" si="691"/>
        <v>2.5600000000000046E-2</v>
      </c>
      <c r="ED39" s="128">
        <f t="shared" si="691"/>
        <v>2.0449000000000006</v>
      </c>
      <c r="EE39" s="128">
        <f t="shared" si="691"/>
        <v>7.2899999999999983</v>
      </c>
      <c r="EF39" s="128">
        <f t="shared" si="691"/>
        <v>15.760900000000001</v>
      </c>
      <c r="EG39" s="129">
        <f>IF(DY39&lt;&gt;"",SUM(DY39:EF39),"")</f>
        <v>44.200800000000001</v>
      </c>
      <c r="EH39" s="135" t="s">
        <v>138</v>
      </c>
      <c r="EI39" s="136">
        <f>IF(EI37&lt;&gt;"",EG34-EI38*EG33-EI37*EG35,"")</f>
        <v>9.2414318833561282</v>
      </c>
      <c r="EJ39" s="135"/>
      <c r="EK39" s="140"/>
      <c r="EL39" s="140"/>
      <c r="EM39" s="140"/>
      <c r="EN39" s="141" t="str">
        <f>IF(EQ34="","",IF(EQ34&gt;0,EN38/70.31,""))</f>
        <v/>
      </c>
      <c r="EO39" s="141" t="str">
        <f>IF(EQ34="","",IF(EQ34&gt;0,EO38/105.46,""))</f>
        <v/>
      </c>
      <c r="EP39" s="140"/>
      <c r="EQ39" s="135">
        <v>2.54</v>
      </c>
      <c r="ER39" s="142">
        <f>IF(EB34&lt;&gt;"",EB34/70.31,"")</f>
        <v>0.77656094438913381</v>
      </c>
      <c r="ES39" s="135">
        <v>5.08</v>
      </c>
      <c r="ET39" s="142">
        <f>IF(ED34&lt;&gt;"",ED34/105.46,"")</f>
        <v>0.77659776218471466</v>
      </c>
      <c r="EU39" s="227">
        <f>IF(EW39&lt;&gt;"",MAX(EW39,EY39),"")</f>
        <v>77.659776218471464</v>
      </c>
      <c r="EV39" s="143">
        <v>2.54</v>
      </c>
      <c r="EW39" s="146">
        <f>IF(EB34&lt;&gt;"",MAX(EN39,ER39)*100,"")</f>
        <v>77.656094438913385</v>
      </c>
      <c r="EX39" s="143">
        <v>5.08</v>
      </c>
      <c r="EY39" s="147">
        <f>IF(ED34&lt;&gt;"",MAX(EO39,ET39)*100,"")</f>
        <v>77.659776218471464</v>
      </c>
      <c r="EZ39" s="127">
        <f>IF(ISNUMBER(EZ36),EZ36^2,"")</f>
        <v>9.1204000000000001</v>
      </c>
      <c r="FA39" s="128">
        <f t="shared" ref="FA39:FG39" si="692">IF(ISNUMBER(FA36),FA36^2,"")</f>
        <v>5.6643999999999997</v>
      </c>
      <c r="FB39" s="128">
        <f t="shared" si="692"/>
        <v>3.0625</v>
      </c>
      <c r="FC39" s="128">
        <f t="shared" si="692"/>
        <v>1.2320999999999998</v>
      </c>
      <c r="FD39" s="128">
        <f t="shared" si="692"/>
        <v>2.5600000000000046E-2</v>
      </c>
      <c r="FE39" s="128">
        <f t="shared" si="692"/>
        <v>2.0449000000000006</v>
      </c>
      <c r="FF39" s="128">
        <f t="shared" si="692"/>
        <v>7.2899999999999983</v>
      </c>
      <c r="FG39" s="128">
        <f t="shared" si="692"/>
        <v>15.760900000000001</v>
      </c>
      <c r="FH39" s="129">
        <f>IF(EZ39&lt;&gt;"",SUM(EZ39:FG39),"")</f>
        <v>44.200800000000001</v>
      </c>
      <c r="FI39" s="135" t="s">
        <v>138</v>
      </c>
      <c r="FJ39" s="136">
        <f>IF(FJ37&lt;&gt;"",FH34-FJ38*FH33-FJ37*FH35,"")</f>
        <v>7.860367776270003</v>
      </c>
      <c r="FK39" s="135"/>
      <c r="FL39" s="140"/>
      <c r="FM39" s="140"/>
      <c r="FN39" s="140"/>
      <c r="FO39" s="141" t="str">
        <f>IF(FR34="","",IF(FR34&gt;0,FO38/70.31,""))</f>
        <v/>
      </c>
      <c r="FP39" s="141" t="str">
        <f>IF(FR34="","",IF(FR34&gt;0,FP38/105.46,""))</f>
        <v/>
      </c>
      <c r="FQ39" s="140"/>
      <c r="FR39" s="135">
        <v>2.54</v>
      </c>
      <c r="FS39" s="142">
        <f>IF(FC34&lt;&gt;"",FC34/70.31,"")</f>
        <v>1.0411036836865311</v>
      </c>
      <c r="FT39" s="135">
        <v>5.08</v>
      </c>
      <c r="FU39" s="142">
        <f>IF(FE34&lt;&gt;"",FE34/105.46,"")</f>
        <v>1.0411530438080792</v>
      </c>
      <c r="FV39" s="227">
        <f>IF(FX39&lt;&gt;"",MAX(FX39,FZ39),"")</f>
        <v>104.11530438080791</v>
      </c>
      <c r="FW39" s="143">
        <v>2.54</v>
      </c>
      <c r="FX39" s="146">
        <f>IF(FC34&lt;&gt;"",MAX(FO39,FS39)*100,"")</f>
        <v>104.1103683686531</v>
      </c>
      <c r="FY39" s="143">
        <v>5.08</v>
      </c>
      <c r="FZ39" s="147">
        <f>IF(FE34&lt;&gt;"",MAX(FP39,FU39)*100,"")</f>
        <v>104.11530438080791</v>
      </c>
      <c r="GA39" s="127">
        <f>IF(ISNUMBER(GA36),GA36^2,"")</f>
        <v>9.1204000000000001</v>
      </c>
      <c r="GB39" s="128">
        <f t="shared" ref="GB39:GH39" si="693">IF(ISNUMBER(GB36),GB36^2,"")</f>
        <v>5.6643999999999997</v>
      </c>
      <c r="GC39" s="128">
        <f t="shared" si="693"/>
        <v>3.0625</v>
      </c>
      <c r="GD39" s="128">
        <f t="shared" si="693"/>
        <v>1.2320999999999998</v>
      </c>
      <c r="GE39" s="128">
        <f t="shared" si="693"/>
        <v>2.5600000000000046E-2</v>
      </c>
      <c r="GF39" s="128">
        <f t="shared" si="693"/>
        <v>2.0449000000000006</v>
      </c>
      <c r="GG39" s="128">
        <f t="shared" si="693"/>
        <v>7.2899999999999983</v>
      </c>
      <c r="GH39" s="128">
        <f t="shared" si="693"/>
        <v>15.760900000000001</v>
      </c>
      <c r="GI39" s="129">
        <f>IF(GA39&lt;&gt;"",SUM(GA39:GH39),"")</f>
        <v>44.200800000000001</v>
      </c>
      <c r="GJ39" s="135" t="s">
        <v>138</v>
      </c>
      <c r="GK39" s="136">
        <f>IF(GK37&lt;&gt;"",GI34-GK38*GI33-GK37*GI35,"")</f>
        <v>2.1591466291130779</v>
      </c>
      <c r="GL39" s="135"/>
      <c r="GM39" s="140"/>
      <c r="GN39" s="140"/>
      <c r="GO39" s="140"/>
      <c r="GP39" s="141" t="str">
        <f>IF(GS34="","",IF(GS34&gt;0,GP38/70.31,""))</f>
        <v/>
      </c>
      <c r="GQ39" s="141" t="str">
        <f>IF(GS34="","",IF(GS34&gt;0,GQ38/105.46,""))</f>
        <v/>
      </c>
      <c r="GR39" s="140"/>
      <c r="GS39" s="135">
        <v>2.54</v>
      </c>
      <c r="GT39" s="142">
        <f>IF(GD34&lt;&gt;"",GD34/70.31,"")</f>
        <v>0.8562082207367373</v>
      </c>
      <c r="GU39" s="135">
        <v>5.08</v>
      </c>
      <c r="GV39" s="142">
        <f>IF(GF34&lt;&gt;"",GF34/105.46,"")</f>
        <v>0.85530058790062591</v>
      </c>
      <c r="GW39" s="227">
        <f>IF(GY39&lt;&gt;"",MAX(GY39,HA39),"")</f>
        <v>85.620822073673736</v>
      </c>
      <c r="GX39" s="143">
        <v>2.54</v>
      </c>
      <c r="GY39" s="146">
        <f>IF(GD34&lt;&gt;"",MAX(GP39,GT39)*100,"")</f>
        <v>85.620822073673736</v>
      </c>
      <c r="GZ39" s="143">
        <v>5.08</v>
      </c>
      <c r="HA39" s="147">
        <f>IF(GF34&lt;&gt;"",MAX(GQ39,GV39)*100,"")</f>
        <v>85.530058790062597</v>
      </c>
      <c r="HB39" s="127" t="str">
        <f>IF(ISNUMBER(HB36),HB36^2,"")</f>
        <v/>
      </c>
      <c r="HC39" s="128" t="str">
        <f t="shared" ref="HC39:HI39" si="694">IF(ISNUMBER(HC36),HC36^2,"")</f>
        <v/>
      </c>
      <c r="HD39" s="128" t="str">
        <f t="shared" si="694"/>
        <v/>
      </c>
      <c r="HE39" s="128" t="str">
        <f t="shared" si="694"/>
        <v/>
      </c>
      <c r="HF39" s="128" t="str">
        <f t="shared" si="694"/>
        <v/>
      </c>
      <c r="HG39" s="128" t="str">
        <f t="shared" si="694"/>
        <v/>
      </c>
      <c r="HH39" s="128" t="str">
        <f t="shared" si="694"/>
        <v/>
      </c>
      <c r="HI39" s="128" t="str">
        <f t="shared" si="694"/>
        <v/>
      </c>
      <c r="HJ39" s="129" t="str">
        <f>IF(HB39&lt;&gt;"",SUM(HB39:HI39),"")</f>
        <v/>
      </c>
      <c r="HK39" s="135" t="s">
        <v>138</v>
      </c>
      <c r="HL39" s="136" t="str">
        <f>IF(HL37&lt;&gt;"",HJ34-HL38*HJ33-HL37*HJ35,"")</f>
        <v/>
      </c>
      <c r="HM39" s="135"/>
      <c r="HN39" s="140"/>
      <c r="HO39" s="140"/>
      <c r="HP39" s="140"/>
      <c r="HQ39" s="141" t="str">
        <f>IF(HT34="","",IF(HT34&gt;0,HQ38/70.31,""))</f>
        <v/>
      </c>
      <c r="HR39" s="141" t="str">
        <f>IF(HT34="","",IF(HT34&gt;0,HR38/105.46,""))</f>
        <v/>
      </c>
      <c r="HS39" s="140"/>
      <c r="HT39" s="135">
        <v>2.54</v>
      </c>
      <c r="HU39" s="142" t="str">
        <f>IF(HE34&lt;&gt;"",HE34/70.31,"")</f>
        <v/>
      </c>
      <c r="HV39" s="135">
        <v>5.08</v>
      </c>
      <c r="HW39" s="142" t="str">
        <f>IF(HG34&lt;&gt;"",HG34/105.46,"")</f>
        <v/>
      </c>
      <c r="HX39" s="227" t="str">
        <f>IF(HZ39&lt;&gt;"",MAX(HZ39,IB39),"")</f>
        <v/>
      </c>
      <c r="HY39" s="143">
        <v>2.54</v>
      </c>
      <c r="HZ39" s="146" t="str">
        <f>IF(HE34&lt;&gt;"",MAX(HQ39,HU39)*100,"")</f>
        <v/>
      </c>
      <c r="IA39" s="143">
        <v>5.08</v>
      </c>
      <c r="IB39" s="147" t="str">
        <f>IF(HG34&lt;&gt;"",MAX(HR39,HW39)*100,"")</f>
        <v/>
      </c>
      <c r="IC39" s="127" t="str">
        <f>IF(ISNUMBER(IC36),IC36^2,"")</f>
        <v/>
      </c>
      <c r="ID39" s="128" t="str">
        <f t="shared" ref="ID39:IJ39" si="695">IF(ISNUMBER(ID36),ID36^2,"")</f>
        <v/>
      </c>
      <c r="IE39" s="128" t="str">
        <f t="shared" si="695"/>
        <v/>
      </c>
      <c r="IF39" s="128" t="str">
        <f t="shared" si="695"/>
        <v/>
      </c>
      <c r="IG39" s="128" t="str">
        <f t="shared" si="695"/>
        <v/>
      </c>
      <c r="IH39" s="128" t="str">
        <f t="shared" si="695"/>
        <v/>
      </c>
      <c r="II39" s="128" t="str">
        <f t="shared" si="695"/>
        <v/>
      </c>
      <c r="IJ39" s="128" t="str">
        <f t="shared" si="695"/>
        <v/>
      </c>
      <c r="IK39" s="129" t="str">
        <f>IF(IC39&lt;&gt;"",SUM(IC39:IJ39),"")</f>
        <v/>
      </c>
      <c r="IL39" s="135" t="s">
        <v>138</v>
      </c>
      <c r="IM39" s="136" t="str">
        <f>IF(IM37&lt;&gt;"",IK34-IM38*IK33-IM37*IK35,"")</f>
        <v/>
      </c>
      <c r="IN39" s="135"/>
      <c r="IO39" s="140"/>
      <c r="IP39" s="140"/>
      <c r="IQ39" s="140"/>
      <c r="IR39" s="141" t="str">
        <f>IF(IU34="","",IF(IU34&gt;0,IR38/70.31,""))</f>
        <v/>
      </c>
      <c r="IS39" s="141" t="str">
        <f>IF(IU34="","",IF(IU34&gt;0,IS38/105.46,""))</f>
        <v/>
      </c>
      <c r="IT39" s="140"/>
      <c r="IU39" s="135">
        <v>2.54</v>
      </c>
      <c r="IV39" s="142" t="str">
        <f>IF(IF34&lt;&gt;"",IF34/70.31,"")</f>
        <v/>
      </c>
      <c r="IW39" s="135">
        <v>5.08</v>
      </c>
      <c r="IX39" s="142" t="str">
        <f>IF(IH34&lt;&gt;"",IH34/105.46,"")</f>
        <v/>
      </c>
      <c r="IY39" s="227" t="str">
        <f>IF(JA39&lt;&gt;"",MAX(JA39,JC39),"")</f>
        <v/>
      </c>
      <c r="IZ39" s="143">
        <v>2.54</v>
      </c>
      <c r="JA39" s="146" t="str">
        <f>IF(IF34&lt;&gt;"",MAX(IR39,IV39)*100,"")</f>
        <v/>
      </c>
      <c r="JB39" s="143">
        <v>5.08</v>
      </c>
      <c r="JC39" s="147" t="str">
        <f>IF(IH34&lt;&gt;"",MAX(IS39,IX39)*100,"")</f>
        <v/>
      </c>
      <c r="JD39" s="151"/>
      <c r="JE39" s="97"/>
      <c r="JF39" s="97"/>
      <c r="JG39" s="97"/>
      <c r="JH39" s="97"/>
      <c r="JI39" s="97"/>
      <c r="JJ39" s="98" t="str">
        <f>IF(ISNUMBER(JJ36),JJ36^2,"")</f>
        <v/>
      </c>
      <c r="JK39" s="98"/>
      <c r="JL39" s="99" t="s">
        <v>101</v>
      </c>
      <c r="JM39" s="145">
        <f>(JR35*JR37-JR36*JR33)/(JR37^2-JR34*JR33)</f>
        <v>-98107.948675787819</v>
      </c>
      <c r="JN39" s="99" t="s">
        <v>102</v>
      </c>
      <c r="JO39" s="101">
        <f>(JR36-JM39*JR34)/JR37</f>
        <v>10804.023068912637</v>
      </c>
      <c r="JP39" s="99" t="s">
        <v>103</v>
      </c>
      <c r="JQ39" s="145">
        <f>JK34-JO39*JK33-JM39*JK35</f>
        <v>-193.1535492732387</v>
      </c>
      <c r="JR39" s="98"/>
      <c r="JS39" s="99"/>
      <c r="JT39" s="152"/>
      <c r="JU39" s="127"/>
      <c r="JV39" s="156"/>
      <c r="JW39" s="137"/>
      <c r="JX39" s="97"/>
      <c r="JY39" s="97"/>
      <c r="JZ39" s="97"/>
      <c r="KA39" s="97"/>
      <c r="KB39" s="97"/>
      <c r="KC39" s="98" t="str">
        <f>IF(ISNUMBER(KC36),KC36^2,"")</f>
        <v/>
      </c>
      <c r="KD39" s="98"/>
      <c r="KE39" s="99" t="s">
        <v>101</v>
      </c>
      <c r="KF39" s="145">
        <f>(KK35*KK37-KK36*KK33)/(KK37^2-KK34*KK33)</f>
        <v>171.14439321113517</v>
      </c>
      <c r="KG39" s="99" t="s">
        <v>102</v>
      </c>
      <c r="KH39" s="101">
        <f>(KK36-KF39*KK34)/KK37</f>
        <v>-21.547925807825372</v>
      </c>
      <c r="KI39" s="99" t="s">
        <v>103</v>
      </c>
      <c r="KJ39" s="145">
        <f>KD34-KH39*KD33-KF39*KD35</f>
        <v>0.71583846925683337</v>
      </c>
      <c r="KK39" s="98"/>
      <c r="KL39" s="99"/>
      <c r="KM39" s="152"/>
      <c r="KN39" s="173" t="str">
        <f>IF(KN36&lt;&gt;"",INDEX(LOGEST(KN37:KR37,KN36:KR36),1),"")</f>
        <v/>
      </c>
      <c r="KO39" s="141"/>
      <c r="KP39" s="143" t="s">
        <v>78</v>
      </c>
      <c r="KQ39" s="179">
        <f>IF(KQ38="NP",0,KQ38)*100</f>
        <v>0</v>
      </c>
      <c r="KR39" s="178"/>
      <c r="KS39" s="186" t="str">
        <f>IF($KT38&gt;=KS36,IF($KT37&lt;=KS36,KS36))</f>
        <v/>
      </c>
      <c r="KT39" s="187" t="str">
        <f>IF($KT38&gt;=KT36,IF($KT37&lt;=KT36,KT36))</f>
        <v/>
      </c>
      <c r="KU39" s="187" t="str">
        <f>IF($KT38&gt;=KU36,IF($KT37&lt;=KU36,KU36))</f>
        <v/>
      </c>
      <c r="KV39" s="187" t="str">
        <f>IF($KT38&gt;=KV36,IF($KT37&lt;=KV36,KV36))</f>
        <v/>
      </c>
      <c r="KW39" s="187" t="str">
        <f>IF($KT38&gt;=KW36,IF($KT37&lt;=KW36,KW36))</f>
        <v/>
      </c>
      <c r="KX39" s="189" t="s">
        <v>139</v>
      </c>
      <c r="KY39" s="191" t="s">
        <v>140</v>
      </c>
      <c r="KZ39" s="192" t="str">
        <f>IF(KY37&lt;&gt;"",KY37,"")</f>
        <v/>
      </c>
      <c r="LA39" s="202"/>
      <c r="LB39" s="141"/>
      <c r="LC39" s="141"/>
      <c r="LD39" s="141"/>
      <c r="LE39" s="141"/>
      <c r="LF39" s="211" t="s">
        <v>78</v>
      </c>
      <c r="LG39" s="212">
        <f>IF(KQ39&lt;&gt;"",KQ39,"")</f>
        <v>0</v>
      </c>
      <c r="LH39" s="212">
        <f>IF(LG39&lt;&gt;"",LG39,"")</f>
        <v>0</v>
      </c>
      <c r="LI39" s="141"/>
      <c r="LJ39" s="141"/>
      <c r="LK39" s="211" t="s">
        <v>139</v>
      </c>
      <c r="LL39" s="212">
        <f>IF(KX37&lt;&gt;"",KX37,"")</f>
        <v>0</v>
      </c>
      <c r="LM39" s="211" t="s">
        <v>78</v>
      </c>
      <c r="LN39" s="212">
        <f>IF(KX33&lt;&gt;"",KX33,"")</f>
        <v>0</v>
      </c>
      <c r="LO39" s="212">
        <f>IF(LN39&lt;&gt;"",LN39,"")</f>
        <v>0</v>
      </c>
      <c r="LP39" s="169"/>
      <c r="LQ39" s="169"/>
      <c r="LR39" s="170"/>
      <c r="LS39" s="217">
        <v>200</v>
      </c>
      <c r="LT39" s="177">
        <f>IF(LM37&lt;&gt;"",LM37*100,"")</f>
        <v>22.913159716640937</v>
      </c>
      <c r="LU39" s="1289">
        <f>IF(((0.2)*LU37)+((0.005)*(LU37)*(LW37))+((0.01)*(LV37)*(LX37))&lt;0,0,((0.2)*LU37)+((0.005)*(LU37)*(LW37))+((0.01)*(LV37)*(LX37)))</f>
        <v>0</v>
      </c>
      <c r="LV39" s="1289"/>
      <c r="LW39" s="1290" t="str">
        <f>IF(LT39="","",IF(LZ39&lt;&gt;"",LZ39,IF(LZ39="",MA39)))</f>
        <v>A-1b</v>
      </c>
      <c r="LX39" s="1290"/>
      <c r="LY39" s="218"/>
      <c r="LZ39" s="219" t="str">
        <f>IF(MA36="NP","NP",IF(LZ38=TRUE,"A-5",IF(MA38=TRUE,"A-6",IF(MB38=TRUE,"A-7-5",IF(MC38=TRUE,"A-7-6","")))))</f>
        <v/>
      </c>
      <c r="MA39" s="219" t="str">
        <f>IF(LY36=TRUE,"A-1a",IF(LZ36=TRUE,"A-1b",IF(MA36=TRUE,"A-3",IF(MB36=TRUE,"A-2-4",IF(MC36=TRUE,"A-2-5",IF(MD36=TRUE,"A-2-6",IF(ME36=TRUE,"A-2-7",IF(LY38=TRUE,"A-4"," "))))))))</f>
        <v>A-1b</v>
      </c>
      <c r="MB39" s="218"/>
      <c r="MC39" s="218"/>
      <c r="MD39" s="218"/>
      <c r="ME39" s="220"/>
      <c r="MF39" s="286"/>
      <c r="MG39" s="169"/>
      <c r="MH39" s="169"/>
      <c r="MI39" s="169"/>
      <c r="MJ39" s="169"/>
      <c r="MK39" s="169"/>
      <c r="ML39" s="169"/>
      <c r="MM39" s="169"/>
      <c r="MN39" s="169"/>
      <c r="MO39" s="169"/>
      <c r="MP39" s="169"/>
      <c r="MQ39" s="169"/>
      <c r="MR39" s="169"/>
      <c r="MS39" s="169"/>
      <c r="MT39" s="169"/>
      <c r="MU39" s="169"/>
      <c r="MV39" s="169"/>
      <c r="MW39" s="169"/>
      <c r="MX39" s="169"/>
      <c r="MY39" s="169"/>
      <c r="MZ39" s="169"/>
      <c r="NA39" s="169"/>
      <c r="NB39" s="169"/>
      <c r="NC39" s="169"/>
      <c r="ND39" s="169"/>
      <c r="NE39" s="169"/>
      <c r="NF39" s="169"/>
      <c r="NG39" s="169"/>
      <c r="NH39" s="169"/>
      <c r="NI39" s="169"/>
      <c r="NJ39" s="169"/>
      <c r="NK39" s="169"/>
      <c r="NL39" s="169"/>
      <c r="NM39" s="169"/>
      <c r="NN39" s="169"/>
      <c r="NO39" s="169"/>
      <c r="NP39" s="169"/>
      <c r="NQ39" s="169"/>
      <c r="NR39" s="169"/>
      <c r="NS39" s="169"/>
      <c r="NT39" s="169"/>
      <c r="NU39" s="169"/>
      <c r="NV39" s="169"/>
      <c r="NW39" s="169"/>
      <c r="NX39" s="169"/>
      <c r="NY39" s="169"/>
      <c r="NZ39" s="169"/>
      <c r="OA39" s="169"/>
      <c r="OB39" s="169"/>
      <c r="OC39" s="169"/>
      <c r="OD39" s="170"/>
    </row>
  </sheetData>
  <protectedRanges>
    <protectedRange password="DF75" sqref="BH17:BK17 BH10:BK10 BH24:BK24 BH31:BK31 BH38:BK38" name="Dados_2_1_3"/>
    <protectedRange password="DF75" sqref="AT12:BK15 AT5:BK8 AT19:BK22 AT26:BK29 AT33:BK36" name="Dados_3_1"/>
    <protectedRange password="DF75" sqref="AT17 AT10 AT24 AT31 AT38" name="Dados_4_1"/>
    <protectedRange password="DF75" sqref="AV17 AY17 AV10 AY10 AV24 AY24 AV31 AY31 AV38 AY38" name="Dados_5_1"/>
    <protectedRange password="DF75" sqref="AW17:AX17 AZ17:BB17 AW10:AX10 AZ10:BB10 AW24:AX24 AZ24:BB24 AW31:AX31 AZ31:BB31 AW38:AX38 AZ38:BB38" name="Dados_6_1"/>
    <protectedRange password="DF75" sqref="AW18:AX18 AZ18:BB18 AW11:AX11 AZ11:BB11 AW25:AX25 AZ25:BB25 AW32:AX32 AZ32:BB32 AW39:AX39 AZ39:BB39" name="Dados_7_1"/>
    <protectedRange password="DF75" sqref="AS14:AS16 AS12 AS7:AS9 AS5 AS21:AS23 AS19 AS28:AS30 AS26 AS35:AS37 AS33" name="Dados_2_2_2_1_1_2"/>
    <protectedRange password="DF75" sqref="BL12 BL14:BL16 BL5 BL7:BL9 BL19 BL21:BL23 BL26 BL28:BL30 BL33 BL35:BL37" name="Dados_2_2_2_1_1_2_1"/>
  </protectedRanges>
  <mergeCells count="309">
    <mergeCell ref="LU31:LV31"/>
    <mergeCell ref="LU32:LV32"/>
    <mergeCell ref="LW32:LX32"/>
    <mergeCell ref="MF27:MH27"/>
    <mergeCell ref="MI27:MR27"/>
    <mergeCell ref="MS27:MY27"/>
    <mergeCell ref="MZ27:NC27"/>
    <mergeCell ref="ND27:NF27"/>
    <mergeCell ref="NG27:OD27"/>
    <mergeCell ref="LR28:LR30"/>
    <mergeCell ref="BL30:BL32"/>
    <mergeCell ref="CV30:CV32"/>
    <mergeCell ref="CW30:CW32"/>
    <mergeCell ref="KX30:KX31"/>
    <mergeCell ref="KY30:KZ30"/>
    <mergeCell ref="LA30:LB30"/>
    <mergeCell ref="AT31:AU32"/>
    <mergeCell ref="AV31:AV32"/>
    <mergeCell ref="AY31:AY32"/>
    <mergeCell ref="AT26:AY26"/>
    <mergeCell ref="AZ26:BF26"/>
    <mergeCell ref="BI26:BK26"/>
    <mergeCell ref="BL26:BL29"/>
    <mergeCell ref="BM26:BM32"/>
    <mergeCell ref="BW26:BW29"/>
    <mergeCell ref="BX26:CC26"/>
    <mergeCell ref="CW26:CW29"/>
    <mergeCell ref="KX26:KX27"/>
    <mergeCell ref="AT27:AV27"/>
    <mergeCell ref="AW27:AY27"/>
    <mergeCell ref="AZ27:BF27"/>
    <mergeCell ref="BI27:BK27"/>
    <mergeCell ref="BB31:BK32"/>
    <mergeCell ref="AT28:AT29"/>
    <mergeCell ref="AU28:AU29"/>
    <mergeCell ref="AV28:AV29"/>
    <mergeCell ref="AW28:AW29"/>
    <mergeCell ref="AX28:AX29"/>
    <mergeCell ref="AY28:AY29"/>
    <mergeCell ref="BG28:BG29"/>
    <mergeCell ref="BH28:BH29"/>
    <mergeCell ref="A26:A32"/>
    <mergeCell ref="B26:E26"/>
    <mergeCell ref="F26:I26"/>
    <mergeCell ref="P26:Q26"/>
    <mergeCell ref="R26:S26"/>
    <mergeCell ref="V26:Y26"/>
    <mergeCell ref="Z26:AC26"/>
    <mergeCell ref="AL26:AL29"/>
    <mergeCell ref="AS26:AS29"/>
    <mergeCell ref="F27:F32"/>
    <mergeCell ref="D29:E32"/>
    <mergeCell ref="W29:X29"/>
    <mergeCell ref="I30:J30"/>
    <mergeCell ref="L30:M30"/>
    <mergeCell ref="O30:P30"/>
    <mergeCell ref="R30:S30"/>
    <mergeCell ref="W30:X30"/>
    <mergeCell ref="AL30:AL32"/>
    <mergeCell ref="AS30:AS32"/>
    <mergeCell ref="LU24:LV24"/>
    <mergeCell ref="LU25:LV25"/>
    <mergeCell ref="LW25:LX25"/>
    <mergeCell ref="MF20:MH20"/>
    <mergeCell ref="MI20:MR20"/>
    <mergeCell ref="MS20:MY20"/>
    <mergeCell ref="MZ20:NC20"/>
    <mergeCell ref="ND20:NF20"/>
    <mergeCell ref="NG20:OD20"/>
    <mergeCell ref="LR21:LR23"/>
    <mergeCell ref="BL23:BL25"/>
    <mergeCell ref="CV23:CV25"/>
    <mergeCell ref="CW23:CW25"/>
    <mergeCell ref="KX23:KX24"/>
    <mergeCell ref="KY23:KZ23"/>
    <mergeCell ref="LA23:LB23"/>
    <mergeCell ref="AT24:AU25"/>
    <mergeCell ref="AV24:AV25"/>
    <mergeCell ref="AY24:AY25"/>
    <mergeCell ref="AT19:AY19"/>
    <mergeCell ref="AZ19:BF19"/>
    <mergeCell ref="BI19:BK19"/>
    <mergeCell ref="BL19:BL22"/>
    <mergeCell ref="BM19:BM25"/>
    <mergeCell ref="BW19:BW22"/>
    <mergeCell ref="BX19:CC19"/>
    <mergeCell ref="CW19:CW22"/>
    <mergeCell ref="KX19:KX20"/>
    <mergeCell ref="AT20:AV20"/>
    <mergeCell ref="AW20:AY20"/>
    <mergeCell ref="AZ20:BF20"/>
    <mergeCell ref="BI20:BK20"/>
    <mergeCell ref="BB24:BK25"/>
    <mergeCell ref="AT21:AT22"/>
    <mergeCell ref="AU21:AU22"/>
    <mergeCell ref="AV21:AV22"/>
    <mergeCell ref="AW21:AW22"/>
    <mergeCell ref="AX21:AX22"/>
    <mergeCell ref="AY21:AY22"/>
    <mergeCell ref="BG21:BG22"/>
    <mergeCell ref="BH21:BH22"/>
    <mergeCell ref="A19:A25"/>
    <mergeCell ref="B19:E19"/>
    <mergeCell ref="F19:I19"/>
    <mergeCell ref="P19:Q19"/>
    <mergeCell ref="R19:S19"/>
    <mergeCell ref="V19:Y19"/>
    <mergeCell ref="Z19:AC19"/>
    <mergeCell ref="AL19:AL22"/>
    <mergeCell ref="AS19:AS22"/>
    <mergeCell ref="F20:F25"/>
    <mergeCell ref="D22:E25"/>
    <mergeCell ref="W22:X22"/>
    <mergeCell ref="I23:J23"/>
    <mergeCell ref="L23:M23"/>
    <mergeCell ref="O23:P23"/>
    <mergeCell ref="R23:S23"/>
    <mergeCell ref="W23:X23"/>
    <mergeCell ref="AL23:AL25"/>
    <mergeCell ref="AS23:AS25"/>
    <mergeCell ref="A12:A18"/>
    <mergeCell ref="MF13:MH13"/>
    <mergeCell ref="AV17:AV18"/>
    <mergeCell ref="AY17:AY18"/>
    <mergeCell ref="BB17:BK18"/>
    <mergeCell ref="LU17:LV17"/>
    <mergeCell ref="ND13:NF13"/>
    <mergeCell ref="AS16:AS18"/>
    <mergeCell ref="MI13:MR13"/>
    <mergeCell ref="MS13:MY13"/>
    <mergeCell ref="MZ13:NC13"/>
    <mergeCell ref="KX12:KX13"/>
    <mergeCell ref="LU18:LV18"/>
    <mergeCell ref="LW18:LX18"/>
    <mergeCell ref="B12:E12"/>
    <mergeCell ref="F12:I12"/>
    <mergeCell ref="P12:Q12"/>
    <mergeCell ref="R12:S12"/>
    <mergeCell ref="V12:Y12"/>
    <mergeCell ref="Z12:AC12"/>
    <mergeCell ref="AL12:AL15"/>
    <mergeCell ref="AS12:AS15"/>
    <mergeCell ref="AT12:AY12"/>
    <mergeCell ref="AZ12:BF12"/>
    <mergeCell ref="LU10:LV10"/>
    <mergeCell ref="LU11:LV11"/>
    <mergeCell ref="LW11:LX11"/>
    <mergeCell ref="AL9:AL11"/>
    <mergeCell ref="NG13:OD13"/>
    <mergeCell ref="AT14:AT15"/>
    <mergeCell ref="AU14:AU15"/>
    <mergeCell ref="AV14:AV15"/>
    <mergeCell ref="AW14:AW15"/>
    <mergeCell ref="AX14:AX15"/>
    <mergeCell ref="AY14:AY15"/>
    <mergeCell ref="BG14:BG15"/>
    <mergeCell ref="BH14:BH15"/>
    <mergeCell ref="LR14:LR16"/>
    <mergeCell ref="BL16:BL18"/>
    <mergeCell ref="CV16:CV18"/>
    <mergeCell ref="CW16:CW18"/>
    <mergeCell ref="KX16:KX17"/>
    <mergeCell ref="KY16:KZ16"/>
    <mergeCell ref="LA16:LB16"/>
    <mergeCell ref="AT17:AU18"/>
    <mergeCell ref="AZ13:BF13"/>
    <mergeCell ref="BI13:BK13"/>
    <mergeCell ref="BI12:BK12"/>
    <mergeCell ref="BL12:BL15"/>
    <mergeCell ref="BM12:BM18"/>
    <mergeCell ref="BW12:BW15"/>
    <mergeCell ref="BX12:CC12"/>
    <mergeCell ref="CW12:CW15"/>
    <mergeCell ref="D15:E18"/>
    <mergeCell ref="W15:X15"/>
    <mergeCell ref="I16:J16"/>
    <mergeCell ref="L16:M16"/>
    <mergeCell ref="O16:P16"/>
    <mergeCell ref="R16:S16"/>
    <mergeCell ref="W16:X16"/>
    <mergeCell ref="AL16:AL18"/>
    <mergeCell ref="F13:F18"/>
    <mergeCell ref="AT13:AV13"/>
    <mergeCell ref="AW13:AY13"/>
    <mergeCell ref="MF6:MH6"/>
    <mergeCell ref="MI6:MR6"/>
    <mergeCell ref="MS6:MY6"/>
    <mergeCell ref="MZ6:NC6"/>
    <mergeCell ref="ND6:NF6"/>
    <mergeCell ref="NG6:OD6"/>
    <mergeCell ref="AT7:AT8"/>
    <mergeCell ref="AU7:AU8"/>
    <mergeCell ref="AV7:AV8"/>
    <mergeCell ref="AW7:AW8"/>
    <mergeCell ref="AX7:AX8"/>
    <mergeCell ref="AY7:AY8"/>
    <mergeCell ref="BG7:BG8"/>
    <mergeCell ref="BH7:BH8"/>
    <mergeCell ref="LR7:LR9"/>
    <mergeCell ref="BL9:BL11"/>
    <mergeCell ref="CV9:CV11"/>
    <mergeCell ref="CW9:CW11"/>
    <mergeCell ref="KX9:KX10"/>
    <mergeCell ref="KY9:KZ9"/>
    <mergeCell ref="LA9:LB9"/>
    <mergeCell ref="AT10:AU11"/>
    <mergeCell ref="AV10:AV11"/>
    <mergeCell ref="AY10:AY11"/>
    <mergeCell ref="CW5:CW8"/>
    <mergeCell ref="KX5:KX6"/>
    <mergeCell ref="AT6:AV6"/>
    <mergeCell ref="AW6:AY6"/>
    <mergeCell ref="AZ6:BF6"/>
    <mergeCell ref="BI6:BK6"/>
    <mergeCell ref="BB10:BK11"/>
    <mergeCell ref="AS9:AS11"/>
    <mergeCell ref="F1:S4"/>
    <mergeCell ref="T1:Y4"/>
    <mergeCell ref="Z1:AC4"/>
    <mergeCell ref="BM1:CT3"/>
    <mergeCell ref="BM4:BP4"/>
    <mergeCell ref="AD1:AK3"/>
    <mergeCell ref="AL1:AS4"/>
    <mergeCell ref="AT1:BL4"/>
    <mergeCell ref="BU4:BV4"/>
    <mergeCell ref="AT5:AY5"/>
    <mergeCell ref="AZ5:BF5"/>
    <mergeCell ref="BI5:BK5"/>
    <mergeCell ref="BL5:BL8"/>
    <mergeCell ref="BM5:BM11"/>
    <mergeCell ref="BW5:BW8"/>
    <mergeCell ref="BX5:CC5"/>
    <mergeCell ref="A5:A11"/>
    <mergeCell ref="B5:E5"/>
    <mergeCell ref="F5:I5"/>
    <mergeCell ref="P5:Q5"/>
    <mergeCell ref="R5:S5"/>
    <mergeCell ref="V5:Y5"/>
    <mergeCell ref="Z5:AC5"/>
    <mergeCell ref="AL5:AL8"/>
    <mergeCell ref="AS5:AS8"/>
    <mergeCell ref="F6:F11"/>
    <mergeCell ref="D8:E11"/>
    <mergeCell ref="W8:X8"/>
    <mergeCell ref="I9:J9"/>
    <mergeCell ref="L9:M9"/>
    <mergeCell ref="O9:P9"/>
    <mergeCell ref="R9:S9"/>
    <mergeCell ref="W9:X9"/>
    <mergeCell ref="BH35:BH36"/>
    <mergeCell ref="A33:A39"/>
    <mergeCell ref="B33:E33"/>
    <mergeCell ref="F33:I33"/>
    <mergeCell ref="P33:Q33"/>
    <mergeCell ref="R33:S33"/>
    <mergeCell ref="V33:Y33"/>
    <mergeCell ref="Z33:AC33"/>
    <mergeCell ref="AL33:AL36"/>
    <mergeCell ref="AS33:AS36"/>
    <mergeCell ref="D36:E39"/>
    <mergeCell ref="AS37:AS39"/>
    <mergeCell ref="F34:F39"/>
    <mergeCell ref="W36:X36"/>
    <mergeCell ref="I37:J37"/>
    <mergeCell ref="L37:M37"/>
    <mergeCell ref="O37:P37"/>
    <mergeCell ref="R37:S37"/>
    <mergeCell ref="W37:X37"/>
    <mergeCell ref="AL37:AL39"/>
    <mergeCell ref="BL37:BL39"/>
    <mergeCell ref="AT38:AU39"/>
    <mergeCell ref="AV38:AV39"/>
    <mergeCell ref="AY38:AY39"/>
    <mergeCell ref="BB38:BK39"/>
    <mergeCell ref="BM33:BM39"/>
    <mergeCell ref="BW33:BW36"/>
    <mergeCell ref="BX33:CC33"/>
    <mergeCell ref="CW33:CW36"/>
    <mergeCell ref="AT33:AY33"/>
    <mergeCell ref="AZ33:BF33"/>
    <mergeCell ref="BI33:BK33"/>
    <mergeCell ref="BL33:BL36"/>
    <mergeCell ref="AT34:AV34"/>
    <mergeCell ref="AW34:AY34"/>
    <mergeCell ref="AZ34:BF34"/>
    <mergeCell ref="BI34:BK34"/>
    <mergeCell ref="AT35:AT36"/>
    <mergeCell ref="AU35:AU36"/>
    <mergeCell ref="AV35:AV36"/>
    <mergeCell ref="AW35:AW36"/>
    <mergeCell ref="AX35:AX36"/>
    <mergeCell ref="AY35:AY36"/>
    <mergeCell ref="BG35:BG36"/>
    <mergeCell ref="KX33:KX34"/>
    <mergeCell ref="MF34:MH34"/>
    <mergeCell ref="MI34:MR34"/>
    <mergeCell ref="MS34:MY34"/>
    <mergeCell ref="MZ34:NC34"/>
    <mergeCell ref="ND34:NF34"/>
    <mergeCell ref="NG34:OD34"/>
    <mergeCell ref="LR35:LR37"/>
    <mergeCell ref="CV37:CV39"/>
    <mergeCell ref="CW37:CW39"/>
    <mergeCell ref="KX37:KX38"/>
    <mergeCell ref="KY37:KZ37"/>
    <mergeCell ref="LA37:LB37"/>
    <mergeCell ref="LU38:LV38"/>
    <mergeCell ref="LU39:LV39"/>
    <mergeCell ref="LW39:LX3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6">
    <tabColor rgb="FFFF0000"/>
  </sheetPr>
  <dimension ref="A1:EZ353"/>
  <sheetViews>
    <sheetView zoomScaleNormal="100" zoomScaleSheetLayoutView="90" workbookViewId="0">
      <pane ySplit="4" topLeftCell="A149" activePane="bottomLeft" state="frozen"/>
      <selection pane="bottomLeft" activeCell="G162" sqref="G162"/>
    </sheetView>
  </sheetViews>
  <sheetFormatPr defaultColWidth="9.1796875" defaultRowHeight="14" x14ac:dyDescent="0.35"/>
  <cols>
    <col min="1" max="3" width="9.7265625" style="16" customWidth="1"/>
    <col min="4" max="4" width="8" style="16" customWidth="1"/>
    <col min="5" max="5" width="14.7265625" style="16" customWidth="1"/>
    <col min="6" max="6" width="11.54296875" style="16" customWidth="1"/>
    <col min="7" max="10" width="7.7265625" style="16" customWidth="1"/>
    <col min="11" max="11" width="8" style="16" customWidth="1"/>
    <col min="12" max="12" width="8.81640625" style="16" customWidth="1"/>
    <col min="13" max="13" width="9.54296875" style="16" customWidth="1"/>
    <col min="14" max="14" width="9.1796875" style="16" customWidth="1"/>
    <col min="15" max="15" width="9.81640625" style="16" customWidth="1"/>
    <col min="16" max="25" width="9.1796875" style="16" customWidth="1"/>
    <col min="26" max="26" width="3.453125" style="16" customWidth="1"/>
    <col min="27" max="34" width="9.1796875" style="16" customWidth="1"/>
    <col min="35" max="35" width="4.81640625" style="16" customWidth="1"/>
    <col min="36" max="36" width="4.1796875" style="16" customWidth="1"/>
    <col min="37" max="37" width="2.7265625" style="356" bestFit="1" customWidth="1"/>
    <col min="38" max="43" width="9.453125" style="251" bestFit="1" customWidth="1"/>
    <col min="44" max="44" width="9.1796875" style="251"/>
    <col min="45" max="45" width="9.453125" style="251" bestFit="1" customWidth="1"/>
    <col min="46" max="46" width="7.1796875" style="251" bestFit="1" customWidth="1"/>
    <col min="47" max="47" width="9.453125" style="251" bestFit="1" customWidth="1"/>
    <col min="48" max="48" width="5.81640625" style="251" bestFit="1" customWidth="1"/>
    <col min="49" max="49" width="7.1796875" style="251" bestFit="1" customWidth="1"/>
    <col min="50" max="55" width="9.1796875" style="251"/>
    <col min="56" max="56" width="8.1796875" style="251" bestFit="1" customWidth="1"/>
    <col min="57" max="61" width="5.54296875" style="251" bestFit="1" customWidth="1"/>
    <col min="62" max="155" width="9.1796875" style="251"/>
    <col min="156" max="156" width="9.1796875" style="296"/>
    <col min="157" max="16384" width="9.1796875" style="16"/>
  </cols>
  <sheetData>
    <row r="1" spans="1:156" ht="15.25" customHeight="1" x14ac:dyDescent="0.25">
      <c r="A1" s="1706"/>
      <c r="B1" s="1707"/>
      <c r="C1" s="1708"/>
      <c r="D1" s="1712" t="s">
        <v>291</v>
      </c>
      <c r="E1" s="1713"/>
      <c r="F1" s="1713"/>
      <c r="G1" s="1713"/>
      <c r="H1" s="1713"/>
      <c r="I1" s="1713"/>
      <c r="J1" s="1713"/>
      <c r="K1" s="18" t="s">
        <v>292</v>
      </c>
      <c r="L1" s="19" t="s">
        <v>151</v>
      </c>
      <c r="M1" s="636"/>
      <c r="N1" s="342" t="s">
        <v>152</v>
      </c>
      <c r="AK1" s="485">
        <f>(N2-1)*7+4</f>
        <v>4</v>
      </c>
      <c r="AL1" s="487" t="b">
        <v>0</v>
      </c>
      <c r="AM1" s="487" t="b">
        <v>1</v>
      </c>
      <c r="AN1" s="487" t="b">
        <v>1</v>
      </c>
      <c r="AO1" s="487" t="b">
        <v>1</v>
      </c>
      <c r="AP1" s="487" t="b">
        <v>0</v>
      </c>
      <c r="AQ1" s="487" t="b">
        <v>0</v>
      </c>
      <c r="AR1" s="487"/>
      <c r="AS1" s="487" t="b">
        <v>1</v>
      </c>
      <c r="AT1" s="487" t="b">
        <f>IF(AS1=FALSE,AS2=FALSE)</f>
        <v>0</v>
      </c>
      <c r="AU1" s="487" t="b">
        <v>0</v>
      </c>
      <c r="AV1" s="487"/>
      <c r="AW1" s="487"/>
      <c r="AX1" s="487"/>
      <c r="AY1" s="487"/>
      <c r="AZ1" s="487"/>
      <c r="BA1" s="487"/>
      <c r="BB1" s="488"/>
      <c r="BC1" s="487"/>
      <c r="BD1" s="489">
        <f ca="1">MIN($AL6:$AQ6)</f>
        <v>3.8586060232619943E-2</v>
      </c>
      <c r="BE1" s="490">
        <f ca="1">BD1</f>
        <v>3.8586060232619943E-2</v>
      </c>
      <c r="BF1" s="489">
        <f ca="1">BE1+$BC$2</f>
        <v>3.8891828635102578E-2</v>
      </c>
      <c r="BG1" s="489">
        <f t="shared" ref="BG1:DR1" ca="1" si="0">BF1+$BC$2</f>
        <v>3.9197597037585213E-2</v>
      </c>
      <c r="BH1" s="489">
        <f t="shared" ca="1" si="0"/>
        <v>3.9503365440067849E-2</v>
      </c>
      <c r="BI1" s="489">
        <f t="shared" ca="1" si="0"/>
        <v>3.9809133842550484E-2</v>
      </c>
      <c r="BJ1" s="489">
        <f t="shared" ca="1" si="0"/>
        <v>4.011490224503312E-2</v>
      </c>
      <c r="BK1" s="489">
        <f t="shared" ca="1" si="0"/>
        <v>4.0420670647515755E-2</v>
      </c>
      <c r="BL1" s="489">
        <f t="shared" ca="1" si="0"/>
        <v>4.0726439049998391E-2</v>
      </c>
      <c r="BM1" s="489">
        <f t="shared" ca="1" si="0"/>
        <v>4.1032207452481026E-2</v>
      </c>
      <c r="BN1" s="489">
        <f t="shared" ca="1" si="0"/>
        <v>4.1337975854963661E-2</v>
      </c>
      <c r="BO1" s="489">
        <f t="shared" ca="1" si="0"/>
        <v>4.1643744257446297E-2</v>
      </c>
      <c r="BP1" s="489">
        <f t="shared" ca="1" si="0"/>
        <v>4.1949512659928932E-2</v>
      </c>
      <c r="BQ1" s="489">
        <f t="shared" ca="1" si="0"/>
        <v>4.2255281062411568E-2</v>
      </c>
      <c r="BR1" s="489">
        <f t="shared" ca="1" si="0"/>
        <v>4.2561049464894203E-2</v>
      </c>
      <c r="BS1" s="489">
        <f t="shared" ca="1" si="0"/>
        <v>4.2866817867376839E-2</v>
      </c>
      <c r="BT1" s="489">
        <f t="shared" ca="1" si="0"/>
        <v>4.3172586269859474E-2</v>
      </c>
      <c r="BU1" s="489">
        <f t="shared" ca="1" si="0"/>
        <v>4.3478354672342109E-2</v>
      </c>
      <c r="BV1" s="489">
        <f t="shared" ca="1" si="0"/>
        <v>4.3784123074824745E-2</v>
      </c>
      <c r="BW1" s="489">
        <f t="shared" ca="1" si="0"/>
        <v>4.408989147730738E-2</v>
      </c>
      <c r="BX1" s="489">
        <f t="shared" ca="1" si="0"/>
        <v>4.4395659879790016E-2</v>
      </c>
      <c r="BY1" s="489">
        <f t="shared" ca="1" si="0"/>
        <v>4.4701428282272651E-2</v>
      </c>
      <c r="BZ1" s="489">
        <f t="shared" ca="1" si="0"/>
        <v>4.5007196684755287E-2</v>
      </c>
      <c r="CA1" s="489">
        <f t="shared" ca="1" si="0"/>
        <v>4.5312965087237922E-2</v>
      </c>
      <c r="CB1" s="489">
        <f t="shared" ca="1" si="0"/>
        <v>4.5618733489720557E-2</v>
      </c>
      <c r="CC1" s="489">
        <f t="shared" ca="1" si="0"/>
        <v>4.5924501892203193E-2</v>
      </c>
      <c r="CD1" s="489">
        <f t="shared" ca="1" si="0"/>
        <v>4.6230270294685828E-2</v>
      </c>
      <c r="CE1" s="489">
        <f t="shared" ca="1" si="0"/>
        <v>4.6536038697168464E-2</v>
      </c>
      <c r="CF1" s="489">
        <f t="shared" ca="1" si="0"/>
        <v>4.6841807099651099E-2</v>
      </c>
      <c r="CG1" s="489">
        <f t="shared" ca="1" si="0"/>
        <v>4.7147575502133734E-2</v>
      </c>
      <c r="CH1" s="489">
        <f t="shared" ca="1" si="0"/>
        <v>4.745334390461637E-2</v>
      </c>
      <c r="CI1" s="489">
        <f t="shared" ca="1" si="0"/>
        <v>4.7759112307099005E-2</v>
      </c>
      <c r="CJ1" s="489">
        <f t="shared" ca="1" si="0"/>
        <v>4.8064880709581641E-2</v>
      </c>
      <c r="CK1" s="489">
        <f t="shared" ca="1" si="0"/>
        <v>4.8370649112064276E-2</v>
      </c>
      <c r="CL1" s="489">
        <f t="shared" ca="1" si="0"/>
        <v>4.8676417514546912E-2</v>
      </c>
      <c r="CM1" s="489">
        <f t="shared" ca="1" si="0"/>
        <v>4.8982185917029547E-2</v>
      </c>
      <c r="CN1" s="489">
        <f t="shared" ca="1" si="0"/>
        <v>4.9287954319512182E-2</v>
      </c>
      <c r="CO1" s="489">
        <f t="shared" ca="1" si="0"/>
        <v>4.9593722721994818E-2</v>
      </c>
      <c r="CP1" s="489">
        <f t="shared" ca="1" si="0"/>
        <v>4.9899491124477453E-2</v>
      </c>
      <c r="CQ1" s="489">
        <f t="shared" ca="1" si="0"/>
        <v>5.0205259526960089E-2</v>
      </c>
      <c r="CR1" s="489">
        <f t="shared" ca="1" si="0"/>
        <v>5.0511027929442724E-2</v>
      </c>
      <c r="CS1" s="489">
        <f t="shared" ca="1" si="0"/>
        <v>5.081679633192536E-2</v>
      </c>
      <c r="CT1" s="489">
        <f t="shared" ca="1" si="0"/>
        <v>5.1122564734407995E-2</v>
      </c>
      <c r="CU1" s="489">
        <f t="shared" ca="1" si="0"/>
        <v>5.142833313689063E-2</v>
      </c>
      <c r="CV1" s="489">
        <f t="shared" ca="1" si="0"/>
        <v>5.1734101539373266E-2</v>
      </c>
      <c r="CW1" s="489">
        <f t="shared" ca="1" si="0"/>
        <v>5.2039869941855901E-2</v>
      </c>
      <c r="CX1" s="489">
        <f t="shared" ca="1" si="0"/>
        <v>5.2345638344338537E-2</v>
      </c>
      <c r="CY1" s="489">
        <f t="shared" ca="1" si="0"/>
        <v>5.2651406746821172E-2</v>
      </c>
      <c r="CZ1" s="489">
        <f t="shared" ca="1" si="0"/>
        <v>5.2957175149303808E-2</v>
      </c>
      <c r="DA1" s="489">
        <f t="shared" ca="1" si="0"/>
        <v>5.3262943551786443E-2</v>
      </c>
      <c r="DB1" s="489">
        <f t="shared" ca="1" si="0"/>
        <v>5.3568711954269078E-2</v>
      </c>
      <c r="DC1" s="489">
        <f t="shared" ca="1" si="0"/>
        <v>5.3874480356751714E-2</v>
      </c>
      <c r="DD1" s="489">
        <f t="shared" ca="1" si="0"/>
        <v>5.4180248759234349E-2</v>
      </c>
      <c r="DE1" s="489">
        <f t="shared" ca="1" si="0"/>
        <v>5.4486017161716985E-2</v>
      </c>
      <c r="DF1" s="489">
        <f t="shared" ca="1" si="0"/>
        <v>5.479178556419962E-2</v>
      </c>
      <c r="DG1" s="489">
        <f t="shared" ca="1" si="0"/>
        <v>5.5097553966682256E-2</v>
      </c>
      <c r="DH1" s="489">
        <f t="shared" ca="1" si="0"/>
        <v>5.5403322369164891E-2</v>
      </c>
      <c r="DI1" s="489">
        <f t="shared" ca="1" si="0"/>
        <v>5.5709090771647526E-2</v>
      </c>
      <c r="DJ1" s="489">
        <f t="shared" ca="1" si="0"/>
        <v>5.6014859174130162E-2</v>
      </c>
      <c r="DK1" s="489">
        <f t="shared" ca="1" si="0"/>
        <v>5.6320627576612797E-2</v>
      </c>
      <c r="DL1" s="489">
        <f t="shared" ca="1" si="0"/>
        <v>5.6626395979095433E-2</v>
      </c>
      <c r="DM1" s="489">
        <f t="shared" ca="1" si="0"/>
        <v>5.6932164381578068E-2</v>
      </c>
      <c r="DN1" s="489">
        <f t="shared" ca="1" si="0"/>
        <v>5.7237932784060704E-2</v>
      </c>
      <c r="DO1" s="489">
        <f t="shared" ca="1" si="0"/>
        <v>5.7543701186543339E-2</v>
      </c>
      <c r="DP1" s="489">
        <f t="shared" ca="1" si="0"/>
        <v>5.7849469589025974E-2</v>
      </c>
      <c r="DQ1" s="489">
        <f t="shared" ca="1" si="0"/>
        <v>5.815523799150861E-2</v>
      </c>
      <c r="DR1" s="489">
        <f t="shared" ca="1" si="0"/>
        <v>5.8461006393991245E-2</v>
      </c>
      <c r="DS1" s="489">
        <f t="shared" ref="DS1:EZ1" ca="1" si="1">DR1+$BC$2</f>
        <v>5.8766774796473881E-2</v>
      </c>
      <c r="DT1" s="489">
        <f t="shared" ca="1" si="1"/>
        <v>5.9072543198956516E-2</v>
      </c>
      <c r="DU1" s="489">
        <f t="shared" ca="1" si="1"/>
        <v>5.9378311601439152E-2</v>
      </c>
      <c r="DV1" s="489">
        <f t="shared" ca="1" si="1"/>
        <v>5.9684080003921787E-2</v>
      </c>
      <c r="DW1" s="489">
        <f t="shared" ca="1" si="1"/>
        <v>5.9989848406404422E-2</v>
      </c>
      <c r="DX1" s="489">
        <f t="shared" ca="1" si="1"/>
        <v>6.0295616808887058E-2</v>
      </c>
      <c r="DY1" s="489">
        <f t="shared" ca="1" si="1"/>
        <v>6.0601385211369693E-2</v>
      </c>
      <c r="DZ1" s="489">
        <f t="shared" ca="1" si="1"/>
        <v>6.0907153613852329E-2</v>
      </c>
      <c r="EA1" s="489">
        <f t="shared" ca="1" si="1"/>
        <v>6.1212922016334964E-2</v>
      </c>
      <c r="EB1" s="489">
        <f t="shared" ca="1" si="1"/>
        <v>6.15186904188176E-2</v>
      </c>
      <c r="EC1" s="489">
        <f t="shared" ca="1" si="1"/>
        <v>6.1824458821300235E-2</v>
      </c>
      <c r="ED1" s="489">
        <f t="shared" ca="1" si="1"/>
        <v>6.213022722378287E-2</v>
      </c>
      <c r="EE1" s="489">
        <f t="shared" ca="1" si="1"/>
        <v>6.2435995626265506E-2</v>
      </c>
      <c r="EF1" s="489">
        <f t="shared" ca="1" si="1"/>
        <v>6.2741764028748134E-2</v>
      </c>
      <c r="EG1" s="489">
        <f t="shared" ca="1" si="1"/>
        <v>6.3047532431230763E-2</v>
      </c>
      <c r="EH1" s="489">
        <f t="shared" ca="1" si="1"/>
        <v>6.3353300833713391E-2</v>
      </c>
      <c r="EI1" s="489">
        <f t="shared" ca="1" si="1"/>
        <v>6.365906923619602E-2</v>
      </c>
      <c r="EJ1" s="489">
        <f t="shared" ca="1" si="1"/>
        <v>6.3964837638678648E-2</v>
      </c>
      <c r="EK1" s="489">
        <f t="shared" ca="1" si="1"/>
        <v>6.4270606041161277E-2</v>
      </c>
      <c r="EL1" s="489">
        <f t="shared" ca="1" si="1"/>
        <v>6.4576374443643905E-2</v>
      </c>
      <c r="EM1" s="489">
        <f t="shared" ca="1" si="1"/>
        <v>6.4882142846126534E-2</v>
      </c>
      <c r="EN1" s="489">
        <f t="shared" ca="1" si="1"/>
        <v>6.5187911248609162E-2</v>
      </c>
      <c r="EO1" s="489">
        <f t="shared" ca="1" si="1"/>
        <v>6.5493679651091791E-2</v>
      </c>
      <c r="EP1" s="489">
        <f t="shared" ca="1" si="1"/>
        <v>6.5799448053574419E-2</v>
      </c>
      <c r="EQ1" s="489">
        <f t="shared" ca="1" si="1"/>
        <v>6.6105216456057048E-2</v>
      </c>
      <c r="ER1" s="489">
        <f t="shared" ca="1" si="1"/>
        <v>6.6410984858539676E-2</v>
      </c>
      <c r="ES1" s="489">
        <f t="shared" ca="1" si="1"/>
        <v>6.6716753261022305E-2</v>
      </c>
      <c r="ET1" s="489">
        <f t="shared" ca="1" si="1"/>
        <v>6.7022521663504933E-2</v>
      </c>
      <c r="EU1" s="489">
        <f t="shared" ca="1" si="1"/>
        <v>6.7328290065987562E-2</v>
      </c>
      <c r="EV1" s="489">
        <f t="shared" ca="1" si="1"/>
        <v>6.763405846847019E-2</v>
      </c>
      <c r="EW1" s="489">
        <f t="shared" ca="1" si="1"/>
        <v>6.7939826870952819E-2</v>
      </c>
      <c r="EX1" s="489">
        <f t="shared" ca="1" si="1"/>
        <v>6.8245595273435447E-2</v>
      </c>
      <c r="EY1" s="489">
        <f t="shared" ca="1" si="1"/>
        <v>6.8551363675918076E-2</v>
      </c>
      <c r="EZ1" s="491">
        <f t="shared" ca="1" si="1"/>
        <v>6.8857132078400704E-2</v>
      </c>
    </row>
    <row r="2" spans="1:156" ht="15.25" customHeight="1" x14ac:dyDescent="0.25">
      <c r="A2" s="1709"/>
      <c r="B2" s="1710"/>
      <c r="C2" s="1711"/>
      <c r="D2" s="1714"/>
      <c r="E2" s="1715"/>
      <c r="F2" s="1715"/>
      <c r="G2" s="1715"/>
      <c r="H2" s="1715"/>
      <c r="I2" s="1715"/>
      <c r="J2" s="1715"/>
      <c r="K2" s="748" t="s">
        <v>293</v>
      </c>
      <c r="L2" s="525">
        <f ca="1">IF(OR($N$2="",$N$2=0),"",IF(INDIRECT(ADDRESS(($AK2),COLUMN()-7,,,"Digitar Dados dos Ensaios"))&lt;&gt;"",INDIRECT(ADDRESS(($AK2),COLUMN()-7,,,"Digitar Dados dos Ensaios")),""))</f>
        <v>1</v>
      </c>
      <c r="M2" s="637"/>
      <c r="N2" s="343">
        <v>1</v>
      </c>
      <c r="AK2" s="357">
        <f>AK1+2</f>
        <v>6</v>
      </c>
      <c r="AL2" s="358" t="b">
        <v>0</v>
      </c>
      <c r="AM2" s="358" t="b">
        <v>1</v>
      </c>
      <c r="AN2" s="358" t="b">
        <v>1</v>
      </c>
      <c r="AO2" s="358" t="b">
        <v>1</v>
      </c>
      <c r="AP2" s="358" t="b">
        <v>0</v>
      </c>
      <c r="AQ2" s="358" t="b">
        <v>0</v>
      </c>
      <c r="AR2" s="358"/>
      <c r="AS2" s="358" t="b">
        <v>0</v>
      </c>
      <c r="AT2" s="358"/>
      <c r="AU2" s="358" t="b">
        <v>1</v>
      </c>
      <c r="AV2" s="358"/>
      <c r="AW2" s="358"/>
      <c r="AX2" s="358"/>
      <c r="AY2" s="358"/>
      <c r="AZ2" s="358"/>
      <c r="BA2" s="358"/>
      <c r="BB2" s="359"/>
      <c r="BC2" s="360">
        <f ca="1">($BD$2-$BD$1)/99</f>
        <v>3.0576840248263369E-4</v>
      </c>
      <c r="BD2" s="361">
        <f ca="1">MAX($AL6:$AQ6)</f>
        <v>6.8857132078400676E-2</v>
      </c>
      <c r="BE2" s="362">
        <f ca="1">$AT$12*BE1^2+$AV$12*BE1+$AX$12</f>
        <v>2018.6054093588718</v>
      </c>
      <c r="BF2" s="362">
        <f ca="1">$AT$12*BF1^2+$AV$12*BF1+$AX$12</f>
        <v>2025.6103703097972</v>
      </c>
      <c r="BG2" s="362">
        <f t="shared" ref="BG2:DR2" ca="1" si="2">$AT$12*BG1^2+$AV$12*BG1+$AX$12</f>
        <v>2032.5155601713977</v>
      </c>
      <c r="BH2" s="362">
        <f t="shared" ca="1" si="2"/>
        <v>2039.3209789436721</v>
      </c>
      <c r="BI2" s="362">
        <f t="shared" ca="1" si="2"/>
        <v>2046.0266266266215</v>
      </c>
      <c r="BJ2" s="362">
        <f t="shared" ca="1" si="2"/>
        <v>2052.6325032202449</v>
      </c>
      <c r="BK2" s="362">
        <f t="shared" ca="1" si="2"/>
        <v>2059.1386087245437</v>
      </c>
      <c r="BL2" s="362">
        <f t="shared" ca="1" si="2"/>
        <v>2065.5449431395164</v>
      </c>
      <c r="BM2" s="362">
        <f t="shared" ca="1" si="2"/>
        <v>2071.8515064651638</v>
      </c>
      <c r="BN2" s="362">
        <f t="shared" ca="1" si="2"/>
        <v>2078.0582987014859</v>
      </c>
      <c r="BO2" s="362">
        <f t="shared" ca="1" si="2"/>
        <v>2084.1653198484828</v>
      </c>
      <c r="BP2" s="362">
        <f t="shared" ca="1" si="2"/>
        <v>2090.1725699061535</v>
      </c>
      <c r="BQ2" s="362">
        <f t="shared" ca="1" si="2"/>
        <v>2096.080048874499</v>
      </c>
      <c r="BR2" s="362">
        <f t="shared" ca="1" si="2"/>
        <v>2101.8877567535192</v>
      </c>
      <c r="BS2" s="362">
        <f t="shared" ca="1" si="2"/>
        <v>2107.5956935432141</v>
      </c>
      <c r="BT2" s="362">
        <f t="shared" ca="1" si="2"/>
        <v>2113.2038592435829</v>
      </c>
      <c r="BU2" s="362">
        <f t="shared" ca="1" si="2"/>
        <v>2118.7122538546264</v>
      </c>
      <c r="BV2" s="362">
        <f t="shared" ca="1" si="2"/>
        <v>2124.1208773763447</v>
      </c>
      <c r="BW2" s="362">
        <f t="shared" ca="1" si="2"/>
        <v>2129.4297298087376</v>
      </c>
      <c r="BX2" s="362">
        <f t="shared" ca="1" si="2"/>
        <v>2134.6388111518054</v>
      </c>
      <c r="BY2" s="362">
        <f t="shared" ca="1" si="2"/>
        <v>2139.748121405547</v>
      </c>
      <c r="BZ2" s="362">
        <f t="shared" ca="1" si="2"/>
        <v>2144.7576605699633</v>
      </c>
      <c r="CA2" s="362">
        <f t="shared" ca="1" si="2"/>
        <v>2149.6674286450543</v>
      </c>
      <c r="CB2" s="362">
        <f t="shared" ca="1" si="2"/>
        <v>2154.4774256308201</v>
      </c>
      <c r="CC2" s="362">
        <f t="shared" ca="1" si="2"/>
        <v>2159.1876515272602</v>
      </c>
      <c r="CD2" s="362">
        <f t="shared" ca="1" si="2"/>
        <v>2163.7981063343741</v>
      </c>
      <c r="CE2" s="362">
        <f t="shared" ca="1" si="2"/>
        <v>2168.3087900521641</v>
      </c>
      <c r="CF2" s="362">
        <f t="shared" ca="1" si="2"/>
        <v>2172.7197026806271</v>
      </c>
      <c r="CG2" s="362">
        <f t="shared" ca="1" si="2"/>
        <v>2177.0308442197656</v>
      </c>
      <c r="CH2" s="362">
        <f t="shared" ca="1" si="2"/>
        <v>2181.2422146695781</v>
      </c>
      <c r="CI2" s="362">
        <f t="shared" ca="1" si="2"/>
        <v>2185.3538140300657</v>
      </c>
      <c r="CJ2" s="362">
        <f t="shared" ca="1" si="2"/>
        <v>2189.3656423012271</v>
      </c>
      <c r="CK2" s="362">
        <f t="shared" ca="1" si="2"/>
        <v>2193.2776994830638</v>
      </c>
      <c r="CL2" s="362">
        <f t="shared" ca="1" si="2"/>
        <v>2197.0899855755747</v>
      </c>
      <c r="CM2" s="362">
        <f t="shared" ca="1" si="2"/>
        <v>2200.8025005787604</v>
      </c>
      <c r="CN2" s="362">
        <f t="shared" ca="1" si="2"/>
        <v>2204.4152444926203</v>
      </c>
      <c r="CO2" s="362">
        <f t="shared" ca="1" si="2"/>
        <v>2207.928217317155</v>
      </c>
      <c r="CP2" s="362">
        <f t="shared" ca="1" si="2"/>
        <v>2211.3414190523636</v>
      </c>
      <c r="CQ2" s="362">
        <f t="shared" ca="1" si="2"/>
        <v>2214.6548496982477</v>
      </c>
      <c r="CR2" s="362">
        <f t="shared" ca="1" si="2"/>
        <v>2217.8685092548058</v>
      </c>
      <c r="CS2" s="362">
        <f t="shared" ca="1" si="2"/>
        <v>2220.9823977220385</v>
      </c>
      <c r="CT2" s="362">
        <f t="shared" ca="1" si="2"/>
        <v>2223.9965150999451</v>
      </c>
      <c r="CU2" s="362">
        <f t="shared" ca="1" si="2"/>
        <v>2226.9108613885273</v>
      </c>
      <c r="CV2" s="362">
        <f t="shared" ca="1" si="2"/>
        <v>2229.7254365877834</v>
      </c>
      <c r="CW2" s="362">
        <f t="shared" ca="1" si="2"/>
        <v>2232.4402406977147</v>
      </c>
      <c r="CX2" s="362">
        <f t="shared" ca="1" si="2"/>
        <v>2235.0552737183198</v>
      </c>
      <c r="CY2" s="362">
        <f t="shared" ca="1" si="2"/>
        <v>2237.5705356496001</v>
      </c>
      <c r="CZ2" s="362">
        <f t="shared" ca="1" si="2"/>
        <v>2239.9860264915542</v>
      </c>
      <c r="DA2" s="362">
        <f t="shared" ca="1" si="2"/>
        <v>2242.3017462441835</v>
      </c>
      <c r="DB2" s="362">
        <f t="shared" ca="1" si="2"/>
        <v>2244.5176949074867</v>
      </c>
      <c r="DC2" s="362">
        <f t="shared" ca="1" si="2"/>
        <v>2246.633872481465</v>
      </c>
      <c r="DD2" s="362">
        <f t="shared" ca="1" si="2"/>
        <v>2248.6502789661172</v>
      </c>
      <c r="DE2" s="362">
        <f t="shared" ca="1" si="2"/>
        <v>2250.566914361445</v>
      </c>
      <c r="DF2" s="362">
        <f t="shared" ca="1" si="2"/>
        <v>2252.3837786674467</v>
      </c>
      <c r="DG2" s="362">
        <f t="shared" ca="1" si="2"/>
        <v>2254.1008718841231</v>
      </c>
      <c r="DH2" s="362">
        <f t="shared" ca="1" si="2"/>
        <v>2255.7181940114733</v>
      </c>
      <c r="DI2" s="362">
        <f t="shared" ca="1" si="2"/>
        <v>2257.2357450494992</v>
      </c>
      <c r="DJ2" s="362">
        <f t="shared" ca="1" si="2"/>
        <v>2258.6535249981989</v>
      </c>
      <c r="DK2" s="362">
        <f t="shared" ca="1" si="2"/>
        <v>2259.9715338575734</v>
      </c>
      <c r="DL2" s="362">
        <f t="shared" ca="1" si="2"/>
        <v>2261.1897716276217</v>
      </c>
      <c r="DM2" s="362">
        <f t="shared" ca="1" si="2"/>
        <v>2262.3082383083456</v>
      </c>
      <c r="DN2" s="362">
        <f t="shared" ca="1" si="2"/>
        <v>2263.3269338997434</v>
      </c>
      <c r="DO2" s="362">
        <f t="shared" ca="1" si="2"/>
        <v>2264.2458584018163</v>
      </c>
      <c r="DP2" s="362">
        <f t="shared" ca="1" si="2"/>
        <v>2265.0650118145631</v>
      </c>
      <c r="DQ2" s="362">
        <f t="shared" ca="1" si="2"/>
        <v>2265.7843941379851</v>
      </c>
      <c r="DR2" s="362">
        <f t="shared" ca="1" si="2"/>
        <v>2266.404005372081</v>
      </c>
      <c r="DS2" s="362">
        <f t="shared" ref="DS2:EZ2" ca="1" si="3">$AT$12*DS1^2+$AV$12*DS1+$AX$12</f>
        <v>2266.923845516852</v>
      </c>
      <c r="DT2" s="362">
        <f t="shared" ca="1" si="3"/>
        <v>2267.3439145722969</v>
      </c>
      <c r="DU2" s="362">
        <f t="shared" ca="1" si="3"/>
        <v>2267.6642125384169</v>
      </c>
      <c r="DV2" s="362">
        <f t="shared" ca="1" si="3"/>
        <v>2267.8847394152112</v>
      </c>
      <c r="DW2" s="362">
        <f t="shared" ca="1" si="3"/>
        <v>2268.0054952026803</v>
      </c>
      <c r="DX2" s="362">
        <f t="shared" ca="1" si="3"/>
        <v>2268.0264799008237</v>
      </c>
      <c r="DY2" s="362">
        <f t="shared" ca="1" si="3"/>
        <v>2267.9476935096418</v>
      </c>
      <c r="DZ2" s="362">
        <f t="shared" ca="1" si="3"/>
        <v>2267.7691360291337</v>
      </c>
      <c r="EA2" s="362">
        <f t="shared" ca="1" si="3"/>
        <v>2267.4908074593013</v>
      </c>
      <c r="EB2" s="362">
        <f t="shared" ca="1" si="3"/>
        <v>2267.1127078001427</v>
      </c>
      <c r="EC2" s="362">
        <f t="shared" ca="1" si="3"/>
        <v>2266.6348370516589</v>
      </c>
      <c r="ED2" s="362">
        <f t="shared" ca="1" si="3"/>
        <v>2266.0571952138498</v>
      </c>
      <c r="EE2" s="362">
        <f t="shared" ca="1" si="3"/>
        <v>2265.3797822867155</v>
      </c>
      <c r="EF2" s="362">
        <f t="shared" ca="1" si="3"/>
        <v>2264.6025982702549</v>
      </c>
      <c r="EG2" s="362">
        <f t="shared" ca="1" si="3"/>
        <v>2263.7256431644691</v>
      </c>
      <c r="EH2" s="362">
        <f t="shared" ca="1" si="3"/>
        <v>2262.7489169693572</v>
      </c>
      <c r="EI2" s="362">
        <f t="shared" ca="1" si="3"/>
        <v>2261.6724196849209</v>
      </c>
      <c r="EJ2" s="362">
        <f t="shared" ca="1" si="3"/>
        <v>2260.4961513111593</v>
      </c>
      <c r="EK2" s="362">
        <f t="shared" ca="1" si="3"/>
        <v>2259.2201118480716</v>
      </c>
      <c r="EL2" s="362">
        <f t="shared" ca="1" si="3"/>
        <v>2257.8443012956586</v>
      </c>
      <c r="EM2" s="362">
        <f t="shared" ca="1" si="3"/>
        <v>2256.3687196539204</v>
      </c>
      <c r="EN2" s="362">
        <f t="shared" ca="1" si="3"/>
        <v>2254.7933669228569</v>
      </c>
      <c r="EO2" s="362">
        <f t="shared" ca="1" si="3"/>
        <v>2253.1182431024672</v>
      </c>
      <c r="EP2" s="362">
        <f t="shared" ca="1" si="3"/>
        <v>2251.3433481927523</v>
      </c>
      <c r="EQ2" s="362">
        <f t="shared" ca="1" si="3"/>
        <v>2249.4686821937121</v>
      </c>
      <c r="ER2" s="362">
        <f t="shared" ca="1" si="3"/>
        <v>2247.4942451053466</v>
      </c>
      <c r="ES2" s="362">
        <f t="shared" ca="1" si="3"/>
        <v>2245.4200369276559</v>
      </c>
      <c r="ET2" s="362">
        <f t="shared" ca="1" si="3"/>
        <v>2243.2460576606381</v>
      </c>
      <c r="EU2" s="362">
        <f t="shared" ca="1" si="3"/>
        <v>2240.9723073042969</v>
      </c>
      <c r="EV2" s="362">
        <f t="shared" ca="1" si="3"/>
        <v>2238.5987858586295</v>
      </c>
      <c r="EW2" s="362">
        <f t="shared" ca="1" si="3"/>
        <v>2236.1254933236369</v>
      </c>
      <c r="EX2" s="362">
        <f t="shared" ca="1" si="3"/>
        <v>2233.5524296993171</v>
      </c>
      <c r="EY2" s="362">
        <f t="shared" ca="1" si="3"/>
        <v>2230.879594985674</v>
      </c>
      <c r="EZ2" s="363">
        <f t="shared" ca="1" si="3"/>
        <v>2228.1069891827046</v>
      </c>
    </row>
    <row r="3" spans="1:156" ht="15.25" customHeight="1" x14ac:dyDescent="0.3">
      <c r="A3" s="1718"/>
      <c r="B3" s="1719"/>
      <c r="C3" s="1720"/>
      <c r="D3" s="1714"/>
      <c r="E3" s="1715"/>
      <c r="F3" s="1715"/>
      <c r="G3" s="1715"/>
      <c r="H3" s="1715"/>
      <c r="I3" s="1715"/>
      <c r="J3" s="1715"/>
      <c r="K3" s="1721" t="s">
        <v>294</v>
      </c>
      <c r="L3" s="1722"/>
      <c r="M3" s="244"/>
      <c r="AK3" s="357"/>
      <c r="AL3" s="358" t="b">
        <v>0</v>
      </c>
      <c r="AM3" s="358" t="b">
        <v>1</v>
      </c>
      <c r="AN3" s="358" t="b">
        <v>1</v>
      </c>
      <c r="AO3" s="358" t="b">
        <v>1</v>
      </c>
      <c r="AP3" s="358" t="b">
        <v>0</v>
      </c>
      <c r="AQ3" s="358" t="b">
        <v>0</v>
      </c>
      <c r="AR3" s="358"/>
      <c r="AS3" s="358"/>
      <c r="AT3" s="358"/>
      <c r="AU3" s="358"/>
      <c r="AV3" s="358"/>
      <c r="AW3" s="358"/>
      <c r="AX3" s="358"/>
      <c r="AY3" s="358"/>
      <c r="AZ3" s="358"/>
      <c r="BA3" s="358"/>
      <c r="BB3" s="364"/>
      <c r="BC3" s="358"/>
      <c r="BD3" s="358"/>
      <c r="BE3" s="365">
        <f ca="1">($AU$90*BE1^2+$AW$90*BE1+$AY$90)</f>
        <v>15027.166698274305</v>
      </c>
      <c r="BF3" s="365">
        <f ca="1">($AU$90*BF1^2+$AW$90*BF1+$AY$90)</f>
        <v>15216.665715924566</v>
      </c>
      <c r="BG3" s="365">
        <f t="shared" ref="BG3:DR3" ca="1" si="4">($AU$90*BG1^2+$AW$90*BG1+$AY$90)</f>
        <v>15402.614962316446</v>
      </c>
      <c r="BH3" s="365">
        <f t="shared" ca="1" si="4"/>
        <v>15585.014437449965</v>
      </c>
      <c r="BI3" s="365">
        <f t="shared" ca="1" si="4"/>
        <v>15763.864141325088</v>
      </c>
      <c r="BJ3" s="365">
        <f t="shared" ca="1" si="4"/>
        <v>15939.164073941844</v>
      </c>
      <c r="BK3" s="365">
        <f t="shared" ca="1" si="4"/>
        <v>16110.91423530021</v>
      </c>
      <c r="BL3" s="365">
        <f t="shared" ca="1" si="4"/>
        <v>16279.114625400194</v>
      </c>
      <c r="BM3" s="365">
        <f t="shared" ca="1" si="4"/>
        <v>16443.765244241818</v>
      </c>
      <c r="BN3" s="365">
        <f t="shared" ca="1" si="4"/>
        <v>16604.866091825053</v>
      </c>
      <c r="BO3" s="365">
        <f t="shared" ca="1" si="4"/>
        <v>16762.417168149921</v>
      </c>
      <c r="BP3" s="365">
        <f t="shared" ca="1" si="4"/>
        <v>16916.418473216385</v>
      </c>
      <c r="BQ3" s="365">
        <f t="shared" ca="1" si="4"/>
        <v>17066.870007024496</v>
      </c>
      <c r="BR3" s="365">
        <f t="shared" ca="1" si="4"/>
        <v>17213.77176957421</v>
      </c>
      <c r="BS3" s="365">
        <f t="shared" ca="1" si="4"/>
        <v>17357.12376086555</v>
      </c>
      <c r="BT3" s="365">
        <f t="shared" ca="1" si="4"/>
        <v>17496.925980898523</v>
      </c>
      <c r="BU3" s="365">
        <f t="shared" ca="1" si="4"/>
        <v>17633.178429673098</v>
      </c>
      <c r="BV3" s="365">
        <f t="shared" ca="1" si="4"/>
        <v>17765.881107189314</v>
      </c>
      <c r="BW3" s="365">
        <f t="shared" ca="1" si="4"/>
        <v>17895.034013447141</v>
      </c>
      <c r="BX3" s="365">
        <f t="shared" ca="1" si="4"/>
        <v>18020.637148446585</v>
      </c>
      <c r="BY3" s="365">
        <f t="shared" ca="1" si="4"/>
        <v>18142.690512187663</v>
      </c>
      <c r="BZ3" s="365">
        <f t="shared" ca="1" si="4"/>
        <v>18261.19410467035</v>
      </c>
      <c r="CA3" s="365">
        <f t="shared" ca="1" si="4"/>
        <v>18376.147925894671</v>
      </c>
      <c r="CB3" s="365">
        <f t="shared" ca="1" si="4"/>
        <v>18487.551975860602</v>
      </c>
      <c r="CC3" s="365">
        <f t="shared" ca="1" si="4"/>
        <v>18595.406254568166</v>
      </c>
      <c r="CD3" s="365">
        <f t="shared" ca="1" si="4"/>
        <v>18699.710762017334</v>
      </c>
      <c r="CE3" s="365">
        <f t="shared" ca="1" si="4"/>
        <v>18800.465498208134</v>
      </c>
      <c r="CF3" s="365">
        <f t="shared" ca="1" si="4"/>
        <v>18897.670463140559</v>
      </c>
      <c r="CG3" s="365">
        <f t="shared" ca="1" si="4"/>
        <v>18991.325656814603</v>
      </c>
      <c r="CH3" s="365">
        <f t="shared" ca="1" si="4"/>
        <v>19081.431079230264</v>
      </c>
      <c r="CI3" s="365">
        <f t="shared" ca="1" si="4"/>
        <v>19167.986730387544</v>
      </c>
      <c r="CJ3" s="365">
        <f t="shared" ca="1" si="4"/>
        <v>19250.992610286448</v>
      </c>
      <c r="CK3" s="365">
        <f t="shared" ca="1" si="4"/>
        <v>19330.448718926986</v>
      </c>
      <c r="CL3" s="365">
        <f t="shared" ca="1" si="4"/>
        <v>19406.355056309127</v>
      </c>
      <c r="CM3" s="365">
        <f t="shared" ca="1" si="4"/>
        <v>19478.711622432907</v>
      </c>
      <c r="CN3" s="365">
        <f t="shared" ca="1" si="4"/>
        <v>19547.518417298292</v>
      </c>
      <c r="CO3" s="365">
        <f t="shared" ca="1" si="4"/>
        <v>19612.775440905294</v>
      </c>
      <c r="CP3" s="365">
        <f t="shared" ca="1" si="4"/>
        <v>19674.482693253944</v>
      </c>
      <c r="CQ3" s="365">
        <f t="shared" ca="1" si="4"/>
        <v>19732.640174344197</v>
      </c>
      <c r="CR3" s="365">
        <f t="shared" ca="1" si="4"/>
        <v>19787.247884176082</v>
      </c>
      <c r="CS3" s="365">
        <f t="shared" ca="1" si="4"/>
        <v>19838.305822749571</v>
      </c>
      <c r="CT3" s="365">
        <f t="shared" ca="1" si="4"/>
        <v>19885.8139900647</v>
      </c>
      <c r="CU3" s="365">
        <f t="shared" ca="1" si="4"/>
        <v>19929.772386121433</v>
      </c>
      <c r="CV3" s="365">
        <f t="shared" ca="1" si="4"/>
        <v>19970.18101091979</v>
      </c>
      <c r="CW3" s="365">
        <f t="shared" ca="1" si="4"/>
        <v>20007.039864459788</v>
      </c>
      <c r="CX3" s="365">
        <f t="shared" ca="1" si="4"/>
        <v>20040.348946741382</v>
      </c>
      <c r="CY3" s="365">
        <f t="shared" ca="1" si="4"/>
        <v>20070.108257764623</v>
      </c>
      <c r="CZ3" s="365">
        <f t="shared" ca="1" si="4"/>
        <v>20096.31779752946</v>
      </c>
      <c r="DA3" s="365">
        <f t="shared" ca="1" si="4"/>
        <v>20118.97756603593</v>
      </c>
      <c r="DB3" s="365">
        <f t="shared" ca="1" si="4"/>
        <v>20138.087563284033</v>
      </c>
      <c r="DC3" s="365">
        <f t="shared" ca="1" si="4"/>
        <v>20153.647789273731</v>
      </c>
      <c r="DD3" s="365">
        <f t="shared" ca="1" si="4"/>
        <v>20165.65824400507</v>
      </c>
      <c r="DE3" s="365">
        <f t="shared" ca="1" si="4"/>
        <v>20174.118927478026</v>
      </c>
      <c r="DF3" s="365">
        <f t="shared" ca="1" si="4"/>
        <v>20179.029839692594</v>
      </c>
      <c r="DG3" s="365">
        <f t="shared" ca="1" si="4"/>
        <v>20180.390980648801</v>
      </c>
      <c r="DH3" s="365">
        <f t="shared" ca="1" si="4"/>
        <v>20178.202350346619</v>
      </c>
      <c r="DI3" s="365">
        <f t="shared" ca="1" si="4"/>
        <v>20172.46394878607</v>
      </c>
      <c r="DJ3" s="365">
        <f t="shared" ca="1" si="4"/>
        <v>20163.175775967124</v>
      </c>
      <c r="DK3" s="365">
        <f t="shared" ca="1" si="4"/>
        <v>20150.337831889818</v>
      </c>
      <c r="DL3" s="365">
        <f t="shared" ca="1" si="4"/>
        <v>20133.950116554108</v>
      </c>
      <c r="DM3" s="365">
        <f t="shared" ca="1" si="4"/>
        <v>20114.012629960038</v>
      </c>
      <c r="DN3" s="365">
        <f t="shared" ca="1" si="4"/>
        <v>20090.525372107593</v>
      </c>
      <c r="DO3" s="365">
        <f t="shared" ca="1" si="4"/>
        <v>20063.488342996752</v>
      </c>
      <c r="DP3" s="365">
        <f t="shared" ca="1" si="4"/>
        <v>20032.901542627558</v>
      </c>
      <c r="DQ3" s="365">
        <f t="shared" ca="1" si="4"/>
        <v>19998.76497099996</v>
      </c>
      <c r="DR3" s="365">
        <f t="shared" ca="1" si="4"/>
        <v>19961.078628113981</v>
      </c>
      <c r="DS3" s="365">
        <f t="shared" ref="DS3:EZ3" ca="1" si="5">($AU$90*DS1^2+$AW$90*DS1+$AY$90)</f>
        <v>19919.842513969648</v>
      </c>
      <c r="DT3" s="365">
        <f t="shared" ca="1" si="5"/>
        <v>19875.056628566919</v>
      </c>
      <c r="DU3" s="365">
        <f t="shared" ca="1" si="5"/>
        <v>19826.720971905816</v>
      </c>
      <c r="DV3" s="365">
        <f t="shared" ca="1" si="5"/>
        <v>19774.835543986337</v>
      </c>
      <c r="DW3" s="365">
        <f t="shared" ca="1" si="5"/>
        <v>19719.400344808484</v>
      </c>
      <c r="DX3" s="365">
        <f t="shared" ca="1" si="5"/>
        <v>19660.415374372242</v>
      </c>
      <c r="DY3" s="365">
        <f t="shared" ca="1" si="5"/>
        <v>19597.88063267761</v>
      </c>
      <c r="DZ3" s="365">
        <f t="shared" ca="1" si="5"/>
        <v>19531.796119724633</v>
      </c>
      <c r="EA3" s="365">
        <f t="shared" ca="1" si="5"/>
        <v>19462.161835513252</v>
      </c>
      <c r="EB3" s="365">
        <f t="shared" ca="1" si="5"/>
        <v>19388.977780043497</v>
      </c>
      <c r="EC3" s="365">
        <f t="shared" ca="1" si="5"/>
        <v>19312.243953315367</v>
      </c>
      <c r="ED3" s="365">
        <f t="shared" ca="1" si="5"/>
        <v>19231.960355328847</v>
      </c>
      <c r="EE3" s="365">
        <f t="shared" ca="1" si="5"/>
        <v>19148.126986083967</v>
      </c>
      <c r="EF3" s="365">
        <f t="shared" ca="1" si="5"/>
        <v>19060.743845580713</v>
      </c>
      <c r="EG3" s="365">
        <f t="shared" ca="1" si="5"/>
        <v>18969.810933819055</v>
      </c>
      <c r="EH3" s="365">
        <f t="shared" ca="1" si="5"/>
        <v>18875.328250799022</v>
      </c>
      <c r="EI3" s="365">
        <f t="shared" ca="1" si="5"/>
        <v>18777.295796520644</v>
      </c>
      <c r="EJ3" s="365">
        <f t="shared" ca="1" si="5"/>
        <v>18675.713570983833</v>
      </c>
      <c r="EK3" s="365">
        <f t="shared" ca="1" si="5"/>
        <v>18570.581574188705</v>
      </c>
      <c r="EL3" s="365">
        <f t="shared" ca="1" si="5"/>
        <v>18461.899806135174</v>
      </c>
      <c r="EM3" s="365">
        <f t="shared" ca="1" si="5"/>
        <v>18349.668266823268</v>
      </c>
      <c r="EN3" s="365">
        <f t="shared" ca="1" si="5"/>
        <v>18233.886956252943</v>
      </c>
      <c r="EO3" s="365">
        <f t="shared" ca="1" si="5"/>
        <v>18114.555874424288</v>
      </c>
      <c r="EP3" s="365">
        <f t="shared" ca="1" si="5"/>
        <v>17991.675021337243</v>
      </c>
      <c r="EQ3" s="365">
        <f t="shared" ca="1" si="5"/>
        <v>17865.244396991795</v>
      </c>
      <c r="ER3" s="365">
        <f t="shared" ca="1" si="5"/>
        <v>17735.264001388001</v>
      </c>
      <c r="ES3" s="365">
        <f t="shared" ca="1" si="5"/>
        <v>17601.733834525818</v>
      </c>
      <c r="ET3" s="365">
        <f t="shared" ca="1" si="5"/>
        <v>17464.65389640526</v>
      </c>
      <c r="EU3" s="365">
        <f t="shared" ca="1" si="5"/>
        <v>17324.024187026313</v>
      </c>
      <c r="EV3" s="365">
        <f t="shared" ca="1" si="5"/>
        <v>17179.844706388991</v>
      </c>
      <c r="EW3" s="365">
        <f t="shared" ca="1" si="5"/>
        <v>17032.115454493309</v>
      </c>
      <c r="EX3" s="365">
        <f t="shared" ca="1" si="5"/>
        <v>16880.836431339209</v>
      </c>
      <c r="EY3" s="365">
        <f t="shared" ca="1" si="5"/>
        <v>16726.007636926748</v>
      </c>
      <c r="EZ3" s="366">
        <f t="shared" ca="1" si="5"/>
        <v>16567.629071255928</v>
      </c>
    </row>
    <row r="4" spans="1:156" ht="15.25" customHeight="1" x14ac:dyDescent="0.3">
      <c r="A4" s="1723"/>
      <c r="B4" s="1724"/>
      <c r="C4" s="1725"/>
      <c r="D4" s="1716"/>
      <c r="E4" s="1717"/>
      <c r="F4" s="1717"/>
      <c r="G4" s="1717"/>
      <c r="H4" s="1717"/>
      <c r="I4" s="1717"/>
      <c r="J4" s="1717"/>
      <c r="K4" s="1726">
        <f ca="1">IF(OR($N$2="",$N$2=0),"",IF(INDIRECT(ADDRESS(($AK4),COLUMN()-6,,,"Digitar Dados dos Ensaios"))&lt;&gt;"",INDIRECT(ADDRESS(($AK4),COLUMN()-6,,,"Digitar Dados dos Ensaios")),""))</f>
        <v>45804</v>
      </c>
      <c r="L4" s="1727" t="str">
        <f ca="1">IF(OR($N$2="",$N$2=0),"",IF(INDIRECT(ADDRESS(($AK4),COLUMN()+6,,,"Digitar Dados dos Ensaios"))&lt;&gt;"",INDIRECT(ADDRESS(($AK4),COLUMN()+6,,,"Digitar Dados dos Ensaios")),""))</f>
        <v/>
      </c>
      <c r="AK4" s="357">
        <f>AK1+3</f>
        <v>7</v>
      </c>
      <c r="AL4" s="358"/>
      <c r="AM4" s="358"/>
      <c r="AN4" s="358"/>
      <c r="AO4" s="358"/>
      <c r="AP4" s="358"/>
      <c r="AQ4" s="358"/>
      <c r="AR4" s="358"/>
      <c r="AS4" s="358"/>
      <c r="AT4" s="358"/>
      <c r="AU4" s="358"/>
      <c r="AV4" s="358"/>
      <c r="AW4" s="358"/>
      <c r="AX4" s="358"/>
      <c r="AY4" s="358"/>
      <c r="AZ4" s="358"/>
      <c r="BA4" s="358"/>
      <c r="BB4" s="367"/>
      <c r="BC4" s="358"/>
      <c r="BD4" s="358"/>
      <c r="BE4" s="368">
        <f ca="1">$AU$99*BE1^2+$AW$99*BE1+$AY$99</f>
        <v>0.13961605584642167</v>
      </c>
      <c r="BF4" s="369">
        <f ca="1">$AU$99*BF1^2+$AW$99*BF1+$AY$99</f>
        <v>0.13707850707458169</v>
      </c>
      <c r="BG4" s="369">
        <f t="shared" ref="BG4:DR4" ca="1" si="6">$AU$99*BG1^2+$AW$99*BG1+$AY$99</f>
        <v>0.13457298176274979</v>
      </c>
      <c r="BH4" s="369">
        <f t="shared" ca="1" si="6"/>
        <v>0.13209947991092597</v>
      </c>
      <c r="BI4" s="369">
        <f t="shared" ca="1" si="6"/>
        <v>0.12965800151911022</v>
      </c>
      <c r="BJ4" s="369">
        <f t="shared" ca="1" si="6"/>
        <v>0.12724854658730267</v>
      </c>
      <c r="BK4" s="369">
        <f t="shared" ca="1" si="6"/>
        <v>0.12487111511550308</v>
      </c>
      <c r="BL4" s="369">
        <f t="shared" ca="1" si="6"/>
        <v>0.12252570710371169</v>
      </c>
      <c r="BM4" s="369">
        <f t="shared" ca="1" si="6"/>
        <v>0.12021232255192826</v>
      </c>
      <c r="BN4" s="369">
        <f t="shared" ca="1" si="6"/>
        <v>0.11793096146015314</v>
      </c>
      <c r="BO4" s="369">
        <f t="shared" ca="1" si="6"/>
        <v>0.11568162382838587</v>
      </c>
      <c r="BP4" s="369">
        <f t="shared" ca="1" si="6"/>
        <v>0.11346430965662679</v>
      </c>
      <c r="BQ4" s="369">
        <f t="shared" ca="1" si="6"/>
        <v>0.1112790189448758</v>
      </c>
      <c r="BR4" s="369">
        <f t="shared" ca="1" si="6"/>
        <v>0.10912575169313299</v>
      </c>
      <c r="BS4" s="369">
        <f t="shared" ca="1" si="6"/>
        <v>0.10700450790139815</v>
      </c>
      <c r="BT4" s="369">
        <f t="shared" ca="1" si="6"/>
        <v>0.1049152875696715</v>
      </c>
      <c r="BU4" s="369">
        <f t="shared" ca="1" si="6"/>
        <v>0.10285809069795293</v>
      </c>
      <c r="BV4" s="369">
        <f t="shared" ca="1" si="6"/>
        <v>0.10083291728624233</v>
      </c>
      <c r="BW4" s="369">
        <f t="shared" ca="1" si="6"/>
        <v>9.8839767334539919E-2</v>
      </c>
      <c r="BX4" s="369">
        <f t="shared" ca="1" si="6"/>
        <v>9.6878640842845476E-2</v>
      </c>
      <c r="BY4" s="369">
        <f t="shared" ca="1" si="6"/>
        <v>9.4949537811159335E-2</v>
      </c>
      <c r="BZ4" s="369">
        <f t="shared" ca="1" si="6"/>
        <v>9.3052458239481162E-2</v>
      </c>
      <c r="CA4" s="369">
        <f t="shared" ca="1" si="6"/>
        <v>9.1187402127810957E-2</v>
      </c>
      <c r="CB4" s="369">
        <f t="shared" ca="1" si="6"/>
        <v>8.9354369476148943E-2</v>
      </c>
      <c r="CC4" s="369">
        <f t="shared" ca="1" si="6"/>
        <v>8.7553360284495119E-2</v>
      </c>
      <c r="CD4" s="369">
        <f t="shared" ca="1" si="6"/>
        <v>8.5784374552849263E-2</v>
      </c>
      <c r="CE4" s="369">
        <f t="shared" ca="1" si="6"/>
        <v>8.4047412281211598E-2</v>
      </c>
      <c r="CF4" s="369">
        <f t="shared" ca="1" si="6"/>
        <v>8.2342473469582012E-2</v>
      </c>
      <c r="CG4" s="369">
        <f t="shared" ca="1" si="6"/>
        <v>8.0669558117960394E-2</v>
      </c>
      <c r="CH4" s="369">
        <f t="shared" ca="1" si="6"/>
        <v>7.9028666226347077E-2</v>
      </c>
      <c r="CI4" s="369">
        <f t="shared" ca="1" si="6"/>
        <v>7.7419797794741729E-2</v>
      </c>
      <c r="CJ4" s="369">
        <f t="shared" ca="1" si="6"/>
        <v>7.5842952823144349E-2</v>
      </c>
      <c r="CK4" s="369">
        <f t="shared" ca="1" si="6"/>
        <v>7.429813131155516E-2</v>
      </c>
      <c r="CL4" s="369">
        <f t="shared" ca="1" si="6"/>
        <v>7.278533325997405E-2</v>
      </c>
      <c r="CM4" s="369">
        <f t="shared" ca="1" si="6"/>
        <v>7.1304558668401019E-2</v>
      </c>
      <c r="CN4" s="369">
        <f t="shared" ca="1" si="6"/>
        <v>6.9855807536836068E-2</v>
      </c>
      <c r="CO4" s="369">
        <f t="shared" ca="1" si="6"/>
        <v>6.8439079865279306E-2</v>
      </c>
      <c r="CP4" s="369">
        <f t="shared" ca="1" si="6"/>
        <v>6.7054375653730514E-2</v>
      </c>
      <c r="CQ4" s="369">
        <f t="shared" ca="1" si="6"/>
        <v>6.57016949021898E-2</v>
      </c>
      <c r="CR4" s="369">
        <f t="shared" ca="1" si="6"/>
        <v>6.4381037610657277E-2</v>
      </c>
      <c r="CS4" s="369">
        <f t="shared" ca="1" si="6"/>
        <v>6.3092403779132833E-2</v>
      </c>
      <c r="CT4" s="369">
        <f t="shared" ca="1" si="6"/>
        <v>6.1835793407616468E-2</v>
      </c>
      <c r="CU4" s="369">
        <f t="shared" ca="1" si="6"/>
        <v>6.0611206496108183E-2</v>
      </c>
      <c r="CV4" s="369">
        <f t="shared" ca="1" si="6"/>
        <v>5.9418643044607977E-2</v>
      </c>
      <c r="CW4" s="369">
        <f t="shared" ca="1" si="6"/>
        <v>5.8258103053115851E-2</v>
      </c>
      <c r="CX4" s="369">
        <f t="shared" ca="1" si="6"/>
        <v>5.7129586521631803E-2</v>
      </c>
      <c r="CY4" s="369">
        <f t="shared" ca="1" si="6"/>
        <v>5.6033093450155835E-2</v>
      </c>
      <c r="CZ4" s="369">
        <f t="shared" ca="1" si="6"/>
        <v>5.4968623838688058E-2</v>
      </c>
      <c r="DA4" s="369">
        <f t="shared" ca="1" si="6"/>
        <v>5.3936177687228248E-2</v>
      </c>
      <c r="DB4" s="369">
        <f t="shared" ca="1" si="6"/>
        <v>5.2935754995776518E-2</v>
      </c>
      <c r="DC4" s="369">
        <f t="shared" ca="1" si="6"/>
        <v>5.1967355764332979E-2</v>
      </c>
      <c r="DD4" s="369">
        <f t="shared" ca="1" si="6"/>
        <v>5.1030979992897629E-2</v>
      </c>
      <c r="DE4" s="369">
        <f t="shared" ca="1" si="6"/>
        <v>5.0126627681470137E-2</v>
      </c>
      <c r="DF4" s="369">
        <f t="shared" ca="1" si="6"/>
        <v>4.9254298830050836E-2</v>
      </c>
      <c r="DG4" s="369">
        <f t="shared" ca="1" si="6"/>
        <v>4.8413993438639613E-2</v>
      </c>
      <c r="DH4" s="369">
        <f t="shared" ca="1" si="6"/>
        <v>4.760571150723647E-2</v>
      </c>
      <c r="DI4" s="369">
        <f t="shared" ca="1" si="6"/>
        <v>4.6829453035841406E-2</v>
      </c>
      <c r="DJ4" s="369">
        <f t="shared" ca="1" si="6"/>
        <v>4.6085218024454533E-2</v>
      </c>
      <c r="DK4" s="369">
        <f t="shared" ca="1" si="6"/>
        <v>4.5373006473075628E-2</v>
      </c>
      <c r="DL4" s="369">
        <f t="shared" ca="1" si="6"/>
        <v>4.4692818381704913E-2</v>
      </c>
      <c r="DM4" s="369">
        <f t="shared" ca="1" si="6"/>
        <v>4.4044653750342166E-2</v>
      </c>
      <c r="DN4" s="369">
        <f t="shared" ca="1" si="6"/>
        <v>4.342851257898761E-2</v>
      </c>
      <c r="DO4" s="369">
        <f t="shared" ca="1" si="6"/>
        <v>4.2844394867641133E-2</v>
      </c>
      <c r="DP4" s="369">
        <f t="shared" ca="1" si="6"/>
        <v>4.2292300616302736E-2</v>
      </c>
      <c r="DQ4" s="369">
        <f t="shared" ca="1" si="6"/>
        <v>4.1772229824972418E-2</v>
      </c>
      <c r="DR4" s="369">
        <f t="shared" ca="1" si="6"/>
        <v>4.1284182493650179E-2</v>
      </c>
      <c r="DS4" s="369">
        <f t="shared" ref="DS4:EZ4" ca="1" si="7">$AU$99*DS1^2+$AW$99*DS1+$AY$99</f>
        <v>4.0828158622336352E-2</v>
      </c>
      <c r="DT4" s="369">
        <f t="shared" ca="1" si="7"/>
        <v>4.0404158211030272E-2</v>
      </c>
      <c r="DU4" s="369">
        <f t="shared" ca="1" si="7"/>
        <v>4.0012181259732271E-2</v>
      </c>
      <c r="DV4" s="369">
        <f t="shared" ca="1" si="7"/>
        <v>3.9652227768442461E-2</v>
      </c>
      <c r="DW4" s="369">
        <f t="shared" ca="1" si="7"/>
        <v>3.9324297737160618E-2</v>
      </c>
      <c r="DX4" s="369">
        <f t="shared" ca="1" si="7"/>
        <v>3.9028391165886966E-2</v>
      </c>
      <c r="DY4" s="369">
        <f t="shared" ca="1" si="7"/>
        <v>3.8764508054621394E-2</v>
      </c>
      <c r="DZ4" s="369">
        <f t="shared" ca="1" si="7"/>
        <v>3.8532648403363901E-2</v>
      </c>
      <c r="EA4" s="369">
        <f t="shared" ca="1" si="7"/>
        <v>3.8332812212114376E-2</v>
      </c>
      <c r="EB4" s="369">
        <f t="shared" ca="1" si="7"/>
        <v>3.8164999480873152E-2</v>
      </c>
      <c r="EC4" s="369">
        <f t="shared" ca="1" si="7"/>
        <v>3.8029210209639785E-2</v>
      </c>
      <c r="ED4" s="369">
        <f t="shared" ca="1" si="7"/>
        <v>3.792544439841472E-2</v>
      </c>
      <c r="EE4" s="369">
        <f t="shared" ca="1" si="7"/>
        <v>3.7853702047197624E-2</v>
      </c>
      <c r="EF4" s="369">
        <f t="shared" ca="1" si="7"/>
        <v>3.7813983155988495E-2</v>
      </c>
      <c r="EG4" s="369">
        <f t="shared" ca="1" si="7"/>
        <v>3.7806287724787668E-2</v>
      </c>
      <c r="EH4" s="369">
        <f t="shared" ca="1" si="7"/>
        <v>3.7830615753595032E-2</v>
      </c>
      <c r="EI4" s="369">
        <f t="shared" ca="1" si="7"/>
        <v>3.7886967242410363E-2</v>
      </c>
      <c r="EJ4" s="369">
        <f t="shared" ca="1" si="7"/>
        <v>3.7975342191233663E-2</v>
      </c>
      <c r="EK4" s="369">
        <f t="shared" ca="1" si="7"/>
        <v>3.8095740600065042E-2</v>
      </c>
      <c r="EL4" s="369">
        <f t="shared" ca="1" si="7"/>
        <v>3.8248162468904723E-2</v>
      </c>
      <c r="EM4" s="369">
        <f t="shared" ca="1" si="7"/>
        <v>3.843260779775215E-2</v>
      </c>
      <c r="EN4" s="369">
        <f t="shared" ca="1" si="7"/>
        <v>3.86490765866081E-2</v>
      </c>
      <c r="EO4" s="369">
        <f t="shared" ca="1" si="7"/>
        <v>3.8897568835471907E-2</v>
      </c>
      <c r="EP4" s="369">
        <f t="shared" ca="1" si="7"/>
        <v>3.9178084544343683E-2</v>
      </c>
      <c r="EQ4" s="369">
        <f t="shared" ca="1" si="7"/>
        <v>3.949062371322376E-2</v>
      </c>
      <c r="ER4" s="369">
        <f t="shared" ca="1" si="7"/>
        <v>3.9835186342111917E-2</v>
      </c>
      <c r="ES4" s="369">
        <f t="shared" ca="1" si="7"/>
        <v>4.0211772431008153E-2</v>
      </c>
      <c r="ET4" s="369">
        <f t="shared" ca="1" si="7"/>
        <v>4.0620381979912246E-2</v>
      </c>
      <c r="EU4" s="369">
        <f t="shared" ca="1" si="7"/>
        <v>4.106101498882464E-2</v>
      </c>
      <c r="EV4" s="369">
        <f t="shared" ca="1" si="7"/>
        <v>4.1533671457745225E-2</v>
      </c>
      <c r="EW4" s="369">
        <f t="shared" ca="1" si="7"/>
        <v>4.2038351386673556E-2</v>
      </c>
      <c r="EX4" s="369">
        <f t="shared" ca="1" si="7"/>
        <v>4.2575054775610299E-2</v>
      </c>
      <c r="EY4" s="369">
        <f t="shared" ca="1" si="7"/>
        <v>4.3143781624555122E-2</v>
      </c>
      <c r="EZ4" s="370">
        <f t="shared" ca="1" si="7"/>
        <v>4.3744531933507691E-2</v>
      </c>
    </row>
    <row r="5" spans="1:156" ht="5.15" customHeight="1" x14ac:dyDescent="0.25">
      <c r="A5" s="642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643"/>
      <c r="AK5" s="357"/>
      <c r="AL5" s="358"/>
      <c r="AM5" s="358"/>
      <c r="AN5" s="358"/>
      <c r="AO5" s="358"/>
      <c r="AP5" s="358"/>
      <c r="AQ5" s="358"/>
      <c r="AR5" s="358"/>
      <c r="AS5" s="358"/>
      <c r="AT5" s="358"/>
      <c r="AU5" s="358"/>
      <c r="AV5" s="358"/>
      <c r="AW5" s="358"/>
      <c r="AX5" s="358"/>
      <c r="AY5" s="358"/>
      <c r="AZ5" s="358"/>
      <c r="BA5" s="358"/>
      <c r="BB5" s="367"/>
      <c r="BC5" s="358"/>
      <c r="BD5" s="358"/>
      <c r="BE5" s="358"/>
      <c r="BF5" s="358"/>
      <c r="BG5" s="358"/>
      <c r="BH5" s="358"/>
      <c r="BI5" s="358"/>
      <c r="BJ5" s="358"/>
      <c r="BK5" s="358"/>
      <c r="BL5" s="358"/>
      <c r="BM5" s="358"/>
      <c r="BN5" s="358"/>
      <c r="BO5" s="358"/>
      <c r="BP5" s="358"/>
      <c r="BQ5" s="358"/>
      <c r="BR5" s="358"/>
      <c r="BS5" s="358"/>
      <c r="BT5" s="358"/>
      <c r="BU5" s="358"/>
      <c r="BV5" s="358"/>
      <c r="BW5" s="358"/>
      <c r="BX5" s="358"/>
      <c r="BY5" s="358"/>
      <c r="BZ5" s="358"/>
      <c r="CA5" s="358"/>
      <c r="CB5" s="358"/>
      <c r="CC5" s="358"/>
      <c r="CD5" s="358"/>
      <c r="CE5" s="358"/>
      <c r="CF5" s="358"/>
      <c r="CG5" s="358"/>
      <c r="CH5" s="358"/>
      <c r="CI5" s="358"/>
      <c r="CJ5" s="358"/>
      <c r="CK5" s="358"/>
      <c r="CL5" s="358"/>
      <c r="CM5" s="358"/>
      <c r="CN5" s="358"/>
      <c r="CO5" s="358"/>
      <c r="CP5" s="358"/>
      <c r="CQ5" s="358"/>
      <c r="CR5" s="358"/>
      <c r="CS5" s="358"/>
      <c r="CT5" s="358"/>
      <c r="CU5" s="358"/>
      <c r="CV5" s="358"/>
      <c r="CW5" s="358"/>
      <c r="CX5" s="358"/>
      <c r="CY5" s="358"/>
      <c r="CZ5" s="358"/>
      <c r="DA5" s="358"/>
      <c r="DB5" s="358"/>
      <c r="DC5" s="358"/>
      <c r="DD5" s="358"/>
      <c r="DE5" s="358"/>
      <c r="DF5" s="358"/>
      <c r="DG5" s="358"/>
      <c r="DH5" s="358"/>
      <c r="DI5" s="358"/>
      <c r="DJ5" s="358"/>
      <c r="DK5" s="358"/>
      <c r="DL5" s="358"/>
      <c r="DM5" s="358"/>
      <c r="DN5" s="358"/>
      <c r="DO5" s="358"/>
      <c r="DP5" s="358"/>
      <c r="DQ5" s="358"/>
      <c r="DR5" s="358"/>
      <c r="DS5" s="358"/>
      <c r="DT5" s="358"/>
      <c r="DU5" s="358"/>
      <c r="DV5" s="358"/>
      <c r="DW5" s="358"/>
      <c r="DX5" s="358"/>
      <c r="DY5" s="358"/>
      <c r="DZ5" s="358"/>
      <c r="EA5" s="358"/>
      <c r="EB5" s="358"/>
      <c r="EC5" s="358"/>
      <c r="ED5" s="358"/>
      <c r="EE5" s="358"/>
      <c r="EF5" s="358"/>
      <c r="EG5" s="358"/>
      <c r="EH5" s="358"/>
      <c r="EI5" s="358"/>
      <c r="EJ5" s="358"/>
      <c r="EK5" s="358"/>
      <c r="EL5" s="358"/>
      <c r="EM5" s="358"/>
      <c r="EN5" s="358"/>
      <c r="EO5" s="358"/>
      <c r="EP5" s="358"/>
      <c r="EQ5" s="358"/>
      <c r="ER5" s="358"/>
      <c r="ES5" s="358"/>
      <c r="ET5" s="358"/>
      <c r="EU5" s="358"/>
      <c r="EV5" s="358"/>
      <c r="EW5" s="358"/>
      <c r="EX5" s="358"/>
      <c r="EY5" s="358"/>
      <c r="EZ5" s="371"/>
    </row>
    <row r="6" spans="1:156" ht="14.15" customHeight="1" x14ac:dyDescent="0.25">
      <c r="A6" s="619" t="s">
        <v>155</v>
      </c>
      <c r="B6" s="1738" t="str">
        <f ca="1">IF(OR($N$2="",$N$2=0),"",IF(INDIRECT(ADDRESS(($AK6),COLUMN()+1,,,"Digitar Dados dos Ensaios"))&lt;&gt;"",INDIRECT(ADDRESS(($AK6),COLUMN()+1,,,"Digitar Dados dos Ensaios")),""))</f>
        <v/>
      </c>
      <c r="C6" s="1739"/>
      <c r="D6" s="620" t="s">
        <v>156</v>
      </c>
      <c r="E6" s="1732" t="str">
        <f ca="1">IF(OR($N$2="",$N$2=0),"",IF(INDIRECT(ADDRESS(($AK6)+1,COLUMN()-2,,,"Digitar Dados dos Ensaios"))&lt;&gt;"",INDIRECT(ADDRESS(($AK6)+1,COLUMN()-2,,,"Digitar Dados dos Ensaios")),""))</f>
        <v>-</v>
      </c>
      <c r="F6" s="1733" t="str">
        <f ca="1">IF(OR($N$2="",$N$2=0),"",IF(INDIRECT(ADDRESS(($AK6),COLUMN(),,,"Digitar Dados dos Ensaios"))&lt;&gt;"",INDIRECT(ADDRESS(($AK6),COLUMN(),,,"Digitar Dados dos Ensaios")),""))</f>
        <v>Marque com X se a Compactação é</v>
      </c>
      <c r="G6" s="715" t="s">
        <v>157</v>
      </c>
      <c r="H6" s="1732" t="str">
        <f ca="1">IF(OR($N$2="",$N$2=0),"",IF(INDIRECT(ADDRESS(($AK8),COLUMN()-5,,,"Digitar Dados dos Ensaios"))&lt;&gt;"",INDIRECT(ADDRESS(($AK8),COLUMN()-5,,,"Digitar Dados dos Ensaios")),""))</f>
        <v>AVALIAR</v>
      </c>
      <c r="I6" s="1732" t="str">
        <f t="shared" ref="I6:L7" ca="1" si="8">IF(OR($N$2="",$N$2=0),"",IF(INDIRECT(ADDRESS(($AK6),COLUMN()-2,,,"Digitar Dados dos Ensaios"))&lt;&gt;"",INDIRECT(ADDRESS(($AK6),COLUMN()-2,,,"Digitar Dados dos Ensaios")),""))</f>
        <v>Simples</v>
      </c>
      <c r="J6" s="1732" t="str">
        <f t="shared" ca="1" si="8"/>
        <v/>
      </c>
      <c r="K6" s="1732" t="str">
        <f t="shared" ca="1" si="8"/>
        <v>Nº da Cápsula</v>
      </c>
      <c r="L6" s="1733" t="str">
        <f t="shared" ca="1" si="8"/>
        <v/>
      </c>
      <c r="AK6" s="357">
        <f>AK1+2</f>
        <v>6</v>
      </c>
      <c r="AL6" s="372" t="str">
        <f t="shared" ref="AL6:AQ6" si="9">IF(AL7="","",IF($AS$1=TRUE,D19,IF($AS2=TRUE,D18,"")))</f>
        <v/>
      </c>
      <c r="AM6" s="372">
        <f t="shared" ca="1" si="9"/>
        <v>3.8586060232619943E-2</v>
      </c>
      <c r="AN6" s="372">
        <f t="shared" ca="1" si="9"/>
        <v>5.3721596155510309E-2</v>
      </c>
      <c r="AO6" s="372">
        <f t="shared" ca="1" si="9"/>
        <v>6.8857132078400676E-2</v>
      </c>
      <c r="AP6" s="372" t="str">
        <f t="shared" si="9"/>
        <v/>
      </c>
      <c r="AQ6" s="372" t="str">
        <f t="shared" si="9"/>
        <v/>
      </c>
      <c r="AR6" s="373">
        <f ca="1">AVERAGE(AL6:AQ6)</f>
        <v>5.3721596155510309E-2</v>
      </c>
      <c r="AS6" s="374" t="str">
        <f t="shared" ref="AS6:AX6" si="10">IF(ISNUMBER(AL9),AL9^2,"")</f>
        <v/>
      </c>
      <c r="AT6" s="374">
        <f t="shared" ca="1" si="10"/>
        <v>2.2908444767310475E-4</v>
      </c>
      <c r="AU6" s="374">
        <f t="shared" ca="1" si="10"/>
        <v>0</v>
      </c>
      <c r="AV6" s="374">
        <f t="shared" ca="1" si="10"/>
        <v>2.2908444767310475E-4</v>
      </c>
      <c r="AW6" s="374" t="str">
        <f t="shared" si="10"/>
        <v/>
      </c>
      <c r="AX6" s="374" t="str">
        <f t="shared" si="10"/>
        <v/>
      </c>
      <c r="AY6" s="375">
        <f ca="1">SUM(AS6:AX6)</f>
        <v>4.5816889534620951E-4</v>
      </c>
      <c r="AZ6" s="376" t="s">
        <v>28</v>
      </c>
      <c r="BA6" s="377">
        <f ca="1">-AV12/(2*AT12)</f>
        <v>6.0207044400483523E-2</v>
      </c>
      <c r="BB6" s="367"/>
      <c r="BC6" s="358"/>
      <c r="BD6" s="358"/>
      <c r="BE6" s="358"/>
      <c r="BF6" s="358"/>
      <c r="BG6" s="358"/>
      <c r="BH6" s="358"/>
      <c r="BI6" s="358"/>
      <c r="BJ6" s="358"/>
      <c r="BK6" s="358"/>
      <c r="BL6" s="358"/>
      <c r="BM6" s="358"/>
      <c r="BN6" s="358"/>
      <c r="BO6" s="358"/>
      <c r="BP6" s="358"/>
      <c r="BQ6" s="358"/>
      <c r="BR6" s="358"/>
      <c r="BS6" s="358"/>
      <c r="BT6" s="358"/>
      <c r="BU6" s="358"/>
      <c r="BV6" s="358"/>
      <c r="BW6" s="358"/>
      <c r="BX6" s="358"/>
      <c r="BY6" s="358"/>
      <c r="BZ6" s="358"/>
      <c r="CA6" s="358"/>
      <c r="CB6" s="358"/>
      <c r="CC6" s="358"/>
      <c r="CD6" s="358"/>
      <c r="CE6" s="358"/>
      <c r="CF6" s="358"/>
      <c r="CG6" s="358"/>
      <c r="CH6" s="358"/>
      <c r="CI6" s="358"/>
      <c r="CJ6" s="358"/>
      <c r="CK6" s="358"/>
      <c r="CL6" s="358"/>
      <c r="CM6" s="358"/>
      <c r="CN6" s="358"/>
      <c r="CO6" s="358"/>
      <c r="CP6" s="358"/>
      <c r="CQ6" s="358"/>
      <c r="CR6" s="358"/>
      <c r="CS6" s="358"/>
      <c r="CT6" s="358"/>
      <c r="CU6" s="358"/>
      <c r="CV6" s="358"/>
      <c r="CW6" s="358"/>
      <c r="CX6" s="358"/>
      <c r="CY6" s="358"/>
      <c r="CZ6" s="358"/>
      <c r="DA6" s="358"/>
      <c r="DB6" s="358"/>
      <c r="DC6" s="358"/>
      <c r="DD6" s="358"/>
      <c r="DE6" s="358"/>
      <c r="DF6" s="358"/>
      <c r="DG6" s="358"/>
      <c r="DH6" s="358"/>
      <c r="DI6" s="358"/>
      <c r="DJ6" s="358"/>
      <c r="DK6" s="358"/>
      <c r="DL6" s="358"/>
      <c r="DM6" s="358"/>
      <c r="DN6" s="358"/>
      <c r="DO6" s="358"/>
      <c r="DP6" s="358"/>
      <c r="DQ6" s="358"/>
      <c r="DR6" s="358"/>
      <c r="DS6" s="358"/>
      <c r="DT6" s="358"/>
      <c r="DU6" s="358"/>
      <c r="DV6" s="358"/>
      <c r="DW6" s="358"/>
      <c r="DX6" s="358"/>
      <c r="DY6" s="358"/>
      <c r="DZ6" s="358"/>
      <c r="EA6" s="358"/>
      <c r="EB6" s="358"/>
      <c r="EC6" s="358"/>
      <c r="ED6" s="358"/>
      <c r="EE6" s="358"/>
      <c r="EF6" s="358"/>
      <c r="EG6" s="358"/>
      <c r="EH6" s="358"/>
      <c r="EI6" s="358"/>
      <c r="EJ6" s="358"/>
      <c r="EK6" s="358"/>
      <c r="EL6" s="358"/>
      <c r="EM6" s="358"/>
      <c r="EN6" s="358"/>
      <c r="EO6" s="358"/>
      <c r="EP6" s="358"/>
      <c r="EQ6" s="358"/>
      <c r="ER6" s="358"/>
      <c r="ES6" s="358"/>
      <c r="ET6" s="358"/>
      <c r="EU6" s="358"/>
      <c r="EV6" s="358"/>
      <c r="EW6" s="358"/>
      <c r="EX6" s="358"/>
      <c r="EY6" s="358"/>
      <c r="EZ6" s="371"/>
    </row>
    <row r="7" spans="1:156" ht="14.15" customHeight="1" x14ac:dyDescent="0.25">
      <c r="A7" s="715" t="s">
        <v>158</v>
      </c>
      <c r="B7" s="1734" t="str">
        <f ca="1">IF(OR($N$2="",$N$2=0),"",IF(INDIRECT(ADDRESS(($AK$7-1),COLUMN()+1,,,"Digitar Dados dos Ensaios"))&lt;&gt;"",INDIRECT(ADDRESS(($AK$7-1),COLUMN()+1,,,"Digitar Dados dos Ensaios")),""))</f>
        <v>MODIFICADO</v>
      </c>
      <c r="C7" s="1735" t="str">
        <f ca="1">IF(OR($M$2="",$M$2=0),"",IF(INDIRECT(ADDRESS(($M$2-1)*4+4,COLUMN(),,,"Digitar Dados dos Ensaios"))&lt;&gt;"",INDIRECT(ADDRESS(($M$2-1)*4+4,COLUMN(),,,"Digitar Dados dos Ensaios")),""))</f>
        <v/>
      </c>
      <c r="D7" s="715" t="s">
        <v>159</v>
      </c>
      <c r="E7" s="607">
        <f ca="1">IF(OR($N$2="",$N$2=0),"",IF(INDIRECT(ADDRESS(($AK7),COLUMN()-2,,,"Digitar Dados dos Ensaios"))&lt;&gt;"",INDIRECT(ADDRESS(($AK7),COLUMN()-2,,,"Digitar Dados dos Ensaios")),""))</f>
        <v>55</v>
      </c>
      <c r="F7" s="608" t="str">
        <f ca="1">IF(OR($N$2="",$N$2=0),"",IF(INDIRECT(ADDRESS(($AK7),COLUMN(),,,"Digitar Dados dos Ensaios"))&lt;&gt;"",INDIRECT(ADDRESS(($AK7),COLUMN(),,,"Digitar Dados dos Ensaios")),""))</f>
        <v/>
      </c>
      <c r="G7" s="715" t="s">
        <v>160</v>
      </c>
      <c r="H7" s="1736" t="str">
        <f>'Digitar Dados dos Ensaios'!A1</f>
        <v>BR -163</v>
      </c>
      <c r="I7" s="1736" t="str">
        <f t="shared" ca="1" si="8"/>
        <v>Pela Higroscópica</v>
      </c>
      <c r="J7" s="1736" t="str">
        <f t="shared" ca="1" si="8"/>
        <v>X</v>
      </c>
      <c r="K7" s="1736" t="str">
        <f t="shared" ca="1" si="8"/>
        <v>Peso Bruto</v>
      </c>
      <c r="L7" s="1737">
        <f t="shared" ca="1" si="8"/>
        <v>9575</v>
      </c>
      <c r="AK7" s="357">
        <f>AK6+5</f>
        <v>11</v>
      </c>
      <c r="AL7" s="378" t="str">
        <f t="shared" ref="AL7:AQ7" si="11">IF(AL$1=TRUE,D29,"")</f>
        <v/>
      </c>
      <c r="AM7" s="378">
        <f t="shared" ca="1" si="11"/>
        <v>2018.6054093588696</v>
      </c>
      <c r="AN7" s="378">
        <f t="shared" ca="1" si="11"/>
        <v>2245.588255080645</v>
      </c>
      <c r="AO7" s="378">
        <f t="shared" ca="1" si="11"/>
        <v>2228.1069891827028</v>
      </c>
      <c r="AP7" s="378" t="str">
        <f t="shared" si="11"/>
        <v/>
      </c>
      <c r="AQ7" s="378" t="str">
        <f t="shared" si="11"/>
        <v/>
      </c>
      <c r="AR7" s="374">
        <f ca="1">AVERAGE(AL7:AQ7)</f>
        <v>2164.1002178740723</v>
      </c>
      <c r="AS7" s="374" t="str">
        <f t="shared" ref="AS7:AX7" si="12">IF(ISNUMBER(AL11),AL11^2,"")</f>
        <v/>
      </c>
      <c r="AT7" s="374">
        <f t="shared" ca="1" si="12"/>
        <v>2.4020313472979895E-6</v>
      </c>
      <c r="AU7" s="374">
        <f t="shared" ca="1" si="12"/>
        <v>2.3324304073640619E-8</v>
      </c>
      <c r="AV7" s="374">
        <f t="shared" ca="1" si="12"/>
        <v>2.8987506641835316E-6</v>
      </c>
      <c r="AW7" s="374" t="str">
        <f t="shared" si="12"/>
        <v/>
      </c>
      <c r="AX7" s="374" t="str">
        <f t="shared" si="12"/>
        <v/>
      </c>
      <c r="AY7" s="375">
        <f ca="1">SUM(AS7:AX7)</f>
        <v>5.324106315555162E-6</v>
      </c>
      <c r="AZ7" s="376" t="s">
        <v>47</v>
      </c>
      <c r="BA7" s="379">
        <f ca="1">AT12*BA6^2+AV12*BA6+AX12</f>
        <v>2268.0306657773899</v>
      </c>
      <c r="BB7" s="367"/>
      <c r="BC7" s="358"/>
      <c r="BD7" s="358"/>
      <c r="BE7" s="358"/>
      <c r="BF7" s="358"/>
      <c r="BG7" s="358"/>
      <c r="BH7" s="358"/>
      <c r="BI7" s="358"/>
      <c r="BJ7" s="358"/>
      <c r="BK7" s="358"/>
      <c r="BL7" s="358"/>
      <c r="BM7" s="358"/>
      <c r="BN7" s="358"/>
      <c r="BO7" s="358"/>
      <c r="BP7" s="358"/>
      <c r="BQ7" s="358"/>
      <c r="BR7" s="358"/>
      <c r="BS7" s="358"/>
      <c r="BT7" s="358"/>
      <c r="BU7" s="358"/>
      <c r="BV7" s="358"/>
      <c r="BW7" s="358"/>
      <c r="BX7" s="358"/>
      <c r="BY7" s="358"/>
      <c r="BZ7" s="358"/>
      <c r="CA7" s="358"/>
      <c r="CB7" s="358"/>
      <c r="CC7" s="358"/>
      <c r="CD7" s="358"/>
      <c r="CE7" s="358"/>
      <c r="CF7" s="358"/>
      <c r="CG7" s="358"/>
      <c r="CH7" s="358"/>
      <c r="CI7" s="358"/>
      <c r="CJ7" s="358"/>
      <c r="CK7" s="358"/>
      <c r="CL7" s="358"/>
      <c r="CM7" s="358"/>
      <c r="CN7" s="358"/>
      <c r="CO7" s="358"/>
      <c r="CP7" s="358"/>
      <c r="CQ7" s="358"/>
      <c r="CR7" s="358"/>
      <c r="CS7" s="358"/>
      <c r="CT7" s="358"/>
      <c r="CU7" s="358"/>
      <c r="CV7" s="358"/>
      <c r="CW7" s="358"/>
      <c r="CX7" s="358"/>
      <c r="CY7" s="358"/>
      <c r="CZ7" s="358"/>
      <c r="DA7" s="358"/>
      <c r="DB7" s="358"/>
      <c r="DC7" s="358"/>
      <c r="DD7" s="358"/>
      <c r="DE7" s="358"/>
      <c r="DF7" s="358"/>
      <c r="DG7" s="358"/>
      <c r="DH7" s="358"/>
      <c r="DI7" s="358"/>
      <c r="DJ7" s="358"/>
      <c r="DK7" s="358"/>
      <c r="DL7" s="358"/>
      <c r="DM7" s="358"/>
      <c r="DN7" s="358"/>
      <c r="DO7" s="358"/>
      <c r="DP7" s="358"/>
      <c r="DQ7" s="358"/>
      <c r="DR7" s="358"/>
      <c r="DS7" s="358"/>
      <c r="DT7" s="358"/>
      <c r="DU7" s="358"/>
      <c r="DV7" s="358"/>
      <c r="DW7" s="358"/>
      <c r="DX7" s="358"/>
      <c r="DY7" s="358"/>
      <c r="DZ7" s="358"/>
      <c r="EA7" s="358"/>
      <c r="EB7" s="358"/>
      <c r="EC7" s="358"/>
      <c r="ED7" s="358"/>
      <c r="EE7" s="358"/>
      <c r="EF7" s="358"/>
      <c r="EG7" s="358"/>
      <c r="EH7" s="358"/>
      <c r="EI7" s="358"/>
      <c r="EJ7" s="358"/>
      <c r="EK7" s="358"/>
      <c r="EL7" s="358"/>
      <c r="EM7" s="358"/>
      <c r="EN7" s="358"/>
      <c r="EO7" s="358"/>
      <c r="EP7" s="358"/>
      <c r="EQ7" s="358"/>
      <c r="ER7" s="358"/>
      <c r="ES7" s="358"/>
      <c r="ET7" s="358"/>
      <c r="EU7" s="358"/>
      <c r="EV7" s="358"/>
      <c r="EW7" s="358"/>
      <c r="EX7" s="358"/>
      <c r="EY7" s="358"/>
      <c r="EZ7" s="371"/>
    </row>
    <row r="8" spans="1:156" ht="14.15" customHeight="1" x14ac:dyDescent="0.25">
      <c r="A8" s="715" t="s">
        <v>161</v>
      </c>
      <c r="B8" s="1740" t="str">
        <f>'Digitar Dados dos Ensaios'!A2</f>
        <v>Nova Mutum- MT</v>
      </c>
      <c r="C8" s="1740"/>
      <c r="D8" s="1740"/>
      <c r="E8" s="1740"/>
      <c r="F8" s="1740"/>
      <c r="G8" s="1740"/>
      <c r="H8" s="1740"/>
      <c r="I8" s="1740"/>
      <c r="J8" s="1740"/>
      <c r="K8" s="1740"/>
      <c r="L8" s="1741"/>
      <c r="AK8" s="357">
        <f>AK1+4</f>
        <v>8</v>
      </c>
      <c r="AL8" s="380" t="str">
        <f t="shared" ref="AL8:AQ8" si="13">IF(ISNUMBER(AL6),AL6^2,"")</f>
        <v/>
      </c>
      <c r="AM8" s="380">
        <f t="shared" ca="1" si="13"/>
        <v>1.4888840442753742E-3</v>
      </c>
      <c r="AN8" s="380">
        <f t="shared" ca="1" si="13"/>
        <v>2.8860098934957402E-3</v>
      </c>
      <c r="AO8" s="380">
        <f t="shared" ca="1" si="13"/>
        <v>4.7413046380623157E-3</v>
      </c>
      <c r="AP8" s="380" t="str">
        <f t="shared" si="13"/>
        <v/>
      </c>
      <c r="AQ8" s="381" t="str">
        <f t="shared" si="13"/>
        <v/>
      </c>
      <c r="AR8" s="374">
        <f ca="1">AVERAGE(AL8:AQ8)</f>
        <v>3.0387328586111433E-3</v>
      </c>
      <c r="AS8" s="374" t="str">
        <f t="shared" ref="AS8:AX8" si="14">IF(ISERROR(AL10*AL10),"",AL9*AL10)</f>
        <v/>
      </c>
      <c r="AT8" s="374">
        <f t="shared" ca="1" si="14"/>
        <v>2.2021419008759064</v>
      </c>
      <c r="AU8" s="374">
        <f t="shared" ca="1" si="14"/>
        <v>0</v>
      </c>
      <c r="AV8" s="374">
        <f t="shared" ca="1" si="14"/>
        <v>0.96877678645000542</v>
      </c>
      <c r="AW8" s="374" t="str">
        <f t="shared" si="14"/>
        <v/>
      </c>
      <c r="AX8" s="374" t="str">
        <f t="shared" si="14"/>
        <v/>
      </c>
      <c r="AY8" s="375">
        <f ca="1">SUM(AS8:AX8)</f>
        <v>3.1709186873259121</v>
      </c>
      <c r="AZ8" s="382"/>
      <c r="BA8" s="383"/>
      <c r="BB8" s="367"/>
      <c r="BC8" s="358"/>
      <c r="BD8" s="358"/>
      <c r="BE8" s="358"/>
      <c r="BF8" s="358"/>
      <c r="BG8" s="358"/>
      <c r="BH8" s="358"/>
      <c r="BI8" s="358"/>
      <c r="BJ8" s="358"/>
      <c r="BK8" s="358"/>
      <c r="BL8" s="358"/>
      <c r="BM8" s="358"/>
      <c r="BN8" s="358"/>
      <c r="BO8" s="358"/>
      <c r="BP8" s="358"/>
      <c r="BQ8" s="358"/>
      <c r="BR8" s="358"/>
      <c r="BS8" s="358"/>
      <c r="BT8" s="358"/>
      <c r="BU8" s="358"/>
      <c r="BV8" s="358"/>
      <c r="BW8" s="358"/>
      <c r="BX8" s="358"/>
      <c r="BY8" s="358"/>
      <c r="BZ8" s="358"/>
      <c r="CA8" s="358"/>
      <c r="CB8" s="358"/>
      <c r="CC8" s="358"/>
      <c r="CD8" s="358"/>
      <c r="CE8" s="358"/>
      <c r="CF8" s="358"/>
      <c r="CG8" s="358"/>
      <c r="CH8" s="358"/>
      <c r="CI8" s="358"/>
      <c r="CJ8" s="358"/>
      <c r="CK8" s="358"/>
      <c r="CL8" s="358"/>
      <c r="CM8" s="358"/>
      <c r="CN8" s="358"/>
      <c r="CO8" s="358"/>
      <c r="CP8" s="358"/>
      <c r="CQ8" s="358"/>
      <c r="CR8" s="358"/>
      <c r="CS8" s="358"/>
      <c r="CT8" s="358"/>
      <c r="CU8" s="358"/>
      <c r="CV8" s="358"/>
      <c r="CW8" s="358"/>
      <c r="CX8" s="358"/>
      <c r="CY8" s="358"/>
      <c r="CZ8" s="358"/>
      <c r="DA8" s="358"/>
      <c r="DB8" s="358"/>
      <c r="DC8" s="358"/>
      <c r="DD8" s="358"/>
      <c r="DE8" s="358"/>
      <c r="DF8" s="358"/>
      <c r="DG8" s="358"/>
      <c r="DH8" s="358"/>
      <c r="DI8" s="358"/>
      <c r="DJ8" s="358"/>
      <c r="DK8" s="358"/>
      <c r="DL8" s="358"/>
      <c r="DM8" s="358"/>
      <c r="DN8" s="358"/>
      <c r="DO8" s="358"/>
      <c r="DP8" s="358"/>
      <c r="DQ8" s="358"/>
      <c r="DR8" s="358"/>
      <c r="DS8" s="358"/>
      <c r="DT8" s="358"/>
      <c r="DU8" s="358"/>
      <c r="DV8" s="358"/>
      <c r="DW8" s="358"/>
      <c r="DX8" s="358"/>
      <c r="DY8" s="358"/>
      <c r="DZ8" s="358"/>
      <c r="EA8" s="358"/>
      <c r="EB8" s="358"/>
      <c r="EC8" s="358"/>
      <c r="ED8" s="358"/>
      <c r="EE8" s="358"/>
      <c r="EF8" s="358"/>
      <c r="EG8" s="358"/>
      <c r="EH8" s="358"/>
      <c r="EI8" s="358"/>
      <c r="EJ8" s="358"/>
      <c r="EK8" s="358"/>
      <c r="EL8" s="358"/>
      <c r="EM8" s="358"/>
      <c r="EN8" s="358"/>
      <c r="EO8" s="358"/>
      <c r="EP8" s="358"/>
      <c r="EQ8" s="358"/>
      <c r="ER8" s="358"/>
      <c r="ES8" s="358"/>
      <c r="ET8" s="358"/>
      <c r="EU8" s="358"/>
      <c r="EV8" s="358"/>
      <c r="EW8" s="358"/>
      <c r="EX8" s="358"/>
      <c r="EY8" s="358"/>
      <c r="EZ8" s="371"/>
    </row>
    <row r="9" spans="1:156" ht="14.15" customHeight="1" x14ac:dyDescent="0.25">
      <c r="A9" s="644" t="s">
        <v>162</v>
      </c>
      <c r="B9" s="1742">
        <f>'Digitar Dados dos Ensaios'!A3</f>
        <v>0</v>
      </c>
      <c r="C9" s="1742"/>
      <c r="D9" s="1742"/>
      <c r="E9" s="1742"/>
      <c r="F9" s="1742"/>
      <c r="G9" s="1742"/>
      <c r="H9" s="1742"/>
      <c r="I9" s="1742"/>
      <c r="J9" s="1742"/>
      <c r="K9" s="1742"/>
      <c r="L9" s="1743"/>
      <c r="AK9" s="357">
        <f>AK8+1</f>
        <v>9</v>
      </c>
      <c r="AL9" s="380" t="str">
        <f>IF(ISNUMBER(AL6),AL6-$AR6,"")</f>
        <v/>
      </c>
      <c r="AM9" s="380">
        <f t="shared" ref="AM9:AQ11" ca="1" si="15">IF(ISNUMBER(AM6),AM6-$AR6,"")</f>
        <v>-1.5135535922890367E-2</v>
      </c>
      <c r="AN9" s="380">
        <f t="shared" ca="1" si="15"/>
        <v>0</v>
      </c>
      <c r="AO9" s="380">
        <f t="shared" ca="1" si="15"/>
        <v>1.5135535922890367E-2</v>
      </c>
      <c r="AP9" s="380" t="str">
        <f t="shared" si="15"/>
        <v/>
      </c>
      <c r="AQ9" s="380" t="str">
        <f t="shared" si="15"/>
        <v/>
      </c>
      <c r="AR9" s="384"/>
      <c r="AS9" s="374" t="str">
        <f t="shared" ref="AS9:AX9" si="16">IF(ISERROR(AL10*AL11),"",AL10*AL11)</f>
        <v/>
      </c>
      <c r="AT9" s="374">
        <f t="shared" ca="1" si="16"/>
        <v>0.22549495646929674</v>
      </c>
      <c r="AU9" s="374">
        <f t="shared" ca="1" si="16"/>
        <v>-1.2445094663622069E-2</v>
      </c>
      <c r="AV9" s="374">
        <f t="shared" ca="1" si="16"/>
        <v>0.10897612252385928</v>
      </c>
      <c r="AW9" s="374" t="str">
        <f t="shared" si="16"/>
        <v/>
      </c>
      <c r="AX9" s="374" t="str">
        <f t="shared" si="16"/>
        <v/>
      </c>
      <c r="AY9" s="375">
        <f ca="1">SUM(AS9:AX9)</f>
        <v>0.32202598432953394</v>
      </c>
      <c r="AZ9" s="709"/>
      <c r="BA9" s="385"/>
      <c r="BB9" s="367"/>
      <c r="BC9" s="358"/>
      <c r="BD9" s="358"/>
      <c r="BE9" s="358"/>
      <c r="BF9" s="358"/>
      <c r="BG9" s="358"/>
      <c r="BH9" s="358"/>
      <c r="BI9" s="358"/>
      <c r="BJ9" s="358"/>
      <c r="BK9" s="358"/>
      <c r="BL9" s="358"/>
      <c r="BM9" s="358"/>
      <c r="BN9" s="358"/>
      <c r="BO9" s="358"/>
      <c r="BP9" s="358"/>
      <c r="BQ9" s="358"/>
      <c r="BR9" s="358"/>
      <c r="BS9" s="358"/>
      <c r="BT9" s="358"/>
      <c r="BU9" s="358"/>
      <c r="BV9" s="358"/>
      <c r="BW9" s="358"/>
      <c r="BX9" s="358"/>
      <c r="BY9" s="358"/>
      <c r="BZ9" s="358"/>
      <c r="CA9" s="358"/>
      <c r="CB9" s="358"/>
      <c r="CC9" s="358"/>
      <c r="CD9" s="358"/>
      <c r="CE9" s="358"/>
      <c r="CF9" s="358"/>
      <c r="CG9" s="358"/>
      <c r="CH9" s="358"/>
      <c r="CI9" s="358"/>
      <c r="CJ9" s="358"/>
      <c r="CK9" s="358"/>
      <c r="CL9" s="358"/>
      <c r="CM9" s="358"/>
      <c r="CN9" s="358"/>
      <c r="CO9" s="358"/>
      <c r="CP9" s="358"/>
      <c r="CQ9" s="358"/>
      <c r="CR9" s="358"/>
      <c r="CS9" s="358"/>
      <c r="CT9" s="358"/>
      <c r="CU9" s="358"/>
      <c r="CV9" s="358"/>
      <c r="CW9" s="358"/>
      <c r="CX9" s="358"/>
      <c r="CY9" s="358"/>
      <c r="CZ9" s="358"/>
      <c r="DA9" s="358"/>
      <c r="DB9" s="358"/>
      <c r="DC9" s="358"/>
      <c r="DD9" s="358"/>
      <c r="DE9" s="358"/>
      <c r="DF9" s="358"/>
      <c r="DG9" s="358"/>
      <c r="DH9" s="358"/>
      <c r="DI9" s="358"/>
      <c r="DJ9" s="358"/>
      <c r="DK9" s="358"/>
      <c r="DL9" s="358"/>
      <c r="DM9" s="358"/>
      <c r="DN9" s="358"/>
      <c r="DO9" s="358"/>
      <c r="DP9" s="358"/>
      <c r="DQ9" s="358"/>
      <c r="DR9" s="358"/>
      <c r="DS9" s="358"/>
      <c r="DT9" s="358"/>
      <c r="DU9" s="358"/>
      <c r="DV9" s="358"/>
      <c r="DW9" s="358"/>
      <c r="DX9" s="358"/>
      <c r="DY9" s="358"/>
      <c r="DZ9" s="358"/>
      <c r="EA9" s="358"/>
      <c r="EB9" s="358"/>
      <c r="EC9" s="358"/>
      <c r="ED9" s="358"/>
      <c r="EE9" s="358"/>
      <c r="EF9" s="358"/>
      <c r="EG9" s="358"/>
      <c r="EH9" s="358"/>
      <c r="EI9" s="358"/>
      <c r="EJ9" s="358"/>
      <c r="EK9" s="358"/>
      <c r="EL9" s="358"/>
      <c r="EM9" s="358"/>
      <c r="EN9" s="358"/>
      <c r="EO9" s="358"/>
      <c r="EP9" s="358"/>
      <c r="EQ9" s="358"/>
      <c r="ER9" s="358"/>
      <c r="ES9" s="358"/>
      <c r="ET9" s="358"/>
      <c r="EU9" s="358"/>
      <c r="EV9" s="358"/>
      <c r="EW9" s="358"/>
      <c r="EX9" s="358"/>
      <c r="EY9" s="358"/>
      <c r="EZ9" s="371"/>
    </row>
    <row r="10" spans="1:156" ht="5.15" customHeight="1" x14ac:dyDescent="0.25">
      <c r="A10" s="642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643"/>
      <c r="AK10" s="357"/>
      <c r="AL10" s="384" t="str">
        <f>IF(ISNUMBER(AL7),AL7-$AR7,"")</f>
        <v/>
      </c>
      <c r="AM10" s="384">
        <f t="shared" ca="1" si="15"/>
        <v>-145.49480851520275</v>
      </c>
      <c r="AN10" s="384">
        <f t="shared" ca="1" si="15"/>
        <v>81.488037206572699</v>
      </c>
      <c r="AO10" s="384">
        <f t="shared" ca="1" si="15"/>
        <v>64.006771308630505</v>
      </c>
      <c r="AP10" s="384" t="str">
        <f t="shared" si="15"/>
        <v/>
      </c>
      <c r="AQ10" s="386" t="str">
        <f t="shared" si="15"/>
        <v/>
      </c>
      <c r="AR10" s="386"/>
      <c r="AS10" s="384" t="str">
        <f t="shared" ref="AS10:AX10" si="17">IF(ISERROR(AL9*AL11),"",AL9*AL11)</f>
        <v/>
      </c>
      <c r="AT10" s="384">
        <f t="shared" ca="1" si="17"/>
        <v>2.3457792404428077E-5</v>
      </c>
      <c r="AU10" s="384">
        <f t="shared" ca="1" si="17"/>
        <v>0</v>
      </c>
      <c r="AV10" s="384">
        <f t="shared" ca="1" si="17"/>
        <v>2.5769336329182593E-5</v>
      </c>
      <c r="AW10" s="384" t="str">
        <f t="shared" si="17"/>
        <v/>
      </c>
      <c r="AX10" s="384" t="str">
        <f t="shared" si="17"/>
        <v/>
      </c>
      <c r="AY10" s="375">
        <f ca="1">SUM(AS10:AX10)</f>
        <v>4.9227128733610667E-5</v>
      </c>
      <c r="AZ10" s="709"/>
      <c r="BA10" s="385"/>
      <c r="BB10" s="367"/>
      <c r="BC10" s="358"/>
      <c r="BD10" s="358"/>
      <c r="BE10" s="358"/>
      <c r="BF10" s="358"/>
      <c r="BG10" s="358"/>
      <c r="BH10" s="358"/>
      <c r="BI10" s="358"/>
      <c r="BJ10" s="358"/>
      <c r="BK10" s="358"/>
      <c r="BL10" s="358"/>
      <c r="BM10" s="358"/>
      <c r="BN10" s="358"/>
      <c r="BO10" s="358"/>
      <c r="BP10" s="358"/>
      <c r="BQ10" s="358"/>
      <c r="BR10" s="358"/>
      <c r="BS10" s="358"/>
      <c r="BT10" s="358"/>
      <c r="BU10" s="358"/>
      <c r="BV10" s="358"/>
      <c r="BW10" s="358"/>
      <c r="BX10" s="358"/>
      <c r="BY10" s="358"/>
      <c r="BZ10" s="358"/>
      <c r="CA10" s="358"/>
      <c r="CB10" s="358"/>
      <c r="CC10" s="358"/>
      <c r="CD10" s="358"/>
      <c r="CE10" s="358"/>
      <c r="CF10" s="358"/>
      <c r="CG10" s="358"/>
      <c r="CH10" s="358"/>
      <c r="CI10" s="358"/>
      <c r="CJ10" s="358"/>
      <c r="CK10" s="358"/>
      <c r="CL10" s="358"/>
      <c r="CM10" s="358"/>
      <c r="CN10" s="358"/>
      <c r="CO10" s="358"/>
      <c r="CP10" s="358"/>
      <c r="CQ10" s="358"/>
      <c r="CR10" s="358"/>
      <c r="CS10" s="358"/>
      <c r="CT10" s="358"/>
      <c r="CU10" s="358"/>
      <c r="CV10" s="358"/>
      <c r="CW10" s="358"/>
      <c r="CX10" s="358"/>
      <c r="CY10" s="358"/>
      <c r="CZ10" s="358"/>
      <c r="DA10" s="358"/>
      <c r="DB10" s="358"/>
      <c r="DC10" s="358"/>
      <c r="DD10" s="358"/>
      <c r="DE10" s="358"/>
      <c r="DF10" s="358"/>
      <c r="DG10" s="358"/>
      <c r="DH10" s="358"/>
      <c r="DI10" s="358"/>
      <c r="DJ10" s="358"/>
      <c r="DK10" s="358"/>
      <c r="DL10" s="358"/>
      <c r="DM10" s="358"/>
      <c r="DN10" s="358"/>
      <c r="DO10" s="358"/>
      <c r="DP10" s="358"/>
      <c r="DQ10" s="358"/>
      <c r="DR10" s="358"/>
      <c r="DS10" s="358"/>
      <c r="DT10" s="358"/>
      <c r="DU10" s="358"/>
      <c r="DV10" s="358"/>
      <c r="DW10" s="358"/>
      <c r="DX10" s="358"/>
      <c r="DY10" s="358"/>
      <c r="DZ10" s="358"/>
      <c r="EA10" s="358"/>
      <c r="EB10" s="358"/>
      <c r="EC10" s="358"/>
      <c r="ED10" s="358"/>
      <c r="EE10" s="358"/>
      <c r="EF10" s="358"/>
      <c r="EG10" s="358"/>
      <c r="EH10" s="358"/>
      <c r="EI10" s="358"/>
      <c r="EJ10" s="358"/>
      <c r="EK10" s="358"/>
      <c r="EL10" s="358"/>
      <c r="EM10" s="358"/>
      <c r="EN10" s="358"/>
      <c r="EO10" s="358"/>
      <c r="EP10" s="358"/>
      <c r="EQ10" s="358"/>
      <c r="ER10" s="358"/>
      <c r="ES10" s="358"/>
      <c r="ET10" s="358"/>
      <c r="EU10" s="358"/>
      <c r="EV10" s="358"/>
      <c r="EW10" s="358"/>
      <c r="EX10" s="358"/>
      <c r="EY10" s="358"/>
      <c r="EZ10" s="371"/>
    </row>
    <row r="11" spans="1:156" ht="14.15" customHeight="1" x14ac:dyDescent="0.3">
      <c r="A11" s="1702" t="s">
        <v>163</v>
      </c>
      <c r="B11" s="1703"/>
      <c r="C11" s="276" t="s">
        <v>164</v>
      </c>
      <c r="D11" s="276">
        <f ca="1">IF(OR($N$2="",$N$2=0),"",IF(INDIRECT(ADDRESS(($AK11),COLUMN()+6,,,"Digitar Dados dos Ensaios"))&lt;&gt;"",INDIRECT(ADDRESS(($AK11),COLUMN()+6,,,"Digitar Dados dos Ensaios")),""))</f>
        <v>1</v>
      </c>
      <c r="E11" s="276">
        <f t="shared" ref="E11:J14" ca="1" si="18">IF(OR($N$2="",$N$2=0),"",IF(INDIRECT(ADDRESS(($AK11),COLUMN()+6,,,"Digitar Dados dos Ensaios"))&lt;&gt;"",INDIRECT(ADDRESS(($AK11),COLUMN()+6,,,"Digitar Dados dos Ensaios")),""))</f>
        <v>2</v>
      </c>
      <c r="F11" s="276">
        <f t="shared" ca="1" si="18"/>
        <v>3</v>
      </c>
      <c r="G11" s="276">
        <f t="shared" ca="1" si="18"/>
        <v>4</v>
      </c>
      <c r="H11" s="276">
        <f t="shared" ca="1" si="18"/>
        <v>5</v>
      </c>
      <c r="I11" s="1704" t="str">
        <f t="shared" ca="1" si="18"/>
        <v/>
      </c>
      <c r="J11" s="1705" t="str">
        <f t="shared" ca="1" si="18"/>
        <v>Umidade Higroscópica</v>
      </c>
      <c r="K11" s="242" t="s">
        <v>12</v>
      </c>
      <c r="L11" s="243"/>
      <c r="M11" s="1683" t="s">
        <v>165</v>
      </c>
      <c r="N11" s="1683"/>
      <c r="AK11" s="357">
        <f>AK1+1</f>
        <v>5</v>
      </c>
      <c r="AL11" s="374" t="str">
        <f>IF(ISNUMBER(AL8),AL8-$AR8,"")</f>
        <v/>
      </c>
      <c r="AM11" s="374">
        <f t="shared" ca="1" si="15"/>
        <v>-1.5498488143357691E-3</v>
      </c>
      <c r="AN11" s="374">
        <f t="shared" ca="1" si="15"/>
        <v>-1.5272296511540306E-4</v>
      </c>
      <c r="AO11" s="374">
        <f t="shared" ca="1" si="15"/>
        <v>1.7025717794511724E-3</v>
      </c>
      <c r="AP11" s="374" t="str">
        <f t="shared" si="15"/>
        <v/>
      </c>
      <c r="AQ11" s="387" t="str">
        <f t="shared" si="15"/>
        <v/>
      </c>
      <c r="AR11" s="387"/>
      <c r="AS11" s="386"/>
      <c r="AT11" s="386"/>
      <c r="AU11" s="386"/>
      <c r="AV11" s="386"/>
      <c r="AW11" s="386"/>
      <c r="AX11" s="386"/>
      <c r="AY11" s="386"/>
      <c r="AZ11" s="375"/>
      <c r="BA11" s="388"/>
      <c r="BB11" s="367"/>
      <c r="BC11" s="358"/>
      <c r="BD11" s="358"/>
      <c r="BE11" s="358"/>
      <c r="BF11" s="358"/>
      <c r="BG11" s="358"/>
      <c r="BH11" s="358"/>
      <c r="BI11" s="358"/>
      <c r="BJ11" s="358"/>
      <c r="BK11" s="358"/>
      <c r="BL11" s="358"/>
      <c r="BM11" s="358"/>
      <c r="BN11" s="358"/>
      <c r="BO11" s="358"/>
      <c r="BP11" s="358"/>
      <c r="BQ11" s="358"/>
      <c r="BR11" s="358"/>
      <c r="BS11" s="358"/>
      <c r="BT11" s="358"/>
      <c r="BU11" s="358"/>
      <c r="BV11" s="358"/>
      <c r="BW11" s="358"/>
      <c r="BX11" s="358"/>
      <c r="BY11" s="358"/>
      <c r="BZ11" s="358"/>
      <c r="CA11" s="358"/>
      <c r="CB11" s="358"/>
      <c r="CC11" s="358"/>
      <c r="CD11" s="358"/>
      <c r="CE11" s="358"/>
      <c r="CF11" s="358"/>
      <c r="CG11" s="358"/>
      <c r="CH11" s="358"/>
      <c r="CI11" s="358"/>
      <c r="CJ11" s="358"/>
      <c r="CK11" s="358"/>
      <c r="CL11" s="358"/>
      <c r="CM11" s="358"/>
      <c r="CN11" s="358"/>
      <c r="CO11" s="358"/>
      <c r="CP11" s="358"/>
      <c r="CQ11" s="358"/>
      <c r="CR11" s="358"/>
      <c r="CS11" s="358"/>
      <c r="CT11" s="358"/>
      <c r="CU11" s="358"/>
      <c r="CV11" s="358"/>
      <c r="CW11" s="358"/>
      <c r="CX11" s="358"/>
      <c r="CY11" s="358"/>
      <c r="CZ11" s="358"/>
      <c r="DA11" s="358"/>
      <c r="DB11" s="358"/>
      <c r="DC11" s="358"/>
      <c r="DD11" s="358"/>
      <c r="DE11" s="358"/>
      <c r="DF11" s="358"/>
      <c r="DG11" s="358"/>
      <c r="DH11" s="358"/>
      <c r="DI11" s="358"/>
      <c r="DJ11" s="358"/>
      <c r="DK11" s="358"/>
      <c r="DL11" s="358"/>
      <c r="DM11" s="358"/>
      <c r="DN11" s="358"/>
      <c r="DO11" s="358"/>
      <c r="DP11" s="358"/>
      <c r="DQ11" s="358"/>
      <c r="DR11" s="358"/>
      <c r="DS11" s="358"/>
      <c r="DT11" s="358"/>
      <c r="DU11" s="358"/>
      <c r="DV11" s="358"/>
      <c r="DW11" s="358"/>
      <c r="DX11" s="358"/>
      <c r="DY11" s="358"/>
      <c r="DZ11" s="358"/>
      <c r="EA11" s="358"/>
      <c r="EB11" s="358"/>
      <c r="EC11" s="358"/>
      <c r="ED11" s="358"/>
      <c r="EE11" s="358"/>
      <c r="EF11" s="358"/>
      <c r="EG11" s="358"/>
      <c r="EH11" s="358"/>
      <c r="EI11" s="358"/>
      <c r="EJ11" s="358"/>
      <c r="EK11" s="358"/>
      <c r="EL11" s="358"/>
      <c r="EM11" s="358"/>
      <c r="EN11" s="358"/>
      <c r="EO11" s="358"/>
      <c r="EP11" s="358"/>
      <c r="EQ11" s="358"/>
      <c r="ER11" s="358"/>
      <c r="ES11" s="358"/>
      <c r="ET11" s="358"/>
      <c r="EU11" s="358"/>
      <c r="EV11" s="358"/>
      <c r="EW11" s="358"/>
      <c r="EX11" s="358"/>
      <c r="EY11" s="358"/>
      <c r="EZ11" s="371"/>
    </row>
    <row r="12" spans="1:156" ht="12" customHeight="1" x14ac:dyDescent="0.25">
      <c r="A12" s="1728" t="s">
        <v>166</v>
      </c>
      <c r="B12" s="1729"/>
      <c r="C12" s="749" t="s">
        <v>56</v>
      </c>
      <c r="D12" s="750" t="str">
        <f ca="1">IF(OR($N$2="",$N$2=0),"",IF(INDIRECT(ADDRESS(($AK12),COLUMN()+6,,,"Digitar Dados dos Ensaios"))&lt;&gt;"",INDIRECT(ADDRESS(($AK12),COLUMN()+6,,,"Digitar Dados dos Ensaios")),""))</f>
        <v/>
      </c>
      <c r="E12" s="750" t="str">
        <f t="shared" ca="1" si="18"/>
        <v/>
      </c>
      <c r="F12" s="750" t="str">
        <f t="shared" ca="1" si="18"/>
        <v/>
      </c>
      <c r="G12" s="750" t="str">
        <f t="shared" ca="1" si="18"/>
        <v/>
      </c>
      <c r="H12" s="750" t="str">
        <f t="shared" ca="1" si="18"/>
        <v/>
      </c>
      <c r="I12" s="1730" t="str">
        <f t="shared" ca="1" si="18"/>
        <v/>
      </c>
      <c r="J12" s="1731">
        <f t="shared" ca="1" si="18"/>
        <v>10</v>
      </c>
      <c r="K12" s="1234">
        <f t="shared" ref="K12:L14" ca="1" si="19">IF(OR($N$2="",$N$2=0),"",IF(INDIRECT(ADDRESS(($AK12),COLUMN()+5,,,"Digitar Dados dos Ensaios"))&lt;&gt;"",INDIRECT(ADDRESS(($AK12),COLUMN()+5,,,"Digitar Dados dos Ensaios")),""))</f>
        <v>10</v>
      </c>
      <c r="L12" s="751">
        <f t="shared" ca="1" si="19"/>
        <v>21</v>
      </c>
      <c r="M12" s="23"/>
      <c r="N12" s="23"/>
      <c r="AK12" s="357">
        <f>AK1+2</f>
        <v>6</v>
      </c>
      <c r="AL12" s="372" t="e">
        <f>IF(OR(AL6="",AL6=0),NA(),AL6)</f>
        <v>#N/A</v>
      </c>
      <c r="AM12" s="372">
        <f t="shared" ref="AM12:AQ13" ca="1" si="20">IF(OR(AM6="",AM6=0),NA(),AM6)</f>
        <v>3.8586060232619943E-2</v>
      </c>
      <c r="AN12" s="372">
        <f t="shared" ca="1" si="20"/>
        <v>5.3721596155510309E-2</v>
      </c>
      <c r="AO12" s="372">
        <f t="shared" ca="1" si="20"/>
        <v>6.8857132078400676E-2</v>
      </c>
      <c r="AP12" s="372" t="e">
        <f t="shared" si="20"/>
        <v>#N/A</v>
      </c>
      <c r="AQ12" s="372" t="e">
        <f>IF(OR(AQ6="",AQ6=0),NA(),AQ6)</f>
        <v>#N/A</v>
      </c>
      <c r="AR12" s="387"/>
      <c r="AS12" s="375" t="s">
        <v>101</v>
      </c>
      <c r="AT12" s="389">
        <f ca="1">(AY8*AY10-AY9*AY6)/(AY10^2-AY7*AY6)</f>
        <v>-533567.67363043968</v>
      </c>
      <c r="AU12" s="375" t="s">
        <v>102</v>
      </c>
      <c r="AV12" s="390">
        <f ca="1">(AY9-AT12*AY7)/AY10</f>
        <v>64249.065233861169</v>
      </c>
      <c r="AW12" s="375" t="s">
        <v>103</v>
      </c>
      <c r="AX12" s="389">
        <f ca="1">AR7-AV12*AR6-AT12*AR8</f>
        <v>333.90750416506876</v>
      </c>
      <c r="AY12" s="387"/>
      <c r="AZ12" s="359" t="s">
        <v>167</v>
      </c>
      <c r="BA12" s="359"/>
      <c r="BB12" s="367"/>
      <c r="BC12" s="358"/>
      <c r="BD12" s="358"/>
      <c r="BE12" s="358"/>
      <c r="BF12" s="358"/>
      <c r="BG12" s="358"/>
      <c r="BH12" s="358"/>
      <c r="BI12" s="358"/>
      <c r="BJ12" s="358"/>
      <c r="BK12" s="358"/>
      <c r="BL12" s="358"/>
      <c r="BM12" s="358"/>
      <c r="BN12" s="358"/>
      <c r="BO12" s="358"/>
      <c r="BP12" s="358"/>
      <c r="BQ12" s="358"/>
      <c r="BR12" s="358"/>
      <c r="BS12" s="358"/>
      <c r="BT12" s="358"/>
      <c r="BU12" s="358"/>
      <c r="BV12" s="358"/>
      <c r="BW12" s="358"/>
      <c r="BX12" s="358"/>
      <c r="BY12" s="358"/>
      <c r="BZ12" s="358"/>
      <c r="CA12" s="358"/>
      <c r="CB12" s="358"/>
      <c r="CC12" s="358"/>
      <c r="CD12" s="358"/>
      <c r="CE12" s="358"/>
      <c r="CF12" s="358"/>
      <c r="CG12" s="358"/>
      <c r="CH12" s="358"/>
      <c r="CI12" s="358"/>
      <c r="CJ12" s="358"/>
      <c r="CK12" s="358"/>
      <c r="CL12" s="358"/>
      <c r="CM12" s="358"/>
      <c r="CN12" s="358"/>
      <c r="CO12" s="358"/>
      <c r="CP12" s="358"/>
      <c r="CQ12" s="358"/>
      <c r="CR12" s="358"/>
      <c r="CS12" s="358"/>
      <c r="CT12" s="358"/>
      <c r="CU12" s="358"/>
      <c r="CV12" s="358"/>
      <c r="CW12" s="358"/>
      <c r="CX12" s="358"/>
      <c r="CY12" s="358"/>
      <c r="CZ12" s="358"/>
      <c r="DA12" s="358"/>
      <c r="DB12" s="358"/>
      <c r="DC12" s="358"/>
      <c r="DD12" s="358"/>
      <c r="DE12" s="358"/>
      <c r="DF12" s="358"/>
      <c r="DG12" s="358"/>
      <c r="DH12" s="358"/>
      <c r="DI12" s="358"/>
      <c r="DJ12" s="358"/>
      <c r="DK12" s="358"/>
      <c r="DL12" s="358"/>
      <c r="DM12" s="358"/>
      <c r="DN12" s="358"/>
      <c r="DO12" s="358"/>
      <c r="DP12" s="358"/>
      <c r="DQ12" s="358"/>
      <c r="DR12" s="358"/>
      <c r="DS12" s="358"/>
      <c r="DT12" s="358"/>
      <c r="DU12" s="358"/>
      <c r="DV12" s="358"/>
      <c r="DW12" s="358"/>
      <c r="DX12" s="358"/>
      <c r="DY12" s="358"/>
      <c r="DZ12" s="358"/>
      <c r="EA12" s="358"/>
      <c r="EB12" s="358"/>
      <c r="EC12" s="358"/>
      <c r="ED12" s="358"/>
      <c r="EE12" s="358"/>
      <c r="EF12" s="358"/>
      <c r="EG12" s="358"/>
      <c r="EH12" s="358"/>
      <c r="EI12" s="358"/>
      <c r="EJ12" s="358"/>
      <c r="EK12" s="358"/>
      <c r="EL12" s="358"/>
      <c r="EM12" s="358"/>
      <c r="EN12" s="358"/>
      <c r="EO12" s="358"/>
      <c r="EP12" s="358"/>
      <c r="EQ12" s="358"/>
      <c r="ER12" s="358"/>
      <c r="ES12" s="358"/>
      <c r="ET12" s="358"/>
      <c r="EU12" s="358"/>
      <c r="EV12" s="358"/>
      <c r="EW12" s="358"/>
      <c r="EX12" s="358"/>
      <c r="EY12" s="358"/>
      <c r="EZ12" s="371"/>
    </row>
    <row r="13" spans="1:156" ht="12" customHeight="1" x14ac:dyDescent="0.25">
      <c r="A13" s="1744" t="s">
        <v>60</v>
      </c>
      <c r="B13" s="1745"/>
      <c r="C13" s="752" t="s">
        <v>168</v>
      </c>
      <c r="D13" s="753" t="str">
        <f ca="1">IF(OR($N$2="",$N$2=0),"",IF(INDIRECT(ADDRESS(($AK13),COLUMN()+6,,,"Digitar Dados dos Ensaios"))&lt;&gt;"",INDIRECT(ADDRESS(($AK13),COLUMN()+6,,,"Digitar Dados dos Ensaios")),""))</f>
        <v/>
      </c>
      <c r="E13" s="753" t="str">
        <f t="shared" ca="1" si="18"/>
        <v/>
      </c>
      <c r="F13" s="753" t="str">
        <f t="shared" ca="1" si="18"/>
        <v/>
      </c>
      <c r="G13" s="753" t="str">
        <f t="shared" ca="1" si="18"/>
        <v/>
      </c>
      <c r="H13" s="753" t="str">
        <f t="shared" ca="1" si="18"/>
        <v/>
      </c>
      <c r="I13" s="1750" t="str">
        <f t="shared" ca="1" si="18"/>
        <v/>
      </c>
      <c r="J13" s="1751">
        <f t="shared" ca="1" si="18"/>
        <v>186.55</v>
      </c>
      <c r="K13" s="1235">
        <f t="shared" ca="1" si="19"/>
        <v>186.55</v>
      </c>
      <c r="L13" s="754">
        <f t="shared" ca="1" si="19"/>
        <v>201.76</v>
      </c>
      <c r="M13" s="17"/>
      <c r="N13" s="23"/>
      <c r="AK13" s="357">
        <f>AK12+1</f>
        <v>7</v>
      </c>
      <c r="AL13" s="378" t="e">
        <f>IF(OR(AL7="",AL7=0),NA(),AL7)</f>
        <v>#N/A</v>
      </c>
      <c r="AM13" s="378">
        <f t="shared" ca="1" si="20"/>
        <v>2018.6054093588696</v>
      </c>
      <c r="AN13" s="378">
        <f t="shared" ca="1" si="20"/>
        <v>2245.588255080645</v>
      </c>
      <c r="AO13" s="378">
        <f t="shared" ca="1" si="20"/>
        <v>2228.1069891827028</v>
      </c>
      <c r="AP13" s="378" t="e">
        <f t="shared" si="20"/>
        <v>#N/A</v>
      </c>
      <c r="AQ13" s="378" t="e">
        <f t="shared" si="20"/>
        <v>#N/A</v>
      </c>
      <c r="AR13" s="358"/>
      <c r="AS13" s="358"/>
      <c r="AT13" s="358"/>
      <c r="AU13" s="358"/>
      <c r="AV13" s="358"/>
      <c r="AW13" s="358"/>
      <c r="AX13" s="358"/>
      <c r="AY13" s="358"/>
      <c r="AZ13" s="364" t="s">
        <v>169</v>
      </c>
      <c r="BA13" s="364" t="s">
        <v>170</v>
      </c>
      <c r="BB13" s="367"/>
      <c r="BC13" s="358"/>
      <c r="BD13" s="358"/>
      <c r="BE13" s="358"/>
      <c r="BF13" s="358"/>
      <c r="BG13" s="358"/>
      <c r="BH13" s="358"/>
      <c r="BI13" s="358"/>
      <c r="BJ13" s="358"/>
      <c r="BK13" s="358"/>
      <c r="BL13" s="358"/>
      <c r="BM13" s="358"/>
      <c r="BN13" s="358"/>
      <c r="BO13" s="358"/>
      <c r="BP13" s="358"/>
      <c r="BQ13" s="358"/>
      <c r="BR13" s="358"/>
      <c r="BS13" s="358"/>
      <c r="BT13" s="358"/>
      <c r="BU13" s="358"/>
      <c r="BV13" s="358"/>
      <c r="BW13" s="358"/>
      <c r="BX13" s="358"/>
      <c r="BY13" s="358"/>
      <c r="BZ13" s="358"/>
      <c r="CA13" s="358"/>
      <c r="CB13" s="358"/>
      <c r="CC13" s="358"/>
      <c r="CD13" s="358"/>
      <c r="CE13" s="358"/>
      <c r="CF13" s="358"/>
      <c r="CG13" s="358"/>
      <c r="CH13" s="358"/>
      <c r="CI13" s="358"/>
      <c r="CJ13" s="358"/>
      <c r="CK13" s="358"/>
      <c r="CL13" s="358"/>
      <c r="CM13" s="358"/>
      <c r="CN13" s="358"/>
      <c r="CO13" s="358"/>
      <c r="CP13" s="358"/>
      <c r="CQ13" s="358"/>
      <c r="CR13" s="358"/>
      <c r="CS13" s="358"/>
      <c r="CT13" s="358"/>
      <c r="CU13" s="358"/>
      <c r="CV13" s="358"/>
      <c r="CW13" s="358"/>
      <c r="CX13" s="358"/>
      <c r="CY13" s="358"/>
      <c r="CZ13" s="358"/>
      <c r="DA13" s="358"/>
      <c r="DB13" s="358"/>
      <c r="DC13" s="358"/>
      <c r="DD13" s="358"/>
      <c r="DE13" s="358"/>
      <c r="DF13" s="358"/>
      <c r="DG13" s="358"/>
      <c r="DH13" s="358"/>
      <c r="DI13" s="358"/>
      <c r="DJ13" s="358"/>
      <c r="DK13" s="358"/>
      <c r="DL13" s="358"/>
      <c r="DM13" s="358"/>
      <c r="DN13" s="358"/>
      <c r="DO13" s="358"/>
      <c r="DP13" s="358"/>
      <c r="DQ13" s="358"/>
      <c r="DR13" s="358"/>
      <c r="DS13" s="358"/>
      <c r="DT13" s="358"/>
      <c r="DU13" s="358"/>
      <c r="DV13" s="358"/>
      <c r="DW13" s="358"/>
      <c r="DX13" s="358"/>
      <c r="DY13" s="358"/>
      <c r="DZ13" s="358"/>
      <c r="EA13" s="358"/>
      <c r="EB13" s="358"/>
      <c r="EC13" s="358"/>
      <c r="ED13" s="358"/>
      <c r="EE13" s="358"/>
      <c r="EF13" s="358"/>
      <c r="EG13" s="358"/>
      <c r="EH13" s="358"/>
      <c r="EI13" s="358"/>
      <c r="EJ13" s="358"/>
      <c r="EK13" s="358"/>
      <c r="EL13" s="358"/>
      <c r="EM13" s="358"/>
      <c r="EN13" s="358"/>
      <c r="EO13" s="358"/>
      <c r="EP13" s="358"/>
      <c r="EQ13" s="358"/>
      <c r="ER13" s="358"/>
      <c r="ES13" s="358"/>
      <c r="ET13" s="358"/>
      <c r="EU13" s="358"/>
      <c r="EV13" s="358"/>
      <c r="EW13" s="358"/>
      <c r="EX13" s="358"/>
      <c r="EY13" s="358"/>
      <c r="EZ13" s="371"/>
    </row>
    <row r="14" spans="1:156" ht="12" customHeight="1" x14ac:dyDescent="0.25">
      <c r="A14" s="1744" t="s">
        <v>94</v>
      </c>
      <c r="B14" s="1745"/>
      <c r="C14" s="752" t="s">
        <v>168</v>
      </c>
      <c r="D14" s="753" t="str">
        <f ca="1">IF(OR($N$2="",$N$2=0),"",IF(INDIRECT(ADDRESS(($AK14),COLUMN()+6,,,"Digitar Dados dos Ensaios"))&lt;&gt;"",INDIRECT(ADDRESS(($AK14),COLUMN()+6,,,"Digitar Dados dos Ensaios")),""))</f>
        <v/>
      </c>
      <c r="E14" s="753" t="str">
        <f t="shared" ca="1" si="18"/>
        <v/>
      </c>
      <c r="F14" s="753" t="str">
        <f t="shared" ca="1" si="18"/>
        <v/>
      </c>
      <c r="G14" s="753" t="str">
        <f t="shared" ca="1" si="18"/>
        <v/>
      </c>
      <c r="H14" s="753" t="str">
        <f t="shared" ca="1" si="18"/>
        <v/>
      </c>
      <c r="I14" s="1750" t="str">
        <f t="shared" ca="1" si="18"/>
        <v/>
      </c>
      <c r="J14" s="1751">
        <f t="shared" ca="1" si="18"/>
        <v>185.17</v>
      </c>
      <c r="K14" s="1235">
        <f t="shared" ca="1" si="19"/>
        <v>185.17</v>
      </c>
      <c r="L14" s="754">
        <f t="shared" ca="1" si="19"/>
        <v>200</v>
      </c>
      <c r="M14" s="17"/>
      <c r="N14" s="23"/>
      <c r="AK14" s="357">
        <f>AK13+1</f>
        <v>8</v>
      </c>
      <c r="AL14" s="358"/>
      <c r="AM14" s="358"/>
      <c r="AN14" s="358"/>
      <c r="AO14" s="358"/>
      <c r="AP14" s="358"/>
      <c r="AQ14" s="358"/>
      <c r="AR14" s="358"/>
      <c r="AS14" s="358"/>
      <c r="AT14" s="358"/>
      <c r="AU14" s="358"/>
      <c r="AV14" s="358"/>
      <c r="AW14" s="358"/>
      <c r="AX14" s="358"/>
      <c r="AY14" s="358"/>
      <c r="AZ14" s="391">
        <v>0</v>
      </c>
      <c r="BA14" s="392">
        <f ca="1">BA7</f>
        <v>2268.0306657773899</v>
      </c>
      <c r="BB14" s="367"/>
      <c r="BC14" s="358"/>
      <c r="BD14" s="358"/>
      <c r="BE14" s="358"/>
      <c r="BF14" s="358"/>
      <c r="BG14" s="358"/>
      <c r="BH14" s="358"/>
      <c r="BI14" s="358"/>
      <c r="BJ14" s="358"/>
      <c r="BK14" s="358"/>
      <c r="BL14" s="358"/>
      <c r="BM14" s="358"/>
      <c r="BN14" s="358"/>
      <c r="BO14" s="358"/>
      <c r="BP14" s="358"/>
      <c r="BQ14" s="358"/>
      <c r="BR14" s="358"/>
      <c r="BS14" s="358"/>
      <c r="BT14" s="358"/>
      <c r="BU14" s="358"/>
      <c r="BV14" s="358"/>
      <c r="BW14" s="358"/>
      <c r="BX14" s="358"/>
      <c r="BY14" s="358"/>
      <c r="BZ14" s="358"/>
      <c r="CA14" s="358"/>
      <c r="CB14" s="358"/>
      <c r="CC14" s="358"/>
      <c r="CD14" s="358"/>
      <c r="CE14" s="358"/>
      <c r="CF14" s="358"/>
      <c r="CG14" s="358"/>
      <c r="CH14" s="358"/>
      <c r="CI14" s="358"/>
      <c r="CJ14" s="358"/>
      <c r="CK14" s="358"/>
      <c r="CL14" s="358"/>
      <c r="CM14" s="358"/>
      <c r="CN14" s="358"/>
      <c r="CO14" s="358"/>
      <c r="CP14" s="358"/>
      <c r="CQ14" s="358"/>
      <c r="CR14" s="358"/>
      <c r="CS14" s="358"/>
      <c r="CT14" s="358"/>
      <c r="CU14" s="358"/>
      <c r="CV14" s="358"/>
      <c r="CW14" s="358"/>
      <c r="CX14" s="358"/>
      <c r="CY14" s="358"/>
      <c r="CZ14" s="358"/>
      <c r="DA14" s="358"/>
      <c r="DB14" s="358"/>
      <c r="DC14" s="358"/>
      <c r="DD14" s="358"/>
      <c r="DE14" s="358"/>
      <c r="DF14" s="358"/>
      <c r="DG14" s="358"/>
      <c r="DH14" s="358"/>
      <c r="DI14" s="358"/>
      <c r="DJ14" s="358"/>
      <c r="DK14" s="358"/>
      <c r="DL14" s="358"/>
      <c r="DM14" s="358"/>
      <c r="DN14" s="358"/>
      <c r="DO14" s="358"/>
      <c r="DP14" s="358"/>
      <c r="DQ14" s="358"/>
      <c r="DR14" s="358"/>
      <c r="DS14" s="358"/>
      <c r="DT14" s="358"/>
      <c r="DU14" s="358"/>
      <c r="DV14" s="358"/>
      <c r="DW14" s="358"/>
      <c r="DX14" s="358"/>
      <c r="DY14" s="358"/>
      <c r="DZ14" s="358"/>
      <c r="EA14" s="358"/>
      <c r="EB14" s="358"/>
      <c r="EC14" s="358"/>
      <c r="ED14" s="358"/>
      <c r="EE14" s="358"/>
      <c r="EF14" s="358"/>
      <c r="EG14" s="358"/>
      <c r="EH14" s="358"/>
      <c r="EI14" s="358"/>
      <c r="EJ14" s="358"/>
      <c r="EK14" s="358"/>
      <c r="EL14" s="358"/>
      <c r="EM14" s="358"/>
      <c r="EN14" s="358"/>
      <c r="EO14" s="358"/>
      <c r="EP14" s="358"/>
      <c r="EQ14" s="358"/>
      <c r="ER14" s="358"/>
      <c r="ES14" s="358"/>
      <c r="ET14" s="358"/>
      <c r="EU14" s="358"/>
      <c r="EV14" s="358"/>
      <c r="EW14" s="358"/>
      <c r="EX14" s="358"/>
      <c r="EY14" s="358"/>
      <c r="EZ14" s="371"/>
    </row>
    <row r="15" spans="1:156" ht="12" customHeight="1" x14ac:dyDescent="0.25">
      <c r="A15" s="1744" t="s">
        <v>26</v>
      </c>
      <c r="B15" s="1745"/>
      <c r="C15" s="752" t="s">
        <v>168</v>
      </c>
      <c r="D15" s="755" t="str">
        <f ca="1">IF(D12&lt;&gt;"",D13-D14,"")</f>
        <v/>
      </c>
      <c r="E15" s="755" t="str">
        <f ca="1">IF(E12&lt;&gt;"",E13-E14,"")</f>
        <v/>
      </c>
      <c r="F15" s="755" t="str">
        <f ca="1">IF(F12&lt;&gt;"",F13-F14,"")</f>
        <v/>
      </c>
      <c r="G15" s="755" t="str">
        <f ca="1">IF(G12&lt;&gt;"",G13-G14,"")</f>
        <v/>
      </c>
      <c r="H15" s="755" t="str">
        <f ca="1">IF(H12&lt;&gt;"",H13-H14,"")</f>
        <v/>
      </c>
      <c r="I15" s="1746" t="str">
        <f ca="1">IF(I11&lt;&gt;"",I13-I14,"")</f>
        <v/>
      </c>
      <c r="J15" s="1747">
        <f ca="1">IF(J12&lt;&gt;"",J13-J14,"")</f>
        <v>1.3800000000000239</v>
      </c>
      <c r="K15" s="1236">
        <f ca="1">IF(K12&lt;&gt;"",K13-K14,"")</f>
        <v>1.3800000000000239</v>
      </c>
      <c r="L15" s="756">
        <f ca="1">IF(L12&lt;&gt;"",L13-L14,"")</f>
        <v>1.7599999999999909</v>
      </c>
      <c r="M15" s="24"/>
      <c r="N15" s="23"/>
      <c r="AK15" s="357"/>
      <c r="AL15" s="358"/>
      <c r="AM15" s="358"/>
      <c r="AN15" s="358"/>
      <c r="AO15" s="358"/>
      <c r="AP15" s="358"/>
      <c r="AQ15" s="358"/>
      <c r="AR15" s="358"/>
      <c r="AS15" s="358"/>
      <c r="AT15" s="358"/>
      <c r="AU15" s="358"/>
      <c r="AV15" s="358"/>
      <c r="AW15" s="358"/>
      <c r="AX15" s="358"/>
      <c r="AY15" s="358"/>
      <c r="AZ15" s="391">
        <f ca="1">BA6</f>
        <v>6.0207044400483523E-2</v>
      </c>
      <c r="BA15" s="392">
        <f ca="1">BA14</f>
        <v>2268.0306657773899</v>
      </c>
      <c r="BB15" s="367"/>
      <c r="BC15" s="358"/>
      <c r="BD15" s="358"/>
      <c r="BE15" s="358"/>
      <c r="BF15" s="358"/>
      <c r="BG15" s="358"/>
      <c r="BH15" s="358"/>
      <c r="BI15" s="358"/>
      <c r="BJ15" s="358"/>
      <c r="BK15" s="358"/>
      <c r="BL15" s="358"/>
      <c r="BM15" s="358"/>
      <c r="BN15" s="358"/>
      <c r="BO15" s="358"/>
      <c r="BP15" s="358"/>
      <c r="BQ15" s="358"/>
      <c r="BR15" s="358"/>
      <c r="BS15" s="358"/>
      <c r="BT15" s="358"/>
      <c r="BU15" s="358"/>
      <c r="BV15" s="358"/>
      <c r="BW15" s="358"/>
      <c r="BX15" s="358"/>
      <c r="BY15" s="358"/>
      <c r="BZ15" s="358"/>
      <c r="CA15" s="358"/>
      <c r="CB15" s="358"/>
      <c r="CC15" s="358"/>
      <c r="CD15" s="358"/>
      <c r="CE15" s="358"/>
      <c r="CF15" s="358"/>
      <c r="CG15" s="358"/>
      <c r="CH15" s="358"/>
      <c r="CI15" s="358"/>
      <c r="CJ15" s="358"/>
      <c r="CK15" s="358"/>
      <c r="CL15" s="358"/>
      <c r="CM15" s="358"/>
      <c r="CN15" s="358"/>
      <c r="CO15" s="358"/>
      <c r="CP15" s="358"/>
      <c r="CQ15" s="358"/>
      <c r="CR15" s="358"/>
      <c r="CS15" s="358"/>
      <c r="CT15" s="358"/>
      <c r="CU15" s="358"/>
      <c r="CV15" s="358"/>
      <c r="CW15" s="358"/>
      <c r="CX15" s="358"/>
      <c r="CY15" s="358"/>
      <c r="CZ15" s="358"/>
      <c r="DA15" s="358"/>
      <c r="DB15" s="358"/>
      <c r="DC15" s="358"/>
      <c r="DD15" s="358"/>
      <c r="DE15" s="358"/>
      <c r="DF15" s="358"/>
      <c r="DG15" s="358"/>
      <c r="DH15" s="358"/>
      <c r="DI15" s="358"/>
      <c r="DJ15" s="358"/>
      <c r="DK15" s="358"/>
      <c r="DL15" s="358"/>
      <c r="DM15" s="358"/>
      <c r="DN15" s="358"/>
      <c r="DO15" s="358"/>
      <c r="DP15" s="358"/>
      <c r="DQ15" s="358"/>
      <c r="DR15" s="358"/>
      <c r="DS15" s="358"/>
      <c r="DT15" s="358"/>
      <c r="DU15" s="358"/>
      <c r="DV15" s="358"/>
      <c r="DW15" s="358"/>
      <c r="DX15" s="358"/>
      <c r="DY15" s="358"/>
      <c r="DZ15" s="358"/>
      <c r="EA15" s="358"/>
      <c r="EB15" s="358"/>
      <c r="EC15" s="358"/>
      <c r="ED15" s="358"/>
      <c r="EE15" s="358"/>
      <c r="EF15" s="358"/>
      <c r="EG15" s="358"/>
      <c r="EH15" s="358"/>
      <c r="EI15" s="358"/>
      <c r="EJ15" s="358"/>
      <c r="EK15" s="358"/>
      <c r="EL15" s="358"/>
      <c r="EM15" s="358"/>
      <c r="EN15" s="358"/>
      <c r="EO15" s="358"/>
      <c r="EP15" s="358"/>
      <c r="EQ15" s="358"/>
      <c r="ER15" s="358"/>
      <c r="ES15" s="358"/>
      <c r="ET15" s="358"/>
      <c r="EU15" s="358"/>
      <c r="EV15" s="358"/>
      <c r="EW15" s="358"/>
      <c r="EX15" s="358"/>
      <c r="EY15" s="358"/>
      <c r="EZ15" s="371"/>
    </row>
    <row r="16" spans="1:156" ht="12" customHeight="1" x14ac:dyDescent="0.25">
      <c r="A16" s="1744" t="s">
        <v>45</v>
      </c>
      <c r="B16" s="1745"/>
      <c r="C16" s="752" t="s">
        <v>168</v>
      </c>
      <c r="D16" s="755" t="str">
        <f ca="1">IF(D12&lt;&gt;"",LOOKUP(D12,Tara!$C$6:$C$185,Tara!$D$6:$D$185),"")</f>
        <v/>
      </c>
      <c r="E16" s="755" t="str">
        <f ca="1">IF(E12&lt;&gt;"",LOOKUP(E12,Tara!$C$6:$C$185,Tara!$D$6:$D$185),"")</f>
        <v/>
      </c>
      <c r="F16" s="755" t="str">
        <f ca="1">IF(F12&lt;&gt;"",LOOKUP(F12,Tara!$C$6:$C$185,Tara!$D$6:$D$185),"")</f>
        <v/>
      </c>
      <c r="G16" s="755" t="str">
        <f ca="1">IF(G12&lt;&gt;"",LOOKUP(G12,Tara!$C$6:$C$185,Tara!$D$6:$D$185),"")</f>
        <v/>
      </c>
      <c r="H16" s="755" t="str">
        <f ca="1">IF(H12&lt;&gt;"",LOOKUP(H12,Tara!$C$6:$C$185,Tara!$D$6:$D$185),"")</f>
        <v/>
      </c>
      <c r="I16" s="1746" t="str">
        <f ca="1">IF(I11&lt;&gt;"",LOOKUP(I12,Tara!$C$6:$C$185,Tara!$D$6:$D$185),"")</f>
        <v/>
      </c>
      <c r="J16" s="1747">
        <f ca="1">IF(J12&lt;&gt;"",LOOKUP(J12,Tara!$C$6:$C$185,Tara!$D$6:$D$185),"")</f>
        <v>24.1</v>
      </c>
      <c r="K16" s="1237">
        <f ca="1">IF(K12&lt;&gt;"",LOOKUP(K12,Tara!$C$6:$C$185,Tara!$D$6:$D$185),"")</f>
        <v>24.1</v>
      </c>
      <c r="L16" s="756">
        <f ca="1">IF(L12&lt;&gt;"",LOOKUP(L12,Tara!$C$6:$C$185,Tara!$D$6:$D$185),"")</f>
        <v>14.81</v>
      </c>
      <c r="M16" s="17"/>
      <c r="N16" s="23"/>
      <c r="AK16" s="357"/>
      <c r="AL16" s="358"/>
      <c r="AM16" s="358"/>
      <c r="AN16" s="358"/>
      <c r="AO16" s="358"/>
      <c r="AP16" s="358"/>
      <c r="AQ16" s="358"/>
      <c r="AR16" s="358"/>
      <c r="AS16" s="358"/>
      <c r="AT16" s="358"/>
      <c r="AU16" s="358"/>
      <c r="AV16" s="358"/>
      <c r="AW16" s="358"/>
      <c r="AX16" s="358"/>
      <c r="AY16" s="358"/>
      <c r="AZ16" s="391">
        <f ca="1">AZ15</f>
        <v>6.0207044400483523E-2</v>
      </c>
      <c r="BA16" s="392">
        <v>0</v>
      </c>
      <c r="BB16" s="367"/>
      <c r="BC16" s="358"/>
      <c r="BD16" s="358"/>
      <c r="BE16" s="358"/>
      <c r="BF16" s="358"/>
      <c r="BG16" s="358"/>
      <c r="BH16" s="358"/>
      <c r="BI16" s="358"/>
      <c r="BJ16" s="358"/>
      <c r="BK16" s="358"/>
      <c r="BL16" s="358"/>
      <c r="BM16" s="358"/>
      <c r="BN16" s="358"/>
      <c r="BO16" s="358"/>
      <c r="BP16" s="358"/>
      <c r="BQ16" s="358"/>
      <c r="BR16" s="358"/>
      <c r="BS16" s="358"/>
      <c r="BT16" s="358"/>
      <c r="BU16" s="358"/>
      <c r="BV16" s="358"/>
      <c r="BW16" s="358"/>
      <c r="BX16" s="358"/>
      <c r="BY16" s="358"/>
      <c r="BZ16" s="358"/>
      <c r="CA16" s="358"/>
      <c r="CB16" s="358"/>
      <c r="CC16" s="358"/>
      <c r="CD16" s="358"/>
      <c r="CE16" s="358"/>
      <c r="CF16" s="358"/>
      <c r="CG16" s="358"/>
      <c r="CH16" s="358"/>
      <c r="CI16" s="358"/>
      <c r="CJ16" s="358"/>
      <c r="CK16" s="358"/>
      <c r="CL16" s="358"/>
      <c r="CM16" s="358"/>
      <c r="CN16" s="358"/>
      <c r="CO16" s="358"/>
      <c r="CP16" s="358"/>
      <c r="CQ16" s="358"/>
      <c r="CR16" s="358"/>
      <c r="CS16" s="358"/>
      <c r="CT16" s="358"/>
      <c r="CU16" s="358"/>
      <c r="CV16" s="358"/>
      <c r="CW16" s="358"/>
      <c r="CX16" s="358"/>
      <c r="CY16" s="358"/>
      <c r="CZ16" s="358"/>
      <c r="DA16" s="358"/>
      <c r="DB16" s="358"/>
      <c r="DC16" s="358"/>
      <c r="DD16" s="358"/>
      <c r="DE16" s="358"/>
      <c r="DF16" s="358"/>
      <c r="DG16" s="358"/>
      <c r="DH16" s="358"/>
      <c r="DI16" s="358"/>
      <c r="DJ16" s="358"/>
      <c r="DK16" s="358"/>
      <c r="DL16" s="358"/>
      <c r="DM16" s="358"/>
      <c r="DN16" s="358"/>
      <c r="DO16" s="358"/>
      <c r="DP16" s="358"/>
      <c r="DQ16" s="358"/>
      <c r="DR16" s="358"/>
      <c r="DS16" s="358"/>
      <c r="DT16" s="358"/>
      <c r="DU16" s="358"/>
      <c r="DV16" s="358"/>
      <c r="DW16" s="358"/>
      <c r="DX16" s="358"/>
      <c r="DY16" s="358"/>
      <c r="DZ16" s="358"/>
      <c r="EA16" s="358"/>
      <c r="EB16" s="358"/>
      <c r="EC16" s="358"/>
      <c r="ED16" s="358"/>
      <c r="EE16" s="358"/>
      <c r="EF16" s="358"/>
      <c r="EG16" s="358"/>
      <c r="EH16" s="358"/>
      <c r="EI16" s="358"/>
      <c r="EJ16" s="358"/>
      <c r="EK16" s="358"/>
      <c r="EL16" s="358"/>
      <c r="EM16" s="358"/>
      <c r="EN16" s="358"/>
      <c r="EO16" s="358"/>
      <c r="EP16" s="358"/>
      <c r="EQ16" s="358"/>
      <c r="ER16" s="358"/>
      <c r="ES16" s="358"/>
      <c r="ET16" s="358"/>
      <c r="EU16" s="358"/>
      <c r="EV16" s="358"/>
      <c r="EW16" s="358"/>
      <c r="EX16" s="358"/>
      <c r="EY16" s="358"/>
      <c r="EZ16" s="371"/>
    </row>
    <row r="17" spans="1:156" ht="12" customHeight="1" x14ac:dyDescent="0.25">
      <c r="A17" s="1744" t="s">
        <v>67</v>
      </c>
      <c r="B17" s="1745"/>
      <c r="C17" s="752" t="s">
        <v>168</v>
      </c>
      <c r="D17" s="755" t="str">
        <f ca="1">IF(D12&lt;&gt;"",D14-D16,"")</f>
        <v/>
      </c>
      <c r="E17" s="752" t="str">
        <f ca="1">IF(E12&lt;&gt;"",E14-E16,"")</f>
        <v/>
      </c>
      <c r="F17" s="752" t="str">
        <f ca="1">IF(F12&lt;&gt;"",F14-F16,"")</f>
        <v/>
      </c>
      <c r="G17" s="752" t="str">
        <f ca="1">IF(G12&lt;&gt;"",G14-G16,"")</f>
        <v/>
      </c>
      <c r="H17" s="752" t="str">
        <f ca="1">IF(H12&lt;&gt;"",H14-H16,"")</f>
        <v/>
      </c>
      <c r="I17" s="1746" t="str">
        <f ca="1">IF(I11&lt;&gt;"",I14-I16,"")</f>
        <v/>
      </c>
      <c r="J17" s="1747">
        <f ca="1">IF(J12&lt;&gt;"",J14-J16,"")</f>
        <v>161.07</v>
      </c>
      <c r="K17" s="1236">
        <f ca="1">IF(K12&lt;&gt;"",K14-K16,"")</f>
        <v>161.07</v>
      </c>
      <c r="L17" s="757">
        <f ca="1">IF(L12&lt;&gt;"",L14-L16,"")</f>
        <v>185.19</v>
      </c>
      <c r="M17" s="713"/>
      <c r="N17" s="713"/>
      <c r="AK17" s="357"/>
      <c r="AL17" s="358"/>
      <c r="AM17" s="358"/>
      <c r="AN17" s="358"/>
      <c r="AO17" s="358"/>
      <c r="AP17" s="358"/>
      <c r="AQ17" s="358"/>
      <c r="AR17" s="358"/>
      <c r="AS17" s="358"/>
      <c r="AT17" s="358"/>
      <c r="AU17" s="358"/>
      <c r="AV17" s="358"/>
      <c r="AW17" s="358"/>
      <c r="AX17" s="358"/>
      <c r="AY17" s="358"/>
      <c r="AZ17" s="358"/>
      <c r="BA17" s="358"/>
      <c r="BB17" s="367"/>
      <c r="BC17" s="358"/>
      <c r="BD17" s="358"/>
      <c r="BE17" s="358"/>
      <c r="BF17" s="358"/>
      <c r="BG17" s="358"/>
      <c r="BH17" s="358"/>
      <c r="BI17" s="358"/>
      <c r="BJ17" s="358"/>
      <c r="BK17" s="358"/>
      <c r="BL17" s="358"/>
      <c r="BM17" s="358"/>
      <c r="BN17" s="358"/>
      <c r="BO17" s="358"/>
      <c r="BP17" s="358"/>
      <c r="BQ17" s="358"/>
      <c r="BR17" s="358"/>
      <c r="BS17" s="358"/>
      <c r="BT17" s="358"/>
      <c r="BU17" s="358"/>
      <c r="BV17" s="358"/>
      <c r="BW17" s="358"/>
      <c r="BX17" s="358"/>
      <c r="BY17" s="358"/>
      <c r="BZ17" s="358"/>
      <c r="CA17" s="358"/>
      <c r="CB17" s="358"/>
      <c r="CC17" s="358"/>
      <c r="CD17" s="358"/>
      <c r="CE17" s="358"/>
      <c r="CF17" s="358"/>
      <c r="CG17" s="358"/>
      <c r="CH17" s="358"/>
      <c r="CI17" s="358"/>
      <c r="CJ17" s="358"/>
      <c r="CK17" s="358"/>
      <c r="CL17" s="358"/>
      <c r="CM17" s="358"/>
      <c r="CN17" s="358"/>
      <c r="CO17" s="358"/>
      <c r="CP17" s="358"/>
      <c r="CQ17" s="358"/>
      <c r="CR17" s="358"/>
      <c r="CS17" s="358"/>
      <c r="CT17" s="358"/>
      <c r="CU17" s="358"/>
      <c r="CV17" s="358"/>
      <c r="CW17" s="358"/>
      <c r="CX17" s="358"/>
      <c r="CY17" s="358"/>
      <c r="CZ17" s="358"/>
      <c r="DA17" s="358"/>
      <c r="DB17" s="358"/>
      <c r="DC17" s="358"/>
      <c r="DD17" s="358"/>
      <c r="DE17" s="358"/>
      <c r="DF17" s="358"/>
      <c r="DG17" s="358"/>
      <c r="DH17" s="358"/>
      <c r="DI17" s="358"/>
      <c r="DJ17" s="358"/>
      <c r="DK17" s="358"/>
      <c r="DL17" s="358"/>
      <c r="DM17" s="358"/>
      <c r="DN17" s="358"/>
      <c r="DO17" s="358"/>
      <c r="DP17" s="358"/>
      <c r="DQ17" s="358"/>
      <c r="DR17" s="358"/>
      <c r="DS17" s="358"/>
      <c r="DT17" s="358"/>
      <c r="DU17" s="358"/>
      <c r="DV17" s="358"/>
      <c r="DW17" s="358"/>
      <c r="DX17" s="358"/>
      <c r="DY17" s="358"/>
      <c r="DZ17" s="358"/>
      <c r="EA17" s="358"/>
      <c r="EB17" s="358"/>
      <c r="EC17" s="358"/>
      <c r="ED17" s="358"/>
      <c r="EE17" s="358"/>
      <c r="EF17" s="358"/>
      <c r="EG17" s="358"/>
      <c r="EH17" s="358"/>
      <c r="EI17" s="358"/>
      <c r="EJ17" s="358"/>
      <c r="EK17" s="358"/>
      <c r="EL17" s="358"/>
      <c r="EM17" s="358"/>
      <c r="EN17" s="358"/>
      <c r="EO17" s="358"/>
      <c r="EP17" s="358"/>
      <c r="EQ17" s="358"/>
      <c r="ER17" s="358"/>
      <c r="ES17" s="358"/>
      <c r="ET17" s="358"/>
      <c r="EU17" s="358"/>
      <c r="EV17" s="358"/>
      <c r="EW17" s="358"/>
      <c r="EX17" s="358"/>
      <c r="EY17" s="358"/>
      <c r="EZ17" s="371"/>
    </row>
    <row r="18" spans="1:156" ht="12" customHeight="1" x14ac:dyDescent="0.25">
      <c r="A18" s="1744" t="s">
        <v>97</v>
      </c>
      <c r="B18" s="1745"/>
      <c r="C18" s="752" t="s">
        <v>171</v>
      </c>
      <c r="D18" s="758" t="str">
        <f ca="1">IF(D12&lt;&gt;"",D15/D17,"")</f>
        <v/>
      </c>
      <c r="E18" s="758" t="str">
        <f ca="1">IF(E12&lt;&gt;"",E15/E17,"")</f>
        <v/>
      </c>
      <c r="F18" s="758" t="str">
        <f ca="1">IF(F12&lt;&gt;"",F15/F17,"")</f>
        <v/>
      </c>
      <c r="G18" s="758" t="str">
        <f ca="1">IF(G12&lt;&gt;"",G15/G17,"")</f>
        <v/>
      </c>
      <c r="H18" s="758" t="str">
        <f ca="1">IF(H12&lt;&gt;"",H15/H17,"")</f>
        <v/>
      </c>
      <c r="I18" s="1748" t="str">
        <f ca="1">IF(I11&lt;&gt;"",I15/I17,"")</f>
        <v/>
      </c>
      <c r="J18" s="1749">
        <f ca="1">IF(J12&lt;&gt;"",J15/J17,"")</f>
        <v>8.5677034829578693E-3</v>
      </c>
      <c r="K18" s="1238">
        <f ca="1">IF(K12&lt;&gt;"",K15/K17,"")</f>
        <v>8.5677034829578693E-3</v>
      </c>
      <c r="L18" s="759">
        <f ca="1">IF(L12&lt;&gt;"",L15/L17,"")</f>
        <v>9.5037529024244883E-3</v>
      </c>
      <c r="M18" s="25"/>
      <c r="N18" s="25"/>
      <c r="AK18" s="357"/>
      <c r="AL18" s="358"/>
      <c r="AM18" s="358"/>
      <c r="AN18" s="358"/>
      <c r="AO18" s="358"/>
      <c r="AP18" s="358"/>
      <c r="AQ18" s="358"/>
      <c r="AR18" s="358"/>
      <c r="AS18" s="358"/>
      <c r="AT18" s="358"/>
      <c r="AU18" s="358"/>
      <c r="AV18" s="358"/>
      <c r="AW18" s="358"/>
      <c r="AX18" s="358"/>
      <c r="AY18" s="358"/>
      <c r="AZ18" s="358"/>
      <c r="BA18" s="358"/>
      <c r="BB18" s="367"/>
      <c r="BC18" s="358"/>
      <c r="BD18" s="358"/>
      <c r="BE18" s="358"/>
      <c r="BF18" s="358"/>
      <c r="BG18" s="358"/>
      <c r="BH18" s="358"/>
      <c r="BI18" s="358"/>
      <c r="BJ18" s="358"/>
      <c r="BK18" s="358"/>
      <c r="BL18" s="358"/>
      <c r="BM18" s="358"/>
      <c r="BN18" s="358"/>
      <c r="BO18" s="358"/>
      <c r="BP18" s="358"/>
      <c r="BQ18" s="358"/>
      <c r="BR18" s="358"/>
      <c r="BS18" s="358"/>
      <c r="BT18" s="358"/>
      <c r="BU18" s="358"/>
      <c r="BV18" s="358"/>
      <c r="BW18" s="358"/>
      <c r="BX18" s="358"/>
      <c r="BY18" s="358"/>
      <c r="BZ18" s="358"/>
      <c r="CA18" s="358"/>
      <c r="CB18" s="358"/>
      <c r="CC18" s="358"/>
      <c r="CD18" s="358"/>
      <c r="CE18" s="358"/>
      <c r="CF18" s="358"/>
      <c r="CG18" s="358"/>
      <c r="CH18" s="358"/>
      <c r="CI18" s="358"/>
      <c r="CJ18" s="358"/>
      <c r="CK18" s="358"/>
      <c r="CL18" s="358"/>
      <c r="CM18" s="358"/>
      <c r="CN18" s="358"/>
      <c r="CO18" s="358"/>
      <c r="CP18" s="358"/>
      <c r="CQ18" s="358"/>
      <c r="CR18" s="358"/>
      <c r="CS18" s="358"/>
      <c r="CT18" s="358"/>
      <c r="CU18" s="358"/>
      <c r="CV18" s="358"/>
      <c r="CW18" s="358"/>
      <c r="CX18" s="358"/>
      <c r="CY18" s="358"/>
      <c r="CZ18" s="358"/>
      <c r="DA18" s="358"/>
      <c r="DB18" s="358"/>
      <c r="DC18" s="358"/>
      <c r="DD18" s="358"/>
      <c r="DE18" s="358"/>
      <c r="DF18" s="358"/>
      <c r="DG18" s="358"/>
      <c r="DH18" s="358"/>
      <c r="DI18" s="358"/>
      <c r="DJ18" s="358"/>
      <c r="DK18" s="358"/>
      <c r="DL18" s="358"/>
      <c r="DM18" s="358"/>
      <c r="DN18" s="358"/>
      <c r="DO18" s="358"/>
      <c r="DP18" s="358"/>
      <c r="DQ18" s="358"/>
      <c r="DR18" s="358"/>
      <c r="DS18" s="358"/>
      <c r="DT18" s="358"/>
      <c r="DU18" s="358"/>
      <c r="DV18" s="358"/>
      <c r="DW18" s="358"/>
      <c r="DX18" s="358"/>
      <c r="DY18" s="358"/>
      <c r="DZ18" s="358"/>
      <c r="EA18" s="358"/>
      <c r="EB18" s="358"/>
      <c r="EC18" s="358"/>
      <c r="ED18" s="358"/>
      <c r="EE18" s="358"/>
      <c r="EF18" s="358"/>
      <c r="EG18" s="358"/>
      <c r="EH18" s="358"/>
      <c r="EI18" s="358"/>
      <c r="EJ18" s="358"/>
      <c r="EK18" s="358"/>
      <c r="EL18" s="358"/>
      <c r="EM18" s="358"/>
      <c r="EN18" s="358"/>
      <c r="EO18" s="358"/>
      <c r="EP18" s="358"/>
      <c r="EQ18" s="358"/>
      <c r="ER18" s="358"/>
      <c r="ES18" s="358"/>
      <c r="ET18" s="358"/>
      <c r="EU18" s="358"/>
      <c r="EV18" s="358"/>
      <c r="EW18" s="358"/>
      <c r="EX18" s="358"/>
      <c r="EY18" s="358"/>
      <c r="EZ18" s="371"/>
    </row>
    <row r="19" spans="1:156" ht="12" customHeight="1" x14ac:dyDescent="0.25">
      <c r="A19" s="1744" t="s">
        <v>172</v>
      </c>
      <c r="B19" s="1745"/>
      <c r="C19" s="752" t="s">
        <v>171</v>
      </c>
      <c r="D19" s="758">
        <f ca="1">IF(ISNUMBER(D20),(D20/$K$23),"")</f>
        <v>2.3450524309729576E-2</v>
      </c>
      <c r="E19" s="758">
        <f t="shared" ref="E19:J19" ca="1" si="21">IF(ISNUMBER(E20),(E20/$K$23),"")</f>
        <v>3.8586060232619943E-2</v>
      </c>
      <c r="F19" s="758">
        <f t="shared" ca="1" si="21"/>
        <v>5.3721596155510309E-2</v>
      </c>
      <c r="G19" s="758">
        <f t="shared" ca="1" si="21"/>
        <v>6.8857132078400676E-2</v>
      </c>
      <c r="H19" s="758">
        <f t="shared" ca="1" si="21"/>
        <v>8.3992668001291043E-2</v>
      </c>
      <c r="I19" s="1748" t="str">
        <f t="shared" ca="1" si="21"/>
        <v/>
      </c>
      <c r="J19" s="1749" t="str">
        <f t="shared" ca="1" si="21"/>
        <v/>
      </c>
      <c r="K19" s="1758">
        <f ca="1">IF(ISNUMBER(K18),AVERAGE(K18:L18),"")</f>
        <v>9.0357281926911788E-3</v>
      </c>
      <c r="L19" s="1759"/>
      <c r="M19" s="1664"/>
      <c r="N19" s="1664"/>
      <c r="O19" s="593">
        <f ca="1">D19</f>
        <v>2.3450524309729576E-2</v>
      </c>
      <c r="P19" s="593">
        <f ca="1">E19</f>
        <v>3.8586060232619943E-2</v>
      </c>
      <c r="Q19" s="593">
        <f ca="1">F19</f>
        <v>5.3721596155510309E-2</v>
      </c>
      <c r="R19" s="593">
        <f ca="1">G19</f>
        <v>6.8857132078400676E-2</v>
      </c>
      <c r="S19" s="593">
        <f ca="1">H19</f>
        <v>8.3992668001291043E-2</v>
      </c>
      <c r="T19" s="594"/>
      <c r="AK19" s="357"/>
      <c r="AL19" s="358"/>
      <c r="AM19" s="358"/>
      <c r="AN19" s="358"/>
      <c r="AO19" s="358"/>
      <c r="AP19" s="358"/>
      <c r="AQ19" s="358"/>
      <c r="AR19" s="358"/>
      <c r="AS19" s="358"/>
      <c r="AT19" s="358"/>
      <c r="AU19" s="358"/>
      <c r="AV19" s="358"/>
      <c r="AW19" s="358"/>
      <c r="AX19" s="358"/>
      <c r="AY19" s="358"/>
      <c r="AZ19" s="358"/>
      <c r="BA19" s="358"/>
      <c r="BB19" s="367"/>
      <c r="BC19" s="358"/>
      <c r="BD19" s="358"/>
      <c r="BE19" s="358"/>
      <c r="BF19" s="358"/>
      <c r="BG19" s="358"/>
      <c r="BH19" s="358"/>
      <c r="BI19" s="358"/>
      <c r="BJ19" s="358"/>
      <c r="BK19" s="358"/>
      <c r="BL19" s="358"/>
      <c r="BM19" s="358"/>
      <c r="BN19" s="358"/>
      <c r="BO19" s="358"/>
      <c r="BP19" s="358"/>
      <c r="BQ19" s="358"/>
      <c r="BR19" s="358"/>
      <c r="BS19" s="358"/>
      <c r="BT19" s="358"/>
      <c r="BU19" s="358"/>
      <c r="BV19" s="358"/>
      <c r="BW19" s="358"/>
      <c r="BX19" s="358"/>
      <c r="BY19" s="358"/>
      <c r="BZ19" s="358"/>
      <c r="CA19" s="358"/>
      <c r="CB19" s="358"/>
      <c r="CC19" s="358"/>
      <c r="CD19" s="358"/>
      <c r="CE19" s="358"/>
      <c r="CF19" s="358"/>
      <c r="CG19" s="358"/>
      <c r="CH19" s="358"/>
      <c r="CI19" s="358"/>
      <c r="CJ19" s="358"/>
      <c r="CK19" s="358"/>
      <c r="CL19" s="358"/>
      <c r="CM19" s="358"/>
      <c r="CN19" s="358"/>
      <c r="CO19" s="358"/>
      <c r="CP19" s="358"/>
      <c r="CQ19" s="358"/>
      <c r="CR19" s="358"/>
      <c r="CS19" s="358"/>
      <c r="CT19" s="358"/>
      <c r="CU19" s="358"/>
      <c r="CV19" s="358"/>
      <c r="CW19" s="358"/>
      <c r="CX19" s="358"/>
      <c r="CY19" s="358"/>
      <c r="CZ19" s="358"/>
      <c r="DA19" s="358"/>
      <c r="DB19" s="358"/>
      <c r="DC19" s="358"/>
      <c r="DD19" s="358"/>
      <c r="DE19" s="358"/>
      <c r="DF19" s="358"/>
      <c r="DG19" s="358"/>
      <c r="DH19" s="358"/>
      <c r="DI19" s="358"/>
      <c r="DJ19" s="358"/>
      <c r="DK19" s="358"/>
      <c r="DL19" s="358"/>
      <c r="DM19" s="358"/>
      <c r="DN19" s="358"/>
      <c r="DO19" s="358"/>
      <c r="DP19" s="358"/>
      <c r="DQ19" s="358"/>
      <c r="DR19" s="358"/>
      <c r="DS19" s="358"/>
      <c r="DT19" s="358"/>
      <c r="DU19" s="358"/>
      <c r="DV19" s="358"/>
      <c r="DW19" s="358"/>
      <c r="DX19" s="358"/>
      <c r="DY19" s="358"/>
      <c r="DZ19" s="358"/>
      <c r="EA19" s="358"/>
      <c r="EB19" s="358"/>
      <c r="EC19" s="358"/>
      <c r="ED19" s="358"/>
      <c r="EE19" s="358"/>
      <c r="EF19" s="358"/>
      <c r="EG19" s="358"/>
      <c r="EH19" s="358"/>
      <c r="EI19" s="358"/>
      <c r="EJ19" s="358"/>
      <c r="EK19" s="358"/>
      <c r="EL19" s="358"/>
      <c r="EM19" s="358"/>
      <c r="EN19" s="358"/>
      <c r="EO19" s="358"/>
      <c r="EP19" s="358"/>
      <c r="EQ19" s="358"/>
      <c r="ER19" s="358"/>
      <c r="ES19" s="358"/>
      <c r="ET19" s="358"/>
      <c r="EU19" s="358"/>
      <c r="EV19" s="358"/>
      <c r="EW19" s="358"/>
      <c r="EX19" s="358"/>
      <c r="EY19" s="358"/>
      <c r="EZ19" s="371"/>
    </row>
    <row r="20" spans="1:156" ht="12" customHeight="1" x14ac:dyDescent="0.25">
      <c r="A20" s="1744" t="s">
        <v>113</v>
      </c>
      <c r="B20" s="1745"/>
      <c r="C20" s="752" t="s">
        <v>168</v>
      </c>
      <c r="D20" s="760">
        <f ca="1">IF(AND(ISNUMBER(D21),ISNUMBER($K$25)),D21+$K$25,"")</f>
        <v>162.68370443346612</v>
      </c>
      <c r="E20" s="760">
        <f t="shared" ref="E20:J20" ca="1" si="22">IF(AND(ISNUMBER(E21),ISNUMBER($K$25)),E21+$K$25,"")</f>
        <v>267.68370443346612</v>
      </c>
      <c r="F20" s="760">
        <f t="shared" ca="1" si="22"/>
        <v>372.68370443346612</v>
      </c>
      <c r="G20" s="760">
        <f t="shared" ca="1" si="22"/>
        <v>477.68370443346612</v>
      </c>
      <c r="H20" s="760">
        <f t="shared" ca="1" si="22"/>
        <v>582.68370443346612</v>
      </c>
      <c r="I20" s="1752" t="str">
        <f ca="1">IF(AND(ISNUMBER(I11),ISNUMBER($K$25)),I21+$K$25,"")</f>
        <v/>
      </c>
      <c r="J20" s="1760" t="str">
        <f t="shared" ca="1" si="22"/>
        <v/>
      </c>
      <c r="K20" s="1761" t="s">
        <v>174</v>
      </c>
      <c r="L20" s="1762"/>
      <c r="M20" s="26"/>
      <c r="N20" s="26"/>
      <c r="O20" s="594"/>
      <c r="P20" s="594"/>
      <c r="Q20" s="594"/>
      <c r="R20" s="594"/>
      <c r="S20" s="594"/>
      <c r="T20" s="594"/>
      <c r="AK20" s="357"/>
      <c r="AL20" s="358"/>
      <c r="AM20" s="358"/>
      <c r="AN20" s="358"/>
      <c r="AO20" s="358"/>
      <c r="AP20" s="358"/>
      <c r="AQ20" s="358"/>
      <c r="AR20" s="358"/>
      <c r="AS20" s="358"/>
      <c r="AT20" s="358"/>
      <c r="AU20" s="358"/>
      <c r="AV20" s="358"/>
      <c r="AW20" s="358"/>
      <c r="AX20" s="358"/>
      <c r="AY20" s="358"/>
      <c r="AZ20" s="358"/>
      <c r="BA20" s="358"/>
      <c r="BB20" s="367"/>
      <c r="BC20" s="358"/>
      <c r="BD20" s="358"/>
      <c r="BE20" s="358"/>
      <c r="BF20" s="358"/>
      <c r="BG20" s="358"/>
      <c r="BH20" s="358"/>
      <c r="BI20" s="358"/>
      <c r="BJ20" s="358"/>
      <c r="BK20" s="358"/>
      <c r="BL20" s="358"/>
      <c r="BM20" s="358"/>
      <c r="BN20" s="358"/>
      <c r="BO20" s="358"/>
      <c r="BP20" s="358"/>
      <c r="BQ20" s="358"/>
      <c r="BR20" s="358"/>
      <c r="BS20" s="358"/>
      <c r="BT20" s="358"/>
      <c r="BU20" s="358"/>
      <c r="BV20" s="358"/>
      <c r="BW20" s="358"/>
      <c r="BX20" s="358"/>
      <c r="BY20" s="358"/>
      <c r="BZ20" s="358"/>
      <c r="CA20" s="358"/>
      <c r="CB20" s="358"/>
      <c r="CC20" s="358"/>
      <c r="CD20" s="358"/>
      <c r="CE20" s="358"/>
      <c r="CF20" s="358"/>
      <c r="CG20" s="358"/>
      <c r="CH20" s="358"/>
      <c r="CI20" s="358"/>
      <c r="CJ20" s="358"/>
      <c r="CK20" s="358"/>
      <c r="CL20" s="358"/>
      <c r="CM20" s="358"/>
      <c r="CN20" s="358"/>
      <c r="CO20" s="358"/>
      <c r="CP20" s="358"/>
      <c r="CQ20" s="358"/>
      <c r="CR20" s="358"/>
      <c r="CS20" s="358"/>
      <c r="CT20" s="358"/>
      <c r="CU20" s="358"/>
      <c r="CV20" s="358"/>
      <c r="CW20" s="358"/>
      <c r="CX20" s="358"/>
      <c r="CY20" s="358"/>
      <c r="CZ20" s="358"/>
      <c r="DA20" s="358"/>
      <c r="DB20" s="358"/>
      <c r="DC20" s="358"/>
      <c r="DD20" s="358"/>
      <c r="DE20" s="358"/>
      <c r="DF20" s="358"/>
      <c r="DG20" s="358"/>
      <c r="DH20" s="358"/>
      <c r="DI20" s="358"/>
      <c r="DJ20" s="358"/>
      <c r="DK20" s="358"/>
      <c r="DL20" s="358"/>
      <c r="DM20" s="358"/>
      <c r="DN20" s="358"/>
      <c r="DO20" s="358"/>
      <c r="DP20" s="358"/>
      <c r="DQ20" s="358"/>
      <c r="DR20" s="358"/>
      <c r="DS20" s="358"/>
      <c r="DT20" s="358"/>
      <c r="DU20" s="358"/>
      <c r="DV20" s="358"/>
      <c r="DW20" s="358"/>
      <c r="DX20" s="358"/>
      <c r="DY20" s="358"/>
      <c r="DZ20" s="358"/>
      <c r="EA20" s="358"/>
      <c r="EB20" s="358"/>
      <c r="EC20" s="358"/>
      <c r="ED20" s="358"/>
      <c r="EE20" s="358"/>
      <c r="EF20" s="358"/>
      <c r="EG20" s="358"/>
      <c r="EH20" s="358"/>
      <c r="EI20" s="358"/>
      <c r="EJ20" s="358"/>
      <c r="EK20" s="358"/>
      <c r="EL20" s="358"/>
      <c r="EM20" s="358"/>
      <c r="EN20" s="358"/>
      <c r="EO20" s="358"/>
      <c r="EP20" s="358"/>
      <c r="EQ20" s="358"/>
      <c r="ER20" s="358"/>
      <c r="ES20" s="358"/>
      <c r="ET20" s="358"/>
      <c r="EU20" s="358"/>
      <c r="EV20" s="358"/>
      <c r="EW20" s="358"/>
      <c r="EX20" s="358"/>
      <c r="EY20" s="358"/>
      <c r="EZ20" s="371"/>
    </row>
    <row r="21" spans="1:156" ht="12" customHeight="1" x14ac:dyDescent="0.25">
      <c r="A21" s="1744" t="s">
        <v>126</v>
      </c>
      <c r="B21" s="1745"/>
      <c r="C21" s="752" t="s">
        <v>168</v>
      </c>
      <c r="D21" s="761">
        <f ca="1">IF(OR($N$2="",$N$2=0),"",IF(INDIRECT(ADDRESS(($AK21),COLUMN()+7,,,"Digitar Dados dos Ensaios"))&lt;&gt;"",INDIRECT(ADDRESS(($AK21),COLUMN()+7,,,"Digitar Dados dos Ensaios")),""))</f>
        <v>100</v>
      </c>
      <c r="E21" s="760">
        <f ca="1">IF(AND(ISNUMBER(E22),ISNUMBER($K$21)),E22*$K$21,"")</f>
        <v>204.99999999999997</v>
      </c>
      <c r="F21" s="760">
        <f ca="1">IF(AND(ISNUMBER(F22),ISNUMBER($K$21)),F22*$K$21,"")</f>
        <v>310</v>
      </c>
      <c r="G21" s="760">
        <f ca="1">IF(AND(ISNUMBER(G22),ISNUMBER($K$21)),G22*$K$21,"")</f>
        <v>415</v>
      </c>
      <c r="H21" s="760">
        <f ca="1">IF(AND(ISNUMBER(H22),ISNUMBER($K$21)),H22*$K$21,"")</f>
        <v>520</v>
      </c>
      <c r="I21" s="1752" t="str">
        <f ca="1">IF(AND(ISNUMBER(I11),ISNUMBER($K$21)),I22*$K$21,"")</f>
        <v/>
      </c>
      <c r="J21" s="1753" t="str">
        <f ca="1">IF(AND(ISNUMBER(J22),ISNUMBER($K$21)),J22*$K$21,"")</f>
        <v/>
      </c>
      <c r="K21" s="1754">
        <f ca="1">IF(OR($N$2="",$N$2=0),"",IF(INDIRECT(ADDRESS(($AK21),COLUMN()+6,,,"Digitar Dados dos Ensaios"))&lt;&gt;"",INDIRECT(ADDRESS(($AK21),COLUMN()+6,,,"Digitar Dados dos Ensaios")),""))</f>
        <v>7000</v>
      </c>
      <c r="L21" s="1755" t="str">
        <f ca="1">IF(OR($N$2="",$N$2=0),"",IF(INDIRECT(ADDRESS(($AK21),COLUMN()+6,,,"Digitar Dados dos Ensaios"))&lt;&gt;"",INDIRECT(ADDRESS(($AK21),COLUMN()+6,,,"Digitar Dados dos Ensaios")),""))</f>
        <v>Moldagem do ISC Ótimo</v>
      </c>
      <c r="M21" s="26"/>
      <c r="N21" s="26"/>
      <c r="O21" s="594"/>
      <c r="P21" s="594"/>
      <c r="Q21" s="594"/>
      <c r="R21" s="594"/>
      <c r="S21" s="594"/>
      <c r="T21" s="594"/>
      <c r="AK21" s="357">
        <f>AK14+1</f>
        <v>9</v>
      </c>
      <c r="AL21" s="393">
        <f ca="1">IF(OR($N$2="",$N$2=0),"",IF(INDIRECT(ADDRESS(($AK21),COLUMN()-24,,,"Digitar Dados dos Ensaios"))&lt;&gt;"",INDIRECT(ADDRESS(($AK21),COLUMN()-24,,,"Digitar Dados dos Ensaios")),""))</f>
        <v>1.4999999999999999E-2</v>
      </c>
      <c r="AM21" s="358"/>
      <c r="AN21" s="358"/>
      <c r="AO21" s="358"/>
      <c r="AP21" s="358"/>
      <c r="AQ21" s="358"/>
      <c r="AR21" s="358"/>
      <c r="AS21" s="358"/>
      <c r="AT21" s="358"/>
      <c r="AU21" s="358"/>
      <c r="AV21" s="358"/>
      <c r="AW21" s="358"/>
      <c r="AX21" s="358"/>
      <c r="AY21" s="358"/>
      <c r="AZ21" s="358"/>
      <c r="BA21" s="358"/>
      <c r="BB21" s="367"/>
      <c r="BC21" s="358"/>
      <c r="BD21" s="358"/>
      <c r="BE21" s="358"/>
      <c r="BF21" s="358"/>
      <c r="BG21" s="358"/>
      <c r="BH21" s="358"/>
      <c r="BI21" s="358"/>
      <c r="BJ21" s="358"/>
      <c r="BK21" s="358"/>
      <c r="BL21" s="358"/>
      <c r="BM21" s="358"/>
      <c r="BN21" s="358"/>
      <c r="BO21" s="358"/>
      <c r="BP21" s="358"/>
      <c r="BQ21" s="358"/>
      <c r="BR21" s="358"/>
      <c r="BS21" s="358"/>
      <c r="BT21" s="358"/>
      <c r="BU21" s="358"/>
      <c r="BV21" s="358"/>
      <c r="BW21" s="358"/>
      <c r="BX21" s="358"/>
      <c r="BY21" s="358"/>
      <c r="BZ21" s="358"/>
      <c r="CA21" s="358"/>
      <c r="CB21" s="358"/>
      <c r="CC21" s="358"/>
      <c r="CD21" s="358"/>
      <c r="CE21" s="358"/>
      <c r="CF21" s="358"/>
      <c r="CG21" s="358"/>
      <c r="CH21" s="358"/>
      <c r="CI21" s="358"/>
      <c r="CJ21" s="358"/>
      <c r="CK21" s="358"/>
      <c r="CL21" s="358"/>
      <c r="CM21" s="358"/>
      <c r="CN21" s="358"/>
      <c r="CO21" s="358"/>
      <c r="CP21" s="358"/>
      <c r="CQ21" s="358"/>
      <c r="CR21" s="358"/>
      <c r="CS21" s="358"/>
      <c r="CT21" s="358"/>
      <c r="CU21" s="358"/>
      <c r="CV21" s="358"/>
      <c r="CW21" s="358"/>
      <c r="CX21" s="358"/>
      <c r="CY21" s="358"/>
      <c r="CZ21" s="358"/>
      <c r="DA21" s="358"/>
      <c r="DB21" s="358"/>
      <c r="DC21" s="358"/>
      <c r="DD21" s="358"/>
      <c r="DE21" s="358"/>
      <c r="DF21" s="358"/>
      <c r="DG21" s="358"/>
      <c r="DH21" s="358"/>
      <c r="DI21" s="358"/>
      <c r="DJ21" s="358"/>
      <c r="DK21" s="358"/>
      <c r="DL21" s="358"/>
      <c r="DM21" s="358"/>
      <c r="DN21" s="358"/>
      <c r="DO21" s="358"/>
      <c r="DP21" s="358"/>
      <c r="DQ21" s="358"/>
      <c r="DR21" s="358"/>
      <c r="DS21" s="358"/>
      <c r="DT21" s="358"/>
      <c r="DU21" s="358"/>
      <c r="DV21" s="358"/>
      <c r="DW21" s="358"/>
      <c r="DX21" s="358"/>
      <c r="DY21" s="358"/>
      <c r="DZ21" s="358"/>
      <c r="EA21" s="358"/>
      <c r="EB21" s="358"/>
      <c r="EC21" s="358"/>
      <c r="ED21" s="358"/>
      <c r="EE21" s="358"/>
      <c r="EF21" s="358"/>
      <c r="EG21" s="358"/>
      <c r="EH21" s="358"/>
      <c r="EI21" s="358"/>
      <c r="EJ21" s="358"/>
      <c r="EK21" s="358"/>
      <c r="EL21" s="358"/>
      <c r="EM21" s="358"/>
      <c r="EN21" s="358"/>
      <c r="EO21" s="358"/>
      <c r="EP21" s="358"/>
      <c r="EQ21" s="358"/>
      <c r="ER21" s="358"/>
      <c r="ES21" s="358"/>
      <c r="ET21" s="358"/>
      <c r="EU21" s="358"/>
      <c r="EV21" s="358"/>
      <c r="EW21" s="358"/>
      <c r="EX21" s="358"/>
      <c r="EY21" s="358"/>
      <c r="EZ21" s="371"/>
    </row>
    <row r="22" spans="1:156" ht="12" customHeight="1" x14ac:dyDescent="0.25">
      <c r="A22" s="1744" t="s">
        <v>136</v>
      </c>
      <c r="B22" s="1745"/>
      <c r="C22" s="752" t="s">
        <v>171</v>
      </c>
      <c r="D22" s="758">
        <f ca="1">IF(AND(D24&lt;&gt;0,ISNUMBER(D21)),D21/K21,"")</f>
        <v>1.4285714285714285E-2</v>
      </c>
      <c r="E22" s="758">
        <f ca="1">IF(AND(ISNUMBER($AL$21),ISNUMBER(E11),E24&lt;&gt;0),D22+$AL$21,"")</f>
        <v>2.9285714285714283E-2</v>
      </c>
      <c r="F22" s="758">
        <f ca="1">IF(AND(ISNUMBER($AL$21),ISNUMBER(F11),F24&lt;&gt;0),E22+$AL$21,"")</f>
        <v>4.4285714285714282E-2</v>
      </c>
      <c r="G22" s="758">
        <f ca="1">IF(AND(ISNUMBER($AL$21),ISNUMBER(G11),G24&lt;&gt;0),F22+$AL$21,"")</f>
        <v>5.9285714285714282E-2</v>
      </c>
      <c r="H22" s="758">
        <f ca="1">IF(AND(ISNUMBER($AL$21),ISNUMBER(H11),H24&lt;&gt;0),G22+$AL$21,"")</f>
        <v>7.4285714285714288E-2</v>
      </c>
      <c r="I22" s="1748" t="str">
        <f ca="1">IF(AND(ISNUMBER($AL$21),ISNUMBER(I11),I24&lt;&gt;0),H22+$AL$21,"")</f>
        <v/>
      </c>
      <c r="J22" s="1749" t="str">
        <f ca="1">IF(AND(ISNUMBER($AL$21),ISNUMBER(I22),J24&lt;&gt;0),I22+$AL$21,"")</f>
        <v/>
      </c>
      <c r="K22" s="1756" t="s">
        <v>180</v>
      </c>
      <c r="L22" s="1757"/>
      <c r="M22" s="1680"/>
      <c r="N22" s="1680"/>
      <c r="O22" s="594"/>
      <c r="P22" s="594"/>
      <c r="Q22" s="594"/>
      <c r="R22" s="594"/>
      <c r="S22" s="594"/>
      <c r="T22" s="594"/>
      <c r="AK22" s="357"/>
      <c r="AL22" s="358"/>
      <c r="AM22" s="358"/>
      <c r="AN22" s="358"/>
      <c r="AO22" s="358"/>
      <c r="AP22" s="358"/>
      <c r="AQ22" s="358"/>
      <c r="AR22" s="358"/>
      <c r="AS22" s="358"/>
      <c r="AT22" s="358"/>
      <c r="AU22" s="358"/>
      <c r="AV22" s="358"/>
      <c r="AW22" s="358"/>
      <c r="AX22" s="358"/>
      <c r="AY22" s="358"/>
      <c r="AZ22" s="358"/>
      <c r="BA22" s="358"/>
      <c r="BB22" s="367"/>
      <c r="BC22" s="358"/>
      <c r="BD22" s="358"/>
      <c r="BE22" s="358"/>
      <c r="BF22" s="358"/>
      <c r="BG22" s="358"/>
      <c r="BH22" s="358"/>
      <c r="BI22" s="358"/>
      <c r="BJ22" s="358"/>
      <c r="BK22" s="358"/>
      <c r="BL22" s="358"/>
      <c r="BM22" s="358"/>
      <c r="BN22" s="358"/>
      <c r="BO22" s="358"/>
      <c r="BP22" s="358"/>
      <c r="BQ22" s="358"/>
      <c r="BR22" s="358"/>
      <c r="BS22" s="358"/>
      <c r="BT22" s="358"/>
      <c r="BU22" s="358"/>
      <c r="BV22" s="358"/>
      <c r="BW22" s="358"/>
      <c r="BX22" s="358"/>
      <c r="BY22" s="358"/>
      <c r="BZ22" s="358"/>
      <c r="CA22" s="358"/>
      <c r="CB22" s="358"/>
      <c r="CC22" s="358"/>
      <c r="CD22" s="358"/>
      <c r="CE22" s="358"/>
      <c r="CF22" s="358"/>
      <c r="CG22" s="358"/>
      <c r="CH22" s="358"/>
      <c r="CI22" s="358"/>
      <c r="CJ22" s="358"/>
      <c r="CK22" s="358"/>
      <c r="CL22" s="358"/>
      <c r="CM22" s="358"/>
      <c r="CN22" s="358"/>
      <c r="CO22" s="358"/>
      <c r="CP22" s="358"/>
      <c r="CQ22" s="358"/>
      <c r="CR22" s="358"/>
      <c r="CS22" s="358"/>
      <c r="CT22" s="358"/>
      <c r="CU22" s="358"/>
      <c r="CV22" s="358"/>
      <c r="CW22" s="358"/>
      <c r="CX22" s="358"/>
      <c r="CY22" s="358"/>
      <c r="CZ22" s="358"/>
      <c r="DA22" s="358"/>
      <c r="DB22" s="358"/>
      <c r="DC22" s="358"/>
      <c r="DD22" s="358"/>
      <c r="DE22" s="358"/>
      <c r="DF22" s="358"/>
      <c r="DG22" s="358"/>
      <c r="DH22" s="358"/>
      <c r="DI22" s="358"/>
      <c r="DJ22" s="358"/>
      <c r="DK22" s="358"/>
      <c r="DL22" s="358"/>
      <c r="DM22" s="358"/>
      <c r="DN22" s="358"/>
      <c r="DO22" s="358"/>
      <c r="DP22" s="358"/>
      <c r="DQ22" s="358"/>
      <c r="DR22" s="358"/>
      <c r="DS22" s="358"/>
      <c r="DT22" s="358"/>
      <c r="DU22" s="358"/>
      <c r="DV22" s="358"/>
      <c r="DW22" s="358"/>
      <c r="DX22" s="358"/>
      <c r="DY22" s="358"/>
      <c r="DZ22" s="358"/>
      <c r="EA22" s="358"/>
      <c r="EB22" s="358"/>
      <c r="EC22" s="358"/>
      <c r="ED22" s="358"/>
      <c r="EE22" s="358"/>
      <c r="EF22" s="358"/>
      <c r="EG22" s="358"/>
      <c r="EH22" s="358"/>
      <c r="EI22" s="358"/>
      <c r="EJ22" s="358"/>
      <c r="EK22" s="358"/>
      <c r="EL22" s="358"/>
      <c r="EM22" s="358"/>
      <c r="EN22" s="358"/>
      <c r="EO22" s="358"/>
      <c r="EP22" s="358"/>
      <c r="EQ22" s="358"/>
      <c r="ER22" s="358"/>
      <c r="ES22" s="358"/>
      <c r="ET22" s="358"/>
      <c r="EU22" s="358"/>
      <c r="EV22" s="358"/>
      <c r="EW22" s="358"/>
      <c r="EX22" s="358"/>
      <c r="EY22" s="358"/>
      <c r="EZ22" s="371"/>
    </row>
    <row r="23" spans="1:156" ht="12" customHeight="1" x14ac:dyDescent="0.25">
      <c r="A23" s="1744" t="s">
        <v>15</v>
      </c>
      <c r="B23" s="1745"/>
      <c r="C23" s="752" t="s">
        <v>56</v>
      </c>
      <c r="D23" s="762">
        <f ca="1">IF(OR($N$2="",$N$2=0),"",IF(INDIRECT(ADDRESS(($AK23),COLUMN()+6,,,"Digitar Dados dos Ensaios"))&lt;&gt;"",INDIRECT(ADDRESS(($AK23),COLUMN()+6,,,"Digitar Dados dos Ensaios")),""))</f>
        <v>41</v>
      </c>
      <c r="E23" s="762">
        <f t="shared" ref="E23:J24" ca="1" si="23">IF(OR($N$2="",$N$2=0),"",IF(INDIRECT(ADDRESS(($AK23),COLUMN()+6,,,"Digitar Dados dos Ensaios"))&lt;&gt;"",INDIRECT(ADDRESS(($AK23),COLUMN()+6,,,"Digitar Dados dos Ensaios")),""))</f>
        <v>28</v>
      </c>
      <c r="F23" s="762">
        <f t="shared" ca="1" si="23"/>
        <v>46</v>
      </c>
      <c r="G23" s="762">
        <f t="shared" ca="1" si="23"/>
        <v>48</v>
      </c>
      <c r="H23" s="762">
        <f t="shared" ca="1" si="23"/>
        <v>41</v>
      </c>
      <c r="I23" s="1763" t="str">
        <f t="shared" ca="1" si="23"/>
        <v/>
      </c>
      <c r="J23" s="1764" t="str">
        <f t="shared" ca="1" si="23"/>
        <v>% Ret.#3/4"</v>
      </c>
      <c r="K23" s="1765">
        <f ca="1">IF(ISNUMBER(K21),K21/(K19+1),"")</f>
        <v>6937.3162955665339</v>
      </c>
      <c r="L23" s="1766"/>
      <c r="M23" s="1663"/>
      <c r="N23" s="1663"/>
      <c r="O23" s="594"/>
      <c r="P23" s="594"/>
      <c r="Q23" s="594"/>
      <c r="R23" s="594"/>
      <c r="S23" s="594"/>
      <c r="T23" s="594"/>
      <c r="AK23" s="357">
        <f>AK21+1</f>
        <v>10</v>
      </c>
      <c r="AL23" s="358"/>
      <c r="AM23" s="358"/>
      <c r="AN23" s="358"/>
      <c r="AO23" s="358"/>
      <c r="AP23" s="358"/>
      <c r="AQ23" s="358"/>
      <c r="AR23" s="358"/>
      <c r="AS23" s="358"/>
      <c r="AT23" s="358"/>
      <c r="AU23" s="358"/>
      <c r="AV23" s="358"/>
      <c r="AW23" s="358"/>
      <c r="AX23" s="358"/>
      <c r="AY23" s="358"/>
      <c r="AZ23" s="358"/>
      <c r="BA23" s="358"/>
      <c r="BB23" s="367"/>
      <c r="BC23" s="358"/>
      <c r="BD23" s="358"/>
      <c r="BE23" s="358"/>
      <c r="BF23" s="358"/>
      <c r="BG23" s="358"/>
      <c r="BH23" s="358"/>
      <c r="BI23" s="358"/>
      <c r="BJ23" s="358"/>
      <c r="BK23" s="358"/>
      <c r="BL23" s="358"/>
      <c r="BM23" s="358"/>
      <c r="BN23" s="358"/>
      <c r="BO23" s="358"/>
      <c r="BP23" s="358"/>
      <c r="BQ23" s="358"/>
      <c r="BR23" s="358"/>
      <c r="BS23" s="358"/>
      <c r="BT23" s="358"/>
      <c r="BU23" s="358"/>
      <c r="BV23" s="358"/>
      <c r="BW23" s="358"/>
      <c r="BX23" s="358"/>
      <c r="BY23" s="358"/>
      <c r="BZ23" s="358"/>
      <c r="CA23" s="358"/>
      <c r="CB23" s="358"/>
      <c r="CC23" s="358"/>
      <c r="CD23" s="358"/>
      <c r="CE23" s="358"/>
      <c r="CF23" s="358"/>
      <c r="CG23" s="358"/>
      <c r="CH23" s="358"/>
      <c r="CI23" s="358"/>
      <c r="CJ23" s="358"/>
      <c r="CK23" s="358"/>
      <c r="CL23" s="358"/>
      <c r="CM23" s="358"/>
      <c r="CN23" s="358"/>
      <c r="CO23" s="358"/>
      <c r="CP23" s="358"/>
      <c r="CQ23" s="358"/>
      <c r="CR23" s="358"/>
      <c r="CS23" s="358"/>
      <c r="CT23" s="358"/>
      <c r="CU23" s="358"/>
      <c r="CV23" s="358"/>
      <c r="CW23" s="358"/>
      <c r="CX23" s="358"/>
      <c r="CY23" s="358"/>
      <c r="CZ23" s="358"/>
      <c r="DA23" s="358"/>
      <c r="DB23" s="358"/>
      <c r="DC23" s="358"/>
      <c r="DD23" s="358"/>
      <c r="DE23" s="358"/>
      <c r="DF23" s="358"/>
      <c r="DG23" s="358"/>
      <c r="DH23" s="358"/>
      <c r="DI23" s="358"/>
      <c r="DJ23" s="358"/>
      <c r="DK23" s="358"/>
      <c r="DL23" s="358"/>
      <c r="DM23" s="358"/>
      <c r="DN23" s="358"/>
      <c r="DO23" s="358"/>
      <c r="DP23" s="358"/>
      <c r="DQ23" s="358"/>
      <c r="DR23" s="358"/>
      <c r="DS23" s="358"/>
      <c r="DT23" s="358"/>
      <c r="DU23" s="358"/>
      <c r="DV23" s="358"/>
      <c r="DW23" s="358"/>
      <c r="DX23" s="358"/>
      <c r="DY23" s="358"/>
      <c r="DZ23" s="358"/>
      <c r="EA23" s="358"/>
      <c r="EB23" s="358"/>
      <c r="EC23" s="358"/>
      <c r="ED23" s="358"/>
      <c r="EE23" s="358"/>
      <c r="EF23" s="358"/>
      <c r="EG23" s="358"/>
      <c r="EH23" s="358"/>
      <c r="EI23" s="358"/>
      <c r="EJ23" s="358"/>
      <c r="EK23" s="358"/>
      <c r="EL23" s="358"/>
      <c r="EM23" s="358"/>
      <c r="EN23" s="358"/>
      <c r="EO23" s="358"/>
      <c r="EP23" s="358"/>
      <c r="EQ23" s="358"/>
      <c r="ER23" s="358"/>
      <c r="ES23" s="358"/>
      <c r="ET23" s="358"/>
      <c r="EU23" s="358"/>
      <c r="EV23" s="358"/>
      <c r="EW23" s="358"/>
      <c r="EX23" s="358"/>
      <c r="EY23" s="358"/>
      <c r="EZ23" s="371"/>
    </row>
    <row r="24" spans="1:156" ht="12" customHeight="1" x14ac:dyDescent="0.25">
      <c r="A24" s="1744" t="s">
        <v>60</v>
      </c>
      <c r="B24" s="1745"/>
      <c r="C24" s="752" t="s">
        <v>168</v>
      </c>
      <c r="D24" s="761">
        <f ca="1">IF(OR($N$2="",$N$2=0),"",IF(INDIRECT(ADDRESS(($AK24),COLUMN()+6,,,"Digitar Dados dos Ensaios"))&lt;&gt;"",INDIRECT(ADDRESS(($AK24),COLUMN()+6,,,"Digitar Dados dos Ensaios")),""))</f>
        <v>9575</v>
      </c>
      <c r="E24" s="761">
        <f t="shared" ca="1" si="23"/>
        <v>9661</v>
      </c>
      <c r="F24" s="761">
        <f t="shared" ca="1" si="23"/>
        <v>10042</v>
      </c>
      <c r="G24" s="761">
        <f t="shared" ca="1" si="23"/>
        <v>10055</v>
      </c>
      <c r="H24" s="761">
        <f t="shared" ca="1" si="23"/>
        <v>10000</v>
      </c>
      <c r="I24" s="1767" t="str">
        <f t="shared" ca="1" si="23"/>
        <v/>
      </c>
      <c r="J24" s="1768" t="str">
        <f t="shared" ca="1" si="23"/>
        <v>% Ret.# nº4</v>
      </c>
      <c r="K24" s="1769" t="s">
        <v>181</v>
      </c>
      <c r="L24" s="1770"/>
      <c r="M24" s="1663"/>
      <c r="N24" s="1663"/>
      <c r="O24" s="594"/>
      <c r="P24" s="594"/>
      <c r="Q24" s="594"/>
      <c r="R24" s="594"/>
      <c r="S24" s="594"/>
      <c r="T24" s="594"/>
      <c r="AK24" s="357">
        <f>AK23+1</f>
        <v>11</v>
      </c>
      <c r="AL24" s="358"/>
      <c r="AM24" s="358"/>
      <c r="AN24" s="358"/>
      <c r="AO24" s="358"/>
      <c r="AP24" s="358"/>
      <c r="AQ24" s="358"/>
      <c r="AR24" s="358"/>
      <c r="AS24" s="358"/>
      <c r="AT24" s="358"/>
      <c r="AU24" s="358"/>
      <c r="AV24" s="358"/>
      <c r="AW24" s="358"/>
      <c r="AX24" s="358"/>
      <c r="AY24" s="358"/>
      <c r="AZ24" s="358"/>
      <c r="BA24" s="358"/>
      <c r="BB24" s="367"/>
      <c r="BC24" s="358"/>
      <c r="BD24" s="358"/>
      <c r="BE24" s="358"/>
      <c r="BF24" s="358"/>
      <c r="BG24" s="358"/>
      <c r="BH24" s="358"/>
      <c r="BI24" s="358"/>
      <c r="BJ24" s="358"/>
      <c r="BK24" s="358"/>
      <c r="BL24" s="358"/>
      <c r="BM24" s="358"/>
      <c r="BN24" s="358"/>
      <c r="BO24" s="358"/>
      <c r="BP24" s="358"/>
      <c r="BQ24" s="358"/>
      <c r="BR24" s="358"/>
      <c r="BS24" s="358"/>
      <c r="BT24" s="358"/>
      <c r="BU24" s="358"/>
      <c r="BV24" s="358"/>
      <c r="BW24" s="358"/>
      <c r="BX24" s="358"/>
      <c r="BY24" s="358"/>
      <c r="BZ24" s="358"/>
      <c r="CA24" s="358"/>
      <c r="CB24" s="358"/>
      <c r="CC24" s="358"/>
      <c r="CD24" s="358"/>
      <c r="CE24" s="358"/>
      <c r="CF24" s="358"/>
      <c r="CG24" s="358"/>
      <c r="CH24" s="358"/>
      <c r="CI24" s="358"/>
      <c r="CJ24" s="358"/>
      <c r="CK24" s="358"/>
      <c r="CL24" s="358"/>
      <c r="CM24" s="358"/>
      <c r="CN24" s="358"/>
      <c r="CO24" s="358"/>
      <c r="CP24" s="358"/>
      <c r="CQ24" s="358"/>
      <c r="CR24" s="358"/>
      <c r="CS24" s="358"/>
      <c r="CT24" s="358"/>
      <c r="CU24" s="358"/>
      <c r="CV24" s="358"/>
      <c r="CW24" s="358"/>
      <c r="CX24" s="358"/>
      <c r="CY24" s="358"/>
      <c r="CZ24" s="358"/>
      <c r="DA24" s="358"/>
      <c r="DB24" s="358"/>
      <c r="DC24" s="358"/>
      <c r="DD24" s="358"/>
      <c r="DE24" s="358"/>
      <c r="DF24" s="358"/>
      <c r="DG24" s="358"/>
      <c r="DH24" s="358"/>
      <c r="DI24" s="358"/>
      <c r="DJ24" s="358"/>
      <c r="DK24" s="358"/>
      <c r="DL24" s="358"/>
      <c r="DM24" s="358"/>
      <c r="DN24" s="358"/>
      <c r="DO24" s="358"/>
      <c r="DP24" s="358"/>
      <c r="DQ24" s="358"/>
      <c r="DR24" s="358"/>
      <c r="DS24" s="358"/>
      <c r="DT24" s="358"/>
      <c r="DU24" s="358"/>
      <c r="DV24" s="358"/>
      <c r="DW24" s="358"/>
      <c r="DX24" s="358"/>
      <c r="DY24" s="358"/>
      <c r="DZ24" s="358"/>
      <c r="EA24" s="358"/>
      <c r="EB24" s="358"/>
      <c r="EC24" s="358"/>
      <c r="ED24" s="358"/>
      <c r="EE24" s="358"/>
      <c r="EF24" s="358"/>
      <c r="EG24" s="358"/>
      <c r="EH24" s="358"/>
      <c r="EI24" s="358"/>
      <c r="EJ24" s="358"/>
      <c r="EK24" s="358"/>
      <c r="EL24" s="358"/>
      <c r="EM24" s="358"/>
      <c r="EN24" s="358"/>
      <c r="EO24" s="358"/>
      <c r="EP24" s="358"/>
      <c r="EQ24" s="358"/>
      <c r="ER24" s="358"/>
      <c r="ES24" s="358"/>
      <c r="ET24" s="358"/>
      <c r="EU24" s="358"/>
      <c r="EV24" s="358"/>
      <c r="EW24" s="358"/>
      <c r="EX24" s="358"/>
      <c r="EY24" s="358"/>
      <c r="EZ24" s="371"/>
    </row>
    <row r="25" spans="1:156" ht="12" customHeight="1" x14ac:dyDescent="0.25">
      <c r="A25" s="1773" t="s">
        <v>46</v>
      </c>
      <c r="B25" s="1774"/>
      <c r="C25" s="752" t="s">
        <v>168</v>
      </c>
      <c r="D25" s="760">
        <f ca="1">IF(D23&lt;&gt;"",LOOKUP(D23,Tara!$G$6:$G$185,Tara!$H$6:$H$185),"")</f>
        <v>5530</v>
      </c>
      <c r="E25" s="760">
        <f ca="1">IF(E23&lt;&gt;"",LOOKUP(E23,Tara!$G$6:$G$185,Tara!$H$6:$H$185),"")</f>
        <v>5294</v>
      </c>
      <c r="F25" s="760">
        <f ca="1">IF(F23&lt;&gt;"",LOOKUP(F23,Tara!$G$6:$G$185,Tara!$H$6:$H$185),"")</f>
        <v>5222</v>
      </c>
      <c r="G25" s="760">
        <f ca="1">IF(G23&lt;&gt;"",LOOKUP(G23,Tara!$G$6:$G$185,Tara!$H$6:$H$185),"")</f>
        <v>5130</v>
      </c>
      <c r="H25" s="760">
        <f ca="1">IF(H23&lt;&gt;"",LOOKUP(H23,Tara!$G$6:$G$185,Tara!$H$6:$H$185),"")</f>
        <v>5530</v>
      </c>
      <c r="I25" s="1771" t="str">
        <f ca="1">IF(I11&lt;&gt;"",LOOKUP(I23,Tara!$G$6:$G$185,Tara!$H$6:$H$185),"")</f>
        <v/>
      </c>
      <c r="J25" s="1772" t="e">
        <f ca="1">IF(J23&lt;&gt;"",LOOKUP(J23,Tara!$G$6:$G$185,Tara!$H$6:$H$185),"")</f>
        <v>#N/A</v>
      </c>
      <c r="K25" s="1775">
        <f ca="1">IF(K21&lt;&gt;"",K21-K23,"")</f>
        <v>62.683704433466119</v>
      </c>
      <c r="L25" s="1776" t="str">
        <f ca="1">IF(ISNUMBER(J23),J23-J25,"")</f>
        <v/>
      </c>
      <c r="M25" s="1663"/>
      <c r="N25" s="1663"/>
      <c r="O25" s="595">
        <f ca="1">D25</f>
        <v>5530</v>
      </c>
      <c r="P25" s="595">
        <f ca="1">E25</f>
        <v>5294</v>
      </c>
      <c r="Q25" s="595">
        <f t="shared" ref="Q25:S26" ca="1" si="24">F25</f>
        <v>5222</v>
      </c>
      <c r="R25" s="595">
        <f t="shared" ca="1" si="24"/>
        <v>5130</v>
      </c>
      <c r="S25" s="595">
        <f t="shared" ca="1" si="24"/>
        <v>5530</v>
      </c>
      <c r="T25" s="594"/>
      <c r="AK25" s="357"/>
      <c r="AL25" s="358"/>
      <c r="AM25" s="358"/>
      <c r="AN25" s="358"/>
      <c r="AO25" s="358"/>
      <c r="AP25" s="358"/>
      <c r="AQ25" s="358"/>
      <c r="AR25" s="358"/>
      <c r="AS25" s="358"/>
      <c r="AT25" s="358"/>
      <c r="AU25" s="358"/>
      <c r="AV25" s="358"/>
      <c r="AW25" s="358"/>
      <c r="AX25" s="358"/>
      <c r="AY25" s="358"/>
      <c r="AZ25" s="358"/>
      <c r="BA25" s="358"/>
      <c r="BB25" s="367"/>
      <c r="BC25" s="358"/>
      <c r="BD25" s="358"/>
      <c r="BE25" s="358"/>
      <c r="BF25" s="358"/>
      <c r="BG25" s="358"/>
      <c r="BH25" s="358"/>
      <c r="BI25" s="358"/>
      <c r="BJ25" s="358"/>
      <c r="BK25" s="358"/>
      <c r="BL25" s="358"/>
      <c r="BM25" s="358"/>
      <c r="BN25" s="358"/>
      <c r="BO25" s="358"/>
      <c r="BP25" s="358"/>
      <c r="BQ25" s="358"/>
      <c r="BR25" s="358"/>
      <c r="BS25" s="358"/>
      <c r="BT25" s="358"/>
      <c r="BU25" s="358"/>
      <c r="BV25" s="358"/>
      <c r="BW25" s="358"/>
      <c r="BX25" s="358"/>
      <c r="BY25" s="358"/>
      <c r="BZ25" s="358"/>
      <c r="CA25" s="358"/>
      <c r="CB25" s="358"/>
      <c r="CC25" s="358"/>
      <c r="CD25" s="358"/>
      <c r="CE25" s="358"/>
      <c r="CF25" s="358"/>
      <c r="CG25" s="358"/>
      <c r="CH25" s="358"/>
      <c r="CI25" s="358"/>
      <c r="CJ25" s="358"/>
      <c r="CK25" s="358"/>
      <c r="CL25" s="358"/>
      <c r="CM25" s="358"/>
      <c r="CN25" s="358"/>
      <c r="CO25" s="358"/>
      <c r="CP25" s="358"/>
      <c r="CQ25" s="358"/>
      <c r="CR25" s="358"/>
      <c r="CS25" s="358"/>
      <c r="CT25" s="358"/>
      <c r="CU25" s="358"/>
      <c r="CV25" s="358"/>
      <c r="CW25" s="358"/>
      <c r="CX25" s="358"/>
      <c r="CY25" s="358"/>
      <c r="CZ25" s="358"/>
      <c r="DA25" s="358"/>
      <c r="DB25" s="358"/>
      <c r="DC25" s="358"/>
      <c r="DD25" s="358"/>
      <c r="DE25" s="358"/>
      <c r="DF25" s="358"/>
      <c r="DG25" s="358"/>
      <c r="DH25" s="358"/>
      <c r="DI25" s="358"/>
      <c r="DJ25" s="358"/>
      <c r="DK25" s="358"/>
      <c r="DL25" s="358"/>
      <c r="DM25" s="358"/>
      <c r="DN25" s="358"/>
      <c r="DO25" s="358"/>
      <c r="DP25" s="358"/>
      <c r="DQ25" s="358"/>
      <c r="DR25" s="358"/>
      <c r="DS25" s="358"/>
      <c r="DT25" s="358"/>
      <c r="DU25" s="358"/>
      <c r="DV25" s="358"/>
      <c r="DW25" s="358"/>
      <c r="DX25" s="358"/>
      <c r="DY25" s="358"/>
      <c r="DZ25" s="358"/>
      <c r="EA25" s="358"/>
      <c r="EB25" s="358"/>
      <c r="EC25" s="358"/>
      <c r="ED25" s="358"/>
      <c r="EE25" s="358"/>
      <c r="EF25" s="358"/>
      <c r="EG25" s="358"/>
      <c r="EH25" s="358"/>
      <c r="EI25" s="358"/>
      <c r="EJ25" s="358"/>
      <c r="EK25" s="358"/>
      <c r="EL25" s="358"/>
      <c r="EM25" s="358"/>
      <c r="EN25" s="358"/>
      <c r="EO25" s="358"/>
      <c r="EP25" s="358"/>
      <c r="EQ25" s="358"/>
      <c r="ER25" s="358"/>
      <c r="ES25" s="358"/>
      <c r="ET25" s="358"/>
      <c r="EU25" s="358"/>
      <c r="EV25" s="358"/>
      <c r="EW25" s="358"/>
      <c r="EX25" s="358"/>
      <c r="EY25" s="358"/>
      <c r="EZ25" s="371"/>
    </row>
    <row r="26" spans="1:156" ht="12" customHeight="1" x14ac:dyDescent="0.25">
      <c r="A26" s="1773" t="s">
        <v>182</v>
      </c>
      <c r="B26" s="1774"/>
      <c r="C26" s="752"/>
      <c r="D26" s="760">
        <f ca="1">IF(D23&lt;&gt;"",LOOKUP(D23,Tara!$G$6:$G$185,Tara!$I$6:$I$185),"")</f>
        <v>2082</v>
      </c>
      <c r="E26" s="760">
        <f ca="1">IF(E23&lt;&gt;"",LOOKUP(E23,Tara!$G$6:$G$185,Tara!$I$6:$I$185),"")</f>
        <v>2083</v>
      </c>
      <c r="F26" s="760">
        <f ca="1">IF(F23&lt;&gt;"",LOOKUP(F23,Tara!$G$6:$G$185,Tara!$I$6:$I$185),"")</f>
        <v>2037</v>
      </c>
      <c r="G26" s="760">
        <f ca="1">IF(G23&lt;&gt;"",LOOKUP(G23,Tara!$G$6:$G$185,Tara!$I$6:$I$185),"")</f>
        <v>2068</v>
      </c>
      <c r="H26" s="760">
        <f ca="1">IF(H23&lt;&gt;"",LOOKUP(H23,Tara!$G$6:$G$185,Tara!$I$6:$I$185),"")</f>
        <v>2082</v>
      </c>
      <c r="I26" s="1777" t="str">
        <f ca="1">IF(I11&lt;&gt;"",LOOKUP(I23,Tara!$G$6:$G$185,Tara!$I$6:$I$185),"")</f>
        <v/>
      </c>
      <c r="J26" s="1778" t="e">
        <f ca="1">IF(J23&lt;&gt;"",LOOKUP(J23,Tara!$G$6:$G$185,Tara!$I$6:$I$185),"")</f>
        <v>#N/A</v>
      </c>
      <c r="K26" s="252"/>
      <c r="L26" s="253"/>
      <c r="M26" s="1663"/>
      <c r="N26" s="1663"/>
      <c r="O26" s="595">
        <f ca="1">D26</f>
        <v>2082</v>
      </c>
      <c r="P26" s="595">
        <f ca="1">E26</f>
        <v>2083</v>
      </c>
      <c r="Q26" s="595">
        <f t="shared" ca="1" si="24"/>
        <v>2037</v>
      </c>
      <c r="R26" s="595">
        <f t="shared" ca="1" si="24"/>
        <v>2068</v>
      </c>
      <c r="S26" s="595">
        <f t="shared" ca="1" si="24"/>
        <v>2082</v>
      </c>
      <c r="T26" s="594"/>
      <c r="AK26" s="357"/>
      <c r="AL26" s="358"/>
      <c r="AM26" s="358"/>
      <c r="AN26" s="358"/>
      <c r="AO26" s="358"/>
      <c r="AP26" s="358"/>
      <c r="AQ26" s="358"/>
      <c r="AR26" s="358"/>
      <c r="AS26" s="358"/>
      <c r="AT26" s="358"/>
      <c r="AU26" s="358"/>
      <c r="AV26" s="358"/>
      <c r="AW26" s="358"/>
      <c r="AX26" s="358"/>
      <c r="AY26" s="358"/>
      <c r="AZ26" s="358"/>
      <c r="BA26" s="358"/>
      <c r="BB26" s="367"/>
      <c r="BC26" s="358"/>
      <c r="BD26" s="358"/>
      <c r="BE26" s="358"/>
      <c r="BF26" s="358"/>
      <c r="BG26" s="358"/>
      <c r="BH26" s="358"/>
      <c r="BI26" s="358"/>
      <c r="BJ26" s="358"/>
      <c r="BK26" s="358"/>
      <c r="BL26" s="358"/>
      <c r="BM26" s="358"/>
      <c r="BN26" s="358"/>
      <c r="BO26" s="358"/>
      <c r="BP26" s="358"/>
      <c r="BQ26" s="358"/>
      <c r="BR26" s="358"/>
      <c r="BS26" s="358"/>
      <c r="BT26" s="358"/>
      <c r="BU26" s="358"/>
      <c r="BV26" s="358"/>
      <c r="BW26" s="358"/>
      <c r="BX26" s="358"/>
      <c r="BY26" s="358"/>
      <c r="BZ26" s="358"/>
      <c r="CA26" s="358"/>
      <c r="CB26" s="358"/>
      <c r="CC26" s="358"/>
      <c r="CD26" s="358"/>
      <c r="CE26" s="358"/>
      <c r="CF26" s="358"/>
      <c r="CG26" s="358"/>
      <c r="CH26" s="358"/>
      <c r="CI26" s="358"/>
      <c r="CJ26" s="358"/>
      <c r="CK26" s="358"/>
      <c r="CL26" s="358"/>
      <c r="CM26" s="358"/>
      <c r="CN26" s="358"/>
      <c r="CO26" s="358"/>
      <c r="CP26" s="358"/>
      <c r="CQ26" s="358"/>
      <c r="CR26" s="358"/>
      <c r="CS26" s="358"/>
      <c r="CT26" s="358"/>
      <c r="CU26" s="358"/>
      <c r="CV26" s="358"/>
      <c r="CW26" s="358"/>
      <c r="CX26" s="358"/>
      <c r="CY26" s="358"/>
      <c r="CZ26" s="358"/>
      <c r="DA26" s="358"/>
      <c r="DB26" s="358"/>
      <c r="DC26" s="358"/>
      <c r="DD26" s="358"/>
      <c r="DE26" s="358"/>
      <c r="DF26" s="358"/>
      <c r="DG26" s="358"/>
      <c r="DH26" s="358"/>
      <c r="DI26" s="358"/>
      <c r="DJ26" s="358"/>
      <c r="DK26" s="358"/>
      <c r="DL26" s="358"/>
      <c r="DM26" s="358"/>
      <c r="DN26" s="358"/>
      <c r="DO26" s="358"/>
      <c r="DP26" s="358"/>
      <c r="DQ26" s="358"/>
      <c r="DR26" s="358"/>
      <c r="DS26" s="358"/>
      <c r="DT26" s="358"/>
      <c r="DU26" s="358"/>
      <c r="DV26" s="358"/>
      <c r="DW26" s="358"/>
      <c r="DX26" s="358"/>
      <c r="DY26" s="358"/>
      <c r="DZ26" s="358"/>
      <c r="EA26" s="358"/>
      <c r="EB26" s="358"/>
      <c r="EC26" s="358"/>
      <c r="ED26" s="358"/>
      <c r="EE26" s="358"/>
      <c r="EF26" s="358"/>
      <c r="EG26" s="358"/>
      <c r="EH26" s="358"/>
      <c r="EI26" s="358"/>
      <c r="EJ26" s="358"/>
      <c r="EK26" s="358"/>
      <c r="EL26" s="358"/>
      <c r="EM26" s="358"/>
      <c r="EN26" s="358"/>
      <c r="EO26" s="358"/>
      <c r="EP26" s="358"/>
      <c r="EQ26" s="358"/>
      <c r="ER26" s="358"/>
      <c r="ES26" s="358"/>
      <c r="ET26" s="358"/>
      <c r="EU26" s="358"/>
      <c r="EV26" s="358"/>
      <c r="EW26" s="358"/>
      <c r="EX26" s="358"/>
      <c r="EY26" s="358"/>
      <c r="EZ26" s="371"/>
    </row>
    <row r="27" spans="1:156" ht="12" customHeight="1" x14ac:dyDescent="0.25">
      <c r="A27" s="1744" t="s">
        <v>98</v>
      </c>
      <c r="B27" s="1745"/>
      <c r="C27" s="752" t="s">
        <v>168</v>
      </c>
      <c r="D27" s="760">
        <f ca="1">IF(D24&lt;&gt;"",D24-D25,"")</f>
        <v>4045</v>
      </c>
      <c r="E27" s="760">
        <f ca="1">IF(E24&lt;&gt;"",E24-E25,"")</f>
        <v>4367</v>
      </c>
      <c r="F27" s="760">
        <f ca="1">IF(F24&lt;&gt;"",F24-F25,"")</f>
        <v>4820</v>
      </c>
      <c r="G27" s="760">
        <f ca="1">IF(G24&lt;&gt;"",G24-G25,"")</f>
        <v>4925</v>
      </c>
      <c r="H27" s="760">
        <f ca="1">IF(H24&lt;&gt;"",H24-H25,"")</f>
        <v>4470</v>
      </c>
      <c r="I27" s="1771" t="str">
        <f ca="1">IF(I11&lt;&gt;"",I24-I25,"")</f>
        <v/>
      </c>
      <c r="J27" s="1772" t="e">
        <f ca="1">IF(J24&lt;&gt;"",J24-J25,"")</f>
        <v>#VALUE!</v>
      </c>
      <c r="K27" s="254"/>
      <c r="L27" s="1239"/>
      <c r="M27" s="1663"/>
      <c r="N27" s="1663"/>
      <c r="O27" s="594"/>
      <c r="P27" s="594"/>
      <c r="Q27" s="594"/>
      <c r="R27" s="594"/>
      <c r="S27" s="594"/>
      <c r="T27" s="594"/>
      <c r="AK27" s="357"/>
      <c r="AL27" s="358"/>
      <c r="AM27" s="358"/>
      <c r="AN27" s="358"/>
      <c r="AO27" s="358"/>
      <c r="AP27" s="358"/>
      <c r="AQ27" s="358"/>
      <c r="AR27" s="358"/>
      <c r="AS27" s="358"/>
      <c r="AT27" s="358"/>
      <c r="AU27" s="358"/>
      <c r="AV27" s="358"/>
      <c r="AW27" s="358"/>
      <c r="AX27" s="358"/>
      <c r="AY27" s="358"/>
      <c r="AZ27" s="358"/>
      <c r="BA27" s="358"/>
      <c r="BB27" s="367"/>
      <c r="BC27" s="358"/>
      <c r="BD27" s="358"/>
      <c r="BE27" s="358"/>
      <c r="BF27" s="358"/>
      <c r="BG27" s="358"/>
      <c r="BH27" s="358"/>
      <c r="BI27" s="358"/>
      <c r="BJ27" s="358"/>
      <c r="BK27" s="358"/>
      <c r="BL27" s="358"/>
      <c r="BM27" s="358"/>
      <c r="BN27" s="358"/>
      <c r="BO27" s="358"/>
      <c r="BP27" s="358"/>
      <c r="BQ27" s="358"/>
      <c r="BR27" s="358"/>
      <c r="BS27" s="358"/>
      <c r="BT27" s="358"/>
      <c r="BU27" s="358"/>
      <c r="BV27" s="358"/>
      <c r="BW27" s="358"/>
      <c r="BX27" s="358"/>
      <c r="BY27" s="358"/>
      <c r="BZ27" s="358"/>
      <c r="CA27" s="358"/>
      <c r="CB27" s="358"/>
      <c r="CC27" s="358"/>
      <c r="CD27" s="358"/>
      <c r="CE27" s="358"/>
      <c r="CF27" s="358"/>
      <c r="CG27" s="358"/>
      <c r="CH27" s="358"/>
      <c r="CI27" s="358"/>
      <c r="CJ27" s="358"/>
      <c r="CK27" s="358"/>
      <c r="CL27" s="358"/>
      <c r="CM27" s="358"/>
      <c r="CN27" s="358"/>
      <c r="CO27" s="358"/>
      <c r="CP27" s="358"/>
      <c r="CQ27" s="358"/>
      <c r="CR27" s="358"/>
      <c r="CS27" s="358"/>
      <c r="CT27" s="358"/>
      <c r="CU27" s="358"/>
      <c r="CV27" s="358"/>
      <c r="CW27" s="358"/>
      <c r="CX27" s="358"/>
      <c r="CY27" s="358"/>
      <c r="CZ27" s="358"/>
      <c r="DA27" s="358"/>
      <c r="DB27" s="358"/>
      <c r="DC27" s="358"/>
      <c r="DD27" s="358"/>
      <c r="DE27" s="358"/>
      <c r="DF27" s="358"/>
      <c r="DG27" s="358"/>
      <c r="DH27" s="358"/>
      <c r="DI27" s="358"/>
      <c r="DJ27" s="358"/>
      <c r="DK27" s="358"/>
      <c r="DL27" s="358"/>
      <c r="DM27" s="358"/>
      <c r="DN27" s="358"/>
      <c r="DO27" s="358"/>
      <c r="DP27" s="358"/>
      <c r="DQ27" s="358"/>
      <c r="DR27" s="358"/>
      <c r="DS27" s="358"/>
      <c r="DT27" s="358"/>
      <c r="DU27" s="358"/>
      <c r="DV27" s="358"/>
      <c r="DW27" s="358"/>
      <c r="DX27" s="358"/>
      <c r="DY27" s="358"/>
      <c r="DZ27" s="358"/>
      <c r="EA27" s="358"/>
      <c r="EB27" s="358"/>
      <c r="EC27" s="358"/>
      <c r="ED27" s="358"/>
      <c r="EE27" s="358"/>
      <c r="EF27" s="358"/>
      <c r="EG27" s="358"/>
      <c r="EH27" s="358"/>
      <c r="EI27" s="358"/>
      <c r="EJ27" s="358"/>
      <c r="EK27" s="358"/>
      <c r="EL27" s="358"/>
      <c r="EM27" s="358"/>
      <c r="EN27" s="358"/>
      <c r="EO27" s="358"/>
      <c r="EP27" s="358"/>
      <c r="EQ27" s="358"/>
      <c r="ER27" s="358"/>
      <c r="ES27" s="358"/>
      <c r="ET27" s="358"/>
      <c r="EU27" s="358"/>
      <c r="EV27" s="358"/>
      <c r="EW27" s="358"/>
      <c r="EX27" s="358"/>
      <c r="EY27" s="358"/>
      <c r="EZ27" s="371"/>
    </row>
    <row r="28" spans="1:156" ht="12" customHeight="1" x14ac:dyDescent="0.25">
      <c r="A28" s="1744" t="s">
        <v>114</v>
      </c>
      <c r="B28" s="1745"/>
      <c r="C28" s="752" t="s">
        <v>183</v>
      </c>
      <c r="D28" s="760">
        <f ca="1">IF(D27&lt;&gt;"",D27*1000/D26,"")</f>
        <v>1942.8434197886647</v>
      </c>
      <c r="E28" s="760">
        <f t="shared" ref="E28:J28" ca="1" si="25">IF(E27&lt;&gt;"",E27*1000/E26,"")</f>
        <v>2096.4954392702834</v>
      </c>
      <c r="F28" s="760">
        <f t="shared" ca="1" si="25"/>
        <v>2366.2248404516445</v>
      </c>
      <c r="G28" s="760">
        <f t="shared" ca="1" si="25"/>
        <v>2381.5280464216635</v>
      </c>
      <c r="H28" s="760">
        <f t="shared" ca="1" si="25"/>
        <v>2146.9740634005761</v>
      </c>
      <c r="I28" s="1771" t="str">
        <f t="shared" ca="1" si="25"/>
        <v/>
      </c>
      <c r="J28" s="1772" t="e">
        <f t="shared" ca="1" si="25"/>
        <v>#VALUE!</v>
      </c>
      <c r="K28" s="254"/>
      <c r="L28" s="1239"/>
      <c r="M28" s="1663"/>
      <c r="N28" s="1663"/>
      <c r="O28" s="596">
        <f ca="1">O29+O25</f>
        <v>9692.8231365658994</v>
      </c>
      <c r="P28" s="596">
        <f ca="1">P29+P25</f>
        <v>9736.6438927201307</v>
      </c>
      <c r="Q28" s="596">
        <f ca="1">Q29+Q25</f>
        <v>9710.1869938521086</v>
      </c>
      <c r="R28" s="596">
        <f ca="1">R29+R25</f>
        <v>9696.9381079552859</v>
      </c>
      <c r="S28" s="596">
        <f ca="1">S29+S25</f>
        <v>10024.490734133338</v>
      </c>
      <c r="T28" s="594"/>
      <c r="AK28" s="357"/>
      <c r="AL28" s="358"/>
      <c r="AM28" s="358"/>
      <c r="AN28" s="358"/>
      <c r="AO28" s="358"/>
      <c r="AP28" s="358"/>
      <c r="AQ28" s="358"/>
      <c r="AR28" s="358"/>
      <c r="AS28" s="358"/>
      <c r="AT28" s="358"/>
      <c r="AU28" s="358"/>
      <c r="AV28" s="358"/>
      <c r="AW28" s="358"/>
      <c r="AX28" s="358"/>
      <c r="AY28" s="358"/>
      <c r="AZ28" s="358"/>
      <c r="BA28" s="358"/>
      <c r="BB28" s="367"/>
      <c r="BC28" s="358"/>
      <c r="BD28" s="358"/>
      <c r="BE28" s="358"/>
      <c r="BF28" s="358"/>
      <c r="BG28" s="358"/>
      <c r="BH28" s="358"/>
      <c r="BI28" s="358"/>
      <c r="BJ28" s="358"/>
      <c r="BK28" s="358"/>
      <c r="BL28" s="358"/>
      <c r="BM28" s="358"/>
      <c r="BN28" s="358"/>
      <c r="BO28" s="358"/>
      <c r="BP28" s="358"/>
      <c r="BQ28" s="358"/>
      <c r="BR28" s="358"/>
      <c r="BS28" s="358"/>
      <c r="BT28" s="358"/>
      <c r="BU28" s="358"/>
      <c r="BV28" s="358"/>
      <c r="BW28" s="358"/>
      <c r="BX28" s="358"/>
      <c r="BY28" s="358"/>
      <c r="BZ28" s="358"/>
      <c r="CA28" s="358"/>
      <c r="CB28" s="358"/>
      <c r="CC28" s="358"/>
      <c r="CD28" s="358"/>
      <c r="CE28" s="358"/>
      <c r="CF28" s="358"/>
      <c r="CG28" s="358"/>
      <c r="CH28" s="358"/>
      <c r="CI28" s="358"/>
      <c r="CJ28" s="358"/>
      <c r="CK28" s="358"/>
      <c r="CL28" s="358"/>
      <c r="CM28" s="358"/>
      <c r="CN28" s="358"/>
      <c r="CO28" s="358"/>
      <c r="CP28" s="358"/>
      <c r="CQ28" s="358"/>
      <c r="CR28" s="358"/>
      <c r="CS28" s="358"/>
      <c r="CT28" s="358"/>
      <c r="CU28" s="358"/>
      <c r="CV28" s="358"/>
      <c r="CW28" s="358"/>
      <c r="CX28" s="358"/>
      <c r="CY28" s="358"/>
      <c r="CZ28" s="358"/>
      <c r="DA28" s="358"/>
      <c r="DB28" s="358"/>
      <c r="DC28" s="358"/>
      <c r="DD28" s="358"/>
      <c r="DE28" s="358"/>
      <c r="DF28" s="358"/>
      <c r="DG28" s="358"/>
      <c r="DH28" s="358"/>
      <c r="DI28" s="358"/>
      <c r="DJ28" s="358"/>
      <c r="DK28" s="358"/>
      <c r="DL28" s="358"/>
      <c r="DM28" s="358"/>
      <c r="DN28" s="358"/>
      <c r="DO28" s="358"/>
      <c r="DP28" s="358"/>
      <c r="DQ28" s="358"/>
      <c r="DR28" s="358"/>
      <c r="DS28" s="358"/>
      <c r="DT28" s="358"/>
      <c r="DU28" s="358"/>
      <c r="DV28" s="358"/>
      <c r="DW28" s="358"/>
      <c r="DX28" s="358"/>
      <c r="DY28" s="358"/>
      <c r="DZ28" s="358"/>
      <c r="EA28" s="358"/>
      <c r="EB28" s="358"/>
      <c r="EC28" s="358"/>
      <c r="ED28" s="358"/>
      <c r="EE28" s="358"/>
      <c r="EF28" s="358"/>
      <c r="EG28" s="358"/>
      <c r="EH28" s="358"/>
      <c r="EI28" s="358"/>
      <c r="EJ28" s="358"/>
      <c r="EK28" s="358"/>
      <c r="EL28" s="358"/>
      <c r="EM28" s="358"/>
      <c r="EN28" s="358"/>
      <c r="EO28" s="358"/>
      <c r="EP28" s="358"/>
      <c r="EQ28" s="358"/>
      <c r="ER28" s="358"/>
      <c r="ES28" s="358"/>
      <c r="ET28" s="358"/>
      <c r="EU28" s="358"/>
      <c r="EV28" s="358"/>
      <c r="EW28" s="358"/>
      <c r="EX28" s="358"/>
      <c r="EY28" s="358"/>
      <c r="EZ28" s="371"/>
    </row>
    <row r="29" spans="1:156" ht="12" customHeight="1" x14ac:dyDescent="0.25">
      <c r="A29" s="1779" t="s">
        <v>184</v>
      </c>
      <c r="B29" s="1780"/>
      <c r="C29" s="640" t="s">
        <v>183</v>
      </c>
      <c r="D29" s="641">
        <f ca="1">IF(D28="","",IF($AS$1=TRUE,D28/(1+D19),IF($AS$2=TRUE,D28/(1+D18),"")))</f>
        <v>1898.326664201988</v>
      </c>
      <c r="E29" s="641">
        <f t="shared" ref="E29:J29" ca="1" si="26">IF(E28="","",IF($AS$1=TRUE,E28/(1+E19),IF($AS$2=TRUE,E28/(1+E18),"")))</f>
        <v>2018.6054093588696</v>
      </c>
      <c r="F29" s="641">
        <f ca="1">IF(F28="","",IF($AS$1=TRUE,F28/(1+F19),IF($AS$2=TRUE,F28/(1+F18),"")))</f>
        <v>2245.588255080645</v>
      </c>
      <c r="G29" s="641">
        <f t="shared" ca="1" si="26"/>
        <v>2228.1069891827028</v>
      </c>
      <c r="H29" s="641">
        <f t="shared" ca="1" si="26"/>
        <v>1980.6167760887652</v>
      </c>
      <c r="I29" s="1781" t="str">
        <f ca="1">IF(I28="","",IF($AS$1=TRUE,I28/(1+I19),IF($AS$2=TRUE,I28/(1+I18),"")))</f>
        <v/>
      </c>
      <c r="J29" s="1782" t="e">
        <f t="shared" ca="1" si="26"/>
        <v>#VALUE!</v>
      </c>
      <c r="K29" s="256"/>
      <c r="L29" s="255"/>
      <c r="M29" s="1650"/>
      <c r="N29" s="1650"/>
      <c r="O29" s="596">
        <f ca="1">O30*O26/1000</f>
        <v>4162.8231365658994</v>
      </c>
      <c r="P29" s="596">
        <f ca="1">P30*P26/1000</f>
        <v>4442.6438927201307</v>
      </c>
      <c r="Q29" s="596">
        <f ca="1">Q30*Q26/1000</f>
        <v>4488.1869938521077</v>
      </c>
      <c r="R29" s="596">
        <f ca="1">R30*R26/1000</f>
        <v>4566.9381079552859</v>
      </c>
      <c r="S29" s="596">
        <f ca="1">S30*S26/1000</f>
        <v>4494.4907341333374</v>
      </c>
      <c r="T29" s="594"/>
      <c r="AK29" s="357"/>
      <c r="AL29" s="358"/>
      <c r="AM29" s="358"/>
      <c r="AN29" s="358"/>
      <c r="AO29" s="358"/>
      <c r="AP29" s="358"/>
      <c r="AQ29" s="358"/>
      <c r="AR29" s="358"/>
      <c r="AS29" s="358"/>
      <c r="AT29" s="358"/>
      <c r="AU29" s="358"/>
      <c r="AV29" s="358"/>
      <c r="AW29" s="358"/>
      <c r="AX29" s="358"/>
      <c r="AY29" s="358"/>
      <c r="AZ29" s="358"/>
      <c r="BA29" s="358"/>
      <c r="BB29" s="367"/>
      <c r="BC29" s="358"/>
      <c r="BD29" s="358"/>
      <c r="BE29" s="358"/>
      <c r="BF29" s="358"/>
      <c r="BG29" s="358"/>
      <c r="BH29" s="358"/>
      <c r="BI29" s="358"/>
      <c r="BJ29" s="358"/>
      <c r="BK29" s="358"/>
      <c r="BL29" s="358"/>
      <c r="BM29" s="358"/>
      <c r="BN29" s="358"/>
      <c r="BO29" s="358"/>
      <c r="BP29" s="358"/>
      <c r="BQ29" s="358"/>
      <c r="BR29" s="358"/>
      <c r="BS29" s="358"/>
      <c r="BT29" s="358"/>
      <c r="BU29" s="358"/>
      <c r="BV29" s="358"/>
      <c r="BW29" s="358"/>
      <c r="BX29" s="358"/>
      <c r="BY29" s="358"/>
      <c r="BZ29" s="358"/>
      <c r="CA29" s="358"/>
      <c r="CB29" s="358"/>
      <c r="CC29" s="358"/>
      <c r="CD29" s="358"/>
      <c r="CE29" s="358"/>
      <c r="CF29" s="358"/>
      <c r="CG29" s="358"/>
      <c r="CH29" s="358"/>
      <c r="CI29" s="358"/>
      <c r="CJ29" s="358"/>
      <c r="CK29" s="358"/>
      <c r="CL29" s="358"/>
      <c r="CM29" s="358"/>
      <c r="CN29" s="358"/>
      <c r="CO29" s="358"/>
      <c r="CP29" s="358"/>
      <c r="CQ29" s="358"/>
      <c r="CR29" s="358"/>
      <c r="CS29" s="358"/>
      <c r="CT29" s="358"/>
      <c r="CU29" s="358"/>
      <c r="CV29" s="358"/>
      <c r="CW29" s="358"/>
      <c r="CX29" s="358"/>
      <c r="CY29" s="358"/>
      <c r="CZ29" s="358"/>
      <c r="DA29" s="358"/>
      <c r="DB29" s="358"/>
      <c r="DC29" s="358"/>
      <c r="DD29" s="358"/>
      <c r="DE29" s="358"/>
      <c r="DF29" s="358"/>
      <c r="DG29" s="358"/>
      <c r="DH29" s="358"/>
      <c r="DI29" s="358"/>
      <c r="DJ29" s="358"/>
      <c r="DK29" s="358"/>
      <c r="DL29" s="358"/>
      <c r="DM29" s="358"/>
      <c r="DN29" s="358"/>
      <c r="DO29" s="358"/>
      <c r="DP29" s="358"/>
      <c r="DQ29" s="358"/>
      <c r="DR29" s="358"/>
      <c r="DS29" s="358"/>
      <c r="DT29" s="358"/>
      <c r="DU29" s="358"/>
      <c r="DV29" s="358"/>
      <c r="DW29" s="358"/>
      <c r="DX29" s="358"/>
      <c r="DY29" s="358"/>
      <c r="DZ29" s="358"/>
      <c r="EA29" s="358"/>
      <c r="EB29" s="358"/>
      <c r="EC29" s="358"/>
      <c r="ED29" s="358"/>
      <c r="EE29" s="358"/>
      <c r="EF29" s="358"/>
      <c r="EG29" s="358"/>
      <c r="EH29" s="358"/>
      <c r="EI29" s="358"/>
      <c r="EJ29" s="358"/>
      <c r="EK29" s="358"/>
      <c r="EL29" s="358"/>
      <c r="EM29" s="358"/>
      <c r="EN29" s="358"/>
      <c r="EO29" s="358"/>
      <c r="EP29" s="358"/>
      <c r="EQ29" s="358"/>
      <c r="ER29" s="358"/>
      <c r="ES29" s="358"/>
      <c r="ET29" s="358"/>
      <c r="EU29" s="358"/>
      <c r="EV29" s="358"/>
      <c r="EW29" s="358"/>
      <c r="EX29" s="358"/>
      <c r="EY29" s="358"/>
      <c r="EZ29" s="371"/>
    </row>
    <row r="30" spans="1:156" ht="12" customHeight="1" x14ac:dyDescent="0.25">
      <c r="A30" s="1783" t="s">
        <v>185</v>
      </c>
      <c r="B30" s="1784"/>
      <c r="C30" s="1784"/>
      <c r="D30" s="1785"/>
      <c r="E30" s="1789" t="s">
        <v>165</v>
      </c>
      <c r="F30" s="1658"/>
      <c r="G30" s="1658"/>
      <c r="H30" s="1658"/>
      <c r="I30" s="1658" t="s">
        <v>173</v>
      </c>
      <c r="J30" s="1658"/>
      <c r="K30" s="1658" t="s">
        <v>43</v>
      </c>
      <c r="L30" s="1659"/>
      <c r="N30" s="591"/>
      <c r="O30" s="596">
        <f ca="1">O31*(O19+100%)</f>
        <v>1999.4347437876559</v>
      </c>
      <c r="P30" s="596">
        <f ca="1">P31*(P19+100%)</f>
        <v>2132.8103181565675</v>
      </c>
      <c r="Q30" s="596">
        <f ca="1">Q31*(Q19+100%)</f>
        <v>2203.331857561172</v>
      </c>
      <c r="R30" s="596">
        <f ca="1">R31*(R19+100%)</f>
        <v>2208.3839980441421</v>
      </c>
      <c r="S30" s="596">
        <f ca="1">S31*(S19+100%)</f>
        <v>2158.7371441562623</v>
      </c>
      <c r="T30" s="594"/>
      <c r="AK30" s="357"/>
      <c r="AL30" s="358"/>
      <c r="AM30" s="358"/>
      <c r="AN30" s="358"/>
      <c r="AO30" s="358"/>
      <c r="AP30" s="358"/>
      <c r="AQ30" s="358"/>
      <c r="AR30" s="358"/>
      <c r="AS30" s="358"/>
      <c r="AT30" s="358"/>
      <c r="AU30" s="358"/>
      <c r="AV30" s="358"/>
      <c r="AW30" s="358"/>
      <c r="AX30" s="358"/>
      <c r="AY30" s="358"/>
      <c r="AZ30" s="358"/>
      <c r="BA30" s="358"/>
      <c r="BB30" s="367"/>
      <c r="BC30" s="358"/>
      <c r="BD30" s="358"/>
      <c r="BE30" s="358"/>
      <c r="BF30" s="358"/>
      <c r="BG30" s="358"/>
      <c r="BH30" s="358"/>
      <c r="BI30" s="358"/>
      <c r="BJ30" s="358"/>
      <c r="BK30" s="358"/>
      <c r="BL30" s="358"/>
      <c r="BM30" s="358"/>
      <c r="BN30" s="358"/>
      <c r="BO30" s="358"/>
      <c r="BP30" s="358"/>
      <c r="BQ30" s="358"/>
      <c r="BR30" s="358"/>
      <c r="BS30" s="358"/>
      <c r="BT30" s="358"/>
      <c r="BU30" s="358"/>
      <c r="BV30" s="358"/>
      <c r="BW30" s="358"/>
      <c r="BX30" s="358"/>
      <c r="BY30" s="358"/>
      <c r="BZ30" s="358"/>
      <c r="CA30" s="358"/>
      <c r="CB30" s="358"/>
      <c r="CC30" s="358"/>
      <c r="CD30" s="358"/>
      <c r="CE30" s="358"/>
      <c r="CF30" s="358"/>
      <c r="CG30" s="358"/>
      <c r="CH30" s="358"/>
      <c r="CI30" s="358"/>
      <c r="CJ30" s="358"/>
      <c r="CK30" s="358"/>
      <c r="CL30" s="358"/>
      <c r="CM30" s="358"/>
      <c r="CN30" s="358"/>
      <c r="CO30" s="358"/>
      <c r="CP30" s="358"/>
      <c r="CQ30" s="358"/>
      <c r="CR30" s="358"/>
      <c r="CS30" s="358"/>
      <c r="CT30" s="358"/>
      <c r="CU30" s="358"/>
      <c r="CV30" s="358"/>
      <c r="CW30" s="358"/>
      <c r="CX30" s="358"/>
      <c r="CY30" s="358"/>
      <c r="CZ30" s="358"/>
      <c r="DA30" s="358"/>
      <c r="DB30" s="358"/>
      <c r="DC30" s="358"/>
      <c r="DD30" s="358"/>
      <c r="DE30" s="358"/>
      <c r="DF30" s="358"/>
      <c r="DG30" s="358"/>
      <c r="DH30" s="358"/>
      <c r="DI30" s="358"/>
      <c r="DJ30" s="358"/>
      <c r="DK30" s="358"/>
      <c r="DL30" s="358"/>
      <c r="DM30" s="358"/>
      <c r="DN30" s="358"/>
      <c r="DO30" s="358"/>
      <c r="DP30" s="358"/>
      <c r="DQ30" s="358"/>
      <c r="DR30" s="358"/>
      <c r="DS30" s="358"/>
      <c r="DT30" s="358"/>
      <c r="DU30" s="358"/>
      <c r="DV30" s="358"/>
      <c r="DW30" s="358"/>
      <c r="DX30" s="358"/>
      <c r="DY30" s="358"/>
      <c r="DZ30" s="358"/>
      <c r="EA30" s="358"/>
      <c r="EB30" s="358"/>
      <c r="EC30" s="358"/>
      <c r="ED30" s="358"/>
      <c r="EE30" s="358"/>
      <c r="EF30" s="358"/>
      <c r="EG30" s="358"/>
      <c r="EH30" s="358"/>
      <c r="EI30" s="358"/>
      <c r="EJ30" s="358"/>
      <c r="EK30" s="358"/>
      <c r="EL30" s="358"/>
      <c r="EM30" s="358"/>
      <c r="EN30" s="358"/>
      <c r="EO30" s="358"/>
      <c r="EP30" s="358"/>
      <c r="EQ30" s="358"/>
      <c r="ER30" s="358"/>
      <c r="ES30" s="358"/>
      <c r="ET30" s="358"/>
      <c r="EU30" s="358"/>
      <c r="EV30" s="358"/>
      <c r="EW30" s="358"/>
      <c r="EX30" s="358"/>
      <c r="EY30" s="358"/>
      <c r="EZ30" s="371"/>
    </row>
    <row r="31" spans="1:156" ht="12" customHeight="1" x14ac:dyDescent="0.25">
      <c r="A31" s="1786"/>
      <c r="B31" s="1787"/>
      <c r="C31" s="1787"/>
      <c r="D31" s="1788"/>
      <c r="E31" s="2" t="s">
        <v>1</v>
      </c>
      <c r="F31" s="3"/>
      <c r="G31" s="3"/>
      <c r="H31" s="3"/>
      <c r="I31" s="1660" t="s">
        <v>176</v>
      </c>
      <c r="J31" s="1660"/>
      <c r="K31" s="1661" t="s">
        <v>93</v>
      </c>
      <c r="L31" s="1662"/>
      <c r="N31" s="591"/>
      <c r="O31" s="596">
        <f ca="1">O32*$Q$31%</f>
        <v>1953.6213000000002</v>
      </c>
      <c r="P31" s="596">
        <f ca="1">P32*$Q$31%</f>
        <v>2053.5710999999997</v>
      </c>
      <c r="Q31" s="594">
        <v>2091</v>
      </c>
      <c r="R31" s="596">
        <f ca="1">R32*$Q$31%</f>
        <v>2066.1170999999999</v>
      </c>
      <c r="S31" s="596">
        <f ca="1">S32*$Q$31%</f>
        <v>1991.4684</v>
      </c>
      <c r="T31" s="594"/>
      <c r="AK31" s="357"/>
      <c r="AL31" s="358"/>
      <c r="AM31" s="358"/>
      <c r="AN31" s="358"/>
      <c r="AO31" s="358"/>
      <c r="AP31" s="358"/>
      <c r="AQ31" s="358"/>
      <c r="AR31" s="358"/>
      <c r="AS31" s="358"/>
      <c r="AT31" s="358"/>
      <c r="AU31" s="358"/>
      <c r="AV31" s="358"/>
      <c r="AW31" s="358"/>
      <c r="AX31" s="358"/>
      <c r="AY31" s="358"/>
      <c r="AZ31" s="358"/>
      <c r="BA31" s="358"/>
      <c r="BB31" s="367"/>
      <c r="BC31" s="358"/>
      <c r="BD31" s="358"/>
      <c r="BE31" s="358"/>
      <c r="BF31" s="358"/>
      <c r="BG31" s="358"/>
      <c r="BH31" s="358"/>
      <c r="BI31" s="358"/>
      <c r="BJ31" s="358"/>
      <c r="BK31" s="358"/>
      <c r="BL31" s="358"/>
      <c r="BM31" s="358"/>
      <c r="BN31" s="358"/>
      <c r="BO31" s="358"/>
      <c r="BP31" s="358"/>
      <c r="BQ31" s="358"/>
      <c r="BR31" s="358"/>
      <c r="BS31" s="358"/>
      <c r="BT31" s="358"/>
      <c r="BU31" s="358"/>
      <c r="BV31" s="358"/>
      <c r="BW31" s="358"/>
      <c r="BX31" s="358"/>
      <c r="BY31" s="358"/>
      <c r="BZ31" s="358"/>
      <c r="CA31" s="358"/>
      <c r="CB31" s="358"/>
      <c r="CC31" s="358"/>
      <c r="CD31" s="358"/>
      <c r="CE31" s="358"/>
      <c r="CF31" s="358"/>
      <c r="CG31" s="358"/>
      <c r="CH31" s="358"/>
      <c r="CI31" s="358"/>
      <c r="CJ31" s="358"/>
      <c r="CK31" s="358"/>
      <c r="CL31" s="358"/>
      <c r="CM31" s="358"/>
      <c r="CN31" s="358"/>
      <c r="CO31" s="358"/>
      <c r="CP31" s="358"/>
      <c r="CQ31" s="358"/>
      <c r="CR31" s="358"/>
      <c r="CS31" s="358"/>
      <c r="CT31" s="358"/>
      <c r="CU31" s="358"/>
      <c r="CV31" s="358"/>
      <c r="CW31" s="358"/>
      <c r="CX31" s="358"/>
      <c r="CY31" s="358"/>
      <c r="CZ31" s="358"/>
      <c r="DA31" s="358"/>
      <c r="DB31" s="358"/>
      <c r="DC31" s="358"/>
      <c r="DD31" s="358"/>
      <c r="DE31" s="358"/>
      <c r="DF31" s="358"/>
      <c r="DG31" s="358"/>
      <c r="DH31" s="358"/>
      <c r="DI31" s="358"/>
      <c r="DJ31" s="358"/>
      <c r="DK31" s="358"/>
      <c r="DL31" s="358"/>
      <c r="DM31" s="358"/>
      <c r="DN31" s="358"/>
      <c r="DO31" s="358"/>
      <c r="DP31" s="358"/>
      <c r="DQ31" s="358"/>
      <c r="DR31" s="358"/>
      <c r="DS31" s="358"/>
      <c r="DT31" s="358"/>
      <c r="DU31" s="358"/>
      <c r="DV31" s="358"/>
      <c r="DW31" s="358"/>
      <c r="DX31" s="358"/>
      <c r="DY31" s="358"/>
      <c r="DZ31" s="358"/>
      <c r="EA31" s="358"/>
      <c r="EB31" s="358"/>
      <c r="EC31" s="358"/>
      <c r="ED31" s="358"/>
      <c r="EE31" s="358"/>
      <c r="EF31" s="358"/>
      <c r="EG31" s="358"/>
      <c r="EH31" s="358"/>
      <c r="EI31" s="358"/>
      <c r="EJ31" s="358"/>
      <c r="EK31" s="358"/>
      <c r="EL31" s="358"/>
      <c r="EM31" s="358"/>
      <c r="EN31" s="358"/>
      <c r="EO31" s="358"/>
      <c r="EP31" s="358"/>
      <c r="EQ31" s="358"/>
      <c r="ER31" s="358"/>
      <c r="ES31" s="358"/>
      <c r="ET31" s="358"/>
      <c r="EU31" s="358"/>
      <c r="EV31" s="358"/>
      <c r="EW31" s="358"/>
      <c r="EX31" s="358"/>
      <c r="EY31" s="358"/>
      <c r="EZ31" s="371"/>
    </row>
    <row r="32" spans="1:156" ht="12" customHeight="1" x14ac:dyDescent="0.25">
      <c r="A32" s="4" t="s">
        <v>187</v>
      </c>
      <c r="B32" s="5" t="s">
        <v>188</v>
      </c>
      <c r="C32" s="5" t="s">
        <v>86</v>
      </c>
      <c r="D32" s="6" t="s">
        <v>189</v>
      </c>
      <c r="E32" s="2" t="s">
        <v>175</v>
      </c>
      <c r="F32" s="3"/>
      <c r="G32" s="3"/>
      <c r="H32" s="3"/>
      <c r="I32" s="1660" t="s">
        <v>178</v>
      </c>
      <c r="J32" s="1660"/>
      <c r="K32" s="1661" t="s">
        <v>179</v>
      </c>
      <c r="L32" s="1662"/>
      <c r="O32" s="594">
        <f ca="1">RANDBETWEEN(92.8*100,93.9*100)/100</f>
        <v>93.43</v>
      </c>
      <c r="P32" s="594">
        <f ca="1">RANDBETWEEN(97.7*100,98.5*100)/100</f>
        <v>98.21</v>
      </c>
      <c r="Q32" s="594"/>
      <c r="R32" s="594">
        <f ca="1">RANDBETWEEN(98.8*100,99.3*100)/100</f>
        <v>98.81</v>
      </c>
      <c r="S32" s="594">
        <f ca="1">RANDBETWEEN(94.8*100,95.3*100)/100</f>
        <v>95.24</v>
      </c>
      <c r="T32" s="594"/>
      <c r="AK32" s="357"/>
      <c r="AL32" s="358"/>
      <c r="AM32" s="358"/>
      <c r="AN32" s="358"/>
      <c r="AO32" s="358"/>
      <c r="AP32" s="358"/>
      <c r="AQ32" s="358"/>
      <c r="AR32" s="358"/>
      <c r="AS32" s="358"/>
      <c r="AT32" s="358"/>
      <c r="AU32" s="358"/>
      <c r="AV32" s="358"/>
      <c r="AW32" s="358"/>
      <c r="AX32" s="358"/>
      <c r="AY32" s="358"/>
      <c r="AZ32" s="358"/>
      <c r="BA32" s="358"/>
      <c r="BB32" s="367"/>
      <c r="BC32" s="358"/>
      <c r="BD32" s="358"/>
      <c r="BE32" s="358"/>
      <c r="BF32" s="358"/>
      <c r="BG32" s="358"/>
      <c r="BH32" s="358"/>
      <c r="BI32" s="358"/>
      <c r="BJ32" s="358"/>
      <c r="BK32" s="358"/>
      <c r="BL32" s="358"/>
      <c r="BM32" s="358"/>
      <c r="BN32" s="358"/>
      <c r="BO32" s="358"/>
      <c r="BP32" s="358"/>
      <c r="BQ32" s="358"/>
      <c r="BR32" s="358"/>
      <c r="BS32" s="358"/>
      <c r="BT32" s="358"/>
      <c r="BU32" s="358"/>
      <c r="BV32" s="358"/>
      <c r="BW32" s="358"/>
      <c r="BX32" s="358"/>
      <c r="BY32" s="358"/>
      <c r="BZ32" s="358"/>
      <c r="CA32" s="358"/>
      <c r="CB32" s="358"/>
      <c r="CC32" s="358"/>
      <c r="CD32" s="358"/>
      <c r="CE32" s="358"/>
      <c r="CF32" s="358"/>
      <c r="CG32" s="358"/>
      <c r="CH32" s="358"/>
      <c r="CI32" s="358"/>
      <c r="CJ32" s="358"/>
      <c r="CK32" s="358"/>
      <c r="CL32" s="358"/>
      <c r="CM32" s="358"/>
      <c r="CN32" s="358"/>
      <c r="CO32" s="358"/>
      <c r="CP32" s="358"/>
      <c r="CQ32" s="358"/>
      <c r="CR32" s="358"/>
      <c r="CS32" s="358"/>
      <c r="CT32" s="358"/>
      <c r="CU32" s="358"/>
      <c r="CV32" s="358"/>
      <c r="CW32" s="358"/>
      <c r="CX32" s="358"/>
      <c r="CY32" s="358"/>
      <c r="CZ32" s="358"/>
      <c r="DA32" s="358"/>
      <c r="DB32" s="358"/>
      <c r="DC32" s="358"/>
      <c r="DD32" s="358"/>
      <c r="DE32" s="358"/>
      <c r="DF32" s="358"/>
      <c r="DG32" s="358"/>
      <c r="DH32" s="358"/>
      <c r="DI32" s="358"/>
      <c r="DJ32" s="358"/>
      <c r="DK32" s="358"/>
      <c r="DL32" s="358"/>
      <c r="DM32" s="358"/>
      <c r="DN32" s="358"/>
      <c r="DO32" s="358"/>
      <c r="DP32" s="358"/>
      <c r="DQ32" s="358"/>
      <c r="DR32" s="358"/>
      <c r="DS32" s="358"/>
      <c r="DT32" s="358"/>
      <c r="DU32" s="358"/>
      <c r="DV32" s="358"/>
      <c r="DW32" s="358"/>
      <c r="DX32" s="358"/>
      <c r="DY32" s="358"/>
      <c r="DZ32" s="358"/>
      <c r="EA32" s="358"/>
      <c r="EB32" s="358"/>
      <c r="EC32" s="358"/>
      <c r="ED32" s="358"/>
      <c r="EE32" s="358"/>
      <c r="EF32" s="358"/>
      <c r="EG32" s="358"/>
      <c r="EH32" s="358"/>
      <c r="EI32" s="358"/>
      <c r="EJ32" s="358"/>
      <c r="EK32" s="358"/>
      <c r="EL32" s="358"/>
      <c r="EM32" s="358"/>
      <c r="EN32" s="358"/>
      <c r="EO32" s="358"/>
      <c r="EP32" s="358"/>
      <c r="EQ32" s="358"/>
      <c r="ER32" s="358"/>
      <c r="ES32" s="358"/>
      <c r="ET32" s="358"/>
      <c r="EU32" s="358"/>
      <c r="EV32" s="358"/>
      <c r="EW32" s="358"/>
      <c r="EX32" s="358"/>
      <c r="EY32" s="358"/>
      <c r="EZ32" s="371"/>
    </row>
    <row r="33" spans="1:156" ht="12" customHeight="1" x14ac:dyDescent="0.25">
      <c r="A33" s="21">
        <f ca="1">IF(ISERROR(BA6),"",BA6)</f>
        <v>6.0207044400483523E-2</v>
      </c>
      <c r="B33" s="22">
        <f ca="1">IF(ISERROR(BA7),"",BA7)</f>
        <v>2268.0306657773899</v>
      </c>
      <c r="C33" s="44">
        <f ca="1">IF(ISERROR(BB85),"",BB85)</f>
        <v>19677.86684635804</v>
      </c>
      <c r="D33" s="45">
        <f ca="1">IF(ISERROR(BB94),"",BB94)</f>
        <v>3.9110812277608487E-2</v>
      </c>
      <c r="E33" s="9" t="s">
        <v>177</v>
      </c>
      <c r="F33" s="10"/>
      <c r="G33" s="10"/>
      <c r="H33" s="10"/>
      <c r="I33" s="10"/>
      <c r="J33" s="10"/>
      <c r="K33" s="10"/>
      <c r="L33" s="11"/>
      <c r="O33" s="594"/>
      <c r="P33" s="594"/>
      <c r="Q33" s="594"/>
      <c r="R33" s="594"/>
      <c r="S33" s="594"/>
      <c r="T33" s="594"/>
      <c r="AK33" s="357"/>
      <c r="AL33" s="358"/>
      <c r="AM33" s="358"/>
      <c r="AN33" s="358"/>
      <c r="AO33" s="358"/>
      <c r="AP33" s="358"/>
      <c r="AQ33" s="358"/>
      <c r="AR33" s="358"/>
      <c r="AS33" s="358"/>
      <c r="AT33" s="358"/>
      <c r="AU33" s="358"/>
      <c r="AV33" s="358"/>
      <c r="AW33" s="358"/>
      <c r="AX33" s="358"/>
      <c r="AY33" s="358"/>
      <c r="AZ33" s="358"/>
      <c r="BA33" s="358"/>
      <c r="BB33" s="367"/>
      <c r="BC33" s="358"/>
      <c r="BD33" s="358"/>
      <c r="BE33" s="358"/>
      <c r="BF33" s="358"/>
      <c r="BG33" s="358"/>
      <c r="BH33" s="358"/>
      <c r="BI33" s="358"/>
      <c r="BJ33" s="358"/>
      <c r="BK33" s="358"/>
      <c r="BL33" s="358"/>
      <c r="BM33" s="358"/>
      <c r="BN33" s="358"/>
      <c r="BO33" s="358"/>
      <c r="BP33" s="358"/>
      <c r="BQ33" s="358"/>
      <c r="BR33" s="358"/>
      <c r="BS33" s="358"/>
      <c r="BT33" s="358"/>
      <c r="BU33" s="358"/>
      <c r="BV33" s="358"/>
      <c r="BW33" s="358"/>
      <c r="BX33" s="358"/>
      <c r="BY33" s="358"/>
      <c r="BZ33" s="358"/>
      <c r="CA33" s="358"/>
      <c r="CB33" s="358"/>
      <c r="CC33" s="358"/>
      <c r="CD33" s="358"/>
      <c r="CE33" s="358"/>
      <c r="CF33" s="358"/>
      <c r="CG33" s="358"/>
      <c r="CH33" s="358"/>
      <c r="CI33" s="358"/>
      <c r="CJ33" s="358"/>
      <c r="CK33" s="358"/>
      <c r="CL33" s="358"/>
      <c r="CM33" s="358"/>
      <c r="CN33" s="358"/>
      <c r="CO33" s="358"/>
      <c r="CP33" s="358"/>
      <c r="CQ33" s="358"/>
      <c r="CR33" s="358"/>
      <c r="CS33" s="358"/>
      <c r="CT33" s="358"/>
      <c r="CU33" s="358"/>
      <c r="CV33" s="358"/>
      <c r="CW33" s="358"/>
      <c r="CX33" s="358"/>
      <c r="CY33" s="358"/>
      <c r="CZ33" s="358"/>
      <c r="DA33" s="358"/>
      <c r="DB33" s="358"/>
      <c r="DC33" s="358"/>
      <c r="DD33" s="358"/>
      <c r="DE33" s="358"/>
      <c r="DF33" s="358"/>
      <c r="DG33" s="358"/>
      <c r="DH33" s="358"/>
      <c r="DI33" s="358"/>
      <c r="DJ33" s="358"/>
      <c r="DK33" s="358"/>
      <c r="DL33" s="358"/>
      <c r="DM33" s="358"/>
      <c r="DN33" s="358"/>
      <c r="DO33" s="358"/>
      <c r="DP33" s="358"/>
      <c r="DQ33" s="358"/>
      <c r="DR33" s="358"/>
      <c r="DS33" s="358"/>
      <c r="DT33" s="358"/>
      <c r="DU33" s="358"/>
      <c r="DV33" s="358"/>
      <c r="DW33" s="358"/>
      <c r="DX33" s="358"/>
      <c r="DY33" s="358"/>
      <c r="DZ33" s="358"/>
      <c r="EA33" s="358"/>
      <c r="EB33" s="358"/>
      <c r="EC33" s="358"/>
      <c r="ED33" s="358"/>
      <c r="EE33" s="358"/>
      <c r="EF33" s="358"/>
      <c r="EG33" s="358"/>
      <c r="EH33" s="358"/>
      <c r="EI33" s="358"/>
      <c r="EJ33" s="358"/>
      <c r="EK33" s="358"/>
      <c r="EL33" s="358"/>
      <c r="EM33" s="358"/>
      <c r="EN33" s="358"/>
      <c r="EO33" s="358"/>
      <c r="EP33" s="358"/>
      <c r="EQ33" s="358"/>
      <c r="ER33" s="358"/>
      <c r="ES33" s="358"/>
      <c r="ET33" s="358"/>
      <c r="EU33" s="358"/>
      <c r="EV33" s="358"/>
      <c r="EW33" s="358"/>
      <c r="EX33" s="358"/>
      <c r="EY33" s="358"/>
      <c r="EZ33" s="371"/>
    </row>
    <row r="34" spans="1:156" ht="12" customHeight="1" x14ac:dyDescent="0.25">
      <c r="A34" s="7"/>
      <c r="B34" s="1"/>
      <c r="C34" s="1"/>
      <c r="D34" s="1"/>
      <c r="E34" s="1"/>
      <c r="F34" s="1"/>
      <c r="G34" s="1"/>
      <c r="H34" s="1"/>
      <c r="I34" s="1"/>
      <c r="J34" s="1"/>
      <c r="K34" s="1"/>
      <c r="L34" s="8"/>
      <c r="O34" s="594"/>
      <c r="P34" s="594"/>
      <c r="Q34" s="594"/>
      <c r="R34" s="594"/>
      <c r="S34" s="594"/>
      <c r="T34" s="594"/>
      <c r="AK34" s="357"/>
      <c r="AL34" s="358"/>
      <c r="AM34" s="358"/>
      <c r="AN34" s="358"/>
      <c r="AO34" s="358"/>
      <c r="AP34" s="358"/>
      <c r="AQ34" s="358"/>
      <c r="AR34" s="358"/>
      <c r="AS34" s="358"/>
      <c r="AT34" s="358"/>
      <c r="AU34" s="358"/>
      <c r="AV34" s="358"/>
      <c r="AW34" s="358"/>
      <c r="AX34" s="358"/>
      <c r="AY34" s="358"/>
      <c r="AZ34" s="358"/>
      <c r="BA34" s="358"/>
      <c r="BB34" s="367"/>
      <c r="BC34" s="358"/>
      <c r="BD34" s="358"/>
      <c r="BE34" s="358"/>
      <c r="BF34" s="358"/>
      <c r="BG34" s="358"/>
      <c r="BH34" s="358"/>
      <c r="BI34" s="358"/>
      <c r="BJ34" s="358"/>
      <c r="BK34" s="358"/>
      <c r="BL34" s="358"/>
      <c r="BM34" s="358"/>
      <c r="BN34" s="358"/>
      <c r="BO34" s="358"/>
      <c r="BP34" s="358"/>
      <c r="BQ34" s="358"/>
      <c r="BR34" s="358"/>
      <c r="BS34" s="358"/>
      <c r="BT34" s="358"/>
      <c r="BU34" s="358"/>
      <c r="BV34" s="358"/>
      <c r="BW34" s="358"/>
      <c r="BX34" s="358"/>
      <c r="BY34" s="358"/>
      <c r="BZ34" s="358"/>
      <c r="CA34" s="358"/>
      <c r="CB34" s="358"/>
      <c r="CC34" s="358"/>
      <c r="CD34" s="358"/>
      <c r="CE34" s="358"/>
      <c r="CF34" s="358"/>
      <c r="CG34" s="358"/>
      <c r="CH34" s="358"/>
      <c r="CI34" s="358"/>
      <c r="CJ34" s="358"/>
      <c r="CK34" s="358"/>
      <c r="CL34" s="358"/>
      <c r="CM34" s="358"/>
      <c r="CN34" s="358"/>
      <c r="CO34" s="358"/>
      <c r="CP34" s="358"/>
      <c r="CQ34" s="358"/>
      <c r="CR34" s="358"/>
      <c r="CS34" s="358"/>
      <c r="CT34" s="358"/>
      <c r="CU34" s="358"/>
      <c r="CV34" s="358"/>
      <c r="CW34" s="358"/>
      <c r="CX34" s="358"/>
      <c r="CY34" s="358"/>
      <c r="CZ34" s="358"/>
      <c r="DA34" s="358"/>
      <c r="DB34" s="358"/>
      <c r="DC34" s="358"/>
      <c r="DD34" s="358"/>
      <c r="DE34" s="358"/>
      <c r="DF34" s="358"/>
      <c r="DG34" s="358"/>
      <c r="DH34" s="358"/>
      <c r="DI34" s="358"/>
      <c r="DJ34" s="358"/>
      <c r="DK34" s="358"/>
      <c r="DL34" s="358"/>
      <c r="DM34" s="358"/>
      <c r="DN34" s="358"/>
      <c r="DO34" s="358"/>
      <c r="DP34" s="358"/>
      <c r="DQ34" s="358"/>
      <c r="DR34" s="358"/>
      <c r="DS34" s="358"/>
      <c r="DT34" s="358"/>
      <c r="DU34" s="358"/>
      <c r="DV34" s="358"/>
      <c r="DW34" s="358"/>
      <c r="DX34" s="358"/>
      <c r="DY34" s="358"/>
      <c r="DZ34" s="358"/>
      <c r="EA34" s="358"/>
      <c r="EB34" s="358"/>
      <c r="EC34" s="358"/>
      <c r="ED34" s="358"/>
      <c r="EE34" s="358"/>
      <c r="EF34" s="358"/>
      <c r="EG34" s="358"/>
      <c r="EH34" s="358"/>
      <c r="EI34" s="358"/>
      <c r="EJ34" s="358"/>
      <c r="EK34" s="358"/>
      <c r="EL34" s="358"/>
      <c r="EM34" s="358"/>
      <c r="EN34" s="358"/>
      <c r="EO34" s="358"/>
      <c r="EP34" s="358"/>
      <c r="EQ34" s="358"/>
      <c r="ER34" s="358"/>
      <c r="ES34" s="358"/>
      <c r="ET34" s="358"/>
      <c r="EU34" s="358"/>
      <c r="EV34" s="358"/>
      <c r="EW34" s="358"/>
      <c r="EX34" s="358"/>
      <c r="EY34" s="358"/>
      <c r="EZ34" s="371"/>
    </row>
    <row r="35" spans="1:156" ht="12" customHeight="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1240"/>
      <c r="AK35" s="357"/>
      <c r="AL35" s="358"/>
      <c r="AM35" s="358"/>
      <c r="AN35" s="358"/>
      <c r="AO35" s="358"/>
      <c r="AP35" s="358"/>
      <c r="AQ35" s="358"/>
      <c r="AR35" s="358"/>
      <c r="AS35" s="358"/>
      <c r="AT35" s="358"/>
      <c r="AU35" s="358"/>
      <c r="AV35" s="358"/>
      <c r="AW35" s="358"/>
      <c r="AX35" s="358"/>
      <c r="AY35" s="358"/>
      <c r="AZ35" s="358"/>
      <c r="BA35" s="358"/>
      <c r="BB35" s="367"/>
      <c r="BC35" s="358"/>
      <c r="BD35" s="358"/>
      <c r="BE35" s="358"/>
      <c r="BF35" s="358"/>
      <c r="BG35" s="358"/>
      <c r="BH35" s="358"/>
      <c r="BI35" s="358"/>
      <c r="BJ35" s="358"/>
      <c r="BK35" s="358"/>
      <c r="BL35" s="358"/>
      <c r="BM35" s="358"/>
      <c r="BN35" s="358"/>
      <c r="BO35" s="358"/>
      <c r="BP35" s="358"/>
      <c r="BQ35" s="358"/>
      <c r="BR35" s="358"/>
      <c r="BS35" s="358"/>
      <c r="BT35" s="358"/>
      <c r="BU35" s="358"/>
      <c r="BV35" s="358"/>
      <c r="BW35" s="358"/>
      <c r="BX35" s="358"/>
      <c r="BY35" s="358"/>
      <c r="BZ35" s="358"/>
      <c r="CA35" s="358"/>
      <c r="CB35" s="358"/>
      <c r="CC35" s="358"/>
      <c r="CD35" s="358"/>
      <c r="CE35" s="358"/>
      <c r="CF35" s="358"/>
      <c r="CG35" s="358"/>
      <c r="CH35" s="358"/>
      <c r="CI35" s="358"/>
      <c r="CJ35" s="358"/>
      <c r="CK35" s="358"/>
      <c r="CL35" s="358"/>
      <c r="CM35" s="358"/>
      <c r="CN35" s="358"/>
      <c r="CO35" s="358"/>
      <c r="CP35" s="358"/>
      <c r="CQ35" s="358"/>
      <c r="CR35" s="358"/>
      <c r="CS35" s="358"/>
      <c r="CT35" s="358"/>
      <c r="CU35" s="358"/>
      <c r="CV35" s="358"/>
      <c r="CW35" s="358"/>
      <c r="CX35" s="358"/>
      <c r="CY35" s="358"/>
      <c r="CZ35" s="358"/>
      <c r="DA35" s="358"/>
      <c r="DB35" s="358"/>
      <c r="DC35" s="358"/>
      <c r="DD35" s="358"/>
      <c r="DE35" s="358"/>
      <c r="DF35" s="358"/>
      <c r="DG35" s="358"/>
      <c r="DH35" s="358"/>
      <c r="DI35" s="358"/>
      <c r="DJ35" s="358"/>
      <c r="DK35" s="358"/>
      <c r="DL35" s="358"/>
      <c r="DM35" s="358"/>
      <c r="DN35" s="358"/>
      <c r="DO35" s="358"/>
      <c r="DP35" s="358"/>
      <c r="DQ35" s="358"/>
      <c r="DR35" s="358"/>
      <c r="DS35" s="358"/>
      <c r="DT35" s="358"/>
      <c r="DU35" s="358"/>
      <c r="DV35" s="358"/>
      <c r="DW35" s="358"/>
      <c r="DX35" s="358"/>
      <c r="DY35" s="358"/>
      <c r="DZ35" s="358"/>
      <c r="EA35" s="358"/>
      <c r="EB35" s="358"/>
      <c r="EC35" s="358"/>
      <c r="ED35" s="358"/>
      <c r="EE35" s="358"/>
      <c r="EF35" s="358"/>
      <c r="EG35" s="358"/>
      <c r="EH35" s="358"/>
      <c r="EI35" s="358"/>
      <c r="EJ35" s="358"/>
      <c r="EK35" s="358"/>
      <c r="EL35" s="358"/>
      <c r="EM35" s="358"/>
      <c r="EN35" s="358"/>
      <c r="EO35" s="358"/>
      <c r="EP35" s="358"/>
      <c r="EQ35" s="358"/>
      <c r="ER35" s="358"/>
      <c r="ES35" s="358"/>
      <c r="ET35" s="358"/>
      <c r="EU35" s="358"/>
      <c r="EV35" s="358"/>
      <c r="EW35" s="358"/>
      <c r="EX35" s="358"/>
      <c r="EY35" s="358"/>
      <c r="EZ35" s="371"/>
    </row>
    <row r="36" spans="1:156" ht="12" customHeight="1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1240"/>
      <c r="AK36" s="357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8"/>
      <c r="AX36" s="358"/>
      <c r="AY36" s="358"/>
      <c r="AZ36" s="358"/>
      <c r="BA36" s="358"/>
      <c r="BB36" s="367"/>
      <c r="BC36" s="358"/>
      <c r="BD36" s="358"/>
      <c r="BE36" s="358"/>
      <c r="BF36" s="358"/>
      <c r="BG36" s="358"/>
      <c r="BH36" s="358"/>
      <c r="BI36" s="358"/>
      <c r="BJ36" s="358"/>
      <c r="BK36" s="358"/>
      <c r="BL36" s="358"/>
      <c r="BM36" s="358"/>
      <c r="BN36" s="358"/>
      <c r="BO36" s="358"/>
      <c r="BP36" s="358"/>
      <c r="BQ36" s="358"/>
      <c r="BR36" s="358"/>
      <c r="BS36" s="358"/>
      <c r="BT36" s="358"/>
      <c r="BU36" s="358"/>
      <c r="BV36" s="358"/>
      <c r="BW36" s="358"/>
      <c r="BX36" s="358"/>
      <c r="BY36" s="358"/>
      <c r="BZ36" s="358"/>
      <c r="CA36" s="358"/>
      <c r="CB36" s="358"/>
      <c r="CC36" s="358"/>
      <c r="CD36" s="358"/>
      <c r="CE36" s="358"/>
      <c r="CF36" s="358"/>
      <c r="CG36" s="358"/>
      <c r="CH36" s="358"/>
      <c r="CI36" s="358"/>
      <c r="CJ36" s="358"/>
      <c r="CK36" s="358"/>
      <c r="CL36" s="358"/>
      <c r="CM36" s="358"/>
      <c r="CN36" s="358"/>
      <c r="CO36" s="358"/>
      <c r="CP36" s="358"/>
      <c r="CQ36" s="358"/>
      <c r="CR36" s="358"/>
      <c r="CS36" s="358"/>
      <c r="CT36" s="358"/>
      <c r="CU36" s="358"/>
      <c r="CV36" s="358"/>
      <c r="CW36" s="358"/>
      <c r="CX36" s="358"/>
      <c r="CY36" s="358"/>
      <c r="CZ36" s="358"/>
      <c r="DA36" s="358"/>
      <c r="DB36" s="358"/>
      <c r="DC36" s="358"/>
      <c r="DD36" s="358"/>
      <c r="DE36" s="358"/>
      <c r="DF36" s="358"/>
      <c r="DG36" s="358"/>
      <c r="DH36" s="358"/>
      <c r="DI36" s="358"/>
      <c r="DJ36" s="358"/>
      <c r="DK36" s="358"/>
      <c r="DL36" s="358"/>
      <c r="DM36" s="358"/>
      <c r="DN36" s="358"/>
      <c r="DO36" s="358"/>
      <c r="DP36" s="358"/>
      <c r="DQ36" s="358"/>
      <c r="DR36" s="358"/>
      <c r="DS36" s="358"/>
      <c r="DT36" s="358"/>
      <c r="DU36" s="358"/>
      <c r="DV36" s="358"/>
      <c r="DW36" s="358"/>
      <c r="DX36" s="358"/>
      <c r="DY36" s="358"/>
      <c r="DZ36" s="358"/>
      <c r="EA36" s="358"/>
      <c r="EB36" s="358"/>
      <c r="EC36" s="358"/>
      <c r="ED36" s="358"/>
      <c r="EE36" s="358"/>
      <c r="EF36" s="358"/>
      <c r="EG36" s="358"/>
      <c r="EH36" s="358"/>
      <c r="EI36" s="358"/>
      <c r="EJ36" s="358"/>
      <c r="EK36" s="358"/>
      <c r="EL36" s="358"/>
      <c r="EM36" s="358"/>
      <c r="EN36" s="358"/>
      <c r="EO36" s="358"/>
      <c r="EP36" s="358"/>
      <c r="EQ36" s="358"/>
      <c r="ER36" s="358"/>
      <c r="ES36" s="358"/>
      <c r="ET36" s="358"/>
      <c r="EU36" s="358"/>
      <c r="EV36" s="358"/>
      <c r="EW36" s="358"/>
      <c r="EX36" s="358"/>
      <c r="EY36" s="358"/>
      <c r="EZ36" s="371"/>
    </row>
    <row r="37" spans="1:156" ht="12" customHeight="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1240"/>
      <c r="AK37" s="357"/>
      <c r="AL37" s="358"/>
      <c r="AM37" s="358"/>
      <c r="AN37" s="358"/>
      <c r="AO37" s="358"/>
      <c r="AP37" s="358"/>
      <c r="AQ37" s="358"/>
      <c r="AR37" s="358"/>
      <c r="AS37" s="358"/>
      <c r="AT37" s="358"/>
      <c r="AU37" s="358"/>
      <c r="AV37" s="358"/>
      <c r="AW37" s="358"/>
      <c r="AX37" s="358"/>
      <c r="AY37" s="358"/>
      <c r="AZ37" s="358"/>
      <c r="BA37" s="358"/>
      <c r="BB37" s="367"/>
      <c r="BC37" s="358"/>
      <c r="BD37" s="358"/>
      <c r="BE37" s="358"/>
      <c r="BF37" s="358"/>
      <c r="BG37" s="358"/>
      <c r="BH37" s="358"/>
      <c r="BI37" s="358"/>
      <c r="BJ37" s="358"/>
      <c r="BK37" s="358"/>
      <c r="BL37" s="358"/>
      <c r="BM37" s="358"/>
      <c r="BN37" s="358"/>
      <c r="BO37" s="358"/>
      <c r="BP37" s="358"/>
      <c r="BQ37" s="358"/>
      <c r="BR37" s="358"/>
      <c r="BS37" s="358"/>
      <c r="BT37" s="358"/>
      <c r="BU37" s="358"/>
      <c r="BV37" s="358"/>
      <c r="BW37" s="358"/>
      <c r="BX37" s="358"/>
      <c r="BY37" s="358"/>
      <c r="BZ37" s="358"/>
      <c r="CA37" s="358"/>
      <c r="CB37" s="358"/>
      <c r="CC37" s="358"/>
      <c r="CD37" s="358"/>
      <c r="CE37" s="358"/>
      <c r="CF37" s="358"/>
      <c r="CG37" s="358"/>
      <c r="CH37" s="358"/>
      <c r="CI37" s="358"/>
      <c r="CJ37" s="358"/>
      <c r="CK37" s="358"/>
      <c r="CL37" s="358"/>
      <c r="CM37" s="358"/>
      <c r="CN37" s="358"/>
      <c r="CO37" s="358"/>
      <c r="CP37" s="358"/>
      <c r="CQ37" s="358"/>
      <c r="CR37" s="358"/>
      <c r="CS37" s="358"/>
      <c r="CT37" s="358"/>
      <c r="CU37" s="358"/>
      <c r="CV37" s="358"/>
      <c r="CW37" s="358"/>
      <c r="CX37" s="358"/>
      <c r="CY37" s="358"/>
      <c r="CZ37" s="358"/>
      <c r="DA37" s="358"/>
      <c r="DB37" s="358"/>
      <c r="DC37" s="358"/>
      <c r="DD37" s="358"/>
      <c r="DE37" s="358"/>
      <c r="DF37" s="358"/>
      <c r="DG37" s="358"/>
      <c r="DH37" s="358"/>
      <c r="DI37" s="358"/>
      <c r="DJ37" s="358"/>
      <c r="DK37" s="358"/>
      <c r="DL37" s="358"/>
      <c r="DM37" s="358"/>
      <c r="DN37" s="358"/>
      <c r="DO37" s="358"/>
      <c r="DP37" s="358"/>
      <c r="DQ37" s="358"/>
      <c r="DR37" s="358"/>
      <c r="DS37" s="358"/>
      <c r="DT37" s="358"/>
      <c r="DU37" s="358"/>
      <c r="DV37" s="358"/>
      <c r="DW37" s="358"/>
      <c r="DX37" s="358"/>
      <c r="DY37" s="358"/>
      <c r="DZ37" s="358"/>
      <c r="EA37" s="358"/>
      <c r="EB37" s="358"/>
      <c r="EC37" s="358"/>
      <c r="ED37" s="358"/>
      <c r="EE37" s="358"/>
      <c r="EF37" s="358"/>
      <c r="EG37" s="358"/>
      <c r="EH37" s="358"/>
      <c r="EI37" s="358"/>
      <c r="EJ37" s="358"/>
      <c r="EK37" s="358"/>
      <c r="EL37" s="358"/>
      <c r="EM37" s="358"/>
      <c r="EN37" s="358"/>
      <c r="EO37" s="358"/>
      <c r="EP37" s="358"/>
      <c r="EQ37" s="358"/>
      <c r="ER37" s="358"/>
      <c r="ES37" s="358"/>
      <c r="ET37" s="358"/>
      <c r="EU37" s="358"/>
      <c r="EV37" s="358"/>
      <c r="EW37" s="358"/>
      <c r="EX37" s="358"/>
      <c r="EY37" s="358"/>
      <c r="EZ37" s="371"/>
    </row>
    <row r="38" spans="1:156" ht="12" customHeight="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1240"/>
      <c r="AK38" s="357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8"/>
      <c r="AX38" s="358"/>
      <c r="AY38" s="358"/>
      <c r="AZ38" s="358"/>
      <c r="BA38" s="358"/>
      <c r="BB38" s="367"/>
      <c r="BC38" s="358"/>
      <c r="BD38" s="358"/>
      <c r="BE38" s="358"/>
      <c r="BF38" s="358"/>
      <c r="BG38" s="358"/>
      <c r="BH38" s="358"/>
      <c r="BI38" s="358"/>
      <c r="BJ38" s="358"/>
      <c r="BK38" s="358"/>
      <c r="BL38" s="358"/>
      <c r="BM38" s="358"/>
      <c r="BN38" s="358"/>
      <c r="BO38" s="358"/>
      <c r="BP38" s="358"/>
      <c r="BQ38" s="358"/>
      <c r="BR38" s="358"/>
      <c r="BS38" s="358"/>
      <c r="BT38" s="358"/>
      <c r="BU38" s="358"/>
      <c r="BV38" s="358"/>
      <c r="BW38" s="358"/>
      <c r="BX38" s="358"/>
      <c r="BY38" s="358"/>
      <c r="BZ38" s="358"/>
      <c r="CA38" s="358"/>
      <c r="CB38" s="358"/>
      <c r="CC38" s="358"/>
      <c r="CD38" s="358"/>
      <c r="CE38" s="358"/>
      <c r="CF38" s="358"/>
      <c r="CG38" s="358"/>
      <c r="CH38" s="358"/>
      <c r="CI38" s="358"/>
      <c r="CJ38" s="358"/>
      <c r="CK38" s="358"/>
      <c r="CL38" s="358"/>
      <c r="CM38" s="358"/>
      <c r="CN38" s="358"/>
      <c r="CO38" s="358"/>
      <c r="CP38" s="358"/>
      <c r="CQ38" s="358"/>
      <c r="CR38" s="358"/>
      <c r="CS38" s="358"/>
      <c r="CT38" s="358"/>
      <c r="CU38" s="358"/>
      <c r="CV38" s="358"/>
      <c r="CW38" s="358"/>
      <c r="CX38" s="358"/>
      <c r="CY38" s="358"/>
      <c r="CZ38" s="358"/>
      <c r="DA38" s="358"/>
      <c r="DB38" s="358"/>
      <c r="DC38" s="358"/>
      <c r="DD38" s="358"/>
      <c r="DE38" s="358"/>
      <c r="DF38" s="358"/>
      <c r="DG38" s="358"/>
      <c r="DH38" s="358"/>
      <c r="DI38" s="358"/>
      <c r="DJ38" s="358"/>
      <c r="DK38" s="358"/>
      <c r="DL38" s="358"/>
      <c r="DM38" s="358"/>
      <c r="DN38" s="358"/>
      <c r="DO38" s="358"/>
      <c r="DP38" s="358"/>
      <c r="DQ38" s="358"/>
      <c r="DR38" s="358"/>
      <c r="DS38" s="358"/>
      <c r="DT38" s="358"/>
      <c r="DU38" s="358"/>
      <c r="DV38" s="358"/>
      <c r="DW38" s="358"/>
      <c r="DX38" s="358"/>
      <c r="DY38" s="358"/>
      <c r="DZ38" s="358"/>
      <c r="EA38" s="358"/>
      <c r="EB38" s="358"/>
      <c r="EC38" s="358"/>
      <c r="ED38" s="358"/>
      <c r="EE38" s="358"/>
      <c r="EF38" s="358"/>
      <c r="EG38" s="358"/>
      <c r="EH38" s="358"/>
      <c r="EI38" s="358"/>
      <c r="EJ38" s="358"/>
      <c r="EK38" s="358"/>
      <c r="EL38" s="358"/>
      <c r="EM38" s="358"/>
      <c r="EN38" s="358"/>
      <c r="EO38" s="358"/>
      <c r="EP38" s="358"/>
      <c r="EQ38" s="358"/>
      <c r="ER38" s="358"/>
      <c r="ES38" s="358"/>
      <c r="ET38" s="358"/>
      <c r="EU38" s="358"/>
      <c r="EV38" s="358"/>
      <c r="EW38" s="358"/>
      <c r="EX38" s="358"/>
      <c r="EY38" s="358"/>
      <c r="EZ38" s="371"/>
    </row>
    <row r="39" spans="1:156" ht="12" customHeight="1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1240"/>
      <c r="AK39" s="357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58"/>
      <c r="BB39" s="367"/>
      <c r="BC39" s="358"/>
      <c r="BD39" s="358"/>
      <c r="BE39" s="358"/>
      <c r="BF39" s="358"/>
      <c r="BG39" s="358"/>
      <c r="BH39" s="358"/>
      <c r="BI39" s="358"/>
      <c r="BJ39" s="358"/>
      <c r="BK39" s="358"/>
      <c r="BL39" s="358"/>
      <c r="BM39" s="358"/>
      <c r="BN39" s="358"/>
      <c r="BO39" s="358"/>
      <c r="BP39" s="358"/>
      <c r="BQ39" s="358"/>
      <c r="BR39" s="358"/>
      <c r="BS39" s="358"/>
      <c r="BT39" s="358"/>
      <c r="BU39" s="358"/>
      <c r="BV39" s="358"/>
      <c r="BW39" s="358"/>
      <c r="BX39" s="358"/>
      <c r="BY39" s="358"/>
      <c r="BZ39" s="358"/>
      <c r="CA39" s="358"/>
      <c r="CB39" s="358"/>
      <c r="CC39" s="358"/>
      <c r="CD39" s="358"/>
      <c r="CE39" s="358"/>
      <c r="CF39" s="358"/>
      <c r="CG39" s="358"/>
      <c r="CH39" s="358"/>
      <c r="CI39" s="358"/>
      <c r="CJ39" s="358"/>
      <c r="CK39" s="358"/>
      <c r="CL39" s="358"/>
      <c r="CM39" s="358"/>
      <c r="CN39" s="358"/>
      <c r="CO39" s="358"/>
      <c r="CP39" s="358"/>
      <c r="CQ39" s="358"/>
      <c r="CR39" s="358"/>
      <c r="CS39" s="358"/>
      <c r="CT39" s="358"/>
      <c r="CU39" s="358"/>
      <c r="CV39" s="358"/>
      <c r="CW39" s="358"/>
      <c r="CX39" s="358"/>
      <c r="CY39" s="358"/>
      <c r="CZ39" s="358"/>
      <c r="DA39" s="358"/>
      <c r="DB39" s="358"/>
      <c r="DC39" s="358"/>
      <c r="DD39" s="358"/>
      <c r="DE39" s="358"/>
      <c r="DF39" s="358"/>
      <c r="DG39" s="358"/>
      <c r="DH39" s="358"/>
      <c r="DI39" s="358"/>
      <c r="DJ39" s="358"/>
      <c r="DK39" s="358"/>
      <c r="DL39" s="358"/>
      <c r="DM39" s="358"/>
      <c r="DN39" s="358"/>
      <c r="DO39" s="358"/>
      <c r="DP39" s="358"/>
      <c r="DQ39" s="358"/>
      <c r="DR39" s="358"/>
      <c r="DS39" s="358"/>
      <c r="DT39" s="358"/>
      <c r="DU39" s="358"/>
      <c r="DV39" s="358"/>
      <c r="DW39" s="358"/>
      <c r="DX39" s="358"/>
      <c r="DY39" s="358"/>
      <c r="DZ39" s="358"/>
      <c r="EA39" s="358"/>
      <c r="EB39" s="358"/>
      <c r="EC39" s="358"/>
      <c r="ED39" s="358"/>
      <c r="EE39" s="358"/>
      <c r="EF39" s="358"/>
      <c r="EG39" s="358"/>
      <c r="EH39" s="358"/>
      <c r="EI39" s="358"/>
      <c r="EJ39" s="358"/>
      <c r="EK39" s="358"/>
      <c r="EL39" s="358"/>
      <c r="EM39" s="358"/>
      <c r="EN39" s="358"/>
      <c r="EO39" s="358"/>
      <c r="EP39" s="358"/>
      <c r="EQ39" s="358"/>
      <c r="ER39" s="358"/>
      <c r="ES39" s="358"/>
      <c r="ET39" s="358"/>
      <c r="EU39" s="358"/>
      <c r="EV39" s="358"/>
      <c r="EW39" s="358"/>
      <c r="EX39" s="358"/>
      <c r="EY39" s="358"/>
      <c r="EZ39" s="371"/>
    </row>
    <row r="40" spans="1:156" ht="12" customHeight="1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1240"/>
      <c r="AK40" s="357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A40" s="358"/>
      <c r="BB40" s="367"/>
      <c r="BC40" s="358"/>
      <c r="BD40" s="358"/>
      <c r="BE40" s="358"/>
      <c r="BF40" s="358"/>
      <c r="BG40" s="358"/>
      <c r="BH40" s="358"/>
      <c r="BI40" s="358"/>
      <c r="BJ40" s="358"/>
      <c r="BK40" s="358"/>
      <c r="BL40" s="358"/>
      <c r="BM40" s="358"/>
      <c r="BN40" s="358"/>
      <c r="BO40" s="358"/>
      <c r="BP40" s="358"/>
      <c r="BQ40" s="358"/>
      <c r="BR40" s="358"/>
      <c r="BS40" s="358"/>
      <c r="BT40" s="358"/>
      <c r="BU40" s="358"/>
      <c r="BV40" s="358"/>
      <c r="BW40" s="358"/>
      <c r="BX40" s="358"/>
      <c r="BY40" s="358"/>
      <c r="BZ40" s="358"/>
      <c r="CA40" s="358"/>
      <c r="CB40" s="358"/>
      <c r="CC40" s="358"/>
      <c r="CD40" s="358"/>
      <c r="CE40" s="358"/>
      <c r="CF40" s="358"/>
      <c r="CG40" s="358"/>
      <c r="CH40" s="358"/>
      <c r="CI40" s="358"/>
      <c r="CJ40" s="358"/>
      <c r="CK40" s="358"/>
      <c r="CL40" s="358"/>
      <c r="CM40" s="358"/>
      <c r="CN40" s="358"/>
      <c r="CO40" s="358"/>
      <c r="CP40" s="358"/>
      <c r="CQ40" s="358"/>
      <c r="CR40" s="358"/>
      <c r="CS40" s="358"/>
      <c r="CT40" s="358"/>
      <c r="CU40" s="358"/>
      <c r="CV40" s="358"/>
      <c r="CW40" s="358"/>
      <c r="CX40" s="358"/>
      <c r="CY40" s="358"/>
      <c r="CZ40" s="358"/>
      <c r="DA40" s="358"/>
      <c r="DB40" s="358"/>
      <c r="DC40" s="358"/>
      <c r="DD40" s="358"/>
      <c r="DE40" s="358"/>
      <c r="DF40" s="358"/>
      <c r="DG40" s="358"/>
      <c r="DH40" s="358"/>
      <c r="DI40" s="358"/>
      <c r="DJ40" s="358"/>
      <c r="DK40" s="358"/>
      <c r="DL40" s="358"/>
      <c r="DM40" s="358"/>
      <c r="DN40" s="358"/>
      <c r="DO40" s="358"/>
      <c r="DP40" s="358"/>
      <c r="DQ40" s="358"/>
      <c r="DR40" s="358"/>
      <c r="DS40" s="358"/>
      <c r="DT40" s="358"/>
      <c r="DU40" s="358"/>
      <c r="DV40" s="358"/>
      <c r="DW40" s="358"/>
      <c r="DX40" s="358"/>
      <c r="DY40" s="358"/>
      <c r="DZ40" s="358"/>
      <c r="EA40" s="358"/>
      <c r="EB40" s="358"/>
      <c r="EC40" s="358"/>
      <c r="ED40" s="358"/>
      <c r="EE40" s="358"/>
      <c r="EF40" s="358"/>
      <c r="EG40" s="358"/>
      <c r="EH40" s="358"/>
      <c r="EI40" s="358"/>
      <c r="EJ40" s="358"/>
      <c r="EK40" s="358"/>
      <c r="EL40" s="358"/>
      <c r="EM40" s="358"/>
      <c r="EN40" s="358"/>
      <c r="EO40" s="358"/>
      <c r="EP40" s="358"/>
      <c r="EQ40" s="358"/>
      <c r="ER40" s="358"/>
      <c r="ES40" s="358"/>
      <c r="ET40" s="358"/>
      <c r="EU40" s="358"/>
      <c r="EV40" s="358"/>
      <c r="EW40" s="358"/>
      <c r="EX40" s="358"/>
      <c r="EY40" s="358"/>
      <c r="EZ40" s="371"/>
    </row>
    <row r="41" spans="1:156" ht="12" customHeight="1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1240"/>
      <c r="AK41" s="357"/>
      <c r="AL41" s="358"/>
      <c r="AM41" s="358"/>
      <c r="AN41" s="358"/>
      <c r="AO41" s="358"/>
      <c r="AP41" s="358"/>
      <c r="AQ41" s="358"/>
      <c r="AR41" s="358"/>
      <c r="AS41" s="358"/>
      <c r="AT41" s="358"/>
      <c r="AU41" s="358"/>
      <c r="AV41" s="358"/>
      <c r="AW41" s="358"/>
      <c r="AX41" s="358"/>
      <c r="AY41" s="358"/>
      <c r="AZ41" s="358"/>
      <c r="BA41" s="358"/>
      <c r="BB41" s="367"/>
      <c r="BC41" s="358"/>
      <c r="BD41" s="358"/>
      <c r="BE41" s="358"/>
      <c r="BF41" s="358"/>
      <c r="BG41" s="358"/>
      <c r="BH41" s="358"/>
      <c r="BI41" s="358"/>
      <c r="BJ41" s="358"/>
      <c r="BK41" s="358"/>
      <c r="BL41" s="358"/>
      <c r="BM41" s="358"/>
      <c r="BN41" s="358"/>
      <c r="BO41" s="358"/>
      <c r="BP41" s="358"/>
      <c r="BQ41" s="358"/>
      <c r="BR41" s="358"/>
      <c r="BS41" s="358"/>
      <c r="BT41" s="358"/>
      <c r="BU41" s="358"/>
      <c r="BV41" s="358"/>
      <c r="BW41" s="358"/>
      <c r="BX41" s="358"/>
      <c r="BY41" s="358"/>
      <c r="BZ41" s="358"/>
      <c r="CA41" s="358"/>
      <c r="CB41" s="358"/>
      <c r="CC41" s="358"/>
      <c r="CD41" s="358"/>
      <c r="CE41" s="358"/>
      <c r="CF41" s="358"/>
      <c r="CG41" s="358"/>
      <c r="CH41" s="358"/>
      <c r="CI41" s="358"/>
      <c r="CJ41" s="358"/>
      <c r="CK41" s="358"/>
      <c r="CL41" s="358"/>
      <c r="CM41" s="358"/>
      <c r="CN41" s="358"/>
      <c r="CO41" s="358"/>
      <c r="CP41" s="358"/>
      <c r="CQ41" s="358"/>
      <c r="CR41" s="358"/>
      <c r="CS41" s="358"/>
      <c r="CT41" s="358"/>
      <c r="CU41" s="358"/>
      <c r="CV41" s="358"/>
      <c r="CW41" s="358"/>
      <c r="CX41" s="358"/>
      <c r="CY41" s="358"/>
      <c r="CZ41" s="358"/>
      <c r="DA41" s="358"/>
      <c r="DB41" s="358"/>
      <c r="DC41" s="358"/>
      <c r="DD41" s="358"/>
      <c r="DE41" s="358"/>
      <c r="DF41" s="358"/>
      <c r="DG41" s="358"/>
      <c r="DH41" s="358"/>
      <c r="DI41" s="358"/>
      <c r="DJ41" s="358"/>
      <c r="DK41" s="358"/>
      <c r="DL41" s="358"/>
      <c r="DM41" s="358"/>
      <c r="DN41" s="358"/>
      <c r="DO41" s="358"/>
      <c r="DP41" s="358"/>
      <c r="DQ41" s="358"/>
      <c r="DR41" s="358"/>
      <c r="DS41" s="358"/>
      <c r="DT41" s="358"/>
      <c r="DU41" s="358"/>
      <c r="DV41" s="358"/>
      <c r="DW41" s="358"/>
      <c r="DX41" s="358"/>
      <c r="DY41" s="358"/>
      <c r="DZ41" s="358"/>
      <c r="EA41" s="358"/>
      <c r="EB41" s="358"/>
      <c r="EC41" s="358"/>
      <c r="ED41" s="358"/>
      <c r="EE41" s="358"/>
      <c r="EF41" s="358"/>
      <c r="EG41" s="358"/>
      <c r="EH41" s="358"/>
      <c r="EI41" s="358"/>
      <c r="EJ41" s="358"/>
      <c r="EK41" s="358"/>
      <c r="EL41" s="358"/>
      <c r="EM41" s="358"/>
      <c r="EN41" s="358"/>
      <c r="EO41" s="358"/>
      <c r="EP41" s="358"/>
      <c r="EQ41" s="358"/>
      <c r="ER41" s="358"/>
      <c r="ES41" s="358"/>
      <c r="ET41" s="358"/>
      <c r="EU41" s="358"/>
      <c r="EV41" s="358"/>
      <c r="EW41" s="358"/>
      <c r="EX41" s="358"/>
      <c r="EY41" s="358"/>
      <c r="EZ41" s="371"/>
    </row>
    <row r="42" spans="1:156" ht="12" customHeight="1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1240"/>
      <c r="AK42" s="357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8"/>
      <c r="AX42" s="358"/>
      <c r="AY42" s="358"/>
      <c r="AZ42" s="358"/>
      <c r="BA42" s="358"/>
      <c r="BB42" s="367"/>
      <c r="BC42" s="358"/>
      <c r="BD42" s="358"/>
      <c r="BE42" s="358"/>
      <c r="BF42" s="358"/>
      <c r="BG42" s="358"/>
      <c r="BH42" s="358"/>
      <c r="BI42" s="358"/>
      <c r="BJ42" s="358"/>
      <c r="BK42" s="358"/>
      <c r="BL42" s="358"/>
      <c r="BM42" s="358"/>
      <c r="BN42" s="358"/>
      <c r="BO42" s="358"/>
      <c r="BP42" s="358"/>
      <c r="BQ42" s="358"/>
      <c r="BR42" s="358"/>
      <c r="BS42" s="358"/>
      <c r="BT42" s="358"/>
      <c r="BU42" s="358"/>
      <c r="BV42" s="358"/>
      <c r="BW42" s="358"/>
      <c r="BX42" s="358"/>
      <c r="BY42" s="358"/>
      <c r="BZ42" s="358"/>
      <c r="CA42" s="358"/>
      <c r="CB42" s="358"/>
      <c r="CC42" s="358"/>
      <c r="CD42" s="358"/>
      <c r="CE42" s="358"/>
      <c r="CF42" s="358"/>
      <c r="CG42" s="358"/>
      <c r="CH42" s="358"/>
      <c r="CI42" s="358"/>
      <c r="CJ42" s="358"/>
      <c r="CK42" s="358"/>
      <c r="CL42" s="358"/>
      <c r="CM42" s="358"/>
      <c r="CN42" s="358"/>
      <c r="CO42" s="358"/>
      <c r="CP42" s="358"/>
      <c r="CQ42" s="358"/>
      <c r="CR42" s="358"/>
      <c r="CS42" s="358"/>
      <c r="CT42" s="358"/>
      <c r="CU42" s="358"/>
      <c r="CV42" s="358"/>
      <c r="CW42" s="358"/>
      <c r="CX42" s="358"/>
      <c r="CY42" s="358"/>
      <c r="CZ42" s="358"/>
      <c r="DA42" s="358"/>
      <c r="DB42" s="358"/>
      <c r="DC42" s="358"/>
      <c r="DD42" s="358"/>
      <c r="DE42" s="358"/>
      <c r="DF42" s="358"/>
      <c r="DG42" s="358"/>
      <c r="DH42" s="358"/>
      <c r="DI42" s="358"/>
      <c r="DJ42" s="358"/>
      <c r="DK42" s="358"/>
      <c r="DL42" s="358"/>
      <c r="DM42" s="358"/>
      <c r="DN42" s="358"/>
      <c r="DO42" s="358"/>
      <c r="DP42" s="358"/>
      <c r="DQ42" s="358"/>
      <c r="DR42" s="358"/>
      <c r="DS42" s="358"/>
      <c r="DT42" s="358"/>
      <c r="DU42" s="358"/>
      <c r="DV42" s="358"/>
      <c r="DW42" s="358"/>
      <c r="DX42" s="358"/>
      <c r="DY42" s="358"/>
      <c r="DZ42" s="358"/>
      <c r="EA42" s="358"/>
      <c r="EB42" s="358"/>
      <c r="EC42" s="358"/>
      <c r="ED42" s="358"/>
      <c r="EE42" s="358"/>
      <c r="EF42" s="358"/>
      <c r="EG42" s="358"/>
      <c r="EH42" s="358"/>
      <c r="EI42" s="358"/>
      <c r="EJ42" s="358"/>
      <c r="EK42" s="358"/>
      <c r="EL42" s="358"/>
      <c r="EM42" s="358"/>
      <c r="EN42" s="358"/>
      <c r="EO42" s="358"/>
      <c r="EP42" s="358"/>
      <c r="EQ42" s="358"/>
      <c r="ER42" s="358"/>
      <c r="ES42" s="358"/>
      <c r="ET42" s="358"/>
      <c r="EU42" s="358"/>
      <c r="EV42" s="358"/>
      <c r="EW42" s="358"/>
      <c r="EX42" s="358"/>
      <c r="EY42" s="358"/>
      <c r="EZ42" s="371"/>
    </row>
    <row r="43" spans="1:156" ht="12" customHeight="1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1240"/>
      <c r="M43" s="16" t="s">
        <v>165</v>
      </c>
      <c r="AK43" s="357"/>
      <c r="AL43" s="358"/>
      <c r="AM43" s="358"/>
      <c r="AN43" s="358"/>
      <c r="AO43" s="358"/>
      <c r="AP43" s="358"/>
      <c r="AQ43" s="358"/>
      <c r="AR43" s="358"/>
      <c r="AS43" s="358"/>
      <c r="AT43" s="358"/>
      <c r="AU43" s="358"/>
      <c r="AV43" s="358"/>
      <c r="AW43" s="358"/>
      <c r="AX43" s="358"/>
      <c r="AY43" s="358"/>
      <c r="AZ43" s="358"/>
      <c r="BA43" s="358"/>
      <c r="BB43" s="367"/>
      <c r="BC43" s="358"/>
      <c r="BD43" s="358"/>
      <c r="BE43" s="358"/>
      <c r="BF43" s="358"/>
      <c r="BG43" s="358"/>
      <c r="BH43" s="358"/>
      <c r="BI43" s="358"/>
      <c r="BJ43" s="358"/>
      <c r="BK43" s="358"/>
      <c r="BL43" s="358"/>
      <c r="BM43" s="358"/>
      <c r="BN43" s="358"/>
      <c r="BO43" s="358"/>
      <c r="BP43" s="358"/>
      <c r="BQ43" s="358"/>
      <c r="BR43" s="358"/>
      <c r="BS43" s="358"/>
      <c r="BT43" s="358"/>
      <c r="BU43" s="358"/>
      <c r="BV43" s="358"/>
      <c r="BW43" s="358"/>
      <c r="BX43" s="358"/>
      <c r="BY43" s="358"/>
      <c r="BZ43" s="358"/>
      <c r="CA43" s="358"/>
      <c r="CB43" s="358"/>
      <c r="CC43" s="358"/>
      <c r="CD43" s="358"/>
      <c r="CE43" s="358"/>
      <c r="CF43" s="358"/>
      <c r="CG43" s="358"/>
      <c r="CH43" s="358"/>
      <c r="CI43" s="358"/>
      <c r="CJ43" s="358"/>
      <c r="CK43" s="358"/>
      <c r="CL43" s="358"/>
      <c r="CM43" s="358"/>
      <c r="CN43" s="358"/>
      <c r="CO43" s="358"/>
      <c r="CP43" s="358"/>
      <c r="CQ43" s="358"/>
      <c r="CR43" s="358"/>
      <c r="CS43" s="358"/>
      <c r="CT43" s="358"/>
      <c r="CU43" s="358"/>
      <c r="CV43" s="358"/>
      <c r="CW43" s="358"/>
      <c r="CX43" s="358"/>
      <c r="CY43" s="358"/>
      <c r="CZ43" s="358"/>
      <c r="DA43" s="358"/>
      <c r="DB43" s="358"/>
      <c r="DC43" s="358"/>
      <c r="DD43" s="358"/>
      <c r="DE43" s="358"/>
      <c r="DF43" s="358"/>
      <c r="DG43" s="358"/>
      <c r="DH43" s="358"/>
      <c r="DI43" s="358"/>
      <c r="DJ43" s="358"/>
      <c r="DK43" s="358"/>
      <c r="DL43" s="358"/>
      <c r="DM43" s="358"/>
      <c r="DN43" s="358"/>
      <c r="DO43" s="358"/>
      <c r="DP43" s="358"/>
      <c r="DQ43" s="358"/>
      <c r="DR43" s="358"/>
      <c r="DS43" s="358"/>
      <c r="DT43" s="358"/>
      <c r="DU43" s="358"/>
      <c r="DV43" s="358"/>
      <c r="DW43" s="358"/>
      <c r="DX43" s="358"/>
      <c r="DY43" s="358"/>
      <c r="DZ43" s="358"/>
      <c r="EA43" s="358"/>
      <c r="EB43" s="358"/>
      <c r="EC43" s="358"/>
      <c r="ED43" s="358"/>
      <c r="EE43" s="358"/>
      <c r="EF43" s="358"/>
      <c r="EG43" s="358"/>
      <c r="EH43" s="358"/>
      <c r="EI43" s="358"/>
      <c r="EJ43" s="358"/>
      <c r="EK43" s="358"/>
      <c r="EL43" s="358"/>
      <c r="EM43" s="358"/>
      <c r="EN43" s="358"/>
      <c r="EO43" s="358"/>
      <c r="EP43" s="358"/>
      <c r="EQ43" s="358"/>
      <c r="ER43" s="358"/>
      <c r="ES43" s="358"/>
      <c r="ET43" s="358"/>
      <c r="EU43" s="358"/>
      <c r="EV43" s="358"/>
      <c r="EW43" s="358"/>
      <c r="EX43" s="358"/>
      <c r="EY43" s="358"/>
      <c r="EZ43" s="371"/>
    </row>
    <row r="44" spans="1:156" ht="12" customHeight="1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1240"/>
      <c r="AK44" s="357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A44" s="358"/>
      <c r="BB44" s="367"/>
      <c r="BC44" s="358"/>
      <c r="BD44" s="358"/>
      <c r="BE44" s="358"/>
      <c r="BF44" s="358"/>
      <c r="BG44" s="358"/>
      <c r="BH44" s="358"/>
      <c r="BI44" s="358"/>
      <c r="BJ44" s="358"/>
      <c r="BK44" s="358"/>
      <c r="BL44" s="358"/>
      <c r="BM44" s="358"/>
      <c r="BN44" s="358"/>
      <c r="BO44" s="358"/>
      <c r="BP44" s="358"/>
      <c r="BQ44" s="358"/>
      <c r="BR44" s="358"/>
      <c r="BS44" s="358"/>
      <c r="BT44" s="358"/>
      <c r="BU44" s="358"/>
      <c r="BV44" s="358"/>
      <c r="BW44" s="358"/>
      <c r="BX44" s="358"/>
      <c r="BY44" s="358"/>
      <c r="BZ44" s="358"/>
      <c r="CA44" s="358"/>
      <c r="CB44" s="358"/>
      <c r="CC44" s="358"/>
      <c r="CD44" s="358"/>
      <c r="CE44" s="358"/>
      <c r="CF44" s="358"/>
      <c r="CG44" s="358"/>
      <c r="CH44" s="358"/>
      <c r="CI44" s="358"/>
      <c r="CJ44" s="358"/>
      <c r="CK44" s="358"/>
      <c r="CL44" s="358"/>
      <c r="CM44" s="358"/>
      <c r="CN44" s="358"/>
      <c r="CO44" s="358"/>
      <c r="CP44" s="358"/>
      <c r="CQ44" s="358"/>
      <c r="CR44" s="358"/>
      <c r="CS44" s="358"/>
      <c r="CT44" s="358"/>
      <c r="CU44" s="358"/>
      <c r="CV44" s="358"/>
      <c r="CW44" s="358"/>
      <c r="CX44" s="358"/>
      <c r="CY44" s="358"/>
      <c r="CZ44" s="358"/>
      <c r="DA44" s="358"/>
      <c r="DB44" s="358"/>
      <c r="DC44" s="358"/>
      <c r="DD44" s="358"/>
      <c r="DE44" s="358"/>
      <c r="DF44" s="358"/>
      <c r="DG44" s="358"/>
      <c r="DH44" s="358"/>
      <c r="DI44" s="358"/>
      <c r="DJ44" s="358"/>
      <c r="DK44" s="358"/>
      <c r="DL44" s="358"/>
      <c r="DM44" s="358"/>
      <c r="DN44" s="358"/>
      <c r="DO44" s="358"/>
      <c r="DP44" s="358"/>
      <c r="DQ44" s="358"/>
      <c r="DR44" s="358"/>
      <c r="DS44" s="358"/>
      <c r="DT44" s="358"/>
      <c r="DU44" s="358"/>
      <c r="DV44" s="358"/>
      <c r="DW44" s="358"/>
      <c r="DX44" s="358"/>
      <c r="DY44" s="358"/>
      <c r="DZ44" s="358"/>
      <c r="EA44" s="358"/>
      <c r="EB44" s="358"/>
      <c r="EC44" s="358"/>
      <c r="ED44" s="358"/>
      <c r="EE44" s="358"/>
      <c r="EF44" s="358"/>
      <c r="EG44" s="358"/>
      <c r="EH44" s="358"/>
      <c r="EI44" s="358"/>
      <c r="EJ44" s="358"/>
      <c r="EK44" s="358"/>
      <c r="EL44" s="358"/>
      <c r="EM44" s="358"/>
      <c r="EN44" s="358"/>
      <c r="EO44" s="358"/>
      <c r="EP44" s="358"/>
      <c r="EQ44" s="358"/>
      <c r="ER44" s="358"/>
      <c r="ES44" s="358"/>
      <c r="ET44" s="358"/>
      <c r="EU44" s="358"/>
      <c r="EV44" s="358"/>
      <c r="EW44" s="358"/>
      <c r="EX44" s="358"/>
      <c r="EY44" s="358"/>
      <c r="EZ44" s="371"/>
    </row>
    <row r="45" spans="1:156" ht="12" customHeight="1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1240"/>
      <c r="AK45" s="357"/>
      <c r="AL45" s="358"/>
      <c r="AM45" s="358"/>
      <c r="AN45" s="358"/>
      <c r="AO45" s="358"/>
      <c r="AP45" s="358"/>
      <c r="AQ45" s="358"/>
      <c r="AR45" s="358"/>
      <c r="AS45" s="358"/>
      <c r="AT45" s="358"/>
      <c r="AU45" s="358"/>
      <c r="AV45" s="358"/>
      <c r="AW45" s="358"/>
      <c r="AX45" s="358"/>
      <c r="AY45" s="358"/>
      <c r="AZ45" s="358"/>
      <c r="BA45" s="358"/>
      <c r="BB45" s="367"/>
      <c r="BC45" s="358"/>
      <c r="BD45" s="358"/>
      <c r="BE45" s="358"/>
      <c r="BF45" s="358"/>
      <c r="BG45" s="358"/>
      <c r="BH45" s="358"/>
      <c r="BI45" s="358"/>
      <c r="BJ45" s="358"/>
      <c r="BK45" s="358"/>
      <c r="BL45" s="358"/>
      <c r="BM45" s="358"/>
      <c r="BN45" s="358"/>
      <c r="BO45" s="358"/>
      <c r="BP45" s="358"/>
      <c r="BQ45" s="358"/>
      <c r="BR45" s="358"/>
      <c r="BS45" s="358"/>
      <c r="BT45" s="358"/>
      <c r="BU45" s="358"/>
      <c r="BV45" s="358"/>
      <c r="BW45" s="358"/>
      <c r="BX45" s="358"/>
      <c r="BY45" s="358"/>
      <c r="BZ45" s="358"/>
      <c r="CA45" s="358"/>
      <c r="CB45" s="358"/>
      <c r="CC45" s="358"/>
      <c r="CD45" s="358"/>
      <c r="CE45" s="358"/>
      <c r="CF45" s="358"/>
      <c r="CG45" s="358"/>
      <c r="CH45" s="358"/>
      <c r="CI45" s="358"/>
      <c r="CJ45" s="358"/>
      <c r="CK45" s="358"/>
      <c r="CL45" s="358"/>
      <c r="CM45" s="358"/>
      <c r="CN45" s="358"/>
      <c r="CO45" s="358"/>
      <c r="CP45" s="358"/>
      <c r="CQ45" s="358"/>
      <c r="CR45" s="358"/>
      <c r="CS45" s="358"/>
      <c r="CT45" s="358"/>
      <c r="CU45" s="358"/>
      <c r="CV45" s="358"/>
      <c r="CW45" s="358"/>
      <c r="CX45" s="358"/>
      <c r="CY45" s="358"/>
      <c r="CZ45" s="358"/>
      <c r="DA45" s="358"/>
      <c r="DB45" s="358"/>
      <c r="DC45" s="358"/>
      <c r="DD45" s="358"/>
      <c r="DE45" s="358"/>
      <c r="DF45" s="358"/>
      <c r="DG45" s="358"/>
      <c r="DH45" s="358"/>
      <c r="DI45" s="358"/>
      <c r="DJ45" s="358"/>
      <c r="DK45" s="358"/>
      <c r="DL45" s="358"/>
      <c r="DM45" s="358"/>
      <c r="DN45" s="358"/>
      <c r="DO45" s="358"/>
      <c r="DP45" s="358"/>
      <c r="DQ45" s="358"/>
      <c r="DR45" s="358"/>
      <c r="DS45" s="358"/>
      <c r="DT45" s="358"/>
      <c r="DU45" s="358"/>
      <c r="DV45" s="358"/>
      <c r="DW45" s="358"/>
      <c r="DX45" s="358"/>
      <c r="DY45" s="358"/>
      <c r="DZ45" s="358"/>
      <c r="EA45" s="358"/>
      <c r="EB45" s="358"/>
      <c r="EC45" s="358"/>
      <c r="ED45" s="358"/>
      <c r="EE45" s="358"/>
      <c r="EF45" s="358"/>
      <c r="EG45" s="358"/>
      <c r="EH45" s="358"/>
      <c r="EI45" s="358"/>
      <c r="EJ45" s="358"/>
      <c r="EK45" s="358"/>
      <c r="EL45" s="358"/>
      <c r="EM45" s="358"/>
      <c r="EN45" s="358"/>
      <c r="EO45" s="358"/>
      <c r="EP45" s="358"/>
      <c r="EQ45" s="358"/>
      <c r="ER45" s="358"/>
      <c r="ES45" s="358"/>
      <c r="ET45" s="358"/>
      <c r="EU45" s="358"/>
      <c r="EV45" s="358"/>
      <c r="EW45" s="358"/>
      <c r="EX45" s="358"/>
      <c r="EY45" s="358"/>
      <c r="EZ45" s="371"/>
    </row>
    <row r="46" spans="1:156" ht="12" customHeight="1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1240"/>
      <c r="AK46" s="357"/>
      <c r="AL46" s="358"/>
      <c r="AM46" s="358"/>
      <c r="AN46" s="358"/>
      <c r="AO46" s="358"/>
      <c r="AP46" s="358"/>
      <c r="AQ46" s="358"/>
      <c r="AR46" s="358"/>
      <c r="AS46" s="358"/>
      <c r="AT46" s="358"/>
      <c r="AU46" s="358"/>
      <c r="AV46" s="358"/>
      <c r="AW46" s="358"/>
      <c r="AX46" s="358"/>
      <c r="AY46" s="358"/>
      <c r="AZ46" s="358"/>
      <c r="BA46" s="358"/>
      <c r="BB46" s="367"/>
      <c r="BC46" s="358"/>
      <c r="BD46" s="358"/>
      <c r="BE46" s="358"/>
      <c r="BF46" s="358"/>
      <c r="BG46" s="358"/>
      <c r="BH46" s="358"/>
      <c r="BI46" s="358"/>
      <c r="BJ46" s="358"/>
      <c r="BK46" s="358"/>
      <c r="BL46" s="358"/>
      <c r="BM46" s="358"/>
      <c r="BN46" s="358"/>
      <c r="BO46" s="358"/>
      <c r="BP46" s="358"/>
      <c r="BQ46" s="358"/>
      <c r="BR46" s="358"/>
      <c r="BS46" s="358"/>
      <c r="BT46" s="358"/>
      <c r="BU46" s="358"/>
      <c r="BV46" s="358"/>
      <c r="BW46" s="358"/>
      <c r="BX46" s="358"/>
      <c r="BY46" s="358"/>
      <c r="BZ46" s="358"/>
      <c r="CA46" s="358"/>
      <c r="CB46" s="358"/>
      <c r="CC46" s="358"/>
      <c r="CD46" s="358"/>
      <c r="CE46" s="358"/>
      <c r="CF46" s="358"/>
      <c r="CG46" s="358"/>
      <c r="CH46" s="358"/>
      <c r="CI46" s="358"/>
      <c r="CJ46" s="358"/>
      <c r="CK46" s="358"/>
      <c r="CL46" s="358"/>
      <c r="CM46" s="358"/>
      <c r="CN46" s="358"/>
      <c r="CO46" s="358"/>
      <c r="CP46" s="358"/>
      <c r="CQ46" s="358"/>
      <c r="CR46" s="358"/>
      <c r="CS46" s="358"/>
      <c r="CT46" s="358"/>
      <c r="CU46" s="358"/>
      <c r="CV46" s="358"/>
      <c r="CW46" s="358"/>
      <c r="CX46" s="358"/>
      <c r="CY46" s="358"/>
      <c r="CZ46" s="358"/>
      <c r="DA46" s="358"/>
      <c r="DB46" s="358"/>
      <c r="DC46" s="358"/>
      <c r="DD46" s="358"/>
      <c r="DE46" s="358"/>
      <c r="DF46" s="358"/>
      <c r="DG46" s="358"/>
      <c r="DH46" s="358"/>
      <c r="DI46" s="358"/>
      <c r="DJ46" s="358"/>
      <c r="DK46" s="358"/>
      <c r="DL46" s="358"/>
      <c r="DM46" s="358"/>
      <c r="DN46" s="358"/>
      <c r="DO46" s="358"/>
      <c r="DP46" s="358"/>
      <c r="DQ46" s="358"/>
      <c r="DR46" s="358"/>
      <c r="DS46" s="358"/>
      <c r="DT46" s="358"/>
      <c r="DU46" s="358"/>
      <c r="DV46" s="358"/>
      <c r="DW46" s="358"/>
      <c r="DX46" s="358"/>
      <c r="DY46" s="358"/>
      <c r="DZ46" s="358"/>
      <c r="EA46" s="358"/>
      <c r="EB46" s="358"/>
      <c r="EC46" s="358"/>
      <c r="ED46" s="358"/>
      <c r="EE46" s="358"/>
      <c r="EF46" s="358"/>
      <c r="EG46" s="358"/>
      <c r="EH46" s="358"/>
      <c r="EI46" s="358"/>
      <c r="EJ46" s="358"/>
      <c r="EK46" s="358"/>
      <c r="EL46" s="358"/>
      <c r="EM46" s="358"/>
      <c r="EN46" s="358"/>
      <c r="EO46" s="358"/>
      <c r="EP46" s="358"/>
      <c r="EQ46" s="358"/>
      <c r="ER46" s="358"/>
      <c r="ES46" s="358"/>
      <c r="ET46" s="358"/>
      <c r="EU46" s="358"/>
      <c r="EV46" s="358"/>
      <c r="EW46" s="358"/>
      <c r="EX46" s="358"/>
      <c r="EY46" s="358"/>
      <c r="EZ46" s="371"/>
    </row>
    <row r="47" spans="1:156" ht="12" customHeight="1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1240"/>
      <c r="AK47" s="357"/>
      <c r="AL47" s="358"/>
      <c r="AM47" s="358"/>
      <c r="AN47" s="358"/>
      <c r="AO47" s="358"/>
      <c r="AP47" s="358"/>
      <c r="AQ47" s="358"/>
      <c r="AR47" s="358"/>
      <c r="AS47" s="358"/>
      <c r="AT47" s="358"/>
      <c r="AU47" s="358"/>
      <c r="AV47" s="358"/>
      <c r="AW47" s="358"/>
      <c r="AX47" s="358"/>
      <c r="AY47" s="358"/>
      <c r="AZ47" s="358"/>
      <c r="BA47" s="358"/>
      <c r="BB47" s="367"/>
      <c r="BC47" s="358"/>
      <c r="BD47" s="358"/>
      <c r="BE47" s="358"/>
      <c r="BF47" s="358"/>
      <c r="BG47" s="358"/>
      <c r="BH47" s="358"/>
      <c r="BI47" s="358"/>
      <c r="BJ47" s="358"/>
      <c r="BK47" s="358"/>
      <c r="BL47" s="358"/>
      <c r="BM47" s="358"/>
      <c r="BN47" s="358"/>
      <c r="BO47" s="358"/>
      <c r="BP47" s="358"/>
      <c r="BQ47" s="358"/>
      <c r="BR47" s="358"/>
      <c r="BS47" s="358"/>
      <c r="BT47" s="358"/>
      <c r="BU47" s="358"/>
      <c r="BV47" s="358"/>
      <c r="BW47" s="358"/>
      <c r="BX47" s="358"/>
      <c r="BY47" s="358"/>
      <c r="BZ47" s="358"/>
      <c r="CA47" s="358"/>
      <c r="CB47" s="358"/>
      <c r="CC47" s="358"/>
      <c r="CD47" s="358"/>
      <c r="CE47" s="358"/>
      <c r="CF47" s="358"/>
      <c r="CG47" s="358"/>
      <c r="CH47" s="358"/>
      <c r="CI47" s="358"/>
      <c r="CJ47" s="358"/>
      <c r="CK47" s="358"/>
      <c r="CL47" s="358"/>
      <c r="CM47" s="358"/>
      <c r="CN47" s="358"/>
      <c r="CO47" s="358"/>
      <c r="CP47" s="358"/>
      <c r="CQ47" s="358"/>
      <c r="CR47" s="358"/>
      <c r="CS47" s="358"/>
      <c r="CT47" s="358"/>
      <c r="CU47" s="358"/>
      <c r="CV47" s="358"/>
      <c r="CW47" s="358"/>
      <c r="CX47" s="358"/>
      <c r="CY47" s="358"/>
      <c r="CZ47" s="358"/>
      <c r="DA47" s="358"/>
      <c r="DB47" s="358"/>
      <c r="DC47" s="358"/>
      <c r="DD47" s="358"/>
      <c r="DE47" s="358"/>
      <c r="DF47" s="358"/>
      <c r="DG47" s="358"/>
      <c r="DH47" s="358"/>
      <c r="DI47" s="358"/>
      <c r="DJ47" s="358"/>
      <c r="DK47" s="358"/>
      <c r="DL47" s="358"/>
      <c r="DM47" s="358"/>
      <c r="DN47" s="358"/>
      <c r="DO47" s="358"/>
      <c r="DP47" s="358"/>
      <c r="DQ47" s="358"/>
      <c r="DR47" s="358"/>
      <c r="DS47" s="358"/>
      <c r="DT47" s="358"/>
      <c r="DU47" s="358"/>
      <c r="DV47" s="358"/>
      <c r="DW47" s="358"/>
      <c r="DX47" s="358"/>
      <c r="DY47" s="358"/>
      <c r="DZ47" s="358"/>
      <c r="EA47" s="358"/>
      <c r="EB47" s="358"/>
      <c r="EC47" s="358"/>
      <c r="ED47" s="358"/>
      <c r="EE47" s="358"/>
      <c r="EF47" s="358"/>
      <c r="EG47" s="358"/>
      <c r="EH47" s="358"/>
      <c r="EI47" s="358"/>
      <c r="EJ47" s="358"/>
      <c r="EK47" s="358"/>
      <c r="EL47" s="358"/>
      <c r="EM47" s="358"/>
      <c r="EN47" s="358"/>
      <c r="EO47" s="358"/>
      <c r="EP47" s="358"/>
      <c r="EQ47" s="358"/>
      <c r="ER47" s="358"/>
      <c r="ES47" s="358"/>
      <c r="ET47" s="358"/>
      <c r="EU47" s="358"/>
      <c r="EV47" s="358"/>
      <c r="EW47" s="358"/>
      <c r="EX47" s="358"/>
      <c r="EY47" s="358"/>
      <c r="EZ47" s="371"/>
    </row>
    <row r="48" spans="1:156" ht="12" customHeight="1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1240"/>
      <c r="AK48" s="357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8"/>
      <c r="AX48" s="358"/>
      <c r="AY48" s="358"/>
      <c r="AZ48" s="358"/>
      <c r="BA48" s="358"/>
      <c r="BB48" s="367"/>
      <c r="BC48" s="358"/>
      <c r="BD48" s="358"/>
      <c r="BE48" s="358"/>
      <c r="BF48" s="358"/>
      <c r="BG48" s="358"/>
      <c r="BH48" s="358"/>
      <c r="BI48" s="358"/>
      <c r="BJ48" s="358"/>
      <c r="BK48" s="358"/>
      <c r="BL48" s="358"/>
      <c r="BM48" s="358"/>
      <c r="BN48" s="358"/>
      <c r="BO48" s="358"/>
      <c r="BP48" s="358"/>
      <c r="BQ48" s="358"/>
      <c r="BR48" s="358"/>
      <c r="BS48" s="358"/>
      <c r="BT48" s="358"/>
      <c r="BU48" s="358"/>
      <c r="BV48" s="358"/>
      <c r="BW48" s="358"/>
      <c r="BX48" s="358"/>
      <c r="BY48" s="358"/>
      <c r="BZ48" s="358"/>
      <c r="CA48" s="358"/>
      <c r="CB48" s="358"/>
      <c r="CC48" s="358"/>
      <c r="CD48" s="358"/>
      <c r="CE48" s="358"/>
      <c r="CF48" s="358"/>
      <c r="CG48" s="358"/>
      <c r="CH48" s="358"/>
      <c r="CI48" s="358"/>
      <c r="CJ48" s="358"/>
      <c r="CK48" s="358"/>
      <c r="CL48" s="358"/>
      <c r="CM48" s="358"/>
      <c r="CN48" s="358"/>
      <c r="CO48" s="358"/>
      <c r="CP48" s="358"/>
      <c r="CQ48" s="358"/>
      <c r="CR48" s="358"/>
      <c r="CS48" s="358"/>
      <c r="CT48" s="358"/>
      <c r="CU48" s="358"/>
      <c r="CV48" s="358"/>
      <c r="CW48" s="358"/>
      <c r="CX48" s="358"/>
      <c r="CY48" s="358"/>
      <c r="CZ48" s="358"/>
      <c r="DA48" s="358"/>
      <c r="DB48" s="358"/>
      <c r="DC48" s="358"/>
      <c r="DD48" s="358"/>
      <c r="DE48" s="358"/>
      <c r="DF48" s="358"/>
      <c r="DG48" s="358"/>
      <c r="DH48" s="358"/>
      <c r="DI48" s="358"/>
      <c r="DJ48" s="358"/>
      <c r="DK48" s="358"/>
      <c r="DL48" s="358"/>
      <c r="DM48" s="358"/>
      <c r="DN48" s="358"/>
      <c r="DO48" s="358"/>
      <c r="DP48" s="358"/>
      <c r="DQ48" s="358"/>
      <c r="DR48" s="358"/>
      <c r="DS48" s="358"/>
      <c r="DT48" s="358"/>
      <c r="DU48" s="358"/>
      <c r="DV48" s="358"/>
      <c r="DW48" s="358"/>
      <c r="DX48" s="358"/>
      <c r="DY48" s="358"/>
      <c r="DZ48" s="358"/>
      <c r="EA48" s="358"/>
      <c r="EB48" s="358"/>
      <c r="EC48" s="358"/>
      <c r="ED48" s="358"/>
      <c r="EE48" s="358"/>
      <c r="EF48" s="358"/>
      <c r="EG48" s="358"/>
      <c r="EH48" s="358"/>
      <c r="EI48" s="358"/>
      <c r="EJ48" s="358"/>
      <c r="EK48" s="358"/>
      <c r="EL48" s="358"/>
      <c r="EM48" s="358"/>
      <c r="EN48" s="358"/>
      <c r="EO48" s="358"/>
      <c r="EP48" s="358"/>
      <c r="EQ48" s="358"/>
      <c r="ER48" s="358"/>
      <c r="ES48" s="358"/>
      <c r="ET48" s="358"/>
      <c r="EU48" s="358"/>
      <c r="EV48" s="358"/>
      <c r="EW48" s="358"/>
      <c r="EX48" s="358"/>
      <c r="EY48" s="358"/>
      <c r="EZ48" s="371"/>
    </row>
    <row r="49" spans="1:156" ht="12" customHeight="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1240"/>
      <c r="AK49" s="357"/>
      <c r="AL49" s="358"/>
      <c r="AM49" s="358"/>
      <c r="AN49" s="358"/>
      <c r="AO49" s="358"/>
      <c r="AP49" s="358"/>
      <c r="AQ49" s="358"/>
      <c r="AR49" s="358"/>
      <c r="AS49" s="358"/>
      <c r="AT49" s="358"/>
      <c r="AU49" s="358"/>
      <c r="AV49" s="358"/>
      <c r="AW49" s="358"/>
      <c r="AX49" s="358"/>
      <c r="AY49" s="358"/>
      <c r="AZ49" s="358"/>
      <c r="BA49" s="358"/>
      <c r="BB49" s="367"/>
      <c r="BC49" s="358"/>
      <c r="BD49" s="358"/>
      <c r="BE49" s="358"/>
      <c r="BF49" s="358"/>
      <c r="BG49" s="358"/>
      <c r="BH49" s="358"/>
      <c r="BI49" s="358"/>
      <c r="BJ49" s="358"/>
      <c r="BK49" s="358"/>
      <c r="BL49" s="358"/>
      <c r="BM49" s="358"/>
      <c r="BN49" s="358"/>
      <c r="BO49" s="358"/>
      <c r="BP49" s="358"/>
      <c r="BQ49" s="358"/>
      <c r="BR49" s="358"/>
      <c r="BS49" s="358"/>
      <c r="BT49" s="358"/>
      <c r="BU49" s="358"/>
      <c r="BV49" s="358"/>
      <c r="BW49" s="358"/>
      <c r="BX49" s="358"/>
      <c r="BY49" s="358"/>
      <c r="BZ49" s="358"/>
      <c r="CA49" s="358"/>
      <c r="CB49" s="358"/>
      <c r="CC49" s="358"/>
      <c r="CD49" s="358"/>
      <c r="CE49" s="358"/>
      <c r="CF49" s="358"/>
      <c r="CG49" s="358"/>
      <c r="CH49" s="358"/>
      <c r="CI49" s="358"/>
      <c r="CJ49" s="358"/>
      <c r="CK49" s="358"/>
      <c r="CL49" s="358"/>
      <c r="CM49" s="358"/>
      <c r="CN49" s="358"/>
      <c r="CO49" s="358"/>
      <c r="CP49" s="358"/>
      <c r="CQ49" s="358"/>
      <c r="CR49" s="358"/>
      <c r="CS49" s="358"/>
      <c r="CT49" s="358"/>
      <c r="CU49" s="358"/>
      <c r="CV49" s="358"/>
      <c r="CW49" s="358"/>
      <c r="CX49" s="358"/>
      <c r="CY49" s="358"/>
      <c r="CZ49" s="358"/>
      <c r="DA49" s="358"/>
      <c r="DB49" s="358"/>
      <c r="DC49" s="358"/>
      <c r="DD49" s="358"/>
      <c r="DE49" s="358"/>
      <c r="DF49" s="358"/>
      <c r="DG49" s="358"/>
      <c r="DH49" s="358"/>
      <c r="DI49" s="358"/>
      <c r="DJ49" s="358"/>
      <c r="DK49" s="358"/>
      <c r="DL49" s="358"/>
      <c r="DM49" s="358"/>
      <c r="DN49" s="358"/>
      <c r="DO49" s="358"/>
      <c r="DP49" s="358"/>
      <c r="DQ49" s="358"/>
      <c r="DR49" s="358"/>
      <c r="DS49" s="358"/>
      <c r="DT49" s="358"/>
      <c r="DU49" s="358"/>
      <c r="DV49" s="358"/>
      <c r="DW49" s="358"/>
      <c r="DX49" s="358"/>
      <c r="DY49" s="358"/>
      <c r="DZ49" s="358"/>
      <c r="EA49" s="358"/>
      <c r="EB49" s="358"/>
      <c r="EC49" s="358"/>
      <c r="ED49" s="358"/>
      <c r="EE49" s="358"/>
      <c r="EF49" s="358"/>
      <c r="EG49" s="358"/>
      <c r="EH49" s="358"/>
      <c r="EI49" s="358"/>
      <c r="EJ49" s="358"/>
      <c r="EK49" s="358"/>
      <c r="EL49" s="358"/>
      <c r="EM49" s="358"/>
      <c r="EN49" s="358"/>
      <c r="EO49" s="358"/>
      <c r="EP49" s="358"/>
      <c r="EQ49" s="358"/>
      <c r="ER49" s="358"/>
      <c r="ES49" s="358"/>
      <c r="ET49" s="358"/>
      <c r="EU49" s="358"/>
      <c r="EV49" s="358"/>
      <c r="EW49" s="358"/>
      <c r="EX49" s="358"/>
      <c r="EY49" s="358"/>
      <c r="EZ49" s="371"/>
    </row>
    <row r="50" spans="1:156" ht="12" customHeight="1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1240"/>
      <c r="AK50" s="357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8"/>
      <c r="AX50" s="358"/>
      <c r="AY50" s="358"/>
      <c r="AZ50" s="358"/>
      <c r="BA50" s="358"/>
      <c r="BB50" s="367"/>
      <c r="BC50" s="358"/>
      <c r="BD50" s="358"/>
      <c r="BE50" s="358"/>
      <c r="BF50" s="358"/>
      <c r="BG50" s="358"/>
      <c r="BH50" s="358"/>
      <c r="BI50" s="358"/>
      <c r="BJ50" s="358"/>
      <c r="BK50" s="358"/>
      <c r="BL50" s="358"/>
      <c r="BM50" s="358"/>
      <c r="BN50" s="358"/>
      <c r="BO50" s="358"/>
      <c r="BP50" s="358"/>
      <c r="BQ50" s="358"/>
      <c r="BR50" s="358"/>
      <c r="BS50" s="358"/>
      <c r="BT50" s="358"/>
      <c r="BU50" s="358"/>
      <c r="BV50" s="358"/>
      <c r="BW50" s="358"/>
      <c r="BX50" s="358"/>
      <c r="BY50" s="358"/>
      <c r="BZ50" s="358"/>
      <c r="CA50" s="358"/>
      <c r="CB50" s="358"/>
      <c r="CC50" s="358"/>
      <c r="CD50" s="358"/>
      <c r="CE50" s="358"/>
      <c r="CF50" s="358"/>
      <c r="CG50" s="358"/>
      <c r="CH50" s="358"/>
      <c r="CI50" s="358"/>
      <c r="CJ50" s="358"/>
      <c r="CK50" s="358"/>
      <c r="CL50" s="358"/>
      <c r="CM50" s="358"/>
      <c r="CN50" s="358"/>
      <c r="CO50" s="358"/>
      <c r="CP50" s="358"/>
      <c r="CQ50" s="358"/>
      <c r="CR50" s="358"/>
      <c r="CS50" s="358"/>
      <c r="CT50" s="358"/>
      <c r="CU50" s="358"/>
      <c r="CV50" s="358"/>
      <c r="CW50" s="358"/>
      <c r="CX50" s="358"/>
      <c r="CY50" s="358"/>
      <c r="CZ50" s="358"/>
      <c r="DA50" s="358"/>
      <c r="DB50" s="358"/>
      <c r="DC50" s="358"/>
      <c r="DD50" s="358"/>
      <c r="DE50" s="358"/>
      <c r="DF50" s="358"/>
      <c r="DG50" s="358"/>
      <c r="DH50" s="358"/>
      <c r="DI50" s="358"/>
      <c r="DJ50" s="358"/>
      <c r="DK50" s="358"/>
      <c r="DL50" s="358"/>
      <c r="DM50" s="358"/>
      <c r="DN50" s="358"/>
      <c r="DO50" s="358"/>
      <c r="DP50" s="358"/>
      <c r="DQ50" s="358"/>
      <c r="DR50" s="358"/>
      <c r="DS50" s="358"/>
      <c r="DT50" s="358"/>
      <c r="DU50" s="358"/>
      <c r="DV50" s="358"/>
      <c r="DW50" s="358"/>
      <c r="DX50" s="358"/>
      <c r="DY50" s="358"/>
      <c r="DZ50" s="358"/>
      <c r="EA50" s="358"/>
      <c r="EB50" s="358"/>
      <c r="EC50" s="358"/>
      <c r="ED50" s="358"/>
      <c r="EE50" s="358"/>
      <c r="EF50" s="358"/>
      <c r="EG50" s="358"/>
      <c r="EH50" s="358"/>
      <c r="EI50" s="358"/>
      <c r="EJ50" s="358"/>
      <c r="EK50" s="358"/>
      <c r="EL50" s="358"/>
      <c r="EM50" s="358"/>
      <c r="EN50" s="358"/>
      <c r="EO50" s="358"/>
      <c r="EP50" s="358"/>
      <c r="EQ50" s="358"/>
      <c r="ER50" s="358"/>
      <c r="ES50" s="358"/>
      <c r="ET50" s="358"/>
      <c r="EU50" s="358"/>
      <c r="EV50" s="358"/>
      <c r="EW50" s="358"/>
      <c r="EX50" s="358"/>
      <c r="EY50" s="358"/>
      <c r="EZ50" s="371"/>
    </row>
    <row r="51" spans="1:156" ht="12" customHeight="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1240"/>
      <c r="AK51" s="357"/>
      <c r="AL51" s="358"/>
      <c r="AM51" s="358"/>
      <c r="AN51" s="358"/>
      <c r="AO51" s="358"/>
      <c r="AP51" s="358"/>
      <c r="AQ51" s="358"/>
      <c r="AR51" s="358"/>
      <c r="AS51" s="358"/>
      <c r="AT51" s="358"/>
      <c r="AU51" s="358"/>
      <c r="AV51" s="358"/>
      <c r="AW51" s="358"/>
      <c r="AX51" s="358"/>
      <c r="AY51" s="358"/>
      <c r="AZ51" s="358"/>
      <c r="BA51" s="358"/>
      <c r="BB51" s="367"/>
      <c r="BC51" s="358"/>
      <c r="BD51" s="358"/>
      <c r="BE51" s="358"/>
      <c r="BF51" s="358"/>
      <c r="BG51" s="358"/>
      <c r="BH51" s="358"/>
      <c r="BI51" s="358"/>
      <c r="BJ51" s="358"/>
      <c r="BK51" s="358"/>
      <c r="BL51" s="358"/>
      <c r="BM51" s="358"/>
      <c r="BN51" s="358"/>
      <c r="BO51" s="358"/>
      <c r="BP51" s="358"/>
      <c r="BQ51" s="358"/>
      <c r="BR51" s="358"/>
      <c r="BS51" s="358"/>
      <c r="BT51" s="358"/>
      <c r="BU51" s="358"/>
      <c r="BV51" s="358"/>
      <c r="BW51" s="358"/>
      <c r="BX51" s="358"/>
      <c r="BY51" s="358"/>
      <c r="BZ51" s="358"/>
      <c r="CA51" s="358"/>
      <c r="CB51" s="358"/>
      <c r="CC51" s="358"/>
      <c r="CD51" s="358"/>
      <c r="CE51" s="358"/>
      <c r="CF51" s="358"/>
      <c r="CG51" s="358"/>
      <c r="CH51" s="358"/>
      <c r="CI51" s="358"/>
      <c r="CJ51" s="358"/>
      <c r="CK51" s="358"/>
      <c r="CL51" s="358"/>
      <c r="CM51" s="358"/>
      <c r="CN51" s="358"/>
      <c r="CO51" s="358"/>
      <c r="CP51" s="358"/>
      <c r="CQ51" s="358"/>
      <c r="CR51" s="358"/>
      <c r="CS51" s="358"/>
      <c r="CT51" s="358"/>
      <c r="CU51" s="358"/>
      <c r="CV51" s="358"/>
      <c r="CW51" s="358"/>
      <c r="CX51" s="358"/>
      <c r="CY51" s="358"/>
      <c r="CZ51" s="358"/>
      <c r="DA51" s="358"/>
      <c r="DB51" s="358"/>
      <c r="DC51" s="358"/>
      <c r="DD51" s="358"/>
      <c r="DE51" s="358"/>
      <c r="DF51" s="358"/>
      <c r="DG51" s="358"/>
      <c r="DH51" s="358"/>
      <c r="DI51" s="358"/>
      <c r="DJ51" s="358"/>
      <c r="DK51" s="358"/>
      <c r="DL51" s="358"/>
      <c r="DM51" s="358"/>
      <c r="DN51" s="358"/>
      <c r="DO51" s="358"/>
      <c r="DP51" s="358"/>
      <c r="DQ51" s="358"/>
      <c r="DR51" s="358"/>
      <c r="DS51" s="358"/>
      <c r="DT51" s="358"/>
      <c r="DU51" s="358"/>
      <c r="DV51" s="358"/>
      <c r="DW51" s="358"/>
      <c r="DX51" s="358"/>
      <c r="DY51" s="358"/>
      <c r="DZ51" s="358"/>
      <c r="EA51" s="358"/>
      <c r="EB51" s="358"/>
      <c r="EC51" s="358"/>
      <c r="ED51" s="358"/>
      <c r="EE51" s="358"/>
      <c r="EF51" s="358"/>
      <c r="EG51" s="358"/>
      <c r="EH51" s="358"/>
      <c r="EI51" s="358"/>
      <c r="EJ51" s="358"/>
      <c r="EK51" s="358"/>
      <c r="EL51" s="358"/>
      <c r="EM51" s="358"/>
      <c r="EN51" s="358"/>
      <c r="EO51" s="358"/>
      <c r="EP51" s="358"/>
      <c r="EQ51" s="358"/>
      <c r="ER51" s="358"/>
      <c r="ES51" s="358"/>
      <c r="ET51" s="358"/>
      <c r="EU51" s="358"/>
      <c r="EV51" s="358"/>
      <c r="EW51" s="358"/>
      <c r="EX51" s="358"/>
      <c r="EY51" s="358"/>
      <c r="EZ51" s="371"/>
    </row>
    <row r="52" spans="1:156" ht="12" customHeight="1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1240"/>
      <c r="AK52" s="357"/>
      <c r="AL52" s="358"/>
      <c r="AM52" s="358"/>
      <c r="AN52" s="358"/>
      <c r="AO52" s="358"/>
      <c r="AP52" s="358"/>
      <c r="AQ52" s="358"/>
      <c r="AR52" s="358"/>
      <c r="AS52" s="358"/>
      <c r="AT52" s="358"/>
      <c r="AU52" s="358"/>
      <c r="AV52" s="358"/>
      <c r="AW52" s="358"/>
      <c r="AX52" s="358"/>
      <c r="AY52" s="358"/>
      <c r="AZ52" s="358"/>
      <c r="BA52" s="358"/>
      <c r="BB52" s="367"/>
      <c r="BC52" s="358"/>
      <c r="BD52" s="358"/>
      <c r="BE52" s="358"/>
      <c r="BF52" s="358"/>
      <c r="BG52" s="358"/>
      <c r="BH52" s="358"/>
      <c r="BI52" s="358"/>
      <c r="BJ52" s="358"/>
      <c r="BK52" s="358"/>
      <c r="BL52" s="358"/>
      <c r="BM52" s="358"/>
      <c r="BN52" s="358"/>
      <c r="BO52" s="358"/>
      <c r="BP52" s="358"/>
      <c r="BQ52" s="358"/>
      <c r="BR52" s="358"/>
      <c r="BS52" s="358"/>
      <c r="BT52" s="358"/>
      <c r="BU52" s="358"/>
      <c r="BV52" s="358"/>
      <c r="BW52" s="358"/>
      <c r="BX52" s="358"/>
      <c r="BY52" s="358"/>
      <c r="BZ52" s="358"/>
      <c r="CA52" s="358"/>
      <c r="CB52" s="358"/>
      <c r="CC52" s="358"/>
      <c r="CD52" s="358"/>
      <c r="CE52" s="358"/>
      <c r="CF52" s="358"/>
      <c r="CG52" s="358"/>
      <c r="CH52" s="358"/>
      <c r="CI52" s="358"/>
      <c r="CJ52" s="358"/>
      <c r="CK52" s="358"/>
      <c r="CL52" s="358"/>
      <c r="CM52" s="358"/>
      <c r="CN52" s="358"/>
      <c r="CO52" s="358"/>
      <c r="CP52" s="358"/>
      <c r="CQ52" s="358"/>
      <c r="CR52" s="358"/>
      <c r="CS52" s="358"/>
      <c r="CT52" s="358"/>
      <c r="CU52" s="358"/>
      <c r="CV52" s="358"/>
      <c r="CW52" s="358"/>
      <c r="CX52" s="358"/>
      <c r="CY52" s="358"/>
      <c r="CZ52" s="358"/>
      <c r="DA52" s="358"/>
      <c r="DB52" s="358"/>
      <c r="DC52" s="358"/>
      <c r="DD52" s="358"/>
      <c r="DE52" s="358"/>
      <c r="DF52" s="358"/>
      <c r="DG52" s="358"/>
      <c r="DH52" s="358"/>
      <c r="DI52" s="358"/>
      <c r="DJ52" s="358"/>
      <c r="DK52" s="358"/>
      <c r="DL52" s="358"/>
      <c r="DM52" s="358"/>
      <c r="DN52" s="358"/>
      <c r="DO52" s="358"/>
      <c r="DP52" s="358"/>
      <c r="DQ52" s="358"/>
      <c r="DR52" s="358"/>
      <c r="DS52" s="358"/>
      <c r="DT52" s="358"/>
      <c r="DU52" s="358"/>
      <c r="DV52" s="358"/>
      <c r="DW52" s="358"/>
      <c r="DX52" s="358"/>
      <c r="DY52" s="358"/>
      <c r="DZ52" s="358"/>
      <c r="EA52" s="358"/>
      <c r="EB52" s="358"/>
      <c r="EC52" s="358"/>
      <c r="ED52" s="358"/>
      <c r="EE52" s="358"/>
      <c r="EF52" s="358"/>
      <c r="EG52" s="358"/>
      <c r="EH52" s="358"/>
      <c r="EI52" s="358"/>
      <c r="EJ52" s="358"/>
      <c r="EK52" s="358"/>
      <c r="EL52" s="358"/>
      <c r="EM52" s="358"/>
      <c r="EN52" s="358"/>
      <c r="EO52" s="358"/>
      <c r="EP52" s="358"/>
      <c r="EQ52" s="358"/>
      <c r="ER52" s="358"/>
      <c r="ES52" s="358"/>
      <c r="ET52" s="358"/>
      <c r="EU52" s="358"/>
      <c r="EV52" s="358"/>
      <c r="EW52" s="358"/>
      <c r="EX52" s="358"/>
      <c r="EY52" s="358"/>
      <c r="EZ52" s="371"/>
    </row>
    <row r="53" spans="1:156" ht="12" customHeight="1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1240"/>
      <c r="AK53" s="357"/>
      <c r="AL53" s="358"/>
      <c r="AM53" s="358"/>
      <c r="AN53" s="358"/>
      <c r="AO53" s="358"/>
      <c r="AP53" s="358"/>
      <c r="AQ53" s="358"/>
      <c r="AR53" s="358"/>
      <c r="AS53" s="358"/>
      <c r="AT53" s="358"/>
      <c r="AU53" s="358"/>
      <c r="AV53" s="358"/>
      <c r="AW53" s="358"/>
      <c r="AX53" s="358"/>
      <c r="AY53" s="358"/>
      <c r="AZ53" s="358"/>
      <c r="BA53" s="358"/>
      <c r="BB53" s="367"/>
      <c r="BC53" s="358"/>
      <c r="BD53" s="358"/>
      <c r="BE53" s="358"/>
      <c r="BF53" s="358"/>
      <c r="BG53" s="358"/>
      <c r="BH53" s="358"/>
      <c r="BI53" s="358"/>
      <c r="BJ53" s="358"/>
      <c r="BK53" s="358"/>
      <c r="BL53" s="358"/>
      <c r="BM53" s="358"/>
      <c r="BN53" s="358"/>
      <c r="BO53" s="358"/>
      <c r="BP53" s="358"/>
      <c r="BQ53" s="358"/>
      <c r="BR53" s="358"/>
      <c r="BS53" s="358"/>
      <c r="BT53" s="358"/>
      <c r="BU53" s="358"/>
      <c r="BV53" s="358"/>
      <c r="BW53" s="358"/>
      <c r="BX53" s="358"/>
      <c r="BY53" s="358"/>
      <c r="BZ53" s="358"/>
      <c r="CA53" s="358"/>
      <c r="CB53" s="358"/>
      <c r="CC53" s="358"/>
      <c r="CD53" s="358"/>
      <c r="CE53" s="358"/>
      <c r="CF53" s="358"/>
      <c r="CG53" s="358"/>
      <c r="CH53" s="358"/>
      <c r="CI53" s="358"/>
      <c r="CJ53" s="358"/>
      <c r="CK53" s="358"/>
      <c r="CL53" s="358"/>
      <c r="CM53" s="358"/>
      <c r="CN53" s="358"/>
      <c r="CO53" s="358"/>
      <c r="CP53" s="358"/>
      <c r="CQ53" s="358"/>
      <c r="CR53" s="358"/>
      <c r="CS53" s="358"/>
      <c r="CT53" s="358"/>
      <c r="CU53" s="358"/>
      <c r="CV53" s="358"/>
      <c r="CW53" s="358"/>
      <c r="CX53" s="358"/>
      <c r="CY53" s="358"/>
      <c r="CZ53" s="358"/>
      <c r="DA53" s="358"/>
      <c r="DB53" s="358"/>
      <c r="DC53" s="358"/>
      <c r="DD53" s="358"/>
      <c r="DE53" s="358"/>
      <c r="DF53" s="358"/>
      <c r="DG53" s="358"/>
      <c r="DH53" s="358"/>
      <c r="DI53" s="358"/>
      <c r="DJ53" s="358"/>
      <c r="DK53" s="358"/>
      <c r="DL53" s="358"/>
      <c r="DM53" s="358"/>
      <c r="DN53" s="358"/>
      <c r="DO53" s="358"/>
      <c r="DP53" s="358"/>
      <c r="DQ53" s="358"/>
      <c r="DR53" s="358"/>
      <c r="DS53" s="358"/>
      <c r="DT53" s="358"/>
      <c r="DU53" s="358"/>
      <c r="DV53" s="358"/>
      <c r="DW53" s="358"/>
      <c r="DX53" s="358"/>
      <c r="DY53" s="358"/>
      <c r="DZ53" s="358"/>
      <c r="EA53" s="358"/>
      <c r="EB53" s="358"/>
      <c r="EC53" s="358"/>
      <c r="ED53" s="358"/>
      <c r="EE53" s="358"/>
      <c r="EF53" s="358"/>
      <c r="EG53" s="358"/>
      <c r="EH53" s="358"/>
      <c r="EI53" s="358"/>
      <c r="EJ53" s="358"/>
      <c r="EK53" s="358"/>
      <c r="EL53" s="358"/>
      <c r="EM53" s="358"/>
      <c r="EN53" s="358"/>
      <c r="EO53" s="358"/>
      <c r="EP53" s="358"/>
      <c r="EQ53" s="358"/>
      <c r="ER53" s="358"/>
      <c r="ES53" s="358"/>
      <c r="ET53" s="358"/>
      <c r="EU53" s="358"/>
      <c r="EV53" s="358"/>
      <c r="EW53" s="358"/>
      <c r="EX53" s="358"/>
      <c r="EY53" s="358"/>
      <c r="EZ53" s="371"/>
    </row>
    <row r="54" spans="1:156" ht="12" customHeight="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1240"/>
      <c r="AK54" s="357"/>
      <c r="AL54" s="358"/>
      <c r="AM54" s="358"/>
      <c r="AN54" s="358"/>
      <c r="AO54" s="358"/>
      <c r="AP54" s="358"/>
      <c r="AQ54" s="358"/>
      <c r="AR54" s="358"/>
      <c r="AS54" s="358"/>
      <c r="AT54" s="358"/>
      <c r="AU54" s="358"/>
      <c r="AV54" s="358"/>
      <c r="AW54" s="358"/>
      <c r="AX54" s="358"/>
      <c r="AY54" s="358"/>
      <c r="AZ54" s="358"/>
      <c r="BA54" s="358"/>
      <c r="BB54" s="367"/>
      <c r="BC54" s="358"/>
      <c r="BD54" s="358"/>
      <c r="BE54" s="358"/>
      <c r="BF54" s="358"/>
      <c r="BG54" s="358"/>
      <c r="BH54" s="358"/>
      <c r="BI54" s="358"/>
      <c r="BJ54" s="358"/>
      <c r="BK54" s="358"/>
      <c r="BL54" s="358"/>
      <c r="BM54" s="358"/>
      <c r="BN54" s="358"/>
      <c r="BO54" s="358"/>
      <c r="BP54" s="358"/>
      <c r="BQ54" s="358"/>
      <c r="BR54" s="358"/>
      <c r="BS54" s="358"/>
      <c r="BT54" s="358"/>
      <c r="BU54" s="358"/>
      <c r="BV54" s="358"/>
      <c r="BW54" s="358"/>
      <c r="BX54" s="358"/>
      <c r="BY54" s="358"/>
      <c r="BZ54" s="358"/>
      <c r="CA54" s="358"/>
      <c r="CB54" s="358"/>
      <c r="CC54" s="358"/>
      <c r="CD54" s="358"/>
      <c r="CE54" s="358"/>
      <c r="CF54" s="358"/>
      <c r="CG54" s="358"/>
      <c r="CH54" s="358"/>
      <c r="CI54" s="358"/>
      <c r="CJ54" s="358"/>
      <c r="CK54" s="358"/>
      <c r="CL54" s="358"/>
      <c r="CM54" s="358"/>
      <c r="CN54" s="358"/>
      <c r="CO54" s="358"/>
      <c r="CP54" s="358"/>
      <c r="CQ54" s="358"/>
      <c r="CR54" s="358"/>
      <c r="CS54" s="358"/>
      <c r="CT54" s="358"/>
      <c r="CU54" s="358"/>
      <c r="CV54" s="358"/>
      <c r="CW54" s="358"/>
      <c r="CX54" s="358"/>
      <c r="CY54" s="358"/>
      <c r="CZ54" s="358"/>
      <c r="DA54" s="358"/>
      <c r="DB54" s="358"/>
      <c r="DC54" s="358"/>
      <c r="DD54" s="358"/>
      <c r="DE54" s="358"/>
      <c r="DF54" s="358"/>
      <c r="DG54" s="358"/>
      <c r="DH54" s="358"/>
      <c r="DI54" s="358"/>
      <c r="DJ54" s="358"/>
      <c r="DK54" s="358"/>
      <c r="DL54" s="358"/>
      <c r="DM54" s="358"/>
      <c r="DN54" s="358"/>
      <c r="DO54" s="358"/>
      <c r="DP54" s="358"/>
      <c r="DQ54" s="358"/>
      <c r="DR54" s="358"/>
      <c r="DS54" s="358"/>
      <c r="DT54" s="358"/>
      <c r="DU54" s="358"/>
      <c r="DV54" s="358"/>
      <c r="DW54" s="358"/>
      <c r="DX54" s="358"/>
      <c r="DY54" s="358"/>
      <c r="DZ54" s="358"/>
      <c r="EA54" s="358"/>
      <c r="EB54" s="358"/>
      <c r="EC54" s="358"/>
      <c r="ED54" s="358"/>
      <c r="EE54" s="358"/>
      <c r="EF54" s="358"/>
      <c r="EG54" s="358"/>
      <c r="EH54" s="358"/>
      <c r="EI54" s="358"/>
      <c r="EJ54" s="358"/>
      <c r="EK54" s="358"/>
      <c r="EL54" s="358"/>
      <c r="EM54" s="358"/>
      <c r="EN54" s="358"/>
      <c r="EO54" s="358"/>
      <c r="EP54" s="358"/>
      <c r="EQ54" s="358"/>
      <c r="ER54" s="358"/>
      <c r="ES54" s="358"/>
      <c r="ET54" s="358"/>
      <c r="EU54" s="358"/>
      <c r="EV54" s="358"/>
      <c r="EW54" s="358"/>
      <c r="EX54" s="358"/>
      <c r="EY54" s="358"/>
      <c r="EZ54" s="371"/>
    </row>
    <row r="55" spans="1:156" ht="12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1240"/>
      <c r="AK55" s="357"/>
      <c r="AL55" s="358"/>
      <c r="AM55" s="358"/>
      <c r="AN55" s="358"/>
      <c r="AO55" s="358"/>
      <c r="AP55" s="358"/>
      <c r="AQ55" s="358"/>
      <c r="AR55" s="358"/>
      <c r="AS55" s="358"/>
      <c r="AT55" s="358"/>
      <c r="AU55" s="358"/>
      <c r="AV55" s="358"/>
      <c r="AW55" s="358"/>
      <c r="AX55" s="358"/>
      <c r="AY55" s="358"/>
      <c r="AZ55" s="358"/>
      <c r="BA55" s="358"/>
      <c r="BB55" s="367"/>
      <c r="BC55" s="358"/>
      <c r="BD55" s="358"/>
      <c r="BE55" s="358"/>
      <c r="BF55" s="358"/>
      <c r="BG55" s="358"/>
      <c r="BH55" s="358"/>
      <c r="BI55" s="358"/>
      <c r="BJ55" s="358"/>
      <c r="BK55" s="358"/>
      <c r="BL55" s="358"/>
      <c r="BM55" s="358"/>
      <c r="BN55" s="358"/>
      <c r="BO55" s="358"/>
      <c r="BP55" s="358"/>
      <c r="BQ55" s="358"/>
      <c r="BR55" s="358"/>
      <c r="BS55" s="358"/>
      <c r="BT55" s="358"/>
      <c r="BU55" s="358"/>
      <c r="BV55" s="358"/>
      <c r="BW55" s="358"/>
      <c r="BX55" s="358"/>
      <c r="BY55" s="358"/>
      <c r="BZ55" s="358"/>
      <c r="CA55" s="358"/>
      <c r="CB55" s="358"/>
      <c r="CC55" s="358"/>
      <c r="CD55" s="358"/>
      <c r="CE55" s="358"/>
      <c r="CF55" s="358"/>
      <c r="CG55" s="358"/>
      <c r="CH55" s="358"/>
      <c r="CI55" s="358"/>
      <c r="CJ55" s="358"/>
      <c r="CK55" s="358"/>
      <c r="CL55" s="358"/>
      <c r="CM55" s="358"/>
      <c r="CN55" s="358"/>
      <c r="CO55" s="358"/>
      <c r="CP55" s="358"/>
      <c r="CQ55" s="358"/>
      <c r="CR55" s="358"/>
      <c r="CS55" s="358"/>
      <c r="CT55" s="358"/>
      <c r="CU55" s="358"/>
      <c r="CV55" s="358"/>
      <c r="CW55" s="358"/>
      <c r="CX55" s="358"/>
      <c r="CY55" s="358"/>
      <c r="CZ55" s="358"/>
      <c r="DA55" s="358"/>
      <c r="DB55" s="358"/>
      <c r="DC55" s="358"/>
      <c r="DD55" s="358"/>
      <c r="DE55" s="358"/>
      <c r="DF55" s="358"/>
      <c r="DG55" s="358"/>
      <c r="DH55" s="358"/>
      <c r="DI55" s="358"/>
      <c r="DJ55" s="358"/>
      <c r="DK55" s="358"/>
      <c r="DL55" s="358"/>
      <c r="DM55" s="358"/>
      <c r="DN55" s="358"/>
      <c r="DO55" s="358"/>
      <c r="DP55" s="358"/>
      <c r="DQ55" s="358"/>
      <c r="DR55" s="358"/>
      <c r="DS55" s="358"/>
      <c r="DT55" s="358"/>
      <c r="DU55" s="358"/>
      <c r="DV55" s="358"/>
      <c r="DW55" s="358"/>
      <c r="DX55" s="358"/>
      <c r="DY55" s="358"/>
      <c r="DZ55" s="358"/>
      <c r="EA55" s="358"/>
      <c r="EB55" s="358"/>
      <c r="EC55" s="358"/>
      <c r="ED55" s="358"/>
      <c r="EE55" s="358"/>
      <c r="EF55" s="358"/>
      <c r="EG55" s="358"/>
      <c r="EH55" s="358"/>
      <c r="EI55" s="358"/>
      <c r="EJ55" s="358"/>
      <c r="EK55" s="358"/>
      <c r="EL55" s="358"/>
      <c r="EM55" s="358"/>
      <c r="EN55" s="358"/>
      <c r="EO55" s="358"/>
      <c r="EP55" s="358"/>
      <c r="EQ55" s="358"/>
      <c r="ER55" s="358"/>
      <c r="ES55" s="358"/>
      <c r="ET55" s="358"/>
      <c r="EU55" s="358"/>
      <c r="EV55" s="358"/>
      <c r="EW55" s="358"/>
      <c r="EX55" s="358"/>
      <c r="EY55" s="358"/>
      <c r="EZ55" s="371"/>
    </row>
    <row r="56" spans="1:156" ht="12" customHeight="1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1240"/>
      <c r="AK56" s="357"/>
      <c r="AL56" s="358"/>
      <c r="AM56" s="358"/>
      <c r="AN56" s="358"/>
      <c r="AO56" s="358"/>
      <c r="AP56" s="358"/>
      <c r="AQ56" s="358"/>
      <c r="AR56" s="358"/>
      <c r="AS56" s="358"/>
      <c r="AT56" s="358"/>
      <c r="AU56" s="358"/>
      <c r="AV56" s="358"/>
      <c r="AW56" s="358"/>
      <c r="AX56" s="358"/>
      <c r="AY56" s="358"/>
      <c r="AZ56" s="358"/>
      <c r="BA56" s="358"/>
      <c r="BB56" s="367"/>
      <c r="BC56" s="358"/>
      <c r="BD56" s="358"/>
      <c r="BE56" s="358"/>
      <c r="BF56" s="358"/>
      <c r="BG56" s="358"/>
      <c r="BH56" s="358"/>
      <c r="BI56" s="358"/>
      <c r="BJ56" s="358"/>
      <c r="BK56" s="358"/>
      <c r="BL56" s="358"/>
      <c r="BM56" s="358"/>
      <c r="BN56" s="358"/>
      <c r="BO56" s="358"/>
      <c r="BP56" s="358"/>
      <c r="BQ56" s="358"/>
      <c r="BR56" s="358"/>
      <c r="BS56" s="358"/>
      <c r="BT56" s="358"/>
      <c r="BU56" s="358"/>
      <c r="BV56" s="358"/>
      <c r="BW56" s="358"/>
      <c r="BX56" s="358"/>
      <c r="BY56" s="358"/>
      <c r="BZ56" s="358"/>
      <c r="CA56" s="358"/>
      <c r="CB56" s="358"/>
      <c r="CC56" s="358"/>
      <c r="CD56" s="358"/>
      <c r="CE56" s="358"/>
      <c r="CF56" s="358"/>
      <c r="CG56" s="358"/>
      <c r="CH56" s="358"/>
      <c r="CI56" s="358"/>
      <c r="CJ56" s="358"/>
      <c r="CK56" s="358"/>
      <c r="CL56" s="358"/>
      <c r="CM56" s="358"/>
      <c r="CN56" s="358"/>
      <c r="CO56" s="358"/>
      <c r="CP56" s="358"/>
      <c r="CQ56" s="358"/>
      <c r="CR56" s="358"/>
      <c r="CS56" s="358"/>
      <c r="CT56" s="358"/>
      <c r="CU56" s="358"/>
      <c r="CV56" s="358"/>
      <c r="CW56" s="358"/>
      <c r="CX56" s="358"/>
      <c r="CY56" s="358"/>
      <c r="CZ56" s="358"/>
      <c r="DA56" s="358"/>
      <c r="DB56" s="358"/>
      <c r="DC56" s="358"/>
      <c r="DD56" s="358"/>
      <c r="DE56" s="358"/>
      <c r="DF56" s="358"/>
      <c r="DG56" s="358"/>
      <c r="DH56" s="358"/>
      <c r="DI56" s="358"/>
      <c r="DJ56" s="358"/>
      <c r="DK56" s="358"/>
      <c r="DL56" s="358"/>
      <c r="DM56" s="358"/>
      <c r="DN56" s="358"/>
      <c r="DO56" s="358"/>
      <c r="DP56" s="358"/>
      <c r="DQ56" s="358"/>
      <c r="DR56" s="358"/>
      <c r="DS56" s="358"/>
      <c r="DT56" s="358"/>
      <c r="DU56" s="358"/>
      <c r="DV56" s="358"/>
      <c r="DW56" s="358"/>
      <c r="DX56" s="358"/>
      <c r="DY56" s="358"/>
      <c r="DZ56" s="358"/>
      <c r="EA56" s="358"/>
      <c r="EB56" s="358"/>
      <c r="EC56" s="358"/>
      <c r="ED56" s="358"/>
      <c r="EE56" s="358"/>
      <c r="EF56" s="358"/>
      <c r="EG56" s="358"/>
      <c r="EH56" s="358"/>
      <c r="EI56" s="358"/>
      <c r="EJ56" s="358"/>
      <c r="EK56" s="358"/>
      <c r="EL56" s="358"/>
      <c r="EM56" s="358"/>
      <c r="EN56" s="358"/>
      <c r="EO56" s="358"/>
      <c r="EP56" s="358"/>
      <c r="EQ56" s="358"/>
      <c r="ER56" s="358"/>
      <c r="ES56" s="358"/>
      <c r="ET56" s="358"/>
      <c r="EU56" s="358"/>
      <c r="EV56" s="358"/>
      <c r="EW56" s="358"/>
      <c r="EX56" s="358"/>
      <c r="EY56" s="358"/>
      <c r="EZ56" s="371"/>
    </row>
    <row r="57" spans="1:156" ht="12" customHeight="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1240"/>
      <c r="AK57" s="357"/>
      <c r="AL57" s="358"/>
      <c r="AM57" s="358"/>
      <c r="AN57" s="358"/>
      <c r="AO57" s="358"/>
      <c r="AP57" s="358"/>
      <c r="AQ57" s="358"/>
      <c r="AR57" s="358"/>
      <c r="AS57" s="358"/>
      <c r="AT57" s="358"/>
      <c r="AU57" s="358"/>
      <c r="AV57" s="358"/>
      <c r="AW57" s="358"/>
      <c r="AX57" s="358"/>
      <c r="AY57" s="358"/>
      <c r="AZ57" s="358"/>
      <c r="BA57" s="358"/>
      <c r="BB57" s="367"/>
      <c r="BC57" s="358"/>
      <c r="BD57" s="358"/>
      <c r="BE57" s="358"/>
      <c r="BF57" s="358"/>
      <c r="BG57" s="358"/>
      <c r="BH57" s="358"/>
      <c r="BI57" s="358"/>
      <c r="BJ57" s="358"/>
      <c r="BK57" s="358"/>
      <c r="BL57" s="358"/>
      <c r="BM57" s="358"/>
      <c r="BN57" s="358"/>
      <c r="BO57" s="358"/>
      <c r="BP57" s="358"/>
      <c r="BQ57" s="358"/>
      <c r="BR57" s="358"/>
      <c r="BS57" s="358"/>
      <c r="BT57" s="358"/>
      <c r="BU57" s="358"/>
      <c r="BV57" s="358"/>
      <c r="BW57" s="358"/>
      <c r="BX57" s="358"/>
      <c r="BY57" s="358"/>
      <c r="BZ57" s="358"/>
      <c r="CA57" s="358"/>
      <c r="CB57" s="358"/>
      <c r="CC57" s="358"/>
      <c r="CD57" s="358"/>
      <c r="CE57" s="358"/>
      <c r="CF57" s="358"/>
      <c r="CG57" s="358"/>
      <c r="CH57" s="358"/>
      <c r="CI57" s="358"/>
      <c r="CJ57" s="358"/>
      <c r="CK57" s="358"/>
      <c r="CL57" s="358"/>
      <c r="CM57" s="358"/>
      <c r="CN57" s="358"/>
      <c r="CO57" s="358"/>
      <c r="CP57" s="358"/>
      <c r="CQ57" s="358"/>
      <c r="CR57" s="358"/>
      <c r="CS57" s="358"/>
      <c r="CT57" s="358"/>
      <c r="CU57" s="358"/>
      <c r="CV57" s="358"/>
      <c r="CW57" s="358"/>
      <c r="CX57" s="358"/>
      <c r="CY57" s="358"/>
      <c r="CZ57" s="358"/>
      <c r="DA57" s="358"/>
      <c r="DB57" s="358"/>
      <c r="DC57" s="358"/>
      <c r="DD57" s="358"/>
      <c r="DE57" s="358"/>
      <c r="DF57" s="358"/>
      <c r="DG57" s="358"/>
      <c r="DH57" s="358"/>
      <c r="DI57" s="358"/>
      <c r="DJ57" s="358"/>
      <c r="DK57" s="358"/>
      <c r="DL57" s="358"/>
      <c r="DM57" s="358"/>
      <c r="DN57" s="358"/>
      <c r="DO57" s="358"/>
      <c r="DP57" s="358"/>
      <c r="DQ57" s="358"/>
      <c r="DR57" s="358"/>
      <c r="DS57" s="358"/>
      <c r="DT57" s="358"/>
      <c r="DU57" s="358"/>
      <c r="DV57" s="358"/>
      <c r="DW57" s="358"/>
      <c r="DX57" s="358"/>
      <c r="DY57" s="358"/>
      <c r="DZ57" s="358"/>
      <c r="EA57" s="358"/>
      <c r="EB57" s="358"/>
      <c r="EC57" s="358"/>
      <c r="ED57" s="358"/>
      <c r="EE57" s="358"/>
      <c r="EF57" s="358"/>
      <c r="EG57" s="358"/>
      <c r="EH57" s="358"/>
      <c r="EI57" s="358"/>
      <c r="EJ57" s="358"/>
      <c r="EK57" s="358"/>
      <c r="EL57" s="358"/>
      <c r="EM57" s="358"/>
      <c r="EN57" s="358"/>
      <c r="EO57" s="358"/>
      <c r="EP57" s="358"/>
      <c r="EQ57" s="358"/>
      <c r="ER57" s="358"/>
      <c r="ES57" s="358"/>
      <c r="ET57" s="358"/>
      <c r="EU57" s="358"/>
      <c r="EV57" s="358"/>
      <c r="EW57" s="358"/>
      <c r="EX57" s="358"/>
      <c r="EY57" s="358"/>
      <c r="EZ57" s="371"/>
    </row>
    <row r="58" spans="1:156" ht="12" customHeight="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1240"/>
      <c r="AK58" s="357"/>
      <c r="AL58" s="358"/>
      <c r="AM58" s="358"/>
      <c r="AN58" s="358"/>
      <c r="AO58" s="358"/>
      <c r="AP58" s="358"/>
      <c r="AQ58" s="358"/>
      <c r="AR58" s="358"/>
      <c r="AS58" s="358"/>
      <c r="AT58" s="358"/>
      <c r="AU58" s="358"/>
      <c r="AV58" s="358"/>
      <c r="AW58" s="358"/>
      <c r="AX58" s="358"/>
      <c r="AY58" s="358"/>
      <c r="AZ58" s="358"/>
      <c r="BA58" s="358"/>
      <c r="BB58" s="367"/>
      <c r="BC58" s="358"/>
      <c r="BD58" s="358"/>
      <c r="BE58" s="358"/>
      <c r="BF58" s="358"/>
      <c r="BG58" s="358"/>
      <c r="BH58" s="358"/>
      <c r="BI58" s="358"/>
      <c r="BJ58" s="358"/>
      <c r="BK58" s="358"/>
      <c r="BL58" s="358"/>
      <c r="BM58" s="358"/>
      <c r="BN58" s="358"/>
      <c r="BO58" s="358"/>
      <c r="BP58" s="358"/>
      <c r="BQ58" s="358"/>
      <c r="BR58" s="358"/>
      <c r="BS58" s="358"/>
      <c r="BT58" s="358"/>
      <c r="BU58" s="358"/>
      <c r="BV58" s="358"/>
      <c r="BW58" s="358"/>
      <c r="BX58" s="358"/>
      <c r="BY58" s="358"/>
      <c r="BZ58" s="358"/>
      <c r="CA58" s="358"/>
      <c r="CB58" s="358"/>
      <c r="CC58" s="358"/>
      <c r="CD58" s="358"/>
      <c r="CE58" s="358"/>
      <c r="CF58" s="358"/>
      <c r="CG58" s="358"/>
      <c r="CH58" s="358"/>
      <c r="CI58" s="358"/>
      <c r="CJ58" s="358"/>
      <c r="CK58" s="358"/>
      <c r="CL58" s="358"/>
      <c r="CM58" s="358"/>
      <c r="CN58" s="358"/>
      <c r="CO58" s="358"/>
      <c r="CP58" s="358"/>
      <c r="CQ58" s="358"/>
      <c r="CR58" s="358"/>
      <c r="CS58" s="358"/>
      <c r="CT58" s="358"/>
      <c r="CU58" s="358"/>
      <c r="CV58" s="358"/>
      <c r="CW58" s="358"/>
      <c r="CX58" s="358"/>
      <c r="CY58" s="358"/>
      <c r="CZ58" s="358"/>
      <c r="DA58" s="358"/>
      <c r="DB58" s="358"/>
      <c r="DC58" s="358"/>
      <c r="DD58" s="358"/>
      <c r="DE58" s="358"/>
      <c r="DF58" s="358"/>
      <c r="DG58" s="358"/>
      <c r="DH58" s="358"/>
      <c r="DI58" s="358"/>
      <c r="DJ58" s="358"/>
      <c r="DK58" s="358"/>
      <c r="DL58" s="358"/>
      <c r="DM58" s="358"/>
      <c r="DN58" s="358"/>
      <c r="DO58" s="358"/>
      <c r="DP58" s="358"/>
      <c r="DQ58" s="358"/>
      <c r="DR58" s="358"/>
      <c r="DS58" s="358"/>
      <c r="DT58" s="358"/>
      <c r="DU58" s="358"/>
      <c r="DV58" s="358"/>
      <c r="DW58" s="358"/>
      <c r="DX58" s="358"/>
      <c r="DY58" s="358"/>
      <c r="DZ58" s="358"/>
      <c r="EA58" s="358"/>
      <c r="EB58" s="358"/>
      <c r="EC58" s="358"/>
      <c r="ED58" s="358"/>
      <c r="EE58" s="358"/>
      <c r="EF58" s="358"/>
      <c r="EG58" s="358"/>
      <c r="EH58" s="358"/>
      <c r="EI58" s="358"/>
      <c r="EJ58" s="358"/>
      <c r="EK58" s="358"/>
      <c r="EL58" s="358"/>
      <c r="EM58" s="358"/>
      <c r="EN58" s="358"/>
      <c r="EO58" s="358"/>
      <c r="EP58" s="358"/>
      <c r="EQ58" s="358"/>
      <c r="ER58" s="358"/>
      <c r="ES58" s="358"/>
      <c r="ET58" s="358"/>
      <c r="EU58" s="358"/>
      <c r="EV58" s="358"/>
      <c r="EW58" s="358"/>
      <c r="EX58" s="358"/>
      <c r="EY58" s="358"/>
      <c r="EZ58" s="371"/>
    </row>
    <row r="59" spans="1:156" ht="12" customHeight="1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1240"/>
      <c r="AK59" s="357"/>
      <c r="AL59" s="358"/>
      <c r="AM59" s="358"/>
      <c r="AN59" s="358"/>
      <c r="AO59" s="358"/>
      <c r="AP59" s="358"/>
      <c r="AQ59" s="358"/>
      <c r="AR59" s="358"/>
      <c r="AS59" s="358"/>
      <c r="AT59" s="358"/>
      <c r="AU59" s="358"/>
      <c r="AV59" s="358"/>
      <c r="AW59" s="358"/>
      <c r="AX59" s="358"/>
      <c r="AY59" s="358"/>
      <c r="AZ59" s="358"/>
      <c r="BA59" s="358"/>
      <c r="BB59" s="367"/>
      <c r="BC59" s="358"/>
      <c r="BD59" s="358"/>
      <c r="BE59" s="358"/>
      <c r="BF59" s="358"/>
      <c r="BG59" s="358"/>
      <c r="BH59" s="358"/>
      <c r="BI59" s="358"/>
      <c r="BJ59" s="358"/>
      <c r="BK59" s="358"/>
      <c r="BL59" s="358"/>
      <c r="BM59" s="358"/>
      <c r="BN59" s="358"/>
      <c r="BO59" s="358"/>
      <c r="BP59" s="358"/>
      <c r="BQ59" s="358"/>
      <c r="BR59" s="358"/>
      <c r="BS59" s="358"/>
      <c r="BT59" s="358"/>
      <c r="BU59" s="358"/>
      <c r="BV59" s="358"/>
      <c r="BW59" s="358"/>
      <c r="BX59" s="358"/>
      <c r="BY59" s="358"/>
      <c r="BZ59" s="358"/>
      <c r="CA59" s="358"/>
      <c r="CB59" s="358"/>
      <c r="CC59" s="358"/>
      <c r="CD59" s="358"/>
      <c r="CE59" s="358"/>
      <c r="CF59" s="358"/>
      <c r="CG59" s="358"/>
      <c r="CH59" s="358"/>
      <c r="CI59" s="358"/>
      <c r="CJ59" s="358"/>
      <c r="CK59" s="358"/>
      <c r="CL59" s="358"/>
      <c r="CM59" s="358"/>
      <c r="CN59" s="358"/>
      <c r="CO59" s="358"/>
      <c r="CP59" s="358"/>
      <c r="CQ59" s="358"/>
      <c r="CR59" s="358"/>
      <c r="CS59" s="358"/>
      <c r="CT59" s="358"/>
      <c r="CU59" s="358"/>
      <c r="CV59" s="358"/>
      <c r="CW59" s="358"/>
      <c r="CX59" s="358"/>
      <c r="CY59" s="358"/>
      <c r="CZ59" s="358"/>
      <c r="DA59" s="358"/>
      <c r="DB59" s="358"/>
      <c r="DC59" s="358"/>
      <c r="DD59" s="358"/>
      <c r="DE59" s="358"/>
      <c r="DF59" s="358"/>
      <c r="DG59" s="358"/>
      <c r="DH59" s="358"/>
      <c r="DI59" s="358"/>
      <c r="DJ59" s="358"/>
      <c r="DK59" s="358"/>
      <c r="DL59" s="358"/>
      <c r="DM59" s="358"/>
      <c r="DN59" s="358"/>
      <c r="DO59" s="358"/>
      <c r="DP59" s="358"/>
      <c r="DQ59" s="358"/>
      <c r="DR59" s="358"/>
      <c r="DS59" s="358"/>
      <c r="DT59" s="358"/>
      <c r="DU59" s="358"/>
      <c r="DV59" s="358"/>
      <c r="DW59" s="358"/>
      <c r="DX59" s="358"/>
      <c r="DY59" s="358"/>
      <c r="DZ59" s="358"/>
      <c r="EA59" s="358"/>
      <c r="EB59" s="358"/>
      <c r="EC59" s="358"/>
      <c r="ED59" s="358"/>
      <c r="EE59" s="358"/>
      <c r="EF59" s="358"/>
      <c r="EG59" s="358"/>
      <c r="EH59" s="358"/>
      <c r="EI59" s="358"/>
      <c r="EJ59" s="358"/>
      <c r="EK59" s="358"/>
      <c r="EL59" s="358"/>
      <c r="EM59" s="358"/>
      <c r="EN59" s="358"/>
      <c r="EO59" s="358"/>
      <c r="EP59" s="358"/>
      <c r="EQ59" s="358"/>
      <c r="ER59" s="358"/>
      <c r="ES59" s="358"/>
      <c r="ET59" s="358"/>
      <c r="EU59" s="358"/>
      <c r="EV59" s="358"/>
      <c r="EW59" s="358"/>
      <c r="EX59" s="358"/>
      <c r="EY59" s="358"/>
      <c r="EZ59" s="371"/>
    </row>
    <row r="60" spans="1:156" ht="12" customHeight="1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1240"/>
      <c r="AK60" s="357"/>
      <c r="AL60" s="358"/>
      <c r="AM60" s="358"/>
      <c r="AN60" s="358"/>
      <c r="AO60" s="358"/>
      <c r="AP60" s="358"/>
      <c r="AQ60" s="358"/>
      <c r="AR60" s="358"/>
      <c r="AS60" s="358"/>
      <c r="AT60" s="358"/>
      <c r="AU60" s="358"/>
      <c r="AV60" s="358"/>
      <c r="AW60" s="358"/>
      <c r="AX60" s="358"/>
      <c r="AY60" s="358"/>
      <c r="AZ60" s="358"/>
      <c r="BA60" s="358"/>
      <c r="BB60" s="367"/>
      <c r="BC60" s="358"/>
      <c r="BD60" s="358"/>
      <c r="BE60" s="358"/>
      <c r="BF60" s="358"/>
      <c r="BG60" s="358"/>
      <c r="BH60" s="358"/>
      <c r="BI60" s="358"/>
      <c r="BJ60" s="358"/>
      <c r="BK60" s="358"/>
      <c r="BL60" s="358"/>
      <c r="BM60" s="358"/>
      <c r="BN60" s="358"/>
      <c r="BO60" s="358"/>
      <c r="BP60" s="358"/>
      <c r="BQ60" s="358"/>
      <c r="BR60" s="358"/>
      <c r="BS60" s="358"/>
      <c r="BT60" s="358"/>
      <c r="BU60" s="358"/>
      <c r="BV60" s="358"/>
      <c r="BW60" s="358"/>
      <c r="BX60" s="358"/>
      <c r="BY60" s="358"/>
      <c r="BZ60" s="358"/>
      <c r="CA60" s="358"/>
      <c r="CB60" s="358"/>
      <c r="CC60" s="358"/>
      <c r="CD60" s="358"/>
      <c r="CE60" s="358"/>
      <c r="CF60" s="358"/>
      <c r="CG60" s="358"/>
      <c r="CH60" s="358"/>
      <c r="CI60" s="358"/>
      <c r="CJ60" s="358"/>
      <c r="CK60" s="358"/>
      <c r="CL60" s="358"/>
      <c r="CM60" s="358"/>
      <c r="CN60" s="358"/>
      <c r="CO60" s="358"/>
      <c r="CP60" s="358"/>
      <c r="CQ60" s="358"/>
      <c r="CR60" s="358"/>
      <c r="CS60" s="358"/>
      <c r="CT60" s="358"/>
      <c r="CU60" s="358"/>
      <c r="CV60" s="358"/>
      <c r="CW60" s="358"/>
      <c r="CX60" s="358"/>
      <c r="CY60" s="358"/>
      <c r="CZ60" s="358"/>
      <c r="DA60" s="358"/>
      <c r="DB60" s="358"/>
      <c r="DC60" s="358"/>
      <c r="DD60" s="358"/>
      <c r="DE60" s="358"/>
      <c r="DF60" s="358"/>
      <c r="DG60" s="358"/>
      <c r="DH60" s="358"/>
      <c r="DI60" s="358"/>
      <c r="DJ60" s="358"/>
      <c r="DK60" s="358"/>
      <c r="DL60" s="358"/>
      <c r="DM60" s="358"/>
      <c r="DN60" s="358"/>
      <c r="DO60" s="358"/>
      <c r="DP60" s="358"/>
      <c r="DQ60" s="358"/>
      <c r="DR60" s="358"/>
      <c r="DS60" s="358"/>
      <c r="DT60" s="358"/>
      <c r="DU60" s="358"/>
      <c r="DV60" s="358"/>
      <c r="DW60" s="358"/>
      <c r="DX60" s="358"/>
      <c r="DY60" s="358"/>
      <c r="DZ60" s="358"/>
      <c r="EA60" s="358"/>
      <c r="EB60" s="358"/>
      <c r="EC60" s="358"/>
      <c r="ED60" s="358"/>
      <c r="EE60" s="358"/>
      <c r="EF60" s="358"/>
      <c r="EG60" s="358"/>
      <c r="EH60" s="358"/>
      <c r="EI60" s="358"/>
      <c r="EJ60" s="358"/>
      <c r="EK60" s="358"/>
      <c r="EL60" s="358"/>
      <c r="EM60" s="358"/>
      <c r="EN60" s="358"/>
      <c r="EO60" s="358"/>
      <c r="EP60" s="358"/>
      <c r="EQ60" s="358"/>
      <c r="ER60" s="358"/>
      <c r="ES60" s="358"/>
      <c r="ET60" s="358"/>
      <c r="EU60" s="358"/>
      <c r="EV60" s="358"/>
      <c r="EW60" s="358"/>
      <c r="EX60" s="358"/>
      <c r="EY60" s="358"/>
      <c r="EZ60" s="371"/>
    </row>
    <row r="61" spans="1:156" ht="12" customHeight="1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1240"/>
      <c r="AK61" s="357"/>
      <c r="AL61" s="358"/>
      <c r="AM61" s="358"/>
      <c r="AN61" s="358"/>
      <c r="AO61" s="358"/>
      <c r="AP61" s="358"/>
      <c r="AQ61" s="358"/>
      <c r="AR61" s="358"/>
      <c r="AS61" s="358"/>
      <c r="AT61" s="358"/>
      <c r="AU61" s="358"/>
      <c r="AV61" s="358"/>
      <c r="AW61" s="358"/>
      <c r="AX61" s="358"/>
      <c r="AY61" s="358"/>
      <c r="AZ61" s="358"/>
      <c r="BA61" s="358"/>
      <c r="BB61" s="367"/>
      <c r="BC61" s="358"/>
      <c r="BD61" s="358"/>
      <c r="BE61" s="358"/>
      <c r="BF61" s="358"/>
      <c r="BG61" s="358"/>
      <c r="BH61" s="358"/>
      <c r="BI61" s="358"/>
      <c r="BJ61" s="358"/>
      <c r="BK61" s="358"/>
      <c r="BL61" s="358"/>
      <c r="BM61" s="358"/>
      <c r="BN61" s="358"/>
      <c r="BO61" s="358"/>
      <c r="BP61" s="358"/>
      <c r="BQ61" s="358"/>
      <c r="BR61" s="358"/>
      <c r="BS61" s="358"/>
      <c r="BT61" s="358"/>
      <c r="BU61" s="358"/>
      <c r="BV61" s="358"/>
      <c r="BW61" s="358"/>
      <c r="BX61" s="358"/>
      <c r="BY61" s="358"/>
      <c r="BZ61" s="358"/>
      <c r="CA61" s="358"/>
      <c r="CB61" s="358"/>
      <c r="CC61" s="358"/>
      <c r="CD61" s="358"/>
      <c r="CE61" s="358"/>
      <c r="CF61" s="358"/>
      <c r="CG61" s="358"/>
      <c r="CH61" s="358"/>
      <c r="CI61" s="358"/>
      <c r="CJ61" s="358"/>
      <c r="CK61" s="358"/>
      <c r="CL61" s="358"/>
      <c r="CM61" s="358"/>
      <c r="CN61" s="358"/>
      <c r="CO61" s="358"/>
      <c r="CP61" s="358"/>
      <c r="CQ61" s="358"/>
      <c r="CR61" s="358"/>
      <c r="CS61" s="358"/>
      <c r="CT61" s="358"/>
      <c r="CU61" s="358"/>
      <c r="CV61" s="358"/>
      <c r="CW61" s="358"/>
      <c r="CX61" s="358"/>
      <c r="CY61" s="358"/>
      <c r="CZ61" s="358"/>
      <c r="DA61" s="358"/>
      <c r="DB61" s="358"/>
      <c r="DC61" s="358"/>
      <c r="DD61" s="358"/>
      <c r="DE61" s="358"/>
      <c r="DF61" s="358"/>
      <c r="DG61" s="358"/>
      <c r="DH61" s="358"/>
      <c r="DI61" s="358"/>
      <c r="DJ61" s="358"/>
      <c r="DK61" s="358"/>
      <c r="DL61" s="358"/>
      <c r="DM61" s="358"/>
      <c r="DN61" s="358"/>
      <c r="DO61" s="358"/>
      <c r="DP61" s="358"/>
      <c r="DQ61" s="358"/>
      <c r="DR61" s="358"/>
      <c r="DS61" s="358"/>
      <c r="DT61" s="358"/>
      <c r="DU61" s="358"/>
      <c r="DV61" s="358"/>
      <c r="DW61" s="358"/>
      <c r="DX61" s="358"/>
      <c r="DY61" s="358"/>
      <c r="DZ61" s="358"/>
      <c r="EA61" s="358"/>
      <c r="EB61" s="358"/>
      <c r="EC61" s="358"/>
      <c r="ED61" s="358"/>
      <c r="EE61" s="358"/>
      <c r="EF61" s="358"/>
      <c r="EG61" s="358"/>
      <c r="EH61" s="358"/>
      <c r="EI61" s="358"/>
      <c r="EJ61" s="358"/>
      <c r="EK61" s="358"/>
      <c r="EL61" s="358"/>
      <c r="EM61" s="358"/>
      <c r="EN61" s="358"/>
      <c r="EO61" s="358"/>
      <c r="EP61" s="358"/>
      <c r="EQ61" s="358"/>
      <c r="ER61" s="358"/>
      <c r="ES61" s="358"/>
      <c r="ET61" s="358"/>
      <c r="EU61" s="358"/>
      <c r="EV61" s="358"/>
      <c r="EW61" s="358"/>
      <c r="EX61" s="358"/>
      <c r="EY61" s="358"/>
      <c r="EZ61" s="371"/>
    </row>
    <row r="62" spans="1:156" ht="12" customHeight="1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1240"/>
      <c r="AK62" s="357"/>
      <c r="AL62" s="358"/>
      <c r="AM62" s="358"/>
      <c r="AN62" s="358"/>
      <c r="AO62" s="358"/>
      <c r="AP62" s="358"/>
      <c r="AQ62" s="358"/>
      <c r="AR62" s="358"/>
      <c r="AS62" s="358"/>
      <c r="AT62" s="358"/>
      <c r="AU62" s="358"/>
      <c r="AV62" s="358"/>
      <c r="AW62" s="358"/>
      <c r="AX62" s="358"/>
      <c r="AY62" s="358"/>
      <c r="AZ62" s="358"/>
      <c r="BA62" s="358"/>
      <c r="BB62" s="367"/>
      <c r="BC62" s="358"/>
      <c r="BD62" s="358"/>
      <c r="BE62" s="358"/>
      <c r="BF62" s="358"/>
      <c r="BG62" s="358"/>
      <c r="BH62" s="358"/>
      <c r="BI62" s="358"/>
      <c r="BJ62" s="358"/>
      <c r="BK62" s="358"/>
      <c r="BL62" s="358"/>
      <c r="BM62" s="358"/>
      <c r="BN62" s="358"/>
      <c r="BO62" s="358"/>
      <c r="BP62" s="358"/>
      <c r="BQ62" s="358"/>
      <c r="BR62" s="358"/>
      <c r="BS62" s="358"/>
      <c r="BT62" s="358"/>
      <c r="BU62" s="358"/>
      <c r="BV62" s="358"/>
      <c r="BW62" s="358"/>
      <c r="BX62" s="358"/>
      <c r="BY62" s="358"/>
      <c r="BZ62" s="358"/>
      <c r="CA62" s="358"/>
      <c r="CB62" s="358"/>
      <c r="CC62" s="358"/>
      <c r="CD62" s="358"/>
      <c r="CE62" s="358"/>
      <c r="CF62" s="358"/>
      <c r="CG62" s="358"/>
      <c r="CH62" s="358"/>
      <c r="CI62" s="358"/>
      <c r="CJ62" s="358"/>
      <c r="CK62" s="358"/>
      <c r="CL62" s="358"/>
      <c r="CM62" s="358"/>
      <c r="CN62" s="358"/>
      <c r="CO62" s="358"/>
      <c r="CP62" s="358"/>
      <c r="CQ62" s="358"/>
      <c r="CR62" s="358"/>
      <c r="CS62" s="358"/>
      <c r="CT62" s="358"/>
      <c r="CU62" s="358"/>
      <c r="CV62" s="358"/>
      <c r="CW62" s="358"/>
      <c r="CX62" s="358"/>
      <c r="CY62" s="358"/>
      <c r="CZ62" s="358"/>
      <c r="DA62" s="358"/>
      <c r="DB62" s="358"/>
      <c r="DC62" s="358"/>
      <c r="DD62" s="358"/>
      <c r="DE62" s="358"/>
      <c r="DF62" s="358"/>
      <c r="DG62" s="358"/>
      <c r="DH62" s="358"/>
      <c r="DI62" s="358"/>
      <c r="DJ62" s="358"/>
      <c r="DK62" s="358"/>
      <c r="DL62" s="358"/>
      <c r="DM62" s="358"/>
      <c r="DN62" s="358"/>
      <c r="DO62" s="358"/>
      <c r="DP62" s="358"/>
      <c r="DQ62" s="358"/>
      <c r="DR62" s="358"/>
      <c r="DS62" s="358"/>
      <c r="DT62" s="358"/>
      <c r="DU62" s="358"/>
      <c r="DV62" s="358"/>
      <c r="DW62" s="358"/>
      <c r="DX62" s="358"/>
      <c r="DY62" s="358"/>
      <c r="DZ62" s="358"/>
      <c r="EA62" s="358"/>
      <c r="EB62" s="358"/>
      <c r="EC62" s="358"/>
      <c r="ED62" s="358"/>
      <c r="EE62" s="358"/>
      <c r="EF62" s="358"/>
      <c r="EG62" s="358"/>
      <c r="EH62" s="358"/>
      <c r="EI62" s="358"/>
      <c r="EJ62" s="358"/>
      <c r="EK62" s="358"/>
      <c r="EL62" s="358"/>
      <c r="EM62" s="358"/>
      <c r="EN62" s="358"/>
      <c r="EO62" s="358"/>
      <c r="EP62" s="358"/>
      <c r="EQ62" s="358"/>
      <c r="ER62" s="358"/>
      <c r="ES62" s="358"/>
      <c r="ET62" s="358"/>
      <c r="EU62" s="358"/>
      <c r="EV62" s="358"/>
      <c r="EW62" s="358"/>
      <c r="EX62" s="358"/>
      <c r="EY62" s="358"/>
      <c r="EZ62" s="371"/>
    </row>
    <row r="63" spans="1:156" ht="12" customHeight="1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1240"/>
      <c r="AK63" s="357"/>
      <c r="AL63" s="358"/>
      <c r="AM63" s="358"/>
      <c r="AN63" s="358"/>
      <c r="AO63" s="358"/>
      <c r="AP63" s="358"/>
      <c r="AQ63" s="358"/>
      <c r="AR63" s="358"/>
      <c r="AS63" s="358"/>
      <c r="AT63" s="358"/>
      <c r="AU63" s="358"/>
      <c r="AV63" s="358"/>
      <c r="AW63" s="358"/>
      <c r="AX63" s="358"/>
      <c r="AY63" s="358"/>
      <c r="AZ63" s="358"/>
      <c r="BA63" s="358"/>
      <c r="BB63" s="367"/>
      <c r="BC63" s="358"/>
      <c r="BD63" s="358"/>
      <c r="BE63" s="358"/>
      <c r="BF63" s="358"/>
      <c r="BG63" s="358"/>
      <c r="BH63" s="358"/>
      <c r="BI63" s="358"/>
      <c r="BJ63" s="358"/>
      <c r="BK63" s="358"/>
      <c r="BL63" s="358"/>
      <c r="BM63" s="358"/>
      <c r="BN63" s="358"/>
      <c r="BO63" s="358"/>
      <c r="BP63" s="358"/>
      <c r="BQ63" s="358"/>
      <c r="BR63" s="358"/>
      <c r="BS63" s="358"/>
      <c r="BT63" s="358"/>
      <c r="BU63" s="358"/>
      <c r="BV63" s="358"/>
      <c r="BW63" s="358"/>
      <c r="BX63" s="358"/>
      <c r="BY63" s="358"/>
      <c r="BZ63" s="358"/>
      <c r="CA63" s="358"/>
      <c r="CB63" s="358"/>
      <c r="CC63" s="358"/>
      <c r="CD63" s="358"/>
      <c r="CE63" s="358"/>
      <c r="CF63" s="358"/>
      <c r="CG63" s="358"/>
      <c r="CH63" s="358"/>
      <c r="CI63" s="358"/>
      <c r="CJ63" s="358"/>
      <c r="CK63" s="358"/>
      <c r="CL63" s="358"/>
      <c r="CM63" s="358"/>
      <c r="CN63" s="358"/>
      <c r="CO63" s="358"/>
      <c r="CP63" s="358"/>
      <c r="CQ63" s="358"/>
      <c r="CR63" s="358"/>
      <c r="CS63" s="358"/>
      <c r="CT63" s="358"/>
      <c r="CU63" s="358"/>
      <c r="CV63" s="358"/>
      <c r="CW63" s="358"/>
      <c r="CX63" s="358"/>
      <c r="CY63" s="358"/>
      <c r="CZ63" s="358"/>
      <c r="DA63" s="358"/>
      <c r="DB63" s="358"/>
      <c r="DC63" s="358"/>
      <c r="DD63" s="358"/>
      <c r="DE63" s="358"/>
      <c r="DF63" s="358"/>
      <c r="DG63" s="358"/>
      <c r="DH63" s="358"/>
      <c r="DI63" s="358"/>
      <c r="DJ63" s="358"/>
      <c r="DK63" s="358"/>
      <c r="DL63" s="358"/>
      <c r="DM63" s="358"/>
      <c r="DN63" s="358"/>
      <c r="DO63" s="358"/>
      <c r="DP63" s="358"/>
      <c r="DQ63" s="358"/>
      <c r="DR63" s="358"/>
      <c r="DS63" s="358"/>
      <c r="DT63" s="358"/>
      <c r="DU63" s="358"/>
      <c r="DV63" s="358"/>
      <c r="DW63" s="358"/>
      <c r="DX63" s="358"/>
      <c r="DY63" s="358"/>
      <c r="DZ63" s="358"/>
      <c r="EA63" s="358"/>
      <c r="EB63" s="358"/>
      <c r="EC63" s="358"/>
      <c r="ED63" s="358"/>
      <c r="EE63" s="358"/>
      <c r="EF63" s="358"/>
      <c r="EG63" s="358"/>
      <c r="EH63" s="358"/>
      <c r="EI63" s="358"/>
      <c r="EJ63" s="358"/>
      <c r="EK63" s="358"/>
      <c r="EL63" s="358"/>
      <c r="EM63" s="358"/>
      <c r="EN63" s="358"/>
      <c r="EO63" s="358"/>
      <c r="EP63" s="358"/>
      <c r="EQ63" s="358"/>
      <c r="ER63" s="358"/>
      <c r="ES63" s="358"/>
      <c r="ET63" s="358"/>
      <c r="EU63" s="358"/>
      <c r="EV63" s="358"/>
      <c r="EW63" s="358"/>
      <c r="EX63" s="358"/>
      <c r="EY63" s="358"/>
      <c r="EZ63" s="371"/>
    </row>
    <row r="64" spans="1:156" ht="12" customHeight="1" x14ac:dyDescent="0.25">
      <c r="A64" s="2"/>
      <c r="B64" s="1802"/>
      <c r="C64" s="1802"/>
      <c r="D64" s="1802"/>
      <c r="E64" s="3"/>
      <c r="F64" s="3"/>
      <c r="G64" s="3"/>
      <c r="H64" s="3"/>
      <c r="I64" s="3"/>
      <c r="J64" s="3"/>
      <c r="K64" s="3"/>
      <c r="L64" s="1240"/>
      <c r="AK64" s="357"/>
      <c r="AL64" s="358"/>
      <c r="AM64" s="358"/>
      <c r="AN64" s="358"/>
      <c r="AO64" s="358"/>
      <c r="AP64" s="358"/>
      <c r="AQ64" s="358"/>
      <c r="AR64" s="358"/>
      <c r="AS64" s="358"/>
      <c r="AT64" s="358"/>
      <c r="AU64" s="358"/>
      <c r="AV64" s="358"/>
      <c r="AW64" s="358"/>
      <c r="AX64" s="358"/>
      <c r="AY64" s="358"/>
      <c r="AZ64" s="358"/>
      <c r="BA64" s="358"/>
      <c r="BB64" s="367"/>
      <c r="BC64" s="358"/>
      <c r="BD64" s="358"/>
      <c r="BE64" s="358"/>
      <c r="BF64" s="358"/>
      <c r="BG64" s="358"/>
      <c r="BH64" s="358"/>
      <c r="BI64" s="358"/>
      <c r="BJ64" s="358"/>
      <c r="BK64" s="358"/>
      <c r="BL64" s="358"/>
      <c r="BM64" s="358"/>
      <c r="BN64" s="358"/>
      <c r="BO64" s="358"/>
      <c r="BP64" s="358"/>
      <c r="BQ64" s="358"/>
      <c r="BR64" s="358"/>
      <c r="BS64" s="358"/>
      <c r="BT64" s="358"/>
      <c r="BU64" s="358"/>
      <c r="BV64" s="358"/>
      <c r="BW64" s="358"/>
      <c r="BX64" s="358"/>
      <c r="BY64" s="358"/>
      <c r="BZ64" s="358"/>
      <c r="CA64" s="358"/>
      <c r="CB64" s="358"/>
      <c r="CC64" s="358"/>
      <c r="CD64" s="358"/>
      <c r="CE64" s="358"/>
      <c r="CF64" s="358"/>
      <c r="CG64" s="358"/>
      <c r="CH64" s="358"/>
      <c r="CI64" s="358"/>
      <c r="CJ64" s="358"/>
      <c r="CK64" s="358"/>
      <c r="CL64" s="358"/>
      <c r="CM64" s="358"/>
      <c r="CN64" s="358"/>
      <c r="CO64" s="358"/>
      <c r="CP64" s="358"/>
      <c r="CQ64" s="358"/>
      <c r="CR64" s="358"/>
      <c r="CS64" s="358"/>
      <c r="CT64" s="358"/>
      <c r="CU64" s="358"/>
      <c r="CV64" s="358"/>
      <c r="CW64" s="358"/>
      <c r="CX64" s="358"/>
      <c r="CY64" s="358"/>
      <c r="CZ64" s="358"/>
      <c r="DA64" s="358"/>
      <c r="DB64" s="358"/>
      <c r="DC64" s="358"/>
      <c r="DD64" s="358"/>
      <c r="DE64" s="358"/>
      <c r="DF64" s="358"/>
      <c r="DG64" s="358"/>
      <c r="DH64" s="358"/>
      <c r="DI64" s="358"/>
      <c r="DJ64" s="358"/>
      <c r="DK64" s="358"/>
      <c r="DL64" s="358"/>
      <c r="DM64" s="358"/>
      <c r="DN64" s="358"/>
      <c r="DO64" s="358"/>
      <c r="DP64" s="358"/>
      <c r="DQ64" s="358"/>
      <c r="DR64" s="358"/>
      <c r="DS64" s="358"/>
      <c r="DT64" s="358"/>
      <c r="DU64" s="358"/>
      <c r="DV64" s="358"/>
      <c r="DW64" s="358"/>
      <c r="DX64" s="358"/>
      <c r="DY64" s="358"/>
      <c r="DZ64" s="358"/>
      <c r="EA64" s="358"/>
      <c r="EB64" s="358"/>
      <c r="EC64" s="358"/>
      <c r="ED64" s="358"/>
      <c r="EE64" s="358"/>
      <c r="EF64" s="358"/>
      <c r="EG64" s="358"/>
      <c r="EH64" s="358"/>
      <c r="EI64" s="358"/>
      <c r="EJ64" s="358"/>
      <c r="EK64" s="358"/>
      <c r="EL64" s="358"/>
      <c r="EM64" s="358"/>
      <c r="EN64" s="358"/>
      <c r="EO64" s="358"/>
      <c r="EP64" s="358"/>
      <c r="EQ64" s="358"/>
      <c r="ER64" s="358"/>
      <c r="ES64" s="358"/>
      <c r="ET64" s="358"/>
      <c r="EU64" s="358"/>
      <c r="EV64" s="358"/>
      <c r="EW64" s="358"/>
      <c r="EX64" s="358"/>
      <c r="EY64" s="358"/>
      <c r="EZ64" s="371"/>
    </row>
    <row r="65" spans="1:156" ht="12" customHeight="1" x14ac:dyDescent="0.25">
      <c r="A65" s="2"/>
      <c r="B65" s="1803" t="s">
        <v>295</v>
      </c>
      <c r="C65" s="1803"/>
      <c r="D65" s="1803"/>
      <c r="E65" s="346"/>
      <c r="F65" s="347"/>
      <c r="G65" s="347"/>
      <c r="H65" s="347"/>
      <c r="I65" s="1804" t="s">
        <v>296</v>
      </c>
      <c r="J65" s="1804"/>
      <c r="K65" s="1804"/>
      <c r="L65" s="1240"/>
      <c r="AK65" s="357"/>
      <c r="AL65" s="358"/>
      <c r="AM65" s="358"/>
      <c r="AN65" s="358"/>
      <c r="AO65" s="358"/>
      <c r="AP65" s="358"/>
      <c r="AQ65" s="358"/>
      <c r="AR65" s="358"/>
      <c r="AS65" s="358"/>
      <c r="AT65" s="358"/>
      <c r="AU65" s="358"/>
      <c r="AV65" s="358"/>
      <c r="AW65" s="358"/>
      <c r="AX65" s="358"/>
      <c r="AY65" s="358"/>
      <c r="AZ65" s="358"/>
      <c r="BA65" s="358"/>
      <c r="BB65" s="367"/>
      <c r="BC65" s="358"/>
      <c r="BD65" s="358"/>
      <c r="BE65" s="358"/>
      <c r="BF65" s="358"/>
      <c r="BG65" s="358"/>
      <c r="BH65" s="358"/>
      <c r="BI65" s="358"/>
      <c r="BJ65" s="358"/>
      <c r="BK65" s="358"/>
      <c r="BL65" s="358"/>
      <c r="BM65" s="358"/>
      <c r="BN65" s="358"/>
      <c r="BO65" s="358"/>
      <c r="BP65" s="358"/>
      <c r="BQ65" s="358"/>
      <c r="BR65" s="358"/>
      <c r="BS65" s="358"/>
      <c r="BT65" s="358"/>
      <c r="BU65" s="358"/>
      <c r="BV65" s="358"/>
      <c r="BW65" s="358"/>
      <c r="BX65" s="358"/>
      <c r="BY65" s="358"/>
      <c r="BZ65" s="358"/>
      <c r="CA65" s="358"/>
      <c r="CB65" s="358"/>
      <c r="CC65" s="358"/>
      <c r="CD65" s="358"/>
      <c r="CE65" s="358"/>
      <c r="CF65" s="358"/>
      <c r="CG65" s="358"/>
      <c r="CH65" s="358"/>
      <c r="CI65" s="358"/>
      <c r="CJ65" s="358"/>
      <c r="CK65" s="358"/>
      <c r="CL65" s="358"/>
      <c r="CM65" s="358"/>
      <c r="CN65" s="358"/>
      <c r="CO65" s="358"/>
      <c r="CP65" s="358"/>
      <c r="CQ65" s="358"/>
      <c r="CR65" s="358"/>
      <c r="CS65" s="358"/>
      <c r="CT65" s="358"/>
      <c r="CU65" s="358"/>
      <c r="CV65" s="358"/>
      <c r="CW65" s="358"/>
      <c r="CX65" s="358"/>
      <c r="CY65" s="358"/>
      <c r="CZ65" s="358"/>
      <c r="DA65" s="358"/>
      <c r="DB65" s="358"/>
      <c r="DC65" s="358"/>
      <c r="DD65" s="358"/>
      <c r="DE65" s="358"/>
      <c r="DF65" s="358"/>
      <c r="DG65" s="358"/>
      <c r="DH65" s="358"/>
      <c r="DI65" s="358"/>
      <c r="DJ65" s="358"/>
      <c r="DK65" s="358"/>
      <c r="DL65" s="358"/>
      <c r="DM65" s="358"/>
      <c r="DN65" s="358"/>
      <c r="DO65" s="358"/>
      <c r="DP65" s="358"/>
      <c r="DQ65" s="358"/>
      <c r="DR65" s="358"/>
      <c r="DS65" s="358"/>
      <c r="DT65" s="358"/>
      <c r="DU65" s="358"/>
      <c r="DV65" s="358"/>
      <c r="DW65" s="358"/>
      <c r="DX65" s="358"/>
      <c r="DY65" s="358"/>
      <c r="DZ65" s="358"/>
      <c r="EA65" s="358"/>
      <c r="EB65" s="358"/>
      <c r="EC65" s="358"/>
      <c r="ED65" s="358"/>
      <c r="EE65" s="358"/>
      <c r="EF65" s="358"/>
      <c r="EG65" s="358"/>
      <c r="EH65" s="358"/>
      <c r="EI65" s="358"/>
      <c r="EJ65" s="358"/>
      <c r="EK65" s="358"/>
      <c r="EL65" s="358"/>
      <c r="EM65" s="358"/>
      <c r="EN65" s="358"/>
      <c r="EO65" s="358"/>
      <c r="EP65" s="358"/>
      <c r="EQ65" s="358"/>
      <c r="ER65" s="358"/>
      <c r="ES65" s="358"/>
      <c r="ET65" s="358"/>
      <c r="EU65" s="358"/>
      <c r="EV65" s="358"/>
      <c r="EW65" s="358"/>
      <c r="EX65" s="358"/>
      <c r="EY65" s="358"/>
      <c r="EZ65" s="371"/>
    </row>
    <row r="66" spans="1:156" ht="12" customHeight="1" x14ac:dyDescent="0.25">
      <c r="A66" s="645"/>
      <c r="B66" s="646"/>
      <c r="C66" s="646"/>
      <c r="D66" s="646"/>
      <c r="E66" s="646"/>
      <c r="F66" s="646"/>
      <c r="G66" s="646"/>
      <c r="H66" s="646"/>
      <c r="I66" s="646"/>
      <c r="J66" s="646"/>
      <c r="K66" s="646"/>
      <c r="L66" s="647"/>
      <c r="AK66" s="357"/>
      <c r="AL66" s="358"/>
      <c r="AM66" s="358"/>
      <c r="AN66" s="358"/>
      <c r="AO66" s="358"/>
      <c r="AP66" s="358"/>
      <c r="AQ66" s="358"/>
      <c r="AR66" s="358"/>
      <c r="AS66" s="358"/>
      <c r="AT66" s="358"/>
      <c r="AU66" s="358"/>
      <c r="AV66" s="358"/>
      <c r="AW66" s="358"/>
      <c r="AX66" s="358"/>
      <c r="AY66" s="358"/>
      <c r="AZ66" s="358"/>
      <c r="BA66" s="358"/>
      <c r="BB66" s="367"/>
      <c r="BC66" s="358"/>
      <c r="BD66" s="358"/>
      <c r="BE66" s="358"/>
      <c r="BF66" s="358"/>
      <c r="BG66" s="358"/>
      <c r="BH66" s="358"/>
      <c r="BI66" s="358"/>
      <c r="BJ66" s="358"/>
      <c r="BK66" s="358"/>
      <c r="BL66" s="358"/>
      <c r="BM66" s="358"/>
      <c r="BN66" s="358"/>
      <c r="BO66" s="358"/>
      <c r="BP66" s="358"/>
      <c r="BQ66" s="358"/>
      <c r="BR66" s="358"/>
      <c r="BS66" s="358"/>
      <c r="BT66" s="358"/>
      <c r="BU66" s="358"/>
      <c r="BV66" s="358"/>
      <c r="BW66" s="358"/>
      <c r="BX66" s="358"/>
      <c r="BY66" s="358"/>
      <c r="BZ66" s="358"/>
      <c r="CA66" s="358"/>
      <c r="CB66" s="358"/>
      <c r="CC66" s="358"/>
      <c r="CD66" s="358"/>
      <c r="CE66" s="358"/>
      <c r="CF66" s="358"/>
      <c r="CG66" s="358"/>
      <c r="CH66" s="358"/>
      <c r="CI66" s="358"/>
      <c r="CJ66" s="358"/>
      <c r="CK66" s="358"/>
      <c r="CL66" s="358"/>
      <c r="CM66" s="358"/>
      <c r="CN66" s="358"/>
      <c r="CO66" s="358"/>
      <c r="CP66" s="358"/>
      <c r="CQ66" s="358"/>
      <c r="CR66" s="358"/>
      <c r="CS66" s="358"/>
      <c r="CT66" s="358"/>
      <c r="CU66" s="358"/>
      <c r="CV66" s="358"/>
      <c r="CW66" s="358"/>
      <c r="CX66" s="358"/>
      <c r="CY66" s="358"/>
      <c r="CZ66" s="358"/>
      <c r="DA66" s="358"/>
      <c r="DB66" s="358"/>
      <c r="DC66" s="358"/>
      <c r="DD66" s="358"/>
      <c r="DE66" s="358"/>
      <c r="DF66" s="358"/>
      <c r="DG66" s="358"/>
      <c r="DH66" s="358"/>
      <c r="DI66" s="358"/>
      <c r="DJ66" s="358"/>
      <c r="DK66" s="358"/>
      <c r="DL66" s="358"/>
      <c r="DM66" s="358"/>
      <c r="DN66" s="358"/>
      <c r="DO66" s="358"/>
      <c r="DP66" s="358"/>
      <c r="DQ66" s="358"/>
      <c r="DR66" s="358"/>
      <c r="DS66" s="358"/>
      <c r="DT66" s="358"/>
      <c r="DU66" s="358"/>
      <c r="DV66" s="358"/>
      <c r="DW66" s="358"/>
      <c r="DX66" s="358"/>
      <c r="DY66" s="358"/>
      <c r="DZ66" s="358"/>
      <c r="EA66" s="358"/>
      <c r="EB66" s="358"/>
      <c r="EC66" s="358"/>
      <c r="ED66" s="358"/>
      <c r="EE66" s="358"/>
      <c r="EF66" s="358"/>
      <c r="EG66" s="358"/>
      <c r="EH66" s="358"/>
      <c r="EI66" s="358"/>
      <c r="EJ66" s="358"/>
      <c r="EK66" s="358"/>
      <c r="EL66" s="358"/>
      <c r="EM66" s="358"/>
      <c r="EN66" s="358"/>
      <c r="EO66" s="358"/>
      <c r="EP66" s="358"/>
      <c r="EQ66" s="358"/>
      <c r="ER66" s="358"/>
      <c r="ES66" s="358"/>
      <c r="ET66" s="358"/>
      <c r="EU66" s="358"/>
      <c r="EV66" s="358"/>
      <c r="EW66" s="358"/>
      <c r="EX66" s="358"/>
      <c r="EY66" s="358"/>
      <c r="EZ66" s="371"/>
    </row>
    <row r="67" spans="1:156" ht="15" customHeight="1" x14ac:dyDescent="0.25">
      <c r="A67" s="1709"/>
      <c r="B67" s="1710"/>
      <c r="C67" s="1711"/>
      <c r="D67" s="1714" t="s">
        <v>192</v>
      </c>
      <c r="E67" s="1715"/>
      <c r="F67" s="1715"/>
      <c r="G67" s="1715"/>
      <c r="H67" s="1715"/>
      <c r="I67" s="1715"/>
      <c r="J67" s="1805"/>
      <c r="K67" s="638" t="s">
        <v>297</v>
      </c>
      <c r="L67" s="639" t="s">
        <v>298</v>
      </c>
      <c r="AK67" s="357"/>
      <c r="AL67" s="358"/>
      <c r="AM67" s="358"/>
      <c r="AN67" s="358"/>
      <c r="AO67" s="358"/>
      <c r="AP67" s="358"/>
      <c r="AQ67" s="358"/>
      <c r="AR67" s="358"/>
      <c r="AS67" s="358"/>
      <c r="AT67" s="358"/>
      <c r="AU67" s="358"/>
      <c r="AV67" s="358"/>
      <c r="AW67" s="358"/>
      <c r="AX67" s="358"/>
      <c r="AY67" s="358"/>
      <c r="AZ67" s="358"/>
      <c r="BA67" s="358"/>
      <c r="BB67" s="367"/>
      <c r="BC67" s="358"/>
      <c r="BD67" s="358"/>
      <c r="BE67" s="358"/>
      <c r="BF67" s="358"/>
      <c r="BG67" s="358"/>
      <c r="BH67" s="358"/>
      <c r="BI67" s="358"/>
      <c r="BJ67" s="358"/>
      <c r="BK67" s="358"/>
      <c r="BL67" s="358"/>
      <c r="BM67" s="358"/>
      <c r="BN67" s="358"/>
      <c r="BO67" s="358"/>
      <c r="BP67" s="358"/>
      <c r="BQ67" s="358"/>
      <c r="BR67" s="358"/>
      <c r="BS67" s="358"/>
      <c r="BT67" s="358"/>
      <c r="BU67" s="358"/>
      <c r="BV67" s="358"/>
      <c r="BW67" s="358"/>
      <c r="BX67" s="358"/>
      <c r="BY67" s="358"/>
      <c r="BZ67" s="358"/>
      <c r="CA67" s="358"/>
      <c r="CB67" s="358"/>
      <c r="CC67" s="358"/>
      <c r="CD67" s="358"/>
      <c r="CE67" s="358"/>
      <c r="CF67" s="358"/>
      <c r="CG67" s="358"/>
      <c r="CH67" s="358"/>
      <c r="CI67" s="358"/>
      <c r="CJ67" s="358"/>
      <c r="CK67" s="358"/>
      <c r="CL67" s="358"/>
      <c r="CM67" s="358"/>
      <c r="CN67" s="358"/>
      <c r="CO67" s="358"/>
      <c r="CP67" s="358"/>
      <c r="CQ67" s="358"/>
      <c r="CR67" s="358"/>
      <c r="CS67" s="358"/>
      <c r="CT67" s="358"/>
      <c r="CU67" s="358"/>
      <c r="CV67" s="358"/>
      <c r="CW67" s="358"/>
      <c r="CX67" s="358"/>
      <c r="CY67" s="358"/>
      <c r="CZ67" s="358"/>
      <c r="DA67" s="358"/>
      <c r="DB67" s="358"/>
      <c r="DC67" s="358"/>
      <c r="DD67" s="358"/>
      <c r="DE67" s="358"/>
      <c r="DF67" s="358"/>
      <c r="DG67" s="358"/>
      <c r="DH67" s="358"/>
      <c r="DI67" s="358"/>
      <c r="DJ67" s="358"/>
      <c r="DK67" s="358"/>
      <c r="DL67" s="358"/>
      <c r="DM67" s="358"/>
      <c r="DN67" s="358"/>
      <c r="DO67" s="358"/>
      <c r="DP67" s="358"/>
      <c r="DQ67" s="358"/>
      <c r="DR67" s="358"/>
      <c r="DS67" s="358"/>
      <c r="DT67" s="358"/>
      <c r="DU67" s="358"/>
      <c r="DV67" s="358"/>
      <c r="DW67" s="358"/>
      <c r="DX67" s="358"/>
      <c r="DY67" s="358"/>
      <c r="DZ67" s="358"/>
      <c r="EA67" s="358"/>
      <c r="EB67" s="358"/>
      <c r="EC67" s="358"/>
      <c r="ED67" s="358"/>
      <c r="EE67" s="358"/>
      <c r="EF67" s="358"/>
      <c r="EG67" s="358"/>
      <c r="EH67" s="358"/>
      <c r="EI67" s="358"/>
      <c r="EJ67" s="358"/>
      <c r="EK67" s="358"/>
      <c r="EL67" s="358"/>
      <c r="EM67" s="358"/>
      <c r="EN67" s="358"/>
      <c r="EO67" s="358"/>
      <c r="EP67" s="358"/>
      <c r="EQ67" s="358"/>
      <c r="ER67" s="358"/>
      <c r="ES67" s="358"/>
      <c r="ET67" s="358"/>
      <c r="EU67" s="358"/>
      <c r="EV67" s="358"/>
      <c r="EW67" s="358"/>
      <c r="EX67" s="358"/>
      <c r="EY67" s="358"/>
      <c r="EZ67" s="371"/>
    </row>
    <row r="68" spans="1:156" ht="15" customHeight="1" x14ac:dyDescent="0.25">
      <c r="A68" s="1709"/>
      <c r="B68" s="1710"/>
      <c r="C68" s="1711"/>
      <c r="D68" s="1714"/>
      <c r="E68" s="1715"/>
      <c r="F68" s="1715"/>
      <c r="G68" s="1715"/>
      <c r="H68" s="1715"/>
      <c r="I68" s="1715"/>
      <c r="J68" s="1805"/>
      <c r="K68" s="748" t="s">
        <v>299</v>
      </c>
      <c r="L68" s="350"/>
      <c r="AK68" s="357"/>
      <c r="AL68" s="358"/>
      <c r="AM68" s="358"/>
      <c r="AN68" s="358"/>
      <c r="AO68" s="358"/>
      <c r="AP68" s="358"/>
      <c r="AQ68" s="358"/>
      <c r="AR68" s="358"/>
      <c r="AS68" s="358"/>
      <c r="AT68" s="358"/>
      <c r="AU68" s="358"/>
      <c r="AV68" s="358"/>
      <c r="AW68" s="358"/>
      <c r="AX68" s="358"/>
      <c r="AY68" s="358"/>
      <c r="AZ68" s="358"/>
      <c r="BA68" s="358"/>
      <c r="BB68" s="367"/>
      <c r="BC68" s="358"/>
      <c r="BD68" s="358"/>
      <c r="BE68" s="358"/>
      <c r="BF68" s="358"/>
      <c r="BG68" s="358"/>
      <c r="BH68" s="358"/>
      <c r="BI68" s="358"/>
      <c r="BJ68" s="358"/>
      <c r="BK68" s="358"/>
      <c r="BL68" s="358"/>
      <c r="BM68" s="358"/>
      <c r="BN68" s="358"/>
      <c r="BO68" s="358"/>
      <c r="BP68" s="358"/>
      <c r="BQ68" s="358"/>
      <c r="BR68" s="358"/>
      <c r="BS68" s="358"/>
      <c r="BT68" s="358"/>
      <c r="BU68" s="358"/>
      <c r="BV68" s="358"/>
      <c r="BW68" s="358"/>
      <c r="BX68" s="358"/>
      <c r="BY68" s="358"/>
      <c r="BZ68" s="358"/>
      <c r="CA68" s="358"/>
      <c r="CB68" s="358"/>
      <c r="CC68" s="358"/>
      <c r="CD68" s="358"/>
      <c r="CE68" s="358"/>
      <c r="CF68" s="358"/>
      <c r="CG68" s="358"/>
      <c r="CH68" s="358"/>
      <c r="CI68" s="358"/>
      <c r="CJ68" s="358"/>
      <c r="CK68" s="358"/>
      <c r="CL68" s="358"/>
      <c r="CM68" s="358"/>
      <c r="CN68" s="358"/>
      <c r="CO68" s="358"/>
      <c r="CP68" s="358"/>
      <c r="CQ68" s="358"/>
      <c r="CR68" s="358"/>
      <c r="CS68" s="358"/>
      <c r="CT68" s="358"/>
      <c r="CU68" s="358"/>
      <c r="CV68" s="358"/>
      <c r="CW68" s="358"/>
      <c r="CX68" s="358"/>
      <c r="CY68" s="358"/>
      <c r="CZ68" s="358"/>
      <c r="DA68" s="358"/>
      <c r="DB68" s="358"/>
      <c r="DC68" s="358"/>
      <c r="DD68" s="358"/>
      <c r="DE68" s="358"/>
      <c r="DF68" s="358"/>
      <c r="DG68" s="358"/>
      <c r="DH68" s="358"/>
      <c r="DI68" s="358"/>
      <c r="DJ68" s="358"/>
      <c r="DK68" s="358"/>
      <c r="DL68" s="358"/>
      <c r="DM68" s="358"/>
      <c r="DN68" s="358"/>
      <c r="DO68" s="358"/>
      <c r="DP68" s="358"/>
      <c r="DQ68" s="358"/>
      <c r="DR68" s="358"/>
      <c r="DS68" s="358"/>
      <c r="DT68" s="358"/>
      <c r="DU68" s="358"/>
      <c r="DV68" s="358"/>
      <c r="DW68" s="358"/>
      <c r="DX68" s="358"/>
      <c r="DY68" s="358"/>
      <c r="DZ68" s="358"/>
      <c r="EA68" s="358"/>
      <c r="EB68" s="358"/>
      <c r="EC68" s="358"/>
      <c r="ED68" s="358"/>
      <c r="EE68" s="358"/>
      <c r="EF68" s="358"/>
      <c r="EG68" s="358"/>
      <c r="EH68" s="358"/>
      <c r="EI68" s="358"/>
      <c r="EJ68" s="358"/>
      <c r="EK68" s="358"/>
      <c r="EL68" s="358"/>
      <c r="EM68" s="358"/>
      <c r="EN68" s="358"/>
      <c r="EO68" s="358"/>
      <c r="EP68" s="358"/>
      <c r="EQ68" s="358"/>
      <c r="ER68" s="358"/>
      <c r="ES68" s="358"/>
      <c r="ET68" s="358"/>
      <c r="EU68" s="358"/>
      <c r="EV68" s="358"/>
      <c r="EW68" s="358"/>
      <c r="EX68" s="358"/>
      <c r="EY68" s="358"/>
      <c r="EZ68" s="371"/>
    </row>
    <row r="69" spans="1:156" ht="15" customHeight="1" x14ac:dyDescent="0.3">
      <c r="A69" s="1718"/>
      <c r="B69" s="1719"/>
      <c r="C69" s="1720"/>
      <c r="D69" s="1714"/>
      <c r="E69" s="1715"/>
      <c r="F69" s="1715"/>
      <c r="G69" s="1715"/>
      <c r="H69" s="1715"/>
      <c r="I69" s="1715"/>
      <c r="J69" s="1805"/>
      <c r="K69" s="1721" t="s">
        <v>294</v>
      </c>
      <c r="L69" s="1722"/>
      <c r="AK69" s="357"/>
      <c r="AL69" s="358"/>
      <c r="AM69" s="358"/>
      <c r="AN69" s="358"/>
      <c r="AO69" s="358"/>
      <c r="AP69" s="358"/>
      <c r="AQ69" s="358"/>
      <c r="AR69" s="358"/>
      <c r="AS69" s="358"/>
      <c r="AT69" s="358"/>
      <c r="AU69" s="358"/>
      <c r="AV69" s="358"/>
      <c r="AW69" s="358"/>
      <c r="AX69" s="358"/>
      <c r="AY69" s="358"/>
      <c r="AZ69" s="358"/>
      <c r="BA69" s="358"/>
      <c r="BB69" s="367"/>
      <c r="BC69" s="358"/>
      <c r="BD69" s="358"/>
      <c r="BE69" s="358"/>
      <c r="BF69" s="358"/>
      <c r="BG69" s="358"/>
      <c r="BH69" s="358"/>
      <c r="BI69" s="358"/>
      <c r="BJ69" s="358"/>
      <c r="BK69" s="358"/>
      <c r="BL69" s="358"/>
      <c r="BM69" s="358"/>
      <c r="BN69" s="358"/>
      <c r="BO69" s="358"/>
      <c r="BP69" s="358"/>
      <c r="BQ69" s="358"/>
      <c r="BR69" s="358"/>
      <c r="BS69" s="358"/>
      <c r="BT69" s="358"/>
      <c r="BU69" s="358"/>
      <c r="BV69" s="358"/>
      <c r="BW69" s="358"/>
      <c r="BX69" s="358"/>
      <c r="BY69" s="358"/>
      <c r="BZ69" s="358"/>
      <c r="CA69" s="358"/>
      <c r="CB69" s="358"/>
      <c r="CC69" s="358"/>
      <c r="CD69" s="358"/>
      <c r="CE69" s="358"/>
      <c r="CF69" s="358"/>
      <c r="CG69" s="358"/>
      <c r="CH69" s="358"/>
      <c r="CI69" s="358"/>
      <c r="CJ69" s="358"/>
      <c r="CK69" s="358"/>
      <c r="CL69" s="358"/>
      <c r="CM69" s="358"/>
      <c r="CN69" s="358"/>
      <c r="CO69" s="358"/>
      <c r="CP69" s="358"/>
      <c r="CQ69" s="358"/>
      <c r="CR69" s="358"/>
      <c r="CS69" s="358"/>
      <c r="CT69" s="358"/>
      <c r="CU69" s="358"/>
      <c r="CV69" s="358"/>
      <c r="CW69" s="358"/>
      <c r="CX69" s="358"/>
      <c r="CY69" s="358"/>
      <c r="CZ69" s="358"/>
      <c r="DA69" s="358"/>
      <c r="DB69" s="358"/>
      <c r="DC69" s="358"/>
      <c r="DD69" s="358"/>
      <c r="DE69" s="358"/>
      <c r="DF69" s="358"/>
      <c r="DG69" s="358"/>
      <c r="DH69" s="358"/>
      <c r="DI69" s="358"/>
      <c r="DJ69" s="358"/>
      <c r="DK69" s="358"/>
      <c r="DL69" s="358"/>
      <c r="DM69" s="358"/>
      <c r="DN69" s="358"/>
      <c r="DO69" s="358"/>
      <c r="DP69" s="358"/>
      <c r="DQ69" s="358"/>
      <c r="DR69" s="358"/>
      <c r="DS69" s="358"/>
      <c r="DT69" s="358"/>
      <c r="DU69" s="358"/>
      <c r="DV69" s="358"/>
      <c r="DW69" s="358"/>
      <c r="DX69" s="358"/>
      <c r="DY69" s="358"/>
      <c r="DZ69" s="358"/>
      <c r="EA69" s="358"/>
      <c r="EB69" s="358"/>
      <c r="EC69" s="358"/>
      <c r="ED69" s="358"/>
      <c r="EE69" s="358"/>
      <c r="EF69" s="358"/>
      <c r="EG69" s="358"/>
      <c r="EH69" s="358"/>
      <c r="EI69" s="358"/>
      <c r="EJ69" s="358"/>
      <c r="EK69" s="358"/>
      <c r="EL69" s="358"/>
      <c r="EM69" s="358"/>
      <c r="EN69" s="358"/>
      <c r="EO69" s="358"/>
      <c r="EP69" s="358"/>
      <c r="EQ69" s="358"/>
      <c r="ER69" s="358"/>
      <c r="ES69" s="358"/>
      <c r="ET69" s="358"/>
      <c r="EU69" s="358"/>
      <c r="EV69" s="358"/>
      <c r="EW69" s="358"/>
      <c r="EX69" s="358"/>
      <c r="EY69" s="358"/>
      <c r="EZ69" s="371"/>
    </row>
    <row r="70" spans="1:156" ht="15" customHeight="1" x14ac:dyDescent="0.3">
      <c r="A70" s="1723"/>
      <c r="B70" s="1724"/>
      <c r="C70" s="1725"/>
      <c r="D70" s="1716"/>
      <c r="E70" s="1717"/>
      <c r="F70" s="1717"/>
      <c r="G70" s="1717"/>
      <c r="H70" s="1717"/>
      <c r="I70" s="1717"/>
      <c r="J70" s="1806"/>
      <c r="K70" s="1726">
        <f ca="1">IF(K4&lt;&gt;"",K4,"")</f>
        <v>45804</v>
      </c>
      <c r="L70" s="1727" t="str">
        <f>IF(E69&lt;&gt;0,E69,"")</f>
        <v/>
      </c>
      <c r="AK70" s="357"/>
      <c r="AL70" s="358"/>
      <c r="AM70" s="358"/>
      <c r="AN70" s="358"/>
      <c r="AO70" s="358"/>
      <c r="AP70" s="358"/>
      <c r="AQ70" s="358"/>
      <c r="AR70" s="358"/>
      <c r="AS70" s="358"/>
      <c r="AT70" s="358"/>
      <c r="AU70" s="358"/>
      <c r="AV70" s="358"/>
      <c r="AW70" s="358"/>
      <c r="AX70" s="358"/>
      <c r="AY70" s="358"/>
      <c r="AZ70" s="358"/>
      <c r="BA70" s="358"/>
      <c r="BB70" s="367"/>
      <c r="BC70" s="358"/>
      <c r="BD70" s="358"/>
      <c r="BE70" s="358"/>
      <c r="BF70" s="358"/>
      <c r="BG70" s="358"/>
      <c r="BH70" s="358"/>
      <c r="BI70" s="358"/>
      <c r="BJ70" s="358"/>
      <c r="BK70" s="358"/>
      <c r="BL70" s="358"/>
      <c r="BM70" s="358"/>
      <c r="BN70" s="358"/>
      <c r="BO70" s="358"/>
      <c r="BP70" s="358"/>
      <c r="BQ70" s="358"/>
      <c r="BR70" s="358"/>
      <c r="BS70" s="358"/>
      <c r="BT70" s="358"/>
      <c r="BU70" s="358"/>
      <c r="BV70" s="358"/>
      <c r="BW70" s="358"/>
      <c r="BX70" s="358"/>
      <c r="BY70" s="358"/>
      <c r="BZ70" s="358"/>
      <c r="CA70" s="358"/>
      <c r="CB70" s="358"/>
      <c r="CC70" s="358"/>
      <c r="CD70" s="358"/>
      <c r="CE70" s="358"/>
      <c r="CF70" s="358"/>
      <c r="CG70" s="358"/>
      <c r="CH70" s="358"/>
      <c r="CI70" s="358"/>
      <c r="CJ70" s="358"/>
      <c r="CK70" s="358"/>
      <c r="CL70" s="358"/>
      <c r="CM70" s="358"/>
      <c r="CN70" s="358"/>
      <c r="CO70" s="358"/>
      <c r="CP70" s="358"/>
      <c r="CQ70" s="358"/>
      <c r="CR70" s="358"/>
      <c r="CS70" s="358"/>
      <c r="CT70" s="358"/>
      <c r="CU70" s="358"/>
      <c r="CV70" s="358"/>
      <c r="CW70" s="358"/>
      <c r="CX70" s="358"/>
      <c r="CY70" s="358"/>
      <c r="CZ70" s="358"/>
      <c r="DA70" s="358"/>
      <c r="DB70" s="358"/>
      <c r="DC70" s="358"/>
      <c r="DD70" s="358"/>
      <c r="DE70" s="358"/>
      <c r="DF70" s="358"/>
      <c r="DG70" s="358"/>
      <c r="DH70" s="358"/>
      <c r="DI70" s="358"/>
      <c r="DJ70" s="358"/>
      <c r="DK70" s="358"/>
      <c r="DL70" s="358"/>
      <c r="DM70" s="358"/>
      <c r="DN70" s="358"/>
      <c r="DO70" s="358"/>
      <c r="DP70" s="358"/>
      <c r="DQ70" s="358"/>
      <c r="DR70" s="358"/>
      <c r="DS70" s="358"/>
      <c r="DT70" s="358"/>
      <c r="DU70" s="358"/>
      <c r="DV70" s="358"/>
      <c r="DW70" s="358"/>
      <c r="DX70" s="358"/>
      <c r="DY70" s="358"/>
      <c r="DZ70" s="358"/>
      <c r="EA70" s="358"/>
      <c r="EB70" s="358"/>
      <c r="EC70" s="358"/>
      <c r="ED70" s="358"/>
      <c r="EE70" s="358"/>
      <c r="EF70" s="358"/>
      <c r="EG70" s="358"/>
      <c r="EH70" s="358"/>
      <c r="EI70" s="358"/>
      <c r="EJ70" s="358"/>
      <c r="EK70" s="358"/>
      <c r="EL70" s="358"/>
      <c r="EM70" s="358"/>
      <c r="EN70" s="358"/>
      <c r="EO70" s="358"/>
      <c r="EP70" s="358"/>
      <c r="EQ70" s="358"/>
      <c r="ER70" s="358"/>
      <c r="ES70" s="358"/>
      <c r="ET70" s="358"/>
      <c r="EU70" s="358"/>
      <c r="EV70" s="358"/>
      <c r="EW70" s="358"/>
      <c r="EX70" s="358"/>
      <c r="EY70" s="358"/>
      <c r="EZ70" s="371"/>
    </row>
    <row r="71" spans="1:156" ht="5.15" customHeight="1" x14ac:dyDescent="0.25">
      <c r="A71" s="14"/>
      <c r="B71" s="14"/>
      <c r="C71" s="14"/>
      <c r="D71" s="34"/>
      <c r="E71" s="34"/>
      <c r="F71" s="34"/>
      <c r="G71" s="34"/>
      <c r="H71" s="34"/>
      <c r="I71" s="34"/>
      <c r="J71" s="15"/>
      <c r="K71" s="15"/>
      <c r="L71" s="15"/>
      <c r="AK71" s="357"/>
      <c r="AL71" s="358"/>
      <c r="AM71" s="358"/>
      <c r="AN71" s="358"/>
      <c r="AO71" s="358"/>
      <c r="AP71" s="358"/>
      <c r="AQ71" s="358"/>
      <c r="AR71" s="358"/>
      <c r="AS71" s="358"/>
      <c r="AT71" s="358"/>
      <c r="AU71" s="358"/>
      <c r="AV71" s="358"/>
      <c r="AW71" s="358"/>
      <c r="AX71" s="358"/>
      <c r="AY71" s="358"/>
      <c r="AZ71" s="358"/>
      <c r="BA71" s="358"/>
      <c r="BB71" s="367"/>
      <c r="BC71" s="358"/>
      <c r="BD71" s="358"/>
      <c r="BE71" s="358"/>
      <c r="BF71" s="358"/>
      <c r="BG71" s="358"/>
      <c r="BH71" s="358"/>
      <c r="BI71" s="358"/>
      <c r="BJ71" s="358"/>
      <c r="BK71" s="358"/>
      <c r="BL71" s="358"/>
      <c r="BM71" s="358"/>
      <c r="BN71" s="358"/>
      <c r="BO71" s="358"/>
      <c r="BP71" s="358"/>
      <c r="BQ71" s="358"/>
      <c r="BR71" s="358"/>
      <c r="BS71" s="358"/>
      <c r="BT71" s="358"/>
      <c r="BU71" s="358"/>
      <c r="BV71" s="358"/>
      <c r="BW71" s="358"/>
      <c r="BX71" s="358"/>
      <c r="BY71" s="358"/>
      <c r="BZ71" s="358"/>
      <c r="CA71" s="358"/>
      <c r="CB71" s="358"/>
      <c r="CC71" s="358"/>
      <c r="CD71" s="358"/>
      <c r="CE71" s="358"/>
      <c r="CF71" s="358"/>
      <c r="CG71" s="358"/>
      <c r="CH71" s="358"/>
      <c r="CI71" s="358"/>
      <c r="CJ71" s="358"/>
      <c r="CK71" s="358"/>
      <c r="CL71" s="358"/>
      <c r="CM71" s="358"/>
      <c r="CN71" s="358"/>
      <c r="CO71" s="358"/>
      <c r="CP71" s="358"/>
      <c r="CQ71" s="358"/>
      <c r="CR71" s="358"/>
      <c r="CS71" s="358"/>
      <c r="CT71" s="358"/>
      <c r="CU71" s="358"/>
      <c r="CV71" s="358"/>
      <c r="CW71" s="358"/>
      <c r="CX71" s="358"/>
      <c r="CY71" s="358"/>
      <c r="CZ71" s="358"/>
      <c r="DA71" s="358"/>
      <c r="DB71" s="358"/>
      <c r="DC71" s="358"/>
      <c r="DD71" s="358"/>
      <c r="DE71" s="358"/>
      <c r="DF71" s="358"/>
      <c r="DG71" s="358"/>
      <c r="DH71" s="358"/>
      <c r="DI71" s="358"/>
      <c r="DJ71" s="358"/>
      <c r="DK71" s="358"/>
      <c r="DL71" s="358"/>
      <c r="DM71" s="358"/>
      <c r="DN71" s="358"/>
      <c r="DO71" s="358"/>
      <c r="DP71" s="358"/>
      <c r="DQ71" s="358"/>
      <c r="DR71" s="358"/>
      <c r="DS71" s="358"/>
      <c r="DT71" s="358"/>
      <c r="DU71" s="358"/>
      <c r="DV71" s="358"/>
      <c r="DW71" s="358"/>
      <c r="DX71" s="358"/>
      <c r="DY71" s="358"/>
      <c r="DZ71" s="358"/>
      <c r="EA71" s="358"/>
      <c r="EB71" s="358"/>
      <c r="EC71" s="358"/>
      <c r="ED71" s="358"/>
      <c r="EE71" s="358"/>
      <c r="EF71" s="358"/>
      <c r="EG71" s="358"/>
      <c r="EH71" s="358"/>
      <c r="EI71" s="358"/>
      <c r="EJ71" s="358"/>
      <c r="EK71" s="358"/>
      <c r="EL71" s="358"/>
      <c r="EM71" s="358"/>
      <c r="EN71" s="358"/>
      <c r="EO71" s="358"/>
      <c r="EP71" s="358"/>
      <c r="EQ71" s="358"/>
      <c r="ER71" s="358"/>
      <c r="ES71" s="358"/>
      <c r="ET71" s="358"/>
      <c r="EU71" s="358"/>
      <c r="EV71" s="358"/>
      <c r="EW71" s="358"/>
      <c r="EX71" s="358"/>
      <c r="EY71" s="358"/>
      <c r="EZ71" s="371"/>
    </row>
    <row r="72" spans="1:156" ht="12" customHeight="1" x14ac:dyDescent="0.25">
      <c r="A72" s="1790" t="s">
        <v>195</v>
      </c>
      <c r="B72" s="1791"/>
      <c r="C72" s="712" t="str">
        <f ca="1">IF(B6&lt;&gt;"",B6,"")</f>
        <v/>
      </c>
      <c r="D72" s="711" t="s">
        <v>156</v>
      </c>
      <c r="E72" s="1792" t="str">
        <f ca="1">IF(E6&lt;&gt;"",E6,"")</f>
        <v>-</v>
      </c>
      <c r="F72" s="1793" t="str">
        <f ca="1">IF(F6&lt;&gt;"",F6,"")</f>
        <v>Marque com X se a Compactação é</v>
      </c>
      <c r="G72" s="711" t="s">
        <v>196</v>
      </c>
      <c r="H72" s="1794" t="str">
        <f ca="1">IF(H6&lt;&gt;"",H6,"")</f>
        <v>AVALIAR</v>
      </c>
      <c r="I72" s="1794"/>
      <c r="J72" s="1794"/>
      <c r="K72" s="1794"/>
      <c r="L72" s="1722"/>
      <c r="AK72" s="357"/>
      <c r="AL72" s="358"/>
      <c r="AM72" s="358"/>
      <c r="AN72" s="358"/>
      <c r="AO72" s="358"/>
      <c r="AP72" s="358"/>
      <c r="AQ72" s="358"/>
      <c r="AR72" s="358"/>
      <c r="AS72" s="358"/>
      <c r="AT72" s="358"/>
      <c r="AU72" s="358"/>
      <c r="AV72" s="358"/>
      <c r="AW72" s="358"/>
      <c r="AX72" s="358"/>
      <c r="AY72" s="358"/>
      <c r="AZ72" s="358"/>
      <c r="BA72" s="358"/>
      <c r="BB72" s="367"/>
      <c r="BC72" s="358"/>
      <c r="BD72" s="358"/>
      <c r="BE72" s="358"/>
      <c r="BF72" s="358"/>
      <c r="BG72" s="358"/>
      <c r="BH72" s="358"/>
      <c r="BI72" s="358"/>
      <c r="BJ72" s="358"/>
      <c r="BK72" s="358"/>
      <c r="BL72" s="358"/>
      <c r="BM72" s="358"/>
      <c r="BN72" s="358"/>
      <c r="BO72" s="358"/>
      <c r="BP72" s="358"/>
      <c r="BQ72" s="358"/>
      <c r="BR72" s="358"/>
      <c r="BS72" s="358"/>
      <c r="BT72" s="358"/>
      <c r="BU72" s="358"/>
      <c r="BV72" s="358"/>
      <c r="BW72" s="358"/>
      <c r="BX72" s="358"/>
      <c r="BY72" s="358"/>
      <c r="BZ72" s="358"/>
      <c r="CA72" s="358"/>
      <c r="CB72" s="358"/>
      <c r="CC72" s="358"/>
      <c r="CD72" s="358"/>
      <c r="CE72" s="358"/>
      <c r="CF72" s="358"/>
      <c r="CG72" s="358"/>
      <c r="CH72" s="358"/>
      <c r="CI72" s="358"/>
      <c r="CJ72" s="358"/>
      <c r="CK72" s="358"/>
      <c r="CL72" s="358"/>
      <c r="CM72" s="358"/>
      <c r="CN72" s="358"/>
      <c r="CO72" s="358"/>
      <c r="CP72" s="358"/>
      <c r="CQ72" s="358"/>
      <c r="CR72" s="358"/>
      <c r="CS72" s="358"/>
      <c r="CT72" s="358"/>
      <c r="CU72" s="358"/>
      <c r="CV72" s="358"/>
      <c r="CW72" s="358"/>
      <c r="CX72" s="358"/>
      <c r="CY72" s="358"/>
      <c r="CZ72" s="358"/>
      <c r="DA72" s="358"/>
      <c r="DB72" s="358"/>
      <c r="DC72" s="358"/>
      <c r="DD72" s="358"/>
      <c r="DE72" s="358"/>
      <c r="DF72" s="358"/>
      <c r="DG72" s="358"/>
      <c r="DH72" s="358"/>
      <c r="DI72" s="358"/>
      <c r="DJ72" s="358"/>
      <c r="DK72" s="358"/>
      <c r="DL72" s="358"/>
      <c r="DM72" s="358"/>
      <c r="DN72" s="358"/>
      <c r="DO72" s="358"/>
      <c r="DP72" s="358"/>
      <c r="DQ72" s="358"/>
      <c r="DR72" s="358"/>
      <c r="DS72" s="358"/>
      <c r="DT72" s="358"/>
      <c r="DU72" s="358"/>
      <c r="DV72" s="358"/>
      <c r="DW72" s="358"/>
      <c r="DX72" s="358"/>
      <c r="DY72" s="358"/>
      <c r="DZ72" s="358"/>
      <c r="EA72" s="358"/>
      <c r="EB72" s="358"/>
      <c r="EC72" s="358"/>
      <c r="ED72" s="358"/>
      <c r="EE72" s="358"/>
      <c r="EF72" s="358"/>
      <c r="EG72" s="358"/>
      <c r="EH72" s="358"/>
      <c r="EI72" s="358"/>
      <c r="EJ72" s="358"/>
      <c r="EK72" s="358"/>
      <c r="EL72" s="358"/>
      <c r="EM72" s="358"/>
      <c r="EN72" s="358"/>
      <c r="EO72" s="358"/>
      <c r="EP72" s="358"/>
      <c r="EQ72" s="358"/>
      <c r="ER72" s="358"/>
      <c r="ES72" s="358"/>
      <c r="ET72" s="358"/>
      <c r="EU72" s="358"/>
      <c r="EV72" s="358"/>
      <c r="EW72" s="358"/>
      <c r="EX72" s="358"/>
      <c r="EY72" s="358"/>
      <c r="EZ72" s="371"/>
    </row>
    <row r="73" spans="1:156" ht="4.5" customHeight="1" x14ac:dyDescent="0.25">
      <c r="A73" s="1795"/>
      <c r="B73" s="1795"/>
      <c r="C73" s="1795"/>
      <c r="D73" s="1795"/>
      <c r="E73" s="1795"/>
      <c r="F73" s="1795"/>
      <c r="G73" s="1795"/>
      <c r="H73" s="1795"/>
      <c r="I73" s="1795"/>
      <c r="J73" s="1795"/>
      <c r="K73" s="1795"/>
      <c r="L73" s="1795"/>
      <c r="AK73" s="357"/>
      <c r="AL73" s="358"/>
      <c r="AM73" s="358"/>
      <c r="AN73" s="358"/>
      <c r="AO73" s="358"/>
      <c r="AP73" s="358"/>
      <c r="AQ73" s="358"/>
      <c r="AR73" s="358"/>
      <c r="AS73" s="358"/>
      <c r="AT73" s="358"/>
      <c r="AU73" s="358"/>
      <c r="AV73" s="358"/>
      <c r="AW73" s="358"/>
      <c r="AX73" s="358"/>
      <c r="AY73" s="358"/>
      <c r="AZ73" s="358"/>
      <c r="BA73" s="358"/>
      <c r="BB73" s="367"/>
      <c r="BC73" s="358"/>
      <c r="BD73" s="358"/>
      <c r="BE73" s="358"/>
      <c r="BF73" s="358"/>
      <c r="BG73" s="358"/>
      <c r="BH73" s="358"/>
      <c r="BI73" s="358"/>
      <c r="BJ73" s="358"/>
      <c r="BK73" s="358"/>
      <c r="BL73" s="358"/>
      <c r="BM73" s="358"/>
      <c r="BN73" s="358"/>
      <c r="BO73" s="358"/>
      <c r="BP73" s="358"/>
      <c r="BQ73" s="358"/>
      <c r="BR73" s="358"/>
      <c r="BS73" s="358"/>
      <c r="BT73" s="358"/>
      <c r="BU73" s="358"/>
      <c r="BV73" s="358"/>
      <c r="BW73" s="358"/>
      <c r="BX73" s="358"/>
      <c r="BY73" s="358"/>
      <c r="BZ73" s="358"/>
      <c r="CA73" s="358"/>
      <c r="CB73" s="358"/>
      <c r="CC73" s="358"/>
      <c r="CD73" s="358"/>
      <c r="CE73" s="358"/>
      <c r="CF73" s="358"/>
      <c r="CG73" s="358"/>
      <c r="CH73" s="358"/>
      <c r="CI73" s="358"/>
      <c r="CJ73" s="358"/>
      <c r="CK73" s="358"/>
      <c r="CL73" s="358"/>
      <c r="CM73" s="358"/>
      <c r="CN73" s="358"/>
      <c r="CO73" s="358"/>
      <c r="CP73" s="358"/>
      <c r="CQ73" s="358"/>
      <c r="CR73" s="358"/>
      <c r="CS73" s="358"/>
      <c r="CT73" s="358"/>
      <c r="CU73" s="358"/>
      <c r="CV73" s="358"/>
      <c r="CW73" s="358"/>
      <c r="CX73" s="358"/>
      <c r="CY73" s="358"/>
      <c r="CZ73" s="358"/>
      <c r="DA73" s="358"/>
      <c r="DB73" s="358"/>
      <c r="DC73" s="358"/>
      <c r="DD73" s="358"/>
      <c r="DE73" s="358"/>
      <c r="DF73" s="358"/>
      <c r="DG73" s="358"/>
      <c r="DH73" s="358"/>
      <c r="DI73" s="358"/>
      <c r="DJ73" s="358"/>
      <c r="DK73" s="358"/>
      <c r="DL73" s="358"/>
      <c r="DM73" s="358"/>
      <c r="DN73" s="358"/>
      <c r="DO73" s="358"/>
      <c r="DP73" s="358"/>
      <c r="DQ73" s="358"/>
      <c r="DR73" s="358"/>
      <c r="DS73" s="358"/>
      <c r="DT73" s="358"/>
      <c r="DU73" s="358"/>
      <c r="DV73" s="358"/>
      <c r="DW73" s="358"/>
      <c r="DX73" s="358"/>
      <c r="DY73" s="358"/>
      <c r="DZ73" s="358"/>
      <c r="EA73" s="358"/>
      <c r="EB73" s="358"/>
      <c r="EC73" s="358"/>
      <c r="ED73" s="358"/>
      <c r="EE73" s="358"/>
      <c r="EF73" s="358"/>
      <c r="EG73" s="358"/>
      <c r="EH73" s="358"/>
      <c r="EI73" s="358"/>
      <c r="EJ73" s="358"/>
      <c r="EK73" s="358"/>
      <c r="EL73" s="358"/>
      <c r="EM73" s="358"/>
      <c r="EN73" s="358"/>
      <c r="EO73" s="358"/>
      <c r="EP73" s="358"/>
      <c r="EQ73" s="358"/>
      <c r="ER73" s="358"/>
      <c r="ES73" s="358"/>
      <c r="ET73" s="358"/>
      <c r="EU73" s="358"/>
      <c r="EV73" s="358"/>
      <c r="EW73" s="358"/>
      <c r="EX73" s="358"/>
      <c r="EY73" s="358"/>
      <c r="EZ73" s="371"/>
    </row>
    <row r="74" spans="1:156" s="262" customFormat="1" ht="10" customHeight="1" x14ac:dyDescent="0.25">
      <c r="A74" s="1796" t="s">
        <v>197</v>
      </c>
      <c r="B74" s="1797"/>
      <c r="C74" s="1797"/>
      <c r="D74" s="1797"/>
      <c r="E74" s="1798"/>
      <c r="F74" s="261"/>
      <c r="G74" s="1799" t="s">
        <v>198</v>
      </c>
      <c r="H74" s="1800"/>
      <c r="I74" s="1800"/>
      <c r="J74" s="1800"/>
      <c r="K74" s="1800"/>
      <c r="L74" s="1801"/>
      <c r="AK74" s="357"/>
      <c r="AL74" s="358"/>
      <c r="AM74" s="358"/>
      <c r="AN74" s="358"/>
      <c r="AO74" s="358"/>
      <c r="AP74" s="358"/>
      <c r="AQ74" s="358"/>
      <c r="AR74" s="358"/>
      <c r="AS74" s="358"/>
      <c r="AT74" s="358"/>
      <c r="AU74" s="358"/>
      <c r="AV74" s="358"/>
      <c r="AW74" s="358"/>
      <c r="AX74" s="358"/>
      <c r="AY74" s="358"/>
      <c r="AZ74" s="358"/>
      <c r="BA74" s="358"/>
      <c r="BB74" s="367"/>
      <c r="BC74" s="358"/>
      <c r="BD74" s="358"/>
      <c r="BE74" s="358"/>
      <c r="BF74" s="358"/>
      <c r="BG74" s="358"/>
      <c r="BH74" s="358"/>
      <c r="BI74" s="358"/>
      <c r="BJ74" s="358"/>
      <c r="BK74" s="358"/>
      <c r="BL74" s="358"/>
      <c r="BM74" s="358"/>
      <c r="BN74" s="358"/>
      <c r="BO74" s="358"/>
      <c r="BP74" s="358"/>
      <c r="BQ74" s="358"/>
      <c r="BR74" s="358"/>
      <c r="BS74" s="358"/>
      <c r="BT74" s="358"/>
      <c r="BU74" s="358"/>
      <c r="BV74" s="358"/>
      <c r="BW74" s="358"/>
      <c r="BX74" s="358"/>
      <c r="BY74" s="358"/>
      <c r="BZ74" s="358"/>
      <c r="CA74" s="358"/>
      <c r="CB74" s="358"/>
      <c r="CC74" s="358"/>
      <c r="CD74" s="358"/>
      <c r="CE74" s="358"/>
      <c r="CF74" s="358"/>
      <c r="CG74" s="358"/>
      <c r="CH74" s="358"/>
      <c r="CI74" s="358"/>
      <c r="CJ74" s="358"/>
      <c r="CK74" s="358"/>
      <c r="CL74" s="358"/>
      <c r="CM74" s="358"/>
      <c r="CN74" s="358"/>
      <c r="CO74" s="358"/>
      <c r="CP74" s="358"/>
      <c r="CQ74" s="358"/>
      <c r="CR74" s="358"/>
      <c r="CS74" s="358"/>
      <c r="CT74" s="358"/>
      <c r="CU74" s="358"/>
      <c r="CV74" s="358"/>
      <c r="CW74" s="358"/>
      <c r="CX74" s="358"/>
      <c r="CY74" s="358"/>
      <c r="CZ74" s="358"/>
      <c r="DA74" s="358"/>
      <c r="DB74" s="358"/>
      <c r="DC74" s="358"/>
      <c r="DD74" s="358"/>
      <c r="DE74" s="358"/>
      <c r="DF74" s="358"/>
      <c r="DG74" s="358"/>
      <c r="DH74" s="358"/>
      <c r="DI74" s="358"/>
      <c r="DJ74" s="358"/>
      <c r="DK74" s="358"/>
      <c r="DL74" s="358"/>
      <c r="DM74" s="358"/>
      <c r="DN74" s="358"/>
      <c r="DO74" s="358"/>
      <c r="DP74" s="358"/>
      <c r="DQ74" s="358"/>
      <c r="DR74" s="358"/>
      <c r="DS74" s="358"/>
      <c r="DT74" s="358"/>
      <c r="DU74" s="358"/>
      <c r="DV74" s="358"/>
      <c r="DW74" s="358"/>
      <c r="DX74" s="358"/>
      <c r="DY74" s="358"/>
      <c r="DZ74" s="358"/>
      <c r="EA74" s="358"/>
      <c r="EB74" s="358"/>
      <c r="EC74" s="358"/>
      <c r="ED74" s="358"/>
      <c r="EE74" s="358"/>
      <c r="EF74" s="358"/>
      <c r="EG74" s="358"/>
      <c r="EH74" s="358"/>
      <c r="EI74" s="358"/>
      <c r="EJ74" s="358"/>
      <c r="EK74" s="358"/>
      <c r="EL74" s="358"/>
      <c r="EM74" s="358"/>
      <c r="EN74" s="358"/>
      <c r="EO74" s="358"/>
      <c r="EP74" s="358"/>
      <c r="EQ74" s="358"/>
      <c r="ER74" s="358"/>
      <c r="ES74" s="358"/>
      <c r="ET74" s="358"/>
      <c r="EU74" s="358"/>
      <c r="EV74" s="358"/>
      <c r="EW74" s="358"/>
      <c r="EX74" s="358"/>
      <c r="EY74" s="358"/>
      <c r="EZ74" s="371"/>
    </row>
    <row r="75" spans="1:156" s="262" customFormat="1" ht="10" customHeight="1" x14ac:dyDescent="0.25">
      <c r="A75" s="1817" t="s">
        <v>166</v>
      </c>
      <c r="B75" s="1818"/>
      <c r="C75" s="763" t="s">
        <v>56</v>
      </c>
      <c r="D75" s="1241" t="str">
        <f t="shared" ref="D75:E77" ca="1" si="27">IF(OR($N$2="",$N$2=0),"",IF(INDIRECT(ADDRESS(($AK75),COLUMN()+14,,,"Digitar Dados dos Ensaios"))&lt;&gt;"",INDIRECT(ADDRESS(($AK75),COLUMN()+14,,,"Digitar Dados dos Ensaios")),""))</f>
        <v/>
      </c>
      <c r="E75" s="764" t="str">
        <f t="shared" ca="1" si="27"/>
        <v/>
      </c>
      <c r="F75" s="261"/>
      <c r="G75" s="765" t="s">
        <v>15</v>
      </c>
      <c r="H75" s="766"/>
      <c r="I75" s="767"/>
      <c r="J75" s="768" t="s">
        <v>56</v>
      </c>
      <c r="K75" s="1819" t="str">
        <f ca="1">IF(OR($N$2="",$N$2=0),"",IF(INDIRECT(ADDRESS(($AK75)+4,COLUMN()+8,,,"Digitar Dados dos Ensaios"))&lt;&gt;"",INDIRECT(ADDRESS(($AK75)+4,COLUMN()+8,,,"Digitar Dados dos Ensaios")),""))</f>
        <v/>
      </c>
      <c r="L75" s="1820" t="str">
        <f ca="1">IF(OR($N$2="",$N$2=0),"",IF(INDIRECT(ADDRESS(($AK75),COLUMN()+14,,,"Digitar Dados dos Ensaios"))&lt;&gt;"",INDIRECT(ADDRESS(($AK75),COLUMN()+14,,,"Digitar Dados dos Ensaios")),""))</f>
        <v/>
      </c>
      <c r="AK75" s="357">
        <f>AK1+2</f>
        <v>6</v>
      </c>
      <c r="AL75" s="358"/>
      <c r="AM75" s="358"/>
      <c r="AN75" s="358"/>
      <c r="AO75" s="358"/>
      <c r="AP75" s="358"/>
      <c r="AQ75" s="358"/>
      <c r="AR75" s="358"/>
      <c r="AS75" s="358"/>
      <c r="AT75" s="358"/>
      <c r="AU75" s="358"/>
      <c r="AV75" s="358"/>
      <c r="AW75" s="358"/>
      <c r="AX75" s="358"/>
      <c r="AY75" s="358"/>
      <c r="AZ75" s="358"/>
      <c r="BA75" s="358"/>
      <c r="BB75" s="367"/>
      <c r="BC75" s="358"/>
      <c r="BD75" s="358"/>
      <c r="BE75" s="358"/>
      <c r="BF75" s="358"/>
      <c r="BG75" s="358"/>
      <c r="BH75" s="358"/>
      <c r="BI75" s="358"/>
      <c r="BJ75" s="358"/>
      <c r="BK75" s="358"/>
      <c r="BL75" s="358"/>
      <c r="BM75" s="358"/>
      <c r="BN75" s="358"/>
      <c r="BO75" s="358"/>
      <c r="BP75" s="358"/>
      <c r="BQ75" s="358"/>
      <c r="BR75" s="358"/>
      <c r="BS75" s="358"/>
      <c r="BT75" s="358"/>
      <c r="BU75" s="358"/>
      <c r="BV75" s="358"/>
      <c r="BW75" s="358"/>
      <c r="BX75" s="358"/>
      <c r="BY75" s="358"/>
      <c r="BZ75" s="358"/>
      <c r="CA75" s="358"/>
      <c r="CB75" s="358"/>
      <c r="CC75" s="358"/>
      <c r="CD75" s="358"/>
      <c r="CE75" s="358"/>
      <c r="CF75" s="358"/>
      <c r="CG75" s="358"/>
      <c r="CH75" s="358"/>
      <c r="CI75" s="358"/>
      <c r="CJ75" s="358"/>
      <c r="CK75" s="358"/>
      <c r="CL75" s="358"/>
      <c r="CM75" s="358"/>
      <c r="CN75" s="358"/>
      <c r="CO75" s="358"/>
      <c r="CP75" s="358"/>
      <c r="CQ75" s="358"/>
      <c r="CR75" s="358"/>
      <c r="CS75" s="358"/>
      <c r="CT75" s="358"/>
      <c r="CU75" s="358"/>
      <c r="CV75" s="358"/>
      <c r="CW75" s="358"/>
      <c r="CX75" s="358"/>
      <c r="CY75" s="358"/>
      <c r="CZ75" s="358"/>
      <c r="DA75" s="358"/>
      <c r="DB75" s="358"/>
      <c r="DC75" s="358"/>
      <c r="DD75" s="358"/>
      <c r="DE75" s="358"/>
      <c r="DF75" s="358"/>
      <c r="DG75" s="358"/>
      <c r="DH75" s="358"/>
      <c r="DI75" s="358"/>
      <c r="DJ75" s="358"/>
      <c r="DK75" s="358"/>
      <c r="DL75" s="358"/>
      <c r="DM75" s="358"/>
      <c r="DN75" s="358"/>
      <c r="DO75" s="358"/>
      <c r="DP75" s="358"/>
      <c r="DQ75" s="358"/>
      <c r="DR75" s="358"/>
      <c r="DS75" s="358"/>
      <c r="DT75" s="358"/>
      <c r="DU75" s="358"/>
      <c r="DV75" s="358"/>
      <c r="DW75" s="358"/>
      <c r="DX75" s="358"/>
      <c r="DY75" s="358"/>
      <c r="DZ75" s="358"/>
      <c r="EA75" s="358"/>
      <c r="EB75" s="358"/>
      <c r="EC75" s="358"/>
      <c r="ED75" s="358"/>
      <c r="EE75" s="358"/>
      <c r="EF75" s="358"/>
      <c r="EG75" s="358"/>
      <c r="EH75" s="358"/>
      <c r="EI75" s="358"/>
      <c r="EJ75" s="358"/>
      <c r="EK75" s="358"/>
      <c r="EL75" s="358"/>
      <c r="EM75" s="358"/>
      <c r="EN75" s="358"/>
      <c r="EO75" s="358"/>
      <c r="EP75" s="358"/>
      <c r="EQ75" s="358"/>
      <c r="ER75" s="358"/>
      <c r="ES75" s="358"/>
      <c r="ET75" s="358"/>
      <c r="EU75" s="358"/>
      <c r="EV75" s="358"/>
      <c r="EW75" s="358"/>
      <c r="EX75" s="358"/>
      <c r="EY75" s="358"/>
      <c r="EZ75" s="371"/>
    </row>
    <row r="76" spans="1:156" s="262" customFormat="1" ht="10" customHeight="1" x14ac:dyDescent="0.25">
      <c r="A76" s="1242" t="s">
        <v>60</v>
      </c>
      <c r="B76" s="769"/>
      <c r="C76" s="768" t="s">
        <v>168</v>
      </c>
      <c r="D76" s="1243" t="str">
        <f t="shared" ca="1" si="27"/>
        <v/>
      </c>
      <c r="E76" s="770" t="str">
        <f t="shared" ca="1" si="27"/>
        <v/>
      </c>
      <c r="F76" s="261"/>
      <c r="G76" s="765" t="s">
        <v>60</v>
      </c>
      <c r="H76" s="766"/>
      <c r="I76" s="767"/>
      <c r="J76" s="768" t="s">
        <v>168</v>
      </c>
      <c r="K76" s="1819" t="str">
        <f ca="1">IF(OR($N$2="",$N$2=0),"",IF(INDIRECT(ADDRESS(($AK76)+4,COLUMN()+8,,,"Digitar Dados dos Ensaios"))&lt;&gt;"",INDIRECT(ADDRESS(($AK76)+4,COLUMN()+8,,,"Digitar Dados dos Ensaios")),""))</f>
        <v/>
      </c>
      <c r="L76" s="1820">
        <f ca="1">IF(OR($N$2="",$N$2=0),"",IF(INDIRECT(ADDRESS(($AK76),COLUMN()+14,,,"Digitar Dados dos Ensaios"))&lt;&gt;"",INDIRECT(ADDRESS(($AK76),COLUMN()+14,,,"Digitar Dados dos Ensaios")),""))</f>
        <v>1</v>
      </c>
      <c r="AK76" s="357">
        <f>AK75+1</f>
        <v>7</v>
      </c>
      <c r="AL76" s="358"/>
      <c r="AM76" s="358"/>
      <c r="AN76" s="358"/>
      <c r="AO76" s="358"/>
      <c r="AP76" s="358"/>
      <c r="AQ76" s="358"/>
      <c r="AR76" s="358"/>
      <c r="AS76" s="358"/>
      <c r="AT76" s="358"/>
      <c r="AU76" s="358"/>
      <c r="AV76" s="358"/>
      <c r="AW76" s="358"/>
      <c r="AX76" s="358"/>
      <c r="AY76" s="358"/>
      <c r="AZ76" s="358"/>
      <c r="BA76" s="358"/>
      <c r="BB76" s="367"/>
      <c r="BC76" s="358"/>
      <c r="BD76" s="358"/>
      <c r="BE76" s="358"/>
      <c r="BF76" s="358"/>
      <c r="BG76" s="358"/>
      <c r="BH76" s="358"/>
      <c r="BI76" s="358"/>
      <c r="BJ76" s="358"/>
      <c r="BK76" s="358"/>
      <c r="BL76" s="358"/>
      <c r="BM76" s="358"/>
      <c r="BN76" s="358"/>
      <c r="BO76" s="358"/>
      <c r="BP76" s="358"/>
      <c r="BQ76" s="358"/>
      <c r="BR76" s="358"/>
      <c r="BS76" s="358"/>
      <c r="BT76" s="358"/>
      <c r="BU76" s="358"/>
      <c r="BV76" s="358"/>
      <c r="BW76" s="358"/>
      <c r="BX76" s="358"/>
      <c r="BY76" s="358"/>
      <c r="BZ76" s="358"/>
      <c r="CA76" s="358"/>
      <c r="CB76" s="358"/>
      <c r="CC76" s="358"/>
      <c r="CD76" s="358"/>
      <c r="CE76" s="358"/>
      <c r="CF76" s="358"/>
      <c r="CG76" s="358"/>
      <c r="CH76" s="358"/>
      <c r="CI76" s="358"/>
      <c r="CJ76" s="358"/>
      <c r="CK76" s="358"/>
      <c r="CL76" s="358"/>
      <c r="CM76" s="358"/>
      <c r="CN76" s="358"/>
      <c r="CO76" s="358"/>
      <c r="CP76" s="358"/>
      <c r="CQ76" s="358"/>
      <c r="CR76" s="358"/>
      <c r="CS76" s="358"/>
      <c r="CT76" s="358"/>
      <c r="CU76" s="358"/>
      <c r="CV76" s="358"/>
      <c r="CW76" s="358"/>
      <c r="CX76" s="358"/>
      <c r="CY76" s="358"/>
      <c r="CZ76" s="358"/>
      <c r="DA76" s="358"/>
      <c r="DB76" s="358"/>
      <c r="DC76" s="358"/>
      <c r="DD76" s="358"/>
      <c r="DE76" s="358"/>
      <c r="DF76" s="358"/>
      <c r="DG76" s="358"/>
      <c r="DH76" s="358"/>
      <c r="DI76" s="358"/>
      <c r="DJ76" s="358"/>
      <c r="DK76" s="358"/>
      <c r="DL76" s="358"/>
      <c r="DM76" s="358"/>
      <c r="DN76" s="358"/>
      <c r="DO76" s="358"/>
      <c r="DP76" s="358"/>
      <c r="DQ76" s="358"/>
      <c r="DR76" s="358"/>
      <c r="DS76" s="358"/>
      <c r="DT76" s="358"/>
      <c r="DU76" s="358"/>
      <c r="DV76" s="358"/>
      <c r="DW76" s="358"/>
      <c r="DX76" s="358"/>
      <c r="DY76" s="358"/>
      <c r="DZ76" s="358"/>
      <c r="EA76" s="358"/>
      <c r="EB76" s="358"/>
      <c r="EC76" s="358"/>
      <c r="ED76" s="358"/>
      <c r="EE76" s="358"/>
      <c r="EF76" s="358"/>
      <c r="EG76" s="358"/>
      <c r="EH76" s="358"/>
      <c r="EI76" s="358"/>
      <c r="EJ76" s="358"/>
      <c r="EK76" s="358"/>
      <c r="EL76" s="358"/>
      <c r="EM76" s="358"/>
      <c r="EN76" s="358"/>
      <c r="EO76" s="358"/>
      <c r="EP76" s="358"/>
      <c r="EQ76" s="358"/>
      <c r="ER76" s="358"/>
      <c r="ES76" s="358"/>
      <c r="ET76" s="358"/>
      <c r="EU76" s="358"/>
      <c r="EV76" s="358"/>
      <c r="EW76" s="358"/>
      <c r="EX76" s="358"/>
      <c r="EY76" s="358"/>
      <c r="EZ76" s="371"/>
    </row>
    <row r="77" spans="1:156" s="262" customFormat="1" ht="10" customHeight="1" x14ac:dyDescent="0.25">
      <c r="A77" s="1242" t="s">
        <v>94</v>
      </c>
      <c r="B77" s="769"/>
      <c r="C77" s="768" t="s">
        <v>168</v>
      </c>
      <c r="D77" s="1243" t="str">
        <f t="shared" ca="1" si="27"/>
        <v/>
      </c>
      <c r="E77" s="770" t="str">
        <f t="shared" ca="1" si="27"/>
        <v/>
      </c>
      <c r="F77" s="261"/>
      <c r="G77" s="765" t="s">
        <v>46</v>
      </c>
      <c r="H77" s="766"/>
      <c r="I77" s="767"/>
      <c r="J77" s="768" t="s">
        <v>168</v>
      </c>
      <c r="K77" s="1809" t="str">
        <f ca="1">IF(K75&lt;&gt;"",LOOKUP(K75,Tara!$G$6:$G$185,Tara!$H$6:$H$185),"")</f>
        <v/>
      </c>
      <c r="L77" s="1810" t="str">
        <f ca="1">IF(L75&lt;&gt;"",LOOKUP(L75,Tara!$G$6:$G$185,Tara!$H$6:$H$185),"")</f>
        <v/>
      </c>
      <c r="AK77" s="357">
        <f>AK76+1</f>
        <v>8</v>
      </c>
      <c r="AL77" s="358"/>
      <c r="AM77" s="358"/>
      <c r="AN77" s="358"/>
      <c r="AO77" s="358"/>
      <c r="AP77" s="358"/>
      <c r="AQ77" s="358"/>
      <c r="AR77" s="358"/>
      <c r="AS77" s="358"/>
      <c r="AT77" s="358"/>
      <c r="AU77" s="358"/>
      <c r="AV77" s="358"/>
      <c r="AW77" s="358"/>
      <c r="AX77" s="358"/>
      <c r="AY77" s="358"/>
      <c r="AZ77" s="358"/>
      <c r="BA77" s="358"/>
      <c r="BB77" s="367"/>
      <c r="BC77" s="358"/>
      <c r="BD77" s="358"/>
      <c r="BE77" s="358"/>
      <c r="BF77" s="358"/>
      <c r="BG77" s="358"/>
      <c r="BH77" s="358"/>
      <c r="BI77" s="358"/>
      <c r="BJ77" s="358"/>
      <c r="BK77" s="358"/>
      <c r="BL77" s="358"/>
      <c r="BM77" s="358"/>
      <c r="BN77" s="358"/>
      <c r="BO77" s="358"/>
      <c r="BP77" s="358"/>
      <c r="BQ77" s="358"/>
      <c r="BR77" s="358"/>
      <c r="BS77" s="358"/>
      <c r="BT77" s="358"/>
      <c r="BU77" s="358"/>
      <c r="BV77" s="358"/>
      <c r="BW77" s="358"/>
      <c r="BX77" s="358"/>
      <c r="BY77" s="358"/>
      <c r="BZ77" s="358"/>
      <c r="CA77" s="358"/>
      <c r="CB77" s="358"/>
      <c r="CC77" s="358"/>
      <c r="CD77" s="358"/>
      <c r="CE77" s="358"/>
      <c r="CF77" s="358"/>
      <c r="CG77" s="358"/>
      <c r="CH77" s="358"/>
      <c r="CI77" s="358"/>
      <c r="CJ77" s="358"/>
      <c r="CK77" s="358"/>
      <c r="CL77" s="358"/>
      <c r="CM77" s="358"/>
      <c r="CN77" s="358"/>
      <c r="CO77" s="358"/>
      <c r="CP77" s="358"/>
      <c r="CQ77" s="358"/>
      <c r="CR77" s="358"/>
      <c r="CS77" s="358"/>
      <c r="CT77" s="358"/>
      <c r="CU77" s="358"/>
      <c r="CV77" s="358"/>
      <c r="CW77" s="358"/>
      <c r="CX77" s="358"/>
      <c r="CY77" s="358"/>
      <c r="CZ77" s="358"/>
      <c r="DA77" s="358"/>
      <c r="DB77" s="358"/>
      <c r="DC77" s="358"/>
      <c r="DD77" s="358"/>
      <c r="DE77" s="358"/>
      <c r="DF77" s="358"/>
      <c r="DG77" s="358"/>
      <c r="DH77" s="358"/>
      <c r="DI77" s="358"/>
      <c r="DJ77" s="358"/>
      <c r="DK77" s="358"/>
      <c r="DL77" s="358"/>
      <c r="DM77" s="358"/>
      <c r="DN77" s="358"/>
      <c r="DO77" s="358"/>
      <c r="DP77" s="358"/>
      <c r="DQ77" s="358"/>
      <c r="DR77" s="358"/>
      <c r="DS77" s="358"/>
      <c r="DT77" s="358"/>
      <c r="DU77" s="358"/>
      <c r="DV77" s="358"/>
      <c r="DW77" s="358"/>
      <c r="DX77" s="358"/>
      <c r="DY77" s="358"/>
      <c r="DZ77" s="358"/>
      <c r="EA77" s="358"/>
      <c r="EB77" s="358"/>
      <c r="EC77" s="358"/>
      <c r="ED77" s="358"/>
      <c r="EE77" s="358"/>
      <c r="EF77" s="358"/>
      <c r="EG77" s="358"/>
      <c r="EH77" s="358"/>
      <c r="EI77" s="358"/>
      <c r="EJ77" s="358"/>
      <c r="EK77" s="358"/>
      <c r="EL77" s="358"/>
      <c r="EM77" s="358"/>
      <c r="EN77" s="358"/>
      <c r="EO77" s="358"/>
      <c r="EP77" s="358"/>
      <c r="EQ77" s="358"/>
      <c r="ER77" s="358"/>
      <c r="ES77" s="358"/>
      <c r="ET77" s="358"/>
      <c r="EU77" s="358"/>
      <c r="EV77" s="358"/>
      <c r="EW77" s="358"/>
      <c r="EX77" s="358"/>
      <c r="EY77" s="358"/>
      <c r="EZ77" s="371"/>
    </row>
    <row r="78" spans="1:156" s="262" customFormat="1" ht="10" customHeight="1" x14ac:dyDescent="0.25">
      <c r="A78" s="1242" t="s">
        <v>26</v>
      </c>
      <c r="B78" s="769"/>
      <c r="C78" s="768" t="s">
        <v>168</v>
      </c>
      <c r="D78" s="1244" t="str">
        <f ca="1">IF(D75&lt;&gt;"",D76-D77,"")</f>
        <v/>
      </c>
      <c r="E78" s="771" t="str">
        <f ca="1">IF(E75&lt;&gt;"",E76-E77,"")</f>
        <v/>
      </c>
      <c r="F78" s="261"/>
      <c r="G78" s="765" t="s">
        <v>182</v>
      </c>
      <c r="H78" s="766"/>
      <c r="I78" s="767"/>
      <c r="J78" s="768"/>
      <c r="K78" s="1809" t="str">
        <f ca="1">IF(K75&lt;&gt;"",LOOKUP(K75,Tara!$G$6:$G$185,Tara!$I$6:$I$185),"")</f>
        <v/>
      </c>
      <c r="L78" s="1810" t="str">
        <f ca="1">IF(L75&lt;&gt;"",LOOKUP(L75,Tara!$G$6:$G$185,Tara!$I$6:$I$185),"")</f>
        <v/>
      </c>
      <c r="AK78" s="357"/>
      <c r="AL78" s="358"/>
      <c r="AM78" s="358"/>
      <c r="AN78" s="358"/>
      <c r="AO78" s="358"/>
      <c r="AP78" s="358"/>
      <c r="AQ78" s="358"/>
      <c r="AR78" s="358"/>
      <c r="AS78" s="358"/>
      <c r="AT78" s="358"/>
      <c r="AU78" s="358"/>
      <c r="AV78" s="358"/>
      <c r="AW78" s="358"/>
      <c r="AX78" s="358"/>
      <c r="AY78" s="358"/>
      <c r="AZ78" s="358"/>
      <c r="BA78" s="358"/>
      <c r="BB78" s="367"/>
      <c r="BC78" s="358"/>
      <c r="BD78" s="358"/>
      <c r="BE78" s="358"/>
      <c r="BF78" s="358"/>
      <c r="BG78" s="358"/>
      <c r="BH78" s="358"/>
      <c r="BI78" s="358"/>
      <c r="BJ78" s="358"/>
      <c r="BK78" s="358"/>
      <c r="BL78" s="358"/>
      <c r="BM78" s="358"/>
      <c r="BN78" s="358"/>
      <c r="BO78" s="358"/>
      <c r="BP78" s="358"/>
      <c r="BQ78" s="358"/>
      <c r="BR78" s="358"/>
      <c r="BS78" s="358"/>
      <c r="BT78" s="358"/>
      <c r="BU78" s="358"/>
      <c r="BV78" s="358"/>
      <c r="BW78" s="358"/>
      <c r="BX78" s="358"/>
      <c r="BY78" s="358"/>
      <c r="BZ78" s="358"/>
      <c r="CA78" s="358"/>
      <c r="CB78" s="358"/>
      <c r="CC78" s="358"/>
      <c r="CD78" s="358"/>
      <c r="CE78" s="358"/>
      <c r="CF78" s="358"/>
      <c r="CG78" s="358"/>
      <c r="CH78" s="358"/>
      <c r="CI78" s="358"/>
      <c r="CJ78" s="358"/>
      <c r="CK78" s="358"/>
      <c r="CL78" s="358"/>
      <c r="CM78" s="358"/>
      <c r="CN78" s="358"/>
      <c r="CO78" s="358"/>
      <c r="CP78" s="358"/>
      <c r="CQ78" s="358"/>
      <c r="CR78" s="358"/>
      <c r="CS78" s="358"/>
      <c r="CT78" s="358"/>
      <c r="CU78" s="358"/>
      <c r="CV78" s="358"/>
      <c r="CW78" s="358"/>
      <c r="CX78" s="358"/>
      <c r="CY78" s="358"/>
      <c r="CZ78" s="358"/>
      <c r="DA78" s="358"/>
      <c r="DB78" s="358"/>
      <c r="DC78" s="358"/>
      <c r="DD78" s="358"/>
      <c r="DE78" s="358"/>
      <c r="DF78" s="358"/>
      <c r="DG78" s="358"/>
      <c r="DH78" s="358"/>
      <c r="DI78" s="358"/>
      <c r="DJ78" s="358"/>
      <c r="DK78" s="358"/>
      <c r="DL78" s="358"/>
      <c r="DM78" s="358"/>
      <c r="DN78" s="358"/>
      <c r="DO78" s="358"/>
      <c r="DP78" s="358"/>
      <c r="DQ78" s="358"/>
      <c r="DR78" s="358"/>
      <c r="DS78" s="358"/>
      <c r="DT78" s="358"/>
      <c r="DU78" s="358"/>
      <c r="DV78" s="358"/>
      <c r="DW78" s="358"/>
      <c r="DX78" s="358"/>
      <c r="DY78" s="358"/>
      <c r="DZ78" s="358"/>
      <c r="EA78" s="358"/>
      <c r="EB78" s="358"/>
      <c r="EC78" s="358"/>
      <c r="ED78" s="358"/>
      <c r="EE78" s="358"/>
      <c r="EF78" s="358"/>
      <c r="EG78" s="358"/>
      <c r="EH78" s="358"/>
      <c r="EI78" s="358"/>
      <c r="EJ78" s="358"/>
      <c r="EK78" s="358"/>
      <c r="EL78" s="358"/>
      <c r="EM78" s="358"/>
      <c r="EN78" s="358"/>
      <c r="EO78" s="358"/>
      <c r="EP78" s="358"/>
      <c r="EQ78" s="358"/>
      <c r="ER78" s="358"/>
      <c r="ES78" s="358"/>
      <c r="ET78" s="358"/>
      <c r="EU78" s="358"/>
      <c r="EV78" s="358"/>
      <c r="EW78" s="358"/>
      <c r="EX78" s="358"/>
      <c r="EY78" s="358"/>
      <c r="EZ78" s="371"/>
    </row>
    <row r="79" spans="1:156" s="262" customFormat="1" ht="10" customHeight="1" x14ac:dyDescent="0.25">
      <c r="A79" s="1807" t="s">
        <v>45</v>
      </c>
      <c r="B79" s="1808"/>
      <c r="C79" s="768" t="s">
        <v>168</v>
      </c>
      <c r="D79" s="1245" t="str">
        <f ca="1">IF(D75&lt;&gt;"",LOOKUP(D75,Tara!$C$6:$C$185,Tara!$D$6:$D$185),"")</f>
        <v/>
      </c>
      <c r="E79" s="772" t="str">
        <f ca="1">IF(E75&lt;&gt;"",LOOKUP(E75,Tara!$C$6:$C$185,Tara!$D$6:$D$185),"")</f>
        <v/>
      </c>
      <c r="F79" s="261"/>
      <c r="G79" s="765" t="s">
        <v>98</v>
      </c>
      <c r="H79" s="766"/>
      <c r="I79" s="767"/>
      <c r="J79" s="768" t="s">
        <v>168</v>
      </c>
      <c r="K79" s="1809" t="str">
        <f ca="1">IF(K76&lt;&gt;"",K76-K77,"")</f>
        <v/>
      </c>
      <c r="L79" s="1810" t="e">
        <f ca="1">IF(L76&lt;&gt;"",L76-L77,"")</f>
        <v>#VALUE!</v>
      </c>
      <c r="AK79" s="357"/>
      <c r="AL79" s="358"/>
      <c r="AM79" s="358"/>
      <c r="AN79" s="358"/>
      <c r="AO79" s="358"/>
      <c r="AP79" s="358"/>
      <c r="AQ79" s="358"/>
      <c r="AR79" s="358"/>
      <c r="AS79" s="358"/>
      <c r="AT79" s="358"/>
      <c r="AU79" s="358"/>
      <c r="AV79" s="358"/>
      <c r="AW79" s="358"/>
      <c r="AX79" s="358"/>
      <c r="AY79" s="358"/>
      <c r="AZ79" s="358"/>
      <c r="BA79" s="358"/>
      <c r="BB79" s="367"/>
      <c r="BC79" s="358"/>
      <c r="BD79" s="358"/>
      <c r="BE79" s="358"/>
      <c r="BF79" s="358"/>
      <c r="BG79" s="358"/>
      <c r="BH79" s="358"/>
      <c r="BI79" s="358"/>
      <c r="BJ79" s="358"/>
      <c r="BK79" s="358"/>
      <c r="BL79" s="358"/>
      <c r="BM79" s="358"/>
      <c r="BN79" s="358"/>
      <c r="BO79" s="358"/>
      <c r="BP79" s="358"/>
      <c r="BQ79" s="358"/>
      <c r="BR79" s="358"/>
      <c r="BS79" s="358"/>
      <c r="BT79" s="358"/>
      <c r="BU79" s="358"/>
      <c r="BV79" s="358"/>
      <c r="BW79" s="358"/>
      <c r="BX79" s="358"/>
      <c r="BY79" s="358"/>
      <c r="BZ79" s="358"/>
      <c r="CA79" s="358"/>
      <c r="CB79" s="358"/>
      <c r="CC79" s="358"/>
      <c r="CD79" s="358"/>
      <c r="CE79" s="358"/>
      <c r="CF79" s="358"/>
      <c r="CG79" s="358"/>
      <c r="CH79" s="358"/>
      <c r="CI79" s="358"/>
      <c r="CJ79" s="358"/>
      <c r="CK79" s="358"/>
      <c r="CL79" s="358"/>
      <c r="CM79" s="358"/>
      <c r="CN79" s="358"/>
      <c r="CO79" s="358"/>
      <c r="CP79" s="358"/>
      <c r="CQ79" s="358"/>
      <c r="CR79" s="358"/>
      <c r="CS79" s="358"/>
      <c r="CT79" s="358"/>
      <c r="CU79" s="358"/>
      <c r="CV79" s="358"/>
      <c r="CW79" s="358"/>
      <c r="CX79" s="358"/>
      <c r="CY79" s="358"/>
      <c r="CZ79" s="358"/>
      <c r="DA79" s="358"/>
      <c r="DB79" s="358"/>
      <c r="DC79" s="358"/>
      <c r="DD79" s="358"/>
      <c r="DE79" s="358"/>
      <c r="DF79" s="358"/>
      <c r="DG79" s="358"/>
      <c r="DH79" s="358"/>
      <c r="DI79" s="358"/>
      <c r="DJ79" s="358"/>
      <c r="DK79" s="358"/>
      <c r="DL79" s="358"/>
      <c r="DM79" s="358"/>
      <c r="DN79" s="358"/>
      <c r="DO79" s="358"/>
      <c r="DP79" s="358"/>
      <c r="DQ79" s="358"/>
      <c r="DR79" s="358"/>
      <c r="DS79" s="358"/>
      <c r="DT79" s="358"/>
      <c r="DU79" s="358"/>
      <c r="DV79" s="358"/>
      <c r="DW79" s="358"/>
      <c r="DX79" s="358"/>
      <c r="DY79" s="358"/>
      <c r="DZ79" s="358"/>
      <c r="EA79" s="358"/>
      <c r="EB79" s="358"/>
      <c r="EC79" s="358"/>
      <c r="ED79" s="358"/>
      <c r="EE79" s="358"/>
      <c r="EF79" s="358"/>
      <c r="EG79" s="358"/>
      <c r="EH79" s="358"/>
      <c r="EI79" s="358"/>
      <c r="EJ79" s="358"/>
      <c r="EK79" s="358"/>
      <c r="EL79" s="358"/>
      <c r="EM79" s="358"/>
      <c r="EN79" s="358"/>
      <c r="EO79" s="358"/>
      <c r="EP79" s="358"/>
      <c r="EQ79" s="358"/>
      <c r="ER79" s="358"/>
      <c r="ES79" s="358"/>
      <c r="ET79" s="358"/>
      <c r="EU79" s="358"/>
      <c r="EV79" s="358"/>
      <c r="EW79" s="358"/>
      <c r="EX79" s="358"/>
      <c r="EY79" s="358"/>
      <c r="EZ79" s="371"/>
    </row>
    <row r="80" spans="1:156" s="262" customFormat="1" ht="10" customHeight="1" x14ac:dyDescent="0.25">
      <c r="A80" s="1807" t="s">
        <v>67</v>
      </c>
      <c r="B80" s="1808"/>
      <c r="C80" s="768" t="s">
        <v>168</v>
      </c>
      <c r="D80" s="1244" t="str">
        <f ca="1">IF(D75&lt;&gt;"",D77-D79,"")</f>
        <v/>
      </c>
      <c r="E80" s="771" t="str">
        <f ca="1">IF(E75&lt;&gt;"",E77-E79,"")</f>
        <v/>
      </c>
      <c r="F80" s="261"/>
      <c r="G80" s="765" t="s">
        <v>114</v>
      </c>
      <c r="H80" s="766"/>
      <c r="I80" s="767"/>
      <c r="J80" s="768" t="s">
        <v>183</v>
      </c>
      <c r="K80" s="1809" t="str">
        <f ca="1">IF(K79&lt;&gt;"",K79*1000/K78,"")</f>
        <v/>
      </c>
      <c r="L80" s="1810" t="e">
        <f ca="1">IF(L79&lt;&gt;"",L79*1000/L78,"")</f>
        <v>#VALUE!</v>
      </c>
      <c r="AK80" s="357"/>
      <c r="AL80" s="358"/>
      <c r="AM80" s="358"/>
      <c r="AN80" s="358"/>
      <c r="AO80" s="358"/>
      <c r="AP80" s="358"/>
      <c r="AQ80" s="358"/>
      <c r="AR80" s="358"/>
      <c r="AS80" s="358"/>
      <c r="AT80" s="358"/>
      <c r="AU80" s="358"/>
      <c r="AV80" s="358"/>
      <c r="AW80" s="358"/>
      <c r="AX80" s="358"/>
      <c r="AY80" s="358"/>
      <c r="AZ80" s="358"/>
      <c r="BA80" s="358"/>
      <c r="BB80" s="367"/>
      <c r="BC80" s="358"/>
      <c r="BD80" s="358"/>
      <c r="BE80" s="358"/>
      <c r="BF80" s="358"/>
      <c r="BG80" s="358"/>
      <c r="BH80" s="358"/>
      <c r="BI80" s="358"/>
      <c r="BJ80" s="358"/>
      <c r="BK80" s="358"/>
      <c r="BL80" s="358"/>
      <c r="BM80" s="358"/>
      <c r="BN80" s="358"/>
      <c r="BO80" s="358"/>
      <c r="BP80" s="358"/>
      <c r="BQ80" s="358"/>
      <c r="BR80" s="358"/>
      <c r="BS80" s="358"/>
      <c r="BT80" s="358"/>
      <c r="BU80" s="358"/>
      <c r="BV80" s="358"/>
      <c r="BW80" s="358"/>
      <c r="BX80" s="358"/>
      <c r="BY80" s="358"/>
      <c r="BZ80" s="358"/>
      <c r="CA80" s="358"/>
      <c r="CB80" s="358"/>
      <c r="CC80" s="358"/>
      <c r="CD80" s="358"/>
      <c r="CE80" s="358"/>
      <c r="CF80" s="358"/>
      <c r="CG80" s="358"/>
      <c r="CH80" s="358"/>
      <c r="CI80" s="358"/>
      <c r="CJ80" s="358"/>
      <c r="CK80" s="358"/>
      <c r="CL80" s="358"/>
      <c r="CM80" s="358"/>
      <c r="CN80" s="358"/>
      <c r="CO80" s="358"/>
      <c r="CP80" s="358"/>
      <c r="CQ80" s="358"/>
      <c r="CR80" s="358"/>
      <c r="CS80" s="358"/>
      <c r="CT80" s="358"/>
      <c r="CU80" s="358"/>
      <c r="CV80" s="358"/>
      <c r="CW80" s="358"/>
      <c r="CX80" s="358"/>
      <c r="CY80" s="358"/>
      <c r="CZ80" s="358"/>
      <c r="DA80" s="358"/>
      <c r="DB80" s="358"/>
      <c r="DC80" s="358"/>
      <c r="DD80" s="358"/>
      <c r="DE80" s="358"/>
      <c r="DF80" s="358"/>
      <c r="DG80" s="358"/>
      <c r="DH80" s="358"/>
      <c r="DI80" s="358"/>
      <c r="DJ80" s="358"/>
      <c r="DK80" s="358"/>
      <c r="DL80" s="358"/>
      <c r="DM80" s="358"/>
      <c r="DN80" s="358"/>
      <c r="DO80" s="358"/>
      <c r="DP80" s="358"/>
      <c r="DQ80" s="358"/>
      <c r="DR80" s="358"/>
      <c r="DS80" s="358"/>
      <c r="DT80" s="358"/>
      <c r="DU80" s="358"/>
      <c r="DV80" s="358"/>
      <c r="DW80" s="358"/>
      <c r="DX80" s="358"/>
      <c r="DY80" s="358"/>
      <c r="DZ80" s="358"/>
      <c r="EA80" s="358"/>
      <c r="EB80" s="358"/>
      <c r="EC80" s="358"/>
      <c r="ED80" s="358"/>
      <c r="EE80" s="358"/>
      <c r="EF80" s="358"/>
      <c r="EG80" s="358"/>
      <c r="EH80" s="358"/>
      <c r="EI80" s="358"/>
      <c r="EJ80" s="358"/>
      <c r="EK80" s="358"/>
      <c r="EL80" s="358"/>
      <c r="EM80" s="358"/>
      <c r="EN80" s="358"/>
      <c r="EO80" s="358"/>
      <c r="EP80" s="358"/>
      <c r="EQ80" s="358"/>
      <c r="ER80" s="358"/>
      <c r="ES80" s="358"/>
      <c r="ET80" s="358"/>
      <c r="EU80" s="358"/>
      <c r="EV80" s="358"/>
      <c r="EW80" s="358"/>
      <c r="EX80" s="358"/>
      <c r="EY80" s="358"/>
      <c r="EZ80" s="371"/>
    </row>
    <row r="81" spans="1:156" s="262" customFormat="1" ht="10" customHeight="1" x14ac:dyDescent="0.25">
      <c r="A81" s="1807" t="s">
        <v>97</v>
      </c>
      <c r="B81" s="1808"/>
      <c r="C81" s="768" t="s">
        <v>171</v>
      </c>
      <c r="D81" s="1246" t="str">
        <f ca="1">IF(D75&lt;&gt;"",D78/D80,"")</f>
        <v/>
      </c>
      <c r="E81" s="773" t="str">
        <f ca="1">IF(E75&lt;&gt;"",E78/E80,"")</f>
        <v/>
      </c>
      <c r="F81" s="263"/>
      <c r="G81" s="774" t="s">
        <v>184</v>
      </c>
      <c r="H81" s="775"/>
      <c r="I81" s="776"/>
      <c r="J81" s="777" t="s">
        <v>183</v>
      </c>
      <c r="K81" s="1811" t="str">
        <f ca="1">IF(K75&lt;&gt;"",K80/(1+D82),"")</f>
        <v/>
      </c>
      <c r="L81" s="1812" t="str">
        <f ca="1">IF(ISNUMBER(L80),L80/(1+L74),"")</f>
        <v/>
      </c>
      <c r="AK81" s="357"/>
      <c r="AL81" s="358"/>
      <c r="AM81" s="358"/>
      <c r="AN81" s="358"/>
      <c r="AO81" s="358"/>
      <c r="AP81" s="358"/>
      <c r="AQ81" s="358"/>
      <c r="AR81" s="358"/>
      <c r="AS81" s="358"/>
      <c r="AT81" s="358"/>
      <c r="AU81" s="358"/>
      <c r="AV81" s="358"/>
      <c r="AW81" s="358"/>
      <c r="AX81" s="358"/>
      <c r="AY81" s="358"/>
      <c r="AZ81" s="358"/>
      <c r="BA81" s="358"/>
      <c r="BB81" s="367"/>
      <c r="BC81" s="358"/>
      <c r="BD81" s="358"/>
      <c r="BE81" s="358"/>
      <c r="BF81" s="358"/>
      <c r="BG81" s="358"/>
      <c r="BH81" s="358"/>
      <c r="BI81" s="358"/>
      <c r="BJ81" s="358"/>
      <c r="BK81" s="358"/>
      <c r="BL81" s="358"/>
      <c r="BM81" s="358"/>
      <c r="BN81" s="358"/>
      <c r="BO81" s="358"/>
      <c r="BP81" s="358"/>
      <c r="BQ81" s="358"/>
      <c r="BR81" s="358"/>
      <c r="BS81" s="358"/>
      <c r="BT81" s="358"/>
      <c r="BU81" s="358"/>
      <c r="BV81" s="358"/>
      <c r="BW81" s="358"/>
      <c r="BX81" s="358"/>
      <c r="BY81" s="358"/>
      <c r="BZ81" s="358"/>
      <c r="CA81" s="358"/>
      <c r="CB81" s="358"/>
      <c r="CC81" s="358"/>
      <c r="CD81" s="358"/>
      <c r="CE81" s="358"/>
      <c r="CF81" s="358"/>
      <c r="CG81" s="358"/>
      <c r="CH81" s="358"/>
      <c r="CI81" s="358"/>
      <c r="CJ81" s="358"/>
      <c r="CK81" s="358"/>
      <c r="CL81" s="358"/>
      <c r="CM81" s="358"/>
      <c r="CN81" s="358"/>
      <c r="CO81" s="358"/>
      <c r="CP81" s="358"/>
      <c r="CQ81" s="358"/>
      <c r="CR81" s="358"/>
      <c r="CS81" s="358"/>
      <c r="CT81" s="358"/>
      <c r="CU81" s="358"/>
      <c r="CV81" s="358"/>
      <c r="CW81" s="358"/>
      <c r="CX81" s="358"/>
      <c r="CY81" s="358"/>
      <c r="CZ81" s="358"/>
      <c r="DA81" s="358"/>
      <c r="DB81" s="358"/>
      <c r="DC81" s="358"/>
      <c r="DD81" s="358"/>
      <c r="DE81" s="358"/>
      <c r="DF81" s="358"/>
      <c r="DG81" s="358"/>
      <c r="DH81" s="358"/>
      <c r="DI81" s="358"/>
      <c r="DJ81" s="358"/>
      <c r="DK81" s="358"/>
      <c r="DL81" s="358"/>
      <c r="DM81" s="358"/>
      <c r="DN81" s="358"/>
      <c r="DO81" s="358"/>
      <c r="DP81" s="358"/>
      <c r="DQ81" s="358"/>
      <c r="DR81" s="358"/>
      <c r="DS81" s="358"/>
      <c r="DT81" s="358"/>
      <c r="DU81" s="358"/>
      <c r="DV81" s="358"/>
      <c r="DW81" s="358"/>
      <c r="DX81" s="358"/>
      <c r="DY81" s="358"/>
      <c r="DZ81" s="358"/>
      <c r="EA81" s="358"/>
      <c r="EB81" s="358"/>
      <c r="EC81" s="358"/>
      <c r="ED81" s="358"/>
      <c r="EE81" s="358"/>
      <c r="EF81" s="358"/>
      <c r="EG81" s="358"/>
      <c r="EH81" s="358"/>
      <c r="EI81" s="358"/>
      <c r="EJ81" s="358"/>
      <c r="EK81" s="358"/>
      <c r="EL81" s="358"/>
      <c r="EM81" s="358"/>
      <c r="EN81" s="358"/>
      <c r="EO81" s="358"/>
      <c r="EP81" s="358"/>
      <c r="EQ81" s="358"/>
      <c r="ER81" s="358"/>
      <c r="ES81" s="358"/>
      <c r="ET81" s="358"/>
      <c r="EU81" s="358"/>
      <c r="EV81" s="358"/>
      <c r="EW81" s="358"/>
      <c r="EX81" s="358"/>
      <c r="EY81" s="358"/>
      <c r="EZ81" s="371"/>
    </row>
    <row r="82" spans="1:156" s="262" customFormat="1" ht="10" customHeight="1" x14ac:dyDescent="0.25">
      <c r="A82" s="1813" t="s">
        <v>172</v>
      </c>
      <c r="B82" s="1814"/>
      <c r="C82" s="778" t="s">
        <v>168</v>
      </c>
      <c r="D82" s="1815" t="str">
        <f ca="1">IF(ISNUMBER(D81),AVERAGE(D81:E81),"")</f>
        <v/>
      </c>
      <c r="E82" s="1816"/>
      <c r="F82" s="261"/>
      <c r="G82" s="267"/>
      <c r="H82" s="274"/>
      <c r="I82" s="274"/>
      <c r="J82" s="274"/>
      <c r="K82" s="274"/>
      <c r="L82" s="266"/>
      <c r="AK82" s="357"/>
      <c r="AL82" s="358"/>
      <c r="AM82" s="358"/>
      <c r="AN82" s="358"/>
      <c r="AO82" s="358"/>
      <c r="AP82" s="358"/>
      <c r="AQ82" s="358"/>
      <c r="AR82" s="358"/>
      <c r="AS82" s="358"/>
      <c r="AT82" s="358"/>
      <c r="AU82" s="358"/>
      <c r="AV82" s="358"/>
      <c r="AW82" s="358"/>
      <c r="AX82" s="358"/>
      <c r="AY82" s="358"/>
      <c r="AZ82" s="358"/>
      <c r="BA82" s="358"/>
      <c r="BB82" s="367"/>
      <c r="BC82" s="358"/>
      <c r="BD82" s="358"/>
      <c r="BE82" s="358"/>
      <c r="BF82" s="358"/>
      <c r="BG82" s="358"/>
      <c r="BH82" s="358"/>
      <c r="BI82" s="358"/>
      <c r="BJ82" s="358"/>
      <c r="BK82" s="358"/>
      <c r="BL82" s="358"/>
      <c r="BM82" s="358"/>
      <c r="BN82" s="358"/>
      <c r="BO82" s="358"/>
      <c r="BP82" s="358"/>
      <c r="BQ82" s="358"/>
      <c r="BR82" s="358"/>
      <c r="BS82" s="358"/>
      <c r="BT82" s="358"/>
      <c r="BU82" s="358"/>
      <c r="BV82" s="358"/>
      <c r="BW82" s="358"/>
      <c r="BX82" s="358"/>
      <c r="BY82" s="358"/>
      <c r="BZ82" s="358"/>
      <c r="CA82" s="358"/>
      <c r="CB82" s="358"/>
      <c r="CC82" s="358"/>
      <c r="CD82" s="358"/>
      <c r="CE82" s="358"/>
      <c r="CF82" s="358"/>
      <c r="CG82" s="358"/>
      <c r="CH82" s="358"/>
      <c r="CI82" s="358"/>
      <c r="CJ82" s="358"/>
      <c r="CK82" s="358"/>
      <c r="CL82" s="358"/>
      <c r="CM82" s="358"/>
      <c r="CN82" s="358"/>
      <c r="CO82" s="358"/>
      <c r="CP82" s="358"/>
      <c r="CQ82" s="358"/>
      <c r="CR82" s="358"/>
      <c r="CS82" s="358"/>
      <c r="CT82" s="358"/>
      <c r="CU82" s="358"/>
      <c r="CV82" s="358"/>
      <c r="CW82" s="358"/>
      <c r="CX82" s="358"/>
      <c r="CY82" s="358"/>
      <c r="CZ82" s="358"/>
      <c r="DA82" s="358"/>
      <c r="DB82" s="358"/>
      <c r="DC82" s="358"/>
      <c r="DD82" s="358"/>
      <c r="DE82" s="358"/>
      <c r="DF82" s="358"/>
      <c r="DG82" s="358"/>
      <c r="DH82" s="358"/>
      <c r="DI82" s="358"/>
      <c r="DJ82" s="358"/>
      <c r="DK82" s="358"/>
      <c r="DL82" s="358"/>
      <c r="DM82" s="358"/>
      <c r="DN82" s="358"/>
      <c r="DO82" s="358"/>
      <c r="DP82" s="358"/>
      <c r="DQ82" s="358"/>
      <c r="DR82" s="358"/>
      <c r="DS82" s="358"/>
      <c r="DT82" s="358"/>
      <c r="DU82" s="358"/>
      <c r="DV82" s="358"/>
      <c r="DW82" s="358"/>
      <c r="DX82" s="358"/>
      <c r="DY82" s="358"/>
      <c r="DZ82" s="358"/>
      <c r="EA82" s="358"/>
      <c r="EB82" s="358"/>
      <c r="EC82" s="358"/>
      <c r="ED82" s="358"/>
      <c r="EE82" s="358"/>
      <c r="EF82" s="358"/>
      <c r="EG82" s="358"/>
      <c r="EH82" s="358"/>
      <c r="EI82" s="358"/>
      <c r="EJ82" s="358"/>
      <c r="EK82" s="358"/>
      <c r="EL82" s="358"/>
      <c r="EM82" s="358"/>
      <c r="EN82" s="358"/>
      <c r="EO82" s="358"/>
      <c r="EP82" s="358"/>
      <c r="EQ82" s="358"/>
      <c r="ER82" s="358"/>
      <c r="ES82" s="358"/>
      <c r="ET82" s="358"/>
      <c r="EU82" s="358"/>
      <c r="EV82" s="358"/>
      <c r="EW82" s="358"/>
      <c r="EX82" s="358"/>
      <c r="EY82" s="358"/>
      <c r="EZ82" s="371"/>
    </row>
    <row r="83" spans="1:156" ht="5.15" customHeight="1" x14ac:dyDescent="0.25">
      <c r="A83" s="1821"/>
      <c r="B83" s="1821"/>
      <c r="C83" s="1821"/>
      <c r="D83" s="1821"/>
      <c r="E83" s="1821"/>
      <c r="F83" s="1821"/>
      <c r="G83" s="1821"/>
      <c r="H83" s="1821"/>
      <c r="I83" s="1821"/>
      <c r="J83" s="1821"/>
      <c r="K83" s="1821"/>
      <c r="L83" s="1821"/>
      <c r="AK83" s="357"/>
      <c r="AL83" s="358"/>
      <c r="AM83" s="358"/>
      <c r="AN83" s="358"/>
      <c r="AO83" s="358"/>
      <c r="AP83" s="358"/>
      <c r="AQ83" s="358"/>
      <c r="AR83" s="358"/>
      <c r="AS83" s="358"/>
      <c r="AT83" s="358"/>
      <c r="AU83" s="358"/>
      <c r="AV83" s="358"/>
      <c r="AW83" s="358"/>
      <c r="AX83" s="358"/>
      <c r="AY83" s="358"/>
      <c r="AZ83" s="358"/>
      <c r="BA83" s="358"/>
      <c r="BB83" s="367"/>
      <c r="BC83" s="358"/>
      <c r="BD83" s="358"/>
      <c r="BE83" s="358"/>
      <c r="BF83" s="358"/>
      <c r="BG83" s="358"/>
      <c r="BH83" s="358"/>
      <c r="BI83" s="358"/>
      <c r="BJ83" s="358"/>
      <c r="BK83" s="358"/>
      <c r="BL83" s="358"/>
      <c r="BM83" s="358"/>
      <c r="BN83" s="358"/>
      <c r="BO83" s="358"/>
      <c r="BP83" s="358"/>
      <c r="BQ83" s="358"/>
      <c r="BR83" s="358"/>
      <c r="BS83" s="358"/>
      <c r="BT83" s="358"/>
      <c r="BU83" s="358"/>
      <c r="BV83" s="358"/>
      <c r="BW83" s="358"/>
      <c r="BX83" s="358"/>
      <c r="BY83" s="358"/>
      <c r="BZ83" s="358"/>
      <c r="CA83" s="358"/>
      <c r="CB83" s="358"/>
      <c r="CC83" s="358"/>
      <c r="CD83" s="358"/>
      <c r="CE83" s="358"/>
      <c r="CF83" s="358"/>
      <c r="CG83" s="358"/>
      <c r="CH83" s="358"/>
      <c r="CI83" s="358"/>
      <c r="CJ83" s="358"/>
      <c r="CK83" s="358"/>
      <c r="CL83" s="358"/>
      <c r="CM83" s="358"/>
      <c r="CN83" s="358"/>
      <c r="CO83" s="358"/>
      <c r="CP83" s="358"/>
      <c r="CQ83" s="358"/>
      <c r="CR83" s="358"/>
      <c r="CS83" s="358"/>
      <c r="CT83" s="358"/>
      <c r="CU83" s="358"/>
      <c r="CV83" s="358"/>
      <c r="CW83" s="358"/>
      <c r="CX83" s="358"/>
      <c r="CY83" s="358"/>
      <c r="CZ83" s="358"/>
      <c r="DA83" s="358"/>
      <c r="DB83" s="358"/>
      <c r="DC83" s="358"/>
      <c r="DD83" s="358"/>
      <c r="DE83" s="358"/>
      <c r="DF83" s="358"/>
      <c r="DG83" s="358"/>
      <c r="DH83" s="358"/>
      <c r="DI83" s="358"/>
      <c r="DJ83" s="358"/>
      <c r="DK83" s="358"/>
      <c r="DL83" s="358"/>
      <c r="DM83" s="358"/>
      <c r="DN83" s="358"/>
      <c r="DO83" s="358"/>
      <c r="DP83" s="358"/>
      <c r="DQ83" s="358"/>
      <c r="DR83" s="358"/>
      <c r="DS83" s="358"/>
      <c r="DT83" s="358"/>
      <c r="DU83" s="358"/>
      <c r="DV83" s="358"/>
      <c r="DW83" s="358"/>
      <c r="DX83" s="358"/>
      <c r="DY83" s="358"/>
      <c r="DZ83" s="358"/>
      <c r="EA83" s="358"/>
      <c r="EB83" s="358"/>
      <c r="EC83" s="358"/>
      <c r="ED83" s="358"/>
      <c r="EE83" s="358"/>
      <c r="EF83" s="358"/>
      <c r="EG83" s="358"/>
      <c r="EH83" s="358"/>
      <c r="EI83" s="358"/>
      <c r="EJ83" s="358"/>
      <c r="EK83" s="358"/>
      <c r="EL83" s="358"/>
      <c r="EM83" s="358"/>
      <c r="EN83" s="358"/>
      <c r="EO83" s="358"/>
      <c r="EP83" s="358"/>
      <c r="EQ83" s="358"/>
      <c r="ER83" s="358"/>
      <c r="ES83" s="358"/>
      <c r="ET83" s="358"/>
      <c r="EU83" s="358"/>
      <c r="EV83" s="358"/>
      <c r="EW83" s="358"/>
      <c r="EX83" s="358"/>
      <c r="EY83" s="358"/>
      <c r="EZ83" s="371"/>
    </row>
    <row r="84" spans="1:156" ht="11.15" customHeight="1" x14ac:dyDescent="0.25">
      <c r="A84" s="1822" t="s">
        <v>199</v>
      </c>
      <c r="B84" s="1823"/>
      <c r="C84" s="1824">
        <f ca="1">IF(OR($N$2="",$N$2=0),"",IF(INDIRECT(ADDRESS(($AK84),COLUMN()+18,,,"Digitar Dados dos Ensaios"))&lt;&gt;"",INDIRECT(ADDRESS(($AK84),COLUMN()+18,,,"Digitar Dados dos Ensaios")),""))</f>
        <v>28</v>
      </c>
      <c r="D84" s="1824" t="str">
        <f ca="1">IF(OR($N$2="",$N$2=0),"",IF(INDIRECT(ADDRESS(($AK84),COLUMN()+14,,,"Digitar Dados dos Ensaios"))&lt;&gt;"",INDIRECT(ADDRESS(($AK84),COLUMN()+14,,,"Digitar Dados dos Ensaios")),""))</f>
        <v/>
      </c>
      <c r="E84" s="1825" t="s">
        <v>200</v>
      </c>
      <c r="F84" s="269"/>
      <c r="G84" s="269"/>
      <c r="H84" s="269"/>
      <c r="I84" s="269"/>
      <c r="J84" s="269"/>
      <c r="K84" s="269"/>
      <c r="L84" s="270"/>
      <c r="AK84" s="357">
        <f>AK1+3</f>
        <v>7</v>
      </c>
      <c r="AL84" s="358"/>
      <c r="AM84" s="372" t="str">
        <f>IF(AL2=TRUE,MAX(AL6),IF(AL2=FALSE,""))</f>
        <v/>
      </c>
      <c r="AN84" s="372">
        <f ca="1">IF(AM2=TRUE,MAX(AM6),IF(AM2=FALSE,""))</f>
        <v>3.8586060232619943E-2</v>
      </c>
      <c r="AO84" s="372">
        <f ca="1">IF(AU1=TRUE,D82,IF(AN2=TRUE,MAX(AN6),IF(AN2=FALSE,"")))</f>
        <v>5.3721596155510309E-2</v>
      </c>
      <c r="AP84" s="372">
        <f ca="1">IF(AO2=TRUE,MAX(AO6),IF(AO2=FALSE,""))</f>
        <v>6.8857132078400676E-2</v>
      </c>
      <c r="AQ84" s="372" t="str">
        <f>IF(AP2=TRUE,MAX(AP6),IF(AP2=FALSE,""))</f>
        <v/>
      </c>
      <c r="AR84" s="372" t="str">
        <f>IF(AQ2=TRUE,MAX(AQ6),IF(AQ2=FALSE,""))</f>
        <v/>
      </c>
      <c r="AS84" s="373">
        <f ca="1">AVERAGE(AM84:AR84)</f>
        <v>5.3721596155510309E-2</v>
      </c>
      <c r="AT84" s="374" t="str">
        <f t="shared" ref="AT84:AY84" si="28">IF(ISNUMBER(AM87),AM87^2,"")</f>
        <v/>
      </c>
      <c r="AU84" s="374">
        <f t="shared" ca="1" si="28"/>
        <v>2.2908444767310475E-4</v>
      </c>
      <c r="AV84" s="374">
        <f t="shared" ca="1" si="28"/>
        <v>0</v>
      </c>
      <c r="AW84" s="374">
        <f t="shared" ca="1" si="28"/>
        <v>2.2908444767310475E-4</v>
      </c>
      <c r="AX84" s="374" t="str">
        <f t="shared" si="28"/>
        <v/>
      </c>
      <c r="AY84" s="374" t="str">
        <f t="shared" si="28"/>
        <v/>
      </c>
      <c r="AZ84" s="375">
        <f ca="1">SUM(AT84:AY84)</f>
        <v>4.5816889534620951E-4</v>
      </c>
      <c r="BA84" s="376" t="s">
        <v>28</v>
      </c>
      <c r="BB84" s="377">
        <f ca="1">IF(AU2=TRUE,IF(BA6&lt;&gt;"",BA6,""),IF(AU2=FALSE,D82))</f>
        <v>6.0207044400483523E-2</v>
      </c>
      <c r="BC84" s="358"/>
      <c r="BD84" s="394">
        <v>0.63</v>
      </c>
      <c r="BE84" s="395">
        <v>0.63</v>
      </c>
      <c r="BF84" s="395">
        <v>0.63</v>
      </c>
      <c r="BG84" s="396">
        <f ca="1">IF(D101&lt;&gt;"",D101,"")</f>
        <v>20878.650000000001</v>
      </c>
      <c r="BH84" s="396">
        <v>0</v>
      </c>
      <c r="BI84" s="396">
        <f ca="1">IF(D94&lt;&gt;"",D94,"")</f>
        <v>3715.2000000000003</v>
      </c>
      <c r="BJ84" s="395">
        <v>0.63</v>
      </c>
      <c r="BK84" s="395">
        <v>1.27</v>
      </c>
      <c r="BL84" s="395">
        <v>1.9</v>
      </c>
      <c r="BM84" s="395">
        <v>2.54</v>
      </c>
      <c r="BN84" s="395">
        <v>3.81</v>
      </c>
      <c r="BO84" s="395">
        <v>5.08</v>
      </c>
      <c r="BP84" s="395">
        <v>6.35</v>
      </c>
      <c r="BQ84" s="395">
        <v>7.62</v>
      </c>
      <c r="BR84" s="397">
        <f ca="1">IF(BJ85&lt;&gt;"",AVERAGE(BJ84:BQ84),"")</f>
        <v>3.65</v>
      </c>
      <c r="BS84" s="398">
        <f ca="1">IF(ISNUMBER(BJ89),BJ89^2,"")</f>
        <v>340.42833049000006</v>
      </c>
      <c r="BT84" s="398">
        <f t="shared" ref="BT84:BZ84" ca="1" si="29">IF(ISNUMBER(BK89),BK89^2,"")</f>
        <v>297.03488408999999</v>
      </c>
      <c r="BU84" s="398">
        <f t="shared" ca="1" si="29"/>
        <v>232.18445376000003</v>
      </c>
      <c r="BV84" s="398">
        <f t="shared" ca="1" si="29"/>
        <v>153.66081600000001</v>
      </c>
      <c r="BW84" s="398">
        <f t="shared" ca="1" si="29"/>
        <v>18.761892250000002</v>
      </c>
      <c r="BX84" s="398">
        <f t="shared" ca="1" si="29"/>
        <v>48.424897440000002</v>
      </c>
      <c r="BY84" s="398">
        <f t="shared" ca="1" si="29"/>
        <v>461.17133000999991</v>
      </c>
      <c r="BZ84" s="398">
        <f t="shared" ca="1" si="29"/>
        <v>1537.95740224</v>
      </c>
      <c r="CA84" s="398">
        <f ca="1">IF(BS84&lt;&gt;"",SUM(BS84:BZ84),"")</f>
        <v>3089.6240062799998</v>
      </c>
      <c r="CB84" s="399">
        <v>0</v>
      </c>
      <c r="CC84" s="399">
        <f ca="1">IF(CB85="","",IF(CB85&gt;0,CF87,-1))</f>
        <v>-1</v>
      </c>
      <c r="CD84" s="399">
        <f ca="1">IF(CB85="","",IF(CB85&gt;0,CH87,-1))</f>
        <v>-1</v>
      </c>
      <c r="CE84" s="399">
        <f ca="1">IF(CB85="","",IF(CB85&gt;0,(BV88*CE85)+BV89,-1))</f>
        <v>-1</v>
      </c>
      <c r="CF84" s="399">
        <f ca="1">IF(CB85="","",IF(CB85&gt;0,(BV88*CF85)+BV89,-1))</f>
        <v>-1</v>
      </c>
      <c r="CG84" s="399">
        <f ca="1">IF(CB85="","",IF(CB85&gt;0,CF87,-1))</f>
        <v>-1</v>
      </c>
      <c r="CH84" s="399">
        <f ca="1">IF(CB85="","",IF(CB85&gt;0,CF87,-1))</f>
        <v>-1</v>
      </c>
      <c r="CI84" s="399">
        <f ca="1">IF(CB85="","",IF(CB85&gt;0,CF87,-1))</f>
        <v>-1</v>
      </c>
      <c r="CJ84" s="400">
        <f ca="1">IF(CB85="","",IF(CB85&gt;0,CE84,-1))</f>
        <v>-1</v>
      </c>
      <c r="CK84" s="358"/>
      <c r="CL84" s="358"/>
      <c r="CM84" s="358"/>
      <c r="CN84" s="358"/>
      <c r="CO84" s="358"/>
      <c r="CP84" s="358"/>
      <c r="CQ84" s="358"/>
      <c r="CR84" s="358"/>
      <c r="CS84" s="358"/>
      <c r="CT84" s="358"/>
      <c r="CU84" s="358"/>
      <c r="CV84" s="358"/>
      <c r="CW84" s="358"/>
      <c r="CX84" s="358"/>
      <c r="CY84" s="358"/>
      <c r="CZ84" s="358"/>
      <c r="DA84" s="358"/>
      <c r="DB84" s="358"/>
      <c r="DC84" s="358"/>
      <c r="DD84" s="358"/>
      <c r="DE84" s="358"/>
      <c r="DF84" s="358"/>
      <c r="DG84" s="358"/>
      <c r="DH84" s="358"/>
      <c r="DI84" s="358"/>
      <c r="DJ84" s="358"/>
      <c r="DK84" s="358"/>
      <c r="DL84" s="358"/>
      <c r="DM84" s="358"/>
      <c r="DN84" s="358"/>
      <c r="DO84" s="358"/>
      <c r="DP84" s="358"/>
      <c r="DQ84" s="358"/>
      <c r="DR84" s="358"/>
      <c r="DS84" s="358"/>
      <c r="DT84" s="358"/>
      <c r="DU84" s="358"/>
      <c r="DV84" s="358"/>
      <c r="DW84" s="358"/>
      <c r="DX84" s="358"/>
      <c r="DY84" s="358"/>
      <c r="DZ84" s="358"/>
      <c r="EA84" s="358"/>
      <c r="EB84" s="358"/>
      <c r="EC84" s="358"/>
      <c r="ED84" s="358"/>
      <c r="EE84" s="358"/>
      <c r="EF84" s="358"/>
      <c r="EG84" s="358"/>
      <c r="EH84" s="358"/>
      <c r="EI84" s="358"/>
      <c r="EJ84" s="358"/>
      <c r="EK84" s="358"/>
      <c r="EL84" s="358"/>
      <c r="EM84" s="358"/>
      <c r="EN84" s="358"/>
      <c r="EO84" s="358"/>
      <c r="EP84" s="358"/>
      <c r="EQ84" s="358"/>
      <c r="ER84" s="358"/>
      <c r="ES84" s="358"/>
      <c r="ET84" s="358"/>
      <c r="EU84" s="358"/>
      <c r="EV84" s="358"/>
      <c r="EW84" s="358"/>
      <c r="EX84" s="358"/>
      <c r="EY84" s="358"/>
      <c r="EZ84" s="371"/>
    </row>
    <row r="85" spans="1:156" s="230" customFormat="1" ht="11.15" customHeight="1" x14ac:dyDescent="0.25">
      <c r="A85" s="1247">
        <f ca="1">IF(OR($N$2="",$N$2=0),"",IF(INDIRECT(ADDRESS(($AK85),COLUMN()+22,,,"Digitar Dados dos Ensaios"))&lt;&gt;"",INDIRECT(ADDRESS(($AK85),COLUMN()+22,,,"Digitar Dados dos Ensaios")),""))</f>
        <v>19.350000000000001</v>
      </c>
      <c r="B85" s="768" t="s">
        <v>57</v>
      </c>
      <c r="C85" s="768" t="s">
        <v>201</v>
      </c>
      <c r="D85" s="768" t="s">
        <v>17</v>
      </c>
      <c r="E85" s="1826"/>
      <c r="F85" s="271"/>
      <c r="G85" s="271"/>
      <c r="H85" s="271"/>
      <c r="I85" s="271"/>
      <c r="J85" s="271"/>
      <c r="K85" s="271"/>
      <c r="L85" s="1248"/>
      <c r="AK85" s="357">
        <f>AK84+2</f>
        <v>9</v>
      </c>
      <c r="AL85" s="358"/>
      <c r="AM85" s="401"/>
      <c r="AN85" s="401">
        <f ca="1">IF(AN84&lt;&gt;"",MAX(E94:E101)*100,"")</f>
        <v>15027.166698274228</v>
      </c>
      <c r="AO85" s="401">
        <f ca="1">IF(AO84&lt;&gt;"",MAX(E113:E120)*100,"")</f>
        <v>20146.311397686331</v>
      </c>
      <c r="AP85" s="401">
        <f ca="1">IF(AP84&lt;&gt;"",MAX(E132:E139)*100,"")</f>
        <v>16567.629071255869</v>
      </c>
      <c r="AQ85" s="401"/>
      <c r="AR85" s="401" t="str">
        <f>IF(AR84&lt;&gt;"",MAX(#REF!)*100,"")</f>
        <v/>
      </c>
      <c r="AS85" s="374">
        <f ca="1">AVERAGE(AM85:AR85)</f>
        <v>17247.035722405475</v>
      </c>
      <c r="AT85" s="374" t="str">
        <f t="shared" ref="AT85:AY85" si="30">IF(ISNUMBER(AM89),AM89^2,"")</f>
        <v/>
      </c>
      <c r="AU85" s="374">
        <f t="shared" ca="1" si="30"/>
        <v>2.4020313472979895E-6</v>
      </c>
      <c r="AV85" s="374">
        <f t="shared" ca="1" si="30"/>
        <v>2.3324304073640619E-8</v>
      </c>
      <c r="AW85" s="374">
        <f t="shared" ca="1" si="30"/>
        <v>2.8987506641835316E-6</v>
      </c>
      <c r="AX85" s="374" t="str">
        <f t="shared" si="30"/>
        <v/>
      </c>
      <c r="AY85" s="374" t="str">
        <f t="shared" si="30"/>
        <v/>
      </c>
      <c r="AZ85" s="375">
        <f ca="1">SUM(AT85:AY85)</f>
        <v>5.324106315555162E-6</v>
      </c>
      <c r="BA85" s="376" t="s">
        <v>47</v>
      </c>
      <c r="BB85" s="402">
        <f ca="1">IF(AU1=TRUE,AO85,(AU90*BB84^2+AW90*BB84+AY90))</f>
        <v>19677.86684635804</v>
      </c>
      <c r="BC85" s="358"/>
      <c r="BD85" s="403">
        <v>1.27</v>
      </c>
      <c r="BE85" s="404">
        <v>1.27</v>
      </c>
      <c r="BF85" s="404">
        <v>1.27</v>
      </c>
      <c r="BG85" s="401">
        <f t="shared" ref="BG85:BG91" ca="1" si="31">IF(BG84&lt;&gt;"",BG84,"")</f>
        <v>20878.650000000001</v>
      </c>
      <c r="BH85" s="401">
        <v>0</v>
      </c>
      <c r="BI85" s="401">
        <f t="shared" ref="BI85:BI91" ca="1" si="32">IF(D95&lt;&gt;"",D95,"")</f>
        <v>6288.7500000000009</v>
      </c>
      <c r="BJ85" s="405">
        <f ca="1">IF(ISNUMBER($BI84),$BI84,"")</f>
        <v>3715.2000000000003</v>
      </c>
      <c r="BK85" s="405">
        <f ca="1">IF(ISNUMBER($BI85),$BI85,"")</f>
        <v>6288.7500000000009</v>
      </c>
      <c r="BL85" s="405">
        <f ca="1">IF(ISNUMBER($BI86),$BI86,"")</f>
        <v>7933.5000000000009</v>
      </c>
      <c r="BM85" s="405">
        <f ca="1">IF(ISNUMBER($BI87),$BI87,"")</f>
        <v>10565.1</v>
      </c>
      <c r="BN85" s="405">
        <f ca="1">IF(ISNUMBER($BI88),$BI88,"")</f>
        <v>13738.500000000002</v>
      </c>
      <c r="BO85" s="405">
        <f ca="1">IF(ISNUMBER($BI89),$BI89,"")</f>
        <v>15847.650000000001</v>
      </c>
      <c r="BP85" s="405">
        <f ca="1">IF(ISNUMBER($BI90),$BI90,"")</f>
        <v>17956.800000000003</v>
      </c>
      <c r="BQ85" s="405">
        <f ca="1">IF(ISNUMBER($BI91),$BI91,"")</f>
        <v>20878.650000000001</v>
      </c>
      <c r="BR85" s="405">
        <f ca="1">IF(BJ85&lt;&gt;"",AVERAGE(BJ85:BQ85),"")</f>
        <v>12115.518749999999</v>
      </c>
      <c r="BS85" s="406">
        <f ca="1">IF(ISERROR(BJ87*BJ88),"",BJ87*BJ88)</f>
        <v>25368.962624999996</v>
      </c>
      <c r="BT85" s="406">
        <f t="shared" ref="BT85:BZ86" ca="1" si="33">IF(ISERROR(BK87*BK88),"",BK87*BK88)</f>
        <v>13867.709624999996</v>
      </c>
      <c r="BU85" s="406">
        <f t="shared" ca="1" si="33"/>
        <v>7318.5328124999969</v>
      </c>
      <c r="BV85" s="406">
        <f t="shared" ca="1" si="33"/>
        <v>1720.9648124999985</v>
      </c>
      <c r="BW85" s="406">
        <f t="shared" ca="1" si="33"/>
        <v>259.67700000000065</v>
      </c>
      <c r="BX85" s="406">
        <f t="shared" ca="1" si="33"/>
        <v>5336.9476875000037</v>
      </c>
      <c r="BY85" s="406">
        <f t="shared" ca="1" si="33"/>
        <v>15771.459375000008</v>
      </c>
      <c r="BZ85" s="406">
        <f t="shared" ca="1" si="33"/>
        <v>34789.631062500011</v>
      </c>
      <c r="CA85" s="406">
        <f ca="1">IF(BS85&lt;&gt;"",SUM(BS85:BZ85),"")</f>
        <v>104433.88500000001</v>
      </c>
      <c r="CB85" s="407">
        <f ca="1">IF(BV89&lt;&gt;"",(CB84-BV89)/BV88,"")</f>
        <v>-1.5568998821121223</v>
      </c>
      <c r="CC85" s="408">
        <f ca="1">IF(CB85="","",IF(CB85&gt;0,(CF86+CB85),-1))</f>
        <v>-1</v>
      </c>
      <c r="CD85" s="408">
        <f ca="1">IF(CB85="","",IF(CB85&gt;0,CH86+CB85,-1))</f>
        <v>-1</v>
      </c>
      <c r="CE85" s="408">
        <f ca="1">IF(CB85="","",IF(CB85&gt;0,CC85,-1))</f>
        <v>-1</v>
      </c>
      <c r="CF85" s="408">
        <f ca="1">IF(CB85="","",IF(CB85&gt;0,CD85,-1))</f>
        <v>-1</v>
      </c>
      <c r="CG85" s="408">
        <f ca="1">IF(CB85="","",IF(CB85&gt;0,CF86,-1))</f>
        <v>-1</v>
      </c>
      <c r="CH85" s="408">
        <f ca="1">IF(CB85="","",IF(CB85&gt;0,CC85,-1))</f>
        <v>-1</v>
      </c>
      <c r="CI85" s="408">
        <f ca="1">IF(CB85="","",IF(CB85&gt;0,CE85,-1))</f>
        <v>-1</v>
      </c>
      <c r="CJ85" s="409">
        <f ca="1">IF(CB85="","",IF(CB85&gt;0,CE85,-1))</f>
        <v>-1</v>
      </c>
      <c r="CK85" s="358"/>
      <c r="CL85" s="358"/>
      <c r="CM85" s="358"/>
      <c r="CN85" s="358"/>
      <c r="CO85" s="358"/>
      <c r="CP85" s="358"/>
      <c r="CQ85" s="358"/>
      <c r="CR85" s="358"/>
      <c r="CS85" s="358"/>
      <c r="CT85" s="358"/>
      <c r="CU85" s="358"/>
      <c r="CV85" s="358"/>
      <c r="CW85" s="358"/>
      <c r="CX85" s="358"/>
      <c r="CY85" s="358"/>
      <c r="CZ85" s="358"/>
      <c r="DA85" s="358"/>
      <c r="DB85" s="358"/>
      <c r="DC85" s="358"/>
      <c r="DD85" s="358"/>
      <c r="DE85" s="358"/>
      <c r="DF85" s="358"/>
      <c r="DG85" s="358"/>
      <c r="DH85" s="358"/>
      <c r="DI85" s="358"/>
      <c r="DJ85" s="358"/>
      <c r="DK85" s="358"/>
      <c r="DL85" s="358"/>
      <c r="DM85" s="358"/>
      <c r="DN85" s="358"/>
      <c r="DO85" s="358"/>
      <c r="DP85" s="358"/>
      <c r="DQ85" s="358"/>
      <c r="DR85" s="358"/>
      <c r="DS85" s="358"/>
      <c r="DT85" s="358"/>
      <c r="DU85" s="358"/>
      <c r="DV85" s="358"/>
      <c r="DW85" s="358"/>
      <c r="DX85" s="358"/>
      <c r="DY85" s="358"/>
      <c r="DZ85" s="358"/>
      <c r="EA85" s="358"/>
      <c r="EB85" s="358"/>
      <c r="EC85" s="358"/>
      <c r="ED85" s="358"/>
      <c r="EE85" s="358"/>
      <c r="EF85" s="358"/>
      <c r="EG85" s="358"/>
      <c r="EH85" s="358"/>
      <c r="EI85" s="358"/>
      <c r="EJ85" s="358"/>
      <c r="EK85" s="358"/>
      <c r="EL85" s="358"/>
      <c r="EM85" s="358"/>
      <c r="EN85" s="358"/>
      <c r="EO85" s="358"/>
      <c r="EP85" s="358"/>
      <c r="EQ85" s="358"/>
      <c r="ER85" s="358"/>
      <c r="ES85" s="358"/>
      <c r="ET85" s="358"/>
      <c r="EU85" s="358"/>
      <c r="EV85" s="358"/>
      <c r="EW85" s="358"/>
      <c r="EX85" s="358"/>
      <c r="EY85" s="358"/>
      <c r="EZ85" s="371"/>
    </row>
    <row r="86" spans="1:156" s="20" customFormat="1" ht="11.15" customHeight="1" x14ac:dyDescent="0.25">
      <c r="A86" s="1827" t="s">
        <v>202</v>
      </c>
      <c r="B86" s="779">
        <f ca="1">IF($K$70&lt;&gt;"",$K$70,"")</f>
        <v>45804</v>
      </c>
      <c r="C86" s="780" t="str">
        <f ca="1">IF(OR($N$2="",$N$2=0),"",IF(INDIRECT(ADDRESS(($AK86),COLUMN()+19,,,"Digitar Dados dos Ensaios"))&lt;&gt;"",INDIRECT(ADDRESS(($AK86),COLUMN()+19,,,"Digitar Dados dos Ensaios")),""))</f>
        <v/>
      </c>
      <c r="D86" s="781">
        <f ca="1">IF(OR($N$2="",$N$2=0),"",IF(INDIRECT(ADDRESS(($AL86),COLUMN()+22,,,"Digitar Dados dos Ensaios"))&lt;&gt;"",INDIRECT(ADDRESS(($AL86),COLUMN()+22,,,"Digitar Dados dos Ensaios")),""))</f>
        <v>1</v>
      </c>
      <c r="E86" s="1826"/>
      <c r="F86" s="271"/>
      <c r="G86" s="271"/>
      <c r="H86" s="271"/>
      <c r="I86" s="271"/>
      <c r="J86" s="271"/>
      <c r="K86" s="271"/>
      <c r="L86" s="1248"/>
      <c r="N86" s="268"/>
      <c r="AK86" s="357">
        <f>AK84</f>
        <v>7</v>
      </c>
      <c r="AL86" s="368">
        <f>AK1+3</f>
        <v>7</v>
      </c>
      <c r="AM86" s="380" t="str">
        <f t="shared" ref="AM86:AR86" si="34">IF(ISNUMBER(AM84),AM84^2,"")</f>
        <v/>
      </c>
      <c r="AN86" s="380">
        <f t="shared" ca="1" si="34"/>
        <v>1.4888840442753742E-3</v>
      </c>
      <c r="AO86" s="380">
        <f t="shared" ca="1" si="34"/>
        <v>2.8860098934957402E-3</v>
      </c>
      <c r="AP86" s="380">
        <f t="shared" ca="1" si="34"/>
        <v>4.7413046380623157E-3</v>
      </c>
      <c r="AQ86" s="380" t="str">
        <f t="shared" si="34"/>
        <v/>
      </c>
      <c r="AR86" s="381" t="str">
        <f t="shared" si="34"/>
        <v/>
      </c>
      <c r="AS86" s="374">
        <f ca="1">AVERAGE(AM86:AR86)</f>
        <v>3.0387328586111433E-3</v>
      </c>
      <c r="AT86" s="374" t="str">
        <f t="shared" ref="AT86:AY86" si="35">IF(ISERROR(AM88*AM88),"",AM87*AM88)</f>
        <v/>
      </c>
      <c r="AU86" s="374">
        <f t="shared" ca="1" si="35"/>
        <v>33.59890735885007</v>
      </c>
      <c r="AV86" s="374">
        <f t="shared" ca="1" si="35"/>
        <v>0</v>
      </c>
      <c r="AW86" s="374">
        <f t="shared" ca="1" si="35"/>
        <v>-10.283183774725501</v>
      </c>
      <c r="AX86" s="374" t="str">
        <f t="shared" si="35"/>
        <v/>
      </c>
      <c r="AY86" s="374" t="str">
        <f t="shared" si="35"/>
        <v/>
      </c>
      <c r="AZ86" s="375">
        <f ca="1">SUM(AT86:AY86)</f>
        <v>23.315723584124569</v>
      </c>
      <c r="BA86" s="382"/>
      <c r="BB86" s="383"/>
      <c r="BC86" s="358"/>
      <c r="BD86" s="403">
        <v>1.9</v>
      </c>
      <c r="BE86" s="404">
        <v>1.9</v>
      </c>
      <c r="BF86" s="404">
        <v>1.9</v>
      </c>
      <c r="BG86" s="401">
        <f t="shared" ca="1" si="31"/>
        <v>20878.650000000001</v>
      </c>
      <c r="BH86" s="401">
        <v>0</v>
      </c>
      <c r="BI86" s="401">
        <f t="shared" ca="1" si="32"/>
        <v>7933.5000000000009</v>
      </c>
      <c r="BJ86" s="405">
        <f ca="1">IF(BJ85&lt;&gt;"",BJ84^2,"")</f>
        <v>0.39690000000000003</v>
      </c>
      <c r="BK86" s="405">
        <f t="shared" ref="BK86:BQ86" ca="1" si="36">IF(BK85&lt;&gt;"",BK84^2,"")</f>
        <v>1.6129</v>
      </c>
      <c r="BL86" s="405">
        <f t="shared" ca="1" si="36"/>
        <v>3.61</v>
      </c>
      <c r="BM86" s="405">
        <f t="shared" ca="1" si="36"/>
        <v>6.4516</v>
      </c>
      <c r="BN86" s="405">
        <f t="shared" ca="1" si="36"/>
        <v>14.5161</v>
      </c>
      <c r="BO86" s="405">
        <f t="shared" ca="1" si="36"/>
        <v>25.8064</v>
      </c>
      <c r="BP86" s="405">
        <f t="shared" ca="1" si="36"/>
        <v>40.322499999999998</v>
      </c>
      <c r="BQ86" s="405">
        <f t="shared" ca="1" si="36"/>
        <v>58.064399999999999</v>
      </c>
      <c r="BR86" s="405">
        <f ca="1">IF(BJ86&lt;&gt;"",AVERAGE(BJ86:BQ86),"")</f>
        <v>18.8476</v>
      </c>
      <c r="BS86" s="406">
        <f ca="1">IF(ISERROR(BJ88*BJ89),"",BJ88*BJ89)</f>
        <v>154991.76116062497</v>
      </c>
      <c r="BT86" s="406">
        <f t="shared" ca="1" si="33"/>
        <v>100422.61137562497</v>
      </c>
      <c r="BU86" s="406">
        <f t="shared" ca="1" si="33"/>
        <v>63723.928904999979</v>
      </c>
      <c r="BV86" s="406">
        <f t="shared" ca="1" si="33"/>
        <v>19218.990824999986</v>
      </c>
      <c r="BW86" s="406">
        <f t="shared" ca="1" si="33"/>
        <v>-7029.943284375011</v>
      </c>
      <c r="BX86" s="406">
        <f t="shared" ca="1" si="33"/>
        <v>25971.154942500016</v>
      </c>
      <c r="BY86" s="406">
        <f t="shared" ca="1" si="33"/>
        <v>125440.93071562507</v>
      </c>
      <c r="BZ86" s="406">
        <f t="shared" ca="1" si="33"/>
        <v>343661.96560500009</v>
      </c>
      <c r="CA86" s="406">
        <f ca="1">IF(BS86&lt;&gt;"",SUM(BS86:BZ86),"")</f>
        <v>826401.40024500003</v>
      </c>
      <c r="CB86" s="408">
        <v>0</v>
      </c>
      <c r="CC86" s="408">
        <v>0.63</v>
      </c>
      <c r="CD86" s="408">
        <v>1.27</v>
      </c>
      <c r="CE86" s="408">
        <v>1.9</v>
      </c>
      <c r="CF86" s="408">
        <v>2.54</v>
      </c>
      <c r="CG86" s="408">
        <v>3.81</v>
      </c>
      <c r="CH86" s="408">
        <v>5.08</v>
      </c>
      <c r="CI86" s="408">
        <v>6.35</v>
      </c>
      <c r="CJ86" s="409">
        <v>7.62</v>
      </c>
      <c r="CK86" s="358"/>
      <c r="CL86" s="358"/>
      <c r="CM86" s="358"/>
      <c r="CN86" s="358"/>
      <c r="CO86" s="358"/>
      <c r="CP86" s="358"/>
      <c r="CQ86" s="358"/>
      <c r="CR86" s="358"/>
      <c r="CS86" s="358"/>
      <c r="CT86" s="358"/>
      <c r="CU86" s="358"/>
      <c r="CV86" s="358"/>
      <c r="CW86" s="358"/>
      <c r="CX86" s="358"/>
      <c r="CY86" s="358"/>
      <c r="CZ86" s="358"/>
      <c r="DA86" s="358"/>
      <c r="DB86" s="358"/>
      <c r="DC86" s="358"/>
      <c r="DD86" s="358"/>
      <c r="DE86" s="358"/>
      <c r="DF86" s="358"/>
      <c r="DG86" s="358"/>
      <c r="DH86" s="358"/>
      <c r="DI86" s="358"/>
      <c r="DJ86" s="358"/>
      <c r="DK86" s="358"/>
      <c r="DL86" s="358"/>
      <c r="DM86" s="358"/>
      <c r="DN86" s="358"/>
      <c r="DO86" s="358"/>
      <c r="DP86" s="358"/>
      <c r="DQ86" s="358"/>
      <c r="DR86" s="358"/>
      <c r="DS86" s="358"/>
      <c r="DT86" s="358"/>
      <c r="DU86" s="358"/>
      <c r="DV86" s="358"/>
      <c r="DW86" s="358"/>
      <c r="DX86" s="358"/>
      <c r="DY86" s="358"/>
      <c r="DZ86" s="358"/>
      <c r="EA86" s="358"/>
      <c r="EB86" s="358"/>
      <c r="EC86" s="358"/>
      <c r="ED86" s="358"/>
      <c r="EE86" s="358"/>
      <c r="EF86" s="358"/>
      <c r="EG86" s="358"/>
      <c r="EH86" s="358"/>
      <c r="EI86" s="358"/>
      <c r="EJ86" s="358"/>
      <c r="EK86" s="358"/>
      <c r="EL86" s="358"/>
      <c r="EM86" s="358"/>
      <c r="EN86" s="358"/>
      <c r="EO86" s="358"/>
      <c r="EP86" s="358"/>
      <c r="EQ86" s="358"/>
      <c r="ER86" s="358"/>
      <c r="ES86" s="358"/>
      <c r="ET86" s="358"/>
      <c r="EU86" s="358"/>
      <c r="EV86" s="358"/>
      <c r="EW86" s="358"/>
      <c r="EX86" s="358"/>
      <c r="EY86" s="358"/>
      <c r="EZ86" s="371"/>
    </row>
    <row r="87" spans="1:156" s="20" customFormat="1" ht="11.15" customHeight="1" x14ac:dyDescent="0.25">
      <c r="A87" s="1827"/>
      <c r="B87" s="779">
        <f ca="1">IF(ISNUMBER(B86),B86+1,"")</f>
        <v>45805</v>
      </c>
      <c r="C87" s="780" t="str">
        <f ca="1">IF(OR($N$2="",$N$2=0),"",IF(INDIRECT(ADDRESS(($AK87),COLUMN()+20,,,"Digitar Dados dos Ensaios"))&lt;&gt;"",INDIRECT(ADDRESS(($AK87),COLUMN()+20,,,"Digitar Dados dos Ensaios")),""))</f>
        <v/>
      </c>
      <c r="D87" s="781">
        <f ca="1">IF(OR($N$2="",$N$2=0),"",IF(INDIRECT(ADDRESS(($AL87),COLUMN()+23,,,"Digitar Dados dos Ensaios"))&lt;&gt;"",INDIRECT(ADDRESS(($AL87),COLUMN()+23,,,"Digitar Dados dos Ensaios")),""))</f>
        <v>1</v>
      </c>
      <c r="E87" s="1826"/>
      <c r="F87" s="271"/>
      <c r="G87" s="271"/>
      <c r="H87" s="271"/>
      <c r="I87" s="271"/>
      <c r="J87" s="271"/>
      <c r="K87" s="271"/>
      <c r="L87" s="1248"/>
      <c r="AK87" s="357">
        <f t="shared" ref="AK87:AL89" si="37">AK86</f>
        <v>7</v>
      </c>
      <c r="AL87" s="368">
        <f t="shared" si="37"/>
        <v>7</v>
      </c>
      <c r="AM87" s="380" t="str">
        <f>IF(ISNUMBER(AM84),AM84-$AS84,"")</f>
        <v/>
      </c>
      <c r="AN87" s="380">
        <f t="shared" ref="AN87:AR89" ca="1" si="38">IF(ISNUMBER(AN84),AN84-$AS84,"")</f>
        <v>-1.5135535922890367E-2</v>
      </c>
      <c r="AO87" s="380">
        <f t="shared" ca="1" si="38"/>
        <v>0</v>
      </c>
      <c r="AP87" s="380">
        <f t="shared" ca="1" si="38"/>
        <v>1.5135535922890367E-2</v>
      </c>
      <c r="AQ87" s="380" t="str">
        <f t="shared" si="38"/>
        <v/>
      </c>
      <c r="AR87" s="380" t="str">
        <f t="shared" si="38"/>
        <v/>
      </c>
      <c r="AS87" s="384"/>
      <c r="AT87" s="374" t="str">
        <f t="shared" ref="AT87:AY87" si="39">IF(ISERROR(AM88*AM89),"",AM88*AM89)</f>
        <v/>
      </c>
      <c r="AU87" s="374">
        <f t="shared" ca="1" si="39"/>
        <v>3.4404613750305142</v>
      </c>
      <c r="AV87" s="374">
        <f t="shared" ca="1" si="39"/>
        <v>-0.44278597781585488</v>
      </c>
      <c r="AW87" s="374">
        <f t="shared" ca="1" si="39"/>
        <v>-1.1567385910187462</v>
      </c>
      <c r="AX87" s="374" t="str">
        <f t="shared" si="39"/>
        <v/>
      </c>
      <c r="AY87" s="374" t="str">
        <f t="shared" si="39"/>
        <v/>
      </c>
      <c r="AZ87" s="375">
        <f ca="1">SUM(AT87:AY87)</f>
        <v>1.8409368061959133</v>
      </c>
      <c r="BA87" s="709"/>
      <c r="BB87" s="385"/>
      <c r="BC87" s="358"/>
      <c r="BD87" s="403">
        <v>2.54</v>
      </c>
      <c r="BE87" s="404">
        <v>2.54</v>
      </c>
      <c r="BF87" s="404">
        <v>2.54</v>
      </c>
      <c r="BG87" s="401">
        <f t="shared" ca="1" si="31"/>
        <v>20878.650000000001</v>
      </c>
      <c r="BH87" s="401">
        <v>0</v>
      </c>
      <c r="BI87" s="401">
        <f t="shared" ca="1" si="32"/>
        <v>10565.1</v>
      </c>
      <c r="BJ87" s="410">
        <f ca="1">IF(ISNUMBER(BJ85),BJ84-BR84,"")</f>
        <v>-3.02</v>
      </c>
      <c r="BK87" s="410">
        <f ca="1">IF(ISNUMBER(BK85),BK84-BR84,"")</f>
        <v>-2.38</v>
      </c>
      <c r="BL87" s="410">
        <f ca="1">IF(ISNUMBER(BL85),BL84-BR84,"")</f>
        <v>-1.75</v>
      </c>
      <c r="BM87" s="410">
        <f ca="1">IF(ISNUMBER(BM85),BM84-BR84,"")</f>
        <v>-1.1099999999999999</v>
      </c>
      <c r="BN87" s="410">
        <f ca="1">IF(ISNUMBER(BN85),BN84-BR84,"")</f>
        <v>0.16000000000000014</v>
      </c>
      <c r="BO87" s="410">
        <f ca="1">IF(ISNUMBER(BO85),BO84-BR84,"")</f>
        <v>1.4300000000000002</v>
      </c>
      <c r="BP87" s="410">
        <f ca="1">IF(ISNUMBER(BP85),BP84-BR84,"")</f>
        <v>2.6999999999999997</v>
      </c>
      <c r="BQ87" s="410">
        <f ca="1">IF(ISNUMBER(BQ85),BQ84-BR84,"")</f>
        <v>3.97</v>
      </c>
      <c r="BR87" s="411">
        <f ca="1">IF(BJ87&lt;&gt;"",SUM(BJ87:BQ87),"")</f>
        <v>0</v>
      </c>
      <c r="BS87" s="406">
        <f ca="1">IF(ISERROR(BJ87*BJ89),"",BJ87*BJ89)</f>
        <v>55.721114000000007</v>
      </c>
      <c r="BT87" s="406">
        <f t="shared" ref="BT87:BZ87" ca="1" si="40">IF(ISERROR(BK87*BK89),"",BK87*BK89)</f>
        <v>41.018585999999999</v>
      </c>
      <c r="BU87" s="406">
        <f t="shared" ca="1" si="40"/>
        <v>26.665800000000001</v>
      </c>
      <c r="BV87" s="406">
        <f t="shared" ca="1" si="40"/>
        <v>13.759559999999999</v>
      </c>
      <c r="BW87" s="406">
        <f t="shared" ca="1" si="40"/>
        <v>-0.69304000000000066</v>
      </c>
      <c r="BX87" s="406">
        <f t="shared" ca="1" si="40"/>
        <v>9.9510840000000016</v>
      </c>
      <c r="BY87" s="406">
        <f t="shared" ca="1" si="40"/>
        <v>57.982229999999987</v>
      </c>
      <c r="BZ87" s="406">
        <f t="shared" ca="1" si="40"/>
        <v>155.690696</v>
      </c>
      <c r="CA87" s="412">
        <f ca="1">IF(BS87&lt;&gt;"",SUM(BS87:BZ87),"")</f>
        <v>360.09603000000004</v>
      </c>
      <c r="CB87" s="408">
        <f ca="1">IF(CB85="","",IF(CB85&gt;0,(BV88*CB86)+BV89,-1))</f>
        <v>-1</v>
      </c>
      <c r="CC87" s="408">
        <f ca="1">IF(CB85="","",IF(CB85&gt;0,(BV88*CC86)+BV89,-1))</f>
        <v>-1</v>
      </c>
      <c r="CD87" s="408">
        <f ca="1">IF(CB85="","",IF(CB85&gt;0,(BV88*CD86)+BV89,-1))</f>
        <v>-1</v>
      </c>
      <c r="CE87" s="408">
        <f ca="1">IF(CB85="","",IF(CB85&gt;0,(BV88*CE86)+BV89,-1))</f>
        <v>-1</v>
      </c>
      <c r="CF87" s="408">
        <f ca="1">IF(CB85="","",IF(CB85&gt;0,(BV88*CF86)+BV89,-1))</f>
        <v>-1</v>
      </c>
      <c r="CG87" s="408">
        <f ca="1">IF(CB85="","",IF(CB85&gt;0,(BV88*CG86)+BV89,-1))</f>
        <v>-1</v>
      </c>
      <c r="CH87" s="408">
        <f ca="1">IF(CB85="","",IF(CB85&gt;0,(BV88*CH86)+BV89,-1))</f>
        <v>-1</v>
      </c>
      <c r="CI87" s="408">
        <f ca="1">IF(CB85="","",IF(CB85&gt;0,(BV88*CI86)+BV89,-1))</f>
        <v>-1</v>
      </c>
      <c r="CJ87" s="409">
        <f ca="1">IF(CB85="","",IF(CB85&gt;0,(BV88*CJ86)+BV89,-1))</f>
        <v>-1</v>
      </c>
      <c r="CK87" s="358"/>
      <c r="CL87" s="358"/>
      <c r="CM87" s="358"/>
      <c r="CN87" s="358"/>
      <c r="CO87" s="358"/>
      <c r="CP87" s="358"/>
      <c r="CQ87" s="358"/>
      <c r="CR87" s="358"/>
      <c r="CS87" s="358"/>
      <c r="CT87" s="358"/>
      <c r="CU87" s="358"/>
      <c r="CV87" s="358"/>
      <c r="CW87" s="358"/>
      <c r="CX87" s="358"/>
      <c r="CY87" s="358"/>
      <c r="CZ87" s="358"/>
      <c r="DA87" s="358"/>
      <c r="DB87" s="358"/>
      <c r="DC87" s="358"/>
      <c r="DD87" s="358"/>
      <c r="DE87" s="358"/>
      <c r="DF87" s="358"/>
      <c r="DG87" s="358"/>
      <c r="DH87" s="358"/>
      <c r="DI87" s="358"/>
      <c r="DJ87" s="358"/>
      <c r="DK87" s="358"/>
      <c r="DL87" s="358"/>
      <c r="DM87" s="358"/>
      <c r="DN87" s="358"/>
      <c r="DO87" s="358"/>
      <c r="DP87" s="358"/>
      <c r="DQ87" s="358"/>
      <c r="DR87" s="358"/>
      <c r="DS87" s="358"/>
      <c r="DT87" s="358"/>
      <c r="DU87" s="358"/>
      <c r="DV87" s="358"/>
      <c r="DW87" s="358"/>
      <c r="DX87" s="358"/>
      <c r="DY87" s="358"/>
      <c r="DZ87" s="358"/>
      <c r="EA87" s="358"/>
      <c r="EB87" s="358"/>
      <c r="EC87" s="358"/>
      <c r="ED87" s="358"/>
      <c r="EE87" s="358"/>
      <c r="EF87" s="358"/>
      <c r="EG87" s="358"/>
      <c r="EH87" s="358"/>
      <c r="EI87" s="358"/>
      <c r="EJ87" s="358"/>
      <c r="EK87" s="358"/>
      <c r="EL87" s="358"/>
      <c r="EM87" s="358"/>
      <c r="EN87" s="358"/>
      <c r="EO87" s="358"/>
      <c r="EP87" s="358"/>
      <c r="EQ87" s="358"/>
      <c r="ER87" s="358"/>
      <c r="ES87" s="358"/>
      <c r="ET87" s="358"/>
      <c r="EU87" s="358"/>
      <c r="EV87" s="358"/>
      <c r="EW87" s="358"/>
      <c r="EX87" s="358"/>
      <c r="EY87" s="358"/>
      <c r="EZ87" s="371"/>
    </row>
    <row r="88" spans="1:156" s="20" customFormat="1" ht="11.15" customHeight="1" x14ac:dyDescent="0.25">
      <c r="A88" s="1827"/>
      <c r="B88" s="779">
        <f ca="1">IF(ISNUMBER(B87),B87+1,"")</f>
        <v>45806</v>
      </c>
      <c r="C88" s="780" t="str">
        <f ca="1">IF(OR($N$2="",$N$2=0),"",IF(INDIRECT(ADDRESS(($AK88),COLUMN()+21,,,"Digitar Dados dos Ensaios"))&lt;&gt;"",INDIRECT(ADDRESS(($AK88),COLUMN()+21,,,"Digitar Dados dos Ensaios")),""))</f>
        <v/>
      </c>
      <c r="D88" s="781">
        <f ca="1">IF(OR($N$2="",$N$2=0),"",IF(INDIRECT(ADDRESS(($AL88),COLUMN()+24,,,"Digitar Dados dos Ensaios"))&lt;&gt;"",INDIRECT(ADDRESS(($AL88),COLUMN()+24,,,"Digitar Dados dos Ensaios")),""))</f>
        <v>1</v>
      </c>
      <c r="E88" s="1826"/>
      <c r="F88" s="271"/>
      <c r="G88" s="271"/>
      <c r="H88" s="271"/>
      <c r="I88" s="271"/>
      <c r="J88" s="271"/>
      <c r="K88" s="271"/>
      <c r="L88" s="1248"/>
      <c r="AK88" s="357">
        <f t="shared" si="37"/>
        <v>7</v>
      </c>
      <c r="AL88" s="368">
        <f t="shared" si="37"/>
        <v>7</v>
      </c>
      <c r="AM88" s="384" t="str">
        <f>IF(ISNUMBER(AM85),AM85-$AS85,"")</f>
        <v/>
      </c>
      <c r="AN88" s="384">
        <f t="shared" ca="1" si="38"/>
        <v>-2219.869024131247</v>
      </c>
      <c r="AO88" s="384">
        <f t="shared" ca="1" si="38"/>
        <v>2899.2756752808564</v>
      </c>
      <c r="AP88" s="384">
        <f t="shared" ca="1" si="38"/>
        <v>-679.40665114960575</v>
      </c>
      <c r="AQ88" s="384" t="str">
        <f t="shared" si="38"/>
        <v/>
      </c>
      <c r="AR88" s="384" t="str">
        <f t="shared" si="38"/>
        <v/>
      </c>
      <c r="AS88" s="386"/>
      <c r="AT88" s="384" t="str">
        <f t="shared" ref="AT88:AY88" si="41">IF(ISERROR(AM87*AM89),"",AM87*AM89)</f>
        <v/>
      </c>
      <c r="AU88" s="384">
        <f t="shared" ca="1" si="41"/>
        <v>2.3457792404428077E-5</v>
      </c>
      <c r="AV88" s="384">
        <f t="shared" ca="1" si="41"/>
        <v>0</v>
      </c>
      <c r="AW88" s="384">
        <f t="shared" ca="1" si="41"/>
        <v>2.5769336329182593E-5</v>
      </c>
      <c r="AX88" s="384" t="str">
        <f t="shared" si="41"/>
        <v/>
      </c>
      <c r="AY88" s="384" t="str">
        <f t="shared" si="41"/>
        <v/>
      </c>
      <c r="AZ88" s="375">
        <f ca="1">SUM(AT88:AY88)</f>
        <v>4.9227128733610667E-5</v>
      </c>
      <c r="BA88" s="1620" t="s">
        <v>86</v>
      </c>
      <c r="BB88" s="1620"/>
      <c r="BC88" s="358"/>
      <c r="BD88" s="403">
        <v>3.81</v>
      </c>
      <c r="BE88" s="404">
        <v>3.81</v>
      </c>
      <c r="BF88" s="404">
        <v>3.81</v>
      </c>
      <c r="BG88" s="401">
        <f t="shared" ca="1" si="31"/>
        <v>20878.650000000001</v>
      </c>
      <c r="BH88" s="401">
        <v>0</v>
      </c>
      <c r="BI88" s="401">
        <f t="shared" ca="1" si="32"/>
        <v>13738.500000000002</v>
      </c>
      <c r="BJ88" s="410">
        <f ca="1">IF(ISNUMBER(BJ85),BJ85-BR85,"")</f>
        <v>-8400.3187499999985</v>
      </c>
      <c r="BK88" s="410">
        <f ca="1">IF(ISNUMBER(BK85),BK85-BR85,"")</f>
        <v>-5826.7687499999984</v>
      </c>
      <c r="BL88" s="410">
        <f ca="1">IF(ISNUMBER(BL85),BL85-BR85,"")</f>
        <v>-4182.0187499999984</v>
      </c>
      <c r="BM88" s="410">
        <f ca="1">IF(ISNUMBER(BM85),BM85-BR85,"")</f>
        <v>-1550.4187499999989</v>
      </c>
      <c r="BN88" s="410">
        <f ca="1">IF(ISNUMBER(BN85),BN85-BR85,"")</f>
        <v>1622.9812500000025</v>
      </c>
      <c r="BO88" s="410">
        <f ca="1">IF(ISNUMBER(BO85),BO85-BR85,"")</f>
        <v>3732.1312500000022</v>
      </c>
      <c r="BP88" s="410">
        <f ca="1">IF(ISNUMBER(BP85),BP85-BR85,"")</f>
        <v>5841.2812500000036</v>
      </c>
      <c r="BQ88" s="410">
        <f ca="1">IF(ISNUMBER(BQ85),BQ85-BR85,"")</f>
        <v>8763.1312500000022</v>
      </c>
      <c r="BR88" s="411">
        <f ca="1">IF(BJ88&lt;&gt;"",SUM(BJ88:BQ88),"")</f>
        <v>1.8189894035458565E-11</v>
      </c>
      <c r="BS88" s="413" t="s">
        <v>115</v>
      </c>
      <c r="BT88" s="414">
        <f ca="1">IF(BR90&lt;&gt;"",(CA85*CA87-CA86*BR90)/(CA87^2-CA84*BR90),"")</f>
        <v>-156.44249469580194</v>
      </c>
      <c r="BU88" s="413" t="s">
        <v>116</v>
      </c>
      <c r="BV88" s="405">
        <f ca="1">IF(BX88&lt;&gt;"",SLOPE(BX88:BX89,BW88:BW89),"")</f>
        <v>2445.1320927739275</v>
      </c>
      <c r="BW88" s="405">
        <v>2.54</v>
      </c>
      <c r="BX88" s="405">
        <f ca="1">IF(BT88&lt;&gt;"",BT88*BW88^2+BT89*BW88+BT90,"")</f>
        <v>10017.46138263407</v>
      </c>
      <c r="BY88" s="405">
        <v>2.54</v>
      </c>
      <c r="BZ88" s="405">
        <v>5.08</v>
      </c>
      <c r="CA88" s="406"/>
      <c r="CB88" s="408">
        <f ca="1">IF(CB85="","",IF(CB85&gt;0,CE84,-1))</f>
        <v>-1</v>
      </c>
      <c r="CC88" s="408">
        <f ca="1">IF(CB85="","",IF(CB85&gt;0,CE84,-1))</f>
        <v>-1</v>
      </c>
      <c r="CD88" s="408">
        <f ca="1">IF(CB85="","",IF(CB85&gt;0,CH87,-1))</f>
        <v>-1</v>
      </c>
      <c r="CE88" s="408">
        <f ca="1">IF(CB85="","",IF(CB85&gt;0,CH87,-1))</f>
        <v>-1</v>
      </c>
      <c r="CF88" s="408">
        <f ca="1">IF(CB85="","",IF(CB85&gt;0,CF84,-1))</f>
        <v>-1</v>
      </c>
      <c r="CG88" s="408">
        <f ca="1">IF(CB85="","",IF(CB85&gt;0,CF84,-1))</f>
        <v>-1</v>
      </c>
      <c r="CH88" s="408">
        <f ca="1">IF(CB85="","",IF(CB85&gt;0,CF84,-1))</f>
        <v>-1</v>
      </c>
      <c r="CI88" s="408">
        <f ca="1">IF(CB85="","",IF(CB85&gt;0,CF84,-1))</f>
        <v>-1</v>
      </c>
      <c r="CJ88" s="409"/>
      <c r="CK88" s="358"/>
      <c r="CL88" s="358"/>
      <c r="CM88" s="358"/>
      <c r="CN88" s="358"/>
      <c r="CO88" s="358"/>
      <c r="CP88" s="358"/>
      <c r="CQ88" s="358"/>
      <c r="CR88" s="358"/>
      <c r="CS88" s="358"/>
      <c r="CT88" s="358"/>
      <c r="CU88" s="358"/>
      <c r="CV88" s="358"/>
      <c r="CW88" s="358"/>
      <c r="CX88" s="358"/>
      <c r="CY88" s="358"/>
      <c r="CZ88" s="358"/>
      <c r="DA88" s="358"/>
      <c r="DB88" s="358"/>
      <c r="DC88" s="358"/>
      <c r="DD88" s="358"/>
      <c r="DE88" s="358"/>
      <c r="DF88" s="358"/>
      <c r="DG88" s="358"/>
      <c r="DH88" s="358"/>
      <c r="DI88" s="358"/>
      <c r="DJ88" s="358"/>
      <c r="DK88" s="358"/>
      <c r="DL88" s="358"/>
      <c r="DM88" s="358"/>
      <c r="DN88" s="358"/>
      <c r="DO88" s="358"/>
      <c r="DP88" s="358"/>
      <c r="DQ88" s="358"/>
      <c r="DR88" s="358"/>
      <c r="DS88" s="358"/>
      <c r="DT88" s="358"/>
      <c r="DU88" s="358"/>
      <c r="DV88" s="358"/>
      <c r="DW88" s="358"/>
      <c r="DX88" s="358"/>
      <c r="DY88" s="358"/>
      <c r="DZ88" s="358"/>
      <c r="EA88" s="358"/>
      <c r="EB88" s="358"/>
      <c r="EC88" s="358"/>
      <c r="ED88" s="358"/>
      <c r="EE88" s="358"/>
      <c r="EF88" s="358"/>
      <c r="EG88" s="358"/>
      <c r="EH88" s="358"/>
      <c r="EI88" s="358"/>
      <c r="EJ88" s="358"/>
      <c r="EK88" s="358"/>
      <c r="EL88" s="358"/>
      <c r="EM88" s="358"/>
      <c r="EN88" s="358"/>
      <c r="EO88" s="358"/>
      <c r="EP88" s="358"/>
      <c r="EQ88" s="358"/>
      <c r="ER88" s="358"/>
      <c r="ES88" s="358"/>
      <c r="ET88" s="358"/>
      <c r="EU88" s="358"/>
      <c r="EV88" s="358"/>
      <c r="EW88" s="358"/>
      <c r="EX88" s="358"/>
      <c r="EY88" s="358"/>
      <c r="EZ88" s="371"/>
    </row>
    <row r="89" spans="1:156" s="20" customFormat="1" ht="11.15" customHeight="1" x14ac:dyDescent="0.25">
      <c r="A89" s="1827"/>
      <c r="B89" s="779">
        <f ca="1">IF(ISNUMBER(B88),B88+1,"")</f>
        <v>45807</v>
      </c>
      <c r="C89" s="780" t="str">
        <f ca="1">IF(OR($N$2="",$N$2=0),"",IF(INDIRECT(ADDRESS(($AK89),COLUMN()+22,,,"Digitar Dados dos Ensaios"))&lt;&gt;"",INDIRECT(ADDRESS(($AK89),COLUMN()+22,,,"Digitar Dados dos Ensaios")),""))</f>
        <v/>
      </c>
      <c r="D89" s="781">
        <f ca="1">IF(OR($N$2="",$N$2=0),"",IF(INDIRECT(ADDRESS(($AL89),COLUMN()+25,,,"Digitar Dados dos Ensaios"))&lt;&gt;"",INDIRECT(ADDRESS(($AL89),COLUMN()+25,,,"Digitar Dados dos Ensaios")),""))</f>
        <v>1.1599999999999999</v>
      </c>
      <c r="E89" s="1826"/>
      <c r="F89" s="271"/>
      <c r="G89" s="271"/>
      <c r="H89" s="271"/>
      <c r="I89" s="271"/>
      <c r="J89" s="271"/>
      <c r="K89" s="271"/>
      <c r="L89" s="1248"/>
      <c r="AK89" s="357">
        <f t="shared" si="37"/>
        <v>7</v>
      </c>
      <c r="AL89" s="368">
        <f t="shared" si="37"/>
        <v>7</v>
      </c>
      <c r="AM89" s="374" t="str">
        <f>IF(ISNUMBER(AM86),AM86-$AS86,"")</f>
        <v/>
      </c>
      <c r="AN89" s="374">
        <f t="shared" ca="1" si="38"/>
        <v>-1.5498488143357691E-3</v>
      </c>
      <c r="AO89" s="374">
        <f t="shared" ca="1" si="38"/>
        <v>-1.5272296511540306E-4</v>
      </c>
      <c r="AP89" s="374">
        <f t="shared" ca="1" si="38"/>
        <v>1.7025717794511724E-3</v>
      </c>
      <c r="AQ89" s="374" t="str">
        <f t="shared" si="38"/>
        <v/>
      </c>
      <c r="AR89" s="374" t="str">
        <f t="shared" si="38"/>
        <v/>
      </c>
      <c r="AS89" s="387"/>
      <c r="AT89" s="386"/>
      <c r="AU89" s="386"/>
      <c r="AV89" s="386"/>
      <c r="AW89" s="386"/>
      <c r="AX89" s="386"/>
      <c r="AY89" s="386"/>
      <c r="AZ89" s="386"/>
      <c r="BA89" s="364" t="s">
        <v>169</v>
      </c>
      <c r="BB89" s="364" t="s">
        <v>170</v>
      </c>
      <c r="BC89" s="358"/>
      <c r="BD89" s="403">
        <v>5.08</v>
      </c>
      <c r="BE89" s="404">
        <v>5.08</v>
      </c>
      <c r="BF89" s="404">
        <v>5.08</v>
      </c>
      <c r="BG89" s="401">
        <f t="shared" ca="1" si="31"/>
        <v>20878.650000000001</v>
      </c>
      <c r="BH89" s="401">
        <v>0</v>
      </c>
      <c r="BI89" s="401">
        <f t="shared" ca="1" si="32"/>
        <v>15847.650000000001</v>
      </c>
      <c r="BJ89" s="410">
        <f ca="1">IF(ISNUMBER(BJ86),BJ86-BR86,"")</f>
        <v>-18.450700000000001</v>
      </c>
      <c r="BK89" s="410">
        <f ca="1">IF(ISNUMBER(BK86),BK86-BR86,"")</f>
        <v>-17.2347</v>
      </c>
      <c r="BL89" s="410">
        <f ca="1">IF(ISNUMBER(BL86),BL86-BR86,"")</f>
        <v>-15.2376</v>
      </c>
      <c r="BM89" s="410">
        <f ca="1">IF(ISNUMBER(BM86),BM86-BR86,"")</f>
        <v>-12.396000000000001</v>
      </c>
      <c r="BN89" s="410">
        <f ca="1">IF(ISNUMBER(BN86),BN86-BR86,"")</f>
        <v>-4.3315000000000001</v>
      </c>
      <c r="BO89" s="410">
        <f ca="1">IF(ISNUMBER(BO86),BO86-BR86,"")</f>
        <v>6.9588000000000001</v>
      </c>
      <c r="BP89" s="410">
        <f ca="1">IF(ISNUMBER(BP86),BP86-BR86,"")</f>
        <v>21.474899999999998</v>
      </c>
      <c r="BQ89" s="410">
        <f ca="1">IF(ISNUMBER(BQ86),BQ86-BR86,"")</f>
        <v>39.216799999999999</v>
      </c>
      <c r="BR89" s="411">
        <f ca="1">IF(BJ89&lt;&gt;"",SUM(BJ89:BQ89),"")</f>
        <v>0</v>
      </c>
      <c r="BS89" s="710" t="s">
        <v>128</v>
      </c>
      <c r="BT89" s="415">
        <f ca="1">IF(BT88&lt;&gt;"",(CA86-BT88*CA84)/CA87,"")</f>
        <v>3637.2239023559382</v>
      </c>
      <c r="BU89" s="710" t="s">
        <v>128</v>
      </c>
      <c r="BV89" s="415">
        <f ca="1">IF(BX88&lt;&gt;"",INTERCEPT(BX88:BX89,BW88:BW89),"")</f>
        <v>3806.8258669882944</v>
      </c>
      <c r="BW89" s="405">
        <v>5.08</v>
      </c>
      <c r="BX89" s="405">
        <f ca="1">IF(BT88&lt;&gt;"",BT88*BW89^2+BT89*BW89+BT90,"")</f>
        <v>16228.096898279846</v>
      </c>
      <c r="BY89" s="416" t="str">
        <f ca="1">IF(CB85="","",IF(CB85&gt;0,CE84,""))</f>
        <v/>
      </c>
      <c r="BZ89" s="416" t="str">
        <f ca="1">IF(CB85="","",IF(CB85&gt;0,CF84,""))</f>
        <v/>
      </c>
      <c r="CA89" s="359"/>
      <c r="CB89" s="407">
        <v>0</v>
      </c>
      <c r="CC89" s="407">
        <f ca="1">IF(CB85="","",IF(CB85&gt;0,CH85,-1))</f>
        <v>-1</v>
      </c>
      <c r="CD89" s="407">
        <f ca="1">IF(CB85="","",IF(CB85&gt;0,CH86,-1))</f>
        <v>-1</v>
      </c>
      <c r="CE89" s="407">
        <f ca="1">IF(CB85="","",IF(CB85&gt;0,CD85,-1))</f>
        <v>-1</v>
      </c>
      <c r="CF89" s="407">
        <f ca="1">IF(CB85="","",IF(CB85&gt;0,CD85,-1))</f>
        <v>-1</v>
      </c>
      <c r="CG89" s="407">
        <f ca="1">IF(CB85="","",IF(CB85&gt;0,CD85,-1))</f>
        <v>-1</v>
      </c>
      <c r="CH89" s="407">
        <v>0</v>
      </c>
      <c r="CI89" s="407">
        <f ca="1">IF(CB85="","",IF(CB85&gt;0,CD85,-1))</f>
        <v>-1</v>
      </c>
      <c r="CJ89" s="417"/>
      <c r="CK89" s="358"/>
      <c r="CL89" s="358"/>
      <c r="CM89" s="358"/>
      <c r="CN89" s="358"/>
      <c r="CO89" s="358"/>
      <c r="CP89" s="358"/>
      <c r="CQ89" s="358"/>
      <c r="CR89" s="358"/>
      <c r="CS89" s="358"/>
      <c r="CT89" s="358"/>
      <c r="CU89" s="358"/>
      <c r="CV89" s="358"/>
      <c r="CW89" s="358"/>
      <c r="CX89" s="358"/>
      <c r="CY89" s="358"/>
      <c r="CZ89" s="358"/>
      <c r="DA89" s="358"/>
      <c r="DB89" s="358"/>
      <c r="DC89" s="358"/>
      <c r="DD89" s="358"/>
      <c r="DE89" s="358"/>
      <c r="DF89" s="358"/>
      <c r="DG89" s="358"/>
      <c r="DH89" s="358"/>
      <c r="DI89" s="358"/>
      <c r="DJ89" s="358"/>
      <c r="DK89" s="358"/>
      <c r="DL89" s="358"/>
      <c r="DM89" s="358"/>
      <c r="DN89" s="358"/>
      <c r="DO89" s="358"/>
      <c r="DP89" s="358"/>
      <c r="DQ89" s="358"/>
      <c r="DR89" s="358"/>
      <c r="DS89" s="358"/>
      <c r="DT89" s="358"/>
      <c r="DU89" s="358"/>
      <c r="DV89" s="358"/>
      <c r="DW89" s="358"/>
      <c r="DX89" s="358"/>
      <c r="DY89" s="358"/>
      <c r="DZ89" s="358"/>
      <c r="EA89" s="358"/>
      <c r="EB89" s="358"/>
      <c r="EC89" s="358"/>
      <c r="ED89" s="358"/>
      <c r="EE89" s="358"/>
      <c r="EF89" s="358"/>
      <c r="EG89" s="358"/>
      <c r="EH89" s="358"/>
      <c r="EI89" s="358"/>
      <c r="EJ89" s="358"/>
      <c r="EK89" s="358"/>
      <c r="EL89" s="358"/>
      <c r="EM89" s="358"/>
      <c r="EN89" s="358"/>
      <c r="EO89" s="358"/>
      <c r="EP89" s="358"/>
      <c r="EQ89" s="358"/>
      <c r="ER89" s="358"/>
      <c r="ES89" s="358"/>
      <c r="ET89" s="358"/>
      <c r="EU89" s="358"/>
      <c r="EV89" s="358"/>
      <c r="EW89" s="358"/>
      <c r="EX89" s="358"/>
      <c r="EY89" s="358"/>
      <c r="EZ89" s="371"/>
    </row>
    <row r="90" spans="1:156" s="20" customFormat="1" ht="11.15" customHeight="1" x14ac:dyDescent="0.25">
      <c r="A90" s="1827"/>
      <c r="B90" s="1828" t="s">
        <v>203</v>
      </c>
      <c r="C90" s="1829"/>
      <c r="D90" s="782">
        <f ca="1">IF(ISNUMBER(D86),MAX(D86:D89)-MIN(D86:D89),"")</f>
        <v>0.15999999999999992</v>
      </c>
      <c r="E90" s="1830">
        <f ca="1">IF(ISNUMBER(C84),D90/D91*10,"")</f>
        <v>0.13961605584642228</v>
      </c>
      <c r="F90" s="271"/>
      <c r="G90" s="271"/>
      <c r="H90" s="271"/>
      <c r="I90" s="271"/>
      <c r="J90" s="271"/>
      <c r="K90" s="271"/>
      <c r="L90" s="1248"/>
      <c r="M90" s="35"/>
      <c r="AK90" s="357"/>
      <c r="AL90" s="358"/>
      <c r="AM90" s="372" t="e">
        <f>IF(OR(AM84="",AM84=0),NA(),AM84)</f>
        <v>#N/A</v>
      </c>
      <c r="AN90" s="372">
        <f t="shared" ref="AN90:AR91" ca="1" si="42">IF(OR(AN84="",AN84=0),NA(),AN84)</f>
        <v>3.8586060232619943E-2</v>
      </c>
      <c r="AO90" s="372">
        <f t="shared" ca="1" si="42"/>
        <v>5.3721596155510309E-2</v>
      </c>
      <c r="AP90" s="372">
        <f t="shared" ca="1" si="42"/>
        <v>6.8857132078400676E-2</v>
      </c>
      <c r="AQ90" s="372" t="e">
        <f t="shared" si="42"/>
        <v>#N/A</v>
      </c>
      <c r="AR90" s="372" t="e">
        <f>IF(OR(AR84="",AR84=0),NA(),AR84)</f>
        <v>#N/A</v>
      </c>
      <c r="AS90" s="358"/>
      <c r="AT90" s="375" t="s">
        <v>101</v>
      </c>
      <c r="AU90" s="389">
        <f ca="1">(AZ86*AZ88-AZ87*AZ84)/(AZ88^2-AZ85*AZ84)</f>
        <v>-18983888.068764925</v>
      </c>
      <c r="AV90" s="375" t="s">
        <v>102</v>
      </c>
      <c r="AW90" s="390">
        <f ca="1">(AZ87-AU90*AZ85)/AZ88</f>
        <v>2090578.4638345928</v>
      </c>
      <c r="AX90" s="375" t="s">
        <v>103</v>
      </c>
      <c r="AY90" s="389">
        <f ca="1">AS85-AW90*AS84-AU90*AS86</f>
        <v>-37375.211784371626</v>
      </c>
      <c r="AZ90" s="358"/>
      <c r="BA90" s="391">
        <v>0</v>
      </c>
      <c r="BB90" s="418">
        <f ca="1">BB85</f>
        <v>19677.86684635804</v>
      </c>
      <c r="BC90" s="358"/>
      <c r="BD90" s="403">
        <v>6.35</v>
      </c>
      <c r="BE90" s="404">
        <v>6.35</v>
      </c>
      <c r="BF90" s="404">
        <v>6.35</v>
      </c>
      <c r="BG90" s="401">
        <f t="shared" ca="1" si="31"/>
        <v>20878.650000000001</v>
      </c>
      <c r="BH90" s="401">
        <v>0</v>
      </c>
      <c r="BI90" s="401">
        <f t="shared" ca="1" si="32"/>
        <v>17956.800000000003</v>
      </c>
      <c r="BJ90" s="405">
        <f ca="1">IF(ISNUMBER(BJ87),BJ87^2,"")</f>
        <v>9.1204000000000001</v>
      </c>
      <c r="BK90" s="405">
        <f t="shared" ref="BK90:BQ90" ca="1" si="43">IF(ISNUMBER(BK87),BK87^2,"")</f>
        <v>5.6643999999999997</v>
      </c>
      <c r="BL90" s="405">
        <f t="shared" ca="1" si="43"/>
        <v>3.0625</v>
      </c>
      <c r="BM90" s="405">
        <f t="shared" ca="1" si="43"/>
        <v>1.2320999999999998</v>
      </c>
      <c r="BN90" s="405">
        <f t="shared" ca="1" si="43"/>
        <v>2.5600000000000046E-2</v>
      </c>
      <c r="BO90" s="405">
        <f t="shared" ca="1" si="43"/>
        <v>2.0449000000000006</v>
      </c>
      <c r="BP90" s="405">
        <f t="shared" ca="1" si="43"/>
        <v>7.2899999999999983</v>
      </c>
      <c r="BQ90" s="405">
        <f t="shared" ca="1" si="43"/>
        <v>15.760900000000001</v>
      </c>
      <c r="BR90" s="411">
        <f ca="1">IF(BJ90&lt;&gt;"",SUM(BJ90:BQ90),"")</f>
        <v>44.200800000000001</v>
      </c>
      <c r="BS90" s="710" t="s">
        <v>138</v>
      </c>
      <c r="BT90" s="414">
        <f ca="1">IF(BT88&lt;&gt;"",BR85-BT89*BR84-BT88*BR86,"")</f>
        <v>1788.2170694294218</v>
      </c>
      <c r="BU90" s="710"/>
      <c r="BV90" s="359"/>
      <c r="BW90" s="359"/>
      <c r="BX90" s="359"/>
      <c r="BY90" s="361" t="str">
        <f ca="1">IF(CB85="","",IF(CB85&gt;0,BY89/70.31,""))</f>
        <v/>
      </c>
      <c r="BZ90" s="361" t="str">
        <f ca="1">IF(CB85="","",IF(CB85&gt;0,BZ89/105.46,""))</f>
        <v/>
      </c>
      <c r="CA90" s="359"/>
      <c r="CB90" s="710">
        <v>2.54</v>
      </c>
      <c r="CC90" s="361">
        <f ca="1">IF(BM85&lt;&gt;"",BM85/70.31,"")</f>
        <v>150.26454273929741</v>
      </c>
      <c r="CD90" s="405">
        <v>5.08</v>
      </c>
      <c r="CE90" s="361">
        <f ca="1">IF(BO85&lt;&gt;"",BO85/105.46,"")</f>
        <v>150.27166698274229</v>
      </c>
      <c r="CF90" s="416">
        <f ca="1">IF(CH90&lt;&gt;"",MAX(CH90,CJ90),"")</f>
        <v>15027.166698274228</v>
      </c>
      <c r="CG90" s="364">
        <v>2.54</v>
      </c>
      <c r="CH90" s="402">
        <f ca="1">IF(BM85&lt;&gt;"",MAX(BY90,CC90)*100,"")</f>
        <v>15026.454273929741</v>
      </c>
      <c r="CI90" s="364">
        <v>5.08</v>
      </c>
      <c r="CJ90" s="419">
        <f ca="1">IF(BO85&lt;&gt;"",MAX(BZ90,CE90)*100,"")</f>
        <v>15027.166698274228</v>
      </c>
      <c r="CK90" s="358"/>
      <c r="CL90" s="358"/>
      <c r="CM90" s="358"/>
      <c r="CN90" s="358"/>
      <c r="CO90" s="358"/>
      <c r="CP90" s="358"/>
      <c r="CQ90" s="358"/>
      <c r="CR90" s="358"/>
      <c r="CS90" s="358"/>
      <c r="CT90" s="358"/>
      <c r="CU90" s="358"/>
      <c r="CV90" s="358"/>
      <c r="CW90" s="358"/>
      <c r="CX90" s="358"/>
      <c r="CY90" s="358"/>
      <c r="CZ90" s="358"/>
      <c r="DA90" s="358"/>
      <c r="DB90" s="358"/>
      <c r="DC90" s="358"/>
      <c r="DD90" s="358"/>
      <c r="DE90" s="358"/>
      <c r="DF90" s="358"/>
      <c r="DG90" s="358"/>
      <c r="DH90" s="358"/>
      <c r="DI90" s="358"/>
      <c r="DJ90" s="358"/>
      <c r="DK90" s="358"/>
      <c r="DL90" s="358"/>
      <c r="DM90" s="358"/>
      <c r="DN90" s="358"/>
      <c r="DO90" s="358"/>
      <c r="DP90" s="358"/>
      <c r="DQ90" s="358"/>
      <c r="DR90" s="358"/>
      <c r="DS90" s="358"/>
      <c r="DT90" s="358"/>
      <c r="DU90" s="358"/>
      <c r="DV90" s="358"/>
      <c r="DW90" s="358"/>
      <c r="DX90" s="358"/>
      <c r="DY90" s="358"/>
      <c r="DZ90" s="358"/>
      <c r="EA90" s="358"/>
      <c r="EB90" s="358"/>
      <c r="EC90" s="358"/>
      <c r="ED90" s="358"/>
      <c r="EE90" s="358"/>
      <c r="EF90" s="358"/>
      <c r="EG90" s="358"/>
      <c r="EH90" s="358"/>
      <c r="EI90" s="358"/>
      <c r="EJ90" s="358"/>
      <c r="EK90" s="358"/>
      <c r="EL90" s="358"/>
      <c r="EM90" s="358"/>
      <c r="EN90" s="358"/>
      <c r="EO90" s="358"/>
      <c r="EP90" s="358"/>
      <c r="EQ90" s="358"/>
      <c r="ER90" s="358"/>
      <c r="ES90" s="358"/>
      <c r="ET90" s="358"/>
      <c r="EU90" s="358"/>
      <c r="EV90" s="358"/>
      <c r="EW90" s="358"/>
      <c r="EX90" s="358"/>
      <c r="EY90" s="358"/>
      <c r="EZ90" s="371"/>
    </row>
    <row r="91" spans="1:156" s="20" customFormat="1" ht="11.15" customHeight="1" x14ac:dyDescent="0.25">
      <c r="A91" s="1827"/>
      <c r="B91" s="1832" t="s">
        <v>204</v>
      </c>
      <c r="C91" s="1833"/>
      <c r="D91" s="782">
        <f ca="1">IF(C84&lt;&gt;"",LOOKUP(C84,Tara!$G$6:$G$185,Tara!$J$6:$J$185)/10,"")</f>
        <v>11.459999999999999</v>
      </c>
      <c r="E91" s="1831"/>
      <c r="F91" s="271"/>
      <c r="G91" s="271"/>
      <c r="H91" s="271"/>
      <c r="I91" s="271"/>
      <c r="J91" s="271"/>
      <c r="K91" s="271"/>
      <c r="L91" s="1248"/>
      <c r="AK91" s="357"/>
      <c r="AL91" s="358"/>
      <c r="AM91" s="401" t="e">
        <f>IF(OR(AM85="",AM85=0),NA(),AM85)</f>
        <v>#N/A</v>
      </c>
      <c r="AN91" s="401">
        <f ca="1">IF(OR(AN85="",AN85=0),NA(),AN85)</f>
        <v>15027.166698274228</v>
      </c>
      <c r="AO91" s="401">
        <f ca="1">IF(OR(AO85="",AO85=0),NA(),AO85)</f>
        <v>20146.311397686331</v>
      </c>
      <c r="AP91" s="401">
        <f ca="1">IF(OR(AP85="",AP85=0),NA(),AP85)</f>
        <v>16567.629071255869</v>
      </c>
      <c r="AQ91" s="401" t="e">
        <f t="shared" si="42"/>
        <v>#N/A</v>
      </c>
      <c r="AR91" s="401" t="e">
        <f t="shared" si="42"/>
        <v>#N/A</v>
      </c>
      <c r="AS91" s="358"/>
      <c r="AT91" s="358"/>
      <c r="AU91" s="358"/>
      <c r="AV91" s="358"/>
      <c r="AW91" s="358"/>
      <c r="AX91" s="358"/>
      <c r="AY91" s="358"/>
      <c r="AZ91" s="358"/>
      <c r="BA91" s="391">
        <f ca="1">BB84</f>
        <v>6.0207044400483523E-2</v>
      </c>
      <c r="BB91" s="418">
        <f ca="1">BB90</f>
        <v>19677.86684635804</v>
      </c>
      <c r="BC91" s="358"/>
      <c r="BD91" s="403">
        <v>7.62</v>
      </c>
      <c r="BE91" s="404">
        <v>7.62</v>
      </c>
      <c r="BF91" s="404">
        <v>7.62</v>
      </c>
      <c r="BG91" s="401">
        <f t="shared" ca="1" si="31"/>
        <v>20878.650000000001</v>
      </c>
      <c r="BH91" s="401">
        <v>0</v>
      </c>
      <c r="BI91" s="401">
        <f t="shared" ca="1" si="32"/>
        <v>20878.650000000001</v>
      </c>
      <c r="BJ91" s="358"/>
      <c r="BK91" s="358"/>
      <c r="BL91" s="358"/>
      <c r="BM91" s="358"/>
      <c r="BN91" s="358"/>
      <c r="BO91" s="358"/>
      <c r="BP91" s="358"/>
      <c r="BQ91" s="358"/>
      <c r="BR91" s="358"/>
      <c r="BS91" s="358"/>
      <c r="BT91" s="358"/>
      <c r="BU91" s="358"/>
      <c r="BV91" s="358"/>
      <c r="BW91" s="358"/>
      <c r="BX91" s="358"/>
      <c r="BY91" s="358"/>
      <c r="BZ91" s="358"/>
      <c r="CA91" s="358"/>
      <c r="CB91" s="358"/>
      <c r="CC91" s="358"/>
      <c r="CD91" s="358"/>
      <c r="CE91" s="358"/>
      <c r="CF91" s="358"/>
      <c r="CG91" s="395">
        <v>0.63</v>
      </c>
      <c r="CH91" s="395">
        <v>0.63</v>
      </c>
      <c r="CI91" s="396">
        <v>0</v>
      </c>
      <c r="CJ91" s="420">
        <f ca="1">IF(BI84&lt;&gt;"",MAX(BI84:BI91),"")</f>
        <v>20878.650000000001</v>
      </c>
      <c r="CK91" s="358"/>
      <c r="CL91" s="358"/>
      <c r="CM91" s="358"/>
      <c r="CN91" s="358"/>
      <c r="CO91" s="358"/>
      <c r="CP91" s="358"/>
      <c r="CQ91" s="358"/>
      <c r="CR91" s="358"/>
      <c r="CS91" s="358"/>
      <c r="CT91" s="358"/>
      <c r="CU91" s="358"/>
      <c r="CV91" s="358"/>
      <c r="CW91" s="358"/>
      <c r="CX91" s="358"/>
      <c r="CY91" s="358"/>
      <c r="CZ91" s="358"/>
      <c r="DA91" s="358"/>
      <c r="DB91" s="358"/>
      <c r="DC91" s="358"/>
      <c r="DD91" s="358"/>
      <c r="DE91" s="358"/>
      <c r="DF91" s="358"/>
      <c r="DG91" s="358"/>
      <c r="DH91" s="358"/>
      <c r="DI91" s="358"/>
      <c r="DJ91" s="358"/>
      <c r="DK91" s="358"/>
      <c r="DL91" s="358"/>
      <c r="DM91" s="358"/>
      <c r="DN91" s="358"/>
      <c r="DO91" s="358"/>
      <c r="DP91" s="358"/>
      <c r="DQ91" s="358"/>
      <c r="DR91" s="358"/>
      <c r="DS91" s="358"/>
      <c r="DT91" s="358"/>
      <c r="DU91" s="358"/>
      <c r="DV91" s="358"/>
      <c r="DW91" s="358"/>
      <c r="DX91" s="358"/>
      <c r="DY91" s="358"/>
      <c r="DZ91" s="358"/>
      <c r="EA91" s="358"/>
      <c r="EB91" s="358"/>
      <c r="EC91" s="358"/>
      <c r="ED91" s="358"/>
      <c r="EE91" s="358"/>
      <c r="EF91" s="358"/>
      <c r="EG91" s="358"/>
      <c r="EH91" s="358"/>
      <c r="EI91" s="358"/>
      <c r="EJ91" s="358"/>
      <c r="EK91" s="358"/>
      <c r="EL91" s="358"/>
      <c r="EM91" s="358"/>
      <c r="EN91" s="358"/>
      <c r="EO91" s="358"/>
      <c r="EP91" s="358"/>
      <c r="EQ91" s="358"/>
      <c r="ER91" s="358"/>
      <c r="ES91" s="358"/>
      <c r="ET91" s="358"/>
      <c r="EU91" s="358"/>
      <c r="EV91" s="358"/>
      <c r="EW91" s="358"/>
      <c r="EX91" s="358"/>
      <c r="EY91" s="358"/>
      <c r="EZ91" s="371"/>
    </row>
    <row r="92" spans="1:156" s="20" customFormat="1" ht="11.15" customHeight="1" x14ac:dyDescent="0.25">
      <c r="A92" s="1836" t="s">
        <v>205</v>
      </c>
      <c r="B92" s="1837" t="s">
        <v>206</v>
      </c>
      <c r="C92" s="1837" t="s">
        <v>17</v>
      </c>
      <c r="D92" s="1837" t="s">
        <v>207</v>
      </c>
      <c r="E92" s="1838" t="s">
        <v>90</v>
      </c>
      <c r="F92" s="271"/>
      <c r="G92" s="271"/>
      <c r="H92" s="271"/>
      <c r="I92" s="271"/>
      <c r="J92" s="271"/>
      <c r="K92" s="271"/>
      <c r="L92" s="1248"/>
      <c r="AK92" s="357"/>
      <c r="AL92" s="358"/>
      <c r="AM92" s="358"/>
      <c r="AN92" s="358"/>
      <c r="AO92" s="358"/>
      <c r="AP92" s="358"/>
      <c r="AQ92" s="358"/>
      <c r="AR92" s="358"/>
      <c r="AS92" s="358"/>
      <c r="AT92" s="358"/>
      <c r="AU92" s="358"/>
      <c r="AV92" s="358"/>
      <c r="AW92" s="358"/>
      <c r="AX92" s="358"/>
      <c r="AY92" s="358"/>
      <c r="AZ92" s="358"/>
      <c r="BA92" s="391">
        <f ca="1">BA91</f>
        <v>6.0207044400483523E-2</v>
      </c>
      <c r="BB92" s="392">
        <v>0</v>
      </c>
      <c r="BC92" s="358"/>
      <c r="BD92" s="421"/>
      <c r="BE92" s="358"/>
      <c r="BF92" s="358"/>
      <c r="BG92" s="358"/>
      <c r="BH92" s="358"/>
      <c r="BI92" s="358"/>
      <c r="BJ92" s="358"/>
      <c r="BK92" s="358"/>
      <c r="BL92" s="358"/>
      <c r="BM92" s="358"/>
      <c r="BN92" s="358"/>
      <c r="BO92" s="358"/>
      <c r="BP92" s="358"/>
      <c r="BQ92" s="358"/>
      <c r="BR92" s="358"/>
      <c r="BS92" s="358"/>
      <c r="BT92" s="358"/>
      <c r="BU92" s="358"/>
      <c r="BV92" s="358"/>
      <c r="BW92" s="358"/>
      <c r="BX92" s="358"/>
      <c r="BY92" s="358"/>
      <c r="BZ92" s="358"/>
      <c r="CA92" s="358"/>
      <c r="CB92" s="358"/>
      <c r="CC92" s="358"/>
      <c r="CD92" s="358"/>
      <c r="CE92" s="358"/>
      <c r="CF92" s="358"/>
      <c r="CG92" s="404">
        <v>1.27</v>
      </c>
      <c r="CH92" s="404">
        <v>1.27</v>
      </c>
      <c r="CI92" s="401">
        <v>0</v>
      </c>
      <c r="CJ92" s="422">
        <f t="shared" ref="CJ92:CJ98" ca="1" si="44">IF(CJ91&lt;&gt;"",CJ91,"")</f>
        <v>20878.650000000001</v>
      </c>
      <c r="CK92" s="358"/>
      <c r="CL92" s="358"/>
      <c r="CM92" s="358"/>
      <c r="CN92" s="358"/>
      <c r="CO92" s="358"/>
      <c r="CP92" s="358"/>
      <c r="CQ92" s="358"/>
      <c r="CR92" s="358"/>
      <c r="CS92" s="358"/>
      <c r="CT92" s="358"/>
      <c r="CU92" s="358"/>
      <c r="CV92" s="358"/>
      <c r="CW92" s="358"/>
      <c r="CX92" s="358"/>
      <c r="CY92" s="358"/>
      <c r="CZ92" s="358"/>
      <c r="DA92" s="358"/>
      <c r="DB92" s="358"/>
      <c r="DC92" s="358"/>
      <c r="DD92" s="358"/>
      <c r="DE92" s="358"/>
      <c r="DF92" s="358"/>
      <c r="DG92" s="358"/>
      <c r="DH92" s="358"/>
      <c r="DI92" s="358"/>
      <c r="DJ92" s="358"/>
      <c r="DK92" s="358"/>
      <c r="DL92" s="358"/>
      <c r="DM92" s="358"/>
      <c r="DN92" s="358"/>
      <c r="DO92" s="358"/>
      <c r="DP92" s="358"/>
      <c r="DQ92" s="358"/>
      <c r="DR92" s="358"/>
      <c r="DS92" s="358"/>
      <c r="DT92" s="358"/>
      <c r="DU92" s="358"/>
      <c r="DV92" s="358"/>
      <c r="DW92" s="358"/>
      <c r="DX92" s="358"/>
      <c r="DY92" s="358"/>
      <c r="DZ92" s="358"/>
      <c r="EA92" s="358"/>
      <c r="EB92" s="358"/>
      <c r="EC92" s="358"/>
      <c r="ED92" s="358"/>
      <c r="EE92" s="358"/>
      <c r="EF92" s="358"/>
      <c r="EG92" s="358"/>
      <c r="EH92" s="358"/>
      <c r="EI92" s="358"/>
      <c r="EJ92" s="358"/>
      <c r="EK92" s="358"/>
      <c r="EL92" s="358"/>
      <c r="EM92" s="358"/>
      <c r="EN92" s="358"/>
      <c r="EO92" s="358"/>
      <c r="EP92" s="358"/>
      <c r="EQ92" s="358"/>
      <c r="ER92" s="358"/>
      <c r="ES92" s="358"/>
      <c r="ET92" s="358"/>
      <c r="EU92" s="358"/>
      <c r="EV92" s="358"/>
      <c r="EW92" s="358"/>
      <c r="EX92" s="358"/>
      <c r="EY92" s="358"/>
      <c r="EZ92" s="371"/>
    </row>
    <row r="93" spans="1:156" s="20" customFormat="1" ht="11.15" customHeight="1" x14ac:dyDescent="0.25">
      <c r="A93" s="1836"/>
      <c r="B93" s="1837"/>
      <c r="C93" s="1837"/>
      <c r="D93" s="1837"/>
      <c r="E93" s="1838"/>
      <c r="F93" s="271"/>
      <c r="G93" s="271"/>
      <c r="H93" s="271"/>
      <c r="I93" s="271"/>
      <c r="J93" s="271"/>
      <c r="K93" s="271"/>
      <c r="L93" s="1248"/>
      <c r="AK93" s="357"/>
      <c r="AL93" s="358"/>
      <c r="AM93" s="372" t="str">
        <f>IF(AL3=TRUE,MAX(AL6),IF(AL3=FALSE,""))</f>
        <v/>
      </c>
      <c r="AN93" s="372">
        <f ca="1">IF(AM3=TRUE,MAX(AM6),IF(AM3=FALSE,""))</f>
        <v>3.8586060232619943E-2</v>
      </c>
      <c r="AO93" s="372">
        <f ca="1">IF(AU1=TRUE,D82,IF(AN3=TRUE,MAX(AN6),IF(AN3=FALSE,"")))</f>
        <v>5.3721596155510309E-2</v>
      </c>
      <c r="AP93" s="372">
        <f ca="1">IF(AO3=TRUE,MAX(AO6),IF(AO3=FALSE,""))</f>
        <v>6.8857132078400676E-2</v>
      </c>
      <c r="AQ93" s="372" t="str">
        <f>IF(AP3=TRUE,MAX(AP6),IF(AP3=FALSE,""))</f>
        <v/>
      </c>
      <c r="AR93" s="372" t="str">
        <f>IF(AQ3=TRUE,MAX(AQ6),IF(AQ3=FALSE,""))</f>
        <v/>
      </c>
      <c r="AS93" s="373">
        <f ca="1">AVERAGE(AM93:AR93)</f>
        <v>5.3721596155510309E-2</v>
      </c>
      <c r="AT93" s="374" t="str">
        <f t="shared" ref="AT93:AY93" si="45">IF(ISNUMBER(AM96),AM96^2,"")</f>
        <v/>
      </c>
      <c r="AU93" s="374">
        <f t="shared" ca="1" si="45"/>
        <v>2.2908444767310475E-4</v>
      </c>
      <c r="AV93" s="374">
        <f t="shared" ca="1" si="45"/>
        <v>0</v>
      </c>
      <c r="AW93" s="374">
        <f t="shared" ca="1" si="45"/>
        <v>2.2908444767310475E-4</v>
      </c>
      <c r="AX93" s="374" t="str">
        <f t="shared" si="45"/>
        <v/>
      </c>
      <c r="AY93" s="374" t="str">
        <f t="shared" si="45"/>
        <v/>
      </c>
      <c r="AZ93" s="375">
        <f ca="1">SUM(AT93:AY93)</f>
        <v>4.5816889534620951E-4</v>
      </c>
      <c r="BA93" s="376" t="s">
        <v>28</v>
      </c>
      <c r="BB93" s="377">
        <f ca="1">IF(AU2=TRUE,IF(BA6&lt;&gt;"",BA6,""),IF(AU2=FALSE,D82))</f>
        <v>6.0207044400483523E-2</v>
      </c>
      <c r="BC93" s="358"/>
      <c r="BD93" s="421"/>
      <c r="BE93" s="358"/>
      <c r="BF93" s="358"/>
      <c r="BG93" s="358"/>
      <c r="BH93" s="358"/>
      <c r="BI93" s="358"/>
      <c r="BJ93" s="358"/>
      <c r="BK93" s="358"/>
      <c r="BL93" s="358"/>
      <c r="BM93" s="358"/>
      <c r="BN93" s="358"/>
      <c r="BO93" s="358"/>
      <c r="BP93" s="358"/>
      <c r="BQ93" s="358"/>
      <c r="BR93" s="358"/>
      <c r="BS93" s="358"/>
      <c r="BT93" s="358"/>
      <c r="BU93" s="358"/>
      <c r="BV93" s="358"/>
      <c r="BW93" s="358"/>
      <c r="BX93" s="358"/>
      <c r="BY93" s="358"/>
      <c r="BZ93" s="358"/>
      <c r="CA93" s="358"/>
      <c r="CB93" s="358"/>
      <c r="CC93" s="358"/>
      <c r="CD93" s="358"/>
      <c r="CE93" s="358"/>
      <c r="CF93" s="358"/>
      <c r="CG93" s="404">
        <v>1.9</v>
      </c>
      <c r="CH93" s="404">
        <v>1.9</v>
      </c>
      <c r="CI93" s="401">
        <v>0</v>
      </c>
      <c r="CJ93" s="422">
        <f t="shared" ca="1" si="44"/>
        <v>20878.650000000001</v>
      </c>
      <c r="CK93" s="358"/>
      <c r="CL93" s="358"/>
      <c r="CM93" s="358"/>
      <c r="CN93" s="358"/>
      <c r="CO93" s="358"/>
      <c r="CP93" s="358"/>
      <c r="CQ93" s="358"/>
      <c r="CR93" s="358"/>
      <c r="CS93" s="358"/>
      <c r="CT93" s="358"/>
      <c r="CU93" s="358"/>
      <c r="CV93" s="358"/>
      <c r="CW93" s="358"/>
      <c r="CX93" s="358"/>
      <c r="CY93" s="358"/>
      <c r="CZ93" s="358"/>
      <c r="DA93" s="358"/>
      <c r="DB93" s="358"/>
      <c r="DC93" s="358"/>
      <c r="DD93" s="358"/>
      <c r="DE93" s="358"/>
      <c r="DF93" s="358"/>
      <c r="DG93" s="358"/>
      <c r="DH93" s="358"/>
      <c r="DI93" s="358"/>
      <c r="DJ93" s="358"/>
      <c r="DK93" s="358"/>
      <c r="DL93" s="358"/>
      <c r="DM93" s="358"/>
      <c r="DN93" s="358"/>
      <c r="DO93" s="358"/>
      <c r="DP93" s="358"/>
      <c r="DQ93" s="358"/>
      <c r="DR93" s="358"/>
      <c r="DS93" s="358"/>
      <c r="DT93" s="358"/>
      <c r="DU93" s="358"/>
      <c r="DV93" s="358"/>
      <c r="DW93" s="358"/>
      <c r="DX93" s="358"/>
      <c r="DY93" s="358"/>
      <c r="DZ93" s="358"/>
      <c r="EA93" s="358"/>
      <c r="EB93" s="358"/>
      <c r="EC93" s="358"/>
      <c r="ED93" s="358"/>
      <c r="EE93" s="358"/>
      <c r="EF93" s="358"/>
      <c r="EG93" s="358"/>
      <c r="EH93" s="358"/>
      <c r="EI93" s="358"/>
      <c r="EJ93" s="358"/>
      <c r="EK93" s="358"/>
      <c r="EL93" s="358"/>
      <c r="EM93" s="358"/>
      <c r="EN93" s="358"/>
      <c r="EO93" s="358"/>
      <c r="EP93" s="358"/>
      <c r="EQ93" s="358"/>
      <c r="ER93" s="358"/>
      <c r="ES93" s="358"/>
      <c r="ET93" s="358"/>
      <c r="EU93" s="358"/>
      <c r="EV93" s="358"/>
      <c r="EW93" s="358"/>
      <c r="EX93" s="358"/>
      <c r="EY93" s="358"/>
      <c r="EZ93" s="371"/>
    </row>
    <row r="94" spans="1:156" s="20" customFormat="1" ht="11.15" customHeight="1" x14ac:dyDescent="0.25">
      <c r="A94" s="1249">
        <v>0.63</v>
      </c>
      <c r="B94" s="783">
        <v>0.5</v>
      </c>
      <c r="C94" s="784">
        <f ca="1">IF(OR($N$2="",$N$2=0),"",IF(INDIRECT(ADDRESS(($AK94),COLUMN()+27,,,"Digitar Dados dos Ensaios"))&lt;&gt;"",INDIRECT(ADDRESS(($AK94),COLUMN()+27,,,"Digitar Dados dos Ensaios")),""))</f>
        <v>192</v>
      </c>
      <c r="D94" s="785">
        <f ca="1">IF(C94&lt;&gt;"",C94*$A$85,"")</f>
        <v>3715.2000000000003</v>
      </c>
      <c r="E94" s="786"/>
      <c r="F94" s="271"/>
      <c r="G94" s="271"/>
      <c r="H94" s="271"/>
      <c r="I94" s="271"/>
      <c r="J94" s="271"/>
      <c r="K94" s="271"/>
      <c r="L94" s="1248"/>
      <c r="AK94" s="357">
        <f>AK1+3</f>
        <v>7</v>
      </c>
      <c r="AL94" s="358"/>
      <c r="AM94" s="404"/>
      <c r="AN94" s="404">
        <f ca="1">IF(AN93&lt;&gt;"",E90,"")</f>
        <v>0.13961605584642228</v>
      </c>
      <c r="AO94" s="404">
        <f ca="1">IF(AO93&lt;&gt;"",E109,"")</f>
        <v>5.2447552447552483E-2</v>
      </c>
      <c r="AP94" s="404">
        <f ca="1">IF(AP93&lt;&gt;"",E128,"")</f>
        <v>4.374453193350835E-2</v>
      </c>
      <c r="AQ94" s="404"/>
      <c r="AR94" s="404" t="str">
        <f>IF(AR93&lt;&gt;"",#REF!,"")</f>
        <v/>
      </c>
      <c r="AS94" s="374">
        <f ca="1">AVERAGE(AM94:AR94)</f>
        <v>7.8602713409161043E-2</v>
      </c>
      <c r="AT94" s="374" t="str">
        <f t="shared" ref="AT94:AY94" si="46">IF(ISNUMBER(AM98),AM98^2,"")</f>
        <v/>
      </c>
      <c r="AU94" s="374">
        <f t="shared" ca="1" si="46"/>
        <v>2.4020313472979895E-6</v>
      </c>
      <c r="AV94" s="374">
        <f t="shared" ca="1" si="46"/>
        <v>2.3324304073640619E-8</v>
      </c>
      <c r="AW94" s="374">
        <f t="shared" ca="1" si="46"/>
        <v>2.8987506641835316E-6</v>
      </c>
      <c r="AX94" s="374" t="str">
        <f t="shared" si="46"/>
        <v/>
      </c>
      <c r="AY94" s="374" t="str">
        <f t="shared" si="46"/>
        <v/>
      </c>
      <c r="AZ94" s="375">
        <f ca="1">SUM(AT94:AY94)</f>
        <v>5.324106315555162E-6</v>
      </c>
      <c r="BA94" s="376" t="s">
        <v>47</v>
      </c>
      <c r="BB94" s="423">
        <f ca="1">IF(AU1=TRUE,AO94,(AU99*BB93^2+AW99*BB93+AY99))</f>
        <v>3.9110812277608487E-2</v>
      </c>
      <c r="BC94" s="358"/>
      <c r="BD94" s="421"/>
      <c r="BE94" s="358"/>
      <c r="BF94" s="358"/>
      <c r="BG94" s="358"/>
      <c r="BH94" s="358"/>
      <c r="BI94" s="358"/>
      <c r="BJ94" s="358"/>
      <c r="BK94" s="358"/>
      <c r="BL94" s="358"/>
      <c r="BM94" s="358"/>
      <c r="BN94" s="358"/>
      <c r="BO94" s="358"/>
      <c r="BP94" s="358"/>
      <c r="BQ94" s="358"/>
      <c r="BR94" s="358"/>
      <c r="BS94" s="358"/>
      <c r="BT94" s="358"/>
      <c r="BU94" s="358"/>
      <c r="BV94" s="358"/>
      <c r="BW94" s="358"/>
      <c r="BX94" s="358"/>
      <c r="BY94" s="358"/>
      <c r="BZ94" s="358"/>
      <c r="CA94" s="358"/>
      <c r="CB94" s="358"/>
      <c r="CC94" s="358"/>
      <c r="CD94" s="424"/>
      <c r="CE94" s="358"/>
      <c r="CF94" s="358"/>
      <c r="CG94" s="404">
        <v>2.54</v>
      </c>
      <c r="CH94" s="404">
        <v>2.54</v>
      </c>
      <c r="CI94" s="401">
        <v>0</v>
      </c>
      <c r="CJ94" s="422">
        <f t="shared" ca="1" si="44"/>
        <v>20878.650000000001</v>
      </c>
      <c r="CK94" s="358"/>
      <c r="CL94" s="358"/>
      <c r="CM94" s="358"/>
      <c r="CN94" s="358"/>
      <c r="CO94" s="358"/>
      <c r="CP94" s="358"/>
      <c r="CQ94" s="358"/>
      <c r="CR94" s="358"/>
      <c r="CS94" s="358"/>
      <c r="CT94" s="358"/>
      <c r="CU94" s="358"/>
      <c r="CV94" s="358"/>
      <c r="CW94" s="358"/>
      <c r="CX94" s="358"/>
      <c r="CY94" s="358"/>
      <c r="CZ94" s="358"/>
      <c r="DA94" s="358"/>
      <c r="DB94" s="358"/>
      <c r="DC94" s="358"/>
      <c r="DD94" s="358"/>
      <c r="DE94" s="358"/>
      <c r="DF94" s="358"/>
      <c r="DG94" s="358"/>
      <c r="DH94" s="358"/>
      <c r="DI94" s="358"/>
      <c r="DJ94" s="358"/>
      <c r="DK94" s="358"/>
      <c r="DL94" s="358"/>
      <c r="DM94" s="358"/>
      <c r="DN94" s="358"/>
      <c r="DO94" s="358"/>
      <c r="DP94" s="358"/>
      <c r="DQ94" s="358"/>
      <c r="DR94" s="358"/>
      <c r="DS94" s="358"/>
      <c r="DT94" s="358"/>
      <c r="DU94" s="358"/>
      <c r="DV94" s="358"/>
      <c r="DW94" s="358"/>
      <c r="DX94" s="358"/>
      <c r="DY94" s="358"/>
      <c r="DZ94" s="358"/>
      <c r="EA94" s="358"/>
      <c r="EB94" s="358"/>
      <c r="EC94" s="358"/>
      <c r="ED94" s="358"/>
      <c r="EE94" s="358"/>
      <c r="EF94" s="358"/>
      <c r="EG94" s="358"/>
      <c r="EH94" s="358"/>
      <c r="EI94" s="358"/>
      <c r="EJ94" s="358"/>
      <c r="EK94" s="358"/>
      <c r="EL94" s="358"/>
      <c r="EM94" s="358"/>
      <c r="EN94" s="358"/>
      <c r="EO94" s="358"/>
      <c r="EP94" s="358"/>
      <c r="EQ94" s="358"/>
      <c r="ER94" s="358"/>
      <c r="ES94" s="358"/>
      <c r="ET94" s="358"/>
      <c r="EU94" s="358"/>
      <c r="EV94" s="358"/>
      <c r="EW94" s="358"/>
      <c r="EX94" s="358"/>
      <c r="EY94" s="358"/>
      <c r="EZ94" s="371"/>
    </row>
    <row r="95" spans="1:156" s="20" customFormat="1" ht="11.15" customHeight="1" x14ac:dyDescent="0.25">
      <c r="A95" s="1249">
        <v>1.27</v>
      </c>
      <c r="B95" s="783">
        <v>1</v>
      </c>
      <c r="C95" s="784">
        <f ca="1">IF(OR($N$2="",$N$2=0),"",IF(INDIRECT(ADDRESS(($AK95),COLUMN()+28,,,"Digitar Dados dos Ensaios"))&lt;&gt;"",INDIRECT(ADDRESS(($AK95),COLUMN()+28,,,"Digitar Dados dos Ensaios")),""))</f>
        <v>325</v>
      </c>
      <c r="D95" s="785">
        <f t="shared" ref="D95:D101" ca="1" si="47">IF(C95&lt;&gt;"",C95*$A$85,"")</f>
        <v>6288.7500000000009</v>
      </c>
      <c r="E95" s="787" t="str">
        <f ca="1">IF(E96="","","Corrigido")</f>
        <v/>
      </c>
      <c r="F95" s="271"/>
      <c r="G95" s="271"/>
      <c r="H95" s="271"/>
      <c r="I95" s="271"/>
      <c r="J95" s="271"/>
      <c r="K95" s="271"/>
      <c r="L95" s="1248"/>
      <c r="AK95" s="357">
        <f>AK94</f>
        <v>7</v>
      </c>
      <c r="AL95" s="358"/>
      <c r="AM95" s="380" t="str">
        <f t="shared" ref="AM95:AR95" si="48">IF(ISNUMBER(AM93),AM93^2,"")</f>
        <v/>
      </c>
      <c r="AN95" s="380">
        <f t="shared" ca="1" si="48"/>
        <v>1.4888840442753742E-3</v>
      </c>
      <c r="AO95" s="380">
        <f t="shared" ca="1" si="48"/>
        <v>2.8860098934957402E-3</v>
      </c>
      <c r="AP95" s="380">
        <f t="shared" ca="1" si="48"/>
        <v>4.7413046380623157E-3</v>
      </c>
      <c r="AQ95" s="380" t="str">
        <f t="shared" si="48"/>
        <v/>
      </c>
      <c r="AR95" s="381" t="str">
        <f t="shared" si="48"/>
        <v/>
      </c>
      <c r="AS95" s="374">
        <f ca="1">AVERAGE(AM95:AR95)</f>
        <v>3.0387328586111433E-3</v>
      </c>
      <c r="AT95" s="374" t="str">
        <f t="shared" ref="AT95:AY95" si="49">IF(ISERROR(AM97*AM97),"",AM96*AM97)</f>
        <v/>
      </c>
      <c r="AU95" s="374">
        <f t="shared" ca="1" si="49"/>
        <v>-9.2346963623477873E-4</v>
      </c>
      <c r="AV95" s="374">
        <f t="shared" ca="1" si="49"/>
        <v>0</v>
      </c>
      <c r="AW95" s="374">
        <f t="shared" ca="1" si="49"/>
        <v>-5.2759725793137286E-4</v>
      </c>
      <c r="AX95" s="374" t="str">
        <f t="shared" si="49"/>
        <v/>
      </c>
      <c r="AY95" s="374" t="str">
        <f t="shared" si="49"/>
        <v/>
      </c>
      <c r="AZ95" s="375">
        <f ca="1">SUM(AT95:AY95)</f>
        <v>-1.4510668941661517E-3</v>
      </c>
      <c r="BA95" s="382"/>
      <c r="BB95" s="383"/>
      <c r="BC95" s="358"/>
      <c r="BD95" s="421"/>
      <c r="BE95" s="358"/>
      <c r="BF95" s="358"/>
      <c r="BG95" s="358"/>
      <c r="BH95" s="358"/>
      <c r="BI95" s="358"/>
      <c r="BJ95" s="358"/>
      <c r="BK95" s="358"/>
      <c r="BL95" s="358"/>
      <c r="BM95" s="358"/>
      <c r="BN95" s="358"/>
      <c r="BO95" s="358"/>
      <c r="BP95" s="358"/>
      <c r="BQ95" s="358"/>
      <c r="BR95" s="358"/>
      <c r="BS95" s="358"/>
      <c r="BT95" s="358"/>
      <c r="BU95" s="358"/>
      <c r="BV95" s="358"/>
      <c r="BW95" s="358"/>
      <c r="BX95" s="358"/>
      <c r="BY95" s="358"/>
      <c r="BZ95" s="358"/>
      <c r="CA95" s="358"/>
      <c r="CB95" s="358"/>
      <c r="CC95" s="358"/>
      <c r="CD95" s="358"/>
      <c r="CE95" s="358"/>
      <c r="CF95" s="358"/>
      <c r="CG95" s="404">
        <v>3.81</v>
      </c>
      <c r="CH95" s="404">
        <v>3.81</v>
      </c>
      <c r="CI95" s="401">
        <v>0</v>
      </c>
      <c r="CJ95" s="422">
        <f t="shared" ca="1" si="44"/>
        <v>20878.650000000001</v>
      </c>
      <c r="CK95" s="358"/>
      <c r="CL95" s="358"/>
      <c r="CM95" s="358"/>
      <c r="CN95" s="358"/>
      <c r="CO95" s="358"/>
      <c r="CP95" s="358"/>
      <c r="CQ95" s="358"/>
      <c r="CR95" s="358"/>
      <c r="CS95" s="358"/>
      <c r="CT95" s="358"/>
      <c r="CU95" s="358"/>
      <c r="CV95" s="358"/>
      <c r="CW95" s="358"/>
      <c r="CX95" s="358"/>
      <c r="CY95" s="358"/>
      <c r="CZ95" s="358"/>
      <c r="DA95" s="358"/>
      <c r="DB95" s="358"/>
      <c r="DC95" s="358"/>
      <c r="DD95" s="358"/>
      <c r="DE95" s="358"/>
      <c r="DF95" s="358"/>
      <c r="DG95" s="358"/>
      <c r="DH95" s="358"/>
      <c r="DI95" s="358"/>
      <c r="DJ95" s="358"/>
      <c r="DK95" s="358"/>
      <c r="DL95" s="358"/>
      <c r="DM95" s="358"/>
      <c r="DN95" s="358"/>
      <c r="DO95" s="358"/>
      <c r="DP95" s="358"/>
      <c r="DQ95" s="358"/>
      <c r="DR95" s="358"/>
      <c r="DS95" s="358"/>
      <c r="DT95" s="358"/>
      <c r="DU95" s="358"/>
      <c r="DV95" s="358"/>
      <c r="DW95" s="358"/>
      <c r="DX95" s="358"/>
      <c r="DY95" s="358"/>
      <c r="DZ95" s="358"/>
      <c r="EA95" s="358"/>
      <c r="EB95" s="358"/>
      <c r="EC95" s="358"/>
      <c r="ED95" s="358"/>
      <c r="EE95" s="358"/>
      <c r="EF95" s="358"/>
      <c r="EG95" s="358"/>
      <c r="EH95" s="358"/>
      <c r="EI95" s="358"/>
      <c r="EJ95" s="358"/>
      <c r="EK95" s="358"/>
      <c r="EL95" s="358"/>
      <c r="EM95" s="358"/>
      <c r="EN95" s="358"/>
      <c r="EO95" s="358"/>
      <c r="EP95" s="358"/>
      <c r="EQ95" s="358"/>
      <c r="ER95" s="358"/>
      <c r="ES95" s="358"/>
      <c r="ET95" s="358"/>
      <c r="EU95" s="358"/>
      <c r="EV95" s="358"/>
      <c r="EW95" s="358"/>
      <c r="EX95" s="358"/>
      <c r="EY95" s="358"/>
      <c r="EZ95" s="371"/>
    </row>
    <row r="96" spans="1:156" ht="11.15" customHeight="1" x14ac:dyDescent="0.25">
      <c r="A96" s="1249">
        <v>1.9</v>
      </c>
      <c r="B96" s="783">
        <v>1.5</v>
      </c>
      <c r="C96" s="784">
        <f ca="1">IF(OR($N$2="",$N$2=0),"",IF(INDIRECT(ADDRESS(($AK96),COLUMN()+29,,,"Digitar Dados dos Ensaios"))&lt;&gt;"",INDIRECT(ADDRESS(($AK96),COLUMN()+29,,,"Digitar Dados dos Ensaios")),""))</f>
        <v>410</v>
      </c>
      <c r="D96" s="785">
        <f t="shared" ca="1" si="47"/>
        <v>7933.5000000000009</v>
      </c>
      <c r="E96" s="282" t="str">
        <f ca="1">IF(BY90="","",IF(BY90&gt;0,BY90,""))</f>
        <v/>
      </c>
      <c r="F96" s="271"/>
      <c r="G96" s="271"/>
      <c r="H96" s="271"/>
      <c r="I96" s="271"/>
      <c r="J96" s="271"/>
      <c r="K96" s="271"/>
      <c r="L96" s="1248"/>
      <c r="AK96" s="357">
        <f t="shared" ref="AK96:AK101" si="50">AK95</f>
        <v>7</v>
      </c>
      <c r="AL96" s="358"/>
      <c r="AM96" s="380" t="str">
        <f>IF(ISNUMBER(AM93),AM93-$AS93,"")</f>
        <v/>
      </c>
      <c r="AN96" s="380">
        <f t="shared" ref="AN96:AR98" ca="1" si="51">IF(ISNUMBER(AN93),AN93-$AS93,"")</f>
        <v>-1.5135535922890367E-2</v>
      </c>
      <c r="AO96" s="380">
        <f t="shared" ca="1" si="51"/>
        <v>0</v>
      </c>
      <c r="AP96" s="380">
        <f t="shared" ca="1" si="51"/>
        <v>1.5135535922890367E-2</v>
      </c>
      <c r="AQ96" s="380" t="str">
        <f t="shared" si="51"/>
        <v/>
      </c>
      <c r="AR96" s="380" t="str">
        <f t="shared" si="51"/>
        <v/>
      </c>
      <c r="AS96" s="384"/>
      <c r="AT96" s="374" t="str">
        <f t="shared" ref="AT96:AY96" si="52">IF(ISERROR(AM97*AM98),"",AM97*AM98)</f>
        <v/>
      </c>
      <c r="AU96" s="374">
        <f t="shared" ca="1" si="52"/>
        <v>-9.4561456435051598E-5</v>
      </c>
      <c r="AV96" s="374">
        <f t="shared" ca="1" si="52"/>
        <v>3.9944937351274965E-6</v>
      </c>
      <c r="AW96" s="374">
        <f t="shared" ca="1" si="52"/>
        <v>-5.93485560634339E-5</v>
      </c>
      <c r="AX96" s="374" t="str">
        <f t="shared" si="52"/>
        <v/>
      </c>
      <c r="AY96" s="374" t="str">
        <f t="shared" si="52"/>
        <v/>
      </c>
      <c r="AZ96" s="375">
        <f ca="1">SUM(AT96:AY96)</f>
        <v>-1.4991551876335801E-4</v>
      </c>
      <c r="BA96" s="1616" t="s">
        <v>189</v>
      </c>
      <c r="BB96" s="1616"/>
      <c r="BC96" s="358"/>
      <c r="BD96" s="421"/>
      <c r="BE96" s="358"/>
      <c r="BF96" s="358"/>
      <c r="BG96" s="358"/>
      <c r="BH96" s="358"/>
      <c r="BI96" s="358"/>
      <c r="BJ96" s="358"/>
      <c r="BK96" s="358"/>
      <c r="BL96" s="358"/>
      <c r="BM96" s="358"/>
      <c r="BN96" s="358"/>
      <c r="BO96" s="358"/>
      <c r="BP96" s="358"/>
      <c r="BQ96" s="358"/>
      <c r="BR96" s="358"/>
      <c r="BS96" s="358"/>
      <c r="BT96" s="358"/>
      <c r="BU96" s="358"/>
      <c r="BV96" s="358"/>
      <c r="BW96" s="358"/>
      <c r="BX96" s="358"/>
      <c r="BY96" s="358"/>
      <c r="BZ96" s="358"/>
      <c r="CA96" s="358"/>
      <c r="CB96" s="358"/>
      <c r="CC96" s="358"/>
      <c r="CD96" s="358"/>
      <c r="CE96" s="358"/>
      <c r="CF96" s="358"/>
      <c r="CG96" s="404">
        <v>5.08</v>
      </c>
      <c r="CH96" s="404">
        <v>5.08</v>
      </c>
      <c r="CI96" s="401">
        <v>0</v>
      </c>
      <c r="CJ96" s="422">
        <f t="shared" ca="1" si="44"/>
        <v>20878.650000000001</v>
      </c>
      <c r="CK96" s="358"/>
      <c r="CL96" s="358"/>
      <c r="CM96" s="358"/>
      <c r="CN96" s="358"/>
      <c r="CO96" s="358"/>
      <c r="CP96" s="358"/>
      <c r="CQ96" s="358"/>
      <c r="CR96" s="358"/>
      <c r="CS96" s="358"/>
      <c r="CT96" s="358"/>
      <c r="CU96" s="358"/>
      <c r="CV96" s="358"/>
      <c r="CW96" s="358"/>
      <c r="CX96" s="358"/>
      <c r="CY96" s="358"/>
      <c r="CZ96" s="358"/>
      <c r="DA96" s="358"/>
      <c r="DB96" s="358"/>
      <c r="DC96" s="358"/>
      <c r="DD96" s="358"/>
      <c r="DE96" s="358"/>
      <c r="DF96" s="358"/>
      <c r="DG96" s="358"/>
      <c r="DH96" s="358"/>
      <c r="DI96" s="358"/>
      <c r="DJ96" s="358"/>
      <c r="DK96" s="358"/>
      <c r="DL96" s="358"/>
      <c r="DM96" s="358"/>
      <c r="DN96" s="358"/>
      <c r="DO96" s="358"/>
      <c r="DP96" s="358"/>
      <c r="DQ96" s="358"/>
      <c r="DR96" s="358"/>
      <c r="DS96" s="358"/>
      <c r="DT96" s="358"/>
      <c r="DU96" s="358"/>
      <c r="DV96" s="358"/>
      <c r="DW96" s="358"/>
      <c r="DX96" s="358"/>
      <c r="DY96" s="358"/>
      <c r="DZ96" s="358"/>
      <c r="EA96" s="358"/>
      <c r="EB96" s="358"/>
      <c r="EC96" s="358"/>
      <c r="ED96" s="358"/>
      <c r="EE96" s="358"/>
      <c r="EF96" s="358"/>
      <c r="EG96" s="358"/>
      <c r="EH96" s="358"/>
      <c r="EI96" s="358"/>
      <c r="EJ96" s="358"/>
      <c r="EK96" s="358"/>
      <c r="EL96" s="358"/>
      <c r="EM96" s="358"/>
      <c r="EN96" s="358"/>
      <c r="EO96" s="358"/>
      <c r="EP96" s="358"/>
      <c r="EQ96" s="358"/>
      <c r="ER96" s="358"/>
      <c r="ES96" s="358"/>
      <c r="ET96" s="358"/>
      <c r="EU96" s="358"/>
      <c r="EV96" s="358"/>
      <c r="EW96" s="358"/>
      <c r="EX96" s="358"/>
      <c r="EY96" s="358"/>
      <c r="EZ96" s="371"/>
    </row>
    <row r="97" spans="1:156" ht="11.15" customHeight="1" x14ac:dyDescent="0.25">
      <c r="A97" s="1249">
        <v>2.54</v>
      </c>
      <c r="B97" s="783">
        <v>2</v>
      </c>
      <c r="C97" s="784">
        <f ca="1">IF(OR($N$2="",$N$2=0),"",IF(INDIRECT(ADDRESS(($AK97),COLUMN()+30,,,"Digitar Dados dos Ensaios"))&lt;&gt;"",INDIRECT(ADDRESS(($AK97),COLUMN()+30,,,"Digitar Dados dos Ensaios")),""))</f>
        <v>546</v>
      </c>
      <c r="D97" s="785">
        <f t="shared" ca="1" si="47"/>
        <v>10565.1</v>
      </c>
      <c r="E97" s="788">
        <f ca="1">IF(C97&lt;&gt;"",D97/70.31,"")</f>
        <v>150.26454273929741</v>
      </c>
      <c r="F97" s="271"/>
      <c r="G97" s="271"/>
      <c r="H97" s="271"/>
      <c r="I97" s="271"/>
      <c r="J97" s="271"/>
      <c r="K97" s="271"/>
      <c r="L97" s="1248"/>
      <c r="AK97" s="357">
        <f t="shared" si="50"/>
        <v>7</v>
      </c>
      <c r="AL97" s="358"/>
      <c r="AM97" s="384" t="str">
        <f>IF(ISNUMBER(AM94),AM94-$AS94,"")</f>
        <v/>
      </c>
      <c r="AN97" s="384">
        <f t="shared" ca="1" si="51"/>
        <v>6.1013342437261239E-2</v>
      </c>
      <c r="AO97" s="384">
        <f t="shared" ca="1" si="51"/>
        <v>-2.615516096160856E-2</v>
      </c>
      <c r="AP97" s="384">
        <f t="shared" ca="1" si="51"/>
        <v>-3.4858181475652693E-2</v>
      </c>
      <c r="AQ97" s="384" t="str">
        <f t="shared" si="51"/>
        <v/>
      </c>
      <c r="AR97" s="384" t="str">
        <f t="shared" si="51"/>
        <v/>
      </c>
      <c r="AS97" s="386"/>
      <c r="AT97" s="384" t="str">
        <f t="shared" ref="AT97:AY97" si="53">IF(ISERROR(AM96*AM98),"",AM96*AM98)</f>
        <v/>
      </c>
      <c r="AU97" s="384">
        <f t="shared" ca="1" si="53"/>
        <v>2.3457792404428077E-5</v>
      </c>
      <c r="AV97" s="384">
        <f t="shared" ca="1" si="53"/>
        <v>0</v>
      </c>
      <c r="AW97" s="384">
        <f t="shared" ca="1" si="53"/>
        <v>2.5769336329182593E-5</v>
      </c>
      <c r="AX97" s="384" t="str">
        <f t="shared" si="53"/>
        <v/>
      </c>
      <c r="AY97" s="384" t="str">
        <f t="shared" si="53"/>
        <v/>
      </c>
      <c r="AZ97" s="375">
        <f ca="1">SUM(AT97:AY97)</f>
        <v>4.9227128733610667E-5</v>
      </c>
      <c r="BA97" s="364" t="s">
        <v>169</v>
      </c>
      <c r="BB97" s="364" t="s">
        <v>170</v>
      </c>
      <c r="BC97" s="358"/>
      <c r="BD97" s="421"/>
      <c r="BE97" s="358"/>
      <c r="BF97" s="358"/>
      <c r="BG97" s="358"/>
      <c r="BH97" s="358"/>
      <c r="BI97" s="358"/>
      <c r="BJ97" s="358"/>
      <c r="BK97" s="358"/>
      <c r="BL97" s="358"/>
      <c r="BM97" s="358"/>
      <c r="BN97" s="358"/>
      <c r="BO97" s="358"/>
      <c r="BP97" s="358"/>
      <c r="BQ97" s="358"/>
      <c r="BR97" s="358"/>
      <c r="BS97" s="358"/>
      <c r="BT97" s="358"/>
      <c r="BU97" s="358"/>
      <c r="BV97" s="358"/>
      <c r="BW97" s="358"/>
      <c r="BX97" s="358"/>
      <c r="BY97" s="358"/>
      <c r="BZ97" s="358"/>
      <c r="CA97" s="358"/>
      <c r="CB97" s="358"/>
      <c r="CC97" s="358"/>
      <c r="CD97" s="358"/>
      <c r="CE97" s="358"/>
      <c r="CF97" s="358"/>
      <c r="CG97" s="404">
        <v>6.35</v>
      </c>
      <c r="CH97" s="404">
        <v>6.35</v>
      </c>
      <c r="CI97" s="401">
        <v>0</v>
      </c>
      <c r="CJ97" s="422">
        <f t="shared" ca="1" si="44"/>
        <v>20878.650000000001</v>
      </c>
      <c r="CK97" s="358"/>
      <c r="CL97" s="358"/>
      <c r="CM97" s="358"/>
      <c r="CN97" s="358"/>
      <c r="CO97" s="358"/>
      <c r="CP97" s="358"/>
      <c r="CQ97" s="358"/>
      <c r="CR97" s="358"/>
      <c r="CS97" s="358"/>
      <c r="CT97" s="358"/>
      <c r="CU97" s="358"/>
      <c r="CV97" s="358"/>
      <c r="CW97" s="358"/>
      <c r="CX97" s="358"/>
      <c r="CY97" s="358"/>
      <c r="CZ97" s="358"/>
      <c r="DA97" s="358"/>
      <c r="DB97" s="358"/>
      <c r="DC97" s="358"/>
      <c r="DD97" s="358"/>
      <c r="DE97" s="358"/>
      <c r="DF97" s="358"/>
      <c r="DG97" s="358"/>
      <c r="DH97" s="358"/>
      <c r="DI97" s="358"/>
      <c r="DJ97" s="358"/>
      <c r="DK97" s="358"/>
      <c r="DL97" s="358"/>
      <c r="DM97" s="358"/>
      <c r="DN97" s="358"/>
      <c r="DO97" s="358"/>
      <c r="DP97" s="358"/>
      <c r="DQ97" s="358"/>
      <c r="DR97" s="358"/>
      <c r="DS97" s="358"/>
      <c r="DT97" s="358"/>
      <c r="DU97" s="358"/>
      <c r="DV97" s="358"/>
      <c r="DW97" s="358"/>
      <c r="DX97" s="358"/>
      <c r="DY97" s="358"/>
      <c r="DZ97" s="358"/>
      <c r="EA97" s="358"/>
      <c r="EB97" s="358"/>
      <c r="EC97" s="358"/>
      <c r="ED97" s="358"/>
      <c r="EE97" s="358"/>
      <c r="EF97" s="358"/>
      <c r="EG97" s="358"/>
      <c r="EH97" s="358"/>
      <c r="EI97" s="358"/>
      <c r="EJ97" s="358"/>
      <c r="EK97" s="358"/>
      <c r="EL97" s="358"/>
      <c r="EM97" s="358"/>
      <c r="EN97" s="358"/>
      <c r="EO97" s="358"/>
      <c r="EP97" s="358"/>
      <c r="EQ97" s="358"/>
      <c r="ER97" s="358"/>
      <c r="ES97" s="358"/>
      <c r="ET97" s="358"/>
      <c r="EU97" s="358"/>
      <c r="EV97" s="358"/>
      <c r="EW97" s="358"/>
      <c r="EX97" s="358"/>
      <c r="EY97" s="358"/>
      <c r="EZ97" s="371"/>
    </row>
    <row r="98" spans="1:156" ht="11.15" customHeight="1" x14ac:dyDescent="0.25">
      <c r="A98" s="1249">
        <v>3.81</v>
      </c>
      <c r="B98" s="783">
        <v>3</v>
      </c>
      <c r="C98" s="784">
        <f ca="1">IF(OR($N$2="",$N$2=0),"",IF(INDIRECT(ADDRESS(($AK98),COLUMN()+31,,,"Digitar Dados dos Ensaios"))&lt;&gt;"",INDIRECT(ADDRESS(($AK98),COLUMN()+31,,,"Digitar Dados dos Ensaios")),""))</f>
        <v>710</v>
      </c>
      <c r="D98" s="785">
        <f t="shared" ca="1" si="47"/>
        <v>13738.500000000002</v>
      </c>
      <c r="E98" s="786"/>
      <c r="F98" s="271"/>
      <c r="G98" s="271"/>
      <c r="H98" s="271"/>
      <c r="I98" s="271"/>
      <c r="J98" s="271"/>
      <c r="K98" s="271"/>
      <c r="L98" s="1248"/>
      <c r="AK98" s="357">
        <f t="shared" si="50"/>
        <v>7</v>
      </c>
      <c r="AL98" s="358"/>
      <c r="AM98" s="374" t="str">
        <f>IF(ISNUMBER(AM95),AM95-$AS95,"")</f>
        <v/>
      </c>
      <c r="AN98" s="374">
        <f t="shared" ca="1" si="51"/>
        <v>-1.5498488143357691E-3</v>
      </c>
      <c r="AO98" s="374">
        <f t="shared" ca="1" si="51"/>
        <v>-1.5272296511540306E-4</v>
      </c>
      <c r="AP98" s="374">
        <f t="shared" ca="1" si="51"/>
        <v>1.7025717794511724E-3</v>
      </c>
      <c r="AQ98" s="374" t="str">
        <f t="shared" si="51"/>
        <v/>
      </c>
      <c r="AR98" s="374" t="str">
        <f t="shared" si="51"/>
        <v/>
      </c>
      <c r="AS98" s="387"/>
      <c r="AT98" s="386"/>
      <c r="AU98" s="386"/>
      <c r="AV98" s="386"/>
      <c r="AW98" s="386"/>
      <c r="AX98" s="386"/>
      <c r="AY98" s="386"/>
      <c r="AZ98" s="386"/>
      <c r="BA98" s="391">
        <v>0</v>
      </c>
      <c r="BB98" s="418">
        <f ca="1">BB94</f>
        <v>3.9110812277608487E-2</v>
      </c>
      <c r="BC98" s="358"/>
      <c r="BD98" s="421"/>
      <c r="BE98" s="358"/>
      <c r="BF98" s="358"/>
      <c r="BG98" s="358"/>
      <c r="BH98" s="358"/>
      <c r="BI98" s="358"/>
      <c r="BJ98" s="358"/>
      <c r="BK98" s="358"/>
      <c r="BL98" s="358"/>
      <c r="BM98" s="358"/>
      <c r="BN98" s="358"/>
      <c r="BO98" s="358"/>
      <c r="BP98" s="358"/>
      <c r="BQ98" s="358"/>
      <c r="BR98" s="358"/>
      <c r="BS98" s="358"/>
      <c r="BT98" s="358"/>
      <c r="BU98" s="358"/>
      <c r="BV98" s="358"/>
      <c r="BW98" s="358"/>
      <c r="BX98" s="358"/>
      <c r="BY98" s="358"/>
      <c r="BZ98" s="358"/>
      <c r="CA98" s="358"/>
      <c r="CB98" s="358"/>
      <c r="CC98" s="358"/>
      <c r="CD98" s="358"/>
      <c r="CE98" s="358"/>
      <c r="CF98" s="358"/>
      <c r="CG98" s="404">
        <v>7.62</v>
      </c>
      <c r="CH98" s="404">
        <v>7.62</v>
      </c>
      <c r="CI98" s="401">
        <v>0</v>
      </c>
      <c r="CJ98" s="422">
        <f t="shared" ca="1" si="44"/>
        <v>20878.650000000001</v>
      </c>
      <c r="CK98" s="358"/>
      <c r="CL98" s="358"/>
      <c r="CM98" s="358"/>
      <c r="CN98" s="358"/>
      <c r="CO98" s="358"/>
      <c r="CP98" s="358"/>
      <c r="CQ98" s="358"/>
      <c r="CR98" s="358"/>
      <c r="CS98" s="358"/>
      <c r="CT98" s="358"/>
      <c r="CU98" s="358"/>
      <c r="CV98" s="358"/>
      <c r="CW98" s="358"/>
      <c r="CX98" s="358"/>
      <c r="CY98" s="358"/>
      <c r="CZ98" s="358"/>
      <c r="DA98" s="358"/>
      <c r="DB98" s="358"/>
      <c r="DC98" s="358"/>
      <c r="DD98" s="358"/>
      <c r="DE98" s="358"/>
      <c r="DF98" s="358"/>
      <c r="DG98" s="358"/>
      <c r="DH98" s="358"/>
      <c r="DI98" s="358"/>
      <c r="DJ98" s="358"/>
      <c r="DK98" s="358"/>
      <c r="DL98" s="358"/>
      <c r="DM98" s="358"/>
      <c r="DN98" s="358"/>
      <c r="DO98" s="358"/>
      <c r="DP98" s="358"/>
      <c r="DQ98" s="358"/>
      <c r="DR98" s="358"/>
      <c r="DS98" s="358"/>
      <c r="DT98" s="358"/>
      <c r="DU98" s="358"/>
      <c r="DV98" s="358"/>
      <c r="DW98" s="358"/>
      <c r="DX98" s="358"/>
      <c r="DY98" s="358"/>
      <c r="DZ98" s="358"/>
      <c r="EA98" s="358"/>
      <c r="EB98" s="358"/>
      <c r="EC98" s="358"/>
      <c r="ED98" s="358"/>
      <c r="EE98" s="358"/>
      <c r="EF98" s="358"/>
      <c r="EG98" s="358"/>
      <c r="EH98" s="358"/>
      <c r="EI98" s="358"/>
      <c r="EJ98" s="358"/>
      <c r="EK98" s="358"/>
      <c r="EL98" s="358"/>
      <c r="EM98" s="358"/>
      <c r="EN98" s="358"/>
      <c r="EO98" s="358"/>
      <c r="EP98" s="358"/>
      <c r="EQ98" s="358"/>
      <c r="ER98" s="358"/>
      <c r="ES98" s="358"/>
      <c r="ET98" s="358"/>
      <c r="EU98" s="358"/>
      <c r="EV98" s="358"/>
      <c r="EW98" s="358"/>
      <c r="EX98" s="358"/>
      <c r="EY98" s="358"/>
      <c r="EZ98" s="371"/>
    </row>
    <row r="99" spans="1:156" ht="11.15" customHeight="1" x14ac:dyDescent="0.25">
      <c r="A99" s="1249">
        <v>5.08</v>
      </c>
      <c r="B99" s="783">
        <v>4</v>
      </c>
      <c r="C99" s="784">
        <f ca="1">IF(OR($N$2="",$N$2=0),"",IF(INDIRECT(ADDRESS(($AK99),COLUMN()+32,,,"Digitar Dados dos Ensaios"))&lt;&gt;"",INDIRECT(ADDRESS(($AK99),COLUMN()+32,,,"Digitar Dados dos Ensaios")),""))</f>
        <v>819</v>
      </c>
      <c r="D99" s="785">
        <f t="shared" ca="1" si="47"/>
        <v>15847.650000000001</v>
      </c>
      <c r="E99" s="788">
        <f ca="1">IF(C99&lt;&gt;"",D99/105.46,"")</f>
        <v>150.27166698274229</v>
      </c>
      <c r="F99" s="271"/>
      <c r="G99" s="271"/>
      <c r="H99" s="271"/>
      <c r="I99" s="271"/>
      <c r="J99" s="271"/>
      <c r="K99" s="271"/>
      <c r="L99" s="1248"/>
      <c r="AK99" s="357">
        <f t="shared" si="50"/>
        <v>7</v>
      </c>
      <c r="AL99" s="358"/>
      <c r="AM99" s="372" t="e">
        <f>IF(OR(AM93="",AM93=0),NA(),AM93)</f>
        <v>#N/A</v>
      </c>
      <c r="AN99" s="372">
        <f t="shared" ref="AN99:AR100" ca="1" si="54">IF(OR(AN93="",AN93=0),NA(),AN93)</f>
        <v>3.8586060232619943E-2</v>
      </c>
      <c r="AO99" s="372">
        <f t="shared" ca="1" si="54"/>
        <v>5.3721596155510309E-2</v>
      </c>
      <c r="AP99" s="372">
        <f t="shared" ca="1" si="54"/>
        <v>6.8857132078400676E-2</v>
      </c>
      <c r="AQ99" s="372" t="e">
        <f t="shared" si="54"/>
        <v>#N/A</v>
      </c>
      <c r="AR99" s="372" t="e">
        <f>IF(OR(AR93="",AR93=0),NA(),AR93)</f>
        <v>#N/A</v>
      </c>
      <c r="AS99" s="358"/>
      <c r="AT99" s="375" t="s">
        <v>101</v>
      </c>
      <c r="AU99" s="389">
        <f ca="1">(AZ95*AZ97-AZ96*AZ93)/(AZ97^2-AZ94*AZ93)</f>
        <v>171.2588603936758</v>
      </c>
      <c r="AV99" s="375" t="s">
        <v>102</v>
      </c>
      <c r="AW99" s="390">
        <f ca="1">(AZ96-AU99*AZ94)/AZ97</f>
        <v>-21.567699077586102</v>
      </c>
      <c r="AX99" s="375" t="s">
        <v>103</v>
      </c>
      <c r="AY99" s="389">
        <f ca="1">AS94-AW99*AS93-AU99*AS95</f>
        <v>0.7168440068522528</v>
      </c>
      <c r="AZ99" s="358"/>
      <c r="BA99" s="391">
        <f ca="1">BB93</f>
        <v>6.0207044400483523E-2</v>
      </c>
      <c r="BB99" s="418">
        <f ca="1">BB98</f>
        <v>3.9110812277608487E-2</v>
      </c>
      <c r="BC99" s="358"/>
      <c r="BD99" s="421"/>
      <c r="BE99" s="358"/>
      <c r="BF99" s="358"/>
      <c r="BG99" s="358"/>
      <c r="BH99" s="358"/>
      <c r="BI99" s="358"/>
      <c r="BJ99" s="358"/>
      <c r="BK99" s="358"/>
      <c r="BL99" s="358"/>
      <c r="BM99" s="358"/>
      <c r="BN99" s="358"/>
      <c r="BO99" s="358"/>
      <c r="BP99" s="358"/>
      <c r="BQ99" s="358"/>
      <c r="BR99" s="358"/>
      <c r="BS99" s="358"/>
      <c r="BT99" s="358"/>
      <c r="BU99" s="358"/>
      <c r="BV99" s="358"/>
      <c r="BW99" s="358"/>
      <c r="BX99" s="358"/>
      <c r="BY99" s="358"/>
      <c r="BZ99" s="358"/>
      <c r="CA99" s="358"/>
      <c r="CB99" s="358"/>
      <c r="CC99" s="358"/>
      <c r="CD99" s="358"/>
      <c r="CE99" s="358"/>
      <c r="CF99" s="358"/>
      <c r="CG99" s="358"/>
      <c r="CH99" s="358"/>
      <c r="CI99" s="358"/>
      <c r="CJ99" s="371"/>
      <c r="CK99" s="358"/>
      <c r="CL99" s="358"/>
      <c r="CM99" s="358"/>
      <c r="CN99" s="358"/>
      <c r="CO99" s="358"/>
      <c r="CP99" s="358"/>
      <c r="CQ99" s="358"/>
      <c r="CR99" s="358"/>
      <c r="CS99" s="358"/>
      <c r="CT99" s="358"/>
      <c r="CU99" s="358"/>
      <c r="CV99" s="358"/>
      <c r="CW99" s="358"/>
      <c r="CX99" s="358"/>
      <c r="CY99" s="358"/>
      <c r="CZ99" s="358"/>
      <c r="DA99" s="358"/>
      <c r="DB99" s="358"/>
      <c r="DC99" s="358"/>
      <c r="DD99" s="358"/>
      <c r="DE99" s="358"/>
      <c r="DF99" s="358"/>
      <c r="DG99" s="358"/>
      <c r="DH99" s="358"/>
      <c r="DI99" s="358"/>
      <c r="DJ99" s="358"/>
      <c r="DK99" s="358"/>
      <c r="DL99" s="358"/>
      <c r="DM99" s="358"/>
      <c r="DN99" s="358"/>
      <c r="DO99" s="358"/>
      <c r="DP99" s="358"/>
      <c r="DQ99" s="358"/>
      <c r="DR99" s="358"/>
      <c r="DS99" s="358"/>
      <c r="DT99" s="358"/>
      <c r="DU99" s="358"/>
      <c r="DV99" s="358"/>
      <c r="DW99" s="358"/>
      <c r="DX99" s="358"/>
      <c r="DY99" s="358"/>
      <c r="DZ99" s="358"/>
      <c r="EA99" s="358"/>
      <c r="EB99" s="358"/>
      <c r="EC99" s="358"/>
      <c r="ED99" s="358"/>
      <c r="EE99" s="358"/>
      <c r="EF99" s="358"/>
      <c r="EG99" s="358"/>
      <c r="EH99" s="358"/>
      <c r="EI99" s="358"/>
      <c r="EJ99" s="358"/>
      <c r="EK99" s="358"/>
      <c r="EL99" s="358"/>
      <c r="EM99" s="358"/>
      <c r="EN99" s="358"/>
      <c r="EO99" s="358"/>
      <c r="EP99" s="358"/>
      <c r="EQ99" s="358"/>
      <c r="ER99" s="358"/>
      <c r="ES99" s="358"/>
      <c r="ET99" s="358"/>
      <c r="EU99" s="358"/>
      <c r="EV99" s="358"/>
      <c r="EW99" s="358"/>
      <c r="EX99" s="358"/>
      <c r="EY99" s="358"/>
      <c r="EZ99" s="371"/>
    </row>
    <row r="100" spans="1:156" ht="11.15" customHeight="1" x14ac:dyDescent="0.25">
      <c r="A100" s="1249">
        <v>6.35</v>
      </c>
      <c r="B100" s="783">
        <v>5</v>
      </c>
      <c r="C100" s="784">
        <f ca="1">IF(OR($N$2="",$N$2=0),"",IF(INDIRECT(ADDRESS(($AK100),COLUMN()+33,,,"Digitar Dados dos Ensaios"))&lt;&gt;"",INDIRECT(ADDRESS(($AK100),COLUMN()+33,,,"Digitar Dados dos Ensaios")),""))</f>
        <v>928</v>
      </c>
      <c r="D100" s="785">
        <f t="shared" ca="1" si="47"/>
        <v>17956.800000000003</v>
      </c>
      <c r="E100" s="787" t="str">
        <f ca="1">IF(E101="","","Corrigido")</f>
        <v/>
      </c>
      <c r="F100" s="271"/>
      <c r="G100" s="271"/>
      <c r="H100" s="271"/>
      <c r="I100" s="271"/>
      <c r="J100" s="271"/>
      <c r="K100" s="271"/>
      <c r="L100" s="1248"/>
      <c r="AK100" s="357">
        <f t="shared" si="50"/>
        <v>7</v>
      </c>
      <c r="AL100" s="358"/>
      <c r="AM100" s="404" t="e">
        <f>IF(OR(AM94="",AM94=0),NA(),AM94)</f>
        <v>#N/A</v>
      </c>
      <c r="AN100" s="404">
        <f t="shared" ca="1" si="54"/>
        <v>0.13961605584642228</v>
      </c>
      <c r="AO100" s="404">
        <f t="shared" ca="1" si="54"/>
        <v>5.2447552447552483E-2</v>
      </c>
      <c r="AP100" s="404">
        <f ca="1">IF(OR(AP94="",AP94=0),NA(),AP94)</f>
        <v>4.374453193350835E-2</v>
      </c>
      <c r="AQ100" s="404" t="e">
        <f t="shared" si="54"/>
        <v>#N/A</v>
      </c>
      <c r="AR100" s="404" t="e">
        <f t="shared" si="54"/>
        <v>#N/A</v>
      </c>
      <c r="AS100" s="358"/>
      <c r="AT100" s="358"/>
      <c r="AU100" s="358"/>
      <c r="AV100" s="358"/>
      <c r="AW100" s="358"/>
      <c r="AX100" s="358"/>
      <c r="AY100" s="358"/>
      <c r="AZ100" s="358"/>
      <c r="BA100" s="391">
        <f ca="1">BA99</f>
        <v>6.0207044400483523E-2</v>
      </c>
      <c r="BB100" s="392">
        <v>0</v>
      </c>
      <c r="BC100" s="358"/>
      <c r="BD100" s="421"/>
      <c r="BE100" s="358"/>
      <c r="BF100" s="358"/>
      <c r="BG100" s="358"/>
      <c r="BH100" s="358"/>
      <c r="BI100" s="358"/>
      <c r="BJ100" s="358"/>
      <c r="BK100" s="358"/>
      <c r="BL100" s="358"/>
      <c r="BM100" s="358"/>
      <c r="BN100" s="358"/>
      <c r="BO100" s="358"/>
      <c r="BP100" s="358"/>
      <c r="BQ100" s="358"/>
      <c r="BR100" s="358"/>
      <c r="BS100" s="358"/>
      <c r="BT100" s="358"/>
      <c r="BU100" s="358"/>
      <c r="BV100" s="358"/>
      <c r="BW100" s="358"/>
      <c r="BX100" s="358"/>
      <c r="BY100" s="358"/>
      <c r="BZ100" s="358"/>
      <c r="CA100" s="358"/>
      <c r="CB100" s="358"/>
      <c r="CC100" s="358"/>
      <c r="CD100" s="358"/>
      <c r="CE100" s="358"/>
      <c r="CF100" s="358"/>
      <c r="CG100" s="358"/>
      <c r="CH100" s="358"/>
      <c r="CI100" s="358"/>
      <c r="CJ100" s="371"/>
      <c r="CK100" s="358"/>
      <c r="CL100" s="358"/>
      <c r="CM100" s="358"/>
      <c r="CN100" s="358"/>
      <c r="CO100" s="358"/>
      <c r="CP100" s="358"/>
      <c r="CQ100" s="358"/>
      <c r="CR100" s="358"/>
      <c r="CS100" s="358"/>
      <c r="CT100" s="358"/>
      <c r="CU100" s="358"/>
      <c r="CV100" s="358"/>
      <c r="CW100" s="358"/>
      <c r="CX100" s="358"/>
      <c r="CY100" s="358"/>
      <c r="CZ100" s="358"/>
      <c r="DA100" s="358"/>
      <c r="DB100" s="358"/>
      <c r="DC100" s="358"/>
      <c r="DD100" s="358"/>
      <c r="DE100" s="358"/>
      <c r="DF100" s="358"/>
      <c r="DG100" s="358"/>
      <c r="DH100" s="358"/>
      <c r="DI100" s="358"/>
      <c r="DJ100" s="358"/>
      <c r="DK100" s="358"/>
      <c r="DL100" s="358"/>
      <c r="DM100" s="358"/>
      <c r="DN100" s="358"/>
      <c r="DO100" s="358"/>
      <c r="DP100" s="358"/>
      <c r="DQ100" s="358"/>
      <c r="DR100" s="358"/>
      <c r="DS100" s="358"/>
      <c r="DT100" s="358"/>
      <c r="DU100" s="358"/>
      <c r="DV100" s="358"/>
      <c r="DW100" s="358"/>
      <c r="DX100" s="358"/>
      <c r="DY100" s="358"/>
      <c r="DZ100" s="358"/>
      <c r="EA100" s="358"/>
      <c r="EB100" s="358"/>
      <c r="EC100" s="358"/>
      <c r="ED100" s="358"/>
      <c r="EE100" s="358"/>
      <c r="EF100" s="358"/>
      <c r="EG100" s="358"/>
      <c r="EH100" s="358"/>
      <c r="EI100" s="358"/>
      <c r="EJ100" s="358"/>
      <c r="EK100" s="358"/>
      <c r="EL100" s="358"/>
      <c r="EM100" s="358"/>
      <c r="EN100" s="358"/>
      <c r="EO100" s="358"/>
      <c r="EP100" s="358"/>
      <c r="EQ100" s="358"/>
      <c r="ER100" s="358"/>
      <c r="ES100" s="358"/>
      <c r="ET100" s="358"/>
      <c r="EU100" s="358"/>
      <c r="EV100" s="358"/>
      <c r="EW100" s="358"/>
      <c r="EX100" s="358"/>
      <c r="EY100" s="358"/>
      <c r="EZ100" s="371"/>
    </row>
    <row r="101" spans="1:156" ht="11.15" customHeight="1" x14ac:dyDescent="0.25">
      <c r="A101" s="789">
        <v>7.62</v>
      </c>
      <c r="B101" s="790">
        <v>6</v>
      </c>
      <c r="C101" s="791">
        <f ca="1">IF(OR($N$2="",$N$2=0),"",IF(INDIRECT(ADDRESS(($AK101),COLUMN()+34,,,"Digitar Dados dos Ensaios"))&lt;&gt;"",INDIRECT(ADDRESS(($AK101),COLUMN()+34,,,"Digitar Dados dos Ensaios")),""))</f>
        <v>1079</v>
      </c>
      <c r="D101" s="354">
        <f t="shared" ca="1" si="47"/>
        <v>20878.650000000001</v>
      </c>
      <c r="E101" s="283" t="str">
        <f ca="1">IF(BZ90="","",IF(BZ90&gt;0,BZ90,""))</f>
        <v/>
      </c>
      <c r="F101" s="272"/>
      <c r="G101" s="272"/>
      <c r="H101" s="272"/>
      <c r="I101" s="272"/>
      <c r="J101" s="272"/>
      <c r="K101" s="272"/>
      <c r="L101" s="273"/>
      <c r="AK101" s="357">
        <f t="shared" si="50"/>
        <v>7</v>
      </c>
      <c r="AL101" s="358"/>
      <c r="AM101" s="358"/>
      <c r="AN101" s="358"/>
      <c r="AO101" s="358"/>
      <c r="AP101" s="358"/>
      <c r="AQ101" s="358"/>
      <c r="AR101" s="358"/>
      <c r="AS101" s="358"/>
      <c r="AT101" s="358"/>
      <c r="AU101" s="358"/>
      <c r="AV101" s="358"/>
      <c r="AW101" s="358"/>
      <c r="AX101" s="358"/>
      <c r="AY101" s="358"/>
      <c r="AZ101" s="358"/>
      <c r="BA101" s="358"/>
      <c r="BB101" s="367"/>
      <c r="BC101" s="358"/>
      <c r="BD101" s="425"/>
      <c r="BE101" s="426"/>
      <c r="BF101" s="426"/>
      <c r="BG101" s="426"/>
      <c r="BH101" s="426"/>
      <c r="BI101" s="426"/>
      <c r="BJ101" s="426"/>
      <c r="BK101" s="426"/>
      <c r="BL101" s="426"/>
      <c r="BM101" s="426"/>
      <c r="BN101" s="426"/>
      <c r="BO101" s="426"/>
      <c r="BP101" s="426"/>
      <c r="BQ101" s="426"/>
      <c r="BR101" s="426"/>
      <c r="BS101" s="426"/>
      <c r="BT101" s="426"/>
      <c r="BU101" s="426"/>
      <c r="BV101" s="426"/>
      <c r="BW101" s="426"/>
      <c r="BX101" s="426"/>
      <c r="BY101" s="426"/>
      <c r="BZ101" s="426"/>
      <c r="CA101" s="426"/>
      <c r="CB101" s="426"/>
      <c r="CC101" s="426"/>
      <c r="CD101" s="426"/>
      <c r="CE101" s="426"/>
      <c r="CF101" s="426"/>
      <c r="CG101" s="426"/>
      <c r="CH101" s="426"/>
      <c r="CI101" s="426"/>
      <c r="CJ101" s="427"/>
      <c r="CK101" s="358"/>
      <c r="CL101" s="358"/>
      <c r="CM101" s="358"/>
      <c r="CN101" s="358"/>
      <c r="CO101" s="358"/>
      <c r="CP101" s="358"/>
      <c r="CQ101" s="358"/>
      <c r="CR101" s="358"/>
      <c r="CS101" s="358"/>
      <c r="CT101" s="358"/>
      <c r="CU101" s="358"/>
      <c r="CV101" s="358"/>
      <c r="CW101" s="358"/>
      <c r="CX101" s="358"/>
      <c r="CY101" s="358"/>
      <c r="CZ101" s="358"/>
      <c r="DA101" s="358"/>
      <c r="DB101" s="358"/>
      <c r="DC101" s="358"/>
      <c r="DD101" s="358"/>
      <c r="DE101" s="358"/>
      <c r="DF101" s="358"/>
      <c r="DG101" s="358"/>
      <c r="DH101" s="358"/>
      <c r="DI101" s="358"/>
      <c r="DJ101" s="358"/>
      <c r="DK101" s="358"/>
      <c r="DL101" s="358"/>
      <c r="DM101" s="358"/>
      <c r="DN101" s="358"/>
      <c r="DO101" s="358"/>
      <c r="DP101" s="358"/>
      <c r="DQ101" s="358"/>
      <c r="DR101" s="358"/>
      <c r="DS101" s="358"/>
      <c r="DT101" s="358"/>
      <c r="DU101" s="358"/>
      <c r="DV101" s="358"/>
      <c r="DW101" s="358"/>
      <c r="DX101" s="358"/>
      <c r="DY101" s="358"/>
      <c r="DZ101" s="358"/>
      <c r="EA101" s="358"/>
      <c r="EB101" s="358"/>
      <c r="EC101" s="358"/>
      <c r="ED101" s="358"/>
      <c r="EE101" s="358"/>
      <c r="EF101" s="358"/>
      <c r="EG101" s="358"/>
      <c r="EH101" s="358"/>
      <c r="EI101" s="358"/>
      <c r="EJ101" s="358"/>
      <c r="EK101" s="358"/>
      <c r="EL101" s="358"/>
      <c r="EM101" s="358"/>
      <c r="EN101" s="358"/>
      <c r="EO101" s="358"/>
      <c r="EP101" s="358"/>
      <c r="EQ101" s="358"/>
      <c r="ER101" s="358"/>
      <c r="ES101" s="358"/>
      <c r="ET101" s="358"/>
      <c r="EU101" s="358"/>
      <c r="EV101" s="358"/>
      <c r="EW101" s="358"/>
      <c r="EX101" s="358"/>
      <c r="EY101" s="358"/>
      <c r="EZ101" s="371"/>
    </row>
    <row r="102" spans="1:156" ht="5.15" customHeight="1" x14ac:dyDescent="0.25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AK102" s="357"/>
      <c r="AL102" s="358"/>
      <c r="AM102" s="358"/>
      <c r="AN102" s="358"/>
      <c r="AO102" s="358"/>
      <c r="AP102" s="358"/>
      <c r="AQ102" s="358"/>
      <c r="AR102" s="358"/>
      <c r="AS102" s="358"/>
      <c r="AT102" s="358"/>
      <c r="AU102" s="358"/>
      <c r="AV102" s="358"/>
      <c r="AW102" s="358"/>
      <c r="AX102" s="358"/>
      <c r="AY102" s="358"/>
      <c r="AZ102" s="358"/>
      <c r="BA102" s="358"/>
      <c r="BB102" s="367"/>
      <c r="BC102" s="358"/>
      <c r="BD102" s="421"/>
      <c r="BE102" s="358"/>
      <c r="BF102" s="358"/>
      <c r="BG102" s="358"/>
      <c r="BH102" s="358"/>
      <c r="BI102" s="358"/>
      <c r="BJ102" s="358"/>
      <c r="BK102" s="358"/>
      <c r="BL102" s="358"/>
      <c r="BM102" s="358"/>
      <c r="BN102" s="358"/>
      <c r="BO102" s="358"/>
      <c r="BP102" s="358"/>
      <c r="BQ102" s="358"/>
      <c r="BR102" s="358"/>
      <c r="BS102" s="358"/>
      <c r="BT102" s="358"/>
      <c r="BU102" s="358"/>
      <c r="BV102" s="358"/>
      <c r="BW102" s="358"/>
      <c r="BX102" s="358"/>
      <c r="BY102" s="358"/>
      <c r="BZ102" s="358"/>
      <c r="CA102" s="358"/>
      <c r="CB102" s="358"/>
      <c r="CC102" s="358"/>
      <c r="CD102" s="358"/>
      <c r="CE102" s="358"/>
      <c r="CF102" s="358"/>
      <c r="CG102" s="358"/>
      <c r="CH102" s="358"/>
      <c r="CI102" s="358"/>
      <c r="CJ102" s="371"/>
      <c r="CK102" s="358"/>
      <c r="CL102" s="358"/>
      <c r="CM102" s="358"/>
      <c r="CN102" s="358"/>
      <c r="CO102" s="358"/>
      <c r="CP102" s="358"/>
      <c r="CQ102" s="358"/>
      <c r="CR102" s="358"/>
      <c r="CS102" s="358"/>
      <c r="CT102" s="358"/>
      <c r="CU102" s="358"/>
      <c r="CV102" s="358"/>
      <c r="CW102" s="358"/>
      <c r="CX102" s="358"/>
      <c r="CY102" s="358"/>
      <c r="CZ102" s="358"/>
      <c r="DA102" s="358"/>
      <c r="DB102" s="358"/>
      <c r="DC102" s="358"/>
      <c r="DD102" s="358"/>
      <c r="DE102" s="358"/>
      <c r="DF102" s="358"/>
      <c r="DG102" s="358"/>
      <c r="DH102" s="358"/>
      <c r="DI102" s="358"/>
      <c r="DJ102" s="358"/>
      <c r="DK102" s="358"/>
      <c r="DL102" s="358"/>
      <c r="DM102" s="358"/>
      <c r="DN102" s="358"/>
      <c r="DO102" s="358"/>
      <c r="DP102" s="358"/>
      <c r="DQ102" s="358"/>
      <c r="DR102" s="358"/>
      <c r="DS102" s="358"/>
      <c r="DT102" s="358"/>
      <c r="DU102" s="358"/>
      <c r="DV102" s="358"/>
      <c r="DW102" s="358"/>
      <c r="DX102" s="358"/>
      <c r="DY102" s="358"/>
      <c r="DZ102" s="358"/>
      <c r="EA102" s="358"/>
      <c r="EB102" s="358"/>
      <c r="EC102" s="358"/>
      <c r="ED102" s="358"/>
      <c r="EE102" s="358"/>
      <c r="EF102" s="358"/>
      <c r="EG102" s="358"/>
      <c r="EH102" s="358"/>
      <c r="EI102" s="358"/>
      <c r="EJ102" s="358"/>
      <c r="EK102" s="358"/>
      <c r="EL102" s="358"/>
      <c r="EM102" s="358"/>
      <c r="EN102" s="358"/>
      <c r="EO102" s="358"/>
      <c r="EP102" s="358"/>
      <c r="EQ102" s="358"/>
      <c r="ER102" s="358"/>
      <c r="ES102" s="358"/>
      <c r="ET102" s="358"/>
      <c r="EU102" s="358"/>
      <c r="EV102" s="358"/>
      <c r="EW102" s="358"/>
      <c r="EX102" s="358"/>
      <c r="EY102" s="358"/>
      <c r="EZ102" s="371"/>
    </row>
    <row r="103" spans="1:156" ht="11.15" customHeight="1" x14ac:dyDescent="0.25">
      <c r="A103" s="1822" t="s">
        <v>199</v>
      </c>
      <c r="B103" s="1823"/>
      <c r="C103" s="1834">
        <f ca="1">IF(OR($N$2="",$N$2=0),"",IF(INDIRECT(ADDRESS(($AK103),COLUMN()+18,,,"Digitar Dados dos Ensaios"))&lt;&gt;"",INDIRECT(ADDRESS(($AK103),COLUMN()+18,,,"Digitar Dados dos Ensaios")),""))</f>
        <v>46</v>
      </c>
      <c r="D103" s="1835"/>
      <c r="E103" s="1825" t="s">
        <v>200</v>
      </c>
      <c r="F103" s="269"/>
      <c r="G103" s="269"/>
      <c r="H103" s="269"/>
      <c r="I103" s="269"/>
      <c r="J103" s="269"/>
      <c r="K103" s="269"/>
      <c r="L103" s="270"/>
      <c r="AK103" s="357">
        <f>AK84+1</f>
        <v>8</v>
      </c>
      <c r="AL103" s="358"/>
      <c r="AM103" s="358"/>
      <c r="AN103" s="358"/>
      <c r="AO103" s="358"/>
      <c r="AP103" s="358"/>
      <c r="AQ103" s="358"/>
      <c r="AR103" s="358"/>
      <c r="AS103" s="358"/>
      <c r="AT103" s="358"/>
      <c r="AU103" s="358"/>
      <c r="AV103" s="358"/>
      <c r="AW103" s="358"/>
      <c r="AX103" s="358"/>
      <c r="AY103" s="358"/>
      <c r="AZ103" s="358"/>
      <c r="BA103" s="358"/>
      <c r="BB103" s="367"/>
      <c r="BC103" s="358"/>
      <c r="BD103" s="394">
        <v>0.63</v>
      </c>
      <c r="BE103" s="395">
        <v>0.63</v>
      </c>
      <c r="BF103" s="395">
        <v>0.63</v>
      </c>
      <c r="BG103" s="396">
        <f ca="1">IF(D120&lt;&gt;"",D120,"")</f>
        <v>26915.850000000002</v>
      </c>
      <c r="BH103" s="396">
        <v>0</v>
      </c>
      <c r="BI103" s="396">
        <f ca="1">IF(D113&lt;&gt;"",D113,"")</f>
        <v>3889.3500000000004</v>
      </c>
      <c r="BJ103" s="395">
        <v>0.63</v>
      </c>
      <c r="BK103" s="395">
        <v>1.27</v>
      </c>
      <c r="BL103" s="395">
        <v>1.9</v>
      </c>
      <c r="BM103" s="395">
        <v>2.54</v>
      </c>
      <c r="BN103" s="395">
        <v>3.81</v>
      </c>
      <c r="BO103" s="395">
        <v>5.08</v>
      </c>
      <c r="BP103" s="395">
        <v>6.35</v>
      </c>
      <c r="BQ103" s="395">
        <v>7.62</v>
      </c>
      <c r="BR103" s="397">
        <f ca="1">IF(BJ104&lt;&gt;"",AVERAGE(BJ103:BQ103),"")</f>
        <v>3.65</v>
      </c>
      <c r="BS103" s="398">
        <f ca="1">IF(ISNUMBER(BJ108),BJ108^2,"")</f>
        <v>340.42833049000006</v>
      </c>
      <c r="BT103" s="398">
        <f t="shared" ref="BT103:BZ103" ca="1" si="55">IF(ISNUMBER(BK108),BK108^2,"")</f>
        <v>297.03488408999999</v>
      </c>
      <c r="BU103" s="398">
        <f t="shared" ca="1" si="55"/>
        <v>232.18445376000003</v>
      </c>
      <c r="BV103" s="398">
        <f t="shared" ca="1" si="55"/>
        <v>153.66081600000001</v>
      </c>
      <c r="BW103" s="398">
        <f t="shared" ca="1" si="55"/>
        <v>18.761892250000002</v>
      </c>
      <c r="BX103" s="398">
        <f t="shared" ca="1" si="55"/>
        <v>48.424897440000002</v>
      </c>
      <c r="BY103" s="398">
        <f t="shared" ca="1" si="55"/>
        <v>461.17133000999991</v>
      </c>
      <c r="BZ103" s="398">
        <f t="shared" ca="1" si="55"/>
        <v>1537.95740224</v>
      </c>
      <c r="CA103" s="398">
        <f ca="1">IF(BS103&lt;&gt;"",SUM(BS103:BZ103),"")</f>
        <v>3089.6240062799998</v>
      </c>
      <c r="CB103" s="399">
        <v>0</v>
      </c>
      <c r="CC103" s="399">
        <f ca="1">IF(CB104="","",IF(CB104&gt;0,CF106,-1))</f>
        <v>-1</v>
      </c>
      <c r="CD103" s="399">
        <f ca="1">IF(CB104="","",IF(CB104&gt;0,CH106,-1))</f>
        <v>-1</v>
      </c>
      <c r="CE103" s="399">
        <f ca="1">IF(CB104="","",IF(CB104&gt;0,(BV107*CE104)+BV108,-1))</f>
        <v>-1</v>
      </c>
      <c r="CF103" s="399">
        <f ca="1">IF(CB104="","",IF(CB104&gt;0,(BV107*CF104)+BV108,-1))</f>
        <v>-1</v>
      </c>
      <c r="CG103" s="399">
        <f ca="1">IF(CB104="","",IF(CB104&gt;0,CF106,-1))</f>
        <v>-1</v>
      </c>
      <c r="CH103" s="399">
        <f ca="1">IF(CB104="","",IF(CB104&gt;0,CF106,-1))</f>
        <v>-1</v>
      </c>
      <c r="CI103" s="399">
        <f ca="1">IF(CB104="","",IF(CB104&gt;0,CF106,-1))</f>
        <v>-1</v>
      </c>
      <c r="CJ103" s="400">
        <f ca="1">IF(CB104="","",IF(CB104&gt;0,CE103,-1))</f>
        <v>-1</v>
      </c>
      <c r="CK103" s="358"/>
      <c r="CL103" s="358"/>
      <c r="CM103" s="358"/>
      <c r="CN103" s="358"/>
      <c r="CO103" s="358"/>
      <c r="CP103" s="358"/>
      <c r="CQ103" s="358"/>
      <c r="CR103" s="358"/>
      <c r="CS103" s="358"/>
      <c r="CT103" s="358"/>
      <c r="CU103" s="358"/>
      <c r="CV103" s="358"/>
      <c r="CW103" s="358"/>
      <c r="CX103" s="358"/>
      <c r="CY103" s="358"/>
      <c r="CZ103" s="358"/>
      <c r="DA103" s="358"/>
      <c r="DB103" s="358"/>
      <c r="DC103" s="358"/>
      <c r="DD103" s="358"/>
      <c r="DE103" s="358"/>
      <c r="DF103" s="358"/>
      <c r="DG103" s="358"/>
      <c r="DH103" s="358"/>
      <c r="DI103" s="358"/>
      <c r="DJ103" s="358"/>
      <c r="DK103" s="358"/>
      <c r="DL103" s="358"/>
      <c r="DM103" s="358"/>
      <c r="DN103" s="358"/>
      <c r="DO103" s="358"/>
      <c r="DP103" s="358"/>
      <c r="DQ103" s="358"/>
      <c r="DR103" s="358"/>
      <c r="DS103" s="358"/>
      <c r="DT103" s="358"/>
      <c r="DU103" s="358"/>
      <c r="DV103" s="358"/>
      <c r="DW103" s="358"/>
      <c r="DX103" s="358"/>
      <c r="DY103" s="358"/>
      <c r="DZ103" s="358"/>
      <c r="EA103" s="358"/>
      <c r="EB103" s="358"/>
      <c r="EC103" s="358"/>
      <c r="ED103" s="358"/>
      <c r="EE103" s="358"/>
      <c r="EF103" s="358"/>
      <c r="EG103" s="358"/>
      <c r="EH103" s="358"/>
      <c r="EI103" s="358"/>
      <c r="EJ103" s="358"/>
      <c r="EK103" s="358"/>
      <c r="EL103" s="358"/>
      <c r="EM103" s="358"/>
      <c r="EN103" s="358"/>
      <c r="EO103" s="358"/>
      <c r="EP103" s="358"/>
      <c r="EQ103" s="358"/>
      <c r="ER103" s="358"/>
      <c r="ES103" s="358"/>
      <c r="ET103" s="358"/>
      <c r="EU103" s="358"/>
      <c r="EV103" s="358"/>
      <c r="EW103" s="358"/>
      <c r="EX103" s="358"/>
      <c r="EY103" s="358"/>
      <c r="EZ103" s="371"/>
    </row>
    <row r="104" spans="1:156" ht="11.15" customHeight="1" x14ac:dyDescent="0.25">
      <c r="A104" s="1247">
        <f ca="1">IF(OR($N$2="",$N$2=0),"",IF(INDIRECT(ADDRESS(($AK104),COLUMN()+22,,,"Digitar Dados dos Ensaios"))&lt;&gt;"",INDIRECT(ADDRESS(($AK104),COLUMN()+22,,,"Digitar Dados dos Ensaios")),""))</f>
        <v>19.350000000000001</v>
      </c>
      <c r="B104" s="768" t="s">
        <v>57</v>
      </c>
      <c r="C104" s="768" t="s">
        <v>201</v>
      </c>
      <c r="D104" s="768" t="s">
        <v>17</v>
      </c>
      <c r="E104" s="1826"/>
      <c r="F104" s="271"/>
      <c r="G104" s="271"/>
      <c r="H104" s="271"/>
      <c r="I104" s="271"/>
      <c r="J104" s="271"/>
      <c r="K104" s="271"/>
      <c r="L104" s="1248"/>
      <c r="AK104" s="357">
        <f>AK85</f>
        <v>9</v>
      </c>
      <c r="AL104" s="368">
        <f>AL86+1</f>
        <v>8</v>
      </c>
      <c r="AM104" s="358"/>
      <c r="AN104" s="358"/>
      <c r="AO104" s="358"/>
      <c r="AP104" s="358"/>
      <c r="AQ104" s="358"/>
      <c r="AR104" s="358"/>
      <c r="AS104" s="358"/>
      <c r="AT104" s="358"/>
      <c r="AU104" s="358"/>
      <c r="AV104" s="358"/>
      <c r="AW104" s="358"/>
      <c r="AX104" s="358"/>
      <c r="AY104" s="358"/>
      <c r="AZ104" s="358"/>
      <c r="BA104" s="358"/>
      <c r="BB104" s="358"/>
      <c r="BC104" s="358"/>
      <c r="BD104" s="403">
        <v>1.27</v>
      </c>
      <c r="BE104" s="404">
        <v>1.27</v>
      </c>
      <c r="BF104" s="404">
        <v>1.27</v>
      </c>
      <c r="BG104" s="401">
        <f t="shared" ref="BG104:BG110" ca="1" si="56">IF(BG103&lt;&gt;"",BG103,"")</f>
        <v>26915.850000000002</v>
      </c>
      <c r="BH104" s="401">
        <v>0</v>
      </c>
      <c r="BI104" s="401">
        <f t="shared" ref="BI104:BI110" ca="1" si="57">IF(D114&lt;&gt;"",D114,"")</f>
        <v>8146.35</v>
      </c>
      <c r="BJ104" s="405">
        <f ca="1">IF(ISNUMBER($BI103),$BI103,"")</f>
        <v>3889.3500000000004</v>
      </c>
      <c r="BK104" s="405">
        <f ca="1">IF(ISNUMBER($BI104),$BI104,"")</f>
        <v>8146.35</v>
      </c>
      <c r="BL104" s="405">
        <f ca="1">IF(ISNUMBER($BI105),$BI105,"")</f>
        <v>12035.7</v>
      </c>
      <c r="BM104" s="405">
        <f ca="1">IF(ISNUMBER($BI106),$BI106,"")</f>
        <v>14164.2</v>
      </c>
      <c r="BN104" s="405">
        <f ca="1">IF(ISNUMBER($BI107),$BI107,"")</f>
        <v>17705.25</v>
      </c>
      <c r="BO104" s="405">
        <f ca="1">IF(ISNUMBER($BI108),$BI108,"")</f>
        <v>21246.300000000003</v>
      </c>
      <c r="BP104" s="405">
        <f ca="1">IF(ISNUMBER($BI109),$BI109,"")</f>
        <v>24439.050000000003</v>
      </c>
      <c r="BQ104" s="405">
        <f ca="1">IF(ISNUMBER($BI110),$BI110,"")</f>
        <v>26915.850000000002</v>
      </c>
      <c r="BR104" s="405">
        <f ca="1">IF(BJ104&lt;&gt;"",AVERAGE(BJ104:BQ104),"")</f>
        <v>16067.756250000002</v>
      </c>
      <c r="BS104" s="406">
        <f ca="1">IF(ISERROR(BJ106*BJ107),"",BJ106*BJ107)</f>
        <v>36778.786875000005</v>
      </c>
      <c r="BT104" s="406">
        <f t="shared" ref="BT104:BZ105" ca="1" si="58">IF(ISERROR(BK106*BK107),"",BK106*BK107)</f>
        <v>18852.946875000005</v>
      </c>
      <c r="BU104" s="406">
        <f t="shared" ca="1" si="58"/>
        <v>7056.0984375000025</v>
      </c>
      <c r="BV104" s="406">
        <f t="shared" ca="1" si="58"/>
        <v>2112.9474375000013</v>
      </c>
      <c r="BW104" s="406">
        <f t="shared" ca="1" si="58"/>
        <v>261.99899999999991</v>
      </c>
      <c r="BX104" s="406">
        <f t="shared" ca="1" si="58"/>
        <v>7405.3175625000022</v>
      </c>
      <c r="BY104" s="406">
        <f t="shared" ca="1" si="58"/>
        <v>22602.493125000001</v>
      </c>
      <c r="BZ104" s="406">
        <f t="shared" ca="1" si="58"/>
        <v>43066.932187500002</v>
      </c>
      <c r="CA104" s="406">
        <f ca="1">IF(BS104&lt;&gt;"",SUM(BS104:BZ104),"")</f>
        <v>138137.52150000003</v>
      </c>
      <c r="CB104" s="428">
        <f ca="1">IF(BV108&lt;&gt;"",(CB103-BV108)/BV107,"")</f>
        <v>-1.5994704036685921</v>
      </c>
      <c r="CC104" s="408">
        <f ca="1">IF(CB104="","",IF(CB104&gt;0,(CF105+CB104),-1))</f>
        <v>-1</v>
      </c>
      <c r="CD104" s="408">
        <f ca="1">IF(CB104="","",IF(CB104&gt;0,CH105+CB104,-1))</f>
        <v>-1</v>
      </c>
      <c r="CE104" s="408">
        <f ca="1">IF(CB104="","",IF(CB104&gt;0,CC104,-1))</f>
        <v>-1</v>
      </c>
      <c r="CF104" s="408">
        <f ca="1">IF(CB104="","",IF(CB104&gt;0,CD104,-1))</f>
        <v>-1</v>
      </c>
      <c r="CG104" s="408">
        <f ca="1">IF(CB104="","",IF(CB104&gt;0,CF105,-1))</f>
        <v>-1</v>
      </c>
      <c r="CH104" s="408">
        <f ca="1">IF(CB104="","",IF(CB104&gt;0,CC104,-1))</f>
        <v>-1</v>
      </c>
      <c r="CI104" s="408">
        <f ca="1">IF(CB104="","",IF(CB104&gt;0,CE104,-1))</f>
        <v>-1</v>
      </c>
      <c r="CJ104" s="409">
        <f ca="1">IF(CB104="","",IF(CB104&gt;0,CE104,-1))</f>
        <v>-1</v>
      </c>
      <c r="CK104" s="358"/>
      <c r="CL104" s="358"/>
      <c r="CM104" s="358"/>
      <c r="CN104" s="358"/>
      <c r="CO104" s="358"/>
      <c r="CP104" s="358"/>
      <c r="CQ104" s="358"/>
      <c r="CR104" s="358"/>
      <c r="CS104" s="358"/>
      <c r="CT104" s="358"/>
      <c r="CU104" s="358"/>
      <c r="CV104" s="358"/>
      <c r="CW104" s="358"/>
      <c r="CX104" s="358"/>
      <c r="CY104" s="358"/>
      <c r="CZ104" s="358"/>
      <c r="DA104" s="358"/>
      <c r="DB104" s="358"/>
      <c r="DC104" s="358"/>
      <c r="DD104" s="358"/>
      <c r="DE104" s="358"/>
      <c r="DF104" s="358"/>
      <c r="DG104" s="358"/>
      <c r="DH104" s="358"/>
      <c r="DI104" s="358"/>
      <c r="DJ104" s="358"/>
      <c r="DK104" s="358"/>
      <c r="DL104" s="358"/>
      <c r="DM104" s="358"/>
      <c r="DN104" s="358"/>
      <c r="DO104" s="358"/>
      <c r="DP104" s="358"/>
      <c r="DQ104" s="358"/>
      <c r="DR104" s="358"/>
      <c r="DS104" s="358"/>
      <c r="DT104" s="358"/>
      <c r="DU104" s="358"/>
      <c r="DV104" s="358"/>
      <c r="DW104" s="358"/>
      <c r="DX104" s="358"/>
      <c r="DY104" s="358"/>
      <c r="DZ104" s="358"/>
      <c r="EA104" s="358"/>
      <c r="EB104" s="358"/>
      <c r="EC104" s="358"/>
      <c r="ED104" s="358"/>
      <c r="EE104" s="358"/>
      <c r="EF104" s="358"/>
      <c r="EG104" s="358"/>
      <c r="EH104" s="358"/>
      <c r="EI104" s="358"/>
      <c r="EJ104" s="358"/>
      <c r="EK104" s="358"/>
      <c r="EL104" s="358"/>
      <c r="EM104" s="358"/>
      <c r="EN104" s="358"/>
      <c r="EO104" s="358"/>
      <c r="EP104" s="358"/>
      <c r="EQ104" s="358"/>
      <c r="ER104" s="358"/>
      <c r="ES104" s="358"/>
      <c r="ET104" s="358"/>
      <c r="EU104" s="358"/>
      <c r="EV104" s="358"/>
      <c r="EW104" s="358"/>
      <c r="EX104" s="358"/>
      <c r="EY104" s="358"/>
      <c r="EZ104" s="371"/>
    </row>
    <row r="105" spans="1:156" ht="11.15" customHeight="1" x14ac:dyDescent="0.25">
      <c r="A105" s="1827" t="s">
        <v>202</v>
      </c>
      <c r="B105" s="779">
        <f ca="1">IF($K$70&lt;&gt;"",$K$70,"")</f>
        <v>45804</v>
      </c>
      <c r="C105" s="780" t="str">
        <f ca="1">IF(OR($N$2="",$N$2=0),"",IF(INDIRECT(ADDRESS(($AK105),COLUMN()+19,,,"Digitar Dados dos Ensaios"))&lt;&gt;"",INDIRECT(ADDRESS(($AK105),COLUMN()+19,,,"Digitar Dados dos Ensaios")),""))</f>
        <v/>
      </c>
      <c r="D105" s="781">
        <f ca="1">IF(OR($N$2="",$N$2=0),"",IF(INDIRECT(ADDRESS(($AL105),COLUMN()+22,,,"Digitar Dados dos Ensaios"))&lt;&gt;"",INDIRECT(ADDRESS(($AL105),COLUMN()+22,,,"Digitar Dados dos Ensaios")),""))</f>
        <v>1</v>
      </c>
      <c r="E105" s="1826"/>
      <c r="F105" s="271"/>
      <c r="G105" s="271"/>
      <c r="H105" s="271"/>
      <c r="I105" s="271"/>
      <c r="J105" s="271"/>
      <c r="K105" s="271"/>
      <c r="L105" s="1248"/>
      <c r="AK105" s="357">
        <f>AK88</f>
        <v>7</v>
      </c>
      <c r="AL105" s="368">
        <f>AL104</f>
        <v>8</v>
      </c>
      <c r="AM105" s="358"/>
      <c r="AN105" s="358"/>
      <c r="AO105" s="358"/>
      <c r="AP105" s="358"/>
      <c r="AQ105" s="358"/>
      <c r="AR105" s="358"/>
      <c r="AS105" s="358"/>
      <c r="AT105" s="358"/>
      <c r="AU105" s="358"/>
      <c r="AV105" s="358"/>
      <c r="AW105" s="358"/>
      <c r="AX105" s="358"/>
      <c r="AY105" s="358"/>
      <c r="AZ105" s="358"/>
      <c r="BA105" s="358"/>
      <c r="BB105" s="358"/>
      <c r="BC105" s="358"/>
      <c r="BD105" s="403">
        <v>1.9</v>
      </c>
      <c r="BE105" s="404">
        <v>1.9</v>
      </c>
      <c r="BF105" s="404">
        <v>1.9</v>
      </c>
      <c r="BG105" s="401">
        <f t="shared" ca="1" si="56"/>
        <v>26915.850000000002</v>
      </c>
      <c r="BH105" s="401">
        <v>0</v>
      </c>
      <c r="BI105" s="401">
        <f t="shared" ca="1" si="57"/>
        <v>12035.7</v>
      </c>
      <c r="BJ105" s="405">
        <f ca="1">IF(BJ104&lt;&gt;"",BJ103^2,"")</f>
        <v>0.39690000000000003</v>
      </c>
      <c r="BK105" s="405">
        <f t="shared" ref="BK105:BQ105" ca="1" si="59">IF(BK104&lt;&gt;"",BK103^2,"")</f>
        <v>1.6129</v>
      </c>
      <c r="BL105" s="405">
        <f t="shared" ca="1" si="59"/>
        <v>3.61</v>
      </c>
      <c r="BM105" s="405">
        <f t="shared" ca="1" si="59"/>
        <v>6.4516</v>
      </c>
      <c r="BN105" s="405">
        <f t="shared" ca="1" si="59"/>
        <v>14.5161</v>
      </c>
      <c r="BO105" s="405">
        <f t="shared" ca="1" si="59"/>
        <v>25.8064</v>
      </c>
      <c r="BP105" s="405">
        <f t="shared" ca="1" si="59"/>
        <v>40.322499999999998</v>
      </c>
      <c r="BQ105" s="405">
        <f t="shared" ca="1" si="59"/>
        <v>58.064399999999999</v>
      </c>
      <c r="BR105" s="405">
        <f ca="1">IF(BJ105&lt;&gt;"",AVERAGE(BJ105:BQ105),"")</f>
        <v>18.8476</v>
      </c>
      <c r="BS105" s="406">
        <f ca="1">IF(ISERROR(BJ107*BJ108),"",BJ107*BJ108)</f>
        <v>224700.12019687504</v>
      </c>
      <c r="BT105" s="406">
        <f t="shared" ca="1" si="58"/>
        <v>136523.06029687505</v>
      </c>
      <c r="BU105" s="406">
        <f t="shared" ca="1" si="58"/>
        <v>61438.860315000027</v>
      </c>
      <c r="BV105" s="406">
        <f t="shared" ca="1" si="58"/>
        <v>23596.483275000021</v>
      </c>
      <c r="BW105" s="406">
        <f t="shared" ca="1" si="58"/>
        <v>-7092.8041781249904</v>
      </c>
      <c r="BX105" s="406">
        <f t="shared" ca="1" si="58"/>
        <v>36036.450247500004</v>
      </c>
      <c r="BY105" s="406">
        <f t="shared" ca="1" si="58"/>
        <v>179772.69615187499</v>
      </c>
      <c r="BZ105" s="406">
        <f t="shared" ca="1" si="58"/>
        <v>425427.52297499997</v>
      </c>
      <c r="CA105" s="406">
        <f ca="1">IF(BS105&lt;&gt;"",SUM(BS105:BZ105),"")</f>
        <v>1080402.38928</v>
      </c>
      <c r="CB105" s="408">
        <v>0</v>
      </c>
      <c r="CC105" s="408">
        <v>0.63</v>
      </c>
      <c r="CD105" s="408">
        <v>1.27</v>
      </c>
      <c r="CE105" s="408">
        <v>1.9</v>
      </c>
      <c r="CF105" s="408">
        <v>2.54</v>
      </c>
      <c r="CG105" s="408">
        <v>3.81</v>
      </c>
      <c r="CH105" s="408">
        <v>5.08</v>
      </c>
      <c r="CI105" s="408">
        <v>6.35</v>
      </c>
      <c r="CJ105" s="409">
        <v>7.62</v>
      </c>
      <c r="CK105" s="358"/>
      <c r="CL105" s="358"/>
      <c r="CM105" s="358"/>
      <c r="CN105" s="358"/>
      <c r="CO105" s="358"/>
      <c r="CP105" s="358"/>
      <c r="CQ105" s="358"/>
      <c r="CR105" s="358"/>
      <c r="CS105" s="358"/>
      <c r="CT105" s="358"/>
      <c r="CU105" s="358"/>
      <c r="CV105" s="358"/>
      <c r="CW105" s="358"/>
      <c r="CX105" s="358"/>
      <c r="CY105" s="358"/>
      <c r="CZ105" s="358"/>
      <c r="DA105" s="358"/>
      <c r="DB105" s="358"/>
      <c r="DC105" s="358"/>
      <c r="DD105" s="358"/>
      <c r="DE105" s="358"/>
      <c r="DF105" s="358"/>
      <c r="DG105" s="358"/>
      <c r="DH105" s="358"/>
      <c r="DI105" s="358"/>
      <c r="DJ105" s="358"/>
      <c r="DK105" s="358"/>
      <c r="DL105" s="358"/>
      <c r="DM105" s="358"/>
      <c r="DN105" s="358"/>
      <c r="DO105" s="358"/>
      <c r="DP105" s="358"/>
      <c r="DQ105" s="358"/>
      <c r="DR105" s="358"/>
      <c r="DS105" s="358"/>
      <c r="DT105" s="358"/>
      <c r="DU105" s="358"/>
      <c r="DV105" s="358"/>
      <c r="DW105" s="358"/>
      <c r="DX105" s="358"/>
      <c r="DY105" s="358"/>
      <c r="DZ105" s="358"/>
      <c r="EA105" s="358"/>
      <c r="EB105" s="358"/>
      <c r="EC105" s="358"/>
      <c r="ED105" s="358"/>
      <c r="EE105" s="358"/>
      <c r="EF105" s="358"/>
      <c r="EG105" s="358"/>
      <c r="EH105" s="358"/>
      <c r="EI105" s="358"/>
      <c r="EJ105" s="358"/>
      <c r="EK105" s="358"/>
      <c r="EL105" s="358"/>
      <c r="EM105" s="358"/>
      <c r="EN105" s="358"/>
      <c r="EO105" s="358"/>
      <c r="EP105" s="358"/>
      <c r="EQ105" s="358"/>
      <c r="ER105" s="358"/>
      <c r="ES105" s="358"/>
      <c r="ET105" s="358"/>
      <c r="EU105" s="358"/>
      <c r="EV105" s="358"/>
      <c r="EW105" s="358"/>
      <c r="EX105" s="358"/>
      <c r="EY105" s="358"/>
      <c r="EZ105" s="371"/>
    </row>
    <row r="106" spans="1:156" s="230" customFormat="1" ht="11.15" customHeight="1" x14ac:dyDescent="0.25">
      <c r="A106" s="1827"/>
      <c r="B106" s="779">
        <f ca="1">IF(ISNUMBER(B105),B105+1,"")</f>
        <v>45805</v>
      </c>
      <c r="C106" s="780" t="str">
        <f ca="1">IF(OR($N$2="",$N$2=0),"",IF(INDIRECT(ADDRESS(($AK106),COLUMN()+20,,,"Digitar Dados dos Ensaios"))&lt;&gt;"",INDIRECT(ADDRESS(($AK106),COLUMN()+20,,,"Digitar Dados dos Ensaios")),""))</f>
        <v/>
      </c>
      <c r="D106" s="781">
        <f ca="1">IF(OR($N$2="",$N$2=0),"",IF(INDIRECT(ADDRESS(($AL106),COLUMN()+23,,,"Digitar Dados dos Ensaios"))&lt;&gt;"",INDIRECT(ADDRESS(($AL106),COLUMN()+23,,,"Digitar Dados dos Ensaios")),""))</f>
        <v>1</v>
      </c>
      <c r="E106" s="1826"/>
      <c r="F106" s="271"/>
      <c r="G106" s="271"/>
      <c r="H106" s="271"/>
      <c r="I106" s="271"/>
      <c r="J106" s="271"/>
      <c r="K106" s="271"/>
      <c r="L106" s="1248"/>
      <c r="AK106" s="357">
        <f>AK105</f>
        <v>7</v>
      </c>
      <c r="AL106" s="368">
        <f>AL105</f>
        <v>8</v>
      </c>
      <c r="AM106" s="358"/>
      <c r="AN106" s="358"/>
      <c r="AO106" s="358"/>
      <c r="AP106" s="358"/>
      <c r="AQ106" s="358"/>
      <c r="AR106" s="358"/>
      <c r="AS106" s="358"/>
      <c r="AT106" s="358"/>
      <c r="AU106" s="358"/>
      <c r="AV106" s="358"/>
      <c r="AW106" s="358"/>
      <c r="AX106" s="358"/>
      <c r="AY106" s="358"/>
      <c r="AZ106" s="358"/>
      <c r="BA106" s="358"/>
      <c r="BB106" s="358"/>
      <c r="BC106" s="358"/>
      <c r="BD106" s="403">
        <v>2.54</v>
      </c>
      <c r="BE106" s="404">
        <v>2.54</v>
      </c>
      <c r="BF106" s="404">
        <v>2.54</v>
      </c>
      <c r="BG106" s="401">
        <f t="shared" ca="1" si="56"/>
        <v>26915.850000000002</v>
      </c>
      <c r="BH106" s="401">
        <v>0</v>
      </c>
      <c r="BI106" s="401">
        <f t="shared" ca="1" si="57"/>
        <v>14164.2</v>
      </c>
      <c r="BJ106" s="410">
        <f ca="1">IF(ISNUMBER(BJ104),BJ103-BR103,"")</f>
        <v>-3.02</v>
      </c>
      <c r="BK106" s="410">
        <f ca="1">IF(ISNUMBER(BK104),BK103-BR103,"")</f>
        <v>-2.38</v>
      </c>
      <c r="BL106" s="410">
        <f ca="1">IF(ISNUMBER(BL104),BL103-BR103,"")</f>
        <v>-1.75</v>
      </c>
      <c r="BM106" s="410">
        <f ca="1">IF(ISNUMBER(BM104),BM103-BR103,"")</f>
        <v>-1.1099999999999999</v>
      </c>
      <c r="BN106" s="410">
        <f ca="1">IF(ISNUMBER(BN104),BN103-BR103,"")</f>
        <v>0.16000000000000014</v>
      </c>
      <c r="BO106" s="410">
        <f ca="1">IF(ISNUMBER(BO104),BO103-BR103,"")</f>
        <v>1.4300000000000002</v>
      </c>
      <c r="BP106" s="410">
        <f ca="1">IF(ISNUMBER(BP104),BP103-BR103,"")</f>
        <v>2.6999999999999997</v>
      </c>
      <c r="BQ106" s="410">
        <f ca="1">IF(ISNUMBER(BQ104),BQ103-BR103,"")</f>
        <v>3.97</v>
      </c>
      <c r="BR106" s="411">
        <f ca="1">IF(BJ106&lt;&gt;"",SUM(BJ106:BQ106),"")</f>
        <v>0</v>
      </c>
      <c r="BS106" s="406">
        <f ca="1">IF(ISERROR(BJ106*BJ108),"",BJ106*BJ108)</f>
        <v>55.721114000000007</v>
      </c>
      <c r="BT106" s="406">
        <f t="shared" ref="BT106:BZ106" ca="1" si="60">IF(ISERROR(BK106*BK108),"",BK106*BK108)</f>
        <v>41.018585999999999</v>
      </c>
      <c r="BU106" s="406">
        <f t="shared" ca="1" si="60"/>
        <v>26.665800000000001</v>
      </c>
      <c r="BV106" s="406">
        <f t="shared" ca="1" si="60"/>
        <v>13.759559999999999</v>
      </c>
      <c r="BW106" s="406">
        <f t="shared" ca="1" si="60"/>
        <v>-0.69304000000000066</v>
      </c>
      <c r="BX106" s="406">
        <f t="shared" ca="1" si="60"/>
        <v>9.9510840000000016</v>
      </c>
      <c r="BY106" s="406">
        <f t="shared" ca="1" si="60"/>
        <v>57.982229999999987</v>
      </c>
      <c r="BZ106" s="406">
        <f t="shared" ca="1" si="60"/>
        <v>155.690696</v>
      </c>
      <c r="CA106" s="412">
        <f ca="1">IF(BS106&lt;&gt;"",SUM(BS106:BZ106),"")</f>
        <v>360.09603000000004</v>
      </c>
      <c r="CB106" s="408">
        <f ca="1">IF(CB104="","",IF(CB104&gt;0,(BV107*CB105)+BV108,-1))</f>
        <v>-1</v>
      </c>
      <c r="CC106" s="408">
        <f ca="1">IF(CB104="","",IF(CB104&gt;0,(BV107*CC105)+BV108,-1))</f>
        <v>-1</v>
      </c>
      <c r="CD106" s="408">
        <f ca="1">IF(CB104="","",IF(CB104&gt;0,(BV107*CD105)+BV108,-1))</f>
        <v>-1</v>
      </c>
      <c r="CE106" s="408">
        <f ca="1">IF(CB104="","",IF(CB104&gt;0,(BV107*CE105)+BV108,-1))</f>
        <v>-1</v>
      </c>
      <c r="CF106" s="408">
        <f ca="1">IF(CB104="","",IF(CB104&gt;0,(BV107*CF105)+BV108,-1))</f>
        <v>-1</v>
      </c>
      <c r="CG106" s="408">
        <f ca="1">IF(CB104="","",IF(CB104&gt;0,(BV107*CG105)+BV108,-1))</f>
        <v>-1</v>
      </c>
      <c r="CH106" s="408">
        <f ca="1">IF(CB104="","",IF(CB104&gt;0,(BV107*CH105)+BV108,-1))</f>
        <v>-1</v>
      </c>
      <c r="CI106" s="408">
        <f ca="1">IF(CB104="","",IF(CB104&gt;0,(BV107*CI105)+BV108,-1))</f>
        <v>-1</v>
      </c>
      <c r="CJ106" s="409">
        <f ca="1">IF(CB104="","",IF(CB104&gt;0,(BV107*CJ105)+BV108,-1))</f>
        <v>-1</v>
      </c>
      <c r="CK106" s="358"/>
      <c r="CL106" s="358"/>
      <c r="CM106" s="358"/>
      <c r="CN106" s="358"/>
      <c r="CO106" s="358"/>
      <c r="CP106" s="358"/>
      <c r="CQ106" s="358"/>
      <c r="CR106" s="358"/>
      <c r="CS106" s="358"/>
      <c r="CT106" s="358"/>
      <c r="CU106" s="358"/>
      <c r="CV106" s="358"/>
      <c r="CW106" s="358"/>
      <c r="CX106" s="358"/>
      <c r="CY106" s="358"/>
      <c r="CZ106" s="358"/>
      <c r="DA106" s="358"/>
      <c r="DB106" s="358"/>
      <c r="DC106" s="358"/>
      <c r="DD106" s="358"/>
      <c r="DE106" s="358"/>
      <c r="DF106" s="358"/>
      <c r="DG106" s="358"/>
      <c r="DH106" s="358"/>
      <c r="DI106" s="358"/>
      <c r="DJ106" s="358"/>
      <c r="DK106" s="358"/>
      <c r="DL106" s="358"/>
      <c r="DM106" s="358"/>
      <c r="DN106" s="358"/>
      <c r="DO106" s="358"/>
      <c r="DP106" s="358"/>
      <c r="DQ106" s="358"/>
      <c r="DR106" s="358"/>
      <c r="DS106" s="358"/>
      <c r="DT106" s="358"/>
      <c r="DU106" s="358"/>
      <c r="DV106" s="358"/>
      <c r="DW106" s="358"/>
      <c r="DX106" s="358"/>
      <c r="DY106" s="358"/>
      <c r="DZ106" s="358"/>
      <c r="EA106" s="358"/>
      <c r="EB106" s="358"/>
      <c r="EC106" s="358"/>
      <c r="ED106" s="358"/>
      <c r="EE106" s="358"/>
      <c r="EF106" s="358"/>
      <c r="EG106" s="358"/>
      <c r="EH106" s="358"/>
      <c r="EI106" s="358"/>
      <c r="EJ106" s="358"/>
      <c r="EK106" s="358"/>
      <c r="EL106" s="358"/>
      <c r="EM106" s="358"/>
      <c r="EN106" s="358"/>
      <c r="EO106" s="358"/>
      <c r="EP106" s="358"/>
      <c r="EQ106" s="358"/>
      <c r="ER106" s="358"/>
      <c r="ES106" s="358"/>
      <c r="ET106" s="358"/>
      <c r="EU106" s="358"/>
      <c r="EV106" s="358"/>
      <c r="EW106" s="358"/>
      <c r="EX106" s="358"/>
      <c r="EY106" s="358"/>
      <c r="EZ106" s="371"/>
    </row>
    <row r="107" spans="1:156" ht="11.15" customHeight="1" x14ac:dyDescent="0.25">
      <c r="A107" s="1827"/>
      <c r="B107" s="779">
        <f ca="1">IF(ISNUMBER(B106),B106+1,"")</f>
        <v>45806</v>
      </c>
      <c r="C107" s="780" t="str">
        <f ca="1">IF(OR($N$2="",$N$2=0),"",IF(INDIRECT(ADDRESS(($AK107),COLUMN()+21,,,"Digitar Dados dos Ensaios"))&lt;&gt;"",INDIRECT(ADDRESS(($AK107),COLUMN()+21,,,"Digitar Dados dos Ensaios")),""))</f>
        <v/>
      </c>
      <c r="D107" s="781">
        <f ca="1">IF(OR($N$2="",$N$2=0),"",IF(INDIRECT(ADDRESS(($AL107),COLUMN()+24,,,"Digitar Dados dos Ensaios"))&lt;&gt;"",INDIRECT(ADDRESS(($AL107),COLUMN()+24,,,"Digitar Dados dos Ensaios")),""))</f>
        <v>1</v>
      </c>
      <c r="E107" s="1826"/>
      <c r="F107" s="271"/>
      <c r="G107" s="271"/>
      <c r="H107" s="271"/>
      <c r="I107" s="271"/>
      <c r="J107" s="271"/>
      <c r="K107" s="271"/>
      <c r="L107" s="1248"/>
      <c r="AK107" s="357">
        <f>AK106</f>
        <v>7</v>
      </c>
      <c r="AL107" s="368">
        <f>AL106</f>
        <v>8</v>
      </c>
      <c r="AM107" s="358"/>
      <c r="AN107" s="358"/>
      <c r="AO107" s="358"/>
      <c r="AP107" s="358"/>
      <c r="AQ107" s="358"/>
      <c r="AR107" s="358"/>
      <c r="AS107" s="358"/>
      <c r="AT107" s="358"/>
      <c r="AU107" s="358"/>
      <c r="AV107" s="358"/>
      <c r="AW107" s="358"/>
      <c r="AX107" s="358"/>
      <c r="AY107" s="358"/>
      <c r="AZ107" s="358"/>
      <c r="BA107" s="358"/>
      <c r="BB107" s="358"/>
      <c r="BC107" s="358"/>
      <c r="BD107" s="403">
        <v>3.81</v>
      </c>
      <c r="BE107" s="404">
        <v>3.81</v>
      </c>
      <c r="BF107" s="404">
        <v>3.81</v>
      </c>
      <c r="BG107" s="401">
        <f t="shared" ca="1" si="56"/>
        <v>26915.850000000002</v>
      </c>
      <c r="BH107" s="401">
        <v>0</v>
      </c>
      <c r="BI107" s="401">
        <f t="shared" ca="1" si="57"/>
        <v>17705.25</v>
      </c>
      <c r="BJ107" s="410">
        <f ca="1">IF(ISNUMBER(BJ104),BJ104-BR104,"")</f>
        <v>-12178.406250000002</v>
      </c>
      <c r="BK107" s="410">
        <f ca="1">IF(ISNUMBER(BK104),BK104-BR104,"")</f>
        <v>-7921.4062500000018</v>
      </c>
      <c r="BL107" s="410">
        <f ca="1">IF(ISNUMBER(BL104),BL104-BR104,"")</f>
        <v>-4032.0562500000015</v>
      </c>
      <c r="BM107" s="410">
        <f ca="1">IF(ISNUMBER(BM104),BM104-BR104,"")</f>
        <v>-1903.5562500000015</v>
      </c>
      <c r="BN107" s="410">
        <f ca="1">IF(ISNUMBER(BN104),BN104-BR104,"")</f>
        <v>1637.4937499999978</v>
      </c>
      <c r="BO107" s="410">
        <f ca="1">IF(ISNUMBER(BO104),BO104-BR104,"")</f>
        <v>5178.5437500000007</v>
      </c>
      <c r="BP107" s="410">
        <f ca="1">IF(ISNUMBER(BP104),BP104-BR104,"")</f>
        <v>8371.2937500000007</v>
      </c>
      <c r="BQ107" s="410">
        <f ca="1">IF(ISNUMBER(BQ104),BQ104-BR104,"")</f>
        <v>10848.09375</v>
      </c>
      <c r="BR107" s="411">
        <f ca="1">IF(BJ107&lt;&gt;"",SUM(BJ107:BQ107),"")</f>
        <v>0</v>
      </c>
      <c r="BS107" s="413" t="s">
        <v>115</v>
      </c>
      <c r="BT107" s="414">
        <f ca="1">IF(BR109&lt;&gt;"",(CA104*CA106-CA105*BR109)/(CA106^2-CA103*BR109),"")</f>
        <v>-288.35519955357478</v>
      </c>
      <c r="BU107" s="413" t="s">
        <v>116</v>
      </c>
      <c r="BV107" s="405">
        <f ca="1">IF(BX107&lt;&gt;"",SLOPE(BX107:BX108,BW107:BW108),"")</f>
        <v>3277.138460058673</v>
      </c>
      <c r="BW107" s="405">
        <v>2.54</v>
      </c>
      <c r="BX107" s="405">
        <f ca="1">IF(BT107&lt;&gt;"",BT107*BW107^2+BT108*BW107+BT109,"")</f>
        <v>13565.617664136942</v>
      </c>
      <c r="BY107" s="405">
        <v>2.54</v>
      </c>
      <c r="BZ107" s="405">
        <v>5.08</v>
      </c>
      <c r="CA107" s="406"/>
      <c r="CB107" s="408">
        <f ca="1">IF(CB104="","",IF(CB104&gt;0,CE103,-1))</f>
        <v>-1</v>
      </c>
      <c r="CC107" s="408">
        <f ca="1">IF(CB104="","",IF(CB104&gt;0,CE103,-1))</f>
        <v>-1</v>
      </c>
      <c r="CD107" s="408">
        <f ca="1">IF(CB104="","",IF(CB104&gt;0,CH106,-1))</f>
        <v>-1</v>
      </c>
      <c r="CE107" s="408">
        <f ca="1">IF(CB104="","",IF(CB104&gt;0,CH106,-1))</f>
        <v>-1</v>
      </c>
      <c r="CF107" s="408">
        <f ca="1">IF(CB104="","",IF(CB104&gt;0,CF103,-1))</f>
        <v>-1</v>
      </c>
      <c r="CG107" s="408">
        <f ca="1">IF(CB104="","",IF(CB104&gt;0,CF103,-1))</f>
        <v>-1</v>
      </c>
      <c r="CH107" s="408">
        <f ca="1">IF(CB104="","",IF(CB104&gt;0,CF103,-1))</f>
        <v>-1</v>
      </c>
      <c r="CI107" s="408">
        <f ca="1">IF(CB104="","",IF(CB104&gt;0,CF103,-1))</f>
        <v>-1</v>
      </c>
      <c r="CJ107" s="409"/>
      <c r="CK107" s="358"/>
      <c r="CL107" s="358"/>
      <c r="CM107" s="358"/>
      <c r="CN107" s="358"/>
      <c r="CO107" s="358"/>
      <c r="CP107" s="358"/>
      <c r="CQ107" s="358"/>
      <c r="CR107" s="358"/>
      <c r="CS107" s="358"/>
      <c r="CT107" s="358"/>
      <c r="CU107" s="358"/>
      <c r="CV107" s="358"/>
      <c r="CW107" s="358"/>
      <c r="CX107" s="358"/>
      <c r="CY107" s="358"/>
      <c r="CZ107" s="358"/>
      <c r="DA107" s="358"/>
      <c r="DB107" s="358"/>
      <c r="DC107" s="358"/>
      <c r="DD107" s="358"/>
      <c r="DE107" s="358"/>
      <c r="DF107" s="358"/>
      <c r="DG107" s="358"/>
      <c r="DH107" s="358"/>
      <c r="DI107" s="358"/>
      <c r="DJ107" s="358"/>
      <c r="DK107" s="358"/>
      <c r="DL107" s="358"/>
      <c r="DM107" s="358"/>
      <c r="DN107" s="358"/>
      <c r="DO107" s="358"/>
      <c r="DP107" s="358"/>
      <c r="DQ107" s="358"/>
      <c r="DR107" s="358"/>
      <c r="DS107" s="358"/>
      <c r="DT107" s="358"/>
      <c r="DU107" s="358"/>
      <c r="DV107" s="358"/>
      <c r="DW107" s="358"/>
      <c r="DX107" s="358"/>
      <c r="DY107" s="358"/>
      <c r="DZ107" s="358"/>
      <c r="EA107" s="358"/>
      <c r="EB107" s="358"/>
      <c r="EC107" s="358"/>
      <c r="ED107" s="358"/>
      <c r="EE107" s="358"/>
      <c r="EF107" s="358"/>
      <c r="EG107" s="358"/>
      <c r="EH107" s="358"/>
      <c r="EI107" s="358"/>
      <c r="EJ107" s="358"/>
      <c r="EK107" s="358"/>
      <c r="EL107" s="358"/>
      <c r="EM107" s="358"/>
      <c r="EN107" s="358"/>
      <c r="EO107" s="358"/>
      <c r="EP107" s="358"/>
      <c r="EQ107" s="358"/>
      <c r="ER107" s="358"/>
      <c r="ES107" s="358"/>
      <c r="ET107" s="358"/>
      <c r="EU107" s="358"/>
      <c r="EV107" s="358"/>
      <c r="EW107" s="358"/>
      <c r="EX107" s="358"/>
      <c r="EY107" s="358"/>
      <c r="EZ107" s="371"/>
    </row>
    <row r="108" spans="1:156" ht="11.15" customHeight="1" x14ac:dyDescent="0.25">
      <c r="A108" s="1827"/>
      <c r="B108" s="779">
        <f ca="1">IF(ISNUMBER(B107),B107+1,"")</f>
        <v>45807</v>
      </c>
      <c r="C108" s="780" t="str">
        <f ca="1">IF(OR($N$2="",$N$2=0),"",IF(INDIRECT(ADDRESS(($AK108),COLUMN()+22,,,"Digitar Dados dos Ensaios"))&lt;&gt;"",INDIRECT(ADDRESS(($AK108),COLUMN()+22,,,"Digitar Dados dos Ensaios")),""))</f>
        <v/>
      </c>
      <c r="D108" s="781">
        <f ca="1">IF(OR($N$2="",$N$2=0),"",IF(INDIRECT(ADDRESS(($AL108),COLUMN()+25,,,"Digitar Dados dos Ensaios"))&lt;&gt;"",INDIRECT(ADDRESS(($AL108),COLUMN()+25,,,"Digitar Dados dos Ensaios")),""))</f>
        <v>1.06</v>
      </c>
      <c r="E108" s="1826"/>
      <c r="F108" s="271"/>
      <c r="G108" s="271"/>
      <c r="H108" s="271"/>
      <c r="I108" s="271"/>
      <c r="J108" s="271"/>
      <c r="K108" s="271"/>
      <c r="L108" s="1248"/>
      <c r="AK108" s="357">
        <f>AK107</f>
        <v>7</v>
      </c>
      <c r="AL108" s="368">
        <f>AL107</f>
        <v>8</v>
      </c>
      <c r="AM108" s="358"/>
      <c r="AN108" s="358"/>
      <c r="AO108" s="358"/>
      <c r="AP108" s="358"/>
      <c r="AQ108" s="358"/>
      <c r="AR108" s="358"/>
      <c r="AS108" s="358"/>
      <c r="AT108" s="358"/>
      <c r="AU108" s="358"/>
      <c r="AV108" s="358"/>
      <c r="AW108" s="358"/>
      <c r="AX108" s="358"/>
      <c r="AY108" s="358"/>
      <c r="AZ108" s="358"/>
      <c r="BA108" s="358"/>
      <c r="BB108" s="358"/>
      <c r="BC108" s="358"/>
      <c r="BD108" s="403">
        <v>5.08</v>
      </c>
      <c r="BE108" s="404">
        <v>5.08</v>
      </c>
      <c r="BF108" s="404">
        <v>5.08</v>
      </c>
      <c r="BG108" s="401">
        <f t="shared" ca="1" si="56"/>
        <v>26915.850000000002</v>
      </c>
      <c r="BH108" s="401">
        <v>0</v>
      </c>
      <c r="BI108" s="401">
        <f t="shared" ca="1" si="57"/>
        <v>21246.300000000003</v>
      </c>
      <c r="BJ108" s="410">
        <f ca="1">IF(ISNUMBER(BJ105),BJ105-BR105,"")</f>
        <v>-18.450700000000001</v>
      </c>
      <c r="BK108" s="410">
        <f ca="1">IF(ISNUMBER(BK105),BK105-BR105,"")</f>
        <v>-17.2347</v>
      </c>
      <c r="BL108" s="410">
        <f ca="1">IF(ISNUMBER(BL105),BL105-BR105,"")</f>
        <v>-15.2376</v>
      </c>
      <c r="BM108" s="410">
        <f ca="1">IF(ISNUMBER(BM105),BM105-BR105,"")</f>
        <v>-12.396000000000001</v>
      </c>
      <c r="BN108" s="410">
        <f ca="1">IF(ISNUMBER(BN105),BN105-BR105,"")</f>
        <v>-4.3315000000000001</v>
      </c>
      <c r="BO108" s="410">
        <f ca="1">IF(ISNUMBER(BO105),BO105-BR105,"")</f>
        <v>6.9588000000000001</v>
      </c>
      <c r="BP108" s="410">
        <f ca="1">IF(ISNUMBER(BP105),BP105-BR105,"")</f>
        <v>21.474899999999998</v>
      </c>
      <c r="BQ108" s="410">
        <f ca="1">IF(ISNUMBER(BQ105),BQ105-BR105,"")</f>
        <v>39.216799999999999</v>
      </c>
      <c r="BR108" s="411">
        <f ca="1">IF(BJ108&lt;&gt;"",SUM(BJ108:BQ108),"")</f>
        <v>0</v>
      </c>
      <c r="BS108" s="710" t="s">
        <v>128</v>
      </c>
      <c r="BT108" s="415">
        <f ca="1">IF(BT107&lt;&gt;"",(CA105-BT107*CA103)/CA106,"")</f>
        <v>5474.405080656913</v>
      </c>
      <c r="BU108" s="710" t="s">
        <v>128</v>
      </c>
      <c r="BV108" s="415">
        <f ca="1">IF(BX107&lt;&gt;"",INTERCEPT(BX107:BX108,BW107:BW108),"")</f>
        <v>5241.6859755879141</v>
      </c>
      <c r="BW108" s="405">
        <v>5.08</v>
      </c>
      <c r="BX108" s="405">
        <f ca="1">IF(BT107&lt;&gt;"",BT107*BW108^2+BT108*BW108+BT109,"")</f>
        <v>21889.549352685972</v>
      </c>
      <c r="BY108" s="416" t="str">
        <f ca="1">IF(CB104="","",IF(CB104&gt;0,CE103,""))</f>
        <v/>
      </c>
      <c r="BZ108" s="416" t="str">
        <f ca="1">IF(CB104="","",IF(CB104&gt;0,CF103,""))</f>
        <v/>
      </c>
      <c r="CA108" s="359"/>
      <c r="CB108" s="407">
        <v>0</v>
      </c>
      <c r="CC108" s="407">
        <f ca="1">IF(CB104="","",IF(CB104&gt;0,CH104,-1))</f>
        <v>-1</v>
      </c>
      <c r="CD108" s="407">
        <f ca="1">IF(CB104="","",IF(CB104&gt;0,CH105,-1))</f>
        <v>-1</v>
      </c>
      <c r="CE108" s="407">
        <f ca="1">IF(CB104="","",IF(CB104&gt;0,CD104,-1))</f>
        <v>-1</v>
      </c>
      <c r="CF108" s="407">
        <f ca="1">IF(CB104="","",IF(CB104&gt;0,CD104,-1))</f>
        <v>-1</v>
      </c>
      <c r="CG108" s="407">
        <f ca="1">IF(CB104="","",IF(CB104&gt;0,CD104,-1))</f>
        <v>-1</v>
      </c>
      <c r="CH108" s="407">
        <v>0</v>
      </c>
      <c r="CI108" s="407">
        <f ca="1">IF(CB104="","",IF(CB104&gt;0,CD104,-1))</f>
        <v>-1</v>
      </c>
      <c r="CJ108" s="417"/>
      <c r="CK108" s="358"/>
      <c r="CL108" s="358"/>
      <c r="CM108" s="358"/>
      <c r="CN108" s="358"/>
      <c r="CO108" s="358"/>
      <c r="CP108" s="358"/>
      <c r="CQ108" s="358"/>
      <c r="CR108" s="358"/>
      <c r="CS108" s="358"/>
      <c r="CT108" s="358"/>
      <c r="CU108" s="358"/>
      <c r="CV108" s="358"/>
      <c r="CW108" s="358"/>
      <c r="CX108" s="358"/>
      <c r="CY108" s="358"/>
      <c r="CZ108" s="358"/>
      <c r="DA108" s="358"/>
      <c r="DB108" s="358"/>
      <c r="DC108" s="358"/>
      <c r="DD108" s="358"/>
      <c r="DE108" s="358"/>
      <c r="DF108" s="358"/>
      <c r="DG108" s="358"/>
      <c r="DH108" s="358"/>
      <c r="DI108" s="358"/>
      <c r="DJ108" s="358"/>
      <c r="DK108" s="358"/>
      <c r="DL108" s="358"/>
      <c r="DM108" s="358"/>
      <c r="DN108" s="358"/>
      <c r="DO108" s="358"/>
      <c r="DP108" s="358"/>
      <c r="DQ108" s="358"/>
      <c r="DR108" s="358"/>
      <c r="DS108" s="358"/>
      <c r="DT108" s="358"/>
      <c r="DU108" s="358"/>
      <c r="DV108" s="358"/>
      <c r="DW108" s="358"/>
      <c r="DX108" s="358"/>
      <c r="DY108" s="358"/>
      <c r="DZ108" s="358"/>
      <c r="EA108" s="358"/>
      <c r="EB108" s="358"/>
      <c r="EC108" s="358"/>
      <c r="ED108" s="358"/>
      <c r="EE108" s="358"/>
      <c r="EF108" s="358"/>
      <c r="EG108" s="358"/>
      <c r="EH108" s="358"/>
      <c r="EI108" s="358"/>
      <c r="EJ108" s="358"/>
      <c r="EK108" s="358"/>
      <c r="EL108" s="358"/>
      <c r="EM108" s="358"/>
      <c r="EN108" s="358"/>
      <c r="EO108" s="358"/>
      <c r="EP108" s="358"/>
      <c r="EQ108" s="358"/>
      <c r="ER108" s="358"/>
      <c r="ES108" s="358"/>
      <c r="ET108" s="358"/>
      <c r="EU108" s="358"/>
      <c r="EV108" s="358"/>
      <c r="EW108" s="358"/>
      <c r="EX108" s="358"/>
      <c r="EY108" s="358"/>
      <c r="EZ108" s="371"/>
    </row>
    <row r="109" spans="1:156" ht="11.15" customHeight="1" x14ac:dyDescent="0.25">
      <c r="A109" s="1827"/>
      <c r="B109" s="1828" t="s">
        <v>203</v>
      </c>
      <c r="C109" s="1829"/>
      <c r="D109" s="782">
        <f ca="1">IF(ISNUMBER(D105),MAX(D105:D108)-MIN(D105:D108),"")</f>
        <v>6.0000000000000053E-2</v>
      </c>
      <c r="E109" s="1830">
        <f ca="1">IF(ISNUMBER(C103),D109/D110*10,"")</f>
        <v>5.2447552447552483E-2</v>
      </c>
      <c r="F109" s="271"/>
      <c r="G109" s="271"/>
      <c r="H109" s="271"/>
      <c r="I109" s="271"/>
      <c r="J109" s="271"/>
      <c r="K109" s="271"/>
      <c r="L109" s="1248"/>
      <c r="AK109" s="357"/>
      <c r="AL109" s="368"/>
      <c r="AM109" s="358"/>
      <c r="AN109" s="358"/>
      <c r="AO109" s="358"/>
      <c r="AP109" s="358"/>
      <c r="AQ109" s="358"/>
      <c r="AR109" s="358"/>
      <c r="AS109" s="358"/>
      <c r="AT109" s="358"/>
      <c r="AU109" s="358"/>
      <c r="AV109" s="358"/>
      <c r="AW109" s="358"/>
      <c r="AX109" s="358"/>
      <c r="AY109" s="358"/>
      <c r="AZ109" s="358"/>
      <c r="BA109" s="358"/>
      <c r="BB109" s="358"/>
      <c r="BC109" s="358"/>
      <c r="BD109" s="403">
        <v>6.35</v>
      </c>
      <c r="BE109" s="404">
        <v>6.35</v>
      </c>
      <c r="BF109" s="404">
        <v>6.35</v>
      </c>
      <c r="BG109" s="401">
        <f t="shared" ca="1" si="56"/>
        <v>26915.850000000002</v>
      </c>
      <c r="BH109" s="401">
        <v>0</v>
      </c>
      <c r="BI109" s="401">
        <f t="shared" ca="1" si="57"/>
        <v>24439.050000000003</v>
      </c>
      <c r="BJ109" s="405">
        <f ca="1">IF(ISNUMBER(BJ106),BJ106^2,"")</f>
        <v>9.1204000000000001</v>
      </c>
      <c r="BK109" s="405">
        <f t="shared" ref="BK109:BQ109" ca="1" si="61">IF(ISNUMBER(BK106),BK106^2,"")</f>
        <v>5.6643999999999997</v>
      </c>
      <c r="BL109" s="405">
        <f t="shared" ca="1" si="61"/>
        <v>3.0625</v>
      </c>
      <c r="BM109" s="405">
        <f t="shared" ca="1" si="61"/>
        <v>1.2320999999999998</v>
      </c>
      <c r="BN109" s="405">
        <f t="shared" ca="1" si="61"/>
        <v>2.5600000000000046E-2</v>
      </c>
      <c r="BO109" s="405">
        <f t="shared" ca="1" si="61"/>
        <v>2.0449000000000006</v>
      </c>
      <c r="BP109" s="405">
        <f t="shared" ca="1" si="61"/>
        <v>7.2899999999999983</v>
      </c>
      <c r="BQ109" s="405">
        <f t="shared" ca="1" si="61"/>
        <v>15.760900000000001</v>
      </c>
      <c r="BR109" s="411">
        <f ca="1">IF(BJ109&lt;&gt;"",SUM(BJ109:BQ109),"")</f>
        <v>44.200800000000001</v>
      </c>
      <c r="BS109" s="710" t="s">
        <v>138</v>
      </c>
      <c r="BT109" s="414">
        <f ca="1">IF(BT107&lt;&gt;"",BR104-BT108*BR103-BT107*BR105,"")</f>
        <v>1520.9811647082252</v>
      </c>
      <c r="BU109" s="710"/>
      <c r="BV109" s="359"/>
      <c r="BW109" s="359"/>
      <c r="BX109" s="359"/>
      <c r="BY109" s="361" t="str">
        <f ca="1">IF(CB104="","",IF(CB104&gt;0,BY108/70.31,""))</f>
        <v/>
      </c>
      <c r="BZ109" s="361" t="str">
        <f ca="1">IF(CB104="","",IF(CB104&gt;0,BZ108/105.46,""))</f>
        <v/>
      </c>
      <c r="CA109" s="359"/>
      <c r="CB109" s="710">
        <v>2.54</v>
      </c>
      <c r="CC109" s="361">
        <f ca="1">IF(BM104&lt;&gt;"",BM104/70.31,"")</f>
        <v>201.45356279334376</v>
      </c>
      <c r="CD109" s="405">
        <v>5.08</v>
      </c>
      <c r="CE109" s="361">
        <f ca="1">IF(BO104&lt;&gt;"",BO104/105.46,"")</f>
        <v>201.4631139768633</v>
      </c>
      <c r="CF109" s="416">
        <f ca="1">IF(CH109&lt;&gt;"",MAX(CH109,CJ109),"")</f>
        <v>20146.311397686331</v>
      </c>
      <c r="CG109" s="364">
        <v>2.54</v>
      </c>
      <c r="CH109" s="402">
        <f ca="1">IF(BM104&lt;&gt;"",MAX(BY109,CC109)*100,"")</f>
        <v>20145.356279334377</v>
      </c>
      <c r="CI109" s="364">
        <v>5.08</v>
      </c>
      <c r="CJ109" s="419">
        <f ca="1">IF(BO104&lt;&gt;"",MAX(BZ109,CE109)*100,"")</f>
        <v>20146.311397686331</v>
      </c>
      <c r="CK109" s="358"/>
      <c r="CL109" s="358"/>
      <c r="CM109" s="358"/>
      <c r="CN109" s="358"/>
      <c r="CO109" s="358"/>
      <c r="CP109" s="358"/>
      <c r="CQ109" s="358"/>
      <c r="CR109" s="358"/>
      <c r="CS109" s="358"/>
      <c r="CT109" s="358"/>
      <c r="CU109" s="358"/>
      <c r="CV109" s="358"/>
      <c r="CW109" s="358"/>
      <c r="CX109" s="358"/>
      <c r="CY109" s="358"/>
      <c r="CZ109" s="358"/>
      <c r="DA109" s="358"/>
      <c r="DB109" s="358"/>
      <c r="DC109" s="358"/>
      <c r="DD109" s="358"/>
      <c r="DE109" s="358"/>
      <c r="DF109" s="358"/>
      <c r="DG109" s="358"/>
      <c r="DH109" s="358"/>
      <c r="DI109" s="358"/>
      <c r="DJ109" s="358"/>
      <c r="DK109" s="358"/>
      <c r="DL109" s="358"/>
      <c r="DM109" s="358"/>
      <c r="DN109" s="358"/>
      <c r="DO109" s="358"/>
      <c r="DP109" s="358"/>
      <c r="DQ109" s="358"/>
      <c r="DR109" s="358"/>
      <c r="DS109" s="358"/>
      <c r="DT109" s="358"/>
      <c r="DU109" s="358"/>
      <c r="DV109" s="358"/>
      <c r="DW109" s="358"/>
      <c r="DX109" s="358"/>
      <c r="DY109" s="358"/>
      <c r="DZ109" s="358"/>
      <c r="EA109" s="358"/>
      <c r="EB109" s="358"/>
      <c r="EC109" s="358"/>
      <c r="ED109" s="358"/>
      <c r="EE109" s="358"/>
      <c r="EF109" s="358"/>
      <c r="EG109" s="358"/>
      <c r="EH109" s="358"/>
      <c r="EI109" s="358"/>
      <c r="EJ109" s="358"/>
      <c r="EK109" s="358"/>
      <c r="EL109" s="358"/>
      <c r="EM109" s="358"/>
      <c r="EN109" s="358"/>
      <c r="EO109" s="358"/>
      <c r="EP109" s="358"/>
      <c r="EQ109" s="358"/>
      <c r="ER109" s="358"/>
      <c r="ES109" s="358"/>
      <c r="ET109" s="358"/>
      <c r="EU109" s="358"/>
      <c r="EV109" s="358"/>
      <c r="EW109" s="358"/>
      <c r="EX109" s="358"/>
      <c r="EY109" s="358"/>
      <c r="EZ109" s="371"/>
    </row>
    <row r="110" spans="1:156" ht="11.15" customHeight="1" x14ac:dyDescent="0.35">
      <c r="A110" s="1827"/>
      <c r="B110" s="1832" t="s">
        <v>204</v>
      </c>
      <c r="C110" s="1833"/>
      <c r="D110" s="782">
        <f ca="1">IF(C103&lt;&gt;"",LOOKUP(C103,Tara!$G$6:$G$185,Tara!$J$6:$J$185)/10,"")</f>
        <v>11.440000000000001</v>
      </c>
      <c r="E110" s="1831"/>
      <c r="F110" s="271"/>
      <c r="G110" s="271"/>
      <c r="H110" s="271"/>
      <c r="I110" s="271"/>
      <c r="J110" s="271"/>
      <c r="K110" s="271"/>
      <c r="L110" s="1248"/>
      <c r="AK110" s="357"/>
      <c r="AL110" s="358"/>
      <c r="AM110" s="358"/>
      <c r="AN110" s="358"/>
      <c r="AO110" s="358"/>
      <c r="AP110" s="358"/>
      <c r="AQ110" s="358"/>
      <c r="AR110" s="358"/>
      <c r="AS110" s="358"/>
      <c r="AT110" s="358"/>
      <c r="AU110" s="358"/>
      <c r="AV110" s="358"/>
      <c r="AW110" s="358"/>
      <c r="AX110" s="358"/>
      <c r="AY110" s="358"/>
      <c r="AZ110" s="358"/>
      <c r="BA110" s="358"/>
      <c r="BB110" s="358"/>
      <c r="BC110" s="358"/>
      <c r="BD110" s="403">
        <v>7.62</v>
      </c>
      <c r="BE110" s="404">
        <v>7.62</v>
      </c>
      <c r="BF110" s="404">
        <v>7.62</v>
      </c>
      <c r="BG110" s="401">
        <f t="shared" ca="1" si="56"/>
        <v>26915.850000000002</v>
      </c>
      <c r="BH110" s="401">
        <v>0</v>
      </c>
      <c r="BI110" s="401">
        <f t="shared" ca="1" si="57"/>
        <v>26915.850000000002</v>
      </c>
      <c r="BJ110" s="358"/>
      <c r="BK110" s="358"/>
      <c r="BL110" s="358"/>
      <c r="BM110" s="358"/>
      <c r="BN110" s="358"/>
      <c r="BO110" s="358"/>
      <c r="BP110" s="358"/>
      <c r="BQ110" s="358"/>
      <c r="BR110" s="358"/>
      <c r="BS110" s="358"/>
      <c r="BT110" s="358"/>
      <c r="BU110" s="358"/>
      <c r="BV110" s="358"/>
      <c r="BW110" s="358"/>
      <c r="BX110" s="358"/>
      <c r="BY110" s="358"/>
      <c r="BZ110" s="358"/>
      <c r="CA110" s="358"/>
      <c r="CB110" s="358"/>
      <c r="CC110" s="358"/>
      <c r="CD110" s="358"/>
      <c r="CE110" s="358"/>
      <c r="CF110" s="358"/>
      <c r="CG110" s="395">
        <v>0.63</v>
      </c>
      <c r="CH110" s="395">
        <v>0.63</v>
      </c>
      <c r="CI110" s="396">
        <v>0</v>
      </c>
      <c r="CJ110" s="420">
        <f ca="1">IF(BI103&lt;&gt;"",MAX(BI103:BI110),"")</f>
        <v>26915.850000000002</v>
      </c>
      <c r="CK110" s="358"/>
      <c r="CL110" s="358"/>
      <c r="CM110" s="358"/>
      <c r="CN110" s="358"/>
      <c r="CO110" s="358"/>
      <c r="CP110" s="358"/>
      <c r="CQ110" s="358"/>
      <c r="CR110" s="358"/>
      <c r="CS110" s="358"/>
      <c r="CT110" s="358"/>
      <c r="CU110" s="358"/>
      <c r="CV110" s="358"/>
      <c r="CW110" s="358"/>
      <c r="CX110" s="358"/>
      <c r="CY110" s="358"/>
      <c r="CZ110" s="358"/>
      <c r="DA110" s="358"/>
      <c r="DB110" s="358"/>
      <c r="DC110" s="358"/>
      <c r="DD110" s="358"/>
      <c r="DE110" s="358"/>
      <c r="DF110" s="358"/>
      <c r="DG110" s="358"/>
      <c r="DH110" s="358"/>
      <c r="DI110" s="358"/>
      <c r="DJ110" s="358"/>
      <c r="DK110" s="358"/>
      <c r="DL110" s="358"/>
      <c r="DM110" s="358"/>
      <c r="DN110" s="358"/>
      <c r="DO110" s="358"/>
      <c r="DP110" s="358"/>
      <c r="DQ110" s="358"/>
      <c r="DR110" s="358"/>
      <c r="DS110" s="358"/>
      <c r="DT110" s="358"/>
      <c r="DU110" s="358"/>
      <c r="DV110" s="358"/>
      <c r="DW110" s="358"/>
      <c r="DX110" s="358"/>
      <c r="DY110" s="358"/>
      <c r="DZ110" s="358"/>
      <c r="EA110" s="358"/>
      <c r="EB110" s="358"/>
      <c r="EC110" s="358"/>
      <c r="ED110" s="358"/>
      <c r="EE110" s="358"/>
      <c r="EF110" s="358"/>
      <c r="EG110" s="358"/>
      <c r="EH110" s="358"/>
      <c r="EI110" s="358"/>
      <c r="EJ110" s="358"/>
      <c r="EK110" s="358"/>
      <c r="EL110" s="358"/>
      <c r="EM110" s="358"/>
      <c r="EN110" s="358"/>
      <c r="EO110" s="358"/>
      <c r="EP110" s="358"/>
      <c r="EQ110" s="358"/>
      <c r="ER110" s="358"/>
      <c r="ES110" s="358"/>
      <c r="ET110" s="358"/>
      <c r="EU110" s="358"/>
      <c r="EV110" s="358"/>
      <c r="EW110" s="358"/>
      <c r="EX110" s="358"/>
      <c r="EY110" s="358"/>
      <c r="EZ110" s="371"/>
    </row>
    <row r="111" spans="1:156" ht="11.15" customHeight="1" x14ac:dyDescent="0.35">
      <c r="A111" s="1836" t="s">
        <v>205</v>
      </c>
      <c r="B111" s="1837" t="s">
        <v>206</v>
      </c>
      <c r="C111" s="1837" t="s">
        <v>17</v>
      </c>
      <c r="D111" s="1837" t="s">
        <v>207</v>
      </c>
      <c r="E111" s="1838" t="s">
        <v>90</v>
      </c>
      <c r="F111" s="271"/>
      <c r="G111" s="271"/>
      <c r="H111" s="271"/>
      <c r="I111" s="271"/>
      <c r="J111" s="271"/>
      <c r="K111" s="271"/>
      <c r="L111" s="1248"/>
      <c r="AK111" s="357"/>
      <c r="AL111" s="358"/>
      <c r="AM111" s="358"/>
      <c r="AN111" s="358"/>
      <c r="AO111" s="358"/>
      <c r="AP111" s="358"/>
      <c r="AQ111" s="358"/>
      <c r="AR111" s="358"/>
      <c r="AS111" s="358"/>
      <c r="AT111" s="358"/>
      <c r="AU111" s="358"/>
      <c r="AV111" s="358"/>
      <c r="AW111" s="358"/>
      <c r="AX111" s="358"/>
      <c r="AY111" s="358"/>
      <c r="AZ111" s="358"/>
      <c r="BA111" s="358"/>
      <c r="BB111" s="358"/>
      <c r="BC111" s="358"/>
      <c r="BD111" s="421"/>
      <c r="BE111" s="358"/>
      <c r="BF111" s="358"/>
      <c r="BG111" s="358"/>
      <c r="BH111" s="358"/>
      <c r="BI111" s="358"/>
      <c r="BJ111" s="358"/>
      <c r="BK111" s="358"/>
      <c r="BL111" s="358"/>
      <c r="BM111" s="358"/>
      <c r="BN111" s="358"/>
      <c r="BO111" s="358"/>
      <c r="BP111" s="358"/>
      <c r="BQ111" s="358"/>
      <c r="BR111" s="358"/>
      <c r="BS111" s="358"/>
      <c r="BT111" s="358"/>
      <c r="BU111" s="358"/>
      <c r="BV111" s="358"/>
      <c r="BW111" s="358"/>
      <c r="BX111" s="358"/>
      <c r="BY111" s="358"/>
      <c r="BZ111" s="358"/>
      <c r="CA111" s="358"/>
      <c r="CB111" s="358"/>
      <c r="CC111" s="358"/>
      <c r="CD111" s="358"/>
      <c r="CE111" s="358"/>
      <c r="CF111" s="358"/>
      <c r="CG111" s="404">
        <v>1.27</v>
      </c>
      <c r="CH111" s="404">
        <v>1.27</v>
      </c>
      <c r="CI111" s="401">
        <v>0</v>
      </c>
      <c r="CJ111" s="422">
        <f t="shared" ref="CJ111:CJ117" ca="1" si="62">IF(CJ110&lt;&gt;"",CJ110,"")</f>
        <v>26915.850000000002</v>
      </c>
      <c r="CK111" s="358"/>
      <c r="CL111" s="358"/>
      <c r="CM111" s="358"/>
      <c r="CN111" s="358"/>
      <c r="CO111" s="358"/>
      <c r="CP111" s="358"/>
      <c r="CQ111" s="358"/>
      <c r="CR111" s="358"/>
      <c r="CS111" s="358"/>
      <c r="CT111" s="358"/>
      <c r="CU111" s="358"/>
      <c r="CV111" s="358"/>
      <c r="CW111" s="358"/>
      <c r="CX111" s="358"/>
      <c r="CY111" s="358"/>
      <c r="CZ111" s="358"/>
      <c r="DA111" s="358"/>
      <c r="DB111" s="358"/>
      <c r="DC111" s="358"/>
      <c r="DD111" s="358"/>
      <c r="DE111" s="358"/>
      <c r="DF111" s="358"/>
      <c r="DG111" s="358"/>
      <c r="DH111" s="358"/>
      <c r="DI111" s="358"/>
      <c r="DJ111" s="358"/>
      <c r="DK111" s="358"/>
      <c r="DL111" s="358"/>
      <c r="DM111" s="358"/>
      <c r="DN111" s="358"/>
      <c r="DO111" s="358"/>
      <c r="DP111" s="358"/>
      <c r="DQ111" s="358"/>
      <c r="DR111" s="358"/>
      <c r="DS111" s="358"/>
      <c r="DT111" s="358"/>
      <c r="DU111" s="358"/>
      <c r="DV111" s="358"/>
      <c r="DW111" s="358"/>
      <c r="DX111" s="358"/>
      <c r="DY111" s="358"/>
      <c r="DZ111" s="358"/>
      <c r="EA111" s="358"/>
      <c r="EB111" s="358"/>
      <c r="EC111" s="358"/>
      <c r="ED111" s="358"/>
      <c r="EE111" s="358"/>
      <c r="EF111" s="358"/>
      <c r="EG111" s="358"/>
      <c r="EH111" s="358"/>
      <c r="EI111" s="358"/>
      <c r="EJ111" s="358"/>
      <c r="EK111" s="358"/>
      <c r="EL111" s="358"/>
      <c r="EM111" s="358"/>
      <c r="EN111" s="358"/>
      <c r="EO111" s="358"/>
      <c r="EP111" s="358"/>
      <c r="EQ111" s="358"/>
      <c r="ER111" s="358"/>
      <c r="ES111" s="358"/>
      <c r="ET111" s="358"/>
      <c r="EU111" s="358"/>
      <c r="EV111" s="358"/>
      <c r="EW111" s="358"/>
      <c r="EX111" s="358"/>
      <c r="EY111" s="358"/>
      <c r="EZ111" s="371"/>
    </row>
    <row r="112" spans="1:156" ht="11.15" customHeight="1" x14ac:dyDescent="0.35">
      <c r="A112" s="1836"/>
      <c r="B112" s="1837"/>
      <c r="C112" s="1837"/>
      <c r="D112" s="1837"/>
      <c r="E112" s="1838"/>
      <c r="F112" s="271"/>
      <c r="G112" s="271"/>
      <c r="H112" s="271"/>
      <c r="I112" s="271"/>
      <c r="J112" s="271"/>
      <c r="K112" s="271"/>
      <c r="L112" s="1248"/>
      <c r="AK112" s="357"/>
      <c r="AL112" s="358"/>
      <c r="AM112" s="358"/>
      <c r="AN112" s="358"/>
      <c r="AO112" s="358"/>
      <c r="AP112" s="358"/>
      <c r="AQ112" s="358"/>
      <c r="AR112" s="358"/>
      <c r="AS112" s="358"/>
      <c r="AT112" s="358"/>
      <c r="AU112" s="358"/>
      <c r="AV112" s="358"/>
      <c r="AW112" s="358"/>
      <c r="AX112" s="358"/>
      <c r="AY112" s="358"/>
      <c r="AZ112" s="358"/>
      <c r="BA112" s="358"/>
      <c r="BB112" s="358"/>
      <c r="BC112" s="358"/>
      <c r="BD112" s="421"/>
      <c r="BE112" s="358"/>
      <c r="BF112" s="358"/>
      <c r="BG112" s="358"/>
      <c r="BH112" s="358"/>
      <c r="BI112" s="358"/>
      <c r="BJ112" s="358"/>
      <c r="BK112" s="358"/>
      <c r="BL112" s="358"/>
      <c r="BM112" s="358"/>
      <c r="BN112" s="358"/>
      <c r="BO112" s="358"/>
      <c r="BP112" s="358"/>
      <c r="BQ112" s="358"/>
      <c r="BR112" s="358"/>
      <c r="BS112" s="358"/>
      <c r="BT112" s="358"/>
      <c r="BU112" s="358"/>
      <c r="BV112" s="358"/>
      <c r="BW112" s="358"/>
      <c r="BX112" s="358"/>
      <c r="BY112" s="358"/>
      <c r="BZ112" s="358"/>
      <c r="CA112" s="358"/>
      <c r="CB112" s="358"/>
      <c r="CC112" s="358"/>
      <c r="CD112" s="358"/>
      <c r="CE112" s="358"/>
      <c r="CF112" s="358"/>
      <c r="CG112" s="404">
        <v>1.9</v>
      </c>
      <c r="CH112" s="404">
        <v>1.9</v>
      </c>
      <c r="CI112" s="401">
        <v>0</v>
      </c>
      <c r="CJ112" s="422">
        <f t="shared" ca="1" si="62"/>
        <v>26915.850000000002</v>
      </c>
      <c r="CK112" s="358"/>
      <c r="CL112" s="358"/>
      <c r="CM112" s="358"/>
      <c r="CN112" s="358"/>
      <c r="CO112" s="358"/>
      <c r="CP112" s="358"/>
      <c r="CQ112" s="358"/>
      <c r="CR112" s="358"/>
      <c r="CS112" s="358"/>
      <c r="CT112" s="358"/>
      <c r="CU112" s="358"/>
      <c r="CV112" s="358"/>
      <c r="CW112" s="358"/>
      <c r="CX112" s="358"/>
      <c r="CY112" s="358"/>
      <c r="CZ112" s="358"/>
      <c r="DA112" s="358"/>
      <c r="DB112" s="358"/>
      <c r="DC112" s="358"/>
      <c r="DD112" s="358"/>
      <c r="DE112" s="358"/>
      <c r="DF112" s="358"/>
      <c r="DG112" s="358"/>
      <c r="DH112" s="358"/>
      <c r="DI112" s="358"/>
      <c r="DJ112" s="358"/>
      <c r="DK112" s="358"/>
      <c r="DL112" s="358"/>
      <c r="DM112" s="358"/>
      <c r="DN112" s="358"/>
      <c r="DO112" s="358"/>
      <c r="DP112" s="358"/>
      <c r="DQ112" s="358"/>
      <c r="DR112" s="358"/>
      <c r="DS112" s="358"/>
      <c r="DT112" s="358"/>
      <c r="DU112" s="358"/>
      <c r="DV112" s="358"/>
      <c r="DW112" s="358"/>
      <c r="DX112" s="358"/>
      <c r="DY112" s="358"/>
      <c r="DZ112" s="358"/>
      <c r="EA112" s="358"/>
      <c r="EB112" s="358"/>
      <c r="EC112" s="358"/>
      <c r="ED112" s="358"/>
      <c r="EE112" s="358"/>
      <c r="EF112" s="358"/>
      <c r="EG112" s="358"/>
      <c r="EH112" s="358"/>
      <c r="EI112" s="358"/>
      <c r="EJ112" s="358"/>
      <c r="EK112" s="358"/>
      <c r="EL112" s="358"/>
      <c r="EM112" s="358"/>
      <c r="EN112" s="358"/>
      <c r="EO112" s="358"/>
      <c r="EP112" s="358"/>
      <c r="EQ112" s="358"/>
      <c r="ER112" s="358"/>
      <c r="ES112" s="358"/>
      <c r="ET112" s="358"/>
      <c r="EU112" s="358"/>
      <c r="EV112" s="358"/>
      <c r="EW112" s="358"/>
      <c r="EX112" s="358"/>
      <c r="EY112" s="358"/>
      <c r="EZ112" s="371"/>
    </row>
    <row r="113" spans="1:156" ht="11.15" customHeight="1" x14ac:dyDescent="0.35">
      <c r="A113" s="1249">
        <v>0.63</v>
      </c>
      <c r="B113" s="783">
        <v>0.5</v>
      </c>
      <c r="C113" s="784">
        <f ca="1">IF(OR($N$2="",$N$2=0),"",IF(INDIRECT(ADDRESS(($AK113),COLUMN()+27,,,"Digitar Dados dos Ensaios"))&lt;&gt;"",INDIRECT(ADDRESS(($AK113),COLUMN()+27,,,"Digitar Dados dos Ensaios")),""))</f>
        <v>201</v>
      </c>
      <c r="D113" s="785">
        <f ca="1">IF(C113&lt;&gt;"",C113*$A$104,"")</f>
        <v>3889.3500000000004</v>
      </c>
      <c r="E113" s="786"/>
      <c r="F113" s="271"/>
      <c r="G113" s="271"/>
      <c r="H113" s="271"/>
      <c r="I113" s="271"/>
      <c r="J113" s="271"/>
      <c r="K113" s="271"/>
      <c r="L113" s="1248"/>
      <c r="AK113" s="357">
        <f>AK94+1</f>
        <v>8</v>
      </c>
      <c r="AL113" s="358"/>
      <c r="AM113" s="358"/>
      <c r="AN113" s="358"/>
      <c r="AO113" s="358"/>
      <c r="AP113" s="358"/>
      <c r="AQ113" s="358"/>
      <c r="AR113" s="358"/>
      <c r="AS113" s="358"/>
      <c r="AT113" s="358"/>
      <c r="AU113" s="358"/>
      <c r="AV113" s="358"/>
      <c r="AW113" s="358"/>
      <c r="AX113" s="358"/>
      <c r="AY113" s="358"/>
      <c r="AZ113" s="358"/>
      <c r="BA113" s="358"/>
      <c r="BB113" s="358"/>
      <c r="BC113" s="358"/>
      <c r="BD113" s="421"/>
      <c r="BE113" s="358"/>
      <c r="BF113" s="358"/>
      <c r="BG113" s="358"/>
      <c r="BH113" s="358"/>
      <c r="BI113" s="358"/>
      <c r="BJ113" s="358"/>
      <c r="BK113" s="358"/>
      <c r="BL113" s="358"/>
      <c r="BM113" s="358"/>
      <c r="BN113" s="358"/>
      <c r="BO113" s="358"/>
      <c r="BP113" s="358"/>
      <c r="BQ113" s="358"/>
      <c r="BR113" s="358"/>
      <c r="BS113" s="358"/>
      <c r="BT113" s="358"/>
      <c r="BU113" s="358"/>
      <c r="BV113" s="358"/>
      <c r="BW113" s="358"/>
      <c r="BX113" s="358"/>
      <c r="BY113" s="358"/>
      <c r="BZ113" s="358"/>
      <c r="CA113" s="358"/>
      <c r="CB113" s="358"/>
      <c r="CC113" s="358"/>
      <c r="CD113" s="358"/>
      <c r="CE113" s="358"/>
      <c r="CF113" s="358"/>
      <c r="CG113" s="404">
        <v>2.54</v>
      </c>
      <c r="CH113" s="404">
        <v>2.54</v>
      </c>
      <c r="CI113" s="401">
        <v>0</v>
      </c>
      <c r="CJ113" s="422">
        <f t="shared" ca="1" si="62"/>
        <v>26915.850000000002</v>
      </c>
      <c r="CK113" s="358"/>
      <c r="CL113" s="358"/>
      <c r="CM113" s="358"/>
      <c r="CN113" s="358"/>
      <c r="CO113" s="358"/>
      <c r="CP113" s="358"/>
      <c r="CQ113" s="358"/>
      <c r="CR113" s="358"/>
      <c r="CS113" s="358"/>
      <c r="CT113" s="358"/>
      <c r="CU113" s="358"/>
      <c r="CV113" s="358"/>
      <c r="CW113" s="358"/>
      <c r="CX113" s="358"/>
      <c r="CY113" s="358"/>
      <c r="CZ113" s="358"/>
      <c r="DA113" s="358"/>
      <c r="DB113" s="358"/>
      <c r="DC113" s="358"/>
      <c r="DD113" s="358"/>
      <c r="DE113" s="358"/>
      <c r="DF113" s="358"/>
      <c r="DG113" s="358"/>
      <c r="DH113" s="358"/>
      <c r="DI113" s="358"/>
      <c r="DJ113" s="358"/>
      <c r="DK113" s="358"/>
      <c r="DL113" s="358"/>
      <c r="DM113" s="358"/>
      <c r="DN113" s="358"/>
      <c r="DO113" s="358"/>
      <c r="DP113" s="358"/>
      <c r="DQ113" s="358"/>
      <c r="DR113" s="358"/>
      <c r="DS113" s="358"/>
      <c r="DT113" s="358"/>
      <c r="DU113" s="358"/>
      <c r="DV113" s="358"/>
      <c r="DW113" s="358"/>
      <c r="DX113" s="358"/>
      <c r="DY113" s="358"/>
      <c r="DZ113" s="358"/>
      <c r="EA113" s="358"/>
      <c r="EB113" s="358"/>
      <c r="EC113" s="358"/>
      <c r="ED113" s="358"/>
      <c r="EE113" s="358"/>
      <c r="EF113" s="358"/>
      <c r="EG113" s="358"/>
      <c r="EH113" s="358"/>
      <c r="EI113" s="358"/>
      <c r="EJ113" s="358"/>
      <c r="EK113" s="358"/>
      <c r="EL113" s="358"/>
      <c r="EM113" s="358"/>
      <c r="EN113" s="358"/>
      <c r="EO113" s="358"/>
      <c r="EP113" s="358"/>
      <c r="EQ113" s="358"/>
      <c r="ER113" s="358"/>
      <c r="ES113" s="358"/>
      <c r="ET113" s="358"/>
      <c r="EU113" s="358"/>
      <c r="EV113" s="358"/>
      <c r="EW113" s="358"/>
      <c r="EX113" s="358"/>
      <c r="EY113" s="358"/>
      <c r="EZ113" s="371"/>
    </row>
    <row r="114" spans="1:156" ht="11.15" customHeight="1" x14ac:dyDescent="0.35">
      <c r="A114" s="1249">
        <v>1.27</v>
      </c>
      <c r="B114" s="783">
        <v>1</v>
      </c>
      <c r="C114" s="784">
        <f ca="1">IF(OR($N$2="",$N$2=0),"",IF(INDIRECT(ADDRESS(($AK114),COLUMN()+28,,,"Digitar Dados dos Ensaios"))&lt;&gt;"",INDIRECT(ADDRESS(($AK114),COLUMN()+28,,,"Digitar Dados dos Ensaios")),""))</f>
        <v>421</v>
      </c>
      <c r="D114" s="785">
        <f t="shared" ref="D114:D120" ca="1" si="63">IF(C114&lt;&gt;"",C114*$A$104,"")</f>
        <v>8146.35</v>
      </c>
      <c r="E114" s="787" t="str">
        <f ca="1">IF(E115="","","Corrigido")</f>
        <v/>
      </c>
      <c r="F114" s="271"/>
      <c r="G114" s="271"/>
      <c r="H114" s="271"/>
      <c r="I114" s="271"/>
      <c r="J114" s="271"/>
      <c r="K114" s="271"/>
      <c r="L114" s="1248"/>
      <c r="AK114" s="357">
        <f>AK113</f>
        <v>8</v>
      </c>
      <c r="AL114" s="358"/>
      <c r="AM114" s="358"/>
      <c r="AN114" s="358"/>
      <c r="AO114" s="358"/>
      <c r="AP114" s="358"/>
      <c r="AQ114" s="358"/>
      <c r="AR114" s="358"/>
      <c r="AS114" s="358"/>
      <c r="AT114" s="358"/>
      <c r="AU114" s="358"/>
      <c r="AV114" s="358"/>
      <c r="AW114" s="358"/>
      <c r="AX114" s="358"/>
      <c r="AY114" s="358"/>
      <c r="AZ114" s="358"/>
      <c r="BA114" s="358"/>
      <c r="BB114" s="358"/>
      <c r="BC114" s="358"/>
      <c r="BD114" s="421"/>
      <c r="BE114" s="358"/>
      <c r="BF114" s="358"/>
      <c r="BG114" s="358"/>
      <c r="BH114" s="358"/>
      <c r="BI114" s="358"/>
      <c r="BJ114" s="358"/>
      <c r="BK114" s="358"/>
      <c r="BL114" s="358"/>
      <c r="BM114" s="358"/>
      <c r="BN114" s="358"/>
      <c r="BO114" s="358"/>
      <c r="BP114" s="358"/>
      <c r="BQ114" s="358"/>
      <c r="BR114" s="358"/>
      <c r="BS114" s="358"/>
      <c r="BT114" s="358"/>
      <c r="BU114" s="358"/>
      <c r="BV114" s="358"/>
      <c r="BW114" s="358"/>
      <c r="BX114" s="358"/>
      <c r="BY114" s="358"/>
      <c r="BZ114" s="358"/>
      <c r="CA114" s="358"/>
      <c r="CB114" s="358"/>
      <c r="CC114" s="358"/>
      <c r="CD114" s="358"/>
      <c r="CE114" s="358"/>
      <c r="CF114" s="358"/>
      <c r="CG114" s="404">
        <v>3.81</v>
      </c>
      <c r="CH114" s="404">
        <v>3.81</v>
      </c>
      <c r="CI114" s="401">
        <v>0</v>
      </c>
      <c r="CJ114" s="422">
        <f t="shared" ca="1" si="62"/>
        <v>26915.850000000002</v>
      </c>
      <c r="CK114" s="358"/>
      <c r="CL114" s="358"/>
      <c r="CM114" s="358"/>
      <c r="CN114" s="358"/>
      <c r="CO114" s="358"/>
      <c r="CP114" s="358"/>
      <c r="CQ114" s="358"/>
      <c r="CR114" s="358"/>
      <c r="CS114" s="358"/>
      <c r="CT114" s="358"/>
      <c r="CU114" s="358"/>
      <c r="CV114" s="358"/>
      <c r="CW114" s="358"/>
      <c r="CX114" s="358"/>
      <c r="CY114" s="358"/>
      <c r="CZ114" s="358"/>
      <c r="DA114" s="358"/>
      <c r="DB114" s="358"/>
      <c r="DC114" s="358"/>
      <c r="DD114" s="358"/>
      <c r="DE114" s="358"/>
      <c r="DF114" s="358"/>
      <c r="DG114" s="358"/>
      <c r="DH114" s="358"/>
      <c r="DI114" s="358"/>
      <c r="DJ114" s="358"/>
      <c r="DK114" s="358"/>
      <c r="DL114" s="358"/>
      <c r="DM114" s="358"/>
      <c r="DN114" s="358"/>
      <c r="DO114" s="358"/>
      <c r="DP114" s="358"/>
      <c r="DQ114" s="358"/>
      <c r="DR114" s="358"/>
      <c r="DS114" s="358"/>
      <c r="DT114" s="358"/>
      <c r="DU114" s="358"/>
      <c r="DV114" s="358"/>
      <c r="DW114" s="358"/>
      <c r="DX114" s="358"/>
      <c r="DY114" s="358"/>
      <c r="DZ114" s="358"/>
      <c r="EA114" s="358"/>
      <c r="EB114" s="358"/>
      <c r="EC114" s="358"/>
      <c r="ED114" s="358"/>
      <c r="EE114" s="358"/>
      <c r="EF114" s="358"/>
      <c r="EG114" s="358"/>
      <c r="EH114" s="358"/>
      <c r="EI114" s="358"/>
      <c r="EJ114" s="358"/>
      <c r="EK114" s="358"/>
      <c r="EL114" s="358"/>
      <c r="EM114" s="358"/>
      <c r="EN114" s="358"/>
      <c r="EO114" s="358"/>
      <c r="EP114" s="358"/>
      <c r="EQ114" s="358"/>
      <c r="ER114" s="358"/>
      <c r="ES114" s="358"/>
      <c r="ET114" s="358"/>
      <c r="EU114" s="358"/>
      <c r="EV114" s="358"/>
      <c r="EW114" s="358"/>
      <c r="EX114" s="358"/>
      <c r="EY114" s="358"/>
      <c r="EZ114" s="371"/>
    </row>
    <row r="115" spans="1:156" ht="11.15" customHeight="1" x14ac:dyDescent="0.35">
      <c r="A115" s="1249">
        <v>1.9</v>
      </c>
      <c r="B115" s="783">
        <v>1.5</v>
      </c>
      <c r="C115" s="784">
        <f ca="1">IF(OR($N$2="",$N$2=0),"",IF(INDIRECT(ADDRESS(($AK115),COLUMN()+29,,,"Digitar Dados dos Ensaios"))&lt;&gt;"",INDIRECT(ADDRESS(($AK115),COLUMN()+29,,,"Digitar Dados dos Ensaios")),""))</f>
        <v>622</v>
      </c>
      <c r="D115" s="785">
        <f t="shared" ca="1" si="63"/>
        <v>12035.7</v>
      </c>
      <c r="E115" s="282" t="str">
        <f ca="1">IF(BY109="","",IF(BY109&gt;0,BY109,""))</f>
        <v/>
      </c>
      <c r="F115" s="271"/>
      <c r="G115" s="271"/>
      <c r="H115" s="271"/>
      <c r="I115" s="271"/>
      <c r="J115" s="271"/>
      <c r="K115" s="271"/>
      <c r="L115" s="1248"/>
      <c r="AK115" s="357">
        <f t="shared" ref="AK115:AK120" si="64">AK114</f>
        <v>8</v>
      </c>
      <c r="AL115" s="358"/>
      <c r="AM115" s="358"/>
      <c r="AN115" s="358"/>
      <c r="AO115" s="358"/>
      <c r="AP115" s="358"/>
      <c r="AQ115" s="358"/>
      <c r="AR115" s="358"/>
      <c r="AS115" s="358"/>
      <c r="AT115" s="358"/>
      <c r="AU115" s="358"/>
      <c r="AV115" s="358"/>
      <c r="AW115" s="358"/>
      <c r="AX115" s="358"/>
      <c r="AY115" s="358"/>
      <c r="AZ115" s="358"/>
      <c r="BA115" s="358"/>
      <c r="BB115" s="358"/>
      <c r="BC115" s="358"/>
      <c r="BD115" s="421"/>
      <c r="BE115" s="358"/>
      <c r="BF115" s="358"/>
      <c r="BG115" s="358"/>
      <c r="BH115" s="358"/>
      <c r="BI115" s="358"/>
      <c r="BJ115" s="358"/>
      <c r="BK115" s="358"/>
      <c r="BL115" s="358"/>
      <c r="BM115" s="358"/>
      <c r="BN115" s="358"/>
      <c r="BO115" s="358"/>
      <c r="BP115" s="358"/>
      <c r="BQ115" s="358"/>
      <c r="BR115" s="358"/>
      <c r="BS115" s="358"/>
      <c r="BT115" s="358"/>
      <c r="BU115" s="358"/>
      <c r="BV115" s="358"/>
      <c r="BW115" s="358"/>
      <c r="BX115" s="358"/>
      <c r="BY115" s="358"/>
      <c r="BZ115" s="358"/>
      <c r="CA115" s="358"/>
      <c r="CB115" s="358"/>
      <c r="CC115" s="358"/>
      <c r="CD115" s="358"/>
      <c r="CE115" s="358"/>
      <c r="CF115" s="358"/>
      <c r="CG115" s="404">
        <v>5.08</v>
      </c>
      <c r="CH115" s="404">
        <v>5.08</v>
      </c>
      <c r="CI115" s="401">
        <v>0</v>
      </c>
      <c r="CJ115" s="422">
        <f t="shared" ca="1" si="62"/>
        <v>26915.850000000002</v>
      </c>
      <c r="CK115" s="358"/>
      <c r="CL115" s="358"/>
      <c r="CM115" s="358"/>
      <c r="CN115" s="358"/>
      <c r="CO115" s="358"/>
      <c r="CP115" s="358"/>
      <c r="CQ115" s="358"/>
      <c r="CR115" s="358"/>
      <c r="CS115" s="358"/>
      <c r="CT115" s="358"/>
      <c r="CU115" s="358"/>
      <c r="CV115" s="358"/>
      <c r="CW115" s="358"/>
      <c r="CX115" s="358"/>
      <c r="CY115" s="358"/>
      <c r="CZ115" s="358"/>
      <c r="DA115" s="358"/>
      <c r="DB115" s="358"/>
      <c r="DC115" s="358"/>
      <c r="DD115" s="358"/>
      <c r="DE115" s="358"/>
      <c r="DF115" s="358"/>
      <c r="DG115" s="358"/>
      <c r="DH115" s="358"/>
      <c r="DI115" s="358"/>
      <c r="DJ115" s="358"/>
      <c r="DK115" s="358"/>
      <c r="DL115" s="358"/>
      <c r="DM115" s="358"/>
      <c r="DN115" s="358"/>
      <c r="DO115" s="358"/>
      <c r="DP115" s="358"/>
      <c r="DQ115" s="358"/>
      <c r="DR115" s="358"/>
      <c r="DS115" s="358"/>
      <c r="DT115" s="358"/>
      <c r="DU115" s="358"/>
      <c r="DV115" s="358"/>
      <c r="DW115" s="358"/>
      <c r="DX115" s="358"/>
      <c r="DY115" s="358"/>
      <c r="DZ115" s="358"/>
      <c r="EA115" s="358"/>
      <c r="EB115" s="358"/>
      <c r="EC115" s="358"/>
      <c r="ED115" s="358"/>
      <c r="EE115" s="358"/>
      <c r="EF115" s="358"/>
      <c r="EG115" s="358"/>
      <c r="EH115" s="358"/>
      <c r="EI115" s="358"/>
      <c r="EJ115" s="358"/>
      <c r="EK115" s="358"/>
      <c r="EL115" s="358"/>
      <c r="EM115" s="358"/>
      <c r="EN115" s="358"/>
      <c r="EO115" s="358"/>
      <c r="EP115" s="358"/>
      <c r="EQ115" s="358"/>
      <c r="ER115" s="358"/>
      <c r="ES115" s="358"/>
      <c r="ET115" s="358"/>
      <c r="EU115" s="358"/>
      <c r="EV115" s="358"/>
      <c r="EW115" s="358"/>
      <c r="EX115" s="358"/>
      <c r="EY115" s="358"/>
      <c r="EZ115" s="371"/>
    </row>
    <row r="116" spans="1:156" ht="11.15" customHeight="1" x14ac:dyDescent="0.35">
      <c r="A116" s="1249">
        <v>2.54</v>
      </c>
      <c r="B116" s="783">
        <v>2</v>
      </c>
      <c r="C116" s="784">
        <f ca="1">IF(OR($N$2="",$N$2=0),"",IF(INDIRECT(ADDRESS(($AK116),COLUMN()+30,,,"Digitar Dados dos Ensaios"))&lt;&gt;"",INDIRECT(ADDRESS(($AK116),COLUMN()+30,,,"Digitar Dados dos Ensaios")),""))</f>
        <v>732</v>
      </c>
      <c r="D116" s="785">
        <f t="shared" ca="1" si="63"/>
        <v>14164.2</v>
      </c>
      <c r="E116" s="788">
        <f ca="1">IF(C116&lt;&gt;"",D116/70.31,"")</f>
        <v>201.45356279334376</v>
      </c>
      <c r="F116" s="271"/>
      <c r="G116" s="271"/>
      <c r="H116" s="271"/>
      <c r="I116" s="271"/>
      <c r="J116" s="271"/>
      <c r="K116" s="271"/>
      <c r="L116" s="1248"/>
      <c r="AK116" s="357">
        <f t="shared" si="64"/>
        <v>8</v>
      </c>
      <c r="AL116" s="358"/>
      <c r="AM116" s="358"/>
      <c r="AN116" s="358"/>
      <c r="AO116" s="358"/>
      <c r="AP116" s="358"/>
      <c r="AQ116" s="358"/>
      <c r="AR116" s="358"/>
      <c r="AS116" s="358"/>
      <c r="AT116" s="358"/>
      <c r="AU116" s="358"/>
      <c r="AV116" s="358"/>
      <c r="AW116" s="358"/>
      <c r="AX116" s="358"/>
      <c r="AY116" s="358"/>
      <c r="AZ116" s="358"/>
      <c r="BA116" s="358"/>
      <c r="BB116" s="358"/>
      <c r="BC116" s="358"/>
      <c r="BD116" s="421"/>
      <c r="BE116" s="358"/>
      <c r="BF116" s="358"/>
      <c r="BG116" s="358"/>
      <c r="BH116" s="358"/>
      <c r="BI116" s="358"/>
      <c r="BJ116" s="358"/>
      <c r="BK116" s="358"/>
      <c r="BL116" s="358"/>
      <c r="BM116" s="358"/>
      <c r="BN116" s="358"/>
      <c r="BO116" s="358"/>
      <c r="BP116" s="358"/>
      <c r="BQ116" s="358"/>
      <c r="BR116" s="358"/>
      <c r="BS116" s="358"/>
      <c r="BT116" s="358"/>
      <c r="BU116" s="358"/>
      <c r="BV116" s="358"/>
      <c r="BW116" s="358"/>
      <c r="BX116" s="358"/>
      <c r="BY116" s="358"/>
      <c r="BZ116" s="358"/>
      <c r="CA116" s="358"/>
      <c r="CB116" s="358"/>
      <c r="CC116" s="358"/>
      <c r="CD116" s="358"/>
      <c r="CE116" s="358"/>
      <c r="CF116" s="358"/>
      <c r="CG116" s="404">
        <v>6.35</v>
      </c>
      <c r="CH116" s="404">
        <v>6.35</v>
      </c>
      <c r="CI116" s="401">
        <v>0</v>
      </c>
      <c r="CJ116" s="422">
        <f t="shared" ca="1" si="62"/>
        <v>26915.850000000002</v>
      </c>
      <c r="CK116" s="358"/>
      <c r="CL116" s="358"/>
      <c r="CM116" s="358"/>
      <c r="CN116" s="358"/>
      <c r="CO116" s="358"/>
      <c r="CP116" s="358"/>
      <c r="CQ116" s="358"/>
      <c r="CR116" s="358"/>
      <c r="CS116" s="358"/>
      <c r="CT116" s="358"/>
      <c r="CU116" s="358"/>
      <c r="CV116" s="358"/>
      <c r="CW116" s="358"/>
      <c r="CX116" s="358"/>
      <c r="CY116" s="358"/>
      <c r="CZ116" s="358"/>
      <c r="DA116" s="358"/>
      <c r="DB116" s="358"/>
      <c r="DC116" s="358"/>
      <c r="DD116" s="358"/>
      <c r="DE116" s="358"/>
      <c r="DF116" s="358"/>
      <c r="DG116" s="358"/>
      <c r="DH116" s="358"/>
      <c r="DI116" s="358"/>
      <c r="DJ116" s="358"/>
      <c r="DK116" s="358"/>
      <c r="DL116" s="358"/>
      <c r="DM116" s="358"/>
      <c r="DN116" s="358"/>
      <c r="DO116" s="358"/>
      <c r="DP116" s="358"/>
      <c r="DQ116" s="358"/>
      <c r="DR116" s="358"/>
      <c r="DS116" s="358"/>
      <c r="DT116" s="358"/>
      <c r="DU116" s="358"/>
      <c r="DV116" s="358"/>
      <c r="DW116" s="358"/>
      <c r="DX116" s="358"/>
      <c r="DY116" s="358"/>
      <c r="DZ116" s="358"/>
      <c r="EA116" s="358"/>
      <c r="EB116" s="358"/>
      <c r="EC116" s="358"/>
      <c r="ED116" s="358"/>
      <c r="EE116" s="358"/>
      <c r="EF116" s="358"/>
      <c r="EG116" s="358"/>
      <c r="EH116" s="358"/>
      <c r="EI116" s="358"/>
      <c r="EJ116" s="358"/>
      <c r="EK116" s="358"/>
      <c r="EL116" s="358"/>
      <c r="EM116" s="358"/>
      <c r="EN116" s="358"/>
      <c r="EO116" s="358"/>
      <c r="EP116" s="358"/>
      <c r="EQ116" s="358"/>
      <c r="ER116" s="358"/>
      <c r="ES116" s="358"/>
      <c r="ET116" s="358"/>
      <c r="EU116" s="358"/>
      <c r="EV116" s="358"/>
      <c r="EW116" s="358"/>
      <c r="EX116" s="358"/>
      <c r="EY116" s="358"/>
      <c r="EZ116" s="371"/>
    </row>
    <row r="117" spans="1:156" ht="11.15" customHeight="1" x14ac:dyDescent="0.35">
      <c r="A117" s="1249">
        <v>3.81</v>
      </c>
      <c r="B117" s="783">
        <v>3</v>
      </c>
      <c r="C117" s="784">
        <f ca="1">IF(OR($N$2="",$N$2=0),"",IF(INDIRECT(ADDRESS(($AK117),COLUMN()+31,,,"Digitar Dados dos Ensaios"))&lt;&gt;"",INDIRECT(ADDRESS(($AK117),COLUMN()+31,,,"Digitar Dados dos Ensaios")),""))</f>
        <v>915</v>
      </c>
      <c r="D117" s="785">
        <f t="shared" ca="1" si="63"/>
        <v>17705.25</v>
      </c>
      <c r="E117" s="786"/>
      <c r="F117" s="271"/>
      <c r="G117" s="271"/>
      <c r="H117" s="271"/>
      <c r="I117" s="271"/>
      <c r="J117" s="271"/>
      <c r="K117" s="271"/>
      <c r="L117" s="1248"/>
      <c r="AK117" s="357">
        <f t="shared" si="64"/>
        <v>8</v>
      </c>
      <c r="AL117" s="358"/>
      <c r="AM117" s="358"/>
      <c r="AN117" s="358"/>
      <c r="AO117" s="358"/>
      <c r="AP117" s="358"/>
      <c r="AQ117" s="358"/>
      <c r="AR117" s="358"/>
      <c r="AS117" s="358"/>
      <c r="AT117" s="358"/>
      <c r="AU117" s="358"/>
      <c r="AV117" s="358"/>
      <c r="AW117" s="358"/>
      <c r="AX117" s="358"/>
      <c r="AY117" s="358"/>
      <c r="AZ117" s="358"/>
      <c r="BA117" s="358"/>
      <c r="BB117" s="358"/>
      <c r="BC117" s="358"/>
      <c r="BD117" s="421"/>
      <c r="BE117" s="358"/>
      <c r="BF117" s="358"/>
      <c r="BG117" s="358"/>
      <c r="BH117" s="358"/>
      <c r="BI117" s="358"/>
      <c r="BJ117" s="358"/>
      <c r="BK117" s="358"/>
      <c r="BL117" s="358"/>
      <c r="BM117" s="358"/>
      <c r="BN117" s="358"/>
      <c r="BO117" s="358"/>
      <c r="BP117" s="358"/>
      <c r="BQ117" s="358"/>
      <c r="BR117" s="358"/>
      <c r="BS117" s="358"/>
      <c r="BT117" s="358"/>
      <c r="BU117" s="358"/>
      <c r="BV117" s="358"/>
      <c r="BW117" s="358"/>
      <c r="BX117" s="358"/>
      <c r="BY117" s="358"/>
      <c r="BZ117" s="358"/>
      <c r="CA117" s="358"/>
      <c r="CB117" s="358"/>
      <c r="CC117" s="358"/>
      <c r="CD117" s="358"/>
      <c r="CE117" s="358"/>
      <c r="CF117" s="358"/>
      <c r="CG117" s="404">
        <v>7.62</v>
      </c>
      <c r="CH117" s="404">
        <v>7.62</v>
      </c>
      <c r="CI117" s="401">
        <v>0</v>
      </c>
      <c r="CJ117" s="422">
        <f t="shared" ca="1" si="62"/>
        <v>26915.850000000002</v>
      </c>
      <c r="CK117" s="358"/>
      <c r="CL117" s="358"/>
      <c r="CM117" s="358"/>
      <c r="CN117" s="358"/>
      <c r="CO117" s="358"/>
      <c r="CP117" s="358"/>
      <c r="CQ117" s="358"/>
      <c r="CR117" s="358"/>
      <c r="CS117" s="358"/>
      <c r="CT117" s="358"/>
      <c r="CU117" s="358"/>
      <c r="CV117" s="358"/>
      <c r="CW117" s="358"/>
      <c r="CX117" s="358"/>
      <c r="CY117" s="358"/>
      <c r="CZ117" s="358"/>
      <c r="DA117" s="358"/>
      <c r="DB117" s="358"/>
      <c r="DC117" s="358"/>
      <c r="DD117" s="358"/>
      <c r="DE117" s="358"/>
      <c r="DF117" s="358"/>
      <c r="DG117" s="358"/>
      <c r="DH117" s="358"/>
      <c r="DI117" s="358"/>
      <c r="DJ117" s="358"/>
      <c r="DK117" s="358"/>
      <c r="DL117" s="358"/>
      <c r="DM117" s="358"/>
      <c r="DN117" s="358"/>
      <c r="DO117" s="358"/>
      <c r="DP117" s="358"/>
      <c r="DQ117" s="358"/>
      <c r="DR117" s="358"/>
      <c r="DS117" s="358"/>
      <c r="DT117" s="358"/>
      <c r="DU117" s="358"/>
      <c r="DV117" s="358"/>
      <c r="DW117" s="358"/>
      <c r="DX117" s="358"/>
      <c r="DY117" s="358"/>
      <c r="DZ117" s="358"/>
      <c r="EA117" s="358"/>
      <c r="EB117" s="358"/>
      <c r="EC117" s="358"/>
      <c r="ED117" s="358"/>
      <c r="EE117" s="358"/>
      <c r="EF117" s="358"/>
      <c r="EG117" s="358"/>
      <c r="EH117" s="358"/>
      <c r="EI117" s="358"/>
      <c r="EJ117" s="358"/>
      <c r="EK117" s="358"/>
      <c r="EL117" s="358"/>
      <c r="EM117" s="358"/>
      <c r="EN117" s="358"/>
      <c r="EO117" s="358"/>
      <c r="EP117" s="358"/>
      <c r="EQ117" s="358"/>
      <c r="ER117" s="358"/>
      <c r="ES117" s="358"/>
      <c r="ET117" s="358"/>
      <c r="EU117" s="358"/>
      <c r="EV117" s="358"/>
      <c r="EW117" s="358"/>
      <c r="EX117" s="358"/>
      <c r="EY117" s="358"/>
      <c r="EZ117" s="371"/>
    </row>
    <row r="118" spans="1:156" ht="11.15" customHeight="1" x14ac:dyDescent="0.35">
      <c r="A118" s="1249">
        <v>5.08</v>
      </c>
      <c r="B118" s="783">
        <v>4</v>
      </c>
      <c r="C118" s="784">
        <f ca="1">IF(OR($N$2="",$N$2=0),"",IF(INDIRECT(ADDRESS(($AK118),COLUMN()+32,,,"Digitar Dados dos Ensaios"))&lt;&gt;"",INDIRECT(ADDRESS(($AK118),COLUMN()+32,,,"Digitar Dados dos Ensaios")),""))</f>
        <v>1098</v>
      </c>
      <c r="D118" s="785">
        <f t="shared" ca="1" si="63"/>
        <v>21246.300000000003</v>
      </c>
      <c r="E118" s="788">
        <f ca="1">IF(C118&lt;&gt;"",D118/105.46,"")</f>
        <v>201.4631139768633</v>
      </c>
      <c r="F118" s="271"/>
      <c r="G118" s="271"/>
      <c r="H118" s="271"/>
      <c r="I118" s="271"/>
      <c r="J118" s="271"/>
      <c r="K118" s="271"/>
      <c r="L118" s="1248"/>
      <c r="AK118" s="357">
        <f t="shared" si="64"/>
        <v>8</v>
      </c>
      <c r="AL118" s="358"/>
      <c r="AM118" s="358"/>
      <c r="AN118" s="358"/>
      <c r="AO118" s="358"/>
      <c r="AP118" s="358"/>
      <c r="AQ118" s="358"/>
      <c r="AR118" s="358"/>
      <c r="AS118" s="358"/>
      <c r="AT118" s="358"/>
      <c r="AU118" s="358"/>
      <c r="AV118" s="358"/>
      <c r="AW118" s="358"/>
      <c r="AX118" s="358"/>
      <c r="AY118" s="358"/>
      <c r="AZ118" s="358"/>
      <c r="BA118" s="358"/>
      <c r="BB118" s="358"/>
      <c r="BC118" s="358"/>
      <c r="BD118" s="421"/>
      <c r="BE118" s="358"/>
      <c r="BF118" s="358"/>
      <c r="BG118" s="358"/>
      <c r="BH118" s="358"/>
      <c r="BI118" s="358"/>
      <c r="BJ118" s="358"/>
      <c r="BK118" s="358"/>
      <c r="BL118" s="358"/>
      <c r="BM118" s="358"/>
      <c r="BN118" s="358"/>
      <c r="BO118" s="358"/>
      <c r="BP118" s="358"/>
      <c r="BQ118" s="358"/>
      <c r="BR118" s="358"/>
      <c r="BS118" s="358"/>
      <c r="BT118" s="358"/>
      <c r="BU118" s="358"/>
      <c r="BV118" s="358"/>
      <c r="BW118" s="358"/>
      <c r="BX118" s="358"/>
      <c r="BY118" s="358"/>
      <c r="BZ118" s="358"/>
      <c r="CA118" s="358"/>
      <c r="CB118" s="358"/>
      <c r="CC118" s="358"/>
      <c r="CD118" s="358"/>
      <c r="CE118" s="358"/>
      <c r="CF118" s="358"/>
      <c r="CG118" s="358"/>
      <c r="CH118" s="358"/>
      <c r="CI118" s="358"/>
      <c r="CJ118" s="371"/>
      <c r="CK118" s="358"/>
      <c r="CL118" s="358"/>
      <c r="CM118" s="358"/>
      <c r="CN118" s="358"/>
      <c r="CO118" s="358"/>
      <c r="CP118" s="358"/>
      <c r="CQ118" s="358"/>
      <c r="CR118" s="358"/>
      <c r="CS118" s="358"/>
      <c r="CT118" s="358"/>
      <c r="CU118" s="358"/>
      <c r="CV118" s="358"/>
      <c r="CW118" s="358"/>
      <c r="CX118" s="358"/>
      <c r="CY118" s="358"/>
      <c r="CZ118" s="358"/>
      <c r="DA118" s="358"/>
      <c r="DB118" s="358"/>
      <c r="DC118" s="358"/>
      <c r="DD118" s="358"/>
      <c r="DE118" s="358"/>
      <c r="DF118" s="358"/>
      <c r="DG118" s="358"/>
      <c r="DH118" s="358"/>
      <c r="DI118" s="358"/>
      <c r="DJ118" s="358"/>
      <c r="DK118" s="358"/>
      <c r="DL118" s="358"/>
      <c r="DM118" s="358"/>
      <c r="DN118" s="358"/>
      <c r="DO118" s="358"/>
      <c r="DP118" s="358"/>
      <c r="DQ118" s="358"/>
      <c r="DR118" s="358"/>
      <c r="DS118" s="358"/>
      <c r="DT118" s="358"/>
      <c r="DU118" s="358"/>
      <c r="DV118" s="358"/>
      <c r="DW118" s="358"/>
      <c r="DX118" s="358"/>
      <c r="DY118" s="358"/>
      <c r="DZ118" s="358"/>
      <c r="EA118" s="358"/>
      <c r="EB118" s="358"/>
      <c r="EC118" s="358"/>
      <c r="ED118" s="358"/>
      <c r="EE118" s="358"/>
      <c r="EF118" s="358"/>
      <c r="EG118" s="358"/>
      <c r="EH118" s="358"/>
      <c r="EI118" s="358"/>
      <c r="EJ118" s="358"/>
      <c r="EK118" s="358"/>
      <c r="EL118" s="358"/>
      <c r="EM118" s="358"/>
      <c r="EN118" s="358"/>
      <c r="EO118" s="358"/>
      <c r="EP118" s="358"/>
      <c r="EQ118" s="358"/>
      <c r="ER118" s="358"/>
      <c r="ES118" s="358"/>
      <c r="ET118" s="358"/>
      <c r="EU118" s="358"/>
      <c r="EV118" s="358"/>
      <c r="EW118" s="358"/>
      <c r="EX118" s="358"/>
      <c r="EY118" s="358"/>
      <c r="EZ118" s="371"/>
    </row>
    <row r="119" spans="1:156" ht="11.15" customHeight="1" x14ac:dyDescent="0.35">
      <c r="A119" s="1249">
        <v>6.35</v>
      </c>
      <c r="B119" s="783">
        <v>5</v>
      </c>
      <c r="C119" s="784">
        <f ca="1">IF(OR($N$2="",$N$2=0),"",IF(INDIRECT(ADDRESS(($AK119),COLUMN()+33,,,"Digitar Dados dos Ensaios"))&lt;&gt;"",INDIRECT(ADDRESS(($AK119),COLUMN()+33,,,"Digitar Dados dos Ensaios")),""))</f>
        <v>1263</v>
      </c>
      <c r="D119" s="785">
        <f t="shared" ca="1" si="63"/>
        <v>24439.050000000003</v>
      </c>
      <c r="E119" s="787" t="str">
        <f ca="1">IF(E120="","","Corrigido")</f>
        <v/>
      </c>
      <c r="F119" s="271"/>
      <c r="G119" s="271"/>
      <c r="H119" s="271"/>
      <c r="I119" s="271"/>
      <c r="J119" s="271"/>
      <c r="K119" s="271"/>
      <c r="L119" s="1248"/>
      <c r="AK119" s="357">
        <f t="shared" si="64"/>
        <v>8</v>
      </c>
      <c r="AL119" s="358"/>
      <c r="AM119" s="358"/>
      <c r="AN119" s="358"/>
      <c r="AO119" s="358"/>
      <c r="AP119" s="358"/>
      <c r="AQ119" s="358"/>
      <c r="AR119" s="358"/>
      <c r="AS119" s="358"/>
      <c r="AT119" s="358"/>
      <c r="AU119" s="358"/>
      <c r="AV119" s="358"/>
      <c r="AW119" s="358"/>
      <c r="AX119" s="358"/>
      <c r="AY119" s="358"/>
      <c r="AZ119" s="358"/>
      <c r="BA119" s="358"/>
      <c r="BB119" s="358"/>
      <c r="BC119" s="358"/>
      <c r="BD119" s="421"/>
      <c r="BE119" s="358"/>
      <c r="BF119" s="358"/>
      <c r="BG119" s="358"/>
      <c r="BH119" s="358"/>
      <c r="BI119" s="358"/>
      <c r="BJ119" s="358"/>
      <c r="BK119" s="358"/>
      <c r="BL119" s="358"/>
      <c r="BM119" s="358"/>
      <c r="BN119" s="358"/>
      <c r="BO119" s="358"/>
      <c r="BP119" s="358"/>
      <c r="BQ119" s="358"/>
      <c r="BR119" s="358"/>
      <c r="BS119" s="358"/>
      <c r="BT119" s="358"/>
      <c r="BU119" s="358"/>
      <c r="BV119" s="358"/>
      <c r="BW119" s="358"/>
      <c r="BX119" s="358"/>
      <c r="BY119" s="358"/>
      <c r="BZ119" s="358"/>
      <c r="CA119" s="358"/>
      <c r="CB119" s="358"/>
      <c r="CC119" s="358"/>
      <c r="CD119" s="358"/>
      <c r="CE119" s="358"/>
      <c r="CF119" s="358"/>
      <c r="CG119" s="358"/>
      <c r="CH119" s="358"/>
      <c r="CI119" s="358"/>
      <c r="CJ119" s="371"/>
      <c r="CK119" s="358"/>
      <c r="CL119" s="358"/>
      <c r="CM119" s="358"/>
      <c r="CN119" s="358"/>
      <c r="CO119" s="358"/>
      <c r="CP119" s="358"/>
      <c r="CQ119" s="358"/>
      <c r="CR119" s="358"/>
      <c r="CS119" s="358"/>
      <c r="CT119" s="358"/>
      <c r="CU119" s="358"/>
      <c r="CV119" s="358"/>
      <c r="CW119" s="358"/>
      <c r="CX119" s="358"/>
      <c r="CY119" s="358"/>
      <c r="CZ119" s="358"/>
      <c r="DA119" s="358"/>
      <c r="DB119" s="358"/>
      <c r="DC119" s="358"/>
      <c r="DD119" s="358"/>
      <c r="DE119" s="358"/>
      <c r="DF119" s="358"/>
      <c r="DG119" s="358"/>
      <c r="DH119" s="358"/>
      <c r="DI119" s="358"/>
      <c r="DJ119" s="358"/>
      <c r="DK119" s="358"/>
      <c r="DL119" s="358"/>
      <c r="DM119" s="358"/>
      <c r="DN119" s="358"/>
      <c r="DO119" s="358"/>
      <c r="DP119" s="358"/>
      <c r="DQ119" s="358"/>
      <c r="DR119" s="358"/>
      <c r="DS119" s="358"/>
      <c r="DT119" s="358"/>
      <c r="DU119" s="358"/>
      <c r="DV119" s="358"/>
      <c r="DW119" s="358"/>
      <c r="DX119" s="358"/>
      <c r="DY119" s="358"/>
      <c r="DZ119" s="358"/>
      <c r="EA119" s="358"/>
      <c r="EB119" s="358"/>
      <c r="EC119" s="358"/>
      <c r="ED119" s="358"/>
      <c r="EE119" s="358"/>
      <c r="EF119" s="358"/>
      <c r="EG119" s="358"/>
      <c r="EH119" s="358"/>
      <c r="EI119" s="358"/>
      <c r="EJ119" s="358"/>
      <c r="EK119" s="358"/>
      <c r="EL119" s="358"/>
      <c r="EM119" s="358"/>
      <c r="EN119" s="358"/>
      <c r="EO119" s="358"/>
      <c r="EP119" s="358"/>
      <c r="EQ119" s="358"/>
      <c r="ER119" s="358"/>
      <c r="ES119" s="358"/>
      <c r="ET119" s="358"/>
      <c r="EU119" s="358"/>
      <c r="EV119" s="358"/>
      <c r="EW119" s="358"/>
      <c r="EX119" s="358"/>
      <c r="EY119" s="358"/>
      <c r="EZ119" s="371"/>
    </row>
    <row r="120" spans="1:156" ht="11.15" customHeight="1" x14ac:dyDescent="0.35">
      <c r="A120" s="351">
        <v>7.62</v>
      </c>
      <c r="B120" s="352">
        <v>6</v>
      </c>
      <c r="C120" s="353">
        <f ca="1">IF(OR($N$2="",$N$2=0),"",IF(INDIRECT(ADDRESS(($AK120),COLUMN()+34,,,"Digitar Dados dos Ensaios"))&lt;&gt;"",INDIRECT(ADDRESS(($AK120),COLUMN()+34,,,"Digitar Dados dos Ensaios")),""))</f>
        <v>1391</v>
      </c>
      <c r="D120" s="354">
        <f t="shared" ca="1" si="63"/>
        <v>26915.850000000002</v>
      </c>
      <c r="E120" s="283" t="str">
        <f ca="1">IF(BZ109="","",IF(BZ109&gt;0,BZ109,""))</f>
        <v/>
      </c>
      <c r="F120" s="272"/>
      <c r="G120" s="272"/>
      <c r="H120" s="272"/>
      <c r="I120" s="272"/>
      <c r="J120" s="272"/>
      <c r="K120" s="272"/>
      <c r="L120" s="273"/>
      <c r="AK120" s="357">
        <f t="shared" si="64"/>
        <v>8</v>
      </c>
      <c r="AL120" s="358"/>
      <c r="AM120" s="358"/>
      <c r="AN120" s="358"/>
      <c r="AO120" s="358"/>
      <c r="AP120" s="358"/>
      <c r="AQ120" s="358"/>
      <c r="AR120" s="358"/>
      <c r="AS120" s="358"/>
      <c r="AT120" s="358"/>
      <c r="AU120" s="358"/>
      <c r="AV120" s="358"/>
      <c r="AW120" s="358"/>
      <c r="AX120" s="358"/>
      <c r="AY120" s="358"/>
      <c r="AZ120" s="358"/>
      <c r="BA120" s="358"/>
      <c r="BB120" s="358"/>
      <c r="BC120" s="358"/>
      <c r="BD120" s="425"/>
      <c r="BE120" s="426"/>
      <c r="BF120" s="426"/>
      <c r="BG120" s="426"/>
      <c r="BH120" s="426"/>
      <c r="BI120" s="426"/>
      <c r="BJ120" s="426"/>
      <c r="BK120" s="426"/>
      <c r="BL120" s="426"/>
      <c r="BM120" s="426"/>
      <c r="BN120" s="426"/>
      <c r="BO120" s="426"/>
      <c r="BP120" s="426"/>
      <c r="BQ120" s="426"/>
      <c r="BR120" s="426"/>
      <c r="BS120" s="426"/>
      <c r="BT120" s="426"/>
      <c r="BU120" s="426"/>
      <c r="BV120" s="426"/>
      <c r="BW120" s="426"/>
      <c r="BX120" s="426"/>
      <c r="BY120" s="426"/>
      <c r="BZ120" s="426"/>
      <c r="CA120" s="426"/>
      <c r="CB120" s="426"/>
      <c r="CC120" s="426"/>
      <c r="CD120" s="426"/>
      <c r="CE120" s="426"/>
      <c r="CF120" s="426"/>
      <c r="CG120" s="426"/>
      <c r="CH120" s="426"/>
      <c r="CI120" s="426"/>
      <c r="CJ120" s="427"/>
      <c r="CK120" s="358"/>
      <c r="CL120" s="358"/>
      <c r="CM120" s="358"/>
      <c r="CN120" s="358"/>
      <c r="CO120" s="358"/>
      <c r="CP120" s="358"/>
      <c r="CQ120" s="358"/>
      <c r="CR120" s="358"/>
      <c r="CS120" s="358"/>
      <c r="CT120" s="358"/>
      <c r="CU120" s="358"/>
      <c r="CV120" s="358"/>
      <c r="CW120" s="358"/>
      <c r="CX120" s="358"/>
      <c r="CY120" s="358"/>
      <c r="CZ120" s="358"/>
      <c r="DA120" s="358"/>
      <c r="DB120" s="358"/>
      <c r="DC120" s="358"/>
      <c r="DD120" s="358"/>
      <c r="DE120" s="358"/>
      <c r="DF120" s="358"/>
      <c r="DG120" s="358"/>
      <c r="DH120" s="358"/>
      <c r="DI120" s="358"/>
      <c r="DJ120" s="358"/>
      <c r="DK120" s="358"/>
      <c r="DL120" s="358"/>
      <c r="DM120" s="358"/>
      <c r="DN120" s="358"/>
      <c r="DO120" s="358"/>
      <c r="DP120" s="358"/>
      <c r="DQ120" s="358"/>
      <c r="DR120" s="358"/>
      <c r="DS120" s="358"/>
      <c r="DT120" s="358"/>
      <c r="DU120" s="358"/>
      <c r="DV120" s="358"/>
      <c r="DW120" s="358"/>
      <c r="DX120" s="358"/>
      <c r="DY120" s="358"/>
      <c r="DZ120" s="358"/>
      <c r="EA120" s="358"/>
      <c r="EB120" s="358"/>
      <c r="EC120" s="358"/>
      <c r="ED120" s="358"/>
      <c r="EE120" s="358"/>
      <c r="EF120" s="358"/>
      <c r="EG120" s="358"/>
      <c r="EH120" s="358"/>
      <c r="EI120" s="358"/>
      <c r="EJ120" s="358"/>
      <c r="EK120" s="358"/>
      <c r="EL120" s="358"/>
      <c r="EM120" s="358"/>
      <c r="EN120" s="358"/>
      <c r="EO120" s="358"/>
      <c r="EP120" s="358"/>
      <c r="EQ120" s="358"/>
      <c r="ER120" s="358"/>
      <c r="ES120" s="358"/>
      <c r="ET120" s="358"/>
      <c r="EU120" s="358"/>
      <c r="EV120" s="358"/>
      <c r="EW120" s="358"/>
      <c r="EX120" s="358"/>
      <c r="EY120" s="358"/>
      <c r="EZ120" s="371"/>
    </row>
    <row r="121" spans="1:156" ht="5.15" customHeight="1" x14ac:dyDescent="0.35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AK121" s="357"/>
      <c r="AL121" s="358"/>
      <c r="AM121" s="358"/>
      <c r="AN121" s="358"/>
      <c r="AO121" s="358"/>
      <c r="AP121" s="358"/>
      <c r="AQ121" s="358"/>
      <c r="AR121" s="358"/>
      <c r="AS121" s="358"/>
      <c r="AT121" s="358"/>
      <c r="AU121" s="358"/>
      <c r="AV121" s="358"/>
      <c r="AW121" s="358"/>
      <c r="AX121" s="358"/>
      <c r="AY121" s="358"/>
      <c r="AZ121" s="358"/>
      <c r="BA121" s="358"/>
      <c r="BB121" s="358"/>
      <c r="BC121" s="358"/>
      <c r="BD121" s="421"/>
      <c r="BE121" s="358"/>
      <c r="BF121" s="358"/>
      <c r="BG121" s="358"/>
      <c r="BH121" s="358"/>
      <c r="BI121" s="358"/>
      <c r="BJ121" s="358"/>
      <c r="BK121" s="358"/>
      <c r="BL121" s="358"/>
      <c r="BM121" s="358"/>
      <c r="BN121" s="358"/>
      <c r="BO121" s="358"/>
      <c r="BP121" s="358"/>
      <c r="BQ121" s="358"/>
      <c r="BR121" s="358"/>
      <c r="BS121" s="358"/>
      <c r="BT121" s="358"/>
      <c r="BU121" s="358"/>
      <c r="BV121" s="358"/>
      <c r="BW121" s="358"/>
      <c r="BX121" s="358"/>
      <c r="BY121" s="358"/>
      <c r="BZ121" s="358"/>
      <c r="CA121" s="358"/>
      <c r="CB121" s="358"/>
      <c r="CC121" s="358"/>
      <c r="CD121" s="358"/>
      <c r="CE121" s="358"/>
      <c r="CF121" s="358"/>
      <c r="CG121" s="358"/>
      <c r="CH121" s="358"/>
      <c r="CI121" s="358"/>
      <c r="CJ121" s="371"/>
      <c r="CK121" s="358"/>
      <c r="CL121" s="358"/>
      <c r="CM121" s="358"/>
      <c r="CN121" s="358"/>
      <c r="CO121" s="358"/>
      <c r="CP121" s="358"/>
      <c r="CQ121" s="358"/>
      <c r="CR121" s="358"/>
      <c r="CS121" s="358"/>
      <c r="CT121" s="358"/>
      <c r="CU121" s="358"/>
      <c r="CV121" s="358"/>
      <c r="CW121" s="358"/>
      <c r="CX121" s="358"/>
      <c r="CY121" s="358"/>
      <c r="CZ121" s="358"/>
      <c r="DA121" s="358"/>
      <c r="DB121" s="358"/>
      <c r="DC121" s="358"/>
      <c r="DD121" s="358"/>
      <c r="DE121" s="358"/>
      <c r="DF121" s="358"/>
      <c r="DG121" s="358"/>
      <c r="DH121" s="358"/>
      <c r="DI121" s="358"/>
      <c r="DJ121" s="358"/>
      <c r="DK121" s="358"/>
      <c r="DL121" s="358"/>
      <c r="DM121" s="358"/>
      <c r="DN121" s="358"/>
      <c r="DO121" s="358"/>
      <c r="DP121" s="358"/>
      <c r="DQ121" s="358"/>
      <c r="DR121" s="358"/>
      <c r="DS121" s="358"/>
      <c r="DT121" s="358"/>
      <c r="DU121" s="358"/>
      <c r="DV121" s="358"/>
      <c r="DW121" s="358"/>
      <c r="DX121" s="358"/>
      <c r="DY121" s="358"/>
      <c r="DZ121" s="358"/>
      <c r="EA121" s="358"/>
      <c r="EB121" s="358"/>
      <c r="EC121" s="358"/>
      <c r="ED121" s="358"/>
      <c r="EE121" s="358"/>
      <c r="EF121" s="358"/>
      <c r="EG121" s="358"/>
      <c r="EH121" s="358"/>
      <c r="EI121" s="358"/>
      <c r="EJ121" s="358"/>
      <c r="EK121" s="358"/>
      <c r="EL121" s="358"/>
      <c r="EM121" s="358"/>
      <c r="EN121" s="358"/>
      <c r="EO121" s="358"/>
      <c r="EP121" s="358"/>
      <c r="EQ121" s="358"/>
      <c r="ER121" s="358"/>
      <c r="ES121" s="358"/>
      <c r="ET121" s="358"/>
      <c r="EU121" s="358"/>
      <c r="EV121" s="358"/>
      <c r="EW121" s="358"/>
      <c r="EX121" s="358"/>
      <c r="EY121" s="358"/>
      <c r="EZ121" s="371"/>
    </row>
    <row r="122" spans="1:156" ht="11.15" customHeight="1" x14ac:dyDescent="0.25">
      <c r="A122" s="1822" t="s">
        <v>199</v>
      </c>
      <c r="B122" s="1823"/>
      <c r="C122" s="1824">
        <f ca="1">IF(OR($N$2="",$N$2=0),"",IF(INDIRECT(ADDRESS(($AK122),COLUMN()+18,,,"Digitar Dados dos Ensaios"))&lt;&gt;"",INDIRECT(ADDRESS(($AK122),COLUMN()+18,,,"Digitar Dados dos Ensaios")),""))</f>
        <v>48</v>
      </c>
      <c r="D122" s="1824" t="str">
        <f ca="1">IF(OR($N$2="",$N$2=0),"",IF(INDIRECT(ADDRESS(($AK122),COLUMN()+14,,,"Digitar Dados dos Ensaios"))&lt;&gt;"",INDIRECT(ADDRESS(($AK122),COLUMN()+14,,,"Digitar Dados dos Ensaios")),""))</f>
        <v>Moldagem do ISC Ótimo</v>
      </c>
      <c r="E122" s="1825" t="s">
        <v>200</v>
      </c>
      <c r="F122" s="269"/>
      <c r="G122" s="269"/>
      <c r="H122" s="269"/>
      <c r="I122" s="269"/>
      <c r="J122" s="269"/>
      <c r="K122" s="269"/>
      <c r="L122" s="270"/>
      <c r="AK122" s="357">
        <f>AK103+1</f>
        <v>9</v>
      </c>
      <c r="AL122" s="358"/>
      <c r="AM122" s="358"/>
      <c r="AN122" s="358"/>
      <c r="AO122" s="358"/>
      <c r="AP122" s="358"/>
      <c r="AQ122" s="358"/>
      <c r="AR122" s="358"/>
      <c r="AS122" s="358"/>
      <c r="AT122" s="358"/>
      <c r="AU122" s="358"/>
      <c r="AV122" s="358"/>
      <c r="AW122" s="358"/>
      <c r="AX122" s="358"/>
      <c r="AY122" s="358"/>
      <c r="AZ122" s="358"/>
      <c r="BA122" s="358"/>
      <c r="BB122" s="358"/>
      <c r="BC122" s="358"/>
      <c r="BD122" s="394">
        <v>0.63</v>
      </c>
      <c r="BE122" s="395">
        <v>0.63</v>
      </c>
      <c r="BF122" s="395">
        <v>0.63</v>
      </c>
      <c r="BG122" s="396">
        <f ca="1">IF(D139&lt;&gt;"",D139,"")</f>
        <v>22697.550000000003</v>
      </c>
      <c r="BH122" s="396">
        <v>0</v>
      </c>
      <c r="BI122" s="396">
        <f ca="1">IF(D132&lt;&gt;"",D132,"")</f>
        <v>2902.5</v>
      </c>
      <c r="BJ122" s="395">
        <v>0.63</v>
      </c>
      <c r="BK122" s="395">
        <v>1.27</v>
      </c>
      <c r="BL122" s="395">
        <v>1.9</v>
      </c>
      <c r="BM122" s="395">
        <v>2.54</v>
      </c>
      <c r="BN122" s="395">
        <v>3.81</v>
      </c>
      <c r="BO122" s="395">
        <v>5.08</v>
      </c>
      <c r="BP122" s="395">
        <v>6.35</v>
      </c>
      <c r="BQ122" s="395">
        <v>7.62</v>
      </c>
      <c r="BR122" s="397">
        <f ca="1">IF(BJ123&lt;&gt;"",AVERAGE(BJ122:BQ122),"")</f>
        <v>3.65</v>
      </c>
      <c r="BS122" s="398">
        <f ca="1">IF(ISNUMBER(BJ127),BJ127^2,"")</f>
        <v>340.42833049000006</v>
      </c>
      <c r="BT122" s="398">
        <f t="shared" ref="BT122:BZ122" ca="1" si="65">IF(ISNUMBER(BK127),BK127^2,"")</f>
        <v>297.03488408999999</v>
      </c>
      <c r="BU122" s="398">
        <f t="shared" ca="1" si="65"/>
        <v>232.18445376000003</v>
      </c>
      <c r="BV122" s="398">
        <f t="shared" ca="1" si="65"/>
        <v>153.66081600000001</v>
      </c>
      <c r="BW122" s="398">
        <f t="shared" ca="1" si="65"/>
        <v>18.761892250000002</v>
      </c>
      <c r="BX122" s="398">
        <f t="shared" ca="1" si="65"/>
        <v>48.424897440000002</v>
      </c>
      <c r="BY122" s="398">
        <f t="shared" ca="1" si="65"/>
        <v>461.17133000999991</v>
      </c>
      <c r="BZ122" s="398">
        <f t="shared" ca="1" si="65"/>
        <v>1537.95740224</v>
      </c>
      <c r="CA122" s="398">
        <f ca="1">IF(BS122&lt;&gt;"",SUM(BS122:BZ122),"")</f>
        <v>3089.6240062799998</v>
      </c>
      <c r="CB122" s="399">
        <v>0</v>
      </c>
      <c r="CC122" s="399">
        <f ca="1">IF(CB123="","",IF(CB123&gt;0,CF125,-1))</f>
        <v>-1</v>
      </c>
      <c r="CD122" s="399">
        <f ca="1">IF(CB123="","",IF(CB123&gt;0,CH125,-1))</f>
        <v>-1</v>
      </c>
      <c r="CE122" s="399">
        <f ca="1">IF(CB123="","",IF(CB123&gt;0,(BV126*CE123)+BV127,-1))</f>
        <v>-1</v>
      </c>
      <c r="CF122" s="399">
        <f ca="1">IF(CB123="","",IF(CB123&gt;0,(BV126*CF123)+BV127,-1))</f>
        <v>-1</v>
      </c>
      <c r="CG122" s="399">
        <f ca="1">IF(CB123="","",IF(CB123&gt;0,CF125,-1))</f>
        <v>-1</v>
      </c>
      <c r="CH122" s="399">
        <f ca="1">IF(CB123="","",IF(CB123&gt;0,CF125,-1))</f>
        <v>-1</v>
      </c>
      <c r="CI122" s="399">
        <f ca="1">IF(CB123="","",IF(CB123&gt;0,CF125,-1))</f>
        <v>-1</v>
      </c>
      <c r="CJ122" s="400">
        <f ca="1">IF(CB123="","",IF(CB123&gt;0,CE122,-1))</f>
        <v>-1</v>
      </c>
      <c r="CK122" s="358"/>
      <c r="CL122" s="358"/>
      <c r="CM122" s="358"/>
      <c r="CN122" s="358"/>
      <c r="CO122" s="358"/>
      <c r="CP122" s="358"/>
      <c r="CQ122" s="358"/>
      <c r="CR122" s="358"/>
      <c r="CS122" s="358"/>
      <c r="CT122" s="358"/>
      <c r="CU122" s="358"/>
      <c r="CV122" s="358"/>
      <c r="CW122" s="358"/>
      <c r="CX122" s="358"/>
      <c r="CY122" s="358"/>
      <c r="CZ122" s="358"/>
      <c r="DA122" s="358"/>
      <c r="DB122" s="358"/>
      <c r="DC122" s="358"/>
      <c r="DD122" s="358"/>
      <c r="DE122" s="358"/>
      <c r="DF122" s="358"/>
      <c r="DG122" s="358"/>
      <c r="DH122" s="358"/>
      <c r="DI122" s="358"/>
      <c r="DJ122" s="358"/>
      <c r="DK122" s="358"/>
      <c r="DL122" s="358"/>
      <c r="DM122" s="358"/>
      <c r="DN122" s="358"/>
      <c r="DO122" s="358"/>
      <c r="DP122" s="358"/>
      <c r="DQ122" s="358"/>
      <c r="DR122" s="358"/>
      <c r="DS122" s="358"/>
      <c r="DT122" s="358"/>
      <c r="DU122" s="358"/>
      <c r="DV122" s="358"/>
      <c r="DW122" s="358"/>
      <c r="DX122" s="358"/>
      <c r="DY122" s="358"/>
      <c r="DZ122" s="358"/>
      <c r="EA122" s="358"/>
      <c r="EB122" s="358"/>
      <c r="EC122" s="358"/>
      <c r="ED122" s="358"/>
      <c r="EE122" s="358"/>
      <c r="EF122" s="358"/>
      <c r="EG122" s="358"/>
      <c r="EH122" s="358"/>
      <c r="EI122" s="358"/>
      <c r="EJ122" s="358"/>
      <c r="EK122" s="358"/>
      <c r="EL122" s="358"/>
      <c r="EM122" s="358"/>
      <c r="EN122" s="358"/>
      <c r="EO122" s="358"/>
      <c r="EP122" s="358"/>
      <c r="EQ122" s="358"/>
      <c r="ER122" s="358"/>
      <c r="ES122" s="358"/>
      <c r="ET122" s="358"/>
      <c r="EU122" s="358"/>
      <c r="EV122" s="358"/>
      <c r="EW122" s="358"/>
      <c r="EX122" s="358"/>
      <c r="EY122" s="358"/>
      <c r="EZ122" s="371"/>
    </row>
    <row r="123" spans="1:156" ht="11.15" customHeight="1" x14ac:dyDescent="0.25">
      <c r="A123" s="1247">
        <f ca="1">IF(OR($N$2="",$N$2=0),"",IF(INDIRECT(ADDRESS(($AK123),COLUMN()+22,,,"Digitar Dados dos Ensaios"))&lt;&gt;"",INDIRECT(ADDRESS(($AK123),COLUMN()+22,,,"Digitar Dados dos Ensaios")),""))</f>
        <v>19.350000000000001</v>
      </c>
      <c r="B123" s="768" t="s">
        <v>57</v>
      </c>
      <c r="C123" s="768" t="s">
        <v>201</v>
      </c>
      <c r="D123" s="768" t="s">
        <v>17</v>
      </c>
      <c r="E123" s="1826"/>
      <c r="F123" s="271"/>
      <c r="G123" s="271"/>
      <c r="H123" s="271"/>
      <c r="I123" s="271"/>
      <c r="J123" s="271"/>
      <c r="K123" s="271"/>
      <c r="L123" s="1248"/>
      <c r="AK123" s="357">
        <f>AK104</f>
        <v>9</v>
      </c>
      <c r="AL123" s="368">
        <f>AL105+1</f>
        <v>9</v>
      </c>
      <c r="AM123" s="358"/>
      <c r="AN123" s="358"/>
      <c r="AO123" s="358"/>
      <c r="AP123" s="358"/>
      <c r="AQ123" s="358"/>
      <c r="AR123" s="358"/>
      <c r="AS123" s="358"/>
      <c r="AT123" s="358"/>
      <c r="AU123" s="358"/>
      <c r="AV123" s="358"/>
      <c r="AW123" s="358"/>
      <c r="AX123" s="358"/>
      <c r="AY123" s="358"/>
      <c r="AZ123" s="358"/>
      <c r="BA123" s="358"/>
      <c r="BB123" s="358"/>
      <c r="BC123" s="358"/>
      <c r="BD123" s="403">
        <v>1.27</v>
      </c>
      <c r="BE123" s="404">
        <v>1.27</v>
      </c>
      <c r="BF123" s="404">
        <v>1.27</v>
      </c>
      <c r="BG123" s="401">
        <f t="shared" ref="BG123:BG129" ca="1" si="66">IF(BG122&lt;&gt;"",BG122,"")</f>
        <v>22697.550000000003</v>
      </c>
      <c r="BH123" s="401">
        <v>0</v>
      </c>
      <c r="BI123" s="401">
        <f t="shared" ref="BI123:BI129" ca="1" si="67">IF(D133&lt;&gt;"",D133,"")</f>
        <v>5824.35</v>
      </c>
      <c r="BJ123" s="405">
        <f ca="1">IF(ISNUMBER($BI122),$BI122,"")</f>
        <v>2902.5</v>
      </c>
      <c r="BK123" s="405">
        <f ca="1">IF(ISNUMBER($BI123),$BI123,"")</f>
        <v>5824.35</v>
      </c>
      <c r="BL123" s="405">
        <f ca="1">IF(ISNUMBER($BI124),$BI124,"")</f>
        <v>9597.6</v>
      </c>
      <c r="BM123" s="405">
        <f ca="1">IF(ISNUMBER($BI125),$BI125,"")</f>
        <v>11648.7</v>
      </c>
      <c r="BN123" s="405">
        <f ca="1">IF(ISNUMBER($BI126),$BI126,"")</f>
        <v>15712.2</v>
      </c>
      <c r="BO123" s="405">
        <f ca="1">IF(ISNUMBER($BI127),$BI127,"")</f>
        <v>17453.7</v>
      </c>
      <c r="BP123" s="405">
        <f ca="1">IF(ISNUMBER($BI128),$BI128,"")</f>
        <v>19795.050000000003</v>
      </c>
      <c r="BQ123" s="405">
        <f ca="1">IF(ISNUMBER($BI129),$BI129,"")</f>
        <v>22697.550000000003</v>
      </c>
      <c r="BR123" s="405">
        <f ca="1">IF(BJ123&lt;&gt;"",AVERAGE(BJ123:BQ123),"")</f>
        <v>13203.956250000001</v>
      </c>
      <c r="BS123" s="406">
        <f ca="1">IF(ISERROR(BJ125*BJ126),"",BJ125*BJ126)</f>
        <v>31110.397875000002</v>
      </c>
      <c r="BT123" s="406">
        <f t="shared" ref="BT123:BZ124" ca="1" si="68">IF(ISERROR(BK125*BK126),"",BK125*BK126)</f>
        <v>17563.462875000001</v>
      </c>
      <c r="BU123" s="406">
        <f t="shared" ca="1" si="68"/>
        <v>6311.1234375000013</v>
      </c>
      <c r="BV123" s="406">
        <f t="shared" ca="1" si="68"/>
        <v>1726.3344375000001</v>
      </c>
      <c r="BW123" s="406">
        <f t="shared" ca="1" si="68"/>
        <v>401.3190000000003</v>
      </c>
      <c r="BX123" s="406">
        <f t="shared" ca="1" si="68"/>
        <v>6077.1335625000002</v>
      </c>
      <c r="BY123" s="406">
        <f t="shared" ca="1" si="68"/>
        <v>17795.953125000004</v>
      </c>
      <c r="BZ123" s="406">
        <f t="shared" ca="1" si="68"/>
        <v>37689.567187500012</v>
      </c>
      <c r="CA123" s="406">
        <f ca="1">IF(BS123&lt;&gt;"",SUM(BS123:BZ123),"")</f>
        <v>118675.29150000002</v>
      </c>
      <c r="CB123" s="428">
        <f ca="1">IF(BV127&lt;&gt;"",(CB122-BV127)/BV126,"")</f>
        <v>-1.3984002906804758</v>
      </c>
      <c r="CC123" s="408">
        <f ca="1">IF(CB123="","",IF(CB123&gt;0,(CF124+CB123),-1))</f>
        <v>-1</v>
      </c>
      <c r="CD123" s="408">
        <f ca="1">IF(CB123="","",IF(CB123&gt;0,CH124+CB123,-1))</f>
        <v>-1</v>
      </c>
      <c r="CE123" s="408">
        <f ca="1">IF(CB123="","",IF(CB123&gt;0,CC123,-1))</f>
        <v>-1</v>
      </c>
      <c r="CF123" s="408">
        <f ca="1">IF(CB123="","",IF(CB123&gt;0,CD123,-1))</f>
        <v>-1</v>
      </c>
      <c r="CG123" s="408">
        <f ca="1">IF(CB123="","",IF(CB123&gt;0,CF124,-1))</f>
        <v>-1</v>
      </c>
      <c r="CH123" s="408">
        <f ca="1">IF(CB123="","",IF(CB123&gt;0,CC123,-1))</f>
        <v>-1</v>
      </c>
      <c r="CI123" s="408">
        <f ca="1">IF(CB123="","",IF(CB123&gt;0,CE123,-1))</f>
        <v>-1</v>
      </c>
      <c r="CJ123" s="409">
        <f ca="1">IF(CB123="","",IF(CB123&gt;0,CE123,-1))</f>
        <v>-1</v>
      </c>
      <c r="CK123" s="358"/>
      <c r="CL123" s="358"/>
      <c r="CM123" s="358"/>
      <c r="CN123" s="358"/>
      <c r="CO123" s="358"/>
      <c r="CP123" s="358"/>
      <c r="CQ123" s="358"/>
      <c r="CR123" s="358"/>
      <c r="CS123" s="358"/>
      <c r="CT123" s="358"/>
      <c r="CU123" s="358"/>
      <c r="CV123" s="358"/>
      <c r="CW123" s="358"/>
      <c r="CX123" s="358"/>
      <c r="CY123" s="358"/>
      <c r="CZ123" s="358"/>
      <c r="DA123" s="358"/>
      <c r="DB123" s="358"/>
      <c r="DC123" s="358"/>
      <c r="DD123" s="358"/>
      <c r="DE123" s="358"/>
      <c r="DF123" s="358"/>
      <c r="DG123" s="358"/>
      <c r="DH123" s="358"/>
      <c r="DI123" s="358"/>
      <c r="DJ123" s="358"/>
      <c r="DK123" s="358"/>
      <c r="DL123" s="358"/>
      <c r="DM123" s="358"/>
      <c r="DN123" s="358"/>
      <c r="DO123" s="358"/>
      <c r="DP123" s="358"/>
      <c r="DQ123" s="358"/>
      <c r="DR123" s="358"/>
      <c r="DS123" s="358"/>
      <c r="DT123" s="358"/>
      <c r="DU123" s="358"/>
      <c r="DV123" s="358"/>
      <c r="DW123" s="358"/>
      <c r="DX123" s="358"/>
      <c r="DY123" s="358"/>
      <c r="DZ123" s="358"/>
      <c r="EA123" s="358"/>
      <c r="EB123" s="358"/>
      <c r="EC123" s="358"/>
      <c r="ED123" s="358"/>
      <c r="EE123" s="358"/>
      <c r="EF123" s="358"/>
      <c r="EG123" s="358"/>
      <c r="EH123" s="358"/>
      <c r="EI123" s="358"/>
      <c r="EJ123" s="358"/>
      <c r="EK123" s="358"/>
      <c r="EL123" s="358"/>
      <c r="EM123" s="358"/>
      <c r="EN123" s="358"/>
      <c r="EO123" s="358"/>
      <c r="EP123" s="358"/>
      <c r="EQ123" s="358"/>
      <c r="ER123" s="358"/>
      <c r="ES123" s="358"/>
      <c r="ET123" s="358"/>
      <c r="EU123" s="358"/>
      <c r="EV123" s="358"/>
      <c r="EW123" s="358"/>
      <c r="EX123" s="358"/>
      <c r="EY123" s="358"/>
      <c r="EZ123" s="371"/>
    </row>
    <row r="124" spans="1:156" ht="11.15" customHeight="1" x14ac:dyDescent="0.25">
      <c r="A124" s="1827" t="s">
        <v>202</v>
      </c>
      <c r="B124" s="779">
        <f ca="1">IF($K$70&lt;&gt;"",$K$70,"")</f>
        <v>45804</v>
      </c>
      <c r="C124" s="780" t="str">
        <f ca="1">IF(OR($N$2="",$N$2=0),"",IF(INDIRECT(ADDRESS(($AK124),COLUMN()+19,,,"Digitar Dados dos Ensaios"))&lt;&gt;"",INDIRECT(ADDRESS(($AK124),COLUMN()+19,,,"Digitar Dados dos Ensaios")),""))</f>
        <v/>
      </c>
      <c r="D124" s="781">
        <f ca="1">IF(OR($N$2="",$N$2=0),"",IF(INDIRECT(ADDRESS(($AL124),COLUMN()+22,,,"Digitar Dados dos Ensaios"))&lt;&gt;"",INDIRECT(ADDRESS(($AL124),COLUMN()+22,,,"Digitar Dados dos Ensaios")),""))</f>
        <v>1</v>
      </c>
      <c r="E124" s="1826"/>
      <c r="F124" s="271"/>
      <c r="G124" s="271"/>
      <c r="H124" s="271"/>
      <c r="I124" s="271"/>
      <c r="J124" s="271"/>
      <c r="K124" s="271"/>
      <c r="L124" s="1248"/>
      <c r="AK124" s="357">
        <f>AK107</f>
        <v>7</v>
      </c>
      <c r="AL124" s="368">
        <f>AL123</f>
        <v>9</v>
      </c>
      <c r="AM124" s="358"/>
      <c r="AN124" s="358"/>
      <c r="AO124" s="358"/>
      <c r="AP124" s="358"/>
      <c r="AQ124" s="358"/>
      <c r="AR124" s="358"/>
      <c r="AS124" s="358"/>
      <c r="AT124" s="358"/>
      <c r="AU124" s="358"/>
      <c r="AV124" s="358"/>
      <c r="AW124" s="358"/>
      <c r="AX124" s="358"/>
      <c r="AY124" s="358"/>
      <c r="AZ124" s="358"/>
      <c r="BA124" s="358"/>
      <c r="BB124" s="358"/>
      <c r="BC124" s="358"/>
      <c r="BD124" s="403">
        <v>1.9</v>
      </c>
      <c r="BE124" s="404">
        <v>1.9</v>
      </c>
      <c r="BF124" s="404">
        <v>1.9</v>
      </c>
      <c r="BG124" s="401">
        <f t="shared" ca="1" si="66"/>
        <v>22697.550000000003</v>
      </c>
      <c r="BH124" s="401">
        <v>0</v>
      </c>
      <c r="BI124" s="401">
        <f t="shared" ca="1" si="67"/>
        <v>9597.6</v>
      </c>
      <c r="BJ124" s="405">
        <f ca="1">IF(BJ123&lt;&gt;"",BJ122^2,"")</f>
        <v>0.39690000000000003</v>
      </c>
      <c r="BK124" s="405">
        <f t="shared" ref="BK124:BQ124" ca="1" si="69">IF(BK123&lt;&gt;"",BK122^2,"")</f>
        <v>1.6129</v>
      </c>
      <c r="BL124" s="405">
        <f t="shared" ca="1" si="69"/>
        <v>3.61</v>
      </c>
      <c r="BM124" s="405">
        <f t="shared" ca="1" si="69"/>
        <v>6.4516</v>
      </c>
      <c r="BN124" s="405">
        <f t="shared" ca="1" si="69"/>
        <v>14.5161</v>
      </c>
      <c r="BO124" s="405">
        <f t="shared" ca="1" si="69"/>
        <v>25.8064</v>
      </c>
      <c r="BP124" s="405">
        <f t="shared" ca="1" si="69"/>
        <v>40.322499999999998</v>
      </c>
      <c r="BQ124" s="405">
        <f t="shared" ca="1" si="69"/>
        <v>58.064399999999999</v>
      </c>
      <c r="BR124" s="405">
        <f ca="1">IF(BJ124&lt;&gt;"",AVERAGE(BJ124:BQ124),"")</f>
        <v>18.8476</v>
      </c>
      <c r="BS124" s="406">
        <f ca="1">IF(ISERROR(BJ126*BJ127),"",BJ126*BJ127)</f>
        <v>190069.07883187503</v>
      </c>
      <c r="BT124" s="406">
        <f t="shared" ca="1" si="68"/>
        <v>127185.29983687501</v>
      </c>
      <c r="BU124" s="406">
        <f t="shared" ca="1" si="68"/>
        <v>54952.213995000013</v>
      </c>
      <c r="BV124" s="406">
        <f t="shared" ca="1" si="68"/>
        <v>19278.956475000006</v>
      </c>
      <c r="BW124" s="406">
        <f t="shared" ca="1" si="68"/>
        <v>-10864.457803124998</v>
      </c>
      <c r="BX124" s="406">
        <f t="shared" ca="1" si="68"/>
        <v>29573.116807499999</v>
      </c>
      <c r="BY124" s="406">
        <f t="shared" ca="1" si="68"/>
        <v>141543.07917187503</v>
      </c>
      <c r="BZ124" s="406">
        <f t="shared" ca="1" si="68"/>
        <v>372308.36737500009</v>
      </c>
      <c r="CA124" s="406">
        <f ca="1">IF(BS124&lt;&gt;"",SUM(BS124:BZ124),"")</f>
        <v>924045.65469000023</v>
      </c>
      <c r="CB124" s="408">
        <v>0</v>
      </c>
      <c r="CC124" s="408">
        <v>0.63</v>
      </c>
      <c r="CD124" s="408">
        <v>1.27</v>
      </c>
      <c r="CE124" s="408">
        <v>1.9</v>
      </c>
      <c r="CF124" s="408">
        <v>2.54</v>
      </c>
      <c r="CG124" s="408">
        <v>3.81</v>
      </c>
      <c r="CH124" s="408">
        <v>5.08</v>
      </c>
      <c r="CI124" s="408">
        <v>6.35</v>
      </c>
      <c r="CJ124" s="409">
        <v>7.62</v>
      </c>
      <c r="CK124" s="358"/>
      <c r="CL124" s="358"/>
      <c r="CM124" s="358"/>
      <c r="CN124" s="358"/>
      <c r="CO124" s="358"/>
      <c r="CP124" s="358"/>
      <c r="CQ124" s="358"/>
      <c r="CR124" s="358"/>
      <c r="CS124" s="358"/>
      <c r="CT124" s="358"/>
      <c r="CU124" s="358"/>
      <c r="CV124" s="358"/>
      <c r="CW124" s="358"/>
      <c r="CX124" s="358"/>
      <c r="CY124" s="358"/>
      <c r="CZ124" s="358"/>
      <c r="DA124" s="358"/>
      <c r="DB124" s="358"/>
      <c r="DC124" s="358"/>
      <c r="DD124" s="358"/>
      <c r="DE124" s="358"/>
      <c r="DF124" s="358"/>
      <c r="DG124" s="358"/>
      <c r="DH124" s="358"/>
      <c r="DI124" s="358"/>
      <c r="DJ124" s="358"/>
      <c r="DK124" s="358"/>
      <c r="DL124" s="358"/>
      <c r="DM124" s="358"/>
      <c r="DN124" s="358"/>
      <c r="DO124" s="358"/>
      <c r="DP124" s="358"/>
      <c r="DQ124" s="358"/>
      <c r="DR124" s="358"/>
      <c r="DS124" s="358"/>
      <c r="DT124" s="358"/>
      <c r="DU124" s="358"/>
      <c r="DV124" s="358"/>
      <c r="DW124" s="358"/>
      <c r="DX124" s="358"/>
      <c r="DY124" s="358"/>
      <c r="DZ124" s="358"/>
      <c r="EA124" s="358"/>
      <c r="EB124" s="358"/>
      <c r="EC124" s="358"/>
      <c r="ED124" s="358"/>
      <c r="EE124" s="358"/>
      <c r="EF124" s="358"/>
      <c r="EG124" s="358"/>
      <c r="EH124" s="358"/>
      <c r="EI124" s="358"/>
      <c r="EJ124" s="358"/>
      <c r="EK124" s="358"/>
      <c r="EL124" s="358"/>
      <c r="EM124" s="358"/>
      <c r="EN124" s="358"/>
      <c r="EO124" s="358"/>
      <c r="EP124" s="358"/>
      <c r="EQ124" s="358"/>
      <c r="ER124" s="358"/>
      <c r="ES124" s="358"/>
      <c r="ET124" s="358"/>
      <c r="EU124" s="358"/>
      <c r="EV124" s="358"/>
      <c r="EW124" s="358"/>
      <c r="EX124" s="358"/>
      <c r="EY124" s="358"/>
      <c r="EZ124" s="371"/>
    </row>
    <row r="125" spans="1:156" ht="11.15" customHeight="1" x14ac:dyDescent="0.25">
      <c r="A125" s="1827"/>
      <c r="B125" s="779">
        <f ca="1">IF(ISNUMBER(B124),B124+1,"")</f>
        <v>45805</v>
      </c>
      <c r="C125" s="780" t="str">
        <f ca="1">IF(OR($N$2="",$N$2=0),"",IF(INDIRECT(ADDRESS(($AK125),COLUMN()+20,,,"Digitar Dados dos Ensaios"))&lt;&gt;"",INDIRECT(ADDRESS(($AK125),COLUMN()+20,,,"Digitar Dados dos Ensaios")),""))</f>
        <v/>
      </c>
      <c r="D125" s="781">
        <f ca="1">IF(OR($N$2="",$N$2=0),"",IF(INDIRECT(ADDRESS(($AL125),COLUMN()+23,,,"Digitar Dados dos Ensaios"))&lt;&gt;"",INDIRECT(ADDRESS(($AL125),COLUMN()+23,,,"Digitar Dados dos Ensaios")),""))</f>
        <v>1</v>
      </c>
      <c r="E125" s="1826"/>
      <c r="F125" s="271"/>
      <c r="G125" s="271"/>
      <c r="H125" s="271"/>
      <c r="I125" s="271"/>
      <c r="J125" s="271"/>
      <c r="K125" s="271"/>
      <c r="L125" s="1248"/>
      <c r="AK125" s="357">
        <f>AK124</f>
        <v>7</v>
      </c>
      <c r="AL125" s="368">
        <f>AL124</f>
        <v>9</v>
      </c>
      <c r="AM125" s="358"/>
      <c r="AN125" s="358"/>
      <c r="AO125" s="358"/>
      <c r="AP125" s="358"/>
      <c r="AQ125" s="358"/>
      <c r="AR125" s="358"/>
      <c r="AS125" s="358"/>
      <c r="AT125" s="358"/>
      <c r="AU125" s="358"/>
      <c r="AV125" s="358"/>
      <c r="AW125" s="358"/>
      <c r="AX125" s="358"/>
      <c r="AY125" s="358"/>
      <c r="AZ125" s="358"/>
      <c r="BA125" s="358"/>
      <c r="BB125" s="358"/>
      <c r="BC125" s="358"/>
      <c r="BD125" s="403">
        <v>2.54</v>
      </c>
      <c r="BE125" s="404">
        <v>2.54</v>
      </c>
      <c r="BF125" s="404">
        <v>2.54</v>
      </c>
      <c r="BG125" s="401">
        <f t="shared" ca="1" si="66"/>
        <v>22697.550000000003</v>
      </c>
      <c r="BH125" s="401">
        <v>0</v>
      </c>
      <c r="BI125" s="401">
        <f t="shared" ca="1" si="67"/>
        <v>11648.7</v>
      </c>
      <c r="BJ125" s="410">
        <f ca="1">IF(ISNUMBER(BJ123),BJ122-BR122,"")</f>
        <v>-3.02</v>
      </c>
      <c r="BK125" s="410">
        <f ca="1">IF(ISNUMBER(BK123),BK122-BR122,"")</f>
        <v>-2.38</v>
      </c>
      <c r="BL125" s="410">
        <f ca="1">IF(ISNUMBER(BL123),BL122-BR122,"")</f>
        <v>-1.75</v>
      </c>
      <c r="BM125" s="410">
        <f ca="1">IF(ISNUMBER(BM123),BM122-BR122,"")</f>
        <v>-1.1099999999999999</v>
      </c>
      <c r="BN125" s="410">
        <f ca="1">IF(ISNUMBER(BN123),BN122-BR122,"")</f>
        <v>0.16000000000000014</v>
      </c>
      <c r="BO125" s="410">
        <f ca="1">IF(ISNUMBER(BO123),BO122-BR122,"")</f>
        <v>1.4300000000000002</v>
      </c>
      <c r="BP125" s="410">
        <f ca="1">IF(ISNUMBER(BP123),BP122-BR122,"")</f>
        <v>2.6999999999999997</v>
      </c>
      <c r="BQ125" s="410">
        <f ca="1">IF(ISNUMBER(BQ123),BQ122-BR122,"")</f>
        <v>3.97</v>
      </c>
      <c r="BR125" s="411">
        <f ca="1">IF(BJ125&lt;&gt;"",SUM(BJ125:BQ125),"")</f>
        <v>0</v>
      </c>
      <c r="BS125" s="406">
        <f ca="1">IF(ISERROR(BJ125*BJ127),"",BJ125*BJ127)</f>
        <v>55.721114000000007</v>
      </c>
      <c r="BT125" s="406">
        <f t="shared" ref="BT125:BZ125" ca="1" si="70">IF(ISERROR(BK125*BK127),"",BK125*BK127)</f>
        <v>41.018585999999999</v>
      </c>
      <c r="BU125" s="406">
        <f t="shared" ca="1" si="70"/>
        <v>26.665800000000001</v>
      </c>
      <c r="BV125" s="406">
        <f t="shared" ca="1" si="70"/>
        <v>13.759559999999999</v>
      </c>
      <c r="BW125" s="406">
        <f t="shared" ca="1" si="70"/>
        <v>-0.69304000000000066</v>
      </c>
      <c r="BX125" s="406">
        <f t="shared" ca="1" si="70"/>
        <v>9.9510840000000016</v>
      </c>
      <c r="BY125" s="406">
        <f t="shared" ca="1" si="70"/>
        <v>57.982229999999987</v>
      </c>
      <c r="BZ125" s="406">
        <f t="shared" ca="1" si="70"/>
        <v>155.690696</v>
      </c>
      <c r="CA125" s="412">
        <f ca="1">IF(BS125&lt;&gt;"",SUM(BS125:BZ125),"")</f>
        <v>360.09603000000004</v>
      </c>
      <c r="CB125" s="408">
        <f ca="1">IF(CB123="","",IF(CB123&gt;0,(BV126*CB124)+BV127,-1))</f>
        <v>-1</v>
      </c>
      <c r="CC125" s="408">
        <f ca="1">IF(CB123="","",IF(CB123&gt;0,(BV126*CC124)+BV127,-1))</f>
        <v>-1</v>
      </c>
      <c r="CD125" s="408">
        <f ca="1">IF(CB123="","",IF(CB123&gt;0,(BV126*CD124)+BV127,-1))</f>
        <v>-1</v>
      </c>
      <c r="CE125" s="408">
        <f ca="1">IF(CB123="","",IF(CB123&gt;0,(BV126*CE124)+BV127,-1))</f>
        <v>-1</v>
      </c>
      <c r="CF125" s="408">
        <f ca="1">IF(CB123="","",IF(CB123&gt;0,(BV126*CF124)+BV127,-1))</f>
        <v>-1</v>
      </c>
      <c r="CG125" s="408">
        <f ca="1">IF(CB123="","",IF(CB123&gt;0,(BV126*CG124)+BV127,-1))</f>
        <v>-1</v>
      </c>
      <c r="CH125" s="408">
        <f ca="1">IF(CB123="","",IF(CB123&gt;0,(BV126*CH124)+BV127,-1))</f>
        <v>-1</v>
      </c>
      <c r="CI125" s="408">
        <f ca="1">IF(CB123="","",IF(CB123&gt;0,(BV126*CI124)+BV127,-1))</f>
        <v>-1</v>
      </c>
      <c r="CJ125" s="409">
        <f ca="1">IF(CB123="","",IF(CB123&gt;0,(BV126*CJ124)+BV127,-1))</f>
        <v>-1</v>
      </c>
      <c r="CK125" s="358"/>
      <c r="CL125" s="358"/>
      <c r="CM125" s="358"/>
      <c r="CN125" s="358"/>
      <c r="CO125" s="358"/>
      <c r="CP125" s="358"/>
      <c r="CQ125" s="358"/>
      <c r="CR125" s="358"/>
      <c r="CS125" s="358"/>
      <c r="CT125" s="358"/>
      <c r="CU125" s="358"/>
      <c r="CV125" s="358"/>
      <c r="CW125" s="358"/>
      <c r="CX125" s="358"/>
      <c r="CY125" s="358"/>
      <c r="CZ125" s="358"/>
      <c r="DA125" s="358"/>
      <c r="DB125" s="358"/>
      <c r="DC125" s="358"/>
      <c r="DD125" s="358"/>
      <c r="DE125" s="358"/>
      <c r="DF125" s="358"/>
      <c r="DG125" s="358"/>
      <c r="DH125" s="358"/>
      <c r="DI125" s="358"/>
      <c r="DJ125" s="358"/>
      <c r="DK125" s="358"/>
      <c r="DL125" s="358"/>
      <c r="DM125" s="358"/>
      <c r="DN125" s="358"/>
      <c r="DO125" s="358"/>
      <c r="DP125" s="358"/>
      <c r="DQ125" s="358"/>
      <c r="DR125" s="358"/>
      <c r="DS125" s="358"/>
      <c r="DT125" s="358"/>
      <c r="DU125" s="358"/>
      <c r="DV125" s="358"/>
      <c r="DW125" s="358"/>
      <c r="DX125" s="358"/>
      <c r="DY125" s="358"/>
      <c r="DZ125" s="358"/>
      <c r="EA125" s="358"/>
      <c r="EB125" s="358"/>
      <c r="EC125" s="358"/>
      <c r="ED125" s="358"/>
      <c r="EE125" s="358"/>
      <c r="EF125" s="358"/>
      <c r="EG125" s="358"/>
      <c r="EH125" s="358"/>
      <c r="EI125" s="358"/>
      <c r="EJ125" s="358"/>
      <c r="EK125" s="358"/>
      <c r="EL125" s="358"/>
      <c r="EM125" s="358"/>
      <c r="EN125" s="358"/>
      <c r="EO125" s="358"/>
      <c r="EP125" s="358"/>
      <c r="EQ125" s="358"/>
      <c r="ER125" s="358"/>
      <c r="ES125" s="358"/>
      <c r="ET125" s="358"/>
      <c r="EU125" s="358"/>
      <c r="EV125" s="358"/>
      <c r="EW125" s="358"/>
      <c r="EX125" s="358"/>
      <c r="EY125" s="358"/>
      <c r="EZ125" s="371"/>
    </row>
    <row r="126" spans="1:156" ht="11.15" customHeight="1" x14ac:dyDescent="0.25">
      <c r="A126" s="1827"/>
      <c r="B126" s="779">
        <f ca="1">IF(ISNUMBER(B125),B125+1,"")</f>
        <v>45806</v>
      </c>
      <c r="C126" s="780" t="str">
        <f ca="1">IF(OR($N$2="",$N$2=0),"",IF(INDIRECT(ADDRESS(($AK126),COLUMN()+21,,,"Digitar Dados dos Ensaios"))&lt;&gt;"",INDIRECT(ADDRESS(($AK126),COLUMN()+21,,,"Digitar Dados dos Ensaios")),""))</f>
        <v/>
      </c>
      <c r="D126" s="781">
        <f ca="1">IF(OR($N$2="",$N$2=0),"",IF(INDIRECT(ADDRESS(($AL126),COLUMN()+24,,,"Digitar Dados dos Ensaios"))&lt;&gt;"",INDIRECT(ADDRESS(($AL126),COLUMN()+24,,,"Digitar Dados dos Ensaios")),""))</f>
        <v>1</v>
      </c>
      <c r="E126" s="1826"/>
      <c r="F126" s="271"/>
      <c r="G126" s="271"/>
      <c r="H126" s="271"/>
      <c r="I126" s="271"/>
      <c r="J126" s="271"/>
      <c r="K126" s="271"/>
      <c r="L126" s="1248"/>
      <c r="AK126" s="357">
        <f>AK125</f>
        <v>7</v>
      </c>
      <c r="AL126" s="368">
        <f>AL125</f>
        <v>9</v>
      </c>
      <c r="AM126" s="358"/>
      <c r="AN126" s="358"/>
      <c r="AO126" s="358"/>
      <c r="AP126" s="358"/>
      <c r="AQ126" s="358"/>
      <c r="AR126" s="358"/>
      <c r="AS126" s="358"/>
      <c r="AT126" s="358"/>
      <c r="AU126" s="358"/>
      <c r="AV126" s="358"/>
      <c r="AW126" s="358"/>
      <c r="AX126" s="358"/>
      <c r="AY126" s="358"/>
      <c r="AZ126" s="358"/>
      <c r="BA126" s="358"/>
      <c r="BB126" s="358"/>
      <c r="BC126" s="358"/>
      <c r="BD126" s="403">
        <v>3.81</v>
      </c>
      <c r="BE126" s="404">
        <v>3.81</v>
      </c>
      <c r="BF126" s="404">
        <v>3.81</v>
      </c>
      <c r="BG126" s="401">
        <f t="shared" ca="1" si="66"/>
        <v>22697.550000000003</v>
      </c>
      <c r="BH126" s="401">
        <v>0</v>
      </c>
      <c r="BI126" s="401">
        <f t="shared" ca="1" si="67"/>
        <v>15712.2</v>
      </c>
      <c r="BJ126" s="410">
        <f ca="1">IF(ISNUMBER(BJ123),BJ123-BR123,"")</f>
        <v>-10301.456250000001</v>
      </c>
      <c r="BK126" s="410">
        <f ca="1">IF(ISNUMBER(BK123),BK123-BR123,"")</f>
        <v>-7379.6062500000007</v>
      </c>
      <c r="BL126" s="410">
        <f ca="1">IF(ISNUMBER(BL123),BL123-BR123,"")</f>
        <v>-3606.3562500000007</v>
      </c>
      <c r="BM126" s="410">
        <f ca="1">IF(ISNUMBER(BM123),BM123-BR123,"")</f>
        <v>-1555.2562500000004</v>
      </c>
      <c r="BN126" s="410">
        <f ca="1">IF(ISNUMBER(BN123),BN123-BR123,"")</f>
        <v>2508.2437499999996</v>
      </c>
      <c r="BO126" s="410">
        <f ca="1">IF(ISNUMBER(BO123),BO123-BR123,"")</f>
        <v>4249.7437499999996</v>
      </c>
      <c r="BP126" s="410">
        <f ca="1">IF(ISNUMBER(BP123),BP123-BR123,"")</f>
        <v>6591.0937500000018</v>
      </c>
      <c r="BQ126" s="410">
        <f ca="1">IF(ISNUMBER(BQ123),BQ123-BR123,"")</f>
        <v>9493.5937500000018</v>
      </c>
      <c r="BR126" s="411">
        <f ca="1">IF(BJ126&lt;&gt;"",SUM(BJ126:BQ126),"")</f>
        <v>0</v>
      </c>
      <c r="BS126" s="413" t="s">
        <v>115</v>
      </c>
      <c r="BT126" s="414">
        <f ca="1">IF(BR128&lt;&gt;"",(CA123*CA125-CA124*BR128)/(CA125^2-CA122*BR128),"")</f>
        <v>-274.26046357873167</v>
      </c>
      <c r="BU126" s="413" t="s">
        <v>116</v>
      </c>
      <c r="BV126" s="405">
        <f ca="1">IF(BX126&lt;&gt;"",SLOPE(BX126:BX127,BW126:BW127),"")</f>
        <v>2829.3990731774948</v>
      </c>
      <c r="BW126" s="405">
        <v>2.54</v>
      </c>
      <c r="BX126" s="405">
        <f ca="1">IF(BT126&lt;&gt;"",BT126*BW126^2+BT127*BW126+BT128,"")</f>
        <v>11143.306132253314</v>
      </c>
      <c r="BY126" s="405">
        <v>2.54</v>
      </c>
      <c r="BZ126" s="405">
        <v>5.08</v>
      </c>
      <c r="CA126" s="406"/>
      <c r="CB126" s="408">
        <f ca="1">IF(CB123="","",IF(CB123&gt;0,CE122,-1))</f>
        <v>-1</v>
      </c>
      <c r="CC126" s="408">
        <f ca="1">IF(CB123="","",IF(CB123&gt;0,CE122,-1))</f>
        <v>-1</v>
      </c>
      <c r="CD126" s="408">
        <f ca="1">IF(CB123="","",IF(CB123&gt;0,CH125,-1))</f>
        <v>-1</v>
      </c>
      <c r="CE126" s="408">
        <f ca="1">IF(CB123="","",IF(CB123&gt;0,CH125,-1))</f>
        <v>-1</v>
      </c>
      <c r="CF126" s="408">
        <f ca="1">IF(CB123="","",IF(CB123&gt;0,CF122,-1))</f>
        <v>-1</v>
      </c>
      <c r="CG126" s="408">
        <f ca="1">IF(CB123="","",IF(CB123&gt;0,CF122,-1))</f>
        <v>-1</v>
      </c>
      <c r="CH126" s="408">
        <f ca="1">IF(CB123="","",IF(CB123&gt;0,CF122,-1))</f>
        <v>-1</v>
      </c>
      <c r="CI126" s="408">
        <f ca="1">IF(CB123="","",IF(CB123&gt;0,CF122,-1))</f>
        <v>-1</v>
      </c>
      <c r="CJ126" s="409"/>
      <c r="CK126" s="358"/>
      <c r="CL126" s="358"/>
      <c r="CM126" s="358"/>
      <c r="CN126" s="358"/>
      <c r="CO126" s="358"/>
      <c r="CP126" s="358"/>
      <c r="CQ126" s="358"/>
      <c r="CR126" s="358"/>
      <c r="CS126" s="358"/>
      <c r="CT126" s="358"/>
      <c r="CU126" s="358"/>
      <c r="CV126" s="358"/>
      <c r="CW126" s="358"/>
      <c r="CX126" s="358"/>
      <c r="CY126" s="358"/>
      <c r="CZ126" s="358"/>
      <c r="DA126" s="358"/>
      <c r="DB126" s="358"/>
      <c r="DC126" s="358"/>
      <c r="DD126" s="358"/>
      <c r="DE126" s="358"/>
      <c r="DF126" s="358"/>
      <c r="DG126" s="358"/>
      <c r="DH126" s="358"/>
      <c r="DI126" s="358"/>
      <c r="DJ126" s="358"/>
      <c r="DK126" s="358"/>
      <c r="DL126" s="358"/>
      <c r="DM126" s="358"/>
      <c r="DN126" s="358"/>
      <c r="DO126" s="358"/>
      <c r="DP126" s="358"/>
      <c r="DQ126" s="358"/>
      <c r="DR126" s="358"/>
      <c r="DS126" s="358"/>
      <c r="DT126" s="358"/>
      <c r="DU126" s="358"/>
      <c r="DV126" s="358"/>
      <c r="DW126" s="358"/>
      <c r="DX126" s="358"/>
      <c r="DY126" s="358"/>
      <c r="DZ126" s="358"/>
      <c r="EA126" s="358"/>
      <c r="EB126" s="358"/>
      <c r="EC126" s="358"/>
      <c r="ED126" s="358"/>
      <c r="EE126" s="358"/>
      <c r="EF126" s="358"/>
      <c r="EG126" s="358"/>
      <c r="EH126" s="358"/>
      <c r="EI126" s="358"/>
      <c r="EJ126" s="358"/>
      <c r="EK126" s="358"/>
      <c r="EL126" s="358"/>
      <c r="EM126" s="358"/>
      <c r="EN126" s="358"/>
      <c r="EO126" s="358"/>
      <c r="EP126" s="358"/>
      <c r="EQ126" s="358"/>
      <c r="ER126" s="358"/>
      <c r="ES126" s="358"/>
      <c r="ET126" s="358"/>
      <c r="EU126" s="358"/>
      <c r="EV126" s="358"/>
      <c r="EW126" s="358"/>
      <c r="EX126" s="358"/>
      <c r="EY126" s="358"/>
      <c r="EZ126" s="371"/>
    </row>
    <row r="127" spans="1:156" ht="11.15" customHeight="1" x14ac:dyDescent="0.25">
      <c r="A127" s="1827"/>
      <c r="B127" s="779">
        <f ca="1">IF(ISNUMBER(B126),B126+1,"")</f>
        <v>45807</v>
      </c>
      <c r="C127" s="780" t="str">
        <f ca="1">IF(OR($N$2="",$N$2=0),"",IF(INDIRECT(ADDRESS(($AK127),COLUMN()+22,,,"Digitar Dados dos Ensaios"))&lt;&gt;"",INDIRECT(ADDRESS(($AK127),COLUMN()+22,,,"Digitar Dados dos Ensaios")),""))</f>
        <v/>
      </c>
      <c r="D127" s="781">
        <f ca="1">IF(OR($N$2="",$N$2=0),"",IF(INDIRECT(ADDRESS(($AL127),COLUMN()+25,,,"Digitar Dados dos Ensaios"))&lt;&gt;"",INDIRECT(ADDRESS(($AL127),COLUMN()+25,,,"Digitar Dados dos Ensaios")),""))</f>
        <v>1.05</v>
      </c>
      <c r="E127" s="1826"/>
      <c r="F127" s="271"/>
      <c r="G127" s="271"/>
      <c r="H127" s="271"/>
      <c r="I127" s="271"/>
      <c r="J127" s="271"/>
      <c r="K127" s="271"/>
      <c r="L127" s="1248"/>
      <c r="AK127" s="357">
        <f>AK126</f>
        <v>7</v>
      </c>
      <c r="AL127" s="368">
        <f>AL126</f>
        <v>9</v>
      </c>
      <c r="AM127" s="358"/>
      <c r="AN127" s="358"/>
      <c r="AO127" s="358"/>
      <c r="AP127" s="358"/>
      <c r="AQ127" s="358"/>
      <c r="AR127" s="358"/>
      <c r="AS127" s="358"/>
      <c r="AT127" s="358"/>
      <c r="AU127" s="358"/>
      <c r="AV127" s="358"/>
      <c r="AW127" s="358"/>
      <c r="AX127" s="358"/>
      <c r="AY127" s="358"/>
      <c r="AZ127" s="358"/>
      <c r="BA127" s="358"/>
      <c r="BB127" s="358"/>
      <c r="BC127" s="358"/>
      <c r="BD127" s="403">
        <v>5.08</v>
      </c>
      <c r="BE127" s="404">
        <v>5.08</v>
      </c>
      <c r="BF127" s="404">
        <v>5.08</v>
      </c>
      <c r="BG127" s="401">
        <f t="shared" ca="1" si="66"/>
        <v>22697.550000000003</v>
      </c>
      <c r="BH127" s="401">
        <v>0</v>
      </c>
      <c r="BI127" s="401">
        <f t="shared" ca="1" si="67"/>
        <v>17453.7</v>
      </c>
      <c r="BJ127" s="410">
        <f ca="1">IF(ISNUMBER(BJ124),BJ124-BR124,"")</f>
        <v>-18.450700000000001</v>
      </c>
      <c r="BK127" s="410">
        <f ca="1">IF(ISNUMBER(BK124),BK124-BR124,"")</f>
        <v>-17.2347</v>
      </c>
      <c r="BL127" s="410">
        <f ca="1">IF(ISNUMBER(BL124),BL124-BR124,"")</f>
        <v>-15.2376</v>
      </c>
      <c r="BM127" s="410">
        <f ca="1">IF(ISNUMBER(BM124),BM124-BR124,"")</f>
        <v>-12.396000000000001</v>
      </c>
      <c r="BN127" s="410">
        <f ca="1">IF(ISNUMBER(BN124),BN124-BR124,"")</f>
        <v>-4.3315000000000001</v>
      </c>
      <c r="BO127" s="410">
        <f ca="1">IF(ISNUMBER(BO124),BO124-BR124,"")</f>
        <v>6.9588000000000001</v>
      </c>
      <c r="BP127" s="410">
        <f ca="1">IF(ISNUMBER(BP124),BP124-BR124,"")</f>
        <v>21.474899999999998</v>
      </c>
      <c r="BQ127" s="410">
        <f ca="1">IF(ISNUMBER(BQ124),BQ124-BR124,"")</f>
        <v>39.216799999999999</v>
      </c>
      <c r="BR127" s="411">
        <f ca="1">IF(BJ127&lt;&gt;"",SUM(BJ127:BQ127),"")</f>
        <v>0</v>
      </c>
      <c r="BS127" s="710" t="s">
        <v>128</v>
      </c>
      <c r="BT127" s="415">
        <f ca="1">IF(BT126&lt;&gt;"",(CA124-BT126*CA122)/CA125,"")</f>
        <v>4919.2638056474298</v>
      </c>
      <c r="BU127" s="710" t="s">
        <v>128</v>
      </c>
      <c r="BV127" s="415">
        <f ca="1">IF(BX126&lt;&gt;"",INTERCEPT(BX126:BX127,BW126:BW127),"")</f>
        <v>3956.6324863824775</v>
      </c>
      <c r="BW127" s="405">
        <v>5.08</v>
      </c>
      <c r="BX127" s="405">
        <f ca="1">IF(BT126&lt;&gt;"",BT126*BW127^2+BT127*BW127+BT128,"")</f>
        <v>18329.97977812415</v>
      </c>
      <c r="BY127" s="416" t="str">
        <f ca="1">IF(CB123="","",IF(CB123&gt;0,CE122,""))</f>
        <v/>
      </c>
      <c r="BZ127" s="416" t="str">
        <f ca="1">IF(CB123="","",IF(CB123&gt;0,CF122,""))</f>
        <v/>
      </c>
      <c r="CA127" s="359"/>
      <c r="CB127" s="407">
        <v>0</v>
      </c>
      <c r="CC127" s="407">
        <f ca="1">IF(CB123="","",IF(CB123&gt;0,CH123,-1))</f>
        <v>-1</v>
      </c>
      <c r="CD127" s="407">
        <f ca="1">IF(CB123="","",IF(CB123&gt;0,CH124,-1))</f>
        <v>-1</v>
      </c>
      <c r="CE127" s="407">
        <f ca="1">IF(CB123="","",IF(CB123&gt;0,CD123,-1))</f>
        <v>-1</v>
      </c>
      <c r="CF127" s="407">
        <f ca="1">IF(CB123="","",IF(CB123&gt;0,CD123,-1))</f>
        <v>-1</v>
      </c>
      <c r="CG127" s="407">
        <f ca="1">IF(CB123="","",IF(CB123&gt;0,CD123,-1))</f>
        <v>-1</v>
      </c>
      <c r="CH127" s="407">
        <v>0</v>
      </c>
      <c r="CI127" s="407">
        <f ca="1">IF(CB123="","",IF(CB123&gt;0,CD123,-1))</f>
        <v>-1</v>
      </c>
      <c r="CJ127" s="417"/>
      <c r="CK127" s="358"/>
      <c r="CL127" s="358"/>
      <c r="CM127" s="358"/>
      <c r="CN127" s="358"/>
      <c r="CO127" s="358"/>
      <c r="CP127" s="358"/>
      <c r="CQ127" s="358"/>
      <c r="CR127" s="358"/>
      <c r="CS127" s="358"/>
      <c r="CT127" s="358"/>
      <c r="CU127" s="358"/>
      <c r="CV127" s="358"/>
      <c r="CW127" s="358"/>
      <c r="CX127" s="358"/>
      <c r="CY127" s="358"/>
      <c r="CZ127" s="358"/>
      <c r="DA127" s="358"/>
      <c r="DB127" s="358"/>
      <c r="DC127" s="358"/>
      <c r="DD127" s="358"/>
      <c r="DE127" s="358"/>
      <c r="DF127" s="358"/>
      <c r="DG127" s="358"/>
      <c r="DH127" s="358"/>
      <c r="DI127" s="358"/>
      <c r="DJ127" s="358"/>
      <c r="DK127" s="358"/>
      <c r="DL127" s="358"/>
      <c r="DM127" s="358"/>
      <c r="DN127" s="358"/>
      <c r="DO127" s="358"/>
      <c r="DP127" s="358"/>
      <c r="DQ127" s="358"/>
      <c r="DR127" s="358"/>
      <c r="DS127" s="358"/>
      <c r="DT127" s="358"/>
      <c r="DU127" s="358"/>
      <c r="DV127" s="358"/>
      <c r="DW127" s="358"/>
      <c r="DX127" s="358"/>
      <c r="DY127" s="358"/>
      <c r="DZ127" s="358"/>
      <c r="EA127" s="358"/>
      <c r="EB127" s="358"/>
      <c r="EC127" s="358"/>
      <c r="ED127" s="358"/>
      <c r="EE127" s="358"/>
      <c r="EF127" s="358"/>
      <c r="EG127" s="358"/>
      <c r="EH127" s="358"/>
      <c r="EI127" s="358"/>
      <c r="EJ127" s="358"/>
      <c r="EK127" s="358"/>
      <c r="EL127" s="358"/>
      <c r="EM127" s="358"/>
      <c r="EN127" s="358"/>
      <c r="EO127" s="358"/>
      <c r="EP127" s="358"/>
      <c r="EQ127" s="358"/>
      <c r="ER127" s="358"/>
      <c r="ES127" s="358"/>
      <c r="ET127" s="358"/>
      <c r="EU127" s="358"/>
      <c r="EV127" s="358"/>
      <c r="EW127" s="358"/>
      <c r="EX127" s="358"/>
      <c r="EY127" s="358"/>
      <c r="EZ127" s="371"/>
    </row>
    <row r="128" spans="1:156" ht="11.15" customHeight="1" x14ac:dyDescent="0.25">
      <c r="A128" s="1827"/>
      <c r="B128" s="1828" t="s">
        <v>203</v>
      </c>
      <c r="C128" s="1829"/>
      <c r="D128" s="782">
        <f ca="1">IF(ISNUMBER(D124),MAX(D124:D127)-MIN(D124:D127),"")</f>
        <v>5.0000000000000044E-2</v>
      </c>
      <c r="E128" s="1830">
        <f ca="1">IF(ISNUMBER(C122),D128/D129*10,"")</f>
        <v>4.374453193350835E-2</v>
      </c>
      <c r="F128" s="271"/>
      <c r="G128" s="271"/>
      <c r="H128" s="271"/>
      <c r="I128" s="271"/>
      <c r="J128" s="271"/>
      <c r="K128" s="271"/>
      <c r="L128" s="1248"/>
      <c r="AK128" s="357"/>
      <c r="AL128" s="368"/>
      <c r="AM128" s="358"/>
      <c r="AN128" s="358"/>
      <c r="AO128" s="358"/>
      <c r="AP128" s="358"/>
      <c r="AQ128" s="358"/>
      <c r="AR128" s="358"/>
      <c r="AS128" s="358"/>
      <c r="AT128" s="358"/>
      <c r="AU128" s="358"/>
      <c r="AV128" s="358"/>
      <c r="AW128" s="358"/>
      <c r="AX128" s="358"/>
      <c r="AY128" s="358"/>
      <c r="AZ128" s="358"/>
      <c r="BA128" s="358"/>
      <c r="BB128" s="358"/>
      <c r="BC128" s="358"/>
      <c r="BD128" s="403">
        <v>6.35</v>
      </c>
      <c r="BE128" s="404">
        <v>6.35</v>
      </c>
      <c r="BF128" s="404">
        <v>6.35</v>
      </c>
      <c r="BG128" s="401">
        <f t="shared" ca="1" si="66"/>
        <v>22697.550000000003</v>
      </c>
      <c r="BH128" s="401">
        <v>0</v>
      </c>
      <c r="BI128" s="401">
        <f t="shared" ca="1" si="67"/>
        <v>19795.050000000003</v>
      </c>
      <c r="BJ128" s="405">
        <f ca="1">IF(ISNUMBER(BJ125),BJ125^2,"")</f>
        <v>9.1204000000000001</v>
      </c>
      <c r="BK128" s="405">
        <f t="shared" ref="BK128:BQ128" ca="1" si="71">IF(ISNUMBER(BK125),BK125^2,"")</f>
        <v>5.6643999999999997</v>
      </c>
      <c r="BL128" s="405">
        <f t="shared" ca="1" si="71"/>
        <v>3.0625</v>
      </c>
      <c r="BM128" s="405">
        <f t="shared" ca="1" si="71"/>
        <v>1.2320999999999998</v>
      </c>
      <c r="BN128" s="405">
        <f t="shared" ca="1" si="71"/>
        <v>2.5600000000000046E-2</v>
      </c>
      <c r="BO128" s="405">
        <f t="shared" ca="1" si="71"/>
        <v>2.0449000000000006</v>
      </c>
      <c r="BP128" s="405">
        <f t="shared" ca="1" si="71"/>
        <v>7.2899999999999983</v>
      </c>
      <c r="BQ128" s="405">
        <f t="shared" ca="1" si="71"/>
        <v>15.760900000000001</v>
      </c>
      <c r="BR128" s="411">
        <f ca="1">IF(BJ128&lt;&gt;"",SUM(BJ128:BQ128),"")</f>
        <v>44.200800000000001</v>
      </c>
      <c r="BS128" s="710" t="s">
        <v>138</v>
      </c>
      <c r="BT128" s="414">
        <f ca="1">IF(BT126&lt;&gt;"",BR123-BT127*BR122-BT126*BR124,"")</f>
        <v>417.79487273338691</v>
      </c>
      <c r="BU128" s="710"/>
      <c r="BV128" s="359"/>
      <c r="BW128" s="359"/>
      <c r="BX128" s="359"/>
      <c r="BY128" s="361" t="str">
        <f ca="1">IF(CB123="","",IF(CB123&gt;0,BY127/70.31,""))</f>
        <v/>
      </c>
      <c r="BZ128" s="361" t="str">
        <f ca="1">IF(CB123="","",IF(CB123&gt;0,BZ127/105.46,""))</f>
        <v/>
      </c>
      <c r="CA128" s="359"/>
      <c r="CB128" s="710">
        <v>2.54</v>
      </c>
      <c r="CC128" s="361">
        <f ca="1">IF(BM123&lt;&gt;"",BM123/70.31,"")</f>
        <v>165.67629071255868</v>
      </c>
      <c r="CD128" s="405">
        <v>5.08</v>
      </c>
      <c r="CE128" s="361">
        <f ca="1">IF(BO123&lt;&gt;"",BO123/105.46,"")</f>
        <v>165.50066375877111</v>
      </c>
      <c r="CF128" s="416">
        <f ca="1">IF(CH128&lt;&gt;"",MAX(CH128,CJ128),"")</f>
        <v>16567.629071255869</v>
      </c>
      <c r="CG128" s="364">
        <v>2.54</v>
      </c>
      <c r="CH128" s="402">
        <f ca="1">IF(BM123&lt;&gt;"",MAX(BY128,CC128)*100,"")</f>
        <v>16567.629071255869</v>
      </c>
      <c r="CI128" s="364">
        <v>5.08</v>
      </c>
      <c r="CJ128" s="419">
        <f ca="1">IF(BO123&lt;&gt;"",MAX(BZ128,CE128)*100,"")</f>
        <v>16550.066375877112</v>
      </c>
      <c r="CK128" s="358"/>
      <c r="CL128" s="358"/>
      <c r="CM128" s="358"/>
      <c r="CN128" s="358"/>
      <c r="CO128" s="358"/>
      <c r="CP128" s="358"/>
      <c r="CQ128" s="358"/>
      <c r="CR128" s="358"/>
      <c r="CS128" s="358"/>
      <c r="CT128" s="358"/>
      <c r="CU128" s="358"/>
      <c r="CV128" s="358"/>
      <c r="CW128" s="358"/>
      <c r="CX128" s="358"/>
      <c r="CY128" s="358"/>
      <c r="CZ128" s="358"/>
      <c r="DA128" s="358"/>
      <c r="DB128" s="358"/>
      <c r="DC128" s="358"/>
      <c r="DD128" s="358"/>
      <c r="DE128" s="358"/>
      <c r="DF128" s="358"/>
      <c r="DG128" s="358"/>
      <c r="DH128" s="358"/>
      <c r="DI128" s="358"/>
      <c r="DJ128" s="358"/>
      <c r="DK128" s="358"/>
      <c r="DL128" s="358"/>
      <c r="DM128" s="358"/>
      <c r="DN128" s="358"/>
      <c r="DO128" s="358"/>
      <c r="DP128" s="358"/>
      <c r="DQ128" s="358"/>
      <c r="DR128" s="358"/>
      <c r="DS128" s="358"/>
      <c r="DT128" s="358"/>
      <c r="DU128" s="358"/>
      <c r="DV128" s="358"/>
      <c r="DW128" s="358"/>
      <c r="DX128" s="358"/>
      <c r="DY128" s="358"/>
      <c r="DZ128" s="358"/>
      <c r="EA128" s="358"/>
      <c r="EB128" s="358"/>
      <c r="EC128" s="358"/>
      <c r="ED128" s="358"/>
      <c r="EE128" s="358"/>
      <c r="EF128" s="358"/>
      <c r="EG128" s="358"/>
      <c r="EH128" s="358"/>
      <c r="EI128" s="358"/>
      <c r="EJ128" s="358"/>
      <c r="EK128" s="358"/>
      <c r="EL128" s="358"/>
      <c r="EM128" s="358"/>
      <c r="EN128" s="358"/>
      <c r="EO128" s="358"/>
      <c r="EP128" s="358"/>
      <c r="EQ128" s="358"/>
      <c r="ER128" s="358"/>
      <c r="ES128" s="358"/>
      <c r="ET128" s="358"/>
      <c r="EU128" s="358"/>
      <c r="EV128" s="358"/>
      <c r="EW128" s="358"/>
      <c r="EX128" s="358"/>
      <c r="EY128" s="358"/>
      <c r="EZ128" s="371"/>
    </row>
    <row r="129" spans="1:156" ht="11.15" customHeight="1" x14ac:dyDescent="0.35">
      <c r="A129" s="1827"/>
      <c r="B129" s="1832" t="s">
        <v>204</v>
      </c>
      <c r="C129" s="1833"/>
      <c r="D129" s="782">
        <f ca="1">IF(C122&lt;&gt;"",LOOKUP(C122,Tara!$G$6:$G$185,Tara!$J$6:$J$185)/10,"")</f>
        <v>11.43</v>
      </c>
      <c r="E129" s="1831"/>
      <c r="F129" s="271"/>
      <c r="G129" s="271"/>
      <c r="H129" s="271"/>
      <c r="I129" s="271"/>
      <c r="J129" s="271"/>
      <c r="K129" s="271"/>
      <c r="L129" s="1248"/>
      <c r="AK129" s="357"/>
      <c r="AL129" s="358"/>
      <c r="AM129" s="358"/>
      <c r="AN129" s="358"/>
      <c r="AO129" s="358"/>
      <c r="AP129" s="358"/>
      <c r="AQ129" s="358"/>
      <c r="AR129" s="358"/>
      <c r="AS129" s="358"/>
      <c r="AT129" s="358"/>
      <c r="AU129" s="358"/>
      <c r="AV129" s="358"/>
      <c r="AW129" s="358"/>
      <c r="AX129" s="358"/>
      <c r="AY129" s="358"/>
      <c r="AZ129" s="358"/>
      <c r="BA129" s="358"/>
      <c r="BB129" s="358"/>
      <c r="BC129" s="358"/>
      <c r="BD129" s="403">
        <v>7.62</v>
      </c>
      <c r="BE129" s="404">
        <v>7.62</v>
      </c>
      <c r="BF129" s="404">
        <v>7.62</v>
      </c>
      <c r="BG129" s="401">
        <f t="shared" ca="1" si="66"/>
        <v>22697.550000000003</v>
      </c>
      <c r="BH129" s="401">
        <v>0</v>
      </c>
      <c r="BI129" s="401">
        <f t="shared" ca="1" si="67"/>
        <v>22697.550000000003</v>
      </c>
      <c r="BJ129" s="358"/>
      <c r="BK129" s="358"/>
      <c r="BL129" s="358"/>
      <c r="BM129" s="358"/>
      <c r="BN129" s="358"/>
      <c r="BO129" s="358"/>
      <c r="BP129" s="358"/>
      <c r="BQ129" s="358"/>
      <c r="BR129" s="358"/>
      <c r="BS129" s="358"/>
      <c r="BT129" s="358"/>
      <c r="BU129" s="358"/>
      <c r="BV129" s="358"/>
      <c r="BW129" s="358"/>
      <c r="BX129" s="358"/>
      <c r="BY129" s="358"/>
      <c r="BZ129" s="358"/>
      <c r="CA129" s="358"/>
      <c r="CB129" s="358"/>
      <c r="CC129" s="358"/>
      <c r="CD129" s="358"/>
      <c r="CE129" s="358"/>
      <c r="CF129" s="358"/>
      <c r="CG129" s="395">
        <v>0.63</v>
      </c>
      <c r="CH129" s="395">
        <v>0.63</v>
      </c>
      <c r="CI129" s="396">
        <v>0</v>
      </c>
      <c r="CJ129" s="420">
        <f ca="1">IF(BI122&lt;&gt;"",MAX(BI122:BI129),"")</f>
        <v>22697.550000000003</v>
      </c>
      <c r="CK129" s="358"/>
      <c r="CL129" s="358"/>
      <c r="CM129" s="358"/>
      <c r="CN129" s="358"/>
      <c r="CO129" s="358"/>
      <c r="CP129" s="358"/>
      <c r="CQ129" s="358"/>
      <c r="CR129" s="358"/>
      <c r="CS129" s="358"/>
      <c r="CT129" s="358"/>
      <c r="CU129" s="358"/>
      <c r="CV129" s="358"/>
      <c r="CW129" s="358"/>
      <c r="CX129" s="358"/>
      <c r="CY129" s="358"/>
      <c r="CZ129" s="358"/>
      <c r="DA129" s="358"/>
      <c r="DB129" s="358"/>
      <c r="DC129" s="358"/>
      <c r="DD129" s="358"/>
      <c r="DE129" s="358"/>
      <c r="DF129" s="358"/>
      <c r="DG129" s="358"/>
      <c r="DH129" s="358"/>
      <c r="DI129" s="358"/>
      <c r="DJ129" s="358"/>
      <c r="DK129" s="358"/>
      <c r="DL129" s="358"/>
      <c r="DM129" s="358"/>
      <c r="DN129" s="358"/>
      <c r="DO129" s="358"/>
      <c r="DP129" s="358"/>
      <c r="DQ129" s="358"/>
      <c r="DR129" s="358"/>
      <c r="DS129" s="358"/>
      <c r="DT129" s="358"/>
      <c r="DU129" s="358"/>
      <c r="DV129" s="358"/>
      <c r="DW129" s="358"/>
      <c r="DX129" s="358"/>
      <c r="DY129" s="358"/>
      <c r="DZ129" s="358"/>
      <c r="EA129" s="358"/>
      <c r="EB129" s="358"/>
      <c r="EC129" s="358"/>
      <c r="ED129" s="358"/>
      <c r="EE129" s="358"/>
      <c r="EF129" s="358"/>
      <c r="EG129" s="358"/>
      <c r="EH129" s="358"/>
      <c r="EI129" s="358"/>
      <c r="EJ129" s="358"/>
      <c r="EK129" s="358"/>
      <c r="EL129" s="358"/>
      <c r="EM129" s="358"/>
      <c r="EN129" s="358"/>
      <c r="EO129" s="358"/>
      <c r="EP129" s="358"/>
      <c r="EQ129" s="358"/>
      <c r="ER129" s="358"/>
      <c r="ES129" s="358"/>
      <c r="ET129" s="358"/>
      <c r="EU129" s="358"/>
      <c r="EV129" s="358"/>
      <c r="EW129" s="358"/>
      <c r="EX129" s="358"/>
      <c r="EY129" s="358"/>
      <c r="EZ129" s="371"/>
    </row>
    <row r="130" spans="1:156" ht="11.15" customHeight="1" x14ac:dyDescent="0.35">
      <c r="A130" s="1836" t="s">
        <v>205</v>
      </c>
      <c r="B130" s="1837" t="s">
        <v>206</v>
      </c>
      <c r="C130" s="1837" t="s">
        <v>17</v>
      </c>
      <c r="D130" s="1837" t="s">
        <v>207</v>
      </c>
      <c r="E130" s="1838" t="s">
        <v>90</v>
      </c>
      <c r="F130" s="271"/>
      <c r="G130" s="271"/>
      <c r="H130" s="271"/>
      <c r="I130" s="271"/>
      <c r="J130" s="271"/>
      <c r="K130" s="271"/>
      <c r="L130" s="1248"/>
      <c r="AK130" s="357"/>
      <c r="AL130" s="358"/>
      <c r="AM130" s="358"/>
      <c r="AN130" s="358"/>
      <c r="AO130" s="358"/>
      <c r="AP130" s="358"/>
      <c r="AQ130" s="358"/>
      <c r="AR130" s="358"/>
      <c r="AS130" s="358"/>
      <c r="AT130" s="358"/>
      <c r="AU130" s="358"/>
      <c r="AV130" s="358"/>
      <c r="AW130" s="358"/>
      <c r="AX130" s="358"/>
      <c r="AY130" s="358"/>
      <c r="AZ130" s="358"/>
      <c r="BA130" s="358"/>
      <c r="BB130" s="358"/>
      <c r="BC130" s="358"/>
      <c r="BD130" s="421"/>
      <c r="BE130" s="358"/>
      <c r="BF130" s="358"/>
      <c r="BG130" s="358"/>
      <c r="BH130" s="358"/>
      <c r="BI130" s="358"/>
      <c r="BJ130" s="358"/>
      <c r="BK130" s="358"/>
      <c r="BL130" s="358"/>
      <c r="BM130" s="358"/>
      <c r="BN130" s="358"/>
      <c r="BO130" s="358"/>
      <c r="BP130" s="358"/>
      <c r="BQ130" s="358"/>
      <c r="BR130" s="358"/>
      <c r="BS130" s="358"/>
      <c r="BT130" s="358"/>
      <c r="BU130" s="358"/>
      <c r="BV130" s="358"/>
      <c r="BW130" s="358"/>
      <c r="BX130" s="358"/>
      <c r="BY130" s="358"/>
      <c r="BZ130" s="358"/>
      <c r="CA130" s="358"/>
      <c r="CB130" s="358"/>
      <c r="CC130" s="358"/>
      <c r="CD130" s="358"/>
      <c r="CE130" s="358"/>
      <c r="CF130" s="358"/>
      <c r="CG130" s="404">
        <v>1.27</v>
      </c>
      <c r="CH130" s="404">
        <v>1.27</v>
      </c>
      <c r="CI130" s="401">
        <v>0</v>
      </c>
      <c r="CJ130" s="422">
        <f t="shared" ref="CJ130:CJ136" ca="1" si="72">IF(CJ129&lt;&gt;"",CJ129,"")</f>
        <v>22697.550000000003</v>
      </c>
      <c r="CK130" s="358"/>
      <c r="CL130" s="358"/>
      <c r="CM130" s="358"/>
      <c r="CN130" s="358"/>
      <c r="CO130" s="358"/>
      <c r="CP130" s="358"/>
      <c r="CQ130" s="358"/>
      <c r="CR130" s="358"/>
      <c r="CS130" s="358"/>
      <c r="CT130" s="358"/>
      <c r="CU130" s="358"/>
      <c r="CV130" s="358"/>
      <c r="CW130" s="358"/>
      <c r="CX130" s="358"/>
      <c r="CY130" s="358"/>
      <c r="CZ130" s="358"/>
      <c r="DA130" s="358"/>
      <c r="DB130" s="358"/>
      <c r="DC130" s="358"/>
      <c r="DD130" s="358"/>
      <c r="DE130" s="358"/>
      <c r="DF130" s="358"/>
      <c r="DG130" s="358"/>
      <c r="DH130" s="358"/>
      <c r="DI130" s="358"/>
      <c r="DJ130" s="358"/>
      <c r="DK130" s="358"/>
      <c r="DL130" s="358"/>
      <c r="DM130" s="358"/>
      <c r="DN130" s="358"/>
      <c r="DO130" s="358"/>
      <c r="DP130" s="358"/>
      <c r="DQ130" s="358"/>
      <c r="DR130" s="358"/>
      <c r="DS130" s="358"/>
      <c r="DT130" s="358"/>
      <c r="DU130" s="358"/>
      <c r="DV130" s="358"/>
      <c r="DW130" s="358"/>
      <c r="DX130" s="358"/>
      <c r="DY130" s="358"/>
      <c r="DZ130" s="358"/>
      <c r="EA130" s="358"/>
      <c r="EB130" s="358"/>
      <c r="EC130" s="358"/>
      <c r="ED130" s="358"/>
      <c r="EE130" s="358"/>
      <c r="EF130" s="358"/>
      <c r="EG130" s="358"/>
      <c r="EH130" s="358"/>
      <c r="EI130" s="358"/>
      <c r="EJ130" s="358"/>
      <c r="EK130" s="358"/>
      <c r="EL130" s="358"/>
      <c r="EM130" s="358"/>
      <c r="EN130" s="358"/>
      <c r="EO130" s="358"/>
      <c r="EP130" s="358"/>
      <c r="EQ130" s="358"/>
      <c r="ER130" s="358"/>
      <c r="ES130" s="358"/>
      <c r="ET130" s="358"/>
      <c r="EU130" s="358"/>
      <c r="EV130" s="358"/>
      <c r="EW130" s="358"/>
      <c r="EX130" s="358"/>
      <c r="EY130" s="358"/>
      <c r="EZ130" s="371"/>
    </row>
    <row r="131" spans="1:156" ht="11.15" customHeight="1" x14ac:dyDescent="0.35">
      <c r="A131" s="1836"/>
      <c r="B131" s="1837"/>
      <c r="C131" s="1837"/>
      <c r="D131" s="1837"/>
      <c r="E131" s="1838"/>
      <c r="F131" s="271"/>
      <c r="G131" s="271"/>
      <c r="H131" s="271"/>
      <c r="I131" s="271"/>
      <c r="J131" s="271"/>
      <c r="K131" s="271"/>
      <c r="L131" s="1248"/>
      <c r="AK131" s="357"/>
      <c r="AL131" s="358"/>
      <c r="AM131" s="358"/>
      <c r="AN131" s="358"/>
      <c r="AO131" s="358"/>
      <c r="AP131" s="358"/>
      <c r="AQ131" s="358"/>
      <c r="AR131" s="358"/>
      <c r="AS131" s="358"/>
      <c r="AT131" s="358"/>
      <c r="AU131" s="358"/>
      <c r="AV131" s="358"/>
      <c r="AW131" s="358"/>
      <c r="AX131" s="358"/>
      <c r="AY131" s="358"/>
      <c r="AZ131" s="358"/>
      <c r="BA131" s="358"/>
      <c r="BB131" s="358"/>
      <c r="BC131" s="358"/>
      <c r="BD131" s="421"/>
      <c r="BE131" s="358"/>
      <c r="BF131" s="358"/>
      <c r="BG131" s="358"/>
      <c r="BH131" s="358"/>
      <c r="BI131" s="358"/>
      <c r="BJ131" s="358"/>
      <c r="BK131" s="358"/>
      <c r="BL131" s="358"/>
      <c r="BM131" s="358"/>
      <c r="BN131" s="358"/>
      <c r="BO131" s="358"/>
      <c r="BP131" s="358"/>
      <c r="BQ131" s="358"/>
      <c r="BR131" s="358"/>
      <c r="BS131" s="358"/>
      <c r="BT131" s="358"/>
      <c r="BU131" s="358"/>
      <c r="BV131" s="358"/>
      <c r="BW131" s="358"/>
      <c r="BX131" s="358"/>
      <c r="BY131" s="358"/>
      <c r="BZ131" s="358"/>
      <c r="CA131" s="358"/>
      <c r="CB131" s="358"/>
      <c r="CC131" s="358"/>
      <c r="CD131" s="358"/>
      <c r="CE131" s="358"/>
      <c r="CF131" s="358"/>
      <c r="CG131" s="404">
        <v>1.9</v>
      </c>
      <c r="CH131" s="404">
        <v>1.9</v>
      </c>
      <c r="CI131" s="401">
        <v>0</v>
      </c>
      <c r="CJ131" s="422">
        <f t="shared" ca="1" si="72"/>
        <v>22697.550000000003</v>
      </c>
      <c r="CK131" s="358"/>
      <c r="CL131" s="358"/>
      <c r="CM131" s="358"/>
      <c r="CN131" s="358"/>
      <c r="CO131" s="358"/>
      <c r="CP131" s="358"/>
      <c r="CQ131" s="358"/>
      <c r="CR131" s="358"/>
      <c r="CS131" s="358"/>
      <c r="CT131" s="358"/>
      <c r="CU131" s="358"/>
      <c r="CV131" s="358"/>
      <c r="CW131" s="358"/>
      <c r="CX131" s="358"/>
      <c r="CY131" s="358"/>
      <c r="CZ131" s="358"/>
      <c r="DA131" s="358"/>
      <c r="DB131" s="358"/>
      <c r="DC131" s="358"/>
      <c r="DD131" s="358"/>
      <c r="DE131" s="358"/>
      <c r="DF131" s="358"/>
      <c r="DG131" s="358"/>
      <c r="DH131" s="358"/>
      <c r="DI131" s="358"/>
      <c r="DJ131" s="358"/>
      <c r="DK131" s="358"/>
      <c r="DL131" s="358"/>
      <c r="DM131" s="358"/>
      <c r="DN131" s="358"/>
      <c r="DO131" s="358"/>
      <c r="DP131" s="358"/>
      <c r="DQ131" s="358"/>
      <c r="DR131" s="358"/>
      <c r="DS131" s="358"/>
      <c r="DT131" s="358"/>
      <c r="DU131" s="358"/>
      <c r="DV131" s="358"/>
      <c r="DW131" s="358"/>
      <c r="DX131" s="358"/>
      <c r="DY131" s="358"/>
      <c r="DZ131" s="358"/>
      <c r="EA131" s="358"/>
      <c r="EB131" s="358"/>
      <c r="EC131" s="358"/>
      <c r="ED131" s="358"/>
      <c r="EE131" s="358"/>
      <c r="EF131" s="358"/>
      <c r="EG131" s="358"/>
      <c r="EH131" s="358"/>
      <c r="EI131" s="358"/>
      <c r="EJ131" s="358"/>
      <c r="EK131" s="358"/>
      <c r="EL131" s="358"/>
      <c r="EM131" s="358"/>
      <c r="EN131" s="358"/>
      <c r="EO131" s="358"/>
      <c r="EP131" s="358"/>
      <c r="EQ131" s="358"/>
      <c r="ER131" s="358"/>
      <c r="ES131" s="358"/>
      <c r="ET131" s="358"/>
      <c r="EU131" s="358"/>
      <c r="EV131" s="358"/>
      <c r="EW131" s="358"/>
      <c r="EX131" s="358"/>
      <c r="EY131" s="358"/>
      <c r="EZ131" s="371"/>
    </row>
    <row r="132" spans="1:156" ht="11.15" customHeight="1" x14ac:dyDescent="0.35">
      <c r="A132" s="1249">
        <v>0.63</v>
      </c>
      <c r="B132" s="783">
        <v>0.5</v>
      </c>
      <c r="C132" s="784">
        <f ca="1">IF(OR($N$2="",$N$2=0),"",IF(INDIRECT(ADDRESS(($AK132),COLUMN()+27,,,"Digitar Dados dos Ensaios"))&lt;&gt;"",INDIRECT(ADDRESS(($AK132),COLUMN()+27,,,"Digitar Dados dos Ensaios")),""))</f>
        <v>150</v>
      </c>
      <c r="D132" s="785">
        <f ca="1">IF(C132&lt;&gt;"",C132*$A$123,"")</f>
        <v>2902.5</v>
      </c>
      <c r="E132" s="786"/>
      <c r="F132" s="271"/>
      <c r="G132" s="271"/>
      <c r="H132" s="271"/>
      <c r="I132" s="271"/>
      <c r="J132" s="271"/>
      <c r="K132" s="271"/>
      <c r="L132" s="1248"/>
      <c r="AK132" s="357">
        <f>AK113+1</f>
        <v>9</v>
      </c>
      <c r="AL132" s="358"/>
      <c r="AM132" s="358"/>
      <c r="AN132" s="358"/>
      <c r="AO132" s="358"/>
      <c r="AP132" s="358"/>
      <c r="AQ132" s="358"/>
      <c r="AR132" s="358"/>
      <c r="AS132" s="358"/>
      <c r="AT132" s="358"/>
      <c r="AU132" s="358"/>
      <c r="AV132" s="358"/>
      <c r="AW132" s="358"/>
      <c r="AX132" s="358"/>
      <c r="AY132" s="358"/>
      <c r="AZ132" s="358"/>
      <c r="BA132" s="358"/>
      <c r="BB132" s="358"/>
      <c r="BC132" s="358"/>
      <c r="BD132" s="421"/>
      <c r="BE132" s="358"/>
      <c r="BF132" s="358"/>
      <c r="BG132" s="358"/>
      <c r="BH132" s="358"/>
      <c r="BI132" s="358"/>
      <c r="BJ132" s="358"/>
      <c r="BK132" s="358"/>
      <c r="BL132" s="358"/>
      <c r="BM132" s="358"/>
      <c r="BN132" s="358"/>
      <c r="BO132" s="358"/>
      <c r="BP132" s="358"/>
      <c r="BQ132" s="358"/>
      <c r="BR132" s="358"/>
      <c r="BS132" s="358"/>
      <c r="BT132" s="358"/>
      <c r="BU132" s="358"/>
      <c r="BV132" s="358"/>
      <c r="BW132" s="358"/>
      <c r="BX132" s="358"/>
      <c r="BY132" s="358"/>
      <c r="BZ132" s="358"/>
      <c r="CA132" s="358"/>
      <c r="CB132" s="358"/>
      <c r="CC132" s="358"/>
      <c r="CD132" s="358"/>
      <c r="CE132" s="358"/>
      <c r="CF132" s="358"/>
      <c r="CG132" s="404">
        <v>2.54</v>
      </c>
      <c r="CH132" s="404">
        <v>2.54</v>
      </c>
      <c r="CI132" s="401">
        <v>0</v>
      </c>
      <c r="CJ132" s="422">
        <f t="shared" ca="1" si="72"/>
        <v>22697.550000000003</v>
      </c>
      <c r="CK132" s="358"/>
      <c r="CL132" s="358"/>
      <c r="CM132" s="358"/>
      <c r="CN132" s="358"/>
      <c r="CO132" s="358"/>
      <c r="CP132" s="358"/>
      <c r="CQ132" s="358"/>
      <c r="CR132" s="358"/>
      <c r="CS132" s="358"/>
      <c r="CT132" s="358"/>
      <c r="CU132" s="358"/>
      <c r="CV132" s="358"/>
      <c r="CW132" s="358"/>
      <c r="CX132" s="358"/>
      <c r="CY132" s="358"/>
      <c r="CZ132" s="358"/>
      <c r="DA132" s="358"/>
      <c r="DB132" s="358"/>
      <c r="DC132" s="358"/>
      <c r="DD132" s="358"/>
      <c r="DE132" s="358"/>
      <c r="DF132" s="358"/>
      <c r="DG132" s="358"/>
      <c r="DH132" s="358"/>
      <c r="DI132" s="358"/>
      <c r="DJ132" s="358"/>
      <c r="DK132" s="358"/>
      <c r="DL132" s="358"/>
      <c r="DM132" s="358"/>
      <c r="DN132" s="358"/>
      <c r="DO132" s="358"/>
      <c r="DP132" s="358"/>
      <c r="DQ132" s="358"/>
      <c r="DR132" s="358"/>
      <c r="DS132" s="358"/>
      <c r="DT132" s="358"/>
      <c r="DU132" s="358"/>
      <c r="DV132" s="358"/>
      <c r="DW132" s="358"/>
      <c r="DX132" s="358"/>
      <c r="DY132" s="358"/>
      <c r="DZ132" s="358"/>
      <c r="EA132" s="358"/>
      <c r="EB132" s="358"/>
      <c r="EC132" s="358"/>
      <c r="ED132" s="358"/>
      <c r="EE132" s="358"/>
      <c r="EF132" s="358"/>
      <c r="EG132" s="358"/>
      <c r="EH132" s="358"/>
      <c r="EI132" s="358"/>
      <c r="EJ132" s="358"/>
      <c r="EK132" s="358"/>
      <c r="EL132" s="358"/>
      <c r="EM132" s="358"/>
      <c r="EN132" s="358"/>
      <c r="EO132" s="358"/>
      <c r="EP132" s="358"/>
      <c r="EQ132" s="358"/>
      <c r="ER132" s="358"/>
      <c r="ES132" s="358"/>
      <c r="ET132" s="358"/>
      <c r="EU132" s="358"/>
      <c r="EV132" s="358"/>
      <c r="EW132" s="358"/>
      <c r="EX132" s="358"/>
      <c r="EY132" s="358"/>
      <c r="EZ132" s="371"/>
    </row>
    <row r="133" spans="1:156" ht="11.15" customHeight="1" x14ac:dyDescent="0.35">
      <c r="A133" s="1249">
        <v>1.27</v>
      </c>
      <c r="B133" s="783">
        <v>1</v>
      </c>
      <c r="C133" s="784">
        <f ca="1">IF(OR($N$2="",$N$2=0),"",IF(INDIRECT(ADDRESS(($AK133),COLUMN()+28,,,"Digitar Dados dos Ensaios"))&lt;&gt;"",INDIRECT(ADDRESS(($AK133),COLUMN()+28,,,"Digitar Dados dos Ensaios")),""))</f>
        <v>301</v>
      </c>
      <c r="D133" s="785">
        <f t="shared" ref="D133:D139" ca="1" si="73">IF(C133&lt;&gt;"",C133*$A$123,"")</f>
        <v>5824.35</v>
      </c>
      <c r="E133" s="787" t="str">
        <f ca="1">IF(E134="","","Corrigido")</f>
        <v/>
      </c>
      <c r="F133" s="271"/>
      <c r="G133" s="271"/>
      <c r="H133" s="271"/>
      <c r="I133" s="271"/>
      <c r="J133" s="271"/>
      <c r="K133" s="271"/>
      <c r="L133" s="1248"/>
      <c r="AK133" s="357">
        <f>AK132</f>
        <v>9</v>
      </c>
      <c r="AL133" s="358"/>
      <c r="AM133" s="358"/>
      <c r="AN133" s="358"/>
      <c r="AO133" s="358"/>
      <c r="AP133" s="358"/>
      <c r="AQ133" s="358"/>
      <c r="AR133" s="358"/>
      <c r="AS133" s="358"/>
      <c r="AT133" s="358"/>
      <c r="AU133" s="358"/>
      <c r="AV133" s="358"/>
      <c r="AW133" s="358"/>
      <c r="AX133" s="358"/>
      <c r="AY133" s="358"/>
      <c r="AZ133" s="358"/>
      <c r="BA133" s="358"/>
      <c r="BB133" s="358"/>
      <c r="BC133" s="358"/>
      <c r="BD133" s="421"/>
      <c r="BE133" s="358"/>
      <c r="BF133" s="358"/>
      <c r="BG133" s="358"/>
      <c r="BH133" s="358"/>
      <c r="BI133" s="358"/>
      <c r="BJ133" s="358"/>
      <c r="BK133" s="358"/>
      <c r="BL133" s="358"/>
      <c r="BM133" s="358"/>
      <c r="BN133" s="358"/>
      <c r="BO133" s="358"/>
      <c r="BP133" s="358"/>
      <c r="BQ133" s="358"/>
      <c r="BR133" s="358"/>
      <c r="BS133" s="358"/>
      <c r="BT133" s="358"/>
      <c r="BU133" s="358"/>
      <c r="BV133" s="358"/>
      <c r="BW133" s="358"/>
      <c r="BX133" s="358"/>
      <c r="BY133" s="358"/>
      <c r="BZ133" s="358"/>
      <c r="CA133" s="358"/>
      <c r="CB133" s="358"/>
      <c r="CC133" s="358"/>
      <c r="CD133" s="358"/>
      <c r="CE133" s="358"/>
      <c r="CF133" s="358"/>
      <c r="CG133" s="404">
        <v>3.81</v>
      </c>
      <c r="CH133" s="404">
        <v>3.81</v>
      </c>
      <c r="CI133" s="401">
        <v>0</v>
      </c>
      <c r="CJ133" s="422">
        <f t="shared" ca="1" si="72"/>
        <v>22697.550000000003</v>
      </c>
      <c r="CK133" s="358"/>
      <c r="CL133" s="358"/>
      <c r="CM133" s="358"/>
      <c r="CN133" s="358"/>
      <c r="CO133" s="358"/>
      <c r="CP133" s="358"/>
      <c r="CQ133" s="358"/>
      <c r="CR133" s="358"/>
      <c r="CS133" s="358"/>
      <c r="CT133" s="358"/>
      <c r="CU133" s="358"/>
      <c r="CV133" s="358"/>
      <c r="CW133" s="358"/>
      <c r="CX133" s="358"/>
      <c r="CY133" s="358"/>
      <c r="CZ133" s="358"/>
      <c r="DA133" s="358"/>
      <c r="DB133" s="358"/>
      <c r="DC133" s="358"/>
      <c r="DD133" s="358"/>
      <c r="DE133" s="358"/>
      <c r="DF133" s="358"/>
      <c r="DG133" s="358"/>
      <c r="DH133" s="358"/>
      <c r="DI133" s="358"/>
      <c r="DJ133" s="358"/>
      <c r="DK133" s="358"/>
      <c r="DL133" s="358"/>
      <c r="DM133" s="358"/>
      <c r="DN133" s="358"/>
      <c r="DO133" s="358"/>
      <c r="DP133" s="358"/>
      <c r="DQ133" s="358"/>
      <c r="DR133" s="358"/>
      <c r="DS133" s="358"/>
      <c r="DT133" s="358"/>
      <c r="DU133" s="358"/>
      <c r="DV133" s="358"/>
      <c r="DW133" s="358"/>
      <c r="DX133" s="358"/>
      <c r="DY133" s="358"/>
      <c r="DZ133" s="358"/>
      <c r="EA133" s="358"/>
      <c r="EB133" s="358"/>
      <c r="EC133" s="358"/>
      <c r="ED133" s="358"/>
      <c r="EE133" s="358"/>
      <c r="EF133" s="358"/>
      <c r="EG133" s="358"/>
      <c r="EH133" s="358"/>
      <c r="EI133" s="358"/>
      <c r="EJ133" s="358"/>
      <c r="EK133" s="358"/>
      <c r="EL133" s="358"/>
      <c r="EM133" s="358"/>
      <c r="EN133" s="358"/>
      <c r="EO133" s="358"/>
      <c r="EP133" s="358"/>
      <c r="EQ133" s="358"/>
      <c r="ER133" s="358"/>
      <c r="ES133" s="358"/>
      <c r="ET133" s="358"/>
      <c r="EU133" s="358"/>
      <c r="EV133" s="358"/>
      <c r="EW133" s="358"/>
      <c r="EX133" s="358"/>
      <c r="EY133" s="358"/>
      <c r="EZ133" s="371"/>
    </row>
    <row r="134" spans="1:156" ht="11.15" customHeight="1" x14ac:dyDescent="0.35">
      <c r="A134" s="1249">
        <v>1.9</v>
      </c>
      <c r="B134" s="783">
        <v>1.5</v>
      </c>
      <c r="C134" s="784">
        <f ca="1">IF(OR($N$2="",$N$2=0),"",IF(INDIRECT(ADDRESS(($AK134),COLUMN()+29,,,"Digitar Dados dos Ensaios"))&lt;&gt;"",INDIRECT(ADDRESS(($AK134),COLUMN()+29,,,"Digitar Dados dos Ensaios")),""))</f>
        <v>496</v>
      </c>
      <c r="D134" s="785">
        <f t="shared" ca="1" si="73"/>
        <v>9597.6</v>
      </c>
      <c r="E134" s="282" t="str">
        <f ca="1">IF(BY128="","",IF(BY128&gt;0,BY128,""))</f>
        <v/>
      </c>
      <c r="F134" s="271"/>
      <c r="G134" s="271"/>
      <c r="H134" s="271"/>
      <c r="I134" s="271"/>
      <c r="J134" s="271"/>
      <c r="K134" s="271"/>
      <c r="L134" s="1248"/>
      <c r="AK134" s="357">
        <f t="shared" ref="AK134:AK139" si="74">AK133</f>
        <v>9</v>
      </c>
      <c r="AL134" s="358"/>
      <c r="AM134" s="358"/>
      <c r="AN134" s="358"/>
      <c r="AO134" s="358"/>
      <c r="AP134" s="358"/>
      <c r="AQ134" s="358"/>
      <c r="AR134" s="358"/>
      <c r="AS134" s="358"/>
      <c r="AT134" s="358"/>
      <c r="AU134" s="358"/>
      <c r="AV134" s="358"/>
      <c r="AW134" s="358"/>
      <c r="AX134" s="358"/>
      <c r="AY134" s="358"/>
      <c r="AZ134" s="358"/>
      <c r="BA134" s="358"/>
      <c r="BB134" s="358"/>
      <c r="BC134" s="358"/>
      <c r="BD134" s="421"/>
      <c r="BE134" s="358"/>
      <c r="BF134" s="358"/>
      <c r="BG134" s="358"/>
      <c r="BH134" s="358"/>
      <c r="BI134" s="358"/>
      <c r="BJ134" s="358"/>
      <c r="BK134" s="358"/>
      <c r="BL134" s="358"/>
      <c r="BM134" s="358"/>
      <c r="BN134" s="358"/>
      <c r="BO134" s="358"/>
      <c r="BP134" s="358"/>
      <c r="BQ134" s="358"/>
      <c r="BR134" s="358"/>
      <c r="BS134" s="358"/>
      <c r="BT134" s="358"/>
      <c r="BU134" s="358"/>
      <c r="BV134" s="358"/>
      <c r="BW134" s="358"/>
      <c r="BX134" s="358"/>
      <c r="BY134" s="358"/>
      <c r="BZ134" s="358"/>
      <c r="CA134" s="358"/>
      <c r="CB134" s="358"/>
      <c r="CC134" s="358"/>
      <c r="CD134" s="358"/>
      <c r="CE134" s="358"/>
      <c r="CF134" s="358"/>
      <c r="CG134" s="404">
        <v>5.08</v>
      </c>
      <c r="CH134" s="404">
        <v>5.08</v>
      </c>
      <c r="CI134" s="401">
        <v>0</v>
      </c>
      <c r="CJ134" s="422">
        <f t="shared" ca="1" si="72"/>
        <v>22697.550000000003</v>
      </c>
      <c r="CK134" s="358"/>
      <c r="CL134" s="358"/>
      <c r="CM134" s="358"/>
      <c r="CN134" s="358"/>
      <c r="CO134" s="358"/>
      <c r="CP134" s="358"/>
      <c r="CQ134" s="358"/>
      <c r="CR134" s="358"/>
      <c r="CS134" s="358"/>
      <c r="CT134" s="358"/>
      <c r="CU134" s="358"/>
      <c r="CV134" s="358"/>
      <c r="CW134" s="358"/>
      <c r="CX134" s="358"/>
      <c r="CY134" s="358"/>
      <c r="CZ134" s="358"/>
      <c r="DA134" s="358"/>
      <c r="DB134" s="358"/>
      <c r="DC134" s="358"/>
      <c r="DD134" s="358"/>
      <c r="DE134" s="358"/>
      <c r="DF134" s="358"/>
      <c r="DG134" s="358"/>
      <c r="DH134" s="358"/>
      <c r="DI134" s="358"/>
      <c r="DJ134" s="358"/>
      <c r="DK134" s="358"/>
      <c r="DL134" s="358"/>
      <c r="DM134" s="358"/>
      <c r="DN134" s="358"/>
      <c r="DO134" s="358"/>
      <c r="DP134" s="358"/>
      <c r="DQ134" s="358"/>
      <c r="DR134" s="358"/>
      <c r="DS134" s="358"/>
      <c r="DT134" s="358"/>
      <c r="DU134" s="358"/>
      <c r="DV134" s="358"/>
      <c r="DW134" s="358"/>
      <c r="DX134" s="358"/>
      <c r="DY134" s="358"/>
      <c r="DZ134" s="358"/>
      <c r="EA134" s="358"/>
      <c r="EB134" s="358"/>
      <c r="EC134" s="358"/>
      <c r="ED134" s="358"/>
      <c r="EE134" s="358"/>
      <c r="EF134" s="358"/>
      <c r="EG134" s="358"/>
      <c r="EH134" s="358"/>
      <c r="EI134" s="358"/>
      <c r="EJ134" s="358"/>
      <c r="EK134" s="358"/>
      <c r="EL134" s="358"/>
      <c r="EM134" s="358"/>
      <c r="EN134" s="358"/>
      <c r="EO134" s="358"/>
      <c r="EP134" s="358"/>
      <c r="EQ134" s="358"/>
      <c r="ER134" s="358"/>
      <c r="ES134" s="358"/>
      <c r="ET134" s="358"/>
      <c r="EU134" s="358"/>
      <c r="EV134" s="358"/>
      <c r="EW134" s="358"/>
      <c r="EX134" s="358"/>
      <c r="EY134" s="358"/>
      <c r="EZ134" s="371"/>
    </row>
    <row r="135" spans="1:156" ht="11.15" customHeight="1" x14ac:dyDescent="0.35">
      <c r="A135" s="1249">
        <v>2.54</v>
      </c>
      <c r="B135" s="783">
        <v>2</v>
      </c>
      <c r="C135" s="784">
        <f ca="1">IF(OR($N$2="",$N$2=0),"",IF(INDIRECT(ADDRESS(($AK135),COLUMN()+30,,,"Digitar Dados dos Ensaios"))&lt;&gt;"",INDIRECT(ADDRESS(($AK135),COLUMN()+30,,,"Digitar Dados dos Ensaios")),""))</f>
        <v>602</v>
      </c>
      <c r="D135" s="785">
        <f t="shared" ca="1" si="73"/>
        <v>11648.7</v>
      </c>
      <c r="E135" s="788">
        <f ca="1">IF(C135&lt;&gt;"",D135/70.31,"")</f>
        <v>165.67629071255868</v>
      </c>
      <c r="F135" s="271"/>
      <c r="G135" s="271"/>
      <c r="H135" s="271"/>
      <c r="I135" s="271"/>
      <c r="J135" s="271"/>
      <c r="K135" s="271"/>
      <c r="L135" s="1248"/>
      <c r="AK135" s="357">
        <f t="shared" si="74"/>
        <v>9</v>
      </c>
      <c r="AL135" s="358"/>
      <c r="AM135" s="358"/>
      <c r="AN135" s="358"/>
      <c r="AO135" s="358"/>
      <c r="AP135" s="358"/>
      <c r="AQ135" s="358"/>
      <c r="AR135" s="358"/>
      <c r="AS135" s="358"/>
      <c r="AT135" s="358"/>
      <c r="AU135" s="358"/>
      <c r="AV135" s="358"/>
      <c r="AW135" s="358"/>
      <c r="AX135" s="358"/>
      <c r="AY135" s="358"/>
      <c r="AZ135" s="358"/>
      <c r="BA135" s="358"/>
      <c r="BB135" s="358"/>
      <c r="BC135" s="358"/>
      <c r="BD135" s="421"/>
      <c r="BE135" s="358"/>
      <c r="BF135" s="358"/>
      <c r="BG135" s="358"/>
      <c r="BH135" s="358"/>
      <c r="BI135" s="358"/>
      <c r="BJ135" s="358"/>
      <c r="BK135" s="358"/>
      <c r="BL135" s="358"/>
      <c r="BM135" s="358"/>
      <c r="BN135" s="358"/>
      <c r="BO135" s="358"/>
      <c r="BP135" s="358"/>
      <c r="BQ135" s="358"/>
      <c r="BR135" s="358"/>
      <c r="BS135" s="358"/>
      <c r="BT135" s="358"/>
      <c r="BU135" s="358"/>
      <c r="BV135" s="358"/>
      <c r="BW135" s="358"/>
      <c r="BX135" s="358"/>
      <c r="BY135" s="358"/>
      <c r="BZ135" s="358"/>
      <c r="CA135" s="358"/>
      <c r="CB135" s="358"/>
      <c r="CC135" s="358"/>
      <c r="CD135" s="358"/>
      <c r="CE135" s="358"/>
      <c r="CF135" s="358"/>
      <c r="CG135" s="404">
        <v>6.35</v>
      </c>
      <c r="CH135" s="404">
        <v>6.35</v>
      </c>
      <c r="CI135" s="401">
        <v>0</v>
      </c>
      <c r="CJ135" s="422">
        <f t="shared" ca="1" si="72"/>
        <v>22697.550000000003</v>
      </c>
      <c r="CK135" s="358"/>
      <c r="CL135" s="358"/>
      <c r="CM135" s="358"/>
      <c r="CN135" s="358"/>
      <c r="CO135" s="358"/>
      <c r="CP135" s="358"/>
      <c r="CQ135" s="358"/>
      <c r="CR135" s="358"/>
      <c r="CS135" s="358"/>
      <c r="CT135" s="358"/>
      <c r="CU135" s="358"/>
      <c r="CV135" s="358"/>
      <c r="CW135" s="358"/>
      <c r="CX135" s="358"/>
      <c r="CY135" s="358"/>
      <c r="CZ135" s="358"/>
      <c r="DA135" s="358"/>
      <c r="DB135" s="358"/>
      <c r="DC135" s="358"/>
      <c r="DD135" s="358"/>
      <c r="DE135" s="358"/>
      <c r="DF135" s="358"/>
      <c r="DG135" s="358"/>
      <c r="DH135" s="358"/>
      <c r="DI135" s="358"/>
      <c r="DJ135" s="358"/>
      <c r="DK135" s="358"/>
      <c r="DL135" s="358"/>
      <c r="DM135" s="358"/>
      <c r="DN135" s="358"/>
      <c r="DO135" s="358"/>
      <c r="DP135" s="358"/>
      <c r="DQ135" s="358"/>
      <c r="DR135" s="358"/>
      <c r="DS135" s="358"/>
      <c r="DT135" s="358"/>
      <c r="DU135" s="358"/>
      <c r="DV135" s="358"/>
      <c r="DW135" s="358"/>
      <c r="DX135" s="358"/>
      <c r="DY135" s="358"/>
      <c r="DZ135" s="358"/>
      <c r="EA135" s="358"/>
      <c r="EB135" s="358"/>
      <c r="EC135" s="358"/>
      <c r="ED135" s="358"/>
      <c r="EE135" s="358"/>
      <c r="EF135" s="358"/>
      <c r="EG135" s="358"/>
      <c r="EH135" s="358"/>
      <c r="EI135" s="358"/>
      <c r="EJ135" s="358"/>
      <c r="EK135" s="358"/>
      <c r="EL135" s="358"/>
      <c r="EM135" s="358"/>
      <c r="EN135" s="358"/>
      <c r="EO135" s="358"/>
      <c r="EP135" s="358"/>
      <c r="EQ135" s="358"/>
      <c r="ER135" s="358"/>
      <c r="ES135" s="358"/>
      <c r="ET135" s="358"/>
      <c r="EU135" s="358"/>
      <c r="EV135" s="358"/>
      <c r="EW135" s="358"/>
      <c r="EX135" s="358"/>
      <c r="EY135" s="358"/>
      <c r="EZ135" s="371"/>
    </row>
    <row r="136" spans="1:156" ht="11.15" customHeight="1" x14ac:dyDescent="0.35">
      <c r="A136" s="1249">
        <v>3.81</v>
      </c>
      <c r="B136" s="783">
        <v>3</v>
      </c>
      <c r="C136" s="784">
        <f ca="1">IF(OR($N$2="",$N$2=0),"",IF(INDIRECT(ADDRESS(($AK136),COLUMN()+31,,,"Digitar Dados dos Ensaios"))&lt;&gt;"",INDIRECT(ADDRESS(($AK136),COLUMN()+31,,,"Digitar Dados dos Ensaios")),""))</f>
        <v>812</v>
      </c>
      <c r="D136" s="785">
        <f t="shared" ca="1" si="73"/>
        <v>15712.2</v>
      </c>
      <c r="E136" s="786"/>
      <c r="F136" s="271"/>
      <c r="G136" s="271"/>
      <c r="H136" s="271"/>
      <c r="I136" s="271"/>
      <c r="J136" s="271"/>
      <c r="K136" s="271"/>
      <c r="L136" s="1248"/>
      <c r="AK136" s="357">
        <f t="shared" si="74"/>
        <v>9</v>
      </c>
      <c r="AL136" s="358"/>
      <c r="AM136" s="358"/>
      <c r="AN136" s="358"/>
      <c r="AO136" s="358"/>
      <c r="AP136" s="358"/>
      <c r="AQ136" s="358"/>
      <c r="AR136" s="358"/>
      <c r="AS136" s="358"/>
      <c r="AT136" s="358"/>
      <c r="AU136" s="358"/>
      <c r="AV136" s="358"/>
      <c r="AW136" s="358"/>
      <c r="AX136" s="358"/>
      <c r="AY136" s="358"/>
      <c r="AZ136" s="358"/>
      <c r="BA136" s="358"/>
      <c r="BB136" s="358"/>
      <c r="BC136" s="358"/>
      <c r="BD136" s="421"/>
      <c r="BE136" s="358"/>
      <c r="BF136" s="358"/>
      <c r="BG136" s="358"/>
      <c r="BH136" s="358"/>
      <c r="BI136" s="358"/>
      <c r="BJ136" s="358"/>
      <c r="BK136" s="358"/>
      <c r="BL136" s="358"/>
      <c r="BM136" s="358"/>
      <c r="BN136" s="358"/>
      <c r="BO136" s="358"/>
      <c r="BP136" s="358"/>
      <c r="BQ136" s="358"/>
      <c r="BR136" s="358"/>
      <c r="BS136" s="358"/>
      <c r="BT136" s="358"/>
      <c r="BU136" s="358"/>
      <c r="BV136" s="358"/>
      <c r="BW136" s="358"/>
      <c r="BX136" s="358"/>
      <c r="BY136" s="358"/>
      <c r="BZ136" s="358"/>
      <c r="CA136" s="358"/>
      <c r="CB136" s="358"/>
      <c r="CC136" s="358"/>
      <c r="CD136" s="358"/>
      <c r="CE136" s="358"/>
      <c r="CF136" s="358"/>
      <c r="CG136" s="404">
        <v>7.62</v>
      </c>
      <c r="CH136" s="404">
        <v>7.62</v>
      </c>
      <c r="CI136" s="401">
        <v>0</v>
      </c>
      <c r="CJ136" s="422">
        <f t="shared" ca="1" si="72"/>
        <v>22697.550000000003</v>
      </c>
      <c r="CK136" s="358"/>
      <c r="CL136" s="358"/>
      <c r="CM136" s="358"/>
      <c r="CN136" s="358"/>
      <c r="CO136" s="358"/>
      <c r="CP136" s="358"/>
      <c r="CQ136" s="358"/>
      <c r="CR136" s="358"/>
      <c r="CS136" s="358"/>
      <c r="CT136" s="358"/>
      <c r="CU136" s="358"/>
      <c r="CV136" s="358"/>
      <c r="CW136" s="358"/>
      <c r="CX136" s="358"/>
      <c r="CY136" s="358"/>
      <c r="CZ136" s="358"/>
      <c r="DA136" s="358"/>
      <c r="DB136" s="358"/>
      <c r="DC136" s="358"/>
      <c r="DD136" s="358"/>
      <c r="DE136" s="358"/>
      <c r="DF136" s="358"/>
      <c r="DG136" s="358"/>
      <c r="DH136" s="358"/>
      <c r="DI136" s="358"/>
      <c r="DJ136" s="358"/>
      <c r="DK136" s="358"/>
      <c r="DL136" s="358"/>
      <c r="DM136" s="358"/>
      <c r="DN136" s="358"/>
      <c r="DO136" s="358"/>
      <c r="DP136" s="358"/>
      <c r="DQ136" s="358"/>
      <c r="DR136" s="358"/>
      <c r="DS136" s="358"/>
      <c r="DT136" s="358"/>
      <c r="DU136" s="358"/>
      <c r="DV136" s="358"/>
      <c r="DW136" s="358"/>
      <c r="DX136" s="358"/>
      <c r="DY136" s="358"/>
      <c r="DZ136" s="358"/>
      <c r="EA136" s="358"/>
      <c r="EB136" s="358"/>
      <c r="EC136" s="358"/>
      <c r="ED136" s="358"/>
      <c r="EE136" s="358"/>
      <c r="EF136" s="358"/>
      <c r="EG136" s="358"/>
      <c r="EH136" s="358"/>
      <c r="EI136" s="358"/>
      <c r="EJ136" s="358"/>
      <c r="EK136" s="358"/>
      <c r="EL136" s="358"/>
      <c r="EM136" s="358"/>
      <c r="EN136" s="358"/>
      <c r="EO136" s="358"/>
      <c r="EP136" s="358"/>
      <c r="EQ136" s="358"/>
      <c r="ER136" s="358"/>
      <c r="ES136" s="358"/>
      <c r="ET136" s="358"/>
      <c r="EU136" s="358"/>
      <c r="EV136" s="358"/>
      <c r="EW136" s="358"/>
      <c r="EX136" s="358"/>
      <c r="EY136" s="358"/>
      <c r="EZ136" s="371"/>
    </row>
    <row r="137" spans="1:156" ht="11.15" customHeight="1" x14ac:dyDescent="0.35">
      <c r="A137" s="1249">
        <v>5.08</v>
      </c>
      <c r="B137" s="783">
        <v>4</v>
      </c>
      <c r="C137" s="784">
        <f ca="1">IF(OR($N$2="",$N$2=0),"",IF(INDIRECT(ADDRESS(($AK137),COLUMN()+32,,,"Digitar Dados dos Ensaios"))&lt;&gt;"",INDIRECT(ADDRESS(($AK137),COLUMN()+32,,,"Digitar Dados dos Ensaios")),""))</f>
        <v>902</v>
      </c>
      <c r="D137" s="785">
        <f t="shared" ca="1" si="73"/>
        <v>17453.7</v>
      </c>
      <c r="E137" s="788">
        <f ca="1">IF(C137&lt;&gt;"",D137/105.46,"")</f>
        <v>165.50066375877111</v>
      </c>
      <c r="F137" s="271"/>
      <c r="G137" s="271"/>
      <c r="H137" s="271"/>
      <c r="I137" s="271"/>
      <c r="J137" s="271"/>
      <c r="K137" s="271"/>
      <c r="L137" s="1248"/>
      <c r="AK137" s="357">
        <f t="shared" si="74"/>
        <v>9</v>
      </c>
      <c r="AL137" s="358"/>
      <c r="AM137" s="358"/>
      <c r="AN137" s="358"/>
      <c r="AO137" s="358"/>
      <c r="AP137" s="358"/>
      <c r="AQ137" s="358"/>
      <c r="AR137" s="358"/>
      <c r="AS137" s="358"/>
      <c r="AT137" s="358"/>
      <c r="AU137" s="358"/>
      <c r="AV137" s="358"/>
      <c r="AW137" s="358"/>
      <c r="AX137" s="358"/>
      <c r="AY137" s="358"/>
      <c r="AZ137" s="358"/>
      <c r="BA137" s="358"/>
      <c r="BB137" s="358"/>
      <c r="BC137" s="358"/>
      <c r="BD137" s="421"/>
      <c r="BE137" s="358"/>
      <c r="BF137" s="358"/>
      <c r="BG137" s="358"/>
      <c r="BH137" s="358"/>
      <c r="BI137" s="358"/>
      <c r="BJ137" s="358"/>
      <c r="BK137" s="358"/>
      <c r="BL137" s="358"/>
      <c r="BM137" s="358"/>
      <c r="BN137" s="358"/>
      <c r="BO137" s="358"/>
      <c r="BP137" s="358"/>
      <c r="BQ137" s="358"/>
      <c r="BR137" s="358"/>
      <c r="BS137" s="358"/>
      <c r="BT137" s="358"/>
      <c r="BU137" s="358"/>
      <c r="BV137" s="358"/>
      <c r="BW137" s="358"/>
      <c r="BX137" s="358"/>
      <c r="BY137" s="358"/>
      <c r="BZ137" s="358"/>
      <c r="CA137" s="358"/>
      <c r="CB137" s="358"/>
      <c r="CC137" s="358"/>
      <c r="CD137" s="358"/>
      <c r="CE137" s="358"/>
      <c r="CF137" s="358"/>
      <c r="CG137" s="358"/>
      <c r="CH137" s="358"/>
      <c r="CI137" s="358"/>
      <c r="CJ137" s="371"/>
      <c r="CK137" s="358"/>
      <c r="CL137" s="358"/>
      <c r="CM137" s="358"/>
      <c r="CN137" s="358"/>
      <c r="CO137" s="358"/>
      <c r="CP137" s="358"/>
      <c r="CQ137" s="358"/>
      <c r="CR137" s="358"/>
      <c r="CS137" s="358"/>
      <c r="CT137" s="358"/>
      <c r="CU137" s="358"/>
      <c r="CV137" s="358"/>
      <c r="CW137" s="358"/>
      <c r="CX137" s="358"/>
      <c r="CY137" s="358"/>
      <c r="CZ137" s="358"/>
      <c r="DA137" s="358"/>
      <c r="DB137" s="358"/>
      <c r="DC137" s="358"/>
      <c r="DD137" s="358"/>
      <c r="DE137" s="358"/>
      <c r="DF137" s="358"/>
      <c r="DG137" s="358"/>
      <c r="DH137" s="358"/>
      <c r="DI137" s="358"/>
      <c r="DJ137" s="358"/>
      <c r="DK137" s="358"/>
      <c r="DL137" s="358"/>
      <c r="DM137" s="358"/>
      <c r="DN137" s="358"/>
      <c r="DO137" s="358"/>
      <c r="DP137" s="358"/>
      <c r="DQ137" s="358"/>
      <c r="DR137" s="358"/>
      <c r="DS137" s="358"/>
      <c r="DT137" s="358"/>
      <c r="DU137" s="358"/>
      <c r="DV137" s="358"/>
      <c r="DW137" s="358"/>
      <c r="DX137" s="358"/>
      <c r="DY137" s="358"/>
      <c r="DZ137" s="358"/>
      <c r="EA137" s="358"/>
      <c r="EB137" s="358"/>
      <c r="EC137" s="358"/>
      <c r="ED137" s="358"/>
      <c r="EE137" s="358"/>
      <c r="EF137" s="358"/>
      <c r="EG137" s="358"/>
      <c r="EH137" s="358"/>
      <c r="EI137" s="358"/>
      <c r="EJ137" s="358"/>
      <c r="EK137" s="358"/>
      <c r="EL137" s="358"/>
      <c r="EM137" s="358"/>
      <c r="EN137" s="358"/>
      <c r="EO137" s="358"/>
      <c r="EP137" s="358"/>
      <c r="EQ137" s="358"/>
      <c r="ER137" s="358"/>
      <c r="ES137" s="358"/>
      <c r="ET137" s="358"/>
      <c r="EU137" s="358"/>
      <c r="EV137" s="358"/>
      <c r="EW137" s="358"/>
      <c r="EX137" s="358"/>
      <c r="EY137" s="358"/>
      <c r="EZ137" s="371"/>
    </row>
    <row r="138" spans="1:156" ht="11.15" customHeight="1" x14ac:dyDescent="0.35">
      <c r="A138" s="1249">
        <v>6.35</v>
      </c>
      <c r="B138" s="783">
        <v>5</v>
      </c>
      <c r="C138" s="784">
        <f ca="1">IF(OR($N$2="",$N$2=0),"",IF(INDIRECT(ADDRESS(($AK138),COLUMN()+33,,,"Digitar Dados dos Ensaios"))&lt;&gt;"",INDIRECT(ADDRESS(($AK138),COLUMN()+33,,,"Digitar Dados dos Ensaios")),""))</f>
        <v>1023</v>
      </c>
      <c r="D138" s="785">
        <f t="shared" ca="1" si="73"/>
        <v>19795.050000000003</v>
      </c>
      <c r="E138" s="787" t="str">
        <f ca="1">IF(E139="","","Corrigido")</f>
        <v/>
      </c>
      <c r="F138" s="271"/>
      <c r="G138" s="271"/>
      <c r="H138" s="271"/>
      <c r="I138" s="271"/>
      <c r="J138" s="271"/>
      <c r="K138" s="271"/>
      <c r="L138" s="1248"/>
      <c r="AK138" s="357">
        <f t="shared" si="74"/>
        <v>9</v>
      </c>
      <c r="AL138" s="358"/>
      <c r="AM138" s="358"/>
      <c r="AN138" s="358"/>
      <c r="AO138" s="358"/>
      <c r="AP138" s="358"/>
      <c r="AQ138" s="358"/>
      <c r="AR138" s="358"/>
      <c r="AS138" s="358"/>
      <c r="AT138" s="358"/>
      <c r="AU138" s="358"/>
      <c r="AV138" s="358"/>
      <c r="AW138" s="358"/>
      <c r="AX138" s="358"/>
      <c r="AY138" s="358"/>
      <c r="AZ138" s="358"/>
      <c r="BA138" s="358"/>
      <c r="BB138" s="358"/>
      <c r="BC138" s="358"/>
      <c r="BD138" s="421"/>
      <c r="BE138" s="358"/>
      <c r="BF138" s="358"/>
      <c r="BG138" s="358"/>
      <c r="BH138" s="358"/>
      <c r="BI138" s="358"/>
      <c r="BJ138" s="358"/>
      <c r="BK138" s="358"/>
      <c r="BL138" s="358"/>
      <c r="BM138" s="358"/>
      <c r="BN138" s="358"/>
      <c r="BO138" s="358"/>
      <c r="BP138" s="358"/>
      <c r="BQ138" s="358"/>
      <c r="BR138" s="358"/>
      <c r="BS138" s="358"/>
      <c r="BT138" s="358"/>
      <c r="BU138" s="358"/>
      <c r="BV138" s="358"/>
      <c r="BW138" s="358"/>
      <c r="BX138" s="358"/>
      <c r="BY138" s="358"/>
      <c r="BZ138" s="358"/>
      <c r="CA138" s="358"/>
      <c r="CB138" s="358"/>
      <c r="CC138" s="358"/>
      <c r="CD138" s="358"/>
      <c r="CE138" s="358"/>
      <c r="CF138" s="358"/>
      <c r="CG138" s="358"/>
      <c r="CH138" s="358"/>
      <c r="CI138" s="358"/>
      <c r="CJ138" s="371"/>
      <c r="CK138" s="358"/>
      <c r="CL138" s="358"/>
      <c r="CM138" s="358"/>
      <c r="CN138" s="358"/>
      <c r="CO138" s="358"/>
      <c r="CP138" s="358"/>
      <c r="CQ138" s="358"/>
      <c r="CR138" s="358"/>
      <c r="CS138" s="358"/>
      <c r="CT138" s="358"/>
      <c r="CU138" s="358"/>
      <c r="CV138" s="358"/>
      <c r="CW138" s="358"/>
      <c r="CX138" s="358"/>
      <c r="CY138" s="358"/>
      <c r="CZ138" s="358"/>
      <c r="DA138" s="358"/>
      <c r="DB138" s="358"/>
      <c r="DC138" s="358"/>
      <c r="DD138" s="358"/>
      <c r="DE138" s="358"/>
      <c r="DF138" s="358"/>
      <c r="DG138" s="358"/>
      <c r="DH138" s="358"/>
      <c r="DI138" s="358"/>
      <c r="DJ138" s="358"/>
      <c r="DK138" s="358"/>
      <c r="DL138" s="358"/>
      <c r="DM138" s="358"/>
      <c r="DN138" s="358"/>
      <c r="DO138" s="358"/>
      <c r="DP138" s="358"/>
      <c r="DQ138" s="358"/>
      <c r="DR138" s="358"/>
      <c r="DS138" s="358"/>
      <c r="DT138" s="358"/>
      <c r="DU138" s="358"/>
      <c r="DV138" s="358"/>
      <c r="DW138" s="358"/>
      <c r="DX138" s="358"/>
      <c r="DY138" s="358"/>
      <c r="DZ138" s="358"/>
      <c r="EA138" s="358"/>
      <c r="EB138" s="358"/>
      <c r="EC138" s="358"/>
      <c r="ED138" s="358"/>
      <c r="EE138" s="358"/>
      <c r="EF138" s="358"/>
      <c r="EG138" s="358"/>
      <c r="EH138" s="358"/>
      <c r="EI138" s="358"/>
      <c r="EJ138" s="358"/>
      <c r="EK138" s="358"/>
      <c r="EL138" s="358"/>
      <c r="EM138" s="358"/>
      <c r="EN138" s="358"/>
      <c r="EO138" s="358"/>
      <c r="EP138" s="358"/>
      <c r="EQ138" s="358"/>
      <c r="ER138" s="358"/>
      <c r="ES138" s="358"/>
      <c r="ET138" s="358"/>
      <c r="EU138" s="358"/>
      <c r="EV138" s="358"/>
      <c r="EW138" s="358"/>
      <c r="EX138" s="358"/>
      <c r="EY138" s="358"/>
      <c r="EZ138" s="371"/>
    </row>
    <row r="139" spans="1:156" ht="11.15" customHeight="1" x14ac:dyDescent="0.35">
      <c r="A139" s="351">
        <v>7.62</v>
      </c>
      <c r="B139" s="352">
        <v>6</v>
      </c>
      <c r="C139" s="353">
        <f ca="1">IF(OR($N$2="",$N$2=0),"",IF(INDIRECT(ADDRESS(($AK139),COLUMN()+34,,,"Digitar Dados dos Ensaios"))&lt;&gt;"",INDIRECT(ADDRESS(($AK139),COLUMN()+34,,,"Digitar Dados dos Ensaios")),""))</f>
        <v>1173</v>
      </c>
      <c r="D139" s="354">
        <f t="shared" ca="1" si="73"/>
        <v>22697.550000000003</v>
      </c>
      <c r="E139" s="283" t="str">
        <f ca="1">IF(BZ128="","",IF(BZ128&gt;0,BZ128,""))</f>
        <v/>
      </c>
      <c r="F139" s="272"/>
      <c r="G139" s="272"/>
      <c r="H139" s="272"/>
      <c r="I139" s="272"/>
      <c r="J139" s="272"/>
      <c r="K139" s="272"/>
      <c r="L139" s="273"/>
      <c r="AK139" s="357">
        <f t="shared" si="74"/>
        <v>9</v>
      </c>
      <c r="AL139" s="358"/>
      <c r="AM139" s="358"/>
      <c r="AN139" s="358"/>
      <c r="AO139" s="358"/>
      <c r="AP139" s="358"/>
      <c r="AQ139" s="358"/>
      <c r="AR139" s="358"/>
      <c r="AS139" s="358"/>
      <c r="AT139" s="358"/>
      <c r="AU139" s="358"/>
      <c r="AV139" s="358"/>
      <c r="AW139" s="358"/>
      <c r="AX139" s="358"/>
      <c r="AY139" s="358"/>
      <c r="AZ139" s="358"/>
      <c r="BA139" s="358"/>
      <c r="BB139" s="358"/>
      <c r="BC139" s="358"/>
      <c r="BD139" s="425"/>
      <c r="BE139" s="426"/>
      <c r="BF139" s="426"/>
      <c r="BG139" s="426"/>
      <c r="BH139" s="426"/>
      <c r="BI139" s="426"/>
      <c r="BJ139" s="426"/>
      <c r="BK139" s="426"/>
      <c r="BL139" s="426"/>
      <c r="BM139" s="426"/>
      <c r="BN139" s="426"/>
      <c r="BO139" s="426"/>
      <c r="BP139" s="426"/>
      <c r="BQ139" s="426"/>
      <c r="BR139" s="426"/>
      <c r="BS139" s="426"/>
      <c r="BT139" s="426"/>
      <c r="BU139" s="426"/>
      <c r="BV139" s="426"/>
      <c r="BW139" s="426"/>
      <c r="BX139" s="426"/>
      <c r="BY139" s="426"/>
      <c r="BZ139" s="426"/>
      <c r="CA139" s="426"/>
      <c r="CB139" s="426"/>
      <c r="CC139" s="426"/>
      <c r="CD139" s="426"/>
      <c r="CE139" s="426"/>
      <c r="CF139" s="426"/>
      <c r="CG139" s="426"/>
      <c r="CH139" s="426"/>
      <c r="CI139" s="426"/>
      <c r="CJ139" s="427"/>
      <c r="CK139" s="358"/>
      <c r="CL139" s="358"/>
      <c r="CM139" s="358"/>
      <c r="CN139" s="358"/>
      <c r="CO139" s="358"/>
      <c r="CP139" s="358"/>
      <c r="CQ139" s="358"/>
      <c r="CR139" s="358"/>
      <c r="CS139" s="358"/>
      <c r="CT139" s="358"/>
      <c r="CU139" s="358"/>
      <c r="CV139" s="358"/>
      <c r="CW139" s="358"/>
      <c r="CX139" s="358"/>
      <c r="CY139" s="358"/>
      <c r="CZ139" s="358"/>
      <c r="DA139" s="358"/>
      <c r="DB139" s="358"/>
      <c r="DC139" s="358"/>
      <c r="DD139" s="358"/>
      <c r="DE139" s="358"/>
      <c r="DF139" s="358"/>
      <c r="DG139" s="358"/>
      <c r="DH139" s="358"/>
      <c r="DI139" s="358"/>
      <c r="DJ139" s="358"/>
      <c r="DK139" s="358"/>
      <c r="DL139" s="358"/>
      <c r="DM139" s="358"/>
      <c r="DN139" s="358"/>
      <c r="DO139" s="358"/>
      <c r="DP139" s="358"/>
      <c r="DQ139" s="358"/>
      <c r="DR139" s="358"/>
      <c r="DS139" s="358"/>
      <c r="DT139" s="358"/>
      <c r="DU139" s="358"/>
      <c r="DV139" s="358"/>
      <c r="DW139" s="358"/>
      <c r="DX139" s="358"/>
      <c r="DY139" s="358"/>
      <c r="DZ139" s="358"/>
      <c r="EA139" s="358"/>
      <c r="EB139" s="358"/>
      <c r="EC139" s="358"/>
      <c r="ED139" s="358"/>
      <c r="EE139" s="358"/>
      <c r="EF139" s="358"/>
      <c r="EG139" s="358"/>
      <c r="EH139" s="358"/>
      <c r="EI139" s="358"/>
      <c r="EJ139" s="358"/>
      <c r="EK139" s="358"/>
      <c r="EL139" s="358"/>
      <c r="EM139" s="358"/>
      <c r="EN139" s="358"/>
      <c r="EO139" s="358"/>
      <c r="EP139" s="358"/>
      <c r="EQ139" s="358"/>
      <c r="ER139" s="358"/>
      <c r="ES139" s="358"/>
      <c r="ET139" s="358"/>
      <c r="EU139" s="358"/>
      <c r="EV139" s="358"/>
      <c r="EW139" s="358"/>
      <c r="EX139" s="358"/>
      <c r="EY139" s="358"/>
      <c r="EZ139" s="371"/>
    </row>
    <row r="140" spans="1:156" s="251" customFormat="1" ht="12" customHeight="1" x14ac:dyDescent="0.35">
      <c r="A140" s="345"/>
      <c r="B140" s="1842"/>
      <c r="C140" s="1842"/>
      <c r="D140" s="1842"/>
      <c r="E140" s="277"/>
      <c r="F140" s="269"/>
      <c r="G140" s="269"/>
      <c r="H140" s="269"/>
      <c r="I140" s="269"/>
      <c r="J140" s="269"/>
      <c r="K140" s="269"/>
      <c r="L140" s="270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357"/>
      <c r="AL140" s="358"/>
      <c r="AM140" s="358"/>
      <c r="AN140" s="358"/>
      <c r="AO140" s="358"/>
      <c r="AP140" s="358"/>
      <c r="AQ140" s="358"/>
      <c r="AR140" s="358"/>
      <c r="AS140" s="358"/>
      <c r="AT140" s="358"/>
      <c r="AU140" s="358"/>
      <c r="AV140" s="358"/>
      <c r="AW140" s="358"/>
      <c r="AX140" s="358"/>
      <c r="AY140" s="358"/>
      <c r="AZ140" s="358"/>
      <c r="BA140" s="358"/>
      <c r="BB140" s="358"/>
      <c r="BC140" s="358"/>
      <c r="BD140" s="425"/>
      <c r="BE140" s="426"/>
      <c r="BF140" s="426"/>
      <c r="BG140" s="426"/>
      <c r="BH140" s="426"/>
      <c r="BI140" s="426"/>
      <c r="BJ140" s="426"/>
      <c r="BK140" s="426"/>
      <c r="BL140" s="426"/>
      <c r="BM140" s="426"/>
      <c r="BN140" s="426"/>
      <c r="BO140" s="426"/>
      <c r="BP140" s="426"/>
      <c r="BQ140" s="426"/>
      <c r="BR140" s="426"/>
      <c r="BS140" s="426"/>
      <c r="BT140" s="426"/>
      <c r="BU140" s="426"/>
      <c r="BV140" s="426"/>
      <c r="BW140" s="426"/>
      <c r="BX140" s="426"/>
      <c r="BY140" s="426"/>
      <c r="BZ140" s="426"/>
      <c r="CA140" s="426"/>
      <c r="CB140" s="426"/>
      <c r="CC140" s="426"/>
      <c r="CD140" s="426"/>
      <c r="CE140" s="426"/>
      <c r="CF140" s="426"/>
      <c r="CG140" s="426"/>
      <c r="CH140" s="426"/>
      <c r="CI140" s="426"/>
      <c r="CJ140" s="427"/>
      <c r="CK140" s="358"/>
      <c r="CL140" s="358"/>
      <c r="CM140" s="358"/>
      <c r="CN140" s="358"/>
      <c r="CO140" s="358"/>
      <c r="CP140" s="358"/>
      <c r="CQ140" s="358"/>
      <c r="CR140" s="358"/>
      <c r="CS140" s="358"/>
      <c r="CT140" s="358"/>
      <c r="CU140" s="358"/>
      <c r="CV140" s="358"/>
      <c r="CW140" s="358"/>
      <c r="CX140" s="358"/>
      <c r="CY140" s="358"/>
      <c r="CZ140" s="358"/>
      <c r="DA140" s="358"/>
      <c r="DB140" s="358"/>
      <c r="DC140" s="358"/>
      <c r="DD140" s="358"/>
      <c r="DE140" s="358"/>
      <c r="DF140" s="358"/>
      <c r="DG140" s="358"/>
      <c r="DH140" s="358"/>
      <c r="DI140" s="358"/>
      <c r="DJ140" s="358"/>
      <c r="DK140" s="358"/>
      <c r="DL140" s="358"/>
      <c r="DM140" s="358"/>
      <c r="DN140" s="358"/>
      <c r="DO140" s="358"/>
      <c r="DP140" s="358"/>
      <c r="DQ140" s="358"/>
      <c r="DR140" s="358"/>
      <c r="DS140" s="358"/>
      <c r="DT140" s="358"/>
      <c r="DU140" s="358"/>
      <c r="DV140" s="358"/>
      <c r="DW140" s="358"/>
      <c r="DX140" s="358"/>
      <c r="DY140" s="358"/>
      <c r="DZ140" s="358"/>
      <c r="EA140" s="358"/>
      <c r="EB140" s="358"/>
      <c r="EC140" s="358"/>
      <c r="ED140" s="358"/>
      <c r="EE140" s="358"/>
      <c r="EF140" s="358"/>
      <c r="EG140" s="358"/>
      <c r="EH140" s="358"/>
      <c r="EI140" s="358"/>
      <c r="EJ140" s="358"/>
      <c r="EK140" s="358"/>
      <c r="EL140" s="358"/>
      <c r="EM140" s="358"/>
      <c r="EN140" s="358"/>
      <c r="EO140" s="358"/>
      <c r="EP140" s="358"/>
      <c r="EQ140" s="358"/>
      <c r="ER140" s="358"/>
      <c r="ES140" s="358"/>
      <c r="ET140" s="358"/>
      <c r="EU140" s="358"/>
      <c r="EV140" s="358"/>
      <c r="EW140" s="358"/>
      <c r="EX140" s="358"/>
      <c r="EY140" s="358"/>
      <c r="EZ140" s="371"/>
    </row>
    <row r="141" spans="1:156" s="251" customFormat="1" ht="12" customHeight="1" x14ac:dyDescent="0.35">
      <c r="A141" s="275"/>
      <c r="B141" s="1839" t="s">
        <v>295</v>
      </c>
      <c r="C141" s="1839"/>
      <c r="D141" s="1839"/>
      <c r="E141" s="346"/>
      <c r="F141" s="347"/>
      <c r="G141" s="347"/>
      <c r="H141" s="347"/>
      <c r="I141" s="1840" t="s">
        <v>296</v>
      </c>
      <c r="J141" s="1840"/>
      <c r="K141" s="1840"/>
      <c r="L141" s="273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357"/>
      <c r="AL141" s="358"/>
      <c r="AM141" s="358"/>
      <c r="AN141" s="358"/>
      <c r="AO141" s="358"/>
      <c r="AP141" s="358"/>
      <c r="AQ141" s="358"/>
      <c r="AR141" s="358"/>
      <c r="AS141" s="358"/>
      <c r="AT141" s="358"/>
      <c r="AU141" s="358"/>
      <c r="AV141" s="358"/>
      <c r="AW141" s="358"/>
      <c r="AX141" s="358"/>
      <c r="AY141" s="358"/>
      <c r="AZ141" s="358"/>
      <c r="BA141" s="358"/>
      <c r="BB141" s="358"/>
      <c r="BC141" s="358"/>
      <c r="BD141" s="358"/>
      <c r="BE141" s="358"/>
      <c r="BF141" s="358"/>
      <c r="BG141" s="358"/>
      <c r="BH141" s="358"/>
      <c r="BI141" s="358"/>
      <c r="BJ141" s="358"/>
      <c r="BK141" s="358"/>
      <c r="BL141" s="358"/>
      <c r="BM141" s="358"/>
      <c r="BN141" s="358"/>
      <c r="BO141" s="358"/>
      <c r="BP141" s="358"/>
      <c r="BQ141" s="358"/>
      <c r="BR141" s="358"/>
      <c r="BS141" s="358"/>
      <c r="BT141" s="358"/>
      <c r="BU141" s="358"/>
      <c r="BV141" s="358"/>
      <c r="BW141" s="358"/>
      <c r="BX141" s="358"/>
      <c r="BY141" s="358"/>
      <c r="BZ141" s="358"/>
      <c r="CA141" s="358"/>
      <c r="CB141" s="358"/>
      <c r="CC141" s="358"/>
      <c r="CD141" s="358"/>
      <c r="CE141" s="358"/>
      <c r="CF141" s="358"/>
      <c r="CG141" s="358"/>
      <c r="CH141" s="358"/>
      <c r="CI141" s="358"/>
      <c r="CJ141" s="358"/>
      <c r="CK141" s="358"/>
      <c r="CL141" s="358"/>
      <c r="CM141" s="358"/>
      <c r="CN141" s="358"/>
      <c r="CO141" s="358"/>
      <c r="CP141" s="358"/>
      <c r="CQ141" s="358"/>
      <c r="CR141" s="358"/>
      <c r="CS141" s="358"/>
      <c r="CT141" s="358"/>
      <c r="CU141" s="358"/>
      <c r="CV141" s="358"/>
      <c r="CW141" s="358"/>
      <c r="CX141" s="358"/>
      <c r="CY141" s="358"/>
      <c r="CZ141" s="358"/>
      <c r="DA141" s="358"/>
      <c r="DB141" s="358"/>
      <c r="DC141" s="358"/>
      <c r="DD141" s="358"/>
      <c r="DE141" s="358"/>
      <c r="DF141" s="358"/>
      <c r="DG141" s="358"/>
      <c r="DH141" s="358"/>
      <c r="DI141" s="358"/>
      <c r="DJ141" s="358"/>
      <c r="DK141" s="358"/>
      <c r="DL141" s="358"/>
      <c r="DM141" s="358"/>
      <c r="DN141" s="358"/>
      <c r="DO141" s="358"/>
      <c r="DP141" s="358"/>
      <c r="DQ141" s="358"/>
      <c r="DR141" s="358"/>
      <c r="DS141" s="358"/>
      <c r="DT141" s="358"/>
      <c r="DU141" s="358"/>
      <c r="DV141" s="358"/>
      <c r="DW141" s="358"/>
      <c r="DX141" s="358"/>
      <c r="DY141" s="358"/>
      <c r="DZ141" s="358"/>
      <c r="EA141" s="358"/>
      <c r="EB141" s="358"/>
      <c r="EC141" s="358"/>
      <c r="ED141" s="358"/>
      <c r="EE141" s="358"/>
      <c r="EF141" s="358"/>
      <c r="EG141" s="358"/>
      <c r="EH141" s="358"/>
      <c r="EI141" s="358"/>
      <c r="EJ141" s="358"/>
      <c r="EK141" s="358"/>
      <c r="EL141" s="358"/>
      <c r="EM141" s="358"/>
      <c r="EN141" s="358"/>
      <c r="EO141" s="358"/>
      <c r="EP141" s="358"/>
      <c r="EQ141" s="358"/>
      <c r="ER141" s="358"/>
      <c r="ES141" s="358"/>
      <c r="ET141" s="358"/>
      <c r="EU141" s="358"/>
      <c r="EV141" s="358"/>
      <c r="EW141" s="358"/>
      <c r="EX141" s="358"/>
      <c r="EY141" s="358"/>
      <c r="EZ141" s="371"/>
    </row>
    <row r="142" spans="1:156" s="251" customFormat="1" ht="14.15" customHeight="1" x14ac:dyDescent="0.35">
      <c r="A142" s="1706"/>
      <c r="B142" s="1707"/>
      <c r="C142" s="1708"/>
      <c r="D142" s="1712" t="s">
        <v>208</v>
      </c>
      <c r="E142" s="1713"/>
      <c r="F142" s="1713"/>
      <c r="G142" s="1713"/>
      <c r="H142" s="1713"/>
      <c r="I142" s="1713"/>
      <c r="J142" s="1713"/>
      <c r="K142" s="1841"/>
      <c r="L142" s="714" t="s">
        <v>292</v>
      </c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357"/>
      <c r="AL142" s="358"/>
      <c r="AM142" s="358"/>
      <c r="AN142" s="358"/>
      <c r="AO142" s="358"/>
      <c r="AP142" s="358"/>
      <c r="AQ142" s="358"/>
      <c r="AR142" s="358"/>
      <c r="AS142" s="358"/>
      <c r="AT142" s="358"/>
      <c r="AU142" s="358"/>
      <c r="AV142" s="358"/>
      <c r="AW142" s="358"/>
      <c r="AX142" s="358"/>
      <c r="AY142" s="358"/>
      <c r="AZ142" s="358"/>
      <c r="BA142" s="358"/>
      <c r="BB142" s="358"/>
      <c r="BC142" s="358"/>
      <c r="BD142" s="358"/>
      <c r="BE142" s="358"/>
      <c r="BF142" s="358"/>
      <c r="BG142" s="358"/>
      <c r="BH142" s="358"/>
      <c r="BI142" s="358"/>
      <c r="BJ142" s="358"/>
      <c r="BK142" s="358"/>
      <c r="BL142" s="358"/>
      <c r="BM142" s="358"/>
      <c r="BN142" s="358"/>
      <c r="BO142" s="358"/>
      <c r="BP142" s="358"/>
      <c r="BQ142" s="358"/>
      <c r="BR142" s="358"/>
      <c r="BS142" s="358"/>
      <c r="BT142" s="358"/>
      <c r="BU142" s="358"/>
      <c r="BV142" s="358"/>
      <c r="BW142" s="358"/>
      <c r="BX142" s="358"/>
      <c r="BY142" s="358"/>
      <c r="BZ142" s="358"/>
      <c r="CA142" s="358"/>
      <c r="CB142" s="358"/>
      <c r="CC142" s="358"/>
      <c r="CD142" s="358"/>
      <c r="CE142" s="358"/>
      <c r="CF142" s="358"/>
      <c r="CG142" s="358"/>
      <c r="CH142" s="358"/>
      <c r="CI142" s="358"/>
      <c r="CJ142" s="358"/>
      <c r="CK142" s="358"/>
      <c r="CL142" s="358"/>
      <c r="CM142" s="358"/>
      <c r="CN142" s="358"/>
      <c r="CO142" s="358"/>
      <c r="CP142" s="358"/>
      <c r="CQ142" s="358"/>
      <c r="CR142" s="358"/>
      <c r="CS142" s="358"/>
      <c r="CT142" s="358"/>
      <c r="CU142" s="358"/>
      <c r="CV142" s="358"/>
      <c r="CW142" s="358"/>
      <c r="CX142" s="358"/>
      <c r="CY142" s="358"/>
      <c r="CZ142" s="358"/>
      <c r="DA142" s="358"/>
      <c r="DB142" s="358"/>
      <c r="DC142" s="358"/>
      <c r="DD142" s="358"/>
      <c r="DE142" s="358"/>
      <c r="DF142" s="358"/>
      <c r="DG142" s="358"/>
      <c r="DH142" s="358"/>
      <c r="DI142" s="358"/>
      <c r="DJ142" s="358"/>
      <c r="DK142" s="358"/>
      <c r="DL142" s="358"/>
      <c r="DM142" s="358"/>
      <c r="DN142" s="358"/>
      <c r="DO142" s="358"/>
      <c r="DP142" s="358"/>
      <c r="DQ142" s="358"/>
      <c r="DR142" s="358"/>
      <c r="DS142" s="358"/>
      <c r="DT142" s="358"/>
      <c r="DU142" s="358"/>
      <c r="DV142" s="358"/>
      <c r="DW142" s="358"/>
      <c r="DX142" s="358"/>
      <c r="DY142" s="358"/>
      <c r="DZ142" s="358"/>
      <c r="EA142" s="358"/>
      <c r="EB142" s="358"/>
      <c r="EC142" s="358"/>
      <c r="ED142" s="358"/>
      <c r="EE142" s="358"/>
      <c r="EF142" s="358"/>
      <c r="EG142" s="358"/>
      <c r="EH142" s="358"/>
      <c r="EI142" s="358"/>
      <c r="EJ142" s="358"/>
      <c r="EK142" s="358"/>
      <c r="EL142" s="358"/>
      <c r="EM142" s="358"/>
      <c r="EN142" s="358"/>
      <c r="EO142" s="358"/>
      <c r="EP142" s="358"/>
      <c r="EQ142" s="358"/>
      <c r="ER142" s="358"/>
      <c r="ES142" s="358"/>
      <c r="ET142" s="358"/>
      <c r="EU142" s="358"/>
      <c r="EV142" s="358"/>
      <c r="EW142" s="358"/>
      <c r="EX142" s="358"/>
      <c r="EY142" s="358"/>
      <c r="EZ142" s="371"/>
    </row>
    <row r="143" spans="1:156" s="251" customFormat="1" ht="14.15" customHeight="1" x14ac:dyDescent="0.35">
      <c r="A143" s="1709"/>
      <c r="B143" s="1710"/>
      <c r="C143" s="1711"/>
      <c r="D143" s="1714"/>
      <c r="E143" s="1715"/>
      <c r="F143" s="1715"/>
      <c r="G143" s="1715"/>
      <c r="H143" s="1715"/>
      <c r="I143" s="1715"/>
      <c r="J143" s="1715"/>
      <c r="K143" s="1805"/>
      <c r="L143" s="348" t="s">
        <v>300</v>
      </c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421"/>
      <c r="AL143" s="358"/>
      <c r="AM143" s="358"/>
      <c r="AN143" s="358"/>
      <c r="AO143" s="358"/>
      <c r="AP143" s="358"/>
      <c r="AQ143" s="358"/>
      <c r="AR143" s="358"/>
      <c r="AS143" s="358"/>
      <c r="AT143" s="358"/>
      <c r="AU143" s="358"/>
      <c r="AV143" s="358"/>
      <c r="AW143" s="358"/>
      <c r="AX143" s="358"/>
      <c r="AY143" s="358"/>
      <c r="AZ143" s="358"/>
      <c r="BA143" s="358"/>
      <c r="BB143" s="358"/>
      <c r="BC143" s="358"/>
      <c r="BD143" s="358"/>
      <c r="BE143" s="358"/>
      <c r="BF143" s="358"/>
      <c r="BG143" s="358"/>
      <c r="BH143" s="358"/>
      <c r="BI143" s="358"/>
      <c r="BJ143" s="358"/>
      <c r="BK143" s="358"/>
      <c r="BL143" s="358"/>
      <c r="BM143" s="358"/>
      <c r="BN143" s="358"/>
      <c r="BO143" s="358"/>
      <c r="BP143" s="358"/>
      <c r="BQ143" s="358"/>
      <c r="BR143" s="358"/>
      <c r="BS143" s="358"/>
      <c r="BT143" s="358"/>
      <c r="BU143" s="358"/>
      <c r="BV143" s="358"/>
      <c r="BW143" s="358"/>
      <c r="BX143" s="358"/>
      <c r="BY143" s="358"/>
      <c r="BZ143" s="358"/>
      <c r="CA143" s="358"/>
      <c r="CB143" s="358"/>
      <c r="CC143" s="358"/>
      <c r="CD143" s="358"/>
      <c r="CE143" s="358"/>
      <c r="CF143" s="358"/>
      <c r="CG143" s="358"/>
      <c r="CH143" s="358"/>
      <c r="CI143" s="358"/>
      <c r="CJ143" s="358"/>
      <c r="CK143" s="358"/>
      <c r="CL143" s="358"/>
      <c r="CM143" s="358"/>
      <c r="CN143" s="358"/>
      <c r="CO143" s="358"/>
      <c r="CP143" s="358"/>
      <c r="CQ143" s="358"/>
      <c r="CR143" s="358"/>
      <c r="CS143" s="358"/>
      <c r="CT143" s="358"/>
      <c r="CU143" s="358"/>
      <c r="CV143" s="358"/>
      <c r="CW143" s="358"/>
      <c r="CX143" s="358"/>
      <c r="CY143" s="358"/>
      <c r="CZ143" s="358"/>
      <c r="DA143" s="358"/>
      <c r="DB143" s="358"/>
      <c r="DC143" s="358"/>
      <c r="DD143" s="358"/>
      <c r="DE143" s="358"/>
      <c r="DF143" s="358"/>
      <c r="DG143" s="358"/>
      <c r="DH143" s="358"/>
      <c r="DI143" s="358"/>
      <c r="DJ143" s="358"/>
      <c r="DK143" s="358"/>
      <c r="DL143" s="358"/>
      <c r="DM143" s="358"/>
      <c r="DN143" s="358"/>
      <c r="DO143" s="358"/>
      <c r="DP143" s="358"/>
      <c r="DQ143" s="358"/>
      <c r="DR143" s="358"/>
      <c r="DS143" s="358"/>
      <c r="DT143" s="358"/>
      <c r="DU143" s="358"/>
      <c r="DV143" s="358"/>
      <c r="DW143" s="358"/>
      <c r="DX143" s="358"/>
      <c r="DY143" s="358"/>
      <c r="DZ143" s="358"/>
      <c r="EA143" s="358"/>
      <c r="EB143" s="358"/>
      <c r="EC143" s="358"/>
      <c r="ED143" s="358"/>
      <c r="EE143" s="358"/>
      <c r="EF143" s="358"/>
      <c r="EG143" s="358"/>
      <c r="EH143" s="358"/>
      <c r="EI143" s="358"/>
      <c r="EJ143" s="358"/>
      <c r="EK143" s="358"/>
      <c r="EL143" s="358"/>
      <c r="EM143" s="358"/>
      <c r="EN143" s="358"/>
      <c r="EO143" s="358"/>
      <c r="EP143" s="358"/>
      <c r="EQ143" s="358"/>
      <c r="ER143" s="358"/>
      <c r="ES143" s="358"/>
      <c r="ET143" s="358"/>
      <c r="EU143" s="358"/>
      <c r="EV143" s="358"/>
      <c r="EW143" s="358"/>
      <c r="EX143" s="358"/>
      <c r="EY143" s="358"/>
      <c r="EZ143" s="371"/>
    </row>
    <row r="144" spans="1:156" s="251" customFormat="1" ht="14.15" customHeight="1" x14ac:dyDescent="0.3">
      <c r="A144" s="1718"/>
      <c r="B144" s="1719"/>
      <c r="C144" s="1720"/>
      <c r="D144" s="1714"/>
      <c r="E144" s="1715"/>
      <c r="F144" s="1715"/>
      <c r="G144" s="1715"/>
      <c r="H144" s="1715"/>
      <c r="I144" s="1715"/>
      <c r="J144" s="1715"/>
      <c r="K144" s="1805"/>
      <c r="L144" s="714" t="s">
        <v>151</v>
      </c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421"/>
      <c r="AL144" s="358"/>
      <c r="AM144" s="358"/>
      <c r="AN144" s="358"/>
      <c r="AO144" s="358"/>
      <c r="AP144" s="358"/>
      <c r="AQ144" s="358"/>
      <c r="AR144" s="358"/>
      <c r="AS144" s="358"/>
      <c r="AT144" s="358"/>
      <c r="AU144" s="358"/>
      <c r="AV144" s="358"/>
      <c r="AW144" s="358"/>
      <c r="AX144" s="358"/>
      <c r="AY144" s="358"/>
      <c r="AZ144" s="358"/>
      <c r="BA144" s="358"/>
      <c r="BB144" s="358"/>
      <c r="BC144" s="358"/>
      <c r="BD144" s="358"/>
      <c r="BE144" s="358"/>
      <c r="BF144" s="358"/>
      <c r="BG144" s="358"/>
      <c r="BH144" s="358"/>
      <c r="BI144" s="358"/>
      <c r="BJ144" s="358"/>
      <c r="BK144" s="358"/>
      <c r="BL144" s="358"/>
      <c r="BM144" s="358"/>
      <c r="BN144" s="358"/>
      <c r="BO144" s="358"/>
      <c r="BP144" s="358"/>
      <c r="BQ144" s="358"/>
      <c r="BR144" s="358"/>
      <c r="BS144" s="358"/>
      <c r="BT144" s="358"/>
      <c r="BU144" s="358"/>
      <c r="BV144" s="358"/>
      <c r="BW144" s="358"/>
      <c r="BX144" s="358"/>
      <c r="BY144" s="358"/>
      <c r="BZ144" s="358"/>
      <c r="CA144" s="358"/>
      <c r="CB144" s="358"/>
      <c r="CC144" s="358"/>
      <c r="CD144" s="358"/>
      <c r="CE144" s="358"/>
      <c r="CF144" s="358"/>
      <c r="CG144" s="358"/>
      <c r="CH144" s="358"/>
      <c r="CI144" s="358"/>
      <c r="CJ144" s="358"/>
      <c r="CK144" s="358"/>
      <c r="CL144" s="358"/>
      <c r="CM144" s="358"/>
      <c r="CN144" s="358"/>
      <c r="CO144" s="358"/>
      <c r="CP144" s="358"/>
      <c r="CQ144" s="358"/>
      <c r="CR144" s="358"/>
      <c r="CS144" s="358"/>
      <c r="CT144" s="358"/>
      <c r="CU144" s="358"/>
      <c r="CV144" s="358"/>
      <c r="CW144" s="358"/>
      <c r="CX144" s="358"/>
      <c r="CY144" s="358"/>
      <c r="CZ144" s="358"/>
      <c r="DA144" s="358"/>
      <c r="DB144" s="358"/>
      <c r="DC144" s="358"/>
      <c r="DD144" s="358"/>
      <c r="DE144" s="358"/>
      <c r="DF144" s="358"/>
      <c r="DG144" s="358"/>
      <c r="DH144" s="358"/>
      <c r="DI144" s="358"/>
      <c r="DJ144" s="358"/>
      <c r="DK144" s="358"/>
      <c r="DL144" s="358"/>
      <c r="DM144" s="358"/>
      <c r="DN144" s="358"/>
      <c r="DO144" s="358"/>
      <c r="DP144" s="358"/>
      <c r="DQ144" s="358"/>
      <c r="DR144" s="358"/>
      <c r="DS144" s="358"/>
      <c r="DT144" s="358"/>
      <c r="DU144" s="358"/>
      <c r="DV144" s="358"/>
      <c r="DW144" s="358"/>
      <c r="DX144" s="358"/>
      <c r="DY144" s="358"/>
      <c r="DZ144" s="358"/>
      <c r="EA144" s="358"/>
      <c r="EB144" s="358"/>
      <c r="EC144" s="358"/>
      <c r="ED144" s="358"/>
      <c r="EE144" s="358"/>
      <c r="EF144" s="358"/>
      <c r="EG144" s="358"/>
      <c r="EH144" s="358"/>
      <c r="EI144" s="358"/>
      <c r="EJ144" s="358"/>
      <c r="EK144" s="358"/>
      <c r="EL144" s="358"/>
      <c r="EM144" s="358"/>
      <c r="EN144" s="358"/>
      <c r="EO144" s="358"/>
      <c r="EP144" s="358"/>
      <c r="EQ144" s="358"/>
      <c r="ER144" s="358"/>
      <c r="ES144" s="358"/>
      <c r="ET144" s="358"/>
      <c r="EU144" s="358"/>
      <c r="EV144" s="358"/>
      <c r="EW144" s="358"/>
      <c r="EX144" s="358"/>
      <c r="EY144" s="358"/>
      <c r="EZ144" s="371"/>
    </row>
    <row r="145" spans="1:156" s="251" customFormat="1" ht="14.15" customHeight="1" x14ac:dyDescent="0.3">
      <c r="A145" s="1723"/>
      <c r="B145" s="1724"/>
      <c r="C145" s="1725"/>
      <c r="D145" s="1716"/>
      <c r="E145" s="1717"/>
      <c r="F145" s="1717"/>
      <c r="G145" s="1717"/>
      <c r="H145" s="1717"/>
      <c r="I145" s="1717"/>
      <c r="J145" s="1717"/>
      <c r="K145" s="1806"/>
      <c r="L145" s="349">
        <f ca="1">IF(OR($N$2="",$N$2=0),"",IF(INDIRECT(ADDRESS(($AK145),COLUMN()-7,,,"Digitar Dados dos Ensaios"))&lt;&gt;"",INDIRECT(ADDRESS(($AK145),COLUMN()-7,,,"Digitar Dados dos Ensaios")),""))</f>
        <v>1</v>
      </c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421">
        <f>AK1+2</f>
        <v>6</v>
      </c>
      <c r="AL145" s="358"/>
      <c r="AM145" s="358"/>
      <c r="AN145" s="358"/>
      <c r="AO145" s="358"/>
      <c r="AP145" s="358"/>
      <c r="AQ145" s="358"/>
      <c r="AR145" s="358"/>
      <c r="AS145" s="358"/>
      <c r="AT145" s="358"/>
      <c r="AU145" s="358"/>
      <c r="AV145" s="358"/>
      <c r="AW145" s="358"/>
      <c r="AX145" s="358"/>
      <c r="AY145" s="358"/>
      <c r="AZ145" s="358"/>
      <c r="BA145" s="358"/>
      <c r="BB145" s="358"/>
      <c r="BC145" s="358"/>
      <c r="BD145" s="358"/>
      <c r="BE145" s="358"/>
      <c r="BF145" s="358"/>
      <c r="BG145" s="358"/>
      <c r="BH145" s="358"/>
      <c r="BI145" s="358"/>
      <c r="BJ145" s="358"/>
      <c r="BK145" s="358"/>
      <c r="BL145" s="358"/>
      <c r="BM145" s="358"/>
      <c r="BN145" s="358"/>
      <c r="BO145" s="358"/>
      <c r="BP145" s="358"/>
      <c r="BQ145" s="358"/>
      <c r="BR145" s="358"/>
      <c r="BS145" s="358"/>
      <c r="BT145" s="358"/>
      <c r="BU145" s="358"/>
      <c r="BV145" s="358"/>
      <c r="BW145" s="358"/>
      <c r="BX145" s="358"/>
      <c r="BY145" s="358"/>
      <c r="BZ145" s="358"/>
      <c r="CA145" s="358"/>
      <c r="CB145" s="358"/>
      <c r="CC145" s="358"/>
      <c r="CD145" s="358"/>
      <c r="CE145" s="358"/>
      <c r="CF145" s="358"/>
      <c r="CG145" s="358"/>
      <c r="CH145" s="358"/>
      <c r="CI145" s="358"/>
      <c r="CJ145" s="358"/>
      <c r="CK145" s="358"/>
      <c r="CL145" s="358"/>
      <c r="CM145" s="358"/>
      <c r="CN145" s="358"/>
      <c r="CO145" s="358"/>
      <c r="CP145" s="358"/>
      <c r="CQ145" s="358"/>
      <c r="CR145" s="358"/>
      <c r="CS145" s="358"/>
      <c r="CT145" s="358"/>
      <c r="CU145" s="358"/>
      <c r="CV145" s="358"/>
      <c r="CW145" s="358"/>
      <c r="CX145" s="358"/>
      <c r="CY145" s="358"/>
      <c r="CZ145" s="358"/>
      <c r="DA145" s="358"/>
      <c r="DB145" s="358"/>
      <c r="DC145" s="358"/>
      <c r="DD145" s="358"/>
      <c r="DE145" s="358"/>
      <c r="DF145" s="358"/>
      <c r="DG145" s="358"/>
      <c r="DH145" s="358"/>
      <c r="DI145" s="358"/>
      <c r="DJ145" s="358"/>
      <c r="DK145" s="358"/>
      <c r="DL145" s="358"/>
      <c r="DM145" s="358"/>
      <c r="DN145" s="358"/>
      <c r="DO145" s="358"/>
      <c r="DP145" s="358"/>
      <c r="DQ145" s="358"/>
      <c r="DR145" s="358"/>
      <c r="DS145" s="358"/>
      <c r="DT145" s="358"/>
      <c r="DU145" s="358"/>
      <c r="DV145" s="358"/>
      <c r="DW145" s="358"/>
      <c r="DX145" s="358"/>
      <c r="DY145" s="358"/>
      <c r="DZ145" s="358"/>
      <c r="EA145" s="358"/>
      <c r="EB145" s="358"/>
      <c r="EC145" s="358"/>
      <c r="ED145" s="358"/>
      <c r="EE145" s="358"/>
      <c r="EF145" s="358"/>
      <c r="EG145" s="358"/>
      <c r="EH145" s="358"/>
      <c r="EI145" s="358"/>
      <c r="EJ145" s="358"/>
      <c r="EK145" s="358"/>
      <c r="EL145" s="358"/>
      <c r="EM145" s="358"/>
      <c r="EN145" s="358"/>
      <c r="EO145" s="358"/>
      <c r="EP145" s="358"/>
      <c r="EQ145" s="358"/>
      <c r="ER145" s="358"/>
      <c r="ES145" s="358"/>
      <c r="ET145" s="358"/>
      <c r="EU145" s="358"/>
      <c r="EV145" s="358"/>
      <c r="EW145" s="358"/>
      <c r="EX145" s="358"/>
      <c r="EY145" s="358"/>
      <c r="EZ145" s="371"/>
    </row>
    <row r="146" spans="1:156" s="251" customFormat="1" ht="5.15" customHeight="1" x14ac:dyDescent="0.35">
      <c r="A146" s="228"/>
      <c r="B146" s="228"/>
      <c r="C146" s="245"/>
      <c r="D146" s="228"/>
      <c r="E146" s="228"/>
      <c r="F146" s="245"/>
      <c r="G146" s="229"/>
      <c r="H146" s="260"/>
      <c r="I146" s="260"/>
      <c r="J146" s="260"/>
      <c r="K146" s="260"/>
      <c r="L146" s="260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421"/>
      <c r="AL146" s="358"/>
      <c r="AM146" s="358"/>
      <c r="AN146" s="358"/>
      <c r="AO146" s="358"/>
      <c r="AP146" s="358"/>
      <c r="AQ146" s="358"/>
      <c r="AR146" s="358"/>
      <c r="AS146" s="358"/>
      <c r="AT146" s="358"/>
      <c r="AU146" s="358"/>
      <c r="AV146" s="358"/>
      <c r="AW146" s="358"/>
      <c r="AX146" s="358"/>
      <c r="AY146" s="358"/>
      <c r="AZ146" s="358"/>
      <c r="BA146" s="358"/>
      <c r="BB146" s="358"/>
      <c r="BC146" s="358"/>
      <c r="BD146" s="358"/>
      <c r="BE146" s="358"/>
      <c r="BF146" s="358"/>
      <c r="BG146" s="358"/>
      <c r="BH146" s="358"/>
      <c r="BI146" s="358"/>
      <c r="BJ146" s="358"/>
      <c r="BK146" s="358"/>
      <c r="BL146" s="358"/>
      <c r="BM146" s="358"/>
      <c r="BN146" s="358"/>
      <c r="BO146" s="358"/>
      <c r="BP146" s="358"/>
      <c r="BQ146" s="358"/>
      <c r="BR146" s="358"/>
      <c r="BS146" s="358"/>
      <c r="BT146" s="358"/>
      <c r="BU146" s="358"/>
      <c r="BV146" s="358"/>
      <c r="BW146" s="358"/>
      <c r="BX146" s="358"/>
      <c r="BY146" s="358"/>
      <c r="BZ146" s="358"/>
      <c r="CA146" s="358"/>
      <c r="CB146" s="358"/>
      <c r="CC146" s="358"/>
      <c r="CD146" s="358"/>
      <c r="CE146" s="358"/>
      <c r="CF146" s="358"/>
      <c r="CG146" s="358"/>
      <c r="CH146" s="358"/>
      <c r="CI146" s="358"/>
      <c r="CJ146" s="358"/>
      <c r="CK146" s="358"/>
      <c r="CL146" s="358"/>
      <c r="CM146" s="358"/>
      <c r="CN146" s="358"/>
      <c r="CO146" s="358"/>
      <c r="CP146" s="358"/>
      <c r="CQ146" s="358"/>
      <c r="CR146" s="358"/>
      <c r="CS146" s="358"/>
      <c r="CT146" s="358"/>
      <c r="CU146" s="358"/>
      <c r="CV146" s="358"/>
      <c r="CW146" s="358"/>
      <c r="CX146" s="358"/>
      <c r="CY146" s="358"/>
      <c r="CZ146" s="358"/>
      <c r="DA146" s="358"/>
      <c r="DB146" s="358"/>
      <c r="DC146" s="358"/>
      <c r="DD146" s="358"/>
      <c r="DE146" s="358"/>
      <c r="DF146" s="358"/>
      <c r="DG146" s="358"/>
      <c r="DH146" s="358"/>
      <c r="DI146" s="358"/>
      <c r="DJ146" s="358"/>
      <c r="DK146" s="358"/>
      <c r="DL146" s="358"/>
      <c r="DM146" s="358"/>
      <c r="DN146" s="358"/>
      <c r="DO146" s="358"/>
      <c r="DP146" s="358"/>
      <c r="DQ146" s="358"/>
      <c r="DR146" s="358"/>
      <c r="DS146" s="358"/>
      <c r="DT146" s="358"/>
      <c r="DU146" s="358"/>
      <c r="DV146" s="358"/>
      <c r="DW146" s="358"/>
      <c r="DX146" s="358"/>
      <c r="DY146" s="358"/>
      <c r="DZ146" s="358"/>
      <c r="EA146" s="358"/>
      <c r="EB146" s="358"/>
      <c r="EC146" s="358"/>
      <c r="ED146" s="358"/>
      <c r="EE146" s="358"/>
      <c r="EF146" s="358"/>
      <c r="EG146" s="358"/>
      <c r="EH146" s="358"/>
      <c r="EI146" s="358"/>
      <c r="EJ146" s="358"/>
      <c r="EK146" s="358"/>
      <c r="EL146" s="358"/>
      <c r="EM146" s="358"/>
      <c r="EN146" s="358"/>
      <c r="EO146" s="358"/>
      <c r="EP146" s="358"/>
      <c r="EQ146" s="358"/>
      <c r="ER146" s="358"/>
      <c r="ES146" s="358"/>
      <c r="ET146" s="358"/>
      <c r="EU146" s="358"/>
      <c r="EV146" s="358"/>
      <c r="EW146" s="358"/>
      <c r="EX146" s="358"/>
      <c r="EY146" s="358"/>
      <c r="EZ146" s="371"/>
    </row>
    <row r="147" spans="1:156" s="251" customFormat="1" ht="12" customHeight="1" x14ac:dyDescent="0.35">
      <c r="A147" s="1843" t="s">
        <v>195</v>
      </c>
      <c r="B147" s="1844"/>
      <c r="C147" s="708" t="str">
        <f ca="1">IF(B6&lt;&gt;"",B6,"")</f>
        <v/>
      </c>
      <c r="D147" s="265" t="s">
        <v>156</v>
      </c>
      <c r="E147" s="1845" t="str">
        <f ca="1">IF(E6&lt;&gt;"",E6,"")</f>
        <v>-</v>
      </c>
      <c r="F147" s="1846" t="e">
        <f>IF(#REF!&lt;&gt;"",#REF!,"")</f>
        <v>#REF!</v>
      </c>
      <c r="G147" s="265" t="s">
        <v>196</v>
      </c>
      <c r="H147" s="1847" t="str">
        <f ca="1">IF(H6&lt;&gt;"",H6,"")</f>
        <v>AVALIAR</v>
      </c>
      <c r="I147" s="1848"/>
      <c r="J147" s="1848"/>
      <c r="K147" s="1848"/>
      <c r="L147" s="1849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421"/>
      <c r="AL147" s="358"/>
      <c r="AM147" s="358"/>
      <c r="AN147" s="358"/>
      <c r="AO147" s="358"/>
      <c r="AP147" s="358"/>
      <c r="AQ147" s="358"/>
      <c r="AR147" s="358"/>
      <c r="AS147" s="358"/>
      <c r="AT147" s="358"/>
      <c r="AU147" s="358"/>
      <c r="AV147" s="358"/>
      <c r="AW147" s="358"/>
      <c r="AX147" s="358"/>
      <c r="AY147" s="358"/>
      <c r="AZ147" s="358"/>
      <c r="BA147" s="358"/>
      <c r="BB147" s="358"/>
      <c r="BC147" s="358"/>
      <c r="BD147" s="358"/>
      <c r="BE147" s="358"/>
      <c r="BF147" s="358"/>
      <c r="BG147" s="358"/>
      <c r="BH147" s="358"/>
      <c r="BI147" s="358"/>
      <c r="BJ147" s="358"/>
      <c r="BK147" s="358"/>
      <c r="BL147" s="358"/>
      <c r="BM147" s="358"/>
      <c r="BN147" s="358"/>
      <c r="BO147" s="358"/>
      <c r="BP147" s="358"/>
      <c r="BQ147" s="358"/>
      <c r="BR147" s="358"/>
      <c r="BS147" s="358"/>
      <c r="BT147" s="358"/>
      <c r="BU147" s="358"/>
      <c r="BV147" s="358"/>
      <c r="BW147" s="358"/>
      <c r="BX147" s="358"/>
      <c r="BY147" s="358"/>
      <c r="BZ147" s="358"/>
      <c r="CA147" s="358"/>
      <c r="CB147" s="358"/>
      <c r="CC147" s="358"/>
      <c r="CD147" s="358"/>
      <c r="CE147" s="358"/>
      <c r="CF147" s="358"/>
      <c r="CG147" s="358"/>
      <c r="CH147" s="358"/>
      <c r="CI147" s="358"/>
      <c r="CJ147" s="358"/>
      <c r="CK147" s="358"/>
      <c r="CL147" s="358"/>
      <c r="CM147" s="358"/>
      <c r="CN147" s="358"/>
      <c r="CO147" s="358"/>
      <c r="CP147" s="358"/>
      <c r="CQ147" s="358"/>
      <c r="CR147" s="358"/>
      <c r="CS147" s="358"/>
      <c r="CT147" s="358"/>
      <c r="CU147" s="358"/>
      <c r="CV147" s="358"/>
      <c r="CW147" s="358"/>
      <c r="CX147" s="358"/>
      <c r="CY147" s="358"/>
      <c r="CZ147" s="358"/>
      <c r="DA147" s="358"/>
      <c r="DB147" s="358"/>
      <c r="DC147" s="358"/>
      <c r="DD147" s="358"/>
      <c r="DE147" s="358"/>
      <c r="DF147" s="358"/>
      <c r="DG147" s="358"/>
      <c r="DH147" s="358"/>
      <c r="DI147" s="358"/>
      <c r="DJ147" s="358"/>
      <c r="DK147" s="358"/>
      <c r="DL147" s="358"/>
      <c r="DM147" s="358"/>
      <c r="DN147" s="358"/>
      <c r="DO147" s="358"/>
      <c r="DP147" s="358"/>
      <c r="DQ147" s="358"/>
      <c r="DR147" s="358"/>
      <c r="DS147" s="358"/>
      <c r="DT147" s="358"/>
      <c r="DU147" s="358"/>
      <c r="DV147" s="358"/>
      <c r="DW147" s="358"/>
      <c r="DX147" s="358"/>
      <c r="DY147" s="358"/>
      <c r="DZ147" s="358"/>
      <c r="EA147" s="358"/>
      <c r="EB147" s="358"/>
      <c r="EC147" s="358"/>
      <c r="ED147" s="358"/>
      <c r="EE147" s="358"/>
      <c r="EF147" s="358"/>
      <c r="EG147" s="358"/>
      <c r="EH147" s="358"/>
      <c r="EI147" s="358"/>
      <c r="EJ147" s="358"/>
      <c r="EK147" s="358"/>
      <c r="EL147" s="358"/>
      <c r="EM147" s="358"/>
      <c r="EN147" s="358"/>
      <c r="EO147" s="358"/>
      <c r="EP147" s="358"/>
      <c r="EQ147" s="358"/>
      <c r="ER147" s="358"/>
      <c r="ES147" s="358"/>
      <c r="ET147" s="358"/>
      <c r="EU147" s="358"/>
      <c r="EV147" s="358"/>
      <c r="EW147" s="358"/>
      <c r="EX147" s="358"/>
      <c r="EY147" s="358"/>
      <c r="EZ147" s="371"/>
    </row>
    <row r="148" spans="1:156" s="251" customFormat="1" ht="5.15" customHeight="1" x14ac:dyDescent="0.35">
      <c r="A148" s="1795"/>
      <c r="B148" s="1795"/>
      <c r="C148" s="1795"/>
      <c r="D148" s="1795"/>
      <c r="E148" s="1795"/>
      <c r="F148" s="1795"/>
      <c r="G148" s="1795"/>
      <c r="H148" s="1795"/>
      <c r="I148" s="1795"/>
      <c r="J148" s="1795"/>
      <c r="K148" s="1795"/>
      <c r="L148" s="1795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421"/>
      <c r="AL148" s="358"/>
      <c r="AM148" s="358"/>
      <c r="AN148" s="358"/>
      <c r="AO148" s="358"/>
      <c r="AP148" s="358"/>
      <c r="AQ148" s="358"/>
      <c r="AR148" s="358"/>
      <c r="AS148" s="358"/>
      <c r="AT148" s="358"/>
      <c r="AU148" s="358"/>
      <c r="AV148" s="358"/>
      <c r="AW148" s="358"/>
      <c r="AX148" s="358"/>
      <c r="AY148" s="358"/>
      <c r="AZ148" s="358"/>
      <c r="BA148" s="358"/>
      <c r="BB148" s="358"/>
      <c r="BC148" s="358"/>
      <c r="BD148" s="358"/>
      <c r="BE148" s="358"/>
      <c r="BF148" s="358"/>
      <c r="BG148" s="358"/>
      <c r="BH148" s="358"/>
      <c r="BI148" s="358"/>
      <c r="BJ148" s="358"/>
      <c r="BK148" s="358"/>
      <c r="BL148" s="358"/>
      <c r="BM148" s="358"/>
      <c r="BN148" s="358"/>
      <c r="BO148" s="358"/>
      <c r="BP148" s="358"/>
      <c r="BQ148" s="358"/>
      <c r="BR148" s="358"/>
      <c r="BS148" s="358"/>
      <c r="BT148" s="358"/>
      <c r="BU148" s="358"/>
      <c r="BV148" s="358"/>
      <c r="BW148" s="358"/>
      <c r="BX148" s="358"/>
      <c r="BY148" s="358"/>
      <c r="BZ148" s="358"/>
      <c r="CA148" s="358"/>
      <c r="CB148" s="358"/>
      <c r="CC148" s="358"/>
      <c r="CD148" s="358"/>
      <c r="CE148" s="358"/>
      <c r="CF148" s="358"/>
      <c r="CG148" s="358"/>
      <c r="CH148" s="358"/>
      <c r="CI148" s="358"/>
      <c r="CJ148" s="358"/>
      <c r="CK148" s="358"/>
      <c r="CL148" s="358"/>
      <c r="CM148" s="358"/>
      <c r="CN148" s="358"/>
      <c r="CO148" s="358"/>
      <c r="CP148" s="358"/>
      <c r="CQ148" s="358"/>
      <c r="CR148" s="358"/>
      <c r="CS148" s="358"/>
      <c r="CT148" s="358"/>
      <c r="CU148" s="358"/>
      <c r="CV148" s="358"/>
      <c r="CW148" s="358"/>
      <c r="CX148" s="358"/>
      <c r="CY148" s="358"/>
      <c r="CZ148" s="358"/>
      <c r="DA148" s="358"/>
      <c r="DB148" s="358"/>
      <c r="DC148" s="358"/>
      <c r="DD148" s="358"/>
      <c r="DE148" s="358"/>
      <c r="DF148" s="358"/>
      <c r="DG148" s="358"/>
      <c r="DH148" s="358"/>
      <c r="DI148" s="358"/>
      <c r="DJ148" s="358"/>
      <c r="DK148" s="358"/>
      <c r="DL148" s="358"/>
      <c r="DM148" s="358"/>
      <c r="DN148" s="358"/>
      <c r="DO148" s="358"/>
      <c r="DP148" s="358"/>
      <c r="DQ148" s="358"/>
      <c r="DR148" s="358"/>
      <c r="DS148" s="358"/>
      <c r="DT148" s="358"/>
      <c r="DU148" s="358"/>
      <c r="DV148" s="358"/>
      <c r="DW148" s="358"/>
      <c r="DX148" s="358"/>
      <c r="DY148" s="358"/>
      <c r="DZ148" s="358"/>
      <c r="EA148" s="358"/>
      <c r="EB148" s="358"/>
      <c r="EC148" s="358"/>
      <c r="ED148" s="358"/>
      <c r="EE148" s="358"/>
      <c r="EF148" s="358"/>
      <c r="EG148" s="358"/>
      <c r="EH148" s="358"/>
      <c r="EI148" s="358"/>
      <c r="EJ148" s="358"/>
      <c r="EK148" s="358"/>
      <c r="EL148" s="358"/>
      <c r="EM148" s="358"/>
      <c r="EN148" s="358"/>
      <c r="EO148" s="358"/>
      <c r="EP148" s="358"/>
      <c r="EQ148" s="358"/>
      <c r="ER148" s="358"/>
      <c r="ES148" s="358"/>
      <c r="ET148" s="358"/>
      <c r="EU148" s="358"/>
      <c r="EV148" s="358"/>
      <c r="EW148" s="358"/>
      <c r="EX148" s="358"/>
      <c r="EY148" s="358"/>
      <c r="EZ148" s="371"/>
    </row>
    <row r="149" spans="1:156" s="251" customFormat="1" ht="14.15" customHeight="1" x14ac:dyDescent="0.35">
      <c r="A149" s="1850" t="s">
        <v>213</v>
      </c>
      <c r="B149" s="1851"/>
      <c r="C149" s="1851"/>
      <c r="D149" s="1851"/>
      <c r="E149" s="1851"/>
      <c r="F149" s="1851"/>
      <c r="G149" s="1851"/>
      <c r="H149" s="1851"/>
      <c r="I149" s="1851"/>
      <c r="J149" s="1852"/>
      <c r="K149" s="246" t="s">
        <v>57</v>
      </c>
      <c r="L149" s="294">
        <f ca="1">IF(OR($N$2="",$N$2=0),"",IF(INDIRECT(ADDRESS(($AK149),COLUMN()+52,,,"Digitar Dados dos Ensaios"))&lt;&gt;"",INDIRECT(ADDRESS(($AK149),COLUMN()+52,,,"Digitar Dados dos Ensaios")),""))</f>
        <v>45804</v>
      </c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421">
        <f>AK1+1</f>
        <v>5</v>
      </c>
      <c r="AL149" s="358"/>
      <c r="AM149" s="358"/>
      <c r="AN149" s="358"/>
      <c r="AO149" s="358"/>
      <c r="AP149" s="358"/>
      <c r="AQ149" s="358"/>
      <c r="AR149" s="358"/>
      <c r="AS149" s="358"/>
      <c r="AT149" s="358"/>
      <c r="AU149" s="358"/>
      <c r="AV149" s="358"/>
      <c r="AW149" s="358"/>
      <c r="AX149" s="358"/>
      <c r="AY149" s="358"/>
      <c r="AZ149" s="358"/>
      <c r="BA149" s="358"/>
      <c r="BB149" s="358"/>
      <c r="BC149" s="358"/>
      <c r="BD149" s="358"/>
      <c r="BE149" s="358"/>
      <c r="BF149" s="358"/>
      <c r="BG149" s="358"/>
      <c r="BH149" s="358"/>
      <c r="BI149" s="358"/>
      <c r="BJ149" s="358"/>
      <c r="BK149" s="358"/>
      <c r="BL149" s="358"/>
      <c r="BM149" s="358"/>
      <c r="BN149" s="358"/>
      <c r="BO149" s="358"/>
      <c r="BP149" s="358"/>
      <c r="BQ149" s="358"/>
      <c r="BR149" s="358"/>
      <c r="BS149" s="358"/>
      <c r="BT149" s="358"/>
      <c r="BU149" s="358"/>
      <c r="BV149" s="358"/>
      <c r="BW149" s="358"/>
      <c r="BX149" s="358"/>
      <c r="BY149" s="358"/>
      <c r="BZ149" s="358"/>
      <c r="CA149" s="358"/>
      <c r="CB149" s="358"/>
      <c r="CC149" s="358"/>
      <c r="CD149" s="358"/>
      <c r="CE149" s="358"/>
      <c r="CF149" s="358"/>
      <c r="CG149" s="358"/>
      <c r="CH149" s="358"/>
      <c r="CI149" s="358"/>
      <c r="CJ149" s="358"/>
      <c r="CK149" s="358"/>
      <c r="CL149" s="358"/>
      <c r="CM149" s="358"/>
      <c r="CN149" s="358"/>
      <c r="CO149" s="358"/>
      <c r="CP149" s="358"/>
      <c r="CQ149" s="358"/>
      <c r="CR149" s="358"/>
      <c r="CS149" s="358"/>
      <c r="CT149" s="358"/>
      <c r="CU149" s="358"/>
      <c r="CV149" s="358"/>
      <c r="CW149" s="358"/>
      <c r="CX149" s="358"/>
      <c r="CY149" s="358"/>
      <c r="CZ149" s="358"/>
      <c r="DA149" s="358"/>
      <c r="DB149" s="358"/>
      <c r="DC149" s="358"/>
      <c r="DD149" s="358"/>
      <c r="DE149" s="358"/>
      <c r="DF149" s="358"/>
      <c r="DG149" s="358"/>
      <c r="DH149" s="358"/>
      <c r="DI149" s="358"/>
      <c r="DJ149" s="358"/>
      <c r="DK149" s="358"/>
      <c r="DL149" s="358"/>
      <c r="DM149" s="358"/>
      <c r="DN149" s="358"/>
      <c r="DO149" s="358"/>
      <c r="DP149" s="358"/>
      <c r="DQ149" s="358"/>
      <c r="DR149" s="358"/>
      <c r="DS149" s="358"/>
      <c r="DT149" s="358"/>
      <c r="DU149" s="358"/>
      <c r="DV149" s="358"/>
      <c r="DW149" s="358"/>
      <c r="DX149" s="358"/>
      <c r="DY149" s="358"/>
      <c r="DZ149" s="358"/>
      <c r="EA149" s="358"/>
      <c r="EB149" s="358"/>
      <c r="EC149" s="358"/>
      <c r="ED149" s="358"/>
      <c r="EE149" s="358"/>
      <c r="EF149" s="358"/>
      <c r="EG149" s="358"/>
      <c r="EH149" s="358"/>
      <c r="EI149" s="358"/>
      <c r="EJ149" s="358"/>
      <c r="EK149" s="358"/>
      <c r="EL149" s="358"/>
      <c r="EM149" s="358"/>
      <c r="EN149" s="358"/>
      <c r="EO149" s="358"/>
      <c r="EP149" s="358"/>
      <c r="EQ149" s="358"/>
      <c r="ER149" s="358"/>
      <c r="ES149" s="358"/>
      <c r="ET149" s="358"/>
      <c r="EU149" s="358"/>
      <c r="EV149" s="358"/>
      <c r="EW149" s="358"/>
      <c r="EX149" s="358"/>
      <c r="EY149" s="358"/>
      <c r="EZ149" s="371"/>
    </row>
    <row r="150" spans="1:156" s="251" customFormat="1" ht="12" customHeight="1" x14ac:dyDescent="0.35">
      <c r="A150" s="1853" t="s">
        <v>214</v>
      </c>
      <c r="B150" s="1854"/>
      <c r="C150" s="1854"/>
      <c r="D150" s="1855"/>
      <c r="E150" s="1859" t="s">
        <v>215</v>
      </c>
      <c r="F150" s="1860"/>
      <c r="G150" s="1860"/>
      <c r="H150" s="1860"/>
      <c r="I150" s="1860"/>
      <c r="J150" s="1861"/>
      <c r="K150" s="1761" t="s">
        <v>216</v>
      </c>
      <c r="L150" s="1762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421"/>
      <c r="AL150" s="358"/>
      <c r="AM150" s="358"/>
      <c r="AN150" s="358"/>
      <c r="AO150" s="358"/>
      <c r="AP150" s="358"/>
      <c r="AQ150" s="358"/>
      <c r="AR150" s="358"/>
      <c r="AS150" s="358"/>
      <c r="AT150" s="358"/>
      <c r="AU150" s="358"/>
      <c r="AV150" s="358"/>
      <c r="AW150" s="358"/>
      <c r="AX150" s="358"/>
      <c r="AY150" s="358"/>
      <c r="AZ150" s="358"/>
      <c r="BA150" s="358"/>
      <c r="BB150" s="358"/>
      <c r="BC150" s="358"/>
      <c r="BD150" s="358"/>
      <c r="BE150" s="358"/>
      <c r="BF150" s="358"/>
      <c r="BG150" s="358"/>
      <c r="BH150" s="358"/>
      <c r="BI150" s="358"/>
      <c r="BJ150" s="358"/>
      <c r="BK150" s="358"/>
      <c r="BL150" s="358"/>
      <c r="BM150" s="358"/>
      <c r="BN150" s="358"/>
      <c r="BO150" s="358"/>
      <c r="BP150" s="358"/>
      <c r="BQ150" s="358"/>
      <c r="BR150" s="358"/>
      <c r="BS150" s="358"/>
      <c r="BT150" s="358"/>
      <c r="BU150" s="358"/>
      <c r="BV150" s="358"/>
      <c r="BW150" s="358"/>
      <c r="BX150" s="358"/>
      <c r="BY150" s="358"/>
      <c r="BZ150" s="358"/>
      <c r="CA150" s="358"/>
      <c r="CB150" s="358"/>
      <c r="CC150" s="358"/>
      <c r="CD150" s="358"/>
      <c r="CE150" s="358"/>
      <c r="CF150" s="358"/>
      <c r="CG150" s="358"/>
      <c r="CH150" s="358"/>
      <c r="CI150" s="358"/>
      <c r="CJ150" s="358"/>
      <c r="CK150" s="358"/>
      <c r="CL150" s="358"/>
      <c r="CM150" s="358"/>
      <c r="CN150" s="358"/>
      <c r="CO150" s="358"/>
      <c r="CP150" s="358"/>
      <c r="CQ150" s="358"/>
      <c r="CR150" s="358"/>
      <c r="CS150" s="358"/>
      <c r="CT150" s="358"/>
      <c r="CU150" s="358"/>
      <c r="CV150" s="358"/>
      <c r="CW150" s="358"/>
      <c r="CX150" s="358"/>
      <c r="CY150" s="358"/>
      <c r="CZ150" s="358"/>
      <c r="DA150" s="358"/>
      <c r="DB150" s="358"/>
      <c r="DC150" s="358"/>
      <c r="DD150" s="358"/>
      <c r="DE150" s="358"/>
      <c r="DF150" s="358"/>
      <c r="DG150" s="358"/>
      <c r="DH150" s="358"/>
      <c r="DI150" s="358"/>
      <c r="DJ150" s="358"/>
      <c r="DK150" s="358"/>
      <c r="DL150" s="358"/>
      <c r="DM150" s="358"/>
      <c r="DN150" s="358"/>
      <c r="DO150" s="358"/>
      <c r="DP150" s="358"/>
      <c r="DQ150" s="358"/>
      <c r="DR150" s="358"/>
      <c r="DS150" s="358"/>
      <c r="DT150" s="358"/>
      <c r="DU150" s="358"/>
      <c r="DV150" s="358"/>
      <c r="DW150" s="358"/>
      <c r="DX150" s="358"/>
      <c r="DY150" s="358"/>
      <c r="DZ150" s="358"/>
      <c r="EA150" s="358"/>
      <c r="EB150" s="358"/>
      <c r="EC150" s="358"/>
      <c r="ED150" s="358"/>
      <c r="EE150" s="358"/>
      <c r="EF150" s="358"/>
      <c r="EG150" s="358"/>
      <c r="EH150" s="358"/>
      <c r="EI150" s="358"/>
      <c r="EJ150" s="358"/>
      <c r="EK150" s="358"/>
      <c r="EL150" s="358"/>
      <c r="EM150" s="358"/>
      <c r="EN150" s="358"/>
      <c r="EO150" s="358"/>
      <c r="EP150" s="358"/>
      <c r="EQ150" s="358"/>
      <c r="ER150" s="358"/>
      <c r="ES150" s="358"/>
      <c r="ET150" s="358"/>
      <c r="EU150" s="358"/>
      <c r="EV150" s="358"/>
      <c r="EW150" s="358"/>
      <c r="EX150" s="358"/>
      <c r="EY150" s="358"/>
      <c r="EZ150" s="371"/>
    </row>
    <row r="151" spans="1:156" s="251" customFormat="1" ht="12" customHeight="1" x14ac:dyDescent="0.35">
      <c r="A151" s="1856"/>
      <c r="B151" s="1857"/>
      <c r="C151" s="1857"/>
      <c r="D151" s="1858"/>
      <c r="E151" s="1862" t="s">
        <v>217</v>
      </c>
      <c r="F151" s="1863"/>
      <c r="G151" s="1865" t="s">
        <v>218</v>
      </c>
      <c r="H151" s="1866"/>
      <c r="I151" s="1865" t="s">
        <v>219</v>
      </c>
      <c r="J151" s="1866"/>
      <c r="K151" s="1864" t="s">
        <v>220</v>
      </c>
      <c r="L151" s="1873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421"/>
      <c r="AL151" s="358"/>
      <c r="AM151" s="358"/>
      <c r="AN151" s="358"/>
      <c r="AO151" s="358"/>
      <c r="AP151" s="358"/>
      <c r="AQ151" s="358"/>
      <c r="AR151" s="358"/>
      <c r="AS151" s="358"/>
      <c r="AT151" s="358"/>
      <c r="AU151" s="358"/>
      <c r="AV151" s="358"/>
      <c r="AW151" s="358"/>
      <c r="AX151" s="358"/>
      <c r="AY151" s="358"/>
      <c r="AZ151" s="358"/>
      <c r="BA151" s="358"/>
      <c r="BB151" s="358"/>
      <c r="BC151" s="358"/>
      <c r="BD151" s="358"/>
      <c r="BE151" s="358"/>
      <c r="BF151" s="358"/>
      <c r="BG151" s="358"/>
      <c r="BH151" s="358"/>
      <c r="BI151" s="358"/>
      <c r="BJ151" s="358"/>
      <c r="BK151" s="358"/>
      <c r="BL151" s="358"/>
      <c r="BM151" s="358"/>
      <c r="BN151" s="358"/>
      <c r="BO151" s="358"/>
      <c r="BP151" s="358"/>
      <c r="BQ151" s="358"/>
      <c r="BR151" s="358"/>
      <c r="BS151" s="358"/>
      <c r="BT151" s="358"/>
      <c r="BU151" s="358"/>
      <c r="BV151" s="358"/>
      <c r="BW151" s="358"/>
      <c r="BX151" s="358"/>
      <c r="BY151" s="358"/>
      <c r="BZ151" s="358"/>
      <c r="CA151" s="358"/>
      <c r="CB151" s="358"/>
      <c r="CC151" s="358"/>
      <c r="CD151" s="358"/>
      <c r="CE151" s="358"/>
      <c r="CF151" s="358"/>
      <c r="CG151" s="358"/>
      <c r="CH151" s="358"/>
      <c r="CI151" s="358"/>
      <c r="CJ151" s="358"/>
      <c r="CK151" s="358"/>
      <c r="CL151" s="358"/>
      <c r="CM151" s="358"/>
      <c r="CN151" s="358"/>
      <c r="CO151" s="358"/>
      <c r="CP151" s="358"/>
      <c r="CQ151" s="358"/>
      <c r="CR151" s="358"/>
      <c r="CS151" s="358"/>
      <c r="CT151" s="358"/>
      <c r="CU151" s="358"/>
      <c r="CV151" s="358"/>
      <c r="CW151" s="358"/>
      <c r="CX151" s="358"/>
      <c r="CY151" s="358"/>
      <c r="CZ151" s="358"/>
      <c r="DA151" s="358"/>
      <c r="DB151" s="358"/>
      <c r="DC151" s="358"/>
      <c r="DD151" s="358"/>
      <c r="DE151" s="358"/>
      <c r="DF151" s="358"/>
      <c r="DG151" s="358"/>
      <c r="DH151" s="358"/>
      <c r="DI151" s="358"/>
      <c r="DJ151" s="358"/>
      <c r="DK151" s="358"/>
      <c r="DL151" s="358"/>
      <c r="DM151" s="358"/>
      <c r="DN151" s="358"/>
      <c r="DO151" s="358"/>
      <c r="DP151" s="358"/>
      <c r="DQ151" s="358"/>
      <c r="DR151" s="358"/>
      <c r="DS151" s="358"/>
      <c r="DT151" s="358"/>
      <c r="DU151" s="358"/>
      <c r="DV151" s="358"/>
      <c r="DW151" s="358"/>
      <c r="DX151" s="358"/>
      <c r="DY151" s="358"/>
      <c r="DZ151" s="358"/>
      <c r="EA151" s="358"/>
      <c r="EB151" s="358"/>
      <c r="EC151" s="358"/>
      <c r="ED151" s="358"/>
      <c r="EE151" s="358"/>
      <c r="EF151" s="358"/>
      <c r="EG151" s="358"/>
      <c r="EH151" s="358"/>
      <c r="EI151" s="358"/>
      <c r="EJ151" s="358"/>
      <c r="EK151" s="358"/>
      <c r="EL151" s="358"/>
      <c r="EM151" s="358"/>
      <c r="EN151" s="358"/>
      <c r="EO151" s="358"/>
      <c r="EP151" s="358"/>
      <c r="EQ151" s="358"/>
      <c r="ER151" s="358"/>
      <c r="ES151" s="358"/>
      <c r="ET151" s="358"/>
      <c r="EU151" s="358"/>
      <c r="EV151" s="358"/>
      <c r="EW151" s="358"/>
      <c r="EX151" s="358"/>
      <c r="EY151" s="358"/>
      <c r="EZ151" s="371"/>
    </row>
    <row r="152" spans="1:156" s="251" customFormat="1" ht="12" customHeight="1" x14ac:dyDescent="0.35">
      <c r="A152" s="1876" t="s">
        <v>19</v>
      </c>
      <c r="B152" s="1877"/>
      <c r="C152" s="233">
        <f ca="1">IF(OR($N$2="",$N$2=0),"",IF(INDIRECT(ADDRESS(($AK152),COLUMN()+43,,,"Digitar Dados dos Ensaios"))&lt;&gt;"",INDIRECT(ADDRESS(($AK152),COLUMN()+43,,,"Digitar Dados dos Ensaios")),""))</f>
        <v>1</v>
      </c>
      <c r="D152" s="233">
        <f ca="1">IF(OR($N$2="",$N$2=0),"",IF(INDIRECT(ADDRESS(($AK152),COLUMN()+45,,,"Digitar Dados dos Ensaios"))&lt;&gt;"",INDIRECT(ADDRESS(($AK152),COLUMN()+45,,,"Digitar Dados dos Ensaios")),""))</f>
        <v>2</v>
      </c>
      <c r="E152" s="1864"/>
      <c r="F152" s="1778"/>
      <c r="G152" s="1878" t="s">
        <v>221</v>
      </c>
      <c r="H152" s="1879"/>
      <c r="I152" s="1874"/>
      <c r="J152" s="1875"/>
      <c r="K152" s="1871">
        <f ca="1">IF(I160&lt;&gt;"",(1-I160),"")</f>
        <v>0.47007282931079974</v>
      </c>
      <c r="L152" s="1872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421">
        <f>AK1+5</f>
        <v>9</v>
      </c>
      <c r="AL152" s="358"/>
      <c r="AM152" s="358"/>
      <c r="AN152" s="358"/>
      <c r="AO152" s="358"/>
      <c r="AP152" s="358"/>
      <c r="AQ152" s="358"/>
      <c r="AR152" s="358"/>
      <c r="AS152" s="358"/>
      <c r="AT152" s="358"/>
      <c r="AU152" s="358"/>
      <c r="AV152" s="358"/>
      <c r="AW152" s="358"/>
      <c r="AX152" s="358"/>
      <c r="AY152" s="358"/>
      <c r="AZ152" s="358"/>
      <c r="BA152" s="358"/>
      <c r="BB152" s="358"/>
      <c r="BC152" s="358"/>
      <c r="BD152" s="358"/>
      <c r="BE152" s="358"/>
      <c r="BF152" s="358"/>
      <c r="BG152" s="358"/>
      <c r="BH152" s="358"/>
      <c r="BI152" s="358"/>
      <c r="BJ152" s="358"/>
      <c r="BK152" s="358"/>
      <c r="BL152" s="358"/>
      <c r="BM152" s="358"/>
      <c r="BN152" s="358"/>
      <c r="BO152" s="358"/>
      <c r="BP152" s="358"/>
      <c r="BQ152" s="358"/>
      <c r="BR152" s="358"/>
      <c r="BS152" s="358"/>
      <c r="BT152" s="358"/>
      <c r="BU152" s="358"/>
      <c r="BV152" s="358"/>
      <c r="BW152" s="358"/>
      <c r="BX152" s="358"/>
      <c r="BY152" s="358"/>
      <c r="BZ152" s="358"/>
      <c r="CA152" s="358"/>
      <c r="CB152" s="358"/>
      <c r="CC152" s="358"/>
      <c r="CD152" s="358"/>
      <c r="CE152" s="358"/>
      <c r="CF152" s="358"/>
      <c r="CG152" s="358"/>
      <c r="CH152" s="358"/>
      <c r="CI152" s="358"/>
      <c r="CJ152" s="358"/>
      <c r="CK152" s="358"/>
      <c r="CL152" s="358"/>
      <c r="CM152" s="358"/>
      <c r="CN152" s="358"/>
      <c r="CO152" s="358"/>
      <c r="CP152" s="358"/>
      <c r="CQ152" s="358"/>
      <c r="CR152" s="358"/>
      <c r="CS152" s="358"/>
      <c r="CT152" s="358"/>
      <c r="CU152" s="358"/>
      <c r="CV152" s="358"/>
      <c r="CW152" s="358"/>
      <c r="CX152" s="358"/>
      <c r="CY152" s="358"/>
      <c r="CZ152" s="358"/>
      <c r="DA152" s="358"/>
      <c r="DB152" s="358"/>
      <c r="DC152" s="358"/>
      <c r="DD152" s="358"/>
      <c r="DE152" s="358"/>
      <c r="DF152" s="358"/>
      <c r="DG152" s="358"/>
      <c r="DH152" s="358"/>
      <c r="DI152" s="358"/>
      <c r="DJ152" s="358"/>
      <c r="DK152" s="358"/>
      <c r="DL152" s="358"/>
      <c r="DM152" s="358"/>
      <c r="DN152" s="358"/>
      <c r="DO152" s="358"/>
      <c r="DP152" s="358"/>
      <c r="DQ152" s="358"/>
      <c r="DR152" s="358"/>
      <c r="DS152" s="358"/>
      <c r="DT152" s="358"/>
      <c r="DU152" s="358"/>
      <c r="DV152" s="358"/>
      <c r="DW152" s="358"/>
      <c r="DX152" s="358"/>
      <c r="DY152" s="358"/>
      <c r="DZ152" s="358"/>
      <c r="EA152" s="358"/>
      <c r="EB152" s="358"/>
      <c r="EC152" s="358"/>
      <c r="ED152" s="358"/>
      <c r="EE152" s="358"/>
      <c r="EF152" s="358"/>
      <c r="EG152" s="358"/>
      <c r="EH152" s="358"/>
      <c r="EI152" s="358"/>
      <c r="EJ152" s="358"/>
      <c r="EK152" s="358"/>
      <c r="EL152" s="358"/>
      <c r="EM152" s="358"/>
      <c r="EN152" s="358"/>
      <c r="EO152" s="358"/>
      <c r="EP152" s="358"/>
      <c r="EQ152" s="358"/>
      <c r="ER152" s="358"/>
      <c r="ES152" s="358"/>
      <c r="ET152" s="358"/>
      <c r="EU152" s="358"/>
      <c r="EV152" s="358"/>
      <c r="EW152" s="358"/>
      <c r="EX152" s="358"/>
      <c r="EY152" s="358"/>
      <c r="EZ152" s="371"/>
    </row>
    <row r="153" spans="1:156" s="251" customFormat="1" ht="12" customHeight="1" x14ac:dyDescent="0.35">
      <c r="A153" s="1867" t="s">
        <v>222</v>
      </c>
      <c r="B153" s="1868"/>
      <c r="C153" s="234">
        <f ca="1">IF(OR($N$2="",$N$2=0),"",IF(INDIRECT(ADDRESS(($AK153),COLUMN()+44,,,"Digitar Dados dos Ensaios"))&lt;&gt;"",INDIRECT(ADDRESS(($AK153),COLUMN()+44,,,"Digitar Dados dos Ensaios")),""))</f>
        <v>1</v>
      </c>
      <c r="D153" s="235">
        <f ca="1">IF(OR($N$2="",$N$2=0),"",IF(INDIRECT(ADDRESS(($AK153),COLUMN()+46,,,"Digitar Dados dos Ensaios"))&lt;&gt;"",INDIRECT(ADDRESS(($AK153),COLUMN()+46,,,"Digitar Dados dos Ensaios")),""))</f>
        <v>1</v>
      </c>
      <c r="E153" s="792" t="s">
        <v>223</v>
      </c>
      <c r="F153" s="792" t="s">
        <v>224</v>
      </c>
      <c r="G153" s="792" t="s">
        <v>42</v>
      </c>
      <c r="H153" s="793" t="s">
        <v>225</v>
      </c>
      <c r="I153" s="1878" t="s">
        <v>226</v>
      </c>
      <c r="J153" s="1879"/>
      <c r="K153" s="1864" t="s">
        <v>227</v>
      </c>
      <c r="L153" s="1873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421">
        <f>AK152</f>
        <v>9</v>
      </c>
      <c r="AL153" s="358"/>
      <c r="AM153" s="358"/>
      <c r="AN153" s="358"/>
      <c r="AO153" s="358"/>
      <c r="AP153" s="358"/>
      <c r="AQ153" s="358"/>
      <c r="AR153" s="358"/>
      <c r="AS153" s="358"/>
      <c r="AT153" s="358"/>
      <c r="AU153" s="358"/>
      <c r="AV153" s="358"/>
      <c r="AW153" s="358"/>
      <c r="AX153" s="358"/>
      <c r="AY153" s="358"/>
      <c r="AZ153" s="358"/>
      <c r="BA153" s="358"/>
      <c r="BB153" s="358"/>
      <c r="BC153" s="358"/>
      <c r="BD153" s="358"/>
      <c r="BE153" s="358"/>
      <c r="BF153" s="358"/>
      <c r="BG153" s="358"/>
      <c r="BH153" s="358"/>
      <c r="BI153" s="358"/>
      <c r="BJ153" s="358"/>
      <c r="BK153" s="358"/>
      <c r="BL153" s="358"/>
      <c r="BM153" s="358"/>
      <c r="BN153" s="358"/>
      <c r="BO153" s="358"/>
      <c r="BP153" s="358"/>
      <c r="BQ153" s="358"/>
      <c r="BR153" s="358"/>
      <c r="BS153" s="358"/>
      <c r="BT153" s="358"/>
      <c r="BU153" s="358"/>
      <c r="BV153" s="358"/>
      <c r="BW153" s="358"/>
      <c r="BX153" s="358"/>
      <c r="BY153" s="358"/>
      <c r="BZ153" s="358"/>
      <c r="CA153" s="358"/>
      <c r="CB153" s="358"/>
      <c r="CC153" s="358"/>
      <c r="CD153" s="358"/>
      <c r="CE153" s="358"/>
      <c r="CF153" s="358"/>
      <c r="CG153" s="358"/>
      <c r="CH153" s="358"/>
      <c r="CI153" s="358"/>
      <c r="CJ153" s="358"/>
      <c r="CK153" s="358"/>
      <c r="CL153" s="358"/>
      <c r="CM153" s="358"/>
      <c r="CN153" s="358"/>
      <c r="CO153" s="358"/>
      <c r="CP153" s="358"/>
      <c r="CQ153" s="358"/>
      <c r="CR153" s="358"/>
      <c r="CS153" s="358"/>
      <c r="CT153" s="358"/>
      <c r="CU153" s="358"/>
      <c r="CV153" s="358"/>
      <c r="CW153" s="358"/>
      <c r="CX153" s="358"/>
      <c r="CY153" s="358"/>
      <c r="CZ153" s="358"/>
      <c r="DA153" s="358"/>
      <c r="DB153" s="358"/>
      <c r="DC153" s="358"/>
      <c r="DD153" s="358"/>
      <c r="DE153" s="358"/>
      <c r="DF153" s="358"/>
      <c r="DG153" s="358"/>
      <c r="DH153" s="358"/>
      <c r="DI153" s="358"/>
      <c r="DJ153" s="358"/>
      <c r="DK153" s="358"/>
      <c r="DL153" s="358"/>
      <c r="DM153" s="358"/>
      <c r="DN153" s="358"/>
      <c r="DO153" s="358"/>
      <c r="DP153" s="358"/>
      <c r="DQ153" s="358"/>
      <c r="DR153" s="358"/>
      <c r="DS153" s="358"/>
      <c r="DT153" s="358"/>
      <c r="DU153" s="358"/>
      <c r="DV153" s="358"/>
      <c r="DW153" s="358"/>
      <c r="DX153" s="358"/>
      <c r="DY153" s="358"/>
      <c r="DZ153" s="358"/>
      <c r="EA153" s="358"/>
      <c r="EB153" s="358"/>
      <c r="EC153" s="358"/>
      <c r="ED153" s="358"/>
      <c r="EE153" s="358"/>
      <c r="EF153" s="358"/>
      <c r="EG153" s="358"/>
      <c r="EH153" s="358"/>
      <c r="EI153" s="358"/>
      <c r="EJ153" s="358"/>
      <c r="EK153" s="358"/>
      <c r="EL153" s="358"/>
      <c r="EM153" s="358"/>
      <c r="EN153" s="358"/>
      <c r="EO153" s="358"/>
      <c r="EP153" s="358"/>
      <c r="EQ153" s="358"/>
      <c r="ER153" s="358"/>
      <c r="ES153" s="358"/>
      <c r="ET153" s="358"/>
      <c r="EU153" s="358"/>
      <c r="EV153" s="358"/>
      <c r="EW153" s="358"/>
      <c r="EX153" s="358"/>
      <c r="EY153" s="358"/>
      <c r="EZ153" s="371"/>
    </row>
    <row r="154" spans="1:156" s="251" customFormat="1" ht="12" customHeight="1" x14ac:dyDescent="0.35">
      <c r="A154" s="1867" t="s">
        <v>228</v>
      </c>
      <c r="B154" s="1868"/>
      <c r="C154" s="234">
        <f ca="1">IF(OR($N$2="",$N$2=0),"",IF(INDIRECT(ADDRESS(($AK154),COLUMN()+45,,,"Digitar Dados dos Ensaios"))&lt;&gt;"",INDIRECT(ADDRESS(($AK154),COLUMN()+45,,,"Digitar Dados dos Ensaios")),""))</f>
        <v>1</v>
      </c>
      <c r="D154" s="235">
        <f ca="1">IF(OR($N$2="",$N$2=0),"",IF(INDIRECT(ADDRESS(($AK154),COLUMN()+47,,,"Digitar Dados dos Ensaios"))&lt;&gt;"",INDIRECT(ADDRESS(($AK154),COLUMN()+47,,,"Digitar Dados dos Ensaios")),""))</f>
        <v>1</v>
      </c>
      <c r="E154" s="794" t="s">
        <v>29</v>
      </c>
      <c r="F154" s="794">
        <v>50.8</v>
      </c>
      <c r="G154" s="855">
        <f ca="1">IF(OR($N$2="",$N$2=0),"",IF(INDIRECT(ADDRESS(($AK154),COLUMN()+45,,,"Digitar Dados dos Ensaios"))&lt;&gt;"",INDIRECT(ADDRESS(($AK154),COLUMN()+45,,,"Digitar Dados dos Ensaios")),""))</f>
        <v>0</v>
      </c>
      <c r="H154" s="795">
        <f ca="1">IF(D163="","",IF(G154=0,IF(D167&gt;0,D167,""),IF(G154&gt;0,D167-G154,"")))</f>
        <v>2501.7399999999998</v>
      </c>
      <c r="I154" s="1869">
        <f ca="1">IF(ISNUMBER(H154),H154/$D167,"")</f>
        <v>1</v>
      </c>
      <c r="J154" s="1870"/>
      <c r="K154" s="1871">
        <f ca="1">IF(J165&lt;&gt;"",(I160-J165),"")</f>
        <v>0.17333917753243744</v>
      </c>
      <c r="L154" s="1872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421">
        <f>AK153</f>
        <v>9</v>
      </c>
      <c r="AL154" s="358"/>
      <c r="AM154" s="358"/>
      <c r="AN154" s="358"/>
      <c r="AO154" s="358"/>
      <c r="AP154" s="358"/>
      <c r="AQ154" s="358"/>
      <c r="AR154" s="358"/>
      <c r="AS154" s="358"/>
      <c r="AT154" s="358"/>
      <c r="AU154" s="358"/>
      <c r="AV154" s="358"/>
      <c r="AW154" s="358"/>
      <c r="AX154" s="358"/>
      <c r="AY154" s="358"/>
      <c r="AZ154" s="358"/>
      <c r="BA154" s="358"/>
      <c r="BB154" s="358"/>
      <c r="BC154" s="358"/>
      <c r="BD154" s="358"/>
      <c r="BE154" s="358"/>
      <c r="BF154" s="358"/>
      <c r="BG154" s="358"/>
      <c r="BH154" s="358"/>
      <c r="BI154" s="358"/>
      <c r="BJ154" s="358"/>
      <c r="BK154" s="358"/>
      <c r="BL154" s="358"/>
      <c r="BM154" s="358"/>
      <c r="BN154" s="358"/>
      <c r="BO154" s="358"/>
      <c r="BP154" s="358"/>
      <c r="BQ154" s="358"/>
      <c r="BR154" s="358"/>
      <c r="BS154" s="358"/>
      <c r="BT154" s="358"/>
      <c r="BU154" s="358"/>
      <c r="BV154" s="358"/>
      <c r="BW154" s="358"/>
      <c r="BX154" s="358"/>
      <c r="BY154" s="358"/>
      <c r="BZ154" s="358"/>
      <c r="CA154" s="358"/>
      <c r="CB154" s="358"/>
      <c r="CC154" s="358"/>
      <c r="CD154" s="358"/>
      <c r="CE154" s="358"/>
      <c r="CF154" s="358"/>
      <c r="CG154" s="358"/>
      <c r="CH154" s="358"/>
      <c r="CI154" s="358"/>
      <c r="CJ154" s="358"/>
      <c r="CK154" s="358"/>
      <c r="CL154" s="358"/>
      <c r="CM154" s="358"/>
      <c r="CN154" s="358"/>
      <c r="CO154" s="358"/>
      <c r="CP154" s="358"/>
      <c r="CQ154" s="358"/>
      <c r="CR154" s="358"/>
      <c r="CS154" s="358"/>
      <c r="CT154" s="358"/>
      <c r="CU154" s="358"/>
      <c r="CV154" s="358"/>
      <c r="CW154" s="358"/>
      <c r="CX154" s="358"/>
      <c r="CY154" s="358"/>
      <c r="CZ154" s="358"/>
      <c r="DA154" s="358"/>
      <c r="DB154" s="358"/>
      <c r="DC154" s="358"/>
      <c r="DD154" s="358"/>
      <c r="DE154" s="358"/>
      <c r="DF154" s="358"/>
      <c r="DG154" s="358"/>
      <c r="DH154" s="358"/>
      <c r="DI154" s="358"/>
      <c r="DJ154" s="358"/>
      <c r="DK154" s="358"/>
      <c r="DL154" s="358"/>
      <c r="DM154" s="358"/>
      <c r="DN154" s="358"/>
      <c r="DO154" s="358"/>
      <c r="DP154" s="358"/>
      <c r="DQ154" s="358"/>
      <c r="DR154" s="358"/>
      <c r="DS154" s="358"/>
      <c r="DT154" s="358"/>
      <c r="DU154" s="358"/>
      <c r="DV154" s="358"/>
      <c r="DW154" s="358"/>
      <c r="DX154" s="358"/>
      <c r="DY154" s="358"/>
      <c r="DZ154" s="358"/>
      <c r="EA154" s="358"/>
      <c r="EB154" s="358"/>
      <c r="EC154" s="358"/>
      <c r="ED154" s="358"/>
      <c r="EE154" s="358"/>
      <c r="EF154" s="358"/>
      <c r="EG154" s="358"/>
      <c r="EH154" s="358"/>
      <c r="EI154" s="358"/>
      <c r="EJ154" s="358"/>
      <c r="EK154" s="358"/>
      <c r="EL154" s="358"/>
      <c r="EM154" s="358"/>
      <c r="EN154" s="358"/>
      <c r="EO154" s="358"/>
      <c r="EP154" s="358"/>
      <c r="EQ154" s="358"/>
      <c r="ER154" s="358"/>
      <c r="ES154" s="358"/>
      <c r="ET154" s="358"/>
      <c r="EU154" s="358"/>
      <c r="EV154" s="358"/>
      <c r="EW154" s="358"/>
      <c r="EX154" s="358"/>
      <c r="EY154" s="358"/>
      <c r="EZ154" s="371"/>
    </row>
    <row r="155" spans="1:156" s="251" customFormat="1" ht="12" customHeight="1" x14ac:dyDescent="0.35">
      <c r="A155" s="1867" t="s">
        <v>229</v>
      </c>
      <c r="B155" s="1868"/>
      <c r="C155" s="27">
        <f ca="1">IF(C152&lt;&gt;"",LOOKUP(C152,Tara!$C$6:$C$185,Tara!$D$6:$D$185),"")</f>
        <v>26.16</v>
      </c>
      <c r="D155" s="27">
        <f ca="1">IF(D152&lt;&gt;"",LOOKUP(D152,Tara!$C$6:$C$185,Tara!$D$6:$D$185),"")</f>
        <v>34.159999999999997</v>
      </c>
      <c r="E155" s="794" t="s">
        <v>30</v>
      </c>
      <c r="F155" s="794">
        <v>38.1</v>
      </c>
      <c r="G155" s="855">
        <f ca="1">IF(OR($N$2="",$N$2=0),"",IF(INDIRECT(ADDRESS(($AK155),COLUMN()+46,,,"Digitar Dados dos Ensaios"))&lt;&gt;"",INDIRECT(ADDRESS(($AK155),COLUMN()+46,,,"Digitar Dados dos Ensaios")),""))</f>
        <v>0</v>
      </c>
      <c r="H155" s="795">
        <f t="shared" ref="H155:H160" ca="1" si="75">IF(H154="","",H154-G155)</f>
        <v>2501.7399999999998</v>
      </c>
      <c r="I155" s="1869">
        <f t="shared" ref="I155:I160" ca="1" si="76">IF(ISNUMBER(H155),H155/$D$167,"")</f>
        <v>1</v>
      </c>
      <c r="J155" s="1870"/>
      <c r="K155" s="1864" t="s">
        <v>230</v>
      </c>
      <c r="L155" s="1873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421">
        <f t="shared" ref="AK155:AK160" si="77">AK154</f>
        <v>9</v>
      </c>
      <c r="AL155" s="358"/>
      <c r="AM155" s="358"/>
      <c r="AN155" s="358"/>
      <c r="AO155" s="358"/>
      <c r="AP155" s="358"/>
      <c r="AQ155" s="358"/>
      <c r="AR155" s="358"/>
      <c r="AS155" s="358"/>
      <c r="AT155" s="358"/>
      <c r="AU155" s="358"/>
      <c r="AV155" s="358"/>
      <c r="AW155" s="358"/>
      <c r="AX155" s="358"/>
      <c r="AY155" s="358"/>
      <c r="AZ155" s="358"/>
      <c r="BA155" s="358"/>
      <c r="BB155" s="358"/>
      <c r="BC155" s="358"/>
      <c r="BD155" s="358"/>
      <c r="BE155" s="358"/>
      <c r="BF155" s="358"/>
      <c r="BG155" s="358"/>
      <c r="BH155" s="358"/>
      <c r="BI155" s="358"/>
      <c r="BJ155" s="358"/>
      <c r="BK155" s="358"/>
      <c r="BL155" s="358"/>
      <c r="BM155" s="358"/>
      <c r="BN155" s="358"/>
      <c r="BO155" s="358"/>
      <c r="BP155" s="358"/>
      <c r="BQ155" s="358"/>
      <c r="BR155" s="358"/>
      <c r="BS155" s="358"/>
      <c r="BT155" s="358"/>
      <c r="BU155" s="358"/>
      <c r="BV155" s="358"/>
      <c r="BW155" s="358"/>
      <c r="BX155" s="358"/>
      <c r="BY155" s="358"/>
      <c r="BZ155" s="358"/>
      <c r="CA155" s="358"/>
      <c r="CB155" s="358"/>
      <c r="CC155" s="358"/>
      <c r="CD155" s="358"/>
      <c r="CE155" s="358"/>
      <c r="CF155" s="358"/>
      <c r="CG155" s="358"/>
      <c r="CH155" s="358"/>
      <c r="CI155" s="358"/>
      <c r="CJ155" s="358"/>
      <c r="CK155" s="358"/>
      <c r="CL155" s="358"/>
      <c r="CM155" s="358"/>
      <c r="CN155" s="358"/>
      <c r="CO155" s="358"/>
      <c r="CP155" s="358"/>
      <c r="CQ155" s="358"/>
      <c r="CR155" s="358"/>
      <c r="CS155" s="358"/>
      <c r="CT155" s="358"/>
      <c r="CU155" s="358"/>
      <c r="CV155" s="358"/>
      <c r="CW155" s="358"/>
      <c r="CX155" s="358"/>
      <c r="CY155" s="358"/>
      <c r="CZ155" s="358"/>
      <c r="DA155" s="358"/>
      <c r="DB155" s="358"/>
      <c r="DC155" s="358"/>
      <c r="DD155" s="358"/>
      <c r="DE155" s="358"/>
      <c r="DF155" s="358"/>
      <c r="DG155" s="358"/>
      <c r="DH155" s="358"/>
      <c r="DI155" s="358"/>
      <c r="DJ155" s="358"/>
      <c r="DK155" s="358"/>
      <c r="DL155" s="358"/>
      <c r="DM155" s="358"/>
      <c r="DN155" s="358"/>
      <c r="DO155" s="358"/>
      <c r="DP155" s="358"/>
      <c r="DQ155" s="358"/>
      <c r="DR155" s="358"/>
      <c r="DS155" s="358"/>
      <c r="DT155" s="358"/>
      <c r="DU155" s="358"/>
      <c r="DV155" s="358"/>
      <c r="DW155" s="358"/>
      <c r="DX155" s="358"/>
      <c r="DY155" s="358"/>
      <c r="DZ155" s="358"/>
      <c r="EA155" s="358"/>
      <c r="EB155" s="358"/>
      <c r="EC155" s="358"/>
      <c r="ED155" s="358"/>
      <c r="EE155" s="358"/>
      <c r="EF155" s="358"/>
      <c r="EG155" s="358"/>
      <c r="EH155" s="358"/>
      <c r="EI155" s="358"/>
      <c r="EJ155" s="358"/>
      <c r="EK155" s="358"/>
      <c r="EL155" s="358"/>
      <c r="EM155" s="358"/>
      <c r="EN155" s="358"/>
      <c r="EO155" s="358"/>
      <c r="EP155" s="358"/>
      <c r="EQ155" s="358"/>
      <c r="ER155" s="358"/>
      <c r="ES155" s="358"/>
      <c r="ET155" s="358"/>
      <c r="EU155" s="358"/>
      <c r="EV155" s="358"/>
      <c r="EW155" s="358"/>
      <c r="EX155" s="358"/>
      <c r="EY155" s="358"/>
      <c r="EZ155" s="371"/>
    </row>
    <row r="156" spans="1:156" s="251" customFormat="1" ht="12" customHeight="1" x14ac:dyDescent="0.35">
      <c r="A156" s="1867" t="s">
        <v>231</v>
      </c>
      <c r="B156" s="1868"/>
      <c r="C156" s="29">
        <f ca="1">IF(C152&lt;&gt;"",C153-C154,"")</f>
        <v>0</v>
      </c>
      <c r="D156" s="29">
        <f ca="1">IF(D152&lt;&gt;"",D153-D154,"")</f>
        <v>0</v>
      </c>
      <c r="E156" s="794" t="s">
        <v>31</v>
      </c>
      <c r="F156" s="794">
        <v>25.4</v>
      </c>
      <c r="G156" s="855">
        <f ca="1">IF(OR($N$2="",$N$2=0),"",IF(INDIRECT(ADDRESS(($AK156),COLUMN()+47,,,"Digitar Dados dos Ensaios"))&lt;&gt;"",INDIRECT(ADDRESS(($AK156),COLUMN()+47,,,"Digitar Dados dos Ensaios")),""))</f>
        <v>56.94</v>
      </c>
      <c r="H156" s="795">
        <f t="shared" ca="1" si="75"/>
        <v>2444.7999999999997</v>
      </c>
      <c r="I156" s="1869">
        <f t="shared" ca="1" si="76"/>
        <v>0.97723984107061479</v>
      </c>
      <c r="J156" s="1870"/>
      <c r="K156" s="1871">
        <f ca="1">IF(J167&lt;&gt;"",(J165-J167),"")</f>
        <v>0.28886330074268307</v>
      </c>
      <c r="L156" s="1872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421">
        <f t="shared" si="77"/>
        <v>9</v>
      </c>
      <c r="AL156" s="358"/>
      <c r="AM156" s="358"/>
      <c r="AN156" s="358"/>
      <c r="AO156" s="358"/>
      <c r="AP156" s="358"/>
      <c r="AQ156" s="358"/>
      <c r="AR156" s="358"/>
      <c r="AS156" s="358"/>
      <c r="AT156" s="358"/>
      <c r="AU156" s="358"/>
      <c r="AV156" s="358"/>
      <c r="AW156" s="358"/>
      <c r="AX156" s="358"/>
      <c r="AY156" s="358"/>
      <c r="AZ156" s="358"/>
      <c r="BA156" s="358"/>
      <c r="BB156" s="358"/>
      <c r="BC156" s="358"/>
      <c r="BD156" s="358"/>
      <c r="BE156" s="358"/>
      <c r="BF156" s="358"/>
      <c r="BG156" s="358"/>
      <c r="BH156" s="358"/>
      <c r="BI156" s="358"/>
      <c r="BJ156" s="358"/>
      <c r="BK156" s="358"/>
      <c r="BL156" s="358"/>
      <c r="BM156" s="358"/>
      <c r="BN156" s="358"/>
      <c r="BO156" s="358"/>
      <c r="BP156" s="358"/>
      <c r="BQ156" s="358"/>
      <c r="BR156" s="358"/>
      <c r="BS156" s="358"/>
      <c r="BT156" s="358"/>
      <c r="BU156" s="358"/>
      <c r="BV156" s="358"/>
      <c r="BW156" s="358"/>
      <c r="BX156" s="358"/>
      <c r="BY156" s="358"/>
      <c r="BZ156" s="358"/>
      <c r="CA156" s="358"/>
      <c r="CB156" s="358"/>
      <c r="CC156" s="358"/>
      <c r="CD156" s="358"/>
      <c r="CE156" s="358"/>
      <c r="CF156" s="358"/>
      <c r="CG156" s="358"/>
      <c r="CH156" s="358"/>
      <c r="CI156" s="358"/>
      <c r="CJ156" s="358"/>
      <c r="CK156" s="358"/>
      <c r="CL156" s="358"/>
      <c r="CM156" s="358"/>
      <c r="CN156" s="358"/>
      <c r="CO156" s="358"/>
      <c r="CP156" s="358"/>
      <c r="CQ156" s="358"/>
      <c r="CR156" s="358"/>
      <c r="CS156" s="358"/>
      <c r="CT156" s="358"/>
      <c r="CU156" s="358"/>
      <c r="CV156" s="358"/>
      <c r="CW156" s="358"/>
      <c r="CX156" s="358"/>
      <c r="CY156" s="358"/>
      <c r="CZ156" s="358"/>
      <c r="DA156" s="358"/>
      <c r="DB156" s="358"/>
      <c r="DC156" s="358"/>
      <c r="DD156" s="358"/>
      <c r="DE156" s="358"/>
      <c r="DF156" s="358"/>
      <c r="DG156" s="358"/>
      <c r="DH156" s="358"/>
      <c r="DI156" s="358"/>
      <c r="DJ156" s="358"/>
      <c r="DK156" s="358"/>
      <c r="DL156" s="358"/>
      <c r="DM156" s="358"/>
      <c r="DN156" s="358"/>
      <c r="DO156" s="358"/>
      <c r="DP156" s="358"/>
      <c r="DQ156" s="358"/>
      <c r="DR156" s="358"/>
      <c r="DS156" s="358"/>
      <c r="DT156" s="358"/>
      <c r="DU156" s="358"/>
      <c r="DV156" s="358"/>
      <c r="DW156" s="358"/>
      <c r="DX156" s="358"/>
      <c r="DY156" s="358"/>
      <c r="DZ156" s="358"/>
      <c r="EA156" s="358"/>
      <c r="EB156" s="358"/>
      <c r="EC156" s="358"/>
      <c r="ED156" s="358"/>
      <c r="EE156" s="358"/>
      <c r="EF156" s="358"/>
      <c r="EG156" s="358"/>
      <c r="EH156" s="358"/>
      <c r="EI156" s="358"/>
      <c r="EJ156" s="358"/>
      <c r="EK156" s="358"/>
      <c r="EL156" s="358"/>
      <c r="EM156" s="358"/>
      <c r="EN156" s="358"/>
      <c r="EO156" s="358"/>
      <c r="EP156" s="358"/>
      <c r="EQ156" s="358"/>
      <c r="ER156" s="358"/>
      <c r="ES156" s="358"/>
      <c r="ET156" s="358"/>
      <c r="EU156" s="358"/>
      <c r="EV156" s="358"/>
      <c r="EW156" s="358"/>
      <c r="EX156" s="358"/>
      <c r="EY156" s="358"/>
      <c r="EZ156" s="371"/>
    </row>
    <row r="157" spans="1:156" s="251" customFormat="1" ht="12" customHeight="1" x14ac:dyDescent="0.35">
      <c r="A157" s="1867" t="s">
        <v>232</v>
      </c>
      <c r="B157" s="1868"/>
      <c r="C157" s="29">
        <f ca="1">IF(C152&lt;&gt;"",C154-C155,"")</f>
        <v>-25.16</v>
      </c>
      <c r="D157" s="29">
        <f ca="1">IF(D152&lt;&gt;"",D154-D155,"")</f>
        <v>-33.159999999999997</v>
      </c>
      <c r="E157" s="794" t="s">
        <v>32</v>
      </c>
      <c r="F157" s="794">
        <v>19.100000000000001</v>
      </c>
      <c r="G157" s="855">
        <f ca="1">IF(OR($N$2="",$N$2=0),"",IF(INDIRECT(ADDRESS(($AK157),COLUMN()+48,,,"Digitar Dados dos Ensaios"))&lt;&gt;"",INDIRECT(ADDRESS(($AK157),COLUMN()+48,,,"Digitar Dados dos Ensaios")),""))</f>
        <v>90.69</v>
      </c>
      <c r="H157" s="795">
        <f t="shared" ca="1" si="75"/>
        <v>2354.1099999999997</v>
      </c>
      <c r="I157" s="1869">
        <f t="shared" ca="1" si="76"/>
        <v>0.94098907160616208</v>
      </c>
      <c r="J157" s="1870"/>
      <c r="K157" s="1864" t="s">
        <v>233</v>
      </c>
      <c r="L157" s="1873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421">
        <f t="shared" si="77"/>
        <v>9</v>
      </c>
      <c r="AL157" s="358"/>
      <c r="AM157" s="358"/>
      <c r="AN157" s="358"/>
      <c r="AO157" s="358"/>
      <c r="AP157" s="358"/>
      <c r="AQ157" s="358"/>
      <c r="AR157" s="358"/>
      <c r="AS157" s="358"/>
      <c r="AT157" s="358"/>
      <c r="AU157" s="358"/>
      <c r="AV157" s="358"/>
      <c r="AW157" s="358"/>
      <c r="AX157" s="358"/>
      <c r="AY157" s="358"/>
      <c r="AZ157" s="358"/>
      <c r="BA157" s="358"/>
      <c r="BB157" s="358"/>
      <c r="BC157" s="358"/>
      <c r="BD157" s="358"/>
      <c r="BE157" s="358"/>
      <c r="BF157" s="358"/>
      <c r="BG157" s="358"/>
      <c r="BH157" s="358"/>
      <c r="BI157" s="358"/>
      <c r="BJ157" s="358"/>
      <c r="BK157" s="358"/>
      <c r="BL157" s="358"/>
      <c r="BM157" s="358"/>
      <c r="BN157" s="358"/>
      <c r="BO157" s="358"/>
      <c r="BP157" s="358"/>
      <c r="BQ157" s="358"/>
      <c r="BR157" s="358"/>
      <c r="BS157" s="358"/>
      <c r="BT157" s="358"/>
      <c r="BU157" s="358"/>
      <c r="BV157" s="358"/>
      <c r="BW157" s="358"/>
      <c r="BX157" s="358"/>
      <c r="BY157" s="358"/>
      <c r="BZ157" s="358"/>
      <c r="CA157" s="358"/>
      <c r="CB157" s="358"/>
      <c r="CC157" s="358"/>
      <c r="CD157" s="358"/>
      <c r="CE157" s="358"/>
      <c r="CF157" s="358"/>
      <c r="CG157" s="358"/>
      <c r="CH157" s="358"/>
      <c r="CI157" s="358"/>
      <c r="CJ157" s="358"/>
      <c r="CK157" s="358"/>
      <c r="CL157" s="358"/>
      <c r="CM157" s="358"/>
      <c r="CN157" s="358"/>
      <c r="CO157" s="358"/>
      <c r="CP157" s="358"/>
      <c r="CQ157" s="358"/>
      <c r="CR157" s="358"/>
      <c r="CS157" s="358"/>
      <c r="CT157" s="358"/>
      <c r="CU157" s="358"/>
      <c r="CV157" s="358"/>
      <c r="CW157" s="358"/>
      <c r="CX157" s="358"/>
      <c r="CY157" s="358"/>
      <c r="CZ157" s="358"/>
      <c r="DA157" s="358"/>
      <c r="DB157" s="358"/>
      <c r="DC157" s="358"/>
      <c r="DD157" s="358"/>
      <c r="DE157" s="358"/>
      <c r="DF157" s="358"/>
      <c r="DG157" s="358"/>
      <c r="DH157" s="358"/>
      <c r="DI157" s="358"/>
      <c r="DJ157" s="358"/>
      <c r="DK157" s="358"/>
      <c r="DL157" s="358"/>
      <c r="DM157" s="358"/>
      <c r="DN157" s="358"/>
      <c r="DO157" s="358"/>
      <c r="DP157" s="358"/>
      <c r="DQ157" s="358"/>
      <c r="DR157" s="358"/>
      <c r="DS157" s="358"/>
      <c r="DT157" s="358"/>
      <c r="DU157" s="358"/>
      <c r="DV157" s="358"/>
      <c r="DW157" s="358"/>
      <c r="DX157" s="358"/>
      <c r="DY157" s="358"/>
      <c r="DZ157" s="358"/>
      <c r="EA157" s="358"/>
      <c r="EB157" s="358"/>
      <c r="EC157" s="358"/>
      <c r="ED157" s="358"/>
      <c r="EE157" s="358"/>
      <c r="EF157" s="358"/>
      <c r="EG157" s="358"/>
      <c r="EH157" s="358"/>
      <c r="EI157" s="358"/>
      <c r="EJ157" s="358"/>
      <c r="EK157" s="358"/>
      <c r="EL157" s="358"/>
      <c r="EM157" s="358"/>
      <c r="EN157" s="358"/>
      <c r="EO157" s="358"/>
      <c r="EP157" s="358"/>
      <c r="EQ157" s="358"/>
      <c r="ER157" s="358"/>
      <c r="ES157" s="358"/>
      <c r="ET157" s="358"/>
      <c r="EU157" s="358"/>
      <c r="EV157" s="358"/>
      <c r="EW157" s="358"/>
      <c r="EX157" s="358"/>
      <c r="EY157" s="358"/>
      <c r="EZ157" s="371"/>
    </row>
    <row r="158" spans="1:156" s="251" customFormat="1" ht="12" customHeight="1" x14ac:dyDescent="0.35">
      <c r="A158" s="1867" t="s">
        <v>234</v>
      </c>
      <c r="B158" s="1868"/>
      <c r="C158" s="588">
        <f ca="1">IF(C152&lt;&gt;"",C156/C157*100,"")</f>
        <v>0</v>
      </c>
      <c r="D158" s="588">
        <f ca="1">IF(D152&lt;&gt;"",D156/D157*100,"")</f>
        <v>0</v>
      </c>
      <c r="E158" s="794" t="s">
        <v>33</v>
      </c>
      <c r="F158" s="794">
        <v>9.52</v>
      </c>
      <c r="G158" s="855">
        <f ca="1">IF(OR($N$2="",$N$2=0),"",IF(INDIRECT(ADDRESS(($AK158),COLUMN()+49,,,"Digitar Dados dos Ensaios"))&lt;&gt;"",INDIRECT(ADDRESS(($AK158),COLUMN()+49,,,"Digitar Dados dos Ensaios")),""))</f>
        <v>315.08999999999997</v>
      </c>
      <c r="H158" s="795">
        <f t="shared" ca="1" si="75"/>
        <v>2039.0199999999998</v>
      </c>
      <c r="I158" s="1869">
        <f t="shared" ca="1" si="76"/>
        <v>0.81504073165077107</v>
      </c>
      <c r="J158" s="1870"/>
      <c r="K158" s="1880">
        <f ca="1">IF(J167&lt;&gt;"",J167,"")</f>
        <v>6.772469241407976E-2</v>
      </c>
      <c r="L158" s="1881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421">
        <f t="shared" si="77"/>
        <v>9</v>
      </c>
      <c r="AL158" s="358"/>
      <c r="AM158" s="358"/>
      <c r="AN158" s="358"/>
      <c r="AO158" s="358"/>
      <c r="AP158" s="358"/>
      <c r="AQ158" s="358"/>
      <c r="AR158" s="358"/>
      <c r="AS158" s="358"/>
      <c r="AT158" s="358"/>
      <c r="AU158" s="358"/>
      <c r="AV158" s="358"/>
      <c r="AW158" s="358"/>
      <c r="AX158" s="358"/>
      <c r="AY158" s="358"/>
      <c r="AZ158" s="358"/>
      <c r="BA158" s="358"/>
      <c r="BB158" s="358"/>
      <c r="BC158" s="358"/>
      <c r="BD158" s="358"/>
      <c r="BE158" s="358"/>
      <c r="BF158" s="358"/>
      <c r="BG158" s="358"/>
      <c r="BH158" s="358"/>
      <c r="BI158" s="358"/>
      <c r="BJ158" s="358"/>
      <c r="BK158" s="358"/>
      <c r="BL158" s="358"/>
      <c r="BM158" s="358"/>
      <c r="BN158" s="358"/>
      <c r="BO158" s="358"/>
      <c r="BP158" s="358"/>
      <c r="BQ158" s="358"/>
      <c r="BR158" s="358"/>
      <c r="BS158" s="358"/>
      <c r="BT158" s="358"/>
      <c r="BU158" s="358"/>
      <c r="BV158" s="358"/>
      <c r="BW158" s="358"/>
      <c r="BX158" s="358"/>
      <c r="BY158" s="358"/>
      <c r="BZ158" s="358"/>
      <c r="CA158" s="358"/>
      <c r="CB158" s="358"/>
      <c r="CC158" s="358"/>
      <c r="CD158" s="358"/>
      <c r="CE158" s="358"/>
      <c r="CF158" s="358"/>
      <c r="CG158" s="358"/>
      <c r="CH158" s="358"/>
      <c r="CI158" s="358"/>
      <c r="CJ158" s="358"/>
      <c r="CK158" s="358"/>
      <c r="CL158" s="358"/>
      <c r="CM158" s="358"/>
      <c r="CN158" s="358"/>
      <c r="CO158" s="358"/>
      <c r="CP158" s="358"/>
      <c r="CQ158" s="358"/>
      <c r="CR158" s="358"/>
      <c r="CS158" s="358"/>
      <c r="CT158" s="358"/>
      <c r="CU158" s="358"/>
      <c r="CV158" s="358"/>
      <c r="CW158" s="358"/>
      <c r="CX158" s="358"/>
      <c r="CY158" s="358"/>
      <c r="CZ158" s="358"/>
      <c r="DA158" s="358"/>
      <c r="DB158" s="358"/>
      <c r="DC158" s="358"/>
      <c r="DD158" s="358"/>
      <c r="DE158" s="358"/>
      <c r="DF158" s="358"/>
      <c r="DG158" s="358"/>
      <c r="DH158" s="358"/>
      <c r="DI158" s="358"/>
      <c r="DJ158" s="358"/>
      <c r="DK158" s="358"/>
      <c r="DL158" s="358"/>
      <c r="DM158" s="358"/>
      <c r="DN158" s="358"/>
      <c r="DO158" s="358"/>
      <c r="DP158" s="358"/>
      <c r="DQ158" s="358"/>
      <c r="DR158" s="358"/>
      <c r="DS158" s="358"/>
      <c r="DT158" s="358"/>
      <c r="DU158" s="358"/>
      <c r="DV158" s="358"/>
      <c r="DW158" s="358"/>
      <c r="DX158" s="358"/>
      <c r="DY158" s="358"/>
      <c r="DZ158" s="358"/>
      <c r="EA158" s="358"/>
      <c r="EB158" s="358"/>
      <c r="EC158" s="358"/>
      <c r="ED158" s="358"/>
      <c r="EE158" s="358"/>
      <c r="EF158" s="358"/>
      <c r="EG158" s="358"/>
      <c r="EH158" s="358"/>
      <c r="EI158" s="358"/>
      <c r="EJ158" s="358"/>
      <c r="EK158" s="358"/>
      <c r="EL158" s="358"/>
      <c r="EM158" s="358"/>
      <c r="EN158" s="358"/>
      <c r="EO158" s="358"/>
      <c r="EP158" s="358"/>
      <c r="EQ158" s="358"/>
      <c r="ER158" s="358"/>
      <c r="ES158" s="358"/>
      <c r="ET158" s="358"/>
      <c r="EU158" s="358"/>
      <c r="EV158" s="358"/>
      <c r="EW158" s="358"/>
      <c r="EX158" s="358"/>
      <c r="EY158" s="358"/>
      <c r="EZ158" s="371"/>
    </row>
    <row r="159" spans="1:156" s="251" customFormat="1" ht="12" customHeight="1" x14ac:dyDescent="0.35">
      <c r="A159" s="1882" t="s">
        <v>172</v>
      </c>
      <c r="B159" s="1883"/>
      <c r="C159" s="1886">
        <f ca="1">IF(C158="","",ROUND(AVERAGE(C158:D158),2))</f>
        <v>0</v>
      </c>
      <c r="D159" s="1887"/>
      <c r="E159" s="794">
        <v>4</v>
      </c>
      <c r="F159" s="794">
        <v>4.76</v>
      </c>
      <c r="G159" s="855">
        <f ca="1">IF(OR($N$2="",$N$2=0),"",IF(INDIRECT(ADDRESS(($AK159),COLUMN()+50,,,"Digitar Dados dos Ensaios"))&lt;&gt;"",INDIRECT(ADDRESS(($AK159),COLUMN()+50,,,"Digitar Dados dos Ensaios")),""))</f>
        <v>402.2</v>
      </c>
      <c r="H159" s="795">
        <f t="shared" ca="1" si="75"/>
        <v>1636.8199999999997</v>
      </c>
      <c r="I159" s="1869">
        <f t="shared" ca="1" si="76"/>
        <v>0.65427262625212845</v>
      </c>
      <c r="J159" s="1870"/>
      <c r="K159" s="238"/>
      <c r="L159" s="1250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421">
        <f t="shared" si="77"/>
        <v>9</v>
      </c>
      <c r="AL159" s="358"/>
      <c r="AM159" s="358"/>
      <c r="AN159" s="358"/>
      <c r="AO159" s="358"/>
      <c r="AP159" s="358"/>
      <c r="AQ159" s="358"/>
      <c r="AR159" s="358"/>
      <c r="AS159" s="358"/>
      <c r="AT159" s="358"/>
      <c r="AU159" s="358"/>
      <c r="AV159" s="358"/>
      <c r="AW159" s="358"/>
      <c r="AX159" s="358"/>
      <c r="AY159" s="358"/>
      <c r="AZ159" s="358"/>
      <c r="BA159" s="358"/>
      <c r="BB159" s="358"/>
      <c r="BC159" s="358"/>
      <c r="BD159" s="358"/>
      <c r="BE159" s="358"/>
      <c r="BF159" s="358"/>
      <c r="BG159" s="358"/>
      <c r="BH159" s="358"/>
      <c r="BI159" s="358"/>
      <c r="BJ159" s="358"/>
      <c r="BK159" s="358"/>
      <c r="BL159" s="358"/>
      <c r="BM159" s="358"/>
      <c r="BN159" s="358"/>
      <c r="BO159" s="358"/>
      <c r="BP159" s="358"/>
      <c r="BQ159" s="358"/>
      <c r="BR159" s="358"/>
      <c r="BS159" s="358"/>
      <c r="BT159" s="358"/>
      <c r="BU159" s="358"/>
      <c r="BV159" s="358"/>
      <c r="BW159" s="358"/>
      <c r="BX159" s="358"/>
      <c r="BY159" s="358"/>
      <c r="BZ159" s="358"/>
      <c r="CA159" s="358"/>
      <c r="CB159" s="358"/>
      <c r="CC159" s="358"/>
      <c r="CD159" s="358"/>
      <c r="CE159" s="358"/>
      <c r="CF159" s="358"/>
      <c r="CG159" s="358"/>
      <c r="CH159" s="358"/>
      <c r="CI159" s="358"/>
      <c r="CJ159" s="358"/>
      <c r="CK159" s="358"/>
      <c r="CL159" s="358"/>
      <c r="CM159" s="358"/>
      <c r="CN159" s="358"/>
      <c r="CO159" s="358"/>
      <c r="CP159" s="358"/>
      <c r="CQ159" s="358"/>
      <c r="CR159" s="358"/>
      <c r="CS159" s="358"/>
      <c r="CT159" s="358"/>
      <c r="CU159" s="358"/>
      <c r="CV159" s="358"/>
      <c r="CW159" s="358"/>
      <c r="CX159" s="358"/>
      <c r="CY159" s="358"/>
      <c r="CZ159" s="358"/>
      <c r="DA159" s="358"/>
      <c r="DB159" s="358"/>
      <c r="DC159" s="358"/>
      <c r="DD159" s="358"/>
      <c r="DE159" s="358"/>
      <c r="DF159" s="358"/>
      <c r="DG159" s="358"/>
      <c r="DH159" s="358"/>
      <c r="DI159" s="358"/>
      <c r="DJ159" s="358"/>
      <c r="DK159" s="358"/>
      <c r="DL159" s="358"/>
      <c r="DM159" s="358"/>
      <c r="DN159" s="358"/>
      <c r="DO159" s="358"/>
      <c r="DP159" s="358"/>
      <c r="DQ159" s="358"/>
      <c r="DR159" s="358"/>
      <c r="DS159" s="358"/>
      <c r="DT159" s="358"/>
      <c r="DU159" s="358"/>
      <c r="DV159" s="358"/>
      <c r="DW159" s="358"/>
      <c r="DX159" s="358"/>
      <c r="DY159" s="358"/>
      <c r="DZ159" s="358"/>
      <c r="EA159" s="358"/>
      <c r="EB159" s="358"/>
      <c r="EC159" s="358"/>
      <c r="ED159" s="358"/>
      <c r="EE159" s="358"/>
      <c r="EF159" s="358"/>
      <c r="EG159" s="358"/>
      <c r="EH159" s="358"/>
      <c r="EI159" s="358"/>
      <c r="EJ159" s="358"/>
      <c r="EK159" s="358"/>
      <c r="EL159" s="358"/>
      <c r="EM159" s="358"/>
      <c r="EN159" s="358"/>
      <c r="EO159" s="358"/>
      <c r="EP159" s="358"/>
      <c r="EQ159" s="358"/>
      <c r="ER159" s="358"/>
      <c r="ES159" s="358"/>
      <c r="ET159" s="358"/>
      <c r="EU159" s="358"/>
      <c r="EV159" s="358"/>
      <c r="EW159" s="358"/>
      <c r="EX159" s="358"/>
      <c r="EY159" s="358"/>
      <c r="EZ159" s="371"/>
    </row>
    <row r="160" spans="1:156" s="251" customFormat="1" ht="12" customHeight="1" x14ac:dyDescent="0.35">
      <c r="A160" s="1884"/>
      <c r="B160" s="1885"/>
      <c r="C160" s="1888"/>
      <c r="D160" s="1889"/>
      <c r="E160" s="796">
        <v>10</v>
      </c>
      <c r="F160" s="797">
        <v>2</v>
      </c>
      <c r="G160" s="856">
        <f ca="1">IF(OR($N$2="",$N$2=0),"",IF(INDIRECT(ADDRESS(($AK160),COLUMN()+51,,,"Digitar Dados dos Ensaios"))&lt;&gt;"",INDIRECT(ADDRESS(($AK160),COLUMN()+51,,,"Digitar Dados dos Ensaios")),""))</f>
        <v>311.08</v>
      </c>
      <c r="H160" s="795">
        <f t="shared" ca="1" si="75"/>
        <v>1325.7399999999998</v>
      </c>
      <c r="I160" s="1869">
        <f t="shared" ca="1" si="76"/>
        <v>0.52992717068920026</v>
      </c>
      <c r="J160" s="1870"/>
      <c r="K160" s="238"/>
      <c r="L160" s="1250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421">
        <f t="shared" si="77"/>
        <v>9</v>
      </c>
      <c r="AL160" s="358"/>
      <c r="AM160" s="358"/>
      <c r="AN160" s="358"/>
      <c r="AO160" s="358"/>
      <c r="AP160" s="358"/>
      <c r="AQ160" s="358"/>
      <c r="AR160" s="358"/>
      <c r="AS160" s="358"/>
      <c r="AT160" s="358"/>
      <c r="AU160" s="358"/>
      <c r="AV160" s="358"/>
      <c r="AW160" s="358"/>
      <c r="AX160" s="358"/>
      <c r="AY160" s="358"/>
      <c r="AZ160" s="358"/>
      <c r="BA160" s="358"/>
      <c r="BB160" s="358"/>
      <c r="BC160" s="358"/>
      <c r="BD160" s="358"/>
      <c r="BE160" s="358"/>
      <c r="BF160" s="358"/>
      <c r="BG160" s="358"/>
      <c r="BH160" s="358"/>
      <c r="BI160" s="358"/>
      <c r="BJ160" s="358"/>
      <c r="BK160" s="358"/>
      <c r="BL160" s="358"/>
      <c r="BM160" s="358"/>
      <c r="BN160" s="358"/>
      <c r="BO160" s="358"/>
      <c r="BP160" s="358"/>
      <c r="BQ160" s="358"/>
      <c r="BR160" s="358"/>
      <c r="BS160" s="358"/>
      <c r="BT160" s="358"/>
      <c r="BU160" s="358"/>
      <c r="BV160" s="358"/>
      <c r="BW160" s="358"/>
      <c r="BX160" s="358"/>
      <c r="BY160" s="358"/>
      <c r="BZ160" s="358"/>
      <c r="CA160" s="358"/>
      <c r="CB160" s="358"/>
      <c r="CC160" s="358"/>
      <c r="CD160" s="358"/>
      <c r="CE160" s="358"/>
      <c r="CF160" s="358"/>
      <c r="CG160" s="358"/>
      <c r="CH160" s="358"/>
      <c r="CI160" s="358"/>
      <c r="CJ160" s="358"/>
      <c r="CK160" s="358"/>
      <c r="CL160" s="358"/>
      <c r="CM160" s="358"/>
      <c r="CN160" s="358"/>
      <c r="CO160" s="358"/>
      <c r="CP160" s="358"/>
      <c r="CQ160" s="358"/>
      <c r="CR160" s="358"/>
      <c r="CS160" s="358"/>
      <c r="CT160" s="358"/>
      <c r="CU160" s="358"/>
      <c r="CV160" s="358"/>
      <c r="CW160" s="358"/>
      <c r="CX160" s="358"/>
      <c r="CY160" s="358"/>
      <c r="CZ160" s="358"/>
      <c r="DA160" s="358"/>
      <c r="DB160" s="358"/>
      <c r="DC160" s="358"/>
      <c r="DD160" s="358"/>
      <c r="DE160" s="358"/>
      <c r="DF160" s="358"/>
      <c r="DG160" s="358"/>
      <c r="DH160" s="358"/>
      <c r="DI160" s="358"/>
      <c r="DJ160" s="358"/>
      <c r="DK160" s="358"/>
      <c r="DL160" s="358"/>
      <c r="DM160" s="358"/>
      <c r="DN160" s="358"/>
      <c r="DO160" s="358"/>
      <c r="DP160" s="358"/>
      <c r="DQ160" s="358"/>
      <c r="DR160" s="358"/>
      <c r="DS160" s="358"/>
      <c r="DT160" s="358"/>
      <c r="DU160" s="358"/>
      <c r="DV160" s="358"/>
      <c r="DW160" s="358"/>
      <c r="DX160" s="358"/>
      <c r="DY160" s="358"/>
      <c r="DZ160" s="358"/>
      <c r="EA160" s="358"/>
      <c r="EB160" s="358"/>
      <c r="EC160" s="358"/>
      <c r="ED160" s="358"/>
      <c r="EE160" s="358"/>
      <c r="EF160" s="358"/>
      <c r="EG160" s="358"/>
      <c r="EH160" s="358"/>
      <c r="EI160" s="358"/>
      <c r="EJ160" s="358"/>
      <c r="EK160" s="358"/>
      <c r="EL160" s="358"/>
      <c r="EM160" s="358"/>
      <c r="EN160" s="358"/>
      <c r="EO160" s="358"/>
      <c r="EP160" s="358"/>
      <c r="EQ160" s="358"/>
      <c r="ER160" s="358"/>
      <c r="ES160" s="358"/>
      <c r="ET160" s="358"/>
      <c r="EU160" s="358"/>
      <c r="EV160" s="358"/>
      <c r="EW160" s="358"/>
      <c r="EX160" s="358"/>
      <c r="EY160" s="358"/>
      <c r="EZ160" s="371"/>
    </row>
    <row r="161" spans="1:156" s="251" customFormat="1" ht="12" customHeight="1" x14ac:dyDescent="0.35">
      <c r="A161" s="1853" t="s">
        <v>235</v>
      </c>
      <c r="B161" s="1854"/>
      <c r="C161" s="1854"/>
      <c r="D161" s="1855"/>
      <c r="E161" s="1859" t="s">
        <v>236</v>
      </c>
      <c r="F161" s="1860"/>
      <c r="G161" s="1860"/>
      <c r="H161" s="1860"/>
      <c r="I161" s="1860"/>
      <c r="J161" s="1861"/>
      <c r="K161" s="1899" t="s">
        <v>237</v>
      </c>
      <c r="L161" s="1900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421"/>
      <c r="AL161" s="358"/>
      <c r="AM161" s="358"/>
      <c r="AN161" s="358"/>
      <c r="AO161" s="358"/>
      <c r="AP161" s="358"/>
      <c r="AQ161" s="358"/>
      <c r="AR161" s="358"/>
      <c r="AS161" s="358"/>
      <c r="AT161" s="358"/>
      <c r="AU161" s="358"/>
      <c r="AV161" s="358"/>
      <c r="AW161" s="358"/>
      <c r="AX161" s="358"/>
      <c r="AY161" s="358"/>
      <c r="AZ161" s="358"/>
      <c r="BA161" s="358"/>
      <c r="BB161" s="358"/>
      <c r="BC161" s="358"/>
      <c r="BD161" s="358"/>
      <c r="BE161" s="358"/>
      <c r="BF161" s="358"/>
      <c r="BG161" s="358"/>
      <c r="BH161" s="358"/>
      <c r="BI161" s="358"/>
      <c r="BJ161" s="358"/>
      <c r="BK161" s="358"/>
      <c r="BL161" s="358"/>
      <c r="BM161" s="358"/>
      <c r="BN161" s="358"/>
      <c r="BO161" s="358"/>
      <c r="BP161" s="358"/>
      <c r="BQ161" s="358"/>
      <c r="BR161" s="358"/>
      <c r="BS161" s="358"/>
      <c r="BT161" s="358"/>
      <c r="BU161" s="358"/>
      <c r="BV161" s="358"/>
      <c r="BW161" s="358"/>
      <c r="BX161" s="358"/>
      <c r="BY161" s="358"/>
      <c r="BZ161" s="358"/>
      <c r="CA161" s="358"/>
      <c r="CB161" s="358"/>
      <c r="CC161" s="358"/>
      <c r="CD161" s="358"/>
      <c r="CE161" s="358"/>
      <c r="CF161" s="358"/>
      <c r="CG161" s="358"/>
      <c r="CH161" s="358"/>
      <c r="CI161" s="358"/>
      <c r="CJ161" s="358"/>
      <c r="CK161" s="358"/>
      <c r="CL161" s="358"/>
      <c r="CM161" s="358"/>
      <c r="CN161" s="358"/>
      <c r="CO161" s="358"/>
      <c r="CP161" s="358"/>
      <c r="CQ161" s="358"/>
      <c r="CR161" s="358"/>
      <c r="CS161" s="358"/>
      <c r="CT161" s="358"/>
      <c r="CU161" s="358"/>
      <c r="CV161" s="358"/>
      <c r="CW161" s="358"/>
      <c r="CX161" s="358"/>
      <c r="CY161" s="358"/>
      <c r="CZ161" s="358"/>
      <c r="DA161" s="358"/>
      <c r="DB161" s="358"/>
      <c r="DC161" s="358"/>
      <c r="DD161" s="358"/>
      <c r="DE161" s="358"/>
      <c r="DF161" s="358"/>
      <c r="DG161" s="358"/>
      <c r="DH161" s="358"/>
      <c r="DI161" s="358"/>
      <c r="DJ161" s="358"/>
      <c r="DK161" s="358"/>
      <c r="DL161" s="358"/>
      <c r="DM161" s="358"/>
      <c r="DN161" s="358"/>
      <c r="DO161" s="358"/>
      <c r="DP161" s="358"/>
      <c r="DQ161" s="358"/>
      <c r="DR161" s="358"/>
      <c r="DS161" s="358"/>
      <c r="DT161" s="358"/>
      <c r="DU161" s="358"/>
      <c r="DV161" s="358"/>
      <c r="DW161" s="358"/>
      <c r="DX161" s="358"/>
      <c r="DY161" s="358"/>
      <c r="DZ161" s="358"/>
      <c r="EA161" s="358"/>
      <c r="EB161" s="358"/>
      <c r="EC161" s="358"/>
      <c r="ED161" s="358"/>
      <c r="EE161" s="358"/>
      <c r="EF161" s="358"/>
      <c r="EG161" s="358"/>
      <c r="EH161" s="358"/>
      <c r="EI161" s="358"/>
      <c r="EJ161" s="358"/>
      <c r="EK161" s="358"/>
      <c r="EL161" s="358"/>
      <c r="EM161" s="358"/>
      <c r="EN161" s="358"/>
      <c r="EO161" s="358"/>
      <c r="EP161" s="358"/>
      <c r="EQ161" s="358"/>
      <c r="ER161" s="358"/>
      <c r="ES161" s="358"/>
      <c r="ET161" s="358"/>
      <c r="EU161" s="358"/>
      <c r="EV161" s="358"/>
      <c r="EW161" s="358"/>
      <c r="EX161" s="358"/>
      <c r="EY161" s="358"/>
      <c r="EZ161" s="371"/>
    </row>
    <row r="162" spans="1:156" s="251" customFormat="1" ht="12" customHeight="1" x14ac:dyDescent="0.35">
      <c r="A162" s="1890"/>
      <c r="B162" s="1891"/>
      <c r="C162" s="1891"/>
      <c r="D162" s="1892"/>
      <c r="E162" s="1893" t="s">
        <v>238</v>
      </c>
      <c r="F162" s="1894"/>
      <c r="G162" s="236">
        <v>100</v>
      </c>
      <c r="H162" s="1893" t="s">
        <v>239</v>
      </c>
      <c r="I162" s="1894"/>
      <c r="J162" s="295">
        <f ca="1">IF(C159&lt;&gt;"",G162/(C159+100)*100,"")</f>
        <v>100</v>
      </c>
      <c r="K162" s="1901" t="str">
        <f ca="1">IF(BQ185&lt;&gt;"",BQ185,"")</f>
        <v/>
      </c>
      <c r="L162" s="1902" t="str">
        <f>IF(BV154&lt;&gt;"",BV154,"")</f>
        <v/>
      </c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421">
        <f>AK160</f>
        <v>9</v>
      </c>
      <c r="AL162" s="358"/>
      <c r="AM162" s="358"/>
      <c r="AN162" s="358"/>
      <c r="AO162" s="358"/>
      <c r="AP162" s="358"/>
      <c r="AQ162" s="358"/>
      <c r="AR162" s="358"/>
      <c r="AS162" s="358"/>
      <c r="AT162" s="358"/>
      <c r="AU162" s="358"/>
      <c r="AV162" s="358"/>
      <c r="AW162" s="358"/>
      <c r="AX162" s="358"/>
      <c r="AY162" s="358"/>
      <c r="AZ162" s="358"/>
      <c r="BA162" s="358"/>
      <c r="BB162" s="358"/>
      <c r="BC162" s="358"/>
      <c r="BD162" s="358"/>
      <c r="BE162" s="358"/>
      <c r="BF162" s="358"/>
      <c r="BG162" s="358"/>
      <c r="BH162" s="358"/>
      <c r="BI162" s="358"/>
      <c r="BJ162" s="358"/>
      <c r="BK162" s="358"/>
      <c r="BL162" s="358"/>
      <c r="BM162" s="358"/>
      <c r="BN162" s="358"/>
      <c r="BO162" s="358"/>
      <c r="BP162" s="358"/>
      <c r="BQ162" s="358"/>
      <c r="BR162" s="358"/>
      <c r="BS162" s="358"/>
      <c r="BT162" s="358"/>
      <c r="BU162" s="358"/>
      <c r="BV162" s="358"/>
      <c r="BW162" s="358"/>
      <c r="BX162" s="358"/>
      <c r="BY162" s="358"/>
      <c r="BZ162" s="358"/>
      <c r="CA162" s="358"/>
      <c r="CB162" s="358"/>
      <c r="CC162" s="358"/>
      <c r="CD162" s="358"/>
      <c r="CE162" s="358"/>
      <c r="CF162" s="358"/>
      <c r="CG162" s="358"/>
      <c r="CH162" s="358"/>
      <c r="CI162" s="358"/>
      <c r="CJ162" s="358"/>
      <c r="CK162" s="358"/>
      <c r="CL162" s="358"/>
      <c r="CM162" s="358"/>
      <c r="CN162" s="358"/>
      <c r="CO162" s="358"/>
      <c r="CP162" s="358"/>
      <c r="CQ162" s="358"/>
      <c r="CR162" s="358"/>
      <c r="CS162" s="358"/>
      <c r="CT162" s="358"/>
      <c r="CU162" s="358"/>
      <c r="CV162" s="358"/>
      <c r="CW162" s="358"/>
      <c r="CX162" s="358"/>
      <c r="CY162" s="358"/>
      <c r="CZ162" s="358"/>
      <c r="DA162" s="358"/>
      <c r="DB162" s="358"/>
      <c r="DC162" s="358"/>
      <c r="DD162" s="358"/>
      <c r="DE162" s="358"/>
      <c r="DF162" s="358"/>
      <c r="DG162" s="358"/>
      <c r="DH162" s="358"/>
      <c r="DI162" s="358"/>
      <c r="DJ162" s="358"/>
      <c r="DK162" s="358"/>
      <c r="DL162" s="358"/>
      <c r="DM162" s="358"/>
      <c r="DN162" s="358"/>
      <c r="DO162" s="358"/>
      <c r="DP162" s="358"/>
      <c r="DQ162" s="358"/>
      <c r="DR162" s="358"/>
      <c r="DS162" s="358"/>
      <c r="DT162" s="358"/>
      <c r="DU162" s="358"/>
      <c r="DV162" s="358"/>
      <c r="DW162" s="358"/>
      <c r="DX162" s="358"/>
      <c r="DY162" s="358"/>
      <c r="DZ162" s="358"/>
      <c r="EA162" s="358"/>
      <c r="EB162" s="358"/>
      <c r="EC162" s="358"/>
      <c r="ED162" s="358"/>
      <c r="EE162" s="358"/>
      <c r="EF162" s="358"/>
      <c r="EG162" s="358"/>
      <c r="EH162" s="358"/>
      <c r="EI162" s="358"/>
      <c r="EJ162" s="358"/>
      <c r="EK162" s="358"/>
      <c r="EL162" s="358"/>
      <c r="EM162" s="358"/>
      <c r="EN162" s="358"/>
      <c r="EO162" s="358"/>
      <c r="EP162" s="358"/>
      <c r="EQ162" s="358"/>
      <c r="ER162" s="358"/>
      <c r="ES162" s="358"/>
      <c r="ET162" s="358"/>
      <c r="EU162" s="358"/>
      <c r="EV162" s="358"/>
      <c r="EW162" s="358"/>
      <c r="EX162" s="358"/>
      <c r="EY162" s="358"/>
      <c r="EZ162" s="371"/>
    </row>
    <row r="163" spans="1:156" s="251" customFormat="1" ht="12" customHeight="1" x14ac:dyDescent="0.35">
      <c r="A163" s="1876" t="s">
        <v>240</v>
      </c>
      <c r="B163" s="1895"/>
      <c r="C163" s="1877"/>
      <c r="D163" s="237">
        <f ca="1">IF(OR($N$2="",$N$2=0),"",IF(INDIRECT(ADDRESS(($AK163),COLUMN()+55,,,"Digitar Dados dos Ensaios"))&lt;&gt;"",INDIRECT(ADDRESS(($AK163),COLUMN()+55,,,"Digitar Dados dos Ensaios")),""))</f>
        <v>2501.7399999999998</v>
      </c>
      <c r="E163" s="1896" t="s">
        <v>241</v>
      </c>
      <c r="F163" s="1897"/>
      <c r="G163" s="1898" t="s">
        <v>242</v>
      </c>
      <c r="H163" s="1898"/>
      <c r="I163" s="1898" t="s">
        <v>243</v>
      </c>
      <c r="J163" s="1898"/>
      <c r="K163" s="1903" t="str">
        <f>IF(BU155&lt;&gt;"",BU155,"")</f>
        <v/>
      </c>
      <c r="L163" s="1904" t="str">
        <f>IF(BV155&lt;&gt;"",BV155,"")</f>
        <v/>
      </c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421">
        <f>AK152</f>
        <v>9</v>
      </c>
      <c r="AL163" s="358"/>
      <c r="AM163" s="358"/>
      <c r="AN163" s="358"/>
      <c r="AO163" s="358"/>
      <c r="AP163" s="358"/>
      <c r="AQ163" s="358"/>
      <c r="AR163" s="358"/>
      <c r="AS163" s="358"/>
      <c r="AT163" s="358"/>
      <c r="AU163" s="358"/>
      <c r="AV163" s="358"/>
      <c r="AW163" s="358"/>
      <c r="AX163" s="358"/>
      <c r="AY163" s="358"/>
      <c r="AZ163" s="358"/>
      <c r="BA163" s="358"/>
      <c r="BB163" s="358"/>
      <c r="BC163" s="358"/>
      <c r="BD163" s="358"/>
      <c r="BE163" s="358"/>
      <c r="BF163" s="358"/>
      <c r="BG163" s="358"/>
      <c r="BH163" s="358"/>
      <c r="BI163" s="358"/>
      <c r="BJ163" s="358"/>
      <c r="BK163" s="358"/>
      <c r="BL163" s="358"/>
      <c r="BM163" s="358"/>
      <c r="BN163" s="358"/>
      <c r="BO163" s="358"/>
      <c r="BP163" s="358"/>
      <c r="BQ163" s="358"/>
      <c r="BR163" s="358"/>
      <c r="BS163" s="358"/>
      <c r="BT163" s="358"/>
      <c r="BU163" s="358"/>
      <c r="BV163" s="358"/>
      <c r="BW163" s="358"/>
      <c r="BX163" s="358"/>
      <c r="BY163" s="358"/>
      <c r="BZ163" s="358"/>
      <c r="CA163" s="358"/>
      <c r="CB163" s="358"/>
      <c r="CC163" s="358"/>
      <c r="CD163" s="358"/>
      <c r="CE163" s="358"/>
      <c r="CF163" s="358"/>
      <c r="CG163" s="358"/>
      <c r="CH163" s="358"/>
      <c r="CI163" s="358"/>
      <c r="CJ163" s="358"/>
      <c r="CK163" s="358"/>
      <c r="CL163" s="358"/>
      <c r="CM163" s="358"/>
      <c r="CN163" s="358"/>
      <c r="CO163" s="358"/>
      <c r="CP163" s="358"/>
      <c r="CQ163" s="358"/>
      <c r="CR163" s="358"/>
      <c r="CS163" s="358"/>
      <c r="CT163" s="358"/>
      <c r="CU163" s="358"/>
      <c r="CV163" s="358"/>
      <c r="CW163" s="358"/>
      <c r="CX163" s="358"/>
      <c r="CY163" s="358"/>
      <c r="CZ163" s="358"/>
      <c r="DA163" s="358"/>
      <c r="DB163" s="358"/>
      <c r="DC163" s="358"/>
      <c r="DD163" s="358"/>
      <c r="DE163" s="358"/>
      <c r="DF163" s="358"/>
      <c r="DG163" s="358"/>
      <c r="DH163" s="358"/>
      <c r="DI163" s="358"/>
      <c r="DJ163" s="358"/>
      <c r="DK163" s="358"/>
      <c r="DL163" s="358"/>
      <c r="DM163" s="358"/>
      <c r="DN163" s="358"/>
      <c r="DO163" s="358"/>
      <c r="DP163" s="358"/>
      <c r="DQ163" s="358"/>
      <c r="DR163" s="358"/>
      <c r="DS163" s="358"/>
      <c r="DT163" s="358"/>
      <c r="DU163" s="358"/>
      <c r="DV163" s="358"/>
      <c r="DW163" s="358"/>
      <c r="DX163" s="358"/>
      <c r="DY163" s="358"/>
      <c r="DZ163" s="358"/>
      <c r="EA163" s="358"/>
      <c r="EB163" s="358"/>
      <c r="EC163" s="358"/>
      <c r="ED163" s="358"/>
      <c r="EE163" s="358"/>
      <c r="EF163" s="358"/>
      <c r="EG163" s="358"/>
      <c r="EH163" s="358"/>
      <c r="EI163" s="358"/>
      <c r="EJ163" s="358"/>
      <c r="EK163" s="358"/>
      <c r="EL163" s="358"/>
      <c r="EM163" s="358"/>
      <c r="EN163" s="358"/>
      <c r="EO163" s="358"/>
      <c r="EP163" s="358"/>
      <c r="EQ163" s="358"/>
      <c r="ER163" s="358"/>
      <c r="ES163" s="358"/>
      <c r="ET163" s="358"/>
      <c r="EU163" s="358"/>
      <c r="EV163" s="358"/>
      <c r="EW163" s="358"/>
      <c r="EX163" s="358"/>
      <c r="EY163" s="358"/>
      <c r="EZ163" s="371"/>
    </row>
    <row r="164" spans="1:156" s="251" customFormat="1" ht="12" customHeight="1" x14ac:dyDescent="0.35">
      <c r="A164" s="1867" t="s">
        <v>244</v>
      </c>
      <c r="B164" s="1917"/>
      <c r="C164" s="1868"/>
      <c r="D164" s="27">
        <f ca="1">IF(D163&lt;&gt;"",SUM(G154:G160),"")</f>
        <v>1176</v>
      </c>
      <c r="E164" s="28" t="s">
        <v>223</v>
      </c>
      <c r="F164" s="707" t="s">
        <v>224</v>
      </c>
      <c r="G164" s="792" t="s">
        <v>42</v>
      </c>
      <c r="H164" s="792" t="s">
        <v>225</v>
      </c>
      <c r="I164" s="792" t="s">
        <v>23</v>
      </c>
      <c r="J164" s="792" t="s">
        <v>22</v>
      </c>
      <c r="K164" s="239"/>
      <c r="L164" s="1251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421"/>
      <c r="AL164" s="358"/>
      <c r="AM164" s="358"/>
      <c r="AN164" s="358"/>
      <c r="AO164" s="358"/>
      <c r="AP164" s="358"/>
      <c r="AQ164" s="358"/>
      <c r="AR164" s="358"/>
      <c r="AS164" s="358"/>
      <c r="AT164" s="358"/>
      <c r="AU164" s="358"/>
      <c r="AV164" s="358"/>
      <c r="AW164" s="358"/>
      <c r="AX164" s="358"/>
      <c r="AY164" s="358"/>
      <c r="AZ164" s="358"/>
      <c r="BA164" s="358"/>
      <c r="BB164" s="358"/>
      <c r="BC164" s="358"/>
      <c r="BD164" s="358"/>
      <c r="BE164" s="358"/>
      <c r="BF164" s="358"/>
      <c r="BG164" s="358"/>
      <c r="BH164" s="358"/>
      <c r="BI164" s="358"/>
      <c r="BJ164" s="358"/>
      <c r="BK164" s="358"/>
      <c r="BL164" s="358"/>
      <c r="BM164" s="358"/>
      <c r="BN164" s="358"/>
      <c r="BO164" s="358"/>
      <c r="BP164" s="358"/>
      <c r="BQ164" s="358"/>
      <c r="BR164" s="358"/>
      <c r="BS164" s="358"/>
      <c r="BT164" s="358"/>
      <c r="BU164" s="358"/>
      <c r="BV164" s="358"/>
      <c r="BW164" s="358"/>
      <c r="BX164" s="358"/>
      <c r="BY164" s="358"/>
      <c r="BZ164" s="358"/>
      <c r="CA164" s="358"/>
      <c r="CB164" s="358"/>
      <c r="CC164" s="358"/>
      <c r="CD164" s="358"/>
      <c r="CE164" s="358"/>
      <c r="CF164" s="358"/>
      <c r="CG164" s="358"/>
      <c r="CH164" s="358"/>
      <c r="CI164" s="358"/>
      <c r="CJ164" s="358"/>
      <c r="CK164" s="358"/>
      <c r="CL164" s="358"/>
      <c r="CM164" s="358"/>
      <c r="CN164" s="358"/>
      <c r="CO164" s="358"/>
      <c r="CP164" s="358"/>
      <c r="CQ164" s="358"/>
      <c r="CR164" s="358"/>
      <c r="CS164" s="358"/>
      <c r="CT164" s="358"/>
      <c r="CU164" s="358"/>
      <c r="CV164" s="358"/>
      <c r="CW164" s="358"/>
      <c r="CX164" s="358"/>
      <c r="CY164" s="358"/>
      <c r="CZ164" s="358"/>
      <c r="DA164" s="358"/>
      <c r="DB164" s="358"/>
      <c r="DC164" s="358"/>
      <c r="DD164" s="358"/>
      <c r="DE164" s="358"/>
      <c r="DF164" s="358"/>
      <c r="DG164" s="358"/>
      <c r="DH164" s="358"/>
      <c r="DI164" s="358"/>
      <c r="DJ164" s="358"/>
      <c r="DK164" s="358"/>
      <c r="DL164" s="358"/>
      <c r="DM164" s="358"/>
      <c r="DN164" s="358"/>
      <c r="DO164" s="358"/>
      <c r="DP164" s="358"/>
      <c r="DQ164" s="358"/>
      <c r="DR164" s="358"/>
      <c r="DS164" s="358"/>
      <c r="DT164" s="358"/>
      <c r="DU164" s="358"/>
      <c r="DV164" s="358"/>
      <c r="DW164" s="358"/>
      <c r="DX164" s="358"/>
      <c r="DY164" s="358"/>
      <c r="DZ164" s="358"/>
      <c r="EA164" s="358"/>
      <c r="EB164" s="358"/>
      <c r="EC164" s="358"/>
      <c r="ED164" s="358"/>
      <c r="EE164" s="358"/>
      <c r="EF164" s="358"/>
      <c r="EG164" s="358"/>
      <c r="EH164" s="358"/>
      <c r="EI164" s="358"/>
      <c r="EJ164" s="358"/>
      <c r="EK164" s="358"/>
      <c r="EL164" s="358"/>
      <c r="EM164" s="358"/>
      <c r="EN164" s="358"/>
      <c r="EO164" s="358"/>
      <c r="EP164" s="358"/>
      <c r="EQ164" s="358"/>
      <c r="ER164" s="358"/>
      <c r="ES164" s="358"/>
      <c r="ET164" s="358"/>
      <c r="EU164" s="358"/>
      <c r="EV164" s="358"/>
      <c r="EW164" s="358"/>
      <c r="EX164" s="358"/>
      <c r="EY164" s="358"/>
      <c r="EZ164" s="371"/>
    </row>
    <row r="165" spans="1:156" s="251" customFormat="1" ht="12" customHeight="1" x14ac:dyDescent="0.35">
      <c r="A165" s="1867" t="s">
        <v>245</v>
      </c>
      <c r="B165" s="1917"/>
      <c r="C165" s="1868"/>
      <c r="D165" s="29">
        <f ca="1">IF(D163&lt;&gt;"",D163-D164,"")</f>
        <v>1325.7399999999998</v>
      </c>
      <c r="E165" s="30">
        <v>40</v>
      </c>
      <c r="F165" s="31">
        <v>0.42</v>
      </c>
      <c r="G165" s="857">
        <f ca="1">IF(OR($N$2="",$N$2=0),"",IF(INDIRECT(ADDRESS(($AK165),COLUMN()+54,,,"Digitar Dados dos Ensaios"))&lt;&gt;"",INDIRECT(ADDRESS(($AK165),COLUMN()+54,,,"Digitar Dados dos Ensaios")),""))</f>
        <v>32.71</v>
      </c>
      <c r="H165" s="798">
        <f ca="1">IF(G165&lt;&gt;"",(J162-G165),"")</f>
        <v>67.289999999999992</v>
      </c>
      <c r="I165" s="799">
        <f ca="1">IF(G165&lt;&gt;"",(H165/J162),"")</f>
        <v>0.67289999999999994</v>
      </c>
      <c r="J165" s="800">
        <f ca="1">IF(I165&lt;&gt;"",(I165*I160),"")</f>
        <v>0.35658799315676282</v>
      </c>
      <c r="K165" s="240"/>
      <c r="L165" s="1252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421">
        <f>AK163</f>
        <v>9</v>
      </c>
      <c r="AL165" s="358"/>
      <c r="AM165" s="358"/>
      <c r="AN165" s="358"/>
      <c r="AO165" s="358"/>
      <c r="AP165" s="358"/>
      <c r="AQ165" s="358"/>
      <c r="AR165" s="358"/>
      <c r="AS165" s="358"/>
      <c r="AT165" s="358"/>
      <c r="AU165" s="358"/>
      <c r="AV165" s="358"/>
      <c r="AW165" s="358"/>
      <c r="AX165" s="358"/>
      <c r="AY165" s="358"/>
      <c r="AZ165" s="358"/>
      <c r="BA165" s="358"/>
      <c r="BB165" s="358"/>
      <c r="BC165" s="358"/>
      <c r="BD165" s="358"/>
      <c r="BE165" s="358"/>
      <c r="BF165" s="358"/>
      <c r="BG165" s="358"/>
      <c r="BH165" s="358"/>
      <c r="BI165" s="358"/>
      <c r="BJ165" s="358"/>
      <c r="BK165" s="358"/>
      <c r="BL165" s="358"/>
      <c r="BM165" s="358"/>
      <c r="BN165" s="358"/>
      <c r="BO165" s="358"/>
      <c r="BP165" s="358"/>
      <c r="BQ165" s="358"/>
      <c r="BR165" s="358"/>
      <c r="BS165" s="358"/>
      <c r="BT165" s="358"/>
      <c r="BU165" s="358"/>
      <c r="BV165" s="358"/>
      <c r="BW165" s="358"/>
      <c r="BX165" s="358"/>
      <c r="BY165" s="358"/>
      <c r="BZ165" s="358"/>
      <c r="CA165" s="358"/>
      <c r="CB165" s="358"/>
      <c r="CC165" s="358"/>
      <c r="CD165" s="358"/>
      <c r="CE165" s="358"/>
      <c r="CF165" s="358"/>
      <c r="CG165" s="358"/>
      <c r="CH165" s="358"/>
      <c r="CI165" s="358"/>
      <c r="CJ165" s="358"/>
      <c r="CK165" s="358"/>
      <c r="CL165" s="358"/>
      <c r="CM165" s="358"/>
      <c r="CN165" s="358"/>
      <c r="CO165" s="358"/>
      <c r="CP165" s="358"/>
      <c r="CQ165" s="358"/>
      <c r="CR165" s="358"/>
      <c r="CS165" s="358"/>
      <c r="CT165" s="358"/>
      <c r="CU165" s="358"/>
      <c r="CV165" s="358"/>
      <c r="CW165" s="358"/>
      <c r="CX165" s="358"/>
      <c r="CY165" s="358"/>
      <c r="CZ165" s="358"/>
      <c r="DA165" s="358"/>
      <c r="DB165" s="358"/>
      <c r="DC165" s="358"/>
      <c r="DD165" s="358"/>
      <c r="DE165" s="358"/>
      <c r="DF165" s="358"/>
      <c r="DG165" s="358"/>
      <c r="DH165" s="358"/>
      <c r="DI165" s="358"/>
      <c r="DJ165" s="358"/>
      <c r="DK165" s="358"/>
      <c r="DL165" s="358"/>
      <c r="DM165" s="358"/>
      <c r="DN165" s="358"/>
      <c r="DO165" s="358"/>
      <c r="DP165" s="358"/>
      <c r="DQ165" s="358"/>
      <c r="DR165" s="358"/>
      <c r="DS165" s="358"/>
      <c r="DT165" s="358"/>
      <c r="DU165" s="358"/>
      <c r="DV165" s="358"/>
      <c r="DW165" s="358"/>
      <c r="DX165" s="358"/>
      <c r="DY165" s="358"/>
      <c r="DZ165" s="358"/>
      <c r="EA165" s="358"/>
      <c r="EB165" s="358"/>
      <c r="EC165" s="358"/>
      <c r="ED165" s="358"/>
      <c r="EE165" s="358"/>
      <c r="EF165" s="358"/>
      <c r="EG165" s="358"/>
      <c r="EH165" s="358"/>
      <c r="EI165" s="358"/>
      <c r="EJ165" s="358"/>
      <c r="EK165" s="358"/>
      <c r="EL165" s="358"/>
      <c r="EM165" s="358"/>
      <c r="EN165" s="358"/>
      <c r="EO165" s="358"/>
      <c r="EP165" s="358"/>
      <c r="EQ165" s="358"/>
      <c r="ER165" s="358"/>
      <c r="ES165" s="358"/>
      <c r="ET165" s="358"/>
      <c r="EU165" s="358"/>
      <c r="EV165" s="358"/>
      <c r="EW165" s="358"/>
      <c r="EX165" s="358"/>
      <c r="EY165" s="358"/>
      <c r="EZ165" s="371"/>
    </row>
    <row r="166" spans="1:156" s="251" customFormat="1" ht="12" customHeight="1" x14ac:dyDescent="0.35">
      <c r="A166" s="1867" t="s">
        <v>246</v>
      </c>
      <c r="B166" s="1917"/>
      <c r="C166" s="1868"/>
      <c r="D166" s="29">
        <f ca="1">IF(D163&lt;&gt;"",D165/(C159+100)*100,"")</f>
        <v>1325.7399999999998</v>
      </c>
      <c r="E166" s="30">
        <v>100</v>
      </c>
      <c r="F166" s="32">
        <v>0.14899999999999999</v>
      </c>
      <c r="G166" s="857"/>
      <c r="H166" s="798"/>
      <c r="I166" s="799"/>
      <c r="J166" s="801"/>
      <c r="K166" s="238"/>
      <c r="L166" s="1250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421"/>
      <c r="AL166" s="358"/>
      <c r="AM166" s="358"/>
      <c r="AN166" s="358"/>
      <c r="AO166" s="358"/>
      <c r="AP166" s="358"/>
      <c r="AQ166" s="358"/>
      <c r="AR166" s="358"/>
      <c r="AS166" s="358"/>
      <c r="AT166" s="358"/>
      <c r="AU166" s="358"/>
      <c r="AV166" s="358"/>
      <c r="AW166" s="358"/>
      <c r="AX166" s="358"/>
      <c r="AY166" s="358"/>
      <c r="AZ166" s="358"/>
      <c r="BA166" s="358"/>
      <c r="BB166" s="358"/>
      <c r="BC166" s="358"/>
      <c r="BD166" s="358"/>
      <c r="BE166" s="358"/>
      <c r="BF166" s="358"/>
      <c r="BG166" s="358"/>
      <c r="BH166" s="358"/>
      <c r="BI166" s="358"/>
      <c r="BJ166" s="358"/>
      <c r="BK166" s="358"/>
      <c r="BL166" s="358"/>
      <c r="BM166" s="358"/>
      <c r="BN166" s="358"/>
      <c r="BO166" s="358"/>
      <c r="BP166" s="358"/>
      <c r="BQ166" s="358"/>
      <c r="BR166" s="358"/>
      <c r="BS166" s="358"/>
      <c r="BT166" s="358"/>
      <c r="BU166" s="358"/>
      <c r="BV166" s="358"/>
      <c r="BW166" s="358"/>
      <c r="BX166" s="358"/>
      <c r="BY166" s="358"/>
      <c r="BZ166" s="358"/>
      <c r="CA166" s="358"/>
      <c r="CB166" s="358"/>
      <c r="CC166" s="358"/>
      <c r="CD166" s="358"/>
      <c r="CE166" s="358"/>
      <c r="CF166" s="358"/>
      <c r="CG166" s="358"/>
      <c r="CH166" s="358"/>
      <c r="CI166" s="358"/>
      <c r="CJ166" s="358"/>
      <c r="CK166" s="358"/>
      <c r="CL166" s="358"/>
      <c r="CM166" s="358"/>
      <c r="CN166" s="358"/>
      <c r="CO166" s="358"/>
      <c r="CP166" s="358"/>
      <c r="CQ166" s="358"/>
      <c r="CR166" s="358"/>
      <c r="CS166" s="358"/>
      <c r="CT166" s="358"/>
      <c r="CU166" s="358"/>
      <c r="CV166" s="358"/>
      <c r="CW166" s="358"/>
      <c r="CX166" s="358"/>
      <c r="CY166" s="358"/>
      <c r="CZ166" s="358"/>
      <c r="DA166" s="358"/>
      <c r="DB166" s="358"/>
      <c r="DC166" s="358"/>
      <c r="DD166" s="358"/>
      <c r="DE166" s="358"/>
      <c r="DF166" s="358"/>
      <c r="DG166" s="358"/>
      <c r="DH166" s="358"/>
      <c r="DI166" s="358"/>
      <c r="DJ166" s="358"/>
      <c r="DK166" s="358"/>
      <c r="DL166" s="358"/>
      <c r="DM166" s="358"/>
      <c r="DN166" s="358"/>
      <c r="DO166" s="358"/>
      <c r="DP166" s="358"/>
      <c r="DQ166" s="358"/>
      <c r="DR166" s="358"/>
      <c r="DS166" s="358"/>
      <c r="DT166" s="358"/>
      <c r="DU166" s="358"/>
      <c r="DV166" s="358"/>
      <c r="DW166" s="358"/>
      <c r="DX166" s="358"/>
      <c r="DY166" s="358"/>
      <c r="DZ166" s="358"/>
      <c r="EA166" s="358"/>
      <c r="EB166" s="358"/>
      <c r="EC166" s="358"/>
      <c r="ED166" s="358"/>
      <c r="EE166" s="358"/>
      <c r="EF166" s="358"/>
      <c r="EG166" s="358"/>
      <c r="EH166" s="358"/>
      <c r="EI166" s="358"/>
      <c r="EJ166" s="358"/>
      <c r="EK166" s="358"/>
      <c r="EL166" s="358"/>
      <c r="EM166" s="358"/>
      <c r="EN166" s="358"/>
      <c r="EO166" s="358"/>
      <c r="EP166" s="358"/>
      <c r="EQ166" s="358"/>
      <c r="ER166" s="358"/>
      <c r="ES166" s="358"/>
      <c r="ET166" s="358"/>
      <c r="EU166" s="358"/>
      <c r="EV166" s="358"/>
      <c r="EW166" s="358"/>
      <c r="EX166" s="358"/>
      <c r="EY166" s="358"/>
      <c r="EZ166" s="371"/>
    </row>
    <row r="167" spans="1:156" s="251" customFormat="1" ht="12" customHeight="1" x14ac:dyDescent="0.35">
      <c r="A167" s="1918" t="s">
        <v>247</v>
      </c>
      <c r="B167" s="1919"/>
      <c r="C167" s="1920"/>
      <c r="D167" s="33">
        <f ca="1">IF(D163&lt;&gt;"",D164+D166,"")</f>
        <v>2501.7399999999998</v>
      </c>
      <c r="E167" s="28">
        <v>200</v>
      </c>
      <c r="F167" s="707">
        <v>7.3999999999999996E-2</v>
      </c>
      <c r="G167" s="858">
        <f ca="1">IF(OR($N$2="",$N$2=0),"",IF(INDIRECT(ADDRESS(($AK167),COLUMN()+56,,,"Digitar Dados dos Ensaios"))&lt;&gt;"",INDIRECT(ADDRESS(($AK167),COLUMN()+56,,,"Digitar Dados dos Ensaios")),""))</f>
        <v>54.51</v>
      </c>
      <c r="H167" s="802">
        <f ca="1">IF(G167&lt;&gt;"",(H165-G167),"")</f>
        <v>12.779999999999994</v>
      </c>
      <c r="I167" s="803">
        <f ca="1">IF(G167&lt;&gt;"",(H167/J162),"")</f>
        <v>0.12779999999999994</v>
      </c>
      <c r="J167" s="804">
        <f ca="1">IF(I167&lt;&gt;"",(I167*I160),"")</f>
        <v>6.772469241407976E-2</v>
      </c>
      <c r="K167" s="241"/>
      <c r="L167" s="248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421">
        <f>AK165</f>
        <v>9</v>
      </c>
      <c r="AL167" s="358"/>
      <c r="AM167" s="358"/>
      <c r="AN167" s="358"/>
      <c r="AO167" s="358"/>
      <c r="AP167" s="358"/>
      <c r="AQ167" s="358"/>
      <c r="AR167" s="358"/>
      <c r="AS167" s="358"/>
      <c r="AT167" s="358"/>
      <c r="AU167" s="358"/>
      <c r="AV167" s="358"/>
      <c r="AW167" s="358"/>
      <c r="AX167" s="358"/>
      <c r="AY167" s="358"/>
      <c r="AZ167" s="358"/>
      <c r="BA167" s="358"/>
      <c r="BB167" s="358"/>
      <c r="BC167" s="358"/>
      <c r="BD167" s="358"/>
      <c r="BE167" s="358"/>
      <c r="BF167" s="358"/>
      <c r="BG167" s="358"/>
      <c r="BH167" s="358"/>
      <c r="BI167" s="358"/>
      <c r="BJ167" s="358"/>
      <c r="BK167" s="358"/>
      <c r="BL167" s="358"/>
      <c r="BM167" s="358"/>
      <c r="BN167" s="358"/>
      <c r="BO167" s="358"/>
      <c r="BP167" s="358"/>
      <c r="BQ167" s="358"/>
      <c r="BR167" s="358"/>
      <c r="BS167" s="358"/>
      <c r="BT167" s="358"/>
      <c r="BU167" s="358"/>
      <c r="BV167" s="358"/>
      <c r="BW167" s="358"/>
      <c r="BX167" s="358"/>
      <c r="BY167" s="358"/>
      <c r="BZ167" s="358"/>
      <c r="CA167" s="358"/>
      <c r="CB167" s="358"/>
      <c r="CC167" s="358"/>
      <c r="CD167" s="358"/>
      <c r="CE167" s="358"/>
      <c r="CF167" s="358"/>
      <c r="CG167" s="358"/>
      <c r="CH167" s="358"/>
      <c r="CI167" s="358"/>
      <c r="CJ167" s="358"/>
      <c r="CK167" s="358"/>
      <c r="CL167" s="358"/>
      <c r="CM167" s="358"/>
      <c r="CN167" s="358"/>
      <c r="CO167" s="358"/>
      <c r="CP167" s="358"/>
      <c r="CQ167" s="358"/>
      <c r="CR167" s="358"/>
      <c r="CS167" s="358"/>
      <c r="CT167" s="358"/>
      <c r="CU167" s="358"/>
      <c r="CV167" s="358"/>
      <c r="CW167" s="358"/>
      <c r="CX167" s="358"/>
      <c r="CY167" s="358"/>
      <c r="CZ167" s="358"/>
      <c r="DA167" s="358"/>
      <c r="DB167" s="358"/>
      <c r="DC167" s="358"/>
      <c r="DD167" s="358"/>
      <c r="DE167" s="358"/>
      <c r="DF167" s="358"/>
      <c r="DG167" s="358"/>
      <c r="DH167" s="358"/>
      <c r="DI167" s="358"/>
      <c r="DJ167" s="358"/>
      <c r="DK167" s="358"/>
      <c r="DL167" s="358"/>
      <c r="DM167" s="358"/>
      <c r="DN167" s="358"/>
      <c r="DO167" s="358"/>
      <c r="DP167" s="358"/>
      <c r="DQ167" s="358"/>
      <c r="DR167" s="358"/>
      <c r="DS167" s="358"/>
      <c r="DT167" s="358"/>
      <c r="DU167" s="358"/>
      <c r="DV167" s="358"/>
      <c r="DW167" s="358"/>
      <c r="DX167" s="358"/>
      <c r="DY167" s="358"/>
      <c r="DZ167" s="358"/>
      <c r="EA167" s="358"/>
      <c r="EB167" s="358"/>
      <c r="EC167" s="358"/>
      <c r="ED167" s="358"/>
      <c r="EE167" s="358"/>
      <c r="EF167" s="358"/>
      <c r="EG167" s="358"/>
      <c r="EH167" s="358"/>
      <c r="EI167" s="358"/>
      <c r="EJ167" s="358"/>
      <c r="EK167" s="358"/>
      <c r="EL167" s="358"/>
      <c r="EM167" s="358"/>
      <c r="EN167" s="358"/>
      <c r="EO167" s="358"/>
      <c r="EP167" s="358"/>
      <c r="EQ167" s="358"/>
      <c r="ER167" s="358"/>
      <c r="ES167" s="358"/>
      <c r="ET167" s="358"/>
      <c r="EU167" s="358"/>
      <c r="EV167" s="358"/>
      <c r="EW167" s="358"/>
      <c r="EX167" s="358"/>
      <c r="EY167" s="358"/>
      <c r="EZ167" s="371"/>
    </row>
    <row r="168" spans="1:156" s="251" customFormat="1" ht="12" customHeight="1" x14ac:dyDescent="0.35">
      <c r="A168" s="1921" t="s">
        <v>248</v>
      </c>
      <c r="B168" s="1922"/>
      <c r="C168" s="1922"/>
      <c r="D168" s="1922"/>
      <c r="E168" s="1922"/>
      <c r="F168" s="1923"/>
      <c r="G168" s="1924"/>
      <c r="H168" s="1925"/>
      <c r="I168" s="1925"/>
      <c r="J168" s="1925"/>
      <c r="K168" s="1925"/>
      <c r="L168" s="192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421"/>
      <c r="AL168" s="358"/>
      <c r="AM168" s="429">
        <v>50.8</v>
      </c>
      <c r="AN168" s="430" t="s">
        <v>249</v>
      </c>
      <c r="AO168" s="430">
        <v>76.2</v>
      </c>
      <c r="AP168" s="430">
        <v>76.2</v>
      </c>
      <c r="AQ168" s="430">
        <v>76.2</v>
      </c>
      <c r="AR168" s="431" t="s">
        <v>250</v>
      </c>
      <c r="AS168" s="492" t="str">
        <f ca="1">IF(K162&lt;&gt;"",K162,"")</f>
        <v/>
      </c>
      <c r="AT168" s="368" t="s">
        <v>251</v>
      </c>
      <c r="AU168" s="368" t="s">
        <v>252</v>
      </c>
      <c r="AV168" s="368" t="s">
        <v>253</v>
      </c>
      <c r="AW168" s="368" t="s">
        <v>251</v>
      </c>
      <c r="AX168" s="358"/>
      <c r="AY168" s="358" t="s">
        <v>254</v>
      </c>
      <c r="AZ168" s="358"/>
      <c r="BA168" s="358"/>
      <c r="BB168" s="358"/>
      <c r="BC168" s="358"/>
      <c r="BD168" s="358"/>
      <c r="BE168" s="358"/>
      <c r="BF168" s="358"/>
      <c r="BG168" s="358"/>
      <c r="BH168" s="358"/>
      <c r="BI168" s="358"/>
      <c r="BJ168" s="358"/>
      <c r="BK168" s="358"/>
      <c r="BL168" s="358"/>
      <c r="BM168" s="358"/>
      <c r="BN168" s="358"/>
      <c r="BO168" s="358"/>
      <c r="BP168" s="358"/>
      <c r="BQ168" s="358"/>
      <c r="BR168" s="358"/>
      <c r="BS168" s="358"/>
      <c r="BT168" s="358"/>
      <c r="BU168" s="358"/>
      <c r="BV168" s="358"/>
      <c r="BW168" s="358"/>
      <c r="BX168" s="358"/>
      <c r="BY168" s="358"/>
      <c r="BZ168" s="358"/>
      <c r="CA168" s="358"/>
      <c r="CB168" s="358"/>
      <c r="CC168" s="358"/>
      <c r="CD168" s="358"/>
      <c r="CE168" s="358"/>
      <c r="CF168" s="358"/>
      <c r="CG168" s="358"/>
      <c r="CH168" s="358"/>
      <c r="CI168" s="358"/>
      <c r="CJ168" s="358"/>
      <c r="CK168" s="358"/>
      <c r="CL168" s="358"/>
      <c r="CM168" s="358"/>
      <c r="CN168" s="358"/>
      <c r="CO168" s="358"/>
      <c r="CP168" s="358"/>
      <c r="CQ168" s="358"/>
      <c r="CR168" s="358"/>
      <c r="CS168" s="358"/>
      <c r="CT168" s="358"/>
      <c r="CU168" s="358"/>
      <c r="CV168" s="358"/>
      <c r="CW168" s="358"/>
      <c r="CX168" s="358"/>
      <c r="CY168" s="358"/>
      <c r="CZ168" s="358"/>
      <c r="DA168" s="358"/>
      <c r="DB168" s="358"/>
      <c r="DC168" s="358"/>
      <c r="DD168" s="358"/>
      <c r="DE168" s="358"/>
      <c r="DF168" s="358"/>
      <c r="DG168" s="358"/>
      <c r="DH168" s="358"/>
      <c r="DI168" s="358"/>
      <c r="DJ168" s="358"/>
      <c r="DK168" s="358"/>
      <c r="DL168" s="358"/>
      <c r="DM168" s="358"/>
      <c r="DN168" s="358"/>
      <c r="DO168" s="358"/>
      <c r="DP168" s="358"/>
      <c r="DQ168" s="358"/>
      <c r="DR168" s="358"/>
      <c r="DS168" s="358"/>
      <c r="DT168" s="358"/>
      <c r="DU168" s="358"/>
      <c r="DV168" s="358"/>
      <c r="DW168" s="358"/>
      <c r="DX168" s="358"/>
      <c r="DY168" s="358"/>
      <c r="DZ168" s="358"/>
      <c r="EA168" s="358"/>
      <c r="EB168" s="358"/>
      <c r="EC168" s="358"/>
      <c r="ED168" s="358"/>
      <c r="EE168" s="358"/>
      <c r="EF168" s="358"/>
      <c r="EG168" s="358"/>
      <c r="EH168" s="358"/>
      <c r="EI168" s="358"/>
      <c r="EJ168" s="358"/>
      <c r="EK168" s="358"/>
      <c r="EL168" s="358"/>
      <c r="EM168" s="358"/>
      <c r="EN168" s="358"/>
      <c r="EO168" s="358"/>
      <c r="EP168" s="358"/>
      <c r="EQ168" s="358"/>
      <c r="ER168" s="358"/>
      <c r="ES168" s="358"/>
      <c r="ET168" s="358"/>
      <c r="EU168" s="358"/>
      <c r="EV168" s="358"/>
      <c r="EW168" s="358"/>
      <c r="EX168" s="358"/>
      <c r="EY168" s="358"/>
      <c r="EZ168" s="371"/>
    </row>
    <row r="169" spans="1:156" s="251" customFormat="1" ht="12" customHeight="1" x14ac:dyDescent="0.35">
      <c r="A169" s="1930" t="str">
        <f ca="1">K162</f>
        <v/>
      </c>
      <c r="B169" s="1931"/>
      <c r="C169" s="1931"/>
      <c r="D169" s="1931"/>
      <c r="E169" s="1931"/>
      <c r="F169" s="1932"/>
      <c r="G169" s="1927"/>
      <c r="H169" s="1928"/>
      <c r="I169" s="1928"/>
      <c r="J169" s="1928"/>
      <c r="K169" s="1928"/>
      <c r="L169" s="1929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421"/>
      <c r="AL169" s="358"/>
      <c r="AM169" s="805">
        <v>25.4</v>
      </c>
      <c r="AN169" s="432" t="s">
        <v>29</v>
      </c>
      <c r="AO169" s="432">
        <v>50.8</v>
      </c>
      <c r="AP169" s="432">
        <v>50.8</v>
      </c>
      <c r="AQ169" s="432">
        <v>50.8</v>
      </c>
      <c r="AR169" s="1218">
        <v>7.3999999999999996E-2</v>
      </c>
      <c r="AS169" s="368" t="b">
        <f ca="1">IF(AS168=1,"",IF(AS168=2,""))</f>
        <v>0</v>
      </c>
      <c r="AT169" s="433" t="str">
        <f ca="1">IF(B171="","",IF(AS168="C",1,IF(AS168="D",1,IF(AS168="E",1,IF(AS168="F",1,B171)))))</f>
        <v/>
      </c>
      <c r="AU169" s="433" t="str">
        <f ca="1">IF(C171="","",IF(AS168="C",1,IF(AS168="D",1,IF(AS168="E",1,IF(AS168="F",1,C171)))))</f>
        <v/>
      </c>
      <c r="AV169" s="433" t="str">
        <f ca="1">IF(E171="","",IF(AS168="C",1,IF(AS168="D",1,IF(AS168="E",1,IF(AS168="F",1,E171)))))</f>
        <v/>
      </c>
      <c r="AW169" s="433" t="str">
        <f ca="1">IF(F171="","",IF(AS168="C",1,IF(AS168="D",1,IF(AS168="E",1,IF(AS168="F",1,F171)))))</f>
        <v/>
      </c>
      <c r="AX169" s="358"/>
      <c r="AY169" s="358"/>
      <c r="AZ169" s="624"/>
      <c r="BA169" s="358"/>
      <c r="BB169" s="358"/>
      <c r="BC169" s="358"/>
      <c r="BD169" s="358"/>
      <c r="BE169" s="358"/>
      <c r="BF169" s="358"/>
      <c r="BG169" s="358"/>
      <c r="BH169" s="358"/>
      <c r="BI169" s="358"/>
      <c r="BJ169" s="358"/>
      <c r="BK169" s="358"/>
      <c r="BL169" s="358"/>
      <c r="BM169" s="358"/>
      <c r="BN169" s="358"/>
      <c r="BO169" s="358"/>
      <c r="BP169" s="358"/>
      <c r="BQ169" s="358"/>
      <c r="BR169" s="358"/>
      <c r="BS169" s="358"/>
      <c r="BT169" s="358"/>
      <c r="BU169" s="358"/>
      <c r="BV169" s="358"/>
      <c r="BW169" s="358"/>
      <c r="BX169" s="358"/>
      <c r="BY169" s="358"/>
      <c r="BZ169" s="358"/>
      <c r="CA169" s="358"/>
      <c r="CB169" s="358"/>
      <c r="CC169" s="358"/>
      <c r="CD169" s="358"/>
      <c r="CE169" s="358"/>
      <c r="CF169" s="358"/>
      <c r="CG169" s="358"/>
      <c r="CH169" s="358"/>
      <c r="CI169" s="358"/>
      <c r="CJ169" s="358"/>
      <c r="CK169" s="358"/>
      <c r="CL169" s="358"/>
      <c r="CM169" s="358"/>
      <c r="CN169" s="358"/>
      <c r="CO169" s="358"/>
      <c r="CP169" s="358"/>
      <c r="CQ169" s="358"/>
      <c r="CR169" s="358"/>
      <c r="CS169" s="358"/>
      <c r="CT169" s="358"/>
      <c r="CU169" s="358"/>
      <c r="CV169" s="358"/>
      <c r="CW169" s="358"/>
      <c r="CX169" s="358"/>
      <c r="CY169" s="358"/>
      <c r="CZ169" s="358"/>
      <c r="DA169" s="358"/>
      <c r="DB169" s="358"/>
      <c r="DC169" s="358"/>
      <c r="DD169" s="358"/>
      <c r="DE169" s="358"/>
      <c r="DF169" s="358"/>
      <c r="DG169" s="358"/>
      <c r="DH169" s="358"/>
      <c r="DI169" s="358"/>
      <c r="DJ169" s="358"/>
      <c r="DK169" s="358"/>
      <c r="DL169" s="358"/>
      <c r="DM169" s="358"/>
      <c r="DN169" s="358"/>
      <c r="DO169" s="358"/>
      <c r="DP169" s="358"/>
      <c r="DQ169" s="358"/>
      <c r="DR169" s="358"/>
      <c r="DS169" s="358"/>
      <c r="DT169" s="358"/>
      <c r="DU169" s="358"/>
      <c r="DV169" s="358"/>
      <c r="DW169" s="358"/>
      <c r="DX169" s="358"/>
      <c r="DY169" s="358"/>
      <c r="DZ169" s="358"/>
      <c r="EA169" s="358"/>
      <c r="EB169" s="358"/>
      <c r="EC169" s="358"/>
      <c r="ED169" s="358"/>
      <c r="EE169" s="358"/>
      <c r="EF169" s="358"/>
      <c r="EG169" s="358"/>
      <c r="EH169" s="358"/>
      <c r="EI169" s="358"/>
      <c r="EJ169" s="358"/>
      <c r="EK169" s="358"/>
      <c r="EL169" s="358"/>
      <c r="EM169" s="358"/>
      <c r="EN169" s="358"/>
      <c r="EO169" s="358"/>
      <c r="EP169" s="358"/>
      <c r="EQ169" s="358"/>
      <c r="ER169" s="358"/>
      <c r="ES169" s="358"/>
      <c r="ET169" s="358"/>
      <c r="EU169" s="358"/>
      <c r="EV169" s="358"/>
      <c r="EW169" s="358"/>
      <c r="EX169" s="358"/>
      <c r="EY169" s="358"/>
      <c r="EZ169" s="371"/>
    </row>
    <row r="170" spans="1:156" s="251" customFormat="1" ht="12" customHeight="1" x14ac:dyDescent="0.35">
      <c r="A170" s="1253" t="s">
        <v>241</v>
      </c>
      <c r="B170" s="752" t="s">
        <v>251</v>
      </c>
      <c r="C170" s="806" t="s">
        <v>255</v>
      </c>
      <c r="D170" s="807" t="s">
        <v>256</v>
      </c>
      <c r="E170" s="806" t="s">
        <v>253</v>
      </c>
      <c r="F170" s="808" t="s">
        <v>251</v>
      </c>
      <c r="G170" s="1927"/>
      <c r="H170" s="1928"/>
      <c r="I170" s="1928"/>
      <c r="J170" s="1928"/>
      <c r="K170" s="1928"/>
      <c r="L170" s="1929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421"/>
      <c r="AL170" s="358"/>
      <c r="AM170" s="805">
        <v>9.52</v>
      </c>
      <c r="AN170" s="432" t="s">
        <v>257</v>
      </c>
      <c r="AO170" s="432">
        <v>38.1</v>
      </c>
      <c r="AP170" s="432">
        <v>38.1</v>
      </c>
      <c r="AQ170" s="432">
        <v>38.1</v>
      </c>
      <c r="AR170" s="1218">
        <v>7.3999999999999996E-2</v>
      </c>
      <c r="AS170" s="368">
        <v>25.4</v>
      </c>
      <c r="AT170" s="433" t="b">
        <f ca="1">IF(B172="","",IF(AS168="A",0.65,B172))</f>
        <v>0</v>
      </c>
      <c r="AU170" s="433" t="str">
        <f ca="1">IF(C172="","",IF(AS168="A",0.7,C172))</f>
        <v/>
      </c>
      <c r="AV170" s="433" t="str">
        <f ca="1">IF(E172="","",IF(AS168="A",0.85,E172))</f>
        <v/>
      </c>
      <c r="AW170" s="433" t="b">
        <f ca="1">IF(F172="","",IF(AS168="A",0.88,F172))</f>
        <v>0</v>
      </c>
      <c r="AX170" s="358"/>
      <c r="AY170" s="358"/>
      <c r="AZ170" s="358"/>
      <c r="BA170" s="358"/>
      <c r="BB170" s="358"/>
      <c r="BC170" s="358"/>
      <c r="BD170" s="358"/>
      <c r="BE170" s="358"/>
      <c r="BF170" s="358"/>
      <c r="BG170" s="358"/>
      <c r="BH170" s="358"/>
      <c r="BI170" s="358"/>
      <c r="BJ170" s="358"/>
      <c r="BK170" s="358"/>
      <c r="BL170" s="358"/>
      <c r="BM170" s="358"/>
      <c r="BN170" s="358"/>
      <c r="BO170" s="358"/>
      <c r="BP170" s="358"/>
      <c r="BQ170" s="358"/>
      <c r="BR170" s="358"/>
      <c r="BS170" s="358"/>
      <c r="BT170" s="358"/>
      <c r="BU170" s="358"/>
      <c r="BV170" s="358"/>
      <c r="BW170" s="358"/>
      <c r="BX170" s="358"/>
      <c r="BY170" s="358"/>
      <c r="BZ170" s="358"/>
      <c r="CA170" s="358"/>
      <c r="CB170" s="358"/>
      <c r="CC170" s="358"/>
      <c r="CD170" s="358"/>
      <c r="CE170" s="358"/>
      <c r="CF170" s="358"/>
      <c r="CG170" s="358"/>
      <c r="CH170" s="358"/>
      <c r="CI170" s="358"/>
      <c r="CJ170" s="358"/>
      <c r="CK170" s="358"/>
      <c r="CL170" s="358"/>
      <c r="CM170" s="358"/>
      <c r="CN170" s="358"/>
      <c r="CO170" s="358"/>
      <c r="CP170" s="358"/>
      <c r="CQ170" s="358"/>
      <c r="CR170" s="358"/>
      <c r="CS170" s="358"/>
      <c r="CT170" s="358"/>
      <c r="CU170" s="358"/>
      <c r="CV170" s="358"/>
      <c r="CW170" s="358"/>
      <c r="CX170" s="358"/>
      <c r="CY170" s="358"/>
      <c r="CZ170" s="358"/>
      <c r="DA170" s="358"/>
      <c r="DB170" s="358"/>
      <c r="DC170" s="358"/>
      <c r="DD170" s="358"/>
      <c r="DE170" s="358"/>
      <c r="DF170" s="358"/>
      <c r="DG170" s="358"/>
      <c r="DH170" s="358"/>
      <c r="DI170" s="358"/>
      <c r="DJ170" s="358"/>
      <c r="DK170" s="358"/>
      <c r="DL170" s="358"/>
      <c r="DM170" s="358"/>
      <c r="DN170" s="358"/>
      <c r="DO170" s="358"/>
      <c r="DP170" s="358"/>
      <c r="DQ170" s="358"/>
      <c r="DR170" s="358"/>
      <c r="DS170" s="358"/>
      <c r="DT170" s="358"/>
      <c r="DU170" s="358"/>
      <c r="DV170" s="358"/>
      <c r="DW170" s="358"/>
      <c r="DX170" s="358"/>
      <c r="DY170" s="358"/>
      <c r="DZ170" s="358"/>
      <c r="EA170" s="358"/>
      <c r="EB170" s="358"/>
      <c r="EC170" s="358"/>
      <c r="ED170" s="358"/>
      <c r="EE170" s="358"/>
      <c r="EF170" s="358"/>
      <c r="EG170" s="358"/>
      <c r="EH170" s="358"/>
      <c r="EI170" s="358"/>
      <c r="EJ170" s="358"/>
      <c r="EK170" s="358"/>
      <c r="EL170" s="358"/>
      <c r="EM170" s="358"/>
      <c r="EN170" s="358"/>
      <c r="EO170" s="358"/>
      <c r="EP170" s="358"/>
      <c r="EQ170" s="358"/>
      <c r="ER170" s="358"/>
      <c r="ES170" s="358"/>
      <c r="ET170" s="358"/>
      <c r="EU170" s="358"/>
      <c r="EV170" s="358"/>
      <c r="EW170" s="358"/>
      <c r="EX170" s="358"/>
      <c r="EY170" s="358"/>
      <c r="EZ170" s="371"/>
    </row>
    <row r="171" spans="1:156" s="251" customFormat="1" ht="12" customHeight="1" x14ac:dyDescent="0.35">
      <c r="A171" s="1254" t="s">
        <v>73</v>
      </c>
      <c r="B171" s="809" t="str">
        <f ca="1">IF($K$162="A",1,IF($K$162="1",1,IF($K$162="2","-",IF($K$162="D","-",IF($K$162="E","-",IF($K$162="F","-",""))))))</f>
        <v/>
      </c>
      <c r="C171" s="809" t="str">
        <f ca="1">IF($K$162="A",1,IF($K$162="1",1,IF($K$162="2","-",IF($K$162="D","-",IF($K$162="E","-",IF($K$162="F","-",""))))))</f>
        <v/>
      </c>
      <c r="D171" s="810">
        <f ca="1">IF(I154&lt;&gt;"",I154,"")</f>
        <v>1</v>
      </c>
      <c r="E171" s="809" t="str">
        <f ca="1">IF($K$162="A",1,IF($K$162="1",1,IF($K$162="2","-",IF($K$162="D","-",IF($K$162="E","-",IF($K$162="F","-",""))))))</f>
        <v/>
      </c>
      <c r="F171" s="809" t="str">
        <f ca="1">IF($K$162="A",1,IF($K$162="1",1,IF($K$162="2","-",IF($K$162="D","-",IF($K$162="E","-",IF($K$162="F","-",""))))))</f>
        <v/>
      </c>
      <c r="G171" s="1927"/>
      <c r="H171" s="1928"/>
      <c r="I171" s="1928"/>
      <c r="J171" s="1928"/>
      <c r="K171" s="1928"/>
      <c r="L171" s="1929"/>
      <c r="M171" s="623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421"/>
      <c r="AL171" s="358"/>
      <c r="AM171" s="805">
        <v>4.76</v>
      </c>
      <c r="AN171" s="432" t="s">
        <v>31</v>
      </c>
      <c r="AO171" s="432">
        <v>25.4</v>
      </c>
      <c r="AP171" s="432">
        <v>25.4</v>
      </c>
      <c r="AQ171" s="432">
        <v>25.4</v>
      </c>
      <c r="AR171" s="1218">
        <v>7.3999999999999996E-2</v>
      </c>
      <c r="AS171" s="368">
        <v>9.52</v>
      </c>
      <c r="AT171" s="433" t="b">
        <f ca="1">IF(B173="","",IF(AS168="E",0.68,IF(AS168="F",0.76,B173)))</f>
        <v>0</v>
      </c>
      <c r="AU171" s="433" t="str">
        <f ca="1">IF(C173="","",IF(AS168="E",0.737,IF(AS168="F",0.818,C173)))</f>
        <v/>
      </c>
      <c r="AV171" s="433" t="str">
        <f ca="1">IF(E173="","",IF(AS168="E",1,IF(AS168="F",1,E173)))</f>
        <v/>
      </c>
      <c r="AW171" s="433" t="b">
        <f ca="1">IF(F173="","",IF(AS168="E",1,IF(AS168="F",1,F173)))</f>
        <v>0</v>
      </c>
      <c r="AX171" s="358"/>
      <c r="AY171" s="358"/>
      <c r="AZ171" s="358"/>
      <c r="BA171" s="358"/>
      <c r="BB171" s="358"/>
      <c r="BC171" s="358"/>
      <c r="BD171" s="358"/>
      <c r="BE171" s="358"/>
      <c r="BF171" s="358"/>
      <c r="BG171" s="358"/>
      <c r="BH171" s="358"/>
      <c r="BI171" s="358"/>
      <c r="BJ171" s="358"/>
      <c r="BK171" s="358"/>
      <c r="BL171" s="358"/>
      <c r="BM171" s="358"/>
      <c r="BN171" s="358"/>
      <c r="BO171" s="358"/>
      <c r="BP171" s="358"/>
      <c r="BQ171" s="358"/>
      <c r="BR171" s="358"/>
      <c r="BS171" s="358"/>
      <c r="BT171" s="358"/>
      <c r="BU171" s="358"/>
      <c r="BV171" s="358"/>
      <c r="BW171" s="358"/>
      <c r="BX171" s="358"/>
      <c r="BY171" s="358"/>
      <c r="BZ171" s="358"/>
      <c r="CA171" s="358"/>
      <c r="CB171" s="358"/>
      <c r="CC171" s="358"/>
      <c r="CD171" s="358"/>
      <c r="CE171" s="358"/>
      <c r="CF171" s="358"/>
      <c r="CG171" s="358"/>
      <c r="CH171" s="358"/>
      <c r="CI171" s="358"/>
      <c r="CJ171" s="358"/>
      <c r="CK171" s="358"/>
      <c r="CL171" s="358"/>
      <c r="CM171" s="358"/>
      <c r="CN171" s="358"/>
      <c r="CO171" s="358"/>
      <c r="CP171" s="358"/>
      <c r="CQ171" s="358"/>
      <c r="CR171" s="358"/>
      <c r="CS171" s="358"/>
      <c r="CT171" s="358"/>
      <c r="CU171" s="358"/>
      <c r="CV171" s="358"/>
      <c r="CW171" s="358"/>
      <c r="CX171" s="358"/>
      <c r="CY171" s="358"/>
      <c r="CZ171" s="358"/>
      <c r="DA171" s="358"/>
      <c r="DB171" s="358"/>
      <c r="DC171" s="358"/>
      <c r="DD171" s="358"/>
      <c r="DE171" s="358"/>
      <c r="DF171" s="358"/>
      <c r="DG171" s="358"/>
      <c r="DH171" s="358"/>
      <c r="DI171" s="358"/>
      <c r="DJ171" s="358"/>
      <c r="DK171" s="358"/>
      <c r="DL171" s="358"/>
      <c r="DM171" s="358"/>
      <c r="DN171" s="358"/>
      <c r="DO171" s="358"/>
      <c r="DP171" s="358"/>
      <c r="DQ171" s="358"/>
      <c r="DR171" s="358"/>
      <c r="DS171" s="358"/>
      <c r="DT171" s="358"/>
      <c r="DU171" s="358"/>
      <c r="DV171" s="358"/>
      <c r="DW171" s="358"/>
      <c r="DX171" s="358"/>
      <c r="DY171" s="358"/>
      <c r="DZ171" s="358"/>
      <c r="EA171" s="358"/>
      <c r="EB171" s="358"/>
      <c r="EC171" s="358"/>
      <c r="ED171" s="358"/>
      <c r="EE171" s="358"/>
      <c r="EF171" s="358"/>
      <c r="EG171" s="358"/>
      <c r="EH171" s="358"/>
      <c r="EI171" s="358"/>
      <c r="EJ171" s="358"/>
      <c r="EK171" s="358"/>
      <c r="EL171" s="358"/>
      <c r="EM171" s="358"/>
      <c r="EN171" s="358"/>
      <c r="EO171" s="358"/>
      <c r="EP171" s="358"/>
      <c r="EQ171" s="358"/>
      <c r="ER171" s="358"/>
      <c r="ES171" s="358"/>
      <c r="ET171" s="358"/>
      <c r="EU171" s="358"/>
      <c r="EV171" s="358"/>
      <c r="EW171" s="358"/>
      <c r="EX171" s="358"/>
      <c r="EY171" s="358"/>
      <c r="EZ171" s="371"/>
    </row>
    <row r="172" spans="1:156" s="251" customFormat="1" ht="12" customHeight="1" x14ac:dyDescent="0.35">
      <c r="A172" s="1254" t="s">
        <v>75</v>
      </c>
      <c r="B172" s="809" t="b">
        <f ca="1">IF($K$162="A","-",IF($K$162="1",1,IF($K$162="2",1,IF($K$162="D",1))))</f>
        <v>0</v>
      </c>
      <c r="C172" s="809" t="str">
        <f ca="1">IF($K$162="A","-",IF($K$162="1",0.75,IF($K$162="2",1,IF($K$162="D",1,IF($K$162="E","-",IF($K$162="F","-",""))))))</f>
        <v/>
      </c>
      <c r="D172" s="810">
        <f ca="1">IF(I156&lt;&gt;"",I156,"")</f>
        <v>0.97723984107061479</v>
      </c>
      <c r="E172" s="809" t="str">
        <f ca="1">IF($K$162="A","-",IF($K$162="1",0.9,IF($K$162="2",1,IF($K$162="D",1,IF($K$162="E","-",IF($K$162="F","-",""))))))</f>
        <v/>
      </c>
      <c r="F172" s="809" t="b">
        <f ca="1">IF($K$162="A","-",IF($K$162="1",1,IF($K$162="2",1,IF($K$162="D",1))))</f>
        <v>0</v>
      </c>
      <c r="G172" s="1927"/>
      <c r="H172" s="1928"/>
      <c r="I172" s="1928"/>
      <c r="J172" s="1928"/>
      <c r="K172" s="1928"/>
      <c r="L172" s="1929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421"/>
      <c r="AL172" s="358"/>
      <c r="AM172" s="805">
        <v>2</v>
      </c>
      <c r="AN172" s="432" t="s">
        <v>258</v>
      </c>
      <c r="AO172" s="432">
        <v>19.100000000000001</v>
      </c>
      <c r="AP172" s="432">
        <v>19.100000000000001</v>
      </c>
      <c r="AQ172" s="432">
        <v>19.100000000000001</v>
      </c>
      <c r="AR172" s="1218"/>
      <c r="AS172" s="368">
        <v>4.76</v>
      </c>
      <c r="AT172" s="433" t="b">
        <f t="shared" ref="AT172:AU175" ca="1" si="78">IF(B174="","",B174)</f>
        <v>0</v>
      </c>
      <c r="AU172" s="433" t="str">
        <f t="shared" ca="1" si="78"/>
        <v/>
      </c>
      <c r="AV172" s="433" t="str">
        <f t="shared" ref="AV172:AW175" ca="1" si="79">IF(E174="","",E174)</f>
        <v/>
      </c>
      <c r="AW172" s="433" t="b">
        <f t="shared" ca="1" si="79"/>
        <v>0</v>
      </c>
      <c r="AX172" s="358"/>
      <c r="AY172" s="358"/>
      <c r="AZ172" s="358"/>
      <c r="BA172" s="358"/>
      <c r="BB172" s="358"/>
      <c r="BC172" s="358"/>
      <c r="BD172" s="358"/>
      <c r="BE172" s="358"/>
      <c r="BF172" s="358"/>
      <c r="BG172" s="358"/>
      <c r="BH172" s="358"/>
      <c r="BI172" s="358"/>
      <c r="BJ172" s="358"/>
      <c r="BK172" s="358"/>
      <c r="BL172" s="358"/>
      <c r="BM172" s="358"/>
      <c r="BN172" s="358"/>
      <c r="BO172" s="358"/>
      <c r="BP172" s="358"/>
      <c r="BQ172" s="358"/>
      <c r="BR172" s="358"/>
      <c r="BS172" s="358"/>
      <c r="BT172" s="358"/>
      <c r="BU172" s="358"/>
      <c r="BV172" s="358"/>
      <c r="BW172" s="358"/>
      <c r="BX172" s="358"/>
      <c r="BY172" s="358"/>
      <c r="BZ172" s="358"/>
      <c r="CA172" s="358"/>
      <c r="CB172" s="358"/>
      <c r="CC172" s="358"/>
      <c r="CD172" s="358"/>
      <c r="CE172" s="358"/>
      <c r="CF172" s="358"/>
      <c r="CG172" s="358"/>
      <c r="CH172" s="358"/>
      <c r="CI172" s="358"/>
      <c r="CJ172" s="358"/>
      <c r="CK172" s="358"/>
      <c r="CL172" s="358"/>
      <c r="CM172" s="358"/>
      <c r="CN172" s="358"/>
      <c r="CO172" s="358"/>
      <c r="CP172" s="358"/>
      <c r="CQ172" s="358"/>
      <c r="CR172" s="358"/>
      <c r="CS172" s="358"/>
      <c r="CT172" s="358"/>
      <c r="CU172" s="358"/>
      <c r="CV172" s="358"/>
      <c r="CW172" s="358"/>
      <c r="CX172" s="358"/>
      <c r="CY172" s="358"/>
      <c r="CZ172" s="358"/>
      <c r="DA172" s="358"/>
      <c r="DB172" s="358"/>
      <c r="DC172" s="358"/>
      <c r="DD172" s="358"/>
      <c r="DE172" s="358"/>
      <c r="DF172" s="358"/>
      <c r="DG172" s="358"/>
      <c r="DH172" s="358"/>
      <c r="DI172" s="358"/>
      <c r="DJ172" s="358"/>
      <c r="DK172" s="358"/>
      <c r="DL172" s="358"/>
      <c r="DM172" s="358"/>
      <c r="DN172" s="358"/>
      <c r="DO172" s="358"/>
      <c r="DP172" s="358"/>
      <c r="DQ172" s="358"/>
      <c r="DR172" s="358"/>
      <c r="DS172" s="358"/>
      <c r="DT172" s="358"/>
      <c r="DU172" s="358"/>
      <c r="DV172" s="358"/>
      <c r="DW172" s="358"/>
      <c r="DX172" s="358"/>
      <c r="DY172" s="358"/>
      <c r="DZ172" s="358"/>
      <c r="EA172" s="358"/>
      <c r="EB172" s="358"/>
      <c r="EC172" s="358"/>
      <c r="ED172" s="358"/>
      <c r="EE172" s="358"/>
      <c r="EF172" s="358"/>
      <c r="EG172" s="358"/>
      <c r="EH172" s="358"/>
      <c r="EI172" s="358"/>
      <c r="EJ172" s="358"/>
      <c r="EK172" s="358"/>
      <c r="EL172" s="358"/>
      <c r="EM172" s="358"/>
      <c r="EN172" s="358"/>
      <c r="EO172" s="358"/>
      <c r="EP172" s="358"/>
      <c r="EQ172" s="358"/>
      <c r="ER172" s="358"/>
      <c r="ES172" s="358"/>
      <c r="ET172" s="358"/>
      <c r="EU172" s="358"/>
      <c r="EV172" s="358"/>
      <c r="EW172" s="358"/>
      <c r="EX172" s="358"/>
      <c r="EY172" s="358"/>
      <c r="EZ172" s="371"/>
    </row>
    <row r="173" spans="1:156" s="251" customFormat="1" ht="12" customHeight="1" x14ac:dyDescent="0.35">
      <c r="A173" s="1254" t="s">
        <v>77</v>
      </c>
      <c r="B173" s="809" t="b">
        <f ca="1">IF($K$162="A",C173+0.07,IF($K$162="1",C173+0.07,IF($K$162="2",C173+0.07,IF($K$162="D",C173+0.07))))</f>
        <v>0</v>
      </c>
      <c r="C173" s="809" t="str">
        <f ca="1">IF($K$162="A",0.3,IF($K$162="1",0.4,IF($K$162="2",0.5,IF($K$162="D",0.6,IF($K$162="E",1,IF($K$162="F",1,""))))))</f>
        <v/>
      </c>
      <c r="D173" s="810">
        <f ca="1">IF(I158&lt;&gt;"",I158,"")</f>
        <v>0.81504073165077107</v>
      </c>
      <c r="E173" s="809" t="str">
        <f ca="1">IF($K$162="A",0.65,IF($K$162="1",0.75,IF($K$162="2",0.85,IF($K$162="D",1,IF($K$162="E",1,IF($K$162="F",1,""))))))</f>
        <v/>
      </c>
      <c r="F173" s="809" t="b">
        <f ca="1">IF($K$162="A",E173-0.07,IF($K$162="1",E173-0.07,IF($K$162="2",E173-0.07,IF($K$162="D",E173-0.07))))</f>
        <v>0</v>
      </c>
      <c r="G173" s="1927"/>
      <c r="H173" s="1928"/>
      <c r="I173" s="1928"/>
      <c r="J173" s="1928"/>
      <c r="K173" s="1928"/>
      <c r="L173" s="1929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421"/>
      <c r="AL173" s="358"/>
      <c r="AM173" s="805">
        <v>0.42</v>
      </c>
      <c r="AN173" s="432" t="s">
        <v>259</v>
      </c>
      <c r="AO173" s="432">
        <v>12.7</v>
      </c>
      <c r="AP173" s="432">
        <v>12.7</v>
      </c>
      <c r="AQ173" s="432">
        <v>12.7</v>
      </c>
      <c r="AR173" s="1218"/>
      <c r="AS173" s="401">
        <v>2</v>
      </c>
      <c r="AT173" s="433" t="b">
        <f t="shared" ca="1" si="78"/>
        <v>0</v>
      </c>
      <c r="AU173" s="433" t="str">
        <f t="shared" ca="1" si="78"/>
        <v/>
      </c>
      <c r="AV173" s="433" t="str">
        <f t="shared" ca="1" si="79"/>
        <v/>
      </c>
      <c r="AW173" s="433" t="b">
        <f t="shared" ca="1" si="79"/>
        <v>0</v>
      </c>
      <c r="AX173" s="358"/>
      <c r="AY173" s="358"/>
      <c r="AZ173" s="358"/>
      <c r="BA173" s="358"/>
      <c r="BB173" s="358"/>
      <c r="BC173" s="358"/>
      <c r="BD173" s="358"/>
      <c r="BE173" s="358"/>
      <c r="BF173" s="358"/>
      <c r="BG173" s="358"/>
      <c r="BH173" s="358"/>
      <c r="BI173" s="358"/>
      <c r="BJ173" s="358"/>
      <c r="BK173" s="358"/>
      <c r="BL173" s="358"/>
      <c r="BM173" s="358"/>
      <c r="BN173" s="358"/>
      <c r="BO173" s="358"/>
      <c r="BP173" s="358"/>
      <c r="BQ173" s="358"/>
      <c r="BR173" s="358"/>
      <c r="BS173" s="358"/>
      <c r="BT173" s="358"/>
      <c r="BU173" s="358"/>
      <c r="BV173" s="358"/>
      <c r="BW173" s="358"/>
      <c r="BX173" s="358"/>
      <c r="BY173" s="358"/>
      <c r="BZ173" s="358"/>
      <c r="CA173" s="358"/>
      <c r="CB173" s="358"/>
      <c r="CC173" s="358"/>
      <c r="CD173" s="358"/>
      <c r="CE173" s="358"/>
      <c r="CF173" s="358"/>
      <c r="CG173" s="358"/>
      <c r="CH173" s="358"/>
      <c r="CI173" s="358"/>
      <c r="CJ173" s="358"/>
      <c r="CK173" s="358"/>
      <c r="CL173" s="358"/>
      <c r="CM173" s="358"/>
      <c r="CN173" s="358"/>
      <c r="CO173" s="358"/>
      <c r="CP173" s="358"/>
      <c r="CQ173" s="358"/>
      <c r="CR173" s="358"/>
      <c r="CS173" s="358"/>
      <c r="CT173" s="358"/>
      <c r="CU173" s="358"/>
      <c r="CV173" s="358"/>
      <c r="CW173" s="358"/>
      <c r="CX173" s="358"/>
      <c r="CY173" s="358"/>
      <c r="CZ173" s="358"/>
      <c r="DA173" s="358"/>
      <c r="DB173" s="358"/>
      <c r="DC173" s="358"/>
      <c r="DD173" s="358"/>
      <c r="DE173" s="358"/>
      <c r="DF173" s="358"/>
      <c r="DG173" s="358"/>
      <c r="DH173" s="358"/>
      <c r="DI173" s="358"/>
      <c r="DJ173" s="358"/>
      <c r="DK173" s="358"/>
      <c r="DL173" s="358"/>
      <c r="DM173" s="358"/>
      <c r="DN173" s="358"/>
      <c r="DO173" s="358"/>
      <c r="DP173" s="358"/>
      <c r="DQ173" s="358"/>
      <c r="DR173" s="358"/>
      <c r="DS173" s="358"/>
      <c r="DT173" s="358"/>
      <c r="DU173" s="358"/>
      <c r="DV173" s="358"/>
      <c r="DW173" s="358"/>
      <c r="DX173" s="358"/>
      <c r="DY173" s="358"/>
      <c r="DZ173" s="358"/>
      <c r="EA173" s="358"/>
      <c r="EB173" s="358"/>
      <c r="EC173" s="358"/>
      <c r="ED173" s="358"/>
      <c r="EE173" s="358"/>
      <c r="EF173" s="358"/>
      <c r="EG173" s="358"/>
      <c r="EH173" s="358"/>
      <c r="EI173" s="358"/>
      <c r="EJ173" s="358"/>
      <c r="EK173" s="358"/>
      <c r="EL173" s="358"/>
      <c r="EM173" s="358"/>
      <c r="EN173" s="358"/>
      <c r="EO173" s="358"/>
      <c r="EP173" s="358"/>
      <c r="EQ173" s="358"/>
      <c r="ER173" s="358"/>
      <c r="ES173" s="358"/>
      <c r="ET173" s="358"/>
      <c r="EU173" s="358"/>
      <c r="EV173" s="358"/>
      <c r="EW173" s="358"/>
      <c r="EX173" s="358"/>
      <c r="EY173" s="358"/>
      <c r="EZ173" s="371"/>
    </row>
    <row r="174" spans="1:156" s="251" customFormat="1" ht="12" customHeight="1" x14ac:dyDescent="0.35">
      <c r="A174" s="1254" t="s">
        <v>260</v>
      </c>
      <c r="B174" s="809" t="b">
        <f ca="1">IF($K$162="A",C174+0.05,IF($K$162="1",C174+0.05,IF($K$162="2",C174+0.05,IF($K$162="D",C174+0.05))))</f>
        <v>0</v>
      </c>
      <c r="C174" s="809" t="str">
        <f ca="1">IF($K$162="A",0.25,IF($K$162="1",0.3,IF($K$162="2",0.35,IF($K$162="D",0.5,IF($K$162="E",0.55,IF($K$162="F",0.7,""))))))</f>
        <v/>
      </c>
      <c r="D174" s="810">
        <f ca="1">IF(I159&lt;&gt;"",I159,"")</f>
        <v>0.65427262625212845</v>
      </c>
      <c r="E174" s="809" t="str">
        <f ca="1">IF($K$162="A",0.55,IF($K$162="1",0.6,IF($K$162="2",0.65,IF($K$162="D",0.85,IF($K$162="E",1,IF($K$162="F",1,""))))))</f>
        <v/>
      </c>
      <c r="F174" s="811" t="b">
        <f ca="1">IF($K$162="A",E174-0.05,IF($K$162="1",E174-0.05,IF($K$162="2",E174-0.05,IF($K$162="D",E174-0.05))))</f>
        <v>0</v>
      </c>
      <c r="G174" s="1927"/>
      <c r="H174" s="1928"/>
      <c r="I174" s="1928"/>
      <c r="J174" s="1928"/>
      <c r="K174" s="1928"/>
      <c r="L174" s="1929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421"/>
      <c r="AL174" s="358"/>
      <c r="AM174" s="805">
        <v>7.3999999999999996E-2</v>
      </c>
      <c r="AN174" s="432" t="s">
        <v>33</v>
      </c>
      <c r="AO174" s="432">
        <v>9.52</v>
      </c>
      <c r="AP174" s="432">
        <v>9.52</v>
      </c>
      <c r="AQ174" s="432">
        <v>9.52</v>
      </c>
      <c r="AR174" s="1218"/>
      <c r="AS174" s="368">
        <v>0.42</v>
      </c>
      <c r="AT174" s="433" t="b">
        <f t="shared" ca="1" si="78"/>
        <v>0</v>
      </c>
      <c r="AU174" s="433" t="str">
        <f t="shared" ca="1" si="78"/>
        <v/>
      </c>
      <c r="AV174" s="433" t="str">
        <f t="shared" ca="1" si="79"/>
        <v/>
      </c>
      <c r="AW174" s="433" t="b">
        <f t="shared" ca="1" si="79"/>
        <v>0</v>
      </c>
      <c r="AX174" s="358"/>
      <c r="AY174" s="358"/>
      <c r="AZ174" s="358"/>
      <c r="BA174" s="358"/>
      <c r="BB174" s="358"/>
      <c r="BC174" s="358"/>
      <c r="BD174" s="358"/>
      <c r="BE174" s="358"/>
      <c r="BF174" s="358"/>
      <c r="BG174" s="358"/>
      <c r="BH174" s="358"/>
      <c r="BI174" s="358"/>
      <c r="BJ174" s="358"/>
      <c r="BK174" s="358"/>
      <c r="BL174" s="358"/>
      <c r="BM174" s="358"/>
      <c r="BN174" s="358"/>
      <c r="BO174" s="358"/>
      <c r="BP174" s="358"/>
      <c r="BQ174" s="358"/>
      <c r="BR174" s="358"/>
      <c r="BS174" s="358"/>
      <c r="BT174" s="358"/>
      <c r="BU174" s="358"/>
      <c r="BV174" s="358"/>
      <c r="BW174" s="358"/>
      <c r="BX174" s="358"/>
      <c r="BY174" s="358"/>
      <c r="BZ174" s="358"/>
      <c r="CA174" s="358"/>
      <c r="CB174" s="358"/>
      <c r="CC174" s="358"/>
      <c r="CD174" s="358"/>
      <c r="CE174" s="358"/>
      <c r="CF174" s="358"/>
      <c r="CG174" s="358"/>
      <c r="CH174" s="358"/>
      <c r="CI174" s="358"/>
      <c r="CJ174" s="358"/>
      <c r="CK174" s="358"/>
      <c r="CL174" s="358"/>
      <c r="CM174" s="358"/>
      <c r="CN174" s="358"/>
      <c r="CO174" s="358"/>
      <c r="CP174" s="358"/>
      <c r="CQ174" s="358"/>
      <c r="CR174" s="358"/>
      <c r="CS174" s="358"/>
      <c r="CT174" s="358"/>
      <c r="CU174" s="358"/>
      <c r="CV174" s="358"/>
      <c r="CW174" s="358"/>
      <c r="CX174" s="358"/>
      <c r="CY174" s="358"/>
      <c r="CZ174" s="358"/>
      <c r="DA174" s="358"/>
      <c r="DB174" s="358"/>
      <c r="DC174" s="358"/>
      <c r="DD174" s="358"/>
      <c r="DE174" s="358"/>
      <c r="DF174" s="358"/>
      <c r="DG174" s="358"/>
      <c r="DH174" s="358"/>
      <c r="DI174" s="358"/>
      <c r="DJ174" s="358"/>
      <c r="DK174" s="358"/>
      <c r="DL174" s="358"/>
      <c r="DM174" s="358"/>
      <c r="DN174" s="358"/>
      <c r="DO174" s="358"/>
      <c r="DP174" s="358"/>
      <c r="DQ174" s="358"/>
      <c r="DR174" s="358"/>
      <c r="DS174" s="358"/>
      <c r="DT174" s="358"/>
      <c r="DU174" s="358"/>
      <c r="DV174" s="358"/>
      <c r="DW174" s="358"/>
      <c r="DX174" s="358"/>
      <c r="DY174" s="358"/>
      <c r="DZ174" s="358"/>
      <c r="EA174" s="358"/>
      <c r="EB174" s="358"/>
      <c r="EC174" s="358"/>
      <c r="ED174" s="358"/>
      <c r="EE174" s="358"/>
      <c r="EF174" s="358"/>
      <c r="EG174" s="358"/>
      <c r="EH174" s="358"/>
      <c r="EI174" s="358"/>
      <c r="EJ174" s="358"/>
      <c r="EK174" s="358"/>
      <c r="EL174" s="358"/>
      <c r="EM174" s="358"/>
      <c r="EN174" s="358"/>
      <c r="EO174" s="358"/>
      <c r="EP174" s="358"/>
      <c r="EQ174" s="358"/>
      <c r="ER174" s="358"/>
      <c r="ES174" s="358"/>
      <c r="ET174" s="358"/>
      <c r="EU174" s="358"/>
      <c r="EV174" s="358"/>
      <c r="EW174" s="358"/>
      <c r="EX174" s="358"/>
      <c r="EY174" s="358"/>
      <c r="EZ174" s="371"/>
    </row>
    <row r="175" spans="1:156" s="251" customFormat="1" ht="12" customHeight="1" x14ac:dyDescent="0.35">
      <c r="A175" s="1254" t="s">
        <v>261</v>
      </c>
      <c r="B175" s="809" t="b">
        <f ca="1">IF($K$162="A",C175+0.05,IF($K$162="1",C175+0.05,IF($K$162="2",C175+0.05,IF($K$162="D",C175+0.05))))</f>
        <v>0</v>
      </c>
      <c r="C175" s="809" t="str">
        <f ca="1">IF($K$162="A",0.15,IF($K$162="1",0.2,IF($K$162="2",0.25,IF($K$162="D",0.4,IF($K$162="E",0.4,IF($K$162="F",0.55,""))))))</f>
        <v/>
      </c>
      <c r="D175" s="810">
        <f ca="1">IF(I160&lt;&gt;"",I160,"")</f>
        <v>0.52992717068920026</v>
      </c>
      <c r="E175" s="809" t="str">
        <f ca="1">IF($K$162="A",0.4,IF($K$162="1",0.45,IF($K$162="2",0.5,IF($K$162="D",0.7,IF($K$162="E",1,IF($K$162="F",1,""))))))</f>
        <v/>
      </c>
      <c r="F175" s="811" t="b">
        <f ca="1">IF($K$162="A",E175-0.05,IF($K$162="1",E175-0.05,IF($K$162="2",E175-0.05,IF($K$162="D",E175-0.05))))</f>
        <v>0</v>
      </c>
      <c r="G175" s="1927"/>
      <c r="H175" s="1928"/>
      <c r="I175" s="1928"/>
      <c r="J175" s="1928"/>
      <c r="K175" s="1928"/>
      <c r="L175" s="1929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421"/>
      <c r="AL175" s="358"/>
      <c r="AM175" s="805">
        <v>0</v>
      </c>
      <c r="AN175" s="432" t="s">
        <v>262</v>
      </c>
      <c r="AO175" s="432">
        <v>4.76</v>
      </c>
      <c r="AP175" s="432">
        <v>4.76</v>
      </c>
      <c r="AQ175" s="432">
        <v>4.76</v>
      </c>
      <c r="AR175" s="1218"/>
      <c r="AS175" s="368">
        <v>7.3999999999999996E-2</v>
      </c>
      <c r="AT175" s="433" t="b">
        <f t="shared" ca="1" si="78"/>
        <v>0</v>
      </c>
      <c r="AU175" s="433" t="str">
        <f t="shared" ca="1" si="78"/>
        <v/>
      </c>
      <c r="AV175" s="433" t="str">
        <f t="shared" ca="1" si="79"/>
        <v/>
      </c>
      <c r="AW175" s="433" t="b">
        <f t="shared" ca="1" si="79"/>
        <v>0</v>
      </c>
      <c r="AX175" s="358"/>
      <c r="AY175" s="358"/>
      <c r="AZ175" s="358"/>
      <c r="BA175" s="358"/>
      <c r="BB175" s="358"/>
      <c r="BC175" s="358"/>
      <c r="BD175" s="358"/>
      <c r="BE175" s="358"/>
      <c r="BF175" s="358"/>
      <c r="BG175" s="358"/>
      <c r="BH175" s="358"/>
      <c r="BI175" s="358"/>
      <c r="BJ175" s="358"/>
      <c r="BK175" s="358"/>
      <c r="BL175" s="358"/>
      <c r="BM175" s="358"/>
      <c r="BN175" s="358"/>
      <c r="BO175" s="358"/>
      <c r="BP175" s="358"/>
      <c r="BQ175" s="358"/>
      <c r="BR175" s="358"/>
      <c r="BS175" s="358"/>
      <c r="BT175" s="358"/>
      <c r="BU175" s="358"/>
      <c r="BV175" s="358"/>
      <c r="BW175" s="358"/>
      <c r="BX175" s="358"/>
      <c r="BY175" s="358"/>
      <c r="BZ175" s="358"/>
      <c r="CA175" s="358"/>
      <c r="CB175" s="358"/>
      <c r="CC175" s="358"/>
      <c r="CD175" s="358"/>
      <c r="CE175" s="358"/>
      <c r="CF175" s="358"/>
      <c r="CG175" s="358"/>
      <c r="CH175" s="358"/>
      <c r="CI175" s="358"/>
      <c r="CJ175" s="358"/>
      <c r="CK175" s="358"/>
      <c r="CL175" s="358"/>
      <c r="CM175" s="358"/>
      <c r="CN175" s="358"/>
      <c r="CO175" s="358"/>
      <c r="CP175" s="358"/>
      <c r="CQ175" s="358"/>
      <c r="CR175" s="358"/>
      <c r="CS175" s="358"/>
      <c r="CT175" s="358"/>
      <c r="CU175" s="358"/>
      <c r="CV175" s="358"/>
      <c r="CW175" s="358"/>
      <c r="CX175" s="358"/>
      <c r="CY175" s="358"/>
      <c r="CZ175" s="358"/>
      <c r="DA175" s="358"/>
      <c r="DB175" s="358"/>
      <c r="DC175" s="358"/>
      <c r="DD175" s="358"/>
      <c r="DE175" s="358"/>
      <c r="DF175" s="358"/>
      <c r="DG175" s="358"/>
      <c r="DH175" s="358"/>
      <c r="DI175" s="358"/>
      <c r="DJ175" s="358"/>
      <c r="DK175" s="358"/>
      <c r="DL175" s="358"/>
      <c r="DM175" s="358"/>
      <c r="DN175" s="358"/>
      <c r="DO175" s="358"/>
      <c r="DP175" s="358"/>
      <c r="DQ175" s="358"/>
      <c r="DR175" s="358"/>
      <c r="DS175" s="358"/>
      <c r="DT175" s="358"/>
      <c r="DU175" s="358"/>
      <c r="DV175" s="358"/>
      <c r="DW175" s="358"/>
      <c r="DX175" s="358"/>
      <c r="DY175" s="358"/>
      <c r="DZ175" s="358"/>
      <c r="EA175" s="358"/>
      <c r="EB175" s="358"/>
      <c r="EC175" s="358"/>
      <c r="ED175" s="358"/>
      <c r="EE175" s="358"/>
      <c r="EF175" s="358"/>
      <c r="EG175" s="358"/>
      <c r="EH175" s="358"/>
      <c r="EI175" s="358"/>
      <c r="EJ175" s="358"/>
      <c r="EK175" s="358"/>
      <c r="EL175" s="358"/>
      <c r="EM175" s="358"/>
      <c r="EN175" s="358"/>
      <c r="EO175" s="358"/>
      <c r="EP175" s="358"/>
      <c r="EQ175" s="358"/>
      <c r="ER175" s="358"/>
      <c r="ES175" s="358"/>
      <c r="ET175" s="358"/>
      <c r="EU175" s="358"/>
      <c r="EV175" s="358"/>
      <c r="EW175" s="358"/>
      <c r="EX175" s="358"/>
      <c r="EY175" s="358"/>
      <c r="EZ175" s="371"/>
    </row>
    <row r="176" spans="1:156" s="251" customFormat="1" ht="12" customHeight="1" x14ac:dyDescent="0.35">
      <c r="A176" s="1254" t="s">
        <v>263</v>
      </c>
      <c r="B176" s="812" t="b">
        <f ca="1">IF($K$162="A",C176+0.02,IF($K$162="1",C176+0.02,IF($K$162="2",C176+0.02,IF($K$162="D",C176+0.02))))</f>
        <v>0</v>
      </c>
      <c r="C176" s="809" t="str">
        <f ca="1">IF($K$162="A",0.08,IF($K$162="1",0.15,IF($K$162="2",0.15,IF($K$162="D",0.25,IF($K$162="E",0.2,IF($K$162="F",0.3,""))))))</f>
        <v/>
      </c>
      <c r="D176" s="810">
        <f ca="1">IF(J165&lt;&gt;"",J165,"")</f>
        <v>0.35658799315676282</v>
      </c>
      <c r="E176" s="809" t="str">
        <f ca="1">IF($K$162="A",0.2,IF($K$162="1",0.3,IF($K$162="2",0.3,IF($K$162="D",0.45,IF($K$162="E",0.5,IF($K$162="F",0.7,""))))))</f>
        <v/>
      </c>
      <c r="F176" s="634" t="b">
        <f ca="1">IF($K$162="A",E176-0.02,IF($K$162="1",E176-0.02,IF($K$162="2",E176-0.02,IF($K$162="D",E176-0.02))))</f>
        <v>0</v>
      </c>
      <c r="G176" s="1927"/>
      <c r="H176" s="1928"/>
      <c r="I176" s="1928"/>
      <c r="J176" s="1928"/>
      <c r="K176" s="1928"/>
      <c r="L176" s="1929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421"/>
      <c r="AL176" s="358"/>
      <c r="AM176" s="805">
        <v>0.5</v>
      </c>
      <c r="AN176" s="432" t="s">
        <v>264</v>
      </c>
      <c r="AO176" s="432">
        <v>2</v>
      </c>
      <c r="AP176" s="432">
        <v>2</v>
      </c>
      <c r="AQ176" s="432">
        <v>2</v>
      </c>
      <c r="AR176" s="1218"/>
      <c r="AS176" s="358"/>
      <c r="AT176" s="358"/>
      <c r="AU176" s="358"/>
      <c r="AV176" s="358"/>
      <c r="AW176" s="358"/>
      <c r="AX176" s="358"/>
      <c r="AY176" s="358"/>
      <c r="AZ176" s="358"/>
      <c r="BA176" s="358"/>
      <c r="BB176" s="358"/>
      <c r="BC176" s="358"/>
      <c r="BD176" s="358"/>
      <c r="BE176" s="358"/>
      <c r="BF176" s="358"/>
      <c r="BG176" s="358"/>
      <c r="BH176" s="358"/>
      <c r="BI176" s="358"/>
      <c r="BJ176" s="358"/>
      <c r="BK176" s="358"/>
      <c r="BL176" s="358"/>
      <c r="BM176" s="358"/>
      <c r="BN176" s="358"/>
      <c r="BO176" s="358"/>
      <c r="BP176" s="358"/>
      <c r="BQ176" s="358"/>
      <c r="BR176" s="358"/>
      <c r="BS176" s="358"/>
      <c r="BT176" s="358"/>
      <c r="BU176" s="358"/>
      <c r="BV176" s="358"/>
      <c r="BW176" s="358"/>
      <c r="BX176" s="358"/>
      <c r="BY176" s="358"/>
      <c r="BZ176" s="358"/>
      <c r="CA176" s="358"/>
      <c r="CB176" s="358"/>
      <c r="CC176" s="358"/>
      <c r="CD176" s="358"/>
      <c r="CE176" s="358"/>
      <c r="CF176" s="358"/>
      <c r="CG176" s="358"/>
      <c r="CH176" s="358"/>
      <c r="CI176" s="358"/>
      <c r="CJ176" s="358"/>
      <c r="CK176" s="358"/>
      <c r="CL176" s="358"/>
      <c r="CM176" s="358"/>
      <c r="CN176" s="358"/>
      <c r="CO176" s="358"/>
      <c r="CP176" s="358"/>
      <c r="CQ176" s="358"/>
      <c r="CR176" s="358"/>
      <c r="CS176" s="358"/>
      <c r="CT176" s="358"/>
      <c r="CU176" s="358"/>
      <c r="CV176" s="358"/>
      <c r="CW176" s="358"/>
      <c r="CX176" s="358"/>
      <c r="CY176" s="358"/>
      <c r="CZ176" s="358"/>
      <c r="DA176" s="358"/>
      <c r="DB176" s="358"/>
      <c r="DC176" s="358"/>
      <c r="DD176" s="358"/>
      <c r="DE176" s="358"/>
      <c r="DF176" s="358"/>
      <c r="DG176" s="358"/>
      <c r="DH176" s="358"/>
      <c r="DI176" s="358"/>
      <c r="DJ176" s="358"/>
      <c r="DK176" s="358"/>
      <c r="DL176" s="358"/>
      <c r="DM176" s="358"/>
      <c r="DN176" s="358"/>
      <c r="DO176" s="358"/>
      <c r="DP176" s="358"/>
      <c r="DQ176" s="358"/>
      <c r="DR176" s="358"/>
      <c r="DS176" s="358"/>
      <c r="DT176" s="358"/>
      <c r="DU176" s="358"/>
      <c r="DV176" s="358"/>
      <c r="DW176" s="358"/>
      <c r="DX176" s="358"/>
      <c r="DY176" s="358"/>
      <c r="DZ176" s="358"/>
      <c r="EA176" s="358"/>
      <c r="EB176" s="358"/>
      <c r="EC176" s="358"/>
      <c r="ED176" s="358"/>
      <c r="EE176" s="358"/>
      <c r="EF176" s="358"/>
      <c r="EG176" s="358"/>
      <c r="EH176" s="358"/>
      <c r="EI176" s="358"/>
      <c r="EJ176" s="358"/>
      <c r="EK176" s="358"/>
      <c r="EL176" s="358"/>
      <c r="EM176" s="358"/>
      <c r="EN176" s="358"/>
      <c r="EO176" s="358"/>
      <c r="EP176" s="358"/>
      <c r="EQ176" s="358"/>
      <c r="ER176" s="358"/>
      <c r="ES176" s="358"/>
      <c r="ET176" s="358"/>
      <c r="EU176" s="358"/>
      <c r="EV176" s="358"/>
      <c r="EW176" s="358"/>
      <c r="EX176" s="358"/>
      <c r="EY176" s="358"/>
      <c r="EZ176" s="371"/>
    </row>
    <row r="177" spans="1:156" s="251" customFormat="1" ht="12" customHeight="1" x14ac:dyDescent="0.35">
      <c r="A177" s="813" t="s">
        <v>265</v>
      </c>
      <c r="B177" s="812" t="b">
        <f ca="1">IF($K$162="A",C177+0.02,IF($K$162="1",C177+0.02,IF($K$162="2",C177+0.02,IF($K$162="D",C177+0.02))))</f>
        <v>0</v>
      </c>
      <c r="C177" s="812" t="str">
        <f ca="1">IF($K$162="A",0.02,IF($K$162="1",0.05,IF($K$162="2",0.05,IF($K$162="D",0.1,IF($K$162="E",0.06,IF($K$162="F",0.08,""))))))</f>
        <v/>
      </c>
      <c r="D177" s="814">
        <f ca="1">IF(J167&lt;&gt;"",J167,"")</f>
        <v>6.772469241407976E-2</v>
      </c>
      <c r="E177" s="812" t="str">
        <f ca="1">IF($K$162="A",0.08,IF($K$162="1",0.15,IF($K$162="2",0.15,IF($K$162="D",0.25,IF($K$162="E",0.2,IF($K$162="F",0.25,""))))))</f>
        <v/>
      </c>
      <c r="F177" s="634" t="b">
        <f ca="1">IF($K$162="A",E177-0.02,IF($K$162="1",E177-0.02,IF($K$162="2",E177-0.02,IF($K$162="D",E177-0.02))))</f>
        <v>0</v>
      </c>
      <c r="G177" s="1927"/>
      <c r="H177" s="1928"/>
      <c r="I177" s="1928"/>
      <c r="J177" s="1928"/>
      <c r="K177" s="1928"/>
      <c r="L177" s="1929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421"/>
      <c r="AL177" s="358"/>
      <c r="AM177" s="805">
        <v>1</v>
      </c>
      <c r="AN177" s="432" t="s">
        <v>266</v>
      </c>
      <c r="AO177" s="432">
        <v>1.19</v>
      </c>
      <c r="AP177" s="432">
        <v>1.19</v>
      </c>
      <c r="AQ177" s="432">
        <v>1.19</v>
      </c>
      <c r="AR177" s="1218"/>
      <c r="AS177" s="358"/>
      <c r="AT177" s="358"/>
      <c r="AU177" s="358"/>
      <c r="AV177" s="358"/>
      <c r="AW177" s="358"/>
      <c r="AX177" s="358"/>
      <c r="AY177" s="358"/>
      <c r="AZ177" s="358"/>
      <c r="BA177" s="358"/>
      <c r="BB177" s="358"/>
      <c r="BC177" s="358"/>
      <c r="BD177" s="358"/>
      <c r="BE177" s="358"/>
      <c r="BF177" s="358"/>
      <c r="BG177" s="358"/>
      <c r="BH177" s="358"/>
      <c r="BI177" s="358"/>
      <c r="BJ177" s="358"/>
      <c r="BK177" s="358"/>
      <c r="BL177" s="358"/>
      <c r="BM177" s="358"/>
      <c r="BN177" s="358"/>
      <c r="BO177" s="358"/>
      <c r="BP177" s="358"/>
      <c r="BQ177" s="358"/>
      <c r="BR177" s="358"/>
      <c r="BS177" s="358"/>
      <c r="BT177" s="358"/>
      <c r="BU177" s="358"/>
      <c r="BV177" s="358"/>
      <c r="BW177" s="358"/>
      <c r="BX177" s="358"/>
      <c r="BY177" s="358"/>
      <c r="BZ177" s="358"/>
      <c r="CA177" s="358"/>
      <c r="CB177" s="358"/>
      <c r="CC177" s="358"/>
      <c r="CD177" s="358"/>
      <c r="CE177" s="358"/>
      <c r="CF177" s="358"/>
      <c r="CG177" s="358"/>
      <c r="CH177" s="358"/>
      <c r="CI177" s="358"/>
      <c r="CJ177" s="358"/>
      <c r="CK177" s="358"/>
      <c r="CL177" s="358"/>
      <c r="CM177" s="358"/>
      <c r="CN177" s="358"/>
      <c r="CO177" s="358"/>
      <c r="CP177" s="358"/>
      <c r="CQ177" s="358"/>
      <c r="CR177" s="358"/>
      <c r="CS177" s="358"/>
      <c r="CT177" s="358"/>
      <c r="CU177" s="358"/>
      <c r="CV177" s="358"/>
      <c r="CW177" s="358"/>
      <c r="CX177" s="358"/>
      <c r="CY177" s="358"/>
      <c r="CZ177" s="358"/>
      <c r="DA177" s="358"/>
      <c r="DB177" s="358"/>
      <c r="DC177" s="358"/>
      <c r="DD177" s="358"/>
      <c r="DE177" s="358"/>
      <c r="DF177" s="358"/>
      <c r="DG177" s="358"/>
      <c r="DH177" s="358"/>
      <c r="DI177" s="358"/>
      <c r="DJ177" s="358"/>
      <c r="DK177" s="358"/>
      <c r="DL177" s="358"/>
      <c r="DM177" s="358"/>
      <c r="DN177" s="358"/>
      <c r="DO177" s="358"/>
      <c r="DP177" s="358"/>
      <c r="DQ177" s="358"/>
      <c r="DR177" s="358"/>
      <c r="DS177" s="358"/>
      <c r="DT177" s="358"/>
      <c r="DU177" s="358"/>
      <c r="DV177" s="358"/>
      <c r="DW177" s="358"/>
      <c r="DX177" s="358"/>
      <c r="DY177" s="358"/>
      <c r="DZ177" s="358"/>
      <c r="EA177" s="358"/>
      <c r="EB177" s="358"/>
      <c r="EC177" s="358"/>
      <c r="ED177" s="358"/>
      <c r="EE177" s="358"/>
      <c r="EF177" s="358"/>
      <c r="EG177" s="358"/>
      <c r="EH177" s="358"/>
      <c r="EI177" s="358"/>
      <c r="EJ177" s="358"/>
      <c r="EK177" s="358"/>
      <c r="EL177" s="358"/>
      <c r="EM177" s="358"/>
      <c r="EN177" s="358"/>
      <c r="EO177" s="358"/>
      <c r="EP177" s="358"/>
      <c r="EQ177" s="358"/>
      <c r="ER177" s="358"/>
      <c r="ES177" s="358"/>
      <c r="ET177" s="358"/>
      <c r="EU177" s="358"/>
      <c r="EV177" s="358"/>
      <c r="EW177" s="358"/>
      <c r="EX177" s="358"/>
      <c r="EY177" s="358"/>
      <c r="EZ177" s="371"/>
    </row>
    <row r="178" spans="1:156" s="251" customFormat="1" ht="12" customHeight="1" x14ac:dyDescent="0.35">
      <c r="A178" s="232" t="s">
        <v>267</v>
      </c>
      <c r="B178" s="249"/>
      <c r="C178" s="249"/>
      <c r="D178" s="249"/>
      <c r="E178" s="249"/>
      <c r="F178" s="250"/>
      <c r="G178" s="1927"/>
      <c r="H178" s="1928"/>
      <c r="I178" s="1928"/>
      <c r="J178" s="1928"/>
      <c r="K178" s="1928"/>
      <c r="L178" s="1929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421"/>
      <c r="AL178" s="358"/>
      <c r="AM178" s="805">
        <v>0.5</v>
      </c>
      <c r="AN178" s="432" t="s">
        <v>268</v>
      </c>
      <c r="AO178" s="432">
        <v>0.42</v>
      </c>
      <c r="AP178" s="432">
        <v>0.42</v>
      </c>
      <c r="AQ178" s="432">
        <v>0.42</v>
      </c>
      <c r="AR178" s="1218"/>
      <c r="AS178" s="358"/>
      <c r="AT178" s="358"/>
      <c r="AU178" s="358"/>
      <c r="AV178" s="358"/>
      <c r="AW178" s="358"/>
      <c r="AX178" s="358"/>
      <c r="AY178" s="358"/>
      <c r="AZ178" s="358"/>
      <c r="BA178" s="358"/>
      <c r="BB178" s="358"/>
      <c r="BC178" s="358"/>
      <c r="BD178" s="358"/>
      <c r="BE178" s="358"/>
      <c r="BF178" s="358"/>
      <c r="BG178" s="358"/>
      <c r="BH178" s="358"/>
      <c r="BI178" s="358"/>
      <c r="BJ178" s="358"/>
      <c r="BK178" s="358"/>
      <c r="BL178" s="358"/>
      <c r="BM178" s="358"/>
      <c r="BN178" s="358"/>
      <c r="BO178" s="358"/>
      <c r="BP178" s="358"/>
      <c r="BQ178" s="358"/>
      <c r="BR178" s="358"/>
      <c r="BS178" s="358"/>
      <c r="BT178" s="358"/>
      <c r="BU178" s="358"/>
      <c r="BV178" s="358"/>
      <c r="BW178" s="358"/>
      <c r="BX178" s="358"/>
      <c r="BY178" s="358"/>
      <c r="BZ178" s="358"/>
      <c r="CA178" s="358"/>
      <c r="CB178" s="358"/>
      <c r="CC178" s="358"/>
      <c r="CD178" s="358"/>
      <c r="CE178" s="358"/>
      <c r="CF178" s="358"/>
      <c r="CG178" s="358"/>
      <c r="CH178" s="358"/>
      <c r="CI178" s="358"/>
      <c r="CJ178" s="358"/>
      <c r="CK178" s="358"/>
      <c r="CL178" s="358"/>
      <c r="CM178" s="358"/>
      <c r="CN178" s="358"/>
      <c r="CO178" s="358"/>
      <c r="CP178" s="358"/>
      <c r="CQ178" s="358"/>
      <c r="CR178" s="358"/>
      <c r="CS178" s="358"/>
      <c r="CT178" s="358"/>
      <c r="CU178" s="358"/>
      <c r="CV178" s="358"/>
      <c r="CW178" s="358"/>
      <c r="CX178" s="358"/>
      <c r="CY178" s="358"/>
      <c r="CZ178" s="358"/>
      <c r="DA178" s="358"/>
      <c r="DB178" s="358"/>
      <c r="DC178" s="358"/>
      <c r="DD178" s="358"/>
      <c r="DE178" s="358"/>
      <c r="DF178" s="358"/>
      <c r="DG178" s="358"/>
      <c r="DH178" s="358"/>
      <c r="DI178" s="358"/>
      <c r="DJ178" s="358"/>
      <c r="DK178" s="358"/>
      <c r="DL178" s="358"/>
      <c r="DM178" s="358"/>
      <c r="DN178" s="358"/>
      <c r="DO178" s="358"/>
      <c r="DP178" s="358"/>
      <c r="DQ178" s="358"/>
      <c r="DR178" s="358"/>
      <c r="DS178" s="358"/>
      <c r="DT178" s="358"/>
      <c r="DU178" s="358"/>
      <c r="DV178" s="358"/>
      <c r="DW178" s="358"/>
      <c r="DX178" s="358"/>
      <c r="DY178" s="358"/>
      <c r="DZ178" s="358"/>
      <c r="EA178" s="358"/>
      <c r="EB178" s="358"/>
      <c r="EC178" s="358"/>
      <c r="ED178" s="358"/>
      <c r="EE178" s="358"/>
      <c r="EF178" s="358"/>
      <c r="EG178" s="358"/>
      <c r="EH178" s="358"/>
      <c r="EI178" s="358"/>
      <c r="EJ178" s="358"/>
      <c r="EK178" s="358"/>
      <c r="EL178" s="358"/>
      <c r="EM178" s="358"/>
      <c r="EN178" s="358"/>
      <c r="EO178" s="358"/>
      <c r="EP178" s="358"/>
      <c r="EQ178" s="358"/>
      <c r="ER178" s="358"/>
      <c r="ES178" s="358"/>
      <c r="ET178" s="358"/>
      <c r="EU178" s="358"/>
      <c r="EV178" s="358"/>
      <c r="EW178" s="358"/>
      <c r="EX178" s="358"/>
      <c r="EY178" s="358"/>
      <c r="EZ178" s="371"/>
    </row>
    <row r="179" spans="1:156" s="251" customFormat="1" ht="12" customHeight="1" x14ac:dyDescent="0.35">
      <c r="A179" s="37"/>
      <c r="B179" s="38"/>
      <c r="C179" s="38"/>
      <c r="D179" s="38"/>
      <c r="E179" s="38"/>
      <c r="F179" s="1255"/>
      <c r="G179" s="1927"/>
      <c r="H179" s="1928"/>
      <c r="I179" s="1928"/>
      <c r="J179" s="1928"/>
      <c r="K179" s="1928"/>
      <c r="L179" s="1929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421"/>
      <c r="AL179" s="358"/>
      <c r="AM179" s="805">
        <v>0.5</v>
      </c>
      <c r="AN179" s="432" t="s">
        <v>269</v>
      </c>
      <c r="AO179" s="432">
        <v>0.17699999999999999</v>
      </c>
      <c r="AP179" s="432">
        <v>0.17699999999999999</v>
      </c>
      <c r="AQ179" s="432">
        <v>0.17699999999999999</v>
      </c>
      <c r="AR179" s="1218"/>
      <c r="AS179" s="358"/>
      <c r="AT179" s="358"/>
      <c r="AU179" s="358"/>
      <c r="AV179" s="358"/>
      <c r="AW179" s="358"/>
      <c r="AX179" s="358"/>
      <c r="AY179" s="358"/>
      <c r="AZ179" s="358"/>
      <c r="BA179" s="358"/>
      <c r="BB179" s="358"/>
      <c r="BC179" s="358"/>
      <c r="BD179" s="358"/>
      <c r="BE179" s="358"/>
      <c r="BF179" s="358"/>
      <c r="BG179" s="358"/>
      <c r="BH179" s="358"/>
      <c r="BI179" s="358"/>
      <c r="BJ179" s="358"/>
      <c r="BK179" s="358"/>
      <c r="BL179" s="358"/>
      <c r="BM179" s="358"/>
      <c r="BN179" s="358"/>
      <c r="BO179" s="358"/>
      <c r="BP179" s="358"/>
      <c r="BQ179" s="358"/>
      <c r="BR179" s="358"/>
      <c r="BS179" s="358"/>
      <c r="BT179" s="358"/>
      <c r="BU179" s="358"/>
      <c r="BV179" s="358"/>
      <c r="BW179" s="358"/>
      <c r="BX179" s="358"/>
      <c r="BY179" s="358"/>
      <c r="BZ179" s="358"/>
      <c r="CA179" s="358"/>
      <c r="CB179" s="358"/>
      <c r="CC179" s="358"/>
      <c r="CD179" s="358"/>
      <c r="CE179" s="358"/>
      <c r="CF179" s="358"/>
      <c r="CG179" s="358"/>
      <c r="CH179" s="358"/>
      <c r="CI179" s="358"/>
      <c r="CJ179" s="358"/>
      <c r="CK179" s="358"/>
      <c r="CL179" s="358"/>
      <c r="CM179" s="358"/>
      <c r="CN179" s="358"/>
      <c r="CO179" s="358"/>
      <c r="CP179" s="358"/>
      <c r="CQ179" s="358"/>
      <c r="CR179" s="358"/>
      <c r="CS179" s="358"/>
      <c r="CT179" s="358"/>
      <c r="CU179" s="358"/>
      <c r="CV179" s="358"/>
      <c r="CW179" s="358"/>
      <c r="CX179" s="358"/>
      <c r="CY179" s="358"/>
      <c r="CZ179" s="358"/>
      <c r="DA179" s="358"/>
      <c r="DB179" s="358"/>
      <c r="DC179" s="358"/>
      <c r="DD179" s="358"/>
      <c r="DE179" s="358"/>
      <c r="DF179" s="358"/>
      <c r="DG179" s="358"/>
      <c r="DH179" s="358"/>
      <c r="DI179" s="358"/>
      <c r="DJ179" s="358"/>
      <c r="DK179" s="358"/>
      <c r="DL179" s="358"/>
      <c r="DM179" s="358"/>
      <c r="DN179" s="358"/>
      <c r="DO179" s="358"/>
      <c r="DP179" s="358"/>
      <c r="DQ179" s="358"/>
      <c r="DR179" s="358"/>
      <c r="DS179" s="358"/>
      <c r="DT179" s="358"/>
      <c r="DU179" s="358"/>
      <c r="DV179" s="358"/>
      <c r="DW179" s="358"/>
      <c r="DX179" s="358"/>
      <c r="DY179" s="358"/>
      <c r="DZ179" s="358"/>
      <c r="EA179" s="358"/>
      <c r="EB179" s="358"/>
      <c r="EC179" s="358"/>
      <c r="ED179" s="358"/>
      <c r="EE179" s="358"/>
      <c r="EF179" s="358"/>
      <c r="EG179" s="358"/>
      <c r="EH179" s="358"/>
      <c r="EI179" s="358"/>
      <c r="EJ179" s="358"/>
      <c r="EK179" s="358"/>
      <c r="EL179" s="358"/>
      <c r="EM179" s="358"/>
      <c r="EN179" s="358"/>
      <c r="EO179" s="358"/>
      <c r="EP179" s="358"/>
      <c r="EQ179" s="358"/>
      <c r="ER179" s="358"/>
      <c r="ES179" s="358"/>
      <c r="ET179" s="358"/>
      <c r="EU179" s="358"/>
      <c r="EV179" s="358"/>
      <c r="EW179" s="358"/>
      <c r="EX179" s="358"/>
      <c r="EY179" s="358"/>
      <c r="EZ179" s="371"/>
    </row>
    <row r="180" spans="1:156" s="251" customFormat="1" ht="5.15" customHeight="1" thickBot="1" x14ac:dyDescent="0.4">
      <c r="A180" s="39"/>
      <c r="B180" s="40"/>
      <c r="C180" s="40"/>
      <c r="D180" s="40"/>
      <c r="E180" s="40"/>
      <c r="F180" s="41"/>
      <c r="G180" s="1927"/>
      <c r="H180" s="1928"/>
      <c r="I180" s="1928"/>
      <c r="J180" s="1928"/>
      <c r="K180" s="1928"/>
      <c r="L180" s="1929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421"/>
      <c r="AL180" s="358"/>
      <c r="AM180" s="434">
        <v>0.5</v>
      </c>
      <c r="AN180" s="435" t="s">
        <v>270</v>
      </c>
      <c r="AO180" s="435">
        <v>0.14899999999999999</v>
      </c>
      <c r="AP180" s="435">
        <v>0.14899999999999999</v>
      </c>
      <c r="AQ180" s="435">
        <v>0.14899999999999999</v>
      </c>
      <c r="AR180" s="436"/>
      <c r="AS180" s="358"/>
      <c r="AT180" s="358"/>
      <c r="AU180" s="358"/>
      <c r="AV180" s="358"/>
      <c r="AW180" s="358"/>
      <c r="AX180" s="358"/>
      <c r="AY180" s="358"/>
      <c r="AZ180" s="358"/>
      <c r="BA180" s="358"/>
      <c r="BB180" s="358"/>
      <c r="BC180" s="358"/>
      <c r="BD180" s="358"/>
      <c r="BE180" s="358"/>
      <c r="BF180" s="358"/>
      <c r="BG180" s="358"/>
      <c r="BH180" s="358"/>
      <c r="BI180" s="358"/>
      <c r="BJ180" s="358"/>
      <c r="BK180" s="358"/>
      <c r="BL180" s="358"/>
      <c r="BM180" s="358"/>
      <c r="BN180" s="358"/>
      <c r="BO180" s="358"/>
      <c r="BP180" s="358"/>
      <c r="BQ180" s="358"/>
      <c r="BR180" s="358"/>
      <c r="BS180" s="358"/>
      <c r="BT180" s="358"/>
      <c r="BU180" s="358"/>
      <c r="BV180" s="358"/>
      <c r="BW180" s="358"/>
      <c r="BX180" s="358"/>
      <c r="BY180" s="358"/>
      <c r="BZ180" s="358"/>
      <c r="CA180" s="358"/>
      <c r="CB180" s="358"/>
      <c r="CC180" s="358"/>
      <c r="CD180" s="358"/>
      <c r="CE180" s="358"/>
      <c r="CF180" s="358"/>
      <c r="CG180" s="358"/>
      <c r="CH180" s="358"/>
      <c r="CI180" s="358"/>
      <c r="CJ180" s="358"/>
      <c r="CK180" s="358"/>
      <c r="CL180" s="358"/>
      <c r="CM180" s="358"/>
      <c r="CN180" s="358"/>
      <c r="CO180" s="358"/>
      <c r="CP180" s="358"/>
      <c r="CQ180" s="358"/>
      <c r="CR180" s="358"/>
      <c r="CS180" s="358"/>
      <c r="CT180" s="358"/>
      <c r="CU180" s="358"/>
      <c r="CV180" s="358"/>
      <c r="CW180" s="358"/>
      <c r="CX180" s="358"/>
      <c r="CY180" s="358"/>
      <c r="CZ180" s="358"/>
      <c r="DA180" s="358"/>
      <c r="DB180" s="358"/>
      <c r="DC180" s="358"/>
      <c r="DD180" s="358"/>
      <c r="DE180" s="358"/>
      <c r="DF180" s="358"/>
      <c r="DG180" s="358"/>
      <c r="DH180" s="358"/>
      <c r="DI180" s="358"/>
      <c r="DJ180" s="358"/>
      <c r="DK180" s="358"/>
      <c r="DL180" s="358"/>
      <c r="DM180" s="358"/>
      <c r="DN180" s="358"/>
      <c r="DO180" s="358"/>
      <c r="DP180" s="358"/>
      <c r="DQ180" s="358"/>
      <c r="DR180" s="358"/>
      <c r="DS180" s="358"/>
      <c r="DT180" s="358"/>
      <c r="DU180" s="358"/>
      <c r="DV180" s="358"/>
      <c r="DW180" s="358"/>
      <c r="DX180" s="358"/>
      <c r="DY180" s="358"/>
      <c r="DZ180" s="358"/>
      <c r="EA180" s="358"/>
      <c r="EB180" s="358"/>
      <c r="EC180" s="358"/>
      <c r="ED180" s="358"/>
      <c r="EE180" s="358"/>
      <c r="EF180" s="358"/>
      <c r="EG180" s="358"/>
      <c r="EH180" s="358"/>
      <c r="EI180" s="358"/>
      <c r="EJ180" s="358"/>
      <c r="EK180" s="358"/>
      <c r="EL180" s="358"/>
      <c r="EM180" s="358"/>
      <c r="EN180" s="358"/>
      <c r="EO180" s="358"/>
      <c r="EP180" s="358"/>
      <c r="EQ180" s="358"/>
      <c r="ER180" s="358"/>
      <c r="ES180" s="358"/>
      <c r="ET180" s="358"/>
      <c r="EU180" s="358"/>
      <c r="EV180" s="358"/>
      <c r="EW180" s="358"/>
      <c r="EX180" s="358"/>
      <c r="EY180" s="358"/>
      <c r="EZ180" s="371"/>
    </row>
    <row r="181" spans="1:156" s="251" customFormat="1" ht="5.15" customHeight="1" thickTop="1" thickBot="1" x14ac:dyDescent="0.4">
      <c r="A181" s="1905"/>
      <c r="B181" s="1905"/>
      <c r="C181" s="1905"/>
      <c r="D181" s="1905"/>
      <c r="E181" s="1905"/>
      <c r="F181" s="1905"/>
      <c r="G181" s="1905"/>
      <c r="H181" s="1905"/>
      <c r="I181" s="1905"/>
      <c r="J181" s="1905"/>
      <c r="K181" s="1905"/>
      <c r="L181" s="247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421"/>
      <c r="AL181" s="358"/>
      <c r="AM181" s="358"/>
      <c r="AN181" s="358"/>
      <c r="AO181" s="358"/>
      <c r="AP181" s="358"/>
      <c r="AQ181" s="358"/>
      <c r="AR181" s="358"/>
      <c r="AS181" s="358"/>
      <c r="AT181" s="358"/>
      <c r="AU181" s="358"/>
      <c r="AV181" s="358"/>
      <c r="AW181" s="358"/>
      <c r="AX181" s="358"/>
      <c r="AY181" s="358"/>
      <c r="AZ181" s="358"/>
      <c r="BA181" s="358"/>
      <c r="BB181" s="358"/>
      <c r="BC181" s="358"/>
      <c r="BD181" s="358"/>
      <c r="BE181" s="358"/>
      <c r="BF181" s="358"/>
      <c r="BG181" s="358"/>
      <c r="BH181" s="358"/>
      <c r="BI181" s="358"/>
      <c r="BJ181" s="358"/>
      <c r="BK181" s="358"/>
      <c r="BL181" s="358"/>
      <c r="BM181" s="358"/>
      <c r="BN181" s="358"/>
      <c r="BO181" s="358"/>
      <c r="BP181" s="358"/>
      <c r="BQ181" s="358"/>
      <c r="BR181" s="358"/>
      <c r="BS181" s="358"/>
      <c r="BT181" s="358"/>
      <c r="BU181" s="358"/>
      <c r="BV181" s="358"/>
      <c r="BW181" s="358"/>
      <c r="BX181" s="358"/>
      <c r="BY181" s="358"/>
      <c r="BZ181" s="358"/>
      <c r="CA181" s="358"/>
      <c r="CB181" s="358"/>
      <c r="CC181" s="358"/>
      <c r="CD181" s="358"/>
      <c r="CE181" s="358"/>
      <c r="CF181" s="358"/>
      <c r="CG181" s="358"/>
      <c r="CH181" s="358"/>
      <c r="CI181" s="358"/>
      <c r="CJ181" s="358"/>
      <c r="CK181" s="358"/>
      <c r="CL181" s="358"/>
      <c r="CM181" s="358"/>
      <c r="CN181" s="358"/>
      <c r="CO181" s="358"/>
      <c r="CP181" s="358"/>
      <c r="CQ181" s="358"/>
      <c r="CR181" s="358"/>
      <c r="CS181" s="358"/>
      <c r="CT181" s="358"/>
      <c r="CU181" s="358"/>
      <c r="CV181" s="358"/>
      <c r="CW181" s="358"/>
      <c r="CX181" s="358"/>
      <c r="CY181" s="358"/>
      <c r="CZ181" s="358"/>
      <c r="DA181" s="358"/>
      <c r="DB181" s="358"/>
      <c r="DC181" s="358"/>
      <c r="DD181" s="358"/>
      <c r="DE181" s="358"/>
      <c r="DF181" s="358"/>
      <c r="DG181" s="358"/>
      <c r="DH181" s="358"/>
      <c r="DI181" s="358"/>
      <c r="DJ181" s="358"/>
      <c r="DK181" s="358"/>
      <c r="DL181" s="358"/>
      <c r="DM181" s="358"/>
      <c r="DN181" s="358"/>
      <c r="DO181" s="358"/>
      <c r="DP181" s="358"/>
      <c r="DQ181" s="358"/>
      <c r="DR181" s="358"/>
      <c r="DS181" s="358"/>
      <c r="DT181" s="358"/>
      <c r="DU181" s="358"/>
      <c r="DV181" s="358"/>
      <c r="DW181" s="358"/>
      <c r="DX181" s="358"/>
      <c r="DY181" s="358"/>
      <c r="DZ181" s="358"/>
      <c r="EA181" s="358"/>
      <c r="EB181" s="358"/>
      <c r="EC181" s="358"/>
      <c r="ED181" s="358"/>
      <c r="EE181" s="358"/>
      <c r="EF181" s="358"/>
      <c r="EG181" s="358"/>
      <c r="EH181" s="358"/>
      <c r="EI181" s="358"/>
      <c r="EJ181" s="358"/>
      <c r="EK181" s="358"/>
      <c r="EL181" s="358"/>
      <c r="EM181" s="358"/>
      <c r="EN181" s="358"/>
      <c r="EO181" s="358"/>
      <c r="EP181" s="358"/>
      <c r="EQ181" s="358"/>
      <c r="ER181" s="358"/>
      <c r="ES181" s="358"/>
      <c r="ET181" s="358"/>
      <c r="EU181" s="358"/>
      <c r="EV181" s="358"/>
      <c r="EW181" s="358"/>
      <c r="EX181" s="358"/>
      <c r="EY181" s="358"/>
      <c r="EZ181" s="371"/>
    </row>
    <row r="182" spans="1:156" s="251" customFormat="1" ht="14.15" customHeight="1" thickTop="1" x14ac:dyDescent="0.35">
      <c r="A182" s="1906" t="s">
        <v>271</v>
      </c>
      <c r="B182" s="1907"/>
      <c r="C182" s="1907"/>
      <c r="D182" s="1907"/>
      <c r="E182" s="1907"/>
      <c r="F182" s="1907"/>
      <c r="G182" s="1907"/>
      <c r="H182" s="1907"/>
      <c r="I182" s="1907"/>
      <c r="J182" s="1908"/>
      <c r="K182" s="59" t="s">
        <v>57</v>
      </c>
      <c r="L182" s="52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421">
        <f>AK1+1</f>
        <v>5</v>
      </c>
      <c r="AL182" s="358"/>
      <c r="AM182" s="358"/>
      <c r="AN182" s="358"/>
      <c r="AO182" s="358"/>
      <c r="AP182" s="358"/>
      <c r="AQ182" s="358"/>
      <c r="AR182" s="358"/>
      <c r="AS182" s="358"/>
      <c r="AT182" s="358"/>
      <c r="AU182" s="358"/>
      <c r="AV182" s="358"/>
      <c r="AW182" s="358"/>
      <c r="AX182" s="358"/>
      <c r="AY182" s="358"/>
      <c r="AZ182" s="358"/>
      <c r="BA182" s="358"/>
      <c r="BB182" s="358"/>
      <c r="BC182" s="358"/>
      <c r="BD182" s="358"/>
      <c r="BE182" s="358"/>
      <c r="BF182" s="358"/>
      <c r="BG182" s="358"/>
      <c r="BH182" s="358"/>
      <c r="BI182" s="358"/>
      <c r="BJ182" s="358"/>
      <c r="BK182" s="358"/>
      <c r="BL182" s="358"/>
      <c r="BM182" s="358"/>
      <c r="BN182" s="358"/>
      <c r="BO182" s="358"/>
      <c r="BP182" s="358"/>
      <c r="BQ182" s="358"/>
      <c r="BR182" s="358"/>
      <c r="BS182" s="358"/>
      <c r="BT182" s="358"/>
      <c r="BU182" s="358"/>
      <c r="BV182" s="358"/>
      <c r="BW182" s="358"/>
      <c r="BX182" s="358"/>
      <c r="BY182" s="358"/>
      <c r="BZ182" s="358"/>
      <c r="CA182" s="358"/>
      <c r="CB182" s="358"/>
      <c r="CC182" s="358"/>
      <c r="CD182" s="358"/>
      <c r="CE182" s="358"/>
      <c r="CF182" s="358"/>
      <c r="CG182" s="358"/>
      <c r="CH182" s="358"/>
      <c r="CI182" s="358"/>
      <c r="CJ182" s="358"/>
      <c r="CK182" s="358"/>
      <c r="CL182" s="358"/>
      <c r="CM182" s="358"/>
      <c r="CN182" s="358"/>
      <c r="CO182" s="358"/>
      <c r="CP182" s="358"/>
      <c r="CQ182" s="358"/>
      <c r="CR182" s="358"/>
      <c r="CS182" s="358"/>
      <c r="CT182" s="358"/>
      <c r="CU182" s="358"/>
      <c r="CV182" s="358"/>
      <c r="CW182" s="358"/>
      <c r="CX182" s="358"/>
      <c r="CY182" s="358"/>
      <c r="CZ182" s="358"/>
      <c r="DA182" s="358"/>
      <c r="DB182" s="358"/>
      <c r="DC182" s="358"/>
      <c r="DD182" s="358"/>
      <c r="DE182" s="358"/>
      <c r="DF182" s="358"/>
      <c r="DG182" s="358"/>
      <c r="DH182" s="358"/>
      <c r="DI182" s="358"/>
      <c r="DJ182" s="358"/>
      <c r="DK182" s="358"/>
      <c r="DL182" s="358"/>
      <c r="DM182" s="358"/>
      <c r="DN182" s="358"/>
      <c r="DO182" s="358"/>
      <c r="DP182" s="358"/>
      <c r="DQ182" s="358"/>
      <c r="DR182" s="358"/>
      <c r="DS182" s="358"/>
      <c r="DT182" s="358"/>
      <c r="DU182" s="358"/>
      <c r="DV182" s="358"/>
      <c r="DW182" s="358"/>
      <c r="DX182" s="358"/>
      <c r="DY182" s="358"/>
      <c r="DZ182" s="358"/>
      <c r="EA182" s="358"/>
      <c r="EB182" s="358"/>
      <c r="EC182" s="358"/>
      <c r="ED182" s="358"/>
      <c r="EE182" s="358"/>
      <c r="EF182" s="358"/>
      <c r="EG182" s="358"/>
      <c r="EH182" s="358"/>
      <c r="EI182" s="358"/>
      <c r="EJ182" s="358"/>
      <c r="EK182" s="358"/>
      <c r="EL182" s="358"/>
      <c r="EM182" s="358"/>
      <c r="EN182" s="358"/>
      <c r="EO182" s="358"/>
      <c r="EP182" s="358"/>
      <c r="EQ182" s="358"/>
      <c r="ER182" s="358"/>
      <c r="ES182" s="358"/>
      <c r="ET182" s="358"/>
      <c r="EU182" s="358"/>
      <c r="EV182" s="358"/>
      <c r="EW182" s="358"/>
      <c r="EX182" s="358"/>
      <c r="EY182" s="358"/>
      <c r="EZ182" s="371"/>
    </row>
    <row r="183" spans="1:156" s="251" customFormat="1" ht="12" customHeight="1" x14ac:dyDescent="0.25">
      <c r="A183" s="1909"/>
      <c r="B183" s="1910"/>
      <c r="C183" s="1911" t="s">
        <v>272</v>
      </c>
      <c r="D183" s="1912"/>
      <c r="E183" s="1912"/>
      <c r="F183" s="1912"/>
      <c r="G183" s="1913"/>
      <c r="H183" s="1914" t="s">
        <v>273</v>
      </c>
      <c r="I183" s="1912"/>
      <c r="J183" s="1912"/>
      <c r="K183" s="1912"/>
      <c r="L183" s="1913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421"/>
      <c r="AL183" s="358"/>
      <c r="AM183" s="437"/>
      <c r="AN183" s="438"/>
      <c r="AO183" s="438"/>
      <c r="AP183" s="438"/>
      <c r="AQ183" s="439"/>
      <c r="AR183" s="440" t="str">
        <f>IF(ISNUMBER(#REF!),#REF!-#REF!,"")</f>
        <v/>
      </c>
      <c r="AS183" s="441" t="str">
        <f>IF(ISNUMBER(#REF!),#REF!-#REF!,"")</f>
        <v/>
      </c>
      <c r="AT183" s="441" t="str">
        <f>IF(ISNUMBER(#REF!),#REF!-#REF!,"")</f>
        <v/>
      </c>
      <c r="AU183" s="441" t="str">
        <f>IF(ISNUMBER(#REF!),#REF!-#REF!,"")</f>
        <v/>
      </c>
      <c r="AV183" s="441" t="str">
        <f>IF(ISNUMBER(#REF!),#REF!-#REF!,"")</f>
        <v/>
      </c>
      <c r="AW183" s="1564">
        <f ca="1">IF(AT188="NP",0,AT188)*100</f>
        <v>0</v>
      </c>
      <c r="AX183" s="442"/>
      <c r="AY183" s="443"/>
      <c r="AZ183" s="440">
        <v>25</v>
      </c>
      <c r="BA183" s="441">
        <v>0</v>
      </c>
      <c r="BB183" s="444"/>
      <c r="BC183" s="445"/>
      <c r="BD183" s="446" t="s">
        <v>29</v>
      </c>
      <c r="BE183" s="446" t="s">
        <v>30</v>
      </c>
      <c r="BF183" s="446" t="s">
        <v>31</v>
      </c>
      <c r="BG183" s="446" t="s">
        <v>32</v>
      </c>
      <c r="BH183" s="446" t="s">
        <v>33</v>
      </c>
      <c r="BI183" s="446">
        <v>4</v>
      </c>
      <c r="BJ183" s="446">
        <v>10</v>
      </c>
      <c r="BK183" s="446">
        <v>40</v>
      </c>
      <c r="BL183" s="447">
        <v>200</v>
      </c>
      <c r="BM183" s="448"/>
      <c r="BN183" s="449"/>
      <c r="BO183" s="449"/>
      <c r="BP183" s="449"/>
      <c r="BQ183" s="450"/>
      <c r="BR183" s="448"/>
      <c r="BS183" s="449"/>
      <c r="BT183" s="449"/>
      <c r="BU183" s="449"/>
      <c r="BV183" s="449"/>
      <c r="BW183" s="449"/>
      <c r="BX183" s="449"/>
      <c r="BY183" s="449"/>
      <c r="BZ183" s="449"/>
      <c r="CA183" s="449"/>
      <c r="CB183" s="449"/>
      <c r="CC183" s="449"/>
      <c r="CD183" s="450"/>
      <c r="CE183" s="358"/>
      <c r="CF183" s="358"/>
      <c r="CG183" s="358"/>
      <c r="CH183" s="358"/>
      <c r="CI183" s="358"/>
      <c r="CJ183" s="358"/>
      <c r="CK183" s="358"/>
      <c r="CL183" s="358"/>
      <c r="CM183" s="358"/>
      <c r="CN183" s="358"/>
      <c r="CO183" s="358"/>
      <c r="CP183" s="358"/>
      <c r="CQ183" s="358"/>
      <c r="CR183" s="358"/>
      <c r="CS183" s="358"/>
      <c r="CT183" s="358"/>
      <c r="CU183" s="358"/>
      <c r="CV183" s="358"/>
      <c r="CW183" s="358"/>
      <c r="CX183" s="358"/>
      <c r="CY183" s="358"/>
      <c r="CZ183" s="358"/>
      <c r="DA183" s="358"/>
      <c r="DB183" s="358"/>
      <c r="DC183" s="358"/>
      <c r="DD183" s="358"/>
      <c r="DE183" s="358"/>
      <c r="DF183" s="358"/>
      <c r="DG183" s="358"/>
      <c r="DH183" s="358"/>
      <c r="DI183" s="358"/>
      <c r="DJ183" s="358"/>
      <c r="DK183" s="358"/>
      <c r="DL183" s="358"/>
      <c r="DM183" s="358"/>
      <c r="DN183" s="358"/>
      <c r="DO183" s="358"/>
      <c r="DP183" s="358"/>
      <c r="DQ183" s="358"/>
      <c r="DR183" s="358"/>
      <c r="DS183" s="358"/>
      <c r="DT183" s="358"/>
      <c r="DU183" s="358"/>
      <c r="DV183" s="358"/>
      <c r="DW183" s="358"/>
      <c r="DX183" s="358"/>
      <c r="DY183" s="358"/>
      <c r="DZ183" s="358"/>
      <c r="EA183" s="358"/>
      <c r="EB183" s="358"/>
      <c r="EC183" s="358"/>
      <c r="ED183" s="358"/>
      <c r="EE183" s="358"/>
      <c r="EF183" s="358"/>
      <c r="EG183" s="358"/>
      <c r="EH183" s="358"/>
      <c r="EI183" s="358"/>
      <c r="EJ183" s="358"/>
      <c r="EK183" s="358"/>
      <c r="EL183" s="358"/>
      <c r="EM183" s="358"/>
      <c r="EN183" s="358"/>
      <c r="EO183" s="358"/>
      <c r="EP183" s="358"/>
      <c r="EQ183" s="358"/>
      <c r="ER183" s="358"/>
      <c r="ES183" s="358"/>
      <c r="ET183" s="358"/>
      <c r="EU183" s="358"/>
      <c r="EV183" s="358"/>
      <c r="EW183" s="358"/>
      <c r="EX183" s="358"/>
      <c r="EY183" s="358"/>
      <c r="EZ183" s="371"/>
    </row>
    <row r="184" spans="1:156" s="251" customFormat="1" ht="12" customHeight="1" x14ac:dyDescent="0.25">
      <c r="A184" s="1915" t="s">
        <v>19</v>
      </c>
      <c r="B184" s="1916"/>
      <c r="C184" s="1256" t="str">
        <f ca="1">IF(OR($N$2="",$N$2=0),"",IF(INDIRECT(ADDRESS(($AK184),COLUMN()+37,,,"Digitar Dados dos Ensaios"))&lt;&gt;"",INDIRECT(ADDRESS(($AK184),COLUMN()+37,,,"Digitar Dados dos Ensaios")),""))</f>
        <v/>
      </c>
      <c r="D184" s="762" t="str">
        <f t="shared" ref="D184:G186" ca="1" si="80">IF(OR($N$2="",$N$2=0),"",IF(INDIRECT(ADDRESS(($AK184),COLUMN()+37,,,"Digitar Dados dos Ensaios"))&lt;&gt;"",INDIRECT(ADDRESS(($AK184),COLUMN()+37,,,"Digitar Dados dos Ensaios")),""))</f>
        <v/>
      </c>
      <c r="E184" s="762" t="str">
        <f t="shared" ca="1" si="80"/>
        <v/>
      </c>
      <c r="F184" s="762" t="str">
        <f t="shared" ca="1" si="80"/>
        <v/>
      </c>
      <c r="G184" s="859" t="str">
        <f t="shared" ca="1" si="80"/>
        <v/>
      </c>
      <c r="H184" s="860" t="str">
        <f ca="1">IF(OR($N$2="",$N$2=0),"",IF(INDIRECT(ADDRESS(($AL184),COLUMN()+32,,,"Digitar Dados dos Ensaios"))&lt;&gt;"",INDIRECT(ADDRESS(($AL184),COLUMN()+32,,,"Digitar Dados dos Ensaios")),""))</f>
        <v/>
      </c>
      <c r="I184" s="762" t="str">
        <f t="shared" ref="I184:L186" ca="1" si="81">IF(OR($N$2="",$N$2=0),"",IF(INDIRECT(ADDRESS(($AL184),COLUMN()+32,,,"Digitar Dados dos Ensaios"))&lt;&gt;"",INDIRECT(ADDRESS(($AL184),COLUMN()+32,,,"Digitar Dados dos Ensaios")),""))</f>
        <v/>
      </c>
      <c r="J184" s="762" t="str">
        <f t="shared" ca="1" si="81"/>
        <v/>
      </c>
      <c r="K184" s="762" t="str">
        <f t="shared" ca="1" si="81"/>
        <v/>
      </c>
      <c r="L184" s="859" t="str">
        <f t="shared" ca="1" si="81"/>
        <v/>
      </c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421">
        <f>AK1+1</f>
        <v>5</v>
      </c>
      <c r="AL184" s="451">
        <f>AK191+1</f>
        <v>9</v>
      </c>
      <c r="AM184" s="815"/>
      <c r="AN184" s="452"/>
      <c r="AO184" s="452"/>
      <c r="AP184" s="452"/>
      <c r="AQ184" s="1220"/>
      <c r="AR184" s="815" t="str">
        <f>IF(ISNUMBER(#REF!),LOOKUP(#REF!,Tara!$E$6:$E$185,Tara!$F$6:$F$185),"")</f>
        <v/>
      </c>
      <c r="AS184" s="452" t="str">
        <f>IF(ISNUMBER(#REF!),LOOKUP(#REF!,Tara!$E$6:$E$185,Tara!$F$6:$F$185),"")</f>
        <v/>
      </c>
      <c r="AT184" s="452" t="str">
        <f>IF(ISNUMBER(#REF!),LOOKUP(#REF!,Tara!$E$6:$E$185,Tara!$F$6:$F$185),"")</f>
        <v/>
      </c>
      <c r="AU184" s="452" t="str">
        <f>IF(ISNUMBER(#REF!),LOOKUP(#REF!,Tara!$E$6:$E$185,Tara!$F$6:$F$185),"")</f>
        <v/>
      </c>
      <c r="AV184" s="452" t="str">
        <f>IF(ISNUMBER(#REF!),LOOKUP(#REF!,Tara!$E$6:$E$185,Tara!$F$6:$F$185),"")</f>
        <v/>
      </c>
      <c r="AW184" s="1565" t="e">
        <f>IF(AV184="NP",0,AV184)*100</f>
        <v>#VALUE!</v>
      </c>
      <c r="AX184" s="816"/>
      <c r="AY184" s="1221"/>
      <c r="AZ184" s="817">
        <v>25</v>
      </c>
      <c r="BA184" s="706">
        <v>0.8</v>
      </c>
      <c r="BB184" s="453"/>
      <c r="BC184" s="453"/>
      <c r="BD184" s="453"/>
      <c r="BE184" s="453"/>
      <c r="BF184" s="453"/>
      <c r="BG184" s="453"/>
      <c r="BH184" s="453"/>
      <c r="BI184" s="453"/>
      <c r="BJ184" s="453"/>
      <c r="BK184" s="453"/>
      <c r="BL184" s="1222"/>
      <c r="BM184" s="818" t="b">
        <f ca="1">IF(BL187="","",IF(AND(BD187=100%,BH187&gt;=30%,BH187&lt;=65%,BI187&gt;=25%,BI187&lt;=55%,BJ187&gt;=15%,BJ187&lt;=40%,BK187&gt;=8%,BK187&lt;=20%,BL187&gt;=2%,BL187&lt;=8%),"Faixa A"))</f>
        <v>0</v>
      </c>
      <c r="BN184" s="454" t="b">
        <f ca="1">IF(BL187="","",IF(AND(BH187=100%,BI187&gt;=55%,BI187&lt;=100%,BJ187&gt;=40%,BJ187&lt;=100%,BK187&gt;=20%,BK187&lt;=50%,BL187&gt;=6%,BL187&lt;=20%),"Faixa E"))</f>
        <v>0</v>
      </c>
      <c r="BO184" s="454"/>
      <c r="BP184" s="455"/>
      <c r="BQ184" s="1223" t="s">
        <v>48</v>
      </c>
      <c r="BR184" s="819"/>
      <c r="BS184" s="406"/>
      <c r="BT184" s="406"/>
      <c r="BU184" s="406"/>
      <c r="BV184" s="406"/>
      <c r="BW184" s="406"/>
      <c r="BX184" s="406"/>
      <c r="BY184" s="406"/>
      <c r="BZ184" s="406"/>
      <c r="CA184" s="406"/>
      <c r="CB184" s="406"/>
      <c r="CC184" s="406"/>
      <c r="CD184" s="1224"/>
      <c r="CE184" s="358"/>
      <c r="CF184" s="358"/>
      <c r="CG184" s="358"/>
      <c r="CH184" s="358"/>
      <c r="CI184" s="358"/>
      <c r="CJ184" s="358"/>
      <c r="CK184" s="358"/>
      <c r="CL184" s="358"/>
      <c r="CM184" s="358"/>
      <c r="CN184" s="358"/>
      <c r="CO184" s="358"/>
      <c r="CP184" s="358"/>
      <c r="CQ184" s="358"/>
      <c r="CR184" s="358"/>
      <c r="CS184" s="358"/>
      <c r="CT184" s="358"/>
      <c r="CU184" s="358"/>
      <c r="CV184" s="358"/>
      <c r="CW184" s="358"/>
      <c r="CX184" s="358"/>
      <c r="CY184" s="358"/>
      <c r="CZ184" s="358"/>
      <c r="DA184" s="358"/>
      <c r="DB184" s="358"/>
      <c r="DC184" s="358"/>
      <c r="DD184" s="358"/>
      <c r="DE184" s="358"/>
      <c r="DF184" s="358"/>
      <c r="DG184" s="358"/>
      <c r="DH184" s="358"/>
      <c r="DI184" s="358"/>
      <c r="DJ184" s="358"/>
      <c r="DK184" s="358"/>
      <c r="DL184" s="358"/>
      <c r="DM184" s="358"/>
      <c r="DN184" s="358"/>
      <c r="DO184" s="358"/>
      <c r="DP184" s="358"/>
      <c r="DQ184" s="358"/>
      <c r="DR184" s="358"/>
      <c r="DS184" s="358"/>
      <c r="DT184" s="358"/>
      <c r="DU184" s="358"/>
      <c r="DV184" s="358"/>
      <c r="DW184" s="358"/>
      <c r="DX184" s="358"/>
      <c r="DY184" s="358"/>
      <c r="DZ184" s="358"/>
      <c r="EA184" s="358"/>
      <c r="EB184" s="358"/>
      <c r="EC184" s="358"/>
      <c r="ED184" s="358"/>
      <c r="EE184" s="358"/>
      <c r="EF184" s="358"/>
      <c r="EG184" s="358"/>
      <c r="EH184" s="358"/>
      <c r="EI184" s="358"/>
      <c r="EJ184" s="358"/>
      <c r="EK184" s="358"/>
      <c r="EL184" s="358"/>
      <c r="EM184" s="358"/>
      <c r="EN184" s="358"/>
      <c r="EO184" s="358"/>
      <c r="EP184" s="358"/>
      <c r="EQ184" s="358"/>
      <c r="ER184" s="358"/>
      <c r="ES184" s="358"/>
      <c r="ET184" s="358"/>
      <c r="EU184" s="358"/>
      <c r="EV184" s="358"/>
      <c r="EW184" s="358"/>
      <c r="EX184" s="358"/>
      <c r="EY184" s="358"/>
      <c r="EZ184" s="371"/>
    </row>
    <row r="185" spans="1:156" s="251" customFormat="1" ht="12" customHeight="1" x14ac:dyDescent="0.25">
      <c r="A185" s="1915" t="s">
        <v>39</v>
      </c>
      <c r="B185" s="1916"/>
      <c r="C185" s="1257" t="str">
        <f ca="1">IF(OR($N$2="",$N$2=0),"",IF(INDIRECT(ADDRESS(($AK185),COLUMN()+37,,,"Digitar Dados dos Ensaios"))&lt;&gt;"",INDIRECT(ADDRESS(($AK185),COLUMN()+37,,,"Digitar Dados dos Ensaios")),""))</f>
        <v/>
      </c>
      <c r="D185" s="861" t="str">
        <f t="shared" ca="1" si="80"/>
        <v/>
      </c>
      <c r="E185" s="861" t="str">
        <f t="shared" ca="1" si="80"/>
        <v/>
      </c>
      <c r="F185" s="861" t="str">
        <f t="shared" ca="1" si="80"/>
        <v/>
      </c>
      <c r="G185" s="862" t="str">
        <f t="shared" ca="1" si="80"/>
        <v/>
      </c>
      <c r="H185" s="863" t="str">
        <f ca="1">IF(OR($N$2="",$N$2=0),"",IF(INDIRECT(ADDRESS(($AL185),COLUMN()+32,,,"Digitar Dados dos Ensaios"))&lt;&gt;"",INDIRECT(ADDRESS(($AL185),COLUMN()+32,,,"Digitar Dados dos Ensaios")),""))</f>
        <v/>
      </c>
      <c r="I185" s="861" t="str">
        <f t="shared" ca="1" si="81"/>
        <v/>
      </c>
      <c r="J185" s="861" t="str">
        <f t="shared" ca="1" si="81"/>
        <v/>
      </c>
      <c r="K185" s="861" t="str">
        <f t="shared" ca="1" si="81"/>
        <v/>
      </c>
      <c r="L185" s="862" t="str">
        <f t="shared" ca="1" si="81"/>
        <v/>
      </c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421">
        <f>AK184+1</f>
        <v>6</v>
      </c>
      <c r="AL185" s="451">
        <f>AL184+1</f>
        <v>10</v>
      </c>
      <c r="AM185" s="815"/>
      <c r="AN185" s="452"/>
      <c r="AO185" s="452"/>
      <c r="AP185" s="452"/>
      <c r="AQ185" s="1220"/>
      <c r="AR185" s="815" t="str">
        <f>IF(ISNUMBER(#REF!),#REF!-AR184,"")</f>
        <v/>
      </c>
      <c r="AS185" s="452" t="str">
        <f>IF(ISNUMBER(#REF!),#REF!-AS184,"")</f>
        <v/>
      </c>
      <c r="AT185" s="452" t="str">
        <f>IF(ISNUMBER(#REF!),#REF!-AT184,"")</f>
        <v/>
      </c>
      <c r="AU185" s="452" t="str">
        <f>IF(ISNUMBER(#REF!),#REF!-AU184,"")</f>
        <v/>
      </c>
      <c r="AV185" s="452" t="str">
        <f>IF(ISNUMBER(#REF!),#REF!-AV184,"")</f>
        <v/>
      </c>
      <c r="AW185" s="1225" t="s">
        <v>69</v>
      </c>
      <c r="AX185" s="816"/>
      <c r="AY185" s="1221"/>
      <c r="AZ185" s="817">
        <v>10</v>
      </c>
      <c r="BA185" s="456" t="str">
        <f ca="1">IF(L193&lt;&gt;"",L193,"")</f>
        <v>NP</v>
      </c>
      <c r="BB185" s="453"/>
      <c r="BC185" s="453"/>
      <c r="BD185" s="453" t="str">
        <f>IF(BB184="","",IF(BD184=0,IF(BC185&gt;0,BC185,""),IF(BD184&gt;0,BC185-BD184,"")))</f>
        <v/>
      </c>
      <c r="BE185" s="453" t="str">
        <f t="shared" ref="BE185:BJ185" si="82">IF($LC184="","",BD185-BE184)</f>
        <v/>
      </c>
      <c r="BF185" s="453" t="str">
        <f t="shared" si="82"/>
        <v/>
      </c>
      <c r="BG185" s="453" t="str">
        <f t="shared" si="82"/>
        <v/>
      </c>
      <c r="BH185" s="453" t="str">
        <f t="shared" si="82"/>
        <v/>
      </c>
      <c r="BI185" s="453" t="str">
        <f t="shared" si="82"/>
        <v/>
      </c>
      <c r="BJ185" s="453" t="str">
        <f t="shared" si="82"/>
        <v/>
      </c>
      <c r="BK185" s="453" t="str">
        <f>IF(BC184&lt;&gt;"",BC186-BK184,"")</f>
        <v/>
      </c>
      <c r="BL185" s="1222" t="str">
        <f>IF(BC184&lt;&gt;"",BK185-BL184,"")</f>
        <v/>
      </c>
      <c r="BM185" s="818" t="b">
        <f ca="1">IF(BL187="","",IF(AND(BD187=100%,BF187&gt;=75%,BF187&lt;=90%,BH187&gt;=40%,BH187&lt;=75%,BI187&gt;=30%,BI187&lt;=60%,BJ187&gt;=20%,BJ187&lt;=45%,BK187&gt;=15%,BK187&lt;=30%,BL187&gt;=5%,BL187&lt;=15%),"Faixa 1"))</f>
        <v>0</v>
      </c>
      <c r="BN185" s="454" t="b">
        <f ca="1">IF(BL187="","",IF(AND(BH187=100%,BI187&gt;=70%,BI187&lt;=100%,BJ187&gt;=55%,BJ187&lt;=100%,BK187&gt;=30%,BK187&lt;=70%,BL187&gt;=8%,BL187&lt;=25%),"Faixa F"))</f>
        <v>0</v>
      </c>
      <c r="BO185" s="455"/>
      <c r="BP185" s="454"/>
      <c r="BQ185" s="1596" t="str">
        <f ca="1">IF(BK187&gt;70%,"",IF(BL187="","",IF(BN187&gt;0,BN187,IF(BP187&gt;0,BP187))))</f>
        <v/>
      </c>
      <c r="BR185" s="820"/>
      <c r="BS185" s="457"/>
      <c r="BT185" s="457"/>
      <c r="BU185" s="457"/>
      <c r="BV185" s="457"/>
      <c r="BW185" s="458"/>
      <c r="BX185" s="458"/>
      <c r="BY185" s="458"/>
      <c r="BZ185" s="458"/>
      <c r="CA185" s="458"/>
      <c r="CB185" s="458"/>
      <c r="CC185" s="458"/>
      <c r="CD185" s="1226"/>
      <c r="CE185" s="358"/>
      <c r="CF185" s="358"/>
      <c r="CG185" s="358"/>
      <c r="CH185" s="358"/>
      <c r="CI185" s="358"/>
      <c r="CJ185" s="358"/>
      <c r="CK185" s="358"/>
      <c r="CL185" s="358"/>
      <c r="CM185" s="358"/>
      <c r="CN185" s="358"/>
      <c r="CO185" s="358"/>
      <c r="CP185" s="358"/>
      <c r="CQ185" s="358"/>
      <c r="CR185" s="358"/>
      <c r="CS185" s="358"/>
      <c r="CT185" s="358"/>
      <c r="CU185" s="358"/>
      <c r="CV185" s="358"/>
      <c r="CW185" s="358"/>
      <c r="CX185" s="358"/>
      <c r="CY185" s="358"/>
      <c r="CZ185" s="358"/>
      <c r="DA185" s="358"/>
      <c r="DB185" s="358"/>
      <c r="DC185" s="358"/>
      <c r="DD185" s="358"/>
      <c r="DE185" s="358"/>
      <c r="DF185" s="358"/>
      <c r="DG185" s="358"/>
      <c r="DH185" s="358"/>
      <c r="DI185" s="358"/>
      <c r="DJ185" s="358"/>
      <c r="DK185" s="358"/>
      <c r="DL185" s="358"/>
      <c r="DM185" s="358"/>
      <c r="DN185" s="358"/>
      <c r="DO185" s="358"/>
      <c r="DP185" s="358"/>
      <c r="DQ185" s="358"/>
      <c r="DR185" s="358"/>
      <c r="DS185" s="358"/>
      <c r="DT185" s="358"/>
      <c r="DU185" s="358"/>
      <c r="DV185" s="358"/>
      <c r="DW185" s="358"/>
      <c r="DX185" s="358"/>
      <c r="DY185" s="358"/>
      <c r="DZ185" s="358"/>
      <c r="EA185" s="358"/>
      <c r="EB185" s="358"/>
      <c r="EC185" s="358"/>
      <c r="ED185" s="358"/>
      <c r="EE185" s="358"/>
      <c r="EF185" s="358"/>
      <c r="EG185" s="358"/>
      <c r="EH185" s="358"/>
      <c r="EI185" s="358"/>
      <c r="EJ185" s="358"/>
      <c r="EK185" s="358"/>
      <c r="EL185" s="358"/>
      <c r="EM185" s="358"/>
      <c r="EN185" s="358"/>
      <c r="EO185" s="358"/>
      <c r="EP185" s="358"/>
      <c r="EQ185" s="358"/>
      <c r="ER185" s="358"/>
      <c r="ES185" s="358"/>
      <c r="ET185" s="358"/>
      <c r="EU185" s="358"/>
      <c r="EV185" s="358"/>
      <c r="EW185" s="358"/>
      <c r="EX185" s="358"/>
      <c r="EY185" s="358"/>
      <c r="EZ185" s="371"/>
    </row>
    <row r="186" spans="1:156" s="251" customFormat="1" ht="12" customHeight="1" x14ac:dyDescent="0.25">
      <c r="A186" s="1915" t="s">
        <v>61</v>
      </c>
      <c r="B186" s="1916"/>
      <c r="C186" s="1257" t="str">
        <f ca="1">IF(OR($N$2="",$N$2=0),"",IF(INDIRECT(ADDRESS(($AK186),COLUMN()+37,,,"Digitar Dados dos Ensaios"))&lt;&gt;"",INDIRECT(ADDRESS(($AK186),COLUMN()+37,,,"Digitar Dados dos Ensaios")),""))</f>
        <v/>
      </c>
      <c r="D186" s="861" t="str">
        <f t="shared" ca="1" si="80"/>
        <v/>
      </c>
      <c r="E186" s="861" t="str">
        <f t="shared" ca="1" si="80"/>
        <v/>
      </c>
      <c r="F186" s="861" t="str">
        <f t="shared" ca="1" si="80"/>
        <v/>
      </c>
      <c r="G186" s="862" t="str">
        <f t="shared" ca="1" si="80"/>
        <v/>
      </c>
      <c r="H186" s="863" t="str">
        <f ca="1">IF(OR($N$2="",$N$2=0),"",IF(INDIRECT(ADDRESS(($AL186),COLUMN()+32,,,"Digitar Dados dos Ensaios"))&lt;&gt;"",INDIRECT(ADDRESS(($AL186),COLUMN()+32,,,"Digitar Dados dos Ensaios")),""))</f>
        <v/>
      </c>
      <c r="I186" s="861" t="str">
        <f t="shared" ca="1" si="81"/>
        <v/>
      </c>
      <c r="J186" s="861" t="str">
        <f t="shared" ca="1" si="81"/>
        <v/>
      </c>
      <c r="K186" s="861" t="str">
        <f t="shared" ca="1" si="81"/>
        <v/>
      </c>
      <c r="L186" s="862" t="str">
        <f t="shared" ca="1" si="81"/>
        <v/>
      </c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421">
        <f>AK185+1</f>
        <v>7</v>
      </c>
      <c r="AL186" s="451">
        <f>AL185+1</f>
        <v>11</v>
      </c>
      <c r="AM186" s="821" t="str">
        <f ca="1">IF(ISNUMBER(C190),C190,"")</f>
        <v/>
      </c>
      <c r="AN186" s="456" t="str">
        <f t="shared" ref="AN186:AQ187" ca="1" si="83">IF(ISNUMBER(D190),D190,"")</f>
        <v/>
      </c>
      <c r="AO186" s="456" t="str">
        <f t="shared" ca="1" si="83"/>
        <v/>
      </c>
      <c r="AP186" s="456" t="str">
        <f t="shared" ca="1" si="83"/>
        <v/>
      </c>
      <c r="AQ186" s="1227" t="str">
        <f t="shared" ca="1" si="83"/>
        <v/>
      </c>
      <c r="AR186" s="821" t="str">
        <f ca="1">IF(ISNUMBER(H190),H190,"")</f>
        <v/>
      </c>
      <c r="AS186" s="456" t="str">
        <f ca="1">IF(ISNUMBER(I190),I190,"")</f>
        <v/>
      </c>
      <c r="AT186" s="456" t="str">
        <f ca="1">IF(ISNUMBER(J190),J190,"")</f>
        <v/>
      </c>
      <c r="AU186" s="456" t="str">
        <f ca="1">IF(ISNUMBER(K190),K190,"")</f>
        <v/>
      </c>
      <c r="AV186" s="456" t="str">
        <f ca="1">IF(ISNUMBER(L190),L190,"")</f>
        <v/>
      </c>
      <c r="AW186" s="1228"/>
      <c r="AX186" s="816"/>
      <c r="AY186" s="1221"/>
      <c r="AZ186" s="817">
        <v>25</v>
      </c>
      <c r="BA186" s="456" t="str">
        <f ca="1">IF(BA185&lt;&gt;"",BA185,"")</f>
        <v>NP</v>
      </c>
      <c r="BB186" s="453"/>
      <c r="BC186" s="453"/>
      <c r="BD186" s="407"/>
      <c r="BE186" s="407"/>
      <c r="BF186" s="407"/>
      <c r="BG186" s="407"/>
      <c r="BH186" s="407"/>
      <c r="BI186" s="407"/>
      <c r="BJ186" s="407"/>
      <c r="BK186" s="459" t="str">
        <f>IF(BC184&lt;&gt;"",BK185/BC186,"")</f>
        <v/>
      </c>
      <c r="BL186" s="1229" t="str">
        <f>IF(BC184&lt;&gt;"",BL185/BC186,"")</f>
        <v/>
      </c>
      <c r="BM186" s="818" t="b">
        <f ca="1">IF(BL187="","",IF(AND(BF187=100%,BH187&gt;=50%,BH187&lt;=85%,BI187&gt;=35%,BI187&lt;=65%,BJ187&gt;=25%,BJ187&lt;=50%,BK187&gt;=15%,BK187&lt;=30%,BL187&gt;=5%,BL187&lt;=15%),"Faixa 2"))</f>
        <v>0</v>
      </c>
      <c r="BN186" s="460" t="str">
        <f ca="1">IF(BL187="","",IF(BM184="Faixa A","A",IF(BM185="Faixa 1","1",IF(BM186="Faixa 2","2",IF(BM187="Faixa D","D",IF(BN184="Faixa E","E",IF(BN185="Faixa F","F","")))))))</f>
        <v/>
      </c>
      <c r="BO186" s="454"/>
      <c r="BP186" s="454"/>
      <c r="BQ186" s="1596" t="str">
        <f>IF(BQ184&gt;0,BQ184,IF(BR184&gt;0,BR184))</f>
        <v>FAIXA</v>
      </c>
      <c r="BR186" s="822">
        <v>4</v>
      </c>
      <c r="BS186" s="461">
        <f ca="1">IF(BI187&lt;&gt;"",BI187*100,"")</f>
        <v>65.427262625212848</v>
      </c>
      <c r="BT186" s="457" t="s">
        <v>101</v>
      </c>
      <c r="BU186" s="457" t="s">
        <v>102</v>
      </c>
      <c r="BV186" s="457" t="s">
        <v>103</v>
      </c>
      <c r="BW186" s="457" t="s">
        <v>104</v>
      </c>
      <c r="BX186" s="407" t="b">
        <f ca="1">IF(BF189&lt;BK189,"NP",AND(BT189=0,BN189&lt;=6,BS189&lt;=15,BS188&lt;=30,BS187&lt;=50))</f>
        <v>0</v>
      </c>
      <c r="BY186" s="407" t="b">
        <f ca="1">IF(BG189&lt;BK189,"NP",AND(BT189=0,BN189&lt;=6,BS189&lt;=25,BS188&lt;=50))</f>
        <v>1</v>
      </c>
      <c r="BZ186" s="407" t="b">
        <f ca="1">IF(BN189&lt;0,IF(CA186="NP",IF(BT189=0,IF(BS189&lt;=10,IF(BS188&gt;50,AND(BT189=0,BN189&lt;0,BS189&lt;=10,BS188&gt;50),"NP")))))</f>
        <v>0</v>
      </c>
      <c r="CA186" s="407" t="b">
        <f ca="1">IF(BG189&lt;BK189,"NP",AND(BT189=0,BN189&lt;=10,BG189&lt;=40,BS189&lt;35))</f>
        <v>1</v>
      </c>
      <c r="CB186" s="407" t="b">
        <f ca="1">IF(BG189&lt;BK189,"NP",AND(BT189=0,BN189&lt;=10,BG189&gt;40,BS189&lt;=35))</f>
        <v>0</v>
      </c>
      <c r="CC186" s="407" t="b">
        <f ca="1">IF(BG189&lt;BK189,"NP",AND(BT189&lt;=4,BN189&gt;10,BG189&lt;=40,BS189&lt;=35))</f>
        <v>0</v>
      </c>
      <c r="CD186" s="1230" t="b">
        <f ca="1">IF(BG189&lt;BK189,"NP",AND(BT189&lt;=4,BN189&gt;10,BG189&gt;40,BS189&lt;=35))</f>
        <v>0</v>
      </c>
      <c r="CE186" s="358"/>
      <c r="CF186" s="358"/>
      <c r="CG186" s="358"/>
      <c r="CH186" s="358"/>
      <c r="CI186" s="358"/>
      <c r="CJ186" s="358"/>
      <c r="CK186" s="358"/>
      <c r="CL186" s="358"/>
      <c r="CM186" s="358"/>
      <c r="CN186" s="358"/>
      <c r="CO186" s="358"/>
      <c r="CP186" s="358"/>
      <c r="CQ186" s="358"/>
      <c r="CR186" s="358"/>
      <c r="CS186" s="358"/>
      <c r="CT186" s="358"/>
      <c r="CU186" s="358"/>
      <c r="CV186" s="358"/>
      <c r="CW186" s="358"/>
      <c r="CX186" s="358"/>
      <c r="CY186" s="358"/>
      <c r="CZ186" s="358"/>
      <c r="DA186" s="358"/>
      <c r="DB186" s="358"/>
      <c r="DC186" s="358"/>
      <c r="DD186" s="358"/>
      <c r="DE186" s="358"/>
      <c r="DF186" s="358"/>
      <c r="DG186" s="358"/>
      <c r="DH186" s="358"/>
      <c r="DI186" s="358"/>
      <c r="DJ186" s="358"/>
      <c r="DK186" s="358"/>
      <c r="DL186" s="358"/>
      <c r="DM186" s="358"/>
      <c r="DN186" s="358"/>
      <c r="DO186" s="358"/>
      <c r="DP186" s="358"/>
      <c r="DQ186" s="358"/>
      <c r="DR186" s="358"/>
      <c r="DS186" s="358"/>
      <c r="DT186" s="358"/>
      <c r="DU186" s="358"/>
      <c r="DV186" s="358"/>
      <c r="DW186" s="358"/>
      <c r="DX186" s="358"/>
      <c r="DY186" s="358"/>
      <c r="DZ186" s="358"/>
      <c r="EA186" s="358"/>
      <c r="EB186" s="358"/>
      <c r="EC186" s="358"/>
      <c r="ED186" s="358"/>
      <c r="EE186" s="358"/>
      <c r="EF186" s="358"/>
      <c r="EG186" s="358"/>
      <c r="EH186" s="358"/>
      <c r="EI186" s="358"/>
      <c r="EJ186" s="358"/>
      <c r="EK186" s="358"/>
      <c r="EL186" s="358"/>
      <c r="EM186" s="358"/>
      <c r="EN186" s="358"/>
      <c r="EO186" s="358"/>
      <c r="EP186" s="358"/>
      <c r="EQ186" s="358"/>
      <c r="ER186" s="358"/>
      <c r="ES186" s="358"/>
      <c r="ET186" s="358"/>
      <c r="EU186" s="358"/>
      <c r="EV186" s="358"/>
      <c r="EW186" s="358"/>
      <c r="EX186" s="358"/>
      <c r="EY186" s="358"/>
      <c r="EZ186" s="371"/>
    </row>
    <row r="187" spans="1:156" s="251" customFormat="1" ht="12" customHeight="1" x14ac:dyDescent="0.25">
      <c r="A187" s="1915" t="s">
        <v>274</v>
      </c>
      <c r="B187" s="1916"/>
      <c r="C187" s="1258" t="str">
        <f ca="1">IF(C184&lt;&gt;"",LOOKUP(C184,Tara!$A$6:$A$185,Tara!$B$6:$B$185),"")</f>
        <v/>
      </c>
      <c r="D187" s="823" t="str">
        <f ca="1">IF(D184&lt;&gt;"",LOOKUP(D184,Tara!$A$6:$A$185,Tara!$B$6:$B$185),"")</f>
        <v/>
      </c>
      <c r="E187" s="823" t="str">
        <f ca="1">IF(E184&lt;&gt;"",LOOKUP(E184,Tara!$A$6:$A$185,Tara!$B$6:$B$185),"")</f>
        <v/>
      </c>
      <c r="F187" s="823" t="str">
        <f ca="1">IF(F184&lt;&gt;"",LOOKUP(F184,Tara!$A$6:$A$185,Tara!$B$6:$B$185),"")</f>
        <v/>
      </c>
      <c r="G187" s="824" t="str">
        <f ca="1">IF(G184&lt;&gt;"",LOOKUP(G184,Tara!$A$6:$A$185,Tara!$B$6:$B$185),"")</f>
        <v/>
      </c>
      <c r="H187" s="825" t="str">
        <f ca="1">IF(H184&lt;&gt;"",LOOKUP(H184,Tara!$E$6:$E$185,Tara!$F$6:$F$185),"")</f>
        <v/>
      </c>
      <c r="I187" s="826" t="str">
        <f ca="1">IF(I184&lt;&gt;"",LOOKUP(I184,Tara!$E$6:$E$185,Tara!$F$6:$F$185),"")</f>
        <v/>
      </c>
      <c r="J187" s="826" t="str">
        <f ca="1">IF(J184&lt;&gt;"",LOOKUP(J184,Tara!$E$6:$E$185,Tara!$F$6:$F$185),"")</f>
        <v/>
      </c>
      <c r="K187" s="826" t="str">
        <f ca="1">IF(K184&lt;&gt;"",LOOKUP(K184,Tara!$E$6:$E$185,Tara!$F$6:$F$185),"")</f>
        <v/>
      </c>
      <c r="L187" s="827" t="str">
        <f ca="1">IF(L184&lt;&gt;"",LOOKUP(L184,Tara!$E$6:$E$185,Tara!$F$6:$F$185),"")</f>
        <v/>
      </c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421"/>
      <c r="AL187" s="358"/>
      <c r="AM187" s="828" t="str">
        <f ca="1">IF(ISNUMBER(C191),C191,"")</f>
        <v/>
      </c>
      <c r="AN187" s="462" t="str">
        <f t="shared" ca="1" si="83"/>
        <v/>
      </c>
      <c r="AO187" s="462" t="str">
        <f t="shared" ca="1" si="83"/>
        <v/>
      </c>
      <c r="AP187" s="462" t="str">
        <f t="shared" ca="1" si="83"/>
        <v/>
      </c>
      <c r="AQ187" s="1231" t="str">
        <f t="shared" ca="1" si="83"/>
        <v/>
      </c>
      <c r="AR187" s="829" t="str">
        <f ca="1">IF(AR186&lt;&gt;"",AVERAGE(AR186:AV186),"")</f>
        <v/>
      </c>
      <c r="AS187" s="454" t="str">
        <f ca="1">IF(AR187&lt;&gt;"",AR187-AR188,"")</f>
        <v/>
      </c>
      <c r="AT187" s="460">
        <f ca="1">COUNT(AR189:AV189)</f>
        <v>0</v>
      </c>
      <c r="AU187" s="388" t="str">
        <f ca="1">IF(AR189&lt;&gt;"",AVERAGE(AR189:AV189),"")</f>
        <v/>
      </c>
      <c r="AV187" s="388" t="str">
        <f ca="1">IF(AU187&lt;&gt;"",AU187+5%*AU187,"")</f>
        <v/>
      </c>
      <c r="AW187" s="1565">
        <f ca="1">IF(AV188="NP",0,AV188)*100</f>
        <v>0</v>
      </c>
      <c r="AX187" s="816"/>
      <c r="AY187" s="1221"/>
      <c r="AZ187" s="1597"/>
      <c r="BA187" s="1598"/>
      <c r="BB187" s="453"/>
      <c r="BC187" s="407"/>
      <c r="BD187" s="388">
        <f ca="1">IF($I154&lt;&gt;"",$I154,"")</f>
        <v>1</v>
      </c>
      <c r="BE187" s="388">
        <f ca="1">IF($I155&lt;&gt;"",$I155,"")</f>
        <v>1</v>
      </c>
      <c r="BF187" s="388">
        <f ca="1">IF($I156&lt;&gt;"",$I156,"")</f>
        <v>0.97723984107061479</v>
      </c>
      <c r="BG187" s="388">
        <f ca="1">IF($I157&lt;&gt;"",$I157,"")</f>
        <v>0.94098907160616208</v>
      </c>
      <c r="BH187" s="388">
        <f ca="1">IF($I158&lt;&gt;"",$I158,"")</f>
        <v>0.81504073165077107</v>
      </c>
      <c r="BI187" s="388">
        <f ca="1">IF($I159&lt;&gt;"",$I159,"")</f>
        <v>0.65427262625212845</v>
      </c>
      <c r="BJ187" s="388">
        <f ca="1">IF($I160&lt;&gt;"",$I160,"")</f>
        <v>0.52992717068920026</v>
      </c>
      <c r="BK187" s="388">
        <f ca="1">IF($J165&lt;&gt;"",$J165,"")</f>
        <v>0.35658799315676282</v>
      </c>
      <c r="BL187" s="388">
        <f ca="1">IF($J167&lt;&gt;"",$J167,"")</f>
        <v>6.772469241407976E-2</v>
      </c>
      <c r="BM187" s="818" t="b">
        <f ca="1">IF(BL187="","",IF(AND(BF187=100%,BH187&gt;=60%,BH187&lt;=100%,BI187&gt;=50%,BI187&lt;=85%,BJ187&gt;=40%,BJ187&lt;=70%,BK187&gt;=25%,BK187&lt;=45%,BL187&gt;=10%,BL187&lt;=25%),"Faixa 2"))</f>
        <v>0</v>
      </c>
      <c r="BN187" s="463" t="str">
        <f ca="1">IF(BL187="","",IF(BN186&gt;0,BN186,IF(BO187&gt;0,BO187)))</f>
        <v/>
      </c>
      <c r="BO187" s="463"/>
      <c r="BP187" s="460"/>
      <c r="BQ187" s="1596" t="str">
        <f ca="1">IF(BQ185&gt;0,BQ185,IF(BR185&gt;0,BR185))</f>
        <v/>
      </c>
      <c r="BR187" s="822">
        <v>10</v>
      </c>
      <c r="BS187" s="461">
        <f ca="1">IF(BJ187&lt;&gt;"",BJ187*100,"")</f>
        <v>52.992717068920022</v>
      </c>
      <c r="BT187" s="390">
        <f ca="1">IF(BS189="",0,IF(IF((BS189-35)&lt;0,0,(BS189-35))&gt;40,40,IF((BS189-35)&lt;0,0,(BS189-35))))</f>
        <v>0</v>
      </c>
      <c r="BU187" s="390">
        <f ca="1">IF(BS189="",0,IF(IF((BS189-15)&lt;0,0,(BS189-15))&gt;40,40,IF((BS189-15)&lt;0,0,(BS189-15))))</f>
        <v>0</v>
      </c>
      <c r="BV187" s="390">
        <f ca="1">IF(BF189="NP",0,IF(IF((BF189-40)&lt;0,0,(BF189-40))&gt;20,20,IF((BF189-40)&lt;0,0,(BF189-40))))</f>
        <v>0</v>
      </c>
      <c r="BW187" s="390">
        <f ca="1">IF(BM189="NP",0,IF(IF((BM189-10)&lt;0,0,(BM189-10))&gt;20,20,IF((BM189-10)&lt;0,0,(BM189-10))))</f>
        <v>0</v>
      </c>
      <c r="BX187" s="407"/>
      <c r="BY187" s="407"/>
      <c r="BZ187" s="407"/>
      <c r="CA187" s="407"/>
      <c r="CB187" s="407"/>
      <c r="CC187" s="407"/>
      <c r="CD187" s="1230"/>
      <c r="CE187" s="358"/>
      <c r="CF187" s="358"/>
      <c r="CG187" s="358"/>
      <c r="CH187" s="358"/>
      <c r="CI187" s="358"/>
      <c r="CJ187" s="358"/>
      <c r="CK187" s="358"/>
      <c r="CL187" s="358"/>
      <c r="CM187" s="358"/>
      <c r="CN187" s="358"/>
      <c r="CO187" s="358"/>
      <c r="CP187" s="358"/>
      <c r="CQ187" s="358"/>
      <c r="CR187" s="358"/>
      <c r="CS187" s="358"/>
      <c r="CT187" s="358"/>
      <c r="CU187" s="358"/>
      <c r="CV187" s="358"/>
      <c r="CW187" s="358"/>
      <c r="CX187" s="358"/>
      <c r="CY187" s="358"/>
      <c r="CZ187" s="358"/>
      <c r="DA187" s="358"/>
      <c r="DB187" s="358"/>
      <c r="DC187" s="358"/>
      <c r="DD187" s="358"/>
      <c r="DE187" s="358"/>
      <c r="DF187" s="358"/>
      <c r="DG187" s="358"/>
      <c r="DH187" s="358"/>
      <c r="DI187" s="358"/>
      <c r="DJ187" s="358"/>
      <c r="DK187" s="358"/>
      <c r="DL187" s="358"/>
      <c r="DM187" s="358"/>
      <c r="DN187" s="358"/>
      <c r="DO187" s="358"/>
      <c r="DP187" s="358"/>
      <c r="DQ187" s="358"/>
      <c r="DR187" s="358"/>
      <c r="DS187" s="358"/>
      <c r="DT187" s="358"/>
      <c r="DU187" s="358"/>
      <c r="DV187" s="358"/>
      <c r="DW187" s="358"/>
      <c r="DX187" s="358"/>
      <c r="DY187" s="358"/>
      <c r="DZ187" s="358"/>
      <c r="EA187" s="358"/>
      <c r="EB187" s="358"/>
      <c r="EC187" s="358"/>
      <c r="ED187" s="358"/>
      <c r="EE187" s="358"/>
      <c r="EF187" s="358"/>
      <c r="EG187" s="358"/>
      <c r="EH187" s="358"/>
      <c r="EI187" s="358"/>
      <c r="EJ187" s="358"/>
      <c r="EK187" s="358"/>
      <c r="EL187" s="358"/>
      <c r="EM187" s="358"/>
      <c r="EN187" s="358"/>
      <c r="EO187" s="358"/>
      <c r="EP187" s="358"/>
      <c r="EQ187" s="358"/>
      <c r="ER187" s="358"/>
      <c r="ES187" s="358"/>
      <c r="ET187" s="358"/>
      <c r="EU187" s="358"/>
      <c r="EV187" s="358"/>
      <c r="EW187" s="358"/>
      <c r="EX187" s="358"/>
      <c r="EY187" s="358"/>
      <c r="EZ187" s="371"/>
    </row>
    <row r="188" spans="1:156" s="251" customFormat="1" ht="12" customHeight="1" x14ac:dyDescent="0.25">
      <c r="A188" s="1915" t="s">
        <v>275</v>
      </c>
      <c r="B188" s="1916"/>
      <c r="C188" s="1259" t="str">
        <f t="shared" ref="C188:L188" ca="1" si="84">IF(C184&lt;&gt;"",C185-C186,"")</f>
        <v/>
      </c>
      <c r="D188" s="830" t="str">
        <f t="shared" ca="1" si="84"/>
        <v/>
      </c>
      <c r="E188" s="830" t="str">
        <f t="shared" ca="1" si="84"/>
        <v/>
      </c>
      <c r="F188" s="830" t="str">
        <f t="shared" ca="1" si="84"/>
        <v/>
      </c>
      <c r="G188" s="831" t="str">
        <f t="shared" ca="1" si="84"/>
        <v/>
      </c>
      <c r="H188" s="832" t="str">
        <f t="shared" ca="1" si="84"/>
        <v/>
      </c>
      <c r="I188" s="830" t="str">
        <f t="shared" ca="1" si="84"/>
        <v/>
      </c>
      <c r="J188" s="830" t="str">
        <f t="shared" ca="1" si="84"/>
        <v/>
      </c>
      <c r="K188" s="830" t="str">
        <f t="shared" ca="1" si="84"/>
        <v/>
      </c>
      <c r="L188" s="831" t="str">
        <f t="shared" ca="1" si="84"/>
        <v/>
      </c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421"/>
      <c r="AL188" s="358"/>
      <c r="AM188" s="833" t="str">
        <f ca="1">IF(AM186&lt;&gt;"",INDEX(LOGEST(AM187:AQ187,AM186:AQ186),2),"")</f>
        <v/>
      </c>
      <c r="AN188" s="464" t="str">
        <f ca="1">IF(AM189&lt;&gt;"",LN(AM189),"")</f>
        <v/>
      </c>
      <c r="AO188" s="359"/>
      <c r="AP188" s="388" t="str">
        <f ca="1">IF(AM188&lt;&gt;"",LN(25/AM188)/AN188,"NP")</f>
        <v>NP</v>
      </c>
      <c r="AQ188" s="1232"/>
      <c r="AR188" s="818" t="str">
        <f ca="1">IF(AR187&lt;&gt;"",5%*AR187,"")</f>
        <v/>
      </c>
      <c r="AS188" s="454" t="str">
        <f ca="1">IF(AR187&lt;&gt;"",AR187+AR188,"")</f>
        <v/>
      </c>
      <c r="AT188" s="361" t="str">
        <f ca="1">IF(AP188&lt;&gt;"NP",AP188-AV188,"NP")</f>
        <v>NP</v>
      </c>
      <c r="AU188" s="388" t="str">
        <f ca="1">IF(AU187&lt;&gt;"",AU187-5%*AU187,"")</f>
        <v/>
      </c>
      <c r="AV188" s="388" t="str">
        <f ca="1">IF(AU187&lt;&gt;"",AU187,"NP")</f>
        <v>NP</v>
      </c>
      <c r="AW188" s="1565">
        <f ca="1">IF(AV188="NP",0,AV188)*100</f>
        <v>0</v>
      </c>
      <c r="AX188" s="816"/>
      <c r="AY188" s="1221"/>
      <c r="AZ188" s="834"/>
      <c r="BA188" s="359"/>
      <c r="BB188" s="359"/>
      <c r="BC188" s="359"/>
      <c r="BD188" s="359"/>
      <c r="BE188" s="359"/>
      <c r="BF188" s="359"/>
      <c r="BG188" s="359"/>
      <c r="BH188" s="359"/>
      <c r="BI188" s="359"/>
      <c r="BJ188" s="359"/>
      <c r="BK188" s="359"/>
      <c r="BL188" s="1232"/>
      <c r="BM188" s="835"/>
      <c r="BN188" s="359"/>
      <c r="BO188" s="359"/>
      <c r="BP188" s="359"/>
      <c r="BQ188" s="1232"/>
      <c r="BR188" s="836">
        <v>40</v>
      </c>
      <c r="BS188" s="461">
        <f ca="1">IF(BK187&lt;&gt;"",BK187*100,"")</f>
        <v>35.658799315676283</v>
      </c>
      <c r="BT188" s="1599" t="s">
        <v>129</v>
      </c>
      <c r="BU188" s="1599"/>
      <c r="BV188" s="465" t="s">
        <v>130</v>
      </c>
      <c r="BW188" s="465"/>
      <c r="BX188" s="407" t="b">
        <f ca="1">IF(BG189&lt;BK189,"NP",AND(BT189&lt;=8,BN189&lt;=10,BG189&lt;=40,BS189&gt;35))</f>
        <v>0</v>
      </c>
      <c r="BY188" s="407" t="b">
        <f ca="1">IF(BG189&lt;BK189,"NP",AND(BT189&lt;=12,BN189&lt;=10,BG189&gt;40,BS189&gt;35))</f>
        <v>0</v>
      </c>
      <c r="BZ188" s="407" t="b">
        <f ca="1">IF(BG189&lt;BK189,"NP",AND(BT189&lt;=16,BN189&gt;10,BG189&lt;=40,BS189&gt;35))</f>
        <v>0</v>
      </c>
      <c r="CA188" s="407" t="b">
        <f ca="1">IF(BG189&lt;BK189,"NP",AND(BT189&lt;=20,BN189&gt;10,BG189&gt;40,BS189&gt;35,BN189&lt;=BG189-30))</f>
        <v>0</v>
      </c>
      <c r="CB188" s="407" t="b">
        <f ca="1">IF(BG189&lt;BK189,"NP",AND(BT189&lt;=20,BN189&gt;10,BG189&gt;40,BR189&gt;35,BN189&gt;BG189-30))</f>
        <v>0</v>
      </c>
      <c r="CC188" s="407"/>
      <c r="CD188" s="1230"/>
      <c r="CE188" s="358"/>
      <c r="CF188" s="358"/>
      <c r="CG188" s="358"/>
      <c r="CH188" s="358"/>
      <c r="CI188" s="358"/>
      <c r="CJ188" s="358"/>
      <c r="CK188" s="358"/>
      <c r="CL188" s="358"/>
      <c r="CM188" s="358"/>
      <c r="CN188" s="358"/>
      <c r="CO188" s="358"/>
      <c r="CP188" s="358"/>
      <c r="CQ188" s="358"/>
      <c r="CR188" s="358"/>
      <c r="CS188" s="358"/>
      <c r="CT188" s="358"/>
      <c r="CU188" s="358"/>
      <c r="CV188" s="358"/>
      <c r="CW188" s="358"/>
      <c r="CX188" s="358"/>
      <c r="CY188" s="358"/>
      <c r="CZ188" s="358"/>
      <c r="DA188" s="358"/>
      <c r="DB188" s="358"/>
      <c r="DC188" s="358"/>
      <c r="DD188" s="358"/>
      <c r="DE188" s="358"/>
      <c r="DF188" s="358"/>
      <c r="DG188" s="358"/>
      <c r="DH188" s="358"/>
      <c r="DI188" s="358"/>
      <c r="DJ188" s="358"/>
      <c r="DK188" s="358"/>
      <c r="DL188" s="358"/>
      <c r="DM188" s="358"/>
      <c r="DN188" s="358"/>
      <c r="DO188" s="358"/>
      <c r="DP188" s="358"/>
      <c r="DQ188" s="358"/>
      <c r="DR188" s="358"/>
      <c r="DS188" s="358"/>
      <c r="DT188" s="358"/>
      <c r="DU188" s="358"/>
      <c r="DV188" s="358"/>
      <c r="DW188" s="358"/>
      <c r="DX188" s="358"/>
      <c r="DY188" s="358"/>
      <c r="DZ188" s="358"/>
      <c r="EA188" s="358"/>
      <c r="EB188" s="358"/>
      <c r="EC188" s="358"/>
      <c r="ED188" s="358"/>
      <c r="EE188" s="358"/>
      <c r="EF188" s="358"/>
      <c r="EG188" s="358"/>
      <c r="EH188" s="358"/>
      <c r="EI188" s="358"/>
      <c r="EJ188" s="358"/>
      <c r="EK188" s="358"/>
      <c r="EL188" s="358"/>
      <c r="EM188" s="358"/>
      <c r="EN188" s="358"/>
      <c r="EO188" s="358"/>
      <c r="EP188" s="358"/>
      <c r="EQ188" s="358"/>
      <c r="ER188" s="358"/>
      <c r="ES188" s="358"/>
      <c r="ET188" s="358"/>
      <c r="EU188" s="358"/>
      <c r="EV188" s="358"/>
      <c r="EW188" s="358"/>
      <c r="EX188" s="358"/>
      <c r="EY188" s="358"/>
      <c r="EZ188" s="371"/>
    </row>
    <row r="189" spans="1:156" s="251" customFormat="1" ht="12" customHeight="1" x14ac:dyDescent="0.25">
      <c r="A189" s="1915" t="s">
        <v>276</v>
      </c>
      <c r="B189" s="1916"/>
      <c r="C189" s="1260" t="str">
        <f t="shared" ref="C189:L189" ca="1" si="85">IF(C184&lt;&gt;"",C186-C187,"")</f>
        <v/>
      </c>
      <c r="D189" s="837" t="str">
        <f t="shared" ca="1" si="85"/>
        <v/>
      </c>
      <c r="E189" s="837" t="str">
        <f t="shared" ca="1" si="85"/>
        <v/>
      </c>
      <c r="F189" s="837" t="str">
        <f t="shared" ca="1" si="85"/>
        <v/>
      </c>
      <c r="G189" s="838" t="str">
        <f t="shared" ca="1" si="85"/>
        <v/>
      </c>
      <c r="H189" s="839" t="str">
        <f t="shared" ca="1" si="85"/>
        <v/>
      </c>
      <c r="I189" s="837" t="str">
        <f t="shared" ca="1" si="85"/>
        <v/>
      </c>
      <c r="J189" s="837" t="str">
        <f t="shared" ca="1" si="85"/>
        <v/>
      </c>
      <c r="K189" s="837" t="str">
        <f t="shared" ca="1" si="85"/>
        <v/>
      </c>
      <c r="L189" s="838" t="str">
        <f t="shared" ca="1" si="85"/>
        <v/>
      </c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421"/>
      <c r="AL189" s="358"/>
      <c r="AM189" s="466" t="str">
        <f ca="1">IF(AM186&lt;&gt;"",INDEX(LOGEST(AM187:AQ187,AM186:AQ186),1),"")</f>
        <v/>
      </c>
      <c r="AN189" s="467"/>
      <c r="AO189" s="468" t="s">
        <v>78</v>
      </c>
      <c r="AP189" s="469">
        <f ca="1">IF(AP188="NP",0,AP188)*100</f>
        <v>0</v>
      </c>
      <c r="AQ189" s="470"/>
      <c r="AR189" s="471" t="str">
        <f ca="1">IF($AS188&gt;=AR186,IF($AS187&lt;=AR186,AR186))</f>
        <v/>
      </c>
      <c r="AS189" s="472" t="str">
        <f ca="1">IF($AS188&gt;=AS186,IF($AS187&lt;=AS186,AS186))</f>
        <v/>
      </c>
      <c r="AT189" s="472" t="str">
        <f ca="1">IF($AS188&gt;=AT186,IF($AS187&lt;=AT186,AT186))</f>
        <v/>
      </c>
      <c r="AU189" s="472" t="str">
        <f ca="1">IF($AS188&gt;=AU186,IF($AS187&lt;=AU186,AU186))</f>
        <v/>
      </c>
      <c r="AV189" s="472" t="str">
        <f ca="1">IF($AS188&gt;=AV186,IF($AS187&lt;=AV186,AV186))</f>
        <v/>
      </c>
      <c r="AW189" s="473" t="s">
        <v>139</v>
      </c>
      <c r="AX189" s="466"/>
      <c r="AY189" s="474"/>
      <c r="AZ189" s="475"/>
      <c r="BA189" s="467"/>
      <c r="BB189" s="467"/>
      <c r="BC189" s="467"/>
      <c r="BD189" s="467"/>
      <c r="BE189" s="476" t="s">
        <v>78</v>
      </c>
      <c r="BF189" s="477">
        <f ca="1">IF(AP189&lt;&gt;"",AP189,"")</f>
        <v>0</v>
      </c>
      <c r="BG189" s="477">
        <f ca="1">IF(BF189&lt;&gt;"",BF189,"")</f>
        <v>0</v>
      </c>
      <c r="BH189" s="467"/>
      <c r="BI189" s="467"/>
      <c r="BJ189" s="476" t="s">
        <v>139</v>
      </c>
      <c r="BK189" s="477">
        <f ca="1">IF(AW187&lt;&gt;"",AW187,"")</f>
        <v>0</v>
      </c>
      <c r="BL189" s="476" t="s">
        <v>78</v>
      </c>
      <c r="BM189" s="477">
        <f ca="1">IF(AW183&lt;&gt;"",AW183,"")</f>
        <v>0</v>
      </c>
      <c r="BN189" s="477">
        <f ca="1">IF(BM189&lt;&gt;"",BM189,"")</f>
        <v>0</v>
      </c>
      <c r="BO189" s="467"/>
      <c r="BP189" s="467"/>
      <c r="BQ189" s="470"/>
      <c r="BR189" s="478">
        <v>200</v>
      </c>
      <c r="BS189" s="479">
        <f ca="1">IF(BL187&lt;&gt;"",BL187*100,"")</f>
        <v>6.7724692414079763</v>
      </c>
      <c r="BT189" s="1600">
        <f ca="1">IF(((0.2)*BT187)+((0.005)*(BT187)*(BV187))+((0.01)*(BU187)*(BW187))&lt;0,0,((0.2)*BT187)+((0.005)*(BT187)*(BV187))+((0.01)*(BU187)*(BW187)))</f>
        <v>0</v>
      </c>
      <c r="BU189" s="1600" t="e">
        <f ca="1">IF(((0.2)*BN187)+((0.005)*(BN187)*(BM189))+((0.01)*(BN188)*(#REF!))&lt;0,0,((0.2)*BN187)+((0.005)*(BN187)*(BM189))+((0.01)*(BN188)*(#REF!)))</f>
        <v>#VALUE!</v>
      </c>
      <c r="BV189" s="1590" t="str">
        <f ca="1">IF(BS189="","",IF(BY189&lt;&gt;"",BY189,IF(BY189="",BZ189)))</f>
        <v>A-1b</v>
      </c>
      <c r="BW189" s="1590"/>
      <c r="BX189" s="480"/>
      <c r="BY189" s="481" t="str">
        <f ca="1">IF(BZ186="NP","NP",IF(BY188=TRUE,"A-5",IF(BZ188=TRUE,"A-6",IF(CA188=TRUE,"A-7-5",IF(CB188=TRUE,"A-7-6","")))))</f>
        <v/>
      </c>
      <c r="BZ189" s="481" t="str">
        <f ca="1">IF(BX186=TRUE,"A-1a",IF(BY186=TRUE,"A-1b",IF(BZ186=TRUE,"A-3",IF(CA186=TRUE,"A-2-4",IF(CB186=TRUE,"A-2-5",IF(CC186=TRUE,"A-2-6",IF(CD186=TRUE,"A-2-7",IF(BX188=TRUE,"A-4"," "))))))))</f>
        <v>A-1b</v>
      </c>
      <c r="CA189" s="480"/>
      <c r="CB189" s="480"/>
      <c r="CC189" s="480"/>
      <c r="CD189" s="482"/>
      <c r="CE189" s="358"/>
      <c r="CF189" s="358"/>
      <c r="CG189" s="358"/>
      <c r="CH189" s="358"/>
      <c r="CI189" s="358"/>
      <c r="CJ189" s="358"/>
      <c r="CK189" s="358"/>
      <c r="CL189" s="358"/>
      <c r="CM189" s="358"/>
      <c r="CN189" s="358"/>
      <c r="CO189" s="358"/>
      <c r="CP189" s="358"/>
      <c r="CQ189" s="358"/>
      <c r="CR189" s="358"/>
      <c r="CS189" s="358"/>
      <c r="CT189" s="358"/>
      <c r="CU189" s="358"/>
      <c r="CV189" s="358"/>
      <c r="CW189" s="358"/>
      <c r="CX189" s="358"/>
      <c r="CY189" s="358"/>
      <c r="CZ189" s="358"/>
      <c r="DA189" s="358"/>
      <c r="DB189" s="358"/>
      <c r="DC189" s="358"/>
      <c r="DD189" s="358"/>
      <c r="DE189" s="358"/>
      <c r="DF189" s="358"/>
      <c r="DG189" s="358"/>
      <c r="DH189" s="358"/>
      <c r="DI189" s="358"/>
      <c r="DJ189" s="358"/>
      <c r="DK189" s="358"/>
      <c r="DL189" s="358"/>
      <c r="DM189" s="358"/>
      <c r="DN189" s="358"/>
      <c r="DO189" s="358"/>
      <c r="DP189" s="358"/>
      <c r="DQ189" s="358"/>
      <c r="DR189" s="358"/>
      <c r="DS189" s="358"/>
      <c r="DT189" s="358"/>
      <c r="DU189" s="358"/>
      <c r="DV189" s="358"/>
      <c r="DW189" s="358"/>
      <c r="DX189" s="358"/>
      <c r="DY189" s="358"/>
      <c r="DZ189" s="358"/>
      <c r="EA189" s="358"/>
      <c r="EB189" s="358"/>
      <c r="EC189" s="358"/>
      <c r="ED189" s="358"/>
      <c r="EE189" s="358"/>
      <c r="EF189" s="358"/>
      <c r="EG189" s="358"/>
      <c r="EH189" s="358"/>
      <c r="EI189" s="358"/>
      <c r="EJ189" s="358"/>
      <c r="EK189" s="358"/>
      <c r="EL189" s="358"/>
      <c r="EM189" s="358"/>
      <c r="EN189" s="358"/>
      <c r="EO189" s="358"/>
      <c r="EP189" s="358"/>
      <c r="EQ189" s="358"/>
      <c r="ER189" s="358"/>
      <c r="ES189" s="358"/>
      <c r="ET189" s="358"/>
      <c r="EU189" s="358"/>
      <c r="EV189" s="358"/>
      <c r="EW189" s="358"/>
      <c r="EX189" s="358"/>
      <c r="EY189" s="358"/>
      <c r="EZ189" s="371"/>
    </row>
    <row r="190" spans="1:156" s="251" customFormat="1" ht="12" customHeight="1" x14ac:dyDescent="0.35">
      <c r="A190" s="1915" t="s">
        <v>277</v>
      </c>
      <c r="B190" s="1916"/>
      <c r="C190" s="1261" t="str">
        <f t="shared" ref="C190:L190" ca="1" si="86">IF(C184&lt;&gt;"",C188/C189,"")</f>
        <v/>
      </c>
      <c r="D190" s="840" t="str">
        <f t="shared" ca="1" si="86"/>
        <v/>
      </c>
      <c r="E190" s="840" t="str">
        <f t="shared" ca="1" si="86"/>
        <v/>
      </c>
      <c r="F190" s="840" t="str">
        <f t="shared" ca="1" si="86"/>
        <v/>
      </c>
      <c r="G190" s="841" t="str">
        <f t="shared" ca="1" si="86"/>
        <v/>
      </c>
      <c r="H190" s="842" t="str">
        <f t="shared" ca="1" si="86"/>
        <v/>
      </c>
      <c r="I190" s="843" t="str">
        <f t="shared" ca="1" si="86"/>
        <v/>
      </c>
      <c r="J190" s="843" t="str">
        <f t="shared" ca="1" si="86"/>
        <v/>
      </c>
      <c r="K190" s="843" t="str">
        <f t="shared" ca="1" si="86"/>
        <v/>
      </c>
      <c r="L190" s="844" t="str">
        <f t="shared" ca="1" si="86"/>
        <v/>
      </c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421"/>
      <c r="AL190" s="358"/>
      <c r="AM190" s="358"/>
      <c r="AN190" s="358"/>
      <c r="AO190" s="358"/>
      <c r="AP190" s="358"/>
      <c r="AQ190" s="358"/>
      <c r="AR190" s="358"/>
      <c r="AS190" s="358"/>
      <c r="AT190" s="358"/>
      <c r="AU190" s="358"/>
      <c r="AV190" s="358"/>
      <c r="AW190" s="358"/>
      <c r="AX190" s="358"/>
      <c r="AY190" s="358"/>
      <c r="AZ190" s="358"/>
      <c r="BA190" s="358"/>
      <c r="BB190" s="358"/>
      <c r="BC190" s="358"/>
      <c r="BD190" s="358"/>
      <c r="BE190" s="358"/>
      <c r="BF190" s="358"/>
      <c r="BG190" s="358"/>
      <c r="BH190" s="358"/>
      <c r="BI190" s="358"/>
      <c r="BJ190" s="358"/>
      <c r="BK190" s="358"/>
      <c r="BL190" s="358"/>
      <c r="BM190" s="358"/>
      <c r="BN190" s="358"/>
      <c r="BO190" s="358"/>
      <c r="BP190" s="358"/>
      <c r="BQ190" s="358"/>
      <c r="BR190" s="358"/>
      <c r="BS190" s="358"/>
      <c r="BT190" s="358"/>
      <c r="BU190" s="358"/>
      <c r="BV190" s="358"/>
      <c r="BW190" s="358"/>
      <c r="BX190" s="358"/>
      <c r="BY190" s="358"/>
      <c r="BZ190" s="358"/>
      <c r="CA190" s="358"/>
      <c r="CB190" s="358"/>
      <c r="CC190" s="358"/>
      <c r="CD190" s="358"/>
      <c r="CE190" s="358"/>
      <c r="CF190" s="358"/>
      <c r="CG190" s="358"/>
      <c r="CH190" s="358"/>
      <c r="CI190" s="358"/>
      <c r="CJ190" s="358"/>
      <c r="CK190" s="358"/>
      <c r="CL190" s="358"/>
      <c r="CM190" s="358"/>
      <c r="CN190" s="358"/>
      <c r="CO190" s="358"/>
      <c r="CP190" s="358"/>
      <c r="CQ190" s="358"/>
      <c r="CR190" s="358"/>
      <c r="CS190" s="358"/>
      <c r="CT190" s="358"/>
      <c r="CU190" s="358"/>
      <c r="CV190" s="358"/>
      <c r="CW190" s="358"/>
      <c r="CX190" s="358"/>
      <c r="CY190" s="358"/>
      <c r="CZ190" s="358"/>
      <c r="DA190" s="358"/>
      <c r="DB190" s="358"/>
      <c r="DC190" s="358"/>
      <c r="DD190" s="358"/>
      <c r="DE190" s="358"/>
      <c r="DF190" s="358"/>
      <c r="DG190" s="358"/>
      <c r="DH190" s="358"/>
      <c r="DI190" s="358"/>
      <c r="DJ190" s="358"/>
      <c r="DK190" s="358"/>
      <c r="DL190" s="358"/>
      <c r="DM190" s="358"/>
      <c r="DN190" s="358"/>
      <c r="DO190" s="358"/>
      <c r="DP190" s="358"/>
      <c r="DQ190" s="358"/>
      <c r="DR190" s="358"/>
      <c r="DS190" s="358"/>
      <c r="DT190" s="358"/>
      <c r="DU190" s="358"/>
      <c r="DV190" s="358"/>
      <c r="DW190" s="358"/>
      <c r="DX190" s="358"/>
      <c r="DY190" s="358"/>
      <c r="DZ190" s="358"/>
      <c r="EA190" s="358"/>
      <c r="EB190" s="358"/>
      <c r="EC190" s="358"/>
      <c r="ED190" s="358"/>
      <c r="EE190" s="358"/>
      <c r="EF190" s="358"/>
      <c r="EG190" s="358"/>
      <c r="EH190" s="358"/>
      <c r="EI190" s="358"/>
      <c r="EJ190" s="358"/>
      <c r="EK190" s="358"/>
      <c r="EL190" s="358"/>
      <c r="EM190" s="358"/>
      <c r="EN190" s="358"/>
      <c r="EO190" s="358"/>
      <c r="EP190" s="358"/>
      <c r="EQ190" s="358"/>
      <c r="ER190" s="358"/>
      <c r="ES190" s="358"/>
      <c r="ET190" s="358"/>
      <c r="EU190" s="358"/>
      <c r="EV190" s="358"/>
      <c r="EW190" s="358"/>
      <c r="EX190" s="358"/>
      <c r="EY190" s="358"/>
      <c r="EZ190" s="371"/>
    </row>
    <row r="191" spans="1:156" s="251" customFormat="1" ht="12" customHeight="1" x14ac:dyDescent="0.35">
      <c r="A191" s="1933" t="s">
        <v>96</v>
      </c>
      <c r="B191" s="1934"/>
      <c r="C191" s="864" t="str">
        <f ca="1">IF(OR($N$2="",$N$2=0),"",IF(INDIRECT(ADDRESS(($AK191),COLUMN()+37,,,"Digitar Dados dos Ensaios"))&lt;&gt;"",INDIRECT(ADDRESS(($AK191),COLUMN()+37,,,"Digitar Dados dos Ensaios")),""))</f>
        <v/>
      </c>
      <c r="D191" s="865" t="str">
        <f ca="1">IF(OR($N$2="",$N$2=0),"",IF(INDIRECT(ADDRESS(($AK191),COLUMN()+37,,,"Digitar Dados dos Ensaios"))&lt;&gt;"",INDIRECT(ADDRESS(($AK191),COLUMN()+37,,,"Digitar Dados dos Ensaios")),""))</f>
        <v/>
      </c>
      <c r="E191" s="865" t="str">
        <f ca="1">IF(OR($N$2="",$N$2=0),"",IF(INDIRECT(ADDRESS(($AK191),COLUMN()+37,,,"Digitar Dados dos Ensaios"))&lt;&gt;"",INDIRECT(ADDRESS(($AK191),COLUMN()+37,,,"Digitar Dados dos Ensaios")),""))</f>
        <v/>
      </c>
      <c r="F191" s="865" t="str">
        <f ca="1">IF(OR($N$2="",$N$2=0),"",IF(INDIRECT(ADDRESS(($AK191),COLUMN()+37,,,"Digitar Dados dos Ensaios"))&lt;&gt;"",INDIRECT(ADDRESS(($AK191),COLUMN()+37,,,"Digitar Dados dos Ensaios")),""))</f>
        <v/>
      </c>
      <c r="G191" s="866" t="str">
        <f ca="1">IF(OR($N$2="",$N$2=0),"",IF(INDIRECT(ADDRESS(($AK191),COLUMN()+37,,,"Digitar Dados dos Ensaios"))&lt;&gt;"",INDIRECT(ADDRESS(($AK191),COLUMN()+37,,,"Digitar Dados dos Ensaios")),""))</f>
        <v/>
      </c>
      <c r="H191" s="1935" t="s">
        <v>278</v>
      </c>
      <c r="I191" s="1936"/>
      <c r="J191" s="1936"/>
      <c r="K191" s="1936" t="str">
        <f ca="1">IF(H184="","",COUNT(AR189:AV189))</f>
        <v/>
      </c>
      <c r="L191" s="1937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421">
        <f>AK186+1</f>
        <v>8</v>
      </c>
      <c r="AL191" s="358"/>
      <c r="AM191" s="358"/>
      <c r="AN191" s="358"/>
      <c r="AO191" s="358"/>
      <c r="AP191" s="358"/>
      <c r="AQ191" s="358"/>
      <c r="AR191" s="358"/>
      <c r="AS191" s="358"/>
      <c r="AT191" s="358"/>
      <c r="AU191" s="358"/>
      <c r="AV191" s="358"/>
      <c r="AW191" s="358"/>
      <c r="AX191" s="358"/>
      <c r="AY191" s="358"/>
      <c r="AZ191" s="358"/>
      <c r="BA191" s="358"/>
      <c r="BB191" s="358"/>
      <c r="BC191" s="358"/>
      <c r="BD191" s="358"/>
      <c r="BE191" s="358"/>
      <c r="BF191" s="358"/>
      <c r="BG191" s="358"/>
      <c r="BH191" s="358"/>
      <c r="BI191" s="358"/>
      <c r="BJ191" s="358"/>
      <c r="BK191" s="358"/>
      <c r="BL191" s="358"/>
      <c r="BM191" s="358"/>
      <c r="BN191" s="358"/>
      <c r="BO191" s="358"/>
      <c r="BP191" s="358"/>
      <c r="BQ191" s="358"/>
      <c r="BR191" s="358"/>
      <c r="BS191" s="358"/>
      <c r="BT191" s="358"/>
      <c r="BU191" s="358"/>
      <c r="BV191" s="358"/>
      <c r="BW191" s="358"/>
      <c r="BX191" s="358"/>
      <c r="BY191" s="358"/>
      <c r="BZ191" s="358"/>
      <c r="CA191" s="358"/>
      <c r="CB191" s="358"/>
      <c r="CC191" s="358"/>
      <c r="CD191" s="358"/>
      <c r="CE191" s="358"/>
      <c r="CF191" s="358"/>
      <c r="CG191" s="358"/>
      <c r="CH191" s="358"/>
      <c r="CI191" s="358"/>
      <c r="CJ191" s="358"/>
      <c r="CK191" s="358"/>
      <c r="CL191" s="358"/>
      <c r="CM191" s="358"/>
      <c r="CN191" s="358"/>
      <c r="CO191" s="358"/>
      <c r="CP191" s="358"/>
      <c r="CQ191" s="358"/>
      <c r="CR191" s="358"/>
      <c r="CS191" s="358"/>
      <c r="CT191" s="358"/>
      <c r="CU191" s="358"/>
      <c r="CV191" s="358"/>
      <c r="CW191" s="358"/>
      <c r="CX191" s="358"/>
      <c r="CY191" s="358"/>
      <c r="CZ191" s="358"/>
      <c r="DA191" s="358"/>
      <c r="DB191" s="358"/>
      <c r="DC191" s="358"/>
      <c r="DD191" s="358"/>
      <c r="DE191" s="358"/>
      <c r="DF191" s="358"/>
      <c r="DG191" s="358"/>
      <c r="DH191" s="358"/>
      <c r="DI191" s="358"/>
      <c r="DJ191" s="358"/>
      <c r="DK191" s="358"/>
      <c r="DL191" s="358"/>
      <c r="DM191" s="358"/>
      <c r="DN191" s="358"/>
      <c r="DO191" s="358"/>
      <c r="DP191" s="358"/>
      <c r="DQ191" s="358"/>
      <c r="DR191" s="358"/>
      <c r="DS191" s="358"/>
      <c r="DT191" s="358"/>
      <c r="DU191" s="358"/>
      <c r="DV191" s="358"/>
      <c r="DW191" s="358"/>
      <c r="DX191" s="358"/>
      <c r="DY191" s="358"/>
      <c r="DZ191" s="358"/>
      <c r="EA191" s="358"/>
      <c r="EB191" s="358"/>
      <c r="EC191" s="358"/>
      <c r="ED191" s="358"/>
      <c r="EE191" s="358"/>
      <c r="EF191" s="358"/>
      <c r="EG191" s="358"/>
      <c r="EH191" s="358"/>
      <c r="EI191" s="358"/>
      <c r="EJ191" s="358"/>
      <c r="EK191" s="358"/>
      <c r="EL191" s="358"/>
      <c r="EM191" s="358"/>
      <c r="EN191" s="358"/>
      <c r="EO191" s="358"/>
      <c r="EP191" s="358"/>
      <c r="EQ191" s="358"/>
      <c r="ER191" s="358"/>
      <c r="ES191" s="358"/>
      <c r="ET191" s="358"/>
      <c r="EU191" s="358"/>
      <c r="EV191" s="358"/>
      <c r="EW191" s="358"/>
      <c r="EX191" s="358"/>
      <c r="EY191" s="358"/>
      <c r="EZ191" s="371"/>
    </row>
    <row r="192" spans="1:156" s="251" customFormat="1" ht="12" customHeight="1" x14ac:dyDescent="0.35">
      <c r="A192" s="7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8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421"/>
      <c r="AL192" s="358"/>
      <c r="AM192" s="358"/>
      <c r="AN192" s="358"/>
      <c r="AO192" s="358"/>
      <c r="AP192" s="358"/>
      <c r="AQ192" s="358"/>
      <c r="AR192" s="358"/>
      <c r="AS192" s="358"/>
      <c r="AT192" s="358"/>
      <c r="AU192" s="358"/>
      <c r="AV192" s="358"/>
      <c r="AW192" s="358"/>
      <c r="AX192" s="358"/>
      <c r="AY192" s="358"/>
      <c r="AZ192" s="358"/>
      <c r="BA192" s="358"/>
      <c r="BB192" s="358"/>
      <c r="BC192" s="358"/>
      <c r="BD192" s="358"/>
      <c r="BE192" s="358"/>
      <c r="BF192" s="358"/>
      <c r="BG192" s="358"/>
      <c r="BH192" s="358"/>
      <c r="BI192" s="358"/>
      <c r="BJ192" s="358"/>
      <c r="BK192" s="358"/>
      <c r="BL192" s="358"/>
      <c r="BM192" s="358"/>
      <c r="BN192" s="358"/>
      <c r="BO192" s="358"/>
      <c r="BP192" s="358"/>
      <c r="BQ192" s="358"/>
      <c r="BR192" s="358"/>
      <c r="BS192" s="358"/>
      <c r="BT192" s="358"/>
      <c r="BU192" s="358"/>
      <c r="BV192" s="358"/>
      <c r="BW192" s="358"/>
      <c r="BX192" s="358"/>
      <c r="BY192" s="358"/>
      <c r="BZ192" s="358"/>
      <c r="CA192" s="358"/>
      <c r="CB192" s="358"/>
      <c r="CC192" s="358"/>
      <c r="CD192" s="358"/>
      <c r="CE192" s="358"/>
      <c r="CF192" s="358"/>
      <c r="CG192" s="358"/>
      <c r="CH192" s="358"/>
      <c r="CI192" s="358"/>
      <c r="CJ192" s="358"/>
      <c r="CK192" s="358"/>
      <c r="CL192" s="358"/>
      <c r="CM192" s="358"/>
      <c r="CN192" s="358"/>
      <c r="CO192" s="358"/>
      <c r="CP192" s="358"/>
      <c r="CQ192" s="358"/>
      <c r="CR192" s="358"/>
      <c r="CS192" s="358"/>
      <c r="CT192" s="358"/>
      <c r="CU192" s="358"/>
      <c r="CV192" s="358"/>
      <c r="CW192" s="358"/>
      <c r="CX192" s="358"/>
      <c r="CY192" s="358"/>
      <c r="CZ192" s="358"/>
      <c r="DA192" s="358"/>
      <c r="DB192" s="358"/>
      <c r="DC192" s="358"/>
      <c r="DD192" s="358"/>
      <c r="DE192" s="358"/>
      <c r="DF192" s="358"/>
      <c r="DG192" s="358"/>
      <c r="DH192" s="358"/>
      <c r="DI192" s="358"/>
      <c r="DJ192" s="358"/>
      <c r="DK192" s="358"/>
      <c r="DL192" s="358"/>
      <c r="DM192" s="358"/>
      <c r="DN192" s="358"/>
      <c r="DO192" s="358"/>
      <c r="DP192" s="358"/>
      <c r="DQ192" s="358"/>
      <c r="DR192" s="358"/>
      <c r="DS192" s="358"/>
      <c r="DT192" s="358"/>
      <c r="DU192" s="358"/>
      <c r="DV192" s="358"/>
      <c r="DW192" s="358"/>
      <c r="DX192" s="358"/>
      <c r="DY192" s="358"/>
      <c r="DZ192" s="358"/>
      <c r="EA192" s="358"/>
      <c r="EB192" s="358"/>
      <c r="EC192" s="358"/>
      <c r="ED192" s="358"/>
      <c r="EE192" s="358"/>
      <c r="EF192" s="358"/>
      <c r="EG192" s="358"/>
      <c r="EH192" s="358"/>
      <c r="EI192" s="358"/>
      <c r="EJ192" s="358"/>
      <c r="EK192" s="358"/>
      <c r="EL192" s="358"/>
      <c r="EM192" s="358"/>
      <c r="EN192" s="358"/>
      <c r="EO192" s="358"/>
      <c r="EP192" s="358"/>
      <c r="EQ192" s="358"/>
      <c r="ER192" s="358"/>
      <c r="ES192" s="358"/>
      <c r="ET192" s="358"/>
      <c r="EU192" s="358"/>
      <c r="EV192" s="358"/>
      <c r="EW192" s="358"/>
      <c r="EX192" s="358"/>
      <c r="EY192" s="358"/>
      <c r="EZ192" s="371"/>
    </row>
    <row r="193" spans="1:156" s="251" customFormat="1" ht="12" customHeight="1" x14ac:dyDescent="0.35">
      <c r="A193" s="49"/>
      <c r="B193" s="20"/>
      <c r="C193" s="20"/>
      <c r="D193" s="20"/>
      <c r="E193" s="20"/>
      <c r="F193" s="20"/>
      <c r="G193" s="20"/>
      <c r="H193" s="20"/>
      <c r="I193" s="23"/>
      <c r="J193" s="1944" t="s">
        <v>78</v>
      </c>
      <c r="K193" s="1945"/>
      <c r="L193" s="302" t="str">
        <f ca="1">IF(AM188&lt;&gt;"",LN(25/AM188)/AN188,"NP")</f>
        <v>NP</v>
      </c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421"/>
      <c r="AL193" s="358"/>
      <c r="AM193" s="358"/>
      <c r="AN193" s="358"/>
      <c r="AO193" s="358"/>
      <c r="AP193" s="358"/>
      <c r="AQ193" s="358"/>
      <c r="AR193" s="358"/>
      <c r="AS193" s="358"/>
      <c r="AT193" s="358"/>
      <c r="AU193" s="358"/>
      <c r="AV193" s="358"/>
      <c r="AW193" s="358"/>
      <c r="AX193" s="358"/>
      <c r="AY193" s="358"/>
      <c r="AZ193" s="358"/>
      <c r="BA193" s="358"/>
      <c r="BB193" s="358"/>
      <c r="BC193" s="358"/>
      <c r="BD193" s="358"/>
      <c r="BE193" s="358"/>
      <c r="BF193" s="358"/>
      <c r="BG193" s="358"/>
      <c r="BH193" s="358"/>
      <c r="BI193" s="358"/>
      <c r="BJ193" s="358"/>
      <c r="BK193" s="358"/>
      <c r="BL193" s="358"/>
      <c r="BM193" s="358"/>
      <c r="BN193" s="358"/>
      <c r="BO193" s="358"/>
      <c r="BP193" s="358"/>
      <c r="BQ193" s="358"/>
      <c r="BR193" s="358"/>
      <c r="BS193" s="358"/>
      <c r="BT193" s="358"/>
      <c r="BU193" s="358"/>
      <c r="BV193" s="358"/>
      <c r="BW193" s="358"/>
      <c r="BX193" s="358"/>
      <c r="BY193" s="358"/>
      <c r="BZ193" s="358"/>
      <c r="CA193" s="358"/>
      <c r="CB193" s="358"/>
      <c r="CC193" s="358"/>
      <c r="CD193" s="358"/>
      <c r="CE193" s="358"/>
      <c r="CF193" s="358"/>
      <c r="CG193" s="358"/>
      <c r="CH193" s="358"/>
      <c r="CI193" s="358"/>
      <c r="CJ193" s="358"/>
      <c r="CK193" s="358"/>
      <c r="CL193" s="358"/>
      <c r="CM193" s="358"/>
      <c r="CN193" s="358"/>
      <c r="CO193" s="358"/>
      <c r="CP193" s="358"/>
      <c r="CQ193" s="358"/>
      <c r="CR193" s="358"/>
      <c r="CS193" s="358"/>
      <c r="CT193" s="358"/>
      <c r="CU193" s="358"/>
      <c r="CV193" s="358"/>
      <c r="CW193" s="358"/>
      <c r="CX193" s="358"/>
      <c r="CY193" s="358"/>
      <c r="CZ193" s="358"/>
      <c r="DA193" s="358"/>
      <c r="DB193" s="358"/>
      <c r="DC193" s="358"/>
      <c r="DD193" s="358"/>
      <c r="DE193" s="358"/>
      <c r="DF193" s="358"/>
      <c r="DG193" s="358"/>
      <c r="DH193" s="358"/>
      <c r="DI193" s="358"/>
      <c r="DJ193" s="358"/>
      <c r="DK193" s="358"/>
      <c r="DL193" s="358"/>
      <c r="DM193" s="358"/>
      <c r="DN193" s="358"/>
      <c r="DO193" s="358"/>
      <c r="DP193" s="358"/>
      <c r="DQ193" s="358"/>
      <c r="DR193" s="358"/>
      <c r="DS193" s="358"/>
      <c r="DT193" s="358"/>
      <c r="DU193" s="358"/>
      <c r="DV193" s="358"/>
      <c r="DW193" s="358"/>
      <c r="DX193" s="358"/>
      <c r="DY193" s="358"/>
      <c r="DZ193" s="358"/>
      <c r="EA193" s="358"/>
      <c r="EB193" s="358"/>
      <c r="EC193" s="358"/>
      <c r="ED193" s="358"/>
      <c r="EE193" s="358"/>
      <c r="EF193" s="358"/>
      <c r="EG193" s="358"/>
      <c r="EH193" s="358"/>
      <c r="EI193" s="358"/>
      <c r="EJ193" s="358"/>
      <c r="EK193" s="358"/>
      <c r="EL193" s="358"/>
      <c r="EM193" s="358"/>
      <c r="EN193" s="358"/>
      <c r="EO193" s="358"/>
      <c r="EP193" s="358"/>
      <c r="EQ193" s="358"/>
      <c r="ER193" s="358"/>
      <c r="ES193" s="358"/>
      <c r="ET193" s="358"/>
      <c r="EU193" s="358"/>
      <c r="EV193" s="358"/>
      <c r="EW193" s="358"/>
      <c r="EX193" s="358"/>
      <c r="EY193" s="358"/>
      <c r="EZ193" s="371"/>
    </row>
    <row r="194" spans="1:156" s="251" customFormat="1" ht="12" customHeight="1" x14ac:dyDescent="0.35">
      <c r="A194" s="49"/>
      <c r="B194" s="20"/>
      <c r="C194" s="20"/>
      <c r="D194" s="20"/>
      <c r="E194" s="20"/>
      <c r="F194" s="20"/>
      <c r="G194" s="20"/>
      <c r="H194" s="20"/>
      <c r="I194" s="23"/>
      <c r="J194" s="1946" t="s">
        <v>139</v>
      </c>
      <c r="K194" s="1947"/>
      <c r="L194" s="845" t="str">
        <f ca="1">IF(L193="NP","NP",IF(ISNUMBER(AV188),AV188,""))</f>
        <v>NP</v>
      </c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421"/>
      <c r="AL194" s="358"/>
      <c r="AM194" s="358"/>
      <c r="AN194" s="358"/>
      <c r="AO194" s="358"/>
      <c r="AP194" s="358"/>
      <c r="AQ194" s="358"/>
      <c r="AR194" s="358"/>
      <c r="AS194" s="358"/>
      <c r="AT194" s="358"/>
      <c r="AU194" s="358"/>
      <c r="AV194" s="358"/>
      <c r="AW194" s="358"/>
      <c r="AX194" s="358"/>
      <c r="AY194" s="358"/>
      <c r="AZ194" s="358"/>
      <c r="BA194" s="358"/>
      <c r="BB194" s="358"/>
      <c r="BC194" s="358"/>
      <c r="BD194" s="358"/>
      <c r="BE194" s="358"/>
      <c r="BF194" s="358"/>
      <c r="BG194" s="358"/>
      <c r="BH194" s="358"/>
      <c r="BI194" s="358"/>
      <c r="BJ194" s="358"/>
      <c r="BK194" s="358"/>
      <c r="BL194" s="358"/>
      <c r="BM194" s="358"/>
      <c r="BN194" s="358"/>
      <c r="BO194" s="358"/>
      <c r="BP194" s="358"/>
      <c r="BQ194" s="358"/>
      <c r="BR194" s="358"/>
      <c r="BS194" s="358"/>
      <c r="BT194" s="358"/>
      <c r="BU194" s="358"/>
      <c r="BV194" s="358"/>
      <c r="BW194" s="358"/>
      <c r="BX194" s="358"/>
      <c r="BY194" s="358"/>
      <c r="BZ194" s="358"/>
      <c r="CA194" s="358"/>
      <c r="CB194" s="358"/>
      <c r="CC194" s="358"/>
      <c r="CD194" s="358"/>
      <c r="CE194" s="358"/>
      <c r="CF194" s="358"/>
      <c r="CG194" s="358"/>
      <c r="CH194" s="358"/>
      <c r="CI194" s="358"/>
      <c r="CJ194" s="358"/>
      <c r="CK194" s="358"/>
      <c r="CL194" s="358"/>
      <c r="CM194" s="358"/>
      <c r="CN194" s="358"/>
      <c r="CO194" s="358"/>
      <c r="CP194" s="358"/>
      <c r="CQ194" s="358"/>
      <c r="CR194" s="358"/>
      <c r="CS194" s="358"/>
      <c r="CT194" s="358"/>
      <c r="CU194" s="358"/>
      <c r="CV194" s="358"/>
      <c r="CW194" s="358"/>
      <c r="CX194" s="358"/>
      <c r="CY194" s="358"/>
      <c r="CZ194" s="358"/>
      <c r="DA194" s="358"/>
      <c r="DB194" s="358"/>
      <c r="DC194" s="358"/>
      <c r="DD194" s="358"/>
      <c r="DE194" s="358"/>
      <c r="DF194" s="358"/>
      <c r="DG194" s="358"/>
      <c r="DH194" s="358"/>
      <c r="DI194" s="358"/>
      <c r="DJ194" s="358"/>
      <c r="DK194" s="358"/>
      <c r="DL194" s="358"/>
      <c r="DM194" s="358"/>
      <c r="DN194" s="358"/>
      <c r="DO194" s="358"/>
      <c r="DP194" s="358"/>
      <c r="DQ194" s="358"/>
      <c r="DR194" s="358"/>
      <c r="DS194" s="358"/>
      <c r="DT194" s="358"/>
      <c r="DU194" s="358"/>
      <c r="DV194" s="358"/>
      <c r="DW194" s="358"/>
      <c r="DX194" s="358"/>
      <c r="DY194" s="358"/>
      <c r="DZ194" s="358"/>
      <c r="EA194" s="358"/>
      <c r="EB194" s="358"/>
      <c r="EC194" s="358"/>
      <c r="ED194" s="358"/>
      <c r="EE194" s="358"/>
      <c r="EF194" s="358"/>
      <c r="EG194" s="358"/>
      <c r="EH194" s="358"/>
      <c r="EI194" s="358"/>
      <c r="EJ194" s="358"/>
      <c r="EK194" s="358"/>
      <c r="EL194" s="358"/>
      <c r="EM194" s="358"/>
      <c r="EN194" s="358"/>
      <c r="EO194" s="358"/>
      <c r="EP194" s="358"/>
      <c r="EQ194" s="358"/>
      <c r="ER194" s="358"/>
      <c r="ES194" s="358"/>
      <c r="ET194" s="358"/>
      <c r="EU194" s="358"/>
      <c r="EV194" s="358"/>
      <c r="EW194" s="358"/>
      <c r="EX194" s="358"/>
      <c r="EY194" s="358"/>
      <c r="EZ194" s="371"/>
    </row>
    <row r="195" spans="1:156" s="251" customFormat="1" ht="12" customHeight="1" x14ac:dyDescent="0.35">
      <c r="A195" s="49"/>
      <c r="B195" s="20"/>
      <c r="C195" s="20"/>
      <c r="D195" s="20"/>
      <c r="E195" s="20"/>
      <c r="F195" s="20"/>
      <c r="G195" s="20"/>
      <c r="H195" s="20"/>
      <c r="I195" s="20"/>
      <c r="J195" s="1948" t="s">
        <v>69</v>
      </c>
      <c r="K195" s="1949"/>
      <c r="L195" s="846" t="str">
        <f ca="1">IF(L193="NP","NP",IF(L193&lt;&gt;"",L193-L194,""))</f>
        <v>NP</v>
      </c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421"/>
      <c r="AL195" s="358"/>
      <c r="AM195" s="358"/>
      <c r="AN195" s="358"/>
      <c r="AO195" s="358"/>
      <c r="AP195" s="358"/>
      <c r="AQ195" s="358"/>
      <c r="AR195" s="358"/>
      <c r="AS195" s="358"/>
      <c r="AT195" s="358"/>
      <c r="AU195" s="358"/>
      <c r="AV195" s="358"/>
      <c r="AW195" s="358"/>
      <c r="AX195" s="358"/>
      <c r="AY195" s="358"/>
      <c r="AZ195" s="358"/>
      <c r="BA195" s="358"/>
      <c r="BB195" s="358"/>
      <c r="BC195" s="358"/>
      <c r="BD195" s="358"/>
      <c r="BE195" s="358"/>
      <c r="BF195" s="358"/>
      <c r="BG195" s="358"/>
      <c r="BH195" s="358"/>
      <c r="BI195" s="358"/>
      <c r="BJ195" s="358"/>
      <c r="BK195" s="358"/>
      <c r="BL195" s="358"/>
      <c r="BM195" s="358"/>
      <c r="BN195" s="358"/>
      <c r="BO195" s="358"/>
      <c r="BP195" s="358"/>
      <c r="BQ195" s="358"/>
      <c r="BR195" s="358"/>
      <c r="BS195" s="358"/>
      <c r="BT195" s="358"/>
      <c r="BU195" s="358"/>
      <c r="BV195" s="358"/>
      <c r="BW195" s="358"/>
      <c r="BX195" s="358"/>
      <c r="BY195" s="358"/>
      <c r="BZ195" s="358"/>
      <c r="CA195" s="358"/>
      <c r="CB195" s="358"/>
      <c r="CC195" s="358"/>
      <c r="CD195" s="358"/>
      <c r="CE195" s="358"/>
      <c r="CF195" s="358"/>
      <c r="CG195" s="358"/>
      <c r="CH195" s="358"/>
      <c r="CI195" s="358"/>
      <c r="CJ195" s="358"/>
      <c r="CK195" s="358"/>
      <c r="CL195" s="358"/>
      <c r="CM195" s="358"/>
      <c r="CN195" s="358"/>
      <c r="CO195" s="358"/>
      <c r="CP195" s="358"/>
      <c r="CQ195" s="358"/>
      <c r="CR195" s="358"/>
      <c r="CS195" s="358"/>
      <c r="CT195" s="358"/>
      <c r="CU195" s="358"/>
      <c r="CV195" s="358"/>
      <c r="CW195" s="358"/>
      <c r="CX195" s="358"/>
      <c r="CY195" s="358"/>
      <c r="CZ195" s="358"/>
      <c r="DA195" s="358"/>
      <c r="DB195" s="358"/>
      <c r="DC195" s="358"/>
      <c r="DD195" s="358"/>
      <c r="DE195" s="358"/>
      <c r="DF195" s="358"/>
      <c r="DG195" s="358"/>
      <c r="DH195" s="358"/>
      <c r="DI195" s="358"/>
      <c r="DJ195" s="358"/>
      <c r="DK195" s="358"/>
      <c r="DL195" s="358"/>
      <c r="DM195" s="358"/>
      <c r="DN195" s="358"/>
      <c r="DO195" s="358"/>
      <c r="DP195" s="358"/>
      <c r="DQ195" s="358"/>
      <c r="DR195" s="358"/>
      <c r="DS195" s="358"/>
      <c r="DT195" s="358"/>
      <c r="DU195" s="358"/>
      <c r="DV195" s="358"/>
      <c r="DW195" s="358"/>
      <c r="DX195" s="358"/>
      <c r="DY195" s="358"/>
      <c r="DZ195" s="358"/>
      <c r="EA195" s="358"/>
      <c r="EB195" s="358"/>
      <c r="EC195" s="358"/>
      <c r="ED195" s="358"/>
      <c r="EE195" s="358"/>
      <c r="EF195" s="358"/>
      <c r="EG195" s="358"/>
      <c r="EH195" s="358"/>
      <c r="EI195" s="358"/>
      <c r="EJ195" s="358"/>
      <c r="EK195" s="358"/>
      <c r="EL195" s="358"/>
      <c r="EM195" s="358"/>
      <c r="EN195" s="358"/>
      <c r="EO195" s="358"/>
      <c r="EP195" s="358"/>
      <c r="EQ195" s="358"/>
      <c r="ER195" s="358"/>
      <c r="ES195" s="358"/>
      <c r="ET195" s="358"/>
      <c r="EU195" s="358"/>
      <c r="EV195" s="358"/>
      <c r="EW195" s="358"/>
      <c r="EX195" s="358"/>
      <c r="EY195" s="358"/>
      <c r="EZ195" s="371"/>
    </row>
    <row r="196" spans="1:156" s="251" customFormat="1" ht="12" customHeight="1" x14ac:dyDescent="0.35">
      <c r="A196" s="49"/>
      <c r="B196" s="20"/>
      <c r="C196" s="20"/>
      <c r="D196" s="20"/>
      <c r="E196" s="20"/>
      <c r="F196" s="20"/>
      <c r="G196" s="20"/>
      <c r="H196" s="20"/>
      <c r="I196" s="23"/>
      <c r="J196" s="1948" t="s">
        <v>279</v>
      </c>
      <c r="K196" s="1949"/>
      <c r="L196" s="847">
        <f ca="1">IF(ISNUMBER(BT189),BT189,"")</f>
        <v>0</v>
      </c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421"/>
      <c r="AL196" s="358"/>
      <c r="AM196" s="358"/>
      <c r="AN196" s="358"/>
      <c r="AO196" s="358"/>
      <c r="AP196" s="358"/>
      <c r="AQ196" s="358"/>
      <c r="AR196" s="358"/>
      <c r="AS196" s="358"/>
      <c r="AT196" s="358"/>
      <c r="AU196" s="358"/>
      <c r="AV196" s="358"/>
      <c r="AW196" s="358"/>
      <c r="AX196" s="358"/>
      <c r="AY196" s="358"/>
      <c r="AZ196" s="358"/>
      <c r="BA196" s="358"/>
      <c r="BB196" s="358"/>
      <c r="BC196" s="358"/>
      <c r="BD196" s="358"/>
      <c r="BE196" s="358"/>
      <c r="BF196" s="358"/>
      <c r="BG196" s="358"/>
      <c r="BH196" s="358"/>
      <c r="BI196" s="358"/>
      <c r="BJ196" s="358"/>
      <c r="BK196" s="358"/>
      <c r="BL196" s="358"/>
      <c r="BM196" s="358"/>
      <c r="BN196" s="358"/>
      <c r="BO196" s="358"/>
      <c r="BP196" s="358"/>
      <c r="BQ196" s="358"/>
      <c r="BR196" s="358"/>
      <c r="BS196" s="358"/>
      <c r="BT196" s="358"/>
      <c r="BU196" s="358"/>
      <c r="BV196" s="358"/>
      <c r="BW196" s="358"/>
      <c r="BX196" s="358"/>
      <c r="BY196" s="358"/>
      <c r="BZ196" s="358"/>
      <c r="CA196" s="358"/>
      <c r="CB196" s="358"/>
      <c r="CC196" s="358"/>
      <c r="CD196" s="358"/>
      <c r="CE196" s="358"/>
      <c r="CF196" s="358"/>
      <c r="CG196" s="358"/>
      <c r="CH196" s="358"/>
      <c r="CI196" s="358"/>
      <c r="CJ196" s="358"/>
      <c r="CK196" s="358"/>
      <c r="CL196" s="358"/>
      <c r="CM196" s="358"/>
      <c r="CN196" s="358"/>
      <c r="CO196" s="358"/>
      <c r="CP196" s="358"/>
      <c r="CQ196" s="358"/>
      <c r="CR196" s="358"/>
      <c r="CS196" s="358"/>
      <c r="CT196" s="358"/>
      <c r="CU196" s="358"/>
      <c r="CV196" s="358"/>
      <c r="CW196" s="358"/>
      <c r="CX196" s="358"/>
      <c r="CY196" s="358"/>
      <c r="CZ196" s="358"/>
      <c r="DA196" s="358"/>
      <c r="DB196" s="358"/>
      <c r="DC196" s="358"/>
      <c r="DD196" s="358"/>
      <c r="DE196" s="358"/>
      <c r="DF196" s="358"/>
      <c r="DG196" s="358"/>
      <c r="DH196" s="358"/>
      <c r="DI196" s="358"/>
      <c r="DJ196" s="358"/>
      <c r="DK196" s="358"/>
      <c r="DL196" s="358"/>
      <c r="DM196" s="358"/>
      <c r="DN196" s="358"/>
      <c r="DO196" s="358"/>
      <c r="DP196" s="358"/>
      <c r="DQ196" s="358"/>
      <c r="DR196" s="358"/>
      <c r="DS196" s="358"/>
      <c r="DT196" s="358"/>
      <c r="DU196" s="358"/>
      <c r="DV196" s="358"/>
      <c r="DW196" s="358"/>
      <c r="DX196" s="358"/>
      <c r="DY196" s="358"/>
      <c r="DZ196" s="358"/>
      <c r="EA196" s="358"/>
      <c r="EB196" s="358"/>
      <c r="EC196" s="358"/>
      <c r="ED196" s="358"/>
      <c r="EE196" s="358"/>
      <c r="EF196" s="358"/>
      <c r="EG196" s="358"/>
      <c r="EH196" s="358"/>
      <c r="EI196" s="358"/>
      <c r="EJ196" s="358"/>
      <c r="EK196" s="358"/>
      <c r="EL196" s="358"/>
      <c r="EM196" s="358"/>
      <c r="EN196" s="358"/>
      <c r="EO196" s="358"/>
      <c r="EP196" s="358"/>
      <c r="EQ196" s="358"/>
      <c r="ER196" s="358"/>
      <c r="ES196" s="358"/>
      <c r="ET196" s="358"/>
      <c r="EU196" s="358"/>
      <c r="EV196" s="358"/>
      <c r="EW196" s="358"/>
      <c r="EX196" s="358"/>
      <c r="EY196" s="358"/>
      <c r="EZ196" s="371"/>
    </row>
    <row r="197" spans="1:156" s="251" customFormat="1" ht="12" customHeight="1" x14ac:dyDescent="0.35">
      <c r="A197" s="49"/>
      <c r="B197" s="20"/>
      <c r="C197" s="20"/>
      <c r="D197" s="20"/>
      <c r="E197" s="20"/>
      <c r="F197" s="20"/>
      <c r="G197" s="48"/>
      <c r="H197" s="20"/>
      <c r="I197" s="259"/>
      <c r="J197" s="1950" t="s">
        <v>280</v>
      </c>
      <c r="K197" s="1951"/>
      <c r="L197" s="848" t="str">
        <f ca="1">IF(BV189&lt;&gt;"",BV189,"")</f>
        <v>A-1b</v>
      </c>
      <c r="M197" s="16"/>
      <c r="N197" s="16"/>
      <c r="O197" s="529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421"/>
      <c r="AL197" s="358"/>
      <c r="AM197" s="358"/>
      <c r="AN197" s="358"/>
      <c r="AO197" s="358"/>
      <c r="AP197" s="358"/>
      <c r="AQ197" s="358"/>
      <c r="AR197" s="358"/>
      <c r="AS197" s="358"/>
      <c r="AT197" s="358"/>
      <c r="AU197" s="358"/>
      <c r="AV197" s="358"/>
      <c r="AW197" s="358"/>
      <c r="AX197" s="358"/>
      <c r="AY197" s="358"/>
      <c r="AZ197" s="358"/>
      <c r="BA197" s="358"/>
      <c r="BB197" s="358"/>
      <c r="BC197" s="358"/>
      <c r="BD197" s="358"/>
      <c r="BE197" s="358"/>
      <c r="BF197" s="358"/>
      <c r="BG197" s="358"/>
      <c r="BH197" s="358"/>
      <c r="BI197" s="358"/>
      <c r="BJ197" s="358"/>
      <c r="BK197" s="358"/>
      <c r="BL197" s="358"/>
      <c r="BM197" s="358"/>
      <c r="BN197" s="358"/>
      <c r="BO197" s="358"/>
      <c r="BP197" s="358"/>
      <c r="BQ197" s="358"/>
      <c r="BR197" s="358"/>
      <c r="BS197" s="358"/>
      <c r="BT197" s="358"/>
      <c r="BU197" s="358"/>
      <c r="BV197" s="358"/>
      <c r="BW197" s="358"/>
      <c r="BX197" s="358"/>
      <c r="BY197" s="358"/>
      <c r="BZ197" s="358"/>
      <c r="CA197" s="358"/>
      <c r="CB197" s="358"/>
      <c r="CC197" s="358"/>
      <c r="CD197" s="358"/>
      <c r="CE197" s="358"/>
      <c r="CF197" s="358"/>
      <c r="CG197" s="358"/>
      <c r="CH197" s="358"/>
      <c r="CI197" s="358"/>
      <c r="CJ197" s="358"/>
      <c r="CK197" s="358"/>
      <c r="CL197" s="358"/>
      <c r="CM197" s="358"/>
      <c r="CN197" s="358"/>
      <c r="CO197" s="358"/>
      <c r="CP197" s="358"/>
      <c r="CQ197" s="358"/>
      <c r="CR197" s="358"/>
      <c r="CS197" s="358"/>
      <c r="CT197" s="358"/>
      <c r="CU197" s="358"/>
      <c r="CV197" s="358"/>
      <c r="CW197" s="358"/>
      <c r="CX197" s="358"/>
      <c r="CY197" s="358"/>
      <c r="CZ197" s="358"/>
      <c r="DA197" s="358"/>
      <c r="DB197" s="358"/>
      <c r="DC197" s="358"/>
      <c r="DD197" s="358"/>
      <c r="DE197" s="358"/>
      <c r="DF197" s="358"/>
      <c r="DG197" s="358"/>
      <c r="DH197" s="358"/>
      <c r="DI197" s="358"/>
      <c r="DJ197" s="358"/>
      <c r="DK197" s="358"/>
      <c r="DL197" s="358"/>
      <c r="DM197" s="358"/>
      <c r="DN197" s="358"/>
      <c r="DO197" s="358"/>
      <c r="DP197" s="358"/>
      <c r="DQ197" s="358"/>
      <c r="DR197" s="358"/>
      <c r="DS197" s="358"/>
      <c r="DT197" s="358"/>
      <c r="DU197" s="358"/>
      <c r="DV197" s="358"/>
      <c r="DW197" s="358"/>
      <c r="DX197" s="358"/>
      <c r="DY197" s="358"/>
      <c r="DZ197" s="358"/>
      <c r="EA197" s="358"/>
      <c r="EB197" s="358"/>
      <c r="EC197" s="358"/>
      <c r="ED197" s="358"/>
      <c r="EE197" s="358"/>
      <c r="EF197" s="358"/>
      <c r="EG197" s="358"/>
      <c r="EH197" s="358"/>
      <c r="EI197" s="358"/>
      <c r="EJ197" s="358"/>
      <c r="EK197" s="358"/>
      <c r="EL197" s="358"/>
      <c r="EM197" s="358"/>
      <c r="EN197" s="358"/>
      <c r="EO197" s="358"/>
      <c r="EP197" s="358"/>
      <c r="EQ197" s="358"/>
      <c r="ER197" s="358"/>
      <c r="ES197" s="358"/>
      <c r="ET197" s="358"/>
      <c r="EU197" s="358"/>
      <c r="EV197" s="358"/>
      <c r="EW197" s="358"/>
      <c r="EX197" s="358"/>
      <c r="EY197" s="358"/>
      <c r="EZ197" s="371"/>
    </row>
    <row r="198" spans="1:156" s="251" customFormat="1" ht="12" customHeight="1" x14ac:dyDescent="0.35">
      <c r="A198" s="49"/>
      <c r="B198" s="20"/>
      <c r="C198" s="20"/>
      <c r="D198" s="20"/>
      <c r="E198" s="20"/>
      <c r="F198" s="20"/>
      <c r="G198" s="20"/>
      <c r="H198" s="20"/>
      <c r="I198" s="20"/>
      <c r="J198" s="1952" t="s">
        <v>83</v>
      </c>
      <c r="K198" s="1953"/>
      <c r="L198" s="849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421"/>
      <c r="AL198" s="358"/>
      <c r="AM198" s="358"/>
      <c r="AN198" s="358"/>
      <c r="AO198" s="358"/>
      <c r="AP198" s="358"/>
      <c r="AQ198" s="358"/>
      <c r="AR198" s="358"/>
      <c r="AS198" s="358"/>
      <c r="AT198" s="358"/>
      <c r="AU198" s="358"/>
      <c r="AV198" s="358"/>
      <c r="AW198" s="358"/>
      <c r="AX198" s="358"/>
      <c r="AY198" s="358"/>
      <c r="AZ198" s="358"/>
      <c r="BA198" s="358"/>
      <c r="BB198" s="358"/>
      <c r="BC198" s="358"/>
      <c r="BD198" s="358"/>
      <c r="BE198" s="358"/>
      <c r="BF198" s="358"/>
      <c r="BG198" s="358"/>
      <c r="BH198" s="358"/>
      <c r="BI198" s="358"/>
      <c r="BJ198" s="358"/>
      <c r="BK198" s="358"/>
      <c r="BL198" s="358"/>
      <c r="BM198" s="358"/>
      <c r="BN198" s="358"/>
      <c r="BO198" s="358"/>
      <c r="BP198" s="358"/>
      <c r="BQ198" s="358"/>
      <c r="BR198" s="358"/>
      <c r="BS198" s="358"/>
      <c r="BT198" s="358"/>
      <c r="BU198" s="358"/>
      <c r="BV198" s="358"/>
      <c r="BW198" s="358"/>
      <c r="BX198" s="358"/>
      <c r="BY198" s="358"/>
      <c r="BZ198" s="358"/>
      <c r="CA198" s="358"/>
      <c r="CB198" s="358"/>
      <c r="CC198" s="358"/>
      <c r="CD198" s="358"/>
      <c r="CE198" s="358"/>
      <c r="CF198" s="358"/>
      <c r="CG198" s="358"/>
      <c r="CH198" s="358"/>
      <c r="CI198" s="358"/>
      <c r="CJ198" s="358"/>
      <c r="CK198" s="358"/>
      <c r="CL198" s="358"/>
      <c r="CM198" s="358"/>
      <c r="CN198" s="358"/>
      <c r="CO198" s="358"/>
      <c r="CP198" s="358"/>
      <c r="CQ198" s="358"/>
      <c r="CR198" s="358"/>
      <c r="CS198" s="358"/>
      <c r="CT198" s="358"/>
      <c r="CU198" s="358"/>
      <c r="CV198" s="358"/>
      <c r="CW198" s="358"/>
      <c r="CX198" s="358"/>
      <c r="CY198" s="358"/>
      <c r="CZ198" s="358"/>
      <c r="DA198" s="358"/>
      <c r="DB198" s="358"/>
      <c r="DC198" s="358"/>
      <c r="DD198" s="358"/>
      <c r="DE198" s="358"/>
      <c r="DF198" s="358"/>
      <c r="DG198" s="358"/>
      <c r="DH198" s="358"/>
      <c r="DI198" s="358"/>
      <c r="DJ198" s="358"/>
      <c r="DK198" s="358"/>
      <c r="DL198" s="358"/>
      <c r="DM198" s="358"/>
      <c r="DN198" s="358"/>
      <c r="DO198" s="358"/>
      <c r="DP198" s="358"/>
      <c r="DQ198" s="358"/>
      <c r="DR198" s="358"/>
      <c r="DS198" s="358"/>
      <c r="DT198" s="358"/>
      <c r="DU198" s="358"/>
      <c r="DV198" s="358"/>
      <c r="DW198" s="358"/>
      <c r="DX198" s="358"/>
      <c r="DY198" s="358"/>
      <c r="DZ198" s="358"/>
      <c r="EA198" s="358"/>
      <c r="EB198" s="358"/>
      <c r="EC198" s="358"/>
      <c r="ED198" s="358"/>
      <c r="EE198" s="358"/>
      <c r="EF198" s="358"/>
      <c r="EG198" s="358"/>
      <c r="EH198" s="358"/>
      <c r="EI198" s="358"/>
      <c r="EJ198" s="358"/>
      <c r="EK198" s="358"/>
      <c r="EL198" s="358"/>
      <c r="EM198" s="358"/>
      <c r="EN198" s="358"/>
      <c r="EO198" s="358"/>
      <c r="EP198" s="358"/>
      <c r="EQ198" s="358"/>
      <c r="ER198" s="358"/>
      <c r="ES198" s="358"/>
      <c r="ET198" s="358"/>
      <c r="EU198" s="358"/>
      <c r="EV198" s="358"/>
      <c r="EW198" s="358"/>
      <c r="EX198" s="358"/>
      <c r="EY198" s="358"/>
      <c r="EZ198" s="371"/>
    </row>
    <row r="199" spans="1:156" s="251" customFormat="1" ht="5.15" customHeight="1" x14ac:dyDescent="0.35">
      <c r="A199" s="49"/>
      <c r="B199" s="20"/>
      <c r="C199" s="20"/>
      <c r="D199" s="20"/>
      <c r="E199" s="20"/>
      <c r="F199" s="20"/>
      <c r="G199" s="48"/>
      <c r="H199" s="20"/>
      <c r="I199" s="297"/>
      <c r="J199" s="259"/>
      <c r="K199" s="259"/>
      <c r="L199" s="1262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421"/>
      <c r="AL199" s="358"/>
      <c r="AM199" s="358"/>
      <c r="AN199" s="358"/>
      <c r="AO199" s="358"/>
      <c r="AP199" s="358"/>
      <c r="AQ199" s="358"/>
      <c r="AR199" s="358"/>
      <c r="AS199" s="358"/>
      <c r="AT199" s="358"/>
      <c r="AU199" s="358"/>
      <c r="AV199" s="358"/>
      <c r="AW199" s="358"/>
      <c r="AX199" s="358"/>
      <c r="AY199" s="358"/>
      <c r="AZ199" s="358"/>
      <c r="BA199" s="358"/>
      <c r="BB199" s="358"/>
      <c r="BC199" s="358"/>
      <c r="BD199" s="358"/>
      <c r="BE199" s="358"/>
      <c r="BF199" s="358"/>
      <c r="BG199" s="358"/>
      <c r="BH199" s="358"/>
      <c r="BI199" s="358"/>
      <c r="BJ199" s="358"/>
      <c r="BK199" s="358"/>
      <c r="BL199" s="358"/>
      <c r="BM199" s="358"/>
      <c r="BN199" s="358"/>
      <c r="BO199" s="358"/>
      <c r="BP199" s="358"/>
      <c r="BQ199" s="358"/>
      <c r="BR199" s="358"/>
      <c r="BS199" s="358"/>
      <c r="BT199" s="358"/>
      <c r="BU199" s="358"/>
      <c r="BV199" s="358"/>
      <c r="BW199" s="358"/>
      <c r="BX199" s="358"/>
      <c r="BY199" s="358"/>
      <c r="BZ199" s="358"/>
      <c r="CA199" s="358"/>
      <c r="CB199" s="358"/>
      <c r="CC199" s="358"/>
      <c r="CD199" s="358"/>
      <c r="CE199" s="358"/>
      <c r="CF199" s="358"/>
      <c r="CG199" s="358"/>
      <c r="CH199" s="358"/>
      <c r="CI199" s="358"/>
      <c r="CJ199" s="358"/>
      <c r="CK199" s="358"/>
      <c r="CL199" s="358"/>
      <c r="CM199" s="358"/>
      <c r="CN199" s="358"/>
      <c r="CO199" s="358"/>
      <c r="CP199" s="358"/>
      <c r="CQ199" s="358"/>
      <c r="CR199" s="358"/>
      <c r="CS199" s="358"/>
      <c r="CT199" s="358"/>
      <c r="CU199" s="358"/>
      <c r="CV199" s="358"/>
      <c r="CW199" s="358"/>
      <c r="CX199" s="358"/>
      <c r="CY199" s="358"/>
      <c r="CZ199" s="358"/>
      <c r="DA199" s="358"/>
      <c r="DB199" s="358"/>
      <c r="DC199" s="358"/>
      <c r="DD199" s="358"/>
      <c r="DE199" s="358"/>
      <c r="DF199" s="358"/>
      <c r="DG199" s="358"/>
      <c r="DH199" s="358"/>
      <c r="DI199" s="358"/>
      <c r="DJ199" s="358"/>
      <c r="DK199" s="358"/>
      <c r="DL199" s="358"/>
      <c r="DM199" s="358"/>
      <c r="DN199" s="358"/>
      <c r="DO199" s="358"/>
      <c r="DP199" s="358"/>
      <c r="DQ199" s="358"/>
      <c r="DR199" s="358"/>
      <c r="DS199" s="358"/>
      <c r="DT199" s="358"/>
      <c r="DU199" s="358"/>
      <c r="DV199" s="358"/>
      <c r="DW199" s="358"/>
      <c r="DX199" s="358"/>
      <c r="DY199" s="358"/>
      <c r="DZ199" s="358"/>
      <c r="EA199" s="358"/>
      <c r="EB199" s="358"/>
      <c r="EC199" s="358"/>
      <c r="ED199" s="358"/>
      <c r="EE199" s="358"/>
      <c r="EF199" s="358"/>
      <c r="EG199" s="358"/>
      <c r="EH199" s="358"/>
      <c r="EI199" s="358"/>
      <c r="EJ199" s="358"/>
      <c r="EK199" s="358"/>
      <c r="EL199" s="358"/>
      <c r="EM199" s="358"/>
      <c r="EN199" s="358"/>
      <c r="EO199" s="358"/>
      <c r="EP199" s="358"/>
      <c r="EQ199" s="358"/>
      <c r="ER199" s="358"/>
      <c r="ES199" s="358"/>
      <c r="ET199" s="358"/>
      <c r="EU199" s="358"/>
      <c r="EV199" s="358"/>
      <c r="EW199" s="358"/>
      <c r="EX199" s="358"/>
      <c r="EY199" s="358"/>
      <c r="EZ199" s="371"/>
    </row>
    <row r="200" spans="1:156" s="251" customFormat="1" ht="12" customHeight="1" x14ac:dyDescent="0.3">
      <c r="A200" s="49"/>
      <c r="B200" s="20"/>
      <c r="C200" s="20"/>
      <c r="D200" s="51"/>
      <c r="E200" s="51"/>
      <c r="F200" s="51"/>
      <c r="G200" s="51"/>
      <c r="H200" s="51"/>
      <c r="I200" s="164"/>
      <c r="J200" s="1938" t="s">
        <v>281</v>
      </c>
      <c r="K200" s="1939"/>
      <c r="L200" s="1940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421"/>
      <c r="AL200" s="358"/>
      <c r="AM200" s="358"/>
      <c r="AN200" s="358"/>
      <c r="AO200" s="358"/>
      <c r="AP200" s="358"/>
      <c r="AQ200" s="358"/>
      <c r="AR200" s="358"/>
      <c r="AS200" s="358"/>
      <c r="AT200" s="358"/>
      <c r="AU200" s="358"/>
      <c r="AV200" s="358"/>
      <c r="AW200" s="358"/>
      <c r="AX200" s="358"/>
      <c r="AY200" s="358"/>
      <c r="AZ200" s="358"/>
      <c r="BA200" s="358"/>
      <c r="BB200" s="358"/>
      <c r="BC200" s="358"/>
      <c r="BD200" s="358"/>
      <c r="BE200" s="358"/>
      <c r="BF200" s="358"/>
      <c r="BG200" s="358"/>
      <c r="BH200" s="358"/>
      <c r="BI200" s="358"/>
      <c r="BJ200" s="358"/>
      <c r="BK200" s="358"/>
      <c r="BL200" s="358"/>
      <c r="BM200" s="358"/>
      <c r="BN200" s="358"/>
      <c r="BO200" s="358"/>
      <c r="BP200" s="358"/>
      <c r="BQ200" s="358"/>
      <c r="BR200" s="358"/>
      <c r="BS200" s="358"/>
      <c r="BT200" s="358"/>
      <c r="BU200" s="358"/>
      <c r="BV200" s="358"/>
      <c r="BW200" s="358"/>
      <c r="BX200" s="358"/>
      <c r="BY200" s="358"/>
      <c r="BZ200" s="358"/>
      <c r="CA200" s="358"/>
      <c r="CB200" s="358"/>
      <c r="CC200" s="358"/>
      <c r="CD200" s="358"/>
      <c r="CE200" s="358"/>
      <c r="CF200" s="358"/>
      <c r="CG200" s="358"/>
      <c r="CH200" s="358"/>
      <c r="CI200" s="358"/>
      <c r="CJ200" s="358"/>
      <c r="CK200" s="358"/>
      <c r="CL200" s="358"/>
      <c r="CM200" s="358"/>
      <c r="CN200" s="358"/>
      <c r="CO200" s="358"/>
      <c r="CP200" s="358"/>
      <c r="CQ200" s="358"/>
      <c r="CR200" s="358"/>
      <c r="CS200" s="358"/>
      <c r="CT200" s="358"/>
      <c r="CU200" s="358"/>
      <c r="CV200" s="358"/>
      <c r="CW200" s="358"/>
      <c r="CX200" s="358"/>
      <c r="CY200" s="358"/>
      <c r="CZ200" s="358"/>
      <c r="DA200" s="358"/>
      <c r="DB200" s="358"/>
      <c r="DC200" s="358"/>
      <c r="DD200" s="358"/>
      <c r="DE200" s="358"/>
      <c r="DF200" s="358"/>
      <c r="DG200" s="358"/>
      <c r="DH200" s="358"/>
      <c r="DI200" s="358"/>
      <c r="DJ200" s="358"/>
      <c r="DK200" s="358"/>
      <c r="DL200" s="358"/>
      <c r="DM200" s="358"/>
      <c r="DN200" s="358"/>
      <c r="DO200" s="358"/>
      <c r="DP200" s="358"/>
      <c r="DQ200" s="358"/>
      <c r="DR200" s="358"/>
      <c r="DS200" s="358"/>
      <c r="DT200" s="358"/>
      <c r="DU200" s="358"/>
      <c r="DV200" s="358"/>
      <c r="DW200" s="358"/>
      <c r="DX200" s="358"/>
      <c r="DY200" s="358"/>
      <c r="DZ200" s="358"/>
      <c r="EA200" s="358"/>
      <c r="EB200" s="358"/>
      <c r="EC200" s="358"/>
      <c r="ED200" s="358"/>
      <c r="EE200" s="358"/>
      <c r="EF200" s="358"/>
      <c r="EG200" s="358"/>
      <c r="EH200" s="358"/>
      <c r="EI200" s="358"/>
      <c r="EJ200" s="358"/>
      <c r="EK200" s="358"/>
      <c r="EL200" s="358"/>
      <c r="EM200" s="358"/>
      <c r="EN200" s="358"/>
      <c r="EO200" s="358"/>
      <c r="EP200" s="358"/>
      <c r="EQ200" s="358"/>
      <c r="ER200" s="358"/>
      <c r="ES200" s="358"/>
      <c r="ET200" s="358"/>
      <c r="EU200" s="358"/>
      <c r="EV200" s="358"/>
      <c r="EW200" s="358"/>
      <c r="EX200" s="358"/>
      <c r="EY200" s="358"/>
      <c r="EZ200" s="371"/>
    </row>
    <row r="201" spans="1:156" s="251" customFormat="1" ht="12" customHeight="1" x14ac:dyDescent="0.3">
      <c r="A201" s="49"/>
      <c r="B201" s="46"/>
      <c r="C201" s="46"/>
      <c r="D201" s="46"/>
      <c r="E201" s="47"/>
      <c r="F201" s="20"/>
      <c r="G201" s="20"/>
      <c r="H201" s="20"/>
      <c r="I201" s="164"/>
      <c r="J201" s="1263" t="s">
        <v>282</v>
      </c>
      <c r="K201" s="850">
        <v>1</v>
      </c>
      <c r="L201" s="851">
        <v>2</v>
      </c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421"/>
      <c r="AL201" s="358"/>
      <c r="AM201" s="358"/>
      <c r="AN201" s="358"/>
      <c r="AO201" s="358"/>
      <c r="AP201" s="358"/>
      <c r="AQ201" s="358"/>
      <c r="AR201" s="358"/>
      <c r="AS201" s="358"/>
      <c r="AT201" s="358"/>
      <c r="AU201" s="358"/>
      <c r="AV201" s="358"/>
      <c r="AW201" s="358"/>
      <c r="AX201" s="358"/>
      <c r="AY201" s="358"/>
      <c r="AZ201" s="358"/>
      <c r="BA201" s="358"/>
      <c r="BB201" s="358"/>
      <c r="BC201" s="358"/>
      <c r="BD201" s="358"/>
      <c r="BE201" s="358"/>
      <c r="BF201" s="358"/>
      <c r="BG201" s="358"/>
      <c r="BH201" s="358"/>
      <c r="BI201" s="358"/>
      <c r="BJ201" s="358"/>
      <c r="BK201" s="358"/>
      <c r="BL201" s="358"/>
      <c r="BM201" s="358"/>
      <c r="BN201" s="358"/>
      <c r="BO201" s="358"/>
      <c r="BP201" s="358"/>
      <c r="BQ201" s="358"/>
      <c r="BR201" s="358"/>
      <c r="BS201" s="358"/>
      <c r="BT201" s="358"/>
      <c r="BU201" s="358"/>
      <c r="BV201" s="358"/>
      <c r="BW201" s="358"/>
      <c r="BX201" s="358"/>
      <c r="BY201" s="358"/>
      <c r="BZ201" s="358"/>
      <c r="CA201" s="358"/>
      <c r="CB201" s="358"/>
      <c r="CC201" s="358"/>
      <c r="CD201" s="358"/>
      <c r="CE201" s="358"/>
      <c r="CF201" s="358"/>
      <c r="CG201" s="358"/>
      <c r="CH201" s="358"/>
      <c r="CI201" s="358"/>
      <c r="CJ201" s="358"/>
      <c r="CK201" s="358"/>
      <c r="CL201" s="358"/>
      <c r="CM201" s="358"/>
      <c r="CN201" s="358"/>
      <c r="CO201" s="358"/>
      <c r="CP201" s="358"/>
      <c r="CQ201" s="358"/>
      <c r="CR201" s="358"/>
      <c r="CS201" s="358"/>
      <c r="CT201" s="358"/>
      <c r="CU201" s="358"/>
      <c r="CV201" s="358"/>
      <c r="CW201" s="358"/>
      <c r="CX201" s="358"/>
      <c r="CY201" s="358"/>
      <c r="CZ201" s="358"/>
      <c r="DA201" s="358"/>
      <c r="DB201" s="358"/>
      <c r="DC201" s="358"/>
      <c r="DD201" s="358"/>
      <c r="DE201" s="358"/>
      <c r="DF201" s="358"/>
      <c r="DG201" s="358"/>
      <c r="DH201" s="358"/>
      <c r="DI201" s="358"/>
      <c r="DJ201" s="358"/>
      <c r="DK201" s="358"/>
      <c r="DL201" s="358"/>
      <c r="DM201" s="358"/>
      <c r="DN201" s="358"/>
      <c r="DO201" s="358"/>
      <c r="DP201" s="358"/>
      <c r="DQ201" s="358"/>
      <c r="DR201" s="358"/>
      <c r="DS201" s="358"/>
      <c r="DT201" s="358"/>
      <c r="DU201" s="358"/>
      <c r="DV201" s="358"/>
      <c r="DW201" s="358"/>
      <c r="DX201" s="358"/>
      <c r="DY201" s="358"/>
      <c r="DZ201" s="358"/>
      <c r="EA201" s="358"/>
      <c r="EB201" s="358"/>
      <c r="EC201" s="358"/>
      <c r="ED201" s="358"/>
      <c r="EE201" s="358"/>
      <c r="EF201" s="358"/>
      <c r="EG201" s="358"/>
      <c r="EH201" s="358"/>
      <c r="EI201" s="358"/>
      <c r="EJ201" s="358"/>
      <c r="EK201" s="358"/>
      <c r="EL201" s="358"/>
      <c r="EM201" s="358"/>
      <c r="EN201" s="358"/>
      <c r="EO201" s="358"/>
      <c r="EP201" s="358"/>
      <c r="EQ201" s="358"/>
      <c r="ER201" s="358"/>
      <c r="ES201" s="358"/>
      <c r="ET201" s="358"/>
      <c r="EU201" s="358"/>
      <c r="EV201" s="358"/>
      <c r="EW201" s="358"/>
      <c r="EX201" s="358"/>
      <c r="EY201" s="358"/>
      <c r="EZ201" s="371"/>
    </row>
    <row r="202" spans="1:156" s="251" customFormat="1" ht="12" customHeight="1" x14ac:dyDescent="0.3">
      <c r="A202" s="49"/>
      <c r="B202" s="46"/>
      <c r="C202" s="46"/>
      <c r="D202" s="46"/>
      <c r="E202" s="47"/>
      <c r="F202" s="20"/>
      <c r="G202" s="20"/>
      <c r="H202" s="20"/>
      <c r="I202" s="164"/>
      <c r="J202" s="1263" t="s">
        <v>124</v>
      </c>
      <c r="K202" s="867" t="str">
        <f ca="1">IF(OR($N$2="",$N$2=0),"",IF(INDIRECT(ADDRESS(($AK202),COLUMN()+39,,,"Digitar Dados dos Ensaios"))&lt;&gt;"",INDIRECT(ADDRESS(($AK202),COLUMN()+39,,,"Digitar Dados dos Ensaios")),""))</f>
        <v/>
      </c>
      <c r="L202" s="868" t="str">
        <f ca="1">IF(OR($N$2="",$N$2=0),"",IF(INDIRECT(ADDRESS(($AK202),COLUMN()+41,,,"Digitar Dados dos Ensaios"))&lt;&gt;"",INDIRECT(ADDRESS(($AK202),COLUMN()+41,,,"Digitar Dados dos Ensaios")),""))</f>
        <v/>
      </c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421">
        <f>AK1+6</f>
        <v>10</v>
      </c>
      <c r="AL202" s="358"/>
      <c r="AM202" s="358"/>
      <c r="AN202" s="358"/>
      <c r="AO202" s="358"/>
      <c r="AP202" s="358"/>
      <c r="AQ202" s="358"/>
      <c r="AR202" s="358"/>
      <c r="AS202" s="358"/>
      <c r="AT202" s="358"/>
      <c r="AU202" s="358"/>
      <c r="AV202" s="358"/>
      <c r="AW202" s="358"/>
      <c r="AX202" s="358"/>
      <c r="AY202" s="358"/>
      <c r="AZ202" s="358"/>
      <c r="BA202" s="358"/>
      <c r="BB202" s="358"/>
      <c r="BC202" s="358"/>
      <c r="BD202" s="358"/>
      <c r="BE202" s="358"/>
      <c r="BF202" s="358"/>
      <c r="BG202" s="358"/>
      <c r="BH202" s="358"/>
      <c r="BI202" s="358"/>
      <c r="BJ202" s="358"/>
      <c r="BK202" s="358"/>
      <c r="BL202" s="358"/>
      <c r="BM202" s="358"/>
      <c r="BN202" s="358"/>
      <c r="BO202" s="358"/>
      <c r="BP202" s="358"/>
      <c r="BQ202" s="358"/>
      <c r="BR202" s="358"/>
      <c r="BS202" s="358"/>
      <c r="BT202" s="358"/>
      <c r="BU202" s="358"/>
      <c r="BV202" s="358"/>
      <c r="BW202" s="358"/>
      <c r="BX202" s="358"/>
      <c r="BY202" s="358"/>
      <c r="BZ202" s="358"/>
      <c r="CA202" s="358"/>
      <c r="CB202" s="358"/>
      <c r="CC202" s="358"/>
      <c r="CD202" s="358"/>
      <c r="CE202" s="358"/>
      <c r="CF202" s="358"/>
      <c r="CG202" s="358"/>
      <c r="CH202" s="358"/>
      <c r="CI202" s="358"/>
      <c r="CJ202" s="358"/>
      <c r="CK202" s="358"/>
      <c r="CL202" s="358"/>
      <c r="CM202" s="358"/>
      <c r="CN202" s="358"/>
      <c r="CO202" s="358"/>
      <c r="CP202" s="358"/>
      <c r="CQ202" s="358"/>
      <c r="CR202" s="358"/>
      <c r="CS202" s="358"/>
      <c r="CT202" s="358"/>
      <c r="CU202" s="358"/>
      <c r="CV202" s="358"/>
      <c r="CW202" s="358"/>
      <c r="CX202" s="358"/>
      <c r="CY202" s="358"/>
      <c r="CZ202" s="358"/>
      <c r="DA202" s="358"/>
      <c r="DB202" s="358"/>
      <c r="DC202" s="358"/>
      <c r="DD202" s="358"/>
      <c r="DE202" s="358"/>
      <c r="DF202" s="358"/>
      <c r="DG202" s="358"/>
      <c r="DH202" s="358"/>
      <c r="DI202" s="358"/>
      <c r="DJ202" s="358"/>
      <c r="DK202" s="358"/>
      <c r="DL202" s="358"/>
      <c r="DM202" s="358"/>
      <c r="DN202" s="358"/>
      <c r="DO202" s="358"/>
      <c r="DP202" s="358"/>
      <c r="DQ202" s="358"/>
      <c r="DR202" s="358"/>
      <c r="DS202" s="358"/>
      <c r="DT202" s="358"/>
      <c r="DU202" s="358"/>
      <c r="DV202" s="358"/>
      <c r="DW202" s="358"/>
      <c r="DX202" s="358"/>
      <c r="DY202" s="358"/>
      <c r="DZ202" s="358"/>
      <c r="EA202" s="358"/>
      <c r="EB202" s="358"/>
      <c r="EC202" s="358"/>
      <c r="ED202" s="358"/>
      <c r="EE202" s="358"/>
      <c r="EF202" s="358"/>
      <c r="EG202" s="358"/>
      <c r="EH202" s="358"/>
      <c r="EI202" s="358"/>
      <c r="EJ202" s="358"/>
      <c r="EK202" s="358"/>
      <c r="EL202" s="358"/>
      <c r="EM202" s="358"/>
      <c r="EN202" s="358"/>
      <c r="EO202" s="358"/>
      <c r="EP202" s="358"/>
      <c r="EQ202" s="358"/>
      <c r="ER202" s="358"/>
      <c r="ES202" s="358"/>
      <c r="ET202" s="358"/>
      <c r="EU202" s="358"/>
      <c r="EV202" s="358"/>
      <c r="EW202" s="358"/>
      <c r="EX202" s="358"/>
      <c r="EY202" s="358"/>
      <c r="EZ202" s="371"/>
    </row>
    <row r="203" spans="1:156" s="251" customFormat="1" ht="15" customHeight="1" x14ac:dyDescent="0.3">
      <c r="A203" s="49"/>
      <c r="B203" s="52"/>
      <c r="C203" s="52"/>
      <c r="D203" s="20"/>
      <c r="E203" s="20"/>
      <c r="F203" s="20"/>
      <c r="G203" s="20"/>
      <c r="H203" s="20"/>
      <c r="I203" s="164"/>
      <c r="J203" s="1263" t="s">
        <v>135</v>
      </c>
      <c r="K203" s="867" t="str">
        <f ca="1">IF(OR($N$2="",$N$2=0),"",IF(INDIRECT(ADDRESS(($AK203),COLUMN()+39,,,"Digitar Dados dos Ensaios"))&lt;&gt;"",INDIRECT(ADDRESS(($AK203),COLUMN()+39,,,"Digitar Dados dos Ensaios")),""))</f>
        <v/>
      </c>
      <c r="L203" s="868" t="str">
        <f ca="1">IF(OR($N$2="",$N$2=0),"",IF(INDIRECT(ADDRESS(($AK203),COLUMN()+41,,,"Digitar Dados dos Ensaios"))&lt;&gt;"",INDIRECT(ADDRESS(($AK203),COLUMN()+41,,,"Digitar Dados dos Ensaios")),""))</f>
        <v/>
      </c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421">
        <f>AK1+7</f>
        <v>11</v>
      </c>
      <c r="AL203" s="358"/>
      <c r="AM203" s="358"/>
      <c r="AN203" s="358"/>
      <c r="AO203" s="358"/>
      <c r="AP203" s="358"/>
      <c r="AQ203" s="358"/>
      <c r="AR203" s="358"/>
      <c r="AS203" s="358"/>
      <c r="AT203" s="358"/>
      <c r="AU203" s="358"/>
      <c r="AV203" s="358"/>
      <c r="AW203" s="358"/>
      <c r="AX203" s="358"/>
      <c r="AY203" s="358"/>
      <c r="AZ203" s="358"/>
      <c r="BA203" s="358"/>
      <c r="BB203" s="358"/>
      <c r="BC203" s="358"/>
      <c r="BD203" s="358"/>
      <c r="BE203" s="358"/>
      <c r="BF203" s="358"/>
      <c r="BG203" s="358"/>
      <c r="BH203" s="358"/>
      <c r="BI203" s="358"/>
      <c r="BJ203" s="358"/>
      <c r="BK203" s="358"/>
      <c r="BL203" s="358"/>
      <c r="BM203" s="358"/>
      <c r="BN203" s="358"/>
      <c r="BO203" s="358"/>
      <c r="BP203" s="358"/>
      <c r="BQ203" s="358"/>
      <c r="BR203" s="358"/>
      <c r="BS203" s="358"/>
      <c r="BT203" s="358"/>
      <c r="BU203" s="358"/>
      <c r="BV203" s="358"/>
      <c r="BW203" s="358"/>
      <c r="BX203" s="358"/>
      <c r="BY203" s="358"/>
      <c r="BZ203" s="358"/>
      <c r="CA203" s="358"/>
      <c r="CB203" s="358"/>
      <c r="CC203" s="358"/>
      <c r="CD203" s="358"/>
      <c r="CE203" s="358"/>
      <c r="CF203" s="358"/>
      <c r="CG203" s="358"/>
      <c r="CH203" s="358"/>
      <c r="CI203" s="358"/>
      <c r="CJ203" s="358"/>
      <c r="CK203" s="358"/>
      <c r="CL203" s="358"/>
      <c r="CM203" s="358"/>
      <c r="CN203" s="358"/>
      <c r="CO203" s="358"/>
      <c r="CP203" s="358"/>
      <c r="CQ203" s="358"/>
      <c r="CR203" s="358"/>
      <c r="CS203" s="358"/>
      <c r="CT203" s="358"/>
      <c r="CU203" s="358"/>
      <c r="CV203" s="358"/>
      <c r="CW203" s="358"/>
      <c r="CX203" s="358"/>
      <c r="CY203" s="358"/>
      <c r="CZ203" s="358"/>
      <c r="DA203" s="358"/>
      <c r="DB203" s="358"/>
      <c r="DC203" s="358"/>
      <c r="DD203" s="358"/>
      <c r="DE203" s="358"/>
      <c r="DF203" s="358"/>
      <c r="DG203" s="358"/>
      <c r="DH203" s="358"/>
      <c r="DI203" s="358"/>
      <c r="DJ203" s="358"/>
      <c r="DK203" s="358"/>
      <c r="DL203" s="358"/>
      <c r="DM203" s="358"/>
      <c r="DN203" s="358"/>
      <c r="DO203" s="358"/>
      <c r="DP203" s="358"/>
      <c r="DQ203" s="358"/>
      <c r="DR203" s="358"/>
      <c r="DS203" s="358"/>
      <c r="DT203" s="358"/>
      <c r="DU203" s="358"/>
      <c r="DV203" s="358"/>
      <c r="DW203" s="358"/>
      <c r="DX203" s="358"/>
      <c r="DY203" s="358"/>
      <c r="DZ203" s="358"/>
      <c r="EA203" s="358"/>
      <c r="EB203" s="358"/>
      <c r="EC203" s="358"/>
      <c r="ED203" s="358"/>
      <c r="EE203" s="358"/>
      <c r="EF203" s="358"/>
      <c r="EG203" s="358"/>
      <c r="EH203" s="358"/>
      <c r="EI203" s="358"/>
      <c r="EJ203" s="358"/>
      <c r="EK203" s="358"/>
      <c r="EL203" s="358"/>
      <c r="EM203" s="358"/>
      <c r="EN203" s="358"/>
      <c r="EO203" s="358"/>
      <c r="EP203" s="358"/>
      <c r="EQ203" s="358"/>
      <c r="ER203" s="358"/>
      <c r="ES203" s="358"/>
      <c r="ET203" s="358"/>
      <c r="EU203" s="358"/>
      <c r="EV203" s="358"/>
      <c r="EW203" s="358"/>
      <c r="EX203" s="358"/>
      <c r="EY203" s="358"/>
      <c r="EZ203" s="371"/>
    </row>
    <row r="204" spans="1:156" s="251" customFormat="1" ht="15" customHeight="1" x14ac:dyDescent="0.35">
      <c r="A204" s="49"/>
      <c r="B204" s="20"/>
      <c r="C204" s="20"/>
      <c r="D204" s="20"/>
      <c r="E204" s="20"/>
      <c r="F204" s="20"/>
      <c r="G204" s="20"/>
      <c r="H204" s="20"/>
      <c r="I204" s="43"/>
      <c r="J204" s="1264" t="s">
        <v>283</v>
      </c>
      <c r="K204" s="852" t="str">
        <f ca="1">IF(AND(K202&gt;0,ISNUMBER(K202)),K203/K202,"")</f>
        <v/>
      </c>
      <c r="L204" s="853" t="str">
        <f ca="1">IF(AND(L202&gt;0,ISNUMBER(L202)),L203/L202,"")</f>
        <v/>
      </c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421"/>
      <c r="AL204" s="358"/>
      <c r="AM204" s="358"/>
      <c r="AN204" s="358"/>
      <c r="AO204" s="358"/>
      <c r="AP204" s="358"/>
      <c r="AQ204" s="358"/>
      <c r="AR204" s="358"/>
      <c r="AS204" s="358"/>
      <c r="AT204" s="358"/>
      <c r="AU204" s="358"/>
      <c r="AV204" s="358"/>
      <c r="AW204" s="358"/>
      <c r="AX204" s="358"/>
      <c r="AY204" s="358"/>
      <c r="AZ204" s="358"/>
      <c r="BA204" s="358"/>
      <c r="BB204" s="358"/>
      <c r="BC204" s="358"/>
      <c r="BD204" s="358"/>
      <c r="BE204" s="358"/>
      <c r="BF204" s="358"/>
      <c r="BG204" s="358"/>
      <c r="BH204" s="358"/>
      <c r="BI204" s="358"/>
      <c r="BJ204" s="358"/>
      <c r="BK204" s="358"/>
      <c r="BL204" s="358"/>
      <c r="BM204" s="358"/>
      <c r="BN204" s="358"/>
      <c r="BO204" s="358"/>
      <c r="BP204" s="358"/>
      <c r="BQ204" s="358"/>
      <c r="BR204" s="358"/>
      <c r="BS204" s="358"/>
      <c r="BT204" s="358"/>
      <c r="BU204" s="358"/>
      <c r="BV204" s="358"/>
      <c r="BW204" s="358"/>
      <c r="BX204" s="358"/>
      <c r="BY204" s="358"/>
      <c r="BZ204" s="358"/>
      <c r="CA204" s="358"/>
      <c r="CB204" s="358"/>
      <c r="CC204" s="358"/>
      <c r="CD204" s="358"/>
      <c r="CE204" s="358"/>
      <c r="CF204" s="358"/>
      <c r="CG204" s="358"/>
      <c r="CH204" s="358"/>
      <c r="CI204" s="358"/>
      <c r="CJ204" s="358"/>
      <c r="CK204" s="358"/>
      <c r="CL204" s="358"/>
      <c r="CM204" s="358"/>
      <c r="CN204" s="358"/>
      <c r="CO204" s="358"/>
      <c r="CP204" s="358"/>
      <c r="CQ204" s="358"/>
      <c r="CR204" s="358"/>
      <c r="CS204" s="358"/>
      <c r="CT204" s="358"/>
      <c r="CU204" s="358"/>
      <c r="CV204" s="358"/>
      <c r="CW204" s="358"/>
      <c r="CX204" s="358"/>
      <c r="CY204" s="358"/>
      <c r="CZ204" s="358"/>
      <c r="DA204" s="358"/>
      <c r="DB204" s="358"/>
      <c r="DC204" s="358"/>
      <c r="DD204" s="358"/>
      <c r="DE204" s="358"/>
      <c r="DF204" s="358"/>
      <c r="DG204" s="358"/>
      <c r="DH204" s="358"/>
      <c r="DI204" s="358"/>
      <c r="DJ204" s="358"/>
      <c r="DK204" s="358"/>
      <c r="DL204" s="358"/>
      <c r="DM204" s="358"/>
      <c r="DN204" s="358"/>
      <c r="DO204" s="358"/>
      <c r="DP204" s="358"/>
      <c r="DQ204" s="358"/>
      <c r="DR204" s="358"/>
      <c r="DS204" s="358"/>
      <c r="DT204" s="358"/>
      <c r="DU204" s="358"/>
      <c r="DV204" s="358"/>
      <c r="DW204" s="358"/>
      <c r="DX204" s="358"/>
      <c r="DY204" s="358"/>
      <c r="DZ204" s="358"/>
      <c r="EA204" s="358"/>
      <c r="EB204" s="358"/>
      <c r="EC204" s="358"/>
      <c r="ED204" s="358"/>
      <c r="EE204" s="358"/>
      <c r="EF204" s="358"/>
      <c r="EG204" s="358"/>
      <c r="EH204" s="358"/>
      <c r="EI204" s="358"/>
      <c r="EJ204" s="358"/>
      <c r="EK204" s="358"/>
      <c r="EL204" s="358"/>
      <c r="EM204" s="358"/>
      <c r="EN204" s="358"/>
      <c r="EO204" s="358"/>
      <c r="EP204" s="358"/>
      <c r="EQ204" s="358"/>
      <c r="ER204" s="358"/>
      <c r="ES204" s="358"/>
      <c r="ET204" s="358"/>
      <c r="EU204" s="358"/>
      <c r="EV204" s="358"/>
      <c r="EW204" s="358"/>
      <c r="EX204" s="358"/>
      <c r="EY204" s="358"/>
      <c r="EZ204" s="371"/>
    </row>
    <row r="205" spans="1:156" s="251" customFormat="1" ht="15" customHeight="1" x14ac:dyDescent="0.35">
      <c r="A205" s="49"/>
      <c r="B205" s="20"/>
      <c r="C205" s="20"/>
      <c r="D205" s="20"/>
      <c r="E205" s="20"/>
      <c r="F205" s="20"/>
      <c r="G205" s="20"/>
      <c r="H205" s="20"/>
      <c r="I205" s="43"/>
      <c r="J205" s="854" t="s">
        <v>284</v>
      </c>
      <c r="K205" s="1941" t="str">
        <f ca="1">IF(AND(K204&gt;0,ISNUMBER(K204)),AVERAGE(K204:L204),"")</f>
        <v/>
      </c>
      <c r="L205" s="1942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421"/>
      <c r="AL205" s="358"/>
      <c r="AM205" s="358"/>
      <c r="AN205" s="358"/>
      <c r="AO205" s="358"/>
      <c r="AP205" s="358"/>
      <c r="AQ205" s="358"/>
      <c r="AR205" s="358"/>
      <c r="AS205" s="358"/>
      <c r="AT205" s="358"/>
      <c r="AU205" s="358"/>
      <c r="AV205" s="358"/>
      <c r="AW205" s="358"/>
      <c r="AX205" s="358"/>
      <c r="AY205" s="358"/>
      <c r="AZ205" s="358"/>
      <c r="BA205" s="358"/>
      <c r="BB205" s="358"/>
      <c r="BC205" s="358"/>
      <c r="BD205" s="358"/>
      <c r="BE205" s="358"/>
      <c r="BF205" s="358"/>
      <c r="BG205" s="358"/>
      <c r="BH205" s="358"/>
      <c r="BI205" s="358"/>
      <c r="BJ205" s="358"/>
      <c r="BK205" s="358"/>
      <c r="BL205" s="358"/>
      <c r="BM205" s="358"/>
      <c r="BN205" s="358"/>
      <c r="BO205" s="358"/>
      <c r="BP205" s="358"/>
      <c r="BQ205" s="358"/>
      <c r="BR205" s="358"/>
      <c r="BS205" s="358"/>
      <c r="BT205" s="358"/>
      <c r="BU205" s="358"/>
      <c r="BV205" s="358"/>
      <c r="BW205" s="358"/>
      <c r="BX205" s="358"/>
      <c r="BY205" s="358"/>
      <c r="BZ205" s="358"/>
      <c r="CA205" s="358"/>
      <c r="CB205" s="358"/>
      <c r="CC205" s="358"/>
      <c r="CD205" s="358"/>
      <c r="CE205" s="358"/>
      <c r="CF205" s="358"/>
      <c r="CG205" s="358"/>
      <c r="CH205" s="358"/>
      <c r="CI205" s="358"/>
      <c r="CJ205" s="358"/>
      <c r="CK205" s="358"/>
      <c r="CL205" s="358"/>
      <c r="CM205" s="358"/>
      <c r="CN205" s="358"/>
      <c r="CO205" s="358"/>
      <c r="CP205" s="358"/>
      <c r="CQ205" s="358"/>
      <c r="CR205" s="358"/>
      <c r="CS205" s="358"/>
      <c r="CT205" s="358"/>
      <c r="CU205" s="358"/>
      <c r="CV205" s="358"/>
      <c r="CW205" s="358"/>
      <c r="CX205" s="358"/>
      <c r="CY205" s="358"/>
      <c r="CZ205" s="358"/>
      <c r="DA205" s="358"/>
      <c r="DB205" s="358"/>
      <c r="DC205" s="358"/>
      <c r="DD205" s="358"/>
      <c r="DE205" s="358"/>
      <c r="DF205" s="358"/>
      <c r="DG205" s="358"/>
      <c r="DH205" s="358"/>
      <c r="DI205" s="358"/>
      <c r="DJ205" s="358"/>
      <c r="DK205" s="358"/>
      <c r="DL205" s="358"/>
      <c r="DM205" s="358"/>
      <c r="DN205" s="358"/>
      <c r="DO205" s="358"/>
      <c r="DP205" s="358"/>
      <c r="DQ205" s="358"/>
      <c r="DR205" s="358"/>
      <c r="DS205" s="358"/>
      <c r="DT205" s="358"/>
      <c r="DU205" s="358"/>
      <c r="DV205" s="358"/>
      <c r="DW205" s="358"/>
      <c r="DX205" s="358"/>
      <c r="DY205" s="358"/>
      <c r="DZ205" s="358"/>
      <c r="EA205" s="358"/>
      <c r="EB205" s="358"/>
      <c r="EC205" s="358"/>
      <c r="ED205" s="358"/>
      <c r="EE205" s="358"/>
      <c r="EF205" s="358"/>
      <c r="EG205" s="358"/>
      <c r="EH205" s="358"/>
      <c r="EI205" s="358"/>
      <c r="EJ205" s="358"/>
      <c r="EK205" s="358"/>
      <c r="EL205" s="358"/>
      <c r="EM205" s="358"/>
      <c r="EN205" s="358"/>
      <c r="EO205" s="358"/>
      <c r="EP205" s="358"/>
      <c r="EQ205" s="358"/>
      <c r="ER205" s="358"/>
      <c r="ES205" s="358"/>
      <c r="ET205" s="358"/>
      <c r="EU205" s="358"/>
      <c r="EV205" s="358"/>
      <c r="EW205" s="358"/>
      <c r="EX205" s="358"/>
      <c r="EY205" s="358"/>
      <c r="EZ205" s="371"/>
    </row>
    <row r="206" spans="1:156" s="251" customFormat="1" ht="15" customHeight="1" x14ac:dyDescent="0.3">
      <c r="A206" s="49"/>
      <c r="B206" s="1943"/>
      <c r="C206" s="1943"/>
      <c r="D206" s="1943"/>
      <c r="E206" s="20"/>
      <c r="F206" s="20"/>
      <c r="G206" s="20"/>
      <c r="H206" s="20"/>
      <c r="I206" s="43"/>
      <c r="J206" s="50"/>
      <c r="K206" s="53"/>
      <c r="L206" s="1265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421"/>
      <c r="AL206" s="358"/>
      <c r="AM206" s="358"/>
      <c r="AN206" s="358"/>
      <c r="AO206" s="358"/>
      <c r="AP206" s="358"/>
      <c r="AQ206" s="358"/>
      <c r="AR206" s="358"/>
      <c r="AS206" s="358"/>
      <c r="AT206" s="358"/>
      <c r="AU206" s="358"/>
      <c r="AV206" s="358"/>
      <c r="AW206" s="358"/>
      <c r="AX206" s="358"/>
      <c r="AY206" s="358"/>
      <c r="AZ206" s="358"/>
      <c r="BA206" s="358"/>
      <c r="BB206" s="358"/>
      <c r="BC206" s="358"/>
      <c r="BD206" s="358"/>
      <c r="BE206" s="358"/>
      <c r="BF206" s="358"/>
      <c r="BG206" s="358"/>
      <c r="BH206" s="358"/>
      <c r="BI206" s="358"/>
      <c r="BJ206" s="358"/>
      <c r="BK206" s="358"/>
      <c r="BL206" s="358"/>
      <c r="BM206" s="358"/>
      <c r="BN206" s="358"/>
      <c r="BO206" s="358"/>
      <c r="BP206" s="358"/>
      <c r="BQ206" s="358"/>
      <c r="BR206" s="358"/>
      <c r="BS206" s="358"/>
      <c r="BT206" s="358"/>
      <c r="BU206" s="358"/>
      <c r="BV206" s="358"/>
      <c r="BW206" s="358"/>
      <c r="BX206" s="358"/>
      <c r="BY206" s="358"/>
      <c r="BZ206" s="358"/>
      <c r="CA206" s="358"/>
      <c r="CB206" s="358"/>
      <c r="CC206" s="358"/>
      <c r="CD206" s="358"/>
      <c r="CE206" s="358"/>
      <c r="CF206" s="358"/>
      <c r="CG206" s="358"/>
      <c r="CH206" s="358"/>
      <c r="CI206" s="358"/>
      <c r="CJ206" s="358"/>
      <c r="CK206" s="358"/>
      <c r="CL206" s="358"/>
      <c r="CM206" s="358"/>
      <c r="CN206" s="358"/>
      <c r="CO206" s="358"/>
      <c r="CP206" s="358"/>
      <c r="CQ206" s="358"/>
      <c r="CR206" s="358"/>
      <c r="CS206" s="358"/>
      <c r="CT206" s="358"/>
      <c r="CU206" s="358"/>
      <c r="CV206" s="358"/>
      <c r="CW206" s="358"/>
      <c r="CX206" s="358"/>
      <c r="CY206" s="358"/>
      <c r="CZ206" s="358"/>
      <c r="DA206" s="358"/>
      <c r="DB206" s="358"/>
      <c r="DC206" s="358"/>
      <c r="DD206" s="358"/>
      <c r="DE206" s="358"/>
      <c r="DF206" s="358"/>
      <c r="DG206" s="358"/>
      <c r="DH206" s="358"/>
      <c r="DI206" s="358"/>
      <c r="DJ206" s="358"/>
      <c r="DK206" s="358"/>
      <c r="DL206" s="358"/>
      <c r="DM206" s="358"/>
      <c r="DN206" s="358"/>
      <c r="DO206" s="358"/>
      <c r="DP206" s="358"/>
      <c r="DQ206" s="358"/>
      <c r="DR206" s="358"/>
      <c r="DS206" s="358"/>
      <c r="DT206" s="358"/>
      <c r="DU206" s="358"/>
      <c r="DV206" s="358"/>
      <c r="DW206" s="358"/>
      <c r="DX206" s="358"/>
      <c r="DY206" s="358"/>
      <c r="DZ206" s="358"/>
      <c r="EA206" s="358"/>
      <c r="EB206" s="358"/>
      <c r="EC206" s="358"/>
      <c r="ED206" s="358"/>
      <c r="EE206" s="358"/>
      <c r="EF206" s="358"/>
      <c r="EG206" s="358"/>
      <c r="EH206" s="358"/>
      <c r="EI206" s="358"/>
      <c r="EJ206" s="358"/>
      <c r="EK206" s="358"/>
      <c r="EL206" s="358"/>
      <c r="EM206" s="358"/>
      <c r="EN206" s="358"/>
      <c r="EO206" s="358"/>
      <c r="EP206" s="358"/>
      <c r="EQ206" s="358"/>
      <c r="ER206" s="358"/>
      <c r="ES206" s="358"/>
      <c r="ET206" s="358"/>
      <c r="EU206" s="358"/>
      <c r="EV206" s="358"/>
      <c r="EW206" s="358"/>
      <c r="EX206" s="358"/>
      <c r="EY206" s="358"/>
      <c r="EZ206" s="371"/>
    </row>
    <row r="207" spans="1:156" ht="5.15" customHeight="1" x14ac:dyDescent="0.35">
      <c r="A207" s="49"/>
      <c r="B207" s="20"/>
      <c r="C207" s="20"/>
      <c r="D207" s="20"/>
      <c r="E207" s="20"/>
      <c r="F207" s="20"/>
      <c r="G207" s="20"/>
      <c r="H207" s="20"/>
      <c r="I207" s="43"/>
      <c r="J207" s="20"/>
      <c r="K207" s="53"/>
      <c r="L207" s="1265"/>
      <c r="AK207" s="357"/>
      <c r="AL207" s="358"/>
      <c r="AM207" s="358"/>
      <c r="AN207" s="358"/>
      <c r="AO207" s="358"/>
      <c r="AP207" s="358"/>
      <c r="AQ207" s="358"/>
      <c r="AR207" s="358"/>
      <c r="AS207" s="358"/>
      <c r="AT207" s="358"/>
      <c r="AU207" s="358"/>
      <c r="AV207" s="358"/>
      <c r="AW207" s="358"/>
      <c r="AX207" s="358"/>
      <c r="AY207" s="358"/>
      <c r="AZ207" s="358"/>
      <c r="BA207" s="358"/>
      <c r="BB207" s="358"/>
      <c r="BC207" s="358"/>
      <c r="BD207" s="358"/>
      <c r="BE207" s="358"/>
      <c r="BF207" s="358"/>
      <c r="BG207" s="358"/>
      <c r="BH207" s="358"/>
      <c r="BI207" s="358"/>
      <c r="BJ207" s="358"/>
      <c r="BK207" s="358"/>
      <c r="BL207" s="358"/>
      <c r="BM207" s="358"/>
      <c r="BN207" s="358"/>
      <c r="BO207" s="358"/>
      <c r="BP207" s="358"/>
      <c r="BQ207" s="358"/>
      <c r="BR207" s="358"/>
      <c r="BS207" s="358"/>
      <c r="BT207" s="358"/>
      <c r="BU207" s="358"/>
      <c r="BV207" s="358"/>
      <c r="BW207" s="358"/>
      <c r="BX207" s="358"/>
      <c r="BY207" s="358"/>
      <c r="BZ207" s="358"/>
      <c r="CA207" s="358"/>
      <c r="CB207" s="358"/>
      <c r="CC207" s="358"/>
      <c r="CD207" s="358"/>
      <c r="CE207" s="358"/>
      <c r="CF207" s="358"/>
      <c r="CG207" s="358"/>
      <c r="CH207" s="358"/>
      <c r="CI207" s="358"/>
      <c r="CJ207" s="358"/>
      <c r="CK207" s="358"/>
      <c r="CL207" s="358"/>
      <c r="CM207" s="358"/>
      <c r="CN207" s="358"/>
      <c r="CO207" s="358"/>
      <c r="CP207" s="358"/>
      <c r="CQ207" s="358"/>
      <c r="CR207" s="358"/>
      <c r="CS207" s="358"/>
      <c r="CT207" s="358"/>
      <c r="CU207" s="358"/>
      <c r="CV207" s="358"/>
      <c r="CW207" s="358"/>
      <c r="CX207" s="358"/>
      <c r="CY207" s="358"/>
      <c r="CZ207" s="358"/>
      <c r="DA207" s="358"/>
      <c r="DB207" s="358"/>
      <c r="DC207" s="358"/>
      <c r="DD207" s="358"/>
      <c r="DE207" s="358"/>
      <c r="DF207" s="358"/>
      <c r="DG207" s="358"/>
      <c r="DH207" s="358"/>
      <c r="DI207" s="358"/>
      <c r="DJ207" s="358"/>
      <c r="DK207" s="358"/>
      <c r="DL207" s="358"/>
      <c r="DM207" s="358"/>
      <c r="DN207" s="358"/>
      <c r="DO207" s="358"/>
      <c r="DP207" s="358"/>
      <c r="DQ207" s="358"/>
      <c r="DR207" s="358"/>
      <c r="DS207" s="358"/>
      <c r="DT207" s="358"/>
      <c r="DU207" s="358"/>
      <c r="DV207" s="358"/>
      <c r="DW207" s="358"/>
      <c r="DX207" s="358"/>
      <c r="DY207" s="358"/>
      <c r="DZ207" s="358"/>
      <c r="EA207" s="358"/>
      <c r="EB207" s="358"/>
      <c r="EC207" s="358"/>
      <c r="ED207" s="358"/>
      <c r="EE207" s="358"/>
      <c r="EF207" s="358"/>
      <c r="EG207" s="358"/>
      <c r="EH207" s="358"/>
      <c r="EI207" s="358"/>
      <c r="EJ207" s="358"/>
      <c r="EK207" s="358"/>
      <c r="EL207" s="358"/>
      <c r="EM207" s="358"/>
      <c r="EN207" s="358"/>
      <c r="EO207" s="358"/>
      <c r="EP207" s="358"/>
      <c r="EQ207" s="358"/>
      <c r="ER207" s="358"/>
      <c r="ES207" s="358"/>
      <c r="ET207" s="358"/>
      <c r="EU207" s="358"/>
      <c r="EV207" s="358"/>
      <c r="EW207" s="358"/>
      <c r="EX207" s="358"/>
      <c r="EY207" s="358"/>
      <c r="EZ207" s="371"/>
    </row>
    <row r="208" spans="1:156" ht="12" customHeight="1" x14ac:dyDescent="0.35">
      <c r="A208" s="2"/>
      <c r="B208" s="1803" t="s">
        <v>301</v>
      </c>
      <c r="C208" s="1803"/>
      <c r="D208" s="1803"/>
      <c r="E208" s="284"/>
      <c r="F208" s="285"/>
      <c r="G208" s="285"/>
      <c r="H208" s="285"/>
      <c r="I208" s="1804" t="s">
        <v>296</v>
      </c>
      <c r="J208" s="1804"/>
      <c r="K208" s="1804"/>
      <c r="L208" s="1240"/>
      <c r="AK208" s="357"/>
      <c r="AL208" s="358"/>
      <c r="AM208" s="358"/>
      <c r="AN208" s="358"/>
      <c r="AO208" s="358"/>
      <c r="AP208" s="358"/>
      <c r="AQ208" s="358"/>
      <c r="AR208" s="358"/>
      <c r="AS208" s="358"/>
      <c r="AT208" s="358"/>
      <c r="AU208" s="358"/>
      <c r="AV208" s="358"/>
      <c r="AW208" s="358"/>
      <c r="AX208" s="358"/>
      <c r="AY208" s="358"/>
      <c r="AZ208" s="358"/>
      <c r="BA208" s="358"/>
      <c r="BB208" s="358"/>
      <c r="BC208" s="358"/>
      <c r="BD208" s="358"/>
      <c r="BE208" s="358"/>
      <c r="BF208" s="358"/>
      <c r="BG208" s="358"/>
      <c r="BH208" s="358"/>
      <c r="BI208" s="358"/>
      <c r="BJ208" s="358"/>
      <c r="BK208" s="358"/>
      <c r="BL208" s="358"/>
      <c r="BM208" s="358"/>
      <c r="BN208" s="358"/>
      <c r="BO208" s="358"/>
      <c r="BP208" s="358"/>
      <c r="BQ208" s="358"/>
      <c r="BR208" s="358"/>
      <c r="BS208" s="358"/>
      <c r="BT208" s="358"/>
      <c r="BU208" s="358"/>
      <c r="BV208" s="358"/>
      <c r="BW208" s="358"/>
      <c r="BX208" s="358"/>
      <c r="BY208" s="358"/>
      <c r="BZ208" s="358"/>
      <c r="CA208" s="358"/>
      <c r="CB208" s="358"/>
      <c r="CC208" s="358"/>
      <c r="CD208" s="358"/>
      <c r="CE208" s="358"/>
      <c r="CF208" s="358"/>
      <c r="CG208" s="358"/>
      <c r="CH208" s="358"/>
      <c r="CI208" s="358"/>
      <c r="CJ208" s="358"/>
      <c r="CK208" s="358"/>
      <c r="CL208" s="358"/>
      <c r="CM208" s="358"/>
      <c r="CN208" s="358"/>
      <c r="CO208" s="358"/>
      <c r="CP208" s="358"/>
      <c r="CQ208" s="358"/>
      <c r="CR208" s="358"/>
      <c r="CS208" s="358"/>
      <c r="CT208" s="358"/>
      <c r="CU208" s="358"/>
      <c r="CV208" s="358"/>
      <c r="CW208" s="358"/>
      <c r="CX208" s="358"/>
      <c r="CY208" s="358"/>
      <c r="CZ208" s="358"/>
      <c r="DA208" s="358"/>
      <c r="DB208" s="358"/>
      <c r="DC208" s="358"/>
      <c r="DD208" s="358"/>
      <c r="DE208" s="358"/>
      <c r="DF208" s="358"/>
      <c r="DG208" s="358"/>
      <c r="DH208" s="358"/>
      <c r="DI208" s="358"/>
      <c r="DJ208" s="358"/>
      <c r="DK208" s="358"/>
      <c r="DL208" s="358"/>
      <c r="DM208" s="358"/>
      <c r="DN208" s="358"/>
      <c r="DO208" s="358"/>
      <c r="DP208" s="358"/>
      <c r="DQ208" s="358"/>
      <c r="DR208" s="358"/>
      <c r="DS208" s="358"/>
      <c r="DT208" s="358"/>
      <c r="DU208" s="358"/>
      <c r="DV208" s="358"/>
      <c r="DW208" s="358"/>
      <c r="DX208" s="358"/>
      <c r="DY208" s="358"/>
      <c r="DZ208" s="358"/>
      <c r="EA208" s="358"/>
      <c r="EB208" s="358"/>
      <c r="EC208" s="358"/>
      <c r="ED208" s="358"/>
      <c r="EE208" s="358"/>
      <c r="EF208" s="358"/>
      <c r="EG208" s="358"/>
      <c r="EH208" s="358"/>
      <c r="EI208" s="358"/>
      <c r="EJ208" s="358"/>
      <c r="EK208" s="358"/>
      <c r="EL208" s="358"/>
      <c r="EM208" s="358"/>
      <c r="EN208" s="358"/>
      <c r="EO208" s="358"/>
      <c r="EP208" s="358"/>
      <c r="EQ208" s="358"/>
      <c r="ER208" s="358"/>
      <c r="ES208" s="358"/>
      <c r="ET208" s="358"/>
      <c r="EU208" s="358"/>
      <c r="EV208" s="358"/>
      <c r="EW208" s="358"/>
      <c r="EX208" s="358"/>
      <c r="EY208" s="358"/>
      <c r="EZ208" s="371"/>
    </row>
    <row r="209" spans="1:156" s="36" customFormat="1" ht="15" customHeight="1" x14ac:dyDescent="0.35">
      <c r="A209" s="300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301"/>
      <c r="AK209" s="486"/>
      <c r="AL209" s="483"/>
      <c r="AM209" s="483"/>
      <c r="AN209" s="483"/>
      <c r="AO209" s="483"/>
      <c r="AP209" s="483"/>
      <c r="AQ209" s="483"/>
      <c r="AR209" s="483"/>
      <c r="AS209" s="483"/>
      <c r="AT209" s="483"/>
      <c r="AU209" s="483"/>
      <c r="AV209" s="483"/>
      <c r="AW209" s="483"/>
      <c r="AX209" s="483"/>
      <c r="AY209" s="483"/>
      <c r="AZ209" s="483"/>
      <c r="BA209" s="483"/>
      <c r="BB209" s="483"/>
      <c r="BC209" s="483"/>
      <c r="BD209" s="483"/>
      <c r="BE209" s="483"/>
      <c r="BF209" s="483"/>
      <c r="BG209" s="483"/>
      <c r="BH209" s="483"/>
      <c r="BI209" s="483"/>
      <c r="BJ209" s="483"/>
      <c r="BK209" s="483"/>
      <c r="BL209" s="483"/>
      <c r="BM209" s="483"/>
      <c r="BN209" s="483"/>
      <c r="BO209" s="483"/>
      <c r="BP209" s="483"/>
      <c r="BQ209" s="483"/>
      <c r="BR209" s="483"/>
      <c r="BS209" s="483"/>
      <c r="BT209" s="483"/>
      <c r="BU209" s="483"/>
      <c r="BV209" s="483"/>
      <c r="BW209" s="483"/>
      <c r="BX209" s="483"/>
      <c r="BY209" s="483"/>
      <c r="BZ209" s="483"/>
      <c r="CA209" s="483"/>
      <c r="CB209" s="483"/>
      <c r="CC209" s="483"/>
      <c r="CD209" s="483"/>
      <c r="CE209" s="483"/>
      <c r="CF209" s="483"/>
      <c r="CG209" s="483"/>
      <c r="CH209" s="483"/>
      <c r="CI209" s="483"/>
      <c r="CJ209" s="483"/>
      <c r="CK209" s="483"/>
      <c r="CL209" s="483"/>
      <c r="CM209" s="483"/>
      <c r="CN209" s="483"/>
      <c r="CO209" s="483"/>
      <c r="CP209" s="483"/>
      <c r="CQ209" s="483"/>
      <c r="CR209" s="483"/>
      <c r="CS209" s="483"/>
      <c r="CT209" s="483"/>
      <c r="CU209" s="483"/>
      <c r="CV209" s="483"/>
      <c r="CW209" s="483"/>
      <c r="CX209" s="483"/>
      <c r="CY209" s="483"/>
      <c r="CZ209" s="483"/>
      <c r="DA209" s="483"/>
      <c r="DB209" s="483"/>
      <c r="DC209" s="483"/>
      <c r="DD209" s="483"/>
      <c r="DE209" s="483"/>
      <c r="DF209" s="483"/>
      <c r="DG209" s="483"/>
      <c r="DH209" s="483"/>
      <c r="DI209" s="483"/>
      <c r="DJ209" s="483"/>
      <c r="DK209" s="483"/>
      <c r="DL209" s="483"/>
      <c r="DM209" s="483"/>
      <c r="DN209" s="483"/>
      <c r="DO209" s="483"/>
      <c r="DP209" s="483"/>
      <c r="DQ209" s="483"/>
      <c r="DR209" s="483"/>
      <c r="DS209" s="483"/>
      <c r="DT209" s="483"/>
      <c r="DU209" s="483"/>
      <c r="DV209" s="483"/>
      <c r="DW209" s="483"/>
      <c r="DX209" s="483"/>
      <c r="DY209" s="483"/>
      <c r="DZ209" s="483"/>
      <c r="EA209" s="483"/>
      <c r="EB209" s="483"/>
      <c r="EC209" s="483"/>
      <c r="ED209" s="483"/>
      <c r="EE209" s="483"/>
      <c r="EF209" s="483"/>
      <c r="EG209" s="483"/>
      <c r="EH209" s="483"/>
      <c r="EI209" s="483"/>
      <c r="EJ209" s="483"/>
      <c r="EK209" s="483"/>
      <c r="EL209" s="483"/>
      <c r="EM209" s="483"/>
      <c r="EN209" s="483"/>
      <c r="EO209" s="483"/>
      <c r="EP209" s="483"/>
      <c r="EQ209" s="483"/>
      <c r="ER209" s="483"/>
      <c r="ES209" s="483"/>
      <c r="ET209" s="483"/>
      <c r="EU209" s="483"/>
      <c r="EV209" s="483"/>
      <c r="EW209" s="483"/>
      <c r="EX209" s="483"/>
      <c r="EY209" s="483"/>
      <c r="EZ209" s="484"/>
    </row>
    <row r="210" spans="1:156" ht="14.15" hidden="1" customHeight="1" x14ac:dyDescent="0.35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</row>
    <row r="211" spans="1:156" ht="14.15" customHeight="1" x14ac:dyDescent="0.35">
      <c r="A211" s="355"/>
      <c r="B211" s="355"/>
      <c r="C211" s="355"/>
      <c r="D211" s="355"/>
      <c r="E211" s="355"/>
      <c r="F211" s="355"/>
      <c r="G211" s="355"/>
      <c r="H211" s="355"/>
      <c r="I211" s="355"/>
      <c r="J211" s="355"/>
      <c r="K211" s="355"/>
      <c r="L211" s="355"/>
    </row>
    <row r="212" spans="1:156" ht="12" customHeight="1" x14ac:dyDescent="0.35">
      <c r="A212" s="2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</row>
    <row r="213" spans="1:156" ht="12" customHeight="1" x14ac:dyDescent="0.35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</row>
    <row r="214" spans="1:156" ht="12" customHeight="1" x14ac:dyDescent="0.35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</row>
    <row r="215" spans="1:156" ht="12" customHeight="1" x14ac:dyDescent="0.35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>
        <f>IF(F215+I215&gt;H215,H215,F215+I215)</f>
        <v>0</v>
      </c>
      <c r="L215" s="298"/>
    </row>
    <row r="216" spans="1:156" ht="12" customHeight="1" x14ac:dyDescent="0.35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</row>
    <row r="217" spans="1:156" ht="12" customHeight="1" x14ac:dyDescent="0.35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</row>
    <row r="218" spans="1:156" ht="12" customHeight="1" x14ac:dyDescent="0.35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</row>
    <row r="219" spans="1:156" ht="12" customHeight="1" x14ac:dyDescent="0.35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</row>
    <row r="220" spans="1:156" ht="12" customHeight="1" x14ac:dyDescent="0.35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</row>
    <row r="221" spans="1:156" ht="14.15" customHeight="1" x14ac:dyDescent="0.35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</row>
    <row r="222" spans="1:156" ht="12" customHeight="1" x14ac:dyDescent="0.35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</row>
    <row r="223" spans="1:156" s="251" customFormat="1" ht="12" customHeight="1" x14ac:dyDescent="0.35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EZ223" s="296"/>
    </row>
    <row r="224" spans="1:156" s="251" customFormat="1" ht="12" customHeight="1" x14ac:dyDescent="0.35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EZ224" s="296"/>
    </row>
    <row r="225" spans="1:156" s="251" customFormat="1" ht="12" customHeight="1" x14ac:dyDescent="0.35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EZ225" s="296"/>
    </row>
    <row r="226" spans="1:156" s="251" customFormat="1" ht="12" customHeight="1" x14ac:dyDescent="0.35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EZ226" s="296"/>
    </row>
    <row r="227" spans="1:156" s="251" customFormat="1" ht="12" customHeight="1" x14ac:dyDescent="0.35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EZ227" s="296"/>
    </row>
    <row r="228" spans="1:156" s="251" customFormat="1" ht="12" customHeight="1" x14ac:dyDescent="0.35">
      <c r="A228" s="298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EZ228" s="296"/>
    </row>
    <row r="229" spans="1:156" s="251" customFormat="1" ht="12" customHeight="1" x14ac:dyDescent="0.35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EZ229" s="296"/>
    </row>
    <row r="230" spans="1:156" s="251" customFormat="1" ht="12" customHeight="1" x14ac:dyDescent="0.35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EZ230" s="296"/>
    </row>
    <row r="231" spans="1:156" s="251" customFormat="1" ht="12" customHeight="1" x14ac:dyDescent="0.35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EZ231" s="296"/>
    </row>
    <row r="232" spans="1:156" s="251" customFormat="1" ht="12" customHeight="1" x14ac:dyDescent="0.35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EZ232" s="296"/>
    </row>
    <row r="233" spans="1:156" s="251" customFormat="1" ht="12" customHeight="1" x14ac:dyDescent="0.35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EZ233" s="296"/>
    </row>
    <row r="234" spans="1:156" s="251" customFormat="1" ht="12" customHeight="1" x14ac:dyDescent="0.35">
      <c r="A234" s="298"/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EZ234" s="296"/>
    </row>
    <row r="235" spans="1:156" s="251" customFormat="1" ht="12" customHeight="1" x14ac:dyDescent="0.35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EZ235" s="296"/>
    </row>
    <row r="236" spans="1:156" s="251" customFormat="1" ht="12" customHeight="1" x14ac:dyDescent="0.35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EZ236" s="296"/>
    </row>
    <row r="237" spans="1:156" s="251" customFormat="1" ht="12" customHeight="1" x14ac:dyDescent="0.35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EZ237" s="296"/>
    </row>
    <row r="238" spans="1:156" s="251" customFormat="1" ht="12" customHeight="1" x14ac:dyDescent="0.35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EZ238" s="296"/>
    </row>
    <row r="239" spans="1:156" ht="12" customHeight="1" x14ac:dyDescent="0.35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</row>
    <row r="240" spans="1:156" ht="12" customHeight="1" x14ac:dyDescent="0.35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</row>
    <row r="241" spans="1:156" ht="5.15" customHeight="1" x14ac:dyDescent="0.35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</row>
    <row r="242" spans="1:156" s="42" customFormat="1" ht="15" customHeight="1" x14ac:dyDescent="0.35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AK242" s="356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  <c r="AZ242" s="251"/>
      <c r="BA242" s="251"/>
      <c r="BB242" s="251"/>
      <c r="BC242" s="251"/>
      <c r="BD242" s="251"/>
      <c r="BE242" s="251"/>
      <c r="BF242" s="251"/>
      <c r="BG242" s="251"/>
      <c r="BH242" s="251"/>
      <c r="BI242" s="251"/>
      <c r="BJ242" s="251"/>
      <c r="BK242" s="251"/>
      <c r="BL242" s="251"/>
      <c r="BM242" s="251"/>
      <c r="BN242" s="251"/>
      <c r="BO242" s="251"/>
      <c r="BP242" s="251"/>
      <c r="BQ242" s="251"/>
      <c r="BR242" s="251"/>
      <c r="BS242" s="251"/>
      <c r="BT242" s="251"/>
      <c r="BU242" s="251"/>
      <c r="BV242" s="251"/>
      <c r="BW242" s="251"/>
      <c r="BX242" s="251"/>
      <c r="BY242" s="251"/>
      <c r="BZ242" s="251"/>
      <c r="CA242" s="251"/>
      <c r="CB242" s="251"/>
      <c r="CC242" s="251"/>
      <c r="CD242" s="251"/>
      <c r="CE242" s="251"/>
      <c r="CF242" s="251"/>
      <c r="CG242" s="251"/>
      <c r="CH242" s="251"/>
      <c r="CI242" s="251"/>
      <c r="CJ242" s="251"/>
      <c r="CK242" s="251"/>
      <c r="CL242" s="251"/>
      <c r="CM242" s="251"/>
      <c r="CN242" s="251"/>
      <c r="CO242" s="251"/>
      <c r="CP242" s="251"/>
      <c r="CQ242" s="251"/>
      <c r="CR242" s="251"/>
      <c r="CS242" s="251"/>
      <c r="CT242" s="251"/>
      <c r="CU242" s="251"/>
      <c r="CV242" s="251"/>
      <c r="CW242" s="251"/>
      <c r="CX242" s="251"/>
      <c r="CY242" s="251"/>
      <c r="CZ242" s="251"/>
      <c r="DA242" s="251"/>
      <c r="DB242" s="251"/>
      <c r="DC242" s="251"/>
      <c r="DD242" s="251"/>
      <c r="DE242" s="251"/>
      <c r="DF242" s="251"/>
      <c r="DG242" s="251"/>
      <c r="DH242" s="251"/>
      <c r="DI242" s="251"/>
      <c r="DJ242" s="251"/>
      <c r="DK242" s="251"/>
      <c r="DL242" s="251"/>
      <c r="DM242" s="251"/>
      <c r="DN242" s="251"/>
      <c r="DO242" s="251"/>
      <c r="DP242" s="251"/>
      <c r="DQ242" s="251"/>
      <c r="DR242" s="251"/>
      <c r="DS242" s="251"/>
      <c r="DT242" s="251"/>
      <c r="DU242" s="251"/>
      <c r="DV242" s="251"/>
      <c r="DW242" s="251"/>
      <c r="DX242" s="251"/>
      <c r="DY242" s="251"/>
      <c r="DZ242" s="251"/>
      <c r="EA242" s="251"/>
      <c r="EB242" s="251"/>
      <c r="EC242" s="251"/>
      <c r="ED242" s="251"/>
      <c r="EE242" s="251"/>
      <c r="EF242" s="251"/>
      <c r="EG242" s="251"/>
      <c r="EH242" s="251"/>
      <c r="EI242" s="251"/>
      <c r="EJ242" s="251"/>
      <c r="EK242" s="251"/>
      <c r="EL242" s="251"/>
      <c r="EM242" s="251"/>
      <c r="EN242" s="251"/>
      <c r="EO242" s="251"/>
      <c r="EP242" s="251"/>
      <c r="EQ242" s="251"/>
      <c r="ER242" s="251"/>
      <c r="ES242" s="251"/>
      <c r="ET242" s="251"/>
      <c r="EU242" s="251"/>
      <c r="EV242" s="251"/>
      <c r="EW242" s="251"/>
      <c r="EX242" s="251"/>
      <c r="EY242" s="251"/>
      <c r="EZ242" s="296"/>
    </row>
    <row r="243" spans="1:156" ht="12" customHeight="1" x14ac:dyDescent="0.35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</row>
    <row r="244" spans="1:156" ht="12" customHeight="1" x14ac:dyDescent="0.35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</row>
    <row r="245" spans="1:156" ht="12" customHeight="1" x14ac:dyDescent="0.35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</row>
    <row r="246" spans="1:156" ht="12" customHeight="1" x14ac:dyDescent="0.35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</row>
    <row r="247" spans="1:156" ht="12" customHeight="1" x14ac:dyDescent="0.35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</row>
    <row r="248" spans="1:156" ht="12" customHeight="1" x14ac:dyDescent="0.35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</row>
    <row r="249" spans="1:156" ht="12" customHeight="1" x14ac:dyDescent="0.35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</row>
    <row r="250" spans="1:156" ht="12" customHeight="1" x14ac:dyDescent="0.35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</row>
    <row r="251" spans="1:156" ht="12" customHeight="1" x14ac:dyDescent="0.35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</row>
    <row r="252" spans="1:156" s="3" customFormat="1" ht="12" customHeight="1" x14ac:dyDescent="0.35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AK252" s="356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  <c r="AZ252" s="251"/>
      <c r="BA252" s="251"/>
      <c r="BB252" s="251"/>
      <c r="BC252" s="251"/>
      <c r="BD252" s="251"/>
      <c r="BE252" s="251"/>
      <c r="BF252" s="251"/>
      <c r="BG252" s="251"/>
      <c r="BH252" s="251"/>
      <c r="BI252" s="251"/>
      <c r="BJ252" s="251"/>
      <c r="BK252" s="251"/>
      <c r="BL252" s="251"/>
      <c r="BM252" s="251"/>
      <c r="BN252" s="251"/>
      <c r="BO252" s="251"/>
      <c r="BP252" s="251"/>
      <c r="BQ252" s="251"/>
      <c r="BR252" s="251"/>
      <c r="BS252" s="251"/>
      <c r="BT252" s="251"/>
      <c r="BU252" s="251"/>
      <c r="BV252" s="251"/>
      <c r="BW252" s="251"/>
      <c r="BX252" s="251"/>
      <c r="BY252" s="251"/>
      <c r="BZ252" s="251"/>
      <c r="CA252" s="251"/>
      <c r="CB252" s="251"/>
      <c r="CC252" s="251"/>
      <c r="CD252" s="251"/>
      <c r="CE252" s="251"/>
      <c r="CF252" s="251"/>
      <c r="CG252" s="251"/>
      <c r="CH252" s="251"/>
      <c r="CI252" s="251"/>
      <c r="CJ252" s="251"/>
      <c r="CK252" s="251"/>
      <c r="CL252" s="251"/>
      <c r="CM252" s="251"/>
      <c r="CN252" s="251"/>
      <c r="CO252" s="251"/>
      <c r="CP252" s="251"/>
      <c r="CQ252" s="251"/>
      <c r="CR252" s="251"/>
      <c r="CS252" s="251"/>
      <c r="CT252" s="251"/>
      <c r="CU252" s="251"/>
      <c r="CV252" s="251"/>
      <c r="CW252" s="251"/>
      <c r="CX252" s="251"/>
      <c r="CY252" s="251"/>
      <c r="CZ252" s="251"/>
      <c r="DA252" s="251"/>
      <c r="DB252" s="251"/>
      <c r="DC252" s="251"/>
      <c r="DD252" s="251"/>
      <c r="DE252" s="251"/>
      <c r="DF252" s="251"/>
      <c r="DG252" s="251"/>
      <c r="DH252" s="251"/>
      <c r="DI252" s="251"/>
      <c r="DJ252" s="251"/>
      <c r="DK252" s="251"/>
      <c r="DL252" s="251"/>
      <c r="DM252" s="251"/>
      <c r="DN252" s="251"/>
      <c r="DO252" s="251"/>
      <c r="DP252" s="251"/>
      <c r="DQ252" s="251"/>
      <c r="DR252" s="251"/>
      <c r="DS252" s="251"/>
      <c r="DT252" s="251"/>
      <c r="DU252" s="251"/>
      <c r="DV252" s="251"/>
      <c r="DW252" s="251"/>
      <c r="DX252" s="251"/>
      <c r="DY252" s="251"/>
      <c r="DZ252" s="251"/>
      <c r="EA252" s="251"/>
      <c r="EB252" s="251"/>
      <c r="EC252" s="251"/>
      <c r="ED252" s="251"/>
      <c r="EE252" s="251"/>
      <c r="EF252" s="251"/>
      <c r="EG252" s="251"/>
      <c r="EH252" s="251"/>
      <c r="EI252" s="251"/>
      <c r="EJ252" s="251"/>
      <c r="EK252" s="251"/>
      <c r="EL252" s="251"/>
      <c r="EM252" s="251"/>
      <c r="EN252" s="251"/>
      <c r="EO252" s="251"/>
      <c r="EP252" s="251"/>
      <c r="EQ252" s="251"/>
      <c r="ER252" s="251"/>
      <c r="ES252" s="251"/>
      <c r="ET252" s="251"/>
      <c r="EU252" s="251"/>
      <c r="EV252" s="251"/>
      <c r="EW252" s="251"/>
      <c r="EX252" s="251"/>
      <c r="EY252" s="251"/>
      <c r="EZ252" s="296"/>
    </row>
    <row r="253" spans="1:156" ht="12" customHeight="1" x14ac:dyDescent="0.35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</row>
    <row r="254" spans="1:156" ht="12" customHeight="1" x14ac:dyDescent="0.35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</row>
    <row r="255" spans="1:156" s="20" customFormat="1" ht="12" customHeight="1" x14ac:dyDescent="0.35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AK255" s="356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  <c r="AZ255" s="251"/>
      <c r="BA255" s="251"/>
      <c r="BB255" s="251"/>
      <c r="BC255" s="251"/>
      <c r="BD255" s="251"/>
      <c r="BE255" s="251"/>
      <c r="BF255" s="251"/>
      <c r="BG255" s="251"/>
      <c r="BH255" s="251"/>
      <c r="BI255" s="251"/>
      <c r="BJ255" s="251"/>
      <c r="BK255" s="251"/>
      <c r="BL255" s="251"/>
      <c r="BM255" s="251"/>
      <c r="BN255" s="251"/>
      <c r="BO255" s="251"/>
      <c r="BP255" s="251"/>
      <c r="BQ255" s="251"/>
      <c r="BR255" s="251"/>
      <c r="BS255" s="251"/>
      <c r="BT255" s="251"/>
      <c r="BU255" s="251"/>
      <c r="BV255" s="251"/>
      <c r="BW255" s="251"/>
      <c r="BX255" s="251"/>
      <c r="BY255" s="251"/>
      <c r="BZ255" s="251"/>
      <c r="CA255" s="251"/>
      <c r="CB255" s="251"/>
      <c r="CC255" s="251"/>
      <c r="CD255" s="251"/>
      <c r="CE255" s="251"/>
      <c r="CF255" s="251"/>
      <c r="CG255" s="251"/>
      <c r="CH255" s="251"/>
      <c r="CI255" s="251"/>
      <c r="CJ255" s="251"/>
      <c r="CK255" s="251"/>
      <c r="CL255" s="251"/>
      <c r="CM255" s="251"/>
      <c r="CN255" s="251"/>
      <c r="CO255" s="251"/>
      <c r="CP255" s="251"/>
      <c r="CQ255" s="251"/>
      <c r="CR255" s="251"/>
      <c r="CS255" s="251"/>
      <c r="CT255" s="251"/>
      <c r="CU255" s="251"/>
      <c r="CV255" s="251"/>
      <c r="CW255" s="251"/>
      <c r="CX255" s="251"/>
      <c r="CY255" s="251"/>
      <c r="CZ255" s="251"/>
      <c r="DA255" s="251"/>
      <c r="DB255" s="251"/>
      <c r="DC255" s="251"/>
      <c r="DD255" s="251"/>
      <c r="DE255" s="251"/>
      <c r="DF255" s="251"/>
      <c r="DG255" s="251"/>
      <c r="DH255" s="251"/>
      <c r="DI255" s="251"/>
      <c r="DJ255" s="251"/>
      <c r="DK255" s="251"/>
      <c r="DL255" s="251"/>
      <c r="DM255" s="251"/>
      <c r="DN255" s="251"/>
      <c r="DO255" s="251"/>
      <c r="DP255" s="251"/>
      <c r="DQ255" s="251"/>
      <c r="DR255" s="251"/>
      <c r="DS255" s="251"/>
      <c r="DT255" s="251"/>
      <c r="DU255" s="251"/>
      <c r="DV255" s="251"/>
      <c r="DW255" s="251"/>
      <c r="DX255" s="251"/>
      <c r="DY255" s="251"/>
      <c r="DZ255" s="251"/>
      <c r="EA255" s="251"/>
      <c r="EB255" s="251"/>
      <c r="EC255" s="251"/>
      <c r="ED255" s="251"/>
      <c r="EE255" s="251"/>
      <c r="EF255" s="251"/>
      <c r="EG255" s="251"/>
      <c r="EH255" s="251"/>
      <c r="EI255" s="251"/>
      <c r="EJ255" s="251"/>
      <c r="EK255" s="251"/>
      <c r="EL255" s="251"/>
      <c r="EM255" s="251"/>
      <c r="EN255" s="251"/>
      <c r="EO255" s="251"/>
      <c r="EP255" s="251"/>
      <c r="EQ255" s="251"/>
      <c r="ER255" s="251"/>
      <c r="ES255" s="251"/>
      <c r="ET255" s="251"/>
      <c r="EU255" s="251"/>
      <c r="EV255" s="251"/>
      <c r="EW255" s="251"/>
      <c r="EX255" s="251"/>
      <c r="EY255" s="251"/>
      <c r="EZ255" s="296"/>
    </row>
    <row r="256" spans="1:156" ht="12" customHeight="1" x14ac:dyDescent="0.35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</row>
    <row r="257" spans="1:156" ht="12" customHeight="1" x14ac:dyDescent="0.35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</row>
    <row r="258" spans="1:156" s="20" customFormat="1" ht="12" customHeight="1" x14ac:dyDescent="0.35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AK258" s="356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  <c r="AZ258" s="251"/>
      <c r="BA258" s="251"/>
      <c r="BB258" s="251"/>
      <c r="BC258" s="251"/>
      <c r="BD258" s="251"/>
      <c r="BE258" s="251"/>
      <c r="BF258" s="251"/>
      <c r="BG258" s="251"/>
      <c r="BH258" s="251"/>
      <c r="BI258" s="251"/>
      <c r="BJ258" s="251"/>
      <c r="BK258" s="251"/>
      <c r="BL258" s="251"/>
      <c r="BM258" s="251"/>
      <c r="BN258" s="251"/>
      <c r="BO258" s="251"/>
      <c r="BP258" s="251"/>
      <c r="BQ258" s="251"/>
      <c r="BR258" s="251"/>
      <c r="BS258" s="251"/>
      <c r="BT258" s="251"/>
      <c r="BU258" s="251"/>
      <c r="BV258" s="251"/>
      <c r="BW258" s="251"/>
      <c r="BX258" s="251"/>
      <c r="BY258" s="251"/>
      <c r="BZ258" s="251"/>
      <c r="CA258" s="251"/>
      <c r="CB258" s="251"/>
      <c r="CC258" s="251"/>
      <c r="CD258" s="251"/>
      <c r="CE258" s="251"/>
      <c r="CF258" s="251"/>
      <c r="CG258" s="251"/>
      <c r="CH258" s="251"/>
      <c r="CI258" s="251"/>
      <c r="CJ258" s="251"/>
      <c r="CK258" s="251"/>
      <c r="CL258" s="251"/>
      <c r="CM258" s="251"/>
      <c r="CN258" s="251"/>
      <c r="CO258" s="251"/>
      <c r="CP258" s="251"/>
      <c r="CQ258" s="251"/>
      <c r="CR258" s="251"/>
      <c r="CS258" s="251"/>
      <c r="CT258" s="251"/>
      <c r="CU258" s="251"/>
      <c r="CV258" s="251"/>
      <c r="CW258" s="251"/>
      <c r="CX258" s="251"/>
      <c r="CY258" s="251"/>
      <c r="CZ258" s="251"/>
      <c r="DA258" s="251"/>
      <c r="DB258" s="251"/>
      <c r="DC258" s="251"/>
      <c r="DD258" s="251"/>
      <c r="DE258" s="251"/>
      <c r="DF258" s="251"/>
      <c r="DG258" s="251"/>
      <c r="DH258" s="251"/>
      <c r="DI258" s="251"/>
      <c r="DJ258" s="251"/>
      <c r="DK258" s="251"/>
      <c r="DL258" s="251"/>
      <c r="DM258" s="251"/>
      <c r="DN258" s="251"/>
      <c r="DO258" s="251"/>
      <c r="DP258" s="251"/>
      <c r="DQ258" s="251"/>
      <c r="DR258" s="251"/>
      <c r="DS258" s="251"/>
      <c r="DT258" s="251"/>
      <c r="DU258" s="251"/>
      <c r="DV258" s="251"/>
      <c r="DW258" s="251"/>
      <c r="DX258" s="251"/>
      <c r="DY258" s="251"/>
      <c r="DZ258" s="251"/>
      <c r="EA258" s="251"/>
      <c r="EB258" s="251"/>
      <c r="EC258" s="251"/>
      <c r="ED258" s="251"/>
      <c r="EE258" s="251"/>
      <c r="EF258" s="251"/>
      <c r="EG258" s="251"/>
      <c r="EH258" s="251"/>
      <c r="EI258" s="251"/>
      <c r="EJ258" s="251"/>
      <c r="EK258" s="251"/>
      <c r="EL258" s="251"/>
      <c r="EM258" s="251"/>
      <c r="EN258" s="251"/>
      <c r="EO258" s="251"/>
      <c r="EP258" s="251"/>
      <c r="EQ258" s="251"/>
      <c r="ER258" s="251"/>
      <c r="ES258" s="251"/>
      <c r="ET258" s="251"/>
      <c r="EU258" s="251"/>
      <c r="EV258" s="251"/>
      <c r="EW258" s="251"/>
      <c r="EX258" s="251"/>
      <c r="EY258" s="251"/>
      <c r="EZ258" s="296"/>
    </row>
    <row r="259" spans="1:156" ht="12" customHeight="1" x14ac:dyDescent="0.35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</row>
    <row r="260" spans="1:156" ht="12" customHeight="1" x14ac:dyDescent="0.35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</row>
    <row r="261" spans="1:156" ht="12" customHeight="1" x14ac:dyDescent="0.35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</row>
    <row r="262" spans="1:156" ht="12" customHeight="1" x14ac:dyDescent="0.35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</row>
    <row r="263" spans="1:156" ht="12" customHeight="1" x14ac:dyDescent="0.35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</row>
    <row r="264" spans="1:156" ht="12" customHeight="1" x14ac:dyDescent="0.35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</row>
    <row r="265" spans="1:156" ht="12" customHeight="1" x14ac:dyDescent="0.35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</row>
    <row r="266" spans="1:156" ht="12" customHeight="1" x14ac:dyDescent="0.35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</row>
    <row r="267" spans="1:156" ht="12" customHeight="1" x14ac:dyDescent="0.35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</row>
    <row r="268" spans="1:156" ht="12" customHeight="1" x14ac:dyDescent="0.35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</row>
    <row r="269" spans="1:156" ht="12" customHeight="1" x14ac:dyDescent="0.35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</row>
    <row r="270" spans="1:156" ht="12" customHeight="1" x14ac:dyDescent="0.35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</row>
    <row r="271" spans="1:156" s="251" customFormat="1" ht="12" customHeight="1" x14ac:dyDescent="0.35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EZ271" s="296"/>
    </row>
    <row r="272" spans="1:156" s="251" customFormat="1" ht="12" customHeight="1" x14ac:dyDescent="0.35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EZ272" s="296"/>
    </row>
    <row r="273" spans="1:156" s="251" customFormat="1" ht="12" customHeight="1" x14ac:dyDescent="0.35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EZ273" s="296"/>
    </row>
    <row r="274" spans="1:156" s="251" customFormat="1" ht="12" customHeight="1" x14ac:dyDescent="0.35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EZ274" s="296"/>
    </row>
    <row r="275" spans="1:156" s="251" customFormat="1" ht="12" customHeight="1" x14ac:dyDescent="0.35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EZ275" s="296"/>
    </row>
    <row r="276" spans="1:156" s="251" customFormat="1" ht="12" customHeight="1" x14ac:dyDescent="0.35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EZ276" s="296"/>
    </row>
    <row r="277" spans="1:156" s="251" customFormat="1" ht="12" customHeight="1" x14ac:dyDescent="0.35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EZ277" s="296"/>
    </row>
    <row r="278" spans="1:156" s="251" customFormat="1" ht="12" customHeight="1" x14ac:dyDescent="0.35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EZ278" s="296"/>
    </row>
    <row r="279" spans="1:156" s="251" customFormat="1" ht="12" customHeight="1" x14ac:dyDescent="0.35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EZ279" s="296"/>
    </row>
    <row r="280" spans="1:156" s="251" customFormat="1" ht="12" customHeight="1" x14ac:dyDescent="0.35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EZ280" s="296"/>
    </row>
    <row r="281" spans="1:156" s="251" customFormat="1" ht="12" customHeight="1" x14ac:dyDescent="0.35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EZ281" s="296"/>
    </row>
    <row r="282" spans="1:156" s="251" customFormat="1" ht="12" customHeight="1" x14ac:dyDescent="0.35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EZ282" s="296"/>
    </row>
    <row r="283" spans="1:156" s="251" customFormat="1" ht="12" customHeight="1" x14ac:dyDescent="0.35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EZ283" s="296"/>
    </row>
    <row r="284" spans="1:156" s="251" customFormat="1" ht="12" customHeight="1" x14ac:dyDescent="0.35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EZ284" s="296"/>
    </row>
    <row r="285" spans="1:156" s="251" customFormat="1" ht="12" customHeight="1" x14ac:dyDescent="0.35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EZ285" s="296"/>
    </row>
    <row r="286" spans="1:156" s="251" customFormat="1" ht="12" customHeight="1" x14ac:dyDescent="0.35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EZ286" s="296"/>
    </row>
    <row r="287" spans="1:156" s="251" customFormat="1" ht="12" customHeight="1" x14ac:dyDescent="0.35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EZ287" s="296"/>
    </row>
    <row r="288" spans="1:156" s="251" customFormat="1" ht="12" customHeight="1" x14ac:dyDescent="0.35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EZ288" s="296"/>
    </row>
    <row r="289" spans="1:156" s="251" customFormat="1" ht="12" customHeight="1" x14ac:dyDescent="0.35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EZ289" s="296"/>
    </row>
    <row r="290" spans="1:156" s="251" customFormat="1" ht="12" customHeight="1" x14ac:dyDescent="0.35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EZ290" s="296"/>
    </row>
    <row r="291" spans="1:156" s="251" customFormat="1" ht="12" customHeight="1" x14ac:dyDescent="0.35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EZ291" s="296"/>
    </row>
    <row r="292" spans="1:156" s="251" customFormat="1" ht="12" customHeight="1" x14ac:dyDescent="0.35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EZ292" s="296"/>
    </row>
    <row r="293" spans="1:156" s="251" customFormat="1" ht="12" customHeight="1" x14ac:dyDescent="0.35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EZ293" s="296"/>
    </row>
    <row r="294" spans="1:156" s="251" customFormat="1" ht="12" customHeight="1" x14ac:dyDescent="0.35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EZ294" s="296"/>
    </row>
    <row r="295" spans="1:156" s="251" customFormat="1" ht="12" customHeight="1" x14ac:dyDescent="0.35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EZ295" s="296"/>
    </row>
    <row r="296" spans="1:156" s="251" customFormat="1" ht="12" customHeight="1" x14ac:dyDescent="0.35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EZ296" s="296"/>
    </row>
    <row r="297" spans="1:156" s="251" customFormat="1" ht="12" customHeight="1" x14ac:dyDescent="0.35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EZ297" s="296"/>
    </row>
    <row r="298" spans="1:156" s="251" customFormat="1" ht="12" customHeight="1" x14ac:dyDescent="0.35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EZ298" s="296"/>
    </row>
    <row r="299" spans="1:156" s="251" customFormat="1" ht="12" customHeight="1" x14ac:dyDescent="0.35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EZ299" s="296"/>
    </row>
    <row r="300" spans="1:156" s="251" customFormat="1" ht="12" customHeight="1" x14ac:dyDescent="0.35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EZ300" s="296"/>
    </row>
    <row r="301" spans="1:156" s="251" customFormat="1" ht="12" customHeight="1" x14ac:dyDescent="0.35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EZ301" s="296"/>
    </row>
    <row r="302" spans="1:156" s="251" customFormat="1" ht="12" customHeight="1" x14ac:dyDescent="0.35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EZ302" s="296"/>
    </row>
    <row r="303" spans="1:156" s="251" customFormat="1" ht="12" customHeight="1" x14ac:dyDescent="0.35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EZ303" s="296"/>
    </row>
    <row r="304" spans="1:156" s="251" customFormat="1" ht="12" customHeight="1" x14ac:dyDescent="0.35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EZ304" s="296"/>
    </row>
    <row r="305" spans="1:156" s="251" customFormat="1" ht="12" customHeight="1" x14ac:dyDescent="0.35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EZ305" s="296"/>
    </row>
    <row r="306" spans="1:156" s="251" customFormat="1" ht="12" customHeight="1" x14ac:dyDescent="0.35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EZ306" s="296"/>
    </row>
    <row r="307" spans="1:156" s="251" customFormat="1" ht="12" customHeight="1" x14ac:dyDescent="0.35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EZ307" s="296"/>
    </row>
    <row r="308" spans="1:156" s="251" customFormat="1" ht="12" customHeight="1" x14ac:dyDescent="0.35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EZ308" s="296"/>
    </row>
    <row r="309" spans="1:156" s="251" customFormat="1" ht="12" customHeight="1" x14ac:dyDescent="0.35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EZ309" s="296"/>
    </row>
    <row r="310" spans="1:156" s="251" customFormat="1" ht="12" customHeight="1" x14ac:dyDescent="0.35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EZ310" s="296"/>
    </row>
    <row r="311" spans="1:156" s="251" customFormat="1" ht="12" customHeight="1" x14ac:dyDescent="0.35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EZ311" s="296"/>
    </row>
    <row r="312" spans="1:156" s="251" customFormat="1" ht="12" customHeight="1" x14ac:dyDescent="0.35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EZ312" s="296"/>
    </row>
    <row r="313" spans="1:156" s="251" customFormat="1" ht="12" customHeight="1" x14ac:dyDescent="0.35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EZ313" s="296"/>
    </row>
    <row r="314" spans="1:156" s="251" customFormat="1" ht="12" customHeight="1" x14ac:dyDescent="0.35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EZ314" s="296"/>
    </row>
    <row r="315" spans="1:156" s="251" customFormat="1" ht="12" customHeight="1" x14ac:dyDescent="0.35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EZ315" s="296"/>
    </row>
    <row r="316" spans="1:156" s="251" customFormat="1" ht="12" customHeight="1" x14ac:dyDescent="0.35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EZ316" s="296"/>
    </row>
    <row r="317" spans="1:156" s="251" customFormat="1" ht="12" customHeight="1" x14ac:dyDescent="0.35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EZ317" s="296"/>
    </row>
    <row r="318" spans="1:156" s="251" customFormat="1" ht="12" customHeight="1" x14ac:dyDescent="0.35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EZ318" s="296"/>
    </row>
    <row r="319" spans="1:156" s="251" customFormat="1" ht="12" customHeight="1" x14ac:dyDescent="0.35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EZ319" s="296"/>
    </row>
    <row r="320" spans="1:156" s="251" customFormat="1" ht="12" customHeight="1" x14ac:dyDescent="0.35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EZ320" s="296"/>
    </row>
    <row r="321" spans="1:156" s="251" customFormat="1" ht="12" customHeight="1" x14ac:dyDescent="0.35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EZ321" s="296"/>
    </row>
    <row r="322" spans="1:156" s="251" customFormat="1" ht="12" customHeight="1" x14ac:dyDescent="0.35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EZ322" s="296"/>
    </row>
    <row r="323" spans="1:156" s="251" customFormat="1" ht="12" customHeight="1" x14ac:dyDescent="0.35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EZ323" s="296"/>
    </row>
    <row r="324" spans="1:156" s="251" customFormat="1" ht="12" customHeight="1" x14ac:dyDescent="0.35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EZ324" s="296"/>
    </row>
    <row r="325" spans="1:156" s="251" customFormat="1" ht="12" customHeight="1" x14ac:dyDescent="0.35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EZ325" s="296"/>
    </row>
    <row r="326" spans="1:156" s="251" customFormat="1" ht="12" customHeight="1" x14ac:dyDescent="0.35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EZ326" s="296"/>
    </row>
    <row r="327" spans="1:156" s="251" customFormat="1" ht="12" customHeight="1" x14ac:dyDescent="0.35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EZ327" s="296"/>
    </row>
    <row r="328" spans="1:156" s="251" customFormat="1" ht="12" customHeight="1" x14ac:dyDescent="0.35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EZ328" s="296"/>
    </row>
    <row r="329" spans="1:156" s="251" customFormat="1" ht="12" customHeight="1" x14ac:dyDescent="0.35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EZ329" s="296"/>
    </row>
    <row r="330" spans="1:156" s="251" customFormat="1" ht="12" customHeight="1" x14ac:dyDescent="0.35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EZ330" s="296"/>
    </row>
    <row r="331" spans="1:156" s="251" customFormat="1" ht="12" customHeight="1" x14ac:dyDescent="0.35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EZ331" s="296"/>
    </row>
    <row r="332" spans="1:156" s="251" customFormat="1" ht="12" customHeight="1" x14ac:dyDescent="0.35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EZ332" s="296"/>
    </row>
    <row r="333" spans="1:156" s="251" customFormat="1" ht="12" customHeight="1" x14ac:dyDescent="0.35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EZ333" s="296"/>
    </row>
    <row r="334" spans="1:156" s="251" customFormat="1" ht="12" customHeight="1" x14ac:dyDescent="0.35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EZ334" s="296"/>
    </row>
    <row r="335" spans="1:156" s="251" customFormat="1" ht="12" customHeight="1" x14ac:dyDescent="0.35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EZ335" s="296"/>
    </row>
    <row r="336" spans="1:156" s="251" customFormat="1" ht="12" customHeight="1" x14ac:dyDescent="0.35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EZ336" s="296"/>
    </row>
    <row r="337" spans="1:156" s="251" customFormat="1" ht="12" customHeight="1" x14ac:dyDescent="0.35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EZ337" s="296"/>
    </row>
    <row r="338" spans="1:156" s="251" customFormat="1" ht="12" customHeight="1" x14ac:dyDescent="0.35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EZ338" s="296"/>
    </row>
    <row r="339" spans="1:156" s="251" customFormat="1" ht="12" customHeight="1" x14ac:dyDescent="0.35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EZ339" s="296"/>
    </row>
    <row r="340" spans="1:156" s="251" customFormat="1" ht="12" customHeight="1" x14ac:dyDescent="0.35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EZ340" s="296"/>
    </row>
    <row r="341" spans="1:156" s="251" customFormat="1" ht="12" customHeight="1" x14ac:dyDescent="0.35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EZ341" s="296"/>
    </row>
    <row r="342" spans="1:156" s="251" customFormat="1" ht="12" customHeight="1" x14ac:dyDescent="0.35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EZ342" s="296"/>
    </row>
    <row r="343" spans="1:156" s="251" customFormat="1" ht="12" customHeight="1" x14ac:dyDescent="0.35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EZ343" s="296"/>
    </row>
    <row r="344" spans="1:156" s="251" customFormat="1" ht="12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EZ344" s="296"/>
    </row>
    <row r="345" spans="1:156" s="251" customFormat="1" ht="12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EZ345" s="296"/>
    </row>
    <row r="346" spans="1:156" s="251" customFormat="1" ht="12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EZ346" s="296"/>
    </row>
    <row r="347" spans="1:156" s="251" customFormat="1" ht="12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EZ347" s="296"/>
    </row>
    <row r="348" spans="1:156" s="251" customFormat="1" ht="12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EZ348" s="296"/>
    </row>
    <row r="349" spans="1:156" s="251" customFormat="1" ht="12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EZ349" s="296"/>
    </row>
    <row r="350" spans="1:156" s="251" customFormat="1" ht="12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EZ350" s="296"/>
    </row>
    <row r="351" spans="1:156" s="251" customFormat="1" ht="12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EZ351" s="296"/>
    </row>
    <row r="352" spans="1:156" s="251" customFormat="1" ht="12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EZ352" s="296"/>
    </row>
    <row r="353" spans="1:156" s="251" customFormat="1" ht="12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EZ353" s="296"/>
    </row>
  </sheetData>
  <mergeCells count="237">
    <mergeCell ref="J200:L200"/>
    <mergeCell ref="K205:L205"/>
    <mergeCell ref="B206:D206"/>
    <mergeCell ref="B208:D208"/>
    <mergeCell ref="I208:K208"/>
    <mergeCell ref="J193:K193"/>
    <mergeCell ref="J194:K194"/>
    <mergeCell ref="J195:K195"/>
    <mergeCell ref="J196:K196"/>
    <mergeCell ref="J197:K197"/>
    <mergeCell ref="J198:K198"/>
    <mergeCell ref="BT188:BU188"/>
    <mergeCell ref="A189:B189"/>
    <mergeCell ref="BT189:BU189"/>
    <mergeCell ref="BV189:BW189"/>
    <mergeCell ref="A190:B190"/>
    <mergeCell ref="A191:B191"/>
    <mergeCell ref="H191:J191"/>
    <mergeCell ref="K191:L191"/>
    <mergeCell ref="A185:B185"/>
    <mergeCell ref="BQ185:BQ187"/>
    <mergeCell ref="A186:B186"/>
    <mergeCell ref="A187:B187"/>
    <mergeCell ref="AW187:AW188"/>
    <mergeCell ref="AZ187:BA187"/>
    <mergeCell ref="A188:B188"/>
    <mergeCell ref="A181:K181"/>
    <mergeCell ref="A182:J182"/>
    <mergeCell ref="A183:B183"/>
    <mergeCell ref="C183:G183"/>
    <mergeCell ref="H183:L183"/>
    <mergeCell ref="AW183:AW184"/>
    <mergeCell ref="A184:B184"/>
    <mergeCell ref="A164:C164"/>
    <mergeCell ref="A165:C165"/>
    <mergeCell ref="A166:C166"/>
    <mergeCell ref="A167:C167"/>
    <mergeCell ref="A168:F168"/>
    <mergeCell ref="G168:L180"/>
    <mergeCell ref="A169:F169"/>
    <mergeCell ref="A161:D162"/>
    <mergeCell ref="E161:J161"/>
    <mergeCell ref="E162:F162"/>
    <mergeCell ref="H162:I162"/>
    <mergeCell ref="A163:C163"/>
    <mergeCell ref="E163:F163"/>
    <mergeCell ref="G163:H163"/>
    <mergeCell ref="I163:J163"/>
    <mergeCell ref="K161:L161"/>
    <mergeCell ref="K162:L163"/>
    <mergeCell ref="A158:B158"/>
    <mergeCell ref="I158:J158"/>
    <mergeCell ref="K158:L158"/>
    <mergeCell ref="A159:B160"/>
    <mergeCell ref="C159:D160"/>
    <mergeCell ref="I159:J159"/>
    <mergeCell ref="I160:J160"/>
    <mergeCell ref="A156:B156"/>
    <mergeCell ref="I156:J156"/>
    <mergeCell ref="K156:L156"/>
    <mergeCell ref="A157:B157"/>
    <mergeCell ref="I157:J157"/>
    <mergeCell ref="K157:L157"/>
    <mergeCell ref="A154:B154"/>
    <mergeCell ref="I154:J154"/>
    <mergeCell ref="K154:L154"/>
    <mergeCell ref="A155:B155"/>
    <mergeCell ref="I155:J155"/>
    <mergeCell ref="K155:L155"/>
    <mergeCell ref="I151:J152"/>
    <mergeCell ref="K151:L151"/>
    <mergeCell ref="A152:B152"/>
    <mergeCell ref="G152:H152"/>
    <mergeCell ref="K152:L152"/>
    <mergeCell ref="A153:B153"/>
    <mergeCell ref="I153:J153"/>
    <mergeCell ref="K153:L153"/>
    <mergeCell ref="A147:B147"/>
    <mergeCell ref="E147:F147"/>
    <mergeCell ref="H147:L147"/>
    <mergeCell ref="A148:L148"/>
    <mergeCell ref="A149:J149"/>
    <mergeCell ref="A150:D151"/>
    <mergeCell ref="E150:J150"/>
    <mergeCell ref="K150:L150"/>
    <mergeCell ref="E151:F152"/>
    <mergeCell ref="G151:H151"/>
    <mergeCell ref="B141:D141"/>
    <mergeCell ref="I141:K141"/>
    <mergeCell ref="A142:C143"/>
    <mergeCell ref="D142:K145"/>
    <mergeCell ref="A144:C144"/>
    <mergeCell ref="A145:C145"/>
    <mergeCell ref="B140:D140"/>
    <mergeCell ref="E128:E129"/>
    <mergeCell ref="B129:C129"/>
    <mergeCell ref="A130:A131"/>
    <mergeCell ref="B130:B131"/>
    <mergeCell ref="C130:C131"/>
    <mergeCell ref="D130:D131"/>
    <mergeCell ref="E130:E131"/>
    <mergeCell ref="A111:A112"/>
    <mergeCell ref="B111:B112"/>
    <mergeCell ref="C111:C112"/>
    <mergeCell ref="D111:D112"/>
    <mergeCell ref="E111:E112"/>
    <mergeCell ref="A122:B122"/>
    <mergeCell ref="C122:D122"/>
    <mergeCell ref="E122:E127"/>
    <mergeCell ref="A124:A129"/>
    <mergeCell ref="B128:C128"/>
    <mergeCell ref="A103:B103"/>
    <mergeCell ref="C103:D103"/>
    <mergeCell ref="E103:E108"/>
    <mergeCell ref="A105:A110"/>
    <mergeCell ref="B109:C109"/>
    <mergeCell ref="E109:E110"/>
    <mergeCell ref="B110:C110"/>
    <mergeCell ref="A92:A93"/>
    <mergeCell ref="B92:B93"/>
    <mergeCell ref="C92:C93"/>
    <mergeCell ref="D92:D93"/>
    <mergeCell ref="E92:E93"/>
    <mergeCell ref="BA96:BB96"/>
    <mergeCell ref="A83:L83"/>
    <mergeCell ref="A84:B84"/>
    <mergeCell ref="C84:D84"/>
    <mergeCell ref="E84:E89"/>
    <mergeCell ref="A86:A91"/>
    <mergeCell ref="BA88:BB88"/>
    <mergeCell ref="B90:C90"/>
    <mergeCell ref="E90:E91"/>
    <mergeCell ref="B91:C91"/>
    <mergeCell ref="A80:B80"/>
    <mergeCell ref="K80:L80"/>
    <mergeCell ref="A81:B81"/>
    <mergeCell ref="K81:L81"/>
    <mergeCell ref="A82:B82"/>
    <mergeCell ref="D82:E82"/>
    <mergeCell ref="A75:B75"/>
    <mergeCell ref="K75:L75"/>
    <mergeCell ref="K76:L76"/>
    <mergeCell ref="K77:L77"/>
    <mergeCell ref="K78:L78"/>
    <mergeCell ref="A79:B79"/>
    <mergeCell ref="K79:L79"/>
    <mergeCell ref="K70:L70"/>
    <mergeCell ref="A72:B72"/>
    <mergeCell ref="E72:F72"/>
    <mergeCell ref="H72:L72"/>
    <mergeCell ref="A73:L73"/>
    <mergeCell ref="A74:E74"/>
    <mergeCell ref="G74:L74"/>
    <mergeCell ref="I32:J32"/>
    <mergeCell ref="K32:L32"/>
    <mergeCell ref="B64:D64"/>
    <mergeCell ref="B65:D65"/>
    <mergeCell ref="I65:K65"/>
    <mergeCell ref="A67:C68"/>
    <mergeCell ref="D67:J70"/>
    <mergeCell ref="A69:C69"/>
    <mergeCell ref="K69:L69"/>
    <mergeCell ref="A70:C70"/>
    <mergeCell ref="A29:B29"/>
    <mergeCell ref="I29:J29"/>
    <mergeCell ref="M29:N29"/>
    <mergeCell ref="A30:D31"/>
    <mergeCell ref="E30:H30"/>
    <mergeCell ref="I30:J30"/>
    <mergeCell ref="K30:L30"/>
    <mergeCell ref="I31:J31"/>
    <mergeCell ref="K31:L31"/>
    <mergeCell ref="A27:B27"/>
    <mergeCell ref="I27:J27"/>
    <mergeCell ref="M27:N27"/>
    <mergeCell ref="A28:B28"/>
    <mergeCell ref="I28:J28"/>
    <mergeCell ref="M28:N28"/>
    <mergeCell ref="A25:B25"/>
    <mergeCell ref="I25:J25"/>
    <mergeCell ref="K25:L25"/>
    <mergeCell ref="M25:N25"/>
    <mergeCell ref="A26:B26"/>
    <mergeCell ref="I26:J26"/>
    <mergeCell ref="M26:N26"/>
    <mergeCell ref="M22:N22"/>
    <mergeCell ref="A23:B23"/>
    <mergeCell ref="I23:J23"/>
    <mergeCell ref="K23:L23"/>
    <mergeCell ref="M23:N23"/>
    <mergeCell ref="A24:B24"/>
    <mergeCell ref="I24:J24"/>
    <mergeCell ref="K24:L24"/>
    <mergeCell ref="M24:N24"/>
    <mergeCell ref="K21:L21"/>
    <mergeCell ref="A22:B22"/>
    <mergeCell ref="I22:J22"/>
    <mergeCell ref="K22:L22"/>
    <mergeCell ref="A19:B19"/>
    <mergeCell ref="I19:J19"/>
    <mergeCell ref="K19:L19"/>
    <mergeCell ref="A20:B20"/>
    <mergeCell ref="I20:J20"/>
    <mergeCell ref="K20:L20"/>
    <mergeCell ref="I18:J18"/>
    <mergeCell ref="A13:B13"/>
    <mergeCell ref="I13:J13"/>
    <mergeCell ref="A14:B14"/>
    <mergeCell ref="I14:J14"/>
    <mergeCell ref="A15:B15"/>
    <mergeCell ref="I15:J15"/>
    <mergeCell ref="A21:B21"/>
    <mergeCell ref="I21:J21"/>
    <mergeCell ref="A11:B11"/>
    <mergeCell ref="I11:J11"/>
    <mergeCell ref="M19:N19"/>
    <mergeCell ref="A1:C2"/>
    <mergeCell ref="D1:J4"/>
    <mergeCell ref="A3:C3"/>
    <mergeCell ref="K3:L3"/>
    <mergeCell ref="A4:C4"/>
    <mergeCell ref="K4:L4"/>
    <mergeCell ref="M11:N11"/>
    <mergeCell ref="A12:B12"/>
    <mergeCell ref="I12:J12"/>
    <mergeCell ref="E6:F6"/>
    <mergeCell ref="H6:L6"/>
    <mergeCell ref="B7:C7"/>
    <mergeCell ref="H7:L7"/>
    <mergeCell ref="B6:C6"/>
    <mergeCell ref="B8:L8"/>
    <mergeCell ref="B9:L9"/>
    <mergeCell ref="A16:B16"/>
    <mergeCell ref="I16:J16"/>
    <mergeCell ref="A17:B17"/>
    <mergeCell ref="I17:J17"/>
    <mergeCell ref="A18:B18"/>
  </mergeCells>
  <conditionalFormatting sqref="B171:F177">
    <cfRule type="containsText" dxfId="5" priority="1" operator="containsText" text="FALSO">
      <formula>NOT(ISERROR(SEARCH("FALSO",B171)))</formula>
    </cfRule>
  </conditionalFormatting>
  <conditionalFormatting sqref="D19:J19">
    <cfRule type="expression" dxfId="4" priority="2">
      <formula>$AS$1</formula>
    </cfRule>
  </conditionalFormatting>
  <conditionalFormatting sqref="H190:L190">
    <cfRule type="cellIs" dxfId="3" priority="4" operator="lessThan">
      <formula>$AS$187</formula>
    </cfRule>
    <cfRule type="cellIs" dxfId="2" priority="5" operator="greaterThan">
      <formula>$AS$188</formula>
    </cfRule>
  </conditionalFormatting>
  <conditionalFormatting sqref="I17:J17 D18:J18">
    <cfRule type="expression" dxfId="1" priority="3">
      <formula>$AS$2</formula>
    </cfRule>
  </conditionalFormatting>
  <printOptions horizontalCentered="1" verticalCentered="1"/>
  <pageMargins left="0" right="0" top="0.39370078740157483" bottom="0.19685039370078741" header="0" footer="0"/>
  <pageSetup paperSize="9" scale="95" orientation="portrait" r:id="rId1"/>
  <rowBreaks count="2" manualBreakCount="2">
    <brk id="65" max="11" man="1"/>
    <brk id="141" max="11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Spinner 1">
              <controlPr defaultSize="0" autoPict="0">
                <anchor moveWithCells="1" sizeWithCells="1">
                  <from>
                    <xdr:col>14</xdr:col>
                    <xdr:colOff>247650</xdr:colOff>
                    <xdr:row>0</xdr:row>
                    <xdr:rowOff>19050</xdr:rowOff>
                  </from>
                  <to>
                    <xdr:col>14</xdr:col>
                    <xdr:colOff>476250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>
                  <from>
                    <xdr:col>4</xdr:col>
                    <xdr:colOff>698500</xdr:colOff>
                    <xdr:row>29</xdr:row>
                    <xdr:rowOff>114300</xdr:rowOff>
                  </from>
                  <to>
                    <xdr:col>5</xdr:col>
                    <xdr:colOff>19050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>
                  <from>
                    <xdr:col>4</xdr:col>
                    <xdr:colOff>698500</xdr:colOff>
                    <xdr:row>30</xdr:row>
                    <xdr:rowOff>95250</xdr:rowOff>
                  </from>
                  <to>
                    <xdr:col>5</xdr:col>
                    <xdr:colOff>19050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>
                  <from>
                    <xdr:col>4</xdr:col>
                    <xdr:colOff>647700</xdr:colOff>
                    <xdr:row>31</xdr:row>
                    <xdr:rowOff>114300</xdr:rowOff>
                  </from>
                  <to>
                    <xdr:col>4</xdr:col>
                    <xdr:colOff>952500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Fill="0" autoLine="0" autoPict="0">
                <anchor>
                  <from>
                    <xdr:col>4</xdr:col>
                    <xdr:colOff>876300</xdr:colOff>
                    <xdr:row>29</xdr:row>
                    <xdr:rowOff>114300</xdr:rowOff>
                  </from>
                  <to>
                    <xdr:col>5</xdr:col>
                    <xdr:colOff>203200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Fill="0" autoLine="0" autoPict="0">
                <anchor>
                  <from>
                    <xdr:col>4</xdr:col>
                    <xdr:colOff>876300</xdr:colOff>
                    <xdr:row>30</xdr:row>
                    <xdr:rowOff>95250</xdr:rowOff>
                  </from>
                  <to>
                    <xdr:col>5</xdr:col>
                    <xdr:colOff>203200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Fill="0" autoLine="0" autoPict="0">
                <anchor>
                  <from>
                    <xdr:col>4</xdr:col>
                    <xdr:colOff>831850</xdr:colOff>
                    <xdr:row>31</xdr:row>
                    <xdr:rowOff>114300</xdr:rowOff>
                  </from>
                  <to>
                    <xdr:col>5</xdr:col>
                    <xdr:colOff>152400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Fill="0" autoLine="0" autoPict="0">
                <anchor>
                  <from>
                    <xdr:col>5</xdr:col>
                    <xdr:colOff>76200</xdr:colOff>
                    <xdr:row>29</xdr:row>
                    <xdr:rowOff>114300</xdr:rowOff>
                  </from>
                  <to>
                    <xdr:col>5</xdr:col>
                    <xdr:colOff>381000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Fill="0" autoLine="0" autoPict="0">
                <anchor>
                  <from>
                    <xdr:col>5</xdr:col>
                    <xdr:colOff>76200</xdr:colOff>
                    <xdr:row>30</xdr:row>
                    <xdr:rowOff>95250</xdr:rowOff>
                  </from>
                  <to>
                    <xdr:col>5</xdr:col>
                    <xdr:colOff>381000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Fill="0" autoLine="0" autoPict="0">
                <anchor>
                  <from>
                    <xdr:col>5</xdr:col>
                    <xdr:colOff>31750</xdr:colOff>
                    <xdr:row>31</xdr:row>
                    <xdr:rowOff>114300</xdr:rowOff>
                  </from>
                  <to>
                    <xdr:col>5</xdr:col>
                    <xdr:colOff>336550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Fill="0" autoLine="0" autoPict="0">
                <anchor>
                  <from>
                    <xdr:col>5</xdr:col>
                    <xdr:colOff>266700</xdr:colOff>
                    <xdr:row>29</xdr:row>
                    <xdr:rowOff>114300</xdr:rowOff>
                  </from>
                  <to>
                    <xdr:col>5</xdr:col>
                    <xdr:colOff>571500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Fill="0" autoLine="0" autoPict="0">
                <anchor>
                  <from>
                    <xdr:col>5</xdr:col>
                    <xdr:colOff>266700</xdr:colOff>
                    <xdr:row>30</xdr:row>
                    <xdr:rowOff>95250</xdr:rowOff>
                  </from>
                  <to>
                    <xdr:col>5</xdr:col>
                    <xdr:colOff>571500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Fill="0" autoLine="0" autoPict="0">
                <anchor>
                  <from>
                    <xdr:col>5</xdr:col>
                    <xdr:colOff>222250</xdr:colOff>
                    <xdr:row>31</xdr:row>
                    <xdr:rowOff>114300</xdr:rowOff>
                  </from>
                  <to>
                    <xdr:col>5</xdr:col>
                    <xdr:colOff>527050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7" name="Check Box 14">
              <controlPr defaultSize="0" autoFill="0" autoLine="0" autoPict="0">
                <anchor>
                  <from>
                    <xdr:col>5</xdr:col>
                    <xdr:colOff>438150</xdr:colOff>
                    <xdr:row>29</xdr:row>
                    <xdr:rowOff>114300</xdr:rowOff>
                  </from>
                  <to>
                    <xdr:col>5</xdr:col>
                    <xdr:colOff>742950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8" name="Check Box 15">
              <controlPr defaultSize="0" autoFill="0" autoLine="0" autoPict="0">
                <anchor>
                  <from>
                    <xdr:col>5</xdr:col>
                    <xdr:colOff>438150</xdr:colOff>
                    <xdr:row>30</xdr:row>
                    <xdr:rowOff>95250</xdr:rowOff>
                  </from>
                  <to>
                    <xdr:col>5</xdr:col>
                    <xdr:colOff>742950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9" name="Check Box 16">
              <controlPr defaultSize="0" autoFill="0" autoLine="0" autoPict="0">
                <anchor>
                  <from>
                    <xdr:col>5</xdr:col>
                    <xdr:colOff>393700</xdr:colOff>
                    <xdr:row>31</xdr:row>
                    <xdr:rowOff>114300</xdr:rowOff>
                  </from>
                  <to>
                    <xdr:col>5</xdr:col>
                    <xdr:colOff>698500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20" name="Check Box 17">
              <controlPr defaultSize="0" autoFill="0" autoLine="0" autoPict="0">
                <anchor>
                  <from>
                    <xdr:col>5</xdr:col>
                    <xdr:colOff>609600</xdr:colOff>
                    <xdr:row>29</xdr:row>
                    <xdr:rowOff>114300</xdr:rowOff>
                  </from>
                  <to>
                    <xdr:col>6</xdr:col>
                    <xdr:colOff>146050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21" name="Check Box 18">
              <controlPr defaultSize="0" autoFill="0" autoLine="0" autoPict="0">
                <anchor>
                  <from>
                    <xdr:col>5</xdr:col>
                    <xdr:colOff>609600</xdr:colOff>
                    <xdr:row>30</xdr:row>
                    <xdr:rowOff>95250</xdr:rowOff>
                  </from>
                  <to>
                    <xdr:col>6</xdr:col>
                    <xdr:colOff>146050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22" name="Check Box 19">
              <controlPr defaultSize="0" autoFill="0" autoLine="0" autoPict="0">
                <anchor>
                  <from>
                    <xdr:col>5</xdr:col>
                    <xdr:colOff>565150</xdr:colOff>
                    <xdr:row>31</xdr:row>
                    <xdr:rowOff>114300</xdr:rowOff>
                  </from>
                  <to>
                    <xdr:col>6</xdr:col>
                    <xdr:colOff>95250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23" name="Check Box 20">
              <controlPr defaultSize="0" autoFill="0" autoLine="0" autoPict="0">
                <anchor>
                  <from>
                    <xdr:col>7</xdr:col>
                    <xdr:colOff>336550</xdr:colOff>
                    <xdr:row>29</xdr:row>
                    <xdr:rowOff>127000</xdr:rowOff>
                  </from>
                  <to>
                    <xdr:col>8</xdr:col>
                    <xdr:colOff>127000</xdr:colOff>
                    <xdr:row>31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24" name="Check Box 21">
              <controlPr defaultSize="0" autoFill="0" autoLine="0" autoPict="0">
                <anchor>
                  <from>
                    <xdr:col>7</xdr:col>
                    <xdr:colOff>336550</xdr:colOff>
                    <xdr:row>30</xdr:row>
                    <xdr:rowOff>127000</xdr:rowOff>
                  </from>
                  <to>
                    <xdr:col>8</xdr:col>
                    <xdr:colOff>127000</xdr:colOff>
                    <xdr:row>32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25" name="Check Box 22">
              <controlPr defaultSize="0" autoFill="0" autoLine="0" autoPict="0">
                <anchor>
                  <from>
                    <xdr:col>9</xdr:col>
                    <xdr:colOff>304800</xdr:colOff>
                    <xdr:row>29</xdr:row>
                    <xdr:rowOff>114300</xdr:rowOff>
                  </from>
                  <to>
                    <xdr:col>10</xdr:col>
                    <xdr:colOff>95250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5" r:id="rId26" name="Check Box 23">
              <controlPr defaultSize="0" autoFill="0" autoLine="0" autoPict="0">
                <anchor>
                  <from>
                    <xdr:col>9</xdr:col>
                    <xdr:colOff>304800</xdr:colOff>
                    <xdr:row>30</xdr:row>
                    <xdr:rowOff>114300</xdr:rowOff>
                  </from>
                  <to>
                    <xdr:col>10</xdr:col>
                    <xdr:colOff>95250</xdr:colOff>
                    <xdr:row>32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K414"/>
  <sheetViews>
    <sheetView zoomScale="70" zoomScaleNormal="70" workbookViewId="0">
      <pane xSplit="3" ySplit="4" topLeftCell="D5" activePane="bottomRight" state="frozen"/>
      <selection pane="topRight" activeCell="B19" sqref="B19"/>
      <selection pane="bottomLeft" activeCell="B19" sqref="B19"/>
      <selection pane="bottomRight" activeCell="B19" sqref="B19"/>
    </sheetView>
  </sheetViews>
  <sheetFormatPr defaultColWidth="9.1796875" defaultRowHeight="15" customHeight="1" x14ac:dyDescent="0.3"/>
  <cols>
    <col min="1" max="1" width="6.26953125" style="55" bestFit="1" customWidth="1"/>
    <col min="2" max="2" width="27.1796875" style="55" bestFit="1" customWidth="1"/>
    <col min="3" max="3" width="39.7265625" style="55" bestFit="1" customWidth="1"/>
    <col min="4" max="4" width="32.26953125" style="55" bestFit="1" customWidth="1"/>
    <col min="5" max="5" width="12.7265625" style="61" customWidth="1"/>
    <col min="6" max="11" width="12.7265625" style="55" customWidth="1"/>
    <col min="12" max="12" width="7.453125" style="164" customWidth="1"/>
    <col min="13" max="28" width="9.1796875" style="55" customWidth="1"/>
    <col min="29" max="29" width="15.1796875" style="55" customWidth="1"/>
    <col min="30" max="30" width="11.453125" style="55" customWidth="1"/>
    <col min="31" max="32" width="8.1796875" style="528" customWidth="1"/>
    <col min="33" max="34" width="13.453125" style="528" customWidth="1"/>
    <col min="35" max="35" width="8.1796875" style="164" customWidth="1"/>
    <col min="36" max="36" width="12.7265625" style="164" customWidth="1"/>
    <col min="37" max="37" width="9.1796875" style="164" customWidth="1"/>
    <col min="38" max="43" width="9.1796875" style="55" customWidth="1"/>
    <col min="44" max="16384" width="9.1796875" style="55"/>
  </cols>
  <sheetData>
    <row r="1" spans="1:37" s="58" customFormat="1" ht="18" customHeight="1" x14ac:dyDescent="0.35">
      <c r="A1" s="589" t="s">
        <v>0</v>
      </c>
      <c r="B1" s="530"/>
      <c r="C1" s="328"/>
      <c r="D1" s="1969" t="s">
        <v>302</v>
      </c>
      <c r="E1" s="1970"/>
      <c r="F1" s="1970"/>
      <c r="G1" s="1970"/>
      <c r="H1" s="1970"/>
      <c r="I1" s="1970"/>
      <c r="J1" s="1970"/>
      <c r="K1" s="1971"/>
      <c r="L1" s="1967" t="s">
        <v>303</v>
      </c>
      <c r="M1" s="327"/>
      <c r="AC1" s="1962" t="s">
        <v>304</v>
      </c>
      <c r="AD1" s="1962" t="s">
        <v>294</v>
      </c>
      <c r="AE1" s="1962" t="s">
        <v>305</v>
      </c>
      <c r="AF1" s="1962" t="s">
        <v>306</v>
      </c>
    </row>
    <row r="2" spans="1:37" ht="18" customHeight="1" x14ac:dyDescent="0.35">
      <c r="A2" s="609" t="s">
        <v>307</v>
      </c>
      <c r="B2" s="531"/>
      <c r="C2" s="330"/>
      <c r="D2" s="1972"/>
      <c r="E2" s="1973"/>
      <c r="F2" s="1973"/>
      <c r="G2" s="1973"/>
      <c r="H2" s="1973"/>
      <c r="I2" s="1973"/>
      <c r="J2" s="1973"/>
      <c r="K2" s="1974"/>
      <c r="L2" s="1968"/>
      <c r="M2" s="164"/>
      <c r="AC2" s="1963"/>
      <c r="AD2" s="1963"/>
      <c r="AE2" s="1963"/>
      <c r="AF2" s="1963"/>
      <c r="AG2" s="55"/>
      <c r="AH2" s="55"/>
      <c r="AI2" s="55"/>
      <c r="AJ2" s="55"/>
      <c r="AK2" s="55"/>
    </row>
    <row r="3" spans="1:37" ht="18" customHeight="1" x14ac:dyDescent="0.3">
      <c r="A3" s="615"/>
      <c r="B3" s="331"/>
      <c r="C3" s="331"/>
      <c r="D3" s="1972"/>
      <c r="E3" s="1973"/>
      <c r="F3" s="1973"/>
      <c r="G3" s="1973"/>
      <c r="H3" s="1973"/>
      <c r="I3" s="1973"/>
      <c r="J3" s="1973"/>
      <c r="K3" s="1974"/>
      <c r="L3" s="1968"/>
      <c r="M3" s="527">
        <v>0</v>
      </c>
      <c r="AC3" s="1963"/>
      <c r="AD3" s="1963"/>
      <c r="AE3" s="1963"/>
      <c r="AF3" s="1963"/>
      <c r="AG3" s="55"/>
      <c r="AH3" s="55"/>
      <c r="AI3" s="55"/>
      <c r="AJ3" s="55"/>
      <c r="AK3" s="55"/>
    </row>
    <row r="4" spans="1:37" ht="18" customHeight="1" thickBot="1" x14ac:dyDescent="0.45">
      <c r="A4" s="523" t="s">
        <v>152</v>
      </c>
      <c r="B4" s="524"/>
      <c r="C4" s="1266"/>
      <c r="D4" s="1975"/>
      <c r="E4" s="1976"/>
      <c r="F4" s="1976"/>
      <c r="G4" s="1976"/>
      <c r="H4" s="1976"/>
      <c r="I4" s="1976"/>
      <c r="J4" s="1976"/>
      <c r="K4" s="1977"/>
      <c r="L4" s="1968"/>
      <c r="M4" s="1966" t="s">
        <v>308</v>
      </c>
      <c r="N4" s="1966"/>
      <c r="AB4" s="538"/>
      <c r="AC4" s="1964"/>
      <c r="AD4" s="1964"/>
      <c r="AE4" s="1964"/>
      <c r="AF4" s="1965"/>
      <c r="AG4" s="55"/>
      <c r="AH4" s="55"/>
      <c r="AI4" s="55"/>
      <c r="AJ4" s="55"/>
      <c r="AK4" s="55"/>
    </row>
    <row r="5" spans="1:37" s="56" customFormat="1" ht="15" customHeight="1" x14ac:dyDescent="0.3">
      <c r="A5" s="1954">
        <v>1</v>
      </c>
      <c r="B5" s="1957" t="s">
        <v>309</v>
      </c>
      <c r="C5" s="1958"/>
      <c r="D5" s="648" t="s">
        <v>34</v>
      </c>
      <c r="E5" s="649"/>
      <c r="F5" s="649"/>
      <c r="G5" s="649"/>
      <c r="H5" s="649"/>
      <c r="I5" s="649"/>
      <c r="J5" s="649"/>
      <c r="K5" s="649"/>
      <c r="L5" s="650" t="str">
        <f>IF(E5&lt;&gt;"",M3+1,"")</f>
        <v/>
      </c>
      <c r="M5" s="1959" t="s">
        <v>25</v>
      </c>
      <c r="N5" s="539" t="str">
        <f t="shared" ref="N5:T5" si="0">IF(E5&lt;&gt;"",E5,"")</f>
        <v/>
      </c>
      <c r="O5" s="539" t="str">
        <f t="shared" si="0"/>
        <v/>
      </c>
      <c r="P5" s="539" t="str">
        <f t="shared" si="0"/>
        <v/>
      </c>
      <c r="Q5" s="539" t="str">
        <f t="shared" si="0"/>
        <v/>
      </c>
      <c r="R5" s="539" t="str">
        <f t="shared" si="0"/>
        <v/>
      </c>
      <c r="S5" s="539" t="str">
        <f t="shared" si="0"/>
        <v/>
      </c>
      <c r="T5" s="539" t="str">
        <f t="shared" si="0"/>
        <v/>
      </c>
      <c r="U5" s="540" t="str">
        <f t="shared" ref="U5:AA5" si="1">IF(N14&lt;&gt;"",N14/E13*1000,"")</f>
        <v/>
      </c>
      <c r="V5" s="540" t="str">
        <f t="shared" si="1"/>
        <v/>
      </c>
      <c r="W5" s="540" t="str">
        <f t="shared" si="1"/>
        <v/>
      </c>
      <c r="X5" s="540" t="str">
        <f t="shared" si="1"/>
        <v/>
      </c>
      <c r="Y5" s="540" t="str">
        <f t="shared" si="1"/>
        <v/>
      </c>
      <c r="Z5" s="540" t="str">
        <f t="shared" si="1"/>
        <v/>
      </c>
      <c r="AA5" s="540" t="str">
        <f t="shared" si="1"/>
        <v/>
      </c>
      <c r="AB5" s="539" t="str">
        <f>IF(L5&lt;&gt;"",L5,"")</f>
        <v/>
      </c>
      <c r="AC5" s="541" t="str">
        <f>IF(C6&lt;&gt;"",CONCATENATE(C6," a ",C7),"")</f>
        <v/>
      </c>
      <c r="AD5" s="542" t="str">
        <f>IF(C9&lt;&gt;"",C9,"")</f>
        <v/>
      </c>
      <c r="AE5" s="543" t="str">
        <f>IF(E6&lt;&gt;"",E6,"")</f>
        <v/>
      </c>
      <c r="AF5" s="557" t="str">
        <f>IF(E7&lt;&gt;"",E7,"")</f>
        <v/>
      </c>
      <c r="AG5" s="544" t="str">
        <f>IF(N5&lt;&gt;"",N5,"")</f>
        <v/>
      </c>
      <c r="AH5" s="631" t="str">
        <f>IF(E12&lt;&gt;"",E12*100,"")</f>
        <v/>
      </c>
      <c r="AI5" s="631" t="str">
        <f>IF(N14&lt;&gt;"",N14,"")</f>
        <v/>
      </c>
      <c r="AJ5" s="633" t="str">
        <f>IF(AH5="","",((AH5/100)-E14)*100)</f>
        <v/>
      </c>
      <c r="AK5" s="548" t="str">
        <f>IF(U5&lt;&gt;"",U5*100,"")</f>
        <v/>
      </c>
    </row>
    <row r="6" spans="1:37" s="57" customFormat="1" ht="15" customHeight="1" x14ac:dyDescent="0.3">
      <c r="A6" s="1955"/>
      <c r="B6" s="869" t="s">
        <v>310</v>
      </c>
      <c r="C6" s="666"/>
      <c r="D6" s="870" t="s">
        <v>156</v>
      </c>
      <c r="E6" s="871"/>
      <c r="F6" s="871"/>
      <c r="G6" s="871"/>
      <c r="H6" s="871"/>
      <c r="I6" s="871"/>
      <c r="J6" s="871"/>
      <c r="K6" s="871"/>
      <c r="L6" s="651" t="str">
        <f>IF(F5&lt;&gt;"",MAX(L$5:L5)+1,"")</f>
        <v/>
      </c>
      <c r="M6" s="1960"/>
      <c r="N6" s="872" t="str">
        <f>IF(E8&lt;&gt;"",LOOKUP(E8,Tara!$L$5:$L$21,Tara!$M$5:$M$21),"")</f>
        <v/>
      </c>
      <c r="O6" s="872" t="str">
        <f>IF(F8&lt;&gt;"",LOOKUP(F8,Tara!$L$5:$L$21,Tara!$M$5:$M$21),"")</f>
        <v/>
      </c>
      <c r="P6" s="872" t="str">
        <f>IF(G8&lt;&gt;"",LOOKUP(G8,Tara!$L$5:$L$21,Tara!$M$5:$M$21),"")</f>
        <v/>
      </c>
      <c r="Q6" s="872" t="str">
        <f>IF(H8&lt;&gt;"",LOOKUP(H8,Tara!$L$5:$L$21,Tara!$M$5:$M$21),"")</f>
        <v/>
      </c>
      <c r="R6" s="872" t="str">
        <f>IF(I8&lt;&gt;"",LOOKUP(I8,Tara!$L$5:$L$21,Tara!$M$5:$M$21),"")</f>
        <v/>
      </c>
      <c r="S6" s="872" t="str">
        <f>IF(J8&lt;&gt;"",LOOKUP(J8,Tara!$L$5:$L$21,Tara!$M$5:$M$21),"")</f>
        <v/>
      </c>
      <c r="T6" s="872" t="str">
        <f>IF(K8&lt;&gt;"",LOOKUP(K8,Tara!$L$5:$L$21,Tara!$M$5:$M$21),"")</f>
        <v/>
      </c>
      <c r="U6" s="872"/>
      <c r="V6" s="872"/>
      <c r="W6" s="872"/>
      <c r="X6" s="872"/>
      <c r="Y6" s="872"/>
      <c r="Z6" s="872"/>
      <c r="AA6" s="872"/>
      <c r="AB6" s="872" t="str">
        <f t="shared" ref="AB6:AB11" si="2">IF(L6&lt;&gt;"",L6,"")</f>
        <v/>
      </c>
      <c r="AC6" s="873" t="str">
        <f>""</f>
        <v/>
      </c>
      <c r="AD6" s="873" t="str">
        <f>""</f>
        <v/>
      </c>
      <c r="AE6" s="873" t="str">
        <f>IF(F6&lt;&gt;"",F6,"")</f>
        <v/>
      </c>
      <c r="AF6" s="874" t="str">
        <f>IF(E7&lt;&gt;"",F7,"")</f>
        <v/>
      </c>
      <c r="AG6" s="875" t="str">
        <f>IF(O5&lt;&gt;"",O5,"")</f>
        <v/>
      </c>
      <c r="AH6" s="876" t="str">
        <f>IF(F12&lt;&gt;"",F12*100,"")</f>
        <v/>
      </c>
      <c r="AI6" s="876" t="str">
        <f>IF(O14&lt;&gt;"",O14,"")</f>
        <v/>
      </c>
      <c r="AJ6" s="877" t="str">
        <f>IF(AH6="","",((AH6/100)-F14)*100)</f>
        <v/>
      </c>
      <c r="AK6" s="1267" t="str">
        <f>IF(V5&lt;&gt;"",V5*100,"")</f>
        <v/>
      </c>
    </row>
    <row r="7" spans="1:37" s="56" customFormat="1" ht="15" customHeight="1" x14ac:dyDescent="0.3">
      <c r="A7" s="1955"/>
      <c r="B7" s="869" t="s">
        <v>311</v>
      </c>
      <c r="C7" s="666"/>
      <c r="D7" s="870" t="s">
        <v>312</v>
      </c>
      <c r="E7" s="878"/>
      <c r="F7" s="878"/>
      <c r="G7" s="878"/>
      <c r="H7" s="878"/>
      <c r="I7" s="878"/>
      <c r="J7" s="878"/>
      <c r="K7" s="1268"/>
      <c r="L7" s="651" t="str">
        <f>IF(G5&lt;&gt;"",MAX(L$5:L6)+1,"")</f>
        <v/>
      </c>
      <c r="M7" s="1960"/>
      <c r="N7" s="872" t="str">
        <f t="shared" ref="N7:T7" si="3">IF(N6&lt;&gt;"",N6-E9,"")</f>
        <v/>
      </c>
      <c r="O7" s="872" t="str">
        <f t="shared" si="3"/>
        <v/>
      </c>
      <c r="P7" s="872" t="str">
        <f t="shared" si="3"/>
        <v/>
      </c>
      <c r="Q7" s="872" t="str">
        <f t="shared" si="3"/>
        <v/>
      </c>
      <c r="R7" s="872" t="str">
        <f t="shared" si="3"/>
        <v/>
      </c>
      <c r="S7" s="872" t="str">
        <f t="shared" si="3"/>
        <v/>
      </c>
      <c r="T7" s="872" t="str">
        <f t="shared" si="3"/>
        <v/>
      </c>
      <c r="U7" s="879"/>
      <c r="V7" s="879"/>
      <c r="W7" s="879"/>
      <c r="X7" s="879"/>
      <c r="Y7" s="879"/>
      <c r="Z7" s="879"/>
      <c r="AA7" s="879"/>
      <c r="AB7" s="872" t="str">
        <f t="shared" si="2"/>
        <v/>
      </c>
      <c r="AC7" s="873" t="str">
        <f>""</f>
        <v/>
      </c>
      <c r="AD7" s="873" t="str">
        <f>""</f>
        <v/>
      </c>
      <c r="AE7" s="873" t="str">
        <f>IF(G6&lt;&gt;"",G6,"")</f>
        <v/>
      </c>
      <c r="AF7" s="874" t="str">
        <f>IF(G7&lt;&gt;"",G7,"")</f>
        <v/>
      </c>
      <c r="AG7" s="875" t="str">
        <f>IF(P5&lt;&gt;"",P5,"")</f>
        <v/>
      </c>
      <c r="AH7" s="876" t="str">
        <f>IF(G12&lt;&gt;"",G12*100,"")</f>
        <v/>
      </c>
      <c r="AI7" s="876" t="str">
        <f>IF(P14&lt;&gt;"",P14,"")</f>
        <v/>
      </c>
      <c r="AJ7" s="880" t="str">
        <f>IF(AH7="","",((AH7/100)-G14)*100)</f>
        <v/>
      </c>
      <c r="AK7" s="1267" t="str">
        <f>IF(W5&lt;&gt;"",W5*100,"")</f>
        <v/>
      </c>
    </row>
    <row r="8" spans="1:37" s="56" customFormat="1" ht="15" customHeight="1" x14ac:dyDescent="0.3">
      <c r="A8" s="1955"/>
      <c r="B8" s="869" t="s">
        <v>313</v>
      </c>
      <c r="C8" s="666"/>
      <c r="D8" s="870" t="s">
        <v>314</v>
      </c>
      <c r="E8" s="750"/>
      <c r="F8" s="750"/>
      <c r="G8" s="750"/>
      <c r="H8" s="750"/>
      <c r="I8" s="750"/>
      <c r="J8" s="750"/>
      <c r="K8" s="750"/>
      <c r="L8" s="651" t="str">
        <f>IF(H5&lt;&gt;"",MAX(L$5:L7)+1,"")</f>
        <v/>
      </c>
      <c r="M8" s="1960"/>
      <c r="N8" s="872" t="str">
        <f>IF(E8&lt;&gt;"",LOOKUP(E8,Tara!$L$5:$L$21,Tara!$N$5:$N$21),"")</f>
        <v/>
      </c>
      <c r="O8" s="872" t="str">
        <f>IF(F8&lt;&gt;"",LOOKUP(F8,Tara!$L$5:$L$21,Tara!$N$5:$N$21),"")</f>
        <v/>
      </c>
      <c r="P8" s="872" t="str">
        <f>IF(G8&lt;&gt;"",LOOKUP(G8,Tara!$L$5:$L$21,Tara!$N$5:$N$21),"")</f>
        <v/>
      </c>
      <c r="Q8" s="872" t="str">
        <f>IF(H8&lt;&gt;"",LOOKUP(H8,Tara!$L$5:$L$21,Tara!$N$5:$N$21),"")</f>
        <v/>
      </c>
      <c r="R8" s="872" t="str">
        <f>IF(I8&lt;&gt;"",LOOKUP(I8,Tara!$L$5:$L$21,Tara!$N$5:$N$21),"")</f>
        <v/>
      </c>
      <c r="S8" s="872" t="str">
        <f>IF(J8&lt;&gt;"",LOOKUP(J8,Tara!$L$5:$L$21,Tara!$N$5:$N$21),"")</f>
        <v/>
      </c>
      <c r="T8" s="872" t="str">
        <f>IF(K8&lt;&gt;"",LOOKUP(K8,Tara!$L$5:$L$21,Tara!$N$5:$N$21),"")</f>
        <v/>
      </c>
      <c r="U8" s="881"/>
      <c r="V8" s="881"/>
      <c r="W8" s="881"/>
      <c r="X8" s="881"/>
      <c r="Y8" s="881"/>
      <c r="Z8" s="881"/>
      <c r="AA8" s="881"/>
      <c r="AB8" s="872" t="str">
        <f t="shared" si="2"/>
        <v/>
      </c>
      <c r="AC8" s="873" t="str">
        <f>""</f>
        <v/>
      </c>
      <c r="AD8" s="873" t="str">
        <f>""</f>
        <v/>
      </c>
      <c r="AE8" s="873" t="str">
        <f>IF(H6&lt;&gt;"",H6,"")</f>
        <v/>
      </c>
      <c r="AF8" s="874" t="str">
        <f>IF(H7&lt;&gt;"",H7,"")</f>
        <v/>
      </c>
      <c r="AG8" s="875" t="str">
        <f>IF(Q5&lt;&gt;"",Q5,"")</f>
        <v/>
      </c>
      <c r="AH8" s="876" t="str">
        <f>IF(H12&lt;&gt;"",H12*100,"")</f>
        <v/>
      </c>
      <c r="AI8" s="876" t="str">
        <f>IF(Q14&lt;&gt;"",Q14,"")</f>
        <v/>
      </c>
      <c r="AJ8" s="880" t="str">
        <f>IF(AH8="","",((AH8/100)-H14)*100)</f>
        <v/>
      </c>
      <c r="AK8" s="1267" t="str">
        <f>IF(X5&lt;&gt;"",X5*100,"")</f>
        <v/>
      </c>
    </row>
    <row r="9" spans="1:37" s="56" customFormat="1" ht="15" customHeight="1" x14ac:dyDescent="0.3">
      <c r="A9" s="1955"/>
      <c r="B9" s="882" t="s">
        <v>57</v>
      </c>
      <c r="C9" s="688"/>
      <c r="D9" s="870" t="s">
        <v>315</v>
      </c>
      <c r="E9" s="871"/>
      <c r="F9" s="871"/>
      <c r="G9" s="871"/>
      <c r="H9" s="871"/>
      <c r="I9" s="871"/>
      <c r="J9" s="871" t="s">
        <v>165</v>
      </c>
      <c r="K9" s="871"/>
      <c r="L9" s="651" t="str">
        <f>IF(I5&lt;&gt;"",MAX(L$5:L8)+1,"")</f>
        <v/>
      </c>
      <c r="M9" s="1960"/>
      <c r="N9" s="872" t="str">
        <f t="shared" ref="N9:T9" si="4">IF(N7&lt;&gt;"",N7-N8,"")</f>
        <v/>
      </c>
      <c r="O9" s="872" t="str">
        <f t="shared" si="4"/>
        <v/>
      </c>
      <c r="P9" s="872" t="str">
        <f t="shared" si="4"/>
        <v/>
      </c>
      <c r="Q9" s="872" t="str">
        <f t="shared" si="4"/>
        <v/>
      </c>
      <c r="R9" s="872" t="str">
        <f t="shared" si="4"/>
        <v/>
      </c>
      <c r="S9" s="872" t="str">
        <f t="shared" si="4"/>
        <v/>
      </c>
      <c r="T9" s="872" t="str">
        <f t="shared" si="4"/>
        <v/>
      </c>
      <c r="U9" s="881"/>
      <c r="V9" s="881"/>
      <c r="W9" s="881"/>
      <c r="X9" s="881"/>
      <c r="Y9" s="881"/>
      <c r="Z9" s="881"/>
      <c r="AA9" s="881"/>
      <c r="AB9" s="872" t="str">
        <f t="shared" si="2"/>
        <v/>
      </c>
      <c r="AC9" s="873" t="str">
        <f>""</f>
        <v/>
      </c>
      <c r="AD9" s="873" t="str">
        <f>""</f>
        <v/>
      </c>
      <c r="AE9" s="873" t="str">
        <f>IF(I6&lt;&gt;"",I6,"")</f>
        <v/>
      </c>
      <c r="AF9" s="874" t="str">
        <f>IF(I7&lt;&gt;"",I7,"")</f>
        <v/>
      </c>
      <c r="AG9" s="875" t="str">
        <f>IF(R5&lt;&gt;"",R5,"")</f>
        <v/>
      </c>
      <c r="AH9" s="876" t="str">
        <f>IF(I12&lt;&gt;"",I12*100,"")</f>
        <v/>
      </c>
      <c r="AI9" s="876" t="str">
        <f>IF(R14&lt;&gt;"",R14,"")</f>
        <v/>
      </c>
      <c r="AJ9" s="880" t="str">
        <f>IF(AH9="","",((AH9/100)-I14)*100)</f>
        <v/>
      </c>
      <c r="AK9" s="1267" t="str">
        <f>IF(Y5&lt;&gt;"",Y5*100,"")</f>
        <v/>
      </c>
    </row>
    <row r="10" spans="1:37" s="316" customFormat="1" ht="15" customHeight="1" x14ac:dyDescent="0.3">
      <c r="A10" s="1955"/>
      <c r="B10" s="882" t="s">
        <v>316</v>
      </c>
      <c r="C10" s="666"/>
      <c r="D10" s="883" t="s">
        <v>317</v>
      </c>
      <c r="E10" s="750"/>
      <c r="F10" s="750"/>
      <c r="G10" s="750"/>
      <c r="H10" s="750"/>
      <c r="I10" s="750"/>
      <c r="J10" s="750"/>
      <c r="K10" s="750"/>
      <c r="L10" s="651" t="str">
        <f>IF(J5&lt;&gt;"",MAX(L$5:L9)+1,"")</f>
        <v/>
      </c>
      <c r="M10" s="1960"/>
      <c r="N10" s="872" t="str">
        <f>IF(E8&lt;&gt;"",LOOKUP(E8,Tara!$L$5:$L$21,Tara!$O$5:$O$21),"")</f>
        <v/>
      </c>
      <c r="O10" s="872" t="str">
        <f>IF(F8&lt;&gt;"",LOOKUP(F8,Tara!$L$5:$L$21,Tara!$O$5:$O$21),"")</f>
        <v/>
      </c>
      <c r="P10" s="872" t="str">
        <f>IF(G8&lt;&gt;"",LOOKUP(G8,Tara!$L$5:$L$21,Tara!$O$5:$O$21),"")</f>
        <v/>
      </c>
      <c r="Q10" s="872" t="str">
        <f>IF(H8&lt;&gt;"",LOOKUP(H8,Tara!$L$5:$L$21,Tara!$O$5:$O$21),"")</f>
        <v/>
      </c>
      <c r="R10" s="872" t="str">
        <f>IF(I8&lt;&gt;"",LOOKUP(I8,Tara!$L$5:$L$21,Tara!$O$5:$O$21),"")</f>
        <v/>
      </c>
      <c r="S10" s="872" t="str">
        <f>IF(J8&lt;&gt;"",LOOKUP(J8,Tara!$L$5:$L$21,Tara!$O$5:$O$21),"")</f>
        <v/>
      </c>
      <c r="T10" s="872" t="str">
        <f>IF(K8&lt;&gt;"",LOOKUP(K8,Tara!$L$5:$L$21,Tara!$O$5:$O$21),"")</f>
        <v/>
      </c>
      <c r="U10" s="884"/>
      <c r="V10" s="884"/>
      <c r="W10" s="884"/>
      <c r="X10" s="884"/>
      <c r="Y10" s="884"/>
      <c r="Z10" s="884"/>
      <c r="AA10" s="884"/>
      <c r="AB10" s="872" t="str">
        <f t="shared" si="2"/>
        <v/>
      </c>
      <c r="AC10" s="873" t="str">
        <f>""</f>
        <v/>
      </c>
      <c r="AD10" s="873" t="str">
        <f>""</f>
        <v/>
      </c>
      <c r="AE10" s="873" t="str">
        <f>IF(J6&lt;&gt;"",J6,"")</f>
        <v/>
      </c>
      <c r="AF10" s="874" t="str">
        <f>IF(J7&lt;&gt;"",J7,"")</f>
        <v/>
      </c>
      <c r="AG10" s="875" t="str">
        <f>IF(S5&lt;&gt;"",S5,"")</f>
        <v/>
      </c>
      <c r="AH10" s="876" t="str">
        <f>IF(J12&lt;&gt;"",J12*100,"")</f>
        <v/>
      </c>
      <c r="AI10" s="876" t="str">
        <f>IF(S14&lt;&gt;"",S14,"")</f>
        <v/>
      </c>
      <c r="AJ10" s="880" t="str">
        <f>IF(AH10="","",((AH10/100)-J14)*100)</f>
        <v/>
      </c>
      <c r="AK10" s="1267" t="str">
        <f>IF(Z5&lt;&gt;"",Z5*100,"")</f>
        <v/>
      </c>
    </row>
    <row r="11" spans="1:37" s="316" customFormat="1" ht="15" customHeight="1" x14ac:dyDescent="0.3">
      <c r="A11" s="1955"/>
      <c r="B11" s="885" t="s">
        <v>318</v>
      </c>
      <c r="C11" s="886"/>
      <c r="D11" s="870" t="s">
        <v>319</v>
      </c>
      <c r="E11" s="750"/>
      <c r="F11" s="750"/>
      <c r="G11" s="750"/>
      <c r="H11" s="750"/>
      <c r="I11" s="750"/>
      <c r="J11" s="750"/>
      <c r="K11" s="750"/>
      <c r="L11" s="651" t="str">
        <f>IF(K5&lt;&gt;"",MAX(L$5:L10)+1,"")</f>
        <v/>
      </c>
      <c r="M11" s="1960"/>
      <c r="N11" s="887" t="str">
        <f>IF(N9&lt;&gt;"",N9/N10,"")</f>
        <v/>
      </c>
      <c r="O11" s="887" t="str">
        <f t="shared" ref="O11:T11" si="5">IF(O9&lt;&gt;"",O9/O10,"")</f>
        <v/>
      </c>
      <c r="P11" s="887" t="str">
        <f t="shared" si="5"/>
        <v/>
      </c>
      <c r="Q11" s="887" t="str">
        <f t="shared" si="5"/>
        <v/>
      </c>
      <c r="R11" s="887" t="str">
        <f t="shared" si="5"/>
        <v/>
      </c>
      <c r="S11" s="887" t="str">
        <f t="shared" si="5"/>
        <v/>
      </c>
      <c r="T11" s="887" t="str">
        <f t="shared" si="5"/>
        <v/>
      </c>
      <c r="U11" s="884"/>
      <c r="V11" s="884"/>
      <c r="W11" s="884"/>
      <c r="X11" s="884"/>
      <c r="Y11" s="884"/>
      <c r="Z11" s="884"/>
      <c r="AA11" s="884"/>
      <c r="AB11" s="872" t="str">
        <f t="shared" si="2"/>
        <v/>
      </c>
      <c r="AC11" s="873" t="str">
        <f>""</f>
        <v/>
      </c>
      <c r="AD11" s="873" t="str">
        <f>""</f>
        <v/>
      </c>
      <c r="AE11" s="873" t="str">
        <f>IF(K6&lt;&gt;"",K6,"")</f>
        <v/>
      </c>
      <c r="AF11" s="874" t="str">
        <f>IF(K7&lt;&gt;"",K7,"")</f>
        <v/>
      </c>
      <c r="AG11" s="875" t="str">
        <f>IF(T5&lt;&gt;"",T5,"")</f>
        <v/>
      </c>
      <c r="AH11" s="876" t="str">
        <f>IF(K12&lt;&gt;"",K12*100,"")</f>
        <v/>
      </c>
      <c r="AI11" s="876" t="str">
        <f>IF(T14&lt;&gt;"",T14,"")</f>
        <v/>
      </c>
      <c r="AJ11" s="880" t="str">
        <f>IF(AH11="","",((AH11/100)-K14)*100)</f>
        <v/>
      </c>
      <c r="AK11" s="1267" t="str">
        <f>IF(AA5&lt;&gt;"",AA5*100,"")</f>
        <v/>
      </c>
    </row>
    <row r="12" spans="1:37" s="316" customFormat="1" ht="15" customHeight="1" x14ac:dyDescent="0.3">
      <c r="A12" s="1955"/>
      <c r="B12" s="652"/>
      <c r="C12" s="653"/>
      <c r="D12" s="870" t="s">
        <v>320</v>
      </c>
      <c r="E12" s="888"/>
      <c r="F12" s="888"/>
      <c r="G12" s="888"/>
      <c r="H12" s="888"/>
      <c r="I12" s="888"/>
      <c r="J12" s="888"/>
      <c r="K12" s="888"/>
      <c r="L12" s="651"/>
      <c r="M12" s="1960"/>
      <c r="N12" s="889" t="str">
        <f>IF(E10&lt;&gt;"",LOOKUP(E10,Tara!$P$5:$P$21,Tara!$Q$5:$Q$21),"")</f>
        <v/>
      </c>
      <c r="O12" s="889" t="str">
        <f>IF(F10&lt;&gt;"",LOOKUP(F10,Tara!$P$5:$P$21,Tara!$Q$5:$Q$21),"")</f>
        <v/>
      </c>
      <c r="P12" s="889" t="str">
        <f>IF(G10&lt;&gt;"",LOOKUP(G10,Tara!$P$5:$P$21,Tara!$Q$5:$Q$21),"")</f>
        <v/>
      </c>
      <c r="Q12" s="889" t="str">
        <f>IF(H10&lt;&gt;"",LOOKUP(H10,Tara!$P$5:$P$21,Tara!$Q$5:$Q$21),"")</f>
        <v/>
      </c>
      <c r="R12" s="889" t="str">
        <f>IF(I10&lt;&gt;"",LOOKUP(I10,Tara!$P$5:$P$21,Tara!$Q$5:$Q$21),"")</f>
        <v/>
      </c>
      <c r="S12" s="889" t="str">
        <f>IF(J10&lt;&gt;"",LOOKUP(J10,Tara!$P$5:$P$21,Tara!$Q$5:$Q$21),"")</f>
        <v/>
      </c>
      <c r="T12" s="889" t="str">
        <f>IF(K10&lt;&gt;"",LOOKUP(K10,Tara!$P$5:$P$21,Tara!$Q$5:$Q$21),"")</f>
        <v/>
      </c>
      <c r="U12" s="884"/>
      <c r="V12" s="884"/>
      <c r="W12" s="884"/>
      <c r="X12" s="884"/>
      <c r="Y12" s="884"/>
      <c r="Z12" s="884"/>
      <c r="AA12" s="884"/>
      <c r="AB12" s="872" t="str">
        <f>""</f>
        <v/>
      </c>
      <c r="AC12" s="873" t="str">
        <f>""</f>
        <v/>
      </c>
      <c r="AD12" s="873" t="str">
        <f>""</f>
        <v/>
      </c>
      <c r="AE12" s="873" t="str">
        <f>""</f>
        <v/>
      </c>
      <c r="AF12" s="874" t="str">
        <f>""</f>
        <v/>
      </c>
      <c r="AG12" s="875" t="str">
        <f>""</f>
        <v/>
      </c>
      <c r="AH12" s="876" t="str">
        <f>""</f>
        <v/>
      </c>
      <c r="AI12" s="876" t="str">
        <f>""</f>
        <v/>
      </c>
      <c r="AJ12" s="890" t="str">
        <f>""</f>
        <v/>
      </c>
      <c r="AK12" s="1267" t="str">
        <f>""</f>
        <v/>
      </c>
    </row>
    <row r="13" spans="1:37" s="316" customFormat="1" ht="15" customHeight="1" x14ac:dyDescent="0.3">
      <c r="A13" s="1955"/>
      <c r="B13" s="654"/>
      <c r="C13" s="655"/>
      <c r="D13" s="891" t="s">
        <v>321</v>
      </c>
      <c r="E13" s="750"/>
      <c r="F13" s="750"/>
      <c r="G13" s="750"/>
      <c r="H13" s="750"/>
      <c r="I13" s="750"/>
      <c r="J13" s="750"/>
      <c r="K13" s="750"/>
      <c r="L13" s="651"/>
      <c r="M13" s="1960"/>
      <c r="N13" s="887" t="str">
        <f t="shared" ref="N13:T13" si="6">IF(E11&lt;&gt;"",(E11-N12)/N11,"")</f>
        <v/>
      </c>
      <c r="O13" s="887" t="str">
        <f t="shared" si="6"/>
        <v/>
      </c>
      <c r="P13" s="892" t="str">
        <f t="shared" si="6"/>
        <v/>
      </c>
      <c r="Q13" s="892" t="str">
        <f t="shared" si="6"/>
        <v/>
      </c>
      <c r="R13" s="892" t="str">
        <f t="shared" si="6"/>
        <v/>
      </c>
      <c r="S13" s="892" t="str">
        <f t="shared" si="6"/>
        <v/>
      </c>
      <c r="T13" s="892" t="str">
        <f t="shared" si="6"/>
        <v/>
      </c>
      <c r="U13" s="884"/>
      <c r="V13" s="884"/>
      <c r="W13" s="884"/>
      <c r="X13" s="884"/>
      <c r="Y13" s="884"/>
      <c r="Z13" s="884"/>
      <c r="AA13" s="884"/>
      <c r="AB13" s="872" t="str">
        <f>""</f>
        <v/>
      </c>
      <c r="AC13" s="873" t="str">
        <f>""</f>
        <v/>
      </c>
      <c r="AD13" s="873" t="str">
        <f>""</f>
        <v/>
      </c>
      <c r="AE13" s="873" t="str">
        <f>""</f>
        <v/>
      </c>
      <c r="AF13" s="874" t="str">
        <f>""</f>
        <v/>
      </c>
      <c r="AG13" s="893" t="str">
        <f>""</f>
        <v/>
      </c>
      <c r="AH13" s="894" t="str">
        <f>""</f>
        <v/>
      </c>
      <c r="AI13" s="894" t="str">
        <f>""</f>
        <v/>
      </c>
      <c r="AJ13" s="895" t="str">
        <f>""</f>
        <v/>
      </c>
      <c r="AK13" s="1269" t="str">
        <f>""</f>
        <v/>
      </c>
    </row>
    <row r="14" spans="1:37" s="316" customFormat="1" ht="15" customHeight="1" thickBot="1" x14ac:dyDescent="0.35">
      <c r="A14" s="1956"/>
      <c r="B14" s="656"/>
      <c r="C14" s="657"/>
      <c r="D14" s="658" t="s">
        <v>99</v>
      </c>
      <c r="E14" s="556"/>
      <c r="F14" s="556"/>
      <c r="G14" s="556"/>
      <c r="H14" s="556"/>
      <c r="I14" s="556"/>
      <c r="J14" s="556"/>
      <c r="K14" s="556"/>
      <c r="L14" s="659"/>
      <c r="M14" s="1961"/>
      <c r="N14" s="630" t="str">
        <f t="shared" ref="N14:T14" si="7">IF(N13&lt;&gt;"",N13/(1+E12),"")</f>
        <v/>
      </c>
      <c r="O14" s="630" t="str">
        <f t="shared" si="7"/>
        <v/>
      </c>
      <c r="P14" s="549" t="str">
        <f t="shared" si="7"/>
        <v/>
      </c>
      <c r="Q14" s="549" t="str">
        <f t="shared" si="7"/>
        <v/>
      </c>
      <c r="R14" s="549" t="str">
        <f t="shared" si="7"/>
        <v/>
      </c>
      <c r="S14" s="549" t="str">
        <f t="shared" si="7"/>
        <v/>
      </c>
      <c r="T14" s="549" t="str">
        <f t="shared" si="7"/>
        <v/>
      </c>
      <c r="U14" s="550"/>
      <c r="V14" s="550"/>
      <c r="W14" s="550"/>
      <c r="X14" s="550"/>
      <c r="Y14" s="550"/>
      <c r="Z14" s="550"/>
      <c r="AA14" s="550"/>
      <c r="AB14" s="551">
        <f>MAX(AB$5:AB13)+1</f>
        <v>1</v>
      </c>
      <c r="AC14" s="552" t="str">
        <f>""</f>
        <v/>
      </c>
      <c r="AD14" s="552" t="str">
        <f>""</f>
        <v/>
      </c>
      <c r="AE14" s="552" t="str">
        <f>""</f>
        <v/>
      </c>
      <c r="AF14" s="558" t="str">
        <f>""</f>
        <v/>
      </c>
      <c r="AG14" s="553" t="str">
        <f>""</f>
        <v/>
      </c>
      <c r="AH14" s="632" t="str">
        <f>""</f>
        <v/>
      </c>
      <c r="AI14" s="632" t="str">
        <f>""</f>
        <v/>
      </c>
      <c r="AJ14" s="554" t="str">
        <f>""</f>
        <v/>
      </c>
      <c r="AK14" s="555" t="str">
        <f>""</f>
        <v/>
      </c>
    </row>
    <row r="15" spans="1:37" s="56" customFormat="1" ht="15" customHeight="1" x14ac:dyDescent="0.3">
      <c r="A15" s="1954">
        <f>A5+1</f>
        <v>2</v>
      </c>
      <c r="B15" s="1957" t="s">
        <v>309</v>
      </c>
      <c r="C15" s="1958"/>
      <c r="D15" s="648" t="s">
        <v>34</v>
      </c>
      <c r="E15" s="649"/>
      <c r="F15" s="649"/>
      <c r="G15" s="649"/>
      <c r="H15" s="649"/>
      <c r="I15" s="649"/>
      <c r="J15" s="649"/>
      <c r="K15" s="649"/>
      <c r="L15" s="650" t="str">
        <f>IF(E15&lt;&gt;"",MAX(L$5:L14)+1,"")</f>
        <v/>
      </c>
      <c r="M15" s="1959" t="s">
        <v>25</v>
      </c>
      <c r="N15" s="539" t="str">
        <f t="shared" ref="N15:T15" si="8">IF(E15&lt;&gt;"",E15,"")</f>
        <v/>
      </c>
      <c r="O15" s="539" t="str">
        <f t="shared" si="8"/>
        <v/>
      </c>
      <c r="P15" s="539" t="str">
        <f t="shared" si="8"/>
        <v/>
      </c>
      <c r="Q15" s="539" t="str">
        <f t="shared" si="8"/>
        <v/>
      </c>
      <c r="R15" s="539" t="str">
        <f t="shared" si="8"/>
        <v/>
      </c>
      <c r="S15" s="539" t="str">
        <f t="shared" si="8"/>
        <v/>
      </c>
      <c r="T15" s="539" t="str">
        <f t="shared" si="8"/>
        <v/>
      </c>
      <c r="U15" s="540" t="str">
        <f t="shared" ref="U15:AA15" si="9">IF(N24&lt;&gt;"",N24/E23*1000,"")</f>
        <v/>
      </c>
      <c r="V15" s="540" t="str">
        <f t="shared" si="9"/>
        <v/>
      </c>
      <c r="W15" s="540" t="str">
        <f t="shared" si="9"/>
        <v/>
      </c>
      <c r="X15" s="540" t="str">
        <f t="shared" si="9"/>
        <v/>
      </c>
      <c r="Y15" s="540" t="str">
        <f t="shared" si="9"/>
        <v/>
      </c>
      <c r="Z15" s="540" t="str">
        <f t="shared" si="9"/>
        <v/>
      </c>
      <c r="AA15" s="540" t="str">
        <f t="shared" si="9"/>
        <v/>
      </c>
      <c r="AB15" s="539" t="str">
        <f>IF(L15&lt;&gt;"",L15,"")</f>
        <v/>
      </c>
      <c r="AC15" s="541" t="str">
        <f>IF(C16&lt;&gt;"",CONCATENATE(C16," a ",C17),"")</f>
        <v/>
      </c>
      <c r="AD15" s="542" t="str">
        <f>IF(C19&lt;&gt;"",C19,"")</f>
        <v/>
      </c>
      <c r="AE15" s="543" t="str">
        <f>IF(E16&lt;&gt;"",E16,"")</f>
        <v/>
      </c>
      <c r="AF15" s="557" t="str">
        <f>IF(E17&lt;&gt;"",E17,"")</f>
        <v/>
      </c>
      <c r="AG15" s="544" t="str">
        <f>IF(N15&lt;&gt;"",N15,"")</f>
        <v/>
      </c>
      <c r="AH15" s="545" t="str">
        <f>IF(E22&lt;&gt;"",E22*100,"")</f>
        <v/>
      </c>
      <c r="AI15" s="546" t="str">
        <f>IF(N24&lt;&gt;"",N24,"")</f>
        <v/>
      </c>
      <c r="AJ15" s="547" t="str">
        <f>IF(AH15="","",((AH15/100)-E24)*100)</f>
        <v/>
      </c>
      <c r="AK15" s="548" t="str">
        <f>IF(U15&lt;&gt;"",U15*100,"")</f>
        <v/>
      </c>
    </row>
    <row r="16" spans="1:37" s="57" customFormat="1" ht="15" customHeight="1" x14ac:dyDescent="0.3">
      <c r="A16" s="1955"/>
      <c r="B16" s="869" t="s">
        <v>310</v>
      </c>
      <c r="C16" s="666"/>
      <c r="D16" s="870" t="s">
        <v>156</v>
      </c>
      <c r="E16" s="871"/>
      <c r="F16" s="871"/>
      <c r="G16" s="871"/>
      <c r="H16" s="871"/>
      <c r="I16" s="871"/>
      <c r="J16" s="871"/>
      <c r="K16" s="871"/>
      <c r="L16" s="651" t="str">
        <f>IF(F15&lt;&gt;"",MAX(L$5:L15)+1,"")</f>
        <v/>
      </c>
      <c r="M16" s="1960"/>
      <c r="N16" s="872" t="str">
        <f>IF(E18&lt;&gt;"",LOOKUP(E18,Tara!$L$5:$L$21,Tara!$M$5:$M$21),"")</f>
        <v/>
      </c>
      <c r="O16" s="872" t="str">
        <f>IF(F18&lt;&gt;"",LOOKUP(F18,Tara!$L$5:$L$21,Tara!$M$5:$M$21),"")</f>
        <v/>
      </c>
      <c r="P16" s="872" t="str">
        <f>IF(G18&lt;&gt;"",LOOKUP(G18,Tara!$L$5:$L$21,Tara!$M$5:$M$21),"")</f>
        <v/>
      </c>
      <c r="Q16" s="872" t="str">
        <f>IF(H18&lt;&gt;"",LOOKUP(H18,Tara!$L$5:$L$21,Tara!$M$5:$M$21),"")</f>
        <v/>
      </c>
      <c r="R16" s="872" t="str">
        <f>IF(I18&lt;&gt;"",LOOKUP(I18,Tara!$L$5:$L$21,Tara!$M$5:$M$21),"")</f>
        <v/>
      </c>
      <c r="S16" s="872" t="str">
        <f>IF(J18&lt;&gt;"",LOOKUP(J18,Tara!$L$5:$L$21,Tara!$M$5:$M$21),"")</f>
        <v/>
      </c>
      <c r="T16" s="872" t="str">
        <f>IF(K18&lt;&gt;"",LOOKUP(K18,Tara!$L$5:$L$21,Tara!$M$5:$M$21),"")</f>
        <v/>
      </c>
      <c r="U16" s="872"/>
      <c r="V16" s="872"/>
      <c r="W16" s="872"/>
      <c r="X16" s="872"/>
      <c r="Y16" s="872"/>
      <c r="Z16" s="872"/>
      <c r="AA16" s="872"/>
      <c r="AB16" s="872" t="str">
        <f t="shared" ref="AB16:AB21" si="10">IF(L16&lt;&gt;"",L16,"")</f>
        <v/>
      </c>
      <c r="AC16" s="873" t="str">
        <f>""</f>
        <v/>
      </c>
      <c r="AD16" s="873" t="str">
        <f>""</f>
        <v/>
      </c>
      <c r="AE16" s="873" t="str">
        <f>IF(F16&lt;&gt;"",F16,"")</f>
        <v/>
      </c>
      <c r="AF16" s="874" t="str">
        <f>IF(E17&lt;&gt;"",F17,"")</f>
        <v/>
      </c>
      <c r="AG16" s="875" t="str">
        <f>IF(O15&lt;&gt;"",O15,"")</f>
        <v/>
      </c>
      <c r="AH16" s="896" t="str">
        <f>IF(F22&lt;&gt;"",F22*100,"")</f>
        <v/>
      </c>
      <c r="AI16" s="897" t="str">
        <f>IF(O24&lt;&gt;"",O24,"")</f>
        <v/>
      </c>
      <c r="AJ16" s="880" t="str">
        <f>IF(AH16="","",((AH16/100)-F24)*100)</f>
        <v/>
      </c>
      <c r="AK16" s="1267" t="str">
        <f>IF(V15&lt;&gt;"",V15*100,"")</f>
        <v/>
      </c>
    </row>
    <row r="17" spans="1:37" s="56" customFormat="1" ht="15" customHeight="1" x14ac:dyDescent="0.3">
      <c r="A17" s="1955"/>
      <c r="B17" s="869" t="s">
        <v>311</v>
      </c>
      <c r="C17" s="666"/>
      <c r="D17" s="870" t="s">
        <v>312</v>
      </c>
      <c r="E17" s="878"/>
      <c r="F17" s="878"/>
      <c r="G17" s="878"/>
      <c r="H17" s="878"/>
      <c r="I17" s="878"/>
      <c r="J17" s="878"/>
      <c r="K17" s="1268"/>
      <c r="L17" s="651" t="str">
        <f>IF(G15&lt;&gt;"",MAX(L$5:L16)+1,"")</f>
        <v/>
      </c>
      <c r="M17" s="1960"/>
      <c r="N17" s="872" t="str">
        <f t="shared" ref="N17:T17" si="11">IF(N16&lt;&gt;"",N16-E19,"")</f>
        <v/>
      </c>
      <c r="O17" s="872" t="str">
        <f t="shared" si="11"/>
        <v/>
      </c>
      <c r="P17" s="872" t="str">
        <f t="shared" si="11"/>
        <v/>
      </c>
      <c r="Q17" s="872" t="str">
        <f t="shared" si="11"/>
        <v/>
      </c>
      <c r="R17" s="872" t="str">
        <f t="shared" si="11"/>
        <v/>
      </c>
      <c r="S17" s="872" t="str">
        <f t="shared" si="11"/>
        <v/>
      </c>
      <c r="T17" s="872" t="str">
        <f t="shared" si="11"/>
        <v/>
      </c>
      <c r="U17" s="879"/>
      <c r="V17" s="879"/>
      <c r="W17" s="879"/>
      <c r="X17" s="879"/>
      <c r="Y17" s="879"/>
      <c r="Z17" s="879"/>
      <c r="AA17" s="879"/>
      <c r="AB17" s="872" t="str">
        <f t="shared" si="10"/>
        <v/>
      </c>
      <c r="AC17" s="873" t="str">
        <f>""</f>
        <v/>
      </c>
      <c r="AD17" s="873" t="str">
        <f>""</f>
        <v/>
      </c>
      <c r="AE17" s="873" t="str">
        <f>IF(G16&lt;&gt;"",G16,"")</f>
        <v/>
      </c>
      <c r="AF17" s="874" t="str">
        <f>IF(G17&lt;&gt;"",G17,"")</f>
        <v/>
      </c>
      <c r="AG17" s="875" t="str">
        <f>IF(P15&lt;&gt;"",P15,"")</f>
        <v/>
      </c>
      <c r="AH17" s="896" t="str">
        <f>IF(G22&lt;&gt;"",G22*100,"")</f>
        <v/>
      </c>
      <c r="AI17" s="897" t="str">
        <f>IF(P24&lt;&gt;"",P24,"")</f>
        <v/>
      </c>
      <c r="AJ17" s="880" t="str">
        <f>IF(AH17="","",((AH17/100)-G24)*100)</f>
        <v/>
      </c>
      <c r="AK17" s="1267" t="str">
        <f>IF(W15&lt;&gt;"",W15*100,"")</f>
        <v/>
      </c>
    </row>
    <row r="18" spans="1:37" s="56" customFormat="1" ht="15" customHeight="1" x14ac:dyDescent="0.3">
      <c r="A18" s="1955"/>
      <c r="B18" s="869" t="s">
        <v>313</v>
      </c>
      <c r="C18" s="666"/>
      <c r="D18" s="870" t="s">
        <v>314</v>
      </c>
      <c r="E18" s="750"/>
      <c r="F18" s="750"/>
      <c r="G18" s="750"/>
      <c r="H18" s="750"/>
      <c r="I18" s="750"/>
      <c r="J18" s="750"/>
      <c r="K18" s="750"/>
      <c r="L18" s="651" t="str">
        <f>IF(H15&lt;&gt;"",MAX(L$5:L17)+1,"")</f>
        <v/>
      </c>
      <c r="M18" s="1960"/>
      <c r="N18" s="872" t="str">
        <f>IF(E18&lt;&gt;"",LOOKUP(E18,Tara!$L$5:$L$21,Tara!$N$5:$N$21),"")</f>
        <v/>
      </c>
      <c r="O18" s="872" t="str">
        <f>IF(F18&lt;&gt;"",LOOKUP(F18,Tara!$L$5:$L$21,Tara!$N$5:$N$21),"")</f>
        <v/>
      </c>
      <c r="P18" s="872" t="str">
        <f>IF(G18&lt;&gt;"",LOOKUP(G18,Tara!$L$5:$L$21,Tara!$N$5:$N$21),"")</f>
        <v/>
      </c>
      <c r="Q18" s="872" t="str">
        <f>IF(H18&lt;&gt;"",LOOKUP(H18,Tara!$L$5:$L$21,Tara!$N$5:$N$21),"")</f>
        <v/>
      </c>
      <c r="R18" s="872" t="str">
        <f>IF(I18&lt;&gt;"",LOOKUP(I18,Tara!$L$5:$L$21,Tara!$N$5:$N$21),"")</f>
        <v/>
      </c>
      <c r="S18" s="872" t="str">
        <f>IF(J18&lt;&gt;"",LOOKUP(J18,Tara!$L$5:$L$21,Tara!$N$5:$N$21),"")</f>
        <v/>
      </c>
      <c r="T18" s="872" t="str">
        <f>IF(K18&lt;&gt;"",LOOKUP(K18,Tara!$L$5:$L$21,Tara!$N$5:$N$21),"")</f>
        <v/>
      </c>
      <c r="U18" s="881"/>
      <c r="V18" s="881"/>
      <c r="W18" s="881"/>
      <c r="X18" s="881"/>
      <c r="Y18" s="881"/>
      <c r="Z18" s="881"/>
      <c r="AA18" s="881"/>
      <c r="AB18" s="872" t="str">
        <f t="shared" si="10"/>
        <v/>
      </c>
      <c r="AC18" s="873" t="str">
        <f>""</f>
        <v/>
      </c>
      <c r="AD18" s="873" t="str">
        <f>""</f>
        <v/>
      </c>
      <c r="AE18" s="873" t="str">
        <f>IF(H16&lt;&gt;"",H16,"")</f>
        <v/>
      </c>
      <c r="AF18" s="874" t="str">
        <f>IF(H17&lt;&gt;"",H17,"")</f>
        <v/>
      </c>
      <c r="AG18" s="875" t="str">
        <f>IF(Q15&lt;&gt;"",Q15,"")</f>
        <v/>
      </c>
      <c r="AH18" s="896" t="str">
        <f>IF(H22&lt;&gt;"",H22*100,"")</f>
        <v/>
      </c>
      <c r="AI18" s="897" t="str">
        <f>IF(Q24&lt;&gt;"",Q24,"")</f>
        <v/>
      </c>
      <c r="AJ18" s="880" t="str">
        <f>IF(AH18="","",((AH18/100)-H24)*100)</f>
        <v/>
      </c>
      <c r="AK18" s="1267" t="str">
        <f>IF(X15&lt;&gt;"",X15*100,"")</f>
        <v/>
      </c>
    </row>
    <row r="19" spans="1:37" s="56" customFormat="1" ht="15" customHeight="1" x14ac:dyDescent="0.3">
      <c r="A19" s="1955"/>
      <c r="B19" s="882" t="s">
        <v>57</v>
      </c>
      <c r="C19" s="688"/>
      <c r="D19" s="870" t="s">
        <v>315</v>
      </c>
      <c r="E19" s="871"/>
      <c r="F19" s="871"/>
      <c r="G19" s="871"/>
      <c r="H19" s="871"/>
      <c r="I19" s="871"/>
      <c r="J19" s="871"/>
      <c r="K19" s="871"/>
      <c r="L19" s="651" t="str">
        <f>IF(I15&lt;&gt;"",MAX(L$5:L18)+1,"")</f>
        <v/>
      </c>
      <c r="M19" s="1960"/>
      <c r="N19" s="872" t="str">
        <f t="shared" ref="N19:T19" si="12">IF(N17&lt;&gt;"",N17-N18,"")</f>
        <v/>
      </c>
      <c r="O19" s="872" t="str">
        <f t="shared" si="12"/>
        <v/>
      </c>
      <c r="P19" s="872" t="str">
        <f t="shared" si="12"/>
        <v/>
      </c>
      <c r="Q19" s="872" t="str">
        <f t="shared" si="12"/>
        <v/>
      </c>
      <c r="R19" s="872" t="str">
        <f t="shared" si="12"/>
        <v/>
      </c>
      <c r="S19" s="872" t="str">
        <f t="shared" si="12"/>
        <v/>
      </c>
      <c r="T19" s="872" t="str">
        <f t="shared" si="12"/>
        <v/>
      </c>
      <c r="U19" s="881"/>
      <c r="V19" s="881"/>
      <c r="W19" s="881"/>
      <c r="X19" s="881"/>
      <c r="Y19" s="881"/>
      <c r="Z19" s="881"/>
      <c r="AA19" s="881"/>
      <c r="AB19" s="872" t="str">
        <f t="shared" si="10"/>
        <v/>
      </c>
      <c r="AC19" s="873" t="str">
        <f>""</f>
        <v/>
      </c>
      <c r="AD19" s="873" t="str">
        <f>""</f>
        <v/>
      </c>
      <c r="AE19" s="873" t="str">
        <f>IF(I16&lt;&gt;"",I16,"")</f>
        <v/>
      </c>
      <c r="AF19" s="874" t="str">
        <f>IF(I17&lt;&gt;"",I17,"")</f>
        <v/>
      </c>
      <c r="AG19" s="875" t="str">
        <f>IF(R15&lt;&gt;"",R15,"")</f>
        <v/>
      </c>
      <c r="AH19" s="896" t="str">
        <f>IF(I22&lt;&gt;"",I22*100,"")</f>
        <v/>
      </c>
      <c r="AI19" s="897" t="str">
        <f>IF(R24&lt;&gt;"",R24,"")</f>
        <v/>
      </c>
      <c r="AJ19" s="880" t="str">
        <f>IF(AH19="","",((AH19/100)-I24)*100)</f>
        <v/>
      </c>
      <c r="AK19" s="1267" t="str">
        <f>IF(Y15&lt;&gt;"",Y15*100,"")</f>
        <v/>
      </c>
    </row>
    <row r="20" spans="1:37" s="316" customFormat="1" ht="15" customHeight="1" x14ac:dyDescent="0.3">
      <c r="A20" s="1955"/>
      <c r="B20" s="882" t="s">
        <v>316</v>
      </c>
      <c r="C20" s="666"/>
      <c r="D20" s="883" t="s">
        <v>317</v>
      </c>
      <c r="E20" s="750"/>
      <c r="F20" s="750"/>
      <c r="G20" s="750"/>
      <c r="H20" s="750"/>
      <c r="I20" s="750"/>
      <c r="J20" s="750"/>
      <c r="K20" s="750"/>
      <c r="L20" s="651" t="str">
        <f>IF(J15&lt;&gt;"",MAX(L$5:L19)+1,"")</f>
        <v/>
      </c>
      <c r="M20" s="1960"/>
      <c r="N20" s="872" t="str">
        <f>IF(E18&lt;&gt;"",LOOKUP(E18,Tara!$L$5:$L$21,Tara!$O$5:$O$21),"")</f>
        <v/>
      </c>
      <c r="O20" s="872" t="str">
        <f>IF(F18&lt;&gt;"",LOOKUP(F18,Tara!$L$5:$L$21,Tara!$O$5:$O$21),"")</f>
        <v/>
      </c>
      <c r="P20" s="872" t="str">
        <f>IF(G18&lt;&gt;"",LOOKUP(G18,Tara!$L$5:$L$21,Tara!$O$5:$O$21),"")</f>
        <v/>
      </c>
      <c r="Q20" s="872" t="str">
        <f>IF(H18&lt;&gt;"",LOOKUP(H18,Tara!$L$5:$L$21,Tara!$O$5:$O$21),"")</f>
        <v/>
      </c>
      <c r="R20" s="872" t="str">
        <f>IF(I18&lt;&gt;"",LOOKUP(I18,Tara!$L$5:$L$21,Tara!$O$5:$O$21),"")</f>
        <v/>
      </c>
      <c r="S20" s="872" t="str">
        <f>IF(J18&lt;&gt;"",LOOKUP(J18,Tara!$L$5:$L$21,Tara!$O$5:$O$21),"")</f>
        <v/>
      </c>
      <c r="T20" s="872" t="str">
        <f>IF(K18&lt;&gt;"",LOOKUP(K18,Tara!$L$5:$L$21,Tara!$O$5:$O$21),"")</f>
        <v/>
      </c>
      <c r="U20" s="884"/>
      <c r="V20" s="884"/>
      <c r="W20" s="884"/>
      <c r="X20" s="884"/>
      <c r="Y20" s="884"/>
      <c r="Z20" s="884"/>
      <c r="AA20" s="884"/>
      <c r="AB20" s="872" t="str">
        <f t="shared" si="10"/>
        <v/>
      </c>
      <c r="AC20" s="873" t="str">
        <f>""</f>
        <v/>
      </c>
      <c r="AD20" s="873" t="str">
        <f>""</f>
        <v/>
      </c>
      <c r="AE20" s="873" t="str">
        <f>IF(J16&lt;&gt;"",J16,"")</f>
        <v/>
      </c>
      <c r="AF20" s="874" t="str">
        <f>IF(J17&lt;&gt;"",J17,"")</f>
        <v/>
      </c>
      <c r="AG20" s="875" t="str">
        <f>IF(S15&lt;&gt;"",S15,"")</f>
        <v/>
      </c>
      <c r="AH20" s="896" t="str">
        <f>IF(J22&lt;&gt;"",J22*100,"")</f>
        <v/>
      </c>
      <c r="AI20" s="897" t="str">
        <f>IF(S24&lt;&gt;"",S24,"")</f>
        <v/>
      </c>
      <c r="AJ20" s="880" t="str">
        <f>IF(AH20="","",((AH20/100)-J24)*100)</f>
        <v/>
      </c>
      <c r="AK20" s="1267" t="str">
        <f>IF(Z15&lt;&gt;"",Z15*100,"")</f>
        <v/>
      </c>
    </row>
    <row r="21" spans="1:37" s="316" customFormat="1" ht="15" customHeight="1" x14ac:dyDescent="0.3">
      <c r="A21" s="1955"/>
      <c r="B21" s="885" t="s">
        <v>318</v>
      </c>
      <c r="C21" s="886"/>
      <c r="D21" s="870" t="s">
        <v>319</v>
      </c>
      <c r="E21" s="750"/>
      <c r="F21" s="750"/>
      <c r="G21" s="750"/>
      <c r="H21" s="750"/>
      <c r="I21" s="750"/>
      <c r="J21" s="750"/>
      <c r="K21" s="750"/>
      <c r="L21" s="651" t="str">
        <f>IF(K15&lt;&gt;"",MAX(L$5:L20)+1,"")</f>
        <v/>
      </c>
      <c r="M21" s="1960"/>
      <c r="N21" s="887" t="str">
        <f>IF(N19&lt;&gt;"",N19/N20,"")</f>
        <v/>
      </c>
      <c r="O21" s="887" t="str">
        <f t="shared" ref="O21:T21" si="13">IF(O19&lt;&gt;"",O19/O20,"")</f>
        <v/>
      </c>
      <c r="P21" s="887" t="str">
        <f t="shared" si="13"/>
        <v/>
      </c>
      <c r="Q21" s="887" t="str">
        <f t="shared" si="13"/>
        <v/>
      </c>
      <c r="R21" s="887" t="str">
        <f t="shared" si="13"/>
        <v/>
      </c>
      <c r="S21" s="887" t="str">
        <f t="shared" si="13"/>
        <v/>
      </c>
      <c r="T21" s="887" t="str">
        <f t="shared" si="13"/>
        <v/>
      </c>
      <c r="U21" s="884"/>
      <c r="V21" s="884"/>
      <c r="W21" s="884"/>
      <c r="X21" s="884"/>
      <c r="Y21" s="884"/>
      <c r="Z21" s="884"/>
      <c r="AA21" s="884"/>
      <c r="AB21" s="872" t="str">
        <f t="shared" si="10"/>
        <v/>
      </c>
      <c r="AC21" s="873" t="str">
        <f>""</f>
        <v/>
      </c>
      <c r="AD21" s="873" t="str">
        <f>""</f>
        <v/>
      </c>
      <c r="AE21" s="873" t="str">
        <f>IF(K16&lt;&gt;"",K16,"")</f>
        <v/>
      </c>
      <c r="AF21" s="874" t="str">
        <f>IF(K17&lt;&gt;"",K17,"")</f>
        <v/>
      </c>
      <c r="AG21" s="875" t="str">
        <f>IF(T15&lt;&gt;"",T15,"")</f>
        <v/>
      </c>
      <c r="AH21" s="896" t="str">
        <f>IF(K22&lt;&gt;"",K22*100,"")</f>
        <v/>
      </c>
      <c r="AI21" s="897" t="str">
        <f>IF(T24&lt;&gt;"",T24,"")</f>
        <v/>
      </c>
      <c r="AJ21" s="880" t="str">
        <f>IF(AH21="","",((AH21/100)-K24)*100)</f>
        <v/>
      </c>
      <c r="AK21" s="1267" t="str">
        <f>IF(AA15&lt;&gt;"",AA15*100,"")</f>
        <v/>
      </c>
    </row>
    <row r="22" spans="1:37" s="316" customFormat="1" ht="15" customHeight="1" x14ac:dyDescent="0.3">
      <c r="A22" s="1955"/>
      <c r="B22" s="652"/>
      <c r="C22" s="653"/>
      <c r="D22" s="870" t="s">
        <v>320</v>
      </c>
      <c r="E22" s="888"/>
      <c r="F22" s="888"/>
      <c r="G22" s="888"/>
      <c r="H22" s="888"/>
      <c r="I22" s="888"/>
      <c r="J22" s="888"/>
      <c r="K22" s="888"/>
      <c r="L22" s="651"/>
      <c r="M22" s="1960"/>
      <c r="N22" s="889" t="str">
        <f>IF(E20&lt;&gt;"",LOOKUP(E20,Tara!$P$5:$P$21,Tara!$Q$5:$Q$21),"")</f>
        <v/>
      </c>
      <c r="O22" s="889" t="str">
        <f>IF(F20&lt;&gt;"",LOOKUP(F20,Tara!$P$5:$P$21,Tara!$Q$5:$Q$21),"")</f>
        <v/>
      </c>
      <c r="P22" s="889" t="str">
        <f>IF(G20&lt;&gt;"",LOOKUP(G20,Tara!$P$5:$P$21,Tara!$Q$5:$Q$21),"")</f>
        <v/>
      </c>
      <c r="Q22" s="889" t="str">
        <f>IF(H20&lt;&gt;"",LOOKUP(H20,Tara!$P$5:$P$21,Tara!$Q$5:$Q$21),"")</f>
        <v/>
      </c>
      <c r="R22" s="889" t="str">
        <f>IF(I20&lt;&gt;"",LOOKUP(I20,Tara!$P$5:$P$21,Tara!$Q$5:$Q$21),"")</f>
        <v/>
      </c>
      <c r="S22" s="889" t="str">
        <f>IF(J20&lt;&gt;"",LOOKUP(J20,Tara!$P$5:$P$21,Tara!$Q$5:$Q$21),"")</f>
        <v/>
      </c>
      <c r="T22" s="889" t="str">
        <f>IF(K20&lt;&gt;"",LOOKUP(K20,Tara!$P$5:$P$21,Tara!$Q$5:$Q$21),"")</f>
        <v/>
      </c>
      <c r="U22" s="884"/>
      <c r="V22" s="884"/>
      <c r="W22" s="884"/>
      <c r="X22" s="884"/>
      <c r="Y22" s="884"/>
      <c r="Z22" s="884"/>
      <c r="AA22" s="884"/>
      <c r="AB22" s="872" t="str">
        <f>""</f>
        <v/>
      </c>
      <c r="AC22" s="873" t="str">
        <f>""</f>
        <v/>
      </c>
      <c r="AD22" s="873" t="str">
        <f>""</f>
        <v/>
      </c>
      <c r="AE22" s="873" t="str">
        <f>""</f>
        <v/>
      </c>
      <c r="AF22" s="874" t="str">
        <f>""</f>
        <v/>
      </c>
      <c r="AG22" s="875" t="str">
        <f>""</f>
        <v/>
      </c>
      <c r="AH22" s="875" t="str">
        <f>""</f>
        <v/>
      </c>
      <c r="AI22" s="875" t="str">
        <f>""</f>
        <v/>
      </c>
      <c r="AJ22" s="890" t="str">
        <f>""</f>
        <v/>
      </c>
      <c r="AK22" s="1267" t="str">
        <f>""</f>
        <v/>
      </c>
    </row>
    <row r="23" spans="1:37" s="316" customFormat="1" ht="15" customHeight="1" x14ac:dyDescent="0.3">
      <c r="A23" s="1955"/>
      <c r="B23" s="654"/>
      <c r="C23" s="655"/>
      <c r="D23" s="891" t="s">
        <v>321</v>
      </c>
      <c r="E23" s="750"/>
      <c r="F23" s="750"/>
      <c r="G23" s="750"/>
      <c r="H23" s="750"/>
      <c r="I23" s="750"/>
      <c r="J23" s="750"/>
      <c r="K23" s="750"/>
      <c r="L23" s="651"/>
      <c r="M23" s="1960"/>
      <c r="N23" s="892" t="str">
        <f t="shared" ref="N23:T23" si="14">IF(E21&lt;&gt;"",(E21-N22)/N21,"")</f>
        <v/>
      </c>
      <c r="O23" s="892" t="str">
        <f t="shared" si="14"/>
        <v/>
      </c>
      <c r="P23" s="892" t="str">
        <f t="shared" si="14"/>
        <v/>
      </c>
      <c r="Q23" s="892" t="str">
        <f t="shared" si="14"/>
        <v/>
      </c>
      <c r="R23" s="892" t="str">
        <f t="shared" si="14"/>
        <v/>
      </c>
      <c r="S23" s="892" t="str">
        <f t="shared" si="14"/>
        <v/>
      </c>
      <c r="T23" s="892" t="str">
        <f t="shared" si="14"/>
        <v/>
      </c>
      <c r="U23" s="884"/>
      <c r="V23" s="884"/>
      <c r="W23" s="884"/>
      <c r="X23" s="884"/>
      <c r="Y23" s="884"/>
      <c r="Z23" s="884"/>
      <c r="AA23" s="884"/>
      <c r="AB23" s="872" t="str">
        <f>""</f>
        <v/>
      </c>
      <c r="AC23" s="873" t="str">
        <f>""</f>
        <v/>
      </c>
      <c r="AD23" s="873" t="str">
        <f>""</f>
        <v/>
      </c>
      <c r="AE23" s="873" t="str">
        <f>""</f>
        <v/>
      </c>
      <c r="AF23" s="874" t="str">
        <f>""</f>
        <v/>
      </c>
      <c r="AG23" s="893" t="str">
        <f>""</f>
        <v/>
      </c>
      <c r="AH23" s="893" t="str">
        <f>""</f>
        <v/>
      </c>
      <c r="AI23" s="893" t="str">
        <f>""</f>
        <v/>
      </c>
      <c r="AJ23" s="895" t="str">
        <f>""</f>
        <v/>
      </c>
      <c r="AK23" s="1269" t="str">
        <f>""</f>
        <v/>
      </c>
    </row>
    <row r="24" spans="1:37" s="316" customFormat="1" ht="15" customHeight="1" thickBot="1" x14ac:dyDescent="0.35">
      <c r="A24" s="1956"/>
      <c r="B24" s="656"/>
      <c r="C24" s="657"/>
      <c r="D24" s="658" t="s">
        <v>99</v>
      </c>
      <c r="E24" s="556"/>
      <c r="F24" s="556"/>
      <c r="G24" s="556"/>
      <c r="H24" s="556"/>
      <c r="I24" s="556"/>
      <c r="J24" s="556"/>
      <c r="K24" s="556"/>
      <c r="L24" s="659"/>
      <c r="M24" s="1961"/>
      <c r="N24" s="549" t="str">
        <f t="shared" ref="N24:T24" si="15">IF(N23&lt;&gt;"",N23/(1+E22),"")</f>
        <v/>
      </c>
      <c r="O24" s="549" t="str">
        <f t="shared" si="15"/>
        <v/>
      </c>
      <c r="P24" s="549" t="str">
        <f t="shared" si="15"/>
        <v/>
      </c>
      <c r="Q24" s="549" t="str">
        <f t="shared" si="15"/>
        <v/>
      </c>
      <c r="R24" s="549" t="str">
        <f t="shared" si="15"/>
        <v/>
      </c>
      <c r="S24" s="549" t="str">
        <f t="shared" si="15"/>
        <v/>
      </c>
      <c r="T24" s="549" t="str">
        <f t="shared" si="15"/>
        <v/>
      </c>
      <c r="U24" s="550"/>
      <c r="V24" s="550"/>
      <c r="W24" s="550"/>
      <c r="X24" s="550"/>
      <c r="Y24" s="550"/>
      <c r="Z24" s="550"/>
      <c r="AA24" s="550"/>
      <c r="AB24" s="551">
        <f>MAX(AB$5:AB23)+1</f>
        <v>2</v>
      </c>
      <c r="AC24" s="552" t="str">
        <f>""</f>
        <v/>
      </c>
      <c r="AD24" s="552" t="str">
        <f>""</f>
        <v/>
      </c>
      <c r="AE24" s="552" t="str">
        <f>""</f>
        <v/>
      </c>
      <c r="AF24" s="558" t="str">
        <f>""</f>
        <v/>
      </c>
      <c r="AG24" s="553" t="str">
        <f>""</f>
        <v/>
      </c>
      <c r="AH24" s="553" t="str">
        <f>""</f>
        <v/>
      </c>
      <c r="AI24" s="553" t="str">
        <f>""</f>
        <v/>
      </c>
      <c r="AJ24" s="554" t="str">
        <f>""</f>
        <v/>
      </c>
      <c r="AK24" s="555" t="str">
        <f>""</f>
        <v/>
      </c>
    </row>
    <row r="25" spans="1:37" s="56" customFormat="1" ht="15" customHeight="1" x14ac:dyDescent="0.3">
      <c r="A25" s="1954">
        <f>A15+1</f>
        <v>3</v>
      </c>
      <c r="B25" s="1957" t="s">
        <v>309</v>
      </c>
      <c r="C25" s="1958"/>
      <c r="D25" s="648" t="s">
        <v>34</v>
      </c>
      <c r="E25" s="649"/>
      <c r="F25" s="649"/>
      <c r="G25" s="649"/>
      <c r="H25" s="649"/>
      <c r="I25" s="649"/>
      <c r="J25" s="649"/>
      <c r="K25" s="649"/>
      <c r="L25" s="650" t="str">
        <f>IF(E25&lt;&gt;"",MAX(L$5:L24)+1,"")</f>
        <v/>
      </c>
      <c r="M25" s="1959" t="s">
        <v>25</v>
      </c>
      <c r="N25" s="539" t="str">
        <f t="shared" ref="N25:T25" si="16">IF(E25&lt;&gt;"",E25,"")</f>
        <v/>
      </c>
      <c r="O25" s="539" t="str">
        <f t="shared" si="16"/>
        <v/>
      </c>
      <c r="P25" s="539" t="str">
        <f t="shared" si="16"/>
        <v/>
      </c>
      <c r="Q25" s="539" t="str">
        <f t="shared" si="16"/>
        <v/>
      </c>
      <c r="R25" s="539" t="str">
        <f t="shared" si="16"/>
        <v/>
      </c>
      <c r="S25" s="539" t="str">
        <f t="shared" si="16"/>
        <v/>
      </c>
      <c r="T25" s="539" t="str">
        <f t="shared" si="16"/>
        <v/>
      </c>
      <c r="U25" s="540" t="str">
        <f t="shared" ref="U25:AA25" si="17">IF(N34&lt;&gt;"",N34/E33*1000,"")</f>
        <v/>
      </c>
      <c r="V25" s="540" t="str">
        <f t="shared" si="17"/>
        <v/>
      </c>
      <c r="W25" s="540" t="str">
        <f t="shared" si="17"/>
        <v/>
      </c>
      <c r="X25" s="540" t="str">
        <f t="shared" si="17"/>
        <v/>
      </c>
      <c r="Y25" s="540" t="str">
        <f t="shared" si="17"/>
        <v/>
      </c>
      <c r="Z25" s="540" t="str">
        <f t="shared" si="17"/>
        <v/>
      </c>
      <c r="AA25" s="540" t="str">
        <f t="shared" si="17"/>
        <v/>
      </c>
      <c r="AB25" s="539" t="str">
        <f>IF(L25&lt;&gt;"",L25,"")</f>
        <v/>
      </c>
      <c r="AC25" s="541" t="str">
        <f>IF(C26&lt;&gt;"",CONCATENATE(C26," a ",C27),"")</f>
        <v/>
      </c>
      <c r="AD25" s="542" t="str">
        <f>IF(C29&lt;&gt;"",C29,"")</f>
        <v/>
      </c>
      <c r="AE25" s="543" t="str">
        <f>IF(E26&lt;&gt;"",E26,"")</f>
        <v/>
      </c>
      <c r="AF25" s="557" t="str">
        <f>IF(E27&lt;&gt;"",E27,"")</f>
        <v/>
      </c>
      <c r="AG25" s="544" t="str">
        <f>IF(N25&lt;&gt;"",N25,"")</f>
        <v/>
      </c>
      <c r="AH25" s="545" t="str">
        <f>IF(E32&lt;&gt;"",E32*100,"")</f>
        <v/>
      </c>
      <c r="AI25" s="546" t="str">
        <f>IF(N34&lt;&gt;"",N34,"")</f>
        <v/>
      </c>
      <c r="AJ25" s="547" t="str">
        <f>IF(AH25="","",((AH25/100)-E34)*100)</f>
        <v/>
      </c>
      <c r="AK25" s="548" t="str">
        <f>IF(U25&lt;&gt;"",U25*100,"")</f>
        <v/>
      </c>
    </row>
    <row r="26" spans="1:37" s="57" customFormat="1" ht="15" customHeight="1" x14ac:dyDescent="0.3">
      <c r="A26" s="1955"/>
      <c r="B26" s="869" t="s">
        <v>310</v>
      </c>
      <c r="C26" s="666"/>
      <c r="D26" s="870" t="s">
        <v>156</v>
      </c>
      <c r="E26" s="871"/>
      <c r="F26" s="871"/>
      <c r="G26" s="871"/>
      <c r="H26" s="871"/>
      <c r="I26" s="871"/>
      <c r="J26" s="871"/>
      <c r="K26" s="871"/>
      <c r="L26" s="651" t="str">
        <f>IF(F25&lt;&gt;"",MAX(L$5:L25)+1,"")</f>
        <v/>
      </c>
      <c r="M26" s="1960"/>
      <c r="N26" s="872" t="str">
        <f>IF(E28&lt;&gt;"",LOOKUP(E28,Tara!$L$5:$L$21,Tara!$M$5:$M$21),"")</f>
        <v/>
      </c>
      <c r="O26" s="872" t="str">
        <f>IF(F28&lt;&gt;"",LOOKUP(F28,Tara!$L$5:$L$21,Tara!$M$5:$M$21),"")</f>
        <v/>
      </c>
      <c r="P26" s="872" t="str">
        <f>IF(G28&lt;&gt;"",LOOKUP(G28,Tara!$L$5:$L$21,Tara!$M$5:$M$21),"")</f>
        <v/>
      </c>
      <c r="Q26" s="872" t="str">
        <f>IF(H28&lt;&gt;"",LOOKUP(H28,Tara!$L$5:$L$21,Tara!$M$5:$M$21),"")</f>
        <v/>
      </c>
      <c r="R26" s="872" t="str">
        <f>IF(I28&lt;&gt;"",LOOKUP(I28,Tara!$L$5:$L$21,Tara!$M$5:$M$21),"")</f>
        <v/>
      </c>
      <c r="S26" s="872" t="str">
        <f>IF(J28&lt;&gt;"",LOOKUP(J28,Tara!$L$5:$L$21,Tara!$M$5:$M$21),"")</f>
        <v/>
      </c>
      <c r="T26" s="872" t="str">
        <f>IF(K28&lt;&gt;"",LOOKUP(K28,Tara!$L$5:$L$21,Tara!$M$5:$M$21),"")</f>
        <v/>
      </c>
      <c r="U26" s="872"/>
      <c r="V26" s="872"/>
      <c r="W26" s="872"/>
      <c r="X26" s="872"/>
      <c r="Y26" s="872"/>
      <c r="Z26" s="872"/>
      <c r="AA26" s="872"/>
      <c r="AB26" s="872" t="str">
        <f t="shared" ref="AB26:AB31" si="18">IF(L26&lt;&gt;"",L26,"")</f>
        <v/>
      </c>
      <c r="AC26" s="873" t="str">
        <f>""</f>
        <v/>
      </c>
      <c r="AD26" s="873" t="str">
        <f>""</f>
        <v/>
      </c>
      <c r="AE26" s="873" t="str">
        <f>IF(F26&lt;&gt;"",F26,"")</f>
        <v/>
      </c>
      <c r="AF26" s="874" t="str">
        <f>IF(E27&lt;&gt;"",F27,"")</f>
        <v/>
      </c>
      <c r="AG26" s="875" t="str">
        <f>IF(O25&lt;&gt;"",O25,"")</f>
        <v/>
      </c>
      <c r="AH26" s="896" t="str">
        <f>IF(F32&lt;&gt;"",F32*100,"")</f>
        <v/>
      </c>
      <c r="AI26" s="897" t="str">
        <f>IF(O34&lt;&gt;"",O34,"")</f>
        <v/>
      </c>
      <c r="AJ26" s="880" t="str">
        <f>IF(AH26="","",((AH26/100)-F34)*100)</f>
        <v/>
      </c>
      <c r="AK26" s="1267" t="str">
        <f>IF(V25&lt;&gt;"",V25*100,"")</f>
        <v/>
      </c>
    </row>
    <row r="27" spans="1:37" s="56" customFormat="1" ht="15" customHeight="1" x14ac:dyDescent="0.3">
      <c r="A27" s="1955"/>
      <c r="B27" s="869" t="s">
        <v>311</v>
      </c>
      <c r="C27" s="666"/>
      <c r="D27" s="870" t="s">
        <v>312</v>
      </c>
      <c r="E27" s="878"/>
      <c r="F27" s="878"/>
      <c r="G27" s="878"/>
      <c r="H27" s="878"/>
      <c r="I27" s="878"/>
      <c r="J27" s="878"/>
      <c r="K27" s="1268"/>
      <c r="L27" s="651" t="str">
        <f>IF(G25&lt;&gt;"",MAX(L$5:L26)+1,"")</f>
        <v/>
      </c>
      <c r="M27" s="1960"/>
      <c r="N27" s="872" t="str">
        <f t="shared" ref="N27:T27" si="19">IF(N26&lt;&gt;"",N26-E29,"")</f>
        <v/>
      </c>
      <c r="O27" s="872" t="str">
        <f t="shared" si="19"/>
        <v/>
      </c>
      <c r="P27" s="872" t="str">
        <f t="shared" si="19"/>
        <v/>
      </c>
      <c r="Q27" s="872" t="str">
        <f t="shared" si="19"/>
        <v/>
      </c>
      <c r="R27" s="872" t="str">
        <f t="shared" si="19"/>
        <v/>
      </c>
      <c r="S27" s="872" t="str">
        <f t="shared" si="19"/>
        <v/>
      </c>
      <c r="T27" s="872" t="str">
        <f t="shared" si="19"/>
        <v/>
      </c>
      <c r="U27" s="879"/>
      <c r="V27" s="879"/>
      <c r="W27" s="879"/>
      <c r="X27" s="879"/>
      <c r="Y27" s="879"/>
      <c r="Z27" s="879"/>
      <c r="AA27" s="879"/>
      <c r="AB27" s="872" t="str">
        <f t="shared" si="18"/>
        <v/>
      </c>
      <c r="AC27" s="873" t="str">
        <f>""</f>
        <v/>
      </c>
      <c r="AD27" s="873" t="str">
        <f>""</f>
        <v/>
      </c>
      <c r="AE27" s="873" t="str">
        <f>IF(G26&lt;&gt;"",G26,"")</f>
        <v/>
      </c>
      <c r="AF27" s="874" t="str">
        <f>IF(G27&lt;&gt;"",G27,"")</f>
        <v/>
      </c>
      <c r="AG27" s="875" t="str">
        <f>IF(P25&lt;&gt;"",P25,"")</f>
        <v/>
      </c>
      <c r="AH27" s="896" t="str">
        <f>IF(G32&lt;&gt;"",G32*100,"")</f>
        <v/>
      </c>
      <c r="AI27" s="897" t="str">
        <f>IF(P34&lt;&gt;"",P34,"")</f>
        <v/>
      </c>
      <c r="AJ27" s="880" t="str">
        <f>IF(AH27="","",((AH27/100)-G34)*100)</f>
        <v/>
      </c>
      <c r="AK27" s="1267" t="str">
        <f>IF(W25&lt;&gt;"",W25*100,"")</f>
        <v/>
      </c>
    </row>
    <row r="28" spans="1:37" s="56" customFormat="1" ht="15" customHeight="1" x14ac:dyDescent="0.3">
      <c r="A28" s="1955"/>
      <c r="B28" s="869" t="s">
        <v>313</v>
      </c>
      <c r="C28" s="666"/>
      <c r="D28" s="870" t="s">
        <v>314</v>
      </c>
      <c r="E28" s="750"/>
      <c r="F28" s="750"/>
      <c r="G28" s="750"/>
      <c r="H28" s="750"/>
      <c r="I28" s="750"/>
      <c r="J28" s="750"/>
      <c r="K28" s="750"/>
      <c r="L28" s="651" t="str">
        <f>IF(H25&lt;&gt;"",MAX(L$5:L27)+1,"")</f>
        <v/>
      </c>
      <c r="M28" s="1960"/>
      <c r="N28" s="872" t="str">
        <f>IF(E28&lt;&gt;"",LOOKUP(E28,Tara!$L$5:$L$21,Tara!$N$5:$N$21),"")</f>
        <v/>
      </c>
      <c r="O28" s="872" t="str">
        <f>IF(F28&lt;&gt;"",LOOKUP(F28,Tara!$L$5:$L$21,Tara!$N$5:$N$21),"")</f>
        <v/>
      </c>
      <c r="P28" s="872" t="str">
        <f>IF(G28&lt;&gt;"",LOOKUP(G28,Tara!$L$5:$L$21,Tara!$N$5:$N$21),"")</f>
        <v/>
      </c>
      <c r="Q28" s="872" t="str">
        <f>IF(H28&lt;&gt;"",LOOKUP(H28,Tara!$L$5:$L$21,Tara!$N$5:$N$21),"")</f>
        <v/>
      </c>
      <c r="R28" s="872" t="str">
        <f>IF(I28&lt;&gt;"",LOOKUP(I28,Tara!$L$5:$L$21,Tara!$N$5:$N$21),"")</f>
        <v/>
      </c>
      <c r="S28" s="872" t="str">
        <f>IF(J28&lt;&gt;"",LOOKUP(J28,Tara!$L$5:$L$21,Tara!$N$5:$N$21),"")</f>
        <v/>
      </c>
      <c r="T28" s="872" t="str">
        <f>IF(K28&lt;&gt;"",LOOKUP(K28,Tara!$L$5:$L$21,Tara!$N$5:$N$21),"")</f>
        <v/>
      </c>
      <c r="U28" s="881"/>
      <c r="V28" s="881"/>
      <c r="W28" s="881"/>
      <c r="X28" s="881"/>
      <c r="Y28" s="881"/>
      <c r="Z28" s="881"/>
      <c r="AA28" s="881"/>
      <c r="AB28" s="872" t="str">
        <f t="shared" si="18"/>
        <v/>
      </c>
      <c r="AC28" s="873" t="str">
        <f>""</f>
        <v/>
      </c>
      <c r="AD28" s="873" t="str">
        <f>""</f>
        <v/>
      </c>
      <c r="AE28" s="873" t="str">
        <f>IF(H26&lt;&gt;"",H26,"")</f>
        <v/>
      </c>
      <c r="AF28" s="874" t="str">
        <f>IF(H27&lt;&gt;"",H27,"")</f>
        <v/>
      </c>
      <c r="AG28" s="875" t="str">
        <f>IF(Q25&lt;&gt;"",Q25,"")</f>
        <v/>
      </c>
      <c r="AH28" s="896" t="str">
        <f>IF(H32&lt;&gt;"",H32*100,"")</f>
        <v/>
      </c>
      <c r="AI28" s="897" t="str">
        <f>IF(Q34&lt;&gt;"",Q34,"")</f>
        <v/>
      </c>
      <c r="AJ28" s="880" t="str">
        <f>IF(AH28="","",((AH28/100)-H34)*100)</f>
        <v/>
      </c>
      <c r="AK28" s="1267" t="str">
        <f>IF(X25&lt;&gt;"",X25*100,"")</f>
        <v/>
      </c>
    </row>
    <row r="29" spans="1:37" s="56" customFormat="1" ht="15" customHeight="1" x14ac:dyDescent="0.3">
      <c r="A29" s="1955"/>
      <c r="B29" s="882" t="s">
        <v>57</v>
      </c>
      <c r="C29" s="688"/>
      <c r="D29" s="870" t="s">
        <v>315</v>
      </c>
      <c r="E29" s="871"/>
      <c r="F29" s="871"/>
      <c r="G29" s="871"/>
      <c r="H29" s="871"/>
      <c r="I29" s="871"/>
      <c r="J29" s="871"/>
      <c r="K29" s="871"/>
      <c r="L29" s="651" t="str">
        <f>IF(I25&lt;&gt;"",MAX(L$5:L28)+1,"")</f>
        <v/>
      </c>
      <c r="M29" s="1960"/>
      <c r="N29" s="872" t="str">
        <f t="shared" ref="N29:T29" si="20">IF(N27&lt;&gt;"",N27-N28,"")</f>
        <v/>
      </c>
      <c r="O29" s="872" t="str">
        <f t="shared" si="20"/>
        <v/>
      </c>
      <c r="P29" s="872" t="str">
        <f t="shared" si="20"/>
        <v/>
      </c>
      <c r="Q29" s="872" t="str">
        <f t="shared" si="20"/>
        <v/>
      </c>
      <c r="R29" s="872" t="str">
        <f t="shared" si="20"/>
        <v/>
      </c>
      <c r="S29" s="872" t="str">
        <f t="shared" si="20"/>
        <v/>
      </c>
      <c r="T29" s="872" t="str">
        <f t="shared" si="20"/>
        <v/>
      </c>
      <c r="U29" s="881"/>
      <c r="V29" s="881"/>
      <c r="W29" s="881"/>
      <c r="X29" s="881"/>
      <c r="Y29" s="881"/>
      <c r="Z29" s="881"/>
      <c r="AA29" s="881"/>
      <c r="AB29" s="872" t="str">
        <f t="shared" si="18"/>
        <v/>
      </c>
      <c r="AC29" s="873" t="str">
        <f>""</f>
        <v/>
      </c>
      <c r="AD29" s="873" t="str">
        <f>""</f>
        <v/>
      </c>
      <c r="AE29" s="873" t="str">
        <f>IF(I26&lt;&gt;"",I26,"")</f>
        <v/>
      </c>
      <c r="AF29" s="874" t="str">
        <f>IF(I27&lt;&gt;"",I27,"")</f>
        <v/>
      </c>
      <c r="AG29" s="875" t="str">
        <f>IF(R25&lt;&gt;"",R25,"")</f>
        <v/>
      </c>
      <c r="AH29" s="896" t="str">
        <f>IF(I32&lt;&gt;"",I32*100,"")</f>
        <v/>
      </c>
      <c r="AI29" s="897" t="str">
        <f>IF(R34&lt;&gt;"",R34,"")</f>
        <v/>
      </c>
      <c r="AJ29" s="880" t="str">
        <f>IF(AH29="","",((AH29/100)-I34)*100)</f>
        <v/>
      </c>
      <c r="AK29" s="1267" t="str">
        <f>IF(Y25&lt;&gt;"",Y25*100,"")</f>
        <v/>
      </c>
    </row>
    <row r="30" spans="1:37" s="316" customFormat="1" ht="15" customHeight="1" x14ac:dyDescent="0.3">
      <c r="A30" s="1955"/>
      <c r="B30" s="882" t="s">
        <v>316</v>
      </c>
      <c r="C30" s="666"/>
      <c r="D30" s="883" t="s">
        <v>317</v>
      </c>
      <c r="E30" s="750"/>
      <c r="F30" s="750"/>
      <c r="G30" s="750"/>
      <c r="H30" s="750"/>
      <c r="I30" s="750"/>
      <c r="J30" s="750"/>
      <c r="K30" s="750"/>
      <c r="L30" s="651" t="str">
        <f>IF(J25&lt;&gt;"",MAX(L$5:L29)+1,"")</f>
        <v/>
      </c>
      <c r="M30" s="1960"/>
      <c r="N30" s="872" t="str">
        <f>IF(E28&lt;&gt;"",LOOKUP(E28,Tara!$L$5:$L$21,Tara!$O$5:$O$21),"")</f>
        <v/>
      </c>
      <c r="O30" s="872" t="str">
        <f>IF(F28&lt;&gt;"",LOOKUP(F28,Tara!$L$5:$L$21,Tara!$O$5:$O$21),"")</f>
        <v/>
      </c>
      <c r="P30" s="872" t="str">
        <f>IF(G28&lt;&gt;"",LOOKUP(G28,Tara!$L$5:$L$21,Tara!$O$5:$O$21),"")</f>
        <v/>
      </c>
      <c r="Q30" s="872" t="str">
        <f>IF(H28&lt;&gt;"",LOOKUP(H28,Tara!$L$5:$L$21,Tara!$O$5:$O$21),"")</f>
        <v/>
      </c>
      <c r="R30" s="872" t="str">
        <f>IF(I28&lt;&gt;"",LOOKUP(I28,Tara!$L$5:$L$21,Tara!$O$5:$O$21),"")</f>
        <v/>
      </c>
      <c r="S30" s="872" t="str">
        <f>IF(J28&lt;&gt;"",LOOKUP(J28,Tara!$L$5:$L$21,Tara!$O$5:$O$21),"")</f>
        <v/>
      </c>
      <c r="T30" s="872" t="str">
        <f>IF(K28&lt;&gt;"",LOOKUP(K28,Tara!$L$5:$L$21,Tara!$O$5:$O$21),"")</f>
        <v/>
      </c>
      <c r="U30" s="884"/>
      <c r="V30" s="884"/>
      <c r="W30" s="884"/>
      <c r="X30" s="884"/>
      <c r="Y30" s="884"/>
      <c r="Z30" s="884"/>
      <c r="AA30" s="884"/>
      <c r="AB30" s="872" t="str">
        <f t="shared" si="18"/>
        <v/>
      </c>
      <c r="AC30" s="873" t="str">
        <f>""</f>
        <v/>
      </c>
      <c r="AD30" s="873" t="str">
        <f>""</f>
        <v/>
      </c>
      <c r="AE30" s="873" t="str">
        <f>IF(J26&lt;&gt;"",J26,"")</f>
        <v/>
      </c>
      <c r="AF30" s="874" t="str">
        <f>IF(J27&lt;&gt;"",J27,"")</f>
        <v/>
      </c>
      <c r="AG30" s="875" t="str">
        <f>IF(S25&lt;&gt;"",S25,"")</f>
        <v/>
      </c>
      <c r="AH30" s="896" t="str">
        <f>IF(J32&lt;&gt;"",J32*100,"")</f>
        <v/>
      </c>
      <c r="AI30" s="897" t="str">
        <f>IF(S34&lt;&gt;"",S34,"")</f>
        <v/>
      </c>
      <c r="AJ30" s="880" t="str">
        <f>IF(AH30="","",((AH30/100)-J34)*100)</f>
        <v/>
      </c>
      <c r="AK30" s="1267" t="str">
        <f>IF(Z25&lt;&gt;"",Z25*100,"")</f>
        <v/>
      </c>
    </row>
    <row r="31" spans="1:37" s="316" customFormat="1" ht="15" customHeight="1" x14ac:dyDescent="0.3">
      <c r="A31" s="1955"/>
      <c r="B31" s="885" t="s">
        <v>318</v>
      </c>
      <c r="C31" s="886"/>
      <c r="D31" s="870" t="s">
        <v>319</v>
      </c>
      <c r="E31" s="750"/>
      <c r="F31" s="750"/>
      <c r="G31" s="750"/>
      <c r="H31" s="750"/>
      <c r="I31" s="750"/>
      <c r="J31" s="750"/>
      <c r="K31" s="750"/>
      <c r="L31" s="651" t="str">
        <f>IF(K25&lt;&gt;"",MAX(L$5:L30)+1,"")</f>
        <v/>
      </c>
      <c r="M31" s="1960"/>
      <c r="N31" s="887" t="str">
        <f>IF(N29&lt;&gt;"",N29/N30,"")</f>
        <v/>
      </c>
      <c r="O31" s="887" t="str">
        <f t="shared" ref="O31:T31" si="21">IF(O29&lt;&gt;"",O29/O30,"")</f>
        <v/>
      </c>
      <c r="P31" s="887" t="str">
        <f t="shared" si="21"/>
        <v/>
      </c>
      <c r="Q31" s="887" t="str">
        <f t="shared" si="21"/>
        <v/>
      </c>
      <c r="R31" s="887" t="str">
        <f t="shared" si="21"/>
        <v/>
      </c>
      <c r="S31" s="887" t="str">
        <f t="shared" si="21"/>
        <v/>
      </c>
      <c r="T31" s="887" t="str">
        <f t="shared" si="21"/>
        <v/>
      </c>
      <c r="U31" s="884"/>
      <c r="V31" s="884"/>
      <c r="W31" s="884"/>
      <c r="X31" s="884"/>
      <c r="Y31" s="884"/>
      <c r="Z31" s="884"/>
      <c r="AA31" s="884"/>
      <c r="AB31" s="872" t="str">
        <f t="shared" si="18"/>
        <v/>
      </c>
      <c r="AC31" s="873" t="str">
        <f>""</f>
        <v/>
      </c>
      <c r="AD31" s="873" t="str">
        <f>""</f>
        <v/>
      </c>
      <c r="AE31" s="873" t="str">
        <f>IF(K26&lt;&gt;"",K26,"")</f>
        <v/>
      </c>
      <c r="AF31" s="874" t="str">
        <f>IF(K27&lt;&gt;"",K27,"")</f>
        <v/>
      </c>
      <c r="AG31" s="875" t="str">
        <f>IF(T25&lt;&gt;"",T25,"")</f>
        <v/>
      </c>
      <c r="AH31" s="896" t="str">
        <f>IF(K32&lt;&gt;"",K32*100,"")</f>
        <v/>
      </c>
      <c r="AI31" s="897" t="str">
        <f>IF(T34&lt;&gt;"",T34,"")</f>
        <v/>
      </c>
      <c r="AJ31" s="880" t="str">
        <f>IF(AH31="","",((AH31/100)-K34)*100)</f>
        <v/>
      </c>
      <c r="AK31" s="1267" t="str">
        <f>IF(AA25&lt;&gt;"",AA25*100,"")</f>
        <v/>
      </c>
    </row>
    <row r="32" spans="1:37" s="316" customFormat="1" ht="15" customHeight="1" x14ac:dyDescent="0.3">
      <c r="A32" s="1955"/>
      <c r="B32" s="652"/>
      <c r="C32" s="653"/>
      <c r="D32" s="870" t="s">
        <v>320</v>
      </c>
      <c r="E32" s="888"/>
      <c r="F32" s="888"/>
      <c r="G32" s="888"/>
      <c r="H32" s="888"/>
      <c r="I32" s="888"/>
      <c r="J32" s="888"/>
      <c r="K32" s="888"/>
      <c r="L32" s="651"/>
      <c r="M32" s="1960"/>
      <c r="N32" s="889" t="str">
        <f>IF(E30&lt;&gt;"",LOOKUP(E30,Tara!$P$5:$P$21,Tara!$Q$5:$Q$21),"")</f>
        <v/>
      </c>
      <c r="O32" s="889" t="str">
        <f>IF(F30&lt;&gt;"",LOOKUP(F30,Tara!$P$5:$P$21,Tara!$Q$5:$Q$21),"")</f>
        <v/>
      </c>
      <c r="P32" s="889" t="str">
        <f>IF(G30&lt;&gt;"",LOOKUP(G30,Tara!$P$5:$P$21,Tara!$Q$5:$Q$21),"")</f>
        <v/>
      </c>
      <c r="Q32" s="889" t="str">
        <f>IF(H30&lt;&gt;"",LOOKUP(H30,Tara!$P$5:$P$21,Tara!$Q$5:$Q$21),"")</f>
        <v/>
      </c>
      <c r="R32" s="889" t="str">
        <f>IF(I30&lt;&gt;"",LOOKUP(I30,Tara!$P$5:$P$21,Tara!$Q$5:$Q$21),"")</f>
        <v/>
      </c>
      <c r="S32" s="889" t="str">
        <f>IF(J30&lt;&gt;"",LOOKUP(J30,Tara!$P$5:$P$21,Tara!$Q$5:$Q$21),"")</f>
        <v/>
      </c>
      <c r="T32" s="889" t="str">
        <f>IF(K30&lt;&gt;"",LOOKUP(K30,Tara!$P$5:$P$21,Tara!$Q$5:$Q$21),"")</f>
        <v/>
      </c>
      <c r="U32" s="884"/>
      <c r="V32" s="884"/>
      <c r="W32" s="884"/>
      <c r="X32" s="884"/>
      <c r="Y32" s="884"/>
      <c r="Z32" s="884"/>
      <c r="AA32" s="884"/>
      <c r="AB32" s="872" t="str">
        <f>""</f>
        <v/>
      </c>
      <c r="AC32" s="873" t="str">
        <f>""</f>
        <v/>
      </c>
      <c r="AD32" s="873" t="str">
        <f>""</f>
        <v/>
      </c>
      <c r="AE32" s="873" t="str">
        <f>""</f>
        <v/>
      </c>
      <c r="AF32" s="874" t="str">
        <f>""</f>
        <v/>
      </c>
      <c r="AG32" s="875" t="str">
        <f>""</f>
        <v/>
      </c>
      <c r="AH32" s="875" t="str">
        <f>""</f>
        <v/>
      </c>
      <c r="AI32" s="875" t="str">
        <f>""</f>
        <v/>
      </c>
      <c r="AJ32" s="890" t="str">
        <f>""</f>
        <v/>
      </c>
      <c r="AK32" s="1267" t="str">
        <f>""</f>
        <v/>
      </c>
    </row>
    <row r="33" spans="1:37" s="316" customFormat="1" ht="15" customHeight="1" x14ac:dyDescent="0.3">
      <c r="A33" s="1955"/>
      <c r="B33" s="654"/>
      <c r="C33" s="655"/>
      <c r="D33" s="891" t="s">
        <v>321</v>
      </c>
      <c r="E33" s="750"/>
      <c r="F33" s="750"/>
      <c r="G33" s="750"/>
      <c r="H33" s="750"/>
      <c r="I33" s="750"/>
      <c r="J33" s="750"/>
      <c r="K33" s="750"/>
      <c r="L33" s="651"/>
      <c r="M33" s="1960"/>
      <c r="N33" s="892" t="str">
        <f t="shared" ref="N33:T33" si="22">IF(E31&lt;&gt;"",(E31-N32)/N31,"")</f>
        <v/>
      </c>
      <c r="O33" s="892" t="str">
        <f t="shared" si="22"/>
        <v/>
      </c>
      <c r="P33" s="892" t="str">
        <f t="shared" si="22"/>
        <v/>
      </c>
      <c r="Q33" s="892" t="str">
        <f t="shared" si="22"/>
        <v/>
      </c>
      <c r="R33" s="892" t="str">
        <f t="shared" si="22"/>
        <v/>
      </c>
      <c r="S33" s="892" t="str">
        <f t="shared" si="22"/>
        <v/>
      </c>
      <c r="T33" s="892" t="str">
        <f t="shared" si="22"/>
        <v/>
      </c>
      <c r="U33" s="884"/>
      <c r="V33" s="884"/>
      <c r="W33" s="884"/>
      <c r="X33" s="884"/>
      <c r="Y33" s="884"/>
      <c r="Z33" s="884"/>
      <c r="AA33" s="884"/>
      <c r="AB33" s="872" t="str">
        <f>""</f>
        <v/>
      </c>
      <c r="AC33" s="873" t="str">
        <f>""</f>
        <v/>
      </c>
      <c r="AD33" s="873" t="str">
        <f>""</f>
        <v/>
      </c>
      <c r="AE33" s="873" t="str">
        <f>""</f>
        <v/>
      </c>
      <c r="AF33" s="874" t="str">
        <f>""</f>
        <v/>
      </c>
      <c r="AG33" s="893" t="str">
        <f>""</f>
        <v/>
      </c>
      <c r="AH33" s="893" t="str">
        <f>""</f>
        <v/>
      </c>
      <c r="AI33" s="893" t="str">
        <f>""</f>
        <v/>
      </c>
      <c r="AJ33" s="895" t="str">
        <f>""</f>
        <v/>
      </c>
      <c r="AK33" s="1269" t="str">
        <f>""</f>
        <v/>
      </c>
    </row>
    <row r="34" spans="1:37" s="316" customFormat="1" ht="15" customHeight="1" thickBot="1" x14ac:dyDescent="0.35">
      <c r="A34" s="1956"/>
      <c r="B34" s="656"/>
      <c r="C34" s="657"/>
      <c r="D34" s="658" t="s">
        <v>99</v>
      </c>
      <c r="E34" s="556"/>
      <c r="F34" s="556"/>
      <c r="G34" s="556"/>
      <c r="H34" s="556"/>
      <c r="I34" s="556"/>
      <c r="J34" s="556"/>
      <c r="K34" s="556"/>
      <c r="L34" s="659"/>
      <c r="M34" s="1961"/>
      <c r="N34" s="549" t="str">
        <f t="shared" ref="N34:T34" si="23">IF(N33&lt;&gt;"",N33/(1+E32),"")</f>
        <v/>
      </c>
      <c r="O34" s="549" t="str">
        <f t="shared" si="23"/>
        <v/>
      </c>
      <c r="P34" s="549" t="str">
        <f t="shared" si="23"/>
        <v/>
      </c>
      <c r="Q34" s="549" t="str">
        <f t="shared" si="23"/>
        <v/>
      </c>
      <c r="R34" s="549" t="str">
        <f t="shared" si="23"/>
        <v/>
      </c>
      <c r="S34" s="549" t="str">
        <f t="shared" si="23"/>
        <v/>
      </c>
      <c r="T34" s="549" t="str">
        <f t="shared" si="23"/>
        <v/>
      </c>
      <c r="U34" s="550"/>
      <c r="V34" s="550"/>
      <c r="W34" s="550"/>
      <c r="X34" s="550"/>
      <c r="Y34" s="550"/>
      <c r="Z34" s="550"/>
      <c r="AA34" s="550"/>
      <c r="AB34" s="551">
        <f>MAX(AB$5:AB33)+1</f>
        <v>3</v>
      </c>
      <c r="AC34" s="552" t="str">
        <f>""</f>
        <v/>
      </c>
      <c r="AD34" s="552" t="str">
        <f>""</f>
        <v/>
      </c>
      <c r="AE34" s="552" t="str">
        <f>""</f>
        <v/>
      </c>
      <c r="AF34" s="558" t="str">
        <f>""</f>
        <v/>
      </c>
      <c r="AG34" s="553" t="str">
        <f>""</f>
        <v/>
      </c>
      <c r="AH34" s="553" t="str">
        <f>""</f>
        <v/>
      </c>
      <c r="AI34" s="553" t="str">
        <f>""</f>
        <v/>
      </c>
      <c r="AJ34" s="554" t="str">
        <f>""</f>
        <v/>
      </c>
      <c r="AK34" s="555" t="str">
        <f>""</f>
        <v/>
      </c>
    </row>
    <row r="35" spans="1:37" s="56" customFormat="1" ht="15" customHeight="1" x14ac:dyDescent="0.3">
      <c r="A35" s="1954">
        <f>A25+1</f>
        <v>4</v>
      </c>
      <c r="B35" s="1957" t="s">
        <v>309</v>
      </c>
      <c r="C35" s="1958"/>
      <c r="D35" s="648" t="s">
        <v>34</v>
      </c>
      <c r="E35" s="649"/>
      <c r="F35" s="649"/>
      <c r="G35" s="649"/>
      <c r="H35" s="649"/>
      <c r="I35" s="649"/>
      <c r="J35" s="649"/>
      <c r="K35" s="649"/>
      <c r="L35" s="650" t="str">
        <f>IF(E35&lt;&gt;"",MAX(L$5:L34)+1,"")</f>
        <v/>
      </c>
      <c r="M35" s="1959" t="s">
        <v>25</v>
      </c>
      <c r="N35" s="539" t="str">
        <f t="shared" ref="N35:T35" si="24">IF(E35&lt;&gt;"",E35,"")</f>
        <v/>
      </c>
      <c r="O35" s="539" t="str">
        <f t="shared" si="24"/>
        <v/>
      </c>
      <c r="P35" s="539" t="str">
        <f t="shared" si="24"/>
        <v/>
      </c>
      <c r="Q35" s="539" t="str">
        <f t="shared" si="24"/>
        <v/>
      </c>
      <c r="R35" s="539" t="str">
        <f t="shared" si="24"/>
        <v/>
      </c>
      <c r="S35" s="539" t="str">
        <f t="shared" si="24"/>
        <v/>
      </c>
      <c r="T35" s="539" t="str">
        <f t="shared" si="24"/>
        <v/>
      </c>
      <c r="U35" s="540" t="str">
        <f t="shared" ref="U35:AA35" si="25">IF(N44&lt;&gt;"",N44/E43*1000,"")</f>
        <v/>
      </c>
      <c r="V35" s="540" t="str">
        <f t="shared" si="25"/>
        <v/>
      </c>
      <c r="W35" s="540" t="str">
        <f t="shared" si="25"/>
        <v/>
      </c>
      <c r="X35" s="540" t="str">
        <f t="shared" si="25"/>
        <v/>
      </c>
      <c r="Y35" s="540" t="str">
        <f t="shared" si="25"/>
        <v/>
      </c>
      <c r="Z35" s="540" t="str">
        <f t="shared" si="25"/>
        <v/>
      </c>
      <c r="AA35" s="540" t="str">
        <f t="shared" si="25"/>
        <v/>
      </c>
      <c r="AB35" s="539" t="str">
        <f>IF(L35&lt;&gt;"",L35,"")</f>
        <v/>
      </c>
      <c r="AC35" s="541" t="str">
        <f>IF(C36&lt;&gt;"",CONCATENATE(C36," a ",C37),"")</f>
        <v/>
      </c>
      <c r="AD35" s="542" t="str">
        <f>IF(C39&lt;&gt;"",C39,"")</f>
        <v/>
      </c>
      <c r="AE35" s="543" t="str">
        <f>IF(E36&lt;&gt;"",E36,"")</f>
        <v/>
      </c>
      <c r="AF35" s="557" t="str">
        <f>IF(E37&lt;&gt;"",E37,"")</f>
        <v/>
      </c>
      <c r="AG35" s="544" t="str">
        <f>IF(N35&lt;&gt;"",N35,"")</f>
        <v/>
      </c>
      <c r="AH35" s="545" t="str">
        <f>IF(E42&lt;&gt;"",E42*100,"")</f>
        <v/>
      </c>
      <c r="AI35" s="546" t="str">
        <f>IF(N44&lt;&gt;"",N44,"")</f>
        <v/>
      </c>
      <c r="AJ35" s="547" t="str">
        <f>IF(AH35="","",((AH35/100)-E44)*100)</f>
        <v/>
      </c>
      <c r="AK35" s="548" t="str">
        <f>IF(U35&lt;&gt;"",U35*100,"")</f>
        <v/>
      </c>
    </row>
    <row r="36" spans="1:37" s="57" customFormat="1" ht="15" customHeight="1" x14ac:dyDescent="0.3">
      <c r="A36" s="1955"/>
      <c r="B36" s="869" t="s">
        <v>310</v>
      </c>
      <c r="C36" s="666"/>
      <c r="D36" s="870" t="s">
        <v>156</v>
      </c>
      <c r="E36" s="871"/>
      <c r="F36" s="871"/>
      <c r="G36" s="871"/>
      <c r="H36" s="871"/>
      <c r="I36" s="871"/>
      <c r="J36" s="871"/>
      <c r="K36" s="871"/>
      <c r="L36" s="651" t="str">
        <f>IF(F35&lt;&gt;"",MAX(L$5:L35)+1,"")</f>
        <v/>
      </c>
      <c r="M36" s="1960"/>
      <c r="N36" s="872" t="str">
        <f>IF(E38&lt;&gt;"",LOOKUP(E38,Tara!$L$5:$L$21,Tara!$M$5:$M$21),"")</f>
        <v/>
      </c>
      <c r="O36" s="872" t="str">
        <f>IF(F38&lt;&gt;"",LOOKUP(F38,Tara!$L$5:$L$21,Tara!$M$5:$M$21),"")</f>
        <v/>
      </c>
      <c r="P36" s="872" t="str">
        <f>IF(G38&lt;&gt;"",LOOKUP(G38,Tara!$L$5:$L$21,Tara!$M$5:$M$21),"")</f>
        <v/>
      </c>
      <c r="Q36" s="872" t="str">
        <f>IF(H38&lt;&gt;"",LOOKUP(H38,Tara!$L$5:$L$21,Tara!$M$5:$M$21),"")</f>
        <v/>
      </c>
      <c r="R36" s="872" t="str">
        <f>IF(I38&lt;&gt;"",LOOKUP(I38,Tara!$L$5:$L$21,Tara!$M$5:$M$21),"")</f>
        <v/>
      </c>
      <c r="S36" s="872" t="str">
        <f>IF(J38&lt;&gt;"",LOOKUP(J38,Tara!$L$5:$L$21,Tara!$M$5:$M$21),"")</f>
        <v/>
      </c>
      <c r="T36" s="872" t="str">
        <f>IF(K38&lt;&gt;"",LOOKUP(K38,Tara!$L$5:$L$21,Tara!$M$5:$M$21),"")</f>
        <v/>
      </c>
      <c r="U36" s="872"/>
      <c r="V36" s="872"/>
      <c r="W36" s="872"/>
      <c r="X36" s="872"/>
      <c r="Y36" s="872"/>
      <c r="Z36" s="872"/>
      <c r="AA36" s="872"/>
      <c r="AB36" s="872" t="str">
        <f t="shared" ref="AB36:AB41" si="26">IF(L36&lt;&gt;"",L36,"")</f>
        <v/>
      </c>
      <c r="AC36" s="873" t="str">
        <f>""</f>
        <v/>
      </c>
      <c r="AD36" s="873" t="str">
        <f>""</f>
        <v/>
      </c>
      <c r="AE36" s="873" t="str">
        <f>IF(F36&lt;&gt;"",F36,"")</f>
        <v/>
      </c>
      <c r="AF36" s="874" t="str">
        <f>IF(E37&lt;&gt;"",F37,"")</f>
        <v/>
      </c>
      <c r="AG36" s="875" t="str">
        <f>IF(O35&lt;&gt;"",O35,"")</f>
        <v/>
      </c>
      <c r="AH36" s="896" t="str">
        <f>IF(F42&lt;&gt;"",F42*100,"")</f>
        <v/>
      </c>
      <c r="AI36" s="897" t="str">
        <f>IF(O44&lt;&gt;"",O44,"")</f>
        <v/>
      </c>
      <c r="AJ36" s="880" t="str">
        <f>IF(AH36="","",((AH36/100)-F44)*100)</f>
        <v/>
      </c>
      <c r="AK36" s="1267" t="str">
        <f>IF(V35&lt;&gt;"",V35*100,"")</f>
        <v/>
      </c>
    </row>
    <row r="37" spans="1:37" s="56" customFormat="1" ht="15" customHeight="1" x14ac:dyDescent="0.3">
      <c r="A37" s="1955"/>
      <c r="B37" s="869" t="s">
        <v>311</v>
      </c>
      <c r="C37" s="666"/>
      <c r="D37" s="870" t="s">
        <v>312</v>
      </c>
      <c r="E37" s="878"/>
      <c r="F37" s="878"/>
      <c r="G37" s="878"/>
      <c r="H37" s="878"/>
      <c r="I37" s="878"/>
      <c r="J37" s="878"/>
      <c r="K37" s="1268"/>
      <c r="L37" s="651" t="str">
        <f>IF(G35&lt;&gt;"",MAX(L$5:L36)+1,"")</f>
        <v/>
      </c>
      <c r="M37" s="1960"/>
      <c r="N37" s="872" t="str">
        <f t="shared" ref="N37:T37" si="27">IF(N36&lt;&gt;"",N36-E39,"")</f>
        <v/>
      </c>
      <c r="O37" s="872" t="str">
        <f t="shared" si="27"/>
        <v/>
      </c>
      <c r="P37" s="872" t="str">
        <f t="shared" si="27"/>
        <v/>
      </c>
      <c r="Q37" s="872" t="str">
        <f t="shared" si="27"/>
        <v/>
      </c>
      <c r="R37" s="872" t="str">
        <f t="shared" si="27"/>
        <v/>
      </c>
      <c r="S37" s="872" t="str">
        <f t="shared" si="27"/>
        <v/>
      </c>
      <c r="T37" s="872" t="str">
        <f t="shared" si="27"/>
        <v/>
      </c>
      <c r="U37" s="879"/>
      <c r="V37" s="879"/>
      <c r="W37" s="879"/>
      <c r="X37" s="879"/>
      <c r="Y37" s="879"/>
      <c r="Z37" s="879"/>
      <c r="AA37" s="879"/>
      <c r="AB37" s="872" t="str">
        <f t="shared" si="26"/>
        <v/>
      </c>
      <c r="AC37" s="873" t="str">
        <f>""</f>
        <v/>
      </c>
      <c r="AD37" s="873" t="str">
        <f>""</f>
        <v/>
      </c>
      <c r="AE37" s="873" t="str">
        <f>IF(G36&lt;&gt;"",G36,"")</f>
        <v/>
      </c>
      <c r="AF37" s="874" t="str">
        <f>IF(G37&lt;&gt;"",G37,"")</f>
        <v/>
      </c>
      <c r="AG37" s="875" t="str">
        <f>IF(P35&lt;&gt;"",P35,"")</f>
        <v/>
      </c>
      <c r="AH37" s="896" t="str">
        <f>IF(G42&lt;&gt;"",G42*100,"")</f>
        <v/>
      </c>
      <c r="AI37" s="897" t="str">
        <f>IF(P44&lt;&gt;"",P44,"")</f>
        <v/>
      </c>
      <c r="AJ37" s="880" t="str">
        <f>IF(AH37="","",((AH37/100)-G44)*100)</f>
        <v/>
      </c>
      <c r="AK37" s="1267" t="str">
        <f>IF(W35&lt;&gt;"",W35*100,"")</f>
        <v/>
      </c>
    </row>
    <row r="38" spans="1:37" s="56" customFormat="1" ht="15" customHeight="1" x14ac:dyDescent="0.3">
      <c r="A38" s="1955"/>
      <c r="B38" s="869" t="s">
        <v>313</v>
      </c>
      <c r="C38" s="666"/>
      <c r="D38" s="870" t="s">
        <v>314</v>
      </c>
      <c r="E38" s="750"/>
      <c r="F38" s="750"/>
      <c r="G38" s="750"/>
      <c r="H38" s="750"/>
      <c r="I38" s="750"/>
      <c r="J38" s="750"/>
      <c r="K38" s="750"/>
      <c r="L38" s="651" t="str">
        <f>IF(H35&lt;&gt;"",MAX(L$5:L37)+1,"")</f>
        <v/>
      </c>
      <c r="M38" s="1960"/>
      <c r="N38" s="872" t="str">
        <f>IF(E38&lt;&gt;"",LOOKUP(E38,Tara!$L$5:$L$21,Tara!$N$5:$N$21),"")</f>
        <v/>
      </c>
      <c r="O38" s="872" t="str">
        <f>IF(F38&lt;&gt;"",LOOKUP(F38,Tara!$L$5:$L$21,Tara!$N$5:$N$21),"")</f>
        <v/>
      </c>
      <c r="P38" s="872" t="str">
        <f>IF(G38&lt;&gt;"",LOOKUP(G38,Tara!$L$5:$L$21,Tara!$N$5:$N$21),"")</f>
        <v/>
      </c>
      <c r="Q38" s="872" t="str">
        <f>IF(H38&lt;&gt;"",LOOKUP(H38,Tara!$L$5:$L$21,Tara!$N$5:$N$21),"")</f>
        <v/>
      </c>
      <c r="R38" s="872" t="str">
        <f>IF(I38&lt;&gt;"",LOOKUP(I38,Tara!$L$5:$L$21,Tara!$N$5:$N$21),"")</f>
        <v/>
      </c>
      <c r="S38" s="872" t="str">
        <f>IF(J38&lt;&gt;"",LOOKUP(J38,Tara!$L$5:$L$21,Tara!$N$5:$N$21),"")</f>
        <v/>
      </c>
      <c r="T38" s="872" t="str">
        <f>IF(K38&lt;&gt;"",LOOKUP(K38,Tara!$L$5:$L$21,Tara!$N$5:$N$21),"")</f>
        <v/>
      </c>
      <c r="U38" s="881"/>
      <c r="V38" s="881"/>
      <c r="W38" s="881"/>
      <c r="X38" s="881"/>
      <c r="Y38" s="881"/>
      <c r="Z38" s="881"/>
      <c r="AA38" s="881"/>
      <c r="AB38" s="872" t="str">
        <f t="shared" si="26"/>
        <v/>
      </c>
      <c r="AC38" s="873" t="str">
        <f>""</f>
        <v/>
      </c>
      <c r="AD38" s="873" t="str">
        <f>""</f>
        <v/>
      </c>
      <c r="AE38" s="873" t="str">
        <f>IF(H36&lt;&gt;"",H36,"")</f>
        <v/>
      </c>
      <c r="AF38" s="874" t="str">
        <f>IF(H37&lt;&gt;"",H37,"")</f>
        <v/>
      </c>
      <c r="AG38" s="875" t="str">
        <f>IF(Q35&lt;&gt;"",Q35,"")</f>
        <v/>
      </c>
      <c r="AH38" s="896" t="str">
        <f>IF(H42&lt;&gt;"",H42*100,"")</f>
        <v/>
      </c>
      <c r="AI38" s="897" t="str">
        <f>IF(Q44&lt;&gt;"",Q44,"")</f>
        <v/>
      </c>
      <c r="AJ38" s="880" t="str">
        <f>IF(AH38="","",((AH38/100)-H44)*100)</f>
        <v/>
      </c>
      <c r="AK38" s="1267" t="str">
        <f>IF(X35&lt;&gt;"",X35*100,"")</f>
        <v/>
      </c>
    </row>
    <row r="39" spans="1:37" s="56" customFormat="1" ht="15" customHeight="1" x14ac:dyDescent="0.3">
      <c r="A39" s="1955"/>
      <c r="B39" s="882" t="s">
        <v>57</v>
      </c>
      <c r="C39" s="688"/>
      <c r="D39" s="870" t="s">
        <v>315</v>
      </c>
      <c r="E39" s="871"/>
      <c r="F39" s="871"/>
      <c r="G39" s="871"/>
      <c r="H39" s="871"/>
      <c r="I39" s="871"/>
      <c r="J39" s="871"/>
      <c r="K39" s="871"/>
      <c r="L39" s="651" t="str">
        <f>IF(I35&lt;&gt;"",MAX(L$5:L38)+1,"")</f>
        <v/>
      </c>
      <c r="M39" s="1960"/>
      <c r="N39" s="872" t="str">
        <f t="shared" ref="N39:T39" si="28">IF(N37&lt;&gt;"",N37-N38,"")</f>
        <v/>
      </c>
      <c r="O39" s="872" t="str">
        <f t="shared" si="28"/>
        <v/>
      </c>
      <c r="P39" s="872" t="str">
        <f t="shared" si="28"/>
        <v/>
      </c>
      <c r="Q39" s="872" t="str">
        <f t="shared" si="28"/>
        <v/>
      </c>
      <c r="R39" s="872" t="str">
        <f t="shared" si="28"/>
        <v/>
      </c>
      <c r="S39" s="872" t="str">
        <f t="shared" si="28"/>
        <v/>
      </c>
      <c r="T39" s="872" t="str">
        <f t="shared" si="28"/>
        <v/>
      </c>
      <c r="U39" s="881"/>
      <c r="V39" s="881"/>
      <c r="W39" s="881"/>
      <c r="X39" s="881"/>
      <c r="Y39" s="881"/>
      <c r="Z39" s="881"/>
      <c r="AA39" s="881"/>
      <c r="AB39" s="872" t="str">
        <f t="shared" si="26"/>
        <v/>
      </c>
      <c r="AC39" s="873" t="str">
        <f>""</f>
        <v/>
      </c>
      <c r="AD39" s="873" t="str">
        <f>""</f>
        <v/>
      </c>
      <c r="AE39" s="873" t="str">
        <f>IF(I36&lt;&gt;"",I36,"")</f>
        <v/>
      </c>
      <c r="AF39" s="874" t="str">
        <f>IF(I37&lt;&gt;"",I37,"")</f>
        <v/>
      </c>
      <c r="AG39" s="875" t="str">
        <f>IF(R35&lt;&gt;"",R35,"")</f>
        <v/>
      </c>
      <c r="AH39" s="896" t="str">
        <f>IF(I42&lt;&gt;"",I42*100,"")</f>
        <v/>
      </c>
      <c r="AI39" s="897" t="str">
        <f>IF(R44&lt;&gt;"",R44,"")</f>
        <v/>
      </c>
      <c r="AJ39" s="880" t="str">
        <f>IF(AH39="","",((AH39/100)-I44)*100)</f>
        <v/>
      </c>
      <c r="AK39" s="1267" t="str">
        <f>IF(Y35&lt;&gt;"",Y35*100,"")</f>
        <v/>
      </c>
    </row>
    <row r="40" spans="1:37" s="316" customFormat="1" ht="15" customHeight="1" x14ac:dyDescent="0.3">
      <c r="A40" s="1955"/>
      <c r="B40" s="882" t="s">
        <v>316</v>
      </c>
      <c r="C40" s="666"/>
      <c r="D40" s="883" t="s">
        <v>317</v>
      </c>
      <c r="E40" s="750"/>
      <c r="F40" s="750"/>
      <c r="G40" s="750"/>
      <c r="H40" s="750"/>
      <c r="I40" s="750"/>
      <c r="J40" s="750"/>
      <c r="K40" s="750"/>
      <c r="L40" s="651" t="str">
        <f>IF(J35&lt;&gt;"",MAX(L$5:L39)+1,"")</f>
        <v/>
      </c>
      <c r="M40" s="1960"/>
      <c r="N40" s="872" t="str">
        <f>IF(E38&lt;&gt;"",LOOKUP(E38,Tara!$L$5:$L$21,Tara!$O$5:$O$21),"")</f>
        <v/>
      </c>
      <c r="O40" s="872" t="str">
        <f>IF(F38&lt;&gt;"",LOOKUP(F38,Tara!$L$5:$L$21,Tara!$O$5:$O$21),"")</f>
        <v/>
      </c>
      <c r="P40" s="872" t="str">
        <f>IF(G38&lt;&gt;"",LOOKUP(G38,Tara!$L$5:$L$21,Tara!$O$5:$O$21),"")</f>
        <v/>
      </c>
      <c r="Q40" s="872" t="str">
        <f>IF(H38&lt;&gt;"",LOOKUP(H38,Tara!$L$5:$L$21,Tara!$O$5:$O$21),"")</f>
        <v/>
      </c>
      <c r="R40" s="872" t="str">
        <f>IF(I38&lt;&gt;"",LOOKUP(I38,Tara!$L$5:$L$21,Tara!$O$5:$O$21),"")</f>
        <v/>
      </c>
      <c r="S40" s="872" t="str">
        <f>IF(J38&lt;&gt;"",LOOKUP(J38,Tara!$L$5:$L$21,Tara!$O$5:$O$21),"")</f>
        <v/>
      </c>
      <c r="T40" s="872" t="str">
        <f>IF(K38&lt;&gt;"",LOOKUP(K38,Tara!$L$5:$L$21,Tara!$O$5:$O$21),"")</f>
        <v/>
      </c>
      <c r="U40" s="884"/>
      <c r="V40" s="884"/>
      <c r="W40" s="884"/>
      <c r="X40" s="884"/>
      <c r="Y40" s="884"/>
      <c r="Z40" s="884"/>
      <c r="AA40" s="884"/>
      <c r="AB40" s="872" t="str">
        <f t="shared" si="26"/>
        <v/>
      </c>
      <c r="AC40" s="873" t="str">
        <f>""</f>
        <v/>
      </c>
      <c r="AD40" s="873" t="str">
        <f>""</f>
        <v/>
      </c>
      <c r="AE40" s="873" t="str">
        <f>IF(J36&lt;&gt;"",J36,"")</f>
        <v/>
      </c>
      <c r="AF40" s="874" t="str">
        <f>IF(J37&lt;&gt;"",J37,"")</f>
        <v/>
      </c>
      <c r="AG40" s="875" t="str">
        <f>IF(S35&lt;&gt;"",S35,"")</f>
        <v/>
      </c>
      <c r="AH40" s="896" t="str">
        <f>IF(J42&lt;&gt;"",J42*100,"")</f>
        <v/>
      </c>
      <c r="AI40" s="897" t="str">
        <f>IF(S44&lt;&gt;"",S44,"")</f>
        <v/>
      </c>
      <c r="AJ40" s="880" t="str">
        <f>IF(AH40="","",((AH40/100)-J44)*100)</f>
        <v/>
      </c>
      <c r="AK40" s="1267" t="str">
        <f>IF(Z35&lt;&gt;"",Z35*100,"")</f>
        <v/>
      </c>
    </row>
    <row r="41" spans="1:37" s="316" customFormat="1" ht="15" customHeight="1" x14ac:dyDescent="0.3">
      <c r="A41" s="1955"/>
      <c r="B41" s="885" t="s">
        <v>318</v>
      </c>
      <c r="C41" s="886"/>
      <c r="D41" s="870" t="s">
        <v>319</v>
      </c>
      <c r="E41" s="750"/>
      <c r="F41" s="750"/>
      <c r="G41" s="750"/>
      <c r="H41" s="750"/>
      <c r="I41" s="750"/>
      <c r="J41" s="750"/>
      <c r="K41" s="750"/>
      <c r="L41" s="651" t="str">
        <f>IF(K35&lt;&gt;"",MAX(L$5:L40)+1,"")</f>
        <v/>
      </c>
      <c r="M41" s="1960"/>
      <c r="N41" s="887" t="str">
        <f>IF(N39&lt;&gt;"",N39/N40,"")</f>
        <v/>
      </c>
      <c r="O41" s="887" t="str">
        <f t="shared" ref="O41:T41" si="29">IF(O39&lt;&gt;"",O39/O40,"")</f>
        <v/>
      </c>
      <c r="P41" s="887" t="str">
        <f t="shared" si="29"/>
        <v/>
      </c>
      <c r="Q41" s="887" t="str">
        <f t="shared" si="29"/>
        <v/>
      </c>
      <c r="R41" s="887" t="str">
        <f t="shared" si="29"/>
        <v/>
      </c>
      <c r="S41" s="887" t="str">
        <f t="shared" si="29"/>
        <v/>
      </c>
      <c r="T41" s="887" t="str">
        <f t="shared" si="29"/>
        <v/>
      </c>
      <c r="U41" s="884"/>
      <c r="V41" s="884"/>
      <c r="W41" s="884"/>
      <c r="X41" s="884"/>
      <c r="Y41" s="884"/>
      <c r="Z41" s="884"/>
      <c r="AA41" s="884"/>
      <c r="AB41" s="872" t="str">
        <f t="shared" si="26"/>
        <v/>
      </c>
      <c r="AC41" s="873" t="str">
        <f>""</f>
        <v/>
      </c>
      <c r="AD41" s="873" t="str">
        <f>""</f>
        <v/>
      </c>
      <c r="AE41" s="873" t="str">
        <f>IF(K36&lt;&gt;"",K36,"")</f>
        <v/>
      </c>
      <c r="AF41" s="874" t="str">
        <f>IF(K37&lt;&gt;"",K37,"")</f>
        <v/>
      </c>
      <c r="AG41" s="875" t="str">
        <f>IF(T35&lt;&gt;"",T35,"")</f>
        <v/>
      </c>
      <c r="AH41" s="896" t="str">
        <f>IF(K42&lt;&gt;"",K42*100,"")</f>
        <v/>
      </c>
      <c r="AI41" s="897" t="str">
        <f>IF(T44&lt;&gt;"",T44,"")</f>
        <v/>
      </c>
      <c r="AJ41" s="880" t="str">
        <f>IF(AH41="","",((AH41/100)-K44)*100)</f>
        <v/>
      </c>
      <c r="AK41" s="1267" t="str">
        <f>IF(AA35&lt;&gt;"",AA35*100,"")</f>
        <v/>
      </c>
    </row>
    <row r="42" spans="1:37" s="316" customFormat="1" ht="15" customHeight="1" x14ac:dyDescent="0.3">
      <c r="A42" s="1955"/>
      <c r="B42" s="652"/>
      <c r="C42" s="653"/>
      <c r="D42" s="870" t="s">
        <v>320</v>
      </c>
      <c r="E42" s="888"/>
      <c r="F42" s="888"/>
      <c r="G42" s="888"/>
      <c r="H42" s="888"/>
      <c r="I42" s="888"/>
      <c r="J42" s="888"/>
      <c r="K42" s="888"/>
      <c r="L42" s="651"/>
      <c r="M42" s="1960"/>
      <c r="N42" s="889" t="str">
        <f>IF(E40&lt;&gt;"",LOOKUP(E40,Tara!$P$5:$P$21,Tara!$Q$5:$Q$21),"")</f>
        <v/>
      </c>
      <c r="O42" s="889" t="str">
        <f>IF(F40&lt;&gt;"",LOOKUP(F40,Tara!$P$5:$P$21,Tara!$Q$5:$Q$21),"")</f>
        <v/>
      </c>
      <c r="P42" s="889" t="str">
        <f>IF(G40&lt;&gt;"",LOOKUP(G40,Tara!$P$5:$P$21,Tara!$Q$5:$Q$21),"")</f>
        <v/>
      </c>
      <c r="Q42" s="889" t="str">
        <f>IF(H40&lt;&gt;"",LOOKUP(H40,Tara!$P$5:$P$21,Tara!$Q$5:$Q$21),"")</f>
        <v/>
      </c>
      <c r="R42" s="889" t="str">
        <f>IF(I40&lt;&gt;"",LOOKUP(I40,Tara!$P$5:$P$21,Tara!$Q$5:$Q$21),"")</f>
        <v/>
      </c>
      <c r="S42" s="889" t="str">
        <f>IF(J40&lt;&gt;"",LOOKUP(J40,Tara!$P$5:$P$21,Tara!$Q$5:$Q$21),"")</f>
        <v/>
      </c>
      <c r="T42" s="889" t="str">
        <f>IF(K40&lt;&gt;"",LOOKUP(K40,Tara!$P$5:$P$21,Tara!$Q$5:$Q$21),"")</f>
        <v/>
      </c>
      <c r="U42" s="884"/>
      <c r="V42" s="884"/>
      <c r="W42" s="884"/>
      <c r="X42" s="884"/>
      <c r="Y42" s="884"/>
      <c r="Z42" s="884"/>
      <c r="AA42" s="884"/>
      <c r="AB42" s="872" t="str">
        <f>""</f>
        <v/>
      </c>
      <c r="AC42" s="873" t="str">
        <f>""</f>
        <v/>
      </c>
      <c r="AD42" s="873" t="str">
        <f>""</f>
        <v/>
      </c>
      <c r="AE42" s="873" t="str">
        <f>""</f>
        <v/>
      </c>
      <c r="AF42" s="874" t="str">
        <f>""</f>
        <v/>
      </c>
      <c r="AG42" s="875" t="str">
        <f>""</f>
        <v/>
      </c>
      <c r="AH42" s="875" t="str">
        <f>""</f>
        <v/>
      </c>
      <c r="AI42" s="875" t="str">
        <f>""</f>
        <v/>
      </c>
      <c r="AJ42" s="890" t="str">
        <f>""</f>
        <v/>
      </c>
      <c r="AK42" s="1267" t="str">
        <f>""</f>
        <v/>
      </c>
    </row>
    <row r="43" spans="1:37" s="316" customFormat="1" ht="15" customHeight="1" x14ac:dyDescent="0.3">
      <c r="A43" s="1955"/>
      <c r="B43" s="654"/>
      <c r="C43" s="655"/>
      <c r="D43" s="891" t="s">
        <v>321</v>
      </c>
      <c r="E43" s="750"/>
      <c r="F43" s="750"/>
      <c r="G43" s="750"/>
      <c r="H43" s="750"/>
      <c r="I43" s="750"/>
      <c r="J43" s="750"/>
      <c r="K43" s="750"/>
      <c r="L43" s="651"/>
      <c r="M43" s="1960"/>
      <c r="N43" s="892" t="str">
        <f t="shared" ref="N43:T43" si="30">IF(E41&lt;&gt;"",(E41-N42)/N41,"")</f>
        <v/>
      </c>
      <c r="O43" s="892" t="str">
        <f t="shared" si="30"/>
        <v/>
      </c>
      <c r="P43" s="892" t="str">
        <f t="shared" si="30"/>
        <v/>
      </c>
      <c r="Q43" s="892" t="str">
        <f t="shared" si="30"/>
        <v/>
      </c>
      <c r="R43" s="892" t="str">
        <f t="shared" si="30"/>
        <v/>
      </c>
      <c r="S43" s="892" t="str">
        <f t="shared" si="30"/>
        <v/>
      </c>
      <c r="T43" s="892" t="str">
        <f t="shared" si="30"/>
        <v/>
      </c>
      <c r="U43" s="884"/>
      <c r="V43" s="884"/>
      <c r="W43" s="884"/>
      <c r="X43" s="884"/>
      <c r="Y43" s="884"/>
      <c r="Z43" s="884"/>
      <c r="AA43" s="884"/>
      <c r="AB43" s="872" t="str">
        <f>""</f>
        <v/>
      </c>
      <c r="AC43" s="873" t="str">
        <f>""</f>
        <v/>
      </c>
      <c r="AD43" s="873" t="str">
        <f>""</f>
        <v/>
      </c>
      <c r="AE43" s="873" t="str">
        <f>""</f>
        <v/>
      </c>
      <c r="AF43" s="874" t="str">
        <f>""</f>
        <v/>
      </c>
      <c r="AG43" s="893" t="str">
        <f>""</f>
        <v/>
      </c>
      <c r="AH43" s="893" t="str">
        <f>""</f>
        <v/>
      </c>
      <c r="AI43" s="893" t="str">
        <f>""</f>
        <v/>
      </c>
      <c r="AJ43" s="895" t="str">
        <f>""</f>
        <v/>
      </c>
      <c r="AK43" s="1269" t="str">
        <f>""</f>
        <v/>
      </c>
    </row>
    <row r="44" spans="1:37" s="316" customFormat="1" ht="15" customHeight="1" thickBot="1" x14ac:dyDescent="0.35">
      <c r="A44" s="1956"/>
      <c r="B44" s="656"/>
      <c r="C44" s="657"/>
      <c r="D44" s="658" t="s">
        <v>99</v>
      </c>
      <c r="E44" s="556"/>
      <c r="F44" s="556"/>
      <c r="G44" s="556"/>
      <c r="H44" s="556"/>
      <c r="I44" s="556"/>
      <c r="J44" s="556"/>
      <c r="K44" s="556"/>
      <c r="L44" s="659"/>
      <c r="M44" s="1961"/>
      <c r="N44" s="549" t="str">
        <f t="shared" ref="N44:T44" si="31">IF(N43&lt;&gt;"",N43/(1+E42),"")</f>
        <v/>
      </c>
      <c r="O44" s="549" t="str">
        <f t="shared" si="31"/>
        <v/>
      </c>
      <c r="P44" s="549" t="str">
        <f t="shared" si="31"/>
        <v/>
      </c>
      <c r="Q44" s="549" t="str">
        <f t="shared" si="31"/>
        <v/>
      </c>
      <c r="R44" s="549" t="str">
        <f t="shared" si="31"/>
        <v/>
      </c>
      <c r="S44" s="549" t="str">
        <f t="shared" si="31"/>
        <v/>
      </c>
      <c r="T44" s="549" t="str">
        <f t="shared" si="31"/>
        <v/>
      </c>
      <c r="U44" s="550"/>
      <c r="V44" s="550"/>
      <c r="W44" s="550"/>
      <c r="X44" s="550"/>
      <c r="Y44" s="550"/>
      <c r="Z44" s="550"/>
      <c r="AA44" s="550"/>
      <c r="AB44" s="551">
        <f>MAX(AB$5:AB43)+1</f>
        <v>4</v>
      </c>
      <c r="AC44" s="552" t="str">
        <f>""</f>
        <v/>
      </c>
      <c r="AD44" s="552" t="str">
        <f>""</f>
        <v/>
      </c>
      <c r="AE44" s="552" t="str">
        <f>""</f>
        <v/>
      </c>
      <c r="AF44" s="558" t="str">
        <f>""</f>
        <v/>
      </c>
      <c r="AG44" s="553" t="str">
        <f>""</f>
        <v/>
      </c>
      <c r="AH44" s="553" t="str">
        <f>""</f>
        <v/>
      </c>
      <c r="AI44" s="553" t="str">
        <f>""</f>
        <v/>
      </c>
      <c r="AJ44" s="554" t="str">
        <f>""</f>
        <v/>
      </c>
      <c r="AK44" s="555" t="str">
        <f>""</f>
        <v/>
      </c>
    </row>
    <row r="45" spans="1:37" s="56" customFormat="1" ht="15" customHeight="1" x14ac:dyDescent="0.3">
      <c r="A45" s="1954">
        <f>A35+1</f>
        <v>5</v>
      </c>
      <c r="B45" s="1957" t="s">
        <v>309</v>
      </c>
      <c r="C45" s="1958"/>
      <c r="D45" s="648" t="s">
        <v>34</v>
      </c>
      <c r="E45" s="649"/>
      <c r="F45" s="649"/>
      <c r="G45" s="649"/>
      <c r="H45" s="649"/>
      <c r="I45" s="649"/>
      <c r="J45" s="649"/>
      <c r="K45" s="649"/>
      <c r="L45" s="650" t="str">
        <f>IF(E45&lt;&gt;"",MAX(L$5:L44)+1,"")</f>
        <v/>
      </c>
      <c r="M45" s="1959" t="s">
        <v>25</v>
      </c>
      <c r="N45" s="539" t="str">
        <f t="shared" ref="N45:T45" si="32">IF(E45&lt;&gt;"",E45,"")</f>
        <v/>
      </c>
      <c r="O45" s="539" t="str">
        <f t="shared" si="32"/>
        <v/>
      </c>
      <c r="P45" s="539" t="str">
        <f t="shared" si="32"/>
        <v/>
      </c>
      <c r="Q45" s="539" t="str">
        <f t="shared" si="32"/>
        <v/>
      </c>
      <c r="R45" s="539" t="str">
        <f t="shared" si="32"/>
        <v/>
      </c>
      <c r="S45" s="539" t="str">
        <f t="shared" si="32"/>
        <v/>
      </c>
      <c r="T45" s="539" t="str">
        <f t="shared" si="32"/>
        <v/>
      </c>
      <c r="U45" s="540" t="str">
        <f t="shared" ref="U45:AA45" si="33">IF(N54&lt;&gt;"",N54/E53*1000,"")</f>
        <v/>
      </c>
      <c r="V45" s="540" t="str">
        <f t="shared" si="33"/>
        <v/>
      </c>
      <c r="W45" s="540" t="str">
        <f t="shared" si="33"/>
        <v/>
      </c>
      <c r="X45" s="540" t="str">
        <f t="shared" si="33"/>
        <v/>
      </c>
      <c r="Y45" s="540" t="str">
        <f t="shared" si="33"/>
        <v/>
      </c>
      <c r="Z45" s="540" t="str">
        <f t="shared" si="33"/>
        <v/>
      </c>
      <c r="AA45" s="540" t="str">
        <f t="shared" si="33"/>
        <v/>
      </c>
      <c r="AB45" s="539" t="str">
        <f>IF(L45&lt;&gt;"",L45,"")</f>
        <v/>
      </c>
      <c r="AC45" s="541" t="str">
        <f>IF(C46&lt;&gt;"",CONCATENATE(C46," a ",C47),"")</f>
        <v/>
      </c>
      <c r="AD45" s="542" t="str">
        <f>IF(C49&lt;&gt;"",C49,"")</f>
        <v/>
      </c>
      <c r="AE45" s="543" t="str">
        <f>IF(E46&lt;&gt;"",E46,"")</f>
        <v/>
      </c>
      <c r="AF45" s="557" t="str">
        <f>IF(E47&lt;&gt;"",E47,"")</f>
        <v/>
      </c>
      <c r="AG45" s="544" t="str">
        <f>IF(N45&lt;&gt;"",N45,"")</f>
        <v/>
      </c>
      <c r="AH45" s="545" t="str">
        <f>IF(E52&lt;&gt;"",E52*100,"")</f>
        <v/>
      </c>
      <c r="AI45" s="546" t="str">
        <f>IF(N54&lt;&gt;"",N54,"")</f>
        <v/>
      </c>
      <c r="AJ45" s="547" t="str">
        <f>IF(AH45="","",((AH45/100)-E54)*100)</f>
        <v/>
      </c>
      <c r="AK45" s="548" t="str">
        <f>IF(U45&lt;&gt;"",U45*100,"")</f>
        <v/>
      </c>
    </row>
    <row r="46" spans="1:37" s="57" customFormat="1" ht="15" customHeight="1" x14ac:dyDescent="0.3">
      <c r="A46" s="1955"/>
      <c r="B46" s="869" t="s">
        <v>310</v>
      </c>
      <c r="C46" s="666"/>
      <c r="D46" s="870" t="s">
        <v>156</v>
      </c>
      <c r="E46" s="871"/>
      <c r="F46" s="871"/>
      <c r="G46" s="871"/>
      <c r="H46" s="871"/>
      <c r="I46" s="871"/>
      <c r="J46" s="871"/>
      <c r="K46" s="871"/>
      <c r="L46" s="651" t="str">
        <f>IF(F45&lt;&gt;"",MAX(L$5:L45)+1,"")</f>
        <v/>
      </c>
      <c r="M46" s="1960"/>
      <c r="N46" s="872" t="str">
        <f>IF(E48&lt;&gt;"",LOOKUP(E48,Tara!$L$5:$L$21,Tara!$M$5:$M$21),"")</f>
        <v/>
      </c>
      <c r="O46" s="872" t="str">
        <f>IF(F48&lt;&gt;"",LOOKUP(F48,Tara!$L$5:$L$21,Tara!$M$5:$M$21),"")</f>
        <v/>
      </c>
      <c r="P46" s="872" t="str">
        <f>IF(G48&lt;&gt;"",LOOKUP(G48,Tara!$L$5:$L$21,Tara!$M$5:$M$21),"")</f>
        <v/>
      </c>
      <c r="Q46" s="872" t="str">
        <f>IF(H48&lt;&gt;"",LOOKUP(H48,Tara!$L$5:$L$21,Tara!$M$5:$M$21),"")</f>
        <v/>
      </c>
      <c r="R46" s="872" t="str">
        <f>IF(I48&lt;&gt;"",LOOKUP(I48,Tara!$L$5:$L$21,Tara!$M$5:$M$21),"")</f>
        <v/>
      </c>
      <c r="S46" s="872" t="str">
        <f>IF(J48&lt;&gt;"",LOOKUP(J48,Tara!$L$5:$L$21,Tara!$M$5:$M$21),"")</f>
        <v/>
      </c>
      <c r="T46" s="872" t="str">
        <f>IF(K48&lt;&gt;"",LOOKUP(K48,Tara!$L$5:$L$21,Tara!$M$5:$M$21),"")</f>
        <v/>
      </c>
      <c r="U46" s="872"/>
      <c r="V46" s="872"/>
      <c r="W46" s="872"/>
      <c r="X46" s="872"/>
      <c r="Y46" s="872"/>
      <c r="Z46" s="872"/>
      <c r="AA46" s="872"/>
      <c r="AB46" s="872" t="str">
        <f t="shared" ref="AB46:AB51" si="34">IF(L46&lt;&gt;"",L46,"")</f>
        <v/>
      </c>
      <c r="AC46" s="873" t="str">
        <f>""</f>
        <v/>
      </c>
      <c r="AD46" s="873" t="str">
        <f>""</f>
        <v/>
      </c>
      <c r="AE46" s="873" t="str">
        <f>IF(F46&lt;&gt;"",F46,"")</f>
        <v/>
      </c>
      <c r="AF46" s="874" t="str">
        <f>IF(E47&lt;&gt;"",F47,"")</f>
        <v/>
      </c>
      <c r="AG46" s="875" t="str">
        <f>IF(O45&lt;&gt;"",O45,"")</f>
        <v/>
      </c>
      <c r="AH46" s="896" t="str">
        <f>IF(F52&lt;&gt;"",F52*100,"")</f>
        <v/>
      </c>
      <c r="AI46" s="897" t="str">
        <f>IF(O54&lt;&gt;"",O54,"")</f>
        <v/>
      </c>
      <c r="AJ46" s="880" t="str">
        <f>IF(AH46="","",((AH46/100)-F54)*100)</f>
        <v/>
      </c>
      <c r="AK46" s="1267" t="str">
        <f>IF(V45&lt;&gt;"",V45*100,"")</f>
        <v/>
      </c>
    </row>
    <row r="47" spans="1:37" s="56" customFormat="1" ht="15" customHeight="1" x14ac:dyDescent="0.3">
      <c r="A47" s="1955"/>
      <c r="B47" s="869" t="s">
        <v>311</v>
      </c>
      <c r="C47" s="666"/>
      <c r="D47" s="870" t="s">
        <v>312</v>
      </c>
      <c r="E47" s="878"/>
      <c r="F47" s="878"/>
      <c r="G47" s="878"/>
      <c r="H47" s="878"/>
      <c r="I47" s="878"/>
      <c r="J47" s="878"/>
      <c r="K47" s="1268"/>
      <c r="L47" s="651" t="str">
        <f>IF(G45&lt;&gt;"",MAX(L$5:L46)+1,"")</f>
        <v/>
      </c>
      <c r="M47" s="1960"/>
      <c r="N47" s="872" t="str">
        <f t="shared" ref="N47:T47" si="35">IF(N46&lt;&gt;"",N46-E49,"")</f>
        <v/>
      </c>
      <c r="O47" s="872" t="str">
        <f t="shared" si="35"/>
        <v/>
      </c>
      <c r="P47" s="872" t="str">
        <f t="shared" si="35"/>
        <v/>
      </c>
      <c r="Q47" s="872" t="str">
        <f t="shared" si="35"/>
        <v/>
      </c>
      <c r="R47" s="872" t="str">
        <f t="shared" si="35"/>
        <v/>
      </c>
      <c r="S47" s="872" t="str">
        <f t="shared" si="35"/>
        <v/>
      </c>
      <c r="T47" s="872" t="str">
        <f t="shared" si="35"/>
        <v/>
      </c>
      <c r="U47" s="879"/>
      <c r="V47" s="879"/>
      <c r="W47" s="879"/>
      <c r="X47" s="879"/>
      <c r="Y47" s="879"/>
      <c r="Z47" s="879"/>
      <c r="AA47" s="879"/>
      <c r="AB47" s="872" t="str">
        <f t="shared" si="34"/>
        <v/>
      </c>
      <c r="AC47" s="873" t="str">
        <f>""</f>
        <v/>
      </c>
      <c r="AD47" s="873" t="str">
        <f>""</f>
        <v/>
      </c>
      <c r="AE47" s="873" t="str">
        <f>IF(G46&lt;&gt;"",G46,"")</f>
        <v/>
      </c>
      <c r="AF47" s="874" t="str">
        <f>IF(G47&lt;&gt;"",G47,"")</f>
        <v/>
      </c>
      <c r="AG47" s="875" t="str">
        <f>IF(P45&lt;&gt;"",P45,"")</f>
        <v/>
      </c>
      <c r="AH47" s="896" t="str">
        <f>IF(G52&lt;&gt;"",G52*100,"")</f>
        <v/>
      </c>
      <c r="AI47" s="897" t="str">
        <f>IF(P54&lt;&gt;"",P54,"")</f>
        <v/>
      </c>
      <c r="AJ47" s="880" t="str">
        <f>IF(AH47="","",((AH47/100)-G54)*100)</f>
        <v/>
      </c>
      <c r="AK47" s="1267" t="str">
        <f>IF(W45&lt;&gt;"",W45*100,"")</f>
        <v/>
      </c>
    </row>
    <row r="48" spans="1:37" s="56" customFormat="1" ht="15" customHeight="1" x14ac:dyDescent="0.3">
      <c r="A48" s="1955"/>
      <c r="B48" s="869" t="s">
        <v>313</v>
      </c>
      <c r="C48" s="666"/>
      <c r="D48" s="870" t="s">
        <v>314</v>
      </c>
      <c r="E48" s="750"/>
      <c r="F48" s="750"/>
      <c r="G48" s="750"/>
      <c r="H48" s="750"/>
      <c r="I48" s="750"/>
      <c r="J48" s="750"/>
      <c r="K48" s="750"/>
      <c r="L48" s="651" t="str">
        <f>IF(H45&lt;&gt;"",MAX(L$5:L47)+1,"")</f>
        <v/>
      </c>
      <c r="M48" s="1960"/>
      <c r="N48" s="872" t="str">
        <f>IF(E48&lt;&gt;"",LOOKUP(E48,Tara!$L$5:$L$21,Tara!$N$5:$N$21),"")</f>
        <v/>
      </c>
      <c r="O48" s="872" t="str">
        <f>IF(F48&lt;&gt;"",LOOKUP(F48,Tara!$L$5:$L$21,Tara!$N$5:$N$21),"")</f>
        <v/>
      </c>
      <c r="P48" s="872" t="str">
        <f>IF(G48&lt;&gt;"",LOOKUP(G48,Tara!$L$5:$L$21,Tara!$N$5:$N$21),"")</f>
        <v/>
      </c>
      <c r="Q48" s="872" t="str">
        <f>IF(H48&lt;&gt;"",LOOKUP(H48,Tara!$L$5:$L$21,Tara!$N$5:$N$21),"")</f>
        <v/>
      </c>
      <c r="R48" s="872" t="str">
        <f>IF(I48&lt;&gt;"",LOOKUP(I48,Tara!$L$5:$L$21,Tara!$N$5:$N$21),"")</f>
        <v/>
      </c>
      <c r="S48" s="872" t="str">
        <f>IF(J48&lt;&gt;"",LOOKUP(J48,Tara!$L$5:$L$21,Tara!$N$5:$N$21),"")</f>
        <v/>
      </c>
      <c r="T48" s="872" t="str">
        <f>IF(K48&lt;&gt;"",LOOKUP(K48,Tara!$L$5:$L$21,Tara!$N$5:$N$21),"")</f>
        <v/>
      </c>
      <c r="U48" s="881"/>
      <c r="V48" s="881"/>
      <c r="W48" s="881"/>
      <c r="X48" s="881"/>
      <c r="Y48" s="881"/>
      <c r="Z48" s="881"/>
      <c r="AA48" s="881"/>
      <c r="AB48" s="872" t="str">
        <f t="shared" si="34"/>
        <v/>
      </c>
      <c r="AC48" s="873" t="str">
        <f>""</f>
        <v/>
      </c>
      <c r="AD48" s="873" t="str">
        <f>""</f>
        <v/>
      </c>
      <c r="AE48" s="873" t="str">
        <f>IF(H46&lt;&gt;"",H46,"")</f>
        <v/>
      </c>
      <c r="AF48" s="874" t="str">
        <f>IF(H47&lt;&gt;"",H47,"")</f>
        <v/>
      </c>
      <c r="AG48" s="875" t="str">
        <f>IF(Q45&lt;&gt;"",Q45,"")</f>
        <v/>
      </c>
      <c r="AH48" s="896" t="str">
        <f>IF(H52&lt;&gt;"",H52*100,"")</f>
        <v/>
      </c>
      <c r="AI48" s="897" t="str">
        <f>IF(Q54&lt;&gt;"",Q54,"")</f>
        <v/>
      </c>
      <c r="AJ48" s="880" t="str">
        <f>IF(AH48="","",((AH48/100)-H54)*100)</f>
        <v/>
      </c>
      <c r="AK48" s="1267" t="str">
        <f>IF(X45&lt;&gt;"",X45*100,"")</f>
        <v/>
      </c>
    </row>
    <row r="49" spans="1:37" s="56" customFormat="1" ht="15" customHeight="1" x14ac:dyDescent="0.3">
      <c r="A49" s="1955"/>
      <c r="B49" s="882" t="s">
        <v>57</v>
      </c>
      <c r="C49" s="688"/>
      <c r="D49" s="870" t="s">
        <v>315</v>
      </c>
      <c r="E49" s="871"/>
      <c r="F49" s="871"/>
      <c r="G49" s="871"/>
      <c r="H49" s="871"/>
      <c r="I49" s="871"/>
      <c r="J49" s="871"/>
      <c r="K49" s="871"/>
      <c r="L49" s="651" t="str">
        <f>IF(I45&lt;&gt;"",MAX(L$5:L48)+1,"")</f>
        <v/>
      </c>
      <c r="M49" s="1960"/>
      <c r="N49" s="872" t="str">
        <f t="shared" ref="N49:T49" si="36">IF(N47&lt;&gt;"",N47-N48,"")</f>
        <v/>
      </c>
      <c r="O49" s="872" t="str">
        <f t="shared" si="36"/>
        <v/>
      </c>
      <c r="P49" s="872" t="str">
        <f t="shared" si="36"/>
        <v/>
      </c>
      <c r="Q49" s="872" t="str">
        <f t="shared" si="36"/>
        <v/>
      </c>
      <c r="R49" s="872" t="str">
        <f t="shared" si="36"/>
        <v/>
      </c>
      <c r="S49" s="872" t="str">
        <f t="shared" si="36"/>
        <v/>
      </c>
      <c r="T49" s="872" t="str">
        <f t="shared" si="36"/>
        <v/>
      </c>
      <c r="U49" s="881"/>
      <c r="V49" s="881"/>
      <c r="W49" s="881"/>
      <c r="X49" s="881"/>
      <c r="Y49" s="881"/>
      <c r="Z49" s="881"/>
      <c r="AA49" s="881"/>
      <c r="AB49" s="872" t="str">
        <f t="shared" si="34"/>
        <v/>
      </c>
      <c r="AC49" s="873" t="str">
        <f>""</f>
        <v/>
      </c>
      <c r="AD49" s="873" t="str">
        <f>""</f>
        <v/>
      </c>
      <c r="AE49" s="873" t="str">
        <f>IF(I46&lt;&gt;"",I46,"")</f>
        <v/>
      </c>
      <c r="AF49" s="874" t="str">
        <f>IF(I47&lt;&gt;"",I47,"")</f>
        <v/>
      </c>
      <c r="AG49" s="875" t="str">
        <f>IF(R45&lt;&gt;"",R45,"")</f>
        <v/>
      </c>
      <c r="AH49" s="896" t="str">
        <f>IF(I52&lt;&gt;"",I52*100,"")</f>
        <v/>
      </c>
      <c r="AI49" s="897" t="str">
        <f>IF(R54&lt;&gt;"",R54,"")</f>
        <v/>
      </c>
      <c r="AJ49" s="880" t="str">
        <f>IF(AH49="","",((AH49/100)-I54)*100)</f>
        <v/>
      </c>
      <c r="AK49" s="1267" t="str">
        <f>IF(Y45&lt;&gt;"",Y45*100,"")</f>
        <v/>
      </c>
    </row>
    <row r="50" spans="1:37" s="316" customFormat="1" ht="15" customHeight="1" x14ac:dyDescent="0.3">
      <c r="A50" s="1955"/>
      <c r="B50" s="882" t="s">
        <v>316</v>
      </c>
      <c r="C50" s="666"/>
      <c r="D50" s="883" t="s">
        <v>317</v>
      </c>
      <c r="E50" s="750"/>
      <c r="F50" s="750"/>
      <c r="G50" s="750"/>
      <c r="H50" s="750"/>
      <c r="I50" s="750"/>
      <c r="J50" s="750"/>
      <c r="K50" s="750"/>
      <c r="L50" s="651" t="str">
        <f>IF(J45&lt;&gt;"",MAX(L$5:L49)+1,"")</f>
        <v/>
      </c>
      <c r="M50" s="1960"/>
      <c r="N50" s="872" t="str">
        <f>IF(E48&lt;&gt;"",LOOKUP(E48,Tara!$L$5:$L$21,Tara!$O$5:$O$21),"")</f>
        <v/>
      </c>
      <c r="O50" s="872" t="str">
        <f>IF(F48&lt;&gt;"",LOOKUP(F48,Tara!$L$5:$L$21,Tara!$O$5:$O$21),"")</f>
        <v/>
      </c>
      <c r="P50" s="872" t="str">
        <f>IF(G48&lt;&gt;"",LOOKUP(G48,Tara!$L$5:$L$21,Tara!$O$5:$O$21),"")</f>
        <v/>
      </c>
      <c r="Q50" s="872" t="str">
        <f>IF(H48&lt;&gt;"",LOOKUP(H48,Tara!$L$5:$L$21,Tara!$O$5:$O$21),"")</f>
        <v/>
      </c>
      <c r="R50" s="872" t="str">
        <f>IF(I48&lt;&gt;"",LOOKUP(I48,Tara!$L$5:$L$21,Tara!$O$5:$O$21),"")</f>
        <v/>
      </c>
      <c r="S50" s="872" t="str">
        <f>IF(J48&lt;&gt;"",LOOKUP(J48,Tara!$L$5:$L$21,Tara!$O$5:$O$21),"")</f>
        <v/>
      </c>
      <c r="T50" s="872" t="str">
        <f>IF(K48&lt;&gt;"",LOOKUP(K48,Tara!$L$5:$L$21,Tara!$O$5:$O$21),"")</f>
        <v/>
      </c>
      <c r="U50" s="884"/>
      <c r="V50" s="884"/>
      <c r="W50" s="884"/>
      <c r="X50" s="884"/>
      <c r="Y50" s="884"/>
      <c r="Z50" s="884"/>
      <c r="AA50" s="884"/>
      <c r="AB50" s="872" t="str">
        <f t="shared" si="34"/>
        <v/>
      </c>
      <c r="AC50" s="873" t="str">
        <f>""</f>
        <v/>
      </c>
      <c r="AD50" s="873" t="str">
        <f>""</f>
        <v/>
      </c>
      <c r="AE50" s="873" t="str">
        <f>IF(J46&lt;&gt;"",J46,"")</f>
        <v/>
      </c>
      <c r="AF50" s="874" t="str">
        <f>IF(J47&lt;&gt;"",J47,"")</f>
        <v/>
      </c>
      <c r="AG50" s="875" t="str">
        <f>IF(S45&lt;&gt;"",S45,"")</f>
        <v/>
      </c>
      <c r="AH50" s="896" t="str">
        <f>IF(J52&lt;&gt;"",J52*100,"")</f>
        <v/>
      </c>
      <c r="AI50" s="897" t="str">
        <f>IF(S54&lt;&gt;"",S54,"")</f>
        <v/>
      </c>
      <c r="AJ50" s="880" t="str">
        <f>IF(AH50="","",((AH50/100)-J54)*100)</f>
        <v/>
      </c>
      <c r="AK50" s="1267" t="str">
        <f>IF(Z45&lt;&gt;"",Z45*100,"")</f>
        <v/>
      </c>
    </row>
    <row r="51" spans="1:37" s="316" customFormat="1" ht="15" customHeight="1" x14ac:dyDescent="0.3">
      <c r="A51" s="1955"/>
      <c r="B51" s="885" t="s">
        <v>318</v>
      </c>
      <c r="C51" s="886"/>
      <c r="D51" s="870" t="s">
        <v>319</v>
      </c>
      <c r="E51" s="750"/>
      <c r="F51" s="750"/>
      <c r="G51" s="750"/>
      <c r="H51" s="750"/>
      <c r="I51" s="750"/>
      <c r="J51" s="750"/>
      <c r="K51" s="750"/>
      <c r="L51" s="651" t="str">
        <f>IF(K45&lt;&gt;"",MAX(L$5:L50)+1,"")</f>
        <v/>
      </c>
      <c r="M51" s="1960"/>
      <c r="N51" s="887" t="str">
        <f>IF(N49&lt;&gt;"",N49/N50,"")</f>
        <v/>
      </c>
      <c r="O51" s="887" t="str">
        <f t="shared" ref="O51:T51" si="37">IF(O49&lt;&gt;"",O49/O50,"")</f>
        <v/>
      </c>
      <c r="P51" s="887" t="str">
        <f t="shared" si="37"/>
        <v/>
      </c>
      <c r="Q51" s="887" t="str">
        <f t="shared" si="37"/>
        <v/>
      </c>
      <c r="R51" s="887" t="str">
        <f t="shared" si="37"/>
        <v/>
      </c>
      <c r="S51" s="887" t="str">
        <f t="shared" si="37"/>
        <v/>
      </c>
      <c r="T51" s="887" t="str">
        <f t="shared" si="37"/>
        <v/>
      </c>
      <c r="U51" s="884"/>
      <c r="V51" s="884"/>
      <c r="W51" s="884"/>
      <c r="X51" s="884"/>
      <c r="Y51" s="884"/>
      <c r="Z51" s="884"/>
      <c r="AA51" s="884"/>
      <c r="AB51" s="872" t="str">
        <f t="shared" si="34"/>
        <v/>
      </c>
      <c r="AC51" s="873" t="str">
        <f>""</f>
        <v/>
      </c>
      <c r="AD51" s="873" t="str">
        <f>""</f>
        <v/>
      </c>
      <c r="AE51" s="873" t="str">
        <f>IF(K46&lt;&gt;"",K46,"")</f>
        <v/>
      </c>
      <c r="AF51" s="874" t="str">
        <f>IF(K47&lt;&gt;"",K47,"")</f>
        <v/>
      </c>
      <c r="AG51" s="875" t="str">
        <f>IF(T45&lt;&gt;"",T45,"")</f>
        <v/>
      </c>
      <c r="AH51" s="896" t="str">
        <f>IF(K52&lt;&gt;"",K52*100,"")</f>
        <v/>
      </c>
      <c r="AI51" s="897" t="str">
        <f>IF(T54&lt;&gt;"",T54,"")</f>
        <v/>
      </c>
      <c r="AJ51" s="880" t="str">
        <f>IF(AH51="","",((AH51/100)-K54)*100)</f>
        <v/>
      </c>
      <c r="AK51" s="1267" t="str">
        <f>IF(AA45&lt;&gt;"",AA45*100,"")</f>
        <v/>
      </c>
    </row>
    <row r="52" spans="1:37" s="316" customFormat="1" ht="15" customHeight="1" x14ac:dyDescent="0.3">
      <c r="A52" s="1955"/>
      <c r="B52" s="652"/>
      <c r="C52" s="653"/>
      <c r="D52" s="870" t="s">
        <v>320</v>
      </c>
      <c r="E52" s="888"/>
      <c r="F52" s="888"/>
      <c r="G52" s="888"/>
      <c r="H52" s="888"/>
      <c r="I52" s="888"/>
      <c r="J52" s="888"/>
      <c r="K52" s="888"/>
      <c r="L52" s="651"/>
      <c r="M52" s="1960"/>
      <c r="N52" s="889" t="str">
        <f>IF(E50&lt;&gt;"",LOOKUP(E50,Tara!$P$5:$P$21,Tara!$Q$5:$Q$21),"")</f>
        <v/>
      </c>
      <c r="O52" s="889" t="str">
        <f>IF(F50&lt;&gt;"",LOOKUP(F50,Tara!$P$5:$P$21,Tara!$Q$5:$Q$21),"")</f>
        <v/>
      </c>
      <c r="P52" s="889" t="str">
        <f>IF(G50&lt;&gt;"",LOOKUP(G50,Tara!$P$5:$P$21,Tara!$Q$5:$Q$21),"")</f>
        <v/>
      </c>
      <c r="Q52" s="889" t="str">
        <f>IF(H50&lt;&gt;"",LOOKUP(H50,Tara!$P$5:$P$21,Tara!$Q$5:$Q$21),"")</f>
        <v/>
      </c>
      <c r="R52" s="889" t="str">
        <f>IF(I50&lt;&gt;"",LOOKUP(I50,Tara!$P$5:$P$21,Tara!$Q$5:$Q$21),"")</f>
        <v/>
      </c>
      <c r="S52" s="889" t="str">
        <f>IF(J50&lt;&gt;"",LOOKUP(J50,Tara!$P$5:$P$21,Tara!$Q$5:$Q$21),"")</f>
        <v/>
      </c>
      <c r="T52" s="889" t="str">
        <f>IF(K50&lt;&gt;"",LOOKUP(K50,Tara!$P$5:$P$21,Tara!$Q$5:$Q$21),"")</f>
        <v/>
      </c>
      <c r="U52" s="884"/>
      <c r="V52" s="884"/>
      <c r="W52" s="884"/>
      <c r="X52" s="884"/>
      <c r="Y52" s="884"/>
      <c r="Z52" s="884"/>
      <c r="AA52" s="884"/>
      <c r="AB52" s="872" t="str">
        <f>""</f>
        <v/>
      </c>
      <c r="AC52" s="873" t="str">
        <f>""</f>
        <v/>
      </c>
      <c r="AD52" s="873" t="str">
        <f>""</f>
        <v/>
      </c>
      <c r="AE52" s="873" t="str">
        <f>""</f>
        <v/>
      </c>
      <c r="AF52" s="874" t="str">
        <f>""</f>
        <v/>
      </c>
      <c r="AG52" s="875" t="str">
        <f>""</f>
        <v/>
      </c>
      <c r="AH52" s="875" t="str">
        <f>""</f>
        <v/>
      </c>
      <c r="AI52" s="875" t="str">
        <f>""</f>
        <v/>
      </c>
      <c r="AJ52" s="890" t="str">
        <f>""</f>
        <v/>
      </c>
      <c r="AK52" s="1267" t="str">
        <f>""</f>
        <v/>
      </c>
    </row>
    <row r="53" spans="1:37" s="316" customFormat="1" ht="15" customHeight="1" x14ac:dyDescent="0.3">
      <c r="A53" s="1955"/>
      <c r="B53" s="654"/>
      <c r="C53" s="655"/>
      <c r="D53" s="891" t="s">
        <v>321</v>
      </c>
      <c r="E53" s="750"/>
      <c r="F53" s="750"/>
      <c r="G53" s="750"/>
      <c r="H53" s="750"/>
      <c r="I53" s="750"/>
      <c r="J53" s="750"/>
      <c r="K53" s="750"/>
      <c r="L53" s="651"/>
      <c r="M53" s="1960"/>
      <c r="N53" s="892" t="str">
        <f t="shared" ref="N53:T53" si="38">IF(E51&lt;&gt;"",(E51-N52)/N51,"")</f>
        <v/>
      </c>
      <c r="O53" s="892" t="str">
        <f t="shared" si="38"/>
        <v/>
      </c>
      <c r="P53" s="892" t="str">
        <f t="shared" si="38"/>
        <v/>
      </c>
      <c r="Q53" s="892" t="str">
        <f t="shared" si="38"/>
        <v/>
      </c>
      <c r="R53" s="892" t="str">
        <f t="shared" si="38"/>
        <v/>
      </c>
      <c r="S53" s="892" t="str">
        <f t="shared" si="38"/>
        <v/>
      </c>
      <c r="T53" s="892" t="str">
        <f t="shared" si="38"/>
        <v/>
      </c>
      <c r="U53" s="884"/>
      <c r="V53" s="884"/>
      <c r="W53" s="884"/>
      <c r="X53" s="884"/>
      <c r="Y53" s="884"/>
      <c r="Z53" s="884"/>
      <c r="AA53" s="884"/>
      <c r="AB53" s="872" t="str">
        <f>""</f>
        <v/>
      </c>
      <c r="AC53" s="873" t="str">
        <f>""</f>
        <v/>
      </c>
      <c r="AD53" s="873" t="str">
        <f>""</f>
        <v/>
      </c>
      <c r="AE53" s="873" t="str">
        <f>""</f>
        <v/>
      </c>
      <c r="AF53" s="874" t="str">
        <f>""</f>
        <v/>
      </c>
      <c r="AG53" s="893" t="str">
        <f>""</f>
        <v/>
      </c>
      <c r="AH53" s="893" t="str">
        <f>""</f>
        <v/>
      </c>
      <c r="AI53" s="893" t="str">
        <f>""</f>
        <v/>
      </c>
      <c r="AJ53" s="895" t="str">
        <f>""</f>
        <v/>
      </c>
      <c r="AK53" s="1269" t="str">
        <f>""</f>
        <v/>
      </c>
    </row>
    <row r="54" spans="1:37" s="316" customFormat="1" ht="15" customHeight="1" thickBot="1" x14ac:dyDescent="0.35">
      <c r="A54" s="1956"/>
      <c r="B54" s="656"/>
      <c r="C54" s="657"/>
      <c r="D54" s="658" t="s">
        <v>99</v>
      </c>
      <c r="E54" s="556"/>
      <c r="F54" s="556"/>
      <c r="G54" s="556"/>
      <c r="H54" s="556"/>
      <c r="I54" s="556"/>
      <c r="J54" s="556"/>
      <c r="K54" s="556"/>
      <c r="L54" s="659"/>
      <c r="M54" s="1961"/>
      <c r="N54" s="549" t="str">
        <f t="shared" ref="N54:T54" si="39">IF(N53&lt;&gt;"",N53/(1+E52),"")</f>
        <v/>
      </c>
      <c r="O54" s="549" t="str">
        <f t="shared" si="39"/>
        <v/>
      </c>
      <c r="P54" s="549" t="str">
        <f t="shared" si="39"/>
        <v/>
      </c>
      <c r="Q54" s="549" t="str">
        <f t="shared" si="39"/>
        <v/>
      </c>
      <c r="R54" s="549" t="str">
        <f t="shared" si="39"/>
        <v/>
      </c>
      <c r="S54" s="549" t="str">
        <f t="shared" si="39"/>
        <v/>
      </c>
      <c r="T54" s="549" t="str">
        <f t="shared" si="39"/>
        <v/>
      </c>
      <c r="U54" s="550"/>
      <c r="V54" s="550"/>
      <c r="W54" s="550"/>
      <c r="X54" s="550"/>
      <c r="Y54" s="550"/>
      <c r="Z54" s="550"/>
      <c r="AA54" s="550"/>
      <c r="AB54" s="551">
        <f>MAX(AB$5:AB53)+1</f>
        <v>5</v>
      </c>
      <c r="AC54" s="552" t="str">
        <f>""</f>
        <v/>
      </c>
      <c r="AD54" s="552" t="str">
        <f>""</f>
        <v/>
      </c>
      <c r="AE54" s="552" t="str">
        <f>""</f>
        <v/>
      </c>
      <c r="AF54" s="558" t="str">
        <f>""</f>
        <v/>
      </c>
      <c r="AG54" s="553" t="str">
        <f>""</f>
        <v/>
      </c>
      <c r="AH54" s="553" t="str">
        <f>""</f>
        <v/>
      </c>
      <c r="AI54" s="553" t="str">
        <f>""</f>
        <v/>
      </c>
      <c r="AJ54" s="554" t="str">
        <f>""</f>
        <v/>
      </c>
      <c r="AK54" s="555" t="str">
        <f>""</f>
        <v/>
      </c>
    </row>
    <row r="55" spans="1:37" s="56" customFormat="1" ht="15" customHeight="1" x14ac:dyDescent="0.3">
      <c r="A55" s="1954">
        <f>A45+1</f>
        <v>6</v>
      </c>
      <c r="B55" s="1957" t="s">
        <v>309</v>
      </c>
      <c r="C55" s="1958"/>
      <c r="D55" s="648" t="s">
        <v>34</v>
      </c>
      <c r="E55" s="649"/>
      <c r="F55" s="649"/>
      <c r="G55" s="649"/>
      <c r="H55" s="649"/>
      <c r="I55" s="649"/>
      <c r="J55" s="649"/>
      <c r="K55" s="649"/>
      <c r="L55" s="650" t="str">
        <f>IF(E55&lt;&gt;"",MAX(L$5:L54)+1,"")</f>
        <v/>
      </c>
      <c r="M55" s="1959" t="s">
        <v>25</v>
      </c>
      <c r="N55" s="539" t="str">
        <f t="shared" ref="N55:T55" si="40">IF(E55&lt;&gt;"",E55,"")</f>
        <v/>
      </c>
      <c r="O55" s="539" t="str">
        <f t="shared" si="40"/>
        <v/>
      </c>
      <c r="P55" s="539" t="str">
        <f t="shared" si="40"/>
        <v/>
      </c>
      <c r="Q55" s="539" t="str">
        <f t="shared" si="40"/>
        <v/>
      </c>
      <c r="R55" s="539" t="str">
        <f t="shared" si="40"/>
        <v/>
      </c>
      <c r="S55" s="539" t="str">
        <f t="shared" si="40"/>
        <v/>
      </c>
      <c r="T55" s="539" t="str">
        <f t="shared" si="40"/>
        <v/>
      </c>
      <c r="U55" s="540" t="str">
        <f t="shared" ref="U55:AA55" si="41">IF(N64&lt;&gt;"",N64/E63*1000,"")</f>
        <v/>
      </c>
      <c r="V55" s="540" t="str">
        <f t="shared" si="41"/>
        <v/>
      </c>
      <c r="W55" s="540" t="str">
        <f t="shared" si="41"/>
        <v/>
      </c>
      <c r="X55" s="540" t="str">
        <f t="shared" si="41"/>
        <v/>
      </c>
      <c r="Y55" s="540" t="str">
        <f t="shared" si="41"/>
        <v/>
      </c>
      <c r="Z55" s="540" t="str">
        <f t="shared" si="41"/>
        <v/>
      </c>
      <c r="AA55" s="540" t="str">
        <f t="shared" si="41"/>
        <v/>
      </c>
      <c r="AB55" s="539" t="str">
        <f>IF(L55&lt;&gt;"",L55,"")</f>
        <v/>
      </c>
      <c r="AC55" s="541" t="str">
        <f>IF(C56&lt;&gt;"",CONCATENATE(C56," a ",C57),"")</f>
        <v/>
      </c>
      <c r="AD55" s="542" t="str">
        <f>IF(C59&lt;&gt;"",C59,"")</f>
        <v/>
      </c>
      <c r="AE55" s="543" t="str">
        <f>IF(E56&lt;&gt;"",E56,"")</f>
        <v/>
      </c>
      <c r="AF55" s="557" t="str">
        <f>IF(E57&lt;&gt;"",E57,"")</f>
        <v/>
      </c>
      <c r="AG55" s="544" t="str">
        <f>IF(N55&lt;&gt;"",N55,"")</f>
        <v/>
      </c>
      <c r="AH55" s="545" t="str">
        <f>IF(E62&lt;&gt;"",E62*100,"")</f>
        <v/>
      </c>
      <c r="AI55" s="546" t="str">
        <f>IF(N64&lt;&gt;"",N64,"")</f>
        <v/>
      </c>
      <c r="AJ55" s="547" t="str">
        <f>IF(AH55="","",((AH55/100)-E64)*100)</f>
        <v/>
      </c>
      <c r="AK55" s="548" t="str">
        <f>IF(U55&lt;&gt;"",U55*100,"")</f>
        <v/>
      </c>
    </row>
    <row r="56" spans="1:37" s="57" customFormat="1" ht="15" customHeight="1" x14ac:dyDescent="0.3">
      <c r="A56" s="1955"/>
      <c r="B56" s="869" t="s">
        <v>310</v>
      </c>
      <c r="C56" s="666"/>
      <c r="D56" s="870" t="s">
        <v>156</v>
      </c>
      <c r="E56" s="871"/>
      <c r="F56" s="871"/>
      <c r="G56" s="871"/>
      <c r="H56" s="871"/>
      <c r="I56" s="871"/>
      <c r="J56" s="871"/>
      <c r="K56" s="871"/>
      <c r="L56" s="651" t="str">
        <f>IF(F55&lt;&gt;"",MAX(L$5:L55)+1,"")</f>
        <v/>
      </c>
      <c r="M56" s="1960"/>
      <c r="N56" s="872" t="str">
        <f>IF(E58&lt;&gt;"",LOOKUP(E58,Tara!$L$5:$L$21,Tara!$M$5:$M$21),"")</f>
        <v/>
      </c>
      <c r="O56" s="872" t="str">
        <f>IF(F58&lt;&gt;"",LOOKUP(F58,Tara!$L$5:$L$21,Tara!$M$5:$M$21),"")</f>
        <v/>
      </c>
      <c r="P56" s="872" t="str">
        <f>IF(G58&lt;&gt;"",LOOKUP(G58,Tara!$L$5:$L$21,Tara!$M$5:$M$21),"")</f>
        <v/>
      </c>
      <c r="Q56" s="872" t="str">
        <f>IF(H58&lt;&gt;"",LOOKUP(H58,Tara!$L$5:$L$21,Tara!$M$5:$M$21),"")</f>
        <v/>
      </c>
      <c r="R56" s="872" t="str">
        <f>IF(I58&lt;&gt;"",LOOKUP(I58,Tara!$L$5:$L$21,Tara!$M$5:$M$21),"")</f>
        <v/>
      </c>
      <c r="S56" s="872" t="str">
        <f>IF(J58&lt;&gt;"",LOOKUP(J58,Tara!$L$5:$L$21,Tara!$M$5:$M$21),"")</f>
        <v/>
      </c>
      <c r="T56" s="872" t="str">
        <f>IF(K58&lt;&gt;"",LOOKUP(K58,Tara!$L$5:$L$21,Tara!$M$5:$M$21),"")</f>
        <v/>
      </c>
      <c r="U56" s="872"/>
      <c r="V56" s="872"/>
      <c r="W56" s="872"/>
      <c r="X56" s="872"/>
      <c r="Y56" s="872"/>
      <c r="Z56" s="872"/>
      <c r="AA56" s="872"/>
      <c r="AB56" s="872" t="str">
        <f t="shared" ref="AB56:AB61" si="42">IF(L56&lt;&gt;"",L56,"")</f>
        <v/>
      </c>
      <c r="AC56" s="873" t="str">
        <f>""</f>
        <v/>
      </c>
      <c r="AD56" s="873" t="str">
        <f>""</f>
        <v/>
      </c>
      <c r="AE56" s="873" t="str">
        <f>IF(F56&lt;&gt;"",F56,"")</f>
        <v/>
      </c>
      <c r="AF56" s="874" t="str">
        <f>IF(E57&lt;&gt;"",F57,"")</f>
        <v/>
      </c>
      <c r="AG56" s="875" t="str">
        <f>IF(O55&lt;&gt;"",O55,"")</f>
        <v/>
      </c>
      <c r="AH56" s="896" t="str">
        <f>IF(F62&lt;&gt;"",F62*100,"")</f>
        <v/>
      </c>
      <c r="AI56" s="897" t="str">
        <f>IF(O64&lt;&gt;"",O64,"")</f>
        <v/>
      </c>
      <c r="AJ56" s="880" t="str">
        <f>IF(AH56="","",((AH56/100)-F64)*100)</f>
        <v/>
      </c>
      <c r="AK56" s="1267" t="str">
        <f>IF(V55&lt;&gt;"",V55*100,"")</f>
        <v/>
      </c>
    </row>
    <row r="57" spans="1:37" s="56" customFormat="1" ht="15" customHeight="1" x14ac:dyDescent="0.3">
      <c r="A57" s="1955"/>
      <c r="B57" s="869" t="s">
        <v>311</v>
      </c>
      <c r="C57" s="666"/>
      <c r="D57" s="870" t="s">
        <v>312</v>
      </c>
      <c r="E57" s="878"/>
      <c r="F57" s="878"/>
      <c r="G57" s="878"/>
      <c r="H57" s="878"/>
      <c r="I57" s="878"/>
      <c r="J57" s="878"/>
      <c r="K57" s="1268"/>
      <c r="L57" s="651" t="str">
        <f>IF(G55&lt;&gt;"",MAX(L$5:L56)+1,"")</f>
        <v/>
      </c>
      <c r="M57" s="1960"/>
      <c r="N57" s="872" t="str">
        <f t="shared" ref="N57:T57" si="43">IF(N56&lt;&gt;"",N56-E59,"")</f>
        <v/>
      </c>
      <c r="O57" s="872" t="str">
        <f t="shared" si="43"/>
        <v/>
      </c>
      <c r="P57" s="872" t="str">
        <f t="shared" si="43"/>
        <v/>
      </c>
      <c r="Q57" s="872" t="str">
        <f t="shared" si="43"/>
        <v/>
      </c>
      <c r="R57" s="872" t="str">
        <f t="shared" si="43"/>
        <v/>
      </c>
      <c r="S57" s="872" t="str">
        <f t="shared" si="43"/>
        <v/>
      </c>
      <c r="T57" s="872" t="str">
        <f t="shared" si="43"/>
        <v/>
      </c>
      <c r="U57" s="879"/>
      <c r="V57" s="879"/>
      <c r="W57" s="879"/>
      <c r="X57" s="879"/>
      <c r="Y57" s="879"/>
      <c r="Z57" s="879"/>
      <c r="AA57" s="879"/>
      <c r="AB57" s="872" t="str">
        <f t="shared" si="42"/>
        <v/>
      </c>
      <c r="AC57" s="873" t="str">
        <f>""</f>
        <v/>
      </c>
      <c r="AD57" s="873" t="str">
        <f>""</f>
        <v/>
      </c>
      <c r="AE57" s="873" t="str">
        <f>IF(G56&lt;&gt;"",G56,"")</f>
        <v/>
      </c>
      <c r="AF57" s="874" t="str">
        <f>IF(G57&lt;&gt;"",G57,"")</f>
        <v/>
      </c>
      <c r="AG57" s="875" t="str">
        <f>IF(P55&lt;&gt;"",P55,"")</f>
        <v/>
      </c>
      <c r="AH57" s="896" t="str">
        <f>IF(G62&lt;&gt;"",G62*100,"")</f>
        <v/>
      </c>
      <c r="AI57" s="897" t="str">
        <f>IF(P64&lt;&gt;"",P64,"")</f>
        <v/>
      </c>
      <c r="AJ57" s="880" t="str">
        <f>IF(AH57="","",((AH57/100)-G64)*100)</f>
        <v/>
      </c>
      <c r="AK57" s="1267" t="str">
        <f>IF(W55&lt;&gt;"",W55*100,"")</f>
        <v/>
      </c>
    </row>
    <row r="58" spans="1:37" s="56" customFormat="1" ht="15" customHeight="1" x14ac:dyDescent="0.3">
      <c r="A58" s="1955"/>
      <c r="B58" s="869" t="s">
        <v>313</v>
      </c>
      <c r="C58" s="666"/>
      <c r="D58" s="870" t="s">
        <v>314</v>
      </c>
      <c r="E58" s="750"/>
      <c r="F58" s="750"/>
      <c r="G58" s="750"/>
      <c r="H58" s="750"/>
      <c r="I58" s="750"/>
      <c r="J58" s="750"/>
      <c r="K58" s="750"/>
      <c r="L58" s="651" t="str">
        <f>IF(H55&lt;&gt;"",MAX(L$5:L57)+1,"")</f>
        <v/>
      </c>
      <c r="M58" s="1960"/>
      <c r="N58" s="872" t="str">
        <f>IF(E58&lt;&gt;"",LOOKUP(E58,Tara!$L$5:$L$21,Tara!$N$5:$N$21),"")</f>
        <v/>
      </c>
      <c r="O58" s="872" t="str">
        <f>IF(F58&lt;&gt;"",LOOKUP(F58,Tara!$L$5:$L$21,Tara!$N$5:$N$21),"")</f>
        <v/>
      </c>
      <c r="P58" s="872" t="str">
        <f>IF(G58&lt;&gt;"",LOOKUP(G58,Tara!$L$5:$L$21,Tara!$N$5:$N$21),"")</f>
        <v/>
      </c>
      <c r="Q58" s="872" t="str">
        <f>IF(H58&lt;&gt;"",LOOKUP(H58,Tara!$L$5:$L$21,Tara!$N$5:$N$21),"")</f>
        <v/>
      </c>
      <c r="R58" s="872" t="str">
        <f>IF(I58&lt;&gt;"",LOOKUP(I58,Tara!$L$5:$L$21,Tara!$N$5:$N$21),"")</f>
        <v/>
      </c>
      <c r="S58" s="872" t="str">
        <f>IF(J58&lt;&gt;"",LOOKUP(J58,Tara!$L$5:$L$21,Tara!$N$5:$N$21),"")</f>
        <v/>
      </c>
      <c r="T58" s="872" t="str">
        <f>IF(K58&lt;&gt;"",LOOKUP(K58,Tara!$L$5:$L$21,Tara!$N$5:$N$21),"")</f>
        <v/>
      </c>
      <c r="U58" s="881"/>
      <c r="V58" s="881"/>
      <c r="W58" s="881"/>
      <c r="X58" s="881"/>
      <c r="Y58" s="881"/>
      <c r="Z58" s="881"/>
      <c r="AA58" s="881"/>
      <c r="AB58" s="872" t="str">
        <f t="shared" si="42"/>
        <v/>
      </c>
      <c r="AC58" s="873" t="str">
        <f>""</f>
        <v/>
      </c>
      <c r="AD58" s="873" t="str">
        <f>""</f>
        <v/>
      </c>
      <c r="AE58" s="873" t="str">
        <f>IF(H56&lt;&gt;"",H56,"")</f>
        <v/>
      </c>
      <c r="AF58" s="874" t="str">
        <f>IF(H57&lt;&gt;"",H57,"")</f>
        <v/>
      </c>
      <c r="AG58" s="875" t="str">
        <f>IF(Q55&lt;&gt;"",Q55,"")</f>
        <v/>
      </c>
      <c r="AH58" s="896" t="str">
        <f>IF(H62&lt;&gt;"",H62*100,"")</f>
        <v/>
      </c>
      <c r="AI58" s="897" t="str">
        <f>IF(Q64&lt;&gt;"",Q64,"")</f>
        <v/>
      </c>
      <c r="AJ58" s="880" t="str">
        <f>IF(AH58="","",((AH58/100)-H64)*100)</f>
        <v/>
      </c>
      <c r="AK58" s="1267" t="str">
        <f>IF(X55&lt;&gt;"",X55*100,"")</f>
        <v/>
      </c>
    </row>
    <row r="59" spans="1:37" s="56" customFormat="1" ht="15" customHeight="1" x14ac:dyDescent="0.3">
      <c r="A59" s="1955"/>
      <c r="B59" s="882" t="s">
        <v>57</v>
      </c>
      <c r="C59" s="688"/>
      <c r="D59" s="870" t="s">
        <v>315</v>
      </c>
      <c r="E59" s="871"/>
      <c r="F59" s="871"/>
      <c r="G59" s="871"/>
      <c r="H59" s="871"/>
      <c r="I59" s="871"/>
      <c r="J59" s="871"/>
      <c r="K59" s="871"/>
      <c r="L59" s="651" t="str">
        <f>IF(I55&lt;&gt;"",MAX(L$5:L58)+1,"")</f>
        <v/>
      </c>
      <c r="M59" s="1960"/>
      <c r="N59" s="872" t="str">
        <f t="shared" ref="N59:T59" si="44">IF(N57&lt;&gt;"",N57-N58,"")</f>
        <v/>
      </c>
      <c r="O59" s="872" t="str">
        <f t="shared" si="44"/>
        <v/>
      </c>
      <c r="P59" s="872" t="str">
        <f t="shared" si="44"/>
        <v/>
      </c>
      <c r="Q59" s="872" t="str">
        <f t="shared" si="44"/>
        <v/>
      </c>
      <c r="R59" s="872" t="str">
        <f t="shared" si="44"/>
        <v/>
      </c>
      <c r="S59" s="872" t="str">
        <f t="shared" si="44"/>
        <v/>
      </c>
      <c r="T59" s="872" t="str">
        <f t="shared" si="44"/>
        <v/>
      </c>
      <c r="U59" s="881"/>
      <c r="V59" s="881"/>
      <c r="W59" s="881"/>
      <c r="X59" s="881"/>
      <c r="Y59" s="881"/>
      <c r="Z59" s="881"/>
      <c r="AA59" s="881"/>
      <c r="AB59" s="872" t="str">
        <f t="shared" si="42"/>
        <v/>
      </c>
      <c r="AC59" s="873" t="str">
        <f>""</f>
        <v/>
      </c>
      <c r="AD59" s="873" t="str">
        <f>""</f>
        <v/>
      </c>
      <c r="AE59" s="873" t="str">
        <f>IF(I56&lt;&gt;"",I56,"")</f>
        <v/>
      </c>
      <c r="AF59" s="874" t="str">
        <f>IF(I57&lt;&gt;"",I57,"")</f>
        <v/>
      </c>
      <c r="AG59" s="875" t="str">
        <f>IF(R55&lt;&gt;"",R55,"")</f>
        <v/>
      </c>
      <c r="AH59" s="896" t="str">
        <f>IF(I62&lt;&gt;"",I62*100,"")</f>
        <v/>
      </c>
      <c r="AI59" s="897" t="str">
        <f>IF(R64&lt;&gt;"",R64,"")</f>
        <v/>
      </c>
      <c r="AJ59" s="880" t="str">
        <f>IF(AH59="","",((AH59/100)-I64)*100)</f>
        <v/>
      </c>
      <c r="AK59" s="1267" t="str">
        <f>IF(Y55&lt;&gt;"",Y55*100,"")</f>
        <v/>
      </c>
    </row>
    <row r="60" spans="1:37" s="316" customFormat="1" ht="15" customHeight="1" x14ac:dyDescent="0.3">
      <c r="A60" s="1955"/>
      <c r="B60" s="882" t="s">
        <v>316</v>
      </c>
      <c r="C60" s="666"/>
      <c r="D60" s="883" t="s">
        <v>317</v>
      </c>
      <c r="E60" s="750"/>
      <c r="F60" s="750"/>
      <c r="G60" s="750"/>
      <c r="H60" s="750"/>
      <c r="I60" s="750"/>
      <c r="J60" s="750"/>
      <c r="K60" s="750"/>
      <c r="L60" s="651" t="str">
        <f>IF(J55&lt;&gt;"",MAX(L$5:L59)+1,"")</f>
        <v/>
      </c>
      <c r="M60" s="1960"/>
      <c r="N60" s="872" t="str">
        <f>IF(E58&lt;&gt;"",LOOKUP(E58,Tara!$L$5:$L$21,Tara!$O$5:$O$21),"")</f>
        <v/>
      </c>
      <c r="O60" s="872" t="str">
        <f>IF(F58&lt;&gt;"",LOOKUP(F58,Tara!$L$5:$L$21,Tara!$O$5:$O$21),"")</f>
        <v/>
      </c>
      <c r="P60" s="872" t="str">
        <f>IF(G58&lt;&gt;"",LOOKUP(G58,Tara!$L$5:$L$21,Tara!$O$5:$O$21),"")</f>
        <v/>
      </c>
      <c r="Q60" s="872" t="str">
        <f>IF(H58&lt;&gt;"",LOOKUP(H58,Tara!$L$5:$L$21,Tara!$O$5:$O$21),"")</f>
        <v/>
      </c>
      <c r="R60" s="872" t="str">
        <f>IF(I58&lt;&gt;"",LOOKUP(I58,Tara!$L$5:$L$21,Tara!$O$5:$O$21),"")</f>
        <v/>
      </c>
      <c r="S60" s="872" t="str">
        <f>IF(J58&lt;&gt;"",LOOKUP(J58,Tara!$L$5:$L$21,Tara!$O$5:$O$21),"")</f>
        <v/>
      </c>
      <c r="T60" s="872" t="str">
        <f>IF(K58&lt;&gt;"",LOOKUP(K58,Tara!$L$5:$L$21,Tara!$O$5:$O$21),"")</f>
        <v/>
      </c>
      <c r="U60" s="884"/>
      <c r="V60" s="884"/>
      <c r="W60" s="884"/>
      <c r="X60" s="884"/>
      <c r="Y60" s="884"/>
      <c r="Z60" s="884"/>
      <c r="AA60" s="884"/>
      <c r="AB60" s="872" t="str">
        <f t="shared" si="42"/>
        <v/>
      </c>
      <c r="AC60" s="873" t="str">
        <f>""</f>
        <v/>
      </c>
      <c r="AD60" s="873" t="str">
        <f>""</f>
        <v/>
      </c>
      <c r="AE60" s="873" t="str">
        <f>IF(J56&lt;&gt;"",J56,"")</f>
        <v/>
      </c>
      <c r="AF60" s="874" t="str">
        <f>IF(J57&lt;&gt;"",J57,"")</f>
        <v/>
      </c>
      <c r="AG60" s="875" t="str">
        <f>IF(S55&lt;&gt;"",S55,"")</f>
        <v/>
      </c>
      <c r="AH60" s="896" t="str">
        <f>IF(J62&lt;&gt;"",J62*100,"")</f>
        <v/>
      </c>
      <c r="AI60" s="897" t="str">
        <f>IF(S64&lt;&gt;"",S64,"")</f>
        <v/>
      </c>
      <c r="AJ60" s="880" t="str">
        <f>IF(AH60="","",((AH60/100)-J64)*100)</f>
        <v/>
      </c>
      <c r="AK60" s="1267" t="str">
        <f>IF(Z55&lt;&gt;"",Z55*100,"")</f>
        <v/>
      </c>
    </row>
    <row r="61" spans="1:37" s="316" customFormat="1" ht="15" customHeight="1" x14ac:dyDescent="0.3">
      <c r="A61" s="1955"/>
      <c r="B61" s="885" t="s">
        <v>318</v>
      </c>
      <c r="C61" s="886"/>
      <c r="D61" s="870" t="s">
        <v>319</v>
      </c>
      <c r="E61" s="750"/>
      <c r="F61" s="750"/>
      <c r="G61" s="750"/>
      <c r="H61" s="750"/>
      <c r="I61" s="750"/>
      <c r="J61" s="750"/>
      <c r="K61" s="750"/>
      <c r="L61" s="651" t="str">
        <f>IF(K55&lt;&gt;"",MAX(L$5:L60)+1,"")</f>
        <v/>
      </c>
      <c r="M61" s="1960"/>
      <c r="N61" s="887" t="str">
        <f>IF(N59&lt;&gt;"",N59/N60,"")</f>
        <v/>
      </c>
      <c r="O61" s="887" t="str">
        <f t="shared" ref="O61:T61" si="45">IF(O59&lt;&gt;"",O59/O60,"")</f>
        <v/>
      </c>
      <c r="P61" s="887" t="str">
        <f t="shared" si="45"/>
        <v/>
      </c>
      <c r="Q61" s="887" t="str">
        <f t="shared" si="45"/>
        <v/>
      </c>
      <c r="R61" s="887" t="str">
        <f t="shared" si="45"/>
        <v/>
      </c>
      <c r="S61" s="887" t="str">
        <f t="shared" si="45"/>
        <v/>
      </c>
      <c r="T61" s="887" t="str">
        <f t="shared" si="45"/>
        <v/>
      </c>
      <c r="U61" s="884"/>
      <c r="V61" s="884"/>
      <c r="W61" s="884"/>
      <c r="X61" s="884"/>
      <c r="Y61" s="884"/>
      <c r="Z61" s="884"/>
      <c r="AA61" s="884"/>
      <c r="AB61" s="872" t="str">
        <f t="shared" si="42"/>
        <v/>
      </c>
      <c r="AC61" s="873" t="str">
        <f>""</f>
        <v/>
      </c>
      <c r="AD61" s="873" t="str">
        <f>""</f>
        <v/>
      </c>
      <c r="AE61" s="873" t="str">
        <f>IF(K56&lt;&gt;"",K56,"")</f>
        <v/>
      </c>
      <c r="AF61" s="874" t="str">
        <f>IF(K57&lt;&gt;"",K57,"")</f>
        <v/>
      </c>
      <c r="AG61" s="875" t="str">
        <f>IF(T55&lt;&gt;"",T55,"")</f>
        <v/>
      </c>
      <c r="AH61" s="896" t="str">
        <f>IF(K62&lt;&gt;"",K62*100,"")</f>
        <v/>
      </c>
      <c r="AI61" s="897" t="str">
        <f>IF(T64&lt;&gt;"",T64,"")</f>
        <v/>
      </c>
      <c r="AJ61" s="880" t="str">
        <f>IF(AH61="","",((AH61/100)-K64)*100)</f>
        <v/>
      </c>
      <c r="AK61" s="1267" t="str">
        <f>IF(AA55&lt;&gt;"",AA55*100,"")</f>
        <v/>
      </c>
    </row>
    <row r="62" spans="1:37" s="316" customFormat="1" ht="15" customHeight="1" x14ac:dyDescent="0.3">
      <c r="A62" s="1955"/>
      <c r="B62" s="652"/>
      <c r="C62" s="653"/>
      <c r="D62" s="870" t="s">
        <v>320</v>
      </c>
      <c r="E62" s="888"/>
      <c r="F62" s="888"/>
      <c r="G62" s="888"/>
      <c r="H62" s="888"/>
      <c r="I62" s="888"/>
      <c r="J62" s="888"/>
      <c r="K62" s="888"/>
      <c r="L62" s="651"/>
      <c r="M62" s="1960"/>
      <c r="N62" s="889" t="str">
        <f>IF(E60&lt;&gt;"",LOOKUP(E60,Tara!$P$5:$P$21,Tara!$Q$5:$Q$21),"")</f>
        <v/>
      </c>
      <c r="O62" s="889" t="str">
        <f>IF(F60&lt;&gt;"",LOOKUP(F60,Tara!$P$5:$P$21,Tara!$Q$5:$Q$21),"")</f>
        <v/>
      </c>
      <c r="P62" s="889" t="str">
        <f>IF(G60&lt;&gt;"",LOOKUP(G60,Tara!$P$5:$P$21,Tara!$Q$5:$Q$21),"")</f>
        <v/>
      </c>
      <c r="Q62" s="889" t="str">
        <f>IF(H60&lt;&gt;"",LOOKUP(H60,Tara!$P$5:$P$21,Tara!$Q$5:$Q$21),"")</f>
        <v/>
      </c>
      <c r="R62" s="889" t="str">
        <f>IF(I60&lt;&gt;"",LOOKUP(I60,Tara!$P$5:$P$21,Tara!$Q$5:$Q$21),"")</f>
        <v/>
      </c>
      <c r="S62" s="889" t="str">
        <f>IF(J60&lt;&gt;"",LOOKUP(J60,Tara!$P$5:$P$21,Tara!$Q$5:$Q$21),"")</f>
        <v/>
      </c>
      <c r="T62" s="889" t="str">
        <f>IF(K60&lt;&gt;"",LOOKUP(K60,Tara!$P$5:$P$21,Tara!$Q$5:$Q$21),"")</f>
        <v/>
      </c>
      <c r="U62" s="884"/>
      <c r="V62" s="884"/>
      <c r="W62" s="884"/>
      <c r="X62" s="884"/>
      <c r="Y62" s="884"/>
      <c r="Z62" s="884"/>
      <c r="AA62" s="884"/>
      <c r="AB62" s="872" t="str">
        <f>""</f>
        <v/>
      </c>
      <c r="AC62" s="873" t="str">
        <f>""</f>
        <v/>
      </c>
      <c r="AD62" s="873" t="str">
        <f>""</f>
        <v/>
      </c>
      <c r="AE62" s="873" t="str">
        <f>""</f>
        <v/>
      </c>
      <c r="AF62" s="874" t="str">
        <f>""</f>
        <v/>
      </c>
      <c r="AG62" s="875" t="str">
        <f>""</f>
        <v/>
      </c>
      <c r="AH62" s="875" t="str">
        <f>""</f>
        <v/>
      </c>
      <c r="AI62" s="875" t="str">
        <f>""</f>
        <v/>
      </c>
      <c r="AJ62" s="890" t="str">
        <f>""</f>
        <v/>
      </c>
      <c r="AK62" s="1267" t="str">
        <f>""</f>
        <v/>
      </c>
    </row>
    <row r="63" spans="1:37" s="316" customFormat="1" ht="15" customHeight="1" x14ac:dyDescent="0.3">
      <c r="A63" s="1955"/>
      <c r="B63" s="654"/>
      <c r="C63" s="655"/>
      <c r="D63" s="891" t="s">
        <v>321</v>
      </c>
      <c r="E63" s="750"/>
      <c r="F63" s="750"/>
      <c r="G63" s="750"/>
      <c r="H63" s="750"/>
      <c r="I63" s="750"/>
      <c r="J63" s="750"/>
      <c r="K63" s="750"/>
      <c r="L63" s="651"/>
      <c r="M63" s="1960"/>
      <c r="N63" s="892" t="str">
        <f t="shared" ref="N63:T63" si="46">IF(E61&lt;&gt;"",(E61-N62)/N61,"")</f>
        <v/>
      </c>
      <c r="O63" s="892" t="str">
        <f t="shared" si="46"/>
        <v/>
      </c>
      <c r="P63" s="892" t="str">
        <f t="shared" si="46"/>
        <v/>
      </c>
      <c r="Q63" s="892" t="str">
        <f t="shared" si="46"/>
        <v/>
      </c>
      <c r="R63" s="892" t="str">
        <f t="shared" si="46"/>
        <v/>
      </c>
      <c r="S63" s="892" t="str">
        <f t="shared" si="46"/>
        <v/>
      </c>
      <c r="T63" s="892" t="str">
        <f t="shared" si="46"/>
        <v/>
      </c>
      <c r="U63" s="884"/>
      <c r="V63" s="884"/>
      <c r="W63" s="884"/>
      <c r="X63" s="884"/>
      <c r="Y63" s="884"/>
      <c r="Z63" s="884"/>
      <c r="AA63" s="884"/>
      <c r="AB63" s="872" t="str">
        <f>""</f>
        <v/>
      </c>
      <c r="AC63" s="873" t="str">
        <f>""</f>
        <v/>
      </c>
      <c r="AD63" s="873" t="str">
        <f>""</f>
        <v/>
      </c>
      <c r="AE63" s="873" t="str">
        <f>""</f>
        <v/>
      </c>
      <c r="AF63" s="874" t="str">
        <f>""</f>
        <v/>
      </c>
      <c r="AG63" s="893" t="str">
        <f>""</f>
        <v/>
      </c>
      <c r="AH63" s="893" t="str">
        <f>""</f>
        <v/>
      </c>
      <c r="AI63" s="893" t="str">
        <f>""</f>
        <v/>
      </c>
      <c r="AJ63" s="895" t="str">
        <f>""</f>
        <v/>
      </c>
      <c r="AK63" s="1269" t="str">
        <f>""</f>
        <v/>
      </c>
    </row>
    <row r="64" spans="1:37" s="316" customFormat="1" ht="15" customHeight="1" thickBot="1" x14ac:dyDescent="0.35">
      <c r="A64" s="1956"/>
      <c r="B64" s="656"/>
      <c r="C64" s="657"/>
      <c r="D64" s="658" t="s">
        <v>99</v>
      </c>
      <c r="E64" s="556"/>
      <c r="F64" s="556"/>
      <c r="G64" s="556"/>
      <c r="H64" s="556"/>
      <c r="I64" s="556"/>
      <c r="J64" s="556"/>
      <c r="K64" s="556"/>
      <c r="L64" s="659"/>
      <c r="M64" s="1961"/>
      <c r="N64" s="549" t="str">
        <f t="shared" ref="N64:T64" si="47">IF(N63&lt;&gt;"",N63/(1+E62),"")</f>
        <v/>
      </c>
      <c r="O64" s="549" t="str">
        <f t="shared" si="47"/>
        <v/>
      </c>
      <c r="P64" s="549" t="str">
        <f t="shared" si="47"/>
        <v/>
      </c>
      <c r="Q64" s="549" t="str">
        <f t="shared" si="47"/>
        <v/>
      </c>
      <c r="R64" s="549" t="str">
        <f t="shared" si="47"/>
        <v/>
      </c>
      <c r="S64" s="549" t="str">
        <f t="shared" si="47"/>
        <v/>
      </c>
      <c r="T64" s="549" t="str">
        <f t="shared" si="47"/>
        <v/>
      </c>
      <c r="U64" s="550"/>
      <c r="V64" s="550"/>
      <c r="W64" s="550"/>
      <c r="X64" s="550"/>
      <c r="Y64" s="550"/>
      <c r="Z64" s="550"/>
      <c r="AA64" s="550"/>
      <c r="AB64" s="551">
        <f>MAX(AB$5:AB63)+1</f>
        <v>6</v>
      </c>
      <c r="AC64" s="552" t="str">
        <f>""</f>
        <v/>
      </c>
      <c r="AD64" s="552" t="str">
        <f>""</f>
        <v/>
      </c>
      <c r="AE64" s="552" t="str">
        <f>""</f>
        <v/>
      </c>
      <c r="AF64" s="558" t="str">
        <f>""</f>
        <v/>
      </c>
      <c r="AG64" s="553" t="str">
        <f>""</f>
        <v/>
      </c>
      <c r="AH64" s="553" t="str">
        <f>""</f>
        <v/>
      </c>
      <c r="AI64" s="553" t="str">
        <f>""</f>
        <v/>
      </c>
      <c r="AJ64" s="554" t="str">
        <f>""</f>
        <v/>
      </c>
      <c r="AK64" s="555" t="str">
        <f>""</f>
        <v/>
      </c>
    </row>
    <row r="65" spans="1:37" s="56" customFormat="1" ht="15" customHeight="1" x14ac:dyDescent="0.3">
      <c r="A65" s="1954">
        <f>A55+1</f>
        <v>7</v>
      </c>
      <c r="B65" s="1957" t="s">
        <v>309</v>
      </c>
      <c r="C65" s="1958"/>
      <c r="D65" s="648" t="s">
        <v>34</v>
      </c>
      <c r="E65" s="649"/>
      <c r="F65" s="649"/>
      <c r="G65" s="649"/>
      <c r="H65" s="649"/>
      <c r="I65" s="649"/>
      <c r="J65" s="649"/>
      <c r="K65" s="649"/>
      <c r="L65" s="650" t="str">
        <f>IF(E65&lt;&gt;"",MAX(L$5:L64)+1,"")</f>
        <v/>
      </c>
      <c r="M65" s="1959" t="s">
        <v>25</v>
      </c>
      <c r="N65" s="539" t="str">
        <f t="shared" ref="N65:T65" si="48">IF(E65&lt;&gt;"",E65,"")</f>
        <v/>
      </c>
      <c r="O65" s="539" t="str">
        <f t="shared" si="48"/>
        <v/>
      </c>
      <c r="P65" s="539" t="str">
        <f t="shared" si="48"/>
        <v/>
      </c>
      <c r="Q65" s="539" t="str">
        <f t="shared" si="48"/>
        <v/>
      </c>
      <c r="R65" s="539" t="str">
        <f t="shared" si="48"/>
        <v/>
      </c>
      <c r="S65" s="539" t="str">
        <f t="shared" si="48"/>
        <v/>
      </c>
      <c r="T65" s="539" t="str">
        <f t="shared" si="48"/>
        <v/>
      </c>
      <c r="U65" s="540" t="str">
        <f t="shared" ref="U65:AA65" si="49">IF(N74&lt;&gt;"",N74/E73*1000,"")</f>
        <v/>
      </c>
      <c r="V65" s="540" t="str">
        <f t="shared" si="49"/>
        <v/>
      </c>
      <c r="W65" s="540" t="str">
        <f t="shared" si="49"/>
        <v/>
      </c>
      <c r="X65" s="540" t="str">
        <f t="shared" si="49"/>
        <v/>
      </c>
      <c r="Y65" s="540" t="str">
        <f t="shared" si="49"/>
        <v/>
      </c>
      <c r="Z65" s="540" t="str">
        <f t="shared" si="49"/>
        <v/>
      </c>
      <c r="AA65" s="540" t="str">
        <f t="shared" si="49"/>
        <v/>
      </c>
      <c r="AB65" s="539" t="str">
        <f>IF(L65&lt;&gt;"",L65,"")</f>
        <v/>
      </c>
      <c r="AC65" s="541" t="str">
        <f>IF(C66&lt;&gt;"",CONCATENATE(C66," a ",C67),"")</f>
        <v/>
      </c>
      <c r="AD65" s="542" t="str">
        <f>IF(C69&lt;&gt;"",C69,"")</f>
        <v/>
      </c>
      <c r="AE65" s="543" t="str">
        <f>IF(E66&lt;&gt;"",E66,"")</f>
        <v/>
      </c>
      <c r="AF65" s="557" t="str">
        <f>IF(E67&lt;&gt;"",E67,"")</f>
        <v/>
      </c>
      <c r="AG65" s="544" t="str">
        <f>IF(N65&lt;&gt;"",N65,"")</f>
        <v/>
      </c>
      <c r="AH65" s="545" t="str">
        <f>IF(E72&lt;&gt;"",E72*100,"")</f>
        <v/>
      </c>
      <c r="AI65" s="546" t="str">
        <f>IF(N74&lt;&gt;"",N74,"")</f>
        <v/>
      </c>
      <c r="AJ65" s="547" t="str">
        <f>IF(AH65="","",((AH65/100)-E74)*100)</f>
        <v/>
      </c>
      <c r="AK65" s="548" t="str">
        <f>IF(U65&lt;&gt;"",U65*100,"")</f>
        <v/>
      </c>
    </row>
    <row r="66" spans="1:37" s="57" customFormat="1" ht="15" customHeight="1" x14ac:dyDescent="0.3">
      <c r="A66" s="1955"/>
      <c r="B66" s="869" t="s">
        <v>310</v>
      </c>
      <c r="C66" s="666"/>
      <c r="D66" s="870" t="s">
        <v>156</v>
      </c>
      <c r="E66" s="871"/>
      <c r="F66" s="871"/>
      <c r="G66" s="871"/>
      <c r="H66" s="871"/>
      <c r="I66" s="871"/>
      <c r="J66" s="871"/>
      <c r="K66" s="871"/>
      <c r="L66" s="651" t="str">
        <f>IF(F65&lt;&gt;"",MAX(L$5:L65)+1,"")</f>
        <v/>
      </c>
      <c r="M66" s="1960"/>
      <c r="N66" s="872" t="str">
        <f>IF(E68&lt;&gt;"",LOOKUP(E68,Tara!$L$5:$L$21,Tara!$M$5:$M$21),"")</f>
        <v/>
      </c>
      <c r="O66" s="872" t="str">
        <f>IF(F68&lt;&gt;"",LOOKUP(F68,Tara!$L$5:$L$21,Tara!$M$5:$M$21),"")</f>
        <v/>
      </c>
      <c r="P66" s="872" t="str">
        <f>IF(G68&lt;&gt;"",LOOKUP(G68,Tara!$L$5:$L$21,Tara!$M$5:$M$21),"")</f>
        <v/>
      </c>
      <c r="Q66" s="872" t="str">
        <f>IF(H68&lt;&gt;"",LOOKUP(H68,Tara!$L$5:$L$21,Tara!$M$5:$M$21),"")</f>
        <v/>
      </c>
      <c r="R66" s="872" t="str">
        <f>IF(I68&lt;&gt;"",LOOKUP(I68,Tara!$L$5:$L$21,Tara!$M$5:$M$21),"")</f>
        <v/>
      </c>
      <c r="S66" s="872" t="str">
        <f>IF(J68&lt;&gt;"",LOOKUP(J68,Tara!$L$5:$L$21,Tara!$M$5:$M$21),"")</f>
        <v/>
      </c>
      <c r="T66" s="872" t="str">
        <f>IF(K68&lt;&gt;"",LOOKUP(K68,Tara!$L$5:$L$21,Tara!$M$5:$M$21),"")</f>
        <v/>
      </c>
      <c r="U66" s="872"/>
      <c r="V66" s="872"/>
      <c r="W66" s="872"/>
      <c r="X66" s="872"/>
      <c r="Y66" s="872"/>
      <c r="Z66" s="872"/>
      <c r="AA66" s="872"/>
      <c r="AB66" s="872" t="str">
        <f t="shared" ref="AB66:AB71" si="50">IF(L66&lt;&gt;"",L66,"")</f>
        <v/>
      </c>
      <c r="AC66" s="873" t="str">
        <f>""</f>
        <v/>
      </c>
      <c r="AD66" s="873" t="str">
        <f>""</f>
        <v/>
      </c>
      <c r="AE66" s="873" t="str">
        <f>IF(F66&lt;&gt;"",F66,"")</f>
        <v/>
      </c>
      <c r="AF66" s="874" t="str">
        <f>IF(E67&lt;&gt;"",F67,"")</f>
        <v/>
      </c>
      <c r="AG66" s="875" t="str">
        <f>IF(O65&lt;&gt;"",O65,"")</f>
        <v/>
      </c>
      <c r="AH66" s="896" t="str">
        <f>IF(F72&lt;&gt;"",F72*100,"")</f>
        <v/>
      </c>
      <c r="AI66" s="897" t="str">
        <f>IF(O74&lt;&gt;"",O74,"")</f>
        <v/>
      </c>
      <c r="AJ66" s="880" t="str">
        <f>IF(AH66="","",((AH66/100)-F74)*100)</f>
        <v/>
      </c>
      <c r="AK66" s="1267" t="str">
        <f>IF(V65&lt;&gt;"",V65*100,"")</f>
        <v/>
      </c>
    </row>
    <row r="67" spans="1:37" s="56" customFormat="1" ht="15" customHeight="1" x14ac:dyDescent="0.3">
      <c r="A67" s="1955"/>
      <c r="B67" s="869" t="s">
        <v>311</v>
      </c>
      <c r="C67" s="666"/>
      <c r="D67" s="870" t="s">
        <v>312</v>
      </c>
      <c r="E67" s="878"/>
      <c r="F67" s="878"/>
      <c r="G67" s="878"/>
      <c r="H67" s="878"/>
      <c r="I67" s="878"/>
      <c r="J67" s="878"/>
      <c r="K67" s="1268"/>
      <c r="L67" s="651" t="str">
        <f>IF(G65&lt;&gt;"",MAX(L$5:L66)+1,"")</f>
        <v/>
      </c>
      <c r="M67" s="1960"/>
      <c r="N67" s="872" t="str">
        <f t="shared" ref="N67:T67" si="51">IF(N66&lt;&gt;"",N66-E69,"")</f>
        <v/>
      </c>
      <c r="O67" s="872" t="str">
        <f t="shared" si="51"/>
        <v/>
      </c>
      <c r="P67" s="872" t="str">
        <f t="shared" si="51"/>
        <v/>
      </c>
      <c r="Q67" s="872" t="str">
        <f t="shared" si="51"/>
        <v/>
      </c>
      <c r="R67" s="872" t="str">
        <f t="shared" si="51"/>
        <v/>
      </c>
      <c r="S67" s="872" t="str">
        <f t="shared" si="51"/>
        <v/>
      </c>
      <c r="T67" s="872" t="str">
        <f t="shared" si="51"/>
        <v/>
      </c>
      <c r="U67" s="879"/>
      <c r="V67" s="879"/>
      <c r="W67" s="879"/>
      <c r="X67" s="879"/>
      <c r="Y67" s="879"/>
      <c r="Z67" s="879"/>
      <c r="AA67" s="879"/>
      <c r="AB67" s="872" t="str">
        <f t="shared" si="50"/>
        <v/>
      </c>
      <c r="AC67" s="873" t="str">
        <f>""</f>
        <v/>
      </c>
      <c r="AD67" s="873" t="str">
        <f>""</f>
        <v/>
      </c>
      <c r="AE67" s="873" t="str">
        <f>IF(G66&lt;&gt;"",G66,"")</f>
        <v/>
      </c>
      <c r="AF67" s="874" t="str">
        <f>IF(G67&lt;&gt;"",G67,"")</f>
        <v/>
      </c>
      <c r="AG67" s="875" t="str">
        <f>IF(P65&lt;&gt;"",P65,"")</f>
        <v/>
      </c>
      <c r="AH67" s="896" t="str">
        <f>IF(G72&lt;&gt;"",G72*100,"")</f>
        <v/>
      </c>
      <c r="AI67" s="897" t="str">
        <f>IF(P74&lt;&gt;"",P74,"")</f>
        <v/>
      </c>
      <c r="AJ67" s="880" t="str">
        <f>IF(AH67="","",((AH67/100)-G74)*100)</f>
        <v/>
      </c>
      <c r="AK67" s="1267" t="str">
        <f>IF(W65&lt;&gt;"",W65*100,"")</f>
        <v/>
      </c>
    </row>
    <row r="68" spans="1:37" s="56" customFormat="1" ht="15" customHeight="1" x14ac:dyDescent="0.3">
      <c r="A68" s="1955"/>
      <c r="B68" s="869" t="s">
        <v>313</v>
      </c>
      <c r="C68" s="666"/>
      <c r="D68" s="870" t="s">
        <v>314</v>
      </c>
      <c r="E68" s="750"/>
      <c r="F68" s="750"/>
      <c r="G68" s="750"/>
      <c r="H68" s="750"/>
      <c r="I68" s="750"/>
      <c r="J68" s="750"/>
      <c r="K68" s="750"/>
      <c r="L68" s="651" t="str">
        <f>IF(H65&lt;&gt;"",MAX(L$5:L67)+1,"")</f>
        <v/>
      </c>
      <c r="M68" s="1960"/>
      <c r="N68" s="872" t="str">
        <f>IF(E68&lt;&gt;"",LOOKUP(E68,Tara!$L$5:$L$21,Tara!$N$5:$N$21),"")</f>
        <v/>
      </c>
      <c r="O68" s="872" t="str">
        <f>IF(F68&lt;&gt;"",LOOKUP(F68,Tara!$L$5:$L$21,Tara!$N$5:$N$21),"")</f>
        <v/>
      </c>
      <c r="P68" s="872" t="str">
        <f>IF(G68&lt;&gt;"",LOOKUP(G68,Tara!$L$5:$L$21,Tara!$N$5:$N$21),"")</f>
        <v/>
      </c>
      <c r="Q68" s="872" t="str">
        <f>IF(H68&lt;&gt;"",LOOKUP(H68,Tara!$L$5:$L$21,Tara!$N$5:$N$21),"")</f>
        <v/>
      </c>
      <c r="R68" s="872" t="str">
        <f>IF(I68&lt;&gt;"",LOOKUP(I68,Tara!$L$5:$L$21,Tara!$N$5:$N$21),"")</f>
        <v/>
      </c>
      <c r="S68" s="872" t="str">
        <f>IF(J68&lt;&gt;"",LOOKUP(J68,Tara!$L$5:$L$21,Tara!$N$5:$N$21),"")</f>
        <v/>
      </c>
      <c r="T68" s="872" t="str">
        <f>IF(K68&lt;&gt;"",LOOKUP(K68,Tara!$L$5:$L$21,Tara!$N$5:$N$21),"")</f>
        <v/>
      </c>
      <c r="U68" s="881"/>
      <c r="V68" s="881"/>
      <c r="W68" s="881"/>
      <c r="X68" s="881"/>
      <c r="Y68" s="881"/>
      <c r="Z68" s="881"/>
      <c r="AA68" s="881"/>
      <c r="AB68" s="872" t="str">
        <f t="shared" si="50"/>
        <v/>
      </c>
      <c r="AC68" s="873" t="str">
        <f>""</f>
        <v/>
      </c>
      <c r="AD68" s="873" t="str">
        <f>""</f>
        <v/>
      </c>
      <c r="AE68" s="873" t="str">
        <f>IF(H66&lt;&gt;"",H66,"")</f>
        <v/>
      </c>
      <c r="AF68" s="874" t="str">
        <f>IF(H67&lt;&gt;"",H67,"")</f>
        <v/>
      </c>
      <c r="AG68" s="875" t="str">
        <f>IF(Q65&lt;&gt;"",Q65,"")</f>
        <v/>
      </c>
      <c r="AH68" s="896" t="str">
        <f>IF(H72&lt;&gt;"",H72*100,"")</f>
        <v/>
      </c>
      <c r="AI68" s="897" t="str">
        <f>IF(Q74&lt;&gt;"",Q74,"")</f>
        <v/>
      </c>
      <c r="AJ68" s="880" t="str">
        <f>IF(AH68="","",((AH68/100)-H74)*100)</f>
        <v/>
      </c>
      <c r="AK68" s="1267" t="str">
        <f>IF(X65&lt;&gt;"",X65*100,"")</f>
        <v/>
      </c>
    </row>
    <row r="69" spans="1:37" s="56" customFormat="1" ht="15" customHeight="1" x14ac:dyDescent="0.3">
      <c r="A69" s="1955"/>
      <c r="B69" s="882" t="s">
        <v>57</v>
      </c>
      <c r="C69" s="688"/>
      <c r="D69" s="870" t="s">
        <v>315</v>
      </c>
      <c r="E69" s="871"/>
      <c r="F69" s="871"/>
      <c r="G69" s="871"/>
      <c r="H69" s="871"/>
      <c r="I69" s="871"/>
      <c r="J69" s="871"/>
      <c r="K69" s="871"/>
      <c r="L69" s="651" t="str">
        <f>IF(I65&lt;&gt;"",MAX(L$5:L68)+1,"")</f>
        <v/>
      </c>
      <c r="M69" s="1960"/>
      <c r="N69" s="872" t="str">
        <f t="shared" ref="N69:T69" si="52">IF(N67&lt;&gt;"",N67-N68,"")</f>
        <v/>
      </c>
      <c r="O69" s="872" t="str">
        <f t="shared" si="52"/>
        <v/>
      </c>
      <c r="P69" s="872" t="str">
        <f t="shared" si="52"/>
        <v/>
      </c>
      <c r="Q69" s="872" t="str">
        <f t="shared" si="52"/>
        <v/>
      </c>
      <c r="R69" s="872" t="str">
        <f t="shared" si="52"/>
        <v/>
      </c>
      <c r="S69" s="872" t="str">
        <f t="shared" si="52"/>
        <v/>
      </c>
      <c r="T69" s="872" t="str">
        <f t="shared" si="52"/>
        <v/>
      </c>
      <c r="U69" s="881"/>
      <c r="V69" s="881"/>
      <c r="W69" s="881"/>
      <c r="X69" s="881"/>
      <c r="Y69" s="881"/>
      <c r="Z69" s="881"/>
      <c r="AA69" s="881"/>
      <c r="AB69" s="872" t="str">
        <f t="shared" si="50"/>
        <v/>
      </c>
      <c r="AC69" s="873" t="str">
        <f>""</f>
        <v/>
      </c>
      <c r="AD69" s="873" t="str">
        <f>""</f>
        <v/>
      </c>
      <c r="AE69" s="873" t="str">
        <f>IF(I66&lt;&gt;"",I66,"")</f>
        <v/>
      </c>
      <c r="AF69" s="874" t="str">
        <f>IF(I67&lt;&gt;"",I67,"")</f>
        <v/>
      </c>
      <c r="AG69" s="875" t="str">
        <f>IF(R65&lt;&gt;"",R65,"")</f>
        <v/>
      </c>
      <c r="AH69" s="896" t="str">
        <f>IF(I72&lt;&gt;"",I72*100,"")</f>
        <v/>
      </c>
      <c r="AI69" s="897" t="str">
        <f>IF(R74&lt;&gt;"",R74,"")</f>
        <v/>
      </c>
      <c r="AJ69" s="880" t="str">
        <f>IF(AH69="","",((AH69/100)-I74)*100)</f>
        <v/>
      </c>
      <c r="AK69" s="1267" t="str">
        <f>IF(Y65&lt;&gt;"",Y65*100,"")</f>
        <v/>
      </c>
    </row>
    <row r="70" spans="1:37" s="316" customFormat="1" ht="15" customHeight="1" x14ac:dyDescent="0.3">
      <c r="A70" s="1955"/>
      <c r="B70" s="882" t="s">
        <v>316</v>
      </c>
      <c r="C70" s="666"/>
      <c r="D70" s="883" t="s">
        <v>317</v>
      </c>
      <c r="E70" s="750"/>
      <c r="F70" s="750"/>
      <c r="G70" s="750"/>
      <c r="H70" s="750"/>
      <c r="I70" s="750"/>
      <c r="J70" s="750"/>
      <c r="K70" s="750"/>
      <c r="L70" s="651" t="str">
        <f>IF(J65&lt;&gt;"",MAX(L$5:L69)+1,"")</f>
        <v/>
      </c>
      <c r="M70" s="1960"/>
      <c r="N70" s="872" t="str">
        <f>IF(E68&lt;&gt;"",LOOKUP(E68,Tara!$L$5:$L$21,Tara!$O$5:$O$21),"")</f>
        <v/>
      </c>
      <c r="O70" s="872" t="str">
        <f>IF(F68&lt;&gt;"",LOOKUP(F68,Tara!$L$5:$L$21,Tara!$O$5:$O$21),"")</f>
        <v/>
      </c>
      <c r="P70" s="872" t="str">
        <f>IF(G68&lt;&gt;"",LOOKUP(G68,Tara!$L$5:$L$21,Tara!$O$5:$O$21),"")</f>
        <v/>
      </c>
      <c r="Q70" s="872" t="str">
        <f>IF(H68&lt;&gt;"",LOOKUP(H68,Tara!$L$5:$L$21,Tara!$O$5:$O$21),"")</f>
        <v/>
      </c>
      <c r="R70" s="872" t="str">
        <f>IF(I68&lt;&gt;"",LOOKUP(I68,Tara!$L$5:$L$21,Tara!$O$5:$O$21),"")</f>
        <v/>
      </c>
      <c r="S70" s="872" t="str">
        <f>IF(J68&lt;&gt;"",LOOKUP(J68,Tara!$L$5:$L$21,Tara!$O$5:$O$21),"")</f>
        <v/>
      </c>
      <c r="T70" s="872" t="str">
        <f>IF(K68&lt;&gt;"",LOOKUP(K68,Tara!$L$5:$L$21,Tara!$O$5:$O$21),"")</f>
        <v/>
      </c>
      <c r="U70" s="884"/>
      <c r="V70" s="884"/>
      <c r="W70" s="884"/>
      <c r="X70" s="884"/>
      <c r="Y70" s="884"/>
      <c r="Z70" s="884"/>
      <c r="AA70" s="884"/>
      <c r="AB70" s="872" t="str">
        <f t="shared" si="50"/>
        <v/>
      </c>
      <c r="AC70" s="873" t="str">
        <f>""</f>
        <v/>
      </c>
      <c r="AD70" s="873" t="str">
        <f>""</f>
        <v/>
      </c>
      <c r="AE70" s="873" t="str">
        <f>IF(J66&lt;&gt;"",J66,"")</f>
        <v/>
      </c>
      <c r="AF70" s="874" t="str">
        <f>IF(J67&lt;&gt;"",J67,"")</f>
        <v/>
      </c>
      <c r="AG70" s="875" t="str">
        <f>IF(S65&lt;&gt;"",S65,"")</f>
        <v/>
      </c>
      <c r="AH70" s="896" t="str">
        <f>IF(J72&lt;&gt;"",J72*100,"")</f>
        <v/>
      </c>
      <c r="AI70" s="897" t="str">
        <f>IF(S74&lt;&gt;"",S74,"")</f>
        <v/>
      </c>
      <c r="AJ70" s="880" t="str">
        <f>IF(AH70="","",((AH70/100)-J74)*100)</f>
        <v/>
      </c>
      <c r="AK70" s="1267" t="str">
        <f>IF(Z65&lt;&gt;"",Z65*100,"")</f>
        <v/>
      </c>
    </row>
    <row r="71" spans="1:37" s="316" customFormat="1" ht="15" customHeight="1" x14ac:dyDescent="0.3">
      <c r="A71" s="1955"/>
      <c r="B71" s="885" t="s">
        <v>318</v>
      </c>
      <c r="C71" s="886"/>
      <c r="D71" s="870" t="s">
        <v>319</v>
      </c>
      <c r="E71" s="750"/>
      <c r="F71" s="750"/>
      <c r="G71" s="750"/>
      <c r="H71" s="750"/>
      <c r="I71" s="750"/>
      <c r="J71" s="750"/>
      <c r="K71" s="750"/>
      <c r="L71" s="651" t="str">
        <f>IF(K65&lt;&gt;"",MAX(L$5:L70)+1,"")</f>
        <v/>
      </c>
      <c r="M71" s="1960"/>
      <c r="N71" s="887" t="str">
        <f>IF(N69&lt;&gt;"",N69/N70,"")</f>
        <v/>
      </c>
      <c r="O71" s="887" t="str">
        <f t="shared" ref="O71:T71" si="53">IF(O69&lt;&gt;"",O69/O70,"")</f>
        <v/>
      </c>
      <c r="P71" s="887" t="str">
        <f t="shared" si="53"/>
        <v/>
      </c>
      <c r="Q71" s="887" t="str">
        <f t="shared" si="53"/>
        <v/>
      </c>
      <c r="R71" s="887" t="str">
        <f t="shared" si="53"/>
        <v/>
      </c>
      <c r="S71" s="887" t="str">
        <f t="shared" si="53"/>
        <v/>
      </c>
      <c r="T71" s="887" t="str">
        <f t="shared" si="53"/>
        <v/>
      </c>
      <c r="U71" s="884"/>
      <c r="V71" s="884"/>
      <c r="W71" s="884"/>
      <c r="X71" s="884"/>
      <c r="Y71" s="884"/>
      <c r="Z71" s="884"/>
      <c r="AA71" s="884"/>
      <c r="AB71" s="872" t="str">
        <f t="shared" si="50"/>
        <v/>
      </c>
      <c r="AC71" s="873" t="str">
        <f>""</f>
        <v/>
      </c>
      <c r="AD71" s="873" t="str">
        <f>""</f>
        <v/>
      </c>
      <c r="AE71" s="873" t="str">
        <f>IF(K66&lt;&gt;"",K66,"")</f>
        <v/>
      </c>
      <c r="AF71" s="874" t="str">
        <f>IF(K67&lt;&gt;"",K67,"")</f>
        <v/>
      </c>
      <c r="AG71" s="875" t="str">
        <f>IF(T65&lt;&gt;"",T65,"")</f>
        <v/>
      </c>
      <c r="AH71" s="896" t="str">
        <f>IF(K72&lt;&gt;"",K72*100,"")</f>
        <v/>
      </c>
      <c r="AI71" s="897" t="str">
        <f>IF(T74&lt;&gt;"",T74,"")</f>
        <v/>
      </c>
      <c r="AJ71" s="880" t="str">
        <f>IF(AH71="","",((AH71/100)-K74)*100)</f>
        <v/>
      </c>
      <c r="AK71" s="1267" t="str">
        <f>IF(AA65&lt;&gt;"",AA65*100,"")</f>
        <v/>
      </c>
    </row>
    <row r="72" spans="1:37" s="316" customFormat="1" ht="15" customHeight="1" x14ac:dyDescent="0.3">
      <c r="A72" s="1955"/>
      <c r="B72" s="652"/>
      <c r="C72" s="653"/>
      <c r="D72" s="870" t="s">
        <v>320</v>
      </c>
      <c r="E72" s="888"/>
      <c r="F72" s="888"/>
      <c r="G72" s="888"/>
      <c r="H72" s="888"/>
      <c r="I72" s="888"/>
      <c r="J72" s="888"/>
      <c r="K72" s="888"/>
      <c r="L72" s="651"/>
      <c r="M72" s="1960"/>
      <c r="N72" s="889" t="str">
        <f>IF(E70&lt;&gt;"",LOOKUP(E70,Tara!$P$5:$P$21,Tara!$Q$5:$Q$21),"")</f>
        <v/>
      </c>
      <c r="O72" s="889" t="str">
        <f>IF(F70&lt;&gt;"",LOOKUP(F70,Tara!$P$5:$P$21,Tara!$Q$5:$Q$21),"")</f>
        <v/>
      </c>
      <c r="P72" s="889" t="str">
        <f>IF(G70&lt;&gt;"",LOOKUP(G70,Tara!$P$5:$P$21,Tara!$Q$5:$Q$21),"")</f>
        <v/>
      </c>
      <c r="Q72" s="889" t="str">
        <f>IF(H70&lt;&gt;"",LOOKUP(H70,Tara!$P$5:$P$21,Tara!$Q$5:$Q$21),"")</f>
        <v/>
      </c>
      <c r="R72" s="889" t="str">
        <f>IF(I70&lt;&gt;"",LOOKUP(I70,Tara!$P$5:$P$21,Tara!$Q$5:$Q$21),"")</f>
        <v/>
      </c>
      <c r="S72" s="889" t="str">
        <f>IF(J70&lt;&gt;"",LOOKUP(J70,Tara!$P$5:$P$21,Tara!$Q$5:$Q$21),"")</f>
        <v/>
      </c>
      <c r="T72" s="889" t="str">
        <f>IF(K70&lt;&gt;"",LOOKUP(K70,Tara!$P$5:$P$21,Tara!$Q$5:$Q$21),"")</f>
        <v/>
      </c>
      <c r="U72" s="884"/>
      <c r="V72" s="884"/>
      <c r="W72" s="884"/>
      <c r="X72" s="884"/>
      <c r="Y72" s="884"/>
      <c r="Z72" s="884"/>
      <c r="AA72" s="884"/>
      <c r="AB72" s="872" t="str">
        <f>""</f>
        <v/>
      </c>
      <c r="AC72" s="873" t="str">
        <f>""</f>
        <v/>
      </c>
      <c r="AD72" s="873" t="str">
        <f>""</f>
        <v/>
      </c>
      <c r="AE72" s="873" t="str">
        <f>""</f>
        <v/>
      </c>
      <c r="AF72" s="874" t="str">
        <f>""</f>
        <v/>
      </c>
      <c r="AG72" s="875" t="str">
        <f>""</f>
        <v/>
      </c>
      <c r="AH72" s="875" t="str">
        <f>""</f>
        <v/>
      </c>
      <c r="AI72" s="875" t="str">
        <f>""</f>
        <v/>
      </c>
      <c r="AJ72" s="890" t="str">
        <f>""</f>
        <v/>
      </c>
      <c r="AK72" s="1267" t="str">
        <f>""</f>
        <v/>
      </c>
    </row>
    <row r="73" spans="1:37" s="316" customFormat="1" ht="15" customHeight="1" x14ac:dyDescent="0.3">
      <c r="A73" s="1955"/>
      <c r="B73" s="654"/>
      <c r="C73" s="655"/>
      <c r="D73" s="891" t="s">
        <v>321</v>
      </c>
      <c r="E73" s="750"/>
      <c r="F73" s="750"/>
      <c r="G73" s="750"/>
      <c r="H73" s="750"/>
      <c r="I73" s="750"/>
      <c r="J73" s="750"/>
      <c r="K73" s="750"/>
      <c r="L73" s="651"/>
      <c r="M73" s="1960"/>
      <c r="N73" s="892" t="str">
        <f t="shared" ref="N73:T73" si="54">IF(E71&lt;&gt;"",(E71-N72)/N71,"")</f>
        <v/>
      </c>
      <c r="O73" s="892" t="str">
        <f t="shared" si="54"/>
        <v/>
      </c>
      <c r="P73" s="892" t="str">
        <f t="shared" si="54"/>
        <v/>
      </c>
      <c r="Q73" s="892" t="str">
        <f t="shared" si="54"/>
        <v/>
      </c>
      <c r="R73" s="892" t="str">
        <f t="shared" si="54"/>
        <v/>
      </c>
      <c r="S73" s="892" t="str">
        <f t="shared" si="54"/>
        <v/>
      </c>
      <c r="T73" s="892" t="str">
        <f t="shared" si="54"/>
        <v/>
      </c>
      <c r="U73" s="884"/>
      <c r="V73" s="884"/>
      <c r="W73" s="884"/>
      <c r="X73" s="884"/>
      <c r="Y73" s="884"/>
      <c r="Z73" s="884"/>
      <c r="AA73" s="884"/>
      <c r="AB73" s="872" t="str">
        <f>""</f>
        <v/>
      </c>
      <c r="AC73" s="873" t="str">
        <f>""</f>
        <v/>
      </c>
      <c r="AD73" s="873" t="str">
        <f>""</f>
        <v/>
      </c>
      <c r="AE73" s="873" t="str">
        <f>""</f>
        <v/>
      </c>
      <c r="AF73" s="874" t="str">
        <f>""</f>
        <v/>
      </c>
      <c r="AG73" s="893" t="str">
        <f>""</f>
        <v/>
      </c>
      <c r="AH73" s="893" t="str">
        <f>""</f>
        <v/>
      </c>
      <c r="AI73" s="893" t="str">
        <f>""</f>
        <v/>
      </c>
      <c r="AJ73" s="895" t="str">
        <f>""</f>
        <v/>
      </c>
      <c r="AK73" s="1269" t="str">
        <f>""</f>
        <v/>
      </c>
    </row>
    <row r="74" spans="1:37" s="316" customFormat="1" ht="15" customHeight="1" thickBot="1" x14ac:dyDescent="0.35">
      <c r="A74" s="1956"/>
      <c r="B74" s="656"/>
      <c r="C74" s="657"/>
      <c r="D74" s="658" t="s">
        <v>99</v>
      </c>
      <c r="E74" s="556"/>
      <c r="F74" s="556"/>
      <c r="G74" s="556"/>
      <c r="H74" s="556"/>
      <c r="I74" s="556"/>
      <c r="J74" s="556"/>
      <c r="K74" s="556"/>
      <c r="L74" s="659"/>
      <c r="M74" s="1961"/>
      <c r="N74" s="549" t="str">
        <f t="shared" ref="N74:T74" si="55">IF(N73&lt;&gt;"",N73/(1+E72),"")</f>
        <v/>
      </c>
      <c r="O74" s="549" t="str">
        <f t="shared" si="55"/>
        <v/>
      </c>
      <c r="P74" s="549" t="str">
        <f t="shared" si="55"/>
        <v/>
      </c>
      <c r="Q74" s="549" t="str">
        <f t="shared" si="55"/>
        <v/>
      </c>
      <c r="R74" s="549" t="str">
        <f t="shared" si="55"/>
        <v/>
      </c>
      <c r="S74" s="549" t="str">
        <f t="shared" si="55"/>
        <v/>
      </c>
      <c r="T74" s="549" t="str">
        <f t="shared" si="55"/>
        <v/>
      </c>
      <c r="U74" s="550"/>
      <c r="V74" s="550"/>
      <c r="W74" s="550"/>
      <c r="X74" s="550"/>
      <c r="Y74" s="550"/>
      <c r="Z74" s="550"/>
      <c r="AA74" s="550"/>
      <c r="AB74" s="551">
        <f>MAX(AB$5:AB73)+1</f>
        <v>7</v>
      </c>
      <c r="AC74" s="552" t="str">
        <f>""</f>
        <v/>
      </c>
      <c r="AD74" s="552" t="str">
        <f>""</f>
        <v/>
      </c>
      <c r="AE74" s="552" t="str">
        <f>""</f>
        <v/>
      </c>
      <c r="AF74" s="558" t="str">
        <f>""</f>
        <v/>
      </c>
      <c r="AG74" s="553" t="str">
        <f>""</f>
        <v/>
      </c>
      <c r="AH74" s="553" t="str">
        <f>""</f>
        <v/>
      </c>
      <c r="AI74" s="553" t="str">
        <f>""</f>
        <v/>
      </c>
      <c r="AJ74" s="554" t="str">
        <f>""</f>
        <v/>
      </c>
      <c r="AK74" s="555" t="str">
        <f>""</f>
        <v/>
      </c>
    </row>
    <row r="75" spans="1:37" s="56" customFormat="1" ht="15" customHeight="1" x14ac:dyDescent="0.3">
      <c r="A75" s="1954">
        <f>A65+1</f>
        <v>8</v>
      </c>
      <c r="B75" s="1957" t="s">
        <v>309</v>
      </c>
      <c r="C75" s="1958"/>
      <c r="D75" s="648" t="s">
        <v>34</v>
      </c>
      <c r="E75" s="649"/>
      <c r="F75" s="649"/>
      <c r="G75" s="649"/>
      <c r="H75" s="649"/>
      <c r="I75" s="649"/>
      <c r="J75" s="649"/>
      <c r="K75" s="649"/>
      <c r="L75" s="650" t="str">
        <f>IF(E75&lt;&gt;"",MAX(L$5:L74)+1,"")</f>
        <v/>
      </c>
      <c r="M75" s="1959" t="s">
        <v>25</v>
      </c>
      <c r="N75" s="539" t="str">
        <f t="shared" ref="N75:T75" si="56">IF(E75&lt;&gt;"",E75,"")</f>
        <v/>
      </c>
      <c r="O75" s="539" t="str">
        <f t="shared" si="56"/>
        <v/>
      </c>
      <c r="P75" s="539" t="str">
        <f t="shared" si="56"/>
        <v/>
      </c>
      <c r="Q75" s="539" t="str">
        <f t="shared" si="56"/>
        <v/>
      </c>
      <c r="R75" s="539" t="str">
        <f t="shared" si="56"/>
        <v/>
      </c>
      <c r="S75" s="539" t="str">
        <f t="shared" si="56"/>
        <v/>
      </c>
      <c r="T75" s="539" t="str">
        <f t="shared" si="56"/>
        <v/>
      </c>
      <c r="U75" s="540" t="str">
        <f t="shared" ref="U75:AA75" si="57">IF(N84&lt;&gt;"",N84/E83*1000,"")</f>
        <v/>
      </c>
      <c r="V75" s="540" t="str">
        <f t="shared" si="57"/>
        <v/>
      </c>
      <c r="W75" s="540" t="str">
        <f t="shared" si="57"/>
        <v/>
      </c>
      <c r="X75" s="540" t="str">
        <f t="shared" si="57"/>
        <v/>
      </c>
      <c r="Y75" s="540" t="str">
        <f t="shared" si="57"/>
        <v/>
      </c>
      <c r="Z75" s="540" t="str">
        <f t="shared" si="57"/>
        <v/>
      </c>
      <c r="AA75" s="540" t="str">
        <f t="shared" si="57"/>
        <v/>
      </c>
      <c r="AB75" s="539" t="str">
        <f>IF(L75&lt;&gt;"",L75,"")</f>
        <v/>
      </c>
      <c r="AC75" s="541" t="str">
        <f>IF(C76&lt;&gt;"",CONCATENATE(C76," a ",C77),"")</f>
        <v/>
      </c>
      <c r="AD75" s="542" t="str">
        <f>IF(C79&lt;&gt;"",C79,"")</f>
        <v/>
      </c>
      <c r="AE75" s="543" t="str">
        <f>IF(E76&lt;&gt;"",E76,"")</f>
        <v/>
      </c>
      <c r="AF75" s="557" t="str">
        <f>IF(E77&lt;&gt;"",E77,"")</f>
        <v/>
      </c>
      <c r="AG75" s="544" t="str">
        <f>IF(N75&lt;&gt;"",N75,"")</f>
        <v/>
      </c>
      <c r="AH75" s="545" t="str">
        <f>IF(E82&lt;&gt;"",E82*100,"")</f>
        <v/>
      </c>
      <c r="AI75" s="546" t="str">
        <f>IF(N84&lt;&gt;"",N84,"")</f>
        <v/>
      </c>
      <c r="AJ75" s="547" t="str">
        <f>IF(AH75="","",((AH75/100)-E84)*100)</f>
        <v/>
      </c>
      <c r="AK75" s="548" t="str">
        <f>IF(U75&lt;&gt;"",U75*100,"")</f>
        <v/>
      </c>
    </row>
    <row r="76" spans="1:37" s="57" customFormat="1" ht="15" customHeight="1" x14ac:dyDescent="0.3">
      <c r="A76" s="1955"/>
      <c r="B76" s="869" t="s">
        <v>310</v>
      </c>
      <c r="C76" s="666"/>
      <c r="D76" s="870" t="s">
        <v>156</v>
      </c>
      <c r="E76" s="871"/>
      <c r="F76" s="871"/>
      <c r="G76" s="871"/>
      <c r="H76" s="871"/>
      <c r="I76" s="871"/>
      <c r="J76" s="871"/>
      <c r="K76" s="871"/>
      <c r="L76" s="651" t="str">
        <f>IF(F75&lt;&gt;"",MAX(L$5:L75)+1,"")</f>
        <v/>
      </c>
      <c r="M76" s="1960"/>
      <c r="N76" s="872" t="str">
        <f>IF(E78&lt;&gt;"",LOOKUP(E78,Tara!$L$5:$L$21,Tara!$M$5:$M$21),"")</f>
        <v/>
      </c>
      <c r="O76" s="872" t="str">
        <f>IF(F78&lt;&gt;"",LOOKUP(F78,Tara!$L$5:$L$21,Tara!$M$5:$M$21),"")</f>
        <v/>
      </c>
      <c r="P76" s="872" t="str">
        <f>IF(G78&lt;&gt;"",LOOKUP(G78,Tara!$L$5:$L$21,Tara!$M$5:$M$21),"")</f>
        <v/>
      </c>
      <c r="Q76" s="872" t="str">
        <f>IF(H78&lt;&gt;"",LOOKUP(H78,Tara!$L$5:$L$21,Tara!$M$5:$M$21),"")</f>
        <v/>
      </c>
      <c r="R76" s="872" t="str">
        <f>IF(I78&lt;&gt;"",LOOKUP(I78,Tara!$L$5:$L$21,Tara!$M$5:$M$21),"")</f>
        <v/>
      </c>
      <c r="S76" s="872" t="str">
        <f>IF(J78&lt;&gt;"",LOOKUP(J78,Tara!$L$5:$L$21,Tara!$M$5:$M$21),"")</f>
        <v/>
      </c>
      <c r="T76" s="872" t="str">
        <f>IF(K78&lt;&gt;"",LOOKUP(K78,Tara!$L$5:$L$21,Tara!$M$5:$M$21),"")</f>
        <v/>
      </c>
      <c r="U76" s="872"/>
      <c r="V76" s="872"/>
      <c r="W76" s="872"/>
      <c r="X76" s="872"/>
      <c r="Y76" s="872"/>
      <c r="Z76" s="872"/>
      <c r="AA76" s="872"/>
      <c r="AB76" s="872" t="str">
        <f t="shared" ref="AB76:AB81" si="58">IF(L76&lt;&gt;"",L76,"")</f>
        <v/>
      </c>
      <c r="AC76" s="873" t="str">
        <f>""</f>
        <v/>
      </c>
      <c r="AD76" s="873" t="str">
        <f>""</f>
        <v/>
      </c>
      <c r="AE76" s="873" t="str">
        <f>IF(F76&lt;&gt;"",F76,"")</f>
        <v/>
      </c>
      <c r="AF76" s="874" t="str">
        <f>IF(E77&lt;&gt;"",F77,"")</f>
        <v/>
      </c>
      <c r="AG76" s="875" t="str">
        <f>IF(O75&lt;&gt;"",O75,"")</f>
        <v/>
      </c>
      <c r="AH76" s="896" t="str">
        <f>IF(F82&lt;&gt;"",F82*100,"")</f>
        <v/>
      </c>
      <c r="AI76" s="897" t="str">
        <f>IF(O84&lt;&gt;"",O84,"")</f>
        <v/>
      </c>
      <c r="AJ76" s="880" t="str">
        <f>IF(AH76="","",((AH76/100)-F84)*100)</f>
        <v/>
      </c>
      <c r="AK76" s="1267" t="str">
        <f>IF(V75&lt;&gt;"",V75*100,"")</f>
        <v/>
      </c>
    </row>
    <row r="77" spans="1:37" s="56" customFormat="1" ht="15" customHeight="1" x14ac:dyDescent="0.3">
      <c r="A77" s="1955"/>
      <c r="B77" s="869" t="s">
        <v>311</v>
      </c>
      <c r="C77" s="666"/>
      <c r="D77" s="870" t="s">
        <v>312</v>
      </c>
      <c r="E77" s="878"/>
      <c r="F77" s="878"/>
      <c r="G77" s="878"/>
      <c r="H77" s="878"/>
      <c r="I77" s="878"/>
      <c r="J77" s="878"/>
      <c r="K77" s="1268"/>
      <c r="L77" s="651" t="str">
        <f>IF(G75&lt;&gt;"",MAX(L$5:L76)+1,"")</f>
        <v/>
      </c>
      <c r="M77" s="1960"/>
      <c r="N77" s="872" t="str">
        <f t="shared" ref="N77:T77" si="59">IF(N76&lt;&gt;"",N76-E79,"")</f>
        <v/>
      </c>
      <c r="O77" s="872" t="str">
        <f t="shared" si="59"/>
        <v/>
      </c>
      <c r="P77" s="872" t="str">
        <f t="shared" si="59"/>
        <v/>
      </c>
      <c r="Q77" s="872" t="str">
        <f t="shared" si="59"/>
        <v/>
      </c>
      <c r="R77" s="872" t="str">
        <f t="shared" si="59"/>
        <v/>
      </c>
      <c r="S77" s="872" t="str">
        <f t="shared" si="59"/>
        <v/>
      </c>
      <c r="T77" s="872" t="str">
        <f t="shared" si="59"/>
        <v/>
      </c>
      <c r="U77" s="879"/>
      <c r="V77" s="879"/>
      <c r="W77" s="879"/>
      <c r="X77" s="879"/>
      <c r="Y77" s="879"/>
      <c r="Z77" s="879"/>
      <c r="AA77" s="879"/>
      <c r="AB77" s="872" t="str">
        <f t="shared" si="58"/>
        <v/>
      </c>
      <c r="AC77" s="873" t="str">
        <f>""</f>
        <v/>
      </c>
      <c r="AD77" s="873" t="str">
        <f>""</f>
        <v/>
      </c>
      <c r="AE77" s="873" t="str">
        <f>IF(G76&lt;&gt;"",G76,"")</f>
        <v/>
      </c>
      <c r="AF77" s="874" t="str">
        <f>IF(G77&lt;&gt;"",G77,"")</f>
        <v/>
      </c>
      <c r="AG77" s="875" t="str">
        <f>IF(P75&lt;&gt;"",P75,"")</f>
        <v/>
      </c>
      <c r="AH77" s="896" t="str">
        <f>IF(G82&lt;&gt;"",G82*100,"")</f>
        <v/>
      </c>
      <c r="AI77" s="897" t="str">
        <f>IF(P84&lt;&gt;"",P84,"")</f>
        <v/>
      </c>
      <c r="AJ77" s="880" t="str">
        <f>IF(AH77="","",((AH77/100)-G84)*100)</f>
        <v/>
      </c>
      <c r="AK77" s="1267" t="str">
        <f>IF(W75&lt;&gt;"",W75*100,"")</f>
        <v/>
      </c>
    </row>
    <row r="78" spans="1:37" s="56" customFormat="1" ht="15" customHeight="1" x14ac:dyDescent="0.3">
      <c r="A78" s="1955"/>
      <c r="B78" s="869" t="s">
        <v>313</v>
      </c>
      <c r="C78" s="666"/>
      <c r="D78" s="870" t="s">
        <v>314</v>
      </c>
      <c r="E78" s="750"/>
      <c r="F78" s="750"/>
      <c r="G78" s="750"/>
      <c r="H78" s="750"/>
      <c r="I78" s="750"/>
      <c r="J78" s="750"/>
      <c r="K78" s="750"/>
      <c r="L78" s="651" t="str">
        <f>IF(H75&lt;&gt;"",MAX(L$5:L77)+1,"")</f>
        <v/>
      </c>
      <c r="M78" s="1960"/>
      <c r="N78" s="872" t="str">
        <f>IF(E78&lt;&gt;"",LOOKUP(E78,Tara!$L$5:$L$21,Tara!$N$5:$N$21),"")</f>
        <v/>
      </c>
      <c r="O78" s="872" t="str">
        <f>IF(F78&lt;&gt;"",LOOKUP(F78,Tara!$L$5:$L$21,Tara!$N$5:$N$21),"")</f>
        <v/>
      </c>
      <c r="P78" s="872" t="str">
        <f>IF(G78&lt;&gt;"",LOOKUP(G78,Tara!$L$5:$L$21,Tara!$N$5:$N$21),"")</f>
        <v/>
      </c>
      <c r="Q78" s="872" t="str">
        <f>IF(H78&lt;&gt;"",LOOKUP(H78,Tara!$L$5:$L$21,Tara!$N$5:$N$21),"")</f>
        <v/>
      </c>
      <c r="R78" s="872" t="str">
        <f>IF(I78&lt;&gt;"",LOOKUP(I78,Tara!$L$5:$L$21,Tara!$N$5:$N$21),"")</f>
        <v/>
      </c>
      <c r="S78" s="872" t="str">
        <f>IF(J78&lt;&gt;"",LOOKUP(J78,Tara!$L$5:$L$21,Tara!$N$5:$N$21),"")</f>
        <v/>
      </c>
      <c r="T78" s="872" t="str">
        <f>IF(K78&lt;&gt;"",LOOKUP(K78,Tara!$L$5:$L$21,Tara!$N$5:$N$21),"")</f>
        <v/>
      </c>
      <c r="U78" s="881"/>
      <c r="V78" s="881"/>
      <c r="W78" s="881"/>
      <c r="X78" s="881"/>
      <c r="Y78" s="881"/>
      <c r="Z78" s="881"/>
      <c r="AA78" s="881"/>
      <c r="AB78" s="872" t="str">
        <f t="shared" si="58"/>
        <v/>
      </c>
      <c r="AC78" s="873" t="str">
        <f>""</f>
        <v/>
      </c>
      <c r="AD78" s="873" t="str">
        <f>""</f>
        <v/>
      </c>
      <c r="AE78" s="873" t="str">
        <f>IF(H76&lt;&gt;"",H76,"")</f>
        <v/>
      </c>
      <c r="AF78" s="874" t="str">
        <f>IF(H77&lt;&gt;"",H77,"")</f>
        <v/>
      </c>
      <c r="AG78" s="875" t="str">
        <f>IF(Q75&lt;&gt;"",Q75,"")</f>
        <v/>
      </c>
      <c r="AH78" s="896" t="str">
        <f>IF(H82&lt;&gt;"",H82*100,"")</f>
        <v/>
      </c>
      <c r="AI78" s="897" t="str">
        <f>IF(Q84&lt;&gt;"",Q84,"")</f>
        <v/>
      </c>
      <c r="AJ78" s="880" t="str">
        <f>IF(AH78="","",((AH78/100)-H84)*100)</f>
        <v/>
      </c>
      <c r="AK78" s="1267" t="str">
        <f>IF(X75&lt;&gt;"",X75*100,"")</f>
        <v/>
      </c>
    </row>
    <row r="79" spans="1:37" s="56" customFormat="1" ht="15" customHeight="1" x14ac:dyDescent="0.3">
      <c r="A79" s="1955"/>
      <c r="B79" s="882" t="s">
        <v>57</v>
      </c>
      <c r="C79" s="688"/>
      <c r="D79" s="870" t="s">
        <v>315</v>
      </c>
      <c r="E79" s="871"/>
      <c r="F79" s="871"/>
      <c r="G79" s="871"/>
      <c r="H79" s="871"/>
      <c r="I79" s="871"/>
      <c r="J79" s="871"/>
      <c r="K79" s="871"/>
      <c r="L79" s="651" t="str">
        <f>IF(I75&lt;&gt;"",MAX(L$5:L78)+1,"")</f>
        <v/>
      </c>
      <c r="M79" s="1960"/>
      <c r="N79" s="872" t="str">
        <f t="shared" ref="N79:T79" si="60">IF(N77&lt;&gt;"",N77-N78,"")</f>
        <v/>
      </c>
      <c r="O79" s="872" t="str">
        <f t="shared" si="60"/>
        <v/>
      </c>
      <c r="P79" s="872" t="str">
        <f t="shared" si="60"/>
        <v/>
      </c>
      <c r="Q79" s="872" t="str">
        <f t="shared" si="60"/>
        <v/>
      </c>
      <c r="R79" s="872" t="str">
        <f t="shared" si="60"/>
        <v/>
      </c>
      <c r="S79" s="872" t="str">
        <f t="shared" si="60"/>
        <v/>
      </c>
      <c r="T79" s="872" t="str">
        <f t="shared" si="60"/>
        <v/>
      </c>
      <c r="U79" s="881"/>
      <c r="V79" s="881"/>
      <c r="W79" s="881"/>
      <c r="X79" s="881"/>
      <c r="Y79" s="881"/>
      <c r="Z79" s="881"/>
      <c r="AA79" s="881"/>
      <c r="AB79" s="872" t="str">
        <f t="shared" si="58"/>
        <v/>
      </c>
      <c r="AC79" s="873" t="str">
        <f>""</f>
        <v/>
      </c>
      <c r="AD79" s="873" t="str">
        <f>""</f>
        <v/>
      </c>
      <c r="AE79" s="873" t="str">
        <f>IF(I76&lt;&gt;"",I76,"")</f>
        <v/>
      </c>
      <c r="AF79" s="874" t="str">
        <f>IF(I77&lt;&gt;"",I77,"")</f>
        <v/>
      </c>
      <c r="AG79" s="875" t="str">
        <f>IF(R75&lt;&gt;"",R75,"")</f>
        <v/>
      </c>
      <c r="AH79" s="896" t="str">
        <f>IF(I82&lt;&gt;"",I82*100,"")</f>
        <v/>
      </c>
      <c r="AI79" s="897" t="str">
        <f>IF(R84&lt;&gt;"",R84,"")</f>
        <v/>
      </c>
      <c r="AJ79" s="880" t="str">
        <f>IF(AH79="","",((AH79/100)-I84)*100)</f>
        <v/>
      </c>
      <c r="AK79" s="1267" t="str">
        <f>IF(Y75&lt;&gt;"",Y75*100,"")</f>
        <v/>
      </c>
    </row>
    <row r="80" spans="1:37" s="316" customFormat="1" ht="15" customHeight="1" x14ac:dyDescent="0.3">
      <c r="A80" s="1955"/>
      <c r="B80" s="882" t="s">
        <v>316</v>
      </c>
      <c r="C80" s="666"/>
      <c r="D80" s="883" t="s">
        <v>317</v>
      </c>
      <c r="E80" s="750"/>
      <c r="F80" s="750"/>
      <c r="G80" s="750"/>
      <c r="H80" s="750"/>
      <c r="I80" s="750"/>
      <c r="J80" s="750"/>
      <c r="K80" s="750"/>
      <c r="L80" s="651" t="str">
        <f>IF(J75&lt;&gt;"",MAX(L$5:L79)+1,"")</f>
        <v/>
      </c>
      <c r="M80" s="1960"/>
      <c r="N80" s="872" t="str">
        <f>IF(E78&lt;&gt;"",LOOKUP(E78,Tara!$L$5:$L$21,Tara!$O$5:$O$21),"")</f>
        <v/>
      </c>
      <c r="O80" s="872" t="str">
        <f>IF(F78&lt;&gt;"",LOOKUP(F78,Tara!$L$5:$L$21,Tara!$O$5:$O$21),"")</f>
        <v/>
      </c>
      <c r="P80" s="872" t="str">
        <f>IF(G78&lt;&gt;"",LOOKUP(G78,Tara!$L$5:$L$21,Tara!$O$5:$O$21),"")</f>
        <v/>
      </c>
      <c r="Q80" s="872" t="str">
        <f>IF(H78&lt;&gt;"",LOOKUP(H78,Tara!$L$5:$L$21,Tara!$O$5:$O$21),"")</f>
        <v/>
      </c>
      <c r="R80" s="872" t="str">
        <f>IF(I78&lt;&gt;"",LOOKUP(I78,Tara!$L$5:$L$21,Tara!$O$5:$O$21),"")</f>
        <v/>
      </c>
      <c r="S80" s="872" t="str">
        <f>IF(J78&lt;&gt;"",LOOKUP(J78,Tara!$L$5:$L$21,Tara!$O$5:$O$21),"")</f>
        <v/>
      </c>
      <c r="T80" s="872" t="str">
        <f>IF(K78&lt;&gt;"",LOOKUP(K78,Tara!$L$5:$L$21,Tara!$O$5:$O$21),"")</f>
        <v/>
      </c>
      <c r="U80" s="884"/>
      <c r="V80" s="884"/>
      <c r="W80" s="884"/>
      <c r="X80" s="884"/>
      <c r="Y80" s="884"/>
      <c r="Z80" s="884"/>
      <c r="AA80" s="884"/>
      <c r="AB80" s="872" t="str">
        <f t="shared" si="58"/>
        <v/>
      </c>
      <c r="AC80" s="873" t="str">
        <f>""</f>
        <v/>
      </c>
      <c r="AD80" s="873" t="str">
        <f>""</f>
        <v/>
      </c>
      <c r="AE80" s="873" t="str">
        <f>IF(J76&lt;&gt;"",J76,"")</f>
        <v/>
      </c>
      <c r="AF80" s="874" t="str">
        <f>IF(J77&lt;&gt;"",J77,"")</f>
        <v/>
      </c>
      <c r="AG80" s="875" t="str">
        <f>IF(S75&lt;&gt;"",S75,"")</f>
        <v/>
      </c>
      <c r="AH80" s="896" t="str">
        <f>IF(J82&lt;&gt;"",J82*100,"")</f>
        <v/>
      </c>
      <c r="AI80" s="897" t="str">
        <f>IF(S84&lt;&gt;"",S84,"")</f>
        <v/>
      </c>
      <c r="AJ80" s="880" t="str">
        <f>IF(AH80="","",((AH80/100)-J84)*100)</f>
        <v/>
      </c>
      <c r="AK80" s="1267" t="str">
        <f>IF(Z75&lt;&gt;"",Z75*100,"")</f>
        <v/>
      </c>
    </row>
    <row r="81" spans="1:37" s="316" customFormat="1" ht="15" customHeight="1" x14ac:dyDescent="0.3">
      <c r="A81" s="1955"/>
      <c r="B81" s="885" t="s">
        <v>318</v>
      </c>
      <c r="C81" s="886"/>
      <c r="D81" s="870" t="s">
        <v>319</v>
      </c>
      <c r="E81" s="750"/>
      <c r="F81" s="750"/>
      <c r="G81" s="750"/>
      <c r="H81" s="750"/>
      <c r="I81" s="750"/>
      <c r="J81" s="750"/>
      <c r="K81" s="750"/>
      <c r="L81" s="651" t="str">
        <f>IF(K75&lt;&gt;"",MAX(L$5:L80)+1,"")</f>
        <v/>
      </c>
      <c r="M81" s="1960"/>
      <c r="N81" s="887" t="str">
        <f>IF(N79&lt;&gt;"",N79/N80,"")</f>
        <v/>
      </c>
      <c r="O81" s="887" t="str">
        <f t="shared" ref="O81:T81" si="61">IF(O79&lt;&gt;"",O79/O80,"")</f>
        <v/>
      </c>
      <c r="P81" s="887" t="str">
        <f t="shared" si="61"/>
        <v/>
      </c>
      <c r="Q81" s="887" t="str">
        <f t="shared" si="61"/>
        <v/>
      </c>
      <c r="R81" s="887" t="str">
        <f t="shared" si="61"/>
        <v/>
      </c>
      <c r="S81" s="887" t="str">
        <f t="shared" si="61"/>
        <v/>
      </c>
      <c r="T81" s="887" t="str">
        <f t="shared" si="61"/>
        <v/>
      </c>
      <c r="U81" s="884"/>
      <c r="V81" s="884"/>
      <c r="W81" s="884"/>
      <c r="X81" s="884"/>
      <c r="Y81" s="884"/>
      <c r="Z81" s="884"/>
      <c r="AA81" s="884"/>
      <c r="AB81" s="872" t="str">
        <f t="shared" si="58"/>
        <v/>
      </c>
      <c r="AC81" s="873" t="str">
        <f>""</f>
        <v/>
      </c>
      <c r="AD81" s="873" t="str">
        <f>""</f>
        <v/>
      </c>
      <c r="AE81" s="873" t="str">
        <f>IF(K76&lt;&gt;"",K76,"")</f>
        <v/>
      </c>
      <c r="AF81" s="874" t="str">
        <f>IF(K77&lt;&gt;"",K77,"")</f>
        <v/>
      </c>
      <c r="AG81" s="875" t="str">
        <f>IF(T75&lt;&gt;"",T75,"")</f>
        <v/>
      </c>
      <c r="AH81" s="896" t="str">
        <f>IF(K82&lt;&gt;"",K82*100,"")</f>
        <v/>
      </c>
      <c r="AI81" s="897" t="str">
        <f>IF(T84&lt;&gt;"",T84,"")</f>
        <v/>
      </c>
      <c r="AJ81" s="880" t="str">
        <f>IF(AH81="","",((AH81/100)-K84)*100)</f>
        <v/>
      </c>
      <c r="AK81" s="1267" t="str">
        <f>IF(AA75&lt;&gt;"",AA75*100,"")</f>
        <v/>
      </c>
    </row>
    <row r="82" spans="1:37" s="316" customFormat="1" ht="15" customHeight="1" x14ac:dyDescent="0.3">
      <c r="A82" s="1955"/>
      <c r="B82" s="652"/>
      <c r="C82" s="653"/>
      <c r="D82" s="870" t="s">
        <v>320</v>
      </c>
      <c r="E82" s="888"/>
      <c r="F82" s="888"/>
      <c r="G82" s="888"/>
      <c r="H82" s="888"/>
      <c r="I82" s="888"/>
      <c r="J82" s="888"/>
      <c r="K82" s="888"/>
      <c r="L82" s="651"/>
      <c r="M82" s="1960"/>
      <c r="N82" s="889" t="str">
        <f>IF(E80&lt;&gt;"",LOOKUP(E80,Tara!$P$5:$P$21,Tara!$Q$5:$Q$21),"")</f>
        <v/>
      </c>
      <c r="O82" s="889" t="str">
        <f>IF(F80&lt;&gt;"",LOOKUP(F80,Tara!$P$5:$P$21,Tara!$Q$5:$Q$21),"")</f>
        <v/>
      </c>
      <c r="P82" s="889" t="str">
        <f>IF(G80&lt;&gt;"",LOOKUP(G80,Tara!$P$5:$P$21,Tara!$Q$5:$Q$21),"")</f>
        <v/>
      </c>
      <c r="Q82" s="889" t="str">
        <f>IF(H80&lt;&gt;"",LOOKUP(H80,Tara!$P$5:$P$21,Tara!$Q$5:$Q$21),"")</f>
        <v/>
      </c>
      <c r="R82" s="889" t="str">
        <f>IF(I80&lt;&gt;"",LOOKUP(I80,Tara!$P$5:$P$21,Tara!$Q$5:$Q$21),"")</f>
        <v/>
      </c>
      <c r="S82" s="889" t="str">
        <f>IF(J80&lt;&gt;"",LOOKUP(J80,Tara!$P$5:$P$21,Tara!$Q$5:$Q$21),"")</f>
        <v/>
      </c>
      <c r="T82" s="889" t="str">
        <f>IF(K80&lt;&gt;"",LOOKUP(K80,Tara!$P$5:$P$21,Tara!$Q$5:$Q$21),"")</f>
        <v/>
      </c>
      <c r="U82" s="884"/>
      <c r="V82" s="884"/>
      <c r="W82" s="884"/>
      <c r="X82" s="884"/>
      <c r="Y82" s="884"/>
      <c r="Z82" s="884"/>
      <c r="AA82" s="884"/>
      <c r="AB82" s="872" t="str">
        <f>""</f>
        <v/>
      </c>
      <c r="AC82" s="873" t="str">
        <f>""</f>
        <v/>
      </c>
      <c r="AD82" s="873" t="str">
        <f>""</f>
        <v/>
      </c>
      <c r="AE82" s="873" t="str">
        <f>""</f>
        <v/>
      </c>
      <c r="AF82" s="874" t="str">
        <f>""</f>
        <v/>
      </c>
      <c r="AG82" s="875" t="str">
        <f>""</f>
        <v/>
      </c>
      <c r="AH82" s="875" t="str">
        <f>""</f>
        <v/>
      </c>
      <c r="AI82" s="875" t="str">
        <f>""</f>
        <v/>
      </c>
      <c r="AJ82" s="890" t="str">
        <f>""</f>
        <v/>
      </c>
      <c r="AK82" s="1267" t="str">
        <f>""</f>
        <v/>
      </c>
    </row>
    <row r="83" spans="1:37" s="316" customFormat="1" ht="15" customHeight="1" x14ac:dyDescent="0.3">
      <c r="A83" s="1955"/>
      <c r="B83" s="654"/>
      <c r="C83" s="655"/>
      <c r="D83" s="891" t="s">
        <v>321</v>
      </c>
      <c r="E83" s="750"/>
      <c r="F83" s="750"/>
      <c r="G83" s="750"/>
      <c r="H83" s="750"/>
      <c r="I83" s="750"/>
      <c r="J83" s="750"/>
      <c r="K83" s="750"/>
      <c r="L83" s="651"/>
      <c r="M83" s="1960"/>
      <c r="N83" s="892" t="str">
        <f t="shared" ref="N83:T83" si="62">IF(E81&lt;&gt;"",(E81-N82)/N81,"")</f>
        <v/>
      </c>
      <c r="O83" s="892" t="str">
        <f t="shared" si="62"/>
        <v/>
      </c>
      <c r="P83" s="892" t="str">
        <f t="shared" si="62"/>
        <v/>
      </c>
      <c r="Q83" s="892" t="str">
        <f t="shared" si="62"/>
        <v/>
      </c>
      <c r="R83" s="892" t="str">
        <f t="shared" si="62"/>
        <v/>
      </c>
      <c r="S83" s="892" t="str">
        <f t="shared" si="62"/>
        <v/>
      </c>
      <c r="T83" s="892" t="str">
        <f t="shared" si="62"/>
        <v/>
      </c>
      <c r="U83" s="884"/>
      <c r="V83" s="884"/>
      <c r="W83" s="884"/>
      <c r="X83" s="884"/>
      <c r="Y83" s="884"/>
      <c r="Z83" s="884"/>
      <c r="AA83" s="884"/>
      <c r="AB83" s="872" t="str">
        <f>""</f>
        <v/>
      </c>
      <c r="AC83" s="873" t="str">
        <f>""</f>
        <v/>
      </c>
      <c r="AD83" s="873" t="str">
        <f>""</f>
        <v/>
      </c>
      <c r="AE83" s="873" t="str">
        <f>""</f>
        <v/>
      </c>
      <c r="AF83" s="874" t="str">
        <f>""</f>
        <v/>
      </c>
      <c r="AG83" s="893" t="str">
        <f>""</f>
        <v/>
      </c>
      <c r="AH83" s="893" t="str">
        <f>""</f>
        <v/>
      </c>
      <c r="AI83" s="893" t="str">
        <f>""</f>
        <v/>
      </c>
      <c r="AJ83" s="895" t="str">
        <f>""</f>
        <v/>
      </c>
      <c r="AK83" s="1269" t="str">
        <f>""</f>
        <v/>
      </c>
    </row>
    <row r="84" spans="1:37" s="316" customFormat="1" ht="15" customHeight="1" thickBot="1" x14ac:dyDescent="0.35">
      <c r="A84" s="1956"/>
      <c r="B84" s="656"/>
      <c r="C84" s="657"/>
      <c r="D84" s="658" t="s">
        <v>99</v>
      </c>
      <c r="E84" s="556"/>
      <c r="F84" s="556"/>
      <c r="G84" s="556"/>
      <c r="H84" s="556"/>
      <c r="I84" s="556"/>
      <c r="J84" s="556"/>
      <c r="K84" s="556"/>
      <c r="L84" s="659"/>
      <c r="M84" s="1961"/>
      <c r="N84" s="549" t="str">
        <f t="shared" ref="N84:T84" si="63">IF(N83&lt;&gt;"",N83/(1+E82),"")</f>
        <v/>
      </c>
      <c r="O84" s="549" t="str">
        <f t="shared" si="63"/>
        <v/>
      </c>
      <c r="P84" s="549" t="str">
        <f t="shared" si="63"/>
        <v/>
      </c>
      <c r="Q84" s="549" t="str">
        <f t="shared" si="63"/>
        <v/>
      </c>
      <c r="R84" s="549" t="str">
        <f t="shared" si="63"/>
        <v/>
      </c>
      <c r="S84" s="549" t="str">
        <f t="shared" si="63"/>
        <v/>
      </c>
      <c r="T84" s="549" t="str">
        <f t="shared" si="63"/>
        <v/>
      </c>
      <c r="U84" s="550"/>
      <c r="V84" s="550"/>
      <c r="W84" s="550"/>
      <c r="X84" s="550"/>
      <c r="Y84" s="550"/>
      <c r="Z84" s="550"/>
      <c r="AA84" s="550"/>
      <c r="AB84" s="551">
        <f>MAX(AB$5:AB83)+1</f>
        <v>8</v>
      </c>
      <c r="AC84" s="552" t="str">
        <f>""</f>
        <v/>
      </c>
      <c r="AD84" s="552" t="str">
        <f>""</f>
        <v/>
      </c>
      <c r="AE84" s="552" t="str">
        <f>""</f>
        <v/>
      </c>
      <c r="AF84" s="558" t="str">
        <f>""</f>
        <v/>
      </c>
      <c r="AG84" s="553" t="str">
        <f>""</f>
        <v/>
      </c>
      <c r="AH84" s="553" t="str">
        <f>""</f>
        <v/>
      </c>
      <c r="AI84" s="553" t="str">
        <f>""</f>
        <v/>
      </c>
      <c r="AJ84" s="554" t="str">
        <f>""</f>
        <v/>
      </c>
      <c r="AK84" s="555" t="str">
        <f>""</f>
        <v/>
      </c>
    </row>
    <row r="85" spans="1:37" s="56" customFormat="1" ht="15" customHeight="1" x14ac:dyDescent="0.3">
      <c r="A85" s="1954">
        <f>A75+1</f>
        <v>9</v>
      </c>
      <c r="B85" s="1957" t="s">
        <v>309</v>
      </c>
      <c r="C85" s="1958"/>
      <c r="D85" s="648" t="s">
        <v>34</v>
      </c>
      <c r="E85" s="649"/>
      <c r="F85" s="649"/>
      <c r="G85" s="649"/>
      <c r="H85" s="649"/>
      <c r="I85" s="649"/>
      <c r="J85" s="649"/>
      <c r="K85" s="649"/>
      <c r="L85" s="650" t="str">
        <f>IF(E85&lt;&gt;"",MAX(L$5:L84)+1,"")</f>
        <v/>
      </c>
      <c r="M85" s="1959" t="s">
        <v>25</v>
      </c>
      <c r="N85" s="539" t="str">
        <f t="shared" ref="N85:T85" si="64">IF(E85&lt;&gt;"",E85,"")</f>
        <v/>
      </c>
      <c r="O85" s="539" t="str">
        <f t="shared" si="64"/>
        <v/>
      </c>
      <c r="P85" s="539" t="str">
        <f t="shared" si="64"/>
        <v/>
      </c>
      <c r="Q85" s="539" t="str">
        <f t="shared" si="64"/>
        <v/>
      </c>
      <c r="R85" s="539" t="str">
        <f t="shared" si="64"/>
        <v/>
      </c>
      <c r="S85" s="539" t="str">
        <f t="shared" si="64"/>
        <v/>
      </c>
      <c r="T85" s="539" t="str">
        <f t="shared" si="64"/>
        <v/>
      </c>
      <c r="U85" s="540" t="str">
        <f t="shared" ref="U85:AA85" si="65">IF(N94&lt;&gt;"",N94/E93*1000,"")</f>
        <v/>
      </c>
      <c r="V85" s="540" t="str">
        <f t="shared" si="65"/>
        <v/>
      </c>
      <c r="W85" s="540" t="str">
        <f t="shared" si="65"/>
        <v/>
      </c>
      <c r="X85" s="540" t="str">
        <f t="shared" si="65"/>
        <v/>
      </c>
      <c r="Y85" s="540" t="str">
        <f t="shared" si="65"/>
        <v/>
      </c>
      <c r="Z85" s="540" t="str">
        <f t="shared" si="65"/>
        <v/>
      </c>
      <c r="AA85" s="540" t="str">
        <f t="shared" si="65"/>
        <v/>
      </c>
      <c r="AB85" s="539" t="str">
        <f>IF(L85&lt;&gt;"",L85,"")</f>
        <v/>
      </c>
      <c r="AC85" s="541" t="str">
        <f>IF(C86&lt;&gt;"",CONCATENATE(C86," a ",C87),"")</f>
        <v/>
      </c>
      <c r="AD85" s="542" t="str">
        <f>IF(C89&lt;&gt;"",C89,"")</f>
        <v/>
      </c>
      <c r="AE85" s="543" t="str">
        <f>IF(E86&lt;&gt;"",E86,"")</f>
        <v/>
      </c>
      <c r="AF85" s="557" t="str">
        <f>IF(E87&lt;&gt;"",E87,"")</f>
        <v/>
      </c>
      <c r="AG85" s="544" t="str">
        <f>IF(N85&lt;&gt;"",N85,"")</f>
        <v/>
      </c>
      <c r="AH85" s="545" t="str">
        <f>IF(E92&lt;&gt;"",E92*100,"")</f>
        <v/>
      </c>
      <c r="AI85" s="546" t="str">
        <f>IF(N94&lt;&gt;"",N94,"")</f>
        <v/>
      </c>
      <c r="AJ85" s="547" t="str">
        <f>IF(AH85="","",((AH85/100)-E94)*100)</f>
        <v/>
      </c>
      <c r="AK85" s="548" t="str">
        <f>IF(U85&lt;&gt;"",U85*100,"")</f>
        <v/>
      </c>
    </row>
    <row r="86" spans="1:37" s="57" customFormat="1" ht="15" customHeight="1" x14ac:dyDescent="0.3">
      <c r="A86" s="1955"/>
      <c r="B86" s="869" t="s">
        <v>310</v>
      </c>
      <c r="C86" s="666"/>
      <c r="D86" s="870" t="s">
        <v>156</v>
      </c>
      <c r="E86" s="871"/>
      <c r="F86" s="871"/>
      <c r="G86" s="871"/>
      <c r="H86" s="871"/>
      <c r="I86" s="871"/>
      <c r="J86" s="871"/>
      <c r="K86" s="871"/>
      <c r="L86" s="651" t="str">
        <f>IF(F85&lt;&gt;"",MAX(L$5:L85)+1,"")</f>
        <v/>
      </c>
      <c r="M86" s="1960"/>
      <c r="N86" s="872" t="str">
        <f>IF(E88&lt;&gt;"",LOOKUP(E88,Tara!$L$5:$L$21,Tara!$M$5:$M$21),"")</f>
        <v/>
      </c>
      <c r="O86" s="872" t="str">
        <f>IF(F88&lt;&gt;"",LOOKUP(F88,Tara!$L$5:$L$21,Tara!$M$5:$M$21),"")</f>
        <v/>
      </c>
      <c r="P86" s="872" t="str">
        <f>IF(G88&lt;&gt;"",LOOKUP(G88,Tara!$L$5:$L$21,Tara!$M$5:$M$21),"")</f>
        <v/>
      </c>
      <c r="Q86" s="872" t="str">
        <f>IF(H88&lt;&gt;"",LOOKUP(H88,Tara!$L$5:$L$21,Tara!$M$5:$M$21),"")</f>
        <v/>
      </c>
      <c r="R86" s="872" t="str">
        <f>IF(I88&lt;&gt;"",LOOKUP(I88,Tara!$L$5:$L$21,Tara!$M$5:$M$21),"")</f>
        <v/>
      </c>
      <c r="S86" s="872" t="str">
        <f>IF(J88&lt;&gt;"",LOOKUP(J88,Tara!$L$5:$L$21,Tara!$M$5:$M$21),"")</f>
        <v/>
      </c>
      <c r="T86" s="872" t="str">
        <f>IF(K88&lt;&gt;"",LOOKUP(K88,Tara!$L$5:$L$21,Tara!$M$5:$M$21),"")</f>
        <v/>
      </c>
      <c r="U86" s="872"/>
      <c r="V86" s="872"/>
      <c r="W86" s="872"/>
      <c r="X86" s="872"/>
      <c r="Y86" s="872"/>
      <c r="Z86" s="872"/>
      <c r="AA86" s="872"/>
      <c r="AB86" s="872" t="str">
        <f t="shared" ref="AB86:AB91" si="66">IF(L86&lt;&gt;"",L86,"")</f>
        <v/>
      </c>
      <c r="AC86" s="873" t="str">
        <f>""</f>
        <v/>
      </c>
      <c r="AD86" s="873" t="str">
        <f>""</f>
        <v/>
      </c>
      <c r="AE86" s="873" t="str">
        <f>IF(F86&lt;&gt;"",F86,"")</f>
        <v/>
      </c>
      <c r="AF86" s="874" t="str">
        <f>IF(E87&lt;&gt;"",F87,"")</f>
        <v/>
      </c>
      <c r="AG86" s="875" t="str">
        <f>IF(O85&lt;&gt;"",O85,"")</f>
        <v/>
      </c>
      <c r="AH86" s="896" t="str">
        <f>IF(F92&lt;&gt;"",F92*100,"")</f>
        <v/>
      </c>
      <c r="AI86" s="897" t="str">
        <f>IF(O94&lt;&gt;"",O94,"")</f>
        <v/>
      </c>
      <c r="AJ86" s="880" t="str">
        <f>IF(AH86="","",((AH86/100)-F94)*100)</f>
        <v/>
      </c>
      <c r="AK86" s="1267" t="str">
        <f>IF(V85&lt;&gt;"",V85*100,"")</f>
        <v/>
      </c>
    </row>
    <row r="87" spans="1:37" s="56" customFormat="1" ht="15" customHeight="1" x14ac:dyDescent="0.3">
      <c r="A87" s="1955"/>
      <c r="B87" s="869" t="s">
        <v>311</v>
      </c>
      <c r="C87" s="666"/>
      <c r="D87" s="870" t="s">
        <v>312</v>
      </c>
      <c r="E87" s="878"/>
      <c r="F87" s="878"/>
      <c r="G87" s="878"/>
      <c r="H87" s="878"/>
      <c r="I87" s="878"/>
      <c r="J87" s="878"/>
      <c r="K87" s="1268"/>
      <c r="L87" s="651" t="str">
        <f>IF(G85&lt;&gt;"",MAX(L$5:L86)+1,"")</f>
        <v/>
      </c>
      <c r="M87" s="1960"/>
      <c r="N87" s="872" t="str">
        <f t="shared" ref="N87:T87" si="67">IF(N86&lt;&gt;"",N86-E89,"")</f>
        <v/>
      </c>
      <c r="O87" s="872" t="str">
        <f t="shared" si="67"/>
        <v/>
      </c>
      <c r="P87" s="872" t="str">
        <f t="shared" si="67"/>
        <v/>
      </c>
      <c r="Q87" s="872" t="str">
        <f t="shared" si="67"/>
        <v/>
      </c>
      <c r="R87" s="872" t="str">
        <f t="shared" si="67"/>
        <v/>
      </c>
      <c r="S87" s="872" t="str">
        <f t="shared" si="67"/>
        <v/>
      </c>
      <c r="T87" s="872" t="str">
        <f t="shared" si="67"/>
        <v/>
      </c>
      <c r="U87" s="879"/>
      <c r="V87" s="879"/>
      <c r="W87" s="879"/>
      <c r="X87" s="879"/>
      <c r="Y87" s="879"/>
      <c r="Z87" s="879"/>
      <c r="AA87" s="879"/>
      <c r="AB87" s="872" t="str">
        <f t="shared" si="66"/>
        <v/>
      </c>
      <c r="AC87" s="873" t="str">
        <f>""</f>
        <v/>
      </c>
      <c r="AD87" s="873" t="str">
        <f>""</f>
        <v/>
      </c>
      <c r="AE87" s="873" t="str">
        <f>IF(G86&lt;&gt;"",G86,"")</f>
        <v/>
      </c>
      <c r="AF87" s="874" t="str">
        <f>IF(G87&lt;&gt;"",G87,"")</f>
        <v/>
      </c>
      <c r="AG87" s="875" t="str">
        <f>IF(P85&lt;&gt;"",P85,"")</f>
        <v/>
      </c>
      <c r="AH87" s="896" t="str">
        <f>IF(G92&lt;&gt;"",G92*100,"")</f>
        <v/>
      </c>
      <c r="AI87" s="897" t="str">
        <f>IF(P94&lt;&gt;"",P94,"")</f>
        <v/>
      </c>
      <c r="AJ87" s="880" t="str">
        <f>IF(AH87="","",((AH87/100)-G94)*100)</f>
        <v/>
      </c>
      <c r="AK87" s="1267" t="str">
        <f>IF(W85&lt;&gt;"",W85*100,"")</f>
        <v/>
      </c>
    </row>
    <row r="88" spans="1:37" s="56" customFormat="1" ht="15" customHeight="1" x14ac:dyDescent="0.3">
      <c r="A88" s="1955"/>
      <c r="B88" s="869" t="s">
        <v>313</v>
      </c>
      <c r="C88" s="666"/>
      <c r="D88" s="870" t="s">
        <v>314</v>
      </c>
      <c r="E88" s="750"/>
      <c r="F88" s="750"/>
      <c r="G88" s="750"/>
      <c r="H88" s="750"/>
      <c r="I88" s="750"/>
      <c r="J88" s="750"/>
      <c r="K88" s="750"/>
      <c r="L88" s="651" t="str">
        <f>IF(H85&lt;&gt;"",MAX(L$5:L87)+1,"")</f>
        <v/>
      </c>
      <c r="M88" s="1960"/>
      <c r="N88" s="872" t="str">
        <f>IF(E88&lt;&gt;"",LOOKUP(E88,Tara!$L$5:$L$21,Tara!$N$5:$N$21),"")</f>
        <v/>
      </c>
      <c r="O88" s="872" t="str">
        <f>IF(F88&lt;&gt;"",LOOKUP(F88,Tara!$L$5:$L$21,Tara!$N$5:$N$21),"")</f>
        <v/>
      </c>
      <c r="P88" s="872" t="str">
        <f>IF(G88&lt;&gt;"",LOOKUP(G88,Tara!$L$5:$L$21,Tara!$N$5:$N$21),"")</f>
        <v/>
      </c>
      <c r="Q88" s="872" t="str">
        <f>IF(H88&lt;&gt;"",LOOKUP(H88,Tara!$L$5:$L$21,Tara!$N$5:$N$21),"")</f>
        <v/>
      </c>
      <c r="R88" s="872" t="str">
        <f>IF(I88&lt;&gt;"",LOOKUP(I88,Tara!$L$5:$L$21,Tara!$N$5:$N$21),"")</f>
        <v/>
      </c>
      <c r="S88" s="872" t="str">
        <f>IF(J88&lt;&gt;"",LOOKUP(J88,Tara!$L$5:$L$21,Tara!$N$5:$N$21),"")</f>
        <v/>
      </c>
      <c r="T88" s="872" t="str">
        <f>IF(K88&lt;&gt;"",LOOKUP(K88,Tara!$L$5:$L$21,Tara!$N$5:$N$21),"")</f>
        <v/>
      </c>
      <c r="U88" s="881"/>
      <c r="V88" s="881"/>
      <c r="W88" s="881"/>
      <c r="X88" s="881"/>
      <c r="Y88" s="881"/>
      <c r="Z88" s="881"/>
      <c r="AA88" s="881"/>
      <c r="AB88" s="872" t="str">
        <f t="shared" si="66"/>
        <v/>
      </c>
      <c r="AC88" s="873" t="str">
        <f>""</f>
        <v/>
      </c>
      <c r="AD88" s="873" t="str">
        <f>""</f>
        <v/>
      </c>
      <c r="AE88" s="873" t="str">
        <f>IF(H86&lt;&gt;"",H86,"")</f>
        <v/>
      </c>
      <c r="AF88" s="874" t="str">
        <f>IF(H87&lt;&gt;"",H87,"")</f>
        <v/>
      </c>
      <c r="AG88" s="875" t="str">
        <f>IF(Q85&lt;&gt;"",Q85,"")</f>
        <v/>
      </c>
      <c r="AH88" s="896" t="str">
        <f>IF(H92&lt;&gt;"",H92*100,"")</f>
        <v/>
      </c>
      <c r="AI88" s="897" t="str">
        <f>IF(Q94&lt;&gt;"",Q94,"")</f>
        <v/>
      </c>
      <c r="AJ88" s="880" t="str">
        <f>IF(AH88="","",((AH88/100)-H94)*100)</f>
        <v/>
      </c>
      <c r="AK88" s="1267" t="str">
        <f>IF(X85&lt;&gt;"",X85*100,"")</f>
        <v/>
      </c>
    </row>
    <row r="89" spans="1:37" s="56" customFormat="1" ht="15" customHeight="1" x14ac:dyDescent="0.3">
      <c r="A89" s="1955"/>
      <c r="B89" s="882" t="s">
        <v>57</v>
      </c>
      <c r="C89" s="688"/>
      <c r="D89" s="870" t="s">
        <v>315</v>
      </c>
      <c r="E89" s="871"/>
      <c r="F89" s="871"/>
      <c r="G89" s="871"/>
      <c r="H89" s="871"/>
      <c r="I89" s="871"/>
      <c r="J89" s="871"/>
      <c r="K89" s="871"/>
      <c r="L89" s="651" t="str">
        <f>IF(I85&lt;&gt;"",MAX(L$5:L88)+1,"")</f>
        <v/>
      </c>
      <c r="M89" s="1960"/>
      <c r="N89" s="872" t="str">
        <f t="shared" ref="N89:T89" si="68">IF(N87&lt;&gt;"",N87-N88,"")</f>
        <v/>
      </c>
      <c r="O89" s="872" t="str">
        <f t="shared" si="68"/>
        <v/>
      </c>
      <c r="P89" s="872" t="str">
        <f t="shared" si="68"/>
        <v/>
      </c>
      <c r="Q89" s="872" t="str">
        <f t="shared" si="68"/>
        <v/>
      </c>
      <c r="R89" s="872" t="str">
        <f t="shared" si="68"/>
        <v/>
      </c>
      <c r="S89" s="872" t="str">
        <f t="shared" si="68"/>
        <v/>
      </c>
      <c r="T89" s="872" t="str">
        <f t="shared" si="68"/>
        <v/>
      </c>
      <c r="U89" s="881"/>
      <c r="V89" s="881"/>
      <c r="W89" s="881"/>
      <c r="X89" s="881"/>
      <c r="Y89" s="881"/>
      <c r="Z89" s="881"/>
      <c r="AA89" s="881"/>
      <c r="AB89" s="872" t="str">
        <f t="shared" si="66"/>
        <v/>
      </c>
      <c r="AC89" s="873" t="str">
        <f>""</f>
        <v/>
      </c>
      <c r="AD89" s="873" t="str">
        <f>""</f>
        <v/>
      </c>
      <c r="AE89" s="873" t="str">
        <f>IF(I86&lt;&gt;"",I86,"")</f>
        <v/>
      </c>
      <c r="AF89" s="874" t="str">
        <f>IF(I87&lt;&gt;"",I87,"")</f>
        <v/>
      </c>
      <c r="AG89" s="875" t="str">
        <f>IF(R85&lt;&gt;"",R85,"")</f>
        <v/>
      </c>
      <c r="AH89" s="896" t="str">
        <f>IF(I92&lt;&gt;"",I92*100,"")</f>
        <v/>
      </c>
      <c r="AI89" s="897" t="str">
        <f>IF(R94&lt;&gt;"",R94,"")</f>
        <v/>
      </c>
      <c r="AJ89" s="880" t="str">
        <f>IF(AH89="","",((AH89/100)-I94)*100)</f>
        <v/>
      </c>
      <c r="AK89" s="1267" t="str">
        <f>IF(Y85&lt;&gt;"",Y85*100,"")</f>
        <v/>
      </c>
    </row>
    <row r="90" spans="1:37" s="316" customFormat="1" ht="15" customHeight="1" x14ac:dyDescent="0.3">
      <c r="A90" s="1955"/>
      <c r="B90" s="882" t="s">
        <v>316</v>
      </c>
      <c r="C90" s="666"/>
      <c r="D90" s="883" t="s">
        <v>317</v>
      </c>
      <c r="E90" s="750"/>
      <c r="F90" s="750"/>
      <c r="G90" s="750"/>
      <c r="H90" s="750"/>
      <c r="I90" s="750"/>
      <c r="J90" s="750"/>
      <c r="K90" s="750"/>
      <c r="L90" s="651" t="str">
        <f>IF(J85&lt;&gt;"",MAX(L$5:L89)+1,"")</f>
        <v/>
      </c>
      <c r="M90" s="1960"/>
      <c r="N90" s="872" t="str">
        <f>IF(E88&lt;&gt;"",LOOKUP(E88,Tara!$L$5:$L$21,Tara!$O$5:$O$21),"")</f>
        <v/>
      </c>
      <c r="O90" s="872" t="str">
        <f>IF(F88&lt;&gt;"",LOOKUP(F88,Tara!$L$5:$L$21,Tara!$O$5:$O$21),"")</f>
        <v/>
      </c>
      <c r="P90" s="872" t="str">
        <f>IF(G88&lt;&gt;"",LOOKUP(G88,Tara!$L$5:$L$21,Tara!$O$5:$O$21),"")</f>
        <v/>
      </c>
      <c r="Q90" s="872" t="str">
        <f>IF(H88&lt;&gt;"",LOOKUP(H88,Tara!$L$5:$L$21,Tara!$O$5:$O$21),"")</f>
        <v/>
      </c>
      <c r="R90" s="872" t="str">
        <f>IF(I88&lt;&gt;"",LOOKUP(I88,Tara!$L$5:$L$21,Tara!$O$5:$O$21),"")</f>
        <v/>
      </c>
      <c r="S90" s="872" t="str">
        <f>IF(J88&lt;&gt;"",LOOKUP(J88,Tara!$L$5:$L$21,Tara!$O$5:$O$21),"")</f>
        <v/>
      </c>
      <c r="T90" s="872" t="str">
        <f>IF(K88&lt;&gt;"",LOOKUP(K88,Tara!$L$5:$L$21,Tara!$O$5:$O$21),"")</f>
        <v/>
      </c>
      <c r="U90" s="884"/>
      <c r="V90" s="884"/>
      <c r="W90" s="884"/>
      <c r="X90" s="884"/>
      <c r="Y90" s="884"/>
      <c r="Z90" s="884"/>
      <c r="AA90" s="884"/>
      <c r="AB90" s="872" t="str">
        <f t="shared" si="66"/>
        <v/>
      </c>
      <c r="AC90" s="873" t="str">
        <f>""</f>
        <v/>
      </c>
      <c r="AD90" s="873" t="str">
        <f>""</f>
        <v/>
      </c>
      <c r="AE90" s="873" t="str">
        <f>IF(J86&lt;&gt;"",J86,"")</f>
        <v/>
      </c>
      <c r="AF90" s="874" t="str">
        <f>IF(J87&lt;&gt;"",J87,"")</f>
        <v/>
      </c>
      <c r="AG90" s="875" t="str">
        <f>IF(S85&lt;&gt;"",S85,"")</f>
        <v/>
      </c>
      <c r="AH90" s="896" t="str">
        <f>IF(J92&lt;&gt;"",J92*100,"")</f>
        <v/>
      </c>
      <c r="AI90" s="897" t="str">
        <f>IF(S94&lt;&gt;"",S94,"")</f>
        <v/>
      </c>
      <c r="AJ90" s="880" t="str">
        <f>IF(AH90="","",((AH90/100)-J94)*100)</f>
        <v/>
      </c>
      <c r="AK90" s="1267" t="str">
        <f>IF(Z85&lt;&gt;"",Z85*100,"")</f>
        <v/>
      </c>
    </row>
    <row r="91" spans="1:37" s="316" customFormat="1" ht="15" customHeight="1" x14ac:dyDescent="0.3">
      <c r="A91" s="1955"/>
      <c r="B91" s="885" t="s">
        <v>318</v>
      </c>
      <c r="C91" s="886"/>
      <c r="D91" s="870" t="s">
        <v>319</v>
      </c>
      <c r="E91" s="750"/>
      <c r="F91" s="750"/>
      <c r="G91" s="750"/>
      <c r="H91" s="750"/>
      <c r="I91" s="750"/>
      <c r="J91" s="750"/>
      <c r="K91" s="750"/>
      <c r="L91" s="651" t="str">
        <f>IF(K85&lt;&gt;"",MAX(L$5:L90)+1,"")</f>
        <v/>
      </c>
      <c r="M91" s="1960"/>
      <c r="N91" s="887" t="str">
        <f>IF(N89&lt;&gt;"",N89/N90,"")</f>
        <v/>
      </c>
      <c r="O91" s="887" t="str">
        <f t="shared" ref="O91:T91" si="69">IF(O89&lt;&gt;"",O89/O90,"")</f>
        <v/>
      </c>
      <c r="P91" s="887" t="str">
        <f t="shared" si="69"/>
        <v/>
      </c>
      <c r="Q91" s="887" t="str">
        <f t="shared" si="69"/>
        <v/>
      </c>
      <c r="R91" s="887" t="str">
        <f t="shared" si="69"/>
        <v/>
      </c>
      <c r="S91" s="887" t="str">
        <f t="shared" si="69"/>
        <v/>
      </c>
      <c r="T91" s="887" t="str">
        <f t="shared" si="69"/>
        <v/>
      </c>
      <c r="U91" s="884"/>
      <c r="V91" s="884"/>
      <c r="W91" s="884"/>
      <c r="X91" s="884"/>
      <c r="Y91" s="884"/>
      <c r="Z91" s="884"/>
      <c r="AA91" s="884"/>
      <c r="AB91" s="872" t="str">
        <f t="shared" si="66"/>
        <v/>
      </c>
      <c r="AC91" s="873" t="str">
        <f>""</f>
        <v/>
      </c>
      <c r="AD91" s="873" t="str">
        <f>""</f>
        <v/>
      </c>
      <c r="AE91" s="873" t="str">
        <f>IF(K86&lt;&gt;"",K86,"")</f>
        <v/>
      </c>
      <c r="AF91" s="874" t="str">
        <f>IF(K87&lt;&gt;"",K87,"")</f>
        <v/>
      </c>
      <c r="AG91" s="875" t="str">
        <f>IF(T85&lt;&gt;"",T85,"")</f>
        <v/>
      </c>
      <c r="AH91" s="896" t="str">
        <f>IF(K92&lt;&gt;"",K92*100,"")</f>
        <v/>
      </c>
      <c r="AI91" s="897" t="str">
        <f>IF(T94&lt;&gt;"",T94,"")</f>
        <v/>
      </c>
      <c r="AJ91" s="880" t="str">
        <f>IF(AH91="","",((AH91/100)-K94)*100)</f>
        <v/>
      </c>
      <c r="AK91" s="1267" t="str">
        <f>IF(AA85&lt;&gt;"",AA85*100,"")</f>
        <v/>
      </c>
    </row>
    <row r="92" spans="1:37" s="316" customFormat="1" ht="15" customHeight="1" x14ac:dyDescent="0.3">
      <c r="A92" s="1955"/>
      <c r="B92" s="652"/>
      <c r="C92" s="653"/>
      <c r="D92" s="870" t="s">
        <v>320</v>
      </c>
      <c r="E92" s="888"/>
      <c r="F92" s="888"/>
      <c r="G92" s="888"/>
      <c r="H92" s="888"/>
      <c r="I92" s="888"/>
      <c r="J92" s="888"/>
      <c r="K92" s="888"/>
      <c r="L92" s="651"/>
      <c r="M92" s="1960"/>
      <c r="N92" s="889" t="str">
        <f>IF(E90&lt;&gt;"",LOOKUP(E90,Tara!$P$5:$P$21,Tara!$Q$5:$Q$21),"")</f>
        <v/>
      </c>
      <c r="O92" s="889" t="str">
        <f>IF(F90&lt;&gt;"",LOOKUP(F90,Tara!$P$5:$P$21,Tara!$Q$5:$Q$21),"")</f>
        <v/>
      </c>
      <c r="P92" s="889" t="str">
        <f>IF(G90&lt;&gt;"",LOOKUP(G90,Tara!$P$5:$P$21,Tara!$Q$5:$Q$21),"")</f>
        <v/>
      </c>
      <c r="Q92" s="889" t="str">
        <f>IF(H90&lt;&gt;"",LOOKUP(H90,Tara!$P$5:$P$21,Tara!$Q$5:$Q$21),"")</f>
        <v/>
      </c>
      <c r="R92" s="889" t="str">
        <f>IF(I90&lt;&gt;"",LOOKUP(I90,Tara!$P$5:$P$21,Tara!$Q$5:$Q$21),"")</f>
        <v/>
      </c>
      <c r="S92" s="889" t="str">
        <f>IF(J90&lt;&gt;"",LOOKUP(J90,Tara!$P$5:$P$21,Tara!$Q$5:$Q$21),"")</f>
        <v/>
      </c>
      <c r="T92" s="889" t="str">
        <f>IF(K90&lt;&gt;"",LOOKUP(K90,Tara!$P$5:$P$21,Tara!$Q$5:$Q$21),"")</f>
        <v/>
      </c>
      <c r="U92" s="884"/>
      <c r="V92" s="884"/>
      <c r="W92" s="884"/>
      <c r="X92" s="884"/>
      <c r="Y92" s="884"/>
      <c r="Z92" s="884"/>
      <c r="AA92" s="884"/>
      <c r="AB92" s="872" t="str">
        <f>""</f>
        <v/>
      </c>
      <c r="AC92" s="873" t="str">
        <f>""</f>
        <v/>
      </c>
      <c r="AD92" s="873" t="str">
        <f>""</f>
        <v/>
      </c>
      <c r="AE92" s="873" t="str">
        <f>""</f>
        <v/>
      </c>
      <c r="AF92" s="874" t="str">
        <f>""</f>
        <v/>
      </c>
      <c r="AG92" s="875" t="str">
        <f>""</f>
        <v/>
      </c>
      <c r="AH92" s="875" t="str">
        <f>""</f>
        <v/>
      </c>
      <c r="AI92" s="875" t="str">
        <f>""</f>
        <v/>
      </c>
      <c r="AJ92" s="890" t="str">
        <f>""</f>
        <v/>
      </c>
      <c r="AK92" s="1267" t="str">
        <f>""</f>
        <v/>
      </c>
    </row>
    <row r="93" spans="1:37" s="316" customFormat="1" ht="15" customHeight="1" x14ac:dyDescent="0.3">
      <c r="A93" s="1955"/>
      <c r="B93" s="654"/>
      <c r="C93" s="655"/>
      <c r="D93" s="891" t="s">
        <v>321</v>
      </c>
      <c r="E93" s="750"/>
      <c r="F93" s="750"/>
      <c r="G93" s="750"/>
      <c r="H93" s="750"/>
      <c r="I93" s="750"/>
      <c r="J93" s="750"/>
      <c r="K93" s="750"/>
      <c r="L93" s="651"/>
      <c r="M93" s="1960"/>
      <c r="N93" s="892" t="str">
        <f t="shared" ref="N93:T93" si="70">IF(E91&lt;&gt;"",(E91-N92)/N91,"")</f>
        <v/>
      </c>
      <c r="O93" s="892" t="str">
        <f t="shared" si="70"/>
        <v/>
      </c>
      <c r="P93" s="892" t="str">
        <f t="shared" si="70"/>
        <v/>
      </c>
      <c r="Q93" s="892" t="str">
        <f t="shared" si="70"/>
        <v/>
      </c>
      <c r="R93" s="892" t="str">
        <f t="shared" si="70"/>
        <v/>
      </c>
      <c r="S93" s="892" t="str">
        <f t="shared" si="70"/>
        <v/>
      </c>
      <c r="T93" s="892" t="str">
        <f t="shared" si="70"/>
        <v/>
      </c>
      <c r="U93" s="884"/>
      <c r="V93" s="884"/>
      <c r="W93" s="884"/>
      <c r="X93" s="884"/>
      <c r="Y93" s="884"/>
      <c r="Z93" s="884"/>
      <c r="AA93" s="884"/>
      <c r="AB93" s="872" t="str">
        <f>""</f>
        <v/>
      </c>
      <c r="AC93" s="873" t="str">
        <f>""</f>
        <v/>
      </c>
      <c r="AD93" s="873" t="str">
        <f>""</f>
        <v/>
      </c>
      <c r="AE93" s="873" t="str">
        <f>""</f>
        <v/>
      </c>
      <c r="AF93" s="874" t="str">
        <f>""</f>
        <v/>
      </c>
      <c r="AG93" s="893" t="str">
        <f>""</f>
        <v/>
      </c>
      <c r="AH93" s="893" t="str">
        <f>""</f>
        <v/>
      </c>
      <c r="AI93" s="893" t="str">
        <f>""</f>
        <v/>
      </c>
      <c r="AJ93" s="895" t="str">
        <f>""</f>
        <v/>
      </c>
      <c r="AK93" s="1269" t="str">
        <f>""</f>
        <v/>
      </c>
    </row>
    <row r="94" spans="1:37" s="316" customFormat="1" ht="15" customHeight="1" thickBot="1" x14ac:dyDescent="0.35">
      <c r="A94" s="1956"/>
      <c r="B94" s="656"/>
      <c r="C94" s="657"/>
      <c r="D94" s="658" t="s">
        <v>99</v>
      </c>
      <c r="E94" s="556"/>
      <c r="F94" s="556"/>
      <c r="G94" s="556"/>
      <c r="H94" s="556"/>
      <c r="I94" s="556"/>
      <c r="J94" s="556"/>
      <c r="K94" s="556"/>
      <c r="L94" s="659"/>
      <c r="M94" s="1961"/>
      <c r="N94" s="549" t="str">
        <f t="shared" ref="N94:T94" si="71">IF(N93&lt;&gt;"",N93/(1+E92),"")</f>
        <v/>
      </c>
      <c r="O94" s="549" t="str">
        <f t="shared" si="71"/>
        <v/>
      </c>
      <c r="P94" s="549" t="str">
        <f t="shared" si="71"/>
        <v/>
      </c>
      <c r="Q94" s="549" t="str">
        <f t="shared" si="71"/>
        <v/>
      </c>
      <c r="R94" s="549" t="str">
        <f t="shared" si="71"/>
        <v/>
      </c>
      <c r="S94" s="549" t="str">
        <f t="shared" si="71"/>
        <v/>
      </c>
      <c r="T94" s="549" t="str">
        <f t="shared" si="71"/>
        <v/>
      </c>
      <c r="U94" s="550"/>
      <c r="V94" s="550"/>
      <c r="W94" s="550"/>
      <c r="X94" s="550"/>
      <c r="Y94" s="550"/>
      <c r="Z94" s="550"/>
      <c r="AA94" s="550"/>
      <c r="AB94" s="551">
        <f>MAX(AB$5:AB93)+1</f>
        <v>9</v>
      </c>
      <c r="AC94" s="552" t="str">
        <f>""</f>
        <v/>
      </c>
      <c r="AD94" s="552" t="str">
        <f>""</f>
        <v/>
      </c>
      <c r="AE94" s="552" t="str">
        <f>""</f>
        <v/>
      </c>
      <c r="AF94" s="558" t="str">
        <f>""</f>
        <v/>
      </c>
      <c r="AG94" s="553" t="str">
        <f>""</f>
        <v/>
      </c>
      <c r="AH94" s="553" t="str">
        <f>""</f>
        <v/>
      </c>
      <c r="AI94" s="553" t="str">
        <f>""</f>
        <v/>
      </c>
      <c r="AJ94" s="554" t="str">
        <f>""</f>
        <v/>
      </c>
      <c r="AK94" s="555" t="str">
        <f>""</f>
        <v/>
      </c>
    </row>
    <row r="95" spans="1:37" s="56" customFormat="1" ht="15" customHeight="1" x14ac:dyDescent="0.3">
      <c r="A95" s="1954">
        <f>A85+1</f>
        <v>10</v>
      </c>
      <c r="B95" s="1957" t="s">
        <v>309</v>
      </c>
      <c r="C95" s="1958"/>
      <c r="D95" s="648" t="s">
        <v>34</v>
      </c>
      <c r="E95" s="649"/>
      <c r="F95" s="649"/>
      <c r="G95" s="649"/>
      <c r="H95" s="649"/>
      <c r="I95" s="649"/>
      <c r="J95" s="649"/>
      <c r="K95" s="649"/>
      <c r="L95" s="650" t="str">
        <f>IF(E95&lt;&gt;"",MAX(L$5:L94)+1,"")</f>
        <v/>
      </c>
      <c r="M95" s="1959" t="s">
        <v>25</v>
      </c>
      <c r="N95" s="539" t="str">
        <f t="shared" ref="N95:T95" si="72">IF(E95&lt;&gt;"",E95,"")</f>
        <v/>
      </c>
      <c r="O95" s="539" t="str">
        <f t="shared" si="72"/>
        <v/>
      </c>
      <c r="P95" s="539" t="str">
        <f t="shared" si="72"/>
        <v/>
      </c>
      <c r="Q95" s="539" t="str">
        <f t="shared" si="72"/>
        <v/>
      </c>
      <c r="R95" s="539" t="str">
        <f t="shared" si="72"/>
        <v/>
      </c>
      <c r="S95" s="539" t="str">
        <f t="shared" si="72"/>
        <v/>
      </c>
      <c r="T95" s="539" t="str">
        <f t="shared" si="72"/>
        <v/>
      </c>
      <c r="U95" s="540" t="str">
        <f t="shared" ref="U95:AA95" si="73">IF(N104&lt;&gt;"",N104/E103*1000,"")</f>
        <v/>
      </c>
      <c r="V95" s="540" t="str">
        <f t="shared" si="73"/>
        <v/>
      </c>
      <c r="W95" s="540" t="str">
        <f t="shared" si="73"/>
        <v/>
      </c>
      <c r="X95" s="540" t="str">
        <f t="shared" si="73"/>
        <v/>
      </c>
      <c r="Y95" s="540" t="str">
        <f t="shared" si="73"/>
        <v/>
      </c>
      <c r="Z95" s="540" t="str">
        <f t="shared" si="73"/>
        <v/>
      </c>
      <c r="AA95" s="540" t="str">
        <f t="shared" si="73"/>
        <v/>
      </c>
      <c r="AB95" s="539" t="str">
        <f>IF(L95&lt;&gt;"",L95,"")</f>
        <v/>
      </c>
      <c r="AC95" s="541" t="str">
        <f>IF(C96&lt;&gt;"",CONCATENATE(C96," a ",C97),"")</f>
        <v/>
      </c>
      <c r="AD95" s="542" t="str">
        <f>IF(C99&lt;&gt;"",C99,"")</f>
        <v/>
      </c>
      <c r="AE95" s="543" t="str">
        <f>IF(E96&lt;&gt;"",E96,"")</f>
        <v/>
      </c>
      <c r="AF95" s="557" t="str">
        <f>IF(E97&lt;&gt;"",E97,"")</f>
        <v/>
      </c>
      <c r="AG95" s="544" t="str">
        <f>IF(N95&lt;&gt;"",N95,"")</f>
        <v/>
      </c>
      <c r="AH95" s="545" t="str">
        <f>IF(E102&lt;&gt;"",E102*100,"")</f>
        <v/>
      </c>
      <c r="AI95" s="546" t="str">
        <f>IF(N104&lt;&gt;"",N104,"")</f>
        <v/>
      </c>
      <c r="AJ95" s="547" t="str">
        <f>IF(AH95="","",((AH95/100)-E104)*100)</f>
        <v/>
      </c>
      <c r="AK95" s="548" t="str">
        <f>IF(U95&lt;&gt;"",U95*100,"")</f>
        <v/>
      </c>
    </row>
    <row r="96" spans="1:37" s="57" customFormat="1" ht="15" customHeight="1" x14ac:dyDescent="0.3">
      <c r="A96" s="1955"/>
      <c r="B96" s="869" t="s">
        <v>310</v>
      </c>
      <c r="C96" s="666"/>
      <c r="D96" s="870" t="s">
        <v>156</v>
      </c>
      <c r="E96" s="871"/>
      <c r="F96" s="871"/>
      <c r="G96" s="871"/>
      <c r="H96" s="871"/>
      <c r="I96" s="871"/>
      <c r="J96" s="871"/>
      <c r="K96" s="871"/>
      <c r="L96" s="651" t="str">
        <f>IF(F95&lt;&gt;"",MAX(L$5:L95)+1,"")</f>
        <v/>
      </c>
      <c r="M96" s="1960"/>
      <c r="N96" s="872" t="str">
        <f>IF(E98&lt;&gt;"",LOOKUP(E98,Tara!$L$5:$L$21,Tara!$M$5:$M$21),"")</f>
        <v/>
      </c>
      <c r="O96" s="872" t="str">
        <f>IF(F98&lt;&gt;"",LOOKUP(F98,Tara!$L$5:$L$21,Tara!$M$5:$M$21),"")</f>
        <v/>
      </c>
      <c r="P96" s="872" t="str">
        <f>IF(G98&lt;&gt;"",LOOKUP(G98,Tara!$L$5:$L$21,Tara!$M$5:$M$21),"")</f>
        <v/>
      </c>
      <c r="Q96" s="872" t="str">
        <f>IF(H98&lt;&gt;"",LOOKUP(H98,Tara!$L$5:$L$21,Tara!$M$5:$M$21),"")</f>
        <v/>
      </c>
      <c r="R96" s="872" t="str">
        <f>IF(I98&lt;&gt;"",LOOKUP(I98,Tara!$L$5:$L$21,Tara!$M$5:$M$21),"")</f>
        <v/>
      </c>
      <c r="S96" s="872" t="str">
        <f>IF(J98&lt;&gt;"",LOOKUP(J98,Tara!$L$5:$L$21,Tara!$M$5:$M$21),"")</f>
        <v/>
      </c>
      <c r="T96" s="872" t="str">
        <f>IF(K98&lt;&gt;"",LOOKUP(K98,Tara!$L$5:$L$21,Tara!$M$5:$M$21),"")</f>
        <v/>
      </c>
      <c r="U96" s="872"/>
      <c r="V96" s="872"/>
      <c r="W96" s="872"/>
      <c r="X96" s="872"/>
      <c r="Y96" s="872"/>
      <c r="Z96" s="872"/>
      <c r="AA96" s="872"/>
      <c r="AB96" s="872" t="str">
        <f t="shared" ref="AB96:AB101" si="74">IF(L96&lt;&gt;"",L96,"")</f>
        <v/>
      </c>
      <c r="AC96" s="873" t="str">
        <f>""</f>
        <v/>
      </c>
      <c r="AD96" s="873" t="str">
        <f>""</f>
        <v/>
      </c>
      <c r="AE96" s="873" t="str">
        <f>IF(F96&lt;&gt;"",F96,"")</f>
        <v/>
      </c>
      <c r="AF96" s="874" t="str">
        <f>IF(E97&lt;&gt;"",F97,"")</f>
        <v/>
      </c>
      <c r="AG96" s="875" t="str">
        <f>IF(O95&lt;&gt;"",O95,"")</f>
        <v/>
      </c>
      <c r="AH96" s="896" t="str">
        <f>IF(F102&lt;&gt;"",F102*100,"")</f>
        <v/>
      </c>
      <c r="AI96" s="897" t="str">
        <f>IF(O104&lt;&gt;"",O104,"")</f>
        <v/>
      </c>
      <c r="AJ96" s="880" t="str">
        <f>IF(AH96="","",((AH96/100)-F104)*100)</f>
        <v/>
      </c>
      <c r="AK96" s="1267" t="str">
        <f>IF(V95&lt;&gt;"",V95*100,"")</f>
        <v/>
      </c>
    </row>
    <row r="97" spans="1:37" s="56" customFormat="1" ht="15" customHeight="1" x14ac:dyDescent="0.3">
      <c r="A97" s="1955"/>
      <c r="B97" s="869" t="s">
        <v>311</v>
      </c>
      <c r="C97" s="666"/>
      <c r="D97" s="870" t="s">
        <v>312</v>
      </c>
      <c r="E97" s="878"/>
      <c r="F97" s="878"/>
      <c r="G97" s="878"/>
      <c r="H97" s="878"/>
      <c r="I97" s="878"/>
      <c r="J97" s="878"/>
      <c r="K97" s="1268"/>
      <c r="L97" s="651" t="str">
        <f>IF(G95&lt;&gt;"",MAX(L$5:L96)+1,"")</f>
        <v/>
      </c>
      <c r="M97" s="1960"/>
      <c r="N97" s="872" t="str">
        <f t="shared" ref="N97:T97" si="75">IF(N96&lt;&gt;"",N96-E99,"")</f>
        <v/>
      </c>
      <c r="O97" s="872" t="str">
        <f t="shared" si="75"/>
        <v/>
      </c>
      <c r="P97" s="872" t="str">
        <f t="shared" si="75"/>
        <v/>
      </c>
      <c r="Q97" s="872" t="str">
        <f t="shared" si="75"/>
        <v/>
      </c>
      <c r="R97" s="872" t="str">
        <f t="shared" si="75"/>
        <v/>
      </c>
      <c r="S97" s="872" t="str">
        <f t="shared" si="75"/>
        <v/>
      </c>
      <c r="T97" s="872" t="str">
        <f t="shared" si="75"/>
        <v/>
      </c>
      <c r="U97" s="879"/>
      <c r="V97" s="879"/>
      <c r="W97" s="879"/>
      <c r="X97" s="879"/>
      <c r="Y97" s="879"/>
      <c r="Z97" s="879"/>
      <c r="AA97" s="879"/>
      <c r="AB97" s="872" t="str">
        <f t="shared" si="74"/>
        <v/>
      </c>
      <c r="AC97" s="873" t="str">
        <f>""</f>
        <v/>
      </c>
      <c r="AD97" s="873" t="str">
        <f>""</f>
        <v/>
      </c>
      <c r="AE97" s="873" t="str">
        <f>IF(G96&lt;&gt;"",G96,"")</f>
        <v/>
      </c>
      <c r="AF97" s="874" t="str">
        <f>IF(G97&lt;&gt;"",G97,"")</f>
        <v/>
      </c>
      <c r="AG97" s="875" t="str">
        <f>IF(P95&lt;&gt;"",P95,"")</f>
        <v/>
      </c>
      <c r="AH97" s="896" t="str">
        <f>IF(G102&lt;&gt;"",G102*100,"")</f>
        <v/>
      </c>
      <c r="AI97" s="897" t="str">
        <f>IF(P104&lt;&gt;"",P104,"")</f>
        <v/>
      </c>
      <c r="AJ97" s="880" t="str">
        <f>IF(AH97="","",((AH97/100)-G104)*100)</f>
        <v/>
      </c>
      <c r="AK97" s="1267" t="str">
        <f>IF(W95&lt;&gt;"",W95*100,"")</f>
        <v/>
      </c>
    </row>
    <row r="98" spans="1:37" s="56" customFormat="1" ht="15" customHeight="1" x14ac:dyDescent="0.3">
      <c r="A98" s="1955"/>
      <c r="B98" s="869" t="s">
        <v>313</v>
      </c>
      <c r="C98" s="666"/>
      <c r="D98" s="870" t="s">
        <v>314</v>
      </c>
      <c r="E98" s="750"/>
      <c r="F98" s="750"/>
      <c r="G98" s="750"/>
      <c r="H98" s="750"/>
      <c r="I98" s="750"/>
      <c r="J98" s="750"/>
      <c r="K98" s="750"/>
      <c r="L98" s="651" t="str">
        <f>IF(H95&lt;&gt;"",MAX(L$5:L97)+1,"")</f>
        <v/>
      </c>
      <c r="M98" s="1960"/>
      <c r="N98" s="872" t="str">
        <f>IF(E98&lt;&gt;"",LOOKUP(E98,Tara!$L$5:$L$21,Tara!$N$5:$N$21),"")</f>
        <v/>
      </c>
      <c r="O98" s="872" t="str">
        <f>IF(F98&lt;&gt;"",LOOKUP(F98,Tara!$L$5:$L$21,Tara!$N$5:$N$21),"")</f>
        <v/>
      </c>
      <c r="P98" s="872" t="str">
        <f>IF(G98&lt;&gt;"",LOOKUP(G98,Tara!$L$5:$L$21,Tara!$N$5:$N$21),"")</f>
        <v/>
      </c>
      <c r="Q98" s="872" t="str">
        <f>IF(H98&lt;&gt;"",LOOKUP(H98,Tara!$L$5:$L$21,Tara!$N$5:$N$21),"")</f>
        <v/>
      </c>
      <c r="R98" s="872" t="str">
        <f>IF(I98&lt;&gt;"",LOOKUP(I98,Tara!$L$5:$L$21,Tara!$N$5:$N$21),"")</f>
        <v/>
      </c>
      <c r="S98" s="872" t="str">
        <f>IF(J98&lt;&gt;"",LOOKUP(J98,Tara!$L$5:$L$21,Tara!$N$5:$N$21),"")</f>
        <v/>
      </c>
      <c r="T98" s="872" t="str">
        <f>IF(K98&lt;&gt;"",LOOKUP(K98,Tara!$L$5:$L$21,Tara!$N$5:$N$21),"")</f>
        <v/>
      </c>
      <c r="U98" s="881"/>
      <c r="V98" s="881"/>
      <c r="W98" s="881"/>
      <c r="X98" s="881"/>
      <c r="Y98" s="881"/>
      <c r="Z98" s="881"/>
      <c r="AA98" s="881"/>
      <c r="AB98" s="872" t="str">
        <f t="shared" si="74"/>
        <v/>
      </c>
      <c r="AC98" s="873" t="str">
        <f>""</f>
        <v/>
      </c>
      <c r="AD98" s="873" t="str">
        <f>""</f>
        <v/>
      </c>
      <c r="AE98" s="873" t="str">
        <f>IF(H96&lt;&gt;"",H96,"")</f>
        <v/>
      </c>
      <c r="AF98" s="874" t="str">
        <f>IF(H97&lt;&gt;"",H97,"")</f>
        <v/>
      </c>
      <c r="AG98" s="875" t="str">
        <f>IF(Q95&lt;&gt;"",Q95,"")</f>
        <v/>
      </c>
      <c r="AH98" s="896" t="str">
        <f>IF(H102&lt;&gt;"",H102*100,"")</f>
        <v/>
      </c>
      <c r="AI98" s="897" t="str">
        <f>IF(Q104&lt;&gt;"",Q104,"")</f>
        <v/>
      </c>
      <c r="AJ98" s="880" t="str">
        <f>IF(AH98="","",((AH98/100)-H104)*100)</f>
        <v/>
      </c>
      <c r="AK98" s="1267" t="str">
        <f>IF(X95&lt;&gt;"",X95*100,"")</f>
        <v/>
      </c>
    </row>
    <row r="99" spans="1:37" s="56" customFormat="1" ht="15" customHeight="1" x14ac:dyDescent="0.3">
      <c r="A99" s="1955"/>
      <c r="B99" s="882" t="s">
        <v>57</v>
      </c>
      <c r="C99" s="688"/>
      <c r="D99" s="870" t="s">
        <v>315</v>
      </c>
      <c r="E99" s="871"/>
      <c r="F99" s="871"/>
      <c r="G99" s="871"/>
      <c r="H99" s="871"/>
      <c r="I99" s="871"/>
      <c r="J99" s="871"/>
      <c r="K99" s="871"/>
      <c r="L99" s="651" t="str">
        <f>IF(I95&lt;&gt;"",MAX(L$5:L98)+1,"")</f>
        <v/>
      </c>
      <c r="M99" s="1960"/>
      <c r="N99" s="872" t="str">
        <f t="shared" ref="N99:T99" si="76">IF(N97&lt;&gt;"",N97-N98,"")</f>
        <v/>
      </c>
      <c r="O99" s="872" t="str">
        <f t="shared" si="76"/>
        <v/>
      </c>
      <c r="P99" s="872" t="str">
        <f t="shared" si="76"/>
        <v/>
      </c>
      <c r="Q99" s="872" t="str">
        <f t="shared" si="76"/>
        <v/>
      </c>
      <c r="R99" s="872" t="str">
        <f t="shared" si="76"/>
        <v/>
      </c>
      <c r="S99" s="872" t="str">
        <f t="shared" si="76"/>
        <v/>
      </c>
      <c r="T99" s="872" t="str">
        <f t="shared" si="76"/>
        <v/>
      </c>
      <c r="U99" s="881"/>
      <c r="V99" s="881"/>
      <c r="W99" s="881"/>
      <c r="X99" s="881"/>
      <c r="Y99" s="881"/>
      <c r="Z99" s="881"/>
      <c r="AA99" s="881"/>
      <c r="AB99" s="872" t="str">
        <f t="shared" si="74"/>
        <v/>
      </c>
      <c r="AC99" s="873" t="str">
        <f>""</f>
        <v/>
      </c>
      <c r="AD99" s="873" t="str">
        <f>""</f>
        <v/>
      </c>
      <c r="AE99" s="873" t="str">
        <f>IF(I96&lt;&gt;"",I96,"")</f>
        <v/>
      </c>
      <c r="AF99" s="874" t="str">
        <f>IF(I97&lt;&gt;"",I97,"")</f>
        <v/>
      </c>
      <c r="AG99" s="875" t="str">
        <f>IF(R95&lt;&gt;"",R95,"")</f>
        <v/>
      </c>
      <c r="AH99" s="896" t="str">
        <f>IF(I102&lt;&gt;"",I102*100,"")</f>
        <v/>
      </c>
      <c r="AI99" s="897" t="str">
        <f>IF(R104&lt;&gt;"",R104,"")</f>
        <v/>
      </c>
      <c r="AJ99" s="880" t="str">
        <f>IF(AH99="","",((AH99/100)-I104)*100)</f>
        <v/>
      </c>
      <c r="AK99" s="1267" t="str">
        <f>IF(Y95&lt;&gt;"",Y95*100,"")</f>
        <v/>
      </c>
    </row>
    <row r="100" spans="1:37" s="316" customFormat="1" ht="15" customHeight="1" x14ac:dyDescent="0.3">
      <c r="A100" s="1955"/>
      <c r="B100" s="882" t="s">
        <v>316</v>
      </c>
      <c r="C100" s="666"/>
      <c r="D100" s="883" t="s">
        <v>317</v>
      </c>
      <c r="E100" s="750"/>
      <c r="F100" s="750"/>
      <c r="G100" s="750"/>
      <c r="H100" s="750"/>
      <c r="I100" s="750"/>
      <c r="J100" s="750"/>
      <c r="K100" s="750"/>
      <c r="L100" s="651" t="str">
        <f>IF(J95&lt;&gt;"",MAX(L$5:L99)+1,"")</f>
        <v/>
      </c>
      <c r="M100" s="1960"/>
      <c r="N100" s="872" t="str">
        <f>IF(E98&lt;&gt;"",LOOKUP(E98,Tara!$L$5:$L$21,Tara!$O$5:$O$21),"")</f>
        <v/>
      </c>
      <c r="O100" s="872" t="str">
        <f>IF(F98&lt;&gt;"",LOOKUP(F98,Tara!$L$5:$L$21,Tara!$O$5:$O$21),"")</f>
        <v/>
      </c>
      <c r="P100" s="872" t="str">
        <f>IF(G98&lt;&gt;"",LOOKUP(G98,Tara!$L$5:$L$21,Tara!$O$5:$O$21),"")</f>
        <v/>
      </c>
      <c r="Q100" s="872" t="str">
        <f>IF(H98&lt;&gt;"",LOOKUP(H98,Tara!$L$5:$L$21,Tara!$O$5:$O$21),"")</f>
        <v/>
      </c>
      <c r="R100" s="872" t="str">
        <f>IF(I98&lt;&gt;"",LOOKUP(I98,Tara!$L$5:$L$21,Tara!$O$5:$O$21),"")</f>
        <v/>
      </c>
      <c r="S100" s="872" t="str">
        <f>IF(J98&lt;&gt;"",LOOKUP(J98,Tara!$L$5:$L$21,Tara!$O$5:$O$21),"")</f>
        <v/>
      </c>
      <c r="T100" s="872" t="str">
        <f>IF(K98&lt;&gt;"",LOOKUP(K98,Tara!$L$5:$L$21,Tara!$O$5:$O$21),"")</f>
        <v/>
      </c>
      <c r="U100" s="884"/>
      <c r="V100" s="884"/>
      <c r="W100" s="884"/>
      <c r="X100" s="884"/>
      <c r="Y100" s="884"/>
      <c r="Z100" s="884"/>
      <c r="AA100" s="884"/>
      <c r="AB100" s="872" t="str">
        <f t="shared" si="74"/>
        <v/>
      </c>
      <c r="AC100" s="873" t="str">
        <f>""</f>
        <v/>
      </c>
      <c r="AD100" s="873" t="str">
        <f>""</f>
        <v/>
      </c>
      <c r="AE100" s="873" t="str">
        <f>IF(J96&lt;&gt;"",J96,"")</f>
        <v/>
      </c>
      <c r="AF100" s="874" t="str">
        <f>IF(J97&lt;&gt;"",J97,"")</f>
        <v/>
      </c>
      <c r="AG100" s="875" t="str">
        <f>IF(S95&lt;&gt;"",S95,"")</f>
        <v/>
      </c>
      <c r="AH100" s="896" t="str">
        <f>IF(J102&lt;&gt;"",J102*100,"")</f>
        <v/>
      </c>
      <c r="AI100" s="897" t="str">
        <f>IF(S104&lt;&gt;"",S104,"")</f>
        <v/>
      </c>
      <c r="AJ100" s="880" t="str">
        <f>IF(AH100="","",((AH100/100)-J104)*100)</f>
        <v/>
      </c>
      <c r="AK100" s="1267" t="str">
        <f>IF(Z95&lt;&gt;"",Z95*100,"")</f>
        <v/>
      </c>
    </row>
    <row r="101" spans="1:37" s="316" customFormat="1" ht="15" customHeight="1" x14ac:dyDescent="0.3">
      <c r="A101" s="1955"/>
      <c r="B101" s="885" t="s">
        <v>318</v>
      </c>
      <c r="C101" s="886"/>
      <c r="D101" s="870" t="s">
        <v>319</v>
      </c>
      <c r="E101" s="750"/>
      <c r="F101" s="750"/>
      <c r="G101" s="750"/>
      <c r="H101" s="750"/>
      <c r="I101" s="750"/>
      <c r="J101" s="750"/>
      <c r="K101" s="750"/>
      <c r="L101" s="651" t="str">
        <f>IF(K95&lt;&gt;"",MAX(L$5:L100)+1,"")</f>
        <v/>
      </c>
      <c r="M101" s="1960"/>
      <c r="N101" s="887" t="str">
        <f>IF(N99&lt;&gt;"",N99/N100,"")</f>
        <v/>
      </c>
      <c r="O101" s="887" t="str">
        <f t="shared" ref="O101:T101" si="77">IF(O99&lt;&gt;"",O99/O100,"")</f>
        <v/>
      </c>
      <c r="P101" s="887" t="str">
        <f t="shared" si="77"/>
        <v/>
      </c>
      <c r="Q101" s="887" t="str">
        <f t="shared" si="77"/>
        <v/>
      </c>
      <c r="R101" s="887" t="str">
        <f t="shared" si="77"/>
        <v/>
      </c>
      <c r="S101" s="887" t="str">
        <f t="shared" si="77"/>
        <v/>
      </c>
      <c r="T101" s="887" t="str">
        <f t="shared" si="77"/>
        <v/>
      </c>
      <c r="U101" s="884"/>
      <c r="V101" s="884"/>
      <c r="W101" s="884"/>
      <c r="X101" s="884"/>
      <c r="Y101" s="884"/>
      <c r="Z101" s="884"/>
      <c r="AA101" s="884"/>
      <c r="AB101" s="872" t="str">
        <f t="shared" si="74"/>
        <v/>
      </c>
      <c r="AC101" s="873" t="str">
        <f>""</f>
        <v/>
      </c>
      <c r="AD101" s="873" t="str">
        <f>""</f>
        <v/>
      </c>
      <c r="AE101" s="873" t="str">
        <f>IF(K96&lt;&gt;"",K96,"")</f>
        <v/>
      </c>
      <c r="AF101" s="874" t="str">
        <f>IF(K97&lt;&gt;"",K97,"")</f>
        <v/>
      </c>
      <c r="AG101" s="875" t="str">
        <f>IF(T95&lt;&gt;"",T95,"")</f>
        <v/>
      </c>
      <c r="AH101" s="896" t="str">
        <f>IF(K102&lt;&gt;"",K102*100,"")</f>
        <v/>
      </c>
      <c r="AI101" s="897" t="str">
        <f>IF(T104&lt;&gt;"",T104,"")</f>
        <v/>
      </c>
      <c r="AJ101" s="880" t="str">
        <f>IF(AH101="","",((AH101/100)-K104)*100)</f>
        <v/>
      </c>
      <c r="AK101" s="1267" t="str">
        <f>IF(AA95&lt;&gt;"",AA95*100,"")</f>
        <v/>
      </c>
    </row>
    <row r="102" spans="1:37" s="316" customFormat="1" ht="15" customHeight="1" x14ac:dyDescent="0.3">
      <c r="A102" s="1955"/>
      <c r="B102" s="652"/>
      <c r="C102" s="653"/>
      <c r="D102" s="870" t="s">
        <v>320</v>
      </c>
      <c r="E102" s="888"/>
      <c r="F102" s="888"/>
      <c r="G102" s="888"/>
      <c r="H102" s="888"/>
      <c r="I102" s="888"/>
      <c r="J102" s="888"/>
      <c r="K102" s="888"/>
      <c r="L102" s="651"/>
      <c r="M102" s="1960"/>
      <c r="N102" s="889" t="str">
        <f>IF(E100&lt;&gt;"",LOOKUP(E100,Tara!$P$5:$P$21,Tara!$Q$5:$Q$21),"")</f>
        <v/>
      </c>
      <c r="O102" s="889" t="str">
        <f>IF(F100&lt;&gt;"",LOOKUP(F100,Tara!$P$5:$P$21,Tara!$Q$5:$Q$21),"")</f>
        <v/>
      </c>
      <c r="P102" s="889" t="str">
        <f>IF(G100&lt;&gt;"",LOOKUP(G100,Tara!$P$5:$P$21,Tara!$Q$5:$Q$21),"")</f>
        <v/>
      </c>
      <c r="Q102" s="889" t="str">
        <f>IF(H100&lt;&gt;"",LOOKUP(H100,Tara!$P$5:$P$21,Tara!$Q$5:$Q$21),"")</f>
        <v/>
      </c>
      <c r="R102" s="889" t="str">
        <f>IF(I100&lt;&gt;"",LOOKUP(I100,Tara!$P$5:$P$21,Tara!$Q$5:$Q$21),"")</f>
        <v/>
      </c>
      <c r="S102" s="889" t="str">
        <f>IF(J100&lt;&gt;"",LOOKUP(J100,Tara!$P$5:$P$21,Tara!$Q$5:$Q$21),"")</f>
        <v/>
      </c>
      <c r="T102" s="889" t="str">
        <f>IF(K100&lt;&gt;"",LOOKUP(K100,Tara!$P$5:$P$21,Tara!$Q$5:$Q$21),"")</f>
        <v/>
      </c>
      <c r="U102" s="884"/>
      <c r="V102" s="884"/>
      <c r="W102" s="884"/>
      <c r="X102" s="884"/>
      <c r="Y102" s="884"/>
      <c r="Z102" s="884"/>
      <c r="AA102" s="884"/>
      <c r="AB102" s="872" t="str">
        <f>""</f>
        <v/>
      </c>
      <c r="AC102" s="873" t="str">
        <f>""</f>
        <v/>
      </c>
      <c r="AD102" s="873" t="str">
        <f>""</f>
        <v/>
      </c>
      <c r="AE102" s="873" t="str">
        <f>""</f>
        <v/>
      </c>
      <c r="AF102" s="874" t="str">
        <f>""</f>
        <v/>
      </c>
      <c r="AG102" s="875" t="str">
        <f>""</f>
        <v/>
      </c>
      <c r="AH102" s="875" t="str">
        <f>""</f>
        <v/>
      </c>
      <c r="AI102" s="875" t="str">
        <f>""</f>
        <v/>
      </c>
      <c r="AJ102" s="890" t="str">
        <f>""</f>
        <v/>
      </c>
      <c r="AK102" s="1267" t="str">
        <f>""</f>
        <v/>
      </c>
    </row>
    <row r="103" spans="1:37" s="316" customFormat="1" ht="15" customHeight="1" x14ac:dyDescent="0.3">
      <c r="A103" s="1955"/>
      <c r="B103" s="654"/>
      <c r="C103" s="655"/>
      <c r="D103" s="891" t="s">
        <v>321</v>
      </c>
      <c r="E103" s="750"/>
      <c r="F103" s="750"/>
      <c r="G103" s="750"/>
      <c r="H103" s="750"/>
      <c r="I103" s="750"/>
      <c r="J103" s="750"/>
      <c r="K103" s="750"/>
      <c r="L103" s="651"/>
      <c r="M103" s="1960"/>
      <c r="N103" s="892" t="str">
        <f t="shared" ref="N103:T103" si="78">IF(E101&lt;&gt;"",(E101-N102)/N101,"")</f>
        <v/>
      </c>
      <c r="O103" s="892" t="str">
        <f t="shared" si="78"/>
        <v/>
      </c>
      <c r="P103" s="892" t="str">
        <f t="shared" si="78"/>
        <v/>
      </c>
      <c r="Q103" s="892" t="str">
        <f t="shared" si="78"/>
        <v/>
      </c>
      <c r="R103" s="892" t="str">
        <f t="shared" si="78"/>
        <v/>
      </c>
      <c r="S103" s="892" t="str">
        <f t="shared" si="78"/>
        <v/>
      </c>
      <c r="T103" s="892" t="str">
        <f t="shared" si="78"/>
        <v/>
      </c>
      <c r="U103" s="884"/>
      <c r="V103" s="884"/>
      <c r="W103" s="884"/>
      <c r="X103" s="884"/>
      <c r="Y103" s="884"/>
      <c r="Z103" s="884"/>
      <c r="AA103" s="884"/>
      <c r="AB103" s="872" t="str">
        <f>""</f>
        <v/>
      </c>
      <c r="AC103" s="873" t="str">
        <f>""</f>
        <v/>
      </c>
      <c r="AD103" s="873" t="str">
        <f>""</f>
        <v/>
      </c>
      <c r="AE103" s="873" t="str">
        <f>""</f>
        <v/>
      </c>
      <c r="AF103" s="874" t="str">
        <f>""</f>
        <v/>
      </c>
      <c r="AG103" s="893" t="str">
        <f>""</f>
        <v/>
      </c>
      <c r="AH103" s="893" t="str">
        <f>""</f>
        <v/>
      </c>
      <c r="AI103" s="893" t="str">
        <f>""</f>
        <v/>
      </c>
      <c r="AJ103" s="895" t="str">
        <f>""</f>
        <v/>
      </c>
      <c r="AK103" s="1269" t="str">
        <f>""</f>
        <v/>
      </c>
    </row>
    <row r="104" spans="1:37" s="316" customFormat="1" ht="15" customHeight="1" thickBot="1" x14ac:dyDescent="0.35">
      <c r="A104" s="1956"/>
      <c r="B104" s="656"/>
      <c r="C104" s="657"/>
      <c r="D104" s="658" t="s">
        <v>99</v>
      </c>
      <c r="E104" s="556"/>
      <c r="F104" s="556"/>
      <c r="G104" s="556"/>
      <c r="H104" s="556"/>
      <c r="I104" s="556"/>
      <c r="J104" s="556"/>
      <c r="K104" s="556"/>
      <c r="L104" s="659"/>
      <c r="M104" s="1961"/>
      <c r="N104" s="549" t="str">
        <f t="shared" ref="N104:T104" si="79">IF(N103&lt;&gt;"",N103/(1+E102),"")</f>
        <v/>
      </c>
      <c r="O104" s="549" t="str">
        <f t="shared" si="79"/>
        <v/>
      </c>
      <c r="P104" s="549" t="str">
        <f t="shared" si="79"/>
        <v/>
      </c>
      <c r="Q104" s="549" t="str">
        <f t="shared" si="79"/>
        <v/>
      </c>
      <c r="R104" s="549" t="str">
        <f t="shared" si="79"/>
        <v/>
      </c>
      <c r="S104" s="549" t="str">
        <f t="shared" si="79"/>
        <v/>
      </c>
      <c r="T104" s="549" t="str">
        <f t="shared" si="79"/>
        <v/>
      </c>
      <c r="U104" s="550"/>
      <c r="V104" s="550"/>
      <c r="W104" s="550"/>
      <c r="X104" s="550"/>
      <c r="Y104" s="550"/>
      <c r="Z104" s="550"/>
      <c r="AA104" s="550"/>
      <c r="AB104" s="551">
        <f>MAX(AB$5:AB103)+1</f>
        <v>10</v>
      </c>
      <c r="AC104" s="552" t="str">
        <f>""</f>
        <v/>
      </c>
      <c r="AD104" s="552" t="str">
        <f>""</f>
        <v/>
      </c>
      <c r="AE104" s="552" t="str">
        <f>""</f>
        <v/>
      </c>
      <c r="AF104" s="558" t="str">
        <f>""</f>
        <v/>
      </c>
      <c r="AG104" s="553" t="str">
        <f>""</f>
        <v/>
      </c>
      <c r="AH104" s="553" t="str">
        <f>""</f>
        <v/>
      </c>
      <c r="AI104" s="553" t="str">
        <f>""</f>
        <v/>
      </c>
      <c r="AJ104" s="554" t="str">
        <f>""</f>
        <v/>
      </c>
      <c r="AK104" s="555" t="str">
        <f>""</f>
        <v/>
      </c>
    </row>
    <row r="105" spans="1:37" s="56" customFormat="1" ht="15" customHeight="1" x14ac:dyDescent="0.3">
      <c r="A105" s="1954">
        <f>A95+1</f>
        <v>11</v>
      </c>
      <c r="B105" s="1957" t="s">
        <v>309</v>
      </c>
      <c r="C105" s="1958"/>
      <c r="D105" s="648" t="s">
        <v>34</v>
      </c>
      <c r="E105" s="649"/>
      <c r="F105" s="649"/>
      <c r="G105" s="649"/>
      <c r="H105" s="649"/>
      <c r="I105" s="649"/>
      <c r="J105" s="649"/>
      <c r="K105" s="649"/>
      <c r="L105" s="650" t="str">
        <f>IF(E105&lt;&gt;"",MAX(L$5:L104)+1,"")</f>
        <v/>
      </c>
      <c r="M105" s="1959" t="s">
        <v>25</v>
      </c>
      <c r="N105" s="539" t="str">
        <f t="shared" ref="N105:T105" si="80">IF(E105&lt;&gt;"",E105,"")</f>
        <v/>
      </c>
      <c r="O105" s="539" t="str">
        <f t="shared" si="80"/>
        <v/>
      </c>
      <c r="P105" s="539" t="str">
        <f t="shared" si="80"/>
        <v/>
      </c>
      <c r="Q105" s="539" t="str">
        <f t="shared" si="80"/>
        <v/>
      </c>
      <c r="R105" s="539" t="str">
        <f t="shared" si="80"/>
        <v/>
      </c>
      <c r="S105" s="539" t="str">
        <f t="shared" si="80"/>
        <v/>
      </c>
      <c r="T105" s="539" t="str">
        <f t="shared" si="80"/>
        <v/>
      </c>
      <c r="U105" s="540" t="str">
        <f t="shared" ref="U105:AA105" si="81">IF(N114&lt;&gt;"",N114/E113*1000,"")</f>
        <v/>
      </c>
      <c r="V105" s="540" t="str">
        <f t="shared" si="81"/>
        <v/>
      </c>
      <c r="W105" s="540" t="str">
        <f t="shared" si="81"/>
        <v/>
      </c>
      <c r="X105" s="540" t="str">
        <f t="shared" si="81"/>
        <v/>
      </c>
      <c r="Y105" s="540" t="str">
        <f t="shared" si="81"/>
        <v/>
      </c>
      <c r="Z105" s="540" t="str">
        <f t="shared" si="81"/>
        <v/>
      </c>
      <c r="AA105" s="540" t="str">
        <f t="shared" si="81"/>
        <v/>
      </c>
      <c r="AB105" s="539" t="str">
        <f>IF(L105&lt;&gt;"",L105,"")</f>
        <v/>
      </c>
      <c r="AC105" s="541" t="str">
        <f>IF(C106&lt;&gt;"",CONCATENATE(C106," a ",C107),"")</f>
        <v/>
      </c>
      <c r="AD105" s="542" t="str">
        <f>IF(C109&lt;&gt;"",C109,"")</f>
        <v/>
      </c>
      <c r="AE105" s="543" t="str">
        <f>IF(E106&lt;&gt;"",E106,"")</f>
        <v/>
      </c>
      <c r="AF105" s="557" t="str">
        <f>IF(E107&lt;&gt;"",E107,"")</f>
        <v/>
      </c>
      <c r="AG105" s="544" t="str">
        <f>IF(N105&lt;&gt;"",N105,"")</f>
        <v/>
      </c>
      <c r="AH105" s="545" t="str">
        <f>IF(E112&lt;&gt;"",E112*100,"")</f>
        <v/>
      </c>
      <c r="AI105" s="546" t="str">
        <f>IF(N114&lt;&gt;"",N114,"")</f>
        <v/>
      </c>
      <c r="AJ105" s="547" t="str">
        <f>IF(AH105="","",((AH105/100)-E114)*100)</f>
        <v/>
      </c>
      <c r="AK105" s="548" t="str">
        <f>IF(U105&lt;&gt;"",U105*100,"")</f>
        <v/>
      </c>
    </row>
    <row r="106" spans="1:37" s="57" customFormat="1" ht="15" customHeight="1" x14ac:dyDescent="0.3">
      <c r="A106" s="1955"/>
      <c r="B106" s="869" t="s">
        <v>310</v>
      </c>
      <c r="C106" s="666"/>
      <c r="D106" s="870" t="s">
        <v>156</v>
      </c>
      <c r="E106" s="871"/>
      <c r="F106" s="871"/>
      <c r="G106" s="871"/>
      <c r="H106" s="871"/>
      <c r="I106" s="871"/>
      <c r="J106" s="871"/>
      <c r="K106" s="871"/>
      <c r="L106" s="651" t="str">
        <f>IF(F105&lt;&gt;"",MAX(L$5:L105)+1,"")</f>
        <v/>
      </c>
      <c r="M106" s="1960"/>
      <c r="N106" s="872" t="str">
        <f>IF(E108&lt;&gt;"",LOOKUP(E108,Tara!$L$5:$L$21,Tara!$M$5:$M$21),"")</f>
        <v/>
      </c>
      <c r="O106" s="872" t="str">
        <f>IF(F108&lt;&gt;"",LOOKUP(F108,Tara!$L$5:$L$21,Tara!$M$5:$M$21),"")</f>
        <v/>
      </c>
      <c r="P106" s="872" t="str">
        <f>IF(G108&lt;&gt;"",LOOKUP(G108,Tara!$L$5:$L$21,Tara!$M$5:$M$21),"")</f>
        <v/>
      </c>
      <c r="Q106" s="872" t="str">
        <f>IF(H108&lt;&gt;"",LOOKUP(H108,Tara!$L$5:$L$21,Tara!$M$5:$M$21),"")</f>
        <v/>
      </c>
      <c r="R106" s="872" t="str">
        <f>IF(I108&lt;&gt;"",LOOKUP(I108,Tara!$L$5:$L$21,Tara!$M$5:$M$21),"")</f>
        <v/>
      </c>
      <c r="S106" s="872" t="str">
        <f>IF(J108&lt;&gt;"",LOOKUP(J108,Tara!$L$5:$L$21,Tara!$M$5:$M$21),"")</f>
        <v/>
      </c>
      <c r="T106" s="872" t="str">
        <f>IF(K108&lt;&gt;"",LOOKUP(K108,Tara!$L$5:$L$21,Tara!$M$5:$M$21),"")</f>
        <v/>
      </c>
      <c r="U106" s="872"/>
      <c r="V106" s="872"/>
      <c r="W106" s="872"/>
      <c r="X106" s="872"/>
      <c r="Y106" s="872"/>
      <c r="Z106" s="872"/>
      <c r="AA106" s="872"/>
      <c r="AB106" s="872" t="str">
        <f t="shared" ref="AB106:AB111" si="82">IF(L106&lt;&gt;"",L106,"")</f>
        <v/>
      </c>
      <c r="AC106" s="873" t="str">
        <f>""</f>
        <v/>
      </c>
      <c r="AD106" s="873" t="str">
        <f>""</f>
        <v/>
      </c>
      <c r="AE106" s="873" t="str">
        <f>IF(F106&lt;&gt;"",F106,"")</f>
        <v/>
      </c>
      <c r="AF106" s="874" t="str">
        <f>IF(E107&lt;&gt;"",F107,"")</f>
        <v/>
      </c>
      <c r="AG106" s="875" t="str">
        <f>IF(O105&lt;&gt;"",O105,"")</f>
        <v/>
      </c>
      <c r="AH106" s="896" t="str">
        <f>IF(F112&lt;&gt;"",F112*100,"")</f>
        <v/>
      </c>
      <c r="AI106" s="897" t="str">
        <f>IF(O114&lt;&gt;"",O114,"")</f>
        <v/>
      </c>
      <c r="AJ106" s="880" t="str">
        <f>IF(AH106="","",((AH106/100)-F114)*100)</f>
        <v/>
      </c>
      <c r="AK106" s="1267" t="str">
        <f>IF(V105&lt;&gt;"",V105*100,"")</f>
        <v/>
      </c>
    </row>
    <row r="107" spans="1:37" s="56" customFormat="1" ht="15" customHeight="1" x14ac:dyDescent="0.3">
      <c r="A107" s="1955"/>
      <c r="B107" s="869" t="s">
        <v>311</v>
      </c>
      <c r="C107" s="666"/>
      <c r="D107" s="870" t="s">
        <v>312</v>
      </c>
      <c r="E107" s="878"/>
      <c r="F107" s="878"/>
      <c r="G107" s="878"/>
      <c r="H107" s="878"/>
      <c r="I107" s="878"/>
      <c r="J107" s="878"/>
      <c r="K107" s="1268"/>
      <c r="L107" s="651" t="str">
        <f>IF(G105&lt;&gt;"",MAX(L$5:L106)+1,"")</f>
        <v/>
      </c>
      <c r="M107" s="1960"/>
      <c r="N107" s="872" t="str">
        <f t="shared" ref="N107:T107" si="83">IF(N106&lt;&gt;"",N106-E109,"")</f>
        <v/>
      </c>
      <c r="O107" s="872" t="str">
        <f t="shared" si="83"/>
        <v/>
      </c>
      <c r="P107" s="872" t="str">
        <f t="shared" si="83"/>
        <v/>
      </c>
      <c r="Q107" s="872" t="str">
        <f t="shared" si="83"/>
        <v/>
      </c>
      <c r="R107" s="872" t="str">
        <f t="shared" si="83"/>
        <v/>
      </c>
      <c r="S107" s="872" t="str">
        <f t="shared" si="83"/>
        <v/>
      </c>
      <c r="T107" s="872" t="str">
        <f t="shared" si="83"/>
        <v/>
      </c>
      <c r="U107" s="879"/>
      <c r="V107" s="879"/>
      <c r="W107" s="879"/>
      <c r="X107" s="879"/>
      <c r="Y107" s="879"/>
      <c r="Z107" s="879"/>
      <c r="AA107" s="879"/>
      <c r="AB107" s="872" t="str">
        <f t="shared" si="82"/>
        <v/>
      </c>
      <c r="AC107" s="873" t="str">
        <f>""</f>
        <v/>
      </c>
      <c r="AD107" s="873" t="str">
        <f>""</f>
        <v/>
      </c>
      <c r="AE107" s="873" t="str">
        <f>IF(G106&lt;&gt;"",G106,"")</f>
        <v/>
      </c>
      <c r="AF107" s="874" t="str">
        <f>IF(G107&lt;&gt;"",G107,"")</f>
        <v/>
      </c>
      <c r="AG107" s="875" t="str">
        <f>IF(P105&lt;&gt;"",P105,"")</f>
        <v/>
      </c>
      <c r="AH107" s="896" t="str">
        <f>IF(G112&lt;&gt;"",G112*100,"")</f>
        <v/>
      </c>
      <c r="AI107" s="897" t="str">
        <f>IF(P114&lt;&gt;"",P114,"")</f>
        <v/>
      </c>
      <c r="AJ107" s="880" t="str">
        <f>IF(AH107="","",((AH107/100)-G114)*100)</f>
        <v/>
      </c>
      <c r="AK107" s="1267" t="str">
        <f>IF(W105&lt;&gt;"",W105*100,"")</f>
        <v/>
      </c>
    </row>
    <row r="108" spans="1:37" s="56" customFormat="1" ht="15" customHeight="1" x14ac:dyDescent="0.3">
      <c r="A108" s="1955"/>
      <c r="B108" s="869" t="s">
        <v>313</v>
      </c>
      <c r="C108" s="666"/>
      <c r="D108" s="870" t="s">
        <v>314</v>
      </c>
      <c r="E108" s="750"/>
      <c r="F108" s="750"/>
      <c r="G108" s="750"/>
      <c r="H108" s="750"/>
      <c r="I108" s="750"/>
      <c r="J108" s="750"/>
      <c r="K108" s="750"/>
      <c r="L108" s="651" t="str">
        <f>IF(H105&lt;&gt;"",MAX(L$5:L107)+1,"")</f>
        <v/>
      </c>
      <c r="M108" s="1960"/>
      <c r="N108" s="872" t="str">
        <f>IF(E108&lt;&gt;"",LOOKUP(E108,Tara!$L$5:$L$21,Tara!$N$5:$N$21),"")</f>
        <v/>
      </c>
      <c r="O108" s="872" t="str">
        <f>IF(F108&lt;&gt;"",LOOKUP(F108,Tara!$L$5:$L$21,Tara!$N$5:$N$21),"")</f>
        <v/>
      </c>
      <c r="P108" s="872" t="str">
        <f>IF(G108&lt;&gt;"",LOOKUP(G108,Tara!$L$5:$L$21,Tara!$N$5:$N$21),"")</f>
        <v/>
      </c>
      <c r="Q108" s="872" t="str">
        <f>IF(H108&lt;&gt;"",LOOKUP(H108,Tara!$L$5:$L$21,Tara!$N$5:$N$21),"")</f>
        <v/>
      </c>
      <c r="R108" s="872" t="str">
        <f>IF(I108&lt;&gt;"",LOOKUP(I108,Tara!$L$5:$L$21,Tara!$N$5:$N$21),"")</f>
        <v/>
      </c>
      <c r="S108" s="872" t="str">
        <f>IF(J108&lt;&gt;"",LOOKUP(J108,Tara!$L$5:$L$21,Tara!$N$5:$N$21),"")</f>
        <v/>
      </c>
      <c r="T108" s="872" t="str">
        <f>IF(K108&lt;&gt;"",LOOKUP(K108,Tara!$L$5:$L$21,Tara!$N$5:$N$21),"")</f>
        <v/>
      </c>
      <c r="U108" s="881"/>
      <c r="V108" s="881"/>
      <c r="W108" s="881"/>
      <c r="X108" s="881"/>
      <c r="Y108" s="881"/>
      <c r="Z108" s="881"/>
      <c r="AA108" s="881"/>
      <c r="AB108" s="872" t="str">
        <f t="shared" si="82"/>
        <v/>
      </c>
      <c r="AC108" s="873" t="str">
        <f>""</f>
        <v/>
      </c>
      <c r="AD108" s="873" t="str">
        <f>""</f>
        <v/>
      </c>
      <c r="AE108" s="873" t="str">
        <f>IF(H106&lt;&gt;"",H106,"")</f>
        <v/>
      </c>
      <c r="AF108" s="874" t="str">
        <f>IF(H107&lt;&gt;"",H107,"")</f>
        <v/>
      </c>
      <c r="AG108" s="875" t="str">
        <f>IF(Q105&lt;&gt;"",Q105,"")</f>
        <v/>
      </c>
      <c r="AH108" s="896" t="str">
        <f>IF(H112&lt;&gt;"",H112*100,"")</f>
        <v/>
      </c>
      <c r="AI108" s="897" t="str">
        <f>IF(Q114&lt;&gt;"",Q114,"")</f>
        <v/>
      </c>
      <c r="AJ108" s="880" t="str">
        <f>IF(AH108="","",((AH108/100)-H114)*100)</f>
        <v/>
      </c>
      <c r="AK108" s="1267" t="str">
        <f>IF(X105&lt;&gt;"",X105*100,"")</f>
        <v/>
      </c>
    </row>
    <row r="109" spans="1:37" s="56" customFormat="1" ht="15" customHeight="1" x14ac:dyDescent="0.3">
      <c r="A109" s="1955"/>
      <c r="B109" s="882" t="s">
        <v>57</v>
      </c>
      <c r="C109" s="688"/>
      <c r="D109" s="870" t="s">
        <v>315</v>
      </c>
      <c r="E109" s="871"/>
      <c r="F109" s="871"/>
      <c r="G109" s="871"/>
      <c r="H109" s="871"/>
      <c r="I109" s="871"/>
      <c r="J109" s="871"/>
      <c r="K109" s="871"/>
      <c r="L109" s="651" t="str">
        <f>IF(I105&lt;&gt;"",MAX(L$5:L108)+1,"")</f>
        <v/>
      </c>
      <c r="M109" s="1960"/>
      <c r="N109" s="872" t="str">
        <f t="shared" ref="N109:T109" si="84">IF(N107&lt;&gt;"",N107-N108,"")</f>
        <v/>
      </c>
      <c r="O109" s="872" t="str">
        <f t="shared" si="84"/>
        <v/>
      </c>
      <c r="P109" s="872" t="str">
        <f t="shared" si="84"/>
        <v/>
      </c>
      <c r="Q109" s="872" t="str">
        <f t="shared" si="84"/>
        <v/>
      </c>
      <c r="R109" s="872" t="str">
        <f t="shared" si="84"/>
        <v/>
      </c>
      <c r="S109" s="872" t="str">
        <f t="shared" si="84"/>
        <v/>
      </c>
      <c r="T109" s="872" t="str">
        <f t="shared" si="84"/>
        <v/>
      </c>
      <c r="U109" s="881"/>
      <c r="V109" s="881"/>
      <c r="W109" s="881"/>
      <c r="X109" s="881"/>
      <c r="Y109" s="881"/>
      <c r="Z109" s="881"/>
      <c r="AA109" s="881"/>
      <c r="AB109" s="872" t="str">
        <f t="shared" si="82"/>
        <v/>
      </c>
      <c r="AC109" s="873" t="str">
        <f>""</f>
        <v/>
      </c>
      <c r="AD109" s="873" t="str">
        <f>""</f>
        <v/>
      </c>
      <c r="AE109" s="873" t="str">
        <f>IF(I106&lt;&gt;"",I106,"")</f>
        <v/>
      </c>
      <c r="AF109" s="874" t="str">
        <f>IF(I107&lt;&gt;"",I107,"")</f>
        <v/>
      </c>
      <c r="AG109" s="875" t="str">
        <f>IF(R105&lt;&gt;"",R105,"")</f>
        <v/>
      </c>
      <c r="AH109" s="896" t="str">
        <f>IF(I112&lt;&gt;"",I112*100,"")</f>
        <v/>
      </c>
      <c r="AI109" s="897" t="str">
        <f>IF(R114&lt;&gt;"",R114,"")</f>
        <v/>
      </c>
      <c r="AJ109" s="880" t="str">
        <f>IF(AH109="","",((AH109/100)-I114)*100)</f>
        <v/>
      </c>
      <c r="AK109" s="1267" t="str">
        <f>IF(Y105&lt;&gt;"",Y105*100,"")</f>
        <v/>
      </c>
    </row>
    <row r="110" spans="1:37" s="316" customFormat="1" ht="15" customHeight="1" x14ac:dyDescent="0.3">
      <c r="A110" s="1955"/>
      <c r="B110" s="882" t="s">
        <v>316</v>
      </c>
      <c r="C110" s="666"/>
      <c r="D110" s="883" t="s">
        <v>317</v>
      </c>
      <c r="E110" s="750"/>
      <c r="F110" s="750"/>
      <c r="G110" s="750"/>
      <c r="H110" s="750"/>
      <c r="I110" s="750"/>
      <c r="J110" s="750"/>
      <c r="K110" s="750"/>
      <c r="L110" s="651" t="str">
        <f>IF(J105&lt;&gt;"",MAX(L$5:L109)+1,"")</f>
        <v/>
      </c>
      <c r="M110" s="1960"/>
      <c r="N110" s="872" t="str">
        <f>IF(E108&lt;&gt;"",LOOKUP(E108,Tara!$L$5:$L$21,Tara!$O$5:$O$21),"")</f>
        <v/>
      </c>
      <c r="O110" s="872" t="str">
        <f>IF(F108&lt;&gt;"",LOOKUP(F108,Tara!$L$5:$L$21,Tara!$O$5:$O$21),"")</f>
        <v/>
      </c>
      <c r="P110" s="872" t="str">
        <f>IF(G108&lt;&gt;"",LOOKUP(G108,Tara!$L$5:$L$21,Tara!$O$5:$O$21),"")</f>
        <v/>
      </c>
      <c r="Q110" s="872" t="str">
        <f>IF(H108&lt;&gt;"",LOOKUP(H108,Tara!$L$5:$L$21,Tara!$O$5:$O$21),"")</f>
        <v/>
      </c>
      <c r="R110" s="872" t="str">
        <f>IF(I108&lt;&gt;"",LOOKUP(I108,Tara!$L$5:$L$21,Tara!$O$5:$O$21),"")</f>
        <v/>
      </c>
      <c r="S110" s="872" t="str">
        <f>IF(J108&lt;&gt;"",LOOKUP(J108,Tara!$L$5:$L$21,Tara!$O$5:$O$21),"")</f>
        <v/>
      </c>
      <c r="T110" s="872" t="str">
        <f>IF(K108&lt;&gt;"",LOOKUP(K108,Tara!$L$5:$L$21,Tara!$O$5:$O$21),"")</f>
        <v/>
      </c>
      <c r="U110" s="884"/>
      <c r="V110" s="884"/>
      <c r="W110" s="884"/>
      <c r="X110" s="884"/>
      <c r="Y110" s="884"/>
      <c r="Z110" s="884"/>
      <c r="AA110" s="884"/>
      <c r="AB110" s="872" t="str">
        <f t="shared" si="82"/>
        <v/>
      </c>
      <c r="AC110" s="873" t="str">
        <f>""</f>
        <v/>
      </c>
      <c r="AD110" s="873" t="str">
        <f>""</f>
        <v/>
      </c>
      <c r="AE110" s="873" t="str">
        <f>IF(J106&lt;&gt;"",J106,"")</f>
        <v/>
      </c>
      <c r="AF110" s="874" t="str">
        <f>IF(J107&lt;&gt;"",J107,"")</f>
        <v/>
      </c>
      <c r="AG110" s="875" t="str">
        <f>IF(S105&lt;&gt;"",S105,"")</f>
        <v/>
      </c>
      <c r="AH110" s="896" t="str">
        <f>IF(J112&lt;&gt;"",J112*100,"")</f>
        <v/>
      </c>
      <c r="AI110" s="897" t="str">
        <f>IF(S114&lt;&gt;"",S114,"")</f>
        <v/>
      </c>
      <c r="AJ110" s="880" t="str">
        <f>IF(AH110="","",((AH110/100)-J114)*100)</f>
        <v/>
      </c>
      <c r="AK110" s="1267" t="str">
        <f>IF(Z105&lt;&gt;"",Z105*100,"")</f>
        <v/>
      </c>
    </row>
    <row r="111" spans="1:37" s="316" customFormat="1" ht="15" customHeight="1" x14ac:dyDescent="0.3">
      <c r="A111" s="1955"/>
      <c r="B111" s="885" t="s">
        <v>318</v>
      </c>
      <c r="C111" s="886"/>
      <c r="D111" s="870" t="s">
        <v>319</v>
      </c>
      <c r="E111" s="750"/>
      <c r="F111" s="750"/>
      <c r="G111" s="750"/>
      <c r="H111" s="750"/>
      <c r="I111" s="750"/>
      <c r="J111" s="750"/>
      <c r="K111" s="750"/>
      <c r="L111" s="651" t="str">
        <f>IF(K105&lt;&gt;"",MAX(L$5:L110)+1,"")</f>
        <v/>
      </c>
      <c r="M111" s="1960"/>
      <c r="N111" s="887" t="str">
        <f>IF(N109&lt;&gt;"",N109/N110,"")</f>
        <v/>
      </c>
      <c r="O111" s="887" t="str">
        <f t="shared" ref="O111:T111" si="85">IF(O109&lt;&gt;"",O109/O110,"")</f>
        <v/>
      </c>
      <c r="P111" s="887" t="str">
        <f t="shared" si="85"/>
        <v/>
      </c>
      <c r="Q111" s="887" t="str">
        <f t="shared" si="85"/>
        <v/>
      </c>
      <c r="R111" s="887" t="str">
        <f t="shared" si="85"/>
        <v/>
      </c>
      <c r="S111" s="887" t="str">
        <f t="shared" si="85"/>
        <v/>
      </c>
      <c r="T111" s="887" t="str">
        <f t="shared" si="85"/>
        <v/>
      </c>
      <c r="U111" s="884"/>
      <c r="V111" s="884"/>
      <c r="W111" s="884"/>
      <c r="X111" s="884"/>
      <c r="Y111" s="884"/>
      <c r="Z111" s="884"/>
      <c r="AA111" s="884"/>
      <c r="AB111" s="872" t="str">
        <f t="shared" si="82"/>
        <v/>
      </c>
      <c r="AC111" s="873" t="str">
        <f>""</f>
        <v/>
      </c>
      <c r="AD111" s="873" t="str">
        <f>""</f>
        <v/>
      </c>
      <c r="AE111" s="873" t="str">
        <f>IF(K106&lt;&gt;"",K106,"")</f>
        <v/>
      </c>
      <c r="AF111" s="874" t="str">
        <f>IF(K107&lt;&gt;"",K107,"")</f>
        <v/>
      </c>
      <c r="AG111" s="875" t="str">
        <f>IF(T105&lt;&gt;"",T105,"")</f>
        <v/>
      </c>
      <c r="AH111" s="896" t="str">
        <f>IF(K112&lt;&gt;"",K112*100,"")</f>
        <v/>
      </c>
      <c r="AI111" s="897" t="str">
        <f>IF(T114&lt;&gt;"",T114,"")</f>
        <v/>
      </c>
      <c r="AJ111" s="880" t="str">
        <f>IF(AH111="","",((AH111/100)-K114)*100)</f>
        <v/>
      </c>
      <c r="AK111" s="1267" t="str">
        <f>IF(AA105&lt;&gt;"",AA105*100,"")</f>
        <v/>
      </c>
    </row>
    <row r="112" spans="1:37" s="316" customFormat="1" ht="15" customHeight="1" x14ac:dyDescent="0.3">
      <c r="A112" s="1955"/>
      <c r="B112" s="652"/>
      <c r="C112" s="653"/>
      <c r="D112" s="870" t="s">
        <v>320</v>
      </c>
      <c r="E112" s="888"/>
      <c r="F112" s="888"/>
      <c r="G112" s="888"/>
      <c r="H112" s="888"/>
      <c r="I112" s="888"/>
      <c r="J112" s="888"/>
      <c r="K112" s="888"/>
      <c r="L112" s="651"/>
      <c r="M112" s="1960"/>
      <c r="N112" s="889" t="str">
        <f>IF(E110&lt;&gt;"",LOOKUP(E110,Tara!$P$5:$P$21,Tara!$Q$5:$Q$21),"")</f>
        <v/>
      </c>
      <c r="O112" s="889" t="str">
        <f>IF(F110&lt;&gt;"",LOOKUP(F110,Tara!$P$5:$P$21,Tara!$Q$5:$Q$21),"")</f>
        <v/>
      </c>
      <c r="P112" s="889" t="str">
        <f>IF(G110&lt;&gt;"",LOOKUP(G110,Tara!$P$5:$P$21,Tara!$Q$5:$Q$21),"")</f>
        <v/>
      </c>
      <c r="Q112" s="889" t="str">
        <f>IF(H110&lt;&gt;"",LOOKUP(H110,Tara!$P$5:$P$21,Tara!$Q$5:$Q$21),"")</f>
        <v/>
      </c>
      <c r="R112" s="889" t="str">
        <f>IF(I110&lt;&gt;"",LOOKUP(I110,Tara!$P$5:$P$21,Tara!$Q$5:$Q$21),"")</f>
        <v/>
      </c>
      <c r="S112" s="889" t="str">
        <f>IF(J110&lt;&gt;"",LOOKUP(J110,Tara!$P$5:$P$21,Tara!$Q$5:$Q$21),"")</f>
        <v/>
      </c>
      <c r="T112" s="889" t="str">
        <f>IF(K110&lt;&gt;"",LOOKUP(K110,Tara!$P$5:$P$21,Tara!$Q$5:$Q$21),"")</f>
        <v/>
      </c>
      <c r="U112" s="884"/>
      <c r="V112" s="884"/>
      <c r="W112" s="884"/>
      <c r="X112" s="884"/>
      <c r="Y112" s="884"/>
      <c r="Z112" s="884"/>
      <c r="AA112" s="884"/>
      <c r="AB112" s="872" t="str">
        <f>""</f>
        <v/>
      </c>
      <c r="AC112" s="873" t="str">
        <f>""</f>
        <v/>
      </c>
      <c r="AD112" s="873" t="str">
        <f>""</f>
        <v/>
      </c>
      <c r="AE112" s="873" t="str">
        <f>""</f>
        <v/>
      </c>
      <c r="AF112" s="874" t="str">
        <f>""</f>
        <v/>
      </c>
      <c r="AG112" s="875" t="str">
        <f>""</f>
        <v/>
      </c>
      <c r="AH112" s="875" t="str">
        <f>""</f>
        <v/>
      </c>
      <c r="AI112" s="875" t="str">
        <f>""</f>
        <v/>
      </c>
      <c r="AJ112" s="890" t="str">
        <f>""</f>
        <v/>
      </c>
      <c r="AK112" s="1267" t="str">
        <f>""</f>
        <v/>
      </c>
    </row>
    <row r="113" spans="1:37" s="316" customFormat="1" ht="15" customHeight="1" x14ac:dyDescent="0.3">
      <c r="A113" s="1955"/>
      <c r="B113" s="654"/>
      <c r="C113" s="655"/>
      <c r="D113" s="891" t="s">
        <v>321</v>
      </c>
      <c r="E113" s="750"/>
      <c r="F113" s="750"/>
      <c r="G113" s="750"/>
      <c r="H113" s="750"/>
      <c r="I113" s="750"/>
      <c r="J113" s="750"/>
      <c r="K113" s="750"/>
      <c r="L113" s="651"/>
      <c r="M113" s="1960"/>
      <c r="N113" s="892" t="str">
        <f t="shared" ref="N113:T113" si="86">IF(E111&lt;&gt;"",(E111-N112)/N111,"")</f>
        <v/>
      </c>
      <c r="O113" s="892" t="str">
        <f t="shared" si="86"/>
        <v/>
      </c>
      <c r="P113" s="892" t="str">
        <f t="shared" si="86"/>
        <v/>
      </c>
      <c r="Q113" s="892" t="str">
        <f t="shared" si="86"/>
        <v/>
      </c>
      <c r="R113" s="892" t="str">
        <f t="shared" si="86"/>
        <v/>
      </c>
      <c r="S113" s="892" t="str">
        <f t="shared" si="86"/>
        <v/>
      </c>
      <c r="T113" s="892" t="str">
        <f t="shared" si="86"/>
        <v/>
      </c>
      <c r="U113" s="884"/>
      <c r="V113" s="884"/>
      <c r="W113" s="884"/>
      <c r="X113" s="884"/>
      <c r="Y113" s="884"/>
      <c r="Z113" s="884"/>
      <c r="AA113" s="884"/>
      <c r="AB113" s="872" t="str">
        <f>""</f>
        <v/>
      </c>
      <c r="AC113" s="873" t="str">
        <f>""</f>
        <v/>
      </c>
      <c r="AD113" s="873" t="str">
        <f>""</f>
        <v/>
      </c>
      <c r="AE113" s="873" t="str">
        <f>""</f>
        <v/>
      </c>
      <c r="AF113" s="874" t="str">
        <f>""</f>
        <v/>
      </c>
      <c r="AG113" s="893" t="str">
        <f>""</f>
        <v/>
      </c>
      <c r="AH113" s="893" t="str">
        <f>""</f>
        <v/>
      </c>
      <c r="AI113" s="893" t="str">
        <f>""</f>
        <v/>
      </c>
      <c r="AJ113" s="895" t="str">
        <f>""</f>
        <v/>
      </c>
      <c r="AK113" s="1269" t="str">
        <f>""</f>
        <v/>
      </c>
    </row>
    <row r="114" spans="1:37" s="316" customFormat="1" ht="15" customHeight="1" thickBot="1" x14ac:dyDescent="0.35">
      <c r="A114" s="1956"/>
      <c r="B114" s="656"/>
      <c r="C114" s="657"/>
      <c r="D114" s="658" t="s">
        <v>99</v>
      </c>
      <c r="E114" s="556"/>
      <c r="F114" s="556"/>
      <c r="G114" s="556"/>
      <c r="H114" s="556"/>
      <c r="I114" s="556"/>
      <c r="J114" s="556"/>
      <c r="K114" s="556"/>
      <c r="L114" s="659"/>
      <c r="M114" s="1961"/>
      <c r="N114" s="549" t="str">
        <f t="shared" ref="N114:T114" si="87">IF(N113&lt;&gt;"",N113/(1+E112),"")</f>
        <v/>
      </c>
      <c r="O114" s="549" t="str">
        <f t="shared" si="87"/>
        <v/>
      </c>
      <c r="P114" s="549" t="str">
        <f t="shared" si="87"/>
        <v/>
      </c>
      <c r="Q114" s="549" t="str">
        <f t="shared" si="87"/>
        <v/>
      </c>
      <c r="R114" s="549" t="str">
        <f t="shared" si="87"/>
        <v/>
      </c>
      <c r="S114" s="549" t="str">
        <f t="shared" si="87"/>
        <v/>
      </c>
      <c r="T114" s="549" t="str">
        <f t="shared" si="87"/>
        <v/>
      </c>
      <c r="U114" s="550"/>
      <c r="V114" s="550"/>
      <c r="W114" s="550"/>
      <c r="X114" s="550"/>
      <c r="Y114" s="550"/>
      <c r="Z114" s="550"/>
      <c r="AA114" s="550"/>
      <c r="AB114" s="551">
        <f>MAX(AB$5:AB113)+1</f>
        <v>11</v>
      </c>
      <c r="AC114" s="552" t="str">
        <f>""</f>
        <v/>
      </c>
      <c r="AD114" s="552" t="str">
        <f>""</f>
        <v/>
      </c>
      <c r="AE114" s="552" t="str">
        <f>""</f>
        <v/>
      </c>
      <c r="AF114" s="558" t="str">
        <f>""</f>
        <v/>
      </c>
      <c r="AG114" s="553" t="str">
        <f>""</f>
        <v/>
      </c>
      <c r="AH114" s="553" t="str">
        <f>""</f>
        <v/>
      </c>
      <c r="AI114" s="553" t="str">
        <f>""</f>
        <v/>
      </c>
      <c r="AJ114" s="554" t="str">
        <f>""</f>
        <v/>
      </c>
      <c r="AK114" s="555" t="str">
        <f>""</f>
        <v/>
      </c>
    </row>
    <row r="115" spans="1:37" s="56" customFormat="1" ht="15" customHeight="1" x14ac:dyDescent="0.3">
      <c r="A115" s="1954">
        <f>A105+1</f>
        <v>12</v>
      </c>
      <c r="B115" s="1957" t="s">
        <v>309</v>
      </c>
      <c r="C115" s="1958"/>
      <c r="D115" s="648" t="s">
        <v>34</v>
      </c>
      <c r="E115" s="649"/>
      <c r="F115" s="649"/>
      <c r="G115" s="649"/>
      <c r="H115" s="649"/>
      <c r="I115" s="649"/>
      <c r="J115" s="649"/>
      <c r="K115" s="649"/>
      <c r="L115" s="650" t="str">
        <f>IF(E115&lt;&gt;"",MAX(L$5:L114)+1,"")</f>
        <v/>
      </c>
      <c r="M115" s="1959" t="s">
        <v>25</v>
      </c>
      <c r="N115" s="539" t="str">
        <f t="shared" ref="N115:T115" si="88">IF(E115&lt;&gt;"",E115,"")</f>
        <v/>
      </c>
      <c r="O115" s="539" t="str">
        <f t="shared" si="88"/>
        <v/>
      </c>
      <c r="P115" s="539" t="str">
        <f t="shared" si="88"/>
        <v/>
      </c>
      <c r="Q115" s="539" t="str">
        <f t="shared" si="88"/>
        <v/>
      </c>
      <c r="R115" s="539" t="str">
        <f t="shared" si="88"/>
        <v/>
      </c>
      <c r="S115" s="539" t="str">
        <f t="shared" si="88"/>
        <v/>
      </c>
      <c r="T115" s="539" t="str">
        <f t="shared" si="88"/>
        <v/>
      </c>
      <c r="U115" s="540" t="str">
        <f t="shared" ref="U115:AA115" si="89">IF(N124&lt;&gt;"",N124/E123*1000,"")</f>
        <v/>
      </c>
      <c r="V115" s="540" t="str">
        <f t="shared" si="89"/>
        <v/>
      </c>
      <c r="W115" s="540" t="str">
        <f t="shared" si="89"/>
        <v/>
      </c>
      <c r="X115" s="540" t="str">
        <f t="shared" si="89"/>
        <v/>
      </c>
      <c r="Y115" s="540" t="str">
        <f t="shared" si="89"/>
        <v/>
      </c>
      <c r="Z115" s="540" t="str">
        <f t="shared" si="89"/>
        <v/>
      </c>
      <c r="AA115" s="540" t="str">
        <f t="shared" si="89"/>
        <v/>
      </c>
      <c r="AB115" s="539" t="str">
        <f>IF(L115&lt;&gt;"",L115,"")</f>
        <v/>
      </c>
      <c r="AC115" s="541" t="str">
        <f>IF(C116&lt;&gt;"",CONCATENATE(C116," a ",C117),"")</f>
        <v/>
      </c>
      <c r="AD115" s="542" t="str">
        <f>IF(C119&lt;&gt;"",C119,"")</f>
        <v/>
      </c>
      <c r="AE115" s="543" t="str">
        <f>IF(E116&lt;&gt;"",E116,"")</f>
        <v/>
      </c>
      <c r="AF115" s="557" t="str">
        <f>IF(E117&lt;&gt;"",E117,"")</f>
        <v/>
      </c>
      <c r="AG115" s="544" t="str">
        <f>IF(N115&lt;&gt;"",N115,"")</f>
        <v/>
      </c>
      <c r="AH115" s="545" t="str">
        <f>IF(E122&lt;&gt;"",E122*100,"")</f>
        <v/>
      </c>
      <c r="AI115" s="546" t="str">
        <f>IF(N124&lt;&gt;"",N124,"")</f>
        <v/>
      </c>
      <c r="AJ115" s="547" t="str">
        <f>IF(AH115="","",((AH115/100)-E124)*100)</f>
        <v/>
      </c>
      <c r="AK115" s="548" t="str">
        <f>IF(U115&lt;&gt;"",U115*100,"")</f>
        <v/>
      </c>
    </row>
    <row r="116" spans="1:37" s="57" customFormat="1" ht="15" customHeight="1" x14ac:dyDescent="0.3">
      <c r="A116" s="1955"/>
      <c r="B116" s="869" t="s">
        <v>310</v>
      </c>
      <c r="C116" s="666"/>
      <c r="D116" s="870" t="s">
        <v>156</v>
      </c>
      <c r="E116" s="871"/>
      <c r="F116" s="871"/>
      <c r="G116" s="871"/>
      <c r="H116" s="871"/>
      <c r="I116" s="871"/>
      <c r="J116" s="871"/>
      <c r="K116" s="871"/>
      <c r="L116" s="651" t="str">
        <f>IF(F115&lt;&gt;"",MAX(L$5:L115)+1,"")</f>
        <v/>
      </c>
      <c r="M116" s="1960"/>
      <c r="N116" s="872" t="str">
        <f>IF(E118&lt;&gt;"",LOOKUP(E118,Tara!$L$5:$L$21,Tara!$M$5:$M$21),"")</f>
        <v/>
      </c>
      <c r="O116" s="872" t="str">
        <f>IF(F118&lt;&gt;"",LOOKUP(F118,Tara!$L$5:$L$21,Tara!$M$5:$M$21),"")</f>
        <v/>
      </c>
      <c r="P116" s="872" t="str">
        <f>IF(G118&lt;&gt;"",LOOKUP(G118,Tara!$L$5:$L$21,Tara!$M$5:$M$21),"")</f>
        <v/>
      </c>
      <c r="Q116" s="872" t="str">
        <f>IF(H118&lt;&gt;"",LOOKUP(H118,Tara!$L$5:$L$21,Tara!$M$5:$M$21),"")</f>
        <v/>
      </c>
      <c r="R116" s="872" t="str">
        <f>IF(I118&lt;&gt;"",LOOKUP(I118,Tara!$L$5:$L$21,Tara!$M$5:$M$21),"")</f>
        <v/>
      </c>
      <c r="S116" s="872" t="str">
        <f>IF(J118&lt;&gt;"",LOOKUP(J118,Tara!$L$5:$L$21,Tara!$M$5:$M$21),"")</f>
        <v/>
      </c>
      <c r="T116" s="872" t="str">
        <f>IF(K118&lt;&gt;"",LOOKUP(K118,Tara!$L$5:$L$21,Tara!$M$5:$M$21),"")</f>
        <v/>
      </c>
      <c r="U116" s="872"/>
      <c r="V116" s="872"/>
      <c r="W116" s="872"/>
      <c r="X116" s="872"/>
      <c r="Y116" s="872"/>
      <c r="Z116" s="872"/>
      <c r="AA116" s="872"/>
      <c r="AB116" s="872" t="str">
        <f t="shared" ref="AB116:AB121" si="90">IF(L116&lt;&gt;"",L116,"")</f>
        <v/>
      </c>
      <c r="AC116" s="873" t="str">
        <f>""</f>
        <v/>
      </c>
      <c r="AD116" s="873" t="str">
        <f>""</f>
        <v/>
      </c>
      <c r="AE116" s="873" t="str">
        <f>IF(F116&lt;&gt;"",F116,"")</f>
        <v/>
      </c>
      <c r="AF116" s="874" t="str">
        <f>IF(E117&lt;&gt;"",F117,"")</f>
        <v/>
      </c>
      <c r="AG116" s="875" t="str">
        <f>IF(O115&lt;&gt;"",O115,"")</f>
        <v/>
      </c>
      <c r="AH116" s="896" t="str">
        <f>IF(F122&lt;&gt;"",F122*100,"")</f>
        <v/>
      </c>
      <c r="AI116" s="897" t="str">
        <f>IF(O124&lt;&gt;"",O124,"")</f>
        <v/>
      </c>
      <c r="AJ116" s="880" t="str">
        <f>IF(AH116="","",((AH116/100)-F124)*100)</f>
        <v/>
      </c>
      <c r="AK116" s="1267" t="str">
        <f>IF(V115&lt;&gt;"",V115*100,"")</f>
        <v/>
      </c>
    </row>
    <row r="117" spans="1:37" s="56" customFormat="1" ht="15" customHeight="1" x14ac:dyDescent="0.3">
      <c r="A117" s="1955"/>
      <c r="B117" s="869" t="s">
        <v>311</v>
      </c>
      <c r="C117" s="666"/>
      <c r="D117" s="870" t="s">
        <v>312</v>
      </c>
      <c r="E117" s="878"/>
      <c r="F117" s="878"/>
      <c r="G117" s="878"/>
      <c r="H117" s="878"/>
      <c r="I117" s="878"/>
      <c r="J117" s="878"/>
      <c r="K117" s="1268"/>
      <c r="L117" s="651" t="str">
        <f>IF(G115&lt;&gt;"",MAX(L$5:L116)+1,"")</f>
        <v/>
      </c>
      <c r="M117" s="1960"/>
      <c r="N117" s="872" t="str">
        <f t="shared" ref="N117:T117" si="91">IF(N116&lt;&gt;"",N116-E119,"")</f>
        <v/>
      </c>
      <c r="O117" s="872" t="str">
        <f t="shared" si="91"/>
        <v/>
      </c>
      <c r="P117" s="872" t="str">
        <f t="shared" si="91"/>
        <v/>
      </c>
      <c r="Q117" s="872" t="str">
        <f t="shared" si="91"/>
        <v/>
      </c>
      <c r="R117" s="872" t="str">
        <f t="shared" si="91"/>
        <v/>
      </c>
      <c r="S117" s="872" t="str">
        <f t="shared" si="91"/>
        <v/>
      </c>
      <c r="T117" s="872" t="str">
        <f t="shared" si="91"/>
        <v/>
      </c>
      <c r="U117" s="879"/>
      <c r="V117" s="879"/>
      <c r="W117" s="879"/>
      <c r="X117" s="879"/>
      <c r="Y117" s="879"/>
      <c r="Z117" s="879"/>
      <c r="AA117" s="879"/>
      <c r="AB117" s="872" t="str">
        <f t="shared" si="90"/>
        <v/>
      </c>
      <c r="AC117" s="873" t="str">
        <f>""</f>
        <v/>
      </c>
      <c r="AD117" s="873" t="str">
        <f>""</f>
        <v/>
      </c>
      <c r="AE117" s="873" t="str">
        <f>IF(G116&lt;&gt;"",G116,"")</f>
        <v/>
      </c>
      <c r="AF117" s="874" t="str">
        <f>IF(G117&lt;&gt;"",G117,"")</f>
        <v/>
      </c>
      <c r="AG117" s="875" t="str">
        <f>IF(P115&lt;&gt;"",P115,"")</f>
        <v/>
      </c>
      <c r="AH117" s="896" t="str">
        <f>IF(G122&lt;&gt;"",G122*100,"")</f>
        <v/>
      </c>
      <c r="AI117" s="897" t="str">
        <f>IF(P124&lt;&gt;"",P124,"")</f>
        <v/>
      </c>
      <c r="AJ117" s="880" t="str">
        <f>IF(AH117="","",((AH117/100)-G124)*100)</f>
        <v/>
      </c>
      <c r="AK117" s="1267" t="str">
        <f>IF(W115&lt;&gt;"",W115*100,"")</f>
        <v/>
      </c>
    </row>
    <row r="118" spans="1:37" s="56" customFormat="1" ht="15" customHeight="1" x14ac:dyDescent="0.3">
      <c r="A118" s="1955"/>
      <c r="B118" s="869" t="s">
        <v>313</v>
      </c>
      <c r="C118" s="666"/>
      <c r="D118" s="870" t="s">
        <v>314</v>
      </c>
      <c r="E118" s="750"/>
      <c r="F118" s="750"/>
      <c r="G118" s="750"/>
      <c r="H118" s="750"/>
      <c r="I118" s="750"/>
      <c r="J118" s="750"/>
      <c r="K118" s="750"/>
      <c r="L118" s="651" t="str">
        <f>IF(H115&lt;&gt;"",MAX(L$5:L117)+1,"")</f>
        <v/>
      </c>
      <c r="M118" s="1960"/>
      <c r="N118" s="872" t="str">
        <f>IF(E118&lt;&gt;"",LOOKUP(E118,Tara!$L$5:$L$21,Tara!$N$5:$N$21),"")</f>
        <v/>
      </c>
      <c r="O118" s="872" t="str">
        <f>IF(F118&lt;&gt;"",LOOKUP(F118,Tara!$L$5:$L$21,Tara!$N$5:$N$21),"")</f>
        <v/>
      </c>
      <c r="P118" s="872" t="str">
        <f>IF(G118&lt;&gt;"",LOOKUP(G118,Tara!$L$5:$L$21,Tara!$N$5:$N$21),"")</f>
        <v/>
      </c>
      <c r="Q118" s="872" t="str">
        <f>IF(H118&lt;&gt;"",LOOKUP(H118,Tara!$L$5:$L$21,Tara!$N$5:$N$21),"")</f>
        <v/>
      </c>
      <c r="R118" s="872" t="str">
        <f>IF(I118&lt;&gt;"",LOOKUP(I118,Tara!$L$5:$L$21,Tara!$N$5:$N$21),"")</f>
        <v/>
      </c>
      <c r="S118" s="872" t="str">
        <f>IF(J118&lt;&gt;"",LOOKUP(J118,Tara!$L$5:$L$21,Tara!$N$5:$N$21),"")</f>
        <v/>
      </c>
      <c r="T118" s="872" t="str">
        <f>IF(K118&lt;&gt;"",LOOKUP(K118,Tara!$L$5:$L$21,Tara!$N$5:$N$21),"")</f>
        <v/>
      </c>
      <c r="U118" s="881"/>
      <c r="V118" s="881"/>
      <c r="W118" s="881"/>
      <c r="X118" s="881"/>
      <c r="Y118" s="881"/>
      <c r="Z118" s="881"/>
      <c r="AA118" s="881"/>
      <c r="AB118" s="872" t="str">
        <f t="shared" si="90"/>
        <v/>
      </c>
      <c r="AC118" s="873" t="str">
        <f>""</f>
        <v/>
      </c>
      <c r="AD118" s="873" t="str">
        <f>""</f>
        <v/>
      </c>
      <c r="AE118" s="873" t="str">
        <f>IF(H116&lt;&gt;"",H116,"")</f>
        <v/>
      </c>
      <c r="AF118" s="874" t="str">
        <f>IF(H117&lt;&gt;"",H117,"")</f>
        <v/>
      </c>
      <c r="AG118" s="875" t="str">
        <f>IF(Q115&lt;&gt;"",Q115,"")</f>
        <v/>
      </c>
      <c r="AH118" s="896" t="str">
        <f>IF(H122&lt;&gt;"",H122*100,"")</f>
        <v/>
      </c>
      <c r="AI118" s="897" t="str">
        <f>IF(Q124&lt;&gt;"",Q124,"")</f>
        <v/>
      </c>
      <c r="AJ118" s="880" t="str">
        <f>IF(AH118="","",((AH118/100)-H124)*100)</f>
        <v/>
      </c>
      <c r="AK118" s="1267" t="str">
        <f>IF(X115&lt;&gt;"",X115*100,"")</f>
        <v/>
      </c>
    </row>
    <row r="119" spans="1:37" s="56" customFormat="1" ht="15" customHeight="1" x14ac:dyDescent="0.3">
      <c r="A119" s="1955"/>
      <c r="B119" s="882" t="s">
        <v>57</v>
      </c>
      <c r="C119" s="688"/>
      <c r="D119" s="870" t="s">
        <v>315</v>
      </c>
      <c r="E119" s="871"/>
      <c r="F119" s="871"/>
      <c r="G119" s="871"/>
      <c r="H119" s="871"/>
      <c r="I119" s="871"/>
      <c r="J119" s="871"/>
      <c r="K119" s="871"/>
      <c r="L119" s="651" t="str">
        <f>IF(I115&lt;&gt;"",MAX(L$5:L118)+1,"")</f>
        <v/>
      </c>
      <c r="M119" s="1960"/>
      <c r="N119" s="872" t="str">
        <f t="shared" ref="N119:T119" si="92">IF(N117&lt;&gt;"",N117-N118,"")</f>
        <v/>
      </c>
      <c r="O119" s="872" t="str">
        <f t="shared" si="92"/>
        <v/>
      </c>
      <c r="P119" s="872" t="str">
        <f t="shared" si="92"/>
        <v/>
      </c>
      <c r="Q119" s="872" t="str">
        <f t="shared" si="92"/>
        <v/>
      </c>
      <c r="R119" s="872" t="str">
        <f t="shared" si="92"/>
        <v/>
      </c>
      <c r="S119" s="872" t="str">
        <f t="shared" si="92"/>
        <v/>
      </c>
      <c r="T119" s="872" t="str">
        <f t="shared" si="92"/>
        <v/>
      </c>
      <c r="U119" s="881"/>
      <c r="V119" s="881"/>
      <c r="W119" s="881"/>
      <c r="X119" s="881"/>
      <c r="Y119" s="881"/>
      <c r="Z119" s="881"/>
      <c r="AA119" s="881"/>
      <c r="AB119" s="872" t="str">
        <f t="shared" si="90"/>
        <v/>
      </c>
      <c r="AC119" s="873" t="str">
        <f>""</f>
        <v/>
      </c>
      <c r="AD119" s="873" t="str">
        <f>""</f>
        <v/>
      </c>
      <c r="AE119" s="873" t="str">
        <f>IF(I116&lt;&gt;"",I116,"")</f>
        <v/>
      </c>
      <c r="AF119" s="874" t="str">
        <f>IF(I117&lt;&gt;"",I117,"")</f>
        <v/>
      </c>
      <c r="AG119" s="875" t="str">
        <f>IF(R115&lt;&gt;"",R115,"")</f>
        <v/>
      </c>
      <c r="AH119" s="896" t="str">
        <f>IF(I122&lt;&gt;"",I122*100,"")</f>
        <v/>
      </c>
      <c r="AI119" s="897" t="str">
        <f>IF(R124&lt;&gt;"",R124,"")</f>
        <v/>
      </c>
      <c r="AJ119" s="880" t="str">
        <f>IF(AH119="","",((AH119/100)-I124)*100)</f>
        <v/>
      </c>
      <c r="AK119" s="1267" t="str">
        <f>IF(Y115&lt;&gt;"",Y115*100,"")</f>
        <v/>
      </c>
    </row>
    <row r="120" spans="1:37" s="316" customFormat="1" ht="15" customHeight="1" x14ac:dyDescent="0.3">
      <c r="A120" s="1955"/>
      <c r="B120" s="882" t="s">
        <v>316</v>
      </c>
      <c r="C120" s="666"/>
      <c r="D120" s="883" t="s">
        <v>317</v>
      </c>
      <c r="E120" s="750"/>
      <c r="F120" s="750"/>
      <c r="G120" s="750"/>
      <c r="H120" s="750"/>
      <c r="I120" s="750"/>
      <c r="J120" s="750"/>
      <c r="K120" s="750"/>
      <c r="L120" s="651" t="str">
        <f>IF(J115&lt;&gt;"",MAX(L$5:L119)+1,"")</f>
        <v/>
      </c>
      <c r="M120" s="1960"/>
      <c r="N120" s="872" t="str">
        <f>IF(E118&lt;&gt;"",LOOKUP(E118,Tara!$L$5:$L$21,Tara!$O$5:$O$21),"")</f>
        <v/>
      </c>
      <c r="O120" s="872" t="str">
        <f>IF(F118&lt;&gt;"",LOOKUP(F118,Tara!$L$5:$L$21,Tara!$O$5:$O$21),"")</f>
        <v/>
      </c>
      <c r="P120" s="872" t="str">
        <f>IF(G118&lt;&gt;"",LOOKUP(G118,Tara!$L$5:$L$21,Tara!$O$5:$O$21),"")</f>
        <v/>
      </c>
      <c r="Q120" s="872" t="str">
        <f>IF(H118&lt;&gt;"",LOOKUP(H118,Tara!$L$5:$L$21,Tara!$O$5:$O$21),"")</f>
        <v/>
      </c>
      <c r="R120" s="872" t="str">
        <f>IF(I118&lt;&gt;"",LOOKUP(I118,Tara!$L$5:$L$21,Tara!$O$5:$O$21),"")</f>
        <v/>
      </c>
      <c r="S120" s="872" t="str">
        <f>IF(J118&lt;&gt;"",LOOKUP(J118,Tara!$L$5:$L$21,Tara!$O$5:$O$21),"")</f>
        <v/>
      </c>
      <c r="T120" s="872" t="str">
        <f>IF(K118&lt;&gt;"",LOOKUP(K118,Tara!$L$5:$L$21,Tara!$O$5:$O$21),"")</f>
        <v/>
      </c>
      <c r="U120" s="884"/>
      <c r="V120" s="884"/>
      <c r="W120" s="884"/>
      <c r="X120" s="884"/>
      <c r="Y120" s="884"/>
      <c r="Z120" s="884"/>
      <c r="AA120" s="884"/>
      <c r="AB120" s="872" t="str">
        <f t="shared" si="90"/>
        <v/>
      </c>
      <c r="AC120" s="873" t="str">
        <f>""</f>
        <v/>
      </c>
      <c r="AD120" s="873" t="str">
        <f>""</f>
        <v/>
      </c>
      <c r="AE120" s="873" t="str">
        <f>IF(J116&lt;&gt;"",J116,"")</f>
        <v/>
      </c>
      <c r="AF120" s="874" t="str">
        <f>IF(J117&lt;&gt;"",J117,"")</f>
        <v/>
      </c>
      <c r="AG120" s="875" t="str">
        <f>IF(S115&lt;&gt;"",S115,"")</f>
        <v/>
      </c>
      <c r="AH120" s="896" t="str">
        <f>IF(J122&lt;&gt;"",J122*100,"")</f>
        <v/>
      </c>
      <c r="AI120" s="897" t="str">
        <f>IF(S124&lt;&gt;"",S124,"")</f>
        <v/>
      </c>
      <c r="AJ120" s="880" t="str">
        <f>IF(AH120="","",((AH120/100)-J124)*100)</f>
        <v/>
      </c>
      <c r="AK120" s="1267" t="str">
        <f>IF(Z115&lt;&gt;"",Z115*100,"")</f>
        <v/>
      </c>
    </row>
    <row r="121" spans="1:37" s="316" customFormat="1" ht="15" customHeight="1" x14ac:dyDescent="0.3">
      <c r="A121" s="1955"/>
      <c r="B121" s="885" t="s">
        <v>318</v>
      </c>
      <c r="C121" s="886"/>
      <c r="D121" s="870" t="s">
        <v>319</v>
      </c>
      <c r="E121" s="750"/>
      <c r="F121" s="750"/>
      <c r="G121" s="750"/>
      <c r="H121" s="750"/>
      <c r="I121" s="750"/>
      <c r="J121" s="750"/>
      <c r="K121" s="750"/>
      <c r="L121" s="651" t="str">
        <f>IF(K115&lt;&gt;"",MAX(L$5:L120)+1,"")</f>
        <v/>
      </c>
      <c r="M121" s="1960"/>
      <c r="N121" s="887" t="str">
        <f>IF(N119&lt;&gt;"",N119/N120,"")</f>
        <v/>
      </c>
      <c r="O121" s="887" t="str">
        <f t="shared" ref="O121:T121" si="93">IF(O119&lt;&gt;"",O119/O120,"")</f>
        <v/>
      </c>
      <c r="P121" s="887" t="str">
        <f t="shared" si="93"/>
        <v/>
      </c>
      <c r="Q121" s="887" t="str">
        <f t="shared" si="93"/>
        <v/>
      </c>
      <c r="R121" s="887" t="str">
        <f t="shared" si="93"/>
        <v/>
      </c>
      <c r="S121" s="887" t="str">
        <f t="shared" si="93"/>
        <v/>
      </c>
      <c r="T121" s="887" t="str">
        <f t="shared" si="93"/>
        <v/>
      </c>
      <c r="U121" s="884"/>
      <c r="V121" s="884"/>
      <c r="W121" s="884"/>
      <c r="X121" s="884"/>
      <c r="Y121" s="884"/>
      <c r="Z121" s="884"/>
      <c r="AA121" s="884"/>
      <c r="AB121" s="872" t="str">
        <f t="shared" si="90"/>
        <v/>
      </c>
      <c r="AC121" s="873" t="str">
        <f>""</f>
        <v/>
      </c>
      <c r="AD121" s="873" t="str">
        <f>""</f>
        <v/>
      </c>
      <c r="AE121" s="873" t="str">
        <f>IF(K116&lt;&gt;"",K116,"")</f>
        <v/>
      </c>
      <c r="AF121" s="874" t="str">
        <f>IF(K117&lt;&gt;"",K117,"")</f>
        <v/>
      </c>
      <c r="AG121" s="875" t="str">
        <f>IF(T115&lt;&gt;"",T115,"")</f>
        <v/>
      </c>
      <c r="AH121" s="896" t="str">
        <f>IF(K122&lt;&gt;"",K122*100,"")</f>
        <v/>
      </c>
      <c r="AI121" s="897" t="str">
        <f>IF(T124&lt;&gt;"",T124,"")</f>
        <v/>
      </c>
      <c r="AJ121" s="880" t="str">
        <f>IF(AH121="","",((AH121/100)-K124)*100)</f>
        <v/>
      </c>
      <c r="AK121" s="1267" t="str">
        <f>IF(AA115&lt;&gt;"",AA115*100,"")</f>
        <v/>
      </c>
    </row>
    <row r="122" spans="1:37" s="316" customFormat="1" ht="15" customHeight="1" x14ac:dyDescent="0.3">
      <c r="A122" s="1955"/>
      <c r="B122" s="652"/>
      <c r="C122" s="653"/>
      <c r="D122" s="870" t="s">
        <v>320</v>
      </c>
      <c r="E122" s="888"/>
      <c r="F122" s="888"/>
      <c r="G122" s="888"/>
      <c r="H122" s="888"/>
      <c r="I122" s="888"/>
      <c r="J122" s="888"/>
      <c r="K122" s="888"/>
      <c r="L122" s="651"/>
      <c r="M122" s="1960"/>
      <c r="N122" s="889" t="str">
        <f>IF(E120&lt;&gt;"",LOOKUP(E120,Tara!$P$5:$P$21,Tara!$Q$5:$Q$21),"")</f>
        <v/>
      </c>
      <c r="O122" s="889" t="str">
        <f>IF(F120&lt;&gt;"",LOOKUP(F120,Tara!$P$5:$P$21,Tara!$Q$5:$Q$21),"")</f>
        <v/>
      </c>
      <c r="P122" s="889" t="str">
        <f>IF(G120&lt;&gt;"",LOOKUP(G120,Tara!$P$5:$P$21,Tara!$Q$5:$Q$21),"")</f>
        <v/>
      </c>
      <c r="Q122" s="889" t="str">
        <f>IF(H120&lt;&gt;"",LOOKUP(H120,Tara!$P$5:$P$21,Tara!$Q$5:$Q$21),"")</f>
        <v/>
      </c>
      <c r="R122" s="889" t="str">
        <f>IF(I120&lt;&gt;"",LOOKUP(I120,Tara!$P$5:$P$21,Tara!$Q$5:$Q$21),"")</f>
        <v/>
      </c>
      <c r="S122" s="889" t="str">
        <f>IF(J120&lt;&gt;"",LOOKUP(J120,Tara!$P$5:$P$21,Tara!$Q$5:$Q$21),"")</f>
        <v/>
      </c>
      <c r="T122" s="889" t="str">
        <f>IF(K120&lt;&gt;"",LOOKUP(K120,Tara!$P$5:$P$21,Tara!$Q$5:$Q$21),"")</f>
        <v/>
      </c>
      <c r="U122" s="884"/>
      <c r="V122" s="884"/>
      <c r="W122" s="884"/>
      <c r="X122" s="884"/>
      <c r="Y122" s="884"/>
      <c r="Z122" s="884"/>
      <c r="AA122" s="884"/>
      <c r="AB122" s="872" t="str">
        <f>""</f>
        <v/>
      </c>
      <c r="AC122" s="873" t="str">
        <f>""</f>
        <v/>
      </c>
      <c r="AD122" s="873" t="str">
        <f>""</f>
        <v/>
      </c>
      <c r="AE122" s="873" t="str">
        <f>""</f>
        <v/>
      </c>
      <c r="AF122" s="874" t="str">
        <f>""</f>
        <v/>
      </c>
      <c r="AG122" s="875" t="str">
        <f>""</f>
        <v/>
      </c>
      <c r="AH122" s="875" t="str">
        <f>""</f>
        <v/>
      </c>
      <c r="AI122" s="875" t="str">
        <f>""</f>
        <v/>
      </c>
      <c r="AJ122" s="890" t="str">
        <f>""</f>
        <v/>
      </c>
      <c r="AK122" s="1267" t="str">
        <f>""</f>
        <v/>
      </c>
    </row>
    <row r="123" spans="1:37" s="316" customFormat="1" ht="15" customHeight="1" x14ac:dyDescent="0.3">
      <c r="A123" s="1955"/>
      <c r="B123" s="654"/>
      <c r="C123" s="655"/>
      <c r="D123" s="891" t="s">
        <v>321</v>
      </c>
      <c r="E123" s="750"/>
      <c r="F123" s="750"/>
      <c r="G123" s="750"/>
      <c r="H123" s="750"/>
      <c r="I123" s="750"/>
      <c r="J123" s="750"/>
      <c r="K123" s="750"/>
      <c r="L123" s="651"/>
      <c r="M123" s="1960"/>
      <c r="N123" s="892" t="str">
        <f t="shared" ref="N123:T123" si="94">IF(E121&lt;&gt;"",(E121-N122)/N121,"")</f>
        <v/>
      </c>
      <c r="O123" s="892" t="str">
        <f t="shared" si="94"/>
        <v/>
      </c>
      <c r="P123" s="892" t="str">
        <f t="shared" si="94"/>
        <v/>
      </c>
      <c r="Q123" s="892" t="str">
        <f t="shared" si="94"/>
        <v/>
      </c>
      <c r="R123" s="892" t="str">
        <f t="shared" si="94"/>
        <v/>
      </c>
      <c r="S123" s="892" t="str">
        <f t="shared" si="94"/>
        <v/>
      </c>
      <c r="T123" s="892" t="str">
        <f t="shared" si="94"/>
        <v/>
      </c>
      <c r="U123" s="884"/>
      <c r="V123" s="884"/>
      <c r="W123" s="884"/>
      <c r="X123" s="884"/>
      <c r="Y123" s="884"/>
      <c r="Z123" s="884"/>
      <c r="AA123" s="884"/>
      <c r="AB123" s="872" t="str">
        <f>""</f>
        <v/>
      </c>
      <c r="AC123" s="873" t="str">
        <f>""</f>
        <v/>
      </c>
      <c r="AD123" s="873" t="str">
        <f>""</f>
        <v/>
      </c>
      <c r="AE123" s="873" t="str">
        <f>""</f>
        <v/>
      </c>
      <c r="AF123" s="874" t="str">
        <f>""</f>
        <v/>
      </c>
      <c r="AG123" s="893" t="str">
        <f>""</f>
        <v/>
      </c>
      <c r="AH123" s="893" t="str">
        <f>""</f>
        <v/>
      </c>
      <c r="AI123" s="893" t="str">
        <f>""</f>
        <v/>
      </c>
      <c r="AJ123" s="895" t="str">
        <f>""</f>
        <v/>
      </c>
      <c r="AK123" s="1269" t="str">
        <f>""</f>
        <v/>
      </c>
    </row>
    <row r="124" spans="1:37" s="316" customFormat="1" ht="15" customHeight="1" thickBot="1" x14ac:dyDescent="0.35">
      <c r="A124" s="1956"/>
      <c r="B124" s="656"/>
      <c r="C124" s="657"/>
      <c r="D124" s="658" t="s">
        <v>99</v>
      </c>
      <c r="E124" s="556"/>
      <c r="F124" s="556"/>
      <c r="G124" s="556"/>
      <c r="H124" s="556"/>
      <c r="I124" s="556"/>
      <c r="J124" s="556"/>
      <c r="K124" s="556"/>
      <c r="L124" s="659"/>
      <c r="M124" s="1961"/>
      <c r="N124" s="549" t="str">
        <f t="shared" ref="N124:T124" si="95">IF(N123&lt;&gt;"",N123/(1+E122),"")</f>
        <v/>
      </c>
      <c r="O124" s="549" t="str">
        <f t="shared" si="95"/>
        <v/>
      </c>
      <c r="P124" s="549" t="str">
        <f t="shared" si="95"/>
        <v/>
      </c>
      <c r="Q124" s="549" t="str">
        <f t="shared" si="95"/>
        <v/>
      </c>
      <c r="R124" s="549" t="str">
        <f t="shared" si="95"/>
        <v/>
      </c>
      <c r="S124" s="549" t="str">
        <f t="shared" si="95"/>
        <v/>
      </c>
      <c r="T124" s="549" t="str">
        <f t="shared" si="95"/>
        <v/>
      </c>
      <c r="U124" s="550"/>
      <c r="V124" s="550"/>
      <c r="W124" s="550"/>
      <c r="X124" s="550"/>
      <c r="Y124" s="550"/>
      <c r="Z124" s="550"/>
      <c r="AA124" s="550"/>
      <c r="AB124" s="551">
        <f>MAX(AB$5:AB123)+1</f>
        <v>12</v>
      </c>
      <c r="AC124" s="552" t="str">
        <f>""</f>
        <v/>
      </c>
      <c r="AD124" s="552" t="str">
        <f>""</f>
        <v/>
      </c>
      <c r="AE124" s="552" t="str">
        <f>""</f>
        <v/>
      </c>
      <c r="AF124" s="558" t="str">
        <f>""</f>
        <v/>
      </c>
      <c r="AG124" s="553" t="str">
        <f>""</f>
        <v/>
      </c>
      <c r="AH124" s="553" t="str">
        <f>""</f>
        <v/>
      </c>
      <c r="AI124" s="553" t="str">
        <f>""</f>
        <v/>
      </c>
      <c r="AJ124" s="554" t="str">
        <f>""</f>
        <v/>
      </c>
      <c r="AK124" s="555" t="str">
        <f>""</f>
        <v/>
      </c>
    </row>
    <row r="125" spans="1:37" s="56" customFormat="1" ht="15" customHeight="1" x14ac:dyDescent="0.3">
      <c r="A125" s="1954">
        <f>A115+1</f>
        <v>13</v>
      </c>
      <c r="B125" s="1957" t="s">
        <v>309</v>
      </c>
      <c r="C125" s="1958"/>
      <c r="D125" s="648" t="s">
        <v>34</v>
      </c>
      <c r="E125" s="649"/>
      <c r="F125" s="649"/>
      <c r="G125" s="649"/>
      <c r="H125" s="649"/>
      <c r="I125" s="649"/>
      <c r="J125" s="649"/>
      <c r="K125" s="649"/>
      <c r="L125" s="650" t="str">
        <f>IF(E125&lt;&gt;"",MAX(L$5:L124)+1,"")</f>
        <v/>
      </c>
      <c r="M125" s="1959" t="s">
        <v>25</v>
      </c>
      <c r="N125" s="539" t="str">
        <f t="shared" ref="N125:T125" si="96">IF(E125&lt;&gt;"",E125,"")</f>
        <v/>
      </c>
      <c r="O125" s="539" t="str">
        <f t="shared" si="96"/>
        <v/>
      </c>
      <c r="P125" s="539" t="str">
        <f t="shared" si="96"/>
        <v/>
      </c>
      <c r="Q125" s="539" t="str">
        <f t="shared" si="96"/>
        <v/>
      </c>
      <c r="R125" s="539" t="str">
        <f t="shared" si="96"/>
        <v/>
      </c>
      <c r="S125" s="539" t="str">
        <f t="shared" si="96"/>
        <v/>
      </c>
      <c r="T125" s="539" t="str">
        <f t="shared" si="96"/>
        <v/>
      </c>
      <c r="U125" s="540" t="str">
        <f t="shared" ref="U125:AA125" si="97">IF(N134&lt;&gt;"",N134/E133*1000,"")</f>
        <v/>
      </c>
      <c r="V125" s="540" t="str">
        <f t="shared" si="97"/>
        <v/>
      </c>
      <c r="W125" s="540" t="str">
        <f t="shared" si="97"/>
        <v/>
      </c>
      <c r="X125" s="540" t="str">
        <f t="shared" si="97"/>
        <v/>
      </c>
      <c r="Y125" s="540" t="str">
        <f t="shared" si="97"/>
        <v/>
      </c>
      <c r="Z125" s="540" t="str">
        <f t="shared" si="97"/>
        <v/>
      </c>
      <c r="AA125" s="540" t="str">
        <f t="shared" si="97"/>
        <v/>
      </c>
      <c r="AB125" s="539" t="str">
        <f>IF(L125&lt;&gt;"",L125,"")</f>
        <v/>
      </c>
      <c r="AC125" s="541" t="str">
        <f>IF(C126&lt;&gt;"",CONCATENATE(C126," a ",C127),"")</f>
        <v/>
      </c>
      <c r="AD125" s="542" t="str">
        <f>IF(C129&lt;&gt;"",C129,"")</f>
        <v/>
      </c>
      <c r="AE125" s="543" t="str">
        <f>IF(E126&lt;&gt;"",E126,"")</f>
        <v/>
      </c>
      <c r="AF125" s="557" t="str">
        <f>IF(E127&lt;&gt;"",E127,"")</f>
        <v/>
      </c>
      <c r="AG125" s="544" t="str">
        <f>IF(N125&lt;&gt;"",N125,"")</f>
        <v/>
      </c>
      <c r="AH125" s="545" t="str">
        <f>IF(E132&lt;&gt;"",E132*100,"")</f>
        <v/>
      </c>
      <c r="AI125" s="546" t="str">
        <f>IF(N134&lt;&gt;"",N134,"")</f>
        <v/>
      </c>
      <c r="AJ125" s="547" t="str">
        <f>IF(AH125="","",((AH125/100)-E134)*100)</f>
        <v/>
      </c>
      <c r="AK125" s="548" t="str">
        <f>IF(U125&lt;&gt;"",U125*100,"")</f>
        <v/>
      </c>
    </row>
    <row r="126" spans="1:37" s="57" customFormat="1" ht="15" customHeight="1" x14ac:dyDescent="0.3">
      <c r="A126" s="1955"/>
      <c r="B126" s="869" t="s">
        <v>310</v>
      </c>
      <c r="C126" s="666"/>
      <c r="D126" s="870" t="s">
        <v>156</v>
      </c>
      <c r="E126" s="871"/>
      <c r="F126" s="871"/>
      <c r="G126" s="871"/>
      <c r="H126" s="871"/>
      <c r="I126" s="871"/>
      <c r="J126" s="871"/>
      <c r="K126" s="871"/>
      <c r="L126" s="651" t="str">
        <f>IF(F125&lt;&gt;"",MAX(L$5:L125)+1,"")</f>
        <v/>
      </c>
      <c r="M126" s="1960"/>
      <c r="N126" s="872" t="str">
        <f>IF(E128&lt;&gt;"",LOOKUP(E128,Tara!$L$5:$L$21,Tara!$M$5:$M$21),"")</f>
        <v/>
      </c>
      <c r="O126" s="872" t="str">
        <f>IF(F128&lt;&gt;"",LOOKUP(F128,Tara!$L$5:$L$21,Tara!$M$5:$M$21),"")</f>
        <v/>
      </c>
      <c r="P126" s="872" t="str">
        <f>IF(G128&lt;&gt;"",LOOKUP(G128,Tara!$L$5:$L$21,Tara!$M$5:$M$21),"")</f>
        <v/>
      </c>
      <c r="Q126" s="872" t="str">
        <f>IF(H128&lt;&gt;"",LOOKUP(H128,Tara!$L$5:$L$21,Tara!$M$5:$M$21),"")</f>
        <v/>
      </c>
      <c r="R126" s="872" t="str">
        <f>IF(I128&lt;&gt;"",LOOKUP(I128,Tara!$L$5:$L$21,Tara!$M$5:$M$21),"")</f>
        <v/>
      </c>
      <c r="S126" s="872" t="str">
        <f>IF(J128&lt;&gt;"",LOOKUP(J128,Tara!$L$5:$L$21,Tara!$M$5:$M$21),"")</f>
        <v/>
      </c>
      <c r="T126" s="872" t="str">
        <f>IF(K128&lt;&gt;"",LOOKUP(K128,Tara!$L$5:$L$21,Tara!$M$5:$M$21),"")</f>
        <v/>
      </c>
      <c r="U126" s="872"/>
      <c r="V126" s="872"/>
      <c r="W126" s="872"/>
      <c r="X126" s="872"/>
      <c r="Y126" s="872"/>
      <c r="Z126" s="872"/>
      <c r="AA126" s="872"/>
      <c r="AB126" s="872" t="str">
        <f t="shared" ref="AB126:AB131" si="98">IF(L126&lt;&gt;"",L126,"")</f>
        <v/>
      </c>
      <c r="AC126" s="873" t="str">
        <f>""</f>
        <v/>
      </c>
      <c r="AD126" s="873" t="str">
        <f>""</f>
        <v/>
      </c>
      <c r="AE126" s="873" t="str">
        <f>IF(F126&lt;&gt;"",F126,"")</f>
        <v/>
      </c>
      <c r="AF126" s="874" t="str">
        <f>IF(E127&lt;&gt;"",F127,"")</f>
        <v/>
      </c>
      <c r="AG126" s="875" t="str">
        <f>IF(O125&lt;&gt;"",O125,"")</f>
        <v/>
      </c>
      <c r="AH126" s="896" t="str">
        <f>IF(F132&lt;&gt;"",F132*100,"")</f>
        <v/>
      </c>
      <c r="AI126" s="897" t="str">
        <f>IF(O134&lt;&gt;"",O134,"")</f>
        <v/>
      </c>
      <c r="AJ126" s="880" t="str">
        <f>IF(AH126="","",((AH126/100)-F134)*100)</f>
        <v/>
      </c>
      <c r="AK126" s="1267" t="str">
        <f>IF(V125&lt;&gt;"",V125*100,"")</f>
        <v/>
      </c>
    </row>
    <row r="127" spans="1:37" s="56" customFormat="1" ht="15" customHeight="1" x14ac:dyDescent="0.3">
      <c r="A127" s="1955"/>
      <c r="B127" s="869" t="s">
        <v>311</v>
      </c>
      <c r="C127" s="666"/>
      <c r="D127" s="870" t="s">
        <v>312</v>
      </c>
      <c r="E127" s="878"/>
      <c r="F127" s="878"/>
      <c r="G127" s="878"/>
      <c r="H127" s="878"/>
      <c r="I127" s="878"/>
      <c r="J127" s="878"/>
      <c r="K127" s="1268"/>
      <c r="L127" s="651" t="str">
        <f>IF(G125&lt;&gt;"",MAX(L$5:L126)+1,"")</f>
        <v/>
      </c>
      <c r="M127" s="1960"/>
      <c r="N127" s="872" t="str">
        <f t="shared" ref="N127:T127" si="99">IF(N126&lt;&gt;"",N126-E129,"")</f>
        <v/>
      </c>
      <c r="O127" s="872" t="str">
        <f t="shared" si="99"/>
        <v/>
      </c>
      <c r="P127" s="872" t="str">
        <f t="shared" si="99"/>
        <v/>
      </c>
      <c r="Q127" s="872" t="str">
        <f t="shared" si="99"/>
        <v/>
      </c>
      <c r="R127" s="872" t="str">
        <f t="shared" si="99"/>
        <v/>
      </c>
      <c r="S127" s="872" t="str">
        <f t="shared" si="99"/>
        <v/>
      </c>
      <c r="T127" s="872" t="str">
        <f t="shared" si="99"/>
        <v/>
      </c>
      <c r="U127" s="879"/>
      <c r="V127" s="879"/>
      <c r="W127" s="879"/>
      <c r="X127" s="879"/>
      <c r="Y127" s="879"/>
      <c r="Z127" s="879"/>
      <c r="AA127" s="879"/>
      <c r="AB127" s="872" t="str">
        <f t="shared" si="98"/>
        <v/>
      </c>
      <c r="AC127" s="873" t="str">
        <f>""</f>
        <v/>
      </c>
      <c r="AD127" s="873" t="str">
        <f>""</f>
        <v/>
      </c>
      <c r="AE127" s="873" t="str">
        <f>IF(G126&lt;&gt;"",G126,"")</f>
        <v/>
      </c>
      <c r="AF127" s="874" t="str">
        <f>IF(G127&lt;&gt;"",G127,"")</f>
        <v/>
      </c>
      <c r="AG127" s="875" t="str">
        <f>IF(P125&lt;&gt;"",P125,"")</f>
        <v/>
      </c>
      <c r="AH127" s="896" t="str">
        <f>IF(G132&lt;&gt;"",G132*100,"")</f>
        <v/>
      </c>
      <c r="AI127" s="897" t="str">
        <f>IF(P134&lt;&gt;"",P134,"")</f>
        <v/>
      </c>
      <c r="AJ127" s="880" t="str">
        <f>IF(AH127="","",((AH127/100)-G134)*100)</f>
        <v/>
      </c>
      <c r="AK127" s="1267" t="str">
        <f>IF(W125&lt;&gt;"",W125*100,"")</f>
        <v/>
      </c>
    </row>
    <row r="128" spans="1:37" s="56" customFormat="1" ht="15" customHeight="1" x14ac:dyDescent="0.3">
      <c r="A128" s="1955"/>
      <c r="B128" s="869" t="s">
        <v>313</v>
      </c>
      <c r="C128" s="666"/>
      <c r="D128" s="870" t="s">
        <v>314</v>
      </c>
      <c r="E128" s="750"/>
      <c r="F128" s="750"/>
      <c r="G128" s="750"/>
      <c r="H128" s="750"/>
      <c r="I128" s="750"/>
      <c r="J128" s="750"/>
      <c r="K128" s="750"/>
      <c r="L128" s="651" t="str">
        <f>IF(H125&lt;&gt;"",MAX(L$5:L127)+1,"")</f>
        <v/>
      </c>
      <c r="M128" s="1960"/>
      <c r="N128" s="872" t="str">
        <f>IF(E128&lt;&gt;"",LOOKUP(E128,Tara!$L$5:$L$21,Tara!$N$5:$N$21),"")</f>
        <v/>
      </c>
      <c r="O128" s="872" t="str">
        <f>IF(F128&lt;&gt;"",LOOKUP(F128,Tara!$L$5:$L$21,Tara!$N$5:$N$21),"")</f>
        <v/>
      </c>
      <c r="P128" s="872" t="str">
        <f>IF(G128&lt;&gt;"",LOOKUP(G128,Tara!$L$5:$L$21,Tara!$N$5:$N$21),"")</f>
        <v/>
      </c>
      <c r="Q128" s="872" t="str">
        <f>IF(H128&lt;&gt;"",LOOKUP(H128,Tara!$L$5:$L$21,Tara!$N$5:$N$21),"")</f>
        <v/>
      </c>
      <c r="R128" s="872" t="str">
        <f>IF(I128&lt;&gt;"",LOOKUP(I128,Tara!$L$5:$L$21,Tara!$N$5:$N$21),"")</f>
        <v/>
      </c>
      <c r="S128" s="872" t="str">
        <f>IF(J128&lt;&gt;"",LOOKUP(J128,Tara!$L$5:$L$21,Tara!$N$5:$N$21),"")</f>
        <v/>
      </c>
      <c r="T128" s="872" t="str">
        <f>IF(K128&lt;&gt;"",LOOKUP(K128,Tara!$L$5:$L$21,Tara!$N$5:$N$21),"")</f>
        <v/>
      </c>
      <c r="U128" s="881"/>
      <c r="V128" s="881"/>
      <c r="W128" s="881"/>
      <c r="X128" s="881"/>
      <c r="Y128" s="881"/>
      <c r="Z128" s="881"/>
      <c r="AA128" s="881"/>
      <c r="AB128" s="872" t="str">
        <f t="shared" si="98"/>
        <v/>
      </c>
      <c r="AC128" s="873" t="str">
        <f>""</f>
        <v/>
      </c>
      <c r="AD128" s="873" t="str">
        <f>""</f>
        <v/>
      </c>
      <c r="AE128" s="873" t="str">
        <f>IF(H126&lt;&gt;"",H126,"")</f>
        <v/>
      </c>
      <c r="AF128" s="874" t="str">
        <f>IF(H127&lt;&gt;"",H127,"")</f>
        <v/>
      </c>
      <c r="AG128" s="875" t="str">
        <f>IF(Q125&lt;&gt;"",Q125,"")</f>
        <v/>
      </c>
      <c r="AH128" s="896" t="str">
        <f>IF(H132&lt;&gt;"",H132*100,"")</f>
        <v/>
      </c>
      <c r="AI128" s="897" t="str">
        <f>IF(Q134&lt;&gt;"",Q134,"")</f>
        <v/>
      </c>
      <c r="AJ128" s="880" t="str">
        <f>IF(AH128="","",((AH128/100)-H134)*100)</f>
        <v/>
      </c>
      <c r="AK128" s="1267" t="str">
        <f>IF(X125&lt;&gt;"",X125*100,"")</f>
        <v/>
      </c>
    </row>
    <row r="129" spans="1:37" s="56" customFormat="1" ht="15" customHeight="1" x14ac:dyDescent="0.3">
      <c r="A129" s="1955"/>
      <c r="B129" s="882" t="s">
        <v>57</v>
      </c>
      <c r="C129" s="688"/>
      <c r="D129" s="870" t="s">
        <v>315</v>
      </c>
      <c r="E129" s="871"/>
      <c r="F129" s="871"/>
      <c r="G129" s="871"/>
      <c r="H129" s="871"/>
      <c r="I129" s="871"/>
      <c r="J129" s="871"/>
      <c r="K129" s="871"/>
      <c r="L129" s="651" t="str">
        <f>IF(I125&lt;&gt;"",MAX(L$5:L128)+1,"")</f>
        <v/>
      </c>
      <c r="M129" s="1960"/>
      <c r="N129" s="872" t="str">
        <f t="shared" ref="N129:T129" si="100">IF(N127&lt;&gt;"",N127-N128,"")</f>
        <v/>
      </c>
      <c r="O129" s="872" t="str">
        <f t="shared" si="100"/>
        <v/>
      </c>
      <c r="P129" s="872" t="str">
        <f t="shared" si="100"/>
        <v/>
      </c>
      <c r="Q129" s="872" t="str">
        <f t="shared" si="100"/>
        <v/>
      </c>
      <c r="R129" s="872" t="str">
        <f t="shared" si="100"/>
        <v/>
      </c>
      <c r="S129" s="872" t="str">
        <f t="shared" si="100"/>
        <v/>
      </c>
      <c r="T129" s="872" t="str">
        <f t="shared" si="100"/>
        <v/>
      </c>
      <c r="U129" s="881"/>
      <c r="V129" s="881"/>
      <c r="W129" s="881"/>
      <c r="X129" s="881"/>
      <c r="Y129" s="881"/>
      <c r="Z129" s="881"/>
      <c r="AA129" s="881"/>
      <c r="AB129" s="872" t="str">
        <f t="shared" si="98"/>
        <v/>
      </c>
      <c r="AC129" s="873" t="str">
        <f>""</f>
        <v/>
      </c>
      <c r="AD129" s="873" t="str">
        <f>""</f>
        <v/>
      </c>
      <c r="AE129" s="873" t="str">
        <f>IF(I126&lt;&gt;"",I126,"")</f>
        <v/>
      </c>
      <c r="AF129" s="874" t="str">
        <f>IF(I127&lt;&gt;"",I127,"")</f>
        <v/>
      </c>
      <c r="AG129" s="875" t="str">
        <f>IF(R125&lt;&gt;"",R125,"")</f>
        <v/>
      </c>
      <c r="AH129" s="896" t="str">
        <f>IF(I132&lt;&gt;"",I132*100,"")</f>
        <v/>
      </c>
      <c r="AI129" s="897" t="str">
        <f>IF(R134&lt;&gt;"",R134,"")</f>
        <v/>
      </c>
      <c r="AJ129" s="880" t="str">
        <f>IF(AH129="","",((AH129/100)-I134)*100)</f>
        <v/>
      </c>
      <c r="AK129" s="1267" t="str">
        <f>IF(Y125&lt;&gt;"",Y125*100,"")</f>
        <v/>
      </c>
    </row>
    <row r="130" spans="1:37" s="316" customFormat="1" ht="15" customHeight="1" x14ac:dyDescent="0.3">
      <c r="A130" s="1955"/>
      <c r="B130" s="882" t="s">
        <v>316</v>
      </c>
      <c r="C130" s="666"/>
      <c r="D130" s="883" t="s">
        <v>317</v>
      </c>
      <c r="E130" s="750"/>
      <c r="F130" s="750"/>
      <c r="G130" s="750"/>
      <c r="H130" s="750"/>
      <c r="I130" s="750"/>
      <c r="J130" s="750"/>
      <c r="K130" s="750"/>
      <c r="L130" s="651" t="str">
        <f>IF(J125&lt;&gt;"",MAX(L$5:L129)+1,"")</f>
        <v/>
      </c>
      <c r="M130" s="1960"/>
      <c r="N130" s="872" t="str">
        <f>IF(E128&lt;&gt;"",LOOKUP(E128,Tara!$L$5:$L$21,Tara!$O$5:$O$21),"")</f>
        <v/>
      </c>
      <c r="O130" s="872" t="str">
        <f>IF(F128&lt;&gt;"",LOOKUP(F128,Tara!$L$5:$L$21,Tara!$O$5:$O$21),"")</f>
        <v/>
      </c>
      <c r="P130" s="872" t="str">
        <f>IF(G128&lt;&gt;"",LOOKUP(G128,Tara!$L$5:$L$21,Tara!$O$5:$O$21),"")</f>
        <v/>
      </c>
      <c r="Q130" s="872" t="str">
        <f>IF(H128&lt;&gt;"",LOOKUP(H128,Tara!$L$5:$L$21,Tara!$O$5:$O$21),"")</f>
        <v/>
      </c>
      <c r="R130" s="872" t="str">
        <f>IF(I128&lt;&gt;"",LOOKUP(I128,Tara!$L$5:$L$21,Tara!$O$5:$O$21),"")</f>
        <v/>
      </c>
      <c r="S130" s="872" t="str">
        <f>IF(J128&lt;&gt;"",LOOKUP(J128,Tara!$L$5:$L$21,Tara!$O$5:$O$21),"")</f>
        <v/>
      </c>
      <c r="T130" s="872" t="str">
        <f>IF(K128&lt;&gt;"",LOOKUP(K128,Tara!$L$5:$L$21,Tara!$O$5:$O$21),"")</f>
        <v/>
      </c>
      <c r="U130" s="884"/>
      <c r="V130" s="884"/>
      <c r="W130" s="884"/>
      <c r="X130" s="884"/>
      <c r="Y130" s="884"/>
      <c r="Z130" s="884"/>
      <c r="AA130" s="884"/>
      <c r="AB130" s="872" t="str">
        <f t="shared" si="98"/>
        <v/>
      </c>
      <c r="AC130" s="873" t="str">
        <f>""</f>
        <v/>
      </c>
      <c r="AD130" s="873" t="str">
        <f>""</f>
        <v/>
      </c>
      <c r="AE130" s="873" t="str">
        <f>IF(J126&lt;&gt;"",J126,"")</f>
        <v/>
      </c>
      <c r="AF130" s="874" t="str">
        <f>IF(J127&lt;&gt;"",J127,"")</f>
        <v/>
      </c>
      <c r="AG130" s="875" t="str">
        <f>IF(S125&lt;&gt;"",S125,"")</f>
        <v/>
      </c>
      <c r="AH130" s="896" t="str">
        <f>IF(J132&lt;&gt;"",J132*100,"")</f>
        <v/>
      </c>
      <c r="AI130" s="897" t="str">
        <f>IF(S134&lt;&gt;"",S134,"")</f>
        <v/>
      </c>
      <c r="AJ130" s="880" t="str">
        <f>IF(AH130="","",((AH130/100)-J134)*100)</f>
        <v/>
      </c>
      <c r="AK130" s="1267" t="str">
        <f>IF(Z125&lt;&gt;"",Z125*100,"")</f>
        <v/>
      </c>
    </row>
    <row r="131" spans="1:37" s="316" customFormat="1" ht="15" customHeight="1" x14ac:dyDescent="0.3">
      <c r="A131" s="1955"/>
      <c r="B131" s="885" t="s">
        <v>318</v>
      </c>
      <c r="C131" s="886"/>
      <c r="D131" s="870" t="s">
        <v>319</v>
      </c>
      <c r="E131" s="750"/>
      <c r="F131" s="750"/>
      <c r="G131" s="750"/>
      <c r="H131" s="750"/>
      <c r="I131" s="750"/>
      <c r="J131" s="750"/>
      <c r="K131" s="750"/>
      <c r="L131" s="651" t="str">
        <f>IF(K125&lt;&gt;"",MAX(L$5:L130)+1,"")</f>
        <v/>
      </c>
      <c r="M131" s="1960"/>
      <c r="N131" s="887" t="str">
        <f>IF(N129&lt;&gt;"",N129/N130,"")</f>
        <v/>
      </c>
      <c r="O131" s="887" t="str">
        <f t="shared" ref="O131:T131" si="101">IF(O129&lt;&gt;"",O129/O130,"")</f>
        <v/>
      </c>
      <c r="P131" s="887" t="str">
        <f t="shared" si="101"/>
        <v/>
      </c>
      <c r="Q131" s="887" t="str">
        <f t="shared" si="101"/>
        <v/>
      </c>
      <c r="R131" s="887" t="str">
        <f t="shared" si="101"/>
        <v/>
      </c>
      <c r="S131" s="887" t="str">
        <f t="shared" si="101"/>
        <v/>
      </c>
      <c r="T131" s="887" t="str">
        <f t="shared" si="101"/>
        <v/>
      </c>
      <c r="U131" s="884"/>
      <c r="V131" s="884"/>
      <c r="W131" s="884"/>
      <c r="X131" s="884"/>
      <c r="Y131" s="884"/>
      <c r="Z131" s="884"/>
      <c r="AA131" s="884"/>
      <c r="AB131" s="872" t="str">
        <f t="shared" si="98"/>
        <v/>
      </c>
      <c r="AC131" s="873" t="str">
        <f>""</f>
        <v/>
      </c>
      <c r="AD131" s="873" t="str">
        <f>""</f>
        <v/>
      </c>
      <c r="AE131" s="873" t="str">
        <f>IF(K126&lt;&gt;"",K126,"")</f>
        <v/>
      </c>
      <c r="AF131" s="874" t="str">
        <f>IF(K127&lt;&gt;"",K127,"")</f>
        <v/>
      </c>
      <c r="AG131" s="875" t="str">
        <f>IF(T125&lt;&gt;"",T125,"")</f>
        <v/>
      </c>
      <c r="AH131" s="896" t="str">
        <f>IF(K132&lt;&gt;"",K132*100,"")</f>
        <v/>
      </c>
      <c r="AI131" s="897" t="str">
        <f>IF(T134&lt;&gt;"",T134,"")</f>
        <v/>
      </c>
      <c r="AJ131" s="880" t="str">
        <f>IF(AH131="","",((AH131/100)-K134)*100)</f>
        <v/>
      </c>
      <c r="AK131" s="1267" t="str">
        <f>IF(AA125&lt;&gt;"",AA125*100,"")</f>
        <v/>
      </c>
    </row>
    <row r="132" spans="1:37" s="316" customFormat="1" ht="15" customHeight="1" x14ac:dyDescent="0.3">
      <c r="A132" s="1955"/>
      <c r="B132" s="652"/>
      <c r="C132" s="653"/>
      <c r="D132" s="870" t="s">
        <v>320</v>
      </c>
      <c r="E132" s="888"/>
      <c r="F132" s="888"/>
      <c r="G132" s="888"/>
      <c r="H132" s="888"/>
      <c r="I132" s="888"/>
      <c r="J132" s="888"/>
      <c r="K132" s="888"/>
      <c r="L132" s="651"/>
      <c r="M132" s="1960"/>
      <c r="N132" s="889" t="str">
        <f>IF(E130&lt;&gt;"",LOOKUP(E130,Tara!$P$5:$P$21,Tara!$Q$5:$Q$21),"")</f>
        <v/>
      </c>
      <c r="O132" s="889" t="str">
        <f>IF(F130&lt;&gt;"",LOOKUP(F130,Tara!$P$5:$P$21,Tara!$Q$5:$Q$21),"")</f>
        <v/>
      </c>
      <c r="P132" s="889" t="str">
        <f>IF(G130&lt;&gt;"",LOOKUP(G130,Tara!$P$5:$P$21,Tara!$Q$5:$Q$21),"")</f>
        <v/>
      </c>
      <c r="Q132" s="889" t="str">
        <f>IF(H130&lt;&gt;"",LOOKUP(H130,Tara!$P$5:$P$21,Tara!$Q$5:$Q$21),"")</f>
        <v/>
      </c>
      <c r="R132" s="889" t="str">
        <f>IF(I130&lt;&gt;"",LOOKUP(I130,Tara!$P$5:$P$21,Tara!$Q$5:$Q$21),"")</f>
        <v/>
      </c>
      <c r="S132" s="889" t="str">
        <f>IF(J130&lt;&gt;"",LOOKUP(J130,Tara!$P$5:$P$21,Tara!$Q$5:$Q$21),"")</f>
        <v/>
      </c>
      <c r="T132" s="889" t="str">
        <f>IF(K130&lt;&gt;"",LOOKUP(K130,Tara!$P$5:$P$21,Tara!$Q$5:$Q$21),"")</f>
        <v/>
      </c>
      <c r="U132" s="884"/>
      <c r="V132" s="884"/>
      <c r="W132" s="884"/>
      <c r="X132" s="884"/>
      <c r="Y132" s="884"/>
      <c r="Z132" s="884"/>
      <c r="AA132" s="884"/>
      <c r="AB132" s="872" t="str">
        <f>""</f>
        <v/>
      </c>
      <c r="AC132" s="873" t="str">
        <f>""</f>
        <v/>
      </c>
      <c r="AD132" s="873" t="str">
        <f>""</f>
        <v/>
      </c>
      <c r="AE132" s="873" t="str">
        <f>""</f>
        <v/>
      </c>
      <c r="AF132" s="874" t="str">
        <f>""</f>
        <v/>
      </c>
      <c r="AG132" s="875" t="str">
        <f>""</f>
        <v/>
      </c>
      <c r="AH132" s="875" t="str">
        <f>""</f>
        <v/>
      </c>
      <c r="AI132" s="875" t="str">
        <f>""</f>
        <v/>
      </c>
      <c r="AJ132" s="890" t="str">
        <f>""</f>
        <v/>
      </c>
      <c r="AK132" s="1267" t="str">
        <f>""</f>
        <v/>
      </c>
    </row>
    <row r="133" spans="1:37" s="316" customFormat="1" ht="15" customHeight="1" x14ac:dyDescent="0.3">
      <c r="A133" s="1955"/>
      <c r="B133" s="654"/>
      <c r="C133" s="655"/>
      <c r="D133" s="891" t="s">
        <v>321</v>
      </c>
      <c r="E133" s="750"/>
      <c r="F133" s="750"/>
      <c r="G133" s="750"/>
      <c r="H133" s="750"/>
      <c r="I133" s="750"/>
      <c r="J133" s="750"/>
      <c r="K133" s="750"/>
      <c r="L133" s="651"/>
      <c r="M133" s="1960"/>
      <c r="N133" s="892" t="str">
        <f t="shared" ref="N133:T133" si="102">IF(E131&lt;&gt;"",(E131-N132)/N131,"")</f>
        <v/>
      </c>
      <c r="O133" s="892" t="str">
        <f t="shared" si="102"/>
        <v/>
      </c>
      <c r="P133" s="892" t="str">
        <f t="shared" si="102"/>
        <v/>
      </c>
      <c r="Q133" s="892" t="str">
        <f t="shared" si="102"/>
        <v/>
      </c>
      <c r="R133" s="892" t="str">
        <f t="shared" si="102"/>
        <v/>
      </c>
      <c r="S133" s="892" t="str">
        <f t="shared" si="102"/>
        <v/>
      </c>
      <c r="T133" s="892" t="str">
        <f t="shared" si="102"/>
        <v/>
      </c>
      <c r="U133" s="884"/>
      <c r="V133" s="884"/>
      <c r="W133" s="884"/>
      <c r="X133" s="884"/>
      <c r="Y133" s="884"/>
      <c r="Z133" s="884"/>
      <c r="AA133" s="884"/>
      <c r="AB133" s="872" t="str">
        <f>""</f>
        <v/>
      </c>
      <c r="AC133" s="873" t="str">
        <f>""</f>
        <v/>
      </c>
      <c r="AD133" s="873" t="str">
        <f>""</f>
        <v/>
      </c>
      <c r="AE133" s="873" t="str">
        <f>""</f>
        <v/>
      </c>
      <c r="AF133" s="874" t="str">
        <f>""</f>
        <v/>
      </c>
      <c r="AG133" s="893" t="str">
        <f>""</f>
        <v/>
      </c>
      <c r="AH133" s="893" t="str">
        <f>""</f>
        <v/>
      </c>
      <c r="AI133" s="893" t="str">
        <f>""</f>
        <v/>
      </c>
      <c r="AJ133" s="895" t="str">
        <f>""</f>
        <v/>
      </c>
      <c r="AK133" s="1269" t="str">
        <f>""</f>
        <v/>
      </c>
    </row>
    <row r="134" spans="1:37" s="316" customFormat="1" ht="15" customHeight="1" thickBot="1" x14ac:dyDescent="0.35">
      <c r="A134" s="1956"/>
      <c r="B134" s="656"/>
      <c r="C134" s="657"/>
      <c r="D134" s="658" t="s">
        <v>99</v>
      </c>
      <c r="E134" s="556"/>
      <c r="F134" s="556"/>
      <c r="G134" s="556"/>
      <c r="H134" s="556"/>
      <c r="I134" s="556"/>
      <c r="J134" s="556"/>
      <c r="K134" s="556"/>
      <c r="L134" s="659"/>
      <c r="M134" s="1961"/>
      <c r="N134" s="549" t="str">
        <f t="shared" ref="N134:T134" si="103">IF(N133&lt;&gt;"",N133/(1+E132),"")</f>
        <v/>
      </c>
      <c r="O134" s="549" t="str">
        <f t="shared" si="103"/>
        <v/>
      </c>
      <c r="P134" s="549" t="str">
        <f t="shared" si="103"/>
        <v/>
      </c>
      <c r="Q134" s="549" t="str">
        <f t="shared" si="103"/>
        <v/>
      </c>
      <c r="R134" s="549" t="str">
        <f t="shared" si="103"/>
        <v/>
      </c>
      <c r="S134" s="549" t="str">
        <f t="shared" si="103"/>
        <v/>
      </c>
      <c r="T134" s="549" t="str">
        <f t="shared" si="103"/>
        <v/>
      </c>
      <c r="U134" s="550"/>
      <c r="V134" s="550"/>
      <c r="W134" s="550"/>
      <c r="X134" s="550"/>
      <c r="Y134" s="550"/>
      <c r="Z134" s="550"/>
      <c r="AA134" s="550"/>
      <c r="AB134" s="551">
        <f>MAX(AB$5:AB133)+1</f>
        <v>13</v>
      </c>
      <c r="AC134" s="552" t="str">
        <f>""</f>
        <v/>
      </c>
      <c r="AD134" s="552" t="str">
        <f>""</f>
        <v/>
      </c>
      <c r="AE134" s="552" t="str">
        <f>""</f>
        <v/>
      </c>
      <c r="AF134" s="558" t="str">
        <f>""</f>
        <v/>
      </c>
      <c r="AG134" s="553" t="str">
        <f>""</f>
        <v/>
      </c>
      <c r="AH134" s="553" t="str">
        <f>""</f>
        <v/>
      </c>
      <c r="AI134" s="553" t="str">
        <f>""</f>
        <v/>
      </c>
      <c r="AJ134" s="554" t="str">
        <f>""</f>
        <v/>
      </c>
      <c r="AK134" s="555" t="str">
        <f>""</f>
        <v/>
      </c>
    </row>
    <row r="135" spans="1:37" s="56" customFormat="1" ht="15" customHeight="1" x14ac:dyDescent="0.3">
      <c r="A135" s="1954">
        <f>A125+1</f>
        <v>14</v>
      </c>
      <c r="B135" s="1957" t="s">
        <v>309</v>
      </c>
      <c r="C135" s="1958"/>
      <c r="D135" s="648" t="s">
        <v>34</v>
      </c>
      <c r="E135" s="649"/>
      <c r="F135" s="649"/>
      <c r="G135" s="649"/>
      <c r="H135" s="649"/>
      <c r="I135" s="649"/>
      <c r="J135" s="649"/>
      <c r="K135" s="649"/>
      <c r="L135" s="650" t="str">
        <f>IF(E135&lt;&gt;"",MAX(L$5:L134)+1,"")</f>
        <v/>
      </c>
      <c r="M135" s="1959" t="s">
        <v>25</v>
      </c>
      <c r="N135" s="539" t="str">
        <f t="shared" ref="N135:T135" si="104">IF(E135&lt;&gt;"",E135,"")</f>
        <v/>
      </c>
      <c r="O135" s="539" t="str">
        <f t="shared" si="104"/>
        <v/>
      </c>
      <c r="P135" s="539" t="str">
        <f t="shared" si="104"/>
        <v/>
      </c>
      <c r="Q135" s="539" t="str">
        <f t="shared" si="104"/>
        <v/>
      </c>
      <c r="R135" s="539" t="str">
        <f t="shared" si="104"/>
        <v/>
      </c>
      <c r="S135" s="539" t="str">
        <f t="shared" si="104"/>
        <v/>
      </c>
      <c r="T135" s="539" t="str">
        <f t="shared" si="104"/>
        <v/>
      </c>
      <c r="U135" s="540" t="str">
        <f t="shared" ref="U135:AA135" si="105">IF(N144&lt;&gt;"",N144/E143*1000,"")</f>
        <v/>
      </c>
      <c r="V135" s="540" t="str">
        <f t="shared" si="105"/>
        <v/>
      </c>
      <c r="W135" s="540" t="str">
        <f t="shared" si="105"/>
        <v/>
      </c>
      <c r="X135" s="540" t="str">
        <f t="shared" si="105"/>
        <v/>
      </c>
      <c r="Y135" s="540" t="str">
        <f t="shared" si="105"/>
        <v/>
      </c>
      <c r="Z135" s="540" t="str">
        <f t="shared" si="105"/>
        <v/>
      </c>
      <c r="AA135" s="540" t="str">
        <f t="shared" si="105"/>
        <v/>
      </c>
      <c r="AB135" s="539" t="str">
        <f>IF(L135&lt;&gt;"",L135,"")</f>
        <v/>
      </c>
      <c r="AC135" s="541" t="str">
        <f>IF(C136&lt;&gt;"",CONCATENATE(C136," a ",C137),"")</f>
        <v/>
      </c>
      <c r="AD135" s="542" t="str">
        <f>IF(C139&lt;&gt;"",C139,"")</f>
        <v/>
      </c>
      <c r="AE135" s="543" t="str">
        <f>IF(E136&lt;&gt;"",E136,"")</f>
        <v/>
      </c>
      <c r="AF135" s="557" t="str">
        <f>IF(E137&lt;&gt;"",E137,"")</f>
        <v/>
      </c>
      <c r="AG135" s="544" t="str">
        <f>IF(N135&lt;&gt;"",N135,"")</f>
        <v/>
      </c>
      <c r="AH135" s="545" t="str">
        <f>IF(E142&lt;&gt;"",E142*100,"")</f>
        <v/>
      </c>
      <c r="AI135" s="546" t="str">
        <f>IF(N144&lt;&gt;"",N144,"")</f>
        <v/>
      </c>
      <c r="AJ135" s="547" t="str">
        <f>IF(AH135="","",((AH135/100)-E144)*100)</f>
        <v/>
      </c>
      <c r="AK135" s="548" t="str">
        <f>IF(U135&lt;&gt;"",U135*100,"")</f>
        <v/>
      </c>
    </row>
    <row r="136" spans="1:37" s="57" customFormat="1" ht="15" customHeight="1" x14ac:dyDescent="0.3">
      <c r="A136" s="1955"/>
      <c r="B136" s="869" t="s">
        <v>310</v>
      </c>
      <c r="C136" s="666"/>
      <c r="D136" s="870" t="s">
        <v>156</v>
      </c>
      <c r="E136" s="871"/>
      <c r="F136" s="871"/>
      <c r="G136" s="871"/>
      <c r="H136" s="871"/>
      <c r="I136" s="871"/>
      <c r="J136" s="871"/>
      <c r="K136" s="871"/>
      <c r="L136" s="651" t="str">
        <f>IF(F135&lt;&gt;"",MAX(L$5:L135)+1,"")</f>
        <v/>
      </c>
      <c r="M136" s="1960"/>
      <c r="N136" s="872" t="str">
        <f>IF(E138&lt;&gt;"",LOOKUP(E138,Tara!$L$5:$L$21,Tara!$M$5:$M$21),"")</f>
        <v/>
      </c>
      <c r="O136" s="872" t="str">
        <f>IF(F138&lt;&gt;"",LOOKUP(F138,Tara!$L$5:$L$21,Tara!$M$5:$M$21),"")</f>
        <v/>
      </c>
      <c r="P136" s="872" t="str">
        <f>IF(G138&lt;&gt;"",LOOKUP(G138,Tara!$L$5:$L$21,Tara!$M$5:$M$21),"")</f>
        <v/>
      </c>
      <c r="Q136" s="872" t="str">
        <f>IF(H138&lt;&gt;"",LOOKUP(H138,Tara!$L$5:$L$21,Tara!$M$5:$M$21),"")</f>
        <v/>
      </c>
      <c r="R136" s="872" t="str">
        <f>IF(I138&lt;&gt;"",LOOKUP(I138,Tara!$L$5:$L$21,Tara!$M$5:$M$21),"")</f>
        <v/>
      </c>
      <c r="S136" s="872" t="str">
        <f>IF(J138&lt;&gt;"",LOOKUP(J138,Tara!$L$5:$L$21,Tara!$M$5:$M$21),"")</f>
        <v/>
      </c>
      <c r="T136" s="872" t="str">
        <f>IF(K138&lt;&gt;"",LOOKUP(K138,Tara!$L$5:$L$21,Tara!$M$5:$M$21),"")</f>
        <v/>
      </c>
      <c r="U136" s="872"/>
      <c r="V136" s="872"/>
      <c r="W136" s="872"/>
      <c r="X136" s="872"/>
      <c r="Y136" s="872"/>
      <c r="Z136" s="872"/>
      <c r="AA136" s="872"/>
      <c r="AB136" s="872" t="str">
        <f t="shared" ref="AB136:AB141" si="106">IF(L136&lt;&gt;"",L136,"")</f>
        <v/>
      </c>
      <c r="AC136" s="873" t="str">
        <f>""</f>
        <v/>
      </c>
      <c r="AD136" s="873" t="str">
        <f>""</f>
        <v/>
      </c>
      <c r="AE136" s="873" t="str">
        <f>IF(F136&lt;&gt;"",F136,"")</f>
        <v/>
      </c>
      <c r="AF136" s="874" t="str">
        <f>IF(E137&lt;&gt;"",F137,"")</f>
        <v/>
      </c>
      <c r="AG136" s="875" t="str">
        <f>IF(O135&lt;&gt;"",O135,"")</f>
        <v/>
      </c>
      <c r="AH136" s="896" t="str">
        <f>IF(F142&lt;&gt;"",F142*100,"")</f>
        <v/>
      </c>
      <c r="AI136" s="897" t="str">
        <f>IF(O144&lt;&gt;"",O144,"")</f>
        <v/>
      </c>
      <c r="AJ136" s="880" t="str">
        <f>IF(AH136="","",((AH136/100)-F144)*100)</f>
        <v/>
      </c>
      <c r="AK136" s="1267" t="str">
        <f>IF(V135&lt;&gt;"",V135*100,"")</f>
        <v/>
      </c>
    </row>
    <row r="137" spans="1:37" s="56" customFormat="1" ht="15" customHeight="1" x14ac:dyDescent="0.3">
      <c r="A137" s="1955"/>
      <c r="B137" s="869" t="s">
        <v>311</v>
      </c>
      <c r="C137" s="666"/>
      <c r="D137" s="870" t="s">
        <v>312</v>
      </c>
      <c r="E137" s="878"/>
      <c r="F137" s="878"/>
      <c r="G137" s="878"/>
      <c r="H137" s="878"/>
      <c r="I137" s="878"/>
      <c r="J137" s="878"/>
      <c r="K137" s="1268"/>
      <c r="L137" s="651" t="str">
        <f>IF(G135&lt;&gt;"",MAX(L$5:L136)+1,"")</f>
        <v/>
      </c>
      <c r="M137" s="1960"/>
      <c r="N137" s="872" t="str">
        <f t="shared" ref="N137:T137" si="107">IF(N136&lt;&gt;"",N136-E139,"")</f>
        <v/>
      </c>
      <c r="O137" s="872" t="str">
        <f t="shared" si="107"/>
        <v/>
      </c>
      <c r="P137" s="872" t="str">
        <f t="shared" si="107"/>
        <v/>
      </c>
      <c r="Q137" s="872" t="str">
        <f t="shared" si="107"/>
        <v/>
      </c>
      <c r="R137" s="872" t="str">
        <f t="shared" si="107"/>
        <v/>
      </c>
      <c r="S137" s="872" t="str">
        <f t="shared" si="107"/>
        <v/>
      </c>
      <c r="T137" s="872" t="str">
        <f t="shared" si="107"/>
        <v/>
      </c>
      <c r="U137" s="879"/>
      <c r="V137" s="879"/>
      <c r="W137" s="879"/>
      <c r="X137" s="879"/>
      <c r="Y137" s="879"/>
      <c r="Z137" s="879"/>
      <c r="AA137" s="879"/>
      <c r="AB137" s="872" t="str">
        <f t="shared" si="106"/>
        <v/>
      </c>
      <c r="AC137" s="873" t="str">
        <f>""</f>
        <v/>
      </c>
      <c r="AD137" s="873" t="str">
        <f>""</f>
        <v/>
      </c>
      <c r="AE137" s="873" t="str">
        <f>IF(G136&lt;&gt;"",G136,"")</f>
        <v/>
      </c>
      <c r="AF137" s="874" t="str">
        <f>IF(G137&lt;&gt;"",G137,"")</f>
        <v/>
      </c>
      <c r="AG137" s="875" t="str">
        <f>IF(P135&lt;&gt;"",P135,"")</f>
        <v/>
      </c>
      <c r="AH137" s="896" t="str">
        <f>IF(G142&lt;&gt;"",G142*100,"")</f>
        <v/>
      </c>
      <c r="AI137" s="897" t="str">
        <f>IF(P144&lt;&gt;"",P144,"")</f>
        <v/>
      </c>
      <c r="AJ137" s="880" t="str">
        <f>IF(AH137="","",((AH137/100)-G144)*100)</f>
        <v/>
      </c>
      <c r="AK137" s="1267" t="str">
        <f>IF(W135&lt;&gt;"",W135*100,"")</f>
        <v/>
      </c>
    </row>
    <row r="138" spans="1:37" s="56" customFormat="1" ht="15" customHeight="1" x14ac:dyDescent="0.3">
      <c r="A138" s="1955"/>
      <c r="B138" s="869" t="s">
        <v>313</v>
      </c>
      <c r="C138" s="666"/>
      <c r="D138" s="870" t="s">
        <v>314</v>
      </c>
      <c r="E138" s="750"/>
      <c r="F138" s="750"/>
      <c r="G138" s="750"/>
      <c r="H138" s="750"/>
      <c r="I138" s="750"/>
      <c r="J138" s="750"/>
      <c r="K138" s="750"/>
      <c r="L138" s="651" t="str">
        <f>IF(H135&lt;&gt;"",MAX(L$5:L137)+1,"")</f>
        <v/>
      </c>
      <c r="M138" s="1960"/>
      <c r="N138" s="872" t="str">
        <f>IF(E138&lt;&gt;"",LOOKUP(E138,Tara!$L$5:$L$21,Tara!$N$5:$N$21),"")</f>
        <v/>
      </c>
      <c r="O138" s="872" t="str">
        <f>IF(F138&lt;&gt;"",LOOKUP(F138,Tara!$L$5:$L$21,Tara!$N$5:$N$21),"")</f>
        <v/>
      </c>
      <c r="P138" s="872" t="str">
        <f>IF(G138&lt;&gt;"",LOOKUP(G138,Tara!$L$5:$L$21,Tara!$N$5:$N$21),"")</f>
        <v/>
      </c>
      <c r="Q138" s="872" t="str">
        <f>IF(H138&lt;&gt;"",LOOKUP(H138,Tara!$L$5:$L$21,Tara!$N$5:$N$21),"")</f>
        <v/>
      </c>
      <c r="R138" s="872" t="str">
        <f>IF(I138&lt;&gt;"",LOOKUP(I138,Tara!$L$5:$L$21,Tara!$N$5:$N$21),"")</f>
        <v/>
      </c>
      <c r="S138" s="872" t="str">
        <f>IF(J138&lt;&gt;"",LOOKUP(J138,Tara!$L$5:$L$21,Tara!$N$5:$N$21),"")</f>
        <v/>
      </c>
      <c r="T138" s="872" t="str">
        <f>IF(K138&lt;&gt;"",LOOKUP(K138,Tara!$L$5:$L$21,Tara!$N$5:$N$21),"")</f>
        <v/>
      </c>
      <c r="U138" s="881"/>
      <c r="V138" s="881"/>
      <c r="W138" s="881"/>
      <c r="X138" s="881"/>
      <c r="Y138" s="881"/>
      <c r="Z138" s="881"/>
      <c r="AA138" s="881"/>
      <c r="AB138" s="872" t="str">
        <f t="shared" si="106"/>
        <v/>
      </c>
      <c r="AC138" s="873" t="str">
        <f>""</f>
        <v/>
      </c>
      <c r="AD138" s="873" t="str">
        <f>""</f>
        <v/>
      </c>
      <c r="AE138" s="873" t="str">
        <f>IF(H136&lt;&gt;"",H136,"")</f>
        <v/>
      </c>
      <c r="AF138" s="874" t="str">
        <f>IF(H137&lt;&gt;"",H137,"")</f>
        <v/>
      </c>
      <c r="AG138" s="875" t="str">
        <f>IF(Q135&lt;&gt;"",Q135,"")</f>
        <v/>
      </c>
      <c r="AH138" s="896" t="str">
        <f>IF(H142&lt;&gt;"",H142*100,"")</f>
        <v/>
      </c>
      <c r="AI138" s="897" t="str">
        <f>IF(Q144&lt;&gt;"",Q144,"")</f>
        <v/>
      </c>
      <c r="AJ138" s="880" t="str">
        <f>IF(AH138="","",((AH138/100)-H144)*100)</f>
        <v/>
      </c>
      <c r="AK138" s="1267" t="str">
        <f>IF(X135&lt;&gt;"",X135*100,"")</f>
        <v/>
      </c>
    </row>
    <row r="139" spans="1:37" s="56" customFormat="1" ht="15" customHeight="1" x14ac:dyDescent="0.3">
      <c r="A139" s="1955"/>
      <c r="B139" s="882" t="s">
        <v>57</v>
      </c>
      <c r="C139" s="688"/>
      <c r="D139" s="870" t="s">
        <v>315</v>
      </c>
      <c r="E139" s="871"/>
      <c r="F139" s="871"/>
      <c r="G139" s="871"/>
      <c r="H139" s="871"/>
      <c r="I139" s="871"/>
      <c r="J139" s="871"/>
      <c r="K139" s="871"/>
      <c r="L139" s="651" t="str">
        <f>IF(I135&lt;&gt;"",MAX(L$5:L138)+1,"")</f>
        <v/>
      </c>
      <c r="M139" s="1960"/>
      <c r="N139" s="872" t="str">
        <f t="shared" ref="N139:T139" si="108">IF(N137&lt;&gt;"",N137-N138,"")</f>
        <v/>
      </c>
      <c r="O139" s="872" t="str">
        <f t="shared" si="108"/>
        <v/>
      </c>
      <c r="P139" s="872" t="str">
        <f t="shared" si="108"/>
        <v/>
      </c>
      <c r="Q139" s="872" t="str">
        <f t="shared" si="108"/>
        <v/>
      </c>
      <c r="R139" s="872" t="str">
        <f t="shared" si="108"/>
        <v/>
      </c>
      <c r="S139" s="872" t="str">
        <f t="shared" si="108"/>
        <v/>
      </c>
      <c r="T139" s="872" t="str">
        <f t="shared" si="108"/>
        <v/>
      </c>
      <c r="U139" s="881"/>
      <c r="V139" s="881"/>
      <c r="W139" s="881"/>
      <c r="X139" s="881"/>
      <c r="Y139" s="881"/>
      <c r="Z139" s="881"/>
      <c r="AA139" s="881"/>
      <c r="AB139" s="872" t="str">
        <f t="shared" si="106"/>
        <v/>
      </c>
      <c r="AC139" s="873" t="str">
        <f>""</f>
        <v/>
      </c>
      <c r="AD139" s="873" t="str">
        <f>""</f>
        <v/>
      </c>
      <c r="AE139" s="873" t="str">
        <f>IF(I136&lt;&gt;"",I136,"")</f>
        <v/>
      </c>
      <c r="AF139" s="874" t="str">
        <f>IF(I137&lt;&gt;"",I137,"")</f>
        <v/>
      </c>
      <c r="AG139" s="875" t="str">
        <f>IF(R135&lt;&gt;"",R135,"")</f>
        <v/>
      </c>
      <c r="AH139" s="896" t="str">
        <f>IF(I142&lt;&gt;"",I142*100,"")</f>
        <v/>
      </c>
      <c r="AI139" s="897" t="str">
        <f>IF(R144&lt;&gt;"",R144,"")</f>
        <v/>
      </c>
      <c r="AJ139" s="880" t="str">
        <f>IF(AH139="","",((AH139/100)-I144)*100)</f>
        <v/>
      </c>
      <c r="AK139" s="1267" t="str">
        <f>IF(Y135&lt;&gt;"",Y135*100,"")</f>
        <v/>
      </c>
    </row>
    <row r="140" spans="1:37" s="316" customFormat="1" ht="15" customHeight="1" x14ac:dyDescent="0.3">
      <c r="A140" s="1955"/>
      <c r="B140" s="882" t="s">
        <v>316</v>
      </c>
      <c r="C140" s="666"/>
      <c r="D140" s="883" t="s">
        <v>317</v>
      </c>
      <c r="E140" s="750"/>
      <c r="F140" s="750"/>
      <c r="G140" s="750"/>
      <c r="H140" s="750"/>
      <c r="I140" s="750"/>
      <c r="J140" s="750"/>
      <c r="K140" s="750"/>
      <c r="L140" s="651" t="str">
        <f>IF(J135&lt;&gt;"",MAX(L$5:L139)+1,"")</f>
        <v/>
      </c>
      <c r="M140" s="1960"/>
      <c r="N140" s="872" t="str">
        <f>IF(E138&lt;&gt;"",LOOKUP(E138,Tara!$L$5:$L$21,Tara!$O$5:$O$21),"")</f>
        <v/>
      </c>
      <c r="O140" s="872" t="str">
        <f>IF(F138&lt;&gt;"",LOOKUP(F138,Tara!$L$5:$L$21,Tara!$O$5:$O$21),"")</f>
        <v/>
      </c>
      <c r="P140" s="872" t="str">
        <f>IF(G138&lt;&gt;"",LOOKUP(G138,Tara!$L$5:$L$21,Tara!$O$5:$O$21),"")</f>
        <v/>
      </c>
      <c r="Q140" s="872" t="str">
        <f>IF(H138&lt;&gt;"",LOOKUP(H138,Tara!$L$5:$L$21,Tara!$O$5:$O$21),"")</f>
        <v/>
      </c>
      <c r="R140" s="872" t="str">
        <f>IF(I138&lt;&gt;"",LOOKUP(I138,Tara!$L$5:$L$21,Tara!$O$5:$O$21),"")</f>
        <v/>
      </c>
      <c r="S140" s="872" t="str">
        <f>IF(J138&lt;&gt;"",LOOKUP(J138,Tara!$L$5:$L$21,Tara!$O$5:$O$21),"")</f>
        <v/>
      </c>
      <c r="T140" s="872" t="str">
        <f>IF(K138&lt;&gt;"",LOOKUP(K138,Tara!$L$5:$L$21,Tara!$O$5:$O$21),"")</f>
        <v/>
      </c>
      <c r="U140" s="884"/>
      <c r="V140" s="884"/>
      <c r="W140" s="884"/>
      <c r="X140" s="884"/>
      <c r="Y140" s="884"/>
      <c r="Z140" s="884"/>
      <c r="AA140" s="884"/>
      <c r="AB140" s="872" t="str">
        <f t="shared" si="106"/>
        <v/>
      </c>
      <c r="AC140" s="873" t="str">
        <f>""</f>
        <v/>
      </c>
      <c r="AD140" s="873" t="str">
        <f>""</f>
        <v/>
      </c>
      <c r="AE140" s="873" t="str">
        <f>IF(J136&lt;&gt;"",J136,"")</f>
        <v/>
      </c>
      <c r="AF140" s="874" t="str">
        <f>IF(J137&lt;&gt;"",J137,"")</f>
        <v/>
      </c>
      <c r="AG140" s="875" t="str">
        <f>IF(S135&lt;&gt;"",S135,"")</f>
        <v/>
      </c>
      <c r="AH140" s="896" t="str">
        <f>IF(J142&lt;&gt;"",J142*100,"")</f>
        <v/>
      </c>
      <c r="AI140" s="897" t="str">
        <f>IF(S144&lt;&gt;"",S144,"")</f>
        <v/>
      </c>
      <c r="AJ140" s="880" t="str">
        <f>IF(AH140="","",((AH140/100)-J144)*100)</f>
        <v/>
      </c>
      <c r="AK140" s="1267" t="str">
        <f>IF(Z135&lt;&gt;"",Z135*100,"")</f>
        <v/>
      </c>
    </row>
    <row r="141" spans="1:37" s="316" customFormat="1" ht="15" customHeight="1" x14ac:dyDescent="0.3">
      <c r="A141" s="1955"/>
      <c r="B141" s="885" t="s">
        <v>318</v>
      </c>
      <c r="C141" s="886"/>
      <c r="D141" s="870" t="s">
        <v>319</v>
      </c>
      <c r="E141" s="750"/>
      <c r="F141" s="750"/>
      <c r="G141" s="750"/>
      <c r="H141" s="750"/>
      <c r="I141" s="750"/>
      <c r="J141" s="750"/>
      <c r="K141" s="750"/>
      <c r="L141" s="651" t="str">
        <f>IF(K135&lt;&gt;"",MAX(L$5:L140)+1,"")</f>
        <v/>
      </c>
      <c r="M141" s="1960"/>
      <c r="N141" s="887" t="str">
        <f>IF(N139&lt;&gt;"",N139/N140,"")</f>
        <v/>
      </c>
      <c r="O141" s="887" t="str">
        <f t="shared" ref="O141:T141" si="109">IF(O139&lt;&gt;"",O139/O140,"")</f>
        <v/>
      </c>
      <c r="P141" s="887" t="str">
        <f t="shared" si="109"/>
        <v/>
      </c>
      <c r="Q141" s="887" t="str">
        <f t="shared" si="109"/>
        <v/>
      </c>
      <c r="R141" s="887" t="str">
        <f t="shared" si="109"/>
        <v/>
      </c>
      <c r="S141" s="887" t="str">
        <f t="shared" si="109"/>
        <v/>
      </c>
      <c r="T141" s="887" t="str">
        <f t="shared" si="109"/>
        <v/>
      </c>
      <c r="U141" s="884"/>
      <c r="V141" s="884"/>
      <c r="W141" s="884"/>
      <c r="X141" s="884"/>
      <c r="Y141" s="884"/>
      <c r="Z141" s="884"/>
      <c r="AA141" s="884"/>
      <c r="AB141" s="872" t="str">
        <f t="shared" si="106"/>
        <v/>
      </c>
      <c r="AC141" s="873" t="str">
        <f>""</f>
        <v/>
      </c>
      <c r="AD141" s="873" t="str">
        <f>""</f>
        <v/>
      </c>
      <c r="AE141" s="873" t="str">
        <f>IF(K136&lt;&gt;"",K136,"")</f>
        <v/>
      </c>
      <c r="AF141" s="874" t="str">
        <f>IF(K137&lt;&gt;"",K137,"")</f>
        <v/>
      </c>
      <c r="AG141" s="875" t="str">
        <f>IF(T135&lt;&gt;"",T135,"")</f>
        <v/>
      </c>
      <c r="AH141" s="896" t="str">
        <f>IF(K142&lt;&gt;"",K142*100,"")</f>
        <v/>
      </c>
      <c r="AI141" s="897" t="str">
        <f>IF(T144&lt;&gt;"",T144,"")</f>
        <v/>
      </c>
      <c r="AJ141" s="880" t="str">
        <f>IF(AH141="","",((AH141/100)-K144)*100)</f>
        <v/>
      </c>
      <c r="AK141" s="1267" t="str">
        <f>IF(AA135&lt;&gt;"",AA135*100,"")</f>
        <v/>
      </c>
    </row>
    <row r="142" spans="1:37" s="316" customFormat="1" ht="15" customHeight="1" x14ac:dyDescent="0.3">
      <c r="A142" s="1955"/>
      <c r="B142" s="652"/>
      <c r="C142" s="653"/>
      <c r="D142" s="870" t="s">
        <v>320</v>
      </c>
      <c r="E142" s="888"/>
      <c r="F142" s="888"/>
      <c r="G142" s="888"/>
      <c r="H142" s="888"/>
      <c r="I142" s="888"/>
      <c r="J142" s="888"/>
      <c r="K142" s="888"/>
      <c r="L142" s="651"/>
      <c r="M142" s="1960"/>
      <c r="N142" s="889" t="str">
        <f>IF(E140&lt;&gt;"",LOOKUP(E140,Tara!$P$5:$P$21,Tara!$Q$5:$Q$21),"")</f>
        <v/>
      </c>
      <c r="O142" s="889" t="str">
        <f>IF(F140&lt;&gt;"",LOOKUP(F140,Tara!$P$5:$P$21,Tara!$Q$5:$Q$21),"")</f>
        <v/>
      </c>
      <c r="P142" s="889" t="str">
        <f>IF(G140&lt;&gt;"",LOOKUP(G140,Tara!$P$5:$P$21,Tara!$Q$5:$Q$21),"")</f>
        <v/>
      </c>
      <c r="Q142" s="889" t="str">
        <f>IF(H140&lt;&gt;"",LOOKUP(H140,Tara!$P$5:$P$21,Tara!$Q$5:$Q$21),"")</f>
        <v/>
      </c>
      <c r="R142" s="889" t="str">
        <f>IF(I140&lt;&gt;"",LOOKUP(I140,Tara!$P$5:$P$21,Tara!$Q$5:$Q$21),"")</f>
        <v/>
      </c>
      <c r="S142" s="889" t="str">
        <f>IF(J140&lt;&gt;"",LOOKUP(J140,Tara!$P$5:$P$21,Tara!$Q$5:$Q$21),"")</f>
        <v/>
      </c>
      <c r="T142" s="889" t="str">
        <f>IF(K140&lt;&gt;"",LOOKUP(K140,Tara!$P$5:$P$21,Tara!$Q$5:$Q$21),"")</f>
        <v/>
      </c>
      <c r="U142" s="884"/>
      <c r="V142" s="884"/>
      <c r="W142" s="884"/>
      <c r="X142" s="884"/>
      <c r="Y142" s="884"/>
      <c r="Z142" s="884"/>
      <c r="AA142" s="884"/>
      <c r="AB142" s="872" t="str">
        <f>""</f>
        <v/>
      </c>
      <c r="AC142" s="873" t="str">
        <f>""</f>
        <v/>
      </c>
      <c r="AD142" s="873" t="str">
        <f>""</f>
        <v/>
      </c>
      <c r="AE142" s="873" t="str">
        <f>""</f>
        <v/>
      </c>
      <c r="AF142" s="874" t="str">
        <f>""</f>
        <v/>
      </c>
      <c r="AG142" s="875" t="str">
        <f>""</f>
        <v/>
      </c>
      <c r="AH142" s="875" t="str">
        <f>""</f>
        <v/>
      </c>
      <c r="AI142" s="875" t="str">
        <f>""</f>
        <v/>
      </c>
      <c r="AJ142" s="890" t="str">
        <f>""</f>
        <v/>
      </c>
      <c r="AK142" s="1267" t="str">
        <f>""</f>
        <v/>
      </c>
    </row>
    <row r="143" spans="1:37" s="316" customFormat="1" ht="15" customHeight="1" x14ac:dyDescent="0.3">
      <c r="A143" s="1955"/>
      <c r="B143" s="654"/>
      <c r="C143" s="655"/>
      <c r="D143" s="891" t="s">
        <v>321</v>
      </c>
      <c r="E143" s="750"/>
      <c r="F143" s="750"/>
      <c r="G143" s="750"/>
      <c r="H143" s="750"/>
      <c r="I143" s="750"/>
      <c r="J143" s="750"/>
      <c r="K143" s="750"/>
      <c r="L143" s="651"/>
      <c r="M143" s="1960"/>
      <c r="N143" s="892" t="str">
        <f t="shared" ref="N143:T143" si="110">IF(E141&lt;&gt;"",(E141-N142)/N141,"")</f>
        <v/>
      </c>
      <c r="O143" s="892" t="str">
        <f t="shared" si="110"/>
        <v/>
      </c>
      <c r="P143" s="892" t="str">
        <f t="shared" si="110"/>
        <v/>
      </c>
      <c r="Q143" s="892" t="str">
        <f t="shared" si="110"/>
        <v/>
      </c>
      <c r="R143" s="892" t="str">
        <f t="shared" si="110"/>
        <v/>
      </c>
      <c r="S143" s="892" t="str">
        <f t="shared" si="110"/>
        <v/>
      </c>
      <c r="T143" s="892" t="str">
        <f t="shared" si="110"/>
        <v/>
      </c>
      <c r="U143" s="884"/>
      <c r="V143" s="884"/>
      <c r="W143" s="884"/>
      <c r="X143" s="884"/>
      <c r="Y143" s="884"/>
      <c r="Z143" s="884"/>
      <c r="AA143" s="884"/>
      <c r="AB143" s="872" t="str">
        <f>""</f>
        <v/>
      </c>
      <c r="AC143" s="873" t="str">
        <f>""</f>
        <v/>
      </c>
      <c r="AD143" s="873" t="str">
        <f>""</f>
        <v/>
      </c>
      <c r="AE143" s="873" t="str">
        <f>""</f>
        <v/>
      </c>
      <c r="AF143" s="874" t="str">
        <f>""</f>
        <v/>
      </c>
      <c r="AG143" s="893" t="str">
        <f>""</f>
        <v/>
      </c>
      <c r="AH143" s="893" t="str">
        <f>""</f>
        <v/>
      </c>
      <c r="AI143" s="893" t="str">
        <f>""</f>
        <v/>
      </c>
      <c r="AJ143" s="895" t="str">
        <f>""</f>
        <v/>
      </c>
      <c r="AK143" s="1269" t="str">
        <f>""</f>
        <v/>
      </c>
    </row>
    <row r="144" spans="1:37" s="316" customFormat="1" ht="15" customHeight="1" thickBot="1" x14ac:dyDescent="0.35">
      <c r="A144" s="1956"/>
      <c r="B144" s="656"/>
      <c r="C144" s="657"/>
      <c r="D144" s="658" t="s">
        <v>99</v>
      </c>
      <c r="E144" s="556"/>
      <c r="F144" s="556"/>
      <c r="G144" s="556"/>
      <c r="H144" s="556"/>
      <c r="I144" s="556"/>
      <c r="J144" s="556"/>
      <c r="K144" s="556"/>
      <c r="L144" s="659"/>
      <c r="M144" s="1961"/>
      <c r="N144" s="549" t="str">
        <f t="shared" ref="N144:T144" si="111">IF(N143&lt;&gt;"",N143/(1+E142),"")</f>
        <v/>
      </c>
      <c r="O144" s="549" t="str">
        <f t="shared" si="111"/>
        <v/>
      </c>
      <c r="P144" s="549" t="str">
        <f t="shared" si="111"/>
        <v/>
      </c>
      <c r="Q144" s="549" t="str">
        <f t="shared" si="111"/>
        <v/>
      </c>
      <c r="R144" s="549" t="str">
        <f t="shared" si="111"/>
        <v/>
      </c>
      <c r="S144" s="549" t="str">
        <f t="shared" si="111"/>
        <v/>
      </c>
      <c r="T144" s="549" t="str">
        <f t="shared" si="111"/>
        <v/>
      </c>
      <c r="U144" s="550"/>
      <c r="V144" s="550"/>
      <c r="W144" s="550"/>
      <c r="X144" s="550"/>
      <c r="Y144" s="550"/>
      <c r="Z144" s="550"/>
      <c r="AA144" s="550"/>
      <c r="AB144" s="551">
        <f>MAX(AB$5:AB143)+1</f>
        <v>14</v>
      </c>
      <c r="AC144" s="552" t="str">
        <f>""</f>
        <v/>
      </c>
      <c r="AD144" s="552" t="str">
        <f>""</f>
        <v/>
      </c>
      <c r="AE144" s="552" t="str">
        <f>""</f>
        <v/>
      </c>
      <c r="AF144" s="558" t="str">
        <f>""</f>
        <v/>
      </c>
      <c r="AG144" s="553" t="str">
        <f>""</f>
        <v/>
      </c>
      <c r="AH144" s="553" t="str">
        <f>""</f>
        <v/>
      </c>
      <c r="AI144" s="553" t="str">
        <f>""</f>
        <v/>
      </c>
      <c r="AJ144" s="554" t="str">
        <f>""</f>
        <v/>
      </c>
      <c r="AK144" s="555" t="str">
        <f>""</f>
        <v/>
      </c>
    </row>
    <row r="145" spans="1:37" s="56" customFormat="1" ht="15" customHeight="1" x14ac:dyDescent="0.3">
      <c r="A145" s="1954">
        <f>A135+1</f>
        <v>15</v>
      </c>
      <c r="B145" s="1957" t="s">
        <v>309</v>
      </c>
      <c r="C145" s="1958"/>
      <c r="D145" s="648" t="s">
        <v>34</v>
      </c>
      <c r="E145" s="649"/>
      <c r="F145" s="649"/>
      <c r="G145" s="649"/>
      <c r="H145" s="649"/>
      <c r="I145" s="649"/>
      <c r="J145" s="649"/>
      <c r="K145" s="649"/>
      <c r="L145" s="650" t="str">
        <f>IF(E145&lt;&gt;"",MAX(L$5:L144)+1,"")</f>
        <v/>
      </c>
      <c r="M145" s="1959" t="s">
        <v>25</v>
      </c>
      <c r="N145" s="539" t="str">
        <f t="shared" ref="N145:T145" si="112">IF(E145&lt;&gt;"",E145,"")</f>
        <v/>
      </c>
      <c r="O145" s="539" t="str">
        <f t="shared" si="112"/>
        <v/>
      </c>
      <c r="P145" s="539" t="str">
        <f t="shared" si="112"/>
        <v/>
      </c>
      <c r="Q145" s="539" t="str">
        <f t="shared" si="112"/>
        <v/>
      </c>
      <c r="R145" s="539" t="str">
        <f t="shared" si="112"/>
        <v/>
      </c>
      <c r="S145" s="539" t="str">
        <f t="shared" si="112"/>
        <v/>
      </c>
      <c r="T145" s="539" t="str">
        <f t="shared" si="112"/>
        <v/>
      </c>
      <c r="U145" s="540" t="str">
        <f t="shared" ref="U145:AA145" si="113">IF(N154&lt;&gt;"",N154/E153*1000,"")</f>
        <v/>
      </c>
      <c r="V145" s="540" t="str">
        <f t="shared" si="113"/>
        <v/>
      </c>
      <c r="W145" s="540" t="str">
        <f t="shared" si="113"/>
        <v/>
      </c>
      <c r="X145" s="540" t="str">
        <f t="shared" si="113"/>
        <v/>
      </c>
      <c r="Y145" s="540" t="str">
        <f t="shared" si="113"/>
        <v/>
      </c>
      <c r="Z145" s="540" t="str">
        <f t="shared" si="113"/>
        <v/>
      </c>
      <c r="AA145" s="540" t="str">
        <f t="shared" si="113"/>
        <v/>
      </c>
      <c r="AB145" s="539" t="str">
        <f>IF(L145&lt;&gt;"",L145,"")</f>
        <v/>
      </c>
      <c r="AC145" s="541" t="str">
        <f>IF(C146&lt;&gt;"",CONCATENATE(C146," a ",C147),"")</f>
        <v/>
      </c>
      <c r="AD145" s="542" t="str">
        <f>IF(C149&lt;&gt;"",C149,"")</f>
        <v/>
      </c>
      <c r="AE145" s="543" t="str">
        <f>IF(E146&lt;&gt;"",E146,"")</f>
        <v/>
      </c>
      <c r="AF145" s="557" t="str">
        <f>IF(E147&lt;&gt;"",E147,"")</f>
        <v/>
      </c>
      <c r="AG145" s="544" t="str">
        <f>IF(N145&lt;&gt;"",N145,"")</f>
        <v/>
      </c>
      <c r="AH145" s="545" t="str">
        <f>IF(E152&lt;&gt;"",E152*100,"")</f>
        <v/>
      </c>
      <c r="AI145" s="546" t="str">
        <f>IF(N154&lt;&gt;"",N154,"")</f>
        <v/>
      </c>
      <c r="AJ145" s="547" t="str">
        <f>IF(AH145="","",((AH145/100)-E154)*100)</f>
        <v/>
      </c>
      <c r="AK145" s="548" t="str">
        <f>IF(U145&lt;&gt;"",U145*100,"")</f>
        <v/>
      </c>
    </row>
    <row r="146" spans="1:37" s="57" customFormat="1" ht="15" customHeight="1" x14ac:dyDescent="0.3">
      <c r="A146" s="1955"/>
      <c r="B146" s="869" t="s">
        <v>310</v>
      </c>
      <c r="C146" s="666"/>
      <c r="D146" s="870" t="s">
        <v>156</v>
      </c>
      <c r="E146" s="871"/>
      <c r="F146" s="871"/>
      <c r="G146" s="871"/>
      <c r="H146" s="871"/>
      <c r="I146" s="871"/>
      <c r="J146" s="871"/>
      <c r="K146" s="871"/>
      <c r="L146" s="651" t="str">
        <f>IF(F145&lt;&gt;"",MAX(L$5:L145)+1,"")</f>
        <v/>
      </c>
      <c r="M146" s="1960"/>
      <c r="N146" s="872" t="str">
        <f>IF(E148&lt;&gt;"",LOOKUP(E148,Tara!$L$5:$L$21,Tara!$M$5:$M$21),"")</f>
        <v/>
      </c>
      <c r="O146" s="872" t="str">
        <f>IF(F148&lt;&gt;"",LOOKUP(F148,Tara!$L$5:$L$21,Tara!$M$5:$M$21),"")</f>
        <v/>
      </c>
      <c r="P146" s="872" t="str">
        <f>IF(G148&lt;&gt;"",LOOKUP(G148,Tara!$L$5:$L$21,Tara!$M$5:$M$21),"")</f>
        <v/>
      </c>
      <c r="Q146" s="872" t="str">
        <f>IF(H148&lt;&gt;"",LOOKUP(H148,Tara!$L$5:$L$21,Tara!$M$5:$M$21),"")</f>
        <v/>
      </c>
      <c r="R146" s="872" t="str">
        <f>IF(I148&lt;&gt;"",LOOKUP(I148,Tara!$L$5:$L$21,Tara!$M$5:$M$21),"")</f>
        <v/>
      </c>
      <c r="S146" s="872" t="str">
        <f>IF(J148&lt;&gt;"",LOOKUP(J148,Tara!$L$5:$L$21,Tara!$M$5:$M$21),"")</f>
        <v/>
      </c>
      <c r="T146" s="872" t="str">
        <f>IF(K148&lt;&gt;"",LOOKUP(K148,Tara!$L$5:$L$21,Tara!$M$5:$M$21),"")</f>
        <v/>
      </c>
      <c r="U146" s="872"/>
      <c r="V146" s="872"/>
      <c r="W146" s="872"/>
      <c r="X146" s="872"/>
      <c r="Y146" s="872"/>
      <c r="Z146" s="872"/>
      <c r="AA146" s="872"/>
      <c r="AB146" s="872" t="str">
        <f t="shared" ref="AB146:AB151" si="114">IF(L146&lt;&gt;"",L146,"")</f>
        <v/>
      </c>
      <c r="AC146" s="873" t="str">
        <f>""</f>
        <v/>
      </c>
      <c r="AD146" s="873" t="str">
        <f>""</f>
        <v/>
      </c>
      <c r="AE146" s="873" t="str">
        <f>IF(F146&lt;&gt;"",F146,"")</f>
        <v/>
      </c>
      <c r="AF146" s="874" t="str">
        <f>IF(E147&lt;&gt;"",F147,"")</f>
        <v/>
      </c>
      <c r="AG146" s="875" t="str">
        <f>IF(O145&lt;&gt;"",O145,"")</f>
        <v/>
      </c>
      <c r="AH146" s="896" t="str">
        <f>IF(F152&lt;&gt;"",F152*100,"")</f>
        <v/>
      </c>
      <c r="AI146" s="897" t="str">
        <f>IF(O154&lt;&gt;"",O154,"")</f>
        <v/>
      </c>
      <c r="AJ146" s="880" t="str">
        <f>IF(AH146="","",((AH146/100)-F154)*100)</f>
        <v/>
      </c>
      <c r="AK146" s="1267" t="str">
        <f>IF(V145&lt;&gt;"",V145*100,"")</f>
        <v/>
      </c>
    </row>
    <row r="147" spans="1:37" s="56" customFormat="1" ht="15" customHeight="1" x14ac:dyDescent="0.3">
      <c r="A147" s="1955"/>
      <c r="B147" s="869" t="s">
        <v>311</v>
      </c>
      <c r="C147" s="666"/>
      <c r="D147" s="870" t="s">
        <v>312</v>
      </c>
      <c r="E147" s="878"/>
      <c r="F147" s="878"/>
      <c r="G147" s="878"/>
      <c r="H147" s="878"/>
      <c r="I147" s="878"/>
      <c r="J147" s="878"/>
      <c r="K147" s="1268"/>
      <c r="L147" s="651" t="str">
        <f>IF(G145&lt;&gt;"",MAX(L$5:L146)+1,"")</f>
        <v/>
      </c>
      <c r="M147" s="1960"/>
      <c r="N147" s="872" t="str">
        <f t="shared" ref="N147:T147" si="115">IF(N146&lt;&gt;"",N146-E149,"")</f>
        <v/>
      </c>
      <c r="O147" s="872" t="str">
        <f t="shared" si="115"/>
        <v/>
      </c>
      <c r="P147" s="872" t="str">
        <f t="shared" si="115"/>
        <v/>
      </c>
      <c r="Q147" s="872" t="str">
        <f t="shared" si="115"/>
        <v/>
      </c>
      <c r="R147" s="872" t="str">
        <f t="shared" si="115"/>
        <v/>
      </c>
      <c r="S147" s="872" t="str">
        <f t="shared" si="115"/>
        <v/>
      </c>
      <c r="T147" s="872" t="str">
        <f t="shared" si="115"/>
        <v/>
      </c>
      <c r="U147" s="879"/>
      <c r="V147" s="879"/>
      <c r="W147" s="879"/>
      <c r="X147" s="879"/>
      <c r="Y147" s="879"/>
      <c r="Z147" s="879"/>
      <c r="AA147" s="879"/>
      <c r="AB147" s="872" t="str">
        <f t="shared" si="114"/>
        <v/>
      </c>
      <c r="AC147" s="873" t="str">
        <f>""</f>
        <v/>
      </c>
      <c r="AD147" s="873" t="str">
        <f>""</f>
        <v/>
      </c>
      <c r="AE147" s="873" t="str">
        <f>IF(G146&lt;&gt;"",G146,"")</f>
        <v/>
      </c>
      <c r="AF147" s="874" t="str">
        <f>IF(G147&lt;&gt;"",G147,"")</f>
        <v/>
      </c>
      <c r="AG147" s="875" t="str">
        <f>IF(P145&lt;&gt;"",P145,"")</f>
        <v/>
      </c>
      <c r="AH147" s="896" t="str">
        <f>IF(G152&lt;&gt;"",G152*100,"")</f>
        <v/>
      </c>
      <c r="AI147" s="897" t="str">
        <f>IF(P154&lt;&gt;"",P154,"")</f>
        <v/>
      </c>
      <c r="AJ147" s="880" t="str">
        <f>IF(AH147="","",((AH147/100)-G154)*100)</f>
        <v/>
      </c>
      <c r="AK147" s="1267" t="str">
        <f>IF(W145&lt;&gt;"",W145*100,"")</f>
        <v/>
      </c>
    </row>
    <row r="148" spans="1:37" s="56" customFormat="1" ht="15" customHeight="1" x14ac:dyDescent="0.3">
      <c r="A148" s="1955"/>
      <c r="B148" s="869" t="s">
        <v>313</v>
      </c>
      <c r="C148" s="666"/>
      <c r="D148" s="870" t="s">
        <v>314</v>
      </c>
      <c r="E148" s="750"/>
      <c r="F148" s="750"/>
      <c r="G148" s="750"/>
      <c r="H148" s="750"/>
      <c r="I148" s="750"/>
      <c r="J148" s="750"/>
      <c r="K148" s="750"/>
      <c r="L148" s="651" t="str">
        <f>IF(H145&lt;&gt;"",MAX(L$5:L147)+1,"")</f>
        <v/>
      </c>
      <c r="M148" s="1960"/>
      <c r="N148" s="872" t="str">
        <f>IF(E148&lt;&gt;"",LOOKUP(E148,Tara!$L$5:$L$21,Tara!$N$5:$N$21),"")</f>
        <v/>
      </c>
      <c r="O148" s="872" t="str">
        <f>IF(F148&lt;&gt;"",LOOKUP(F148,Tara!$L$5:$L$21,Tara!$N$5:$N$21),"")</f>
        <v/>
      </c>
      <c r="P148" s="872" t="str">
        <f>IF(G148&lt;&gt;"",LOOKUP(G148,Tara!$L$5:$L$21,Tara!$N$5:$N$21),"")</f>
        <v/>
      </c>
      <c r="Q148" s="872" t="str">
        <f>IF(H148&lt;&gt;"",LOOKUP(H148,Tara!$L$5:$L$21,Tara!$N$5:$N$21),"")</f>
        <v/>
      </c>
      <c r="R148" s="872" t="str">
        <f>IF(I148&lt;&gt;"",LOOKUP(I148,Tara!$L$5:$L$21,Tara!$N$5:$N$21),"")</f>
        <v/>
      </c>
      <c r="S148" s="872" t="str">
        <f>IF(J148&lt;&gt;"",LOOKUP(J148,Tara!$L$5:$L$21,Tara!$N$5:$N$21),"")</f>
        <v/>
      </c>
      <c r="T148" s="872" t="str">
        <f>IF(K148&lt;&gt;"",LOOKUP(K148,Tara!$L$5:$L$21,Tara!$N$5:$N$21),"")</f>
        <v/>
      </c>
      <c r="U148" s="881"/>
      <c r="V148" s="881"/>
      <c r="W148" s="881"/>
      <c r="X148" s="881"/>
      <c r="Y148" s="881"/>
      <c r="Z148" s="881"/>
      <c r="AA148" s="881"/>
      <c r="AB148" s="872" t="str">
        <f t="shared" si="114"/>
        <v/>
      </c>
      <c r="AC148" s="873" t="str">
        <f>""</f>
        <v/>
      </c>
      <c r="AD148" s="873" t="str">
        <f>""</f>
        <v/>
      </c>
      <c r="AE148" s="873" t="str">
        <f>IF(H146&lt;&gt;"",H146,"")</f>
        <v/>
      </c>
      <c r="AF148" s="874" t="str">
        <f>IF(H147&lt;&gt;"",H147,"")</f>
        <v/>
      </c>
      <c r="AG148" s="875" t="str">
        <f>IF(Q145&lt;&gt;"",Q145,"")</f>
        <v/>
      </c>
      <c r="AH148" s="896" t="str">
        <f>IF(H152&lt;&gt;"",H152*100,"")</f>
        <v/>
      </c>
      <c r="AI148" s="897" t="str">
        <f>IF(Q154&lt;&gt;"",Q154,"")</f>
        <v/>
      </c>
      <c r="AJ148" s="880" t="str">
        <f>IF(AH148="","",((AH148/100)-H154)*100)</f>
        <v/>
      </c>
      <c r="AK148" s="1267" t="str">
        <f>IF(X145&lt;&gt;"",X145*100,"")</f>
        <v/>
      </c>
    </row>
    <row r="149" spans="1:37" s="56" customFormat="1" ht="15" customHeight="1" x14ac:dyDescent="0.3">
      <c r="A149" s="1955"/>
      <c r="B149" s="882" t="s">
        <v>57</v>
      </c>
      <c r="C149" s="688"/>
      <c r="D149" s="870" t="s">
        <v>315</v>
      </c>
      <c r="E149" s="871"/>
      <c r="F149" s="871"/>
      <c r="G149" s="871"/>
      <c r="H149" s="871"/>
      <c r="I149" s="871"/>
      <c r="J149" s="871"/>
      <c r="K149" s="871"/>
      <c r="L149" s="651" t="str">
        <f>IF(I145&lt;&gt;"",MAX(L$5:L148)+1,"")</f>
        <v/>
      </c>
      <c r="M149" s="1960"/>
      <c r="N149" s="872" t="str">
        <f t="shared" ref="N149:T149" si="116">IF(N147&lt;&gt;"",N147-N148,"")</f>
        <v/>
      </c>
      <c r="O149" s="872" t="str">
        <f t="shared" si="116"/>
        <v/>
      </c>
      <c r="P149" s="872" t="str">
        <f t="shared" si="116"/>
        <v/>
      </c>
      <c r="Q149" s="872" t="str">
        <f t="shared" si="116"/>
        <v/>
      </c>
      <c r="R149" s="872" t="str">
        <f t="shared" si="116"/>
        <v/>
      </c>
      <c r="S149" s="872" t="str">
        <f t="shared" si="116"/>
        <v/>
      </c>
      <c r="T149" s="872" t="str">
        <f t="shared" si="116"/>
        <v/>
      </c>
      <c r="U149" s="881"/>
      <c r="V149" s="881"/>
      <c r="W149" s="881"/>
      <c r="X149" s="881"/>
      <c r="Y149" s="881"/>
      <c r="Z149" s="881"/>
      <c r="AA149" s="881"/>
      <c r="AB149" s="872" t="str">
        <f t="shared" si="114"/>
        <v/>
      </c>
      <c r="AC149" s="873" t="str">
        <f>""</f>
        <v/>
      </c>
      <c r="AD149" s="873" t="str">
        <f>""</f>
        <v/>
      </c>
      <c r="AE149" s="873" t="str">
        <f>IF(I146&lt;&gt;"",I146,"")</f>
        <v/>
      </c>
      <c r="AF149" s="874" t="str">
        <f>IF(I147&lt;&gt;"",I147,"")</f>
        <v/>
      </c>
      <c r="AG149" s="875" t="str">
        <f>IF(R145&lt;&gt;"",R145,"")</f>
        <v/>
      </c>
      <c r="AH149" s="896" t="str">
        <f>IF(I152&lt;&gt;"",I152*100,"")</f>
        <v/>
      </c>
      <c r="AI149" s="897" t="str">
        <f>IF(R154&lt;&gt;"",R154,"")</f>
        <v/>
      </c>
      <c r="AJ149" s="880" t="str">
        <f>IF(AH149="","",((AH149/100)-I154)*100)</f>
        <v/>
      </c>
      <c r="AK149" s="1267" t="str">
        <f>IF(Y145&lt;&gt;"",Y145*100,"")</f>
        <v/>
      </c>
    </row>
    <row r="150" spans="1:37" s="316" customFormat="1" ht="15" customHeight="1" x14ac:dyDescent="0.3">
      <c r="A150" s="1955"/>
      <c r="B150" s="882" t="s">
        <v>316</v>
      </c>
      <c r="C150" s="666"/>
      <c r="D150" s="883" t="s">
        <v>317</v>
      </c>
      <c r="E150" s="750"/>
      <c r="F150" s="750"/>
      <c r="G150" s="750"/>
      <c r="H150" s="750"/>
      <c r="I150" s="750"/>
      <c r="J150" s="750"/>
      <c r="K150" s="750"/>
      <c r="L150" s="651" t="str">
        <f>IF(J145&lt;&gt;"",MAX(L$5:L149)+1,"")</f>
        <v/>
      </c>
      <c r="M150" s="1960"/>
      <c r="N150" s="872" t="str">
        <f>IF(E148&lt;&gt;"",LOOKUP(E148,Tara!$L$5:$L$21,Tara!$O$5:$O$21),"")</f>
        <v/>
      </c>
      <c r="O150" s="872" t="str">
        <f>IF(F148&lt;&gt;"",LOOKUP(F148,Tara!$L$5:$L$21,Tara!$O$5:$O$21),"")</f>
        <v/>
      </c>
      <c r="P150" s="872" t="str">
        <f>IF(G148&lt;&gt;"",LOOKUP(G148,Tara!$L$5:$L$21,Tara!$O$5:$O$21),"")</f>
        <v/>
      </c>
      <c r="Q150" s="872" t="str">
        <f>IF(H148&lt;&gt;"",LOOKUP(H148,Tara!$L$5:$L$21,Tara!$O$5:$O$21),"")</f>
        <v/>
      </c>
      <c r="R150" s="872" t="str">
        <f>IF(I148&lt;&gt;"",LOOKUP(I148,Tara!$L$5:$L$21,Tara!$O$5:$O$21),"")</f>
        <v/>
      </c>
      <c r="S150" s="872" t="str">
        <f>IF(J148&lt;&gt;"",LOOKUP(J148,Tara!$L$5:$L$21,Tara!$O$5:$O$21),"")</f>
        <v/>
      </c>
      <c r="T150" s="872" t="str">
        <f>IF(K148&lt;&gt;"",LOOKUP(K148,Tara!$L$5:$L$21,Tara!$O$5:$O$21),"")</f>
        <v/>
      </c>
      <c r="U150" s="884"/>
      <c r="V150" s="884"/>
      <c r="W150" s="884"/>
      <c r="X150" s="884"/>
      <c r="Y150" s="884"/>
      <c r="Z150" s="884"/>
      <c r="AA150" s="884"/>
      <c r="AB150" s="872" t="str">
        <f t="shared" si="114"/>
        <v/>
      </c>
      <c r="AC150" s="873" t="str">
        <f>""</f>
        <v/>
      </c>
      <c r="AD150" s="873" t="str">
        <f>""</f>
        <v/>
      </c>
      <c r="AE150" s="873" t="str">
        <f>IF(J146&lt;&gt;"",J146,"")</f>
        <v/>
      </c>
      <c r="AF150" s="874" t="str">
        <f>IF(J147&lt;&gt;"",J147,"")</f>
        <v/>
      </c>
      <c r="AG150" s="875" t="str">
        <f>IF(S145&lt;&gt;"",S145,"")</f>
        <v/>
      </c>
      <c r="AH150" s="896" t="str">
        <f>IF(J152&lt;&gt;"",J152*100,"")</f>
        <v/>
      </c>
      <c r="AI150" s="897" t="str">
        <f>IF(S154&lt;&gt;"",S154,"")</f>
        <v/>
      </c>
      <c r="AJ150" s="880" t="str">
        <f>IF(AH150="","",((AH150/100)-J154)*100)</f>
        <v/>
      </c>
      <c r="AK150" s="1267" t="str">
        <f>IF(Z145&lt;&gt;"",Z145*100,"")</f>
        <v/>
      </c>
    </row>
    <row r="151" spans="1:37" s="316" customFormat="1" ht="15" customHeight="1" x14ac:dyDescent="0.3">
      <c r="A151" s="1955"/>
      <c r="B151" s="885" t="s">
        <v>318</v>
      </c>
      <c r="C151" s="886"/>
      <c r="D151" s="870" t="s">
        <v>319</v>
      </c>
      <c r="E151" s="750"/>
      <c r="F151" s="750"/>
      <c r="G151" s="750"/>
      <c r="H151" s="750"/>
      <c r="I151" s="750"/>
      <c r="J151" s="750"/>
      <c r="K151" s="750"/>
      <c r="L151" s="651" t="str">
        <f>IF(K145&lt;&gt;"",MAX(L$5:L150)+1,"")</f>
        <v/>
      </c>
      <c r="M151" s="1960"/>
      <c r="N151" s="887" t="str">
        <f>IF(N149&lt;&gt;"",N149/N150,"")</f>
        <v/>
      </c>
      <c r="O151" s="887" t="str">
        <f t="shared" ref="O151:T151" si="117">IF(O149&lt;&gt;"",O149/O150,"")</f>
        <v/>
      </c>
      <c r="P151" s="887" t="str">
        <f t="shared" si="117"/>
        <v/>
      </c>
      <c r="Q151" s="887" t="str">
        <f t="shared" si="117"/>
        <v/>
      </c>
      <c r="R151" s="887" t="str">
        <f t="shared" si="117"/>
        <v/>
      </c>
      <c r="S151" s="887" t="str">
        <f t="shared" si="117"/>
        <v/>
      </c>
      <c r="T151" s="887" t="str">
        <f t="shared" si="117"/>
        <v/>
      </c>
      <c r="U151" s="884"/>
      <c r="V151" s="884"/>
      <c r="W151" s="884"/>
      <c r="X151" s="884"/>
      <c r="Y151" s="884"/>
      <c r="Z151" s="884"/>
      <c r="AA151" s="884"/>
      <c r="AB151" s="872" t="str">
        <f t="shared" si="114"/>
        <v/>
      </c>
      <c r="AC151" s="873" t="str">
        <f>""</f>
        <v/>
      </c>
      <c r="AD151" s="873" t="str">
        <f>""</f>
        <v/>
      </c>
      <c r="AE151" s="873" t="str">
        <f>IF(K146&lt;&gt;"",K146,"")</f>
        <v/>
      </c>
      <c r="AF151" s="874" t="str">
        <f>IF(K147&lt;&gt;"",K147,"")</f>
        <v/>
      </c>
      <c r="AG151" s="875" t="str">
        <f>IF(T145&lt;&gt;"",T145,"")</f>
        <v/>
      </c>
      <c r="AH151" s="896" t="str">
        <f>IF(K152&lt;&gt;"",K152*100,"")</f>
        <v/>
      </c>
      <c r="AI151" s="897" t="str">
        <f>IF(T154&lt;&gt;"",T154,"")</f>
        <v/>
      </c>
      <c r="AJ151" s="880" t="str">
        <f>IF(AH151="","",((AH151/100)-K154)*100)</f>
        <v/>
      </c>
      <c r="AK151" s="1267" t="str">
        <f>IF(AA145&lt;&gt;"",AA145*100,"")</f>
        <v/>
      </c>
    </row>
    <row r="152" spans="1:37" s="316" customFormat="1" ht="15" customHeight="1" x14ac:dyDescent="0.3">
      <c r="A152" s="1955"/>
      <c r="B152" s="652"/>
      <c r="C152" s="653"/>
      <c r="D152" s="870" t="s">
        <v>320</v>
      </c>
      <c r="E152" s="888"/>
      <c r="F152" s="888"/>
      <c r="G152" s="888"/>
      <c r="H152" s="888"/>
      <c r="I152" s="888"/>
      <c r="J152" s="888"/>
      <c r="K152" s="888"/>
      <c r="L152" s="651"/>
      <c r="M152" s="1960"/>
      <c r="N152" s="889" t="str">
        <f>IF(E150&lt;&gt;"",LOOKUP(E150,Tara!$P$5:$P$21,Tara!$Q$5:$Q$21),"")</f>
        <v/>
      </c>
      <c r="O152" s="889" t="str">
        <f>IF(F150&lt;&gt;"",LOOKUP(F150,Tara!$P$5:$P$21,Tara!$Q$5:$Q$21),"")</f>
        <v/>
      </c>
      <c r="P152" s="889" t="str">
        <f>IF(G150&lt;&gt;"",LOOKUP(G150,Tara!$P$5:$P$21,Tara!$Q$5:$Q$21),"")</f>
        <v/>
      </c>
      <c r="Q152" s="889" t="str">
        <f>IF(H150&lt;&gt;"",LOOKUP(H150,Tara!$P$5:$P$21,Tara!$Q$5:$Q$21),"")</f>
        <v/>
      </c>
      <c r="R152" s="889" t="str">
        <f>IF(I150&lt;&gt;"",LOOKUP(I150,Tara!$P$5:$P$21,Tara!$Q$5:$Q$21),"")</f>
        <v/>
      </c>
      <c r="S152" s="889" t="str">
        <f>IF(J150&lt;&gt;"",LOOKUP(J150,Tara!$P$5:$P$21,Tara!$Q$5:$Q$21),"")</f>
        <v/>
      </c>
      <c r="T152" s="889" t="str">
        <f>IF(K150&lt;&gt;"",LOOKUP(K150,Tara!$P$5:$P$21,Tara!$Q$5:$Q$21),"")</f>
        <v/>
      </c>
      <c r="U152" s="884"/>
      <c r="V152" s="884"/>
      <c r="W152" s="884"/>
      <c r="X152" s="884"/>
      <c r="Y152" s="884"/>
      <c r="Z152" s="884"/>
      <c r="AA152" s="884"/>
      <c r="AB152" s="872" t="str">
        <f>""</f>
        <v/>
      </c>
      <c r="AC152" s="873" t="str">
        <f>""</f>
        <v/>
      </c>
      <c r="AD152" s="873" t="str">
        <f>""</f>
        <v/>
      </c>
      <c r="AE152" s="873" t="str">
        <f>""</f>
        <v/>
      </c>
      <c r="AF152" s="874" t="str">
        <f>""</f>
        <v/>
      </c>
      <c r="AG152" s="875" t="str">
        <f>""</f>
        <v/>
      </c>
      <c r="AH152" s="875" t="str">
        <f>""</f>
        <v/>
      </c>
      <c r="AI152" s="875" t="str">
        <f>""</f>
        <v/>
      </c>
      <c r="AJ152" s="890" t="str">
        <f>""</f>
        <v/>
      </c>
      <c r="AK152" s="1267" t="str">
        <f>""</f>
        <v/>
      </c>
    </row>
    <row r="153" spans="1:37" s="316" customFormat="1" ht="15" customHeight="1" x14ac:dyDescent="0.3">
      <c r="A153" s="1955"/>
      <c r="B153" s="654"/>
      <c r="C153" s="655"/>
      <c r="D153" s="891" t="s">
        <v>321</v>
      </c>
      <c r="E153" s="750"/>
      <c r="F153" s="750"/>
      <c r="G153" s="750"/>
      <c r="H153" s="750"/>
      <c r="I153" s="750"/>
      <c r="J153" s="750"/>
      <c r="K153" s="750"/>
      <c r="L153" s="651"/>
      <c r="M153" s="1960"/>
      <c r="N153" s="892" t="str">
        <f t="shared" ref="N153:T153" si="118">IF(E151&lt;&gt;"",(E151-N152)/N151,"")</f>
        <v/>
      </c>
      <c r="O153" s="892" t="str">
        <f t="shared" si="118"/>
        <v/>
      </c>
      <c r="P153" s="892" t="str">
        <f t="shared" si="118"/>
        <v/>
      </c>
      <c r="Q153" s="892" t="str">
        <f t="shared" si="118"/>
        <v/>
      </c>
      <c r="R153" s="892" t="str">
        <f t="shared" si="118"/>
        <v/>
      </c>
      <c r="S153" s="892" t="str">
        <f t="shared" si="118"/>
        <v/>
      </c>
      <c r="T153" s="892" t="str">
        <f t="shared" si="118"/>
        <v/>
      </c>
      <c r="U153" s="884"/>
      <c r="V153" s="884"/>
      <c r="W153" s="884"/>
      <c r="X153" s="884"/>
      <c r="Y153" s="884"/>
      <c r="Z153" s="884"/>
      <c r="AA153" s="884"/>
      <c r="AB153" s="872" t="str">
        <f>""</f>
        <v/>
      </c>
      <c r="AC153" s="873" t="str">
        <f>""</f>
        <v/>
      </c>
      <c r="AD153" s="873" t="str">
        <f>""</f>
        <v/>
      </c>
      <c r="AE153" s="873" t="str">
        <f>""</f>
        <v/>
      </c>
      <c r="AF153" s="874" t="str">
        <f>""</f>
        <v/>
      </c>
      <c r="AG153" s="893" t="str">
        <f>""</f>
        <v/>
      </c>
      <c r="AH153" s="893" t="str">
        <f>""</f>
        <v/>
      </c>
      <c r="AI153" s="893" t="str">
        <f>""</f>
        <v/>
      </c>
      <c r="AJ153" s="895" t="str">
        <f>""</f>
        <v/>
      </c>
      <c r="AK153" s="1269" t="str">
        <f>""</f>
        <v/>
      </c>
    </row>
    <row r="154" spans="1:37" s="316" customFormat="1" ht="15" customHeight="1" thickBot="1" x14ac:dyDescent="0.35">
      <c r="A154" s="1956"/>
      <c r="B154" s="656"/>
      <c r="C154" s="657"/>
      <c r="D154" s="658" t="s">
        <v>99</v>
      </c>
      <c r="E154" s="556"/>
      <c r="F154" s="556"/>
      <c r="G154" s="556"/>
      <c r="H154" s="556"/>
      <c r="I154" s="556"/>
      <c r="J154" s="556"/>
      <c r="K154" s="556"/>
      <c r="L154" s="659"/>
      <c r="M154" s="1961"/>
      <c r="N154" s="549" t="str">
        <f t="shared" ref="N154:T154" si="119">IF(N153&lt;&gt;"",N153/(1+E152),"")</f>
        <v/>
      </c>
      <c r="O154" s="549" t="str">
        <f t="shared" si="119"/>
        <v/>
      </c>
      <c r="P154" s="549" t="str">
        <f t="shared" si="119"/>
        <v/>
      </c>
      <c r="Q154" s="549" t="str">
        <f t="shared" si="119"/>
        <v/>
      </c>
      <c r="R154" s="549" t="str">
        <f t="shared" si="119"/>
        <v/>
      </c>
      <c r="S154" s="549" t="str">
        <f t="shared" si="119"/>
        <v/>
      </c>
      <c r="T154" s="549" t="str">
        <f t="shared" si="119"/>
        <v/>
      </c>
      <c r="U154" s="550"/>
      <c r="V154" s="550"/>
      <c r="W154" s="550"/>
      <c r="X154" s="550"/>
      <c r="Y154" s="550"/>
      <c r="Z154" s="550"/>
      <c r="AA154" s="550"/>
      <c r="AB154" s="551">
        <f>MAX(AB$5:AB153)+1</f>
        <v>15</v>
      </c>
      <c r="AC154" s="552" t="str">
        <f>""</f>
        <v/>
      </c>
      <c r="AD154" s="552" t="str">
        <f>""</f>
        <v/>
      </c>
      <c r="AE154" s="552" t="str">
        <f>""</f>
        <v/>
      </c>
      <c r="AF154" s="558" t="str">
        <f>""</f>
        <v/>
      </c>
      <c r="AG154" s="553" t="str">
        <f>""</f>
        <v/>
      </c>
      <c r="AH154" s="553" t="str">
        <f>""</f>
        <v/>
      </c>
      <c r="AI154" s="553" t="str">
        <f>""</f>
        <v/>
      </c>
      <c r="AJ154" s="554" t="str">
        <f>""</f>
        <v/>
      </c>
      <c r="AK154" s="555" t="str">
        <f>""</f>
        <v/>
      </c>
    </row>
    <row r="155" spans="1:37" s="56" customFormat="1" ht="15" customHeight="1" x14ac:dyDescent="0.3">
      <c r="A155" s="1954">
        <f>A145+1</f>
        <v>16</v>
      </c>
      <c r="B155" s="1957" t="s">
        <v>309</v>
      </c>
      <c r="C155" s="1958"/>
      <c r="D155" s="648" t="s">
        <v>34</v>
      </c>
      <c r="E155" s="649"/>
      <c r="F155" s="649"/>
      <c r="G155" s="649"/>
      <c r="H155" s="649"/>
      <c r="I155" s="649"/>
      <c r="J155" s="649"/>
      <c r="K155" s="649"/>
      <c r="L155" s="650" t="str">
        <f>IF(E155&lt;&gt;"",MAX(L$5:L154)+1,"")</f>
        <v/>
      </c>
      <c r="M155" s="1959" t="s">
        <v>25</v>
      </c>
      <c r="N155" s="539" t="str">
        <f t="shared" ref="N155:T155" si="120">IF(E155&lt;&gt;"",E155,"")</f>
        <v/>
      </c>
      <c r="O155" s="539" t="str">
        <f t="shared" si="120"/>
        <v/>
      </c>
      <c r="P155" s="539" t="str">
        <f t="shared" si="120"/>
        <v/>
      </c>
      <c r="Q155" s="539" t="str">
        <f t="shared" si="120"/>
        <v/>
      </c>
      <c r="R155" s="539" t="str">
        <f t="shared" si="120"/>
        <v/>
      </c>
      <c r="S155" s="539" t="str">
        <f t="shared" si="120"/>
        <v/>
      </c>
      <c r="T155" s="539" t="str">
        <f t="shared" si="120"/>
        <v/>
      </c>
      <c r="U155" s="540" t="str">
        <f t="shared" ref="U155:AA155" si="121">IF(N164&lt;&gt;"",N164/E163*1000,"")</f>
        <v/>
      </c>
      <c r="V155" s="540" t="str">
        <f t="shared" si="121"/>
        <v/>
      </c>
      <c r="W155" s="540" t="str">
        <f t="shared" si="121"/>
        <v/>
      </c>
      <c r="X155" s="540" t="str">
        <f t="shared" si="121"/>
        <v/>
      </c>
      <c r="Y155" s="540" t="str">
        <f t="shared" si="121"/>
        <v/>
      </c>
      <c r="Z155" s="540" t="str">
        <f t="shared" si="121"/>
        <v/>
      </c>
      <c r="AA155" s="540" t="str">
        <f t="shared" si="121"/>
        <v/>
      </c>
      <c r="AB155" s="539" t="str">
        <f>IF(L155&lt;&gt;"",L155,"")</f>
        <v/>
      </c>
      <c r="AC155" s="541" t="str">
        <f>IF(C156&lt;&gt;"",CONCATENATE(C156," a ",C157),"")</f>
        <v/>
      </c>
      <c r="AD155" s="542" t="str">
        <f>IF(C159&lt;&gt;"",C159,"")</f>
        <v/>
      </c>
      <c r="AE155" s="543" t="str">
        <f>IF(E156&lt;&gt;"",E156,"")</f>
        <v/>
      </c>
      <c r="AF155" s="557" t="str">
        <f>IF(E157&lt;&gt;"",E157,"")</f>
        <v/>
      </c>
      <c r="AG155" s="544" t="str">
        <f>IF(N155&lt;&gt;"",N155,"")</f>
        <v/>
      </c>
      <c r="AH155" s="545" t="str">
        <f>IF(E162&lt;&gt;"",E162*100,"")</f>
        <v/>
      </c>
      <c r="AI155" s="546" t="str">
        <f>IF(N164&lt;&gt;"",N164,"")</f>
        <v/>
      </c>
      <c r="AJ155" s="547" t="str">
        <f>IF(AH155="","",((AH155/100)-E164)*100)</f>
        <v/>
      </c>
      <c r="AK155" s="548" t="str">
        <f>IF(U155&lt;&gt;"",U155*100,"")</f>
        <v/>
      </c>
    </row>
    <row r="156" spans="1:37" s="57" customFormat="1" ht="15" customHeight="1" x14ac:dyDescent="0.3">
      <c r="A156" s="1955"/>
      <c r="B156" s="869" t="s">
        <v>310</v>
      </c>
      <c r="C156" s="666"/>
      <c r="D156" s="870" t="s">
        <v>156</v>
      </c>
      <c r="E156" s="871"/>
      <c r="F156" s="871"/>
      <c r="G156" s="871"/>
      <c r="H156" s="871"/>
      <c r="I156" s="871"/>
      <c r="J156" s="871"/>
      <c r="K156" s="871"/>
      <c r="L156" s="651" t="str">
        <f>IF(F155&lt;&gt;"",MAX(L$5:L155)+1,"")</f>
        <v/>
      </c>
      <c r="M156" s="1960"/>
      <c r="N156" s="872" t="str">
        <f>IF(E158&lt;&gt;"",LOOKUP(E158,Tara!$L$5:$L$21,Tara!$M$5:$M$21),"")</f>
        <v/>
      </c>
      <c r="O156" s="872" t="str">
        <f>IF(F158&lt;&gt;"",LOOKUP(F158,Tara!$L$5:$L$21,Tara!$M$5:$M$21),"")</f>
        <v/>
      </c>
      <c r="P156" s="872" t="str">
        <f>IF(G158&lt;&gt;"",LOOKUP(G158,Tara!$L$5:$L$21,Tara!$M$5:$M$21),"")</f>
        <v/>
      </c>
      <c r="Q156" s="872" t="str">
        <f>IF(H158&lt;&gt;"",LOOKUP(H158,Tara!$L$5:$L$21,Tara!$M$5:$M$21),"")</f>
        <v/>
      </c>
      <c r="R156" s="872" t="str">
        <f>IF(I158&lt;&gt;"",LOOKUP(I158,Tara!$L$5:$L$21,Tara!$M$5:$M$21),"")</f>
        <v/>
      </c>
      <c r="S156" s="872" t="str">
        <f>IF(J158&lt;&gt;"",LOOKUP(J158,Tara!$L$5:$L$21,Tara!$M$5:$M$21),"")</f>
        <v/>
      </c>
      <c r="T156" s="872" t="str">
        <f>IF(K158&lt;&gt;"",LOOKUP(K158,Tara!$L$5:$L$21,Tara!$M$5:$M$21),"")</f>
        <v/>
      </c>
      <c r="U156" s="872"/>
      <c r="V156" s="872"/>
      <c r="W156" s="872"/>
      <c r="X156" s="872"/>
      <c r="Y156" s="872"/>
      <c r="Z156" s="872"/>
      <c r="AA156" s="872"/>
      <c r="AB156" s="872" t="str">
        <f t="shared" ref="AB156:AB161" si="122">IF(L156&lt;&gt;"",L156,"")</f>
        <v/>
      </c>
      <c r="AC156" s="873" t="str">
        <f>""</f>
        <v/>
      </c>
      <c r="AD156" s="873" t="str">
        <f>""</f>
        <v/>
      </c>
      <c r="AE156" s="873" t="str">
        <f>IF(F156&lt;&gt;"",F156,"")</f>
        <v/>
      </c>
      <c r="AF156" s="874" t="str">
        <f>IF(E157&lt;&gt;"",F157,"")</f>
        <v/>
      </c>
      <c r="AG156" s="875" t="str">
        <f>IF(O155&lt;&gt;"",O155,"")</f>
        <v/>
      </c>
      <c r="AH156" s="896" t="str">
        <f>IF(F162&lt;&gt;"",F162*100,"")</f>
        <v/>
      </c>
      <c r="AI156" s="897" t="str">
        <f>IF(O164&lt;&gt;"",O164,"")</f>
        <v/>
      </c>
      <c r="AJ156" s="880" t="str">
        <f>IF(AH156="","",((AH156/100)-F164)*100)</f>
        <v/>
      </c>
      <c r="AK156" s="1267" t="str">
        <f>IF(V155&lt;&gt;"",V155*100,"")</f>
        <v/>
      </c>
    </row>
    <row r="157" spans="1:37" s="56" customFormat="1" ht="15" customHeight="1" x14ac:dyDescent="0.3">
      <c r="A157" s="1955"/>
      <c r="B157" s="869" t="s">
        <v>311</v>
      </c>
      <c r="C157" s="666"/>
      <c r="D157" s="870" t="s">
        <v>312</v>
      </c>
      <c r="E157" s="878"/>
      <c r="F157" s="878"/>
      <c r="G157" s="878"/>
      <c r="H157" s="878"/>
      <c r="I157" s="878"/>
      <c r="J157" s="878"/>
      <c r="K157" s="1268"/>
      <c r="L157" s="651" t="str">
        <f>IF(G155&lt;&gt;"",MAX(L$5:L156)+1,"")</f>
        <v/>
      </c>
      <c r="M157" s="1960"/>
      <c r="N157" s="872" t="str">
        <f t="shared" ref="N157:T157" si="123">IF(N156&lt;&gt;"",N156-E159,"")</f>
        <v/>
      </c>
      <c r="O157" s="872" t="str">
        <f t="shared" si="123"/>
        <v/>
      </c>
      <c r="P157" s="872" t="str">
        <f t="shared" si="123"/>
        <v/>
      </c>
      <c r="Q157" s="872" t="str">
        <f t="shared" si="123"/>
        <v/>
      </c>
      <c r="R157" s="872" t="str">
        <f t="shared" si="123"/>
        <v/>
      </c>
      <c r="S157" s="872" t="str">
        <f t="shared" si="123"/>
        <v/>
      </c>
      <c r="T157" s="872" t="str">
        <f t="shared" si="123"/>
        <v/>
      </c>
      <c r="U157" s="879"/>
      <c r="V157" s="879"/>
      <c r="W157" s="879"/>
      <c r="X157" s="879"/>
      <c r="Y157" s="879"/>
      <c r="Z157" s="879"/>
      <c r="AA157" s="879"/>
      <c r="AB157" s="872" t="str">
        <f t="shared" si="122"/>
        <v/>
      </c>
      <c r="AC157" s="873" t="str">
        <f>""</f>
        <v/>
      </c>
      <c r="AD157" s="873" t="str">
        <f>""</f>
        <v/>
      </c>
      <c r="AE157" s="873" t="str">
        <f>IF(G156&lt;&gt;"",G156,"")</f>
        <v/>
      </c>
      <c r="AF157" s="874" t="str">
        <f>IF(G157&lt;&gt;"",G157,"")</f>
        <v/>
      </c>
      <c r="AG157" s="875" t="str">
        <f>IF(P155&lt;&gt;"",P155,"")</f>
        <v/>
      </c>
      <c r="AH157" s="896" t="str">
        <f>IF(G162&lt;&gt;"",G162*100,"")</f>
        <v/>
      </c>
      <c r="AI157" s="897" t="str">
        <f>IF(P164&lt;&gt;"",P164,"")</f>
        <v/>
      </c>
      <c r="AJ157" s="880" t="str">
        <f>IF(AH157="","",((AH157/100)-G164)*100)</f>
        <v/>
      </c>
      <c r="AK157" s="1267" t="str">
        <f>IF(W155&lt;&gt;"",W155*100,"")</f>
        <v/>
      </c>
    </row>
    <row r="158" spans="1:37" s="56" customFormat="1" ht="15" customHeight="1" x14ac:dyDescent="0.3">
      <c r="A158" s="1955"/>
      <c r="B158" s="869" t="s">
        <v>313</v>
      </c>
      <c r="C158" s="666"/>
      <c r="D158" s="870" t="s">
        <v>314</v>
      </c>
      <c r="E158" s="750"/>
      <c r="F158" s="750"/>
      <c r="G158" s="750"/>
      <c r="H158" s="750"/>
      <c r="I158" s="750"/>
      <c r="J158" s="750"/>
      <c r="K158" s="750"/>
      <c r="L158" s="651" t="str">
        <f>IF(H155&lt;&gt;"",MAX(L$5:L157)+1,"")</f>
        <v/>
      </c>
      <c r="M158" s="1960"/>
      <c r="N158" s="872" t="str">
        <f>IF(E158&lt;&gt;"",LOOKUP(E158,Tara!$L$5:$L$21,Tara!$N$5:$N$21),"")</f>
        <v/>
      </c>
      <c r="O158" s="872" t="str">
        <f>IF(F158&lt;&gt;"",LOOKUP(F158,Tara!$L$5:$L$21,Tara!$N$5:$N$21),"")</f>
        <v/>
      </c>
      <c r="P158" s="872" t="str">
        <f>IF(G158&lt;&gt;"",LOOKUP(G158,Tara!$L$5:$L$21,Tara!$N$5:$N$21),"")</f>
        <v/>
      </c>
      <c r="Q158" s="872" t="str">
        <f>IF(H158&lt;&gt;"",LOOKUP(H158,Tara!$L$5:$L$21,Tara!$N$5:$N$21),"")</f>
        <v/>
      </c>
      <c r="R158" s="872" t="str">
        <f>IF(I158&lt;&gt;"",LOOKUP(I158,Tara!$L$5:$L$21,Tara!$N$5:$N$21),"")</f>
        <v/>
      </c>
      <c r="S158" s="872" t="str">
        <f>IF(J158&lt;&gt;"",LOOKUP(J158,Tara!$L$5:$L$21,Tara!$N$5:$N$21),"")</f>
        <v/>
      </c>
      <c r="T158" s="872" t="str">
        <f>IF(K158&lt;&gt;"",LOOKUP(K158,Tara!$L$5:$L$21,Tara!$N$5:$N$21),"")</f>
        <v/>
      </c>
      <c r="U158" s="881"/>
      <c r="V158" s="881"/>
      <c r="W158" s="881"/>
      <c r="X158" s="881"/>
      <c r="Y158" s="881"/>
      <c r="Z158" s="881"/>
      <c r="AA158" s="881"/>
      <c r="AB158" s="872" t="str">
        <f t="shared" si="122"/>
        <v/>
      </c>
      <c r="AC158" s="873" t="str">
        <f>""</f>
        <v/>
      </c>
      <c r="AD158" s="873" t="str">
        <f>""</f>
        <v/>
      </c>
      <c r="AE158" s="873" t="str">
        <f>IF(H156&lt;&gt;"",H156,"")</f>
        <v/>
      </c>
      <c r="AF158" s="874" t="str">
        <f>IF(H157&lt;&gt;"",H157,"")</f>
        <v/>
      </c>
      <c r="AG158" s="875" t="str">
        <f>IF(Q155&lt;&gt;"",Q155,"")</f>
        <v/>
      </c>
      <c r="AH158" s="896" t="str">
        <f>IF(H162&lt;&gt;"",H162*100,"")</f>
        <v/>
      </c>
      <c r="AI158" s="897" t="str">
        <f>IF(Q164&lt;&gt;"",Q164,"")</f>
        <v/>
      </c>
      <c r="AJ158" s="880" t="str">
        <f>IF(AH158="","",((AH158/100)-H164)*100)</f>
        <v/>
      </c>
      <c r="AK158" s="1267" t="str">
        <f>IF(X155&lt;&gt;"",X155*100,"")</f>
        <v/>
      </c>
    </row>
    <row r="159" spans="1:37" s="56" customFormat="1" ht="15" customHeight="1" x14ac:dyDescent="0.3">
      <c r="A159" s="1955"/>
      <c r="B159" s="882" t="s">
        <v>57</v>
      </c>
      <c r="C159" s="688"/>
      <c r="D159" s="870" t="s">
        <v>315</v>
      </c>
      <c r="E159" s="871"/>
      <c r="F159" s="871"/>
      <c r="G159" s="871"/>
      <c r="H159" s="871"/>
      <c r="I159" s="871"/>
      <c r="J159" s="871"/>
      <c r="K159" s="871"/>
      <c r="L159" s="651" t="str">
        <f>IF(I155&lt;&gt;"",MAX(L$5:L158)+1,"")</f>
        <v/>
      </c>
      <c r="M159" s="1960"/>
      <c r="N159" s="872" t="str">
        <f t="shared" ref="N159:T159" si="124">IF(N157&lt;&gt;"",N157-N158,"")</f>
        <v/>
      </c>
      <c r="O159" s="872" t="str">
        <f t="shared" si="124"/>
        <v/>
      </c>
      <c r="P159" s="872" t="str">
        <f t="shared" si="124"/>
        <v/>
      </c>
      <c r="Q159" s="872" t="str">
        <f t="shared" si="124"/>
        <v/>
      </c>
      <c r="R159" s="872" t="str">
        <f t="shared" si="124"/>
        <v/>
      </c>
      <c r="S159" s="872" t="str">
        <f t="shared" si="124"/>
        <v/>
      </c>
      <c r="T159" s="872" t="str">
        <f t="shared" si="124"/>
        <v/>
      </c>
      <c r="U159" s="881"/>
      <c r="V159" s="881"/>
      <c r="W159" s="881"/>
      <c r="X159" s="881"/>
      <c r="Y159" s="881"/>
      <c r="Z159" s="881"/>
      <c r="AA159" s="881"/>
      <c r="AB159" s="872" t="str">
        <f t="shared" si="122"/>
        <v/>
      </c>
      <c r="AC159" s="873" t="str">
        <f>""</f>
        <v/>
      </c>
      <c r="AD159" s="873" t="str">
        <f>""</f>
        <v/>
      </c>
      <c r="AE159" s="873" t="str">
        <f>IF(I156&lt;&gt;"",I156,"")</f>
        <v/>
      </c>
      <c r="AF159" s="874" t="str">
        <f>IF(I157&lt;&gt;"",I157,"")</f>
        <v/>
      </c>
      <c r="AG159" s="875" t="str">
        <f>IF(R155&lt;&gt;"",R155,"")</f>
        <v/>
      </c>
      <c r="AH159" s="896" t="str">
        <f>IF(I162&lt;&gt;"",I162*100,"")</f>
        <v/>
      </c>
      <c r="AI159" s="897" t="str">
        <f>IF(R164&lt;&gt;"",R164,"")</f>
        <v/>
      </c>
      <c r="AJ159" s="880" t="str">
        <f>IF(AH159="","",((AH159/100)-I164)*100)</f>
        <v/>
      </c>
      <c r="AK159" s="1267" t="str">
        <f>IF(Y155&lt;&gt;"",Y155*100,"")</f>
        <v/>
      </c>
    </row>
    <row r="160" spans="1:37" s="316" customFormat="1" ht="15" customHeight="1" x14ac:dyDescent="0.3">
      <c r="A160" s="1955"/>
      <c r="B160" s="882" t="s">
        <v>316</v>
      </c>
      <c r="C160" s="666"/>
      <c r="D160" s="883" t="s">
        <v>317</v>
      </c>
      <c r="E160" s="750"/>
      <c r="F160" s="750"/>
      <c r="G160" s="750"/>
      <c r="H160" s="750"/>
      <c r="I160" s="750"/>
      <c r="J160" s="750"/>
      <c r="K160" s="750"/>
      <c r="L160" s="651" t="str">
        <f>IF(J155&lt;&gt;"",MAX(L$5:L159)+1,"")</f>
        <v/>
      </c>
      <c r="M160" s="1960"/>
      <c r="N160" s="872" t="str">
        <f>IF(E158&lt;&gt;"",LOOKUP(E158,Tara!$L$5:$L$21,Tara!$O$5:$O$21),"")</f>
        <v/>
      </c>
      <c r="O160" s="872" t="str">
        <f>IF(F158&lt;&gt;"",LOOKUP(F158,Tara!$L$5:$L$21,Tara!$O$5:$O$21),"")</f>
        <v/>
      </c>
      <c r="P160" s="872" t="str">
        <f>IF(G158&lt;&gt;"",LOOKUP(G158,Tara!$L$5:$L$21,Tara!$O$5:$O$21),"")</f>
        <v/>
      </c>
      <c r="Q160" s="872" t="str">
        <f>IF(H158&lt;&gt;"",LOOKUP(H158,Tara!$L$5:$L$21,Tara!$O$5:$O$21),"")</f>
        <v/>
      </c>
      <c r="R160" s="872" t="str">
        <f>IF(I158&lt;&gt;"",LOOKUP(I158,Tara!$L$5:$L$21,Tara!$O$5:$O$21),"")</f>
        <v/>
      </c>
      <c r="S160" s="872" t="str">
        <f>IF(J158&lt;&gt;"",LOOKUP(J158,Tara!$L$5:$L$21,Tara!$O$5:$O$21),"")</f>
        <v/>
      </c>
      <c r="T160" s="872" t="str">
        <f>IF(K158&lt;&gt;"",LOOKUP(K158,Tara!$L$5:$L$21,Tara!$O$5:$O$21),"")</f>
        <v/>
      </c>
      <c r="U160" s="884"/>
      <c r="V160" s="884"/>
      <c r="W160" s="884"/>
      <c r="X160" s="884"/>
      <c r="Y160" s="884"/>
      <c r="Z160" s="884"/>
      <c r="AA160" s="884"/>
      <c r="AB160" s="872" t="str">
        <f t="shared" si="122"/>
        <v/>
      </c>
      <c r="AC160" s="873" t="str">
        <f>""</f>
        <v/>
      </c>
      <c r="AD160" s="873" t="str">
        <f>""</f>
        <v/>
      </c>
      <c r="AE160" s="873" t="str">
        <f>IF(J156&lt;&gt;"",J156,"")</f>
        <v/>
      </c>
      <c r="AF160" s="874" t="str">
        <f>IF(J157&lt;&gt;"",J157,"")</f>
        <v/>
      </c>
      <c r="AG160" s="875" t="str">
        <f>IF(S155&lt;&gt;"",S155,"")</f>
        <v/>
      </c>
      <c r="AH160" s="896" t="str">
        <f>IF(J162&lt;&gt;"",J162*100,"")</f>
        <v/>
      </c>
      <c r="AI160" s="897" t="str">
        <f>IF(S164&lt;&gt;"",S164,"")</f>
        <v/>
      </c>
      <c r="AJ160" s="880" t="str">
        <f>IF(AH160="","",((AH160/100)-J164)*100)</f>
        <v/>
      </c>
      <c r="AK160" s="1267" t="str">
        <f>IF(Z155&lt;&gt;"",Z155*100,"")</f>
        <v/>
      </c>
    </row>
    <row r="161" spans="1:37" s="316" customFormat="1" ht="15" customHeight="1" x14ac:dyDescent="0.3">
      <c r="A161" s="1955"/>
      <c r="B161" s="885" t="s">
        <v>318</v>
      </c>
      <c r="C161" s="886"/>
      <c r="D161" s="870" t="s">
        <v>319</v>
      </c>
      <c r="E161" s="750"/>
      <c r="F161" s="750"/>
      <c r="G161" s="750"/>
      <c r="H161" s="750"/>
      <c r="I161" s="750"/>
      <c r="J161" s="750"/>
      <c r="K161" s="750"/>
      <c r="L161" s="651" t="str">
        <f>IF(K155&lt;&gt;"",MAX(L$5:L160)+1,"")</f>
        <v/>
      </c>
      <c r="M161" s="1960"/>
      <c r="N161" s="887" t="str">
        <f>IF(N159&lt;&gt;"",N159/N160,"")</f>
        <v/>
      </c>
      <c r="O161" s="887" t="str">
        <f t="shared" ref="O161:T161" si="125">IF(O159&lt;&gt;"",O159/O160,"")</f>
        <v/>
      </c>
      <c r="P161" s="887" t="str">
        <f t="shared" si="125"/>
        <v/>
      </c>
      <c r="Q161" s="887" t="str">
        <f t="shared" si="125"/>
        <v/>
      </c>
      <c r="R161" s="887" t="str">
        <f t="shared" si="125"/>
        <v/>
      </c>
      <c r="S161" s="887" t="str">
        <f t="shared" si="125"/>
        <v/>
      </c>
      <c r="T161" s="887" t="str">
        <f t="shared" si="125"/>
        <v/>
      </c>
      <c r="U161" s="884"/>
      <c r="V161" s="884"/>
      <c r="W161" s="884"/>
      <c r="X161" s="884"/>
      <c r="Y161" s="884"/>
      <c r="Z161" s="884"/>
      <c r="AA161" s="884"/>
      <c r="AB161" s="872" t="str">
        <f t="shared" si="122"/>
        <v/>
      </c>
      <c r="AC161" s="873" t="str">
        <f>""</f>
        <v/>
      </c>
      <c r="AD161" s="873" t="str">
        <f>""</f>
        <v/>
      </c>
      <c r="AE161" s="873" t="str">
        <f>IF(K156&lt;&gt;"",K156,"")</f>
        <v/>
      </c>
      <c r="AF161" s="874" t="str">
        <f>IF(K157&lt;&gt;"",K157,"")</f>
        <v/>
      </c>
      <c r="AG161" s="875" t="str">
        <f>IF(T155&lt;&gt;"",T155,"")</f>
        <v/>
      </c>
      <c r="AH161" s="896" t="str">
        <f>IF(K162&lt;&gt;"",K162*100,"")</f>
        <v/>
      </c>
      <c r="AI161" s="897" t="str">
        <f>IF(T164&lt;&gt;"",T164,"")</f>
        <v/>
      </c>
      <c r="AJ161" s="880" t="str">
        <f>IF(AH161="","",((AH161/100)-K164)*100)</f>
        <v/>
      </c>
      <c r="AK161" s="1267" t="str">
        <f>IF(AA155&lt;&gt;"",AA155*100,"")</f>
        <v/>
      </c>
    </row>
    <row r="162" spans="1:37" s="316" customFormat="1" ht="15" customHeight="1" x14ac:dyDescent="0.3">
      <c r="A162" s="1955"/>
      <c r="B162" s="652"/>
      <c r="C162" s="653"/>
      <c r="D162" s="870" t="s">
        <v>320</v>
      </c>
      <c r="E162" s="888"/>
      <c r="F162" s="888"/>
      <c r="G162" s="888"/>
      <c r="H162" s="888"/>
      <c r="I162" s="888"/>
      <c r="J162" s="888"/>
      <c r="K162" s="888"/>
      <c r="L162" s="651"/>
      <c r="M162" s="1960"/>
      <c r="N162" s="889" t="str">
        <f>IF(E160&lt;&gt;"",LOOKUP(E160,Tara!$P$5:$P$21,Tara!$Q$5:$Q$21),"")</f>
        <v/>
      </c>
      <c r="O162" s="889" t="str">
        <f>IF(F160&lt;&gt;"",LOOKUP(F160,Tara!$P$5:$P$21,Tara!$Q$5:$Q$21),"")</f>
        <v/>
      </c>
      <c r="P162" s="889" t="str">
        <f>IF(G160&lt;&gt;"",LOOKUP(G160,Tara!$P$5:$P$21,Tara!$Q$5:$Q$21),"")</f>
        <v/>
      </c>
      <c r="Q162" s="889" t="str">
        <f>IF(H160&lt;&gt;"",LOOKUP(H160,Tara!$P$5:$P$21,Tara!$Q$5:$Q$21),"")</f>
        <v/>
      </c>
      <c r="R162" s="889" t="str">
        <f>IF(I160&lt;&gt;"",LOOKUP(I160,Tara!$P$5:$P$21,Tara!$Q$5:$Q$21),"")</f>
        <v/>
      </c>
      <c r="S162" s="889" t="str">
        <f>IF(J160&lt;&gt;"",LOOKUP(J160,Tara!$P$5:$P$21,Tara!$Q$5:$Q$21),"")</f>
        <v/>
      </c>
      <c r="T162" s="889" t="str">
        <f>IF(K160&lt;&gt;"",LOOKUP(K160,Tara!$P$5:$P$21,Tara!$Q$5:$Q$21),"")</f>
        <v/>
      </c>
      <c r="U162" s="884"/>
      <c r="V162" s="884"/>
      <c r="W162" s="884"/>
      <c r="X162" s="884"/>
      <c r="Y162" s="884"/>
      <c r="Z162" s="884"/>
      <c r="AA162" s="884"/>
      <c r="AB162" s="872" t="str">
        <f>""</f>
        <v/>
      </c>
      <c r="AC162" s="873" t="str">
        <f>""</f>
        <v/>
      </c>
      <c r="AD162" s="873" t="str">
        <f>""</f>
        <v/>
      </c>
      <c r="AE162" s="873" t="str">
        <f>""</f>
        <v/>
      </c>
      <c r="AF162" s="874" t="str">
        <f>""</f>
        <v/>
      </c>
      <c r="AG162" s="875" t="str">
        <f>""</f>
        <v/>
      </c>
      <c r="AH162" s="875" t="str">
        <f>""</f>
        <v/>
      </c>
      <c r="AI162" s="875" t="str">
        <f>""</f>
        <v/>
      </c>
      <c r="AJ162" s="890" t="str">
        <f>""</f>
        <v/>
      </c>
      <c r="AK162" s="1267" t="str">
        <f>""</f>
        <v/>
      </c>
    </row>
    <row r="163" spans="1:37" s="316" customFormat="1" ht="15" customHeight="1" x14ac:dyDescent="0.3">
      <c r="A163" s="1955"/>
      <c r="B163" s="654"/>
      <c r="C163" s="655"/>
      <c r="D163" s="891" t="s">
        <v>321</v>
      </c>
      <c r="E163" s="750"/>
      <c r="F163" s="750"/>
      <c r="G163" s="750"/>
      <c r="H163" s="750"/>
      <c r="I163" s="750"/>
      <c r="J163" s="750"/>
      <c r="K163" s="750"/>
      <c r="L163" s="651"/>
      <c r="M163" s="1960"/>
      <c r="N163" s="892" t="str">
        <f t="shared" ref="N163:T163" si="126">IF(E161&lt;&gt;"",(E161-N162)/N161,"")</f>
        <v/>
      </c>
      <c r="O163" s="892" t="str">
        <f t="shared" si="126"/>
        <v/>
      </c>
      <c r="P163" s="892" t="str">
        <f t="shared" si="126"/>
        <v/>
      </c>
      <c r="Q163" s="892" t="str">
        <f t="shared" si="126"/>
        <v/>
      </c>
      <c r="R163" s="892" t="str">
        <f t="shared" si="126"/>
        <v/>
      </c>
      <c r="S163" s="892" t="str">
        <f t="shared" si="126"/>
        <v/>
      </c>
      <c r="T163" s="892" t="str">
        <f t="shared" si="126"/>
        <v/>
      </c>
      <c r="U163" s="884"/>
      <c r="V163" s="884"/>
      <c r="W163" s="884"/>
      <c r="X163" s="884"/>
      <c r="Y163" s="884"/>
      <c r="Z163" s="884"/>
      <c r="AA163" s="884"/>
      <c r="AB163" s="872" t="str">
        <f>""</f>
        <v/>
      </c>
      <c r="AC163" s="873" t="str">
        <f>""</f>
        <v/>
      </c>
      <c r="AD163" s="873" t="str">
        <f>""</f>
        <v/>
      </c>
      <c r="AE163" s="873" t="str">
        <f>""</f>
        <v/>
      </c>
      <c r="AF163" s="874" t="str">
        <f>""</f>
        <v/>
      </c>
      <c r="AG163" s="893" t="str">
        <f>""</f>
        <v/>
      </c>
      <c r="AH163" s="893" t="str">
        <f>""</f>
        <v/>
      </c>
      <c r="AI163" s="893" t="str">
        <f>""</f>
        <v/>
      </c>
      <c r="AJ163" s="895" t="str">
        <f>""</f>
        <v/>
      </c>
      <c r="AK163" s="1269" t="str">
        <f>""</f>
        <v/>
      </c>
    </row>
    <row r="164" spans="1:37" s="316" customFormat="1" ht="15" customHeight="1" thickBot="1" x14ac:dyDescent="0.35">
      <c r="A164" s="1956"/>
      <c r="B164" s="656"/>
      <c r="C164" s="657"/>
      <c r="D164" s="658" t="s">
        <v>99</v>
      </c>
      <c r="E164" s="556"/>
      <c r="F164" s="556"/>
      <c r="G164" s="556"/>
      <c r="H164" s="556"/>
      <c r="I164" s="556"/>
      <c r="J164" s="556"/>
      <c r="K164" s="556"/>
      <c r="L164" s="659"/>
      <c r="M164" s="1961"/>
      <c r="N164" s="549" t="str">
        <f t="shared" ref="N164:T164" si="127">IF(N163&lt;&gt;"",N163/(1+E162),"")</f>
        <v/>
      </c>
      <c r="O164" s="549" t="str">
        <f t="shared" si="127"/>
        <v/>
      </c>
      <c r="P164" s="549" t="str">
        <f t="shared" si="127"/>
        <v/>
      </c>
      <c r="Q164" s="549" t="str">
        <f t="shared" si="127"/>
        <v/>
      </c>
      <c r="R164" s="549" t="str">
        <f t="shared" si="127"/>
        <v/>
      </c>
      <c r="S164" s="549" t="str">
        <f t="shared" si="127"/>
        <v/>
      </c>
      <c r="T164" s="549" t="str">
        <f t="shared" si="127"/>
        <v/>
      </c>
      <c r="U164" s="550"/>
      <c r="V164" s="550"/>
      <c r="W164" s="550"/>
      <c r="X164" s="550"/>
      <c r="Y164" s="550"/>
      <c r="Z164" s="550"/>
      <c r="AA164" s="550"/>
      <c r="AB164" s="551">
        <f>MAX(AB$5:AB163)+1</f>
        <v>16</v>
      </c>
      <c r="AC164" s="552" t="str">
        <f>""</f>
        <v/>
      </c>
      <c r="AD164" s="552" t="str">
        <f>""</f>
        <v/>
      </c>
      <c r="AE164" s="552" t="str">
        <f>""</f>
        <v/>
      </c>
      <c r="AF164" s="558" t="str">
        <f>""</f>
        <v/>
      </c>
      <c r="AG164" s="553" t="str">
        <f>""</f>
        <v/>
      </c>
      <c r="AH164" s="553" t="str">
        <f>""</f>
        <v/>
      </c>
      <c r="AI164" s="553" t="str">
        <f>""</f>
        <v/>
      </c>
      <c r="AJ164" s="554" t="str">
        <f>""</f>
        <v/>
      </c>
      <c r="AK164" s="555" t="str">
        <f>""</f>
        <v/>
      </c>
    </row>
    <row r="165" spans="1:37" s="56" customFormat="1" ht="15" customHeight="1" x14ac:dyDescent="0.3">
      <c r="A165" s="1954">
        <f>A155+1</f>
        <v>17</v>
      </c>
      <c r="B165" s="1957" t="s">
        <v>309</v>
      </c>
      <c r="C165" s="1958"/>
      <c r="D165" s="648" t="s">
        <v>34</v>
      </c>
      <c r="E165" s="649"/>
      <c r="F165" s="649"/>
      <c r="G165" s="649"/>
      <c r="H165" s="649"/>
      <c r="I165" s="649"/>
      <c r="J165" s="649"/>
      <c r="K165" s="649"/>
      <c r="L165" s="650" t="str">
        <f>IF(E165&lt;&gt;"",MAX(L$5:L164)+1,"")</f>
        <v/>
      </c>
      <c r="M165" s="1959" t="s">
        <v>25</v>
      </c>
      <c r="N165" s="539" t="str">
        <f t="shared" ref="N165:T165" si="128">IF(E165&lt;&gt;"",E165,"")</f>
        <v/>
      </c>
      <c r="O165" s="539" t="str">
        <f t="shared" si="128"/>
        <v/>
      </c>
      <c r="P165" s="539" t="str">
        <f t="shared" si="128"/>
        <v/>
      </c>
      <c r="Q165" s="539" t="str">
        <f t="shared" si="128"/>
        <v/>
      </c>
      <c r="R165" s="539" t="str">
        <f t="shared" si="128"/>
        <v/>
      </c>
      <c r="S165" s="539" t="str">
        <f t="shared" si="128"/>
        <v/>
      </c>
      <c r="T165" s="539" t="str">
        <f t="shared" si="128"/>
        <v/>
      </c>
      <c r="U165" s="540" t="str">
        <f t="shared" ref="U165:AA165" si="129">IF(N174&lt;&gt;"",N174/E173*1000,"")</f>
        <v/>
      </c>
      <c r="V165" s="540" t="str">
        <f t="shared" si="129"/>
        <v/>
      </c>
      <c r="W165" s="540" t="str">
        <f t="shared" si="129"/>
        <v/>
      </c>
      <c r="X165" s="540" t="str">
        <f t="shared" si="129"/>
        <v/>
      </c>
      <c r="Y165" s="540" t="str">
        <f t="shared" si="129"/>
        <v/>
      </c>
      <c r="Z165" s="540" t="str">
        <f t="shared" si="129"/>
        <v/>
      </c>
      <c r="AA165" s="540" t="str">
        <f t="shared" si="129"/>
        <v/>
      </c>
      <c r="AB165" s="539" t="str">
        <f>IF(L165&lt;&gt;"",L165,"")</f>
        <v/>
      </c>
      <c r="AC165" s="541" t="str">
        <f>IF(C166&lt;&gt;"",CONCATENATE(C166," a ",C167),"")</f>
        <v/>
      </c>
      <c r="AD165" s="542" t="str">
        <f>IF(C169&lt;&gt;"",C169,"")</f>
        <v/>
      </c>
      <c r="AE165" s="543" t="str">
        <f>IF(E166&lt;&gt;"",E166,"")</f>
        <v/>
      </c>
      <c r="AF165" s="557" t="str">
        <f>IF(E167&lt;&gt;"",E167,"")</f>
        <v/>
      </c>
      <c r="AG165" s="544" t="str">
        <f>IF(N165&lt;&gt;"",N165,"")</f>
        <v/>
      </c>
      <c r="AH165" s="545" t="str">
        <f>IF(E172&lt;&gt;"",E172*100,"")</f>
        <v/>
      </c>
      <c r="AI165" s="546" t="str">
        <f>IF(N174&lt;&gt;"",N174,"")</f>
        <v/>
      </c>
      <c r="AJ165" s="547" t="str">
        <f>IF(AH165="","",((AH165/100)-E174)*100)</f>
        <v/>
      </c>
      <c r="AK165" s="548" t="str">
        <f>IF(U165&lt;&gt;"",U165*100,"")</f>
        <v/>
      </c>
    </row>
    <row r="166" spans="1:37" s="57" customFormat="1" ht="15" customHeight="1" x14ac:dyDescent="0.3">
      <c r="A166" s="1955"/>
      <c r="B166" s="869" t="s">
        <v>310</v>
      </c>
      <c r="C166" s="666"/>
      <c r="D166" s="870" t="s">
        <v>156</v>
      </c>
      <c r="E166" s="871"/>
      <c r="F166" s="871"/>
      <c r="G166" s="871"/>
      <c r="H166" s="871"/>
      <c r="I166" s="871"/>
      <c r="J166" s="871"/>
      <c r="K166" s="871"/>
      <c r="L166" s="651" t="str">
        <f>IF(F165&lt;&gt;"",MAX(L$5:L165)+1,"")</f>
        <v/>
      </c>
      <c r="M166" s="1960"/>
      <c r="N166" s="872" t="str">
        <f>IF(E168&lt;&gt;"",LOOKUP(E168,Tara!$L$5:$L$21,Tara!$M$5:$M$21),"")</f>
        <v/>
      </c>
      <c r="O166" s="872" t="str">
        <f>IF(F168&lt;&gt;"",LOOKUP(F168,Tara!$L$5:$L$21,Tara!$M$5:$M$21),"")</f>
        <v/>
      </c>
      <c r="P166" s="872" t="str">
        <f>IF(G168&lt;&gt;"",LOOKUP(G168,Tara!$L$5:$L$21,Tara!$M$5:$M$21),"")</f>
        <v/>
      </c>
      <c r="Q166" s="872" t="str">
        <f>IF(H168&lt;&gt;"",LOOKUP(H168,Tara!$L$5:$L$21,Tara!$M$5:$M$21),"")</f>
        <v/>
      </c>
      <c r="R166" s="872" t="str">
        <f>IF(I168&lt;&gt;"",LOOKUP(I168,Tara!$L$5:$L$21,Tara!$M$5:$M$21),"")</f>
        <v/>
      </c>
      <c r="S166" s="872" t="str">
        <f>IF(J168&lt;&gt;"",LOOKUP(J168,Tara!$L$5:$L$21,Tara!$M$5:$M$21),"")</f>
        <v/>
      </c>
      <c r="T166" s="872" t="str">
        <f>IF(K168&lt;&gt;"",LOOKUP(K168,Tara!$L$5:$L$21,Tara!$M$5:$M$21),"")</f>
        <v/>
      </c>
      <c r="U166" s="872"/>
      <c r="V166" s="872"/>
      <c r="W166" s="872"/>
      <c r="X166" s="872"/>
      <c r="Y166" s="872"/>
      <c r="Z166" s="872"/>
      <c r="AA166" s="872"/>
      <c r="AB166" s="872" t="str">
        <f t="shared" ref="AB166:AB171" si="130">IF(L166&lt;&gt;"",L166,"")</f>
        <v/>
      </c>
      <c r="AC166" s="873" t="str">
        <f>""</f>
        <v/>
      </c>
      <c r="AD166" s="873" t="str">
        <f>""</f>
        <v/>
      </c>
      <c r="AE166" s="873" t="str">
        <f>IF(F166&lt;&gt;"",F166,"")</f>
        <v/>
      </c>
      <c r="AF166" s="874" t="str">
        <f>IF(E167&lt;&gt;"",F167,"")</f>
        <v/>
      </c>
      <c r="AG166" s="875" t="str">
        <f>IF(O165&lt;&gt;"",O165,"")</f>
        <v/>
      </c>
      <c r="AH166" s="896" t="str">
        <f>IF(F172&lt;&gt;"",F172*100,"")</f>
        <v/>
      </c>
      <c r="AI166" s="897" t="str">
        <f>IF(O174&lt;&gt;"",O174,"")</f>
        <v/>
      </c>
      <c r="AJ166" s="880" t="str">
        <f>IF(AH166="","",((AH166/100)-F174)*100)</f>
        <v/>
      </c>
      <c r="AK166" s="1267" t="str">
        <f>IF(V165&lt;&gt;"",V165*100,"")</f>
        <v/>
      </c>
    </row>
    <row r="167" spans="1:37" s="56" customFormat="1" ht="15" customHeight="1" x14ac:dyDescent="0.3">
      <c r="A167" s="1955"/>
      <c r="B167" s="869" t="s">
        <v>311</v>
      </c>
      <c r="C167" s="666"/>
      <c r="D167" s="870" t="s">
        <v>312</v>
      </c>
      <c r="E167" s="878"/>
      <c r="F167" s="878"/>
      <c r="G167" s="878"/>
      <c r="H167" s="878"/>
      <c r="I167" s="878"/>
      <c r="J167" s="878"/>
      <c r="K167" s="1268"/>
      <c r="L167" s="651" t="str">
        <f>IF(G165&lt;&gt;"",MAX(L$5:L166)+1,"")</f>
        <v/>
      </c>
      <c r="M167" s="1960"/>
      <c r="N167" s="872" t="str">
        <f t="shared" ref="N167:T167" si="131">IF(N166&lt;&gt;"",N166-E169,"")</f>
        <v/>
      </c>
      <c r="O167" s="872" t="str">
        <f t="shared" si="131"/>
        <v/>
      </c>
      <c r="P167" s="872" t="str">
        <f t="shared" si="131"/>
        <v/>
      </c>
      <c r="Q167" s="872" t="str">
        <f t="shared" si="131"/>
        <v/>
      </c>
      <c r="R167" s="872" t="str">
        <f t="shared" si="131"/>
        <v/>
      </c>
      <c r="S167" s="872" t="str">
        <f t="shared" si="131"/>
        <v/>
      </c>
      <c r="T167" s="872" t="str">
        <f t="shared" si="131"/>
        <v/>
      </c>
      <c r="U167" s="879"/>
      <c r="V167" s="879"/>
      <c r="W167" s="879"/>
      <c r="X167" s="879"/>
      <c r="Y167" s="879"/>
      <c r="Z167" s="879"/>
      <c r="AA167" s="879"/>
      <c r="AB167" s="872" t="str">
        <f t="shared" si="130"/>
        <v/>
      </c>
      <c r="AC167" s="873" t="str">
        <f>""</f>
        <v/>
      </c>
      <c r="AD167" s="873" t="str">
        <f>""</f>
        <v/>
      </c>
      <c r="AE167" s="873" t="str">
        <f>IF(G166&lt;&gt;"",G166,"")</f>
        <v/>
      </c>
      <c r="AF167" s="874" t="str">
        <f>IF(G167&lt;&gt;"",G167,"")</f>
        <v/>
      </c>
      <c r="AG167" s="875" t="str">
        <f>IF(P165&lt;&gt;"",P165,"")</f>
        <v/>
      </c>
      <c r="AH167" s="896" t="str">
        <f>IF(G172&lt;&gt;"",G172*100,"")</f>
        <v/>
      </c>
      <c r="AI167" s="897" t="str">
        <f>IF(P174&lt;&gt;"",P174,"")</f>
        <v/>
      </c>
      <c r="AJ167" s="880" t="str">
        <f>IF(AH167="","",((AH167/100)-G174)*100)</f>
        <v/>
      </c>
      <c r="AK167" s="1267" t="str">
        <f>IF(W165&lt;&gt;"",W165*100,"")</f>
        <v/>
      </c>
    </row>
    <row r="168" spans="1:37" s="56" customFormat="1" ht="15" customHeight="1" x14ac:dyDescent="0.3">
      <c r="A168" s="1955"/>
      <c r="B168" s="869" t="s">
        <v>313</v>
      </c>
      <c r="C168" s="666"/>
      <c r="D168" s="870" t="s">
        <v>314</v>
      </c>
      <c r="E168" s="750"/>
      <c r="F168" s="750"/>
      <c r="G168" s="750"/>
      <c r="H168" s="750"/>
      <c r="I168" s="750"/>
      <c r="J168" s="750"/>
      <c r="K168" s="750"/>
      <c r="L168" s="651" t="str">
        <f>IF(H165&lt;&gt;"",MAX(L$5:L167)+1,"")</f>
        <v/>
      </c>
      <c r="M168" s="1960"/>
      <c r="N168" s="872" t="str">
        <f>IF(E168&lt;&gt;"",LOOKUP(E168,Tara!$L$5:$L$21,Tara!$N$5:$N$21),"")</f>
        <v/>
      </c>
      <c r="O168" s="872" t="str">
        <f>IF(F168&lt;&gt;"",LOOKUP(F168,Tara!$L$5:$L$21,Tara!$N$5:$N$21),"")</f>
        <v/>
      </c>
      <c r="P168" s="872" t="str">
        <f>IF(G168&lt;&gt;"",LOOKUP(G168,Tara!$L$5:$L$21,Tara!$N$5:$N$21),"")</f>
        <v/>
      </c>
      <c r="Q168" s="872" t="str">
        <f>IF(H168&lt;&gt;"",LOOKUP(H168,Tara!$L$5:$L$21,Tara!$N$5:$N$21),"")</f>
        <v/>
      </c>
      <c r="R168" s="872" t="str">
        <f>IF(I168&lt;&gt;"",LOOKUP(I168,Tara!$L$5:$L$21,Tara!$N$5:$N$21),"")</f>
        <v/>
      </c>
      <c r="S168" s="872" t="str">
        <f>IF(J168&lt;&gt;"",LOOKUP(J168,Tara!$L$5:$L$21,Tara!$N$5:$N$21),"")</f>
        <v/>
      </c>
      <c r="T168" s="872" t="str">
        <f>IF(K168&lt;&gt;"",LOOKUP(K168,Tara!$L$5:$L$21,Tara!$N$5:$N$21),"")</f>
        <v/>
      </c>
      <c r="U168" s="881"/>
      <c r="V168" s="881"/>
      <c r="W168" s="881"/>
      <c r="X168" s="881"/>
      <c r="Y168" s="881"/>
      <c r="Z168" s="881"/>
      <c r="AA168" s="881"/>
      <c r="AB168" s="872" t="str">
        <f t="shared" si="130"/>
        <v/>
      </c>
      <c r="AC168" s="873" t="str">
        <f>""</f>
        <v/>
      </c>
      <c r="AD168" s="873" t="str">
        <f>""</f>
        <v/>
      </c>
      <c r="AE168" s="873" t="str">
        <f>IF(H166&lt;&gt;"",H166,"")</f>
        <v/>
      </c>
      <c r="AF168" s="874" t="str">
        <f>IF(H167&lt;&gt;"",H167,"")</f>
        <v/>
      </c>
      <c r="AG168" s="875" t="str">
        <f>IF(Q165&lt;&gt;"",Q165,"")</f>
        <v/>
      </c>
      <c r="AH168" s="896" t="str">
        <f>IF(H172&lt;&gt;"",H172*100,"")</f>
        <v/>
      </c>
      <c r="AI168" s="897" t="str">
        <f>IF(Q174&lt;&gt;"",Q174,"")</f>
        <v/>
      </c>
      <c r="AJ168" s="880" t="str">
        <f>IF(AH168="","",((AH168/100)-H174)*100)</f>
        <v/>
      </c>
      <c r="AK168" s="1267" t="str">
        <f>IF(X165&lt;&gt;"",X165*100,"")</f>
        <v/>
      </c>
    </row>
    <row r="169" spans="1:37" s="56" customFormat="1" ht="15" customHeight="1" x14ac:dyDescent="0.3">
      <c r="A169" s="1955"/>
      <c r="B169" s="882" t="s">
        <v>57</v>
      </c>
      <c r="C169" s="688"/>
      <c r="D169" s="870" t="s">
        <v>315</v>
      </c>
      <c r="E169" s="871"/>
      <c r="F169" s="871"/>
      <c r="G169" s="871"/>
      <c r="H169" s="871"/>
      <c r="I169" s="871"/>
      <c r="J169" s="871"/>
      <c r="K169" s="871"/>
      <c r="L169" s="651" t="str">
        <f>IF(I165&lt;&gt;"",MAX(L$5:L168)+1,"")</f>
        <v/>
      </c>
      <c r="M169" s="1960"/>
      <c r="N169" s="872" t="str">
        <f t="shared" ref="N169:T169" si="132">IF(N167&lt;&gt;"",N167-N168,"")</f>
        <v/>
      </c>
      <c r="O169" s="872" t="str">
        <f t="shared" si="132"/>
        <v/>
      </c>
      <c r="P169" s="872" t="str">
        <f t="shared" si="132"/>
        <v/>
      </c>
      <c r="Q169" s="872" t="str">
        <f t="shared" si="132"/>
        <v/>
      </c>
      <c r="R169" s="872" t="str">
        <f t="shared" si="132"/>
        <v/>
      </c>
      <c r="S169" s="872" t="str">
        <f t="shared" si="132"/>
        <v/>
      </c>
      <c r="T169" s="872" t="str">
        <f t="shared" si="132"/>
        <v/>
      </c>
      <c r="U169" s="881"/>
      <c r="V169" s="881"/>
      <c r="W169" s="881"/>
      <c r="X169" s="881"/>
      <c r="Y169" s="881"/>
      <c r="Z169" s="881"/>
      <c r="AA169" s="881"/>
      <c r="AB169" s="872" t="str">
        <f t="shared" si="130"/>
        <v/>
      </c>
      <c r="AC169" s="873" t="str">
        <f>""</f>
        <v/>
      </c>
      <c r="AD169" s="873" t="str">
        <f>""</f>
        <v/>
      </c>
      <c r="AE169" s="873" t="str">
        <f>IF(I166&lt;&gt;"",I166,"")</f>
        <v/>
      </c>
      <c r="AF169" s="874" t="str">
        <f>IF(I167&lt;&gt;"",I167,"")</f>
        <v/>
      </c>
      <c r="AG169" s="875" t="str">
        <f>IF(R165&lt;&gt;"",R165,"")</f>
        <v/>
      </c>
      <c r="AH169" s="896" t="str">
        <f>IF(I172&lt;&gt;"",I172*100,"")</f>
        <v/>
      </c>
      <c r="AI169" s="897" t="str">
        <f>IF(R174&lt;&gt;"",R174,"")</f>
        <v/>
      </c>
      <c r="AJ169" s="880" t="str">
        <f>IF(AH169="","",((AH169/100)-I174)*100)</f>
        <v/>
      </c>
      <c r="AK169" s="1267" t="str">
        <f>IF(Y165&lt;&gt;"",Y165*100,"")</f>
        <v/>
      </c>
    </row>
    <row r="170" spans="1:37" s="316" customFormat="1" ht="15" customHeight="1" x14ac:dyDescent="0.3">
      <c r="A170" s="1955"/>
      <c r="B170" s="882" t="s">
        <v>316</v>
      </c>
      <c r="C170" s="666"/>
      <c r="D170" s="883" t="s">
        <v>317</v>
      </c>
      <c r="E170" s="750"/>
      <c r="F170" s="750"/>
      <c r="G170" s="750"/>
      <c r="H170" s="750"/>
      <c r="I170" s="750"/>
      <c r="J170" s="750"/>
      <c r="K170" s="750"/>
      <c r="L170" s="651" t="str">
        <f>IF(J165&lt;&gt;"",MAX(L$5:L169)+1,"")</f>
        <v/>
      </c>
      <c r="M170" s="1960"/>
      <c r="N170" s="872" t="str">
        <f>IF(E168&lt;&gt;"",LOOKUP(E168,Tara!$L$5:$L$21,Tara!$O$5:$O$21),"")</f>
        <v/>
      </c>
      <c r="O170" s="872" t="str">
        <f>IF(F168&lt;&gt;"",LOOKUP(F168,Tara!$L$5:$L$21,Tara!$O$5:$O$21),"")</f>
        <v/>
      </c>
      <c r="P170" s="872" t="str">
        <f>IF(G168&lt;&gt;"",LOOKUP(G168,Tara!$L$5:$L$21,Tara!$O$5:$O$21),"")</f>
        <v/>
      </c>
      <c r="Q170" s="872" t="str">
        <f>IF(H168&lt;&gt;"",LOOKUP(H168,Tara!$L$5:$L$21,Tara!$O$5:$O$21),"")</f>
        <v/>
      </c>
      <c r="R170" s="872" t="str">
        <f>IF(I168&lt;&gt;"",LOOKUP(I168,Tara!$L$5:$L$21,Tara!$O$5:$O$21),"")</f>
        <v/>
      </c>
      <c r="S170" s="872" t="str">
        <f>IF(J168&lt;&gt;"",LOOKUP(J168,Tara!$L$5:$L$21,Tara!$O$5:$O$21),"")</f>
        <v/>
      </c>
      <c r="T170" s="872" t="str">
        <f>IF(K168&lt;&gt;"",LOOKUP(K168,Tara!$L$5:$L$21,Tara!$O$5:$O$21),"")</f>
        <v/>
      </c>
      <c r="U170" s="884"/>
      <c r="V170" s="884"/>
      <c r="W170" s="884"/>
      <c r="X170" s="884"/>
      <c r="Y170" s="884"/>
      <c r="Z170" s="884"/>
      <c r="AA170" s="884"/>
      <c r="AB170" s="872" t="str">
        <f t="shared" si="130"/>
        <v/>
      </c>
      <c r="AC170" s="873" t="str">
        <f>""</f>
        <v/>
      </c>
      <c r="AD170" s="873" t="str">
        <f>""</f>
        <v/>
      </c>
      <c r="AE170" s="873" t="str">
        <f>IF(J166&lt;&gt;"",J166,"")</f>
        <v/>
      </c>
      <c r="AF170" s="874" t="str">
        <f>IF(J167&lt;&gt;"",J167,"")</f>
        <v/>
      </c>
      <c r="AG170" s="875" t="str">
        <f>IF(S165&lt;&gt;"",S165,"")</f>
        <v/>
      </c>
      <c r="AH170" s="896" t="str">
        <f>IF(J172&lt;&gt;"",J172*100,"")</f>
        <v/>
      </c>
      <c r="AI170" s="897" t="str">
        <f>IF(S174&lt;&gt;"",S174,"")</f>
        <v/>
      </c>
      <c r="AJ170" s="880" t="str">
        <f>IF(AH170="","",((AH170/100)-J174)*100)</f>
        <v/>
      </c>
      <c r="AK170" s="1267" t="str">
        <f>IF(Z165&lt;&gt;"",Z165*100,"")</f>
        <v/>
      </c>
    </row>
    <row r="171" spans="1:37" s="316" customFormat="1" ht="15" customHeight="1" x14ac:dyDescent="0.3">
      <c r="A171" s="1955"/>
      <c r="B171" s="885" t="s">
        <v>318</v>
      </c>
      <c r="C171" s="886"/>
      <c r="D171" s="870" t="s">
        <v>319</v>
      </c>
      <c r="E171" s="750"/>
      <c r="F171" s="750"/>
      <c r="G171" s="750"/>
      <c r="H171" s="750"/>
      <c r="I171" s="750"/>
      <c r="J171" s="750"/>
      <c r="K171" s="750"/>
      <c r="L171" s="651" t="str">
        <f>IF(K165&lt;&gt;"",MAX(L$5:L170)+1,"")</f>
        <v/>
      </c>
      <c r="M171" s="1960"/>
      <c r="N171" s="887" t="str">
        <f>IF(N169&lt;&gt;"",N169/N170,"")</f>
        <v/>
      </c>
      <c r="O171" s="887" t="str">
        <f t="shared" ref="O171:T171" si="133">IF(O169&lt;&gt;"",O169/O170,"")</f>
        <v/>
      </c>
      <c r="P171" s="887" t="str">
        <f t="shared" si="133"/>
        <v/>
      </c>
      <c r="Q171" s="887" t="str">
        <f t="shared" si="133"/>
        <v/>
      </c>
      <c r="R171" s="887" t="str">
        <f t="shared" si="133"/>
        <v/>
      </c>
      <c r="S171" s="887" t="str">
        <f t="shared" si="133"/>
        <v/>
      </c>
      <c r="T171" s="887" t="str">
        <f t="shared" si="133"/>
        <v/>
      </c>
      <c r="U171" s="884"/>
      <c r="V171" s="884"/>
      <c r="W171" s="884"/>
      <c r="X171" s="884"/>
      <c r="Y171" s="884"/>
      <c r="Z171" s="884"/>
      <c r="AA171" s="884"/>
      <c r="AB171" s="872" t="str">
        <f t="shared" si="130"/>
        <v/>
      </c>
      <c r="AC171" s="873" t="str">
        <f>""</f>
        <v/>
      </c>
      <c r="AD171" s="873" t="str">
        <f>""</f>
        <v/>
      </c>
      <c r="AE171" s="873" t="str">
        <f>IF(K166&lt;&gt;"",K166,"")</f>
        <v/>
      </c>
      <c r="AF171" s="874" t="str">
        <f>IF(K167&lt;&gt;"",K167,"")</f>
        <v/>
      </c>
      <c r="AG171" s="875" t="str">
        <f>IF(T165&lt;&gt;"",T165,"")</f>
        <v/>
      </c>
      <c r="AH171" s="896" t="str">
        <f>IF(K172&lt;&gt;"",K172*100,"")</f>
        <v/>
      </c>
      <c r="AI171" s="897" t="str">
        <f>IF(T174&lt;&gt;"",T174,"")</f>
        <v/>
      </c>
      <c r="AJ171" s="880" t="str">
        <f>IF(AH171="","",((AH171/100)-K174)*100)</f>
        <v/>
      </c>
      <c r="AK171" s="1267" t="str">
        <f>IF(AA165&lt;&gt;"",AA165*100,"")</f>
        <v/>
      </c>
    </row>
    <row r="172" spans="1:37" s="316" customFormat="1" ht="15" customHeight="1" x14ac:dyDescent="0.3">
      <c r="A172" s="1955"/>
      <c r="B172" s="652"/>
      <c r="C172" s="653"/>
      <c r="D172" s="870" t="s">
        <v>320</v>
      </c>
      <c r="E172" s="888"/>
      <c r="F172" s="888"/>
      <c r="G172" s="888"/>
      <c r="H172" s="888"/>
      <c r="I172" s="888"/>
      <c r="J172" s="888"/>
      <c r="K172" s="888"/>
      <c r="L172" s="651"/>
      <c r="M172" s="1960"/>
      <c r="N172" s="889" t="str">
        <f>IF(E170&lt;&gt;"",LOOKUP(E170,Tara!$P$5:$P$21,Tara!$Q$5:$Q$21),"")</f>
        <v/>
      </c>
      <c r="O172" s="889" t="str">
        <f>IF(F170&lt;&gt;"",LOOKUP(F170,Tara!$P$5:$P$21,Tara!$Q$5:$Q$21),"")</f>
        <v/>
      </c>
      <c r="P172" s="889" t="str">
        <f>IF(G170&lt;&gt;"",LOOKUP(G170,Tara!$P$5:$P$21,Tara!$Q$5:$Q$21),"")</f>
        <v/>
      </c>
      <c r="Q172" s="889" t="str">
        <f>IF(H170&lt;&gt;"",LOOKUP(H170,Tara!$P$5:$P$21,Tara!$Q$5:$Q$21),"")</f>
        <v/>
      </c>
      <c r="R172" s="889" t="str">
        <f>IF(I170&lt;&gt;"",LOOKUP(I170,Tara!$P$5:$P$21,Tara!$Q$5:$Q$21),"")</f>
        <v/>
      </c>
      <c r="S172" s="889" t="str">
        <f>IF(J170&lt;&gt;"",LOOKUP(J170,Tara!$P$5:$P$21,Tara!$Q$5:$Q$21),"")</f>
        <v/>
      </c>
      <c r="T172" s="889" t="str">
        <f>IF(K170&lt;&gt;"",LOOKUP(K170,Tara!$P$5:$P$21,Tara!$Q$5:$Q$21),"")</f>
        <v/>
      </c>
      <c r="U172" s="884"/>
      <c r="V172" s="884"/>
      <c r="W172" s="884"/>
      <c r="X172" s="884"/>
      <c r="Y172" s="884"/>
      <c r="Z172" s="884"/>
      <c r="AA172" s="884"/>
      <c r="AB172" s="872" t="str">
        <f>""</f>
        <v/>
      </c>
      <c r="AC172" s="873" t="str">
        <f>""</f>
        <v/>
      </c>
      <c r="AD172" s="873" t="str">
        <f>""</f>
        <v/>
      </c>
      <c r="AE172" s="873" t="str">
        <f>""</f>
        <v/>
      </c>
      <c r="AF172" s="874" t="str">
        <f>""</f>
        <v/>
      </c>
      <c r="AG172" s="875" t="str">
        <f>""</f>
        <v/>
      </c>
      <c r="AH172" s="875" t="str">
        <f>""</f>
        <v/>
      </c>
      <c r="AI172" s="875" t="str">
        <f>""</f>
        <v/>
      </c>
      <c r="AJ172" s="890" t="str">
        <f>""</f>
        <v/>
      </c>
      <c r="AK172" s="1267" t="str">
        <f>""</f>
        <v/>
      </c>
    </row>
    <row r="173" spans="1:37" s="316" customFormat="1" ht="15" customHeight="1" x14ac:dyDescent="0.3">
      <c r="A173" s="1955"/>
      <c r="B173" s="654"/>
      <c r="C173" s="655"/>
      <c r="D173" s="891" t="s">
        <v>321</v>
      </c>
      <c r="E173" s="750"/>
      <c r="F173" s="750"/>
      <c r="G173" s="750"/>
      <c r="H173" s="750"/>
      <c r="I173" s="750"/>
      <c r="J173" s="750"/>
      <c r="K173" s="750"/>
      <c r="L173" s="651"/>
      <c r="M173" s="1960"/>
      <c r="N173" s="892" t="str">
        <f t="shared" ref="N173:T173" si="134">IF(E171&lt;&gt;"",(E171-N172)/N171,"")</f>
        <v/>
      </c>
      <c r="O173" s="892" t="str">
        <f t="shared" si="134"/>
        <v/>
      </c>
      <c r="P173" s="892" t="str">
        <f t="shared" si="134"/>
        <v/>
      </c>
      <c r="Q173" s="892" t="str">
        <f t="shared" si="134"/>
        <v/>
      </c>
      <c r="R173" s="892" t="str">
        <f t="shared" si="134"/>
        <v/>
      </c>
      <c r="S173" s="892" t="str">
        <f t="shared" si="134"/>
        <v/>
      </c>
      <c r="T173" s="892" t="str">
        <f t="shared" si="134"/>
        <v/>
      </c>
      <c r="U173" s="884"/>
      <c r="V173" s="884"/>
      <c r="W173" s="884"/>
      <c r="X173" s="884"/>
      <c r="Y173" s="884"/>
      <c r="Z173" s="884"/>
      <c r="AA173" s="884"/>
      <c r="AB173" s="872" t="str">
        <f>""</f>
        <v/>
      </c>
      <c r="AC173" s="873" t="str">
        <f>""</f>
        <v/>
      </c>
      <c r="AD173" s="873" t="str">
        <f>""</f>
        <v/>
      </c>
      <c r="AE173" s="873" t="str">
        <f>""</f>
        <v/>
      </c>
      <c r="AF173" s="874" t="str">
        <f>""</f>
        <v/>
      </c>
      <c r="AG173" s="893" t="str">
        <f>""</f>
        <v/>
      </c>
      <c r="AH173" s="893" t="str">
        <f>""</f>
        <v/>
      </c>
      <c r="AI173" s="893" t="str">
        <f>""</f>
        <v/>
      </c>
      <c r="AJ173" s="895" t="str">
        <f>""</f>
        <v/>
      </c>
      <c r="AK173" s="1269" t="str">
        <f>""</f>
        <v/>
      </c>
    </row>
    <row r="174" spans="1:37" s="316" customFormat="1" ht="15" customHeight="1" thickBot="1" x14ac:dyDescent="0.35">
      <c r="A174" s="1956"/>
      <c r="B174" s="656"/>
      <c r="C174" s="657"/>
      <c r="D174" s="658" t="s">
        <v>99</v>
      </c>
      <c r="E174" s="556"/>
      <c r="F174" s="556"/>
      <c r="G174" s="556"/>
      <c r="H174" s="556"/>
      <c r="I174" s="556"/>
      <c r="J174" s="556"/>
      <c r="K174" s="556"/>
      <c r="L174" s="659"/>
      <c r="M174" s="1961"/>
      <c r="N174" s="549" t="str">
        <f t="shared" ref="N174:T174" si="135">IF(N173&lt;&gt;"",N173/(1+E172),"")</f>
        <v/>
      </c>
      <c r="O174" s="549" t="str">
        <f t="shared" si="135"/>
        <v/>
      </c>
      <c r="P174" s="549" t="str">
        <f t="shared" si="135"/>
        <v/>
      </c>
      <c r="Q174" s="549" t="str">
        <f t="shared" si="135"/>
        <v/>
      </c>
      <c r="R174" s="549" t="str">
        <f t="shared" si="135"/>
        <v/>
      </c>
      <c r="S174" s="549" t="str">
        <f t="shared" si="135"/>
        <v/>
      </c>
      <c r="T174" s="549" t="str">
        <f t="shared" si="135"/>
        <v/>
      </c>
      <c r="U174" s="550"/>
      <c r="V174" s="550"/>
      <c r="W174" s="550"/>
      <c r="X174" s="550"/>
      <c r="Y174" s="550"/>
      <c r="Z174" s="550"/>
      <c r="AA174" s="550"/>
      <c r="AB174" s="551">
        <f>MAX(AB$5:AB173)+1</f>
        <v>17</v>
      </c>
      <c r="AC174" s="552" t="str">
        <f>""</f>
        <v/>
      </c>
      <c r="AD174" s="552" t="str">
        <f>""</f>
        <v/>
      </c>
      <c r="AE174" s="552" t="str">
        <f>""</f>
        <v/>
      </c>
      <c r="AF174" s="558" t="str">
        <f>""</f>
        <v/>
      </c>
      <c r="AG174" s="553" t="str">
        <f>""</f>
        <v/>
      </c>
      <c r="AH174" s="553" t="str">
        <f>""</f>
        <v/>
      </c>
      <c r="AI174" s="553" t="str">
        <f>""</f>
        <v/>
      </c>
      <c r="AJ174" s="554" t="str">
        <f>""</f>
        <v/>
      </c>
      <c r="AK174" s="555" t="str">
        <f>""</f>
        <v/>
      </c>
    </row>
    <row r="175" spans="1:37" s="56" customFormat="1" ht="15" customHeight="1" x14ac:dyDescent="0.3">
      <c r="A175" s="1954">
        <f>A165+1</f>
        <v>18</v>
      </c>
      <c r="B175" s="1957" t="s">
        <v>309</v>
      </c>
      <c r="C175" s="1958"/>
      <c r="D175" s="648" t="s">
        <v>34</v>
      </c>
      <c r="E175" s="649"/>
      <c r="F175" s="649"/>
      <c r="G175" s="649"/>
      <c r="H175" s="649"/>
      <c r="I175" s="649"/>
      <c r="J175" s="649"/>
      <c r="K175" s="649"/>
      <c r="L175" s="650" t="str">
        <f>IF(E175&lt;&gt;"",MAX(L$5:L174)+1,"")</f>
        <v/>
      </c>
      <c r="M175" s="1959" t="s">
        <v>25</v>
      </c>
      <c r="N175" s="539" t="str">
        <f t="shared" ref="N175:T175" si="136">IF(E175&lt;&gt;"",E175,"")</f>
        <v/>
      </c>
      <c r="O175" s="539" t="str">
        <f t="shared" si="136"/>
        <v/>
      </c>
      <c r="P175" s="539" t="str">
        <f t="shared" si="136"/>
        <v/>
      </c>
      <c r="Q175" s="539" t="str">
        <f t="shared" si="136"/>
        <v/>
      </c>
      <c r="R175" s="539" t="str">
        <f t="shared" si="136"/>
        <v/>
      </c>
      <c r="S175" s="539" t="str">
        <f t="shared" si="136"/>
        <v/>
      </c>
      <c r="T175" s="539" t="str">
        <f t="shared" si="136"/>
        <v/>
      </c>
      <c r="U175" s="540" t="str">
        <f t="shared" ref="U175:AA175" si="137">IF(N184&lt;&gt;"",N184/E183*1000,"")</f>
        <v/>
      </c>
      <c r="V175" s="540" t="str">
        <f t="shared" si="137"/>
        <v/>
      </c>
      <c r="W175" s="540" t="str">
        <f t="shared" si="137"/>
        <v/>
      </c>
      <c r="X175" s="540" t="str">
        <f t="shared" si="137"/>
        <v/>
      </c>
      <c r="Y175" s="540" t="str">
        <f t="shared" si="137"/>
        <v/>
      </c>
      <c r="Z175" s="540" t="str">
        <f t="shared" si="137"/>
        <v/>
      </c>
      <c r="AA175" s="540" t="str">
        <f t="shared" si="137"/>
        <v/>
      </c>
      <c r="AB175" s="539" t="str">
        <f>IF(L175&lt;&gt;"",L175,"")</f>
        <v/>
      </c>
      <c r="AC175" s="541" t="str">
        <f>IF(C176&lt;&gt;"",CONCATENATE(C176," a ",C177),"")</f>
        <v/>
      </c>
      <c r="AD175" s="542" t="str">
        <f>IF(C179&lt;&gt;"",C179,"")</f>
        <v/>
      </c>
      <c r="AE175" s="543" t="str">
        <f>IF(E176&lt;&gt;"",E176,"")</f>
        <v/>
      </c>
      <c r="AF175" s="557" t="str">
        <f>IF(E177&lt;&gt;"",E177,"")</f>
        <v/>
      </c>
      <c r="AG175" s="544" t="str">
        <f>IF(N175&lt;&gt;"",N175,"")</f>
        <v/>
      </c>
      <c r="AH175" s="545" t="str">
        <f>IF(E182&lt;&gt;"",E182*100,"")</f>
        <v/>
      </c>
      <c r="AI175" s="546" t="str">
        <f>IF(N184&lt;&gt;"",N184,"")</f>
        <v/>
      </c>
      <c r="AJ175" s="547" t="str">
        <f>IF(AH175="","",((AH175/100)-E184)*100)</f>
        <v/>
      </c>
      <c r="AK175" s="548" t="str">
        <f>IF(U175&lt;&gt;"",U175*100,"")</f>
        <v/>
      </c>
    </row>
    <row r="176" spans="1:37" s="57" customFormat="1" ht="15" customHeight="1" x14ac:dyDescent="0.3">
      <c r="A176" s="1955"/>
      <c r="B176" s="869" t="s">
        <v>310</v>
      </c>
      <c r="C176" s="666"/>
      <c r="D176" s="870" t="s">
        <v>156</v>
      </c>
      <c r="E176" s="871"/>
      <c r="F176" s="871"/>
      <c r="G176" s="871"/>
      <c r="H176" s="871"/>
      <c r="I176" s="871"/>
      <c r="J176" s="871"/>
      <c r="K176" s="871"/>
      <c r="L176" s="651" t="str">
        <f>IF(F175&lt;&gt;"",MAX(L$5:L175)+1,"")</f>
        <v/>
      </c>
      <c r="M176" s="1960"/>
      <c r="N176" s="872" t="str">
        <f>IF(E178&lt;&gt;"",LOOKUP(E178,Tara!$L$5:$L$21,Tara!$M$5:$M$21),"")</f>
        <v/>
      </c>
      <c r="O176" s="872" t="str">
        <f>IF(F178&lt;&gt;"",LOOKUP(F178,Tara!$L$5:$L$21,Tara!$M$5:$M$21),"")</f>
        <v/>
      </c>
      <c r="P176" s="872" t="str">
        <f>IF(G178&lt;&gt;"",LOOKUP(G178,Tara!$L$5:$L$21,Tara!$M$5:$M$21),"")</f>
        <v/>
      </c>
      <c r="Q176" s="872" t="str">
        <f>IF(H178&lt;&gt;"",LOOKUP(H178,Tara!$L$5:$L$21,Tara!$M$5:$M$21),"")</f>
        <v/>
      </c>
      <c r="R176" s="872" t="str">
        <f>IF(I178&lt;&gt;"",LOOKUP(I178,Tara!$L$5:$L$21,Tara!$M$5:$M$21),"")</f>
        <v/>
      </c>
      <c r="S176" s="872" t="str">
        <f>IF(J178&lt;&gt;"",LOOKUP(J178,Tara!$L$5:$L$21,Tara!$M$5:$M$21),"")</f>
        <v/>
      </c>
      <c r="T176" s="872" t="str">
        <f>IF(K178&lt;&gt;"",LOOKUP(K178,Tara!$L$5:$L$21,Tara!$M$5:$M$21),"")</f>
        <v/>
      </c>
      <c r="U176" s="872"/>
      <c r="V176" s="872"/>
      <c r="W176" s="872"/>
      <c r="X176" s="872"/>
      <c r="Y176" s="872"/>
      <c r="Z176" s="872"/>
      <c r="AA176" s="872"/>
      <c r="AB176" s="872" t="str">
        <f t="shared" ref="AB176:AB181" si="138">IF(L176&lt;&gt;"",L176,"")</f>
        <v/>
      </c>
      <c r="AC176" s="873" t="str">
        <f>""</f>
        <v/>
      </c>
      <c r="AD176" s="873" t="str">
        <f>""</f>
        <v/>
      </c>
      <c r="AE176" s="873" t="str">
        <f>IF(F176&lt;&gt;"",F176,"")</f>
        <v/>
      </c>
      <c r="AF176" s="874" t="str">
        <f>IF(E177&lt;&gt;"",F177,"")</f>
        <v/>
      </c>
      <c r="AG176" s="875" t="str">
        <f>IF(O175&lt;&gt;"",O175,"")</f>
        <v/>
      </c>
      <c r="AH176" s="896" t="str">
        <f>IF(F182&lt;&gt;"",F182*100,"")</f>
        <v/>
      </c>
      <c r="AI176" s="897" t="str">
        <f>IF(O184&lt;&gt;"",O184,"")</f>
        <v/>
      </c>
      <c r="AJ176" s="880" t="str">
        <f>IF(AH176="","",((AH176/100)-F184)*100)</f>
        <v/>
      </c>
      <c r="AK176" s="1267" t="str">
        <f>IF(V175&lt;&gt;"",V175*100,"")</f>
        <v/>
      </c>
    </row>
    <row r="177" spans="1:37" s="56" customFormat="1" ht="15" customHeight="1" x14ac:dyDescent="0.3">
      <c r="A177" s="1955"/>
      <c r="B177" s="869" t="s">
        <v>311</v>
      </c>
      <c r="C177" s="666"/>
      <c r="D177" s="870" t="s">
        <v>312</v>
      </c>
      <c r="E177" s="878"/>
      <c r="F177" s="878"/>
      <c r="G177" s="878"/>
      <c r="H177" s="878"/>
      <c r="I177" s="878"/>
      <c r="J177" s="878"/>
      <c r="K177" s="1268"/>
      <c r="L177" s="651" t="str">
        <f>IF(G175&lt;&gt;"",MAX(L$5:L176)+1,"")</f>
        <v/>
      </c>
      <c r="M177" s="1960"/>
      <c r="N177" s="872" t="str">
        <f t="shared" ref="N177:T177" si="139">IF(N176&lt;&gt;"",N176-E179,"")</f>
        <v/>
      </c>
      <c r="O177" s="872" t="str">
        <f t="shared" si="139"/>
        <v/>
      </c>
      <c r="P177" s="872" t="str">
        <f t="shared" si="139"/>
        <v/>
      </c>
      <c r="Q177" s="872" t="str">
        <f t="shared" si="139"/>
        <v/>
      </c>
      <c r="R177" s="872" t="str">
        <f t="shared" si="139"/>
        <v/>
      </c>
      <c r="S177" s="872" t="str">
        <f t="shared" si="139"/>
        <v/>
      </c>
      <c r="T177" s="872" t="str">
        <f t="shared" si="139"/>
        <v/>
      </c>
      <c r="U177" s="879"/>
      <c r="V177" s="879"/>
      <c r="W177" s="879"/>
      <c r="X177" s="879"/>
      <c r="Y177" s="879"/>
      <c r="Z177" s="879"/>
      <c r="AA177" s="879"/>
      <c r="AB177" s="872" t="str">
        <f t="shared" si="138"/>
        <v/>
      </c>
      <c r="AC177" s="873" t="str">
        <f>""</f>
        <v/>
      </c>
      <c r="AD177" s="873" t="str">
        <f>""</f>
        <v/>
      </c>
      <c r="AE177" s="873" t="str">
        <f>IF(G176&lt;&gt;"",G176,"")</f>
        <v/>
      </c>
      <c r="AF177" s="874" t="str">
        <f>IF(G177&lt;&gt;"",G177,"")</f>
        <v/>
      </c>
      <c r="AG177" s="875" t="str">
        <f>IF(P175&lt;&gt;"",P175,"")</f>
        <v/>
      </c>
      <c r="AH177" s="896" t="str">
        <f>IF(G182&lt;&gt;"",G182*100,"")</f>
        <v/>
      </c>
      <c r="AI177" s="897" t="str">
        <f>IF(P184&lt;&gt;"",P184,"")</f>
        <v/>
      </c>
      <c r="AJ177" s="880" t="str">
        <f>IF(AH177="","",((AH177/100)-G184)*100)</f>
        <v/>
      </c>
      <c r="AK177" s="1267" t="str">
        <f>IF(W175&lt;&gt;"",W175*100,"")</f>
        <v/>
      </c>
    </row>
    <row r="178" spans="1:37" s="56" customFormat="1" ht="15" customHeight="1" x14ac:dyDescent="0.3">
      <c r="A178" s="1955"/>
      <c r="B178" s="869" t="s">
        <v>313</v>
      </c>
      <c r="C178" s="666"/>
      <c r="D178" s="870" t="s">
        <v>314</v>
      </c>
      <c r="E178" s="750"/>
      <c r="F178" s="750"/>
      <c r="G178" s="750"/>
      <c r="H178" s="750"/>
      <c r="I178" s="750"/>
      <c r="J178" s="750"/>
      <c r="K178" s="750"/>
      <c r="L178" s="651" t="str">
        <f>IF(H175&lt;&gt;"",MAX(L$5:L177)+1,"")</f>
        <v/>
      </c>
      <c r="M178" s="1960"/>
      <c r="N178" s="872" t="str">
        <f>IF(E178&lt;&gt;"",LOOKUP(E178,Tara!$L$5:$L$21,Tara!$N$5:$N$21),"")</f>
        <v/>
      </c>
      <c r="O178" s="872" t="str">
        <f>IF(F178&lt;&gt;"",LOOKUP(F178,Tara!$L$5:$L$21,Tara!$N$5:$N$21),"")</f>
        <v/>
      </c>
      <c r="P178" s="872" t="str">
        <f>IF(G178&lt;&gt;"",LOOKUP(G178,Tara!$L$5:$L$21,Tara!$N$5:$N$21),"")</f>
        <v/>
      </c>
      <c r="Q178" s="872" t="str">
        <f>IF(H178&lt;&gt;"",LOOKUP(H178,Tara!$L$5:$L$21,Tara!$N$5:$N$21),"")</f>
        <v/>
      </c>
      <c r="R178" s="872" t="str">
        <f>IF(I178&lt;&gt;"",LOOKUP(I178,Tara!$L$5:$L$21,Tara!$N$5:$N$21),"")</f>
        <v/>
      </c>
      <c r="S178" s="872" t="str">
        <f>IF(J178&lt;&gt;"",LOOKUP(J178,Tara!$L$5:$L$21,Tara!$N$5:$N$21),"")</f>
        <v/>
      </c>
      <c r="T178" s="872" t="str">
        <f>IF(K178&lt;&gt;"",LOOKUP(K178,Tara!$L$5:$L$21,Tara!$N$5:$N$21),"")</f>
        <v/>
      </c>
      <c r="U178" s="881"/>
      <c r="V178" s="881"/>
      <c r="W178" s="881"/>
      <c r="X178" s="881"/>
      <c r="Y178" s="881"/>
      <c r="Z178" s="881"/>
      <c r="AA178" s="881"/>
      <c r="AB178" s="872" t="str">
        <f t="shared" si="138"/>
        <v/>
      </c>
      <c r="AC178" s="873" t="str">
        <f>""</f>
        <v/>
      </c>
      <c r="AD178" s="873" t="str">
        <f>""</f>
        <v/>
      </c>
      <c r="AE178" s="873" t="str">
        <f>IF(H176&lt;&gt;"",H176,"")</f>
        <v/>
      </c>
      <c r="AF178" s="874" t="str">
        <f>IF(H177&lt;&gt;"",H177,"")</f>
        <v/>
      </c>
      <c r="AG178" s="875" t="str">
        <f>IF(Q175&lt;&gt;"",Q175,"")</f>
        <v/>
      </c>
      <c r="AH178" s="896" t="str">
        <f>IF(H182&lt;&gt;"",H182*100,"")</f>
        <v/>
      </c>
      <c r="AI178" s="897" t="str">
        <f>IF(Q184&lt;&gt;"",Q184,"")</f>
        <v/>
      </c>
      <c r="AJ178" s="880" t="str">
        <f>IF(AH178="","",((AH178/100)-H184)*100)</f>
        <v/>
      </c>
      <c r="AK178" s="1267" t="str">
        <f>IF(X175&lt;&gt;"",X175*100,"")</f>
        <v/>
      </c>
    </row>
    <row r="179" spans="1:37" s="56" customFormat="1" ht="15" customHeight="1" x14ac:dyDescent="0.3">
      <c r="A179" s="1955"/>
      <c r="B179" s="882" t="s">
        <v>57</v>
      </c>
      <c r="C179" s="688"/>
      <c r="D179" s="870" t="s">
        <v>315</v>
      </c>
      <c r="E179" s="871"/>
      <c r="F179" s="871"/>
      <c r="G179" s="871"/>
      <c r="H179" s="871"/>
      <c r="I179" s="871"/>
      <c r="J179" s="871"/>
      <c r="K179" s="871"/>
      <c r="L179" s="651" t="str">
        <f>IF(I175&lt;&gt;"",MAX(L$5:L178)+1,"")</f>
        <v/>
      </c>
      <c r="M179" s="1960"/>
      <c r="N179" s="872" t="str">
        <f t="shared" ref="N179:T179" si="140">IF(N177&lt;&gt;"",N177-N178,"")</f>
        <v/>
      </c>
      <c r="O179" s="872" t="str">
        <f t="shared" si="140"/>
        <v/>
      </c>
      <c r="P179" s="872" t="str">
        <f t="shared" si="140"/>
        <v/>
      </c>
      <c r="Q179" s="872" t="str">
        <f t="shared" si="140"/>
        <v/>
      </c>
      <c r="R179" s="872" t="str">
        <f t="shared" si="140"/>
        <v/>
      </c>
      <c r="S179" s="872" t="str">
        <f t="shared" si="140"/>
        <v/>
      </c>
      <c r="T179" s="872" t="str">
        <f t="shared" si="140"/>
        <v/>
      </c>
      <c r="U179" s="881"/>
      <c r="V179" s="881"/>
      <c r="W179" s="881"/>
      <c r="X179" s="881"/>
      <c r="Y179" s="881"/>
      <c r="Z179" s="881"/>
      <c r="AA179" s="881"/>
      <c r="AB179" s="872" t="str">
        <f t="shared" si="138"/>
        <v/>
      </c>
      <c r="AC179" s="873" t="str">
        <f>""</f>
        <v/>
      </c>
      <c r="AD179" s="873" t="str">
        <f>""</f>
        <v/>
      </c>
      <c r="AE179" s="873" t="str">
        <f>IF(I176&lt;&gt;"",I176,"")</f>
        <v/>
      </c>
      <c r="AF179" s="874" t="str">
        <f>IF(I177&lt;&gt;"",I177,"")</f>
        <v/>
      </c>
      <c r="AG179" s="875" t="str">
        <f>IF(R175&lt;&gt;"",R175,"")</f>
        <v/>
      </c>
      <c r="AH179" s="896" t="str">
        <f>IF(I182&lt;&gt;"",I182*100,"")</f>
        <v/>
      </c>
      <c r="AI179" s="897" t="str">
        <f>IF(R184&lt;&gt;"",R184,"")</f>
        <v/>
      </c>
      <c r="AJ179" s="880" t="str">
        <f>IF(AH179="","",((AH179/100)-I184)*100)</f>
        <v/>
      </c>
      <c r="AK179" s="1267" t="str">
        <f>IF(Y175&lt;&gt;"",Y175*100,"")</f>
        <v/>
      </c>
    </row>
    <row r="180" spans="1:37" s="316" customFormat="1" ht="15" customHeight="1" x14ac:dyDescent="0.3">
      <c r="A180" s="1955"/>
      <c r="B180" s="882" t="s">
        <v>316</v>
      </c>
      <c r="C180" s="666"/>
      <c r="D180" s="883" t="s">
        <v>317</v>
      </c>
      <c r="E180" s="750"/>
      <c r="F180" s="750"/>
      <c r="G180" s="750"/>
      <c r="H180" s="750"/>
      <c r="I180" s="750"/>
      <c r="J180" s="750"/>
      <c r="K180" s="750"/>
      <c r="L180" s="651" t="str">
        <f>IF(J175&lt;&gt;"",MAX(L$5:L179)+1,"")</f>
        <v/>
      </c>
      <c r="M180" s="1960"/>
      <c r="N180" s="872" t="str">
        <f>IF(E178&lt;&gt;"",LOOKUP(E178,Tara!$L$5:$L$21,Tara!$O$5:$O$21),"")</f>
        <v/>
      </c>
      <c r="O180" s="872" t="str">
        <f>IF(F178&lt;&gt;"",LOOKUP(F178,Tara!$L$5:$L$21,Tara!$O$5:$O$21),"")</f>
        <v/>
      </c>
      <c r="P180" s="872" t="str">
        <f>IF(G178&lt;&gt;"",LOOKUP(G178,Tara!$L$5:$L$21,Tara!$O$5:$O$21),"")</f>
        <v/>
      </c>
      <c r="Q180" s="872" t="str">
        <f>IF(H178&lt;&gt;"",LOOKUP(H178,Tara!$L$5:$L$21,Tara!$O$5:$O$21),"")</f>
        <v/>
      </c>
      <c r="R180" s="872" t="str">
        <f>IF(I178&lt;&gt;"",LOOKUP(I178,Tara!$L$5:$L$21,Tara!$O$5:$O$21),"")</f>
        <v/>
      </c>
      <c r="S180" s="872" t="str">
        <f>IF(J178&lt;&gt;"",LOOKUP(J178,Tara!$L$5:$L$21,Tara!$O$5:$O$21),"")</f>
        <v/>
      </c>
      <c r="T180" s="872" t="str">
        <f>IF(K178&lt;&gt;"",LOOKUP(K178,Tara!$L$5:$L$21,Tara!$O$5:$O$21),"")</f>
        <v/>
      </c>
      <c r="U180" s="884"/>
      <c r="V180" s="884"/>
      <c r="W180" s="884"/>
      <c r="X180" s="884"/>
      <c r="Y180" s="884"/>
      <c r="Z180" s="884"/>
      <c r="AA180" s="884"/>
      <c r="AB180" s="872" t="str">
        <f t="shared" si="138"/>
        <v/>
      </c>
      <c r="AC180" s="873" t="str">
        <f>""</f>
        <v/>
      </c>
      <c r="AD180" s="873" t="str">
        <f>""</f>
        <v/>
      </c>
      <c r="AE180" s="873" t="str">
        <f>IF(J176&lt;&gt;"",J176,"")</f>
        <v/>
      </c>
      <c r="AF180" s="874" t="str">
        <f>IF(J177&lt;&gt;"",J177,"")</f>
        <v/>
      </c>
      <c r="AG180" s="875" t="str">
        <f>IF(S175&lt;&gt;"",S175,"")</f>
        <v/>
      </c>
      <c r="AH180" s="896" t="str">
        <f>IF(J182&lt;&gt;"",J182*100,"")</f>
        <v/>
      </c>
      <c r="AI180" s="897" t="str">
        <f>IF(S184&lt;&gt;"",S184,"")</f>
        <v/>
      </c>
      <c r="AJ180" s="880" t="str">
        <f>IF(AH180="","",((AH180/100)-J184)*100)</f>
        <v/>
      </c>
      <c r="AK180" s="1267" t="str">
        <f>IF(Z175&lt;&gt;"",Z175*100,"")</f>
        <v/>
      </c>
    </row>
    <row r="181" spans="1:37" s="316" customFormat="1" ht="15" customHeight="1" x14ac:dyDescent="0.3">
      <c r="A181" s="1955"/>
      <c r="B181" s="885" t="s">
        <v>318</v>
      </c>
      <c r="C181" s="886"/>
      <c r="D181" s="870" t="s">
        <v>319</v>
      </c>
      <c r="E181" s="750"/>
      <c r="F181" s="750"/>
      <c r="G181" s="750"/>
      <c r="H181" s="750"/>
      <c r="I181" s="750"/>
      <c r="J181" s="750"/>
      <c r="K181" s="750"/>
      <c r="L181" s="651" t="str">
        <f>IF(K175&lt;&gt;"",MAX(L$5:L180)+1,"")</f>
        <v/>
      </c>
      <c r="M181" s="1960"/>
      <c r="N181" s="887" t="str">
        <f>IF(N179&lt;&gt;"",N179/N180,"")</f>
        <v/>
      </c>
      <c r="O181" s="887" t="str">
        <f t="shared" ref="O181:T181" si="141">IF(O179&lt;&gt;"",O179/O180,"")</f>
        <v/>
      </c>
      <c r="P181" s="887" t="str">
        <f t="shared" si="141"/>
        <v/>
      </c>
      <c r="Q181" s="887" t="str">
        <f t="shared" si="141"/>
        <v/>
      </c>
      <c r="R181" s="887" t="str">
        <f t="shared" si="141"/>
        <v/>
      </c>
      <c r="S181" s="887" t="str">
        <f t="shared" si="141"/>
        <v/>
      </c>
      <c r="T181" s="887" t="str">
        <f t="shared" si="141"/>
        <v/>
      </c>
      <c r="U181" s="884"/>
      <c r="V181" s="884"/>
      <c r="W181" s="884"/>
      <c r="X181" s="884"/>
      <c r="Y181" s="884"/>
      <c r="Z181" s="884"/>
      <c r="AA181" s="884"/>
      <c r="AB181" s="872" t="str">
        <f t="shared" si="138"/>
        <v/>
      </c>
      <c r="AC181" s="873" t="str">
        <f>""</f>
        <v/>
      </c>
      <c r="AD181" s="873" t="str">
        <f>""</f>
        <v/>
      </c>
      <c r="AE181" s="873" t="str">
        <f>IF(K176&lt;&gt;"",K176,"")</f>
        <v/>
      </c>
      <c r="AF181" s="874" t="str">
        <f>IF(K177&lt;&gt;"",K177,"")</f>
        <v/>
      </c>
      <c r="AG181" s="875" t="str">
        <f>IF(T175&lt;&gt;"",T175,"")</f>
        <v/>
      </c>
      <c r="AH181" s="896" t="str">
        <f>IF(K182&lt;&gt;"",K182*100,"")</f>
        <v/>
      </c>
      <c r="AI181" s="897" t="str">
        <f>IF(T184&lt;&gt;"",T184,"")</f>
        <v/>
      </c>
      <c r="AJ181" s="880" t="str">
        <f>IF(AH181="","",((AH181/100)-K184)*100)</f>
        <v/>
      </c>
      <c r="AK181" s="1267" t="str">
        <f>IF(AA175&lt;&gt;"",AA175*100,"")</f>
        <v/>
      </c>
    </row>
    <row r="182" spans="1:37" s="316" customFormat="1" ht="15" customHeight="1" x14ac:dyDescent="0.3">
      <c r="A182" s="1955"/>
      <c r="B182" s="652"/>
      <c r="C182" s="653"/>
      <c r="D182" s="870" t="s">
        <v>320</v>
      </c>
      <c r="E182" s="888"/>
      <c r="F182" s="888"/>
      <c r="G182" s="888"/>
      <c r="H182" s="888"/>
      <c r="I182" s="888"/>
      <c r="J182" s="888"/>
      <c r="K182" s="888"/>
      <c r="L182" s="651"/>
      <c r="M182" s="1960"/>
      <c r="N182" s="889" t="str">
        <f>IF(E180&lt;&gt;"",LOOKUP(E180,Tara!$P$5:$P$21,Tara!$Q$5:$Q$21),"")</f>
        <v/>
      </c>
      <c r="O182" s="889" t="str">
        <f>IF(F180&lt;&gt;"",LOOKUP(F180,Tara!$P$5:$P$21,Tara!$Q$5:$Q$21),"")</f>
        <v/>
      </c>
      <c r="P182" s="889" t="str">
        <f>IF(G180&lt;&gt;"",LOOKUP(G180,Tara!$P$5:$P$21,Tara!$Q$5:$Q$21),"")</f>
        <v/>
      </c>
      <c r="Q182" s="889" t="str">
        <f>IF(H180&lt;&gt;"",LOOKUP(H180,Tara!$P$5:$P$21,Tara!$Q$5:$Q$21),"")</f>
        <v/>
      </c>
      <c r="R182" s="889" t="str">
        <f>IF(I180&lt;&gt;"",LOOKUP(I180,Tara!$P$5:$P$21,Tara!$Q$5:$Q$21),"")</f>
        <v/>
      </c>
      <c r="S182" s="889" t="str">
        <f>IF(J180&lt;&gt;"",LOOKUP(J180,Tara!$P$5:$P$21,Tara!$Q$5:$Q$21),"")</f>
        <v/>
      </c>
      <c r="T182" s="889" t="str">
        <f>IF(K180&lt;&gt;"",LOOKUP(K180,Tara!$P$5:$P$21,Tara!$Q$5:$Q$21),"")</f>
        <v/>
      </c>
      <c r="U182" s="884"/>
      <c r="V182" s="884"/>
      <c r="W182" s="884"/>
      <c r="X182" s="884"/>
      <c r="Y182" s="884"/>
      <c r="Z182" s="884"/>
      <c r="AA182" s="884"/>
      <c r="AB182" s="872" t="str">
        <f>""</f>
        <v/>
      </c>
      <c r="AC182" s="873" t="str">
        <f>""</f>
        <v/>
      </c>
      <c r="AD182" s="873" t="str">
        <f>""</f>
        <v/>
      </c>
      <c r="AE182" s="873" t="str">
        <f>""</f>
        <v/>
      </c>
      <c r="AF182" s="874" t="str">
        <f>""</f>
        <v/>
      </c>
      <c r="AG182" s="875" t="str">
        <f>""</f>
        <v/>
      </c>
      <c r="AH182" s="875" t="str">
        <f>""</f>
        <v/>
      </c>
      <c r="AI182" s="875" t="str">
        <f>""</f>
        <v/>
      </c>
      <c r="AJ182" s="890" t="str">
        <f>""</f>
        <v/>
      </c>
      <c r="AK182" s="1267" t="str">
        <f>""</f>
        <v/>
      </c>
    </row>
    <row r="183" spans="1:37" s="316" customFormat="1" ht="15" customHeight="1" x14ac:dyDescent="0.3">
      <c r="A183" s="1955"/>
      <c r="B183" s="654"/>
      <c r="C183" s="655"/>
      <c r="D183" s="891" t="s">
        <v>321</v>
      </c>
      <c r="E183" s="750"/>
      <c r="F183" s="750"/>
      <c r="G183" s="750"/>
      <c r="H183" s="750"/>
      <c r="I183" s="750"/>
      <c r="J183" s="750"/>
      <c r="K183" s="750"/>
      <c r="L183" s="651"/>
      <c r="M183" s="1960"/>
      <c r="N183" s="892" t="str">
        <f t="shared" ref="N183:T183" si="142">IF(E181&lt;&gt;"",(E181-N182)/N181,"")</f>
        <v/>
      </c>
      <c r="O183" s="892" t="str">
        <f t="shared" si="142"/>
        <v/>
      </c>
      <c r="P183" s="892" t="str">
        <f t="shared" si="142"/>
        <v/>
      </c>
      <c r="Q183" s="892" t="str">
        <f t="shared" si="142"/>
        <v/>
      </c>
      <c r="R183" s="892" t="str">
        <f t="shared" si="142"/>
        <v/>
      </c>
      <c r="S183" s="892" t="str">
        <f t="shared" si="142"/>
        <v/>
      </c>
      <c r="T183" s="892" t="str">
        <f t="shared" si="142"/>
        <v/>
      </c>
      <c r="U183" s="884"/>
      <c r="V183" s="884"/>
      <c r="W183" s="884"/>
      <c r="X183" s="884"/>
      <c r="Y183" s="884"/>
      <c r="Z183" s="884"/>
      <c r="AA183" s="884"/>
      <c r="AB183" s="872" t="str">
        <f>""</f>
        <v/>
      </c>
      <c r="AC183" s="873" t="str">
        <f>""</f>
        <v/>
      </c>
      <c r="AD183" s="873" t="str">
        <f>""</f>
        <v/>
      </c>
      <c r="AE183" s="873" t="str">
        <f>""</f>
        <v/>
      </c>
      <c r="AF183" s="874" t="str">
        <f>""</f>
        <v/>
      </c>
      <c r="AG183" s="893" t="str">
        <f>""</f>
        <v/>
      </c>
      <c r="AH183" s="893" t="str">
        <f>""</f>
        <v/>
      </c>
      <c r="AI183" s="893" t="str">
        <f>""</f>
        <v/>
      </c>
      <c r="AJ183" s="895" t="str">
        <f>""</f>
        <v/>
      </c>
      <c r="AK183" s="1269" t="str">
        <f>""</f>
        <v/>
      </c>
    </row>
    <row r="184" spans="1:37" s="316" customFormat="1" ht="15" customHeight="1" thickBot="1" x14ac:dyDescent="0.35">
      <c r="A184" s="1956"/>
      <c r="B184" s="656"/>
      <c r="C184" s="657"/>
      <c r="D184" s="658" t="s">
        <v>99</v>
      </c>
      <c r="E184" s="556"/>
      <c r="F184" s="556"/>
      <c r="G184" s="556"/>
      <c r="H184" s="556"/>
      <c r="I184" s="556"/>
      <c r="J184" s="556"/>
      <c r="K184" s="556"/>
      <c r="L184" s="659"/>
      <c r="M184" s="1961"/>
      <c r="N184" s="549" t="str">
        <f t="shared" ref="N184:T184" si="143">IF(N183&lt;&gt;"",N183/(1+E182),"")</f>
        <v/>
      </c>
      <c r="O184" s="549" t="str">
        <f t="shared" si="143"/>
        <v/>
      </c>
      <c r="P184" s="549" t="str">
        <f t="shared" si="143"/>
        <v/>
      </c>
      <c r="Q184" s="549" t="str">
        <f t="shared" si="143"/>
        <v/>
      </c>
      <c r="R184" s="549" t="str">
        <f t="shared" si="143"/>
        <v/>
      </c>
      <c r="S184" s="549" t="str">
        <f t="shared" si="143"/>
        <v/>
      </c>
      <c r="T184" s="549" t="str">
        <f t="shared" si="143"/>
        <v/>
      </c>
      <c r="U184" s="550"/>
      <c r="V184" s="550"/>
      <c r="W184" s="550"/>
      <c r="X184" s="550"/>
      <c r="Y184" s="550"/>
      <c r="Z184" s="550"/>
      <c r="AA184" s="550"/>
      <c r="AB184" s="551">
        <f>MAX(AB$5:AB183)+1</f>
        <v>18</v>
      </c>
      <c r="AC184" s="552" t="str">
        <f>""</f>
        <v/>
      </c>
      <c r="AD184" s="552" t="str">
        <f>""</f>
        <v/>
      </c>
      <c r="AE184" s="552" t="str">
        <f>""</f>
        <v/>
      </c>
      <c r="AF184" s="558" t="str">
        <f>""</f>
        <v/>
      </c>
      <c r="AG184" s="553" t="str">
        <f>""</f>
        <v/>
      </c>
      <c r="AH184" s="553" t="str">
        <f>""</f>
        <v/>
      </c>
      <c r="AI184" s="553" t="str">
        <f>""</f>
        <v/>
      </c>
      <c r="AJ184" s="554" t="str">
        <f>""</f>
        <v/>
      </c>
      <c r="AK184" s="555" t="str">
        <f>""</f>
        <v/>
      </c>
    </row>
    <row r="185" spans="1:37" s="56" customFormat="1" ht="15" customHeight="1" x14ac:dyDescent="0.3">
      <c r="A185" s="1954">
        <f>A175+1</f>
        <v>19</v>
      </c>
      <c r="B185" s="1957" t="s">
        <v>309</v>
      </c>
      <c r="C185" s="1958"/>
      <c r="D185" s="648" t="s">
        <v>34</v>
      </c>
      <c r="E185" s="649"/>
      <c r="F185" s="649"/>
      <c r="G185" s="649"/>
      <c r="H185" s="649"/>
      <c r="I185" s="649"/>
      <c r="J185" s="649"/>
      <c r="K185" s="649"/>
      <c r="L185" s="650" t="str">
        <f>IF(E185&lt;&gt;"",MAX(L$5:L184)+1,"")</f>
        <v/>
      </c>
      <c r="M185" s="1959" t="s">
        <v>25</v>
      </c>
      <c r="N185" s="539" t="str">
        <f t="shared" ref="N185:T185" si="144">IF(E185&lt;&gt;"",E185,"")</f>
        <v/>
      </c>
      <c r="O185" s="539" t="str">
        <f t="shared" si="144"/>
        <v/>
      </c>
      <c r="P185" s="539" t="str">
        <f t="shared" si="144"/>
        <v/>
      </c>
      <c r="Q185" s="539" t="str">
        <f t="shared" si="144"/>
        <v/>
      </c>
      <c r="R185" s="539" t="str">
        <f t="shared" si="144"/>
        <v/>
      </c>
      <c r="S185" s="539" t="str">
        <f t="shared" si="144"/>
        <v/>
      </c>
      <c r="T185" s="539" t="str">
        <f t="shared" si="144"/>
        <v/>
      </c>
      <c r="U185" s="540" t="str">
        <f t="shared" ref="U185:AA185" si="145">IF(N194&lt;&gt;"",N194/E193*1000,"")</f>
        <v/>
      </c>
      <c r="V185" s="540" t="str">
        <f t="shared" si="145"/>
        <v/>
      </c>
      <c r="W185" s="540" t="str">
        <f t="shared" si="145"/>
        <v/>
      </c>
      <c r="X185" s="540" t="str">
        <f t="shared" si="145"/>
        <v/>
      </c>
      <c r="Y185" s="540" t="str">
        <f t="shared" si="145"/>
        <v/>
      </c>
      <c r="Z185" s="540" t="str">
        <f t="shared" si="145"/>
        <v/>
      </c>
      <c r="AA185" s="540" t="str">
        <f t="shared" si="145"/>
        <v/>
      </c>
      <c r="AB185" s="539" t="str">
        <f>IF(L185&lt;&gt;"",L185,"")</f>
        <v/>
      </c>
      <c r="AC185" s="541" t="str">
        <f>IF(C186&lt;&gt;"",CONCATENATE(C186," a ",C187),"")</f>
        <v/>
      </c>
      <c r="AD185" s="542" t="str">
        <f>IF(C189&lt;&gt;"",C189,"")</f>
        <v/>
      </c>
      <c r="AE185" s="543" t="str">
        <f>IF(E186&lt;&gt;"",E186,"")</f>
        <v/>
      </c>
      <c r="AF185" s="557" t="str">
        <f>IF(E187&lt;&gt;"",E187,"")</f>
        <v/>
      </c>
      <c r="AG185" s="544" t="str">
        <f>IF(N185&lt;&gt;"",N185,"")</f>
        <v/>
      </c>
      <c r="AH185" s="545" t="str">
        <f>IF(E192&lt;&gt;"",E192*100,"")</f>
        <v/>
      </c>
      <c r="AI185" s="546" t="str">
        <f>IF(N194&lt;&gt;"",N194,"")</f>
        <v/>
      </c>
      <c r="AJ185" s="547" t="str">
        <f>IF(AH185="","",((AH185/100)-E194)*100)</f>
        <v/>
      </c>
      <c r="AK185" s="548" t="str">
        <f>IF(U185&lt;&gt;"",U185*100,"")</f>
        <v/>
      </c>
    </row>
    <row r="186" spans="1:37" s="57" customFormat="1" ht="15" customHeight="1" x14ac:dyDescent="0.3">
      <c r="A186" s="1955"/>
      <c r="B186" s="869" t="s">
        <v>310</v>
      </c>
      <c r="C186" s="666"/>
      <c r="D186" s="870" t="s">
        <v>156</v>
      </c>
      <c r="E186" s="871"/>
      <c r="F186" s="871"/>
      <c r="G186" s="871"/>
      <c r="H186" s="871"/>
      <c r="I186" s="871"/>
      <c r="J186" s="871"/>
      <c r="K186" s="871"/>
      <c r="L186" s="651" t="str">
        <f>IF(F185&lt;&gt;"",MAX(L$5:L185)+1,"")</f>
        <v/>
      </c>
      <c r="M186" s="1960"/>
      <c r="N186" s="872" t="str">
        <f>IF(E188&lt;&gt;"",LOOKUP(E188,Tara!$L$5:$L$21,Tara!$M$5:$M$21),"")</f>
        <v/>
      </c>
      <c r="O186" s="872" t="str">
        <f>IF(F188&lt;&gt;"",LOOKUP(F188,Tara!$L$5:$L$21,Tara!$M$5:$M$21),"")</f>
        <v/>
      </c>
      <c r="P186" s="872" t="str">
        <f>IF(G188&lt;&gt;"",LOOKUP(G188,Tara!$L$5:$L$21,Tara!$M$5:$M$21),"")</f>
        <v/>
      </c>
      <c r="Q186" s="872" t="str">
        <f>IF(H188&lt;&gt;"",LOOKUP(H188,Tara!$L$5:$L$21,Tara!$M$5:$M$21),"")</f>
        <v/>
      </c>
      <c r="R186" s="872" t="str">
        <f>IF(I188&lt;&gt;"",LOOKUP(I188,Tara!$L$5:$L$21,Tara!$M$5:$M$21),"")</f>
        <v/>
      </c>
      <c r="S186" s="872" t="str">
        <f>IF(J188&lt;&gt;"",LOOKUP(J188,Tara!$L$5:$L$21,Tara!$M$5:$M$21),"")</f>
        <v/>
      </c>
      <c r="T186" s="872" t="str">
        <f>IF(K188&lt;&gt;"",LOOKUP(K188,Tara!$L$5:$L$21,Tara!$M$5:$M$21),"")</f>
        <v/>
      </c>
      <c r="U186" s="872"/>
      <c r="V186" s="872"/>
      <c r="W186" s="872"/>
      <c r="X186" s="872"/>
      <c r="Y186" s="872"/>
      <c r="Z186" s="872"/>
      <c r="AA186" s="872"/>
      <c r="AB186" s="872" t="str">
        <f t="shared" ref="AB186:AB191" si="146">IF(L186&lt;&gt;"",L186,"")</f>
        <v/>
      </c>
      <c r="AC186" s="873" t="str">
        <f>""</f>
        <v/>
      </c>
      <c r="AD186" s="873" t="str">
        <f>""</f>
        <v/>
      </c>
      <c r="AE186" s="873" t="str">
        <f>IF(F186&lt;&gt;"",F186,"")</f>
        <v/>
      </c>
      <c r="AF186" s="874" t="str">
        <f>IF(E187&lt;&gt;"",F187,"")</f>
        <v/>
      </c>
      <c r="AG186" s="875" t="str">
        <f>IF(O185&lt;&gt;"",O185,"")</f>
        <v/>
      </c>
      <c r="AH186" s="896" t="str">
        <f>IF(F192&lt;&gt;"",F192*100,"")</f>
        <v/>
      </c>
      <c r="AI186" s="897" t="str">
        <f>IF(O194&lt;&gt;"",O194,"")</f>
        <v/>
      </c>
      <c r="AJ186" s="880" t="str">
        <f>IF(AH186="","",((AH186/100)-F194)*100)</f>
        <v/>
      </c>
      <c r="AK186" s="1267" t="str">
        <f>IF(V185&lt;&gt;"",V185*100,"")</f>
        <v/>
      </c>
    </row>
    <row r="187" spans="1:37" s="56" customFormat="1" ht="15" customHeight="1" x14ac:dyDescent="0.3">
      <c r="A187" s="1955"/>
      <c r="B187" s="869" t="s">
        <v>311</v>
      </c>
      <c r="C187" s="666"/>
      <c r="D187" s="870" t="s">
        <v>312</v>
      </c>
      <c r="E187" s="878"/>
      <c r="F187" s="878"/>
      <c r="G187" s="878"/>
      <c r="H187" s="878"/>
      <c r="I187" s="878"/>
      <c r="J187" s="878"/>
      <c r="K187" s="1268"/>
      <c r="L187" s="651" t="str">
        <f>IF(G185&lt;&gt;"",MAX(L$5:L186)+1,"")</f>
        <v/>
      </c>
      <c r="M187" s="1960"/>
      <c r="N187" s="872" t="str">
        <f t="shared" ref="N187:T187" si="147">IF(N186&lt;&gt;"",N186-E189,"")</f>
        <v/>
      </c>
      <c r="O187" s="872" t="str">
        <f t="shared" si="147"/>
        <v/>
      </c>
      <c r="P187" s="872" t="str">
        <f t="shared" si="147"/>
        <v/>
      </c>
      <c r="Q187" s="872" t="str">
        <f t="shared" si="147"/>
        <v/>
      </c>
      <c r="R187" s="872" t="str">
        <f t="shared" si="147"/>
        <v/>
      </c>
      <c r="S187" s="872" t="str">
        <f t="shared" si="147"/>
        <v/>
      </c>
      <c r="T187" s="872" t="str">
        <f t="shared" si="147"/>
        <v/>
      </c>
      <c r="U187" s="879"/>
      <c r="V187" s="879"/>
      <c r="W187" s="879"/>
      <c r="X187" s="879"/>
      <c r="Y187" s="879"/>
      <c r="Z187" s="879"/>
      <c r="AA187" s="879"/>
      <c r="AB187" s="872" t="str">
        <f t="shared" si="146"/>
        <v/>
      </c>
      <c r="AC187" s="873" t="str">
        <f>""</f>
        <v/>
      </c>
      <c r="AD187" s="873" t="str">
        <f>""</f>
        <v/>
      </c>
      <c r="AE187" s="873" t="str">
        <f>IF(G186&lt;&gt;"",G186,"")</f>
        <v/>
      </c>
      <c r="AF187" s="874" t="str">
        <f>IF(G187&lt;&gt;"",G187,"")</f>
        <v/>
      </c>
      <c r="AG187" s="875" t="str">
        <f>IF(P185&lt;&gt;"",P185,"")</f>
        <v/>
      </c>
      <c r="AH187" s="896" t="str">
        <f>IF(G192&lt;&gt;"",G192*100,"")</f>
        <v/>
      </c>
      <c r="AI187" s="897" t="str">
        <f>IF(P194&lt;&gt;"",P194,"")</f>
        <v/>
      </c>
      <c r="AJ187" s="880" t="str">
        <f>IF(AH187="","",((AH187/100)-G194)*100)</f>
        <v/>
      </c>
      <c r="AK187" s="1267" t="str">
        <f>IF(W185&lt;&gt;"",W185*100,"")</f>
        <v/>
      </c>
    </row>
    <row r="188" spans="1:37" s="56" customFormat="1" ht="15" customHeight="1" x14ac:dyDescent="0.3">
      <c r="A188" s="1955"/>
      <c r="B188" s="869" t="s">
        <v>313</v>
      </c>
      <c r="C188" s="666"/>
      <c r="D188" s="870" t="s">
        <v>314</v>
      </c>
      <c r="E188" s="750"/>
      <c r="F188" s="750"/>
      <c r="G188" s="750"/>
      <c r="H188" s="750"/>
      <c r="I188" s="750"/>
      <c r="J188" s="750"/>
      <c r="K188" s="750"/>
      <c r="L188" s="651" t="str">
        <f>IF(H185&lt;&gt;"",MAX(L$5:L187)+1,"")</f>
        <v/>
      </c>
      <c r="M188" s="1960"/>
      <c r="N188" s="872" t="str">
        <f>IF(E188&lt;&gt;"",LOOKUP(E188,Tara!$L$5:$L$21,Tara!$N$5:$N$21),"")</f>
        <v/>
      </c>
      <c r="O188" s="872" t="str">
        <f>IF(F188&lt;&gt;"",LOOKUP(F188,Tara!$L$5:$L$21,Tara!$N$5:$N$21),"")</f>
        <v/>
      </c>
      <c r="P188" s="872" t="str">
        <f>IF(G188&lt;&gt;"",LOOKUP(G188,Tara!$L$5:$L$21,Tara!$N$5:$N$21),"")</f>
        <v/>
      </c>
      <c r="Q188" s="872" t="str">
        <f>IF(H188&lt;&gt;"",LOOKUP(H188,Tara!$L$5:$L$21,Tara!$N$5:$N$21),"")</f>
        <v/>
      </c>
      <c r="R188" s="872" t="str">
        <f>IF(I188&lt;&gt;"",LOOKUP(I188,Tara!$L$5:$L$21,Tara!$N$5:$N$21),"")</f>
        <v/>
      </c>
      <c r="S188" s="872" t="str">
        <f>IF(J188&lt;&gt;"",LOOKUP(J188,Tara!$L$5:$L$21,Tara!$N$5:$N$21),"")</f>
        <v/>
      </c>
      <c r="T188" s="872" t="str">
        <f>IF(K188&lt;&gt;"",LOOKUP(K188,Tara!$L$5:$L$21,Tara!$N$5:$N$21),"")</f>
        <v/>
      </c>
      <c r="U188" s="881"/>
      <c r="V188" s="881"/>
      <c r="W188" s="881"/>
      <c r="X188" s="881"/>
      <c r="Y188" s="881"/>
      <c r="Z188" s="881"/>
      <c r="AA188" s="881"/>
      <c r="AB188" s="872" t="str">
        <f t="shared" si="146"/>
        <v/>
      </c>
      <c r="AC188" s="873" t="str">
        <f>""</f>
        <v/>
      </c>
      <c r="AD188" s="873" t="str">
        <f>""</f>
        <v/>
      </c>
      <c r="AE188" s="873" t="str">
        <f>IF(H186&lt;&gt;"",H186,"")</f>
        <v/>
      </c>
      <c r="AF188" s="874" t="str">
        <f>IF(H187&lt;&gt;"",H187,"")</f>
        <v/>
      </c>
      <c r="AG188" s="875" t="str">
        <f>IF(Q185&lt;&gt;"",Q185,"")</f>
        <v/>
      </c>
      <c r="AH188" s="896" t="str">
        <f>IF(H192&lt;&gt;"",H192*100,"")</f>
        <v/>
      </c>
      <c r="AI188" s="897" t="str">
        <f>IF(Q194&lt;&gt;"",Q194,"")</f>
        <v/>
      </c>
      <c r="AJ188" s="880" t="str">
        <f>IF(AH188="","",((AH188/100)-H194)*100)</f>
        <v/>
      </c>
      <c r="AK188" s="1267" t="str">
        <f>IF(X185&lt;&gt;"",X185*100,"")</f>
        <v/>
      </c>
    </row>
    <row r="189" spans="1:37" s="56" customFormat="1" ht="15" customHeight="1" x14ac:dyDescent="0.3">
      <c r="A189" s="1955"/>
      <c r="B189" s="882" t="s">
        <v>57</v>
      </c>
      <c r="C189" s="688"/>
      <c r="D189" s="870" t="s">
        <v>315</v>
      </c>
      <c r="E189" s="871"/>
      <c r="F189" s="871"/>
      <c r="G189" s="871"/>
      <c r="H189" s="871"/>
      <c r="I189" s="871"/>
      <c r="J189" s="871"/>
      <c r="K189" s="871"/>
      <c r="L189" s="651" t="str">
        <f>IF(I185&lt;&gt;"",MAX(L$5:L188)+1,"")</f>
        <v/>
      </c>
      <c r="M189" s="1960"/>
      <c r="N189" s="872" t="str">
        <f t="shared" ref="N189:T189" si="148">IF(N187&lt;&gt;"",N187-N188,"")</f>
        <v/>
      </c>
      <c r="O189" s="872" t="str">
        <f t="shared" si="148"/>
        <v/>
      </c>
      <c r="P189" s="872" t="str">
        <f t="shared" si="148"/>
        <v/>
      </c>
      <c r="Q189" s="872" t="str">
        <f t="shared" si="148"/>
        <v/>
      </c>
      <c r="R189" s="872" t="str">
        <f t="shared" si="148"/>
        <v/>
      </c>
      <c r="S189" s="872" t="str">
        <f t="shared" si="148"/>
        <v/>
      </c>
      <c r="T189" s="872" t="str">
        <f t="shared" si="148"/>
        <v/>
      </c>
      <c r="U189" s="881"/>
      <c r="V189" s="881"/>
      <c r="W189" s="881"/>
      <c r="X189" s="881"/>
      <c r="Y189" s="881"/>
      <c r="Z189" s="881"/>
      <c r="AA189" s="881"/>
      <c r="AB189" s="872" t="str">
        <f t="shared" si="146"/>
        <v/>
      </c>
      <c r="AC189" s="873" t="str">
        <f>""</f>
        <v/>
      </c>
      <c r="AD189" s="873" t="str">
        <f>""</f>
        <v/>
      </c>
      <c r="AE189" s="873" t="str">
        <f>IF(I186&lt;&gt;"",I186,"")</f>
        <v/>
      </c>
      <c r="AF189" s="874" t="str">
        <f>IF(I187&lt;&gt;"",I187,"")</f>
        <v/>
      </c>
      <c r="AG189" s="875" t="str">
        <f>IF(R185&lt;&gt;"",R185,"")</f>
        <v/>
      </c>
      <c r="AH189" s="896" t="str">
        <f>IF(I192&lt;&gt;"",I192*100,"")</f>
        <v/>
      </c>
      <c r="AI189" s="897" t="str">
        <f>IF(R194&lt;&gt;"",R194,"")</f>
        <v/>
      </c>
      <c r="AJ189" s="880" t="str">
        <f>IF(AH189="","",((AH189/100)-I194)*100)</f>
        <v/>
      </c>
      <c r="AK189" s="1267" t="str">
        <f>IF(Y185&lt;&gt;"",Y185*100,"")</f>
        <v/>
      </c>
    </row>
    <row r="190" spans="1:37" s="316" customFormat="1" ht="15" customHeight="1" x14ac:dyDescent="0.3">
      <c r="A190" s="1955"/>
      <c r="B190" s="882" t="s">
        <v>316</v>
      </c>
      <c r="C190" s="666"/>
      <c r="D190" s="883" t="s">
        <v>317</v>
      </c>
      <c r="E190" s="750"/>
      <c r="F190" s="750"/>
      <c r="G190" s="750"/>
      <c r="H190" s="750"/>
      <c r="I190" s="750"/>
      <c r="J190" s="750"/>
      <c r="K190" s="750"/>
      <c r="L190" s="651" t="str">
        <f>IF(J185&lt;&gt;"",MAX(L$5:L189)+1,"")</f>
        <v/>
      </c>
      <c r="M190" s="1960"/>
      <c r="N190" s="872" t="str">
        <f>IF(E188&lt;&gt;"",LOOKUP(E188,Tara!$L$5:$L$21,Tara!$O$5:$O$21),"")</f>
        <v/>
      </c>
      <c r="O190" s="872" t="str">
        <f>IF(F188&lt;&gt;"",LOOKUP(F188,Tara!$L$5:$L$21,Tara!$O$5:$O$21),"")</f>
        <v/>
      </c>
      <c r="P190" s="872" t="str">
        <f>IF(G188&lt;&gt;"",LOOKUP(G188,Tara!$L$5:$L$21,Tara!$O$5:$O$21),"")</f>
        <v/>
      </c>
      <c r="Q190" s="872" t="str">
        <f>IF(H188&lt;&gt;"",LOOKUP(H188,Tara!$L$5:$L$21,Tara!$O$5:$O$21),"")</f>
        <v/>
      </c>
      <c r="R190" s="872" t="str">
        <f>IF(I188&lt;&gt;"",LOOKUP(I188,Tara!$L$5:$L$21,Tara!$O$5:$O$21),"")</f>
        <v/>
      </c>
      <c r="S190" s="872" t="str">
        <f>IF(J188&lt;&gt;"",LOOKUP(J188,Tara!$L$5:$L$21,Tara!$O$5:$O$21),"")</f>
        <v/>
      </c>
      <c r="T190" s="872" t="str">
        <f>IF(K188&lt;&gt;"",LOOKUP(K188,Tara!$L$5:$L$21,Tara!$O$5:$O$21),"")</f>
        <v/>
      </c>
      <c r="U190" s="884"/>
      <c r="V190" s="884"/>
      <c r="W190" s="884"/>
      <c r="X190" s="884"/>
      <c r="Y190" s="884"/>
      <c r="Z190" s="884"/>
      <c r="AA190" s="884"/>
      <c r="AB190" s="872" t="str">
        <f t="shared" si="146"/>
        <v/>
      </c>
      <c r="AC190" s="873" t="str">
        <f>""</f>
        <v/>
      </c>
      <c r="AD190" s="873" t="str">
        <f>""</f>
        <v/>
      </c>
      <c r="AE190" s="873" t="str">
        <f>IF(J186&lt;&gt;"",J186,"")</f>
        <v/>
      </c>
      <c r="AF190" s="874" t="str">
        <f>IF(J187&lt;&gt;"",J187,"")</f>
        <v/>
      </c>
      <c r="AG190" s="875" t="str">
        <f>IF(S185&lt;&gt;"",S185,"")</f>
        <v/>
      </c>
      <c r="AH190" s="896" t="str">
        <f>IF(J192&lt;&gt;"",J192*100,"")</f>
        <v/>
      </c>
      <c r="AI190" s="897" t="str">
        <f>IF(S194&lt;&gt;"",S194,"")</f>
        <v/>
      </c>
      <c r="AJ190" s="880" t="str">
        <f>IF(AH190="","",((AH190/100)-J194)*100)</f>
        <v/>
      </c>
      <c r="AK190" s="1267" t="str">
        <f>IF(Z185&lt;&gt;"",Z185*100,"")</f>
        <v/>
      </c>
    </row>
    <row r="191" spans="1:37" s="316" customFormat="1" ht="15" customHeight="1" x14ac:dyDescent="0.3">
      <c r="A191" s="1955"/>
      <c r="B191" s="885" t="s">
        <v>318</v>
      </c>
      <c r="C191" s="886"/>
      <c r="D191" s="870" t="s">
        <v>319</v>
      </c>
      <c r="E191" s="750"/>
      <c r="F191" s="750"/>
      <c r="G191" s="750"/>
      <c r="H191" s="750"/>
      <c r="I191" s="750"/>
      <c r="J191" s="750"/>
      <c r="K191" s="750"/>
      <c r="L191" s="651" t="str">
        <f>IF(K185&lt;&gt;"",MAX(L$5:L190)+1,"")</f>
        <v/>
      </c>
      <c r="M191" s="1960"/>
      <c r="N191" s="887" t="str">
        <f>IF(N189&lt;&gt;"",N189/N190,"")</f>
        <v/>
      </c>
      <c r="O191" s="887" t="str">
        <f t="shared" ref="O191:T191" si="149">IF(O189&lt;&gt;"",O189/O190,"")</f>
        <v/>
      </c>
      <c r="P191" s="887" t="str">
        <f t="shared" si="149"/>
        <v/>
      </c>
      <c r="Q191" s="887" t="str">
        <f t="shared" si="149"/>
        <v/>
      </c>
      <c r="R191" s="887" t="str">
        <f t="shared" si="149"/>
        <v/>
      </c>
      <c r="S191" s="887" t="str">
        <f t="shared" si="149"/>
        <v/>
      </c>
      <c r="T191" s="887" t="str">
        <f t="shared" si="149"/>
        <v/>
      </c>
      <c r="U191" s="884"/>
      <c r="V191" s="884"/>
      <c r="W191" s="884"/>
      <c r="X191" s="884"/>
      <c r="Y191" s="884"/>
      <c r="Z191" s="884"/>
      <c r="AA191" s="884"/>
      <c r="AB191" s="872" t="str">
        <f t="shared" si="146"/>
        <v/>
      </c>
      <c r="AC191" s="873" t="str">
        <f>""</f>
        <v/>
      </c>
      <c r="AD191" s="873" t="str">
        <f>""</f>
        <v/>
      </c>
      <c r="AE191" s="873" t="str">
        <f>IF(K186&lt;&gt;"",K186,"")</f>
        <v/>
      </c>
      <c r="AF191" s="874" t="str">
        <f>IF(K187&lt;&gt;"",K187,"")</f>
        <v/>
      </c>
      <c r="AG191" s="875" t="str">
        <f>IF(T185&lt;&gt;"",T185,"")</f>
        <v/>
      </c>
      <c r="AH191" s="896" t="str">
        <f>IF(K192&lt;&gt;"",K192*100,"")</f>
        <v/>
      </c>
      <c r="AI191" s="897" t="str">
        <f>IF(T194&lt;&gt;"",T194,"")</f>
        <v/>
      </c>
      <c r="AJ191" s="880" t="str">
        <f>IF(AH191="","",((AH191/100)-K194)*100)</f>
        <v/>
      </c>
      <c r="AK191" s="1267" t="str">
        <f>IF(AA185&lt;&gt;"",AA185*100,"")</f>
        <v/>
      </c>
    </row>
    <row r="192" spans="1:37" s="316" customFormat="1" ht="15" customHeight="1" x14ac:dyDescent="0.3">
      <c r="A192" s="1955"/>
      <c r="B192" s="652"/>
      <c r="C192" s="653"/>
      <c r="D192" s="870" t="s">
        <v>320</v>
      </c>
      <c r="E192" s="888"/>
      <c r="F192" s="888"/>
      <c r="G192" s="888"/>
      <c r="H192" s="888"/>
      <c r="I192" s="888"/>
      <c r="J192" s="888"/>
      <c r="K192" s="888"/>
      <c r="L192" s="651"/>
      <c r="M192" s="1960"/>
      <c r="N192" s="889" t="str">
        <f>IF(E190&lt;&gt;"",LOOKUP(E190,Tara!$P$5:$P$21,Tara!$Q$5:$Q$21),"")</f>
        <v/>
      </c>
      <c r="O192" s="889" t="str">
        <f>IF(F190&lt;&gt;"",LOOKUP(F190,Tara!$P$5:$P$21,Tara!$Q$5:$Q$21),"")</f>
        <v/>
      </c>
      <c r="P192" s="889" t="str">
        <f>IF(G190&lt;&gt;"",LOOKUP(G190,Tara!$P$5:$P$21,Tara!$Q$5:$Q$21),"")</f>
        <v/>
      </c>
      <c r="Q192" s="889" t="str">
        <f>IF(H190&lt;&gt;"",LOOKUP(H190,Tara!$P$5:$P$21,Tara!$Q$5:$Q$21),"")</f>
        <v/>
      </c>
      <c r="R192" s="889" t="str">
        <f>IF(I190&lt;&gt;"",LOOKUP(I190,Tara!$P$5:$P$21,Tara!$Q$5:$Q$21),"")</f>
        <v/>
      </c>
      <c r="S192" s="889" t="str">
        <f>IF(J190&lt;&gt;"",LOOKUP(J190,Tara!$P$5:$P$21,Tara!$Q$5:$Q$21),"")</f>
        <v/>
      </c>
      <c r="T192" s="889" t="str">
        <f>IF(K190&lt;&gt;"",LOOKUP(K190,Tara!$P$5:$P$21,Tara!$Q$5:$Q$21),"")</f>
        <v/>
      </c>
      <c r="U192" s="884"/>
      <c r="V192" s="884"/>
      <c r="W192" s="884"/>
      <c r="X192" s="884"/>
      <c r="Y192" s="884"/>
      <c r="Z192" s="884"/>
      <c r="AA192" s="884"/>
      <c r="AB192" s="872" t="str">
        <f>""</f>
        <v/>
      </c>
      <c r="AC192" s="873" t="str">
        <f>""</f>
        <v/>
      </c>
      <c r="AD192" s="873" t="str">
        <f>""</f>
        <v/>
      </c>
      <c r="AE192" s="873" t="str">
        <f>""</f>
        <v/>
      </c>
      <c r="AF192" s="874" t="str">
        <f>""</f>
        <v/>
      </c>
      <c r="AG192" s="875" t="str">
        <f>""</f>
        <v/>
      </c>
      <c r="AH192" s="875" t="str">
        <f>""</f>
        <v/>
      </c>
      <c r="AI192" s="875" t="str">
        <f>""</f>
        <v/>
      </c>
      <c r="AJ192" s="890" t="str">
        <f>""</f>
        <v/>
      </c>
      <c r="AK192" s="1267" t="str">
        <f>""</f>
        <v/>
      </c>
    </row>
    <row r="193" spans="1:37" s="316" customFormat="1" ht="15" customHeight="1" x14ac:dyDescent="0.3">
      <c r="A193" s="1955"/>
      <c r="B193" s="654"/>
      <c r="C193" s="655"/>
      <c r="D193" s="891" t="s">
        <v>321</v>
      </c>
      <c r="E193" s="750"/>
      <c r="F193" s="750"/>
      <c r="G193" s="750"/>
      <c r="H193" s="750"/>
      <c r="I193" s="750"/>
      <c r="J193" s="750"/>
      <c r="K193" s="750"/>
      <c r="L193" s="651"/>
      <c r="M193" s="1960"/>
      <c r="N193" s="892" t="str">
        <f t="shared" ref="N193:T193" si="150">IF(E191&lt;&gt;"",(E191-N192)/N191,"")</f>
        <v/>
      </c>
      <c r="O193" s="892" t="str">
        <f t="shared" si="150"/>
        <v/>
      </c>
      <c r="P193" s="892" t="str">
        <f t="shared" si="150"/>
        <v/>
      </c>
      <c r="Q193" s="892" t="str">
        <f t="shared" si="150"/>
        <v/>
      </c>
      <c r="R193" s="892" t="str">
        <f t="shared" si="150"/>
        <v/>
      </c>
      <c r="S193" s="892" t="str">
        <f t="shared" si="150"/>
        <v/>
      </c>
      <c r="T193" s="892" t="str">
        <f t="shared" si="150"/>
        <v/>
      </c>
      <c r="U193" s="884"/>
      <c r="V193" s="884"/>
      <c r="W193" s="884"/>
      <c r="X193" s="884"/>
      <c r="Y193" s="884"/>
      <c r="Z193" s="884"/>
      <c r="AA193" s="884"/>
      <c r="AB193" s="872" t="str">
        <f>""</f>
        <v/>
      </c>
      <c r="AC193" s="873" t="str">
        <f>""</f>
        <v/>
      </c>
      <c r="AD193" s="873" t="str">
        <f>""</f>
        <v/>
      </c>
      <c r="AE193" s="873" t="str">
        <f>""</f>
        <v/>
      </c>
      <c r="AF193" s="874" t="str">
        <f>""</f>
        <v/>
      </c>
      <c r="AG193" s="893" t="str">
        <f>""</f>
        <v/>
      </c>
      <c r="AH193" s="893" t="str">
        <f>""</f>
        <v/>
      </c>
      <c r="AI193" s="893" t="str">
        <f>""</f>
        <v/>
      </c>
      <c r="AJ193" s="895" t="str">
        <f>""</f>
        <v/>
      </c>
      <c r="AK193" s="1269" t="str">
        <f>""</f>
        <v/>
      </c>
    </row>
    <row r="194" spans="1:37" s="316" customFormat="1" ht="15" customHeight="1" thickBot="1" x14ac:dyDescent="0.35">
      <c r="A194" s="1956"/>
      <c r="B194" s="656"/>
      <c r="C194" s="657"/>
      <c r="D194" s="658" t="s">
        <v>99</v>
      </c>
      <c r="E194" s="556"/>
      <c r="F194" s="556"/>
      <c r="G194" s="556"/>
      <c r="H194" s="556"/>
      <c r="I194" s="556"/>
      <c r="J194" s="556"/>
      <c r="K194" s="556"/>
      <c r="L194" s="659"/>
      <c r="M194" s="1961"/>
      <c r="N194" s="549" t="str">
        <f t="shared" ref="N194:T194" si="151">IF(N193&lt;&gt;"",N193/(1+E192),"")</f>
        <v/>
      </c>
      <c r="O194" s="549" t="str">
        <f t="shared" si="151"/>
        <v/>
      </c>
      <c r="P194" s="549" t="str">
        <f t="shared" si="151"/>
        <v/>
      </c>
      <c r="Q194" s="549" t="str">
        <f t="shared" si="151"/>
        <v/>
      </c>
      <c r="R194" s="549" t="str">
        <f t="shared" si="151"/>
        <v/>
      </c>
      <c r="S194" s="549" t="str">
        <f t="shared" si="151"/>
        <v/>
      </c>
      <c r="T194" s="549" t="str">
        <f t="shared" si="151"/>
        <v/>
      </c>
      <c r="U194" s="550"/>
      <c r="V194" s="550"/>
      <c r="W194" s="550"/>
      <c r="X194" s="550"/>
      <c r="Y194" s="550"/>
      <c r="Z194" s="550"/>
      <c r="AA194" s="550"/>
      <c r="AB194" s="551">
        <f>MAX(AB$5:AB193)+1</f>
        <v>19</v>
      </c>
      <c r="AC194" s="552" t="str">
        <f>""</f>
        <v/>
      </c>
      <c r="AD194" s="552" t="str">
        <f>""</f>
        <v/>
      </c>
      <c r="AE194" s="552" t="str">
        <f>""</f>
        <v/>
      </c>
      <c r="AF194" s="558" t="str">
        <f>""</f>
        <v/>
      </c>
      <c r="AG194" s="553" t="str">
        <f>""</f>
        <v/>
      </c>
      <c r="AH194" s="553" t="str">
        <f>""</f>
        <v/>
      </c>
      <c r="AI194" s="553" t="str">
        <f>""</f>
        <v/>
      </c>
      <c r="AJ194" s="554" t="str">
        <f>""</f>
        <v/>
      </c>
      <c r="AK194" s="555" t="str">
        <f>""</f>
        <v/>
      </c>
    </row>
    <row r="195" spans="1:37" s="56" customFormat="1" ht="15" customHeight="1" x14ac:dyDescent="0.3">
      <c r="A195" s="1954">
        <f>A185+1</f>
        <v>20</v>
      </c>
      <c r="B195" s="1957" t="s">
        <v>309</v>
      </c>
      <c r="C195" s="1958"/>
      <c r="D195" s="648" t="s">
        <v>34</v>
      </c>
      <c r="E195" s="649"/>
      <c r="F195" s="649"/>
      <c r="G195" s="649"/>
      <c r="H195" s="649"/>
      <c r="I195" s="649"/>
      <c r="J195" s="649"/>
      <c r="K195" s="649"/>
      <c r="L195" s="650" t="str">
        <f>IF(E195&lt;&gt;"",MAX(L$5:L194)+1,"")</f>
        <v/>
      </c>
      <c r="M195" s="1959" t="s">
        <v>25</v>
      </c>
      <c r="N195" s="539" t="str">
        <f t="shared" ref="N195:T195" si="152">IF(E195&lt;&gt;"",E195,"")</f>
        <v/>
      </c>
      <c r="O195" s="539" t="str">
        <f t="shared" si="152"/>
        <v/>
      </c>
      <c r="P195" s="539" t="str">
        <f t="shared" si="152"/>
        <v/>
      </c>
      <c r="Q195" s="539" t="str">
        <f t="shared" si="152"/>
        <v/>
      </c>
      <c r="R195" s="539" t="str">
        <f t="shared" si="152"/>
        <v/>
      </c>
      <c r="S195" s="539" t="str">
        <f t="shared" si="152"/>
        <v/>
      </c>
      <c r="T195" s="539" t="str">
        <f t="shared" si="152"/>
        <v/>
      </c>
      <c r="U195" s="540" t="str">
        <f t="shared" ref="U195:AA195" si="153">IF(N204&lt;&gt;"",N204/E203*1000,"")</f>
        <v/>
      </c>
      <c r="V195" s="540" t="str">
        <f t="shared" si="153"/>
        <v/>
      </c>
      <c r="W195" s="540" t="str">
        <f t="shared" si="153"/>
        <v/>
      </c>
      <c r="X195" s="540" t="str">
        <f t="shared" si="153"/>
        <v/>
      </c>
      <c r="Y195" s="540" t="str">
        <f t="shared" si="153"/>
        <v/>
      </c>
      <c r="Z195" s="540" t="str">
        <f t="shared" si="153"/>
        <v/>
      </c>
      <c r="AA195" s="540" t="str">
        <f t="shared" si="153"/>
        <v/>
      </c>
      <c r="AB195" s="539" t="str">
        <f>IF(L195&lt;&gt;"",L195,"")</f>
        <v/>
      </c>
      <c r="AC195" s="541" t="str">
        <f>IF(C196&lt;&gt;"",CONCATENATE(C196," a ",C197),"")</f>
        <v/>
      </c>
      <c r="AD195" s="542" t="str">
        <f>IF(C199&lt;&gt;"",C199,"")</f>
        <v/>
      </c>
      <c r="AE195" s="543" t="str">
        <f>IF(E196&lt;&gt;"",E196,"")</f>
        <v/>
      </c>
      <c r="AF195" s="557" t="str">
        <f>IF(E197&lt;&gt;"",E197,"")</f>
        <v/>
      </c>
      <c r="AG195" s="544" t="str">
        <f>IF(N195&lt;&gt;"",N195,"")</f>
        <v/>
      </c>
      <c r="AH195" s="545" t="str">
        <f>IF(E202&lt;&gt;"",E202*100,"")</f>
        <v/>
      </c>
      <c r="AI195" s="546" t="str">
        <f>IF(N204&lt;&gt;"",N204,"")</f>
        <v/>
      </c>
      <c r="AJ195" s="547" t="str">
        <f>IF(AH195="","",((AH195/100)-E204)*100)</f>
        <v/>
      </c>
      <c r="AK195" s="548" t="str">
        <f>IF(U195&lt;&gt;"",U195*100,"")</f>
        <v/>
      </c>
    </row>
    <row r="196" spans="1:37" s="57" customFormat="1" ht="15" customHeight="1" x14ac:dyDescent="0.3">
      <c r="A196" s="1955"/>
      <c r="B196" s="869" t="s">
        <v>310</v>
      </c>
      <c r="C196" s="666"/>
      <c r="D196" s="870" t="s">
        <v>156</v>
      </c>
      <c r="E196" s="871"/>
      <c r="F196" s="871"/>
      <c r="G196" s="871"/>
      <c r="H196" s="871"/>
      <c r="I196" s="871"/>
      <c r="J196" s="871"/>
      <c r="K196" s="871"/>
      <c r="L196" s="651" t="str">
        <f>IF(F195&lt;&gt;"",MAX(L$5:L195)+1,"")</f>
        <v/>
      </c>
      <c r="M196" s="1960"/>
      <c r="N196" s="872" t="str">
        <f>IF(E198&lt;&gt;"",LOOKUP(E198,Tara!$L$5:$L$21,Tara!$M$5:$M$21),"")</f>
        <v/>
      </c>
      <c r="O196" s="872" t="str">
        <f>IF(F198&lt;&gt;"",LOOKUP(F198,Tara!$L$5:$L$21,Tara!$M$5:$M$21),"")</f>
        <v/>
      </c>
      <c r="P196" s="872" t="str">
        <f>IF(G198&lt;&gt;"",LOOKUP(G198,Tara!$L$5:$L$21,Tara!$M$5:$M$21),"")</f>
        <v/>
      </c>
      <c r="Q196" s="872" t="str">
        <f>IF(H198&lt;&gt;"",LOOKUP(H198,Tara!$L$5:$L$21,Tara!$M$5:$M$21),"")</f>
        <v/>
      </c>
      <c r="R196" s="872" t="str">
        <f>IF(I198&lt;&gt;"",LOOKUP(I198,Tara!$L$5:$L$21,Tara!$M$5:$M$21),"")</f>
        <v/>
      </c>
      <c r="S196" s="872" t="str">
        <f>IF(J198&lt;&gt;"",LOOKUP(J198,Tara!$L$5:$L$21,Tara!$M$5:$M$21),"")</f>
        <v/>
      </c>
      <c r="T196" s="872" t="str">
        <f>IF(K198&lt;&gt;"",LOOKUP(K198,Tara!$L$5:$L$21,Tara!$M$5:$M$21),"")</f>
        <v/>
      </c>
      <c r="U196" s="872"/>
      <c r="V196" s="872"/>
      <c r="W196" s="872"/>
      <c r="X196" s="872"/>
      <c r="Y196" s="872"/>
      <c r="Z196" s="872"/>
      <c r="AA196" s="872"/>
      <c r="AB196" s="872" t="str">
        <f t="shared" ref="AB196:AB201" si="154">IF(L196&lt;&gt;"",L196,"")</f>
        <v/>
      </c>
      <c r="AC196" s="873" t="str">
        <f>""</f>
        <v/>
      </c>
      <c r="AD196" s="873" t="str">
        <f>""</f>
        <v/>
      </c>
      <c r="AE196" s="873" t="str">
        <f>IF(F196&lt;&gt;"",F196,"")</f>
        <v/>
      </c>
      <c r="AF196" s="874" t="str">
        <f>IF(E197&lt;&gt;"",F197,"")</f>
        <v/>
      </c>
      <c r="AG196" s="875" t="str">
        <f>IF(O195&lt;&gt;"",O195,"")</f>
        <v/>
      </c>
      <c r="AH196" s="896" t="str">
        <f>IF(F202&lt;&gt;"",F202*100,"")</f>
        <v/>
      </c>
      <c r="AI196" s="897" t="str">
        <f>IF(O204&lt;&gt;"",O204,"")</f>
        <v/>
      </c>
      <c r="AJ196" s="880" t="str">
        <f>IF(AH196="","",((AH196/100)-F204)*100)</f>
        <v/>
      </c>
      <c r="AK196" s="1267" t="str">
        <f>IF(V195&lt;&gt;"",V195*100,"")</f>
        <v/>
      </c>
    </row>
    <row r="197" spans="1:37" s="56" customFormat="1" ht="15" customHeight="1" x14ac:dyDescent="0.3">
      <c r="A197" s="1955"/>
      <c r="B197" s="869" t="s">
        <v>311</v>
      </c>
      <c r="C197" s="666"/>
      <c r="D197" s="870" t="s">
        <v>312</v>
      </c>
      <c r="E197" s="878"/>
      <c r="F197" s="878"/>
      <c r="G197" s="878"/>
      <c r="H197" s="878"/>
      <c r="I197" s="878"/>
      <c r="J197" s="878"/>
      <c r="K197" s="1268"/>
      <c r="L197" s="651" t="str">
        <f>IF(G195&lt;&gt;"",MAX(L$5:L196)+1,"")</f>
        <v/>
      </c>
      <c r="M197" s="1960"/>
      <c r="N197" s="872" t="str">
        <f t="shared" ref="N197:T197" si="155">IF(N196&lt;&gt;"",N196-E199,"")</f>
        <v/>
      </c>
      <c r="O197" s="872" t="str">
        <f t="shared" si="155"/>
        <v/>
      </c>
      <c r="P197" s="872" t="str">
        <f t="shared" si="155"/>
        <v/>
      </c>
      <c r="Q197" s="872" t="str">
        <f t="shared" si="155"/>
        <v/>
      </c>
      <c r="R197" s="872" t="str">
        <f t="shared" si="155"/>
        <v/>
      </c>
      <c r="S197" s="872" t="str">
        <f t="shared" si="155"/>
        <v/>
      </c>
      <c r="T197" s="872" t="str">
        <f t="shared" si="155"/>
        <v/>
      </c>
      <c r="U197" s="879"/>
      <c r="V197" s="879"/>
      <c r="W197" s="879"/>
      <c r="X197" s="879"/>
      <c r="Y197" s="879"/>
      <c r="Z197" s="879"/>
      <c r="AA197" s="879"/>
      <c r="AB197" s="872" t="str">
        <f t="shared" si="154"/>
        <v/>
      </c>
      <c r="AC197" s="873" t="str">
        <f>""</f>
        <v/>
      </c>
      <c r="AD197" s="873" t="str">
        <f>""</f>
        <v/>
      </c>
      <c r="AE197" s="873" t="str">
        <f>IF(G196&lt;&gt;"",G196,"")</f>
        <v/>
      </c>
      <c r="AF197" s="874" t="str">
        <f>IF(G197&lt;&gt;"",G197,"")</f>
        <v/>
      </c>
      <c r="AG197" s="875" t="str">
        <f>IF(P195&lt;&gt;"",P195,"")</f>
        <v/>
      </c>
      <c r="AH197" s="896" t="str">
        <f>IF(G202&lt;&gt;"",G202*100,"")</f>
        <v/>
      </c>
      <c r="AI197" s="897" t="str">
        <f>IF(P204&lt;&gt;"",P204,"")</f>
        <v/>
      </c>
      <c r="AJ197" s="880" t="str">
        <f>IF(AH197="","",((AH197/100)-G204)*100)</f>
        <v/>
      </c>
      <c r="AK197" s="1267" t="str">
        <f>IF(W195&lt;&gt;"",W195*100,"")</f>
        <v/>
      </c>
    </row>
    <row r="198" spans="1:37" s="56" customFormat="1" ht="15" customHeight="1" x14ac:dyDescent="0.3">
      <c r="A198" s="1955"/>
      <c r="B198" s="869" t="s">
        <v>313</v>
      </c>
      <c r="C198" s="666"/>
      <c r="D198" s="870" t="s">
        <v>314</v>
      </c>
      <c r="E198" s="750"/>
      <c r="F198" s="750"/>
      <c r="G198" s="750"/>
      <c r="H198" s="750"/>
      <c r="I198" s="750"/>
      <c r="J198" s="750"/>
      <c r="K198" s="750"/>
      <c r="L198" s="651" t="str">
        <f>IF(H195&lt;&gt;"",MAX(L$5:L197)+1,"")</f>
        <v/>
      </c>
      <c r="M198" s="1960"/>
      <c r="N198" s="872" t="str">
        <f>IF(E198&lt;&gt;"",LOOKUP(E198,Tara!$L$5:$L$21,Tara!$N$5:$N$21),"")</f>
        <v/>
      </c>
      <c r="O198" s="872" t="str">
        <f>IF(F198&lt;&gt;"",LOOKUP(F198,Tara!$L$5:$L$21,Tara!$N$5:$N$21),"")</f>
        <v/>
      </c>
      <c r="P198" s="872" t="str">
        <f>IF(G198&lt;&gt;"",LOOKUP(G198,Tara!$L$5:$L$21,Tara!$N$5:$N$21),"")</f>
        <v/>
      </c>
      <c r="Q198" s="872" t="str">
        <f>IF(H198&lt;&gt;"",LOOKUP(H198,Tara!$L$5:$L$21,Tara!$N$5:$N$21),"")</f>
        <v/>
      </c>
      <c r="R198" s="872" t="str">
        <f>IF(I198&lt;&gt;"",LOOKUP(I198,Tara!$L$5:$L$21,Tara!$N$5:$N$21),"")</f>
        <v/>
      </c>
      <c r="S198" s="872" t="str">
        <f>IF(J198&lt;&gt;"",LOOKUP(J198,Tara!$L$5:$L$21,Tara!$N$5:$N$21),"")</f>
        <v/>
      </c>
      <c r="T198" s="872" t="str">
        <f>IF(K198&lt;&gt;"",LOOKUP(K198,Tara!$L$5:$L$21,Tara!$N$5:$N$21),"")</f>
        <v/>
      </c>
      <c r="U198" s="881"/>
      <c r="V198" s="881"/>
      <c r="W198" s="881"/>
      <c r="X198" s="881"/>
      <c r="Y198" s="881"/>
      <c r="Z198" s="881"/>
      <c r="AA198" s="881"/>
      <c r="AB198" s="872" t="str">
        <f t="shared" si="154"/>
        <v/>
      </c>
      <c r="AC198" s="873" t="str">
        <f>""</f>
        <v/>
      </c>
      <c r="AD198" s="873" t="str">
        <f>""</f>
        <v/>
      </c>
      <c r="AE198" s="873" t="str">
        <f>IF(H196&lt;&gt;"",H196,"")</f>
        <v/>
      </c>
      <c r="AF198" s="874" t="str">
        <f>IF(H197&lt;&gt;"",H197,"")</f>
        <v/>
      </c>
      <c r="AG198" s="875" t="str">
        <f>IF(Q195&lt;&gt;"",Q195,"")</f>
        <v/>
      </c>
      <c r="AH198" s="896" t="str">
        <f>IF(H202&lt;&gt;"",H202*100,"")</f>
        <v/>
      </c>
      <c r="AI198" s="897" t="str">
        <f>IF(Q204&lt;&gt;"",Q204,"")</f>
        <v/>
      </c>
      <c r="AJ198" s="880" t="str">
        <f>IF(AH198="","",((AH198/100)-H204)*100)</f>
        <v/>
      </c>
      <c r="AK198" s="1267" t="str">
        <f>IF(X195&lt;&gt;"",X195*100,"")</f>
        <v/>
      </c>
    </row>
    <row r="199" spans="1:37" s="56" customFormat="1" ht="15" customHeight="1" x14ac:dyDescent="0.3">
      <c r="A199" s="1955"/>
      <c r="B199" s="882" t="s">
        <v>57</v>
      </c>
      <c r="C199" s="688"/>
      <c r="D199" s="870" t="s">
        <v>315</v>
      </c>
      <c r="E199" s="871"/>
      <c r="F199" s="871"/>
      <c r="G199" s="871"/>
      <c r="H199" s="871"/>
      <c r="I199" s="871"/>
      <c r="J199" s="871"/>
      <c r="K199" s="871"/>
      <c r="L199" s="651" t="str">
        <f>IF(I195&lt;&gt;"",MAX(L$5:L198)+1,"")</f>
        <v/>
      </c>
      <c r="M199" s="1960"/>
      <c r="N199" s="872" t="str">
        <f t="shared" ref="N199:T199" si="156">IF(N197&lt;&gt;"",N197-N198,"")</f>
        <v/>
      </c>
      <c r="O199" s="872" t="str">
        <f t="shared" si="156"/>
        <v/>
      </c>
      <c r="P199" s="872" t="str">
        <f t="shared" si="156"/>
        <v/>
      </c>
      <c r="Q199" s="872" t="str">
        <f t="shared" si="156"/>
        <v/>
      </c>
      <c r="R199" s="872" t="str">
        <f t="shared" si="156"/>
        <v/>
      </c>
      <c r="S199" s="872" t="str">
        <f t="shared" si="156"/>
        <v/>
      </c>
      <c r="T199" s="872" t="str">
        <f t="shared" si="156"/>
        <v/>
      </c>
      <c r="U199" s="881"/>
      <c r="V199" s="881"/>
      <c r="W199" s="881"/>
      <c r="X199" s="881"/>
      <c r="Y199" s="881"/>
      <c r="Z199" s="881"/>
      <c r="AA199" s="881"/>
      <c r="AB199" s="872" t="str">
        <f t="shared" si="154"/>
        <v/>
      </c>
      <c r="AC199" s="873" t="str">
        <f>""</f>
        <v/>
      </c>
      <c r="AD199" s="873" t="str">
        <f>""</f>
        <v/>
      </c>
      <c r="AE199" s="873" t="str">
        <f>IF(I196&lt;&gt;"",I196,"")</f>
        <v/>
      </c>
      <c r="AF199" s="874" t="str">
        <f>IF(I197&lt;&gt;"",I197,"")</f>
        <v/>
      </c>
      <c r="AG199" s="875" t="str">
        <f>IF(R195&lt;&gt;"",R195,"")</f>
        <v/>
      </c>
      <c r="AH199" s="896" t="str">
        <f>IF(I202&lt;&gt;"",I202*100,"")</f>
        <v/>
      </c>
      <c r="AI199" s="897" t="str">
        <f>IF(R204&lt;&gt;"",R204,"")</f>
        <v/>
      </c>
      <c r="AJ199" s="880" t="str">
        <f>IF(AH199="","",((AH199/100)-I204)*100)</f>
        <v/>
      </c>
      <c r="AK199" s="1267" t="str">
        <f>IF(Y195&lt;&gt;"",Y195*100,"")</f>
        <v/>
      </c>
    </row>
    <row r="200" spans="1:37" s="316" customFormat="1" ht="15" customHeight="1" x14ac:dyDescent="0.3">
      <c r="A200" s="1955"/>
      <c r="B200" s="882" t="s">
        <v>316</v>
      </c>
      <c r="C200" s="666"/>
      <c r="D200" s="883" t="s">
        <v>317</v>
      </c>
      <c r="E200" s="750"/>
      <c r="F200" s="750"/>
      <c r="G200" s="750"/>
      <c r="H200" s="750"/>
      <c r="I200" s="750"/>
      <c r="J200" s="750"/>
      <c r="K200" s="750"/>
      <c r="L200" s="651" t="str">
        <f>IF(J195&lt;&gt;"",MAX(L$5:L199)+1,"")</f>
        <v/>
      </c>
      <c r="M200" s="1960"/>
      <c r="N200" s="872" t="str">
        <f>IF(E198&lt;&gt;"",LOOKUP(E198,Tara!$L$5:$L$21,Tara!$O$5:$O$21),"")</f>
        <v/>
      </c>
      <c r="O200" s="872" t="str">
        <f>IF(F198&lt;&gt;"",LOOKUP(F198,Tara!$L$5:$L$21,Tara!$O$5:$O$21),"")</f>
        <v/>
      </c>
      <c r="P200" s="872" t="str">
        <f>IF(G198&lt;&gt;"",LOOKUP(G198,Tara!$L$5:$L$21,Tara!$O$5:$O$21),"")</f>
        <v/>
      </c>
      <c r="Q200" s="872" t="str">
        <f>IF(H198&lt;&gt;"",LOOKUP(H198,Tara!$L$5:$L$21,Tara!$O$5:$O$21),"")</f>
        <v/>
      </c>
      <c r="R200" s="872" t="str">
        <f>IF(I198&lt;&gt;"",LOOKUP(I198,Tara!$L$5:$L$21,Tara!$O$5:$O$21),"")</f>
        <v/>
      </c>
      <c r="S200" s="872" t="str">
        <f>IF(J198&lt;&gt;"",LOOKUP(J198,Tara!$L$5:$L$21,Tara!$O$5:$O$21),"")</f>
        <v/>
      </c>
      <c r="T200" s="872" t="str">
        <f>IF(K198&lt;&gt;"",LOOKUP(K198,Tara!$L$5:$L$21,Tara!$O$5:$O$21),"")</f>
        <v/>
      </c>
      <c r="U200" s="884"/>
      <c r="V200" s="884"/>
      <c r="W200" s="884"/>
      <c r="X200" s="884"/>
      <c r="Y200" s="884"/>
      <c r="Z200" s="884"/>
      <c r="AA200" s="884"/>
      <c r="AB200" s="872" t="str">
        <f t="shared" si="154"/>
        <v/>
      </c>
      <c r="AC200" s="873" t="str">
        <f>""</f>
        <v/>
      </c>
      <c r="AD200" s="873" t="str">
        <f>""</f>
        <v/>
      </c>
      <c r="AE200" s="873" t="str">
        <f>IF(J196&lt;&gt;"",J196,"")</f>
        <v/>
      </c>
      <c r="AF200" s="874" t="str">
        <f>IF(J197&lt;&gt;"",J197,"")</f>
        <v/>
      </c>
      <c r="AG200" s="875" t="str">
        <f>IF(S195&lt;&gt;"",S195,"")</f>
        <v/>
      </c>
      <c r="AH200" s="896" t="str">
        <f>IF(J202&lt;&gt;"",J202*100,"")</f>
        <v/>
      </c>
      <c r="AI200" s="897" t="str">
        <f>IF(S204&lt;&gt;"",S204,"")</f>
        <v/>
      </c>
      <c r="AJ200" s="880" t="str">
        <f>IF(AH200="","",((AH200/100)-J204)*100)</f>
        <v/>
      </c>
      <c r="AK200" s="1267" t="str">
        <f>IF(Z195&lt;&gt;"",Z195*100,"")</f>
        <v/>
      </c>
    </row>
    <row r="201" spans="1:37" s="316" customFormat="1" ht="15" customHeight="1" x14ac:dyDescent="0.3">
      <c r="A201" s="1955"/>
      <c r="B201" s="885" t="s">
        <v>318</v>
      </c>
      <c r="C201" s="886"/>
      <c r="D201" s="870" t="s">
        <v>319</v>
      </c>
      <c r="E201" s="750"/>
      <c r="F201" s="750"/>
      <c r="G201" s="750"/>
      <c r="H201" s="750"/>
      <c r="I201" s="750"/>
      <c r="J201" s="750"/>
      <c r="K201" s="750"/>
      <c r="L201" s="651" t="str">
        <f>IF(K195&lt;&gt;"",MAX(L$5:L200)+1,"")</f>
        <v/>
      </c>
      <c r="M201" s="1960"/>
      <c r="N201" s="887" t="str">
        <f>IF(N199&lt;&gt;"",N199/N200,"")</f>
        <v/>
      </c>
      <c r="O201" s="887" t="str">
        <f t="shared" ref="O201:T201" si="157">IF(O199&lt;&gt;"",O199/O200,"")</f>
        <v/>
      </c>
      <c r="P201" s="887" t="str">
        <f t="shared" si="157"/>
        <v/>
      </c>
      <c r="Q201" s="887" t="str">
        <f t="shared" si="157"/>
        <v/>
      </c>
      <c r="R201" s="887" t="str">
        <f t="shared" si="157"/>
        <v/>
      </c>
      <c r="S201" s="887" t="str">
        <f t="shared" si="157"/>
        <v/>
      </c>
      <c r="T201" s="887" t="str">
        <f t="shared" si="157"/>
        <v/>
      </c>
      <c r="U201" s="884"/>
      <c r="V201" s="884"/>
      <c r="W201" s="884"/>
      <c r="X201" s="884"/>
      <c r="Y201" s="884"/>
      <c r="Z201" s="884"/>
      <c r="AA201" s="884"/>
      <c r="AB201" s="872" t="str">
        <f t="shared" si="154"/>
        <v/>
      </c>
      <c r="AC201" s="873" t="str">
        <f>""</f>
        <v/>
      </c>
      <c r="AD201" s="873" t="str">
        <f>""</f>
        <v/>
      </c>
      <c r="AE201" s="873" t="str">
        <f>IF(K196&lt;&gt;"",K196,"")</f>
        <v/>
      </c>
      <c r="AF201" s="874" t="str">
        <f>IF(K197&lt;&gt;"",K197,"")</f>
        <v/>
      </c>
      <c r="AG201" s="875" t="str">
        <f>IF(T195&lt;&gt;"",T195,"")</f>
        <v/>
      </c>
      <c r="AH201" s="896" t="str">
        <f>IF(K202&lt;&gt;"",K202*100,"")</f>
        <v/>
      </c>
      <c r="AI201" s="897" t="str">
        <f>IF(T204&lt;&gt;"",T204,"")</f>
        <v/>
      </c>
      <c r="AJ201" s="880" t="str">
        <f>IF(AH201="","",((AH201/100)-K204)*100)</f>
        <v/>
      </c>
      <c r="AK201" s="1267" t="str">
        <f>IF(AA195&lt;&gt;"",AA195*100,"")</f>
        <v/>
      </c>
    </row>
    <row r="202" spans="1:37" s="316" customFormat="1" ht="15" customHeight="1" x14ac:dyDescent="0.3">
      <c r="A202" s="1955"/>
      <c r="B202" s="652"/>
      <c r="C202" s="653"/>
      <c r="D202" s="870" t="s">
        <v>320</v>
      </c>
      <c r="E202" s="888"/>
      <c r="F202" s="888"/>
      <c r="G202" s="888"/>
      <c r="H202" s="888"/>
      <c r="I202" s="888"/>
      <c r="J202" s="888"/>
      <c r="K202" s="888"/>
      <c r="L202" s="651"/>
      <c r="M202" s="1960"/>
      <c r="N202" s="889" t="str">
        <f>IF(E200&lt;&gt;"",LOOKUP(E200,Tara!$P$5:$P$21,Tara!$Q$5:$Q$21),"")</f>
        <v/>
      </c>
      <c r="O202" s="889" t="str">
        <f>IF(F200&lt;&gt;"",LOOKUP(F200,Tara!$P$5:$P$21,Tara!$Q$5:$Q$21),"")</f>
        <v/>
      </c>
      <c r="P202" s="889" t="str">
        <f>IF(G200&lt;&gt;"",LOOKUP(G200,Tara!$P$5:$P$21,Tara!$Q$5:$Q$21),"")</f>
        <v/>
      </c>
      <c r="Q202" s="889" t="str">
        <f>IF(H200&lt;&gt;"",LOOKUP(H200,Tara!$P$5:$P$21,Tara!$Q$5:$Q$21),"")</f>
        <v/>
      </c>
      <c r="R202" s="889" t="str">
        <f>IF(I200&lt;&gt;"",LOOKUP(I200,Tara!$P$5:$P$21,Tara!$Q$5:$Q$21),"")</f>
        <v/>
      </c>
      <c r="S202" s="889" t="str">
        <f>IF(J200&lt;&gt;"",LOOKUP(J200,Tara!$P$5:$P$21,Tara!$Q$5:$Q$21),"")</f>
        <v/>
      </c>
      <c r="T202" s="889" t="str">
        <f>IF(K200&lt;&gt;"",LOOKUP(K200,Tara!$P$5:$P$21,Tara!$Q$5:$Q$21),"")</f>
        <v/>
      </c>
      <c r="U202" s="884"/>
      <c r="V202" s="884"/>
      <c r="W202" s="884"/>
      <c r="X202" s="884"/>
      <c r="Y202" s="884"/>
      <c r="Z202" s="884"/>
      <c r="AA202" s="884"/>
      <c r="AB202" s="872" t="str">
        <f>""</f>
        <v/>
      </c>
      <c r="AC202" s="873" t="str">
        <f>""</f>
        <v/>
      </c>
      <c r="AD202" s="873" t="str">
        <f>""</f>
        <v/>
      </c>
      <c r="AE202" s="873" t="str">
        <f>""</f>
        <v/>
      </c>
      <c r="AF202" s="874" t="str">
        <f>""</f>
        <v/>
      </c>
      <c r="AG202" s="875" t="str">
        <f>""</f>
        <v/>
      </c>
      <c r="AH202" s="875" t="str">
        <f>""</f>
        <v/>
      </c>
      <c r="AI202" s="875" t="str">
        <f>""</f>
        <v/>
      </c>
      <c r="AJ202" s="890" t="str">
        <f>""</f>
        <v/>
      </c>
      <c r="AK202" s="1267" t="str">
        <f>""</f>
        <v/>
      </c>
    </row>
    <row r="203" spans="1:37" s="316" customFormat="1" ht="15" customHeight="1" x14ac:dyDescent="0.3">
      <c r="A203" s="1955"/>
      <c r="B203" s="654"/>
      <c r="C203" s="655"/>
      <c r="D203" s="891" t="s">
        <v>321</v>
      </c>
      <c r="E203" s="750"/>
      <c r="F203" s="750"/>
      <c r="G203" s="750"/>
      <c r="H203" s="750"/>
      <c r="I203" s="750"/>
      <c r="J203" s="750"/>
      <c r="K203" s="750"/>
      <c r="L203" s="651"/>
      <c r="M203" s="1960"/>
      <c r="N203" s="892" t="str">
        <f t="shared" ref="N203:T203" si="158">IF(E201&lt;&gt;"",(E201-N202)/N201,"")</f>
        <v/>
      </c>
      <c r="O203" s="892" t="str">
        <f t="shared" si="158"/>
        <v/>
      </c>
      <c r="P203" s="892" t="str">
        <f t="shared" si="158"/>
        <v/>
      </c>
      <c r="Q203" s="892" t="str">
        <f t="shared" si="158"/>
        <v/>
      </c>
      <c r="R203" s="892" t="str">
        <f t="shared" si="158"/>
        <v/>
      </c>
      <c r="S203" s="892" t="str">
        <f t="shared" si="158"/>
        <v/>
      </c>
      <c r="T203" s="892" t="str">
        <f t="shared" si="158"/>
        <v/>
      </c>
      <c r="U203" s="884"/>
      <c r="V203" s="884"/>
      <c r="W203" s="884"/>
      <c r="X203" s="884"/>
      <c r="Y203" s="884"/>
      <c r="Z203" s="884"/>
      <c r="AA203" s="884"/>
      <c r="AB203" s="872" t="str">
        <f>""</f>
        <v/>
      </c>
      <c r="AC203" s="873" t="str">
        <f>""</f>
        <v/>
      </c>
      <c r="AD203" s="873" t="str">
        <f>""</f>
        <v/>
      </c>
      <c r="AE203" s="873" t="str">
        <f>""</f>
        <v/>
      </c>
      <c r="AF203" s="874" t="str">
        <f>""</f>
        <v/>
      </c>
      <c r="AG203" s="893" t="str">
        <f>""</f>
        <v/>
      </c>
      <c r="AH203" s="893" t="str">
        <f>""</f>
        <v/>
      </c>
      <c r="AI203" s="893" t="str">
        <f>""</f>
        <v/>
      </c>
      <c r="AJ203" s="895" t="str">
        <f>""</f>
        <v/>
      </c>
      <c r="AK203" s="1269" t="str">
        <f>""</f>
        <v/>
      </c>
    </row>
    <row r="204" spans="1:37" s="316" customFormat="1" ht="15" customHeight="1" thickBot="1" x14ac:dyDescent="0.35">
      <c r="A204" s="1956"/>
      <c r="B204" s="656"/>
      <c r="C204" s="657"/>
      <c r="D204" s="658" t="s">
        <v>99</v>
      </c>
      <c r="E204" s="556"/>
      <c r="F204" s="556"/>
      <c r="G204" s="556"/>
      <c r="H204" s="556"/>
      <c r="I204" s="556"/>
      <c r="J204" s="556"/>
      <c r="K204" s="556"/>
      <c r="L204" s="659"/>
      <c r="M204" s="1961"/>
      <c r="N204" s="549" t="str">
        <f t="shared" ref="N204:T204" si="159">IF(N203&lt;&gt;"",N203/(1+E202),"")</f>
        <v/>
      </c>
      <c r="O204" s="549" t="str">
        <f t="shared" si="159"/>
        <v/>
      </c>
      <c r="P204" s="549" t="str">
        <f t="shared" si="159"/>
        <v/>
      </c>
      <c r="Q204" s="549" t="str">
        <f t="shared" si="159"/>
        <v/>
      </c>
      <c r="R204" s="549" t="str">
        <f t="shared" si="159"/>
        <v/>
      </c>
      <c r="S204" s="549" t="str">
        <f t="shared" si="159"/>
        <v/>
      </c>
      <c r="T204" s="549" t="str">
        <f t="shared" si="159"/>
        <v/>
      </c>
      <c r="U204" s="550"/>
      <c r="V204" s="550"/>
      <c r="W204" s="550"/>
      <c r="X204" s="550"/>
      <c r="Y204" s="550"/>
      <c r="Z204" s="550"/>
      <c r="AA204" s="550"/>
      <c r="AB204" s="551">
        <f>MAX(AB$5:AB203)+1</f>
        <v>20</v>
      </c>
      <c r="AC204" s="552" t="str">
        <f>""</f>
        <v/>
      </c>
      <c r="AD204" s="552" t="str">
        <f>""</f>
        <v/>
      </c>
      <c r="AE204" s="552" t="str">
        <f>""</f>
        <v/>
      </c>
      <c r="AF204" s="558" t="str">
        <f>""</f>
        <v/>
      </c>
      <c r="AG204" s="553" t="str">
        <f>""</f>
        <v/>
      </c>
      <c r="AH204" s="553" t="str">
        <f>""</f>
        <v/>
      </c>
      <c r="AI204" s="553" t="str">
        <f>""</f>
        <v/>
      </c>
      <c r="AJ204" s="554" t="str">
        <f>""</f>
        <v/>
      </c>
      <c r="AK204" s="555" t="str">
        <f>""</f>
        <v/>
      </c>
    </row>
    <row r="205" spans="1:37" s="56" customFormat="1" ht="15" customHeight="1" x14ac:dyDescent="0.3">
      <c r="A205" s="1954">
        <f>A195+1</f>
        <v>21</v>
      </c>
      <c r="B205" s="1957" t="s">
        <v>309</v>
      </c>
      <c r="C205" s="1958"/>
      <c r="D205" s="648" t="s">
        <v>34</v>
      </c>
      <c r="E205" s="649"/>
      <c r="F205" s="649"/>
      <c r="G205" s="649"/>
      <c r="H205" s="649"/>
      <c r="I205" s="649"/>
      <c r="J205" s="649"/>
      <c r="K205" s="649"/>
      <c r="L205" s="650" t="str">
        <f>IF(E205&lt;&gt;"",MAX(L$5:L204)+1,"")</f>
        <v/>
      </c>
      <c r="M205" s="1959" t="s">
        <v>25</v>
      </c>
      <c r="N205" s="539" t="str">
        <f t="shared" ref="N205:T205" si="160">IF(E205&lt;&gt;"",E205,"")</f>
        <v/>
      </c>
      <c r="O205" s="539" t="str">
        <f t="shared" si="160"/>
        <v/>
      </c>
      <c r="P205" s="539" t="str">
        <f t="shared" si="160"/>
        <v/>
      </c>
      <c r="Q205" s="539" t="str">
        <f t="shared" si="160"/>
        <v/>
      </c>
      <c r="R205" s="539" t="str">
        <f t="shared" si="160"/>
        <v/>
      </c>
      <c r="S205" s="539" t="str">
        <f t="shared" si="160"/>
        <v/>
      </c>
      <c r="T205" s="539" t="str">
        <f t="shared" si="160"/>
        <v/>
      </c>
      <c r="U205" s="540" t="str">
        <f t="shared" ref="U205:AA205" si="161">IF(N214&lt;&gt;"",N214/E213*1000,"")</f>
        <v/>
      </c>
      <c r="V205" s="540" t="str">
        <f t="shared" si="161"/>
        <v/>
      </c>
      <c r="W205" s="540" t="str">
        <f t="shared" si="161"/>
        <v/>
      </c>
      <c r="X205" s="540" t="str">
        <f t="shared" si="161"/>
        <v/>
      </c>
      <c r="Y205" s="540" t="str">
        <f t="shared" si="161"/>
        <v/>
      </c>
      <c r="Z205" s="540" t="str">
        <f t="shared" si="161"/>
        <v/>
      </c>
      <c r="AA205" s="540" t="str">
        <f t="shared" si="161"/>
        <v/>
      </c>
      <c r="AB205" s="539" t="str">
        <f>IF(L205&lt;&gt;"",L205,"")</f>
        <v/>
      </c>
      <c r="AC205" s="541" t="str">
        <f>IF(C206&lt;&gt;"",CONCATENATE(C206," a ",C207),"")</f>
        <v/>
      </c>
      <c r="AD205" s="542" t="str">
        <f>IF(C209&lt;&gt;"",C209,"")</f>
        <v/>
      </c>
      <c r="AE205" s="543" t="str">
        <f>IF(E206&lt;&gt;"",E206,"")</f>
        <v/>
      </c>
      <c r="AF205" s="557" t="str">
        <f>IF(E207&lt;&gt;"",E207,"")</f>
        <v/>
      </c>
      <c r="AG205" s="544" t="str">
        <f>IF(N205&lt;&gt;"",N205,"")</f>
        <v/>
      </c>
      <c r="AH205" s="545" t="str">
        <f>IF(E212&lt;&gt;"",E212*100,"")</f>
        <v/>
      </c>
      <c r="AI205" s="546" t="str">
        <f>IF(N214&lt;&gt;"",N214,"")</f>
        <v/>
      </c>
      <c r="AJ205" s="547" t="str">
        <f>IF(AH205="","",((AH205/100)-E214)*100)</f>
        <v/>
      </c>
      <c r="AK205" s="548" t="str">
        <f>IF(U205&lt;&gt;"",U205*100,"")</f>
        <v/>
      </c>
    </row>
    <row r="206" spans="1:37" s="57" customFormat="1" ht="15" customHeight="1" x14ac:dyDescent="0.3">
      <c r="A206" s="1955"/>
      <c r="B206" s="869" t="s">
        <v>310</v>
      </c>
      <c r="C206" s="666"/>
      <c r="D206" s="870" t="s">
        <v>156</v>
      </c>
      <c r="E206" s="871"/>
      <c r="F206" s="871"/>
      <c r="G206" s="871"/>
      <c r="H206" s="871"/>
      <c r="I206" s="871"/>
      <c r="J206" s="871"/>
      <c r="K206" s="871"/>
      <c r="L206" s="651" t="str">
        <f>IF(F205&lt;&gt;"",MAX(L$5:L205)+1,"")</f>
        <v/>
      </c>
      <c r="M206" s="1960"/>
      <c r="N206" s="872" t="str">
        <f>IF(E208&lt;&gt;"",LOOKUP(E208,Tara!$L$5:$L$21,Tara!$M$5:$M$21),"")</f>
        <v/>
      </c>
      <c r="O206" s="872" t="str">
        <f>IF(F208&lt;&gt;"",LOOKUP(F208,Tara!$L$5:$L$21,Tara!$M$5:$M$21),"")</f>
        <v/>
      </c>
      <c r="P206" s="872" t="str">
        <f>IF(G208&lt;&gt;"",LOOKUP(G208,Tara!$L$5:$L$21,Tara!$M$5:$M$21),"")</f>
        <v/>
      </c>
      <c r="Q206" s="872" t="str">
        <f>IF(H208&lt;&gt;"",LOOKUP(H208,Tara!$L$5:$L$21,Tara!$M$5:$M$21),"")</f>
        <v/>
      </c>
      <c r="R206" s="872" t="str">
        <f>IF(I208&lt;&gt;"",LOOKUP(I208,Tara!$L$5:$L$21,Tara!$M$5:$M$21),"")</f>
        <v/>
      </c>
      <c r="S206" s="872" t="str">
        <f>IF(J208&lt;&gt;"",LOOKUP(J208,Tara!$L$5:$L$21,Tara!$M$5:$M$21),"")</f>
        <v/>
      </c>
      <c r="T206" s="872" t="str">
        <f>IF(K208&lt;&gt;"",LOOKUP(K208,Tara!$L$5:$L$21,Tara!$M$5:$M$21),"")</f>
        <v/>
      </c>
      <c r="U206" s="872"/>
      <c r="V206" s="872"/>
      <c r="W206" s="872"/>
      <c r="X206" s="872"/>
      <c r="Y206" s="872"/>
      <c r="Z206" s="872"/>
      <c r="AA206" s="872"/>
      <c r="AB206" s="872" t="str">
        <f t="shared" ref="AB206:AB211" si="162">IF(L206&lt;&gt;"",L206,"")</f>
        <v/>
      </c>
      <c r="AC206" s="873" t="str">
        <f>""</f>
        <v/>
      </c>
      <c r="AD206" s="873" t="str">
        <f>""</f>
        <v/>
      </c>
      <c r="AE206" s="873" t="str">
        <f>IF(F206&lt;&gt;"",F206,"")</f>
        <v/>
      </c>
      <c r="AF206" s="874" t="str">
        <f>IF(E207&lt;&gt;"",F207,"")</f>
        <v/>
      </c>
      <c r="AG206" s="875" t="str">
        <f>IF(O205&lt;&gt;"",O205,"")</f>
        <v/>
      </c>
      <c r="AH206" s="896" t="str">
        <f>IF(F212&lt;&gt;"",F212*100,"")</f>
        <v/>
      </c>
      <c r="AI206" s="897" t="str">
        <f>IF(O214&lt;&gt;"",O214,"")</f>
        <v/>
      </c>
      <c r="AJ206" s="880" t="str">
        <f>IF(AH206="","",((AH206/100)-F214)*100)</f>
        <v/>
      </c>
      <c r="AK206" s="1267" t="str">
        <f>IF(V205&lt;&gt;"",V205*100,"")</f>
        <v/>
      </c>
    </row>
    <row r="207" spans="1:37" s="56" customFormat="1" ht="15" customHeight="1" x14ac:dyDescent="0.3">
      <c r="A207" s="1955"/>
      <c r="B207" s="869" t="s">
        <v>311</v>
      </c>
      <c r="C207" s="666"/>
      <c r="D207" s="870" t="s">
        <v>312</v>
      </c>
      <c r="E207" s="878"/>
      <c r="F207" s="878"/>
      <c r="G207" s="878"/>
      <c r="H207" s="878"/>
      <c r="I207" s="878"/>
      <c r="J207" s="878"/>
      <c r="K207" s="1268"/>
      <c r="L207" s="651" t="str">
        <f>IF(G205&lt;&gt;"",MAX(L$5:L206)+1,"")</f>
        <v/>
      </c>
      <c r="M207" s="1960"/>
      <c r="N207" s="872" t="str">
        <f t="shared" ref="N207:T207" si="163">IF(N206&lt;&gt;"",N206-E209,"")</f>
        <v/>
      </c>
      <c r="O207" s="872" t="str">
        <f t="shared" si="163"/>
        <v/>
      </c>
      <c r="P207" s="872" t="str">
        <f t="shared" si="163"/>
        <v/>
      </c>
      <c r="Q207" s="872" t="str">
        <f t="shared" si="163"/>
        <v/>
      </c>
      <c r="R207" s="872" t="str">
        <f t="shared" si="163"/>
        <v/>
      </c>
      <c r="S207" s="872" t="str">
        <f t="shared" si="163"/>
        <v/>
      </c>
      <c r="T207" s="872" t="str">
        <f t="shared" si="163"/>
        <v/>
      </c>
      <c r="U207" s="879"/>
      <c r="V207" s="879"/>
      <c r="W207" s="879"/>
      <c r="X207" s="879"/>
      <c r="Y207" s="879"/>
      <c r="Z207" s="879"/>
      <c r="AA207" s="879"/>
      <c r="AB207" s="872" t="str">
        <f t="shared" si="162"/>
        <v/>
      </c>
      <c r="AC207" s="873" t="str">
        <f>""</f>
        <v/>
      </c>
      <c r="AD207" s="873" t="str">
        <f>""</f>
        <v/>
      </c>
      <c r="AE207" s="873" t="str">
        <f>IF(G206&lt;&gt;"",G206,"")</f>
        <v/>
      </c>
      <c r="AF207" s="874" t="str">
        <f>IF(G207&lt;&gt;"",G207,"")</f>
        <v/>
      </c>
      <c r="AG207" s="875" t="str">
        <f>IF(P205&lt;&gt;"",P205,"")</f>
        <v/>
      </c>
      <c r="AH207" s="896" t="str">
        <f>IF(G212&lt;&gt;"",G212*100,"")</f>
        <v/>
      </c>
      <c r="AI207" s="897" t="str">
        <f>IF(P214&lt;&gt;"",P214,"")</f>
        <v/>
      </c>
      <c r="AJ207" s="880" t="str">
        <f>IF(AH207="","",((AH207/100)-G214)*100)</f>
        <v/>
      </c>
      <c r="AK207" s="1267" t="str">
        <f>IF(W205&lt;&gt;"",W205*100,"")</f>
        <v/>
      </c>
    </row>
    <row r="208" spans="1:37" s="56" customFormat="1" ht="15" customHeight="1" x14ac:dyDescent="0.3">
      <c r="A208" s="1955"/>
      <c r="B208" s="869" t="s">
        <v>313</v>
      </c>
      <c r="C208" s="666"/>
      <c r="D208" s="870" t="s">
        <v>314</v>
      </c>
      <c r="E208" s="750"/>
      <c r="F208" s="750"/>
      <c r="G208" s="750"/>
      <c r="H208" s="750"/>
      <c r="I208" s="750"/>
      <c r="J208" s="750"/>
      <c r="K208" s="750"/>
      <c r="L208" s="651" t="str">
        <f>IF(H205&lt;&gt;"",MAX(L$5:L207)+1,"")</f>
        <v/>
      </c>
      <c r="M208" s="1960"/>
      <c r="N208" s="872" t="str">
        <f>IF(E208&lt;&gt;"",LOOKUP(E208,Tara!$L$5:$L$21,Tara!$N$5:$N$21),"")</f>
        <v/>
      </c>
      <c r="O208" s="872" t="str">
        <f>IF(F208&lt;&gt;"",LOOKUP(F208,Tara!$L$5:$L$21,Tara!$N$5:$N$21),"")</f>
        <v/>
      </c>
      <c r="P208" s="872" t="str">
        <f>IF(G208&lt;&gt;"",LOOKUP(G208,Tara!$L$5:$L$21,Tara!$N$5:$N$21),"")</f>
        <v/>
      </c>
      <c r="Q208" s="872" t="str">
        <f>IF(H208&lt;&gt;"",LOOKUP(H208,Tara!$L$5:$L$21,Tara!$N$5:$N$21),"")</f>
        <v/>
      </c>
      <c r="R208" s="872" t="str">
        <f>IF(I208&lt;&gt;"",LOOKUP(I208,Tara!$L$5:$L$21,Tara!$N$5:$N$21),"")</f>
        <v/>
      </c>
      <c r="S208" s="872" t="str">
        <f>IF(J208&lt;&gt;"",LOOKUP(J208,Tara!$L$5:$L$21,Tara!$N$5:$N$21),"")</f>
        <v/>
      </c>
      <c r="T208" s="872" t="str">
        <f>IF(K208&lt;&gt;"",LOOKUP(K208,Tara!$L$5:$L$21,Tara!$N$5:$N$21),"")</f>
        <v/>
      </c>
      <c r="U208" s="881"/>
      <c r="V208" s="881"/>
      <c r="W208" s="881"/>
      <c r="X208" s="881"/>
      <c r="Y208" s="881"/>
      <c r="Z208" s="881"/>
      <c r="AA208" s="881"/>
      <c r="AB208" s="872" t="str">
        <f t="shared" si="162"/>
        <v/>
      </c>
      <c r="AC208" s="873" t="str">
        <f>""</f>
        <v/>
      </c>
      <c r="AD208" s="873" t="str">
        <f>""</f>
        <v/>
      </c>
      <c r="AE208" s="873" t="str">
        <f>IF(H206&lt;&gt;"",H206,"")</f>
        <v/>
      </c>
      <c r="AF208" s="874" t="str">
        <f>IF(H207&lt;&gt;"",H207,"")</f>
        <v/>
      </c>
      <c r="AG208" s="875" t="str">
        <f>IF(Q205&lt;&gt;"",Q205,"")</f>
        <v/>
      </c>
      <c r="AH208" s="896" t="str">
        <f>IF(H212&lt;&gt;"",H212*100,"")</f>
        <v/>
      </c>
      <c r="AI208" s="897" t="str">
        <f>IF(Q214&lt;&gt;"",Q214,"")</f>
        <v/>
      </c>
      <c r="AJ208" s="880" t="str">
        <f>IF(AH208="","",((AH208/100)-H214)*100)</f>
        <v/>
      </c>
      <c r="AK208" s="1267" t="str">
        <f>IF(X205&lt;&gt;"",X205*100,"")</f>
        <v/>
      </c>
    </row>
    <row r="209" spans="1:37" s="56" customFormat="1" ht="15" customHeight="1" x14ac:dyDescent="0.3">
      <c r="A209" s="1955"/>
      <c r="B209" s="882" t="s">
        <v>57</v>
      </c>
      <c r="C209" s="688"/>
      <c r="D209" s="870" t="s">
        <v>315</v>
      </c>
      <c r="E209" s="871"/>
      <c r="F209" s="871"/>
      <c r="G209" s="871"/>
      <c r="H209" s="871"/>
      <c r="I209" s="871"/>
      <c r="J209" s="871"/>
      <c r="K209" s="871"/>
      <c r="L209" s="651" t="str">
        <f>IF(I205&lt;&gt;"",MAX(L$5:L208)+1,"")</f>
        <v/>
      </c>
      <c r="M209" s="1960"/>
      <c r="N209" s="872" t="str">
        <f t="shared" ref="N209:T209" si="164">IF(N207&lt;&gt;"",N207-N208,"")</f>
        <v/>
      </c>
      <c r="O209" s="872" t="str">
        <f t="shared" si="164"/>
        <v/>
      </c>
      <c r="P209" s="872" t="str">
        <f t="shared" si="164"/>
        <v/>
      </c>
      <c r="Q209" s="872" t="str">
        <f t="shared" si="164"/>
        <v/>
      </c>
      <c r="R209" s="872" t="str">
        <f t="shared" si="164"/>
        <v/>
      </c>
      <c r="S209" s="872" t="str">
        <f t="shared" si="164"/>
        <v/>
      </c>
      <c r="T209" s="872" t="str">
        <f t="shared" si="164"/>
        <v/>
      </c>
      <c r="U209" s="881"/>
      <c r="V209" s="881"/>
      <c r="W209" s="881"/>
      <c r="X209" s="881"/>
      <c r="Y209" s="881"/>
      <c r="Z209" s="881"/>
      <c r="AA209" s="881"/>
      <c r="AB209" s="872" t="str">
        <f t="shared" si="162"/>
        <v/>
      </c>
      <c r="AC209" s="873" t="str">
        <f>""</f>
        <v/>
      </c>
      <c r="AD209" s="873" t="str">
        <f>""</f>
        <v/>
      </c>
      <c r="AE209" s="873" t="str">
        <f>IF(I206&lt;&gt;"",I206,"")</f>
        <v/>
      </c>
      <c r="AF209" s="874" t="str">
        <f>IF(I207&lt;&gt;"",I207,"")</f>
        <v/>
      </c>
      <c r="AG209" s="875" t="str">
        <f>IF(R205&lt;&gt;"",R205,"")</f>
        <v/>
      </c>
      <c r="AH209" s="896" t="str">
        <f>IF(I212&lt;&gt;"",I212*100,"")</f>
        <v/>
      </c>
      <c r="AI209" s="897" t="str">
        <f>IF(R214&lt;&gt;"",R214,"")</f>
        <v/>
      </c>
      <c r="AJ209" s="880" t="str">
        <f>IF(AH209="","",((AH209/100)-I214)*100)</f>
        <v/>
      </c>
      <c r="AK209" s="1267" t="str">
        <f>IF(Y205&lt;&gt;"",Y205*100,"")</f>
        <v/>
      </c>
    </row>
    <row r="210" spans="1:37" s="316" customFormat="1" ht="15" customHeight="1" x14ac:dyDescent="0.3">
      <c r="A210" s="1955"/>
      <c r="B210" s="882" t="s">
        <v>316</v>
      </c>
      <c r="C210" s="666"/>
      <c r="D210" s="883" t="s">
        <v>317</v>
      </c>
      <c r="E210" s="750"/>
      <c r="F210" s="750"/>
      <c r="G210" s="750"/>
      <c r="H210" s="750"/>
      <c r="I210" s="750"/>
      <c r="J210" s="750"/>
      <c r="K210" s="750"/>
      <c r="L210" s="651" t="str">
        <f>IF(J205&lt;&gt;"",MAX(L$5:L209)+1,"")</f>
        <v/>
      </c>
      <c r="M210" s="1960"/>
      <c r="N210" s="872" t="str">
        <f>IF(E208&lt;&gt;"",LOOKUP(E208,Tara!$L$5:$L$21,Tara!$O$5:$O$21),"")</f>
        <v/>
      </c>
      <c r="O210" s="872" t="str">
        <f>IF(F208&lt;&gt;"",LOOKUP(F208,Tara!$L$5:$L$21,Tara!$O$5:$O$21),"")</f>
        <v/>
      </c>
      <c r="P210" s="872" t="str">
        <f>IF(G208&lt;&gt;"",LOOKUP(G208,Tara!$L$5:$L$21,Tara!$O$5:$O$21),"")</f>
        <v/>
      </c>
      <c r="Q210" s="872" t="str">
        <f>IF(H208&lt;&gt;"",LOOKUP(H208,Tara!$L$5:$L$21,Tara!$O$5:$O$21),"")</f>
        <v/>
      </c>
      <c r="R210" s="872" t="str">
        <f>IF(I208&lt;&gt;"",LOOKUP(I208,Tara!$L$5:$L$21,Tara!$O$5:$O$21),"")</f>
        <v/>
      </c>
      <c r="S210" s="872" t="str">
        <f>IF(J208&lt;&gt;"",LOOKUP(J208,Tara!$L$5:$L$21,Tara!$O$5:$O$21),"")</f>
        <v/>
      </c>
      <c r="T210" s="872" t="str">
        <f>IF(K208&lt;&gt;"",LOOKUP(K208,Tara!$L$5:$L$21,Tara!$O$5:$O$21),"")</f>
        <v/>
      </c>
      <c r="U210" s="884"/>
      <c r="V210" s="884"/>
      <c r="W210" s="884"/>
      <c r="X210" s="884"/>
      <c r="Y210" s="884"/>
      <c r="Z210" s="884"/>
      <c r="AA210" s="884"/>
      <c r="AB210" s="872" t="str">
        <f t="shared" si="162"/>
        <v/>
      </c>
      <c r="AC210" s="873" t="str">
        <f>""</f>
        <v/>
      </c>
      <c r="AD210" s="873" t="str">
        <f>""</f>
        <v/>
      </c>
      <c r="AE210" s="873" t="str">
        <f>IF(J206&lt;&gt;"",J206,"")</f>
        <v/>
      </c>
      <c r="AF210" s="874" t="str">
        <f>IF(J207&lt;&gt;"",J207,"")</f>
        <v/>
      </c>
      <c r="AG210" s="875" t="str">
        <f>IF(S205&lt;&gt;"",S205,"")</f>
        <v/>
      </c>
      <c r="AH210" s="896" t="str">
        <f>IF(J212&lt;&gt;"",J212*100,"")</f>
        <v/>
      </c>
      <c r="AI210" s="897" t="str">
        <f>IF(S214&lt;&gt;"",S214,"")</f>
        <v/>
      </c>
      <c r="AJ210" s="880" t="str">
        <f>IF(AH210="","",((AH210/100)-J214)*100)</f>
        <v/>
      </c>
      <c r="AK210" s="1267" t="str">
        <f>IF(Z205&lt;&gt;"",Z205*100,"")</f>
        <v/>
      </c>
    </row>
    <row r="211" spans="1:37" s="316" customFormat="1" ht="15" customHeight="1" x14ac:dyDescent="0.3">
      <c r="A211" s="1955"/>
      <c r="B211" s="885" t="s">
        <v>318</v>
      </c>
      <c r="C211" s="886"/>
      <c r="D211" s="870" t="s">
        <v>319</v>
      </c>
      <c r="E211" s="750"/>
      <c r="F211" s="750"/>
      <c r="G211" s="750"/>
      <c r="H211" s="750"/>
      <c r="I211" s="750"/>
      <c r="J211" s="750"/>
      <c r="K211" s="750"/>
      <c r="L211" s="651" t="str">
        <f>IF(K205&lt;&gt;"",MAX(L$5:L210)+1,"")</f>
        <v/>
      </c>
      <c r="M211" s="1960"/>
      <c r="N211" s="887" t="str">
        <f>IF(N209&lt;&gt;"",N209/N210,"")</f>
        <v/>
      </c>
      <c r="O211" s="887" t="str">
        <f t="shared" ref="O211:T211" si="165">IF(O209&lt;&gt;"",O209/O210,"")</f>
        <v/>
      </c>
      <c r="P211" s="887" t="str">
        <f t="shared" si="165"/>
        <v/>
      </c>
      <c r="Q211" s="887" t="str">
        <f t="shared" si="165"/>
        <v/>
      </c>
      <c r="R211" s="887" t="str">
        <f t="shared" si="165"/>
        <v/>
      </c>
      <c r="S211" s="887" t="str">
        <f t="shared" si="165"/>
        <v/>
      </c>
      <c r="T211" s="887" t="str">
        <f t="shared" si="165"/>
        <v/>
      </c>
      <c r="U211" s="884"/>
      <c r="V211" s="884"/>
      <c r="W211" s="884"/>
      <c r="X211" s="884"/>
      <c r="Y211" s="884"/>
      <c r="Z211" s="884"/>
      <c r="AA211" s="884"/>
      <c r="AB211" s="872" t="str">
        <f t="shared" si="162"/>
        <v/>
      </c>
      <c r="AC211" s="873" t="str">
        <f>""</f>
        <v/>
      </c>
      <c r="AD211" s="873" t="str">
        <f>""</f>
        <v/>
      </c>
      <c r="AE211" s="873" t="str">
        <f>IF(K206&lt;&gt;"",K206,"")</f>
        <v/>
      </c>
      <c r="AF211" s="874" t="str">
        <f>IF(K207&lt;&gt;"",K207,"")</f>
        <v/>
      </c>
      <c r="AG211" s="875" t="str">
        <f>IF(T205&lt;&gt;"",T205,"")</f>
        <v/>
      </c>
      <c r="AH211" s="896" t="str">
        <f>IF(K212&lt;&gt;"",K212*100,"")</f>
        <v/>
      </c>
      <c r="AI211" s="897" t="str">
        <f>IF(T214&lt;&gt;"",T214,"")</f>
        <v/>
      </c>
      <c r="AJ211" s="880" t="str">
        <f>IF(AH211="","",((AH211/100)-K214)*100)</f>
        <v/>
      </c>
      <c r="AK211" s="1267" t="str">
        <f>IF(AA205&lt;&gt;"",AA205*100,"")</f>
        <v/>
      </c>
    </row>
    <row r="212" spans="1:37" s="316" customFormat="1" ht="15" customHeight="1" x14ac:dyDescent="0.3">
      <c r="A212" s="1955"/>
      <c r="B212" s="652"/>
      <c r="C212" s="653"/>
      <c r="D212" s="870" t="s">
        <v>320</v>
      </c>
      <c r="E212" s="888"/>
      <c r="F212" s="888"/>
      <c r="G212" s="888"/>
      <c r="H212" s="888"/>
      <c r="I212" s="888"/>
      <c r="J212" s="888"/>
      <c r="K212" s="888"/>
      <c r="L212" s="651"/>
      <c r="M212" s="1960"/>
      <c r="N212" s="889" t="str">
        <f>IF(E210&lt;&gt;"",LOOKUP(E210,Tara!$P$5:$P$21,Tara!$Q$5:$Q$21),"")</f>
        <v/>
      </c>
      <c r="O212" s="889" t="str">
        <f>IF(F210&lt;&gt;"",LOOKUP(F210,Tara!$P$5:$P$21,Tara!$Q$5:$Q$21),"")</f>
        <v/>
      </c>
      <c r="P212" s="889" t="str">
        <f>IF(G210&lt;&gt;"",LOOKUP(G210,Tara!$P$5:$P$21,Tara!$Q$5:$Q$21),"")</f>
        <v/>
      </c>
      <c r="Q212" s="889" t="str">
        <f>IF(H210&lt;&gt;"",LOOKUP(H210,Tara!$P$5:$P$21,Tara!$Q$5:$Q$21),"")</f>
        <v/>
      </c>
      <c r="R212" s="889" t="str">
        <f>IF(I210&lt;&gt;"",LOOKUP(I210,Tara!$P$5:$P$21,Tara!$Q$5:$Q$21),"")</f>
        <v/>
      </c>
      <c r="S212" s="889" t="str">
        <f>IF(J210&lt;&gt;"",LOOKUP(J210,Tara!$P$5:$P$21,Tara!$Q$5:$Q$21),"")</f>
        <v/>
      </c>
      <c r="T212" s="889" t="str">
        <f>IF(K210&lt;&gt;"",LOOKUP(K210,Tara!$P$5:$P$21,Tara!$Q$5:$Q$21),"")</f>
        <v/>
      </c>
      <c r="U212" s="884"/>
      <c r="V212" s="884"/>
      <c r="W212" s="884"/>
      <c r="X212" s="884"/>
      <c r="Y212" s="884"/>
      <c r="Z212" s="884"/>
      <c r="AA212" s="884"/>
      <c r="AB212" s="872" t="str">
        <f>""</f>
        <v/>
      </c>
      <c r="AC212" s="873" t="str">
        <f>""</f>
        <v/>
      </c>
      <c r="AD212" s="873" t="str">
        <f>""</f>
        <v/>
      </c>
      <c r="AE212" s="873" t="str">
        <f>""</f>
        <v/>
      </c>
      <c r="AF212" s="874" t="str">
        <f>""</f>
        <v/>
      </c>
      <c r="AG212" s="875" t="str">
        <f>""</f>
        <v/>
      </c>
      <c r="AH212" s="875" t="str">
        <f>""</f>
        <v/>
      </c>
      <c r="AI212" s="875" t="str">
        <f>""</f>
        <v/>
      </c>
      <c r="AJ212" s="890" t="str">
        <f>""</f>
        <v/>
      </c>
      <c r="AK212" s="1267" t="str">
        <f>""</f>
        <v/>
      </c>
    </row>
    <row r="213" spans="1:37" s="316" customFormat="1" ht="15" customHeight="1" x14ac:dyDescent="0.3">
      <c r="A213" s="1955"/>
      <c r="B213" s="654"/>
      <c r="C213" s="655"/>
      <c r="D213" s="891" t="s">
        <v>321</v>
      </c>
      <c r="E213" s="750"/>
      <c r="F213" s="750"/>
      <c r="G213" s="750"/>
      <c r="H213" s="750"/>
      <c r="I213" s="750"/>
      <c r="J213" s="750"/>
      <c r="K213" s="750"/>
      <c r="L213" s="651"/>
      <c r="M213" s="1960"/>
      <c r="N213" s="892" t="str">
        <f t="shared" ref="N213:T213" si="166">IF(E211&lt;&gt;"",(E211-N212)/N211,"")</f>
        <v/>
      </c>
      <c r="O213" s="892" t="str">
        <f t="shared" si="166"/>
        <v/>
      </c>
      <c r="P213" s="892" t="str">
        <f t="shared" si="166"/>
        <v/>
      </c>
      <c r="Q213" s="892" t="str">
        <f t="shared" si="166"/>
        <v/>
      </c>
      <c r="R213" s="892" t="str">
        <f t="shared" si="166"/>
        <v/>
      </c>
      <c r="S213" s="892" t="str">
        <f t="shared" si="166"/>
        <v/>
      </c>
      <c r="T213" s="892" t="str">
        <f t="shared" si="166"/>
        <v/>
      </c>
      <c r="U213" s="884"/>
      <c r="V213" s="884"/>
      <c r="W213" s="884"/>
      <c r="X213" s="884"/>
      <c r="Y213" s="884"/>
      <c r="Z213" s="884"/>
      <c r="AA213" s="884"/>
      <c r="AB213" s="872" t="str">
        <f>""</f>
        <v/>
      </c>
      <c r="AC213" s="873" t="str">
        <f>""</f>
        <v/>
      </c>
      <c r="AD213" s="873" t="str">
        <f>""</f>
        <v/>
      </c>
      <c r="AE213" s="873" t="str">
        <f>""</f>
        <v/>
      </c>
      <c r="AF213" s="874" t="str">
        <f>""</f>
        <v/>
      </c>
      <c r="AG213" s="893" t="str">
        <f>""</f>
        <v/>
      </c>
      <c r="AH213" s="893" t="str">
        <f>""</f>
        <v/>
      </c>
      <c r="AI213" s="893" t="str">
        <f>""</f>
        <v/>
      </c>
      <c r="AJ213" s="895" t="str">
        <f>""</f>
        <v/>
      </c>
      <c r="AK213" s="1269" t="str">
        <f>""</f>
        <v/>
      </c>
    </row>
    <row r="214" spans="1:37" s="316" customFormat="1" ht="15" customHeight="1" thickBot="1" x14ac:dyDescent="0.35">
      <c r="A214" s="1956"/>
      <c r="B214" s="656"/>
      <c r="C214" s="657"/>
      <c r="D214" s="658" t="s">
        <v>99</v>
      </c>
      <c r="E214" s="556"/>
      <c r="F214" s="556"/>
      <c r="G214" s="556"/>
      <c r="H214" s="556"/>
      <c r="I214" s="556"/>
      <c r="J214" s="556"/>
      <c r="K214" s="556"/>
      <c r="L214" s="659"/>
      <c r="M214" s="1961"/>
      <c r="N214" s="549" t="str">
        <f t="shared" ref="N214:T214" si="167">IF(N213&lt;&gt;"",N213/(1+E212),"")</f>
        <v/>
      </c>
      <c r="O214" s="549" t="str">
        <f t="shared" si="167"/>
        <v/>
      </c>
      <c r="P214" s="549" t="str">
        <f t="shared" si="167"/>
        <v/>
      </c>
      <c r="Q214" s="549" t="str">
        <f t="shared" si="167"/>
        <v/>
      </c>
      <c r="R214" s="549" t="str">
        <f t="shared" si="167"/>
        <v/>
      </c>
      <c r="S214" s="549" t="str">
        <f t="shared" si="167"/>
        <v/>
      </c>
      <c r="T214" s="549" t="str">
        <f t="shared" si="167"/>
        <v/>
      </c>
      <c r="U214" s="550"/>
      <c r="V214" s="550"/>
      <c r="W214" s="550"/>
      <c r="X214" s="550"/>
      <c r="Y214" s="550"/>
      <c r="Z214" s="550"/>
      <c r="AA214" s="550"/>
      <c r="AB214" s="551">
        <f>MAX(AB$5:AB213)+1</f>
        <v>21</v>
      </c>
      <c r="AC214" s="552" t="str">
        <f>""</f>
        <v/>
      </c>
      <c r="AD214" s="552" t="str">
        <f>""</f>
        <v/>
      </c>
      <c r="AE214" s="552" t="str">
        <f>""</f>
        <v/>
      </c>
      <c r="AF214" s="558" t="str">
        <f>""</f>
        <v/>
      </c>
      <c r="AG214" s="553" t="str">
        <f>""</f>
        <v/>
      </c>
      <c r="AH214" s="553" t="str">
        <f>""</f>
        <v/>
      </c>
      <c r="AI214" s="553" t="str">
        <f>""</f>
        <v/>
      </c>
      <c r="AJ214" s="554" t="str">
        <f>""</f>
        <v/>
      </c>
      <c r="AK214" s="555" t="str">
        <f>""</f>
        <v/>
      </c>
    </row>
    <row r="215" spans="1:37" s="56" customFormat="1" ht="15" customHeight="1" x14ac:dyDescent="0.3">
      <c r="A215" s="1954">
        <f>A205+1</f>
        <v>22</v>
      </c>
      <c r="B215" s="1957" t="s">
        <v>309</v>
      </c>
      <c r="C215" s="1958"/>
      <c r="D215" s="648" t="s">
        <v>34</v>
      </c>
      <c r="E215" s="649"/>
      <c r="F215" s="649"/>
      <c r="G215" s="649"/>
      <c r="H215" s="649"/>
      <c r="I215" s="649"/>
      <c r="J215" s="649"/>
      <c r="K215" s="649"/>
      <c r="L215" s="650" t="str">
        <f>IF(E215&lt;&gt;"",MAX(L$5:L214)+1,"")</f>
        <v/>
      </c>
      <c r="M215" s="1959" t="s">
        <v>25</v>
      </c>
      <c r="N215" s="539" t="str">
        <f t="shared" ref="N215:T215" si="168">IF(E215&lt;&gt;"",E215,"")</f>
        <v/>
      </c>
      <c r="O215" s="539" t="str">
        <f t="shared" si="168"/>
        <v/>
      </c>
      <c r="P215" s="539" t="str">
        <f t="shared" si="168"/>
        <v/>
      </c>
      <c r="Q215" s="539" t="str">
        <f t="shared" si="168"/>
        <v/>
      </c>
      <c r="R215" s="539" t="str">
        <f t="shared" si="168"/>
        <v/>
      </c>
      <c r="S215" s="539" t="str">
        <f t="shared" si="168"/>
        <v/>
      </c>
      <c r="T215" s="539" t="str">
        <f t="shared" si="168"/>
        <v/>
      </c>
      <c r="U215" s="540" t="str">
        <f t="shared" ref="U215:AA215" si="169">IF(N224&lt;&gt;"",N224/E223*1000,"")</f>
        <v/>
      </c>
      <c r="V215" s="540" t="str">
        <f t="shared" si="169"/>
        <v/>
      </c>
      <c r="W215" s="540" t="str">
        <f t="shared" si="169"/>
        <v/>
      </c>
      <c r="X215" s="540" t="str">
        <f t="shared" si="169"/>
        <v/>
      </c>
      <c r="Y215" s="540" t="str">
        <f t="shared" si="169"/>
        <v/>
      </c>
      <c r="Z215" s="540" t="str">
        <f t="shared" si="169"/>
        <v/>
      </c>
      <c r="AA215" s="540" t="str">
        <f t="shared" si="169"/>
        <v/>
      </c>
      <c r="AB215" s="539" t="str">
        <f>IF(L215&lt;&gt;"",L215,"")</f>
        <v/>
      </c>
      <c r="AC215" s="541" t="str">
        <f>IF(C216&lt;&gt;"",CONCATENATE(C216," a ",C217),"")</f>
        <v/>
      </c>
      <c r="AD215" s="542" t="str">
        <f>IF(C219&lt;&gt;"",C219,"")</f>
        <v/>
      </c>
      <c r="AE215" s="543" t="str">
        <f>IF(E216&lt;&gt;"",E216,"")</f>
        <v/>
      </c>
      <c r="AF215" s="557" t="str">
        <f>IF(E217&lt;&gt;"",E217,"")</f>
        <v/>
      </c>
      <c r="AG215" s="544" t="str">
        <f>IF(N215&lt;&gt;"",N215,"")</f>
        <v/>
      </c>
      <c r="AH215" s="545" t="str">
        <f>IF(E222&lt;&gt;"",E222*100,"")</f>
        <v/>
      </c>
      <c r="AI215" s="546" t="str">
        <f>IF(N224&lt;&gt;"",N224,"")</f>
        <v/>
      </c>
      <c r="AJ215" s="547" t="str">
        <f>IF(AH215="","",((AH215/100)-E224)*100)</f>
        <v/>
      </c>
      <c r="AK215" s="548" t="str">
        <f>IF(U215&lt;&gt;"",U215*100,"")</f>
        <v/>
      </c>
    </row>
    <row r="216" spans="1:37" s="57" customFormat="1" ht="15" customHeight="1" x14ac:dyDescent="0.3">
      <c r="A216" s="1955"/>
      <c r="B216" s="869" t="s">
        <v>310</v>
      </c>
      <c r="C216" s="666"/>
      <c r="D216" s="870" t="s">
        <v>156</v>
      </c>
      <c r="E216" s="871"/>
      <c r="F216" s="871"/>
      <c r="G216" s="871"/>
      <c r="H216" s="871"/>
      <c r="I216" s="871"/>
      <c r="J216" s="871"/>
      <c r="K216" s="871"/>
      <c r="L216" s="651" t="str">
        <f>IF(F215&lt;&gt;"",MAX(L$5:L215)+1,"")</f>
        <v/>
      </c>
      <c r="M216" s="1960"/>
      <c r="N216" s="872" t="str">
        <f>IF(E218&lt;&gt;"",LOOKUP(E218,Tara!$L$5:$L$21,Tara!$M$5:$M$21),"")</f>
        <v/>
      </c>
      <c r="O216" s="872" t="str">
        <f>IF(F218&lt;&gt;"",LOOKUP(F218,Tara!$L$5:$L$21,Tara!$M$5:$M$21),"")</f>
        <v/>
      </c>
      <c r="P216" s="872" t="str">
        <f>IF(G218&lt;&gt;"",LOOKUP(G218,Tara!$L$5:$L$21,Tara!$M$5:$M$21),"")</f>
        <v/>
      </c>
      <c r="Q216" s="872" t="str">
        <f>IF(H218&lt;&gt;"",LOOKUP(H218,Tara!$L$5:$L$21,Tara!$M$5:$M$21),"")</f>
        <v/>
      </c>
      <c r="R216" s="872" t="str">
        <f>IF(I218&lt;&gt;"",LOOKUP(I218,Tara!$L$5:$L$21,Tara!$M$5:$M$21),"")</f>
        <v/>
      </c>
      <c r="S216" s="872" t="str">
        <f>IF(J218&lt;&gt;"",LOOKUP(J218,Tara!$L$5:$L$21,Tara!$M$5:$M$21),"")</f>
        <v/>
      </c>
      <c r="T216" s="872" t="str">
        <f>IF(K218&lt;&gt;"",LOOKUP(K218,Tara!$L$5:$L$21,Tara!$M$5:$M$21),"")</f>
        <v/>
      </c>
      <c r="U216" s="872"/>
      <c r="V216" s="872"/>
      <c r="W216" s="872"/>
      <c r="X216" s="872"/>
      <c r="Y216" s="872"/>
      <c r="Z216" s="872"/>
      <c r="AA216" s="872"/>
      <c r="AB216" s="872" t="str">
        <f t="shared" ref="AB216:AB221" si="170">IF(L216&lt;&gt;"",L216,"")</f>
        <v/>
      </c>
      <c r="AC216" s="873" t="str">
        <f>""</f>
        <v/>
      </c>
      <c r="AD216" s="873" t="str">
        <f>""</f>
        <v/>
      </c>
      <c r="AE216" s="873" t="str">
        <f>IF(F216&lt;&gt;"",F216,"")</f>
        <v/>
      </c>
      <c r="AF216" s="874" t="str">
        <f>IF(E217&lt;&gt;"",F217,"")</f>
        <v/>
      </c>
      <c r="AG216" s="875" t="str">
        <f>IF(O215&lt;&gt;"",O215,"")</f>
        <v/>
      </c>
      <c r="AH216" s="896" t="str">
        <f>IF(F222&lt;&gt;"",F222*100,"")</f>
        <v/>
      </c>
      <c r="AI216" s="897" t="str">
        <f>IF(O224&lt;&gt;"",O224,"")</f>
        <v/>
      </c>
      <c r="AJ216" s="880" t="str">
        <f>IF(AH216="","",((AH216/100)-F224)*100)</f>
        <v/>
      </c>
      <c r="AK216" s="1267" t="str">
        <f>IF(V215&lt;&gt;"",V215*100,"")</f>
        <v/>
      </c>
    </row>
    <row r="217" spans="1:37" s="56" customFormat="1" ht="15" customHeight="1" x14ac:dyDescent="0.3">
      <c r="A217" s="1955"/>
      <c r="B217" s="869" t="s">
        <v>311</v>
      </c>
      <c r="C217" s="666"/>
      <c r="D217" s="870" t="s">
        <v>312</v>
      </c>
      <c r="E217" s="878"/>
      <c r="F217" s="878"/>
      <c r="G217" s="878"/>
      <c r="H217" s="878"/>
      <c r="I217" s="878"/>
      <c r="J217" s="878"/>
      <c r="K217" s="1268"/>
      <c r="L217" s="651" t="str">
        <f>IF(G215&lt;&gt;"",MAX(L$5:L216)+1,"")</f>
        <v/>
      </c>
      <c r="M217" s="1960"/>
      <c r="N217" s="872" t="str">
        <f t="shared" ref="N217:T217" si="171">IF(N216&lt;&gt;"",N216-E219,"")</f>
        <v/>
      </c>
      <c r="O217" s="872" t="str">
        <f t="shared" si="171"/>
        <v/>
      </c>
      <c r="P217" s="872" t="str">
        <f t="shared" si="171"/>
        <v/>
      </c>
      <c r="Q217" s="872" t="str">
        <f t="shared" si="171"/>
        <v/>
      </c>
      <c r="R217" s="872" t="str">
        <f t="shared" si="171"/>
        <v/>
      </c>
      <c r="S217" s="872" t="str">
        <f t="shared" si="171"/>
        <v/>
      </c>
      <c r="T217" s="872" t="str">
        <f t="shared" si="171"/>
        <v/>
      </c>
      <c r="U217" s="879"/>
      <c r="V217" s="879"/>
      <c r="W217" s="879"/>
      <c r="X217" s="879"/>
      <c r="Y217" s="879"/>
      <c r="Z217" s="879"/>
      <c r="AA217" s="879"/>
      <c r="AB217" s="872" t="str">
        <f t="shared" si="170"/>
        <v/>
      </c>
      <c r="AC217" s="873" t="str">
        <f>""</f>
        <v/>
      </c>
      <c r="AD217" s="873" t="str">
        <f>""</f>
        <v/>
      </c>
      <c r="AE217" s="873" t="str">
        <f>IF(G216&lt;&gt;"",G216,"")</f>
        <v/>
      </c>
      <c r="AF217" s="874" t="str">
        <f>IF(G217&lt;&gt;"",G217,"")</f>
        <v/>
      </c>
      <c r="AG217" s="875" t="str">
        <f>IF(P215&lt;&gt;"",P215,"")</f>
        <v/>
      </c>
      <c r="AH217" s="896" t="str">
        <f>IF(G222&lt;&gt;"",G222*100,"")</f>
        <v/>
      </c>
      <c r="AI217" s="897" t="str">
        <f>IF(P224&lt;&gt;"",P224,"")</f>
        <v/>
      </c>
      <c r="AJ217" s="880" t="str">
        <f>IF(AH217="","",((AH217/100)-G224)*100)</f>
        <v/>
      </c>
      <c r="AK217" s="1267" t="str">
        <f>IF(W215&lt;&gt;"",W215*100,"")</f>
        <v/>
      </c>
    </row>
    <row r="218" spans="1:37" s="56" customFormat="1" ht="15" customHeight="1" x14ac:dyDescent="0.3">
      <c r="A218" s="1955"/>
      <c r="B218" s="869" t="s">
        <v>313</v>
      </c>
      <c r="C218" s="666"/>
      <c r="D218" s="870" t="s">
        <v>314</v>
      </c>
      <c r="E218" s="750"/>
      <c r="F218" s="750"/>
      <c r="G218" s="750"/>
      <c r="H218" s="750"/>
      <c r="I218" s="750"/>
      <c r="J218" s="750"/>
      <c r="K218" s="750"/>
      <c r="L218" s="651" t="str">
        <f>IF(H215&lt;&gt;"",MAX(L$5:L217)+1,"")</f>
        <v/>
      </c>
      <c r="M218" s="1960"/>
      <c r="N218" s="872" t="str">
        <f>IF(E218&lt;&gt;"",LOOKUP(E218,Tara!$L$5:$L$21,Tara!$N$5:$N$21),"")</f>
        <v/>
      </c>
      <c r="O218" s="872" t="str">
        <f>IF(F218&lt;&gt;"",LOOKUP(F218,Tara!$L$5:$L$21,Tara!$N$5:$N$21),"")</f>
        <v/>
      </c>
      <c r="P218" s="872" t="str">
        <f>IF(G218&lt;&gt;"",LOOKUP(G218,Tara!$L$5:$L$21,Tara!$N$5:$N$21),"")</f>
        <v/>
      </c>
      <c r="Q218" s="872" t="str">
        <f>IF(H218&lt;&gt;"",LOOKUP(H218,Tara!$L$5:$L$21,Tara!$N$5:$N$21),"")</f>
        <v/>
      </c>
      <c r="R218" s="872" t="str">
        <f>IF(I218&lt;&gt;"",LOOKUP(I218,Tara!$L$5:$L$21,Tara!$N$5:$N$21),"")</f>
        <v/>
      </c>
      <c r="S218" s="872" t="str">
        <f>IF(J218&lt;&gt;"",LOOKUP(J218,Tara!$L$5:$L$21,Tara!$N$5:$N$21),"")</f>
        <v/>
      </c>
      <c r="T218" s="872" t="str">
        <f>IF(K218&lt;&gt;"",LOOKUP(K218,Tara!$L$5:$L$21,Tara!$N$5:$N$21),"")</f>
        <v/>
      </c>
      <c r="U218" s="881"/>
      <c r="V218" s="881"/>
      <c r="W218" s="881"/>
      <c r="X218" s="881"/>
      <c r="Y218" s="881"/>
      <c r="Z218" s="881"/>
      <c r="AA218" s="881"/>
      <c r="AB218" s="872" t="str">
        <f t="shared" si="170"/>
        <v/>
      </c>
      <c r="AC218" s="873" t="str">
        <f>""</f>
        <v/>
      </c>
      <c r="AD218" s="873" t="str">
        <f>""</f>
        <v/>
      </c>
      <c r="AE218" s="873" t="str">
        <f>IF(H216&lt;&gt;"",H216,"")</f>
        <v/>
      </c>
      <c r="AF218" s="874" t="str">
        <f>IF(H217&lt;&gt;"",H217,"")</f>
        <v/>
      </c>
      <c r="AG218" s="875" t="str">
        <f>IF(Q215&lt;&gt;"",Q215,"")</f>
        <v/>
      </c>
      <c r="AH218" s="896" t="str">
        <f>IF(H222&lt;&gt;"",H222*100,"")</f>
        <v/>
      </c>
      <c r="AI218" s="897" t="str">
        <f>IF(Q224&lt;&gt;"",Q224,"")</f>
        <v/>
      </c>
      <c r="AJ218" s="880" t="str">
        <f>IF(AH218="","",((AH218/100)-H224)*100)</f>
        <v/>
      </c>
      <c r="AK218" s="1267" t="str">
        <f>IF(X215&lt;&gt;"",X215*100,"")</f>
        <v/>
      </c>
    </row>
    <row r="219" spans="1:37" s="56" customFormat="1" ht="15" customHeight="1" x14ac:dyDescent="0.3">
      <c r="A219" s="1955"/>
      <c r="B219" s="882" t="s">
        <v>57</v>
      </c>
      <c r="C219" s="688"/>
      <c r="D219" s="870" t="s">
        <v>315</v>
      </c>
      <c r="E219" s="871"/>
      <c r="F219" s="871"/>
      <c r="G219" s="871"/>
      <c r="H219" s="871"/>
      <c r="I219" s="871"/>
      <c r="J219" s="871"/>
      <c r="K219" s="871"/>
      <c r="L219" s="651" t="str">
        <f>IF(I215&lt;&gt;"",MAX(L$5:L218)+1,"")</f>
        <v/>
      </c>
      <c r="M219" s="1960"/>
      <c r="N219" s="872" t="str">
        <f t="shared" ref="N219:T219" si="172">IF(N217&lt;&gt;"",N217-N218,"")</f>
        <v/>
      </c>
      <c r="O219" s="872" t="str">
        <f t="shared" si="172"/>
        <v/>
      </c>
      <c r="P219" s="872" t="str">
        <f t="shared" si="172"/>
        <v/>
      </c>
      <c r="Q219" s="872" t="str">
        <f t="shared" si="172"/>
        <v/>
      </c>
      <c r="R219" s="872" t="str">
        <f t="shared" si="172"/>
        <v/>
      </c>
      <c r="S219" s="872" t="str">
        <f t="shared" si="172"/>
        <v/>
      </c>
      <c r="T219" s="872" t="str">
        <f t="shared" si="172"/>
        <v/>
      </c>
      <c r="U219" s="881"/>
      <c r="V219" s="881"/>
      <c r="W219" s="881"/>
      <c r="X219" s="881"/>
      <c r="Y219" s="881"/>
      <c r="Z219" s="881"/>
      <c r="AA219" s="881"/>
      <c r="AB219" s="872" t="str">
        <f t="shared" si="170"/>
        <v/>
      </c>
      <c r="AC219" s="873" t="str">
        <f>""</f>
        <v/>
      </c>
      <c r="AD219" s="873" t="str">
        <f>""</f>
        <v/>
      </c>
      <c r="AE219" s="873" t="str">
        <f>IF(I216&lt;&gt;"",I216,"")</f>
        <v/>
      </c>
      <c r="AF219" s="874" t="str">
        <f>IF(I217&lt;&gt;"",I217,"")</f>
        <v/>
      </c>
      <c r="AG219" s="875" t="str">
        <f>IF(R215&lt;&gt;"",R215,"")</f>
        <v/>
      </c>
      <c r="AH219" s="896" t="str">
        <f>IF(I222&lt;&gt;"",I222*100,"")</f>
        <v/>
      </c>
      <c r="AI219" s="897" t="str">
        <f>IF(R224&lt;&gt;"",R224,"")</f>
        <v/>
      </c>
      <c r="AJ219" s="880" t="str">
        <f>IF(AH219="","",((AH219/100)-I224)*100)</f>
        <v/>
      </c>
      <c r="AK219" s="1267" t="str">
        <f>IF(Y215&lt;&gt;"",Y215*100,"")</f>
        <v/>
      </c>
    </row>
    <row r="220" spans="1:37" s="316" customFormat="1" ht="15" customHeight="1" x14ac:dyDescent="0.3">
      <c r="A220" s="1955"/>
      <c r="B220" s="882" t="s">
        <v>316</v>
      </c>
      <c r="C220" s="666"/>
      <c r="D220" s="883" t="s">
        <v>317</v>
      </c>
      <c r="E220" s="750"/>
      <c r="F220" s="750"/>
      <c r="G220" s="750"/>
      <c r="H220" s="750"/>
      <c r="I220" s="750"/>
      <c r="J220" s="750"/>
      <c r="K220" s="750"/>
      <c r="L220" s="651" t="str">
        <f>IF(J215&lt;&gt;"",MAX(L$5:L219)+1,"")</f>
        <v/>
      </c>
      <c r="M220" s="1960"/>
      <c r="N220" s="872" t="str">
        <f>IF(E218&lt;&gt;"",LOOKUP(E218,Tara!$L$5:$L$21,Tara!$O$5:$O$21),"")</f>
        <v/>
      </c>
      <c r="O220" s="872" t="str">
        <f>IF(F218&lt;&gt;"",LOOKUP(F218,Tara!$L$5:$L$21,Tara!$O$5:$O$21),"")</f>
        <v/>
      </c>
      <c r="P220" s="872" t="str">
        <f>IF(G218&lt;&gt;"",LOOKUP(G218,Tara!$L$5:$L$21,Tara!$O$5:$O$21),"")</f>
        <v/>
      </c>
      <c r="Q220" s="872" t="str">
        <f>IF(H218&lt;&gt;"",LOOKUP(H218,Tara!$L$5:$L$21,Tara!$O$5:$O$21),"")</f>
        <v/>
      </c>
      <c r="R220" s="872" t="str">
        <f>IF(I218&lt;&gt;"",LOOKUP(I218,Tara!$L$5:$L$21,Tara!$O$5:$O$21),"")</f>
        <v/>
      </c>
      <c r="S220" s="872" t="str">
        <f>IF(J218&lt;&gt;"",LOOKUP(J218,Tara!$L$5:$L$21,Tara!$O$5:$O$21),"")</f>
        <v/>
      </c>
      <c r="T220" s="872" t="str">
        <f>IF(K218&lt;&gt;"",LOOKUP(K218,Tara!$L$5:$L$21,Tara!$O$5:$O$21),"")</f>
        <v/>
      </c>
      <c r="U220" s="884"/>
      <c r="V220" s="884"/>
      <c r="W220" s="884"/>
      <c r="X220" s="884"/>
      <c r="Y220" s="884"/>
      <c r="Z220" s="884"/>
      <c r="AA220" s="884"/>
      <c r="AB220" s="872" t="str">
        <f t="shared" si="170"/>
        <v/>
      </c>
      <c r="AC220" s="873" t="str">
        <f>""</f>
        <v/>
      </c>
      <c r="AD220" s="873" t="str">
        <f>""</f>
        <v/>
      </c>
      <c r="AE220" s="873" t="str">
        <f>IF(J216&lt;&gt;"",J216,"")</f>
        <v/>
      </c>
      <c r="AF220" s="874" t="str">
        <f>IF(J217&lt;&gt;"",J217,"")</f>
        <v/>
      </c>
      <c r="AG220" s="875" t="str">
        <f>IF(S215&lt;&gt;"",S215,"")</f>
        <v/>
      </c>
      <c r="AH220" s="896" t="str">
        <f>IF(J222&lt;&gt;"",J222*100,"")</f>
        <v/>
      </c>
      <c r="AI220" s="897" t="str">
        <f>IF(S224&lt;&gt;"",S224,"")</f>
        <v/>
      </c>
      <c r="AJ220" s="880" t="str">
        <f>IF(AH220="","",((AH220/100)-J224)*100)</f>
        <v/>
      </c>
      <c r="AK220" s="1267" t="str">
        <f>IF(Z215&lt;&gt;"",Z215*100,"")</f>
        <v/>
      </c>
    </row>
    <row r="221" spans="1:37" s="316" customFormat="1" ht="15" customHeight="1" x14ac:dyDescent="0.3">
      <c r="A221" s="1955"/>
      <c r="B221" s="885" t="s">
        <v>318</v>
      </c>
      <c r="C221" s="886"/>
      <c r="D221" s="870" t="s">
        <v>319</v>
      </c>
      <c r="E221" s="750"/>
      <c r="F221" s="750"/>
      <c r="G221" s="750"/>
      <c r="H221" s="750"/>
      <c r="I221" s="750"/>
      <c r="J221" s="750"/>
      <c r="K221" s="750"/>
      <c r="L221" s="651" t="str">
        <f>IF(K215&lt;&gt;"",MAX(L$5:L220)+1,"")</f>
        <v/>
      </c>
      <c r="M221" s="1960"/>
      <c r="N221" s="887" t="str">
        <f>IF(N219&lt;&gt;"",N219/N220,"")</f>
        <v/>
      </c>
      <c r="O221" s="887" t="str">
        <f t="shared" ref="O221:T221" si="173">IF(O219&lt;&gt;"",O219/O220,"")</f>
        <v/>
      </c>
      <c r="P221" s="887" t="str">
        <f t="shared" si="173"/>
        <v/>
      </c>
      <c r="Q221" s="887" t="str">
        <f t="shared" si="173"/>
        <v/>
      </c>
      <c r="R221" s="887" t="str">
        <f t="shared" si="173"/>
        <v/>
      </c>
      <c r="S221" s="887" t="str">
        <f t="shared" si="173"/>
        <v/>
      </c>
      <c r="T221" s="887" t="str">
        <f t="shared" si="173"/>
        <v/>
      </c>
      <c r="U221" s="884"/>
      <c r="V221" s="884"/>
      <c r="W221" s="884"/>
      <c r="X221" s="884"/>
      <c r="Y221" s="884"/>
      <c r="Z221" s="884"/>
      <c r="AA221" s="884"/>
      <c r="AB221" s="872" t="str">
        <f t="shared" si="170"/>
        <v/>
      </c>
      <c r="AC221" s="873" t="str">
        <f>""</f>
        <v/>
      </c>
      <c r="AD221" s="873" t="str">
        <f>""</f>
        <v/>
      </c>
      <c r="AE221" s="873" t="str">
        <f>IF(K216&lt;&gt;"",K216,"")</f>
        <v/>
      </c>
      <c r="AF221" s="874" t="str">
        <f>IF(K217&lt;&gt;"",K217,"")</f>
        <v/>
      </c>
      <c r="AG221" s="875" t="str">
        <f>IF(T215&lt;&gt;"",T215,"")</f>
        <v/>
      </c>
      <c r="AH221" s="896" t="str">
        <f>IF(K222&lt;&gt;"",K222*100,"")</f>
        <v/>
      </c>
      <c r="AI221" s="897" t="str">
        <f>IF(T224&lt;&gt;"",T224,"")</f>
        <v/>
      </c>
      <c r="AJ221" s="880" t="str">
        <f>IF(AH221="","",((AH221/100)-K224)*100)</f>
        <v/>
      </c>
      <c r="AK221" s="1267" t="str">
        <f>IF(AA215&lt;&gt;"",AA215*100,"")</f>
        <v/>
      </c>
    </row>
    <row r="222" spans="1:37" s="316" customFormat="1" ht="15" customHeight="1" x14ac:dyDescent="0.3">
      <c r="A222" s="1955"/>
      <c r="B222" s="652"/>
      <c r="C222" s="653"/>
      <c r="D222" s="870" t="s">
        <v>320</v>
      </c>
      <c r="E222" s="888"/>
      <c r="F222" s="888"/>
      <c r="G222" s="888"/>
      <c r="H222" s="888"/>
      <c r="I222" s="888"/>
      <c r="J222" s="888"/>
      <c r="K222" s="888"/>
      <c r="L222" s="651"/>
      <c r="M222" s="1960"/>
      <c r="N222" s="889" t="str">
        <f>IF(E220&lt;&gt;"",LOOKUP(E220,Tara!$P$5:$P$21,Tara!$Q$5:$Q$21),"")</f>
        <v/>
      </c>
      <c r="O222" s="889" t="str">
        <f>IF(F220&lt;&gt;"",LOOKUP(F220,Tara!$P$5:$P$21,Tara!$Q$5:$Q$21),"")</f>
        <v/>
      </c>
      <c r="P222" s="889" t="str">
        <f>IF(G220&lt;&gt;"",LOOKUP(G220,Tara!$P$5:$P$21,Tara!$Q$5:$Q$21),"")</f>
        <v/>
      </c>
      <c r="Q222" s="889" t="str">
        <f>IF(H220&lt;&gt;"",LOOKUP(H220,Tara!$P$5:$P$21,Tara!$Q$5:$Q$21),"")</f>
        <v/>
      </c>
      <c r="R222" s="889" t="str">
        <f>IF(I220&lt;&gt;"",LOOKUP(I220,Tara!$P$5:$P$21,Tara!$Q$5:$Q$21),"")</f>
        <v/>
      </c>
      <c r="S222" s="889" t="str">
        <f>IF(J220&lt;&gt;"",LOOKUP(J220,Tara!$P$5:$P$21,Tara!$Q$5:$Q$21),"")</f>
        <v/>
      </c>
      <c r="T222" s="889" t="str">
        <f>IF(K220&lt;&gt;"",LOOKUP(K220,Tara!$P$5:$P$21,Tara!$Q$5:$Q$21),"")</f>
        <v/>
      </c>
      <c r="U222" s="884"/>
      <c r="V222" s="884"/>
      <c r="W222" s="884"/>
      <c r="X222" s="884"/>
      <c r="Y222" s="884"/>
      <c r="Z222" s="884"/>
      <c r="AA222" s="884"/>
      <c r="AB222" s="872" t="str">
        <f>""</f>
        <v/>
      </c>
      <c r="AC222" s="873" t="str">
        <f>""</f>
        <v/>
      </c>
      <c r="AD222" s="873" t="str">
        <f>""</f>
        <v/>
      </c>
      <c r="AE222" s="873" t="str">
        <f>""</f>
        <v/>
      </c>
      <c r="AF222" s="874" t="str">
        <f>""</f>
        <v/>
      </c>
      <c r="AG222" s="875" t="str">
        <f>""</f>
        <v/>
      </c>
      <c r="AH222" s="875" t="str">
        <f>""</f>
        <v/>
      </c>
      <c r="AI222" s="875" t="str">
        <f>""</f>
        <v/>
      </c>
      <c r="AJ222" s="890" t="str">
        <f>""</f>
        <v/>
      </c>
      <c r="AK222" s="1267" t="str">
        <f>""</f>
        <v/>
      </c>
    </row>
    <row r="223" spans="1:37" s="316" customFormat="1" ht="15" customHeight="1" x14ac:dyDescent="0.3">
      <c r="A223" s="1955"/>
      <c r="B223" s="654"/>
      <c r="C223" s="655"/>
      <c r="D223" s="891" t="s">
        <v>321</v>
      </c>
      <c r="E223" s="750"/>
      <c r="F223" s="750"/>
      <c r="G223" s="750"/>
      <c r="H223" s="750"/>
      <c r="I223" s="750"/>
      <c r="J223" s="750"/>
      <c r="K223" s="750"/>
      <c r="L223" s="651"/>
      <c r="M223" s="1960"/>
      <c r="N223" s="892" t="str">
        <f t="shared" ref="N223:T223" si="174">IF(E221&lt;&gt;"",(E221-N222)/N221,"")</f>
        <v/>
      </c>
      <c r="O223" s="892" t="str">
        <f t="shared" si="174"/>
        <v/>
      </c>
      <c r="P223" s="892" t="str">
        <f t="shared" si="174"/>
        <v/>
      </c>
      <c r="Q223" s="892" t="str">
        <f t="shared" si="174"/>
        <v/>
      </c>
      <c r="R223" s="892" t="str">
        <f t="shared" si="174"/>
        <v/>
      </c>
      <c r="S223" s="892" t="str">
        <f t="shared" si="174"/>
        <v/>
      </c>
      <c r="T223" s="892" t="str">
        <f t="shared" si="174"/>
        <v/>
      </c>
      <c r="U223" s="884"/>
      <c r="V223" s="884"/>
      <c r="W223" s="884"/>
      <c r="X223" s="884"/>
      <c r="Y223" s="884"/>
      <c r="Z223" s="884"/>
      <c r="AA223" s="884"/>
      <c r="AB223" s="872" t="str">
        <f>""</f>
        <v/>
      </c>
      <c r="AC223" s="873" t="str">
        <f>""</f>
        <v/>
      </c>
      <c r="AD223" s="873" t="str">
        <f>""</f>
        <v/>
      </c>
      <c r="AE223" s="873" t="str">
        <f>""</f>
        <v/>
      </c>
      <c r="AF223" s="874" t="str">
        <f>""</f>
        <v/>
      </c>
      <c r="AG223" s="893" t="str">
        <f>""</f>
        <v/>
      </c>
      <c r="AH223" s="893" t="str">
        <f>""</f>
        <v/>
      </c>
      <c r="AI223" s="893" t="str">
        <f>""</f>
        <v/>
      </c>
      <c r="AJ223" s="895" t="str">
        <f>""</f>
        <v/>
      </c>
      <c r="AK223" s="1269" t="str">
        <f>""</f>
        <v/>
      </c>
    </row>
    <row r="224" spans="1:37" s="316" customFormat="1" ht="15" customHeight="1" thickBot="1" x14ac:dyDescent="0.35">
      <c r="A224" s="1956"/>
      <c r="B224" s="656"/>
      <c r="C224" s="657"/>
      <c r="D224" s="658" t="s">
        <v>99</v>
      </c>
      <c r="E224" s="556"/>
      <c r="F224" s="556"/>
      <c r="G224" s="556"/>
      <c r="H224" s="556"/>
      <c r="I224" s="556"/>
      <c r="J224" s="556"/>
      <c r="K224" s="556"/>
      <c r="L224" s="659"/>
      <c r="M224" s="1961"/>
      <c r="N224" s="549" t="str">
        <f t="shared" ref="N224:T224" si="175">IF(N223&lt;&gt;"",N223/(1+E222),"")</f>
        <v/>
      </c>
      <c r="O224" s="549" t="str">
        <f t="shared" si="175"/>
        <v/>
      </c>
      <c r="P224" s="549" t="str">
        <f t="shared" si="175"/>
        <v/>
      </c>
      <c r="Q224" s="549" t="str">
        <f t="shared" si="175"/>
        <v/>
      </c>
      <c r="R224" s="549" t="str">
        <f t="shared" si="175"/>
        <v/>
      </c>
      <c r="S224" s="549" t="str">
        <f t="shared" si="175"/>
        <v/>
      </c>
      <c r="T224" s="549" t="str">
        <f t="shared" si="175"/>
        <v/>
      </c>
      <c r="U224" s="550"/>
      <c r="V224" s="550"/>
      <c r="W224" s="550"/>
      <c r="X224" s="550"/>
      <c r="Y224" s="550"/>
      <c r="Z224" s="550"/>
      <c r="AA224" s="550"/>
      <c r="AB224" s="551">
        <f>MAX(AB$5:AB223)+1</f>
        <v>22</v>
      </c>
      <c r="AC224" s="552" t="str">
        <f>""</f>
        <v/>
      </c>
      <c r="AD224" s="552" t="str">
        <f>""</f>
        <v/>
      </c>
      <c r="AE224" s="552" t="str">
        <f>""</f>
        <v/>
      </c>
      <c r="AF224" s="558" t="str">
        <f>""</f>
        <v/>
      </c>
      <c r="AG224" s="553" t="str">
        <f>""</f>
        <v/>
      </c>
      <c r="AH224" s="553" t="str">
        <f>""</f>
        <v/>
      </c>
      <c r="AI224" s="553" t="str">
        <f>""</f>
        <v/>
      </c>
      <c r="AJ224" s="554" t="str">
        <f>""</f>
        <v/>
      </c>
      <c r="AK224" s="555" t="str">
        <f>""</f>
        <v/>
      </c>
    </row>
    <row r="225" spans="1:37" s="56" customFormat="1" ht="15" customHeight="1" x14ac:dyDescent="0.3">
      <c r="A225" s="1954">
        <f>A215+1</f>
        <v>23</v>
      </c>
      <c r="B225" s="1957" t="s">
        <v>309</v>
      </c>
      <c r="C225" s="1958"/>
      <c r="D225" s="648" t="s">
        <v>34</v>
      </c>
      <c r="E225" s="649"/>
      <c r="F225" s="649"/>
      <c r="G225" s="649"/>
      <c r="H225" s="649"/>
      <c r="I225" s="649"/>
      <c r="J225" s="649"/>
      <c r="K225" s="649"/>
      <c r="L225" s="650" t="str">
        <f>IF(E225&lt;&gt;"",MAX(L$5:L224)+1,"")</f>
        <v/>
      </c>
      <c r="M225" s="1959" t="s">
        <v>25</v>
      </c>
      <c r="N225" s="539" t="str">
        <f t="shared" ref="N225:T225" si="176">IF(E225&lt;&gt;"",E225,"")</f>
        <v/>
      </c>
      <c r="O225" s="539" t="str">
        <f t="shared" si="176"/>
        <v/>
      </c>
      <c r="P225" s="539" t="str">
        <f t="shared" si="176"/>
        <v/>
      </c>
      <c r="Q225" s="539" t="str">
        <f t="shared" si="176"/>
        <v/>
      </c>
      <c r="R225" s="539" t="str">
        <f t="shared" si="176"/>
        <v/>
      </c>
      <c r="S225" s="539" t="str">
        <f t="shared" si="176"/>
        <v/>
      </c>
      <c r="T225" s="539" t="str">
        <f t="shared" si="176"/>
        <v/>
      </c>
      <c r="U225" s="540" t="str">
        <f t="shared" ref="U225:AA225" si="177">IF(N234&lt;&gt;"",N234/E233*1000,"")</f>
        <v/>
      </c>
      <c r="V225" s="540" t="str">
        <f t="shared" si="177"/>
        <v/>
      </c>
      <c r="W225" s="540" t="str">
        <f t="shared" si="177"/>
        <v/>
      </c>
      <c r="X225" s="540" t="str">
        <f t="shared" si="177"/>
        <v/>
      </c>
      <c r="Y225" s="540" t="str">
        <f t="shared" si="177"/>
        <v/>
      </c>
      <c r="Z225" s="540" t="str">
        <f t="shared" si="177"/>
        <v/>
      </c>
      <c r="AA225" s="540" t="str">
        <f t="shared" si="177"/>
        <v/>
      </c>
      <c r="AB225" s="539" t="str">
        <f>IF(L225&lt;&gt;"",L225,"")</f>
        <v/>
      </c>
      <c r="AC225" s="541" t="str">
        <f>IF(C226&lt;&gt;"",CONCATENATE(C226," a ",C227),"")</f>
        <v/>
      </c>
      <c r="AD225" s="542" t="str">
        <f>IF(C229&lt;&gt;"",C229,"")</f>
        <v/>
      </c>
      <c r="AE225" s="543" t="str">
        <f>IF(E226&lt;&gt;"",E226,"")</f>
        <v/>
      </c>
      <c r="AF225" s="557" t="str">
        <f>IF(E227&lt;&gt;"",E227,"")</f>
        <v/>
      </c>
      <c r="AG225" s="544" t="str">
        <f>IF(N225&lt;&gt;"",N225,"")</f>
        <v/>
      </c>
      <c r="AH225" s="545" t="str">
        <f>IF(E232&lt;&gt;"",E232*100,"")</f>
        <v/>
      </c>
      <c r="AI225" s="546" t="str">
        <f>IF(N234&lt;&gt;"",N234,"")</f>
        <v/>
      </c>
      <c r="AJ225" s="547" t="str">
        <f>IF(AH225="","",((AH225/100)-E234)*100)</f>
        <v/>
      </c>
      <c r="AK225" s="548" t="str">
        <f>IF(U225&lt;&gt;"",U225*100,"")</f>
        <v/>
      </c>
    </row>
    <row r="226" spans="1:37" s="57" customFormat="1" ht="15" customHeight="1" x14ac:dyDescent="0.3">
      <c r="A226" s="1955"/>
      <c r="B226" s="869" t="s">
        <v>310</v>
      </c>
      <c r="C226" s="666"/>
      <c r="D226" s="870" t="s">
        <v>156</v>
      </c>
      <c r="E226" s="871"/>
      <c r="F226" s="871"/>
      <c r="G226" s="871"/>
      <c r="H226" s="871"/>
      <c r="I226" s="871"/>
      <c r="J226" s="871"/>
      <c r="K226" s="871"/>
      <c r="L226" s="651" t="str">
        <f>IF(F225&lt;&gt;"",MAX(L$5:L225)+1,"")</f>
        <v/>
      </c>
      <c r="M226" s="1960"/>
      <c r="N226" s="872" t="str">
        <f>IF(E228&lt;&gt;"",LOOKUP(E228,Tara!$L$5:$L$21,Tara!$M$5:$M$21),"")</f>
        <v/>
      </c>
      <c r="O226" s="872" t="str">
        <f>IF(F228&lt;&gt;"",LOOKUP(F228,Tara!$L$5:$L$21,Tara!$M$5:$M$21),"")</f>
        <v/>
      </c>
      <c r="P226" s="872" t="str">
        <f>IF(G228&lt;&gt;"",LOOKUP(G228,Tara!$L$5:$L$21,Tara!$M$5:$M$21),"")</f>
        <v/>
      </c>
      <c r="Q226" s="872" t="str">
        <f>IF(H228&lt;&gt;"",LOOKUP(H228,Tara!$L$5:$L$21,Tara!$M$5:$M$21),"")</f>
        <v/>
      </c>
      <c r="R226" s="872" t="str">
        <f>IF(I228&lt;&gt;"",LOOKUP(I228,Tara!$L$5:$L$21,Tara!$M$5:$M$21),"")</f>
        <v/>
      </c>
      <c r="S226" s="872" t="str">
        <f>IF(J228&lt;&gt;"",LOOKUP(J228,Tara!$L$5:$L$21,Tara!$M$5:$M$21),"")</f>
        <v/>
      </c>
      <c r="T226" s="872" t="str">
        <f>IF(K228&lt;&gt;"",LOOKUP(K228,Tara!$L$5:$L$21,Tara!$M$5:$M$21),"")</f>
        <v/>
      </c>
      <c r="U226" s="872"/>
      <c r="V226" s="872"/>
      <c r="W226" s="872"/>
      <c r="X226" s="872"/>
      <c r="Y226" s="872"/>
      <c r="Z226" s="872"/>
      <c r="AA226" s="872"/>
      <c r="AB226" s="872" t="str">
        <f t="shared" ref="AB226:AB231" si="178">IF(L226&lt;&gt;"",L226,"")</f>
        <v/>
      </c>
      <c r="AC226" s="873" t="str">
        <f>""</f>
        <v/>
      </c>
      <c r="AD226" s="873" t="str">
        <f>""</f>
        <v/>
      </c>
      <c r="AE226" s="873" t="str">
        <f>IF(F226&lt;&gt;"",F226,"")</f>
        <v/>
      </c>
      <c r="AF226" s="874" t="str">
        <f>IF(E227&lt;&gt;"",F227,"")</f>
        <v/>
      </c>
      <c r="AG226" s="875" t="str">
        <f>IF(O225&lt;&gt;"",O225,"")</f>
        <v/>
      </c>
      <c r="AH226" s="896" t="str">
        <f>IF(F232&lt;&gt;"",F232*100,"")</f>
        <v/>
      </c>
      <c r="AI226" s="897" t="str">
        <f>IF(O234&lt;&gt;"",O234,"")</f>
        <v/>
      </c>
      <c r="AJ226" s="880" t="str">
        <f>IF(AH226="","",((AH226/100)-F234)*100)</f>
        <v/>
      </c>
      <c r="AK226" s="1267" t="str">
        <f>IF(V225&lt;&gt;"",V225*100,"")</f>
        <v/>
      </c>
    </row>
    <row r="227" spans="1:37" s="56" customFormat="1" ht="15" customHeight="1" x14ac:dyDescent="0.3">
      <c r="A227" s="1955"/>
      <c r="B227" s="869" t="s">
        <v>311</v>
      </c>
      <c r="C227" s="666"/>
      <c r="D227" s="870" t="s">
        <v>312</v>
      </c>
      <c r="E227" s="878"/>
      <c r="F227" s="878"/>
      <c r="G227" s="878"/>
      <c r="H227" s="878"/>
      <c r="I227" s="878"/>
      <c r="J227" s="878"/>
      <c r="K227" s="1268"/>
      <c r="L227" s="651" t="str">
        <f>IF(G225&lt;&gt;"",MAX(L$5:L226)+1,"")</f>
        <v/>
      </c>
      <c r="M227" s="1960"/>
      <c r="N227" s="872" t="str">
        <f t="shared" ref="N227:T227" si="179">IF(N226&lt;&gt;"",N226-E229,"")</f>
        <v/>
      </c>
      <c r="O227" s="872" t="str">
        <f t="shared" si="179"/>
        <v/>
      </c>
      <c r="P227" s="872" t="str">
        <f t="shared" si="179"/>
        <v/>
      </c>
      <c r="Q227" s="872" t="str">
        <f t="shared" si="179"/>
        <v/>
      </c>
      <c r="R227" s="872" t="str">
        <f t="shared" si="179"/>
        <v/>
      </c>
      <c r="S227" s="872" t="str">
        <f t="shared" si="179"/>
        <v/>
      </c>
      <c r="T227" s="872" t="str">
        <f t="shared" si="179"/>
        <v/>
      </c>
      <c r="U227" s="879"/>
      <c r="V227" s="879"/>
      <c r="W227" s="879"/>
      <c r="X227" s="879"/>
      <c r="Y227" s="879"/>
      <c r="Z227" s="879"/>
      <c r="AA227" s="879"/>
      <c r="AB227" s="872" t="str">
        <f t="shared" si="178"/>
        <v/>
      </c>
      <c r="AC227" s="873" t="str">
        <f>""</f>
        <v/>
      </c>
      <c r="AD227" s="873" t="str">
        <f>""</f>
        <v/>
      </c>
      <c r="AE227" s="873" t="str">
        <f>IF(G226&lt;&gt;"",G226,"")</f>
        <v/>
      </c>
      <c r="AF227" s="874" t="str">
        <f>IF(G227&lt;&gt;"",G227,"")</f>
        <v/>
      </c>
      <c r="AG227" s="875" t="str">
        <f>IF(P225&lt;&gt;"",P225,"")</f>
        <v/>
      </c>
      <c r="AH227" s="896" t="str">
        <f>IF(G232&lt;&gt;"",G232*100,"")</f>
        <v/>
      </c>
      <c r="AI227" s="897" t="str">
        <f>IF(P234&lt;&gt;"",P234,"")</f>
        <v/>
      </c>
      <c r="AJ227" s="880" t="str">
        <f>IF(AH227="","",((AH227/100)-G234)*100)</f>
        <v/>
      </c>
      <c r="AK227" s="1267" t="str">
        <f>IF(W225&lt;&gt;"",W225*100,"")</f>
        <v/>
      </c>
    </row>
    <row r="228" spans="1:37" s="56" customFormat="1" ht="15" customHeight="1" x14ac:dyDescent="0.3">
      <c r="A228" s="1955"/>
      <c r="B228" s="869" t="s">
        <v>313</v>
      </c>
      <c r="C228" s="666"/>
      <c r="D228" s="870" t="s">
        <v>314</v>
      </c>
      <c r="E228" s="750"/>
      <c r="F228" s="750"/>
      <c r="G228" s="750"/>
      <c r="H228" s="750"/>
      <c r="I228" s="750"/>
      <c r="J228" s="750"/>
      <c r="K228" s="750"/>
      <c r="L228" s="651" t="str">
        <f>IF(H225&lt;&gt;"",MAX(L$5:L227)+1,"")</f>
        <v/>
      </c>
      <c r="M228" s="1960"/>
      <c r="N228" s="872" t="str">
        <f>IF(E228&lt;&gt;"",LOOKUP(E228,Tara!$L$5:$L$21,Tara!$N$5:$N$21),"")</f>
        <v/>
      </c>
      <c r="O228" s="872" t="str">
        <f>IF(F228&lt;&gt;"",LOOKUP(F228,Tara!$L$5:$L$21,Tara!$N$5:$N$21),"")</f>
        <v/>
      </c>
      <c r="P228" s="872" t="str">
        <f>IF(G228&lt;&gt;"",LOOKUP(G228,Tara!$L$5:$L$21,Tara!$N$5:$N$21),"")</f>
        <v/>
      </c>
      <c r="Q228" s="872" t="str">
        <f>IF(H228&lt;&gt;"",LOOKUP(H228,Tara!$L$5:$L$21,Tara!$N$5:$N$21),"")</f>
        <v/>
      </c>
      <c r="R228" s="872" t="str">
        <f>IF(I228&lt;&gt;"",LOOKUP(I228,Tara!$L$5:$L$21,Tara!$N$5:$N$21),"")</f>
        <v/>
      </c>
      <c r="S228" s="872" t="str">
        <f>IF(J228&lt;&gt;"",LOOKUP(J228,Tara!$L$5:$L$21,Tara!$N$5:$N$21),"")</f>
        <v/>
      </c>
      <c r="T228" s="872" t="str">
        <f>IF(K228&lt;&gt;"",LOOKUP(K228,Tara!$L$5:$L$21,Tara!$N$5:$N$21),"")</f>
        <v/>
      </c>
      <c r="U228" s="881"/>
      <c r="V228" s="881"/>
      <c r="W228" s="881"/>
      <c r="X228" s="881"/>
      <c r="Y228" s="881"/>
      <c r="Z228" s="881"/>
      <c r="AA228" s="881"/>
      <c r="AB228" s="872" t="str">
        <f t="shared" si="178"/>
        <v/>
      </c>
      <c r="AC228" s="873" t="str">
        <f>""</f>
        <v/>
      </c>
      <c r="AD228" s="873" t="str">
        <f>""</f>
        <v/>
      </c>
      <c r="AE228" s="873" t="str">
        <f>IF(H226&lt;&gt;"",H226,"")</f>
        <v/>
      </c>
      <c r="AF228" s="874" t="str">
        <f>IF(H227&lt;&gt;"",H227,"")</f>
        <v/>
      </c>
      <c r="AG228" s="875" t="str">
        <f>IF(Q225&lt;&gt;"",Q225,"")</f>
        <v/>
      </c>
      <c r="AH228" s="896" t="str">
        <f>IF(H232&lt;&gt;"",H232*100,"")</f>
        <v/>
      </c>
      <c r="AI228" s="897" t="str">
        <f>IF(Q234&lt;&gt;"",Q234,"")</f>
        <v/>
      </c>
      <c r="AJ228" s="880" t="str">
        <f>IF(AH228="","",((AH228/100)-H234)*100)</f>
        <v/>
      </c>
      <c r="AK228" s="1267" t="str">
        <f>IF(X225&lt;&gt;"",X225*100,"")</f>
        <v/>
      </c>
    </row>
    <row r="229" spans="1:37" s="56" customFormat="1" ht="15" customHeight="1" x14ac:dyDescent="0.3">
      <c r="A229" s="1955"/>
      <c r="B229" s="882" t="s">
        <v>57</v>
      </c>
      <c r="C229" s="688"/>
      <c r="D229" s="870" t="s">
        <v>315</v>
      </c>
      <c r="E229" s="871"/>
      <c r="F229" s="871"/>
      <c r="G229" s="871"/>
      <c r="H229" s="871"/>
      <c r="I229" s="871"/>
      <c r="J229" s="871"/>
      <c r="K229" s="871"/>
      <c r="L229" s="651" t="str">
        <f>IF(I225&lt;&gt;"",MAX(L$5:L228)+1,"")</f>
        <v/>
      </c>
      <c r="M229" s="1960"/>
      <c r="N229" s="872" t="str">
        <f t="shared" ref="N229:T229" si="180">IF(N227&lt;&gt;"",N227-N228,"")</f>
        <v/>
      </c>
      <c r="O229" s="872" t="str">
        <f t="shared" si="180"/>
        <v/>
      </c>
      <c r="P229" s="872" t="str">
        <f t="shared" si="180"/>
        <v/>
      </c>
      <c r="Q229" s="872" t="str">
        <f t="shared" si="180"/>
        <v/>
      </c>
      <c r="R229" s="872" t="str">
        <f t="shared" si="180"/>
        <v/>
      </c>
      <c r="S229" s="872" t="str">
        <f t="shared" si="180"/>
        <v/>
      </c>
      <c r="T229" s="872" t="str">
        <f t="shared" si="180"/>
        <v/>
      </c>
      <c r="U229" s="881"/>
      <c r="V229" s="881"/>
      <c r="W229" s="881"/>
      <c r="X229" s="881"/>
      <c r="Y229" s="881"/>
      <c r="Z229" s="881"/>
      <c r="AA229" s="881"/>
      <c r="AB229" s="872" t="str">
        <f t="shared" si="178"/>
        <v/>
      </c>
      <c r="AC229" s="873" t="str">
        <f>""</f>
        <v/>
      </c>
      <c r="AD229" s="873" t="str">
        <f>""</f>
        <v/>
      </c>
      <c r="AE229" s="873" t="str">
        <f>IF(I226&lt;&gt;"",I226,"")</f>
        <v/>
      </c>
      <c r="AF229" s="874" t="str">
        <f>IF(I227&lt;&gt;"",I227,"")</f>
        <v/>
      </c>
      <c r="AG229" s="875" t="str">
        <f>IF(R225&lt;&gt;"",R225,"")</f>
        <v/>
      </c>
      <c r="AH229" s="896" t="str">
        <f>IF(I232&lt;&gt;"",I232*100,"")</f>
        <v/>
      </c>
      <c r="AI229" s="897" t="str">
        <f>IF(R234&lt;&gt;"",R234,"")</f>
        <v/>
      </c>
      <c r="AJ229" s="880" t="str">
        <f>IF(AH229="","",((AH229/100)-I234)*100)</f>
        <v/>
      </c>
      <c r="AK229" s="1267" t="str">
        <f>IF(Y225&lt;&gt;"",Y225*100,"")</f>
        <v/>
      </c>
    </row>
    <row r="230" spans="1:37" s="316" customFormat="1" ht="15" customHeight="1" x14ac:dyDescent="0.3">
      <c r="A230" s="1955"/>
      <c r="B230" s="882" t="s">
        <v>316</v>
      </c>
      <c r="C230" s="666"/>
      <c r="D230" s="883" t="s">
        <v>317</v>
      </c>
      <c r="E230" s="750"/>
      <c r="F230" s="750"/>
      <c r="G230" s="750"/>
      <c r="H230" s="750"/>
      <c r="I230" s="750"/>
      <c r="J230" s="750"/>
      <c r="K230" s="750"/>
      <c r="L230" s="651" t="str">
        <f>IF(J225&lt;&gt;"",MAX(L$5:L229)+1,"")</f>
        <v/>
      </c>
      <c r="M230" s="1960"/>
      <c r="N230" s="872" t="str">
        <f>IF(E228&lt;&gt;"",LOOKUP(E228,Tara!$L$5:$L$21,Tara!$O$5:$O$21),"")</f>
        <v/>
      </c>
      <c r="O230" s="872" t="str">
        <f>IF(F228&lt;&gt;"",LOOKUP(F228,Tara!$L$5:$L$21,Tara!$O$5:$O$21),"")</f>
        <v/>
      </c>
      <c r="P230" s="872" t="str">
        <f>IF(G228&lt;&gt;"",LOOKUP(G228,Tara!$L$5:$L$21,Tara!$O$5:$O$21),"")</f>
        <v/>
      </c>
      <c r="Q230" s="872" t="str">
        <f>IF(H228&lt;&gt;"",LOOKUP(H228,Tara!$L$5:$L$21,Tara!$O$5:$O$21),"")</f>
        <v/>
      </c>
      <c r="R230" s="872" t="str">
        <f>IF(I228&lt;&gt;"",LOOKUP(I228,Tara!$L$5:$L$21,Tara!$O$5:$O$21),"")</f>
        <v/>
      </c>
      <c r="S230" s="872" t="str">
        <f>IF(J228&lt;&gt;"",LOOKUP(J228,Tara!$L$5:$L$21,Tara!$O$5:$O$21),"")</f>
        <v/>
      </c>
      <c r="T230" s="872" t="str">
        <f>IF(K228&lt;&gt;"",LOOKUP(K228,Tara!$L$5:$L$21,Tara!$O$5:$O$21),"")</f>
        <v/>
      </c>
      <c r="U230" s="884"/>
      <c r="V230" s="884"/>
      <c r="W230" s="884"/>
      <c r="X230" s="884"/>
      <c r="Y230" s="884"/>
      <c r="Z230" s="884"/>
      <c r="AA230" s="884"/>
      <c r="AB230" s="872" t="str">
        <f t="shared" si="178"/>
        <v/>
      </c>
      <c r="AC230" s="873" t="str">
        <f>""</f>
        <v/>
      </c>
      <c r="AD230" s="873" t="str">
        <f>""</f>
        <v/>
      </c>
      <c r="AE230" s="873" t="str">
        <f>IF(J226&lt;&gt;"",J226,"")</f>
        <v/>
      </c>
      <c r="AF230" s="874" t="str">
        <f>IF(J227&lt;&gt;"",J227,"")</f>
        <v/>
      </c>
      <c r="AG230" s="875" t="str">
        <f>IF(S225&lt;&gt;"",S225,"")</f>
        <v/>
      </c>
      <c r="AH230" s="896" t="str">
        <f>IF(J232&lt;&gt;"",J232*100,"")</f>
        <v/>
      </c>
      <c r="AI230" s="897" t="str">
        <f>IF(S234&lt;&gt;"",S234,"")</f>
        <v/>
      </c>
      <c r="AJ230" s="880" t="str">
        <f>IF(AH230="","",((AH230/100)-J234)*100)</f>
        <v/>
      </c>
      <c r="AK230" s="1267" t="str">
        <f>IF(Z225&lt;&gt;"",Z225*100,"")</f>
        <v/>
      </c>
    </row>
    <row r="231" spans="1:37" s="316" customFormat="1" ht="15" customHeight="1" x14ac:dyDescent="0.3">
      <c r="A231" s="1955"/>
      <c r="B231" s="885" t="s">
        <v>318</v>
      </c>
      <c r="C231" s="886"/>
      <c r="D231" s="870" t="s">
        <v>319</v>
      </c>
      <c r="E231" s="750"/>
      <c r="F231" s="750"/>
      <c r="G231" s="750"/>
      <c r="H231" s="750"/>
      <c r="I231" s="750"/>
      <c r="J231" s="750"/>
      <c r="K231" s="750"/>
      <c r="L231" s="651" t="str">
        <f>IF(K225&lt;&gt;"",MAX(L$5:L230)+1,"")</f>
        <v/>
      </c>
      <c r="M231" s="1960"/>
      <c r="N231" s="887" t="str">
        <f>IF(N229&lt;&gt;"",N229/N230,"")</f>
        <v/>
      </c>
      <c r="O231" s="887" t="str">
        <f t="shared" ref="O231:T231" si="181">IF(O229&lt;&gt;"",O229/O230,"")</f>
        <v/>
      </c>
      <c r="P231" s="887" t="str">
        <f t="shared" si="181"/>
        <v/>
      </c>
      <c r="Q231" s="887" t="str">
        <f t="shared" si="181"/>
        <v/>
      </c>
      <c r="R231" s="887" t="str">
        <f t="shared" si="181"/>
        <v/>
      </c>
      <c r="S231" s="887" t="str">
        <f t="shared" si="181"/>
        <v/>
      </c>
      <c r="T231" s="887" t="str">
        <f t="shared" si="181"/>
        <v/>
      </c>
      <c r="U231" s="884"/>
      <c r="V231" s="884"/>
      <c r="W231" s="884"/>
      <c r="X231" s="884"/>
      <c r="Y231" s="884"/>
      <c r="Z231" s="884"/>
      <c r="AA231" s="884"/>
      <c r="AB231" s="872" t="str">
        <f t="shared" si="178"/>
        <v/>
      </c>
      <c r="AC231" s="873" t="str">
        <f>""</f>
        <v/>
      </c>
      <c r="AD231" s="873" t="str">
        <f>""</f>
        <v/>
      </c>
      <c r="AE231" s="873" t="str">
        <f>IF(K226&lt;&gt;"",K226,"")</f>
        <v/>
      </c>
      <c r="AF231" s="874" t="str">
        <f>IF(K227&lt;&gt;"",K227,"")</f>
        <v/>
      </c>
      <c r="AG231" s="875" t="str">
        <f>IF(T225&lt;&gt;"",T225,"")</f>
        <v/>
      </c>
      <c r="AH231" s="896" t="str">
        <f>IF(K232&lt;&gt;"",K232*100,"")</f>
        <v/>
      </c>
      <c r="AI231" s="897" t="str">
        <f>IF(T234&lt;&gt;"",T234,"")</f>
        <v/>
      </c>
      <c r="AJ231" s="880" t="str">
        <f>IF(AH231="","",((AH231/100)-K234)*100)</f>
        <v/>
      </c>
      <c r="AK231" s="1267" t="str">
        <f>IF(AA225&lt;&gt;"",AA225*100,"")</f>
        <v/>
      </c>
    </row>
    <row r="232" spans="1:37" s="316" customFormat="1" ht="15" customHeight="1" x14ac:dyDescent="0.3">
      <c r="A232" s="1955"/>
      <c r="B232" s="652"/>
      <c r="C232" s="653"/>
      <c r="D232" s="870" t="s">
        <v>320</v>
      </c>
      <c r="E232" s="888"/>
      <c r="F232" s="888"/>
      <c r="G232" s="888"/>
      <c r="H232" s="888"/>
      <c r="I232" s="888"/>
      <c r="J232" s="888"/>
      <c r="K232" s="888"/>
      <c r="L232" s="651"/>
      <c r="M232" s="1960"/>
      <c r="N232" s="889" t="str">
        <f>IF(E230&lt;&gt;"",LOOKUP(E230,Tara!$P$5:$P$21,Tara!$Q$5:$Q$21),"")</f>
        <v/>
      </c>
      <c r="O232" s="889" t="str">
        <f>IF(F230&lt;&gt;"",LOOKUP(F230,Tara!$P$5:$P$21,Tara!$Q$5:$Q$21),"")</f>
        <v/>
      </c>
      <c r="P232" s="889" t="str">
        <f>IF(G230&lt;&gt;"",LOOKUP(G230,Tara!$P$5:$P$21,Tara!$Q$5:$Q$21),"")</f>
        <v/>
      </c>
      <c r="Q232" s="889" t="str">
        <f>IF(H230&lt;&gt;"",LOOKUP(H230,Tara!$P$5:$P$21,Tara!$Q$5:$Q$21),"")</f>
        <v/>
      </c>
      <c r="R232" s="889" t="str">
        <f>IF(I230&lt;&gt;"",LOOKUP(I230,Tara!$P$5:$P$21,Tara!$Q$5:$Q$21),"")</f>
        <v/>
      </c>
      <c r="S232" s="889" t="str">
        <f>IF(J230&lt;&gt;"",LOOKUP(J230,Tara!$P$5:$P$21,Tara!$Q$5:$Q$21),"")</f>
        <v/>
      </c>
      <c r="T232" s="889" t="str">
        <f>IF(K230&lt;&gt;"",LOOKUP(K230,Tara!$P$5:$P$21,Tara!$Q$5:$Q$21),"")</f>
        <v/>
      </c>
      <c r="U232" s="884"/>
      <c r="V232" s="884"/>
      <c r="W232" s="884"/>
      <c r="X232" s="884"/>
      <c r="Y232" s="884"/>
      <c r="Z232" s="884"/>
      <c r="AA232" s="884"/>
      <c r="AB232" s="872" t="str">
        <f>""</f>
        <v/>
      </c>
      <c r="AC232" s="873" t="str">
        <f>""</f>
        <v/>
      </c>
      <c r="AD232" s="873" t="str">
        <f>""</f>
        <v/>
      </c>
      <c r="AE232" s="873" t="str">
        <f>""</f>
        <v/>
      </c>
      <c r="AF232" s="874" t="str">
        <f>""</f>
        <v/>
      </c>
      <c r="AG232" s="875" t="str">
        <f>""</f>
        <v/>
      </c>
      <c r="AH232" s="875" t="str">
        <f>""</f>
        <v/>
      </c>
      <c r="AI232" s="875" t="str">
        <f>""</f>
        <v/>
      </c>
      <c r="AJ232" s="890" t="str">
        <f>""</f>
        <v/>
      </c>
      <c r="AK232" s="1267" t="str">
        <f>""</f>
        <v/>
      </c>
    </row>
    <row r="233" spans="1:37" s="316" customFormat="1" ht="15" customHeight="1" x14ac:dyDescent="0.3">
      <c r="A233" s="1955"/>
      <c r="B233" s="654"/>
      <c r="C233" s="655"/>
      <c r="D233" s="891" t="s">
        <v>321</v>
      </c>
      <c r="E233" s="750"/>
      <c r="F233" s="750"/>
      <c r="G233" s="750"/>
      <c r="H233" s="750"/>
      <c r="I233" s="750"/>
      <c r="J233" s="750"/>
      <c r="K233" s="750"/>
      <c r="L233" s="651"/>
      <c r="M233" s="1960"/>
      <c r="N233" s="892" t="str">
        <f t="shared" ref="N233:T233" si="182">IF(E231&lt;&gt;"",(E231-N232)/N231,"")</f>
        <v/>
      </c>
      <c r="O233" s="892" t="str">
        <f t="shared" si="182"/>
        <v/>
      </c>
      <c r="P233" s="892" t="str">
        <f t="shared" si="182"/>
        <v/>
      </c>
      <c r="Q233" s="892" t="str">
        <f t="shared" si="182"/>
        <v/>
      </c>
      <c r="R233" s="892" t="str">
        <f t="shared" si="182"/>
        <v/>
      </c>
      <c r="S233" s="892" t="str">
        <f t="shared" si="182"/>
        <v/>
      </c>
      <c r="T233" s="892" t="str">
        <f t="shared" si="182"/>
        <v/>
      </c>
      <c r="U233" s="884"/>
      <c r="V233" s="884"/>
      <c r="W233" s="884"/>
      <c r="X233" s="884"/>
      <c r="Y233" s="884"/>
      <c r="Z233" s="884"/>
      <c r="AA233" s="884"/>
      <c r="AB233" s="872" t="str">
        <f>""</f>
        <v/>
      </c>
      <c r="AC233" s="873" t="str">
        <f>""</f>
        <v/>
      </c>
      <c r="AD233" s="873" t="str">
        <f>""</f>
        <v/>
      </c>
      <c r="AE233" s="873" t="str">
        <f>""</f>
        <v/>
      </c>
      <c r="AF233" s="874" t="str">
        <f>""</f>
        <v/>
      </c>
      <c r="AG233" s="893" t="str">
        <f>""</f>
        <v/>
      </c>
      <c r="AH233" s="893" t="str">
        <f>""</f>
        <v/>
      </c>
      <c r="AI233" s="893" t="str">
        <f>""</f>
        <v/>
      </c>
      <c r="AJ233" s="895" t="str">
        <f>""</f>
        <v/>
      </c>
      <c r="AK233" s="1269" t="str">
        <f>""</f>
        <v/>
      </c>
    </row>
    <row r="234" spans="1:37" s="316" customFormat="1" ht="15" customHeight="1" thickBot="1" x14ac:dyDescent="0.35">
      <c r="A234" s="1956"/>
      <c r="B234" s="656"/>
      <c r="C234" s="657"/>
      <c r="D234" s="658" t="s">
        <v>99</v>
      </c>
      <c r="E234" s="556"/>
      <c r="F234" s="556"/>
      <c r="G234" s="556"/>
      <c r="H234" s="556"/>
      <c r="I234" s="556"/>
      <c r="J234" s="556"/>
      <c r="K234" s="556"/>
      <c r="L234" s="659"/>
      <c r="M234" s="1961"/>
      <c r="N234" s="549" t="str">
        <f t="shared" ref="N234:T234" si="183">IF(N233&lt;&gt;"",N233/(1+E232),"")</f>
        <v/>
      </c>
      <c r="O234" s="549" t="str">
        <f t="shared" si="183"/>
        <v/>
      </c>
      <c r="P234" s="549" t="str">
        <f t="shared" si="183"/>
        <v/>
      </c>
      <c r="Q234" s="549" t="str">
        <f t="shared" si="183"/>
        <v/>
      </c>
      <c r="R234" s="549" t="str">
        <f t="shared" si="183"/>
        <v/>
      </c>
      <c r="S234" s="549" t="str">
        <f t="shared" si="183"/>
        <v/>
      </c>
      <c r="T234" s="549" t="str">
        <f t="shared" si="183"/>
        <v/>
      </c>
      <c r="U234" s="550"/>
      <c r="V234" s="550"/>
      <c r="W234" s="550"/>
      <c r="X234" s="550"/>
      <c r="Y234" s="550"/>
      <c r="Z234" s="550"/>
      <c r="AA234" s="550"/>
      <c r="AB234" s="551">
        <f>MAX(AB$5:AB233)+1</f>
        <v>23</v>
      </c>
      <c r="AC234" s="552" t="str">
        <f>""</f>
        <v/>
      </c>
      <c r="AD234" s="552" t="str">
        <f>""</f>
        <v/>
      </c>
      <c r="AE234" s="552" t="str">
        <f>""</f>
        <v/>
      </c>
      <c r="AF234" s="558" t="str">
        <f>""</f>
        <v/>
      </c>
      <c r="AG234" s="553" t="str">
        <f>""</f>
        <v/>
      </c>
      <c r="AH234" s="553" t="str">
        <f>""</f>
        <v/>
      </c>
      <c r="AI234" s="553" t="str">
        <f>""</f>
        <v/>
      </c>
      <c r="AJ234" s="554" t="str">
        <f>""</f>
        <v/>
      </c>
      <c r="AK234" s="555" t="str">
        <f>""</f>
        <v/>
      </c>
    </row>
    <row r="235" spans="1:37" s="56" customFormat="1" ht="15" customHeight="1" x14ac:dyDescent="0.3">
      <c r="A235" s="1954">
        <f>A225+1</f>
        <v>24</v>
      </c>
      <c r="B235" s="1957" t="s">
        <v>309</v>
      </c>
      <c r="C235" s="1958"/>
      <c r="D235" s="648" t="s">
        <v>34</v>
      </c>
      <c r="E235" s="649"/>
      <c r="F235" s="649"/>
      <c r="G235" s="649"/>
      <c r="H235" s="649"/>
      <c r="I235" s="649"/>
      <c r="J235" s="649"/>
      <c r="K235" s="649"/>
      <c r="L235" s="650" t="str">
        <f>IF(E235&lt;&gt;"",MAX(L$5:L234)+1,"")</f>
        <v/>
      </c>
      <c r="M235" s="1959" t="s">
        <v>25</v>
      </c>
      <c r="N235" s="539" t="str">
        <f t="shared" ref="N235:T235" si="184">IF(E235&lt;&gt;"",E235,"")</f>
        <v/>
      </c>
      <c r="O235" s="539" t="str">
        <f t="shared" si="184"/>
        <v/>
      </c>
      <c r="P235" s="539" t="str">
        <f t="shared" si="184"/>
        <v/>
      </c>
      <c r="Q235" s="539" t="str">
        <f t="shared" si="184"/>
        <v/>
      </c>
      <c r="R235" s="539" t="str">
        <f t="shared" si="184"/>
        <v/>
      </c>
      <c r="S235" s="539" t="str">
        <f t="shared" si="184"/>
        <v/>
      </c>
      <c r="T235" s="539" t="str">
        <f t="shared" si="184"/>
        <v/>
      </c>
      <c r="U235" s="540" t="str">
        <f t="shared" ref="U235:AA235" si="185">IF(N244&lt;&gt;"",N244/E243*1000,"")</f>
        <v/>
      </c>
      <c r="V235" s="540" t="str">
        <f t="shared" si="185"/>
        <v/>
      </c>
      <c r="W235" s="540" t="str">
        <f t="shared" si="185"/>
        <v/>
      </c>
      <c r="X235" s="540" t="str">
        <f t="shared" si="185"/>
        <v/>
      </c>
      <c r="Y235" s="540" t="str">
        <f t="shared" si="185"/>
        <v/>
      </c>
      <c r="Z235" s="540" t="str">
        <f t="shared" si="185"/>
        <v/>
      </c>
      <c r="AA235" s="540" t="str">
        <f t="shared" si="185"/>
        <v/>
      </c>
      <c r="AB235" s="539" t="str">
        <f>IF(L235&lt;&gt;"",L235,"")</f>
        <v/>
      </c>
      <c r="AC235" s="541" t="str">
        <f>IF(C236&lt;&gt;"",CONCATENATE(C236," a ",C237),"")</f>
        <v/>
      </c>
      <c r="AD235" s="542" t="str">
        <f>IF(C239&lt;&gt;"",C239,"")</f>
        <v/>
      </c>
      <c r="AE235" s="543" t="str">
        <f>IF(E236&lt;&gt;"",E236,"")</f>
        <v/>
      </c>
      <c r="AF235" s="557" t="str">
        <f>IF(E237&lt;&gt;"",E237,"")</f>
        <v/>
      </c>
      <c r="AG235" s="544" t="str">
        <f>IF(N235&lt;&gt;"",N235,"")</f>
        <v/>
      </c>
      <c r="AH235" s="545" t="str">
        <f>IF(E242&lt;&gt;"",E242*100,"")</f>
        <v/>
      </c>
      <c r="AI235" s="546" t="str">
        <f>IF(N244&lt;&gt;"",N244,"")</f>
        <v/>
      </c>
      <c r="AJ235" s="547" t="str">
        <f>IF(AH235="","",((AH235/100)-E244)*100)</f>
        <v/>
      </c>
      <c r="AK235" s="548" t="str">
        <f>IF(U235&lt;&gt;"",U235*100,"")</f>
        <v/>
      </c>
    </row>
    <row r="236" spans="1:37" s="57" customFormat="1" ht="15" customHeight="1" x14ac:dyDescent="0.3">
      <c r="A236" s="1955"/>
      <c r="B236" s="869" t="s">
        <v>310</v>
      </c>
      <c r="C236" s="666"/>
      <c r="D236" s="870" t="s">
        <v>156</v>
      </c>
      <c r="E236" s="871"/>
      <c r="F236" s="871"/>
      <c r="G236" s="871"/>
      <c r="H236" s="871"/>
      <c r="I236" s="871"/>
      <c r="J236" s="871"/>
      <c r="K236" s="871"/>
      <c r="L236" s="651" t="str">
        <f>IF(F235&lt;&gt;"",MAX(L$5:L235)+1,"")</f>
        <v/>
      </c>
      <c r="M236" s="1960"/>
      <c r="N236" s="872" t="str">
        <f>IF(E238&lt;&gt;"",LOOKUP(E238,Tara!$L$5:$L$21,Tara!$M$5:$M$21),"")</f>
        <v/>
      </c>
      <c r="O236" s="872" t="str">
        <f>IF(F238&lt;&gt;"",LOOKUP(F238,Tara!$L$5:$L$21,Tara!$M$5:$M$21),"")</f>
        <v/>
      </c>
      <c r="P236" s="872" t="str">
        <f>IF(G238&lt;&gt;"",LOOKUP(G238,Tara!$L$5:$L$21,Tara!$M$5:$M$21),"")</f>
        <v/>
      </c>
      <c r="Q236" s="872" t="str">
        <f>IF(H238&lt;&gt;"",LOOKUP(H238,Tara!$L$5:$L$21,Tara!$M$5:$M$21),"")</f>
        <v/>
      </c>
      <c r="R236" s="872" t="str">
        <f>IF(I238&lt;&gt;"",LOOKUP(I238,Tara!$L$5:$L$21,Tara!$M$5:$M$21),"")</f>
        <v/>
      </c>
      <c r="S236" s="872" t="str">
        <f>IF(J238&lt;&gt;"",LOOKUP(J238,Tara!$L$5:$L$21,Tara!$M$5:$M$21),"")</f>
        <v/>
      </c>
      <c r="T236" s="872" t="str">
        <f>IF(K238&lt;&gt;"",LOOKUP(K238,Tara!$L$5:$L$21,Tara!$M$5:$M$21),"")</f>
        <v/>
      </c>
      <c r="U236" s="872"/>
      <c r="V236" s="872"/>
      <c r="W236" s="872"/>
      <c r="X236" s="872"/>
      <c r="Y236" s="872"/>
      <c r="Z236" s="872"/>
      <c r="AA236" s="872"/>
      <c r="AB236" s="872" t="str">
        <f t="shared" ref="AB236:AB241" si="186">IF(L236&lt;&gt;"",L236,"")</f>
        <v/>
      </c>
      <c r="AC236" s="873" t="str">
        <f>""</f>
        <v/>
      </c>
      <c r="AD236" s="873" t="str">
        <f>""</f>
        <v/>
      </c>
      <c r="AE236" s="873" t="str">
        <f>IF(F236&lt;&gt;"",F236,"")</f>
        <v/>
      </c>
      <c r="AF236" s="874" t="str">
        <f>IF(E237&lt;&gt;"",F237,"")</f>
        <v/>
      </c>
      <c r="AG236" s="875" t="str">
        <f>IF(O235&lt;&gt;"",O235,"")</f>
        <v/>
      </c>
      <c r="AH236" s="896" t="str">
        <f>IF(F242&lt;&gt;"",F242*100,"")</f>
        <v/>
      </c>
      <c r="AI236" s="897" t="str">
        <f>IF(O244&lt;&gt;"",O244,"")</f>
        <v/>
      </c>
      <c r="AJ236" s="880" t="str">
        <f>IF(AH236="","",((AH236/100)-F244)*100)</f>
        <v/>
      </c>
      <c r="AK236" s="1267" t="str">
        <f>IF(V235&lt;&gt;"",V235*100,"")</f>
        <v/>
      </c>
    </row>
    <row r="237" spans="1:37" s="56" customFormat="1" ht="15" customHeight="1" x14ac:dyDescent="0.3">
      <c r="A237" s="1955"/>
      <c r="B237" s="869" t="s">
        <v>311</v>
      </c>
      <c r="C237" s="666"/>
      <c r="D237" s="870" t="s">
        <v>312</v>
      </c>
      <c r="E237" s="878"/>
      <c r="F237" s="878"/>
      <c r="G237" s="878"/>
      <c r="H237" s="878"/>
      <c r="I237" s="878"/>
      <c r="J237" s="878"/>
      <c r="K237" s="1268"/>
      <c r="L237" s="651" t="str">
        <f>IF(G235&lt;&gt;"",MAX(L$5:L236)+1,"")</f>
        <v/>
      </c>
      <c r="M237" s="1960"/>
      <c r="N237" s="872" t="str">
        <f t="shared" ref="N237:T237" si="187">IF(N236&lt;&gt;"",N236-E239,"")</f>
        <v/>
      </c>
      <c r="O237" s="872" t="str">
        <f t="shared" si="187"/>
        <v/>
      </c>
      <c r="P237" s="872" t="str">
        <f t="shared" si="187"/>
        <v/>
      </c>
      <c r="Q237" s="872" t="str">
        <f t="shared" si="187"/>
        <v/>
      </c>
      <c r="R237" s="872" t="str">
        <f t="shared" si="187"/>
        <v/>
      </c>
      <c r="S237" s="872" t="str">
        <f t="shared" si="187"/>
        <v/>
      </c>
      <c r="T237" s="872" t="str">
        <f t="shared" si="187"/>
        <v/>
      </c>
      <c r="U237" s="879"/>
      <c r="V237" s="879"/>
      <c r="W237" s="879"/>
      <c r="X237" s="879"/>
      <c r="Y237" s="879"/>
      <c r="Z237" s="879"/>
      <c r="AA237" s="879"/>
      <c r="AB237" s="872" t="str">
        <f t="shared" si="186"/>
        <v/>
      </c>
      <c r="AC237" s="873" t="str">
        <f>""</f>
        <v/>
      </c>
      <c r="AD237" s="873" t="str">
        <f>""</f>
        <v/>
      </c>
      <c r="AE237" s="873" t="str">
        <f>IF(G236&lt;&gt;"",G236,"")</f>
        <v/>
      </c>
      <c r="AF237" s="874" t="str">
        <f>IF(G237&lt;&gt;"",G237,"")</f>
        <v/>
      </c>
      <c r="AG237" s="875" t="str">
        <f>IF(P235&lt;&gt;"",P235,"")</f>
        <v/>
      </c>
      <c r="AH237" s="896" t="str">
        <f>IF(G242&lt;&gt;"",G242*100,"")</f>
        <v/>
      </c>
      <c r="AI237" s="897" t="str">
        <f>IF(P244&lt;&gt;"",P244,"")</f>
        <v/>
      </c>
      <c r="AJ237" s="880" t="str">
        <f>IF(AH237="","",((AH237/100)-G244)*100)</f>
        <v/>
      </c>
      <c r="AK237" s="1267" t="str">
        <f>IF(W235&lt;&gt;"",W235*100,"")</f>
        <v/>
      </c>
    </row>
    <row r="238" spans="1:37" s="56" customFormat="1" ht="15" customHeight="1" x14ac:dyDescent="0.3">
      <c r="A238" s="1955"/>
      <c r="B238" s="869" t="s">
        <v>313</v>
      </c>
      <c r="C238" s="666"/>
      <c r="D238" s="870" t="s">
        <v>314</v>
      </c>
      <c r="E238" s="750"/>
      <c r="F238" s="750"/>
      <c r="G238" s="750"/>
      <c r="H238" s="750"/>
      <c r="I238" s="750"/>
      <c r="J238" s="750"/>
      <c r="K238" s="750"/>
      <c r="L238" s="651" t="str">
        <f>IF(H235&lt;&gt;"",MAX(L$5:L237)+1,"")</f>
        <v/>
      </c>
      <c r="M238" s="1960"/>
      <c r="N238" s="872" t="str">
        <f>IF(E238&lt;&gt;"",LOOKUP(E238,Tara!$L$5:$L$21,Tara!$N$5:$N$21),"")</f>
        <v/>
      </c>
      <c r="O238" s="872" t="str">
        <f>IF(F238&lt;&gt;"",LOOKUP(F238,Tara!$L$5:$L$21,Tara!$N$5:$N$21),"")</f>
        <v/>
      </c>
      <c r="P238" s="872" t="str">
        <f>IF(G238&lt;&gt;"",LOOKUP(G238,Tara!$L$5:$L$21,Tara!$N$5:$N$21),"")</f>
        <v/>
      </c>
      <c r="Q238" s="872" t="str">
        <f>IF(H238&lt;&gt;"",LOOKUP(H238,Tara!$L$5:$L$21,Tara!$N$5:$N$21),"")</f>
        <v/>
      </c>
      <c r="R238" s="872" t="str">
        <f>IF(I238&lt;&gt;"",LOOKUP(I238,Tara!$L$5:$L$21,Tara!$N$5:$N$21),"")</f>
        <v/>
      </c>
      <c r="S238" s="872" t="str">
        <f>IF(J238&lt;&gt;"",LOOKUP(J238,Tara!$L$5:$L$21,Tara!$N$5:$N$21),"")</f>
        <v/>
      </c>
      <c r="T238" s="872" t="str">
        <f>IF(K238&lt;&gt;"",LOOKUP(K238,Tara!$L$5:$L$21,Tara!$N$5:$N$21),"")</f>
        <v/>
      </c>
      <c r="U238" s="881"/>
      <c r="V238" s="881"/>
      <c r="W238" s="881"/>
      <c r="X238" s="881"/>
      <c r="Y238" s="881"/>
      <c r="Z238" s="881"/>
      <c r="AA238" s="881"/>
      <c r="AB238" s="872" t="str">
        <f t="shared" si="186"/>
        <v/>
      </c>
      <c r="AC238" s="873" t="str">
        <f>""</f>
        <v/>
      </c>
      <c r="AD238" s="873" t="str">
        <f>""</f>
        <v/>
      </c>
      <c r="AE238" s="873" t="str">
        <f>IF(H236&lt;&gt;"",H236,"")</f>
        <v/>
      </c>
      <c r="AF238" s="874" t="str">
        <f>IF(H237&lt;&gt;"",H237,"")</f>
        <v/>
      </c>
      <c r="AG238" s="875" t="str">
        <f>IF(Q235&lt;&gt;"",Q235,"")</f>
        <v/>
      </c>
      <c r="AH238" s="896" t="str">
        <f>IF(H242&lt;&gt;"",H242*100,"")</f>
        <v/>
      </c>
      <c r="AI238" s="897" t="str">
        <f>IF(Q244&lt;&gt;"",Q244,"")</f>
        <v/>
      </c>
      <c r="AJ238" s="880" t="str">
        <f>IF(AH238="","",((AH238/100)-H244)*100)</f>
        <v/>
      </c>
      <c r="AK238" s="1267" t="str">
        <f>IF(X235&lt;&gt;"",X235*100,"")</f>
        <v/>
      </c>
    </row>
    <row r="239" spans="1:37" s="56" customFormat="1" ht="15" customHeight="1" x14ac:dyDescent="0.3">
      <c r="A239" s="1955"/>
      <c r="B239" s="882" t="s">
        <v>57</v>
      </c>
      <c r="C239" s="688"/>
      <c r="D239" s="870" t="s">
        <v>315</v>
      </c>
      <c r="E239" s="871"/>
      <c r="F239" s="871"/>
      <c r="G239" s="871"/>
      <c r="H239" s="871"/>
      <c r="I239" s="871"/>
      <c r="J239" s="871"/>
      <c r="K239" s="871"/>
      <c r="L239" s="651" t="str">
        <f>IF(I235&lt;&gt;"",MAX(L$5:L238)+1,"")</f>
        <v/>
      </c>
      <c r="M239" s="1960"/>
      <c r="N239" s="872" t="str">
        <f t="shared" ref="N239:T239" si="188">IF(N237&lt;&gt;"",N237-N238,"")</f>
        <v/>
      </c>
      <c r="O239" s="872" t="str">
        <f t="shared" si="188"/>
        <v/>
      </c>
      <c r="P239" s="872" t="str">
        <f t="shared" si="188"/>
        <v/>
      </c>
      <c r="Q239" s="872" t="str">
        <f t="shared" si="188"/>
        <v/>
      </c>
      <c r="R239" s="872" t="str">
        <f t="shared" si="188"/>
        <v/>
      </c>
      <c r="S239" s="872" t="str">
        <f t="shared" si="188"/>
        <v/>
      </c>
      <c r="T239" s="872" t="str">
        <f t="shared" si="188"/>
        <v/>
      </c>
      <c r="U239" s="881"/>
      <c r="V239" s="881"/>
      <c r="W239" s="881"/>
      <c r="X239" s="881"/>
      <c r="Y239" s="881"/>
      <c r="Z239" s="881"/>
      <c r="AA239" s="881"/>
      <c r="AB239" s="872" t="str">
        <f t="shared" si="186"/>
        <v/>
      </c>
      <c r="AC239" s="873" t="str">
        <f>""</f>
        <v/>
      </c>
      <c r="AD239" s="873" t="str">
        <f>""</f>
        <v/>
      </c>
      <c r="AE239" s="873" t="str">
        <f>IF(I236&lt;&gt;"",I236,"")</f>
        <v/>
      </c>
      <c r="AF239" s="874" t="str">
        <f>IF(I237&lt;&gt;"",I237,"")</f>
        <v/>
      </c>
      <c r="AG239" s="875" t="str">
        <f>IF(R235&lt;&gt;"",R235,"")</f>
        <v/>
      </c>
      <c r="AH239" s="896" t="str">
        <f>IF(I242&lt;&gt;"",I242*100,"")</f>
        <v/>
      </c>
      <c r="AI239" s="897" t="str">
        <f>IF(R244&lt;&gt;"",R244,"")</f>
        <v/>
      </c>
      <c r="AJ239" s="880" t="str">
        <f>IF(AH239="","",((AH239/100)-I244)*100)</f>
        <v/>
      </c>
      <c r="AK239" s="1267" t="str">
        <f>IF(Y235&lt;&gt;"",Y235*100,"")</f>
        <v/>
      </c>
    </row>
    <row r="240" spans="1:37" s="316" customFormat="1" ht="15" customHeight="1" x14ac:dyDescent="0.3">
      <c r="A240" s="1955"/>
      <c r="B240" s="882" t="s">
        <v>316</v>
      </c>
      <c r="C240" s="666"/>
      <c r="D240" s="883" t="s">
        <v>317</v>
      </c>
      <c r="E240" s="750"/>
      <c r="F240" s="750"/>
      <c r="G240" s="750"/>
      <c r="H240" s="750"/>
      <c r="I240" s="750"/>
      <c r="J240" s="750"/>
      <c r="K240" s="750"/>
      <c r="L240" s="651" t="str">
        <f>IF(J235&lt;&gt;"",MAX(L$5:L239)+1,"")</f>
        <v/>
      </c>
      <c r="M240" s="1960"/>
      <c r="N240" s="872" t="str">
        <f>IF(E238&lt;&gt;"",LOOKUP(E238,Tara!$L$5:$L$21,Tara!$O$5:$O$21),"")</f>
        <v/>
      </c>
      <c r="O240" s="872" t="str">
        <f>IF(F238&lt;&gt;"",LOOKUP(F238,Tara!$L$5:$L$21,Tara!$O$5:$O$21),"")</f>
        <v/>
      </c>
      <c r="P240" s="872" t="str">
        <f>IF(G238&lt;&gt;"",LOOKUP(G238,Tara!$L$5:$L$21,Tara!$O$5:$O$21),"")</f>
        <v/>
      </c>
      <c r="Q240" s="872" t="str">
        <f>IF(H238&lt;&gt;"",LOOKUP(H238,Tara!$L$5:$L$21,Tara!$O$5:$O$21),"")</f>
        <v/>
      </c>
      <c r="R240" s="872" t="str">
        <f>IF(I238&lt;&gt;"",LOOKUP(I238,Tara!$L$5:$L$21,Tara!$O$5:$O$21),"")</f>
        <v/>
      </c>
      <c r="S240" s="872" t="str">
        <f>IF(J238&lt;&gt;"",LOOKUP(J238,Tara!$L$5:$L$21,Tara!$O$5:$O$21),"")</f>
        <v/>
      </c>
      <c r="T240" s="872" t="str">
        <f>IF(K238&lt;&gt;"",LOOKUP(K238,Tara!$L$5:$L$21,Tara!$O$5:$O$21),"")</f>
        <v/>
      </c>
      <c r="U240" s="884"/>
      <c r="V240" s="884"/>
      <c r="W240" s="884"/>
      <c r="X240" s="884"/>
      <c r="Y240" s="884"/>
      <c r="Z240" s="884"/>
      <c r="AA240" s="884"/>
      <c r="AB240" s="872" t="str">
        <f t="shared" si="186"/>
        <v/>
      </c>
      <c r="AC240" s="873" t="str">
        <f>""</f>
        <v/>
      </c>
      <c r="AD240" s="873" t="str">
        <f>""</f>
        <v/>
      </c>
      <c r="AE240" s="873" t="str">
        <f>IF(J236&lt;&gt;"",J236,"")</f>
        <v/>
      </c>
      <c r="AF240" s="874" t="str">
        <f>IF(J237&lt;&gt;"",J237,"")</f>
        <v/>
      </c>
      <c r="AG240" s="875" t="str">
        <f>IF(S235&lt;&gt;"",S235,"")</f>
        <v/>
      </c>
      <c r="AH240" s="896" t="str">
        <f>IF(J242&lt;&gt;"",J242*100,"")</f>
        <v/>
      </c>
      <c r="AI240" s="897" t="str">
        <f>IF(S244&lt;&gt;"",S244,"")</f>
        <v/>
      </c>
      <c r="AJ240" s="880" t="str">
        <f>IF(AH240="","",((AH240/100)-J244)*100)</f>
        <v/>
      </c>
      <c r="AK240" s="1267" t="str">
        <f>IF(Z235&lt;&gt;"",Z235*100,"")</f>
        <v/>
      </c>
    </row>
    <row r="241" spans="1:37" s="316" customFormat="1" ht="15" customHeight="1" x14ac:dyDescent="0.3">
      <c r="A241" s="1955"/>
      <c r="B241" s="885" t="s">
        <v>318</v>
      </c>
      <c r="C241" s="886"/>
      <c r="D241" s="870" t="s">
        <v>319</v>
      </c>
      <c r="E241" s="750"/>
      <c r="F241" s="750"/>
      <c r="G241" s="750"/>
      <c r="H241" s="750"/>
      <c r="I241" s="750"/>
      <c r="J241" s="750"/>
      <c r="K241" s="750"/>
      <c r="L241" s="651" t="str">
        <f>IF(K235&lt;&gt;"",MAX(L$5:L240)+1,"")</f>
        <v/>
      </c>
      <c r="M241" s="1960"/>
      <c r="N241" s="887" t="str">
        <f>IF(N239&lt;&gt;"",N239/N240,"")</f>
        <v/>
      </c>
      <c r="O241" s="887" t="str">
        <f t="shared" ref="O241:T241" si="189">IF(O239&lt;&gt;"",O239/O240,"")</f>
        <v/>
      </c>
      <c r="P241" s="887" t="str">
        <f t="shared" si="189"/>
        <v/>
      </c>
      <c r="Q241" s="887" t="str">
        <f t="shared" si="189"/>
        <v/>
      </c>
      <c r="R241" s="887" t="str">
        <f t="shared" si="189"/>
        <v/>
      </c>
      <c r="S241" s="887" t="str">
        <f t="shared" si="189"/>
        <v/>
      </c>
      <c r="T241" s="887" t="str">
        <f t="shared" si="189"/>
        <v/>
      </c>
      <c r="U241" s="884"/>
      <c r="V241" s="884"/>
      <c r="W241" s="884"/>
      <c r="X241" s="884"/>
      <c r="Y241" s="884"/>
      <c r="Z241" s="884"/>
      <c r="AA241" s="884"/>
      <c r="AB241" s="872" t="str">
        <f t="shared" si="186"/>
        <v/>
      </c>
      <c r="AC241" s="873" t="str">
        <f>""</f>
        <v/>
      </c>
      <c r="AD241" s="873" t="str">
        <f>""</f>
        <v/>
      </c>
      <c r="AE241" s="873" t="str">
        <f>IF(K236&lt;&gt;"",K236,"")</f>
        <v/>
      </c>
      <c r="AF241" s="874" t="str">
        <f>IF(K237&lt;&gt;"",K237,"")</f>
        <v/>
      </c>
      <c r="AG241" s="875" t="str">
        <f>IF(T235&lt;&gt;"",T235,"")</f>
        <v/>
      </c>
      <c r="AH241" s="896" t="str">
        <f>IF(K242&lt;&gt;"",K242*100,"")</f>
        <v/>
      </c>
      <c r="AI241" s="897" t="str">
        <f>IF(T244&lt;&gt;"",T244,"")</f>
        <v/>
      </c>
      <c r="AJ241" s="880" t="str">
        <f>IF(AH241="","",((AH241/100)-K244)*100)</f>
        <v/>
      </c>
      <c r="AK241" s="1267" t="str">
        <f>IF(AA235&lt;&gt;"",AA235*100,"")</f>
        <v/>
      </c>
    </row>
    <row r="242" spans="1:37" s="316" customFormat="1" ht="15" customHeight="1" x14ac:dyDescent="0.3">
      <c r="A242" s="1955"/>
      <c r="B242" s="652"/>
      <c r="C242" s="653"/>
      <c r="D242" s="870" t="s">
        <v>320</v>
      </c>
      <c r="E242" s="888"/>
      <c r="F242" s="888"/>
      <c r="G242" s="888"/>
      <c r="H242" s="888"/>
      <c r="I242" s="888"/>
      <c r="J242" s="888"/>
      <c r="K242" s="888"/>
      <c r="L242" s="651"/>
      <c r="M242" s="1960"/>
      <c r="N242" s="889" t="str">
        <f>IF(E240&lt;&gt;"",LOOKUP(E240,Tara!$P$5:$P$21,Tara!$Q$5:$Q$21),"")</f>
        <v/>
      </c>
      <c r="O242" s="889" t="str">
        <f>IF(F240&lt;&gt;"",LOOKUP(F240,Tara!$P$5:$P$21,Tara!$Q$5:$Q$21),"")</f>
        <v/>
      </c>
      <c r="P242" s="889" t="str">
        <f>IF(G240&lt;&gt;"",LOOKUP(G240,Tara!$P$5:$P$21,Tara!$Q$5:$Q$21),"")</f>
        <v/>
      </c>
      <c r="Q242" s="889" t="str">
        <f>IF(H240&lt;&gt;"",LOOKUP(H240,Tara!$P$5:$P$21,Tara!$Q$5:$Q$21),"")</f>
        <v/>
      </c>
      <c r="R242" s="889" t="str">
        <f>IF(I240&lt;&gt;"",LOOKUP(I240,Tara!$P$5:$P$21,Tara!$Q$5:$Q$21),"")</f>
        <v/>
      </c>
      <c r="S242" s="889" t="str">
        <f>IF(J240&lt;&gt;"",LOOKUP(J240,Tara!$P$5:$P$21,Tara!$Q$5:$Q$21),"")</f>
        <v/>
      </c>
      <c r="T242" s="889" t="str">
        <f>IF(K240&lt;&gt;"",LOOKUP(K240,Tara!$P$5:$P$21,Tara!$Q$5:$Q$21),"")</f>
        <v/>
      </c>
      <c r="U242" s="884"/>
      <c r="V242" s="884"/>
      <c r="W242" s="884"/>
      <c r="X242" s="884"/>
      <c r="Y242" s="884"/>
      <c r="Z242" s="884"/>
      <c r="AA242" s="884"/>
      <c r="AB242" s="872" t="str">
        <f>""</f>
        <v/>
      </c>
      <c r="AC242" s="873" t="str">
        <f>""</f>
        <v/>
      </c>
      <c r="AD242" s="873" t="str">
        <f>""</f>
        <v/>
      </c>
      <c r="AE242" s="873" t="str">
        <f>""</f>
        <v/>
      </c>
      <c r="AF242" s="874" t="str">
        <f>""</f>
        <v/>
      </c>
      <c r="AG242" s="875" t="str">
        <f>""</f>
        <v/>
      </c>
      <c r="AH242" s="875" t="str">
        <f>""</f>
        <v/>
      </c>
      <c r="AI242" s="875" t="str">
        <f>""</f>
        <v/>
      </c>
      <c r="AJ242" s="890" t="str">
        <f>""</f>
        <v/>
      </c>
      <c r="AK242" s="1267" t="str">
        <f>""</f>
        <v/>
      </c>
    </row>
    <row r="243" spans="1:37" s="316" customFormat="1" ht="15" customHeight="1" x14ac:dyDescent="0.3">
      <c r="A243" s="1955"/>
      <c r="B243" s="654"/>
      <c r="C243" s="655"/>
      <c r="D243" s="891" t="s">
        <v>321</v>
      </c>
      <c r="E243" s="750"/>
      <c r="F243" s="750"/>
      <c r="G243" s="750"/>
      <c r="H243" s="750"/>
      <c r="I243" s="750"/>
      <c r="J243" s="750"/>
      <c r="K243" s="750"/>
      <c r="L243" s="651"/>
      <c r="M243" s="1960"/>
      <c r="N243" s="892" t="str">
        <f t="shared" ref="N243:T243" si="190">IF(E241&lt;&gt;"",(E241-N242)/N241,"")</f>
        <v/>
      </c>
      <c r="O243" s="892" t="str">
        <f t="shared" si="190"/>
        <v/>
      </c>
      <c r="P243" s="892" t="str">
        <f t="shared" si="190"/>
        <v/>
      </c>
      <c r="Q243" s="892" t="str">
        <f t="shared" si="190"/>
        <v/>
      </c>
      <c r="R243" s="892" t="str">
        <f t="shared" si="190"/>
        <v/>
      </c>
      <c r="S243" s="892" t="str">
        <f t="shared" si="190"/>
        <v/>
      </c>
      <c r="T243" s="892" t="str">
        <f t="shared" si="190"/>
        <v/>
      </c>
      <c r="U243" s="884"/>
      <c r="V243" s="884"/>
      <c r="W243" s="884"/>
      <c r="X243" s="884"/>
      <c r="Y243" s="884"/>
      <c r="Z243" s="884"/>
      <c r="AA243" s="884"/>
      <c r="AB243" s="872" t="str">
        <f>""</f>
        <v/>
      </c>
      <c r="AC243" s="873" t="str">
        <f>""</f>
        <v/>
      </c>
      <c r="AD243" s="873" t="str">
        <f>""</f>
        <v/>
      </c>
      <c r="AE243" s="873" t="str">
        <f>""</f>
        <v/>
      </c>
      <c r="AF243" s="874" t="str">
        <f>""</f>
        <v/>
      </c>
      <c r="AG243" s="893" t="str">
        <f>""</f>
        <v/>
      </c>
      <c r="AH243" s="893" t="str">
        <f>""</f>
        <v/>
      </c>
      <c r="AI243" s="893" t="str">
        <f>""</f>
        <v/>
      </c>
      <c r="AJ243" s="895" t="str">
        <f>""</f>
        <v/>
      </c>
      <c r="AK243" s="1269" t="str">
        <f>""</f>
        <v/>
      </c>
    </row>
    <row r="244" spans="1:37" s="316" customFormat="1" ht="15" customHeight="1" thickBot="1" x14ac:dyDescent="0.35">
      <c r="A244" s="1956"/>
      <c r="B244" s="656"/>
      <c r="C244" s="657"/>
      <c r="D244" s="658" t="s">
        <v>99</v>
      </c>
      <c r="E244" s="556"/>
      <c r="F244" s="556"/>
      <c r="G244" s="556"/>
      <c r="H244" s="556"/>
      <c r="I244" s="556"/>
      <c r="J244" s="556"/>
      <c r="K244" s="556"/>
      <c r="L244" s="659"/>
      <c r="M244" s="1961"/>
      <c r="N244" s="549" t="str">
        <f t="shared" ref="N244:T244" si="191">IF(N243&lt;&gt;"",N243/(1+E242),"")</f>
        <v/>
      </c>
      <c r="O244" s="549" t="str">
        <f t="shared" si="191"/>
        <v/>
      </c>
      <c r="P244" s="549" t="str">
        <f t="shared" si="191"/>
        <v/>
      </c>
      <c r="Q244" s="549" t="str">
        <f t="shared" si="191"/>
        <v/>
      </c>
      <c r="R244" s="549" t="str">
        <f t="shared" si="191"/>
        <v/>
      </c>
      <c r="S244" s="549" t="str">
        <f t="shared" si="191"/>
        <v/>
      </c>
      <c r="T244" s="549" t="str">
        <f t="shared" si="191"/>
        <v/>
      </c>
      <c r="U244" s="550"/>
      <c r="V244" s="550"/>
      <c r="W244" s="550"/>
      <c r="X244" s="550"/>
      <c r="Y244" s="550"/>
      <c r="Z244" s="550"/>
      <c r="AA244" s="550"/>
      <c r="AB244" s="551">
        <f>MAX(AB$5:AB243)+1</f>
        <v>24</v>
      </c>
      <c r="AC244" s="552" t="str">
        <f>""</f>
        <v/>
      </c>
      <c r="AD244" s="552" t="str">
        <f>""</f>
        <v/>
      </c>
      <c r="AE244" s="552" t="str">
        <f>""</f>
        <v/>
      </c>
      <c r="AF244" s="558" t="str">
        <f>""</f>
        <v/>
      </c>
      <c r="AG244" s="553" t="str">
        <f>""</f>
        <v/>
      </c>
      <c r="AH244" s="553" t="str">
        <f>""</f>
        <v/>
      </c>
      <c r="AI244" s="553" t="str">
        <f>""</f>
        <v/>
      </c>
      <c r="AJ244" s="554" t="str">
        <f>""</f>
        <v/>
      </c>
      <c r="AK244" s="555" t="str">
        <f>""</f>
        <v/>
      </c>
    </row>
    <row r="245" spans="1:37" s="56" customFormat="1" ht="15" customHeight="1" x14ac:dyDescent="0.3">
      <c r="A245" s="1954">
        <f>A235+1</f>
        <v>25</v>
      </c>
      <c r="B245" s="1957" t="s">
        <v>309</v>
      </c>
      <c r="C245" s="1958"/>
      <c r="D245" s="648" t="s">
        <v>34</v>
      </c>
      <c r="E245" s="649"/>
      <c r="F245" s="649"/>
      <c r="G245" s="649"/>
      <c r="H245" s="649"/>
      <c r="I245" s="649"/>
      <c r="J245" s="649"/>
      <c r="K245" s="649"/>
      <c r="L245" s="650" t="str">
        <f>IF(E245&lt;&gt;"",MAX(L$5:L244)+1,"")</f>
        <v/>
      </c>
      <c r="M245" s="1959" t="s">
        <v>25</v>
      </c>
      <c r="N245" s="539" t="str">
        <f t="shared" ref="N245:T245" si="192">IF(E245&lt;&gt;"",E245,"")</f>
        <v/>
      </c>
      <c r="O245" s="539" t="str">
        <f t="shared" si="192"/>
        <v/>
      </c>
      <c r="P245" s="539" t="str">
        <f t="shared" si="192"/>
        <v/>
      </c>
      <c r="Q245" s="539" t="str">
        <f t="shared" si="192"/>
        <v/>
      </c>
      <c r="R245" s="539" t="str">
        <f t="shared" si="192"/>
        <v/>
      </c>
      <c r="S245" s="539" t="str">
        <f t="shared" si="192"/>
        <v/>
      </c>
      <c r="T245" s="539" t="str">
        <f t="shared" si="192"/>
        <v/>
      </c>
      <c r="U245" s="540" t="str">
        <f t="shared" ref="U245:AA245" si="193">IF(N254&lt;&gt;"",N254/E253*1000,"")</f>
        <v/>
      </c>
      <c r="V245" s="540" t="str">
        <f t="shared" si="193"/>
        <v/>
      </c>
      <c r="W245" s="540" t="str">
        <f t="shared" si="193"/>
        <v/>
      </c>
      <c r="X245" s="540" t="str">
        <f t="shared" si="193"/>
        <v/>
      </c>
      <c r="Y245" s="540" t="str">
        <f t="shared" si="193"/>
        <v/>
      </c>
      <c r="Z245" s="540" t="str">
        <f t="shared" si="193"/>
        <v/>
      </c>
      <c r="AA245" s="540" t="str">
        <f t="shared" si="193"/>
        <v/>
      </c>
      <c r="AB245" s="539" t="str">
        <f>IF(L245&lt;&gt;"",L245,"")</f>
        <v/>
      </c>
      <c r="AC245" s="541" t="str">
        <f>IF(C246&lt;&gt;"",CONCATENATE(C246," a ",C247),"")</f>
        <v/>
      </c>
      <c r="AD245" s="542" t="str">
        <f>IF(C249&lt;&gt;"",C249,"")</f>
        <v/>
      </c>
      <c r="AE245" s="543" t="str">
        <f>IF(E246&lt;&gt;"",E246,"")</f>
        <v/>
      </c>
      <c r="AF245" s="557" t="str">
        <f>IF(E247&lt;&gt;"",E247,"")</f>
        <v/>
      </c>
      <c r="AG245" s="544" t="str">
        <f>IF(N245&lt;&gt;"",N245,"")</f>
        <v/>
      </c>
      <c r="AH245" s="545" t="str">
        <f>IF(E252&lt;&gt;"",E252*100,"")</f>
        <v/>
      </c>
      <c r="AI245" s="546" t="str">
        <f>IF(N254&lt;&gt;"",N254,"")</f>
        <v/>
      </c>
      <c r="AJ245" s="547" t="str">
        <f>IF(AH245="","",((AH245/100)-E254)*100)</f>
        <v/>
      </c>
      <c r="AK245" s="548" t="str">
        <f>IF(U245&lt;&gt;"",U245*100,"")</f>
        <v/>
      </c>
    </row>
    <row r="246" spans="1:37" s="57" customFormat="1" ht="15" customHeight="1" x14ac:dyDescent="0.3">
      <c r="A246" s="1955"/>
      <c r="B246" s="869" t="s">
        <v>310</v>
      </c>
      <c r="C246" s="666"/>
      <c r="D246" s="870" t="s">
        <v>156</v>
      </c>
      <c r="E246" s="871"/>
      <c r="F246" s="871"/>
      <c r="G246" s="871"/>
      <c r="H246" s="871"/>
      <c r="I246" s="871"/>
      <c r="J246" s="871"/>
      <c r="K246" s="871"/>
      <c r="L246" s="651" t="str">
        <f>IF(F245&lt;&gt;"",MAX(L$5:L245)+1,"")</f>
        <v/>
      </c>
      <c r="M246" s="1960"/>
      <c r="N246" s="872" t="str">
        <f>IF(E248&lt;&gt;"",LOOKUP(E248,Tara!$L$5:$L$21,Tara!$M$5:$M$21),"")</f>
        <v/>
      </c>
      <c r="O246" s="872" t="str">
        <f>IF(F248&lt;&gt;"",LOOKUP(F248,Tara!$L$5:$L$21,Tara!$M$5:$M$21),"")</f>
        <v/>
      </c>
      <c r="P246" s="872" t="str">
        <f>IF(G248&lt;&gt;"",LOOKUP(G248,Tara!$L$5:$L$21,Tara!$M$5:$M$21),"")</f>
        <v/>
      </c>
      <c r="Q246" s="872" t="str">
        <f>IF(H248&lt;&gt;"",LOOKUP(H248,Tara!$L$5:$L$21,Tara!$M$5:$M$21),"")</f>
        <v/>
      </c>
      <c r="R246" s="872" t="str">
        <f>IF(I248&lt;&gt;"",LOOKUP(I248,Tara!$L$5:$L$21,Tara!$M$5:$M$21),"")</f>
        <v/>
      </c>
      <c r="S246" s="872" t="str">
        <f>IF(J248&lt;&gt;"",LOOKUP(J248,Tara!$L$5:$L$21,Tara!$M$5:$M$21),"")</f>
        <v/>
      </c>
      <c r="T246" s="872" t="str">
        <f>IF(K248&lt;&gt;"",LOOKUP(K248,Tara!$L$5:$L$21,Tara!$M$5:$M$21),"")</f>
        <v/>
      </c>
      <c r="U246" s="872"/>
      <c r="V246" s="872"/>
      <c r="W246" s="872"/>
      <c r="X246" s="872"/>
      <c r="Y246" s="872"/>
      <c r="Z246" s="872"/>
      <c r="AA246" s="872"/>
      <c r="AB246" s="872" t="str">
        <f t="shared" ref="AB246:AB251" si="194">IF(L246&lt;&gt;"",L246,"")</f>
        <v/>
      </c>
      <c r="AC246" s="873" t="str">
        <f>""</f>
        <v/>
      </c>
      <c r="AD246" s="873" t="str">
        <f>""</f>
        <v/>
      </c>
      <c r="AE246" s="873" t="str">
        <f>IF(F246&lt;&gt;"",F246,"")</f>
        <v/>
      </c>
      <c r="AF246" s="874" t="str">
        <f>IF(E247&lt;&gt;"",F247,"")</f>
        <v/>
      </c>
      <c r="AG246" s="875" t="str">
        <f>IF(O245&lt;&gt;"",O245,"")</f>
        <v/>
      </c>
      <c r="AH246" s="896" t="str">
        <f>IF(F252&lt;&gt;"",F252*100,"")</f>
        <v/>
      </c>
      <c r="AI246" s="897" t="str">
        <f>IF(O254&lt;&gt;"",O254,"")</f>
        <v/>
      </c>
      <c r="AJ246" s="880" t="str">
        <f>IF(AH246="","",((AH246/100)-F254)*100)</f>
        <v/>
      </c>
      <c r="AK246" s="1267" t="str">
        <f>IF(V245&lt;&gt;"",V245*100,"")</f>
        <v/>
      </c>
    </row>
    <row r="247" spans="1:37" s="56" customFormat="1" ht="15" customHeight="1" x14ac:dyDescent="0.3">
      <c r="A247" s="1955"/>
      <c r="B247" s="869" t="s">
        <v>311</v>
      </c>
      <c r="C247" s="666"/>
      <c r="D247" s="870" t="s">
        <v>312</v>
      </c>
      <c r="E247" s="878"/>
      <c r="F247" s="878"/>
      <c r="G247" s="878"/>
      <c r="H247" s="878"/>
      <c r="I247" s="878"/>
      <c r="J247" s="878"/>
      <c r="K247" s="1268"/>
      <c r="L247" s="651" t="str">
        <f>IF(G245&lt;&gt;"",MAX(L$5:L246)+1,"")</f>
        <v/>
      </c>
      <c r="M247" s="1960"/>
      <c r="N247" s="872" t="str">
        <f t="shared" ref="N247:T247" si="195">IF(N246&lt;&gt;"",N246-E249,"")</f>
        <v/>
      </c>
      <c r="O247" s="872" t="str">
        <f t="shared" si="195"/>
        <v/>
      </c>
      <c r="P247" s="872" t="str">
        <f t="shared" si="195"/>
        <v/>
      </c>
      <c r="Q247" s="872" t="str">
        <f t="shared" si="195"/>
        <v/>
      </c>
      <c r="R247" s="872" t="str">
        <f t="shared" si="195"/>
        <v/>
      </c>
      <c r="S247" s="872" t="str">
        <f t="shared" si="195"/>
        <v/>
      </c>
      <c r="T247" s="872" t="str">
        <f t="shared" si="195"/>
        <v/>
      </c>
      <c r="U247" s="879"/>
      <c r="V247" s="879"/>
      <c r="W247" s="879"/>
      <c r="X247" s="879"/>
      <c r="Y247" s="879"/>
      <c r="Z247" s="879"/>
      <c r="AA247" s="879"/>
      <c r="AB247" s="872" t="str">
        <f t="shared" si="194"/>
        <v/>
      </c>
      <c r="AC247" s="873" t="str">
        <f>""</f>
        <v/>
      </c>
      <c r="AD247" s="873" t="str">
        <f>""</f>
        <v/>
      </c>
      <c r="AE247" s="873" t="str">
        <f>IF(G246&lt;&gt;"",G246,"")</f>
        <v/>
      </c>
      <c r="AF247" s="874" t="str">
        <f>IF(G247&lt;&gt;"",G247,"")</f>
        <v/>
      </c>
      <c r="AG247" s="875" t="str">
        <f>IF(P245&lt;&gt;"",P245,"")</f>
        <v/>
      </c>
      <c r="AH247" s="896" t="str">
        <f>IF(G252&lt;&gt;"",G252*100,"")</f>
        <v/>
      </c>
      <c r="AI247" s="897" t="str">
        <f>IF(P254&lt;&gt;"",P254,"")</f>
        <v/>
      </c>
      <c r="AJ247" s="880" t="str">
        <f>IF(AH247="","",((AH247/100)-G254)*100)</f>
        <v/>
      </c>
      <c r="AK247" s="1267" t="str">
        <f>IF(W245&lt;&gt;"",W245*100,"")</f>
        <v/>
      </c>
    </row>
    <row r="248" spans="1:37" s="56" customFormat="1" ht="15" customHeight="1" x14ac:dyDescent="0.3">
      <c r="A248" s="1955"/>
      <c r="B248" s="869" t="s">
        <v>313</v>
      </c>
      <c r="C248" s="666"/>
      <c r="D248" s="870" t="s">
        <v>314</v>
      </c>
      <c r="E248" s="750"/>
      <c r="F248" s="750"/>
      <c r="G248" s="750"/>
      <c r="H248" s="750"/>
      <c r="I248" s="750"/>
      <c r="J248" s="750"/>
      <c r="K248" s="750"/>
      <c r="L248" s="651" t="str">
        <f>IF(H245&lt;&gt;"",MAX(L$5:L247)+1,"")</f>
        <v/>
      </c>
      <c r="M248" s="1960"/>
      <c r="N248" s="872" t="str">
        <f>IF(E248&lt;&gt;"",LOOKUP(E248,Tara!$L$5:$L$21,Tara!$N$5:$N$21),"")</f>
        <v/>
      </c>
      <c r="O248" s="872" t="str">
        <f>IF(F248&lt;&gt;"",LOOKUP(F248,Tara!$L$5:$L$21,Tara!$N$5:$N$21),"")</f>
        <v/>
      </c>
      <c r="P248" s="872" t="str">
        <f>IF(G248&lt;&gt;"",LOOKUP(G248,Tara!$L$5:$L$21,Tara!$N$5:$N$21),"")</f>
        <v/>
      </c>
      <c r="Q248" s="872" t="str">
        <f>IF(H248&lt;&gt;"",LOOKUP(H248,Tara!$L$5:$L$21,Tara!$N$5:$N$21),"")</f>
        <v/>
      </c>
      <c r="R248" s="872" t="str">
        <f>IF(I248&lt;&gt;"",LOOKUP(I248,Tara!$L$5:$L$21,Tara!$N$5:$N$21),"")</f>
        <v/>
      </c>
      <c r="S248" s="872" t="str">
        <f>IF(J248&lt;&gt;"",LOOKUP(J248,Tara!$L$5:$L$21,Tara!$N$5:$N$21),"")</f>
        <v/>
      </c>
      <c r="T248" s="872" t="str">
        <f>IF(K248&lt;&gt;"",LOOKUP(K248,Tara!$L$5:$L$21,Tara!$N$5:$N$21),"")</f>
        <v/>
      </c>
      <c r="U248" s="881"/>
      <c r="V248" s="881"/>
      <c r="W248" s="881"/>
      <c r="X248" s="881"/>
      <c r="Y248" s="881"/>
      <c r="Z248" s="881"/>
      <c r="AA248" s="881"/>
      <c r="AB248" s="872" t="str">
        <f t="shared" si="194"/>
        <v/>
      </c>
      <c r="AC248" s="873" t="str">
        <f>""</f>
        <v/>
      </c>
      <c r="AD248" s="873" t="str">
        <f>""</f>
        <v/>
      </c>
      <c r="AE248" s="873" t="str">
        <f>IF(H246&lt;&gt;"",H246,"")</f>
        <v/>
      </c>
      <c r="AF248" s="874" t="str">
        <f>IF(H247&lt;&gt;"",H247,"")</f>
        <v/>
      </c>
      <c r="AG248" s="875" t="str">
        <f>IF(Q245&lt;&gt;"",Q245,"")</f>
        <v/>
      </c>
      <c r="AH248" s="896" t="str">
        <f>IF(H252&lt;&gt;"",H252*100,"")</f>
        <v/>
      </c>
      <c r="AI248" s="897" t="str">
        <f>IF(Q254&lt;&gt;"",Q254,"")</f>
        <v/>
      </c>
      <c r="AJ248" s="880" t="str">
        <f>IF(AH248="","",((AH248/100)-H254)*100)</f>
        <v/>
      </c>
      <c r="AK248" s="1267" t="str">
        <f>IF(X245&lt;&gt;"",X245*100,"")</f>
        <v/>
      </c>
    </row>
    <row r="249" spans="1:37" s="56" customFormat="1" ht="15" customHeight="1" x14ac:dyDescent="0.3">
      <c r="A249" s="1955"/>
      <c r="B249" s="882" t="s">
        <v>57</v>
      </c>
      <c r="C249" s="688"/>
      <c r="D249" s="870" t="s">
        <v>315</v>
      </c>
      <c r="E249" s="871"/>
      <c r="F249" s="871"/>
      <c r="G249" s="871"/>
      <c r="H249" s="871"/>
      <c r="I249" s="871"/>
      <c r="J249" s="871"/>
      <c r="K249" s="871"/>
      <c r="L249" s="651" t="str">
        <f>IF(I245&lt;&gt;"",MAX(L$5:L248)+1,"")</f>
        <v/>
      </c>
      <c r="M249" s="1960"/>
      <c r="N249" s="872" t="str">
        <f t="shared" ref="N249:T249" si="196">IF(N247&lt;&gt;"",N247-N248,"")</f>
        <v/>
      </c>
      <c r="O249" s="872" t="str">
        <f t="shared" si="196"/>
        <v/>
      </c>
      <c r="P249" s="872" t="str">
        <f t="shared" si="196"/>
        <v/>
      </c>
      <c r="Q249" s="872" t="str">
        <f t="shared" si="196"/>
        <v/>
      </c>
      <c r="R249" s="872" t="str">
        <f t="shared" si="196"/>
        <v/>
      </c>
      <c r="S249" s="872" t="str">
        <f t="shared" si="196"/>
        <v/>
      </c>
      <c r="T249" s="872" t="str">
        <f t="shared" si="196"/>
        <v/>
      </c>
      <c r="U249" s="881"/>
      <c r="V249" s="881"/>
      <c r="W249" s="881"/>
      <c r="X249" s="881"/>
      <c r="Y249" s="881"/>
      <c r="Z249" s="881"/>
      <c r="AA249" s="881"/>
      <c r="AB249" s="872" t="str">
        <f t="shared" si="194"/>
        <v/>
      </c>
      <c r="AC249" s="873" t="str">
        <f>""</f>
        <v/>
      </c>
      <c r="AD249" s="873" t="str">
        <f>""</f>
        <v/>
      </c>
      <c r="AE249" s="873" t="str">
        <f>IF(I246&lt;&gt;"",I246,"")</f>
        <v/>
      </c>
      <c r="AF249" s="874" t="str">
        <f>IF(I247&lt;&gt;"",I247,"")</f>
        <v/>
      </c>
      <c r="AG249" s="875" t="str">
        <f>IF(R245&lt;&gt;"",R245,"")</f>
        <v/>
      </c>
      <c r="AH249" s="896" t="str">
        <f>IF(I252&lt;&gt;"",I252*100,"")</f>
        <v/>
      </c>
      <c r="AI249" s="897" t="str">
        <f>IF(R254&lt;&gt;"",R254,"")</f>
        <v/>
      </c>
      <c r="AJ249" s="880" t="str">
        <f>IF(AH249="","",((AH249/100)-I254)*100)</f>
        <v/>
      </c>
      <c r="AK249" s="1267" t="str">
        <f>IF(Y245&lt;&gt;"",Y245*100,"")</f>
        <v/>
      </c>
    </row>
    <row r="250" spans="1:37" s="316" customFormat="1" ht="15" customHeight="1" x14ac:dyDescent="0.3">
      <c r="A250" s="1955"/>
      <c r="B250" s="882" t="s">
        <v>316</v>
      </c>
      <c r="C250" s="666"/>
      <c r="D250" s="883" t="s">
        <v>317</v>
      </c>
      <c r="E250" s="750"/>
      <c r="F250" s="750"/>
      <c r="G250" s="750"/>
      <c r="H250" s="750"/>
      <c r="I250" s="750"/>
      <c r="J250" s="750"/>
      <c r="K250" s="750"/>
      <c r="L250" s="651" t="str">
        <f>IF(J245&lt;&gt;"",MAX(L$5:L249)+1,"")</f>
        <v/>
      </c>
      <c r="M250" s="1960"/>
      <c r="N250" s="872" t="str">
        <f>IF(E248&lt;&gt;"",LOOKUP(E248,Tara!$L$5:$L$21,Tara!$O$5:$O$21),"")</f>
        <v/>
      </c>
      <c r="O250" s="872" t="str">
        <f>IF(F248&lt;&gt;"",LOOKUP(F248,Tara!$L$5:$L$21,Tara!$O$5:$O$21),"")</f>
        <v/>
      </c>
      <c r="P250" s="872" t="str">
        <f>IF(G248&lt;&gt;"",LOOKUP(G248,Tara!$L$5:$L$21,Tara!$O$5:$O$21),"")</f>
        <v/>
      </c>
      <c r="Q250" s="872" t="str">
        <f>IF(H248&lt;&gt;"",LOOKUP(H248,Tara!$L$5:$L$21,Tara!$O$5:$O$21),"")</f>
        <v/>
      </c>
      <c r="R250" s="872" t="str">
        <f>IF(I248&lt;&gt;"",LOOKUP(I248,Tara!$L$5:$L$21,Tara!$O$5:$O$21),"")</f>
        <v/>
      </c>
      <c r="S250" s="872" t="str">
        <f>IF(J248&lt;&gt;"",LOOKUP(J248,Tara!$L$5:$L$21,Tara!$O$5:$O$21),"")</f>
        <v/>
      </c>
      <c r="T250" s="872" t="str">
        <f>IF(K248&lt;&gt;"",LOOKUP(K248,Tara!$L$5:$L$21,Tara!$O$5:$O$21),"")</f>
        <v/>
      </c>
      <c r="U250" s="884"/>
      <c r="V250" s="884"/>
      <c r="W250" s="884"/>
      <c r="X250" s="884"/>
      <c r="Y250" s="884"/>
      <c r="Z250" s="884"/>
      <c r="AA250" s="884"/>
      <c r="AB250" s="872" t="str">
        <f t="shared" si="194"/>
        <v/>
      </c>
      <c r="AC250" s="873" t="str">
        <f>""</f>
        <v/>
      </c>
      <c r="AD250" s="873" t="str">
        <f>""</f>
        <v/>
      </c>
      <c r="AE250" s="873" t="str">
        <f>IF(J246&lt;&gt;"",J246,"")</f>
        <v/>
      </c>
      <c r="AF250" s="874" t="str">
        <f>IF(J247&lt;&gt;"",J247,"")</f>
        <v/>
      </c>
      <c r="AG250" s="875" t="str">
        <f>IF(S245&lt;&gt;"",S245,"")</f>
        <v/>
      </c>
      <c r="AH250" s="896" t="str">
        <f>IF(J252&lt;&gt;"",J252*100,"")</f>
        <v/>
      </c>
      <c r="AI250" s="897" t="str">
        <f>IF(S254&lt;&gt;"",S254,"")</f>
        <v/>
      </c>
      <c r="AJ250" s="880" t="str">
        <f>IF(AH250="","",((AH250/100)-J254)*100)</f>
        <v/>
      </c>
      <c r="AK250" s="1267" t="str">
        <f>IF(Z245&lt;&gt;"",Z245*100,"")</f>
        <v/>
      </c>
    </row>
    <row r="251" spans="1:37" s="316" customFormat="1" ht="15" customHeight="1" x14ac:dyDescent="0.3">
      <c r="A251" s="1955"/>
      <c r="B251" s="885" t="s">
        <v>318</v>
      </c>
      <c r="C251" s="886"/>
      <c r="D251" s="870" t="s">
        <v>319</v>
      </c>
      <c r="E251" s="750"/>
      <c r="F251" s="750"/>
      <c r="G251" s="750"/>
      <c r="H251" s="750"/>
      <c r="I251" s="750"/>
      <c r="J251" s="750"/>
      <c r="K251" s="750"/>
      <c r="L251" s="651" t="str">
        <f>IF(K245&lt;&gt;"",MAX(L$5:L250)+1,"")</f>
        <v/>
      </c>
      <c r="M251" s="1960"/>
      <c r="N251" s="887" t="str">
        <f>IF(N249&lt;&gt;"",N249/N250,"")</f>
        <v/>
      </c>
      <c r="O251" s="887" t="str">
        <f t="shared" ref="O251:T251" si="197">IF(O249&lt;&gt;"",O249/O250,"")</f>
        <v/>
      </c>
      <c r="P251" s="887" t="str">
        <f t="shared" si="197"/>
        <v/>
      </c>
      <c r="Q251" s="887" t="str">
        <f t="shared" si="197"/>
        <v/>
      </c>
      <c r="R251" s="887" t="str">
        <f t="shared" si="197"/>
        <v/>
      </c>
      <c r="S251" s="887" t="str">
        <f t="shared" si="197"/>
        <v/>
      </c>
      <c r="T251" s="887" t="str">
        <f t="shared" si="197"/>
        <v/>
      </c>
      <c r="U251" s="884"/>
      <c r="V251" s="884"/>
      <c r="W251" s="884"/>
      <c r="X251" s="884"/>
      <c r="Y251" s="884"/>
      <c r="Z251" s="884"/>
      <c r="AA251" s="884"/>
      <c r="AB251" s="872" t="str">
        <f t="shared" si="194"/>
        <v/>
      </c>
      <c r="AC251" s="873" t="str">
        <f>""</f>
        <v/>
      </c>
      <c r="AD251" s="873" t="str">
        <f>""</f>
        <v/>
      </c>
      <c r="AE251" s="873" t="str">
        <f>IF(K246&lt;&gt;"",K246,"")</f>
        <v/>
      </c>
      <c r="AF251" s="874" t="str">
        <f>IF(K247&lt;&gt;"",K247,"")</f>
        <v/>
      </c>
      <c r="AG251" s="875" t="str">
        <f>IF(T245&lt;&gt;"",T245,"")</f>
        <v/>
      </c>
      <c r="AH251" s="896" t="str">
        <f>IF(K252&lt;&gt;"",K252*100,"")</f>
        <v/>
      </c>
      <c r="AI251" s="897" t="str">
        <f>IF(T254&lt;&gt;"",T254,"")</f>
        <v/>
      </c>
      <c r="AJ251" s="880" t="str">
        <f>IF(AH251="","",((AH251/100)-K254)*100)</f>
        <v/>
      </c>
      <c r="AK251" s="1267" t="str">
        <f>IF(AA245&lt;&gt;"",AA245*100,"")</f>
        <v/>
      </c>
    </row>
    <row r="252" spans="1:37" s="316" customFormat="1" ht="15" customHeight="1" x14ac:dyDescent="0.3">
      <c r="A252" s="1955"/>
      <c r="B252" s="652"/>
      <c r="C252" s="653"/>
      <c r="D252" s="870" t="s">
        <v>320</v>
      </c>
      <c r="E252" s="888"/>
      <c r="F252" s="888"/>
      <c r="G252" s="888"/>
      <c r="H252" s="888"/>
      <c r="I252" s="888"/>
      <c r="J252" s="888"/>
      <c r="K252" s="888"/>
      <c r="L252" s="651"/>
      <c r="M252" s="1960"/>
      <c r="N252" s="889" t="str">
        <f>IF(E250&lt;&gt;"",LOOKUP(E250,Tara!$P$5:$P$21,Tara!$Q$5:$Q$21),"")</f>
        <v/>
      </c>
      <c r="O252" s="889" t="str">
        <f>IF(F250&lt;&gt;"",LOOKUP(F250,Tara!$P$5:$P$21,Tara!$Q$5:$Q$21),"")</f>
        <v/>
      </c>
      <c r="P252" s="889" t="str">
        <f>IF(G250&lt;&gt;"",LOOKUP(G250,Tara!$P$5:$P$21,Tara!$Q$5:$Q$21),"")</f>
        <v/>
      </c>
      <c r="Q252" s="889" t="str">
        <f>IF(H250&lt;&gt;"",LOOKUP(H250,Tara!$P$5:$P$21,Tara!$Q$5:$Q$21),"")</f>
        <v/>
      </c>
      <c r="R252" s="889" t="str">
        <f>IF(I250&lt;&gt;"",LOOKUP(I250,Tara!$P$5:$P$21,Tara!$Q$5:$Q$21),"")</f>
        <v/>
      </c>
      <c r="S252" s="889" t="str">
        <f>IF(J250&lt;&gt;"",LOOKUP(J250,Tara!$P$5:$P$21,Tara!$Q$5:$Q$21),"")</f>
        <v/>
      </c>
      <c r="T252" s="889" t="str">
        <f>IF(K250&lt;&gt;"",LOOKUP(K250,Tara!$P$5:$P$21,Tara!$Q$5:$Q$21),"")</f>
        <v/>
      </c>
      <c r="U252" s="884"/>
      <c r="V252" s="884"/>
      <c r="W252" s="884"/>
      <c r="X252" s="884"/>
      <c r="Y252" s="884"/>
      <c r="Z252" s="884"/>
      <c r="AA252" s="884"/>
      <c r="AB252" s="872" t="str">
        <f>""</f>
        <v/>
      </c>
      <c r="AC252" s="873" t="str">
        <f>""</f>
        <v/>
      </c>
      <c r="AD252" s="873" t="str">
        <f>""</f>
        <v/>
      </c>
      <c r="AE252" s="873" t="str">
        <f>""</f>
        <v/>
      </c>
      <c r="AF252" s="874" t="str">
        <f>""</f>
        <v/>
      </c>
      <c r="AG252" s="875" t="str">
        <f>""</f>
        <v/>
      </c>
      <c r="AH252" s="875" t="str">
        <f>""</f>
        <v/>
      </c>
      <c r="AI252" s="875" t="str">
        <f>""</f>
        <v/>
      </c>
      <c r="AJ252" s="890" t="str">
        <f>""</f>
        <v/>
      </c>
      <c r="AK252" s="1267" t="str">
        <f>""</f>
        <v/>
      </c>
    </row>
    <row r="253" spans="1:37" s="316" customFormat="1" ht="15" customHeight="1" x14ac:dyDescent="0.3">
      <c r="A253" s="1955"/>
      <c r="B253" s="654"/>
      <c r="C253" s="655"/>
      <c r="D253" s="891" t="s">
        <v>321</v>
      </c>
      <c r="E253" s="750"/>
      <c r="F253" s="750"/>
      <c r="G253" s="750"/>
      <c r="H253" s="750"/>
      <c r="I253" s="750"/>
      <c r="J253" s="750"/>
      <c r="K253" s="750"/>
      <c r="L253" s="651"/>
      <c r="M253" s="1960"/>
      <c r="N253" s="892" t="str">
        <f t="shared" ref="N253:T253" si="198">IF(E251&lt;&gt;"",(E251-N252)/N251,"")</f>
        <v/>
      </c>
      <c r="O253" s="892" t="str">
        <f t="shared" si="198"/>
        <v/>
      </c>
      <c r="P253" s="892" t="str">
        <f t="shared" si="198"/>
        <v/>
      </c>
      <c r="Q253" s="892" t="str">
        <f t="shared" si="198"/>
        <v/>
      </c>
      <c r="R253" s="892" t="str">
        <f t="shared" si="198"/>
        <v/>
      </c>
      <c r="S253" s="892" t="str">
        <f t="shared" si="198"/>
        <v/>
      </c>
      <c r="T253" s="892" t="str">
        <f t="shared" si="198"/>
        <v/>
      </c>
      <c r="U253" s="884"/>
      <c r="V253" s="884"/>
      <c r="W253" s="884"/>
      <c r="X253" s="884"/>
      <c r="Y253" s="884"/>
      <c r="Z253" s="884"/>
      <c r="AA253" s="884"/>
      <c r="AB253" s="872" t="str">
        <f>""</f>
        <v/>
      </c>
      <c r="AC253" s="873" t="str">
        <f>""</f>
        <v/>
      </c>
      <c r="AD253" s="873" t="str">
        <f>""</f>
        <v/>
      </c>
      <c r="AE253" s="873" t="str">
        <f>""</f>
        <v/>
      </c>
      <c r="AF253" s="874" t="str">
        <f>""</f>
        <v/>
      </c>
      <c r="AG253" s="893" t="str">
        <f>""</f>
        <v/>
      </c>
      <c r="AH253" s="893" t="str">
        <f>""</f>
        <v/>
      </c>
      <c r="AI253" s="893" t="str">
        <f>""</f>
        <v/>
      </c>
      <c r="AJ253" s="895" t="str">
        <f>""</f>
        <v/>
      </c>
      <c r="AK253" s="1269" t="str">
        <f>""</f>
        <v/>
      </c>
    </row>
    <row r="254" spans="1:37" s="316" customFormat="1" ht="15" customHeight="1" thickBot="1" x14ac:dyDescent="0.35">
      <c r="A254" s="1956"/>
      <c r="B254" s="656"/>
      <c r="C254" s="657"/>
      <c r="D254" s="658" t="s">
        <v>99</v>
      </c>
      <c r="E254" s="556"/>
      <c r="F254" s="556"/>
      <c r="G254" s="556"/>
      <c r="H254" s="556"/>
      <c r="I254" s="556"/>
      <c r="J254" s="556"/>
      <c r="K254" s="556"/>
      <c r="L254" s="659"/>
      <c r="M254" s="1961"/>
      <c r="N254" s="549" t="str">
        <f t="shared" ref="N254:T254" si="199">IF(N253&lt;&gt;"",N253/(1+E252),"")</f>
        <v/>
      </c>
      <c r="O254" s="549" t="str">
        <f t="shared" si="199"/>
        <v/>
      </c>
      <c r="P254" s="549" t="str">
        <f t="shared" si="199"/>
        <v/>
      </c>
      <c r="Q254" s="549" t="str">
        <f t="shared" si="199"/>
        <v/>
      </c>
      <c r="R254" s="549" t="str">
        <f t="shared" si="199"/>
        <v/>
      </c>
      <c r="S254" s="549" t="str">
        <f t="shared" si="199"/>
        <v/>
      </c>
      <c r="T254" s="549" t="str">
        <f t="shared" si="199"/>
        <v/>
      </c>
      <c r="U254" s="550"/>
      <c r="V254" s="550"/>
      <c r="W254" s="550"/>
      <c r="X254" s="550"/>
      <c r="Y254" s="550"/>
      <c r="Z254" s="550"/>
      <c r="AA254" s="550"/>
      <c r="AB254" s="551">
        <f>MAX(AB$5:AB253)+1</f>
        <v>25</v>
      </c>
      <c r="AC254" s="552" t="str">
        <f>""</f>
        <v/>
      </c>
      <c r="AD254" s="552" t="str">
        <f>""</f>
        <v/>
      </c>
      <c r="AE254" s="552" t="str">
        <f>""</f>
        <v/>
      </c>
      <c r="AF254" s="558" t="str">
        <f>""</f>
        <v/>
      </c>
      <c r="AG254" s="553" t="str">
        <f>""</f>
        <v/>
      </c>
      <c r="AH254" s="553" t="str">
        <f>""</f>
        <v/>
      </c>
      <c r="AI254" s="553" t="str">
        <f>""</f>
        <v/>
      </c>
      <c r="AJ254" s="554" t="str">
        <f>""</f>
        <v/>
      </c>
      <c r="AK254" s="555" t="str">
        <f>""</f>
        <v/>
      </c>
    </row>
    <row r="255" spans="1:37" s="56" customFormat="1" ht="15" customHeight="1" x14ac:dyDescent="0.3">
      <c r="A255" s="1954">
        <f>A245+1</f>
        <v>26</v>
      </c>
      <c r="B255" s="1957" t="s">
        <v>309</v>
      </c>
      <c r="C255" s="1958"/>
      <c r="D255" s="648" t="s">
        <v>34</v>
      </c>
      <c r="E255" s="649"/>
      <c r="F255" s="649"/>
      <c r="G255" s="649"/>
      <c r="H255" s="649"/>
      <c r="I255" s="649"/>
      <c r="J255" s="649"/>
      <c r="K255" s="649"/>
      <c r="L255" s="650" t="str">
        <f>IF(E255&lt;&gt;"",MAX(L$5:L254)+1,"")</f>
        <v/>
      </c>
      <c r="M255" s="1959" t="s">
        <v>25</v>
      </c>
      <c r="N255" s="539" t="str">
        <f t="shared" ref="N255:T255" si="200">IF(E255&lt;&gt;"",E255,"")</f>
        <v/>
      </c>
      <c r="O255" s="539" t="str">
        <f t="shared" si="200"/>
        <v/>
      </c>
      <c r="P255" s="539" t="str">
        <f t="shared" si="200"/>
        <v/>
      </c>
      <c r="Q255" s="539" t="str">
        <f t="shared" si="200"/>
        <v/>
      </c>
      <c r="R255" s="539" t="str">
        <f t="shared" si="200"/>
        <v/>
      </c>
      <c r="S255" s="539" t="str">
        <f t="shared" si="200"/>
        <v/>
      </c>
      <c r="T255" s="539" t="str">
        <f t="shared" si="200"/>
        <v/>
      </c>
      <c r="U255" s="540" t="str">
        <f t="shared" ref="U255:AA255" si="201">IF(N264&lt;&gt;"",N264/E263*1000,"")</f>
        <v/>
      </c>
      <c r="V255" s="540" t="str">
        <f t="shared" si="201"/>
        <v/>
      </c>
      <c r="W255" s="540" t="str">
        <f t="shared" si="201"/>
        <v/>
      </c>
      <c r="X255" s="540" t="str">
        <f t="shared" si="201"/>
        <v/>
      </c>
      <c r="Y255" s="540" t="str">
        <f t="shared" si="201"/>
        <v/>
      </c>
      <c r="Z255" s="540" t="str">
        <f t="shared" si="201"/>
        <v/>
      </c>
      <c r="AA255" s="540" t="str">
        <f t="shared" si="201"/>
        <v/>
      </c>
      <c r="AB255" s="539" t="str">
        <f>IF(L255&lt;&gt;"",L255,"")</f>
        <v/>
      </c>
      <c r="AC255" s="541" t="str">
        <f>IF(C256&lt;&gt;"",CONCATENATE(C256," a ",C257),"")</f>
        <v/>
      </c>
      <c r="AD255" s="542" t="str">
        <f>IF(C259&lt;&gt;"",C259,"")</f>
        <v/>
      </c>
      <c r="AE255" s="543" t="str">
        <f>IF(E256&lt;&gt;"",E256,"")</f>
        <v/>
      </c>
      <c r="AF255" s="557" t="str">
        <f>IF(E257&lt;&gt;"",E257,"")</f>
        <v/>
      </c>
      <c r="AG255" s="544" t="str">
        <f>IF(N255&lt;&gt;"",N255,"")</f>
        <v/>
      </c>
      <c r="AH255" s="545" t="str">
        <f>IF(E262&lt;&gt;"",E262*100,"")</f>
        <v/>
      </c>
      <c r="AI255" s="546" t="str">
        <f>IF(N264&lt;&gt;"",N264,"")</f>
        <v/>
      </c>
      <c r="AJ255" s="547" t="str">
        <f>IF(AH255="","",((AH255/100)-E264)*100)</f>
        <v/>
      </c>
      <c r="AK255" s="548" t="str">
        <f>IF(U255&lt;&gt;"",U255*100,"")</f>
        <v/>
      </c>
    </row>
    <row r="256" spans="1:37" s="57" customFormat="1" ht="15" customHeight="1" x14ac:dyDescent="0.3">
      <c r="A256" s="1955"/>
      <c r="B256" s="869" t="s">
        <v>310</v>
      </c>
      <c r="C256" s="666"/>
      <c r="D256" s="870" t="s">
        <v>156</v>
      </c>
      <c r="E256" s="871"/>
      <c r="F256" s="871"/>
      <c r="G256" s="871"/>
      <c r="H256" s="871"/>
      <c r="I256" s="871"/>
      <c r="J256" s="871"/>
      <c r="K256" s="871"/>
      <c r="L256" s="651" t="str">
        <f>IF(F255&lt;&gt;"",MAX(L$5:L255)+1,"")</f>
        <v/>
      </c>
      <c r="M256" s="1960"/>
      <c r="N256" s="872" t="str">
        <f>IF(E258&lt;&gt;"",LOOKUP(E258,Tara!$L$5:$L$21,Tara!$M$5:$M$21),"")</f>
        <v/>
      </c>
      <c r="O256" s="872" t="str">
        <f>IF(F258&lt;&gt;"",LOOKUP(F258,Tara!$L$5:$L$21,Tara!$M$5:$M$21),"")</f>
        <v/>
      </c>
      <c r="P256" s="872" t="str">
        <f>IF(G258&lt;&gt;"",LOOKUP(G258,Tara!$L$5:$L$21,Tara!$M$5:$M$21),"")</f>
        <v/>
      </c>
      <c r="Q256" s="872" t="str">
        <f>IF(H258&lt;&gt;"",LOOKUP(H258,Tara!$L$5:$L$21,Tara!$M$5:$M$21),"")</f>
        <v/>
      </c>
      <c r="R256" s="872" t="str">
        <f>IF(I258&lt;&gt;"",LOOKUP(I258,Tara!$L$5:$L$21,Tara!$M$5:$M$21),"")</f>
        <v/>
      </c>
      <c r="S256" s="872" t="str">
        <f>IF(J258&lt;&gt;"",LOOKUP(J258,Tara!$L$5:$L$21,Tara!$M$5:$M$21),"")</f>
        <v/>
      </c>
      <c r="T256" s="872" t="str">
        <f>IF(K258&lt;&gt;"",LOOKUP(K258,Tara!$L$5:$L$21,Tara!$M$5:$M$21),"")</f>
        <v/>
      </c>
      <c r="U256" s="872"/>
      <c r="V256" s="872"/>
      <c r="W256" s="872"/>
      <c r="X256" s="872"/>
      <c r="Y256" s="872"/>
      <c r="Z256" s="872"/>
      <c r="AA256" s="872"/>
      <c r="AB256" s="872" t="str">
        <f t="shared" ref="AB256:AB261" si="202">IF(L256&lt;&gt;"",L256,"")</f>
        <v/>
      </c>
      <c r="AC256" s="873" t="str">
        <f>""</f>
        <v/>
      </c>
      <c r="AD256" s="873" t="str">
        <f>""</f>
        <v/>
      </c>
      <c r="AE256" s="873" t="str">
        <f>IF(F256&lt;&gt;"",F256,"")</f>
        <v/>
      </c>
      <c r="AF256" s="874" t="str">
        <f>IF(E257&lt;&gt;"",F257,"")</f>
        <v/>
      </c>
      <c r="AG256" s="875" t="str">
        <f>IF(O255&lt;&gt;"",O255,"")</f>
        <v/>
      </c>
      <c r="AH256" s="896" t="str">
        <f>IF(F262&lt;&gt;"",F262*100,"")</f>
        <v/>
      </c>
      <c r="AI256" s="897" t="str">
        <f>IF(O264&lt;&gt;"",O264,"")</f>
        <v/>
      </c>
      <c r="AJ256" s="880" t="str">
        <f>IF(AH256="","",((AH256/100)-F264)*100)</f>
        <v/>
      </c>
      <c r="AK256" s="1267" t="str">
        <f>IF(V255&lt;&gt;"",V255*100,"")</f>
        <v/>
      </c>
    </row>
    <row r="257" spans="1:37" s="56" customFormat="1" ht="15" customHeight="1" x14ac:dyDescent="0.3">
      <c r="A257" s="1955"/>
      <c r="B257" s="869" t="s">
        <v>311</v>
      </c>
      <c r="C257" s="666"/>
      <c r="D257" s="870" t="s">
        <v>312</v>
      </c>
      <c r="E257" s="878"/>
      <c r="F257" s="878"/>
      <c r="G257" s="878"/>
      <c r="H257" s="878"/>
      <c r="I257" s="878"/>
      <c r="J257" s="878"/>
      <c r="K257" s="1268"/>
      <c r="L257" s="651" t="str">
        <f>IF(G255&lt;&gt;"",MAX(L$5:L256)+1,"")</f>
        <v/>
      </c>
      <c r="M257" s="1960"/>
      <c r="N257" s="872" t="str">
        <f t="shared" ref="N257:T257" si="203">IF(N256&lt;&gt;"",N256-E259,"")</f>
        <v/>
      </c>
      <c r="O257" s="872" t="str">
        <f t="shared" si="203"/>
        <v/>
      </c>
      <c r="P257" s="872" t="str">
        <f t="shared" si="203"/>
        <v/>
      </c>
      <c r="Q257" s="872" t="str">
        <f t="shared" si="203"/>
        <v/>
      </c>
      <c r="R257" s="872" t="str">
        <f t="shared" si="203"/>
        <v/>
      </c>
      <c r="S257" s="872" t="str">
        <f t="shared" si="203"/>
        <v/>
      </c>
      <c r="T257" s="872" t="str">
        <f t="shared" si="203"/>
        <v/>
      </c>
      <c r="U257" s="879"/>
      <c r="V257" s="879"/>
      <c r="W257" s="879"/>
      <c r="X257" s="879"/>
      <c r="Y257" s="879"/>
      <c r="Z257" s="879"/>
      <c r="AA257" s="879"/>
      <c r="AB257" s="872" t="str">
        <f t="shared" si="202"/>
        <v/>
      </c>
      <c r="AC257" s="873" t="str">
        <f>""</f>
        <v/>
      </c>
      <c r="AD257" s="873" t="str">
        <f>""</f>
        <v/>
      </c>
      <c r="AE257" s="873" t="str">
        <f>IF(G256&lt;&gt;"",G256,"")</f>
        <v/>
      </c>
      <c r="AF257" s="874" t="str">
        <f>IF(G257&lt;&gt;"",G257,"")</f>
        <v/>
      </c>
      <c r="AG257" s="875" t="str">
        <f>IF(P255&lt;&gt;"",P255,"")</f>
        <v/>
      </c>
      <c r="AH257" s="896" t="str">
        <f>IF(G262&lt;&gt;"",G262*100,"")</f>
        <v/>
      </c>
      <c r="AI257" s="897" t="str">
        <f>IF(P264&lt;&gt;"",P264,"")</f>
        <v/>
      </c>
      <c r="AJ257" s="880" t="str">
        <f>IF(AH257="","",((AH257/100)-G264)*100)</f>
        <v/>
      </c>
      <c r="AK257" s="1267" t="str">
        <f>IF(W255&lt;&gt;"",W255*100,"")</f>
        <v/>
      </c>
    </row>
    <row r="258" spans="1:37" s="56" customFormat="1" ht="15" customHeight="1" x14ac:dyDescent="0.3">
      <c r="A258" s="1955"/>
      <c r="B258" s="869" t="s">
        <v>313</v>
      </c>
      <c r="C258" s="666"/>
      <c r="D258" s="870" t="s">
        <v>314</v>
      </c>
      <c r="E258" s="750"/>
      <c r="F258" s="750"/>
      <c r="G258" s="750"/>
      <c r="H258" s="750"/>
      <c r="I258" s="750"/>
      <c r="J258" s="750"/>
      <c r="K258" s="750"/>
      <c r="L258" s="651" t="str">
        <f>IF(H255&lt;&gt;"",MAX(L$5:L257)+1,"")</f>
        <v/>
      </c>
      <c r="M258" s="1960"/>
      <c r="N258" s="872" t="str">
        <f>IF(E258&lt;&gt;"",LOOKUP(E258,Tara!$L$5:$L$21,Tara!$N$5:$N$21),"")</f>
        <v/>
      </c>
      <c r="O258" s="872" t="str">
        <f>IF(F258&lt;&gt;"",LOOKUP(F258,Tara!$L$5:$L$21,Tara!$N$5:$N$21),"")</f>
        <v/>
      </c>
      <c r="P258" s="872" t="str">
        <f>IF(G258&lt;&gt;"",LOOKUP(G258,Tara!$L$5:$L$21,Tara!$N$5:$N$21),"")</f>
        <v/>
      </c>
      <c r="Q258" s="872" t="str">
        <f>IF(H258&lt;&gt;"",LOOKUP(H258,Tara!$L$5:$L$21,Tara!$N$5:$N$21),"")</f>
        <v/>
      </c>
      <c r="R258" s="872" t="str">
        <f>IF(I258&lt;&gt;"",LOOKUP(I258,Tara!$L$5:$L$21,Tara!$N$5:$N$21),"")</f>
        <v/>
      </c>
      <c r="S258" s="872" t="str">
        <f>IF(J258&lt;&gt;"",LOOKUP(J258,Tara!$L$5:$L$21,Tara!$N$5:$N$21),"")</f>
        <v/>
      </c>
      <c r="T258" s="872" t="str">
        <f>IF(K258&lt;&gt;"",LOOKUP(K258,Tara!$L$5:$L$21,Tara!$N$5:$N$21),"")</f>
        <v/>
      </c>
      <c r="U258" s="881"/>
      <c r="V258" s="881"/>
      <c r="W258" s="881"/>
      <c r="X258" s="881"/>
      <c r="Y258" s="881"/>
      <c r="Z258" s="881"/>
      <c r="AA258" s="881"/>
      <c r="AB258" s="872" t="str">
        <f t="shared" si="202"/>
        <v/>
      </c>
      <c r="AC258" s="873" t="str">
        <f>""</f>
        <v/>
      </c>
      <c r="AD258" s="873" t="str">
        <f>""</f>
        <v/>
      </c>
      <c r="AE258" s="873" t="str">
        <f>IF(H256&lt;&gt;"",H256,"")</f>
        <v/>
      </c>
      <c r="AF258" s="874" t="str">
        <f>IF(H257&lt;&gt;"",H257,"")</f>
        <v/>
      </c>
      <c r="AG258" s="875" t="str">
        <f>IF(Q255&lt;&gt;"",Q255,"")</f>
        <v/>
      </c>
      <c r="AH258" s="896" t="str">
        <f>IF(H262&lt;&gt;"",H262*100,"")</f>
        <v/>
      </c>
      <c r="AI258" s="897" t="str">
        <f>IF(Q264&lt;&gt;"",Q264,"")</f>
        <v/>
      </c>
      <c r="AJ258" s="880" t="str">
        <f>IF(AH258="","",((AH258/100)-H264)*100)</f>
        <v/>
      </c>
      <c r="AK258" s="1267" t="str">
        <f>IF(X255&lt;&gt;"",X255*100,"")</f>
        <v/>
      </c>
    </row>
    <row r="259" spans="1:37" s="56" customFormat="1" ht="15" customHeight="1" x14ac:dyDescent="0.3">
      <c r="A259" s="1955"/>
      <c r="B259" s="882" t="s">
        <v>57</v>
      </c>
      <c r="C259" s="688"/>
      <c r="D259" s="870" t="s">
        <v>315</v>
      </c>
      <c r="E259" s="871"/>
      <c r="F259" s="871"/>
      <c r="G259" s="871"/>
      <c r="H259" s="871"/>
      <c r="I259" s="871"/>
      <c r="J259" s="871"/>
      <c r="K259" s="871"/>
      <c r="L259" s="651" t="str">
        <f>IF(I255&lt;&gt;"",MAX(L$5:L258)+1,"")</f>
        <v/>
      </c>
      <c r="M259" s="1960"/>
      <c r="N259" s="872" t="str">
        <f t="shared" ref="N259:T259" si="204">IF(N257&lt;&gt;"",N257-N258,"")</f>
        <v/>
      </c>
      <c r="O259" s="872" t="str">
        <f t="shared" si="204"/>
        <v/>
      </c>
      <c r="P259" s="872" t="str">
        <f t="shared" si="204"/>
        <v/>
      </c>
      <c r="Q259" s="872" t="str">
        <f t="shared" si="204"/>
        <v/>
      </c>
      <c r="R259" s="872" t="str">
        <f t="shared" si="204"/>
        <v/>
      </c>
      <c r="S259" s="872" t="str">
        <f t="shared" si="204"/>
        <v/>
      </c>
      <c r="T259" s="872" t="str">
        <f t="shared" si="204"/>
        <v/>
      </c>
      <c r="U259" s="881"/>
      <c r="V259" s="881"/>
      <c r="W259" s="881"/>
      <c r="X259" s="881"/>
      <c r="Y259" s="881"/>
      <c r="Z259" s="881"/>
      <c r="AA259" s="881"/>
      <c r="AB259" s="872" t="str">
        <f t="shared" si="202"/>
        <v/>
      </c>
      <c r="AC259" s="873" t="str">
        <f>""</f>
        <v/>
      </c>
      <c r="AD259" s="873" t="str">
        <f>""</f>
        <v/>
      </c>
      <c r="AE259" s="873" t="str">
        <f>IF(I256&lt;&gt;"",I256,"")</f>
        <v/>
      </c>
      <c r="AF259" s="874" t="str">
        <f>IF(I257&lt;&gt;"",I257,"")</f>
        <v/>
      </c>
      <c r="AG259" s="875" t="str">
        <f>IF(R255&lt;&gt;"",R255,"")</f>
        <v/>
      </c>
      <c r="AH259" s="896" t="str">
        <f>IF(I262&lt;&gt;"",I262*100,"")</f>
        <v/>
      </c>
      <c r="AI259" s="897" t="str">
        <f>IF(R264&lt;&gt;"",R264,"")</f>
        <v/>
      </c>
      <c r="AJ259" s="880" t="str">
        <f>IF(AH259="","",((AH259/100)-I264)*100)</f>
        <v/>
      </c>
      <c r="AK259" s="1267" t="str">
        <f>IF(Y255&lt;&gt;"",Y255*100,"")</f>
        <v/>
      </c>
    </row>
    <row r="260" spans="1:37" s="316" customFormat="1" ht="15" customHeight="1" x14ac:dyDescent="0.3">
      <c r="A260" s="1955"/>
      <c r="B260" s="882" t="s">
        <v>316</v>
      </c>
      <c r="C260" s="666"/>
      <c r="D260" s="883" t="s">
        <v>317</v>
      </c>
      <c r="E260" s="750"/>
      <c r="F260" s="750"/>
      <c r="G260" s="750"/>
      <c r="H260" s="750"/>
      <c r="I260" s="750"/>
      <c r="J260" s="750"/>
      <c r="K260" s="750"/>
      <c r="L260" s="651" t="str">
        <f>IF(J255&lt;&gt;"",MAX(L$5:L259)+1,"")</f>
        <v/>
      </c>
      <c r="M260" s="1960"/>
      <c r="N260" s="872" t="str">
        <f>IF(E258&lt;&gt;"",LOOKUP(E258,Tara!$L$5:$L$21,Tara!$O$5:$O$21),"")</f>
        <v/>
      </c>
      <c r="O260" s="872" t="str">
        <f>IF(F258&lt;&gt;"",LOOKUP(F258,Tara!$L$5:$L$21,Tara!$O$5:$O$21),"")</f>
        <v/>
      </c>
      <c r="P260" s="872" t="str">
        <f>IF(G258&lt;&gt;"",LOOKUP(G258,Tara!$L$5:$L$21,Tara!$O$5:$O$21),"")</f>
        <v/>
      </c>
      <c r="Q260" s="872" t="str">
        <f>IF(H258&lt;&gt;"",LOOKUP(H258,Tara!$L$5:$L$21,Tara!$O$5:$O$21),"")</f>
        <v/>
      </c>
      <c r="R260" s="872" t="str">
        <f>IF(I258&lt;&gt;"",LOOKUP(I258,Tara!$L$5:$L$21,Tara!$O$5:$O$21),"")</f>
        <v/>
      </c>
      <c r="S260" s="872" t="str">
        <f>IF(J258&lt;&gt;"",LOOKUP(J258,Tara!$L$5:$L$21,Tara!$O$5:$O$21),"")</f>
        <v/>
      </c>
      <c r="T260" s="872" t="str">
        <f>IF(K258&lt;&gt;"",LOOKUP(K258,Tara!$L$5:$L$21,Tara!$O$5:$O$21),"")</f>
        <v/>
      </c>
      <c r="U260" s="884"/>
      <c r="V260" s="884"/>
      <c r="W260" s="884"/>
      <c r="X260" s="884"/>
      <c r="Y260" s="884"/>
      <c r="Z260" s="884"/>
      <c r="AA260" s="884"/>
      <c r="AB260" s="872" t="str">
        <f t="shared" si="202"/>
        <v/>
      </c>
      <c r="AC260" s="873" t="str">
        <f>""</f>
        <v/>
      </c>
      <c r="AD260" s="873" t="str">
        <f>""</f>
        <v/>
      </c>
      <c r="AE260" s="873" t="str">
        <f>IF(J256&lt;&gt;"",J256,"")</f>
        <v/>
      </c>
      <c r="AF260" s="874" t="str">
        <f>IF(J257&lt;&gt;"",J257,"")</f>
        <v/>
      </c>
      <c r="AG260" s="875" t="str">
        <f>IF(S255&lt;&gt;"",S255,"")</f>
        <v/>
      </c>
      <c r="AH260" s="896" t="str">
        <f>IF(J262&lt;&gt;"",J262*100,"")</f>
        <v/>
      </c>
      <c r="AI260" s="897" t="str">
        <f>IF(S264&lt;&gt;"",S264,"")</f>
        <v/>
      </c>
      <c r="AJ260" s="880" t="str">
        <f>IF(AH260="","",((AH260/100)-J264)*100)</f>
        <v/>
      </c>
      <c r="AK260" s="1267" t="str">
        <f>IF(Z255&lt;&gt;"",Z255*100,"")</f>
        <v/>
      </c>
    </row>
    <row r="261" spans="1:37" s="316" customFormat="1" ht="15" customHeight="1" x14ac:dyDescent="0.3">
      <c r="A261" s="1955"/>
      <c r="B261" s="885" t="s">
        <v>318</v>
      </c>
      <c r="C261" s="886"/>
      <c r="D261" s="870" t="s">
        <v>319</v>
      </c>
      <c r="E261" s="750"/>
      <c r="F261" s="750"/>
      <c r="G261" s="750"/>
      <c r="H261" s="750"/>
      <c r="I261" s="750"/>
      <c r="J261" s="750"/>
      <c r="K261" s="750"/>
      <c r="L261" s="651" t="str">
        <f>IF(K255&lt;&gt;"",MAX(L$5:L260)+1,"")</f>
        <v/>
      </c>
      <c r="M261" s="1960"/>
      <c r="N261" s="887" t="str">
        <f>IF(N259&lt;&gt;"",N259/N260,"")</f>
        <v/>
      </c>
      <c r="O261" s="887" t="str">
        <f t="shared" ref="O261:T261" si="205">IF(O259&lt;&gt;"",O259/O260,"")</f>
        <v/>
      </c>
      <c r="P261" s="887" t="str">
        <f t="shared" si="205"/>
        <v/>
      </c>
      <c r="Q261" s="887" t="str">
        <f t="shared" si="205"/>
        <v/>
      </c>
      <c r="R261" s="887" t="str">
        <f t="shared" si="205"/>
        <v/>
      </c>
      <c r="S261" s="887" t="str">
        <f t="shared" si="205"/>
        <v/>
      </c>
      <c r="T261" s="887" t="str">
        <f t="shared" si="205"/>
        <v/>
      </c>
      <c r="U261" s="884"/>
      <c r="V261" s="884"/>
      <c r="W261" s="884"/>
      <c r="X261" s="884"/>
      <c r="Y261" s="884"/>
      <c r="Z261" s="884"/>
      <c r="AA261" s="884"/>
      <c r="AB261" s="872" t="str">
        <f t="shared" si="202"/>
        <v/>
      </c>
      <c r="AC261" s="873" t="str">
        <f>""</f>
        <v/>
      </c>
      <c r="AD261" s="873" t="str">
        <f>""</f>
        <v/>
      </c>
      <c r="AE261" s="873" t="str">
        <f>IF(K256&lt;&gt;"",K256,"")</f>
        <v/>
      </c>
      <c r="AF261" s="874" t="str">
        <f>IF(K257&lt;&gt;"",K257,"")</f>
        <v/>
      </c>
      <c r="AG261" s="875" t="str">
        <f>IF(T255&lt;&gt;"",T255,"")</f>
        <v/>
      </c>
      <c r="AH261" s="896" t="str">
        <f>IF(K262&lt;&gt;"",K262*100,"")</f>
        <v/>
      </c>
      <c r="AI261" s="897" t="str">
        <f>IF(T264&lt;&gt;"",T264,"")</f>
        <v/>
      </c>
      <c r="AJ261" s="880" t="str">
        <f>IF(AH261="","",((AH261/100)-K264)*100)</f>
        <v/>
      </c>
      <c r="AK261" s="1267" t="str">
        <f>IF(AA255&lt;&gt;"",AA255*100,"")</f>
        <v/>
      </c>
    </row>
    <row r="262" spans="1:37" s="316" customFormat="1" ht="15" customHeight="1" x14ac:dyDescent="0.3">
      <c r="A262" s="1955"/>
      <c r="B262" s="652"/>
      <c r="C262" s="653"/>
      <c r="D262" s="870" t="s">
        <v>320</v>
      </c>
      <c r="E262" s="888"/>
      <c r="F262" s="888"/>
      <c r="G262" s="888"/>
      <c r="H262" s="888"/>
      <c r="I262" s="888"/>
      <c r="J262" s="888"/>
      <c r="K262" s="888"/>
      <c r="L262" s="651"/>
      <c r="M262" s="1960"/>
      <c r="N262" s="889" t="str">
        <f>IF(E260&lt;&gt;"",LOOKUP(E260,Tara!$P$5:$P$21,Tara!$Q$5:$Q$21),"")</f>
        <v/>
      </c>
      <c r="O262" s="889" t="str">
        <f>IF(F260&lt;&gt;"",LOOKUP(F260,Tara!$P$5:$P$21,Tara!$Q$5:$Q$21),"")</f>
        <v/>
      </c>
      <c r="P262" s="889" t="str">
        <f>IF(G260&lt;&gt;"",LOOKUP(G260,Tara!$P$5:$P$21,Tara!$Q$5:$Q$21),"")</f>
        <v/>
      </c>
      <c r="Q262" s="889" t="str">
        <f>IF(H260&lt;&gt;"",LOOKUP(H260,Tara!$P$5:$P$21,Tara!$Q$5:$Q$21),"")</f>
        <v/>
      </c>
      <c r="R262" s="889" t="str">
        <f>IF(I260&lt;&gt;"",LOOKUP(I260,Tara!$P$5:$P$21,Tara!$Q$5:$Q$21),"")</f>
        <v/>
      </c>
      <c r="S262" s="889" t="str">
        <f>IF(J260&lt;&gt;"",LOOKUP(J260,Tara!$P$5:$P$21,Tara!$Q$5:$Q$21),"")</f>
        <v/>
      </c>
      <c r="T262" s="889" t="str">
        <f>IF(K260&lt;&gt;"",LOOKUP(K260,Tara!$P$5:$P$21,Tara!$Q$5:$Q$21),"")</f>
        <v/>
      </c>
      <c r="U262" s="884"/>
      <c r="V262" s="884"/>
      <c r="W262" s="884"/>
      <c r="X262" s="884"/>
      <c r="Y262" s="884"/>
      <c r="Z262" s="884"/>
      <c r="AA262" s="884"/>
      <c r="AB262" s="872" t="str">
        <f>""</f>
        <v/>
      </c>
      <c r="AC262" s="873" t="str">
        <f>""</f>
        <v/>
      </c>
      <c r="AD262" s="873" t="str">
        <f>""</f>
        <v/>
      </c>
      <c r="AE262" s="873" t="str">
        <f>""</f>
        <v/>
      </c>
      <c r="AF262" s="874" t="str">
        <f>""</f>
        <v/>
      </c>
      <c r="AG262" s="875" t="str">
        <f>""</f>
        <v/>
      </c>
      <c r="AH262" s="875" t="str">
        <f>""</f>
        <v/>
      </c>
      <c r="AI262" s="875" t="str">
        <f>""</f>
        <v/>
      </c>
      <c r="AJ262" s="890" t="str">
        <f>""</f>
        <v/>
      </c>
      <c r="AK262" s="1267" t="str">
        <f>""</f>
        <v/>
      </c>
    </row>
    <row r="263" spans="1:37" s="316" customFormat="1" ht="15" customHeight="1" x14ac:dyDescent="0.3">
      <c r="A263" s="1955"/>
      <c r="B263" s="654"/>
      <c r="C263" s="655"/>
      <c r="D263" s="891" t="s">
        <v>321</v>
      </c>
      <c r="E263" s="750"/>
      <c r="F263" s="750"/>
      <c r="G263" s="750"/>
      <c r="H263" s="750"/>
      <c r="I263" s="750"/>
      <c r="J263" s="750"/>
      <c r="K263" s="750"/>
      <c r="L263" s="651"/>
      <c r="M263" s="1960"/>
      <c r="N263" s="892" t="str">
        <f t="shared" ref="N263:T263" si="206">IF(E261&lt;&gt;"",(E261-N262)/N261,"")</f>
        <v/>
      </c>
      <c r="O263" s="892" t="str">
        <f t="shared" si="206"/>
        <v/>
      </c>
      <c r="P263" s="892" t="str">
        <f t="shared" si="206"/>
        <v/>
      </c>
      <c r="Q263" s="892" t="str">
        <f t="shared" si="206"/>
        <v/>
      </c>
      <c r="R263" s="892" t="str">
        <f t="shared" si="206"/>
        <v/>
      </c>
      <c r="S263" s="892" t="str">
        <f t="shared" si="206"/>
        <v/>
      </c>
      <c r="T263" s="892" t="str">
        <f t="shared" si="206"/>
        <v/>
      </c>
      <c r="U263" s="884"/>
      <c r="V263" s="884"/>
      <c r="W263" s="884"/>
      <c r="X263" s="884"/>
      <c r="Y263" s="884"/>
      <c r="Z263" s="884"/>
      <c r="AA263" s="884"/>
      <c r="AB263" s="872" t="str">
        <f>""</f>
        <v/>
      </c>
      <c r="AC263" s="873" t="str">
        <f>""</f>
        <v/>
      </c>
      <c r="AD263" s="873" t="str">
        <f>""</f>
        <v/>
      </c>
      <c r="AE263" s="873" t="str">
        <f>""</f>
        <v/>
      </c>
      <c r="AF263" s="874" t="str">
        <f>""</f>
        <v/>
      </c>
      <c r="AG263" s="893" t="str">
        <f>""</f>
        <v/>
      </c>
      <c r="AH263" s="893" t="str">
        <f>""</f>
        <v/>
      </c>
      <c r="AI263" s="893" t="str">
        <f>""</f>
        <v/>
      </c>
      <c r="AJ263" s="895" t="str">
        <f>""</f>
        <v/>
      </c>
      <c r="AK263" s="1269" t="str">
        <f>""</f>
        <v/>
      </c>
    </row>
    <row r="264" spans="1:37" s="316" customFormat="1" ht="15" customHeight="1" thickBot="1" x14ac:dyDescent="0.35">
      <c r="A264" s="1956"/>
      <c r="B264" s="656"/>
      <c r="C264" s="657"/>
      <c r="D264" s="658" t="s">
        <v>99</v>
      </c>
      <c r="E264" s="556"/>
      <c r="F264" s="556"/>
      <c r="G264" s="556"/>
      <c r="H264" s="556"/>
      <c r="I264" s="556"/>
      <c r="J264" s="556"/>
      <c r="K264" s="556"/>
      <c r="L264" s="659"/>
      <c r="M264" s="1961"/>
      <c r="N264" s="549" t="str">
        <f t="shared" ref="N264:T264" si="207">IF(N263&lt;&gt;"",N263/(1+E262),"")</f>
        <v/>
      </c>
      <c r="O264" s="549" t="str">
        <f t="shared" si="207"/>
        <v/>
      </c>
      <c r="P264" s="549" t="str">
        <f t="shared" si="207"/>
        <v/>
      </c>
      <c r="Q264" s="549" t="str">
        <f t="shared" si="207"/>
        <v/>
      </c>
      <c r="R264" s="549" t="str">
        <f t="shared" si="207"/>
        <v/>
      </c>
      <c r="S264" s="549" t="str">
        <f t="shared" si="207"/>
        <v/>
      </c>
      <c r="T264" s="549" t="str">
        <f t="shared" si="207"/>
        <v/>
      </c>
      <c r="U264" s="550"/>
      <c r="V264" s="550"/>
      <c r="W264" s="550"/>
      <c r="X264" s="550"/>
      <c r="Y264" s="550"/>
      <c r="Z264" s="550"/>
      <c r="AA264" s="550"/>
      <c r="AB264" s="551">
        <f>MAX(AB$5:AB263)+1</f>
        <v>26</v>
      </c>
      <c r="AC264" s="552" t="str">
        <f>""</f>
        <v/>
      </c>
      <c r="AD264" s="552" t="str">
        <f>""</f>
        <v/>
      </c>
      <c r="AE264" s="552" t="str">
        <f>""</f>
        <v/>
      </c>
      <c r="AF264" s="558" t="str">
        <f>""</f>
        <v/>
      </c>
      <c r="AG264" s="553" t="str">
        <f>""</f>
        <v/>
      </c>
      <c r="AH264" s="553" t="str">
        <f>""</f>
        <v/>
      </c>
      <c r="AI264" s="553" t="str">
        <f>""</f>
        <v/>
      </c>
      <c r="AJ264" s="554" t="str">
        <f>""</f>
        <v/>
      </c>
      <c r="AK264" s="555" t="str">
        <f>""</f>
        <v/>
      </c>
    </row>
    <row r="265" spans="1:37" s="56" customFormat="1" ht="15" customHeight="1" x14ac:dyDescent="0.3">
      <c r="A265" s="1954">
        <f>A255+1</f>
        <v>27</v>
      </c>
      <c r="B265" s="1957" t="s">
        <v>309</v>
      </c>
      <c r="C265" s="1958"/>
      <c r="D265" s="648" t="s">
        <v>34</v>
      </c>
      <c r="E265" s="649"/>
      <c r="F265" s="649"/>
      <c r="G265" s="649"/>
      <c r="H265" s="649"/>
      <c r="I265" s="649"/>
      <c r="J265" s="649"/>
      <c r="K265" s="649"/>
      <c r="L265" s="650" t="str">
        <f>IF(E265&lt;&gt;"",MAX(L$5:L264)+1,"")</f>
        <v/>
      </c>
      <c r="M265" s="1959" t="s">
        <v>25</v>
      </c>
      <c r="N265" s="539" t="str">
        <f t="shared" ref="N265:T265" si="208">IF(E265&lt;&gt;"",E265,"")</f>
        <v/>
      </c>
      <c r="O265" s="539" t="str">
        <f t="shared" si="208"/>
        <v/>
      </c>
      <c r="P265" s="539" t="str">
        <f t="shared" si="208"/>
        <v/>
      </c>
      <c r="Q265" s="539" t="str">
        <f t="shared" si="208"/>
        <v/>
      </c>
      <c r="R265" s="539" t="str">
        <f t="shared" si="208"/>
        <v/>
      </c>
      <c r="S265" s="539" t="str">
        <f t="shared" si="208"/>
        <v/>
      </c>
      <c r="T265" s="539" t="str">
        <f t="shared" si="208"/>
        <v/>
      </c>
      <c r="U265" s="540" t="str">
        <f t="shared" ref="U265:AA265" si="209">IF(N274&lt;&gt;"",N274/E273*1000,"")</f>
        <v/>
      </c>
      <c r="V265" s="540" t="str">
        <f t="shared" si="209"/>
        <v/>
      </c>
      <c r="W265" s="540" t="str">
        <f t="shared" si="209"/>
        <v/>
      </c>
      <c r="X265" s="540" t="str">
        <f t="shared" si="209"/>
        <v/>
      </c>
      <c r="Y265" s="540" t="str">
        <f t="shared" si="209"/>
        <v/>
      </c>
      <c r="Z265" s="540" t="str">
        <f t="shared" si="209"/>
        <v/>
      </c>
      <c r="AA265" s="540" t="str">
        <f t="shared" si="209"/>
        <v/>
      </c>
      <c r="AB265" s="539" t="str">
        <f>IF(L265&lt;&gt;"",L265,"")</f>
        <v/>
      </c>
      <c r="AC265" s="541" t="str">
        <f>IF(C266&lt;&gt;"",CONCATENATE(C266," a ",C267),"")</f>
        <v/>
      </c>
      <c r="AD265" s="542" t="str">
        <f>IF(C269&lt;&gt;"",C269,"")</f>
        <v/>
      </c>
      <c r="AE265" s="543" t="str">
        <f>IF(E266&lt;&gt;"",E266,"")</f>
        <v/>
      </c>
      <c r="AF265" s="557" t="str">
        <f>IF(E267&lt;&gt;"",E267,"")</f>
        <v/>
      </c>
      <c r="AG265" s="544" t="str">
        <f>IF(N265&lt;&gt;"",N265,"")</f>
        <v/>
      </c>
      <c r="AH265" s="545" t="str">
        <f>IF(E272&lt;&gt;"",E272*100,"")</f>
        <v/>
      </c>
      <c r="AI265" s="546" t="str">
        <f>IF(N274&lt;&gt;"",N274,"")</f>
        <v/>
      </c>
      <c r="AJ265" s="547" t="str">
        <f>IF(AH265="","",((AH265/100)-E274)*100)</f>
        <v/>
      </c>
      <c r="AK265" s="548" t="str">
        <f>IF(U265&lt;&gt;"",U265*100,"")</f>
        <v/>
      </c>
    </row>
    <row r="266" spans="1:37" s="57" customFormat="1" ht="15" customHeight="1" x14ac:dyDescent="0.3">
      <c r="A266" s="1955"/>
      <c r="B266" s="869" t="s">
        <v>310</v>
      </c>
      <c r="C266" s="666"/>
      <c r="D266" s="870" t="s">
        <v>156</v>
      </c>
      <c r="E266" s="871"/>
      <c r="F266" s="871"/>
      <c r="G266" s="871"/>
      <c r="H266" s="871"/>
      <c r="I266" s="871"/>
      <c r="J266" s="871"/>
      <c r="K266" s="871"/>
      <c r="L266" s="651" t="str">
        <f>IF(F265&lt;&gt;"",MAX(L$5:L265)+1,"")</f>
        <v/>
      </c>
      <c r="M266" s="1960"/>
      <c r="N266" s="872" t="str">
        <f>IF(E268&lt;&gt;"",LOOKUP(E268,Tara!$L$5:$L$21,Tara!$M$5:$M$21),"")</f>
        <v/>
      </c>
      <c r="O266" s="872" t="str">
        <f>IF(F268&lt;&gt;"",LOOKUP(F268,Tara!$L$5:$L$21,Tara!$M$5:$M$21),"")</f>
        <v/>
      </c>
      <c r="P266" s="872" t="str">
        <f>IF(G268&lt;&gt;"",LOOKUP(G268,Tara!$L$5:$L$21,Tara!$M$5:$M$21),"")</f>
        <v/>
      </c>
      <c r="Q266" s="872" t="str">
        <f>IF(H268&lt;&gt;"",LOOKUP(H268,Tara!$L$5:$L$21,Tara!$M$5:$M$21),"")</f>
        <v/>
      </c>
      <c r="R266" s="872" t="str">
        <f>IF(I268&lt;&gt;"",LOOKUP(I268,Tara!$L$5:$L$21,Tara!$M$5:$M$21),"")</f>
        <v/>
      </c>
      <c r="S266" s="872" t="str">
        <f>IF(J268&lt;&gt;"",LOOKUP(J268,Tara!$L$5:$L$21,Tara!$M$5:$M$21),"")</f>
        <v/>
      </c>
      <c r="T266" s="872" t="str">
        <f>IF(K268&lt;&gt;"",LOOKUP(K268,Tara!$L$5:$L$21,Tara!$M$5:$M$21),"")</f>
        <v/>
      </c>
      <c r="U266" s="872"/>
      <c r="V266" s="872"/>
      <c r="W266" s="872"/>
      <c r="X266" s="872"/>
      <c r="Y266" s="872"/>
      <c r="Z266" s="872"/>
      <c r="AA266" s="872"/>
      <c r="AB266" s="872" t="str">
        <f t="shared" ref="AB266:AB271" si="210">IF(L266&lt;&gt;"",L266,"")</f>
        <v/>
      </c>
      <c r="AC266" s="873" t="str">
        <f>""</f>
        <v/>
      </c>
      <c r="AD266" s="873" t="str">
        <f>""</f>
        <v/>
      </c>
      <c r="AE266" s="873" t="str">
        <f>IF(F266&lt;&gt;"",F266,"")</f>
        <v/>
      </c>
      <c r="AF266" s="874" t="str">
        <f>IF(E267&lt;&gt;"",F267,"")</f>
        <v/>
      </c>
      <c r="AG266" s="875" t="str">
        <f>IF(O265&lt;&gt;"",O265,"")</f>
        <v/>
      </c>
      <c r="AH266" s="896" t="str">
        <f>IF(F272&lt;&gt;"",F272*100,"")</f>
        <v/>
      </c>
      <c r="AI266" s="897" t="str">
        <f>IF(O274&lt;&gt;"",O274,"")</f>
        <v/>
      </c>
      <c r="AJ266" s="880" t="str">
        <f>IF(AH266="","",((AH266/100)-F274)*100)</f>
        <v/>
      </c>
      <c r="AK266" s="1267" t="str">
        <f>IF(V265&lt;&gt;"",V265*100,"")</f>
        <v/>
      </c>
    </row>
    <row r="267" spans="1:37" s="56" customFormat="1" ht="15" customHeight="1" x14ac:dyDescent="0.3">
      <c r="A267" s="1955"/>
      <c r="B267" s="869" t="s">
        <v>311</v>
      </c>
      <c r="C267" s="666"/>
      <c r="D267" s="870" t="s">
        <v>312</v>
      </c>
      <c r="E267" s="878"/>
      <c r="F267" s="878"/>
      <c r="G267" s="878"/>
      <c r="H267" s="878"/>
      <c r="I267" s="878"/>
      <c r="J267" s="878"/>
      <c r="K267" s="1268"/>
      <c r="L267" s="651" t="str">
        <f>IF(G265&lt;&gt;"",MAX(L$5:L266)+1,"")</f>
        <v/>
      </c>
      <c r="M267" s="1960"/>
      <c r="N267" s="872" t="str">
        <f t="shared" ref="N267:T267" si="211">IF(N266&lt;&gt;"",N266-E269,"")</f>
        <v/>
      </c>
      <c r="O267" s="872" t="str">
        <f t="shared" si="211"/>
        <v/>
      </c>
      <c r="P267" s="872" t="str">
        <f t="shared" si="211"/>
        <v/>
      </c>
      <c r="Q267" s="872" t="str">
        <f t="shared" si="211"/>
        <v/>
      </c>
      <c r="R267" s="872" t="str">
        <f t="shared" si="211"/>
        <v/>
      </c>
      <c r="S267" s="872" t="str">
        <f t="shared" si="211"/>
        <v/>
      </c>
      <c r="T267" s="872" t="str">
        <f t="shared" si="211"/>
        <v/>
      </c>
      <c r="U267" s="879"/>
      <c r="V267" s="879"/>
      <c r="W267" s="879"/>
      <c r="X267" s="879"/>
      <c r="Y267" s="879"/>
      <c r="Z267" s="879"/>
      <c r="AA267" s="879"/>
      <c r="AB267" s="872" t="str">
        <f t="shared" si="210"/>
        <v/>
      </c>
      <c r="AC267" s="873" t="str">
        <f>""</f>
        <v/>
      </c>
      <c r="AD267" s="873" t="str">
        <f>""</f>
        <v/>
      </c>
      <c r="AE267" s="873" t="str">
        <f>IF(G266&lt;&gt;"",G266,"")</f>
        <v/>
      </c>
      <c r="AF267" s="874" t="str">
        <f>IF(G267&lt;&gt;"",G267,"")</f>
        <v/>
      </c>
      <c r="AG267" s="875" t="str">
        <f>IF(P265&lt;&gt;"",P265,"")</f>
        <v/>
      </c>
      <c r="AH267" s="896" t="str">
        <f>IF(G272&lt;&gt;"",G272*100,"")</f>
        <v/>
      </c>
      <c r="AI267" s="897" t="str">
        <f>IF(P274&lt;&gt;"",P274,"")</f>
        <v/>
      </c>
      <c r="AJ267" s="880" t="str">
        <f>IF(AH267="","",((AH267/100)-G274)*100)</f>
        <v/>
      </c>
      <c r="AK267" s="1267" t="str">
        <f>IF(W265&lt;&gt;"",W265*100,"")</f>
        <v/>
      </c>
    </row>
    <row r="268" spans="1:37" s="56" customFormat="1" ht="15" customHeight="1" x14ac:dyDescent="0.3">
      <c r="A268" s="1955"/>
      <c r="B268" s="869" t="s">
        <v>313</v>
      </c>
      <c r="C268" s="666"/>
      <c r="D268" s="870" t="s">
        <v>314</v>
      </c>
      <c r="E268" s="750"/>
      <c r="F268" s="750"/>
      <c r="G268" s="750"/>
      <c r="H268" s="750"/>
      <c r="I268" s="750"/>
      <c r="J268" s="750"/>
      <c r="K268" s="750"/>
      <c r="L268" s="651" t="str">
        <f>IF(H265&lt;&gt;"",MAX(L$5:L267)+1,"")</f>
        <v/>
      </c>
      <c r="M268" s="1960"/>
      <c r="N268" s="872" t="str">
        <f>IF(E268&lt;&gt;"",LOOKUP(E268,Tara!$L$5:$L$21,Tara!$N$5:$N$21),"")</f>
        <v/>
      </c>
      <c r="O268" s="872" t="str">
        <f>IF(F268&lt;&gt;"",LOOKUP(F268,Tara!$L$5:$L$21,Tara!$N$5:$N$21),"")</f>
        <v/>
      </c>
      <c r="P268" s="872" t="str">
        <f>IF(G268&lt;&gt;"",LOOKUP(G268,Tara!$L$5:$L$21,Tara!$N$5:$N$21),"")</f>
        <v/>
      </c>
      <c r="Q268" s="872" t="str">
        <f>IF(H268&lt;&gt;"",LOOKUP(H268,Tara!$L$5:$L$21,Tara!$N$5:$N$21),"")</f>
        <v/>
      </c>
      <c r="R268" s="872" t="str">
        <f>IF(I268&lt;&gt;"",LOOKUP(I268,Tara!$L$5:$L$21,Tara!$N$5:$N$21),"")</f>
        <v/>
      </c>
      <c r="S268" s="872" t="str">
        <f>IF(J268&lt;&gt;"",LOOKUP(J268,Tara!$L$5:$L$21,Tara!$N$5:$N$21),"")</f>
        <v/>
      </c>
      <c r="T268" s="872" t="str">
        <f>IF(K268&lt;&gt;"",LOOKUP(K268,Tara!$L$5:$L$21,Tara!$N$5:$N$21),"")</f>
        <v/>
      </c>
      <c r="U268" s="881"/>
      <c r="V268" s="881"/>
      <c r="W268" s="881"/>
      <c r="X268" s="881"/>
      <c r="Y268" s="881"/>
      <c r="Z268" s="881"/>
      <c r="AA268" s="881"/>
      <c r="AB268" s="872" t="str">
        <f t="shared" si="210"/>
        <v/>
      </c>
      <c r="AC268" s="873" t="str">
        <f>""</f>
        <v/>
      </c>
      <c r="AD268" s="873" t="str">
        <f>""</f>
        <v/>
      </c>
      <c r="AE268" s="873" t="str">
        <f>IF(H266&lt;&gt;"",H266,"")</f>
        <v/>
      </c>
      <c r="AF268" s="874" t="str">
        <f>IF(H267&lt;&gt;"",H267,"")</f>
        <v/>
      </c>
      <c r="AG268" s="875" t="str">
        <f>IF(Q265&lt;&gt;"",Q265,"")</f>
        <v/>
      </c>
      <c r="AH268" s="896" t="str">
        <f>IF(H272&lt;&gt;"",H272*100,"")</f>
        <v/>
      </c>
      <c r="AI268" s="897" t="str">
        <f>IF(Q274&lt;&gt;"",Q274,"")</f>
        <v/>
      </c>
      <c r="AJ268" s="880" t="str">
        <f>IF(AH268="","",((AH268/100)-H274)*100)</f>
        <v/>
      </c>
      <c r="AK268" s="1267" t="str">
        <f>IF(X265&lt;&gt;"",X265*100,"")</f>
        <v/>
      </c>
    </row>
    <row r="269" spans="1:37" s="56" customFormat="1" ht="15" customHeight="1" x14ac:dyDescent="0.3">
      <c r="A269" s="1955"/>
      <c r="B269" s="882" t="s">
        <v>57</v>
      </c>
      <c r="C269" s="688"/>
      <c r="D269" s="870" t="s">
        <v>315</v>
      </c>
      <c r="E269" s="871"/>
      <c r="F269" s="871"/>
      <c r="G269" s="871"/>
      <c r="H269" s="871"/>
      <c r="I269" s="871"/>
      <c r="J269" s="871"/>
      <c r="K269" s="871"/>
      <c r="L269" s="651" t="str">
        <f>IF(I265&lt;&gt;"",MAX(L$5:L268)+1,"")</f>
        <v/>
      </c>
      <c r="M269" s="1960"/>
      <c r="N269" s="872" t="str">
        <f t="shared" ref="N269:T269" si="212">IF(N267&lt;&gt;"",N267-N268,"")</f>
        <v/>
      </c>
      <c r="O269" s="872" t="str">
        <f t="shared" si="212"/>
        <v/>
      </c>
      <c r="P269" s="872" t="str">
        <f t="shared" si="212"/>
        <v/>
      </c>
      <c r="Q269" s="872" t="str">
        <f t="shared" si="212"/>
        <v/>
      </c>
      <c r="R269" s="872" t="str">
        <f t="shared" si="212"/>
        <v/>
      </c>
      <c r="S269" s="872" t="str">
        <f t="shared" si="212"/>
        <v/>
      </c>
      <c r="T269" s="872" t="str">
        <f t="shared" si="212"/>
        <v/>
      </c>
      <c r="U269" s="881"/>
      <c r="V269" s="881"/>
      <c r="W269" s="881"/>
      <c r="X269" s="881"/>
      <c r="Y269" s="881"/>
      <c r="Z269" s="881"/>
      <c r="AA269" s="881"/>
      <c r="AB269" s="872" t="str">
        <f t="shared" si="210"/>
        <v/>
      </c>
      <c r="AC269" s="873" t="str">
        <f>""</f>
        <v/>
      </c>
      <c r="AD269" s="873" t="str">
        <f>""</f>
        <v/>
      </c>
      <c r="AE269" s="873" t="str">
        <f>IF(I266&lt;&gt;"",I266,"")</f>
        <v/>
      </c>
      <c r="AF269" s="874" t="str">
        <f>IF(I267&lt;&gt;"",I267,"")</f>
        <v/>
      </c>
      <c r="AG269" s="875" t="str">
        <f>IF(R265&lt;&gt;"",R265,"")</f>
        <v/>
      </c>
      <c r="AH269" s="896" t="str">
        <f>IF(I272&lt;&gt;"",I272*100,"")</f>
        <v/>
      </c>
      <c r="AI269" s="897" t="str">
        <f>IF(R274&lt;&gt;"",R274,"")</f>
        <v/>
      </c>
      <c r="AJ269" s="880" t="str">
        <f>IF(AH269="","",((AH269/100)-I274)*100)</f>
        <v/>
      </c>
      <c r="AK269" s="1267" t="str">
        <f>IF(Y265&lt;&gt;"",Y265*100,"")</f>
        <v/>
      </c>
    </row>
    <row r="270" spans="1:37" s="316" customFormat="1" ht="15" customHeight="1" x14ac:dyDescent="0.3">
      <c r="A270" s="1955"/>
      <c r="B270" s="882" t="s">
        <v>316</v>
      </c>
      <c r="C270" s="666"/>
      <c r="D270" s="883" t="s">
        <v>317</v>
      </c>
      <c r="E270" s="750"/>
      <c r="F270" s="750"/>
      <c r="G270" s="750"/>
      <c r="H270" s="750"/>
      <c r="I270" s="750"/>
      <c r="J270" s="750"/>
      <c r="K270" s="750"/>
      <c r="L270" s="651" t="str">
        <f>IF(J265&lt;&gt;"",MAX(L$5:L269)+1,"")</f>
        <v/>
      </c>
      <c r="M270" s="1960"/>
      <c r="N270" s="872" t="str">
        <f>IF(E268&lt;&gt;"",LOOKUP(E268,Tara!$L$5:$L$21,Tara!$O$5:$O$21),"")</f>
        <v/>
      </c>
      <c r="O270" s="872" t="str">
        <f>IF(F268&lt;&gt;"",LOOKUP(F268,Tara!$L$5:$L$21,Tara!$O$5:$O$21),"")</f>
        <v/>
      </c>
      <c r="P270" s="872" t="str">
        <f>IF(G268&lt;&gt;"",LOOKUP(G268,Tara!$L$5:$L$21,Tara!$O$5:$O$21),"")</f>
        <v/>
      </c>
      <c r="Q270" s="872" t="str">
        <f>IF(H268&lt;&gt;"",LOOKUP(H268,Tara!$L$5:$L$21,Tara!$O$5:$O$21),"")</f>
        <v/>
      </c>
      <c r="R270" s="872" t="str">
        <f>IF(I268&lt;&gt;"",LOOKUP(I268,Tara!$L$5:$L$21,Tara!$O$5:$O$21),"")</f>
        <v/>
      </c>
      <c r="S270" s="872" t="str">
        <f>IF(J268&lt;&gt;"",LOOKUP(J268,Tara!$L$5:$L$21,Tara!$O$5:$O$21),"")</f>
        <v/>
      </c>
      <c r="T270" s="872" t="str">
        <f>IF(K268&lt;&gt;"",LOOKUP(K268,Tara!$L$5:$L$21,Tara!$O$5:$O$21),"")</f>
        <v/>
      </c>
      <c r="U270" s="884"/>
      <c r="V270" s="884"/>
      <c r="W270" s="884"/>
      <c r="X270" s="884"/>
      <c r="Y270" s="884"/>
      <c r="Z270" s="884"/>
      <c r="AA270" s="884"/>
      <c r="AB270" s="872" t="str">
        <f t="shared" si="210"/>
        <v/>
      </c>
      <c r="AC270" s="873" t="str">
        <f>""</f>
        <v/>
      </c>
      <c r="AD270" s="873" t="str">
        <f>""</f>
        <v/>
      </c>
      <c r="AE270" s="873" t="str">
        <f>IF(J266&lt;&gt;"",J266,"")</f>
        <v/>
      </c>
      <c r="AF270" s="874" t="str">
        <f>IF(J267&lt;&gt;"",J267,"")</f>
        <v/>
      </c>
      <c r="AG270" s="875" t="str">
        <f>IF(S265&lt;&gt;"",S265,"")</f>
        <v/>
      </c>
      <c r="AH270" s="896" t="str">
        <f>IF(J272&lt;&gt;"",J272*100,"")</f>
        <v/>
      </c>
      <c r="AI270" s="897" t="str">
        <f>IF(S274&lt;&gt;"",S274,"")</f>
        <v/>
      </c>
      <c r="AJ270" s="880" t="str">
        <f>IF(AH270="","",((AH270/100)-J274)*100)</f>
        <v/>
      </c>
      <c r="AK270" s="1267" t="str">
        <f>IF(Z265&lt;&gt;"",Z265*100,"")</f>
        <v/>
      </c>
    </row>
    <row r="271" spans="1:37" s="316" customFormat="1" ht="15" customHeight="1" x14ac:dyDescent="0.3">
      <c r="A271" s="1955"/>
      <c r="B271" s="885" t="s">
        <v>318</v>
      </c>
      <c r="C271" s="886"/>
      <c r="D271" s="870" t="s">
        <v>319</v>
      </c>
      <c r="E271" s="750"/>
      <c r="F271" s="750"/>
      <c r="G271" s="750"/>
      <c r="H271" s="750"/>
      <c r="I271" s="750"/>
      <c r="J271" s="750"/>
      <c r="K271" s="750"/>
      <c r="L271" s="651" t="str">
        <f>IF(K265&lt;&gt;"",MAX(L$5:L270)+1,"")</f>
        <v/>
      </c>
      <c r="M271" s="1960"/>
      <c r="N271" s="887" t="str">
        <f>IF(N269&lt;&gt;"",N269/N270,"")</f>
        <v/>
      </c>
      <c r="O271" s="887" t="str">
        <f t="shared" ref="O271:T271" si="213">IF(O269&lt;&gt;"",O269/O270,"")</f>
        <v/>
      </c>
      <c r="P271" s="887" t="str">
        <f t="shared" si="213"/>
        <v/>
      </c>
      <c r="Q271" s="887" t="str">
        <f t="shared" si="213"/>
        <v/>
      </c>
      <c r="R271" s="887" t="str">
        <f t="shared" si="213"/>
        <v/>
      </c>
      <c r="S271" s="887" t="str">
        <f t="shared" si="213"/>
        <v/>
      </c>
      <c r="T271" s="887" t="str">
        <f t="shared" si="213"/>
        <v/>
      </c>
      <c r="U271" s="884"/>
      <c r="V271" s="884"/>
      <c r="W271" s="884"/>
      <c r="X271" s="884"/>
      <c r="Y271" s="884"/>
      <c r="Z271" s="884"/>
      <c r="AA271" s="884"/>
      <c r="AB271" s="872" t="str">
        <f t="shared" si="210"/>
        <v/>
      </c>
      <c r="AC271" s="873" t="str">
        <f>""</f>
        <v/>
      </c>
      <c r="AD271" s="873" t="str">
        <f>""</f>
        <v/>
      </c>
      <c r="AE271" s="873" t="str">
        <f>IF(K266&lt;&gt;"",K266,"")</f>
        <v/>
      </c>
      <c r="AF271" s="874" t="str">
        <f>IF(K267&lt;&gt;"",K267,"")</f>
        <v/>
      </c>
      <c r="AG271" s="875" t="str">
        <f>IF(T265&lt;&gt;"",T265,"")</f>
        <v/>
      </c>
      <c r="AH271" s="896" t="str">
        <f>IF(K272&lt;&gt;"",K272*100,"")</f>
        <v/>
      </c>
      <c r="AI271" s="897" t="str">
        <f>IF(T274&lt;&gt;"",T274,"")</f>
        <v/>
      </c>
      <c r="AJ271" s="880" t="str">
        <f>IF(AH271="","",((AH271/100)-K274)*100)</f>
        <v/>
      </c>
      <c r="AK271" s="1267" t="str">
        <f>IF(AA265&lt;&gt;"",AA265*100,"")</f>
        <v/>
      </c>
    </row>
    <row r="272" spans="1:37" s="316" customFormat="1" ht="15" customHeight="1" x14ac:dyDescent="0.3">
      <c r="A272" s="1955"/>
      <c r="B272" s="652"/>
      <c r="C272" s="653"/>
      <c r="D272" s="870" t="s">
        <v>320</v>
      </c>
      <c r="E272" s="888"/>
      <c r="F272" s="888"/>
      <c r="G272" s="888"/>
      <c r="H272" s="888"/>
      <c r="I272" s="888"/>
      <c r="J272" s="888"/>
      <c r="K272" s="888"/>
      <c r="L272" s="651"/>
      <c r="M272" s="1960"/>
      <c r="N272" s="889" t="str">
        <f>IF(E270&lt;&gt;"",LOOKUP(E270,Tara!$P$5:$P$21,Tara!$Q$5:$Q$21),"")</f>
        <v/>
      </c>
      <c r="O272" s="889" t="str">
        <f>IF(F270&lt;&gt;"",LOOKUP(F270,Tara!$P$5:$P$21,Tara!$Q$5:$Q$21),"")</f>
        <v/>
      </c>
      <c r="P272" s="889" t="str">
        <f>IF(G270&lt;&gt;"",LOOKUP(G270,Tara!$P$5:$P$21,Tara!$Q$5:$Q$21),"")</f>
        <v/>
      </c>
      <c r="Q272" s="889" t="str">
        <f>IF(H270&lt;&gt;"",LOOKUP(H270,Tara!$P$5:$P$21,Tara!$Q$5:$Q$21),"")</f>
        <v/>
      </c>
      <c r="R272" s="889" t="str">
        <f>IF(I270&lt;&gt;"",LOOKUP(I270,Tara!$P$5:$P$21,Tara!$Q$5:$Q$21),"")</f>
        <v/>
      </c>
      <c r="S272" s="889" t="str">
        <f>IF(J270&lt;&gt;"",LOOKUP(J270,Tara!$P$5:$P$21,Tara!$Q$5:$Q$21),"")</f>
        <v/>
      </c>
      <c r="T272" s="889" t="str">
        <f>IF(K270&lt;&gt;"",LOOKUP(K270,Tara!$P$5:$P$21,Tara!$Q$5:$Q$21),"")</f>
        <v/>
      </c>
      <c r="U272" s="884"/>
      <c r="V272" s="884"/>
      <c r="W272" s="884"/>
      <c r="X272" s="884"/>
      <c r="Y272" s="884"/>
      <c r="Z272" s="884"/>
      <c r="AA272" s="884"/>
      <c r="AB272" s="872" t="str">
        <f>""</f>
        <v/>
      </c>
      <c r="AC272" s="873" t="str">
        <f>""</f>
        <v/>
      </c>
      <c r="AD272" s="873" t="str">
        <f>""</f>
        <v/>
      </c>
      <c r="AE272" s="873" t="str">
        <f>""</f>
        <v/>
      </c>
      <c r="AF272" s="874" t="str">
        <f>""</f>
        <v/>
      </c>
      <c r="AG272" s="875" t="str">
        <f>""</f>
        <v/>
      </c>
      <c r="AH272" s="875" t="str">
        <f>""</f>
        <v/>
      </c>
      <c r="AI272" s="875" t="str">
        <f>""</f>
        <v/>
      </c>
      <c r="AJ272" s="890" t="str">
        <f>""</f>
        <v/>
      </c>
      <c r="AK272" s="1267" t="str">
        <f>""</f>
        <v/>
      </c>
    </row>
    <row r="273" spans="1:37" s="316" customFormat="1" ht="15" customHeight="1" x14ac:dyDescent="0.3">
      <c r="A273" s="1955"/>
      <c r="B273" s="654"/>
      <c r="C273" s="655"/>
      <c r="D273" s="891" t="s">
        <v>321</v>
      </c>
      <c r="E273" s="750"/>
      <c r="F273" s="750"/>
      <c r="G273" s="750"/>
      <c r="H273" s="750"/>
      <c r="I273" s="750"/>
      <c r="J273" s="750"/>
      <c r="K273" s="750"/>
      <c r="L273" s="651"/>
      <c r="M273" s="1960"/>
      <c r="N273" s="892" t="str">
        <f t="shared" ref="N273:T273" si="214">IF(E271&lt;&gt;"",(E271-N272)/N271,"")</f>
        <v/>
      </c>
      <c r="O273" s="892" t="str">
        <f t="shared" si="214"/>
        <v/>
      </c>
      <c r="P273" s="892" t="str">
        <f t="shared" si="214"/>
        <v/>
      </c>
      <c r="Q273" s="892" t="str">
        <f t="shared" si="214"/>
        <v/>
      </c>
      <c r="R273" s="892" t="str">
        <f t="shared" si="214"/>
        <v/>
      </c>
      <c r="S273" s="892" t="str">
        <f t="shared" si="214"/>
        <v/>
      </c>
      <c r="T273" s="892" t="str">
        <f t="shared" si="214"/>
        <v/>
      </c>
      <c r="U273" s="884"/>
      <c r="V273" s="884"/>
      <c r="W273" s="884"/>
      <c r="X273" s="884"/>
      <c r="Y273" s="884"/>
      <c r="Z273" s="884"/>
      <c r="AA273" s="884"/>
      <c r="AB273" s="872" t="str">
        <f>""</f>
        <v/>
      </c>
      <c r="AC273" s="873" t="str">
        <f>""</f>
        <v/>
      </c>
      <c r="AD273" s="873" t="str">
        <f>""</f>
        <v/>
      </c>
      <c r="AE273" s="873" t="str">
        <f>""</f>
        <v/>
      </c>
      <c r="AF273" s="874" t="str">
        <f>""</f>
        <v/>
      </c>
      <c r="AG273" s="893" t="str">
        <f>""</f>
        <v/>
      </c>
      <c r="AH273" s="893" t="str">
        <f>""</f>
        <v/>
      </c>
      <c r="AI273" s="893" t="str">
        <f>""</f>
        <v/>
      </c>
      <c r="AJ273" s="895" t="str">
        <f>""</f>
        <v/>
      </c>
      <c r="AK273" s="1269" t="str">
        <f>""</f>
        <v/>
      </c>
    </row>
    <row r="274" spans="1:37" s="316" customFormat="1" ht="15" customHeight="1" thickBot="1" x14ac:dyDescent="0.35">
      <c r="A274" s="1956"/>
      <c r="B274" s="656"/>
      <c r="C274" s="657"/>
      <c r="D274" s="658" t="s">
        <v>99</v>
      </c>
      <c r="E274" s="556"/>
      <c r="F274" s="556"/>
      <c r="G274" s="556"/>
      <c r="H274" s="556"/>
      <c r="I274" s="556"/>
      <c r="J274" s="556"/>
      <c r="K274" s="556"/>
      <c r="L274" s="659"/>
      <c r="M274" s="1961"/>
      <c r="N274" s="549" t="str">
        <f t="shared" ref="N274:T274" si="215">IF(N273&lt;&gt;"",N273/(1+E272),"")</f>
        <v/>
      </c>
      <c r="O274" s="549" t="str">
        <f t="shared" si="215"/>
        <v/>
      </c>
      <c r="P274" s="549" t="str">
        <f t="shared" si="215"/>
        <v/>
      </c>
      <c r="Q274" s="549" t="str">
        <f t="shared" si="215"/>
        <v/>
      </c>
      <c r="R274" s="549" t="str">
        <f t="shared" si="215"/>
        <v/>
      </c>
      <c r="S274" s="549" t="str">
        <f t="shared" si="215"/>
        <v/>
      </c>
      <c r="T274" s="549" t="str">
        <f t="shared" si="215"/>
        <v/>
      </c>
      <c r="U274" s="550"/>
      <c r="V274" s="550"/>
      <c r="W274" s="550"/>
      <c r="X274" s="550"/>
      <c r="Y274" s="550"/>
      <c r="Z274" s="550"/>
      <c r="AA274" s="550"/>
      <c r="AB274" s="551">
        <f>MAX(AB$5:AB273)+1</f>
        <v>27</v>
      </c>
      <c r="AC274" s="552" t="str">
        <f>""</f>
        <v/>
      </c>
      <c r="AD274" s="552" t="str">
        <f>""</f>
        <v/>
      </c>
      <c r="AE274" s="552" t="str">
        <f>""</f>
        <v/>
      </c>
      <c r="AF274" s="558" t="str">
        <f>""</f>
        <v/>
      </c>
      <c r="AG274" s="553" t="str">
        <f>""</f>
        <v/>
      </c>
      <c r="AH274" s="553" t="str">
        <f>""</f>
        <v/>
      </c>
      <c r="AI274" s="553" t="str">
        <f>""</f>
        <v/>
      </c>
      <c r="AJ274" s="554" t="str">
        <f>""</f>
        <v/>
      </c>
      <c r="AK274" s="555" t="str">
        <f>""</f>
        <v/>
      </c>
    </row>
    <row r="275" spans="1:37" s="56" customFormat="1" ht="15" customHeight="1" x14ac:dyDescent="0.3">
      <c r="A275" s="1954">
        <f>A265+1</f>
        <v>28</v>
      </c>
      <c r="B275" s="1957" t="s">
        <v>309</v>
      </c>
      <c r="C275" s="1958"/>
      <c r="D275" s="648" t="s">
        <v>34</v>
      </c>
      <c r="E275" s="649"/>
      <c r="F275" s="649"/>
      <c r="G275" s="649"/>
      <c r="H275" s="649"/>
      <c r="I275" s="649"/>
      <c r="J275" s="649"/>
      <c r="K275" s="649"/>
      <c r="L275" s="650" t="str">
        <f>IF(E275&lt;&gt;"",MAX(L$5:L274)+1,"")</f>
        <v/>
      </c>
      <c r="M275" s="1959" t="s">
        <v>25</v>
      </c>
      <c r="N275" s="539" t="str">
        <f t="shared" ref="N275:T275" si="216">IF(E275&lt;&gt;"",E275,"")</f>
        <v/>
      </c>
      <c r="O275" s="539" t="str">
        <f t="shared" si="216"/>
        <v/>
      </c>
      <c r="P275" s="539" t="str">
        <f t="shared" si="216"/>
        <v/>
      </c>
      <c r="Q275" s="539" t="str">
        <f t="shared" si="216"/>
        <v/>
      </c>
      <c r="R275" s="539" t="str">
        <f t="shared" si="216"/>
        <v/>
      </c>
      <c r="S275" s="539" t="str">
        <f t="shared" si="216"/>
        <v/>
      </c>
      <c r="T275" s="539" t="str">
        <f t="shared" si="216"/>
        <v/>
      </c>
      <c r="U275" s="540" t="str">
        <f t="shared" ref="U275:AA275" si="217">IF(N284&lt;&gt;"",N284/E283*1000,"")</f>
        <v/>
      </c>
      <c r="V275" s="540" t="str">
        <f t="shared" si="217"/>
        <v/>
      </c>
      <c r="W275" s="540" t="str">
        <f t="shared" si="217"/>
        <v/>
      </c>
      <c r="X275" s="540" t="str">
        <f t="shared" si="217"/>
        <v/>
      </c>
      <c r="Y275" s="540" t="str">
        <f t="shared" si="217"/>
        <v/>
      </c>
      <c r="Z275" s="540" t="str">
        <f t="shared" si="217"/>
        <v/>
      </c>
      <c r="AA275" s="540" t="str">
        <f t="shared" si="217"/>
        <v/>
      </c>
      <c r="AB275" s="539" t="str">
        <f>IF(L275&lt;&gt;"",L275,"")</f>
        <v/>
      </c>
      <c r="AC275" s="541" t="str">
        <f>IF(C276&lt;&gt;"",CONCATENATE(C276," a ",C277),"")</f>
        <v/>
      </c>
      <c r="AD275" s="542" t="str">
        <f>IF(C279&lt;&gt;"",C279,"")</f>
        <v/>
      </c>
      <c r="AE275" s="543" t="str">
        <f>IF(E276&lt;&gt;"",E276,"")</f>
        <v/>
      </c>
      <c r="AF275" s="557" t="str">
        <f>IF(E277&lt;&gt;"",E277,"")</f>
        <v/>
      </c>
      <c r="AG275" s="544" t="str">
        <f>IF(N275&lt;&gt;"",N275,"")</f>
        <v/>
      </c>
      <c r="AH275" s="545" t="str">
        <f>IF(E282&lt;&gt;"",E282*100,"")</f>
        <v/>
      </c>
      <c r="AI275" s="546" t="str">
        <f>IF(N284&lt;&gt;"",N284,"")</f>
        <v/>
      </c>
      <c r="AJ275" s="547" t="str">
        <f>IF(AH275="","",((AH275/100)-E284)*100)</f>
        <v/>
      </c>
      <c r="AK275" s="548" t="str">
        <f>IF(U275&lt;&gt;"",U275*100,"")</f>
        <v/>
      </c>
    </row>
    <row r="276" spans="1:37" s="57" customFormat="1" ht="15" customHeight="1" x14ac:dyDescent="0.3">
      <c r="A276" s="1955"/>
      <c r="B276" s="869" t="s">
        <v>310</v>
      </c>
      <c r="C276" s="666"/>
      <c r="D276" s="870" t="s">
        <v>156</v>
      </c>
      <c r="E276" s="871"/>
      <c r="F276" s="871"/>
      <c r="G276" s="871"/>
      <c r="H276" s="871"/>
      <c r="I276" s="871"/>
      <c r="J276" s="871"/>
      <c r="K276" s="871"/>
      <c r="L276" s="651" t="str">
        <f>IF(F275&lt;&gt;"",MAX(L$5:L275)+1,"")</f>
        <v/>
      </c>
      <c r="M276" s="1960"/>
      <c r="N276" s="872" t="str">
        <f>IF(E278&lt;&gt;"",LOOKUP(E278,Tara!$L$5:$L$21,Tara!$M$5:$M$21),"")</f>
        <v/>
      </c>
      <c r="O276" s="872" t="str">
        <f>IF(F278&lt;&gt;"",LOOKUP(F278,Tara!$L$5:$L$21,Tara!$M$5:$M$21),"")</f>
        <v/>
      </c>
      <c r="P276" s="872" t="str">
        <f>IF(G278&lt;&gt;"",LOOKUP(G278,Tara!$L$5:$L$21,Tara!$M$5:$M$21),"")</f>
        <v/>
      </c>
      <c r="Q276" s="872" t="str">
        <f>IF(H278&lt;&gt;"",LOOKUP(H278,Tara!$L$5:$L$21,Tara!$M$5:$M$21),"")</f>
        <v/>
      </c>
      <c r="R276" s="872" t="str">
        <f>IF(I278&lt;&gt;"",LOOKUP(I278,Tara!$L$5:$L$21,Tara!$M$5:$M$21),"")</f>
        <v/>
      </c>
      <c r="S276" s="872" t="str">
        <f>IF(J278&lt;&gt;"",LOOKUP(J278,Tara!$L$5:$L$21,Tara!$M$5:$M$21),"")</f>
        <v/>
      </c>
      <c r="T276" s="872" t="str">
        <f>IF(K278&lt;&gt;"",LOOKUP(K278,Tara!$L$5:$L$21,Tara!$M$5:$M$21),"")</f>
        <v/>
      </c>
      <c r="U276" s="872"/>
      <c r="V276" s="872"/>
      <c r="W276" s="872"/>
      <c r="X276" s="872"/>
      <c r="Y276" s="872"/>
      <c r="Z276" s="872"/>
      <c r="AA276" s="872"/>
      <c r="AB276" s="872" t="str">
        <f t="shared" ref="AB276:AB281" si="218">IF(L276&lt;&gt;"",L276,"")</f>
        <v/>
      </c>
      <c r="AC276" s="873" t="str">
        <f>""</f>
        <v/>
      </c>
      <c r="AD276" s="873" t="str">
        <f>""</f>
        <v/>
      </c>
      <c r="AE276" s="873" t="str">
        <f>IF(F276&lt;&gt;"",F276,"")</f>
        <v/>
      </c>
      <c r="AF276" s="874" t="str">
        <f>IF(E277&lt;&gt;"",F277,"")</f>
        <v/>
      </c>
      <c r="AG276" s="875" t="str">
        <f>IF(O275&lt;&gt;"",O275,"")</f>
        <v/>
      </c>
      <c r="AH276" s="896" t="str">
        <f>IF(F282&lt;&gt;"",F282*100,"")</f>
        <v/>
      </c>
      <c r="AI276" s="897" t="str">
        <f>IF(O284&lt;&gt;"",O284,"")</f>
        <v/>
      </c>
      <c r="AJ276" s="880" t="str">
        <f>IF(AH276="","",((AH276/100)-F284)*100)</f>
        <v/>
      </c>
      <c r="AK276" s="1267" t="str">
        <f>IF(V275&lt;&gt;"",V275*100,"")</f>
        <v/>
      </c>
    </row>
    <row r="277" spans="1:37" s="56" customFormat="1" ht="15" customHeight="1" x14ac:dyDescent="0.3">
      <c r="A277" s="1955"/>
      <c r="B277" s="869" t="s">
        <v>311</v>
      </c>
      <c r="C277" s="666"/>
      <c r="D277" s="870" t="s">
        <v>312</v>
      </c>
      <c r="E277" s="878"/>
      <c r="F277" s="878"/>
      <c r="G277" s="878"/>
      <c r="H277" s="878"/>
      <c r="I277" s="878"/>
      <c r="J277" s="878"/>
      <c r="K277" s="1268"/>
      <c r="L277" s="651" t="str">
        <f>IF(G275&lt;&gt;"",MAX(L$5:L276)+1,"")</f>
        <v/>
      </c>
      <c r="M277" s="1960"/>
      <c r="N277" s="872" t="str">
        <f t="shared" ref="N277:T277" si="219">IF(N276&lt;&gt;"",N276-E279,"")</f>
        <v/>
      </c>
      <c r="O277" s="872" t="str">
        <f t="shared" si="219"/>
        <v/>
      </c>
      <c r="P277" s="872" t="str">
        <f t="shared" si="219"/>
        <v/>
      </c>
      <c r="Q277" s="872" t="str">
        <f t="shared" si="219"/>
        <v/>
      </c>
      <c r="R277" s="872" t="str">
        <f t="shared" si="219"/>
        <v/>
      </c>
      <c r="S277" s="872" t="str">
        <f t="shared" si="219"/>
        <v/>
      </c>
      <c r="T277" s="872" t="str">
        <f t="shared" si="219"/>
        <v/>
      </c>
      <c r="U277" s="879"/>
      <c r="V277" s="879"/>
      <c r="W277" s="879"/>
      <c r="X277" s="879"/>
      <c r="Y277" s="879"/>
      <c r="Z277" s="879"/>
      <c r="AA277" s="879"/>
      <c r="AB277" s="872" t="str">
        <f t="shared" si="218"/>
        <v/>
      </c>
      <c r="AC277" s="873" t="str">
        <f>""</f>
        <v/>
      </c>
      <c r="AD277" s="873" t="str">
        <f>""</f>
        <v/>
      </c>
      <c r="AE277" s="873" t="str">
        <f>IF(G276&lt;&gt;"",G276,"")</f>
        <v/>
      </c>
      <c r="AF277" s="874" t="str">
        <f>IF(G277&lt;&gt;"",G277,"")</f>
        <v/>
      </c>
      <c r="AG277" s="875" t="str">
        <f>IF(P275&lt;&gt;"",P275,"")</f>
        <v/>
      </c>
      <c r="AH277" s="896" t="str">
        <f>IF(G282&lt;&gt;"",G282*100,"")</f>
        <v/>
      </c>
      <c r="AI277" s="897" t="str">
        <f>IF(P284&lt;&gt;"",P284,"")</f>
        <v/>
      </c>
      <c r="AJ277" s="880" t="str">
        <f>IF(AH277="","",((AH277/100)-G284)*100)</f>
        <v/>
      </c>
      <c r="AK277" s="1267" t="str">
        <f>IF(W275&lt;&gt;"",W275*100,"")</f>
        <v/>
      </c>
    </row>
    <row r="278" spans="1:37" s="56" customFormat="1" ht="15" customHeight="1" x14ac:dyDescent="0.3">
      <c r="A278" s="1955"/>
      <c r="B278" s="869" t="s">
        <v>313</v>
      </c>
      <c r="C278" s="666"/>
      <c r="D278" s="870" t="s">
        <v>314</v>
      </c>
      <c r="E278" s="750"/>
      <c r="F278" s="750"/>
      <c r="G278" s="750"/>
      <c r="H278" s="750"/>
      <c r="I278" s="750"/>
      <c r="J278" s="750"/>
      <c r="K278" s="750"/>
      <c r="L278" s="651" t="str">
        <f>IF(H275&lt;&gt;"",MAX(L$5:L277)+1,"")</f>
        <v/>
      </c>
      <c r="M278" s="1960"/>
      <c r="N278" s="872" t="str">
        <f>IF(E278&lt;&gt;"",LOOKUP(E278,Tara!$L$5:$L$21,Tara!$N$5:$N$21),"")</f>
        <v/>
      </c>
      <c r="O278" s="872" t="str">
        <f>IF(F278&lt;&gt;"",LOOKUP(F278,Tara!$L$5:$L$21,Tara!$N$5:$N$21),"")</f>
        <v/>
      </c>
      <c r="P278" s="872" t="str">
        <f>IF(G278&lt;&gt;"",LOOKUP(G278,Tara!$L$5:$L$21,Tara!$N$5:$N$21),"")</f>
        <v/>
      </c>
      <c r="Q278" s="872" t="str">
        <f>IF(H278&lt;&gt;"",LOOKUP(H278,Tara!$L$5:$L$21,Tara!$N$5:$N$21),"")</f>
        <v/>
      </c>
      <c r="R278" s="872" t="str">
        <f>IF(I278&lt;&gt;"",LOOKUP(I278,Tara!$L$5:$L$21,Tara!$N$5:$N$21),"")</f>
        <v/>
      </c>
      <c r="S278" s="872" t="str">
        <f>IF(J278&lt;&gt;"",LOOKUP(J278,Tara!$L$5:$L$21,Tara!$N$5:$N$21),"")</f>
        <v/>
      </c>
      <c r="T278" s="872" t="str">
        <f>IF(K278&lt;&gt;"",LOOKUP(K278,Tara!$L$5:$L$21,Tara!$N$5:$N$21),"")</f>
        <v/>
      </c>
      <c r="U278" s="881"/>
      <c r="V278" s="881"/>
      <c r="W278" s="881"/>
      <c r="X278" s="881"/>
      <c r="Y278" s="881"/>
      <c r="Z278" s="881"/>
      <c r="AA278" s="881"/>
      <c r="AB278" s="872" t="str">
        <f t="shared" si="218"/>
        <v/>
      </c>
      <c r="AC278" s="873" t="str">
        <f>""</f>
        <v/>
      </c>
      <c r="AD278" s="873" t="str">
        <f>""</f>
        <v/>
      </c>
      <c r="AE278" s="873" t="str">
        <f>IF(H276&lt;&gt;"",H276,"")</f>
        <v/>
      </c>
      <c r="AF278" s="874" t="str">
        <f>IF(H277&lt;&gt;"",H277,"")</f>
        <v/>
      </c>
      <c r="AG278" s="875" t="str">
        <f>IF(Q275&lt;&gt;"",Q275,"")</f>
        <v/>
      </c>
      <c r="AH278" s="896" t="str">
        <f>IF(H282&lt;&gt;"",H282*100,"")</f>
        <v/>
      </c>
      <c r="AI278" s="897" t="str">
        <f>IF(Q284&lt;&gt;"",Q284,"")</f>
        <v/>
      </c>
      <c r="AJ278" s="880" t="str">
        <f>IF(AH278="","",((AH278/100)-H284)*100)</f>
        <v/>
      </c>
      <c r="AK278" s="1267" t="str">
        <f>IF(X275&lt;&gt;"",X275*100,"")</f>
        <v/>
      </c>
    </row>
    <row r="279" spans="1:37" s="56" customFormat="1" ht="15" customHeight="1" x14ac:dyDescent="0.3">
      <c r="A279" s="1955"/>
      <c r="B279" s="882" t="s">
        <v>57</v>
      </c>
      <c r="C279" s="688"/>
      <c r="D279" s="870" t="s">
        <v>315</v>
      </c>
      <c r="E279" s="871"/>
      <c r="F279" s="871"/>
      <c r="G279" s="871"/>
      <c r="H279" s="871"/>
      <c r="I279" s="871"/>
      <c r="J279" s="871"/>
      <c r="K279" s="871"/>
      <c r="L279" s="651" t="str">
        <f>IF(I275&lt;&gt;"",MAX(L$5:L278)+1,"")</f>
        <v/>
      </c>
      <c r="M279" s="1960"/>
      <c r="N279" s="872" t="str">
        <f t="shared" ref="N279:T279" si="220">IF(N277&lt;&gt;"",N277-N278,"")</f>
        <v/>
      </c>
      <c r="O279" s="872" t="str">
        <f t="shared" si="220"/>
        <v/>
      </c>
      <c r="P279" s="872" t="str">
        <f t="shared" si="220"/>
        <v/>
      </c>
      <c r="Q279" s="872" t="str">
        <f t="shared" si="220"/>
        <v/>
      </c>
      <c r="R279" s="872" t="str">
        <f t="shared" si="220"/>
        <v/>
      </c>
      <c r="S279" s="872" t="str">
        <f t="shared" si="220"/>
        <v/>
      </c>
      <c r="T279" s="872" t="str">
        <f t="shared" si="220"/>
        <v/>
      </c>
      <c r="U279" s="881"/>
      <c r="V279" s="881"/>
      <c r="W279" s="881"/>
      <c r="X279" s="881"/>
      <c r="Y279" s="881"/>
      <c r="Z279" s="881"/>
      <c r="AA279" s="881"/>
      <c r="AB279" s="872" t="str">
        <f t="shared" si="218"/>
        <v/>
      </c>
      <c r="AC279" s="873" t="str">
        <f>""</f>
        <v/>
      </c>
      <c r="AD279" s="873" t="str">
        <f>""</f>
        <v/>
      </c>
      <c r="AE279" s="873" t="str">
        <f>IF(I276&lt;&gt;"",I276,"")</f>
        <v/>
      </c>
      <c r="AF279" s="874" t="str">
        <f>IF(I277&lt;&gt;"",I277,"")</f>
        <v/>
      </c>
      <c r="AG279" s="875" t="str">
        <f>IF(R275&lt;&gt;"",R275,"")</f>
        <v/>
      </c>
      <c r="AH279" s="896" t="str">
        <f>IF(I282&lt;&gt;"",I282*100,"")</f>
        <v/>
      </c>
      <c r="AI279" s="897" t="str">
        <f>IF(R284&lt;&gt;"",R284,"")</f>
        <v/>
      </c>
      <c r="AJ279" s="880" t="str">
        <f>IF(AH279="","",((AH279/100)-I284)*100)</f>
        <v/>
      </c>
      <c r="AK279" s="1267" t="str">
        <f>IF(Y275&lt;&gt;"",Y275*100,"")</f>
        <v/>
      </c>
    </row>
    <row r="280" spans="1:37" s="316" customFormat="1" ht="15" customHeight="1" x14ac:dyDescent="0.3">
      <c r="A280" s="1955"/>
      <c r="B280" s="882" t="s">
        <v>316</v>
      </c>
      <c r="C280" s="666"/>
      <c r="D280" s="883" t="s">
        <v>317</v>
      </c>
      <c r="E280" s="750"/>
      <c r="F280" s="750"/>
      <c r="G280" s="750"/>
      <c r="H280" s="750"/>
      <c r="I280" s="750"/>
      <c r="J280" s="750"/>
      <c r="K280" s="750"/>
      <c r="L280" s="651" t="str">
        <f>IF(J275&lt;&gt;"",MAX(L$5:L279)+1,"")</f>
        <v/>
      </c>
      <c r="M280" s="1960"/>
      <c r="N280" s="872" t="str">
        <f>IF(E278&lt;&gt;"",LOOKUP(E278,Tara!$L$5:$L$21,Tara!$O$5:$O$21),"")</f>
        <v/>
      </c>
      <c r="O280" s="872" t="str">
        <f>IF(F278&lt;&gt;"",LOOKUP(F278,Tara!$L$5:$L$21,Tara!$O$5:$O$21),"")</f>
        <v/>
      </c>
      <c r="P280" s="872" t="str">
        <f>IF(G278&lt;&gt;"",LOOKUP(G278,Tara!$L$5:$L$21,Tara!$O$5:$O$21),"")</f>
        <v/>
      </c>
      <c r="Q280" s="872" t="str">
        <f>IF(H278&lt;&gt;"",LOOKUP(H278,Tara!$L$5:$L$21,Tara!$O$5:$O$21),"")</f>
        <v/>
      </c>
      <c r="R280" s="872" t="str">
        <f>IF(I278&lt;&gt;"",LOOKUP(I278,Tara!$L$5:$L$21,Tara!$O$5:$O$21),"")</f>
        <v/>
      </c>
      <c r="S280" s="872" t="str">
        <f>IF(J278&lt;&gt;"",LOOKUP(J278,Tara!$L$5:$L$21,Tara!$O$5:$O$21),"")</f>
        <v/>
      </c>
      <c r="T280" s="872" t="str">
        <f>IF(K278&lt;&gt;"",LOOKUP(K278,Tara!$L$5:$L$21,Tara!$O$5:$O$21),"")</f>
        <v/>
      </c>
      <c r="U280" s="884"/>
      <c r="V280" s="884"/>
      <c r="W280" s="884"/>
      <c r="X280" s="884"/>
      <c r="Y280" s="884"/>
      <c r="Z280" s="884"/>
      <c r="AA280" s="884"/>
      <c r="AB280" s="872" t="str">
        <f t="shared" si="218"/>
        <v/>
      </c>
      <c r="AC280" s="873" t="str">
        <f>""</f>
        <v/>
      </c>
      <c r="AD280" s="873" t="str">
        <f>""</f>
        <v/>
      </c>
      <c r="AE280" s="873" t="str">
        <f>IF(J276&lt;&gt;"",J276,"")</f>
        <v/>
      </c>
      <c r="AF280" s="874" t="str">
        <f>IF(J277&lt;&gt;"",J277,"")</f>
        <v/>
      </c>
      <c r="AG280" s="875" t="str">
        <f>IF(S275&lt;&gt;"",S275,"")</f>
        <v/>
      </c>
      <c r="AH280" s="896" t="str">
        <f>IF(J282&lt;&gt;"",J282*100,"")</f>
        <v/>
      </c>
      <c r="AI280" s="897" t="str">
        <f>IF(S284&lt;&gt;"",S284,"")</f>
        <v/>
      </c>
      <c r="AJ280" s="880" t="str">
        <f>IF(AH280="","",((AH280/100)-J284)*100)</f>
        <v/>
      </c>
      <c r="AK280" s="1267" t="str">
        <f>IF(Z275&lt;&gt;"",Z275*100,"")</f>
        <v/>
      </c>
    </row>
    <row r="281" spans="1:37" s="316" customFormat="1" ht="15" customHeight="1" x14ac:dyDescent="0.3">
      <c r="A281" s="1955"/>
      <c r="B281" s="885" t="s">
        <v>318</v>
      </c>
      <c r="C281" s="886"/>
      <c r="D281" s="870" t="s">
        <v>319</v>
      </c>
      <c r="E281" s="750"/>
      <c r="F281" s="750"/>
      <c r="G281" s="750"/>
      <c r="H281" s="750"/>
      <c r="I281" s="750"/>
      <c r="J281" s="750"/>
      <c r="K281" s="750"/>
      <c r="L281" s="651" t="str">
        <f>IF(K275&lt;&gt;"",MAX(L$5:L280)+1,"")</f>
        <v/>
      </c>
      <c r="M281" s="1960"/>
      <c r="N281" s="887" t="str">
        <f>IF(N279&lt;&gt;"",N279/N280,"")</f>
        <v/>
      </c>
      <c r="O281" s="887" t="str">
        <f t="shared" ref="O281:T281" si="221">IF(O279&lt;&gt;"",O279/O280,"")</f>
        <v/>
      </c>
      <c r="P281" s="887" t="str">
        <f t="shared" si="221"/>
        <v/>
      </c>
      <c r="Q281" s="887" t="str">
        <f t="shared" si="221"/>
        <v/>
      </c>
      <c r="R281" s="887" t="str">
        <f t="shared" si="221"/>
        <v/>
      </c>
      <c r="S281" s="887" t="str">
        <f t="shared" si="221"/>
        <v/>
      </c>
      <c r="T281" s="887" t="str">
        <f t="shared" si="221"/>
        <v/>
      </c>
      <c r="U281" s="884"/>
      <c r="V281" s="884"/>
      <c r="W281" s="884"/>
      <c r="X281" s="884"/>
      <c r="Y281" s="884"/>
      <c r="Z281" s="884"/>
      <c r="AA281" s="884"/>
      <c r="AB281" s="872" t="str">
        <f t="shared" si="218"/>
        <v/>
      </c>
      <c r="AC281" s="873" t="str">
        <f>""</f>
        <v/>
      </c>
      <c r="AD281" s="873" t="str">
        <f>""</f>
        <v/>
      </c>
      <c r="AE281" s="873" t="str">
        <f>IF(K276&lt;&gt;"",K276,"")</f>
        <v/>
      </c>
      <c r="AF281" s="874" t="str">
        <f>IF(K277&lt;&gt;"",K277,"")</f>
        <v/>
      </c>
      <c r="AG281" s="875" t="str">
        <f>IF(T275&lt;&gt;"",T275,"")</f>
        <v/>
      </c>
      <c r="AH281" s="896" t="str">
        <f>IF(K282&lt;&gt;"",K282*100,"")</f>
        <v/>
      </c>
      <c r="AI281" s="897" t="str">
        <f>IF(T284&lt;&gt;"",T284,"")</f>
        <v/>
      </c>
      <c r="AJ281" s="880" t="str">
        <f>IF(AH281="","",((AH281/100)-K284)*100)</f>
        <v/>
      </c>
      <c r="AK281" s="1267" t="str">
        <f>IF(AA275&lt;&gt;"",AA275*100,"")</f>
        <v/>
      </c>
    </row>
    <row r="282" spans="1:37" s="316" customFormat="1" ht="15" customHeight="1" x14ac:dyDescent="0.3">
      <c r="A282" s="1955"/>
      <c r="B282" s="652"/>
      <c r="C282" s="653"/>
      <c r="D282" s="870" t="s">
        <v>320</v>
      </c>
      <c r="E282" s="888"/>
      <c r="F282" s="888"/>
      <c r="G282" s="888"/>
      <c r="H282" s="888"/>
      <c r="I282" s="888"/>
      <c r="J282" s="888"/>
      <c r="K282" s="888"/>
      <c r="L282" s="651"/>
      <c r="M282" s="1960"/>
      <c r="N282" s="889" t="str">
        <f>IF(E280&lt;&gt;"",LOOKUP(E280,Tara!$P$5:$P$21,Tara!$Q$5:$Q$21),"")</f>
        <v/>
      </c>
      <c r="O282" s="889" t="str">
        <f>IF(F280&lt;&gt;"",LOOKUP(F280,Tara!$P$5:$P$21,Tara!$Q$5:$Q$21),"")</f>
        <v/>
      </c>
      <c r="P282" s="889" t="str">
        <f>IF(G280&lt;&gt;"",LOOKUP(G280,Tara!$P$5:$P$21,Tara!$Q$5:$Q$21),"")</f>
        <v/>
      </c>
      <c r="Q282" s="889" t="str">
        <f>IF(H280&lt;&gt;"",LOOKUP(H280,Tara!$P$5:$P$21,Tara!$Q$5:$Q$21),"")</f>
        <v/>
      </c>
      <c r="R282" s="889" t="str">
        <f>IF(I280&lt;&gt;"",LOOKUP(I280,Tara!$P$5:$P$21,Tara!$Q$5:$Q$21),"")</f>
        <v/>
      </c>
      <c r="S282" s="889" t="str">
        <f>IF(J280&lt;&gt;"",LOOKUP(J280,Tara!$P$5:$P$21,Tara!$Q$5:$Q$21),"")</f>
        <v/>
      </c>
      <c r="T282" s="889" t="str">
        <f>IF(K280&lt;&gt;"",LOOKUP(K280,Tara!$P$5:$P$21,Tara!$Q$5:$Q$21),"")</f>
        <v/>
      </c>
      <c r="U282" s="884"/>
      <c r="V282" s="884"/>
      <c r="W282" s="884"/>
      <c r="X282" s="884"/>
      <c r="Y282" s="884"/>
      <c r="Z282" s="884"/>
      <c r="AA282" s="884"/>
      <c r="AB282" s="872" t="str">
        <f>""</f>
        <v/>
      </c>
      <c r="AC282" s="873" t="str">
        <f>""</f>
        <v/>
      </c>
      <c r="AD282" s="873" t="str">
        <f>""</f>
        <v/>
      </c>
      <c r="AE282" s="873" t="str">
        <f>""</f>
        <v/>
      </c>
      <c r="AF282" s="874" t="str">
        <f>""</f>
        <v/>
      </c>
      <c r="AG282" s="875" t="str">
        <f>""</f>
        <v/>
      </c>
      <c r="AH282" s="875" t="str">
        <f>""</f>
        <v/>
      </c>
      <c r="AI282" s="875" t="str">
        <f>""</f>
        <v/>
      </c>
      <c r="AJ282" s="890" t="str">
        <f>""</f>
        <v/>
      </c>
      <c r="AK282" s="1267" t="str">
        <f>""</f>
        <v/>
      </c>
    </row>
    <row r="283" spans="1:37" s="316" customFormat="1" ht="15" customHeight="1" x14ac:dyDescent="0.3">
      <c r="A283" s="1955"/>
      <c r="B283" s="654"/>
      <c r="C283" s="655"/>
      <c r="D283" s="891" t="s">
        <v>321</v>
      </c>
      <c r="E283" s="750"/>
      <c r="F283" s="750"/>
      <c r="G283" s="750"/>
      <c r="H283" s="750"/>
      <c r="I283" s="750"/>
      <c r="J283" s="750"/>
      <c r="K283" s="750"/>
      <c r="L283" s="651"/>
      <c r="M283" s="1960"/>
      <c r="N283" s="892" t="str">
        <f t="shared" ref="N283:T283" si="222">IF(E281&lt;&gt;"",(E281-N282)/N281,"")</f>
        <v/>
      </c>
      <c r="O283" s="892" t="str">
        <f t="shared" si="222"/>
        <v/>
      </c>
      <c r="P283" s="892" t="str">
        <f t="shared" si="222"/>
        <v/>
      </c>
      <c r="Q283" s="892" t="str">
        <f t="shared" si="222"/>
        <v/>
      </c>
      <c r="R283" s="892" t="str">
        <f t="shared" si="222"/>
        <v/>
      </c>
      <c r="S283" s="892" t="str">
        <f t="shared" si="222"/>
        <v/>
      </c>
      <c r="T283" s="892" t="str">
        <f t="shared" si="222"/>
        <v/>
      </c>
      <c r="U283" s="884"/>
      <c r="V283" s="884"/>
      <c r="W283" s="884"/>
      <c r="X283" s="884"/>
      <c r="Y283" s="884"/>
      <c r="Z283" s="884"/>
      <c r="AA283" s="884"/>
      <c r="AB283" s="872" t="str">
        <f>""</f>
        <v/>
      </c>
      <c r="AC283" s="873" t="str">
        <f>""</f>
        <v/>
      </c>
      <c r="AD283" s="873" t="str">
        <f>""</f>
        <v/>
      </c>
      <c r="AE283" s="873" t="str">
        <f>""</f>
        <v/>
      </c>
      <c r="AF283" s="874" t="str">
        <f>""</f>
        <v/>
      </c>
      <c r="AG283" s="893" t="str">
        <f>""</f>
        <v/>
      </c>
      <c r="AH283" s="893" t="str">
        <f>""</f>
        <v/>
      </c>
      <c r="AI283" s="893" t="str">
        <f>""</f>
        <v/>
      </c>
      <c r="AJ283" s="895" t="str">
        <f>""</f>
        <v/>
      </c>
      <c r="AK283" s="1269" t="str">
        <f>""</f>
        <v/>
      </c>
    </row>
    <row r="284" spans="1:37" s="316" customFormat="1" ht="15" customHeight="1" thickBot="1" x14ac:dyDescent="0.35">
      <c r="A284" s="1956"/>
      <c r="B284" s="656"/>
      <c r="C284" s="657"/>
      <c r="D284" s="658" t="s">
        <v>99</v>
      </c>
      <c r="E284" s="556"/>
      <c r="F284" s="556"/>
      <c r="G284" s="556"/>
      <c r="H284" s="556"/>
      <c r="I284" s="556"/>
      <c r="J284" s="556"/>
      <c r="K284" s="556"/>
      <c r="L284" s="659"/>
      <c r="M284" s="1961"/>
      <c r="N284" s="549" t="str">
        <f t="shared" ref="N284:T284" si="223">IF(N283&lt;&gt;"",N283/(1+E282),"")</f>
        <v/>
      </c>
      <c r="O284" s="549" t="str">
        <f t="shared" si="223"/>
        <v/>
      </c>
      <c r="P284" s="549" t="str">
        <f t="shared" si="223"/>
        <v/>
      </c>
      <c r="Q284" s="549" t="str">
        <f t="shared" si="223"/>
        <v/>
      </c>
      <c r="R284" s="549" t="str">
        <f t="shared" si="223"/>
        <v/>
      </c>
      <c r="S284" s="549" t="str">
        <f t="shared" si="223"/>
        <v/>
      </c>
      <c r="T284" s="549" t="str">
        <f t="shared" si="223"/>
        <v/>
      </c>
      <c r="U284" s="550"/>
      <c r="V284" s="550"/>
      <c r="W284" s="550"/>
      <c r="X284" s="550"/>
      <c r="Y284" s="550"/>
      <c r="Z284" s="550"/>
      <c r="AA284" s="550"/>
      <c r="AB284" s="551">
        <f>MAX(AB$5:AB283)+1</f>
        <v>28</v>
      </c>
      <c r="AC284" s="552" t="str">
        <f>""</f>
        <v/>
      </c>
      <c r="AD284" s="552" t="str">
        <f>""</f>
        <v/>
      </c>
      <c r="AE284" s="552" t="str">
        <f>""</f>
        <v/>
      </c>
      <c r="AF284" s="558" t="str">
        <f>""</f>
        <v/>
      </c>
      <c r="AG284" s="553" t="str">
        <f>""</f>
        <v/>
      </c>
      <c r="AH284" s="553" t="str">
        <f>""</f>
        <v/>
      </c>
      <c r="AI284" s="553" t="str">
        <f>""</f>
        <v/>
      </c>
      <c r="AJ284" s="554" t="str">
        <f>""</f>
        <v/>
      </c>
      <c r="AK284" s="555" t="str">
        <f>""</f>
        <v/>
      </c>
    </row>
    <row r="285" spans="1:37" s="56" customFormat="1" ht="15" customHeight="1" x14ac:dyDescent="0.3">
      <c r="A285" s="1954">
        <f>A275+1</f>
        <v>29</v>
      </c>
      <c r="B285" s="1957" t="s">
        <v>309</v>
      </c>
      <c r="C285" s="1958"/>
      <c r="D285" s="648" t="s">
        <v>34</v>
      </c>
      <c r="E285" s="649"/>
      <c r="F285" s="649"/>
      <c r="G285" s="649"/>
      <c r="H285" s="649"/>
      <c r="I285" s="649"/>
      <c r="J285" s="649"/>
      <c r="K285" s="649"/>
      <c r="L285" s="650" t="str">
        <f>IF(E285&lt;&gt;"",MAX(L$5:L284)+1,"")</f>
        <v/>
      </c>
      <c r="M285" s="1959" t="s">
        <v>25</v>
      </c>
      <c r="N285" s="539" t="str">
        <f t="shared" ref="N285:T285" si="224">IF(E285&lt;&gt;"",E285,"")</f>
        <v/>
      </c>
      <c r="O285" s="539" t="str">
        <f t="shared" si="224"/>
        <v/>
      </c>
      <c r="P285" s="539" t="str">
        <f t="shared" si="224"/>
        <v/>
      </c>
      <c r="Q285" s="539" t="str">
        <f t="shared" si="224"/>
        <v/>
      </c>
      <c r="R285" s="539" t="str">
        <f t="shared" si="224"/>
        <v/>
      </c>
      <c r="S285" s="539" t="str">
        <f t="shared" si="224"/>
        <v/>
      </c>
      <c r="T285" s="539" t="str">
        <f t="shared" si="224"/>
        <v/>
      </c>
      <c r="U285" s="540" t="str">
        <f t="shared" ref="U285:AA285" si="225">IF(N294&lt;&gt;"",N294/E293*1000,"")</f>
        <v/>
      </c>
      <c r="V285" s="540" t="str">
        <f t="shared" si="225"/>
        <v/>
      </c>
      <c r="W285" s="540" t="str">
        <f t="shared" si="225"/>
        <v/>
      </c>
      <c r="X285" s="540" t="str">
        <f t="shared" si="225"/>
        <v/>
      </c>
      <c r="Y285" s="540" t="str">
        <f t="shared" si="225"/>
        <v/>
      </c>
      <c r="Z285" s="540" t="str">
        <f t="shared" si="225"/>
        <v/>
      </c>
      <c r="AA285" s="540" t="str">
        <f t="shared" si="225"/>
        <v/>
      </c>
      <c r="AB285" s="539" t="str">
        <f>IF(L285&lt;&gt;"",L285,"")</f>
        <v/>
      </c>
      <c r="AC285" s="541" t="str">
        <f>IF(C286&lt;&gt;"",CONCATENATE(C286," a ",C287),"")</f>
        <v/>
      </c>
      <c r="AD285" s="542" t="str">
        <f>IF(C289&lt;&gt;"",C289,"")</f>
        <v/>
      </c>
      <c r="AE285" s="543" t="str">
        <f>IF(E286&lt;&gt;"",E286,"")</f>
        <v/>
      </c>
      <c r="AF285" s="557" t="str">
        <f>IF(E287&lt;&gt;"",E287,"")</f>
        <v/>
      </c>
      <c r="AG285" s="544" t="str">
        <f>IF(N285&lt;&gt;"",N285,"")</f>
        <v/>
      </c>
      <c r="AH285" s="545" t="str">
        <f>IF(E292&lt;&gt;"",E292*100,"")</f>
        <v/>
      </c>
      <c r="AI285" s="546" t="str">
        <f>IF(N294&lt;&gt;"",N294,"")</f>
        <v/>
      </c>
      <c r="AJ285" s="547" t="str">
        <f>IF(AH285="","",((AH285/100)-E294)*100)</f>
        <v/>
      </c>
      <c r="AK285" s="548" t="str">
        <f>IF(U285&lt;&gt;"",U285*100,"")</f>
        <v/>
      </c>
    </row>
    <row r="286" spans="1:37" s="57" customFormat="1" ht="15" customHeight="1" x14ac:dyDescent="0.3">
      <c r="A286" s="1955"/>
      <c r="B286" s="869" t="s">
        <v>310</v>
      </c>
      <c r="C286" s="666"/>
      <c r="D286" s="870" t="s">
        <v>156</v>
      </c>
      <c r="E286" s="871"/>
      <c r="F286" s="871"/>
      <c r="G286" s="871"/>
      <c r="H286" s="871"/>
      <c r="I286" s="871"/>
      <c r="J286" s="871"/>
      <c r="K286" s="871"/>
      <c r="L286" s="651" t="str">
        <f>IF(F285&lt;&gt;"",MAX(L$5:L285)+1,"")</f>
        <v/>
      </c>
      <c r="M286" s="1960"/>
      <c r="N286" s="872" t="str">
        <f>IF(E288&lt;&gt;"",LOOKUP(E288,Tara!$L$5:$L$21,Tara!$M$5:$M$21),"")</f>
        <v/>
      </c>
      <c r="O286" s="872" t="str">
        <f>IF(F288&lt;&gt;"",LOOKUP(F288,Tara!$L$5:$L$21,Tara!$M$5:$M$21),"")</f>
        <v/>
      </c>
      <c r="P286" s="872" t="str">
        <f>IF(G288&lt;&gt;"",LOOKUP(G288,Tara!$L$5:$L$21,Tara!$M$5:$M$21),"")</f>
        <v/>
      </c>
      <c r="Q286" s="872" t="str">
        <f>IF(H288&lt;&gt;"",LOOKUP(H288,Tara!$L$5:$L$21,Tara!$M$5:$M$21),"")</f>
        <v/>
      </c>
      <c r="R286" s="872" t="str">
        <f>IF(I288&lt;&gt;"",LOOKUP(I288,Tara!$L$5:$L$21,Tara!$M$5:$M$21),"")</f>
        <v/>
      </c>
      <c r="S286" s="872" t="str">
        <f>IF(J288&lt;&gt;"",LOOKUP(J288,Tara!$L$5:$L$21,Tara!$M$5:$M$21),"")</f>
        <v/>
      </c>
      <c r="T286" s="872" t="str">
        <f>IF(K288&lt;&gt;"",LOOKUP(K288,Tara!$L$5:$L$21,Tara!$M$5:$M$21),"")</f>
        <v/>
      </c>
      <c r="U286" s="872"/>
      <c r="V286" s="872"/>
      <c r="W286" s="872"/>
      <c r="X286" s="872"/>
      <c r="Y286" s="872"/>
      <c r="Z286" s="872"/>
      <c r="AA286" s="872"/>
      <c r="AB286" s="872" t="str">
        <f t="shared" ref="AB286:AB291" si="226">IF(L286&lt;&gt;"",L286,"")</f>
        <v/>
      </c>
      <c r="AC286" s="873" t="str">
        <f>""</f>
        <v/>
      </c>
      <c r="AD286" s="873" t="str">
        <f>""</f>
        <v/>
      </c>
      <c r="AE286" s="873" t="str">
        <f>IF(F286&lt;&gt;"",F286,"")</f>
        <v/>
      </c>
      <c r="AF286" s="874" t="str">
        <f>IF(E287&lt;&gt;"",F287,"")</f>
        <v/>
      </c>
      <c r="AG286" s="875" t="str">
        <f>IF(O285&lt;&gt;"",O285,"")</f>
        <v/>
      </c>
      <c r="AH286" s="896" t="str">
        <f>IF(F292&lt;&gt;"",F292*100,"")</f>
        <v/>
      </c>
      <c r="AI286" s="897" t="str">
        <f>IF(O294&lt;&gt;"",O294,"")</f>
        <v/>
      </c>
      <c r="AJ286" s="880" t="str">
        <f>IF(AH286="","",((AH286/100)-F294)*100)</f>
        <v/>
      </c>
      <c r="AK286" s="1267" t="str">
        <f>IF(V285&lt;&gt;"",V285*100,"")</f>
        <v/>
      </c>
    </row>
    <row r="287" spans="1:37" s="56" customFormat="1" ht="15" customHeight="1" x14ac:dyDescent="0.3">
      <c r="A287" s="1955"/>
      <c r="B287" s="869" t="s">
        <v>311</v>
      </c>
      <c r="C287" s="666"/>
      <c r="D287" s="870" t="s">
        <v>312</v>
      </c>
      <c r="E287" s="878"/>
      <c r="F287" s="878"/>
      <c r="G287" s="878"/>
      <c r="H287" s="878"/>
      <c r="I287" s="878"/>
      <c r="J287" s="878"/>
      <c r="K287" s="1268"/>
      <c r="L287" s="651" t="str">
        <f>IF(G285&lt;&gt;"",MAX(L$5:L286)+1,"")</f>
        <v/>
      </c>
      <c r="M287" s="1960"/>
      <c r="N287" s="872" t="str">
        <f t="shared" ref="N287:T287" si="227">IF(N286&lt;&gt;"",N286-E289,"")</f>
        <v/>
      </c>
      <c r="O287" s="872" t="str">
        <f t="shared" si="227"/>
        <v/>
      </c>
      <c r="P287" s="872" t="str">
        <f t="shared" si="227"/>
        <v/>
      </c>
      <c r="Q287" s="872" t="str">
        <f t="shared" si="227"/>
        <v/>
      </c>
      <c r="R287" s="872" t="str">
        <f t="shared" si="227"/>
        <v/>
      </c>
      <c r="S287" s="872" t="str">
        <f t="shared" si="227"/>
        <v/>
      </c>
      <c r="T287" s="872" t="str">
        <f t="shared" si="227"/>
        <v/>
      </c>
      <c r="U287" s="879"/>
      <c r="V287" s="879"/>
      <c r="W287" s="879"/>
      <c r="X287" s="879"/>
      <c r="Y287" s="879"/>
      <c r="Z287" s="879"/>
      <c r="AA287" s="879"/>
      <c r="AB287" s="872" t="str">
        <f t="shared" si="226"/>
        <v/>
      </c>
      <c r="AC287" s="873" t="str">
        <f>""</f>
        <v/>
      </c>
      <c r="AD287" s="873" t="str">
        <f>""</f>
        <v/>
      </c>
      <c r="AE287" s="873" t="str">
        <f>IF(G286&lt;&gt;"",G286,"")</f>
        <v/>
      </c>
      <c r="AF287" s="874" t="str">
        <f>IF(G287&lt;&gt;"",G287,"")</f>
        <v/>
      </c>
      <c r="AG287" s="875" t="str">
        <f>IF(P285&lt;&gt;"",P285,"")</f>
        <v/>
      </c>
      <c r="AH287" s="896" t="str">
        <f>IF(G292&lt;&gt;"",G292*100,"")</f>
        <v/>
      </c>
      <c r="AI287" s="897" t="str">
        <f>IF(P294&lt;&gt;"",P294,"")</f>
        <v/>
      </c>
      <c r="AJ287" s="880" t="str">
        <f>IF(AH287="","",((AH287/100)-G294)*100)</f>
        <v/>
      </c>
      <c r="AK287" s="1267" t="str">
        <f>IF(W285&lt;&gt;"",W285*100,"")</f>
        <v/>
      </c>
    </row>
    <row r="288" spans="1:37" s="56" customFormat="1" ht="15" customHeight="1" x14ac:dyDescent="0.3">
      <c r="A288" s="1955"/>
      <c r="B288" s="869" t="s">
        <v>313</v>
      </c>
      <c r="C288" s="666"/>
      <c r="D288" s="870" t="s">
        <v>314</v>
      </c>
      <c r="E288" s="750"/>
      <c r="F288" s="750"/>
      <c r="G288" s="750"/>
      <c r="H288" s="750"/>
      <c r="I288" s="750"/>
      <c r="J288" s="750"/>
      <c r="K288" s="750"/>
      <c r="L288" s="651" t="str">
        <f>IF(H285&lt;&gt;"",MAX(L$5:L287)+1,"")</f>
        <v/>
      </c>
      <c r="M288" s="1960"/>
      <c r="N288" s="872" t="str">
        <f>IF(E288&lt;&gt;"",LOOKUP(E288,Tara!$L$5:$L$21,Tara!$N$5:$N$21),"")</f>
        <v/>
      </c>
      <c r="O288" s="872" t="str">
        <f>IF(F288&lt;&gt;"",LOOKUP(F288,Tara!$L$5:$L$21,Tara!$N$5:$N$21),"")</f>
        <v/>
      </c>
      <c r="P288" s="872" t="str">
        <f>IF(G288&lt;&gt;"",LOOKUP(G288,Tara!$L$5:$L$21,Tara!$N$5:$N$21),"")</f>
        <v/>
      </c>
      <c r="Q288" s="872" t="str">
        <f>IF(H288&lt;&gt;"",LOOKUP(H288,Tara!$L$5:$L$21,Tara!$N$5:$N$21),"")</f>
        <v/>
      </c>
      <c r="R288" s="872" t="str">
        <f>IF(I288&lt;&gt;"",LOOKUP(I288,Tara!$L$5:$L$21,Tara!$N$5:$N$21),"")</f>
        <v/>
      </c>
      <c r="S288" s="872" t="str">
        <f>IF(J288&lt;&gt;"",LOOKUP(J288,Tara!$L$5:$L$21,Tara!$N$5:$N$21),"")</f>
        <v/>
      </c>
      <c r="T288" s="872" t="str">
        <f>IF(K288&lt;&gt;"",LOOKUP(K288,Tara!$L$5:$L$21,Tara!$N$5:$N$21),"")</f>
        <v/>
      </c>
      <c r="U288" s="881"/>
      <c r="V288" s="881"/>
      <c r="W288" s="881"/>
      <c r="X288" s="881"/>
      <c r="Y288" s="881"/>
      <c r="Z288" s="881"/>
      <c r="AA288" s="881"/>
      <c r="AB288" s="872" t="str">
        <f t="shared" si="226"/>
        <v/>
      </c>
      <c r="AC288" s="873" t="str">
        <f>""</f>
        <v/>
      </c>
      <c r="AD288" s="873" t="str">
        <f>""</f>
        <v/>
      </c>
      <c r="AE288" s="873" t="str">
        <f>IF(H286&lt;&gt;"",H286,"")</f>
        <v/>
      </c>
      <c r="AF288" s="874" t="str">
        <f>IF(H287&lt;&gt;"",H287,"")</f>
        <v/>
      </c>
      <c r="AG288" s="875" t="str">
        <f>IF(Q285&lt;&gt;"",Q285,"")</f>
        <v/>
      </c>
      <c r="AH288" s="896" t="str">
        <f>IF(H292&lt;&gt;"",H292*100,"")</f>
        <v/>
      </c>
      <c r="AI288" s="897" t="str">
        <f>IF(Q294&lt;&gt;"",Q294,"")</f>
        <v/>
      </c>
      <c r="AJ288" s="880" t="str">
        <f>IF(AH288="","",((AH288/100)-H294)*100)</f>
        <v/>
      </c>
      <c r="AK288" s="1267" t="str">
        <f>IF(X285&lt;&gt;"",X285*100,"")</f>
        <v/>
      </c>
    </row>
    <row r="289" spans="1:37" s="56" customFormat="1" ht="15" customHeight="1" x14ac:dyDescent="0.3">
      <c r="A289" s="1955"/>
      <c r="B289" s="882" t="s">
        <v>57</v>
      </c>
      <c r="C289" s="688"/>
      <c r="D289" s="870" t="s">
        <v>315</v>
      </c>
      <c r="E289" s="871"/>
      <c r="F289" s="871"/>
      <c r="G289" s="871"/>
      <c r="H289" s="871"/>
      <c r="I289" s="871"/>
      <c r="J289" s="871"/>
      <c r="K289" s="871"/>
      <c r="L289" s="651" t="str">
        <f>IF(I285&lt;&gt;"",MAX(L$5:L288)+1,"")</f>
        <v/>
      </c>
      <c r="M289" s="1960"/>
      <c r="N289" s="872" t="str">
        <f t="shared" ref="N289:T289" si="228">IF(N287&lt;&gt;"",N287-N288,"")</f>
        <v/>
      </c>
      <c r="O289" s="872" t="str">
        <f t="shared" si="228"/>
        <v/>
      </c>
      <c r="P289" s="872" t="str">
        <f t="shared" si="228"/>
        <v/>
      </c>
      <c r="Q289" s="872" t="str">
        <f t="shared" si="228"/>
        <v/>
      </c>
      <c r="R289" s="872" t="str">
        <f t="shared" si="228"/>
        <v/>
      </c>
      <c r="S289" s="872" t="str">
        <f t="shared" si="228"/>
        <v/>
      </c>
      <c r="T289" s="872" t="str">
        <f t="shared" si="228"/>
        <v/>
      </c>
      <c r="U289" s="881"/>
      <c r="V289" s="881"/>
      <c r="W289" s="881"/>
      <c r="X289" s="881"/>
      <c r="Y289" s="881"/>
      <c r="Z289" s="881"/>
      <c r="AA289" s="881"/>
      <c r="AB289" s="872" t="str">
        <f t="shared" si="226"/>
        <v/>
      </c>
      <c r="AC289" s="873" t="str">
        <f>""</f>
        <v/>
      </c>
      <c r="AD289" s="873" t="str">
        <f>""</f>
        <v/>
      </c>
      <c r="AE289" s="873" t="str">
        <f>IF(I286&lt;&gt;"",I286,"")</f>
        <v/>
      </c>
      <c r="AF289" s="874" t="str">
        <f>IF(I287&lt;&gt;"",I287,"")</f>
        <v/>
      </c>
      <c r="AG289" s="875" t="str">
        <f>IF(R285&lt;&gt;"",R285,"")</f>
        <v/>
      </c>
      <c r="AH289" s="896" t="str">
        <f>IF(I292&lt;&gt;"",I292*100,"")</f>
        <v/>
      </c>
      <c r="AI289" s="897" t="str">
        <f>IF(R294&lt;&gt;"",R294,"")</f>
        <v/>
      </c>
      <c r="AJ289" s="880" t="str">
        <f>IF(AH289="","",((AH289/100)-I294)*100)</f>
        <v/>
      </c>
      <c r="AK289" s="1267" t="str">
        <f>IF(Y285&lt;&gt;"",Y285*100,"")</f>
        <v/>
      </c>
    </row>
    <row r="290" spans="1:37" s="316" customFormat="1" ht="15" customHeight="1" x14ac:dyDescent="0.3">
      <c r="A290" s="1955"/>
      <c r="B290" s="882" t="s">
        <v>316</v>
      </c>
      <c r="C290" s="666"/>
      <c r="D290" s="883" t="s">
        <v>317</v>
      </c>
      <c r="E290" s="750"/>
      <c r="F290" s="750"/>
      <c r="G290" s="750"/>
      <c r="H290" s="750"/>
      <c r="I290" s="750"/>
      <c r="J290" s="750"/>
      <c r="K290" s="750"/>
      <c r="L290" s="651" t="str">
        <f>IF(J285&lt;&gt;"",MAX(L$5:L289)+1,"")</f>
        <v/>
      </c>
      <c r="M290" s="1960"/>
      <c r="N290" s="872" t="str">
        <f>IF(E288&lt;&gt;"",LOOKUP(E288,Tara!$L$5:$L$21,Tara!$O$5:$O$21),"")</f>
        <v/>
      </c>
      <c r="O290" s="872" t="str">
        <f>IF(F288&lt;&gt;"",LOOKUP(F288,Tara!$L$5:$L$21,Tara!$O$5:$O$21),"")</f>
        <v/>
      </c>
      <c r="P290" s="872" t="str">
        <f>IF(G288&lt;&gt;"",LOOKUP(G288,Tara!$L$5:$L$21,Tara!$O$5:$O$21),"")</f>
        <v/>
      </c>
      <c r="Q290" s="872" t="str">
        <f>IF(H288&lt;&gt;"",LOOKUP(H288,Tara!$L$5:$L$21,Tara!$O$5:$O$21),"")</f>
        <v/>
      </c>
      <c r="R290" s="872" t="str">
        <f>IF(I288&lt;&gt;"",LOOKUP(I288,Tara!$L$5:$L$21,Tara!$O$5:$O$21),"")</f>
        <v/>
      </c>
      <c r="S290" s="872" t="str">
        <f>IF(J288&lt;&gt;"",LOOKUP(J288,Tara!$L$5:$L$21,Tara!$O$5:$O$21),"")</f>
        <v/>
      </c>
      <c r="T290" s="872" t="str">
        <f>IF(K288&lt;&gt;"",LOOKUP(K288,Tara!$L$5:$L$21,Tara!$O$5:$O$21),"")</f>
        <v/>
      </c>
      <c r="U290" s="884"/>
      <c r="V290" s="884"/>
      <c r="W290" s="884"/>
      <c r="X290" s="884"/>
      <c r="Y290" s="884"/>
      <c r="Z290" s="884"/>
      <c r="AA290" s="884"/>
      <c r="AB290" s="872" t="str">
        <f t="shared" si="226"/>
        <v/>
      </c>
      <c r="AC290" s="873" t="str">
        <f>""</f>
        <v/>
      </c>
      <c r="AD290" s="873" t="str">
        <f>""</f>
        <v/>
      </c>
      <c r="AE290" s="873" t="str">
        <f>IF(J286&lt;&gt;"",J286,"")</f>
        <v/>
      </c>
      <c r="AF290" s="874" t="str">
        <f>IF(J287&lt;&gt;"",J287,"")</f>
        <v/>
      </c>
      <c r="AG290" s="875" t="str">
        <f>IF(S285&lt;&gt;"",S285,"")</f>
        <v/>
      </c>
      <c r="AH290" s="896" t="str">
        <f>IF(J292&lt;&gt;"",J292*100,"")</f>
        <v/>
      </c>
      <c r="AI290" s="897" t="str">
        <f>IF(S294&lt;&gt;"",S294,"")</f>
        <v/>
      </c>
      <c r="AJ290" s="880" t="str">
        <f>IF(AH290="","",((AH290/100)-J294)*100)</f>
        <v/>
      </c>
      <c r="AK290" s="1267" t="str">
        <f>IF(Z285&lt;&gt;"",Z285*100,"")</f>
        <v/>
      </c>
    </row>
    <row r="291" spans="1:37" s="316" customFormat="1" ht="15" customHeight="1" x14ac:dyDescent="0.3">
      <c r="A291" s="1955"/>
      <c r="B291" s="885" t="s">
        <v>318</v>
      </c>
      <c r="C291" s="886"/>
      <c r="D291" s="870" t="s">
        <v>319</v>
      </c>
      <c r="E291" s="750"/>
      <c r="F291" s="750"/>
      <c r="G291" s="750"/>
      <c r="H291" s="750"/>
      <c r="I291" s="750"/>
      <c r="J291" s="750"/>
      <c r="K291" s="750"/>
      <c r="L291" s="651" t="str">
        <f>IF(K285&lt;&gt;"",MAX(L$5:L290)+1,"")</f>
        <v/>
      </c>
      <c r="M291" s="1960"/>
      <c r="N291" s="887" t="str">
        <f>IF(N289&lt;&gt;"",N289/N290,"")</f>
        <v/>
      </c>
      <c r="O291" s="887" t="str">
        <f t="shared" ref="O291:T291" si="229">IF(O289&lt;&gt;"",O289/O290,"")</f>
        <v/>
      </c>
      <c r="P291" s="887" t="str">
        <f t="shared" si="229"/>
        <v/>
      </c>
      <c r="Q291" s="887" t="str">
        <f t="shared" si="229"/>
        <v/>
      </c>
      <c r="R291" s="887" t="str">
        <f t="shared" si="229"/>
        <v/>
      </c>
      <c r="S291" s="887" t="str">
        <f t="shared" si="229"/>
        <v/>
      </c>
      <c r="T291" s="887" t="str">
        <f t="shared" si="229"/>
        <v/>
      </c>
      <c r="U291" s="884"/>
      <c r="V291" s="884"/>
      <c r="W291" s="884"/>
      <c r="X291" s="884"/>
      <c r="Y291" s="884"/>
      <c r="Z291" s="884"/>
      <c r="AA291" s="884"/>
      <c r="AB291" s="872" t="str">
        <f t="shared" si="226"/>
        <v/>
      </c>
      <c r="AC291" s="873" t="str">
        <f>""</f>
        <v/>
      </c>
      <c r="AD291" s="873" t="str">
        <f>""</f>
        <v/>
      </c>
      <c r="AE291" s="873" t="str">
        <f>IF(K286&lt;&gt;"",K286,"")</f>
        <v/>
      </c>
      <c r="AF291" s="874" t="str">
        <f>IF(K287&lt;&gt;"",K287,"")</f>
        <v/>
      </c>
      <c r="AG291" s="875" t="str">
        <f>IF(T285&lt;&gt;"",T285,"")</f>
        <v/>
      </c>
      <c r="AH291" s="896" t="str">
        <f>IF(K292&lt;&gt;"",K292*100,"")</f>
        <v/>
      </c>
      <c r="AI291" s="897" t="str">
        <f>IF(T294&lt;&gt;"",T294,"")</f>
        <v/>
      </c>
      <c r="AJ291" s="880" t="str">
        <f>IF(AH291="","",((AH291/100)-K294)*100)</f>
        <v/>
      </c>
      <c r="AK291" s="1267" t="str">
        <f>IF(AA285&lt;&gt;"",AA285*100,"")</f>
        <v/>
      </c>
    </row>
    <row r="292" spans="1:37" s="316" customFormat="1" ht="15" customHeight="1" x14ac:dyDescent="0.3">
      <c r="A292" s="1955"/>
      <c r="B292" s="652"/>
      <c r="C292" s="653"/>
      <c r="D292" s="870" t="s">
        <v>320</v>
      </c>
      <c r="E292" s="888"/>
      <c r="F292" s="888"/>
      <c r="G292" s="888"/>
      <c r="H292" s="888"/>
      <c r="I292" s="888"/>
      <c r="J292" s="888"/>
      <c r="K292" s="888"/>
      <c r="L292" s="651"/>
      <c r="M292" s="1960"/>
      <c r="N292" s="889" t="str">
        <f>IF(E290&lt;&gt;"",LOOKUP(E290,Tara!$P$5:$P$21,Tara!$Q$5:$Q$21),"")</f>
        <v/>
      </c>
      <c r="O292" s="889" t="str">
        <f>IF(F290&lt;&gt;"",LOOKUP(F290,Tara!$P$5:$P$21,Tara!$Q$5:$Q$21),"")</f>
        <v/>
      </c>
      <c r="P292" s="889" t="str">
        <f>IF(G290&lt;&gt;"",LOOKUP(G290,Tara!$P$5:$P$21,Tara!$Q$5:$Q$21),"")</f>
        <v/>
      </c>
      <c r="Q292" s="889" t="str">
        <f>IF(H290&lt;&gt;"",LOOKUP(H290,Tara!$P$5:$P$21,Tara!$Q$5:$Q$21),"")</f>
        <v/>
      </c>
      <c r="R292" s="889" t="str">
        <f>IF(I290&lt;&gt;"",LOOKUP(I290,Tara!$P$5:$P$21,Tara!$Q$5:$Q$21),"")</f>
        <v/>
      </c>
      <c r="S292" s="889" t="str">
        <f>IF(J290&lt;&gt;"",LOOKUP(J290,Tara!$P$5:$P$21,Tara!$Q$5:$Q$21),"")</f>
        <v/>
      </c>
      <c r="T292" s="889" t="str">
        <f>IF(K290&lt;&gt;"",LOOKUP(K290,Tara!$P$5:$P$21,Tara!$Q$5:$Q$21),"")</f>
        <v/>
      </c>
      <c r="U292" s="884"/>
      <c r="V292" s="884"/>
      <c r="W292" s="884"/>
      <c r="X292" s="884"/>
      <c r="Y292" s="884"/>
      <c r="Z292" s="884"/>
      <c r="AA292" s="884"/>
      <c r="AB292" s="872" t="str">
        <f>""</f>
        <v/>
      </c>
      <c r="AC292" s="873" t="str">
        <f>""</f>
        <v/>
      </c>
      <c r="AD292" s="873" t="str">
        <f>""</f>
        <v/>
      </c>
      <c r="AE292" s="873" t="str">
        <f>""</f>
        <v/>
      </c>
      <c r="AF292" s="874" t="str">
        <f>""</f>
        <v/>
      </c>
      <c r="AG292" s="875" t="str">
        <f>""</f>
        <v/>
      </c>
      <c r="AH292" s="875" t="str">
        <f>""</f>
        <v/>
      </c>
      <c r="AI292" s="875" t="str">
        <f>""</f>
        <v/>
      </c>
      <c r="AJ292" s="890" t="str">
        <f>""</f>
        <v/>
      </c>
      <c r="AK292" s="1267" t="str">
        <f>""</f>
        <v/>
      </c>
    </row>
    <row r="293" spans="1:37" s="316" customFormat="1" ht="15" customHeight="1" x14ac:dyDescent="0.3">
      <c r="A293" s="1955"/>
      <c r="B293" s="654"/>
      <c r="C293" s="655"/>
      <c r="D293" s="891" t="s">
        <v>321</v>
      </c>
      <c r="E293" s="750"/>
      <c r="F293" s="750"/>
      <c r="G293" s="750"/>
      <c r="H293" s="750"/>
      <c r="I293" s="750"/>
      <c r="J293" s="750"/>
      <c r="K293" s="750"/>
      <c r="L293" s="651"/>
      <c r="M293" s="1960"/>
      <c r="N293" s="892" t="str">
        <f t="shared" ref="N293:T293" si="230">IF(E291&lt;&gt;"",(E291-N292)/N291,"")</f>
        <v/>
      </c>
      <c r="O293" s="892" t="str">
        <f t="shared" si="230"/>
        <v/>
      </c>
      <c r="P293" s="892" t="str">
        <f t="shared" si="230"/>
        <v/>
      </c>
      <c r="Q293" s="892" t="str">
        <f t="shared" si="230"/>
        <v/>
      </c>
      <c r="R293" s="892" t="str">
        <f t="shared" si="230"/>
        <v/>
      </c>
      <c r="S293" s="892" t="str">
        <f t="shared" si="230"/>
        <v/>
      </c>
      <c r="T293" s="892" t="str">
        <f t="shared" si="230"/>
        <v/>
      </c>
      <c r="U293" s="884"/>
      <c r="V293" s="884"/>
      <c r="W293" s="884"/>
      <c r="X293" s="884"/>
      <c r="Y293" s="884"/>
      <c r="Z293" s="884"/>
      <c r="AA293" s="884"/>
      <c r="AB293" s="872" t="str">
        <f>""</f>
        <v/>
      </c>
      <c r="AC293" s="873" t="str">
        <f>""</f>
        <v/>
      </c>
      <c r="AD293" s="873" t="str">
        <f>""</f>
        <v/>
      </c>
      <c r="AE293" s="873" t="str">
        <f>""</f>
        <v/>
      </c>
      <c r="AF293" s="874" t="str">
        <f>""</f>
        <v/>
      </c>
      <c r="AG293" s="893" t="str">
        <f>""</f>
        <v/>
      </c>
      <c r="AH293" s="893" t="str">
        <f>""</f>
        <v/>
      </c>
      <c r="AI293" s="893" t="str">
        <f>""</f>
        <v/>
      </c>
      <c r="AJ293" s="895" t="str">
        <f>""</f>
        <v/>
      </c>
      <c r="AK293" s="1269" t="str">
        <f>""</f>
        <v/>
      </c>
    </row>
    <row r="294" spans="1:37" s="316" customFormat="1" ht="15" customHeight="1" thickBot="1" x14ac:dyDescent="0.35">
      <c r="A294" s="1956"/>
      <c r="B294" s="656"/>
      <c r="C294" s="657"/>
      <c r="D294" s="658" t="s">
        <v>99</v>
      </c>
      <c r="E294" s="556"/>
      <c r="F294" s="556"/>
      <c r="G294" s="556"/>
      <c r="H294" s="556"/>
      <c r="I294" s="556"/>
      <c r="J294" s="556"/>
      <c r="K294" s="556"/>
      <c r="L294" s="659"/>
      <c r="M294" s="1961"/>
      <c r="N294" s="549" t="str">
        <f t="shared" ref="N294:T294" si="231">IF(N293&lt;&gt;"",N293/(1+E292),"")</f>
        <v/>
      </c>
      <c r="O294" s="549" t="str">
        <f t="shared" si="231"/>
        <v/>
      </c>
      <c r="P294" s="549" t="str">
        <f t="shared" si="231"/>
        <v/>
      </c>
      <c r="Q294" s="549" t="str">
        <f t="shared" si="231"/>
        <v/>
      </c>
      <c r="R294" s="549" t="str">
        <f t="shared" si="231"/>
        <v/>
      </c>
      <c r="S294" s="549" t="str">
        <f t="shared" si="231"/>
        <v/>
      </c>
      <c r="T294" s="549" t="str">
        <f t="shared" si="231"/>
        <v/>
      </c>
      <c r="U294" s="550"/>
      <c r="V294" s="550"/>
      <c r="W294" s="550"/>
      <c r="X294" s="550"/>
      <c r="Y294" s="550"/>
      <c r="Z294" s="550"/>
      <c r="AA294" s="550"/>
      <c r="AB294" s="551">
        <f>MAX(AB$5:AB293)+1</f>
        <v>29</v>
      </c>
      <c r="AC294" s="552" t="str">
        <f>""</f>
        <v/>
      </c>
      <c r="AD294" s="552" t="str">
        <f>""</f>
        <v/>
      </c>
      <c r="AE294" s="552" t="str">
        <f>""</f>
        <v/>
      </c>
      <c r="AF294" s="558" t="str">
        <f>""</f>
        <v/>
      </c>
      <c r="AG294" s="553" t="str">
        <f>""</f>
        <v/>
      </c>
      <c r="AH294" s="553" t="str">
        <f>""</f>
        <v/>
      </c>
      <c r="AI294" s="553" t="str">
        <f>""</f>
        <v/>
      </c>
      <c r="AJ294" s="554" t="str">
        <f>""</f>
        <v/>
      </c>
      <c r="AK294" s="555" t="str">
        <f>""</f>
        <v/>
      </c>
    </row>
    <row r="295" spans="1:37" s="56" customFormat="1" ht="15" customHeight="1" x14ac:dyDescent="0.3">
      <c r="A295" s="1954">
        <f>A285+1</f>
        <v>30</v>
      </c>
      <c r="B295" s="1957" t="s">
        <v>309</v>
      </c>
      <c r="C295" s="1958"/>
      <c r="D295" s="648" t="s">
        <v>34</v>
      </c>
      <c r="E295" s="649"/>
      <c r="F295" s="649"/>
      <c r="G295" s="649"/>
      <c r="H295" s="649"/>
      <c r="I295" s="649"/>
      <c r="J295" s="649"/>
      <c r="K295" s="649"/>
      <c r="L295" s="650" t="str">
        <f>IF(E295&lt;&gt;"",MAX(L$5:L294)+1,"")</f>
        <v/>
      </c>
      <c r="M295" s="1959" t="s">
        <v>25</v>
      </c>
      <c r="N295" s="539" t="str">
        <f t="shared" ref="N295:T295" si="232">IF(E295&lt;&gt;"",E295,"")</f>
        <v/>
      </c>
      <c r="O295" s="539" t="str">
        <f t="shared" si="232"/>
        <v/>
      </c>
      <c r="P295" s="539" t="str">
        <f t="shared" si="232"/>
        <v/>
      </c>
      <c r="Q295" s="539" t="str">
        <f t="shared" si="232"/>
        <v/>
      </c>
      <c r="R295" s="539" t="str">
        <f t="shared" si="232"/>
        <v/>
      </c>
      <c r="S295" s="539" t="str">
        <f t="shared" si="232"/>
        <v/>
      </c>
      <c r="T295" s="539" t="str">
        <f t="shared" si="232"/>
        <v/>
      </c>
      <c r="U295" s="540" t="str">
        <f t="shared" ref="U295:AA295" si="233">IF(N304&lt;&gt;"",N304/E303*1000,"")</f>
        <v/>
      </c>
      <c r="V295" s="540" t="str">
        <f t="shared" si="233"/>
        <v/>
      </c>
      <c r="W295" s="540" t="str">
        <f t="shared" si="233"/>
        <v/>
      </c>
      <c r="X295" s="540" t="str">
        <f t="shared" si="233"/>
        <v/>
      </c>
      <c r="Y295" s="540" t="str">
        <f t="shared" si="233"/>
        <v/>
      </c>
      <c r="Z295" s="540" t="str">
        <f t="shared" si="233"/>
        <v/>
      </c>
      <c r="AA295" s="540" t="str">
        <f t="shared" si="233"/>
        <v/>
      </c>
      <c r="AB295" s="539" t="str">
        <f>IF(L295&lt;&gt;"",L295,"")</f>
        <v/>
      </c>
      <c r="AC295" s="541" t="str">
        <f>IF(C296&lt;&gt;"",CONCATENATE(C296," a ",C297),"")</f>
        <v/>
      </c>
      <c r="AD295" s="542" t="str">
        <f>IF(C299&lt;&gt;"",C299,"")</f>
        <v/>
      </c>
      <c r="AE295" s="543" t="str">
        <f>IF(E296&lt;&gt;"",E296,"")</f>
        <v/>
      </c>
      <c r="AF295" s="557" t="str">
        <f>IF(E297&lt;&gt;"",E297,"")</f>
        <v/>
      </c>
      <c r="AG295" s="544" t="str">
        <f>IF(N295&lt;&gt;"",N295,"")</f>
        <v/>
      </c>
      <c r="AH295" s="545" t="str">
        <f>IF(E302&lt;&gt;"",E302*100,"")</f>
        <v/>
      </c>
      <c r="AI295" s="546" t="str">
        <f>IF(N304&lt;&gt;"",N304,"")</f>
        <v/>
      </c>
      <c r="AJ295" s="547" t="str">
        <f>IF(AH295="","",((AH295/100)-E304)*100)</f>
        <v/>
      </c>
      <c r="AK295" s="548" t="str">
        <f>IF(U295&lt;&gt;"",U295*100,"")</f>
        <v/>
      </c>
    </row>
    <row r="296" spans="1:37" s="57" customFormat="1" ht="15" customHeight="1" x14ac:dyDescent="0.3">
      <c r="A296" s="1955"/>
      <c r="B296" s="869" t="s">
        <v>310</v>
      </c>
      <c r="C296" s="666"/>
      <c r="D296" s="870" t="s">
        <v>156</v>
      </c>
      <c r="E296" s="871"/>
      <c r="F296" s="871"/>
      <c r="G296" s="871"/>
      <c r="H296" s="871"/>
      <c r="I296" s="871"/>
      <c r="J296" s="871"/>
      <c r="K296" s="871"/>
      <c r="L296" s="651" t="str">
        <f>IF(F295&lt;&gt;"",MAX(L$5:L295)+1,"")</f>
        <v/>
      </c>
      <c r="M296" s="1960"/>
      <c r="N296" s="872" t="str">
        <f>IF(E298&lt;&gt;"",LOOKUP(E298,Tara!$L$5:$L$21,Tara!$M$5:$M$21),"")</f>
        <v/>
      </c>
      <c r="O296" s="872" t="str">
        <f>IF(F298&lt;&gt;"",LOOKUP(F298,Tara!$L$5:$L$21,Tara!$M$5:$M$21),"")</f>
        <v/>
      </c>
      <c r="P296" s="872" t="str">
        <f>IF(G298&lt;&gt;"",LOOKUP(G298,Tara!$L$5:$L$21,Tara!$M$5:$M$21),"")</f>
        <v/>
      </c>
      <c r="Q296" s="872" t="str">
        <f>IF(H298&lt;&gt;"",LOOKUP(H298,Tara!$L$5:$L$21,Tara!$M$5:$M$21),"")</f>
        <v/>
      </c>
      <c r="R296" s="872" t="str">
        <f>IF(I298&lt;&gt;"",LOOKUP(I298,Tara!$L$5:$L$21,Tara!$M$5:$M$21),"")</f>
        <v/>
      </c>
      <c r="S296" s="872" t="str">
        <f>IF(J298&lt;&gt;"",LOOKUP(J298,Tara!$L$5:$L$21,Tara!$M$5:$M$21),"")</f>
        <v/>
      </c>
      <c r="T296" s="872" t="str">
        <f>IF(K298&lt;&gt;"",LOOKUP(K298,Tara!$L$5:$L$21,Tara!$M$5:$M$21),"")</f>
        <v/>
      </c>
      <c r="U296" s="872"/>
      <c r="V296" s="872"/>
      <c r="W296" s="872"/>
      <c r="X296" s="872"/>
      <c r="Y296" s="872"/>
      <c r="Z296" s="872"/>
      <c r="AA296" s="872"/>
      <c r="AB296" s="872" t="str">
        <f t="shared" ref="AB296:AB301" si="234">IF(L296&lt;&gt;"",L296,"")</f>
        <v/>
      </c>
      <c r="AC296" s="873" t="str">
        <f>""</f>
        <v/>
      </c>
      <c r="AD296" s="873" t="str">
        <f>""</f>
        <v/>
      </c>
      <c r="AE296" s="873" t="str">
        <f>IF(F296&lt;&gt;"",F296,"")</f>
        <v/>
      </c>
      <c r="AF296" s="874" t="str">
        <f>IF(E297&lt;&gt;"",F297,"")</f>
        <v/>
      </c>
      <c r="AG296" s="875" t="str">
        <f>IF(O295&lt;&gt;"",O295,"")</f>
        <v/>
      </c>
      <c r="AH296" s="896" t="str">
        <f>IF(F302&lt;&gt;"",F302*100,"")</f>
        <v/>
      </c>
      <c r="AI296" s="897" t="str">
        <f>IF(O304&lt;&gt;"",O304,"")</f>
        <v/>
      </c>
      <c r="AJ296" s="880" t="str">
        <f>IF(AH296="","",((AH296/100)-F304)*100)</f>
        <v/>
      </c>
      <c r="AK296" s="1267" t="str">
        <f>IF(V295&lt;&gt;"",V295*100,"")</f>
        <v/>
      </c>
    </row>
    <row r="297" spans="1:37" s="56" customFormat="1" ht="15" customHeight="1" x14ac:dyDescent="0.3">
      <c r="A297" s="1955"/>
      <c r="B297" s="869" t="s">
        <v>311</v>
      </c>
      <c r="C297" s="666"/>
      <c r="D297" s="870" t="s">
        <v>312</v>
      </c>
      <c r="E297" s="878"/>
      <c r="F297" s="878"/>
      <c r="G297" s="878"/>
      <c r="H297" s="878"/>
      <c r="I297" s="878"/>
      <c r="J297" s="878"/>
      <c r="K297" s="1268"/>
      <c r="L297" s="651" t="str">
        <f>IF(G295&lt;&gt;"",MAX(L$5:L296)+1,"")</f>
        <v/>
      </c>
      <c r="M297" s="1960"/>
      <c r="N297" s="872" t="str">
        <f t="shared" ref="N297:T297" si="235">IF(N296&lt;&gt;"",N296-E299,"")</f>
        <v/>
      </c>
      <c r="O297" s="872" t="str">
        <f t="shared" si="235"/>
        <v/>
      </c>
      <c r="P297" s="872" t="str">
        <f t="shared" si="235"/>
        <v/>
      </c>
      <c r="Q297" s="872" t="str">
        <f t="shared" si="235"/>
        <v/>
      </c>
      <c r="R297" s="872" t="str">
        <f t="shared" si="235"/>
        <v/>
      </c>
      <c r="S297" s="872" t="str">
        <f t="shared" si="235"/>
        <v/>
      </c>
      <c r="T297" s="872" t="str">
        <f t="shared" si="235"/>
        <v/>
      </c>
      <c r="U297" s="879"/>
      <c r="V297" s="879"/>
      <c r="W297" s="879"/>
      <c r="X297" s="879"/>
      <c r="Y297" s="879"/>
      <c r="Z297" s="879"/>
      <c r="AA297" s="879"/>
      <c r="AB297" s="872" t="str">
        <f t="shared" si="234"/>
        <v/>
      </c>
      <c r="AC297" s="873" t="str">
        <f>""</f>
        <v/>
      </c>
      <c r="AD297" s="873" t="str">
        <f>""</f>
        <v/>
      </c>
      <c r="AE297" s="873" t="str">
        <f>IF(G296&lt;&gt;"",G296,"")</f>
        <v/>
      </c>
      <c r="AF297" s="874" t="str">
        <f>IF(G297&lt;&gt;"",G297,"")</f>
        <v/>
      </c>
      <c r="AG297" s="875" t="str">
        <f>IF(P295&lt;&gt;"",P295,"")</f>
        <v/>
      </c>
      <c r="AH297" s="896" t="str">
        <f>IF(G302&lt;&gt;"",G302*100,"")</f>
        <v/>
      </c>
      <c r="AI297" s="897" t="str">
        <f>IF(P304&lt;&gt;"",P304,"")</f>
        <v/>
      </c>
      <c r="AJ297" s="880" t="str">
        <f>IF(AH297="","",((AH297/100)-G304)*100)</f>
        <v/>
      </c>
      <c r="AK297" s="1267" t="str">
        <f>IF(W295&lt;&gt;"",W295*100,"")</f>
        <v/>
      </c>
    </row>
    <row r="298" spans="1:37" s="56" customFormat="1" ht="15" customHeight="1" x14ac:dyDescent="0.3">
      <c r="A298" s="1955"/>
      <c r="B298" s="869" t="s">
        <v>313</v>
      </c>
      <c r="C298" s="666"/>
      <c r="D298" s="870" t="s">
        <v>314</v>
      </c>
      <c r="E298" s="750"/>
      <c r="F298" s="750"/>
      <c r="G298" s="750"/>
      <c r="H298" s="750"/>
      <c r="I298" s="750"/>
      <c r="J298" s="750"/>
      <c r="K298" s="750"/>
      <c r="L298" s="651" t="str">
        <f>IF(H295&lt;&gt;"",MAX(L$5:L297)+1,"")</f>
        <v/>
      </c>
      <c r="M298" s="1960"/>
      <c r="N298" s="872" t="str">
        <f>IF(E298&lt;&gt;"",LOOKUP(E298,Tara!$L$5:$L$21,Tara!$N$5:$N$21),"")</f>
        <v/>
      </c>
      <c r="O298" s="872" t="str">
        <f>IF(F298&lt;&gt;"",LOOKUP(F298,Tara!$L$5:$L$21,Tara!$N$5:$N$21),"")</f>
        <v/>
      </c>
      <c r="P298" s="872" t="str">
        <f>IF(G298&lt;&gt;"",LOOKUP(G298,Tara!$L$5:$L$21,Tara!$N$5:$N$21),"")</f>
        <v/>
      </c>
      <c r="Q298" s="872" t="str">
        <f>IF(H298&lt;&gt;"",LOOKUP(H298,Tara!$L$5:$L$21,Tara!$N$5:$N$21),"")</f>
        <v/>
      </c>
      <c r="R298" s="872" t="str">
        <f>IF(I298&lt;&gt;"",LOOKUP(I298,Tara!$L$5:$L$21,Tara!$N$5:$N$21),"")</f>
        <v/>
      </c>
      <c r="S298" s="872" t="str">
        <f>IF(J298&lt;&gt;"",LOOKUP(J298,Tara!$L$5:$L$21,Tara!$N$5:$N$21),"")</f>
        <v/>
      </c>
      <c r="T298" s="872" t="str">
        <f>IF(K298&lt;&gt;"",LOOKUP(K298,Tara!$L$5:$L$21,Tara!$N$5:$N$21),"")</f>
        <v/>
      </c>
      <c r="U298" s="881"/>
      <c r="V298" s="881"/>
      <c r="W298" s="881"/>
      <c r="X298" s="881"/>
      <c r="Y298" s="881"/>
      <c r="Z298" s="881"/>
      <c r="AA298" s="881"/>
      <c r="AB298" s="872" t="str">
        <f t="shared" si="234"/>
        <v/>
      </c>
      <c r="AC298" s="873" t="str">
        <f>""</f>
        <v/>
      </c>
      <c r="AD298" s="873" t="str">
        <f>""</f>
        <v/>
      </c>
      <c r="AE298" s="873" t="str">
        <f>IF(H296&lt;&gt;"",H296,"")</f>
        <v/>
      </c>
      <c r="AF298" s="874" t="str">
        <f>IF(H297&lt;&gt;"",H297,"")</f>
        <v/>
      </c>
      <c r="AG298" s="875" t="str">
        <f>IF(Q295&lt;&gt;"",Q295,"")</f>
        <v/>
      </c>
      <c r="AH298" s="896" t="str">
        <f>IF(H302&lt;&gt;"",H302*100,"")</f>
        <v/>
      </c>
      <c r="AI298" s="897" t="str">
        <f>IF(Q304&lt;&gt;"",Q304,"")</f>
        <v/>
      </c>
      <c r="AJ298" s="880" t="str">
        <f>IF(AH298="","",((AH298/100)-H304)*100)</f>
        <v/>
      </c>
      <c r="AK298" s="1267" t="str">
        <f>IF(X295&lt;&gt;"",X295*100,"")</f>
        <v/>
      </c>
    </row>
    <row r="299" spans="1:37" s="56" customFormat="1" ht="15" customHeight="1" x14ac:dyDescent="0.3">
      <c r="A299" s="1955"/>
      <c r="B299" s="882" t="s">
        <v>57</v>
      </c>
      <c r="C299" s="688"/>
      <c r="D299" s="870" t="s">
        <v>315</v>
      </c>
      <c r="E299" s="871"/>
      <c r="F299" s="871"/>
      <c r="G299" s="871"/>
      <c r="H299" s="871"/>
      <c r="I299" s="871"/>
      <c r="J299" s="871"/>
      <c r="K299" s="871"/>
      <c r="L299" s="651" t="str">
        <f>IF(I295&lt;&gt;"",MAX(L$5:L298)+1,"")</f>
        <v/>
      </c>
      <c r="M299" s="1960"/>
      <c r="N299" s="872" t="str">
        <f t="shared" ref="N299:T299" si="236">IF(N297&lt;&gt;"",N297-N298,"")</f>
        <v/>
      </c>
      <c r="O299" s="872" t="str">
        <f t="shared" si="236"/>
        <v/>
      </c>
      <c r="P299" s="872" t="str">
        <f t="shared" si="236"/>
        <v/>
      </c>
      <c r="Q299" s="872" t="str">
        <f t="shared" si="236"/>
        <v/>
      </c>
      <c r="R299" s="872" t="str">
        <f t="shared" si="236"/>
        <v/>
      </c>
      <c r="S299" s="872" t="str">
        <f t="shared" si="236"/>
        <v/>
      </c>
      <c r="T299" s="872" t="str">
        <f t="shared" si="236"/>
        <v/>
      </c>
      <c r="U299" s="881"/>
      <c r="V299" s="881"/>
      <c r="W299" s="881"/>
      <c r="X299" s="881"/>
      <c r="Y299" s="881"/>
      <c r="Z299" s="881"/>
      <c r="AA299" s="881"/>
      <c r="AB299" s="872" t="str">
        <f t="shared" si="234"/>
        <v/>
      </c>
      <c r="AC299" s="873" t="str">
        <f>""</f>
        <v/>
      </c>
      <c r="AD299" s="873" t="str">
        <f>""</f>
        <v/>
      </c>
      <c r="AE299" s="873" t="str">
        <f>IF(I296&lt;&gt;"",I296,"")</f>
        <v/>
      </c>
      <c r="AF299" s="874" t="str">
        <f>IF(I297&lt;&gt;"",I297,"")</f>
        <v/>
      </c>
      <c r="AG299" s="875" t="str">
        <f>IF(R295&lt;&gt;"",R295,"")</f>
        <v/>
      </c>
      <c r="AH299" s="896" t="str">
        <f>IF(I302&lt;&gt;"",I302*100,"")</f>
        <v/>
      </c>
      <c r="AI299" s="897" t="str">
        <f>IF(R304&lt;&gt;"",R304,"")</f>
        <v/>
      </c>
      <c r="AJ299" s="880" t="str">
        <f>IF(AH299="","",((AH299/100)-I304)*100)</f>
        <v/>
      </c>
      <c r="AK299" s="1267" t="str">
        <f>IF(Y295&lt;&gt;"",Y295*100,"")</f>
        <v/>
      </c>
    </row>
    <row r="300" spans="1:37" s="316" customFormat="1" ht="15" customHeight="1" x14ac:dyDescent="0.3">
      <c r="A300" s="1955"/>
      <c r="B300" s="882" t="s">
        <v>316</v>
      </c>
      <c r="C300" s="666"/>
      <c r="D300" s="883" t="s">
        <v>317</v>
      </c>
      <c r="E300" s="750"/>
      <c r="F300" s="750"/>
      <c r="G300" s="750"/>
      <c r="H300" s="750"/>
      <c r="I300" s="750"/>
      <c r="J300" s="750"/>
      <c r="K300" s="750"/>
      <c r="L300" s="651" t="str">
        <f>IF(J295&lt;&gt;"",MAX(L$5:L299)+1,"")</f>
        <v/>
      </c>
      <c r="M300" s="1960"/>
      <c r="N300" s="872" t="str">
        <f>IF(E298&lt;&gt;"",LOOKUP(E298,Tara!$L$5:$L$21,Tara!$O$5:$O$21),"")</f>
        <v/>
      </c>
      <c r="O300" s="872" t="str">
        <f>IF(F298&lt;&gt;"",LOOKUP(F298,Tara!$L$5:$L$21,Tara!$O$5:$O$21),"")</f>
        <v/>
      </c>
      <c r="P300" s="872" t="str">
        <f>IF(G298&lt;&gt;"",LOOKUP(G298,Tara!$L$5:$L$21,Tara!$O$5:$O$21),"")</f>
        <v/>
      </c>
      <c r="Q300" s="872" t="str">
        <f>IF(H298&lt;&gt;"",LOOKUP(H298,Tara!$L$5:$L$21,Tara!$O$5:$O$21),"")</f>
        <v/>
      </c>
      <c r="R300" s="872" t="str">
        <f>IF(I298&lt;&gt;"",LOOKUP(I298,Tara!$L$5:$L$21,Tara!$O$5:$O$21),"")</f>
        <v/>
      </c>
      <c r="S300" s="872" t="str">
        <f>IF(J298&lt;&gt;"",LOOKUP(J298,Tara!$L$5:$L$21,Tara!$O$5:$O$21),"")</f>
        <v/>
      </c>
      <c r="T300" s="872" t="str">
        <f>IF(K298&lt;&gt;"",LOOKUP(K298,Tara!$L$5:$L$21,Tara!$O$5:$O$21),"")</f>
        <v/>
      </c>
      <c r="U300" s="884"/>
      <c r="V300" s="884"/>
      <c r="W300" s="884"/>
      <c r="X300" s="884"/>
      <c r="Y300" s="884"/>
      <c r="Z300" s="884"/>
      <c r="AA300" s="884"/>
      <c r="AB300" s="872" t="str">
        <f t="shared" si="234"/>
        <v/>
      </c>
      <c r="AC300" s="873" t="str">
        <f>""</f>
        <v/>
      </c>
      <c r="AD300" s="873" t="str">
        <f>""</f>
        <v/>
      </c>
      <c r="AE300" s="873" t="str">
        <f>IF(J296&lt;&gt;"",J296,"")</f>
        <v/>
      </c>
      <c r="AF300" s="874" t="str">
        <f>IF(J297&lt;&gt;"",J297,"")</f>
        <v/>
      </c>
      <c r="AG300" s="875" t="str">
        <f>IF(S295&lt;&gt;"",S295,"")</f>
        <v/>
      </c>
      <c r="AH300" s="896" t="str">
        <f>IF(J302&lt;&gt;"",J302*100,"")</f>
        <v/>
      </c>
      <c r="AI300" s="897" t="str">
        <f>IF(S304&lt;&gt;"",S304,"")</f>
        <v/>
      </c>
      <c r="AJ300" s="880" t="str">
        <f>IF(AH300="","",((AH300/100)-J304)*100)</f>
        <v/>
      </c>
      <c r="AK300" s="1267" t="str">
        <f>IF(Z295&lt;&gt;"",Z295*100,"")</f>
        <v/>
      </c>
    </row>
    <row r="301" spans="1:37" s="316" customFormat="1" ht="15" customHeight="1" x14ac:dyDescent="0.3">
      <c r="A301" s="1955"/>
      <c r="B301" s="885" t="s">
        <v>318</v>
      </c>
      <c r="C301" s="886"/>
      <c r="D301" s="870" t="s">
        <v>319</v>
      </c>
      <c r="E301" s="750"/>
      <c r="F301" s="750"/>
      <c r="G301" s="750"/>
      <c r="H301" s="750"/>
      <c r="I301" s="750"/>
      <c r="J301" s="750"/>
      <c r="K301" s="750"/>
      <c r="L301" s="651" t="str">
        <f>IF(K295&lt;&gt;"",MAX(L$5:L300)+1,"")</f>
        <v/>
      </c>
      <c r="M301" s="1960"/>
      <c r="N301" s="887" t="str">
        <f>IF(N299&lt;&gt;"",N299/N300,"")</f>
        <v/>
      </c>
      <c r="O301" s="887" t="str">
        <f t="shared" ref="O301:T301" si="237">IF(O299&lt;&gt;"",O299/O300,"")</f>
        <v/>
      </c>
      <c r="P301" s="887" t="str">
        <f t="shared" si="237"/>
        <v/>
      </c>
      <c r="Q301" s="887" t="str">
        <f t="shared" si="237"/>
        <v/>
      </c>
      <c r="R301" s="887" t="str">
        <f t="shared" si="237"/>
        <v/>
      </c>
      <c r="S301" s="887" t="str">
        <f t="shared" si="237"/>
        <v/>
      </c>
      <c r="T301" s="887" t="str">
        <f t="shared" si="237"/>
        <v/>
      </c>
      <c r="U301" s="884"/>
      <c r="V301" s="884"/>
      <c r="W301" s="884"/>
      <c r="X301" s="884"/>
      <c r="Y301" s="884"/>
      <c r="Z301" s="884"/>
      <c r="AA301" s="884"/>
      <c r="AB301" s="872" t="str">
        <f t="shared" si="234"/>
        <v/>
      </c>
      <c r="AC301" s="873" t="str">
        <f>""</f>
        <v/>
      </c>
      <c r="AD301" s="873" t="str">
        <f>""</f>
        <v/>
      </c>
      <c r="AE301" s="873" t="str">
        <f>IF(K296&lt;&gt;"",K296,"")</f>
        <v/>
      </c>
      <c r="AF301" s="874" t="str">
        <f>IF(K297&lt;&gt;"",K297,"")</f>
        <v/>
      </c>
      <c r="AG301" s="875" t="str">
        <f>IF(T295&lt;&gt;"",T295,"")</f>
        <v/>
      </c>
      <c r="AH301" s="896" t="str">
        <f>IF(K302&lt;&gt;"",K302*100,"")</f>
        <v/>
      </c>
      <c r="AI301" s="897" t="str">
        <f>IF(T304&lt;&gt;"",T304,"")</f>
        <v/>
      </c>
      <c r="AJ301" s="880" t="str">
        <f>IF(AH301="","",((AH301/100)-K304)*100)</f>
        <v/>
      </c>
      <c r="AK301" s="1267" t="str">
        <f>IF(AA295&lt;&gt;"",AA295*100,"")</f>
        <v/>
      </c>
    </row>
    <row r="302" spans="1:37" s="316" customFormat="1" ht="15" customHeight="1" x14ac:dyDescent="0.3">
      <c r="A302" s="1955"/>
      <c r="B302" s="652"/>
      <c r="C302" s="653"/>
      <c r="D302" s="870" t="s">
        <v>320</v>
      </c>
      <c r="E302" s="888"/>
      <c r="F302" s="888"/>
      <c r="G302" s="888"/>
      <c r="H302" s="888"/>
      <c r="I302" s="888"/>
      <c r="J302" s="888"/>
      <c r="K302" s="888"/>
      <c r="L302" s="651"/>
      <c r="M302" s="1960"/>
      <c r="N302" s="889" t="str">
        <f>IF(E300&lt;&gt;"",LOOKUP(E300,Tara!$P$5:$P$21,Tara!$Q$5:$Q$21),"")</f>
        <v/>
      </c>
      <c r="O302" s="889" t="str">
        <f>IF(F300&lt;&gt;"",LOOKUP(F300,Tara!$P$5:$P$21,Tara!$Q$5:$Q$21),"")</f>
        <v/>
      </c>
      <c r="P302" s="889" t="str">
        <f>IF(G300&lt;&gt;"",LOOKUP(G300,Tara!$P$5:$P$21,Tara!$Q$5:$Q$21),"")</f>
        <v/>
      </c>
      <c r="Q302" s="889" t="str">
        <f>IF(H300&lt;&gt;"",LOOKUP(H300,Tara!$P$5:$P$21,Tara!$Q$5:$Q$21),"")</f>
        <v/>
      </c>
      <c r="R302" s="889" t="str">
        <f>IF(I300&lt;&gt;"",LOOKUP(I300,Tara!$P$5:$P$21,Tara!$Q$5:$Q$21),"")</f>
        <v/>
      </c>
      <c r="S302" s="889" t="str">
        <f>IF(J300&lt;&gt;"",LOOKUP(J300,Tara!$P$5:$P$21,Tara!$Q$5:$Q$21),"")</f>
        <v/>
      </c>
      <c r="T302" s="889" t="str">
        <f>IF(K300&lt;&gt;"",LOOKUP(K300,Tara!$P$5:$P$21,Tara!$Q$5:$Q$21),"")</f>
        <v/>
      </c>
      <c r="U302" s="884"/>
      <c r="V302" s="884"/>
      <c r="W302" s="884"/>
      <c r="X302" s="884"/>
      <c r="Y302" s="884"/>
      <c r="Z302" s="884"/>
      <c r="AA302" s="884"/>
      <c r="AB302" s="872" t="str">
        <f>""</f>
        <v/>
      </c>
      <c r="AC302" s="873" t="str">
        <f>""</f>
        <v/>
      </c>
      <c r="AD302" s="873" t="str">
        <f>""</f>
        <v/>
      </c>
      <c r="AE302" s="873" t="str">
        <f>""</f>
        <v/>
      </c>
      <c r="AF302" s="874" t="str">
        <f>""</f>
        <v/>
      </c>
      <c r="AG302" s="875" t="str">
        <f>""</f>
        <v/>
      </c>
      <c r="AH302" s="875" t="str">
        <f>""</f>
        <v/>
      </c>
      <c r="AI302" s="875" t="str">
        <f>""</f>
        <v/>
      </c>
      <c r="AJ302" s="890" t="str">
        <f>""</f>
        <v/>
      </c>
      <c r="AK302" s="1267" t="str">
        <f>""</f>
        <v/>
      </c>
    </row>
    <row r="303" spans="1:37" s="316" customFormat="1" ht="15" customHeight="1" x14ac:dyDescent="0.3">
      <c r="A303" s="1955"/>
      <c r="B303" s="654"/>
      <c r="C303" s="655"/>
      <c r="D303" s="891" t="s">
        <v>321</v>
      </c>
      <c r="E303" s="750"/>
      <c r="F303" s="750"/>
      <c r="G303" s="750"/>
      <c r="H303" s="750"/>
      <c r="I303" s="750"/>
      <c r="J303" s="750"/>
      <c r="K303" s="750"/>
      <c r="L303" s="651"/>
      <c r="M303" s="1960"/>
      <c r="N303" s="892" t="str">
        <f t="shared" ref="N303:T303" si="238">IF(E301&lt;&gt;"",(E301-N302)/N301,"")</f>
        <v/>
      </c>
      <c r="O303" s="892" t="str">
        <f t="shared" si="238"/>
        <v/>
      </c>
      <c r="P303" s="892" t="str">
        <f t="shared" si="238"/>
        <v/>
      </c>
      <c r="Q303" s="892" t="str">
        <f t="shared" si="238"/>
        <v/>
      </c>
      <c r="R303" s="892" t="str">
        <f t="shared" si="238"/>
        <v/>
      </c>
      <c r="S303" s="892" t="str">
        <f t="shared" si="238"/>
        <v/>
      </c>
      <c r="T303" s="892" t="str">
        <f t="shared" si="238"/>
        <v/>
      </c>
      <c r="U303" s="884"/>
      <c r="V303" s="884"/>
      <c r="W303" s="884"/>
      <c r="X303" s="884"/>
      <c r="Y303" s="884"/>
      <c r="Z303" s="884"/>
      <c r="AA303" s="884"/>
      <c r="AB303" s="872" t="str">
        <f>""</f>
        <v/>
      </c>
      <c r="AC303" s="873" t="str">
        <f>""</f>
        <v/>
      </c>
      <c r="AD303" s="873" t="str">
        <f>""</f>
        <v/>
      </c>
      <c r="AE303" s="873" t="str">
        <f>""</f>
        <v/>
      </c>
      <c r="AF303" s="874" t="str">
        <f>""</f>
        <v/>
      </c>
      <c r="AG303" s="893" t="str">
        <f>""</f>
        <v/>
      </c>
      <c r="AH303" s="893" t="str">
        <f>""</f>
        <v/>
      </c>
      <c r="AI303" s="893" t="str">
        <f>""</f>
        <v/>
      </c>
      <c r="AJ303" s="895" t="str">
        <f>""</f>
        <v/>
      </c>
      <c r="AK303" s="1269" t="str">
        <f>""</f>
        <v/>
      </c>
    </row>
    <row r="304" spans="1:37" s="316" customFormat="1" ht="15" customHeight="1" thickBot="1" x14ac:dyDescent="0.35">
      <c r="A304" s="1956"/>
      <c r="B304" s="656"/>
      <c r="C304" s="657"/>
      <c r="D304" s="658" t="s">
        <v>99</v>
      </c>
      <c r="E304" s="556"/>
      <c r="F304" s="556"/>
      <c r="G304" s="556"/>
      <c r="H304" s="556"/>
      <c r="I304" s="556"/>
      <c r="J304" s="556"/>
      <c r="K304" s="556"/>
      <c r="L304" s="659"/>
      <c r="M304" s="1961"/>
      <c r="N304" s="549" t="str">
        <f t="shared" ref="N304:T304" si="239">IF(N303&lt;&gt;"",N303/(1+E302),"")</f>
        <v/>
      </c>
      <c r="O304" s="549" t="str">
        <f t="shared" si="239"/>
        <v/>
      </c>
      <c r="P304" s="549" t="str">
        <f t="shared" si="239"/>
        <v/>
      </c>
      <c r="Q304" s="549" t="str">
        <f t="shared" si="239"/>
        <v/>
      </c>
      <c r="R304" s="549" t="str">
        <f t="shared" si="239"/>
        <v/>
      </c>
      <c r="S304" s="549" t="str">
        <f t="shared" si="239"/>
        <v/>
      </c>
      <c r="T304" s="549" t="str">
        <f t="shared" si="239"/>
        <v/>
      </c>
      <c r="U304" s="550"/>
      <c r="V304" s="550"/>
      <c r="W304" s="550"/>
      <c r="X304" s="550"/>
      <c r="Y304" s="550"/>
      <c r="Z304" s="550"/>
      <c r="AA304" s="550"/>
      <c r="AB304" s="551">
        <f>MAX(AB$5:AB303)+1</f>
        <v>30</v>
      </c>
      <c r="AC304" s="552" t="str">
        <f>""</f>
        <v/>
      </c>
      <c r="AD304" s="552" t="str">
        <f>""</f>
        <v/>
      </c>
      <c r="AE304" s="552" t="str">
        <f>""</f>
        <v/>
      </c>
      <c r="AF304" s="558" t="str">
        <f>""</f>
        <v/>
      </c>
      <c r="AG304" s="553" t="str">
        <f>""</f>
        <v/>
      </c>
      <c r="AH304" s="553" t="str">
        <f>""</f>
        <v/>
      </c>
      <c r="AI304" s="553" t="str">
        <f>""</f>
        <v/>
      </c>
      <c r="AJ304" s="554" t="str">
        <f>""</f>
        <v/>
      </c>
      <c r="AK304" s="555" t="str">
        <f>""</f>
        <v/>
      </c>
    </row>
    <row r="305" spans="1:37" s="56" customFormat="1" ht="15" customHeight="1" x14ac:dyDescent="0.3">
      <c r="A305" s="1954">
        <f>A295+1</f>
        <v>31</v>
      </c>
      <c r="B305" s="1957" t="s">
        <v>309</v>
      </c>
      <c r="C305" s="1958"/>
      <c r="D305" s="648" t="s">
        <v>34</v>
      </c>
      <c r="E305" s="649"/>
      <c r="F305" s="649"/>
      <c r="G305" s="649"/>
      <c r="H305" s="649"/>
      <c r="I305" s="649"/>
      <c r="J305" s="649"/>
      <c r="K305" s="649"/>
      <c r="L305" s="650" t="str">
        <f>IF(E305&lt;&gt;"",MAX(L$5:L304)+1,"")</f>
        <v/>
      </c>
      <c r="M305" s="1959" t="s">
        <v>25</v>
      </c>
      <c r="N305" s="539" t="str">
        <f t="shared" ref="N305:T305" si="240">IF(E305&lt;&gt;"",E305,"")</f>
        <v/>
      </c>
      <c r="O305" s="539" t="str">
        <f t="shared" si="240"/>
        <v/>
      </c>
      <c r="P305" s="539" t="str">
        <f t="shared" si="240"/>
        <v/>
      </c>
      <c r="Q305" s="539" t="str">
        <f t="shared" si="240"/>
        <v/>
      </c>
      <c r="R305" s="539" t="str">
        <f t="shared" si="240"/>
        <v/>
      </c>
      <c r="S305" s="539" t="str">
        <f t="shared" si="240"/>
        <v/>
      </c>
      <c r="T305" s="539" t="str">
        <f t="shared" si="240"/>
        <v/>
      </c>
      <c r="U305" s="540" t="str">
        <f t="shared" ref="U305:AA305" si="241">IF(N314&lt;&gt;"",N314/E313*1000,"")</f>
        <v/>
      </c>
      <c r="V305" s="540" t="str">
        <f t="shared" si="241"/>
        <v/>
      </c>
      <c r="W305" s="540" t="str">
        <f t="shared" si="241"/>
        <v/>
      </c>
      <c r="X305" s="540" t="str">
        <f t="shared" si="241"/>
        <v/>
      </c>
      <c r="Y305" s="540" t="str">
        <f t="shared" si="241"/>
        <v/>
      </c>
      <c r="Z305" s="540" t="str">
        <f t="shared" si="241"/>
        <v/>
      </c>
      <c r="AA305" s="540" t="str">
        <f t="shared" si="241"/>
        <v/>
      </c>
      <c r="AB305" s="539" t="str">
        <f>IF(L305&lt;&gt;"",L305,"")</f>
        <v/>
      </c>
      <c r="AC305" s="541" t="str">
        <f>IF(C306&lt;&gt;"",CONCATENATE(C306," a ",C307),"")</f>
        <v/>
      </c>
      <c r="AD305" s="542" t="str">
        <f>IF(C309&lt;&gt;"",C309,"")</f>
        <v/>
      </c>
      <c r="AE305" s="543" t="str">
        <f>IF(E306&lt;&gt;"",E306,"")</f>
        <v/>
      </c>
      <c r="AF305" s="557" t="str">
        <f>IF(E307&lt;&gt;"",E307,"")</f>
        <v/>
      </c>
      <c r="AG305" s="544" t="str">
        <f>IF(N305&lt;&gt;"",N305,"")</f>
        <v/>
      </c>
      <c r="AH305" s="545" t="str">
        <f>IF(E312&lt;&gt;"",E312*100,"")</f>
        <v/>
      </c>
      <c r="AI305" s="546" t="str">
        <f>IF(N314&lt;&gt;"",N314,"")</f>
        <v/>
      </c>
      <c r="AJ305" s="547" t="str">
        <f>IF(AH305="","",((AH305/100)-E314)*100)</f>
        <v/>
      </c>
      <c r="AK305" s="548" t="str">
        <f>IF(U305&lt;&gt;"",U305*100,"")</f>
        <v/>
      </c>
    </row>
    <row r="306" spans="1:37" s="57" customFormat="1" ht="15" customHeight="1" x14ac:dyDescent="0.3">
      <c r="A306" s="1955"/>
      <c r="B306" s="869" t="s">
        <v>310</v>
      </c>
      <c r="C306" s="666"/>
      <c r="D306" s="870" t="s">
        <v>156</v>
      </c>
      <c r="E306" s="871"/>
      <c r="F306" s="871"/>
      <c r="G306" s="871"/>
      <c r="H306" s="871"/>
      <c r="I306" s="871"/>
      <c r="J306" s="871"/>
      <c r="K306" s="871"/>
      <c r="L306" s="651" t="str">
        <f>IF(F305&lt;&gt;"",MAX(L$5:L305)+1,"")</f>
        <v/>
      </c>
      <c r="M306" s="1960"/>
      <c r="N306" s="872" t="str">
        <f>IF(E308&lt;&gt;"",LOOKUP(E308,Tara!$L$5:$L$21,Tara!$M$5:$M$21),"")</f>
        <v/>
      </c>
      <c r="O306" s="872" t="str">
        <f>IF(F308&lt;&gt;"",LOOKUP(F308,Tara!$L$5:$L$21,Tara!$M$5:$M$21),"")</f>
        <v/>
      </c>
      <c r="P306" s="872" t="str">
        <f>IF(G308&lt;&gt;"",LOOKUP(G308,Tara!$L$5:$L$21,Tara!$M$5:$M$21),"")</f>
        <v/>
      </c>
      <c r="Q306" s="872" t="str">
        <f>IF(H308&lt;&gt;"",LOOKUP(H308,Tara!$L$5:$L$21,Tara!$M$5:$M$21),"")</f>
        <v/>
      </c>
      <c r="R306" s="872" t="str">
        <f>IF(I308&lt;&gt;"",LOOKUP(I308,Tara!$L$5:$L$21,Tara!$M$5:$M$21),"")</f>
        <v/>
      </c>
      <c r="S306" s="872" t="str">
        <f>IF(J308&lt;&gt;"",LOOKUP(J308,Tara!$L$5:$L$21,Tara!$M$5:$M$21),"")</f>
        <v/>
      </c>
      <c r="T306" s="872" t="str">
        <f>IF(K308&lt;&gt;"",LOOKUP(K308,Tara!$L$5:$L$21,Tara!$M$5:$M$21),"")</f>
        <v/>
      </c>
      <c r="U306" s="872"/>
      <c r="V306" s="872"/>
      <c r="W306" s="872"/>
      <c r="X306" s="872"/>
      <c r="Y306" s="872"/>
      <c r="Z306" s="872"/>
      <c r="AA306" s="872"/>
      <c r="AB306" s="872" t="str">
        <f t="shared" ref="AB306:AB311" si="242">IF(L306&lt;&gt;"",L306,"")</f>
        <v/>
      </c>
      <c r="AC306" s="873" t="str">
        <f>""</f>
        <v/>
      </c>
      <c r="AD306" s="873" t="str">
        <f>""</f>
        <v/>
      </c>
      <c r="AE306" s="873" t="str">
        <f>IF(F306&lt;&gt;"",F306,"")</f>
        <v/>
      </c>
      <c r="AF306" s="874" t="str">
        <f>IF(E307&lt;&gt;"",F307,"")</f>
        <v/>
      </c>
      <c r="AG306" s="875" t="str">
        <f>IF(O305&lt;&gt;"",O305,"")</f>
        <v/>
      </c>
      <c r="AH306" s="896" t="str">
        <f>IF(F312&lt;&gt;"",F312*100,"")</f>
        <v/>
      </c>
      <c r="AI306" s="897" t="str">
        <f>IF(O314&lt;&gt;"",O314,"")</f>
        <v/>
      </c>
      <c r="AJ306" s="880" t="str">
        <f>IF(AH306="","",((AH306/100)-F314)*100)</f>
        <v/>
      </c>
      <c r="AK306" s="1267" t="str">
        <f>IF(V305&lt;&gt;"",V305*100,"")</f>
        <v/>
      </c>
    </row>
    <row r="307" spans="1:37" s="56" customFormat="1" ht="15" customHeight="1" x14ac:dyDescent="0.3">
      <c r="A307" s="1955"/>
      <c r="B307" s="869" t="s">
        <v>311</v>
      </c>
      <c r="C307" s="666"/>
      <c r="D307" s="870" t="s">
        <v>312</v>
      </c>
      <c r="E307" s="878"/>
      <c r="F307" s="878"/>
      <c r="G307" s="878"/>
      <c r="H307" s="878"/>
      <c r="I307" s="878"/>
      <c r="J307" s="878"/>
      <c r="K307" s="1268"/>
      <c r="L307" s="651" t="str">
        <f>IF(G305&lt;&gt;"",MAX(L$5:L306)+1,"")</f>
        <v/>
      </c>
      <c r="M307" s="1960"/>
      <c r="N307" s="872" t="str">
        <f t="shared" ref="N307:T307" si="243">IF(N306&lt;&gt;"",N306-E309,"")</f>
        <v/>
      </c>
      <c r="O307" s="872" t="str">
        <f t="shared" si="243"/>
        <v/>
      </c>
      <c r="P307" s="872" t="str">
        <f t="shared" si="243"/>
        <v/>
      </c>
      <c r="Q307" s="872" t="str">
        <f t="shared" si="243"/>
        <v/>
      </c>
      <c r="R307" s="872" t="str">
        <f t="shared" si="243"/>
        <v/>
      </c>
      <c r="S307" s="872" t="str">
        <f t="shared" si="243"/>
        <v/>
      </c>
      <c r="T307" s="872" t="str">
        <f t="shared" si="243"/>
        <v/>
      </c>
      <c r="U307" s="879"/>
      <c r="V307" s="879"/>
      <c r="W307" s="879"/>
      <c r="X307" s="879"/>
      <c r="Y307" s="879"/>
      <c r="Z307" s="879"/>
      <c r="AA307" s="879"/>
      <c r="AB307" s="872" t="str">
        <f t="shared" si="242"/>
        <v/>
      </c>
      <c r="AC307" s="873" t="str">
        <f>""</f>
        <v/>
      </c>
      <c r="AD307" s="873" t="str">
        <f>""</f>
        <v/>
      </c>
      <c r="AE307" s="873" t="str">
        <f>IF(G306&lt;&gt;"",G306,"")</f>
        <v/>
      </c>
      <c r="AF307" s="874" t="str">
        <f>IF(G307&lt;&gt;"",G307,"")</f>
        <v/>
      </c>
      <c r="AG307" s="875" t="str">
        <f>IF(P305&lt;&gt;"",P305,"")</f>
        <v/>
      </c>
      <c r="AH307" s="896" t="str">
        <f>IF(G312&lt;&gt;"",G312*100,"")</f>
        <v/>
      </c>
      <c r="AI307" s="897" t="str">
        <f>IF(P314&lt;&gt;"",P314,"")</f>
        <v/>
      </c>
      <c r="AJ307" s="880" t="str">
        <f>IF(AH307="","",((AH307/100)-G314)*100)</f>
        <v/>
      </c>
      <c r="AK307" s="1267" t="str">
        <f>IF(W305&lt;&gt;"",W305*100,"")</f>
        <v/>
      </c>
    </row>
    <row r="308" spans="1:37" s="56" customFormat="1" ht="15" customHeight="1" x14ac:dyDescent="0.3">
      <c r="A308" s="1955"/>
      <c r="B308" s="869" t="s">
        <v>313</v>
      </c>
      <c r="C308" s="666"/>
      <c r="D308" s="870" t="s">
        <v>314</v>
      </c>
      <c r="E308" s="750"/>
      <c r="F308" s="750"/>
      <c r="G308" s="750"/>
      <c r="H308" s="750"/>
      <c r="I308" s="750"/>
      <c r="J308" s="750"/>
      <c r="K308" s="750"/>
      <c r="L308" s="651" t="str">
        <f>IF(H305&lt;&gt;"",MAX(L$5:L307)+1,"")</f>
        <v/>
      </c>
      <c r="M308" s="1960"/>
      <c r="N308" s="872" t="str">
        <f>IF(E308&lt;&gt;"",LOOKUP(E308,Tara!$L$5:$L$21,Tara!$N$5:$N$21),"")</f>
        <v/>
      </c>
      <c r="O308" s="872" t="str">
        <f>IF(F308&lt;&gt;"",LOOKUP(F308,Tara!$L$5:$L$21,Tara!$N$5:$N$21),"")</f>
        <v/>
      </c>
      <c r="P308" s="872" t="str">
        <f>IF(G308&lt;&gt;"",LOOKUP(G308,Tara!$L$5:$L$21,Tara!$N$5:$N$21),"")</f>
        <v/>
      </c>
      <c r="Q308" s="872" t="str">
        <f>IF(H308&lt;&gt;"",LOOKUP(H308,Tara!$L$5:$L$21,Tara!$N$5:$N$21),"")</f>
        <v/>
      </c>
      <c r="R308" s="872" t="str">
        <f>IF(I308&lt;&gt;"",LOOKUP(I308,Tara!$L$5:$L$21,Tara!$N$5:$N$21),"")</f>
        <v/>
      </c>
      <c r="S308" s="872" t="str">
        <f>IF(J308&lt;&gt;"",LOOKUP(J308,Tara!$L$5:$L$21,Tara!$N$5:$N$21),"")</f>
        <v/>
      </c>
      <c r="T308" s="872" t="str">
        <f>IF(K308&lt;&gt;"",LOOKUP(K308,Tara!$L$5:$L$21,Tara!$N$5:$N$21),"")</f>
        <v/>
      </c>
      <c r="U308" s="881"/>
      <c r="V308" s="881"/>
      <c r="W308" s="881"/>
      <c r="X308" s="881"/>
      <c r="Y308" s="881"/>
      <c r="Z308" s="881"/>
      <c r="AA308" s="881"/>
      <c r="AB308" s="872" t="str">
        <f t="shared" si="242"/>
        <v/>
      </c>
      <c r="AC308" s="873" t="str">
        <f>""</f>
        <v/>
      </c>
      <c r="AD308" s="873" t="str">
        <f>""</f>
        <v/>
      </c>
      <c r="AE308" s="873" t="str">
        <f>IF(H306&lt;&gt;"",H306,"")</f>
        <v/>
      </c>
      <c r="AF308" s="874" t="str">
        <f>IF(H307&lt;&gt;"",H307,"")</f>
        <v/>
      </c>
      <c r="AG308" s="875" t="str">
        <f>IF(Q305&lt;&gt;"",Q305,"")</f>
        <v/>
      </c>
      <c r="AH308" s="896" t="str">
        <f>IF(H312&lt;&gt;"",H312*100,"")</f>
        <v/>
      </c>
      <c r="AI308" s="897" t="str">
        <f>IF(Q314&lt;&gt;"",Q314,"")</f>
        <v/>
      </c>
      <c r="AJ308" s="880" t="str">
        <f>IF(AH308="","",((AH308/100)-H314)*100)</f>
        <v/>
      </c>
      <c r="AK308" s="1267" t="str">
        <f>IF(X305&lt;&gt;"",X305*100,"")</f>
        <v/>
      </c>
    </row>
    <row r="309" spans="1:37" s="56" customFormat="1" ht="15" customHeight="1" x14ac:dyDescent="0.3">
      <c r="A309" s="1955"/>
      <c r="B309" s="882" t="s">
        <v>57</v>
      </c>
      <c r="C309" s="688"/>
      <c r="D309" s="870" t="s">
        <v>315</v>
      </c>
      <c r="E309" s="871"/>
      <c r="F309" s="871"/>
      <c r="G309" s="871"/>
      <c r="H309" s="871"/>
      <c r="I309" s="871"/>
      <c r="J309" s="871"/>
      <c r="K309" s="871"/>
      <c r="L309" s="651" t="str">
        <f>IF(I305&lt;&gt;"",MAX(L$5:L308)+1,"")</f>
        <v/>
      </c>
      <c r="M309" s="1960"/>
      <c r="N309" s="872" t="str">
        <f t="shared" ref="N309:T309" si="244">IF(N307&lt;&gt;"",N307-N308,"")</f>
        <v/>
      </c>
      <c r="O309" s="872" t="str">
        <f t="shared" si="244"/>
        <v/>
      </c>
      <c r="P309" s="872" t="str">
        <f t="shared" si="244"/>
        <v/>
      </c>
      <c r="Q309" s="872" t="str">
        <f t="shared" si="244"/>
        <v/>
      </c>
      <c r="R309" s="872" t="str">
        <f t="shared" si="244"/>
        <v/>
      </c>
      <c r="S309" s="872" t="str">
        <f t="shared" si="244"/>
        <v/>
      </c>
      <c r="T309" s="872" t="str">
        <f t="shared" si="244"/>
        <v/>
      </c>
      <c r="U309" s="881"/>
      <c r="V309" s="881"/>
      <c r="W309" s="881"/>
      <c r="X309" s="881"/>
      <c r="Y309" s="881"/>
      <c r="Z309" s="881"/>
      <c r="AA309" s="881"/>
      <c r="AB309" s="872" t="str">
        <f t="shared" si="242"/>
        <v/>
      </c>
      <c r="AC309" s="873" t="str">
        <f>""</f>
        <v/>
      </c>
      <c r="AD309" s="873" t="str">
        <f>""</f>
        <v/>
      </c>
      <c r="AE309" s="873" t="str">
        <f>IF(I306&lt;&gt;"",I306,"")</f>
        <v/>
      </c>
      <c r="AF309" s="874" t="str">
        <f>IF(I307&lt;&gt;"",I307,"")</f>
        <v/>
      </c>
      <c r="AG309" s="875" t="str">
        <f>IF(R305&lt;&gt;"",R305,"")</f>
        <v/>
      </c>
      <c r="AH309" s="896" t="str">
        <f>IF(I312&lt;&gt;"",I312*100,"")</f>
        <v/>
      </c>
      <c r="AI309" s="897" t="str">
        <f>IF(R314&lt;&gt;"",R314,"")</f>
        <v/>
      </c>
      <c r="AJ309" s="880" t="str">
        <f>IF(AH309="","",((AH309/100)-I314)*100)</f>
        <v/>
      </c>
      <c r="AK309" s="1267" t="str">
        <f>IF(Y305&lt;&gt;"",Y305*100,"")</f>
        <v/>
      </c>
    </row>
    <row r="310" spans="1:37" s="316" customFormat="1" ht="15" customHeight="1" x14ac:dyDescent="0.3">
      <c r="A310" s="1955"/>
      <c r="B310" s="882" t="s">
        <v>316</v>
      </c>
      <c r="C310" s="666"/>
      <c r="D310" s="883" t="s">
        <v>317</v>
      </c>
      <c r="E310" s="750"/>
      <c r="F310" s="750"/>
      <c r="G310" s="750"/>
      <c r="H310" s="750"/>
      <c r="I310" s="750"/>
      <c r="J310" s="750"/>
      <c r="K310" s="750"/>
      <c r="L310" s="651" t="str">
        <f>IF(J305&lt;&gt;"",MAX(L$5:L309)+1,"")</f>
        <v/>
      </c>
      <c r="M310" s="1960"/>
      <c r="N310" s="872" t="str">
        <f>IF(E308&lt;&gt;"",LOOKUP(E308,Tara!$L$5:$L$21,Tara!$O$5:$O$21),"")</f>
        <v/>
      </c>
      <c r="O310" s="872" t="str">
        <f>IF(F308&lt;&gt;"",LOOKUP(F308,Tara!$L$5:$L$21,Tara!$O$5:$O$21),"")</f>
        <v/>
      </c>
      <c r="P310" s="872" t="str">
        <f>IF(G308&lt;&gt;"",LOOKUP(G308,Tara!$L$5:$L$21,Tara!$O$5:$O$21),"")</f>
        <v/>
      </c>
      <c r="Q310" s="872" t="str">
        <f>IF(H308&lt;&gt;"",LOOKUP(H308,Tara!$L$5:$L$21,Tara!$O$5:$O$21),"")</f>
        <v/>
      </c>
      <c r="R310" s="872" t="str">
        <f>IF(I308&lt;&gt;"",LOOKUP(I308,Tara!$L$5:$L$21,Tara!$O$5:$O$21),"")</f>
        <v/>
      </c>
      <c r="S310" s="872" t="str">
        <f>IF(J308&lt;&gt;"",LOOKUP(J308,Tara!$L$5:$L$21,Tara!$O$5:$O$21),"")</f>
        <v/>
      </c>
      <c r="T310" s="872" t="str">
        <f>IF(K308&lt;&gt;"",LOOKUP(K308,Tara!$L$5:$L$21,Tara!$O$5:$O$21),"")</f>
        <v/>
      </c>
      <c r="U310" s="884"/>
      <c r="V310" s="884"/>
      <c r="W310" s="884"/>
      <c r="X310" s="884"/>
      <c r="Y310" s="884"/>
      <c r="Z310" s="884"/>
      <c r="AA310" s="884"/>
      <c r="AB310" s="872" t="str">
        <f t="shared" si="242"/>
        <v/>
      </c>
      <c r="AC310" s="873" t="str">
        <f>""</f>
        <v/>
      </c>
      <c r="AD310" s="873" t="str">
        <f>""</f>
        <v/>
      </c>
      <c r="AE310" s="873" t="str">
        <f>IF(J306&lt;&gt;"",J306,"")</f>
        <v/>
      </c>
      <c r="AF310" s="874" t="str">
        <f>IF(J307&lt;&gt;"",J307,"")</f>
        <v/>
      </c>
      <c r="AG310" s="875" t="str">
        <f>IF(S305&lt;&gt;"",S305,"")</f>
        <v/>
      </c>
      <c r="AH310" s="896" t="str">
        <f>IF(J312&lt;&gt;"",J312*100,"")</f>
        <v/>
      </c>
      <c r="AI310" s="897" t="str">
        <f>IF(S314&lt;&gt;"",S314,"")</f>
        <v/>
      </c>
      <c r="AJ310" s="880" t="str">
        <f>IF(AH310="","",((AH310/100)-J314)*100)</f>
        <v/>
      </c>
      <c r="AK310" s="1267" t="str">
        <f>IF(Z305&lt;&gt;"",Z305*100,"")</f>
        <v/>
      </c>
    </row>
    <row r="311" spans="1:37" s="316" customFormat="1" ht="15" customHeight="1" x14ac:dyDescent="0.3">
      <c r="A311" s="1955"/>
      <c r="B311" s="885" t="s">
        <v>318</v>
      </c>
      <c r="C311" s="886"/>
      <c r="D311" s="870" t="s">
        <v>319</v>
      </c>
      <c r="E311" s="750"/>
      <c r="F311" s="750"/>
      <c r="G311" s="750"/>
      <c r="H311" s="750"/>
      <c r="I311" s="750"/>
      <c r="J311" s="750"/>
      <c r="K311" s="750"/>
      <c r="L311" s="651" t="str">
        <f>IF(K305&lt;&gt;"",MAX(L$5:L310)+1,"")</f>
        <v/>
      </c>
      <c r="M311" s="1960"/>
      <c r="N311" s="887" t="str">
        <f>IF(N309&lt;&gt;"",N309/N310,"")</f>
        <v/>
      </c>
      <c r="O311" s="887" t="str">
        <f t="shared" ref="O311:T311" si="245">IF(O309&lt;&gt;"",O309/O310,"")</f>
        <v/>
      </c>
      <c r="P311" s="887" t="str">
        <f t="shared" si="245"/>
        <v/>
      </c>
      <c r="Q311" s="887" t="str">
        <f t="shared" si="245"/>
        <v/>
      </c>
      <c r="R311" s="887" t="str">
        <f t="shared" si="245"/>
        <v/>
      </c>
      <c r="S311" s="887" t="str">
        <f t="shared" si="245"/>
        <v/>
      </c>
      <c r="T311" s="887" t="str">
        <f t="shared" si="245"/>
        <v/>
      </c>
      <c r="U311" s="884"/>
      <c r="V311" s="884"/>
      <c r="W311" s="884"/>
      <c r="X311" s="884"/>
      <c r="Y311" s="884"/>
      <c r="Z311" s="884"/>
      <c r="AA311" s="884"/>
      <c r="AB311" s="872" t="str">
        <f t="shared" si="242"/>
        <v/>
      </c>
      <c r="AC311" s="873" t="str">
        <f>""</f>
        <v/>
      </c>
      <c r="AD311" s="873" t="str">
        <f>""</f>
        <v/>
      </c>
      <c r="AE311" s="873" t="str">
        <f>IF(K306&lt;&gt;"",K306,"")</f>
        <v/>
      </c>
      <c r="AF311" s="874" t="str">
        <f>IF(K307&lt;&gt;"",K307,"")</f>
        <v/>
      </c>
      <c r="AG311" s="875" t="str">
        <f>IF(T305&lt;&gt;"",T305,"")</f>
        <v/>
      </c>
      <c r="AH311" s="896" t="str">
        <f>IF(K312&lt;&gt;"",K312*100,"")</f>
        <v/>
      </c>
      <c r="AI311" s="897" t="str">
        <f>IF(T314&lt;&gt;"",T314,"")</f>
        <v/>
      </c>
      <c r="AJ311" s="880" t="str">
        <f>IF(AH311="","",((AH311/100)-K314)*100)</f>
        <v/>
      </c>
      <c r="AK311" s="1267" t="str">
        <f>IF(AA305&lt;&gt;"",AA305*100,"")</f>
        <v/>
      </c>
    </row>
    <row r="312" spans="1:37" s="316" customFormat="1" ht="15" customHeight="1" x14ac:dyDescent="0.3">
      <c r="A312" s="1955"/>
      <c r="B312" s="652"/>
      <c r="C312" s="653"/>
      <c r="D312" s="870" t="s">
        <v>320</v>
      </c>
      <c r="E312" s="888"/>
      <c r="F312" s="888"/>
      <c r="G312" s="888"/>
      <c r="H312" s="888"/>
      <c r="I312" s="888"/>
      <c r="J312" s="888"/>
      <c r="K312" s="888"/>
      <c r="L312" s="651"/>
      <c r="M312" s="1960"/>
      <c r="N312" s="889" t="str">
        <f>IF(E310&lt;&gt;"",LOOKUP(E310,Tara!$P$5:$P$21,Tara!$Q$5:$Q$21),"")</f>
        <v/>
      </c>
      <c r="O312" s="889" t="str">
        <f>IF(F310&lt;&gt;"",LOOKUP(F310,Tara!$P$5:$P$21,Tara!$Q$5:$Q$21),"")</f>
        <v/>
      </c>
      <c r="P312" s="889" t="str">
        <f>IF(G310&lt;&gt;"",LOOKUP(G310,Tara!$P$5:$P$21,Tara!$Q$5:$Q$21),"")</f>
        <v/>
      </c>
      <c r="Q312" s="889" t="str">
        <f>IF(H310&lt;&gt;"",LOOKUP(H310,Tara!$P$5:$P$21,Tara!$Q$5:$Q$21),"")</f>
        <v/>
      </c>
      <c r="R312" s="889" t="str">
        <f>IF(I310&lt;&gt;"",LOOKUP(I310,Tara!$P$5:$P$21,Tara!$Q$5:$Q$21),"")</f>
        <v/>
      </c>
      <c r="S312" s="889" t="str">
        <f>IF(J310&lt;&gt;"",LOOKUP(J310,Tara!$P$5:$P$21,Tara!$Q$5:$Q$21),"")</f>
        <v/>
      </c>
      <c r="T312" s="889" t="str">
        <f>IF(K310&lt;&gt;"",LOOKUP(K310,Tara!$P$5:$P$21,Tara!$Q$5:$Q$21),"")</f>
        <v/>
      </c>
      <c r="U312" s="884"/>
      <c r="V312" s="884"/>
      <c r="W312" s="884"/>
      <c r="X312" s="884"/>
      <c r="Y312" s="884"/>
      <c r="Z312" s="884"/>
      <c r="AA312" s="884"/>
      <c r="AB312" s="872" t="str">
        <f>""</f>
        <v/>
      </c>
      <c r="AC312" s="873" t="str">
        <f>""</f>
        <v/>
      </c>
      <c r="AD312" s="873" t="str">
        <f>""</f>
        <v/>
      </c>
      <c r="AE312" s="873" t="str">
        <f>""</f>
        <v/>
      </c>
      <c r="AF312" s="874" t="str">
        <f>""</f>
        <v/>
      </c>
      <c r="AG312" s="875" t="str">
        <f>""</f>
        <v/>
      </c>
      <c r="AH312" s="875" t="str">
        <f>""</f>
        <v/>
      </c>
      <c r="AI312" s="875" t="str">
        <f>""</f>
        <v/>
      </c>
      <c r="AJ312" s="890" t="str">
        <f>""</f>
        <v/>
      </c>
      <c r="AK312" s="1267" t="str">
        <f>""</f>
        <v/>
      </c>
    </row>
    <row r="313" spans="1:37" s="316" customFormat="1" ht="15" customHeight="1" x14ac:dyDescent="0.3">
      <c r="A313" s="1955"/>
      <c r="B313" s="654"/>
      <c r="C313" s="655"/>
      <c r="D313" s="891" t="s">
        <v>321</v>
      </c>
      <c r="E313" s="750"/>
      <c r="F313" s="750"/>
      <c r="G313" s="750"/>
      <c r="H313" s="750"/>
      <c r="I313" s="750"/>
      <c r="J313" s="750"/>
      <c r="K313" s="750"/>
      <c r="L313" s="651"/>
      <c r="M313" s="1960"/>
      <c r="N313" s="892" t="str">
        <f t="shared" ref="N313:T313" si="246">IF(E311&lt;&gt;"",(E311-N312)/N311,"")</f>
        <v/>
      </c>
      <c r="O313" s="892" t="str">
        <f t="shared" si="246"/>
        <v/>
      </c>
      <c r="P313" s="892" t="str">
        <f t="shared" si="246"/>
        <v/>
      </c>
      <c r="Q313" s="892" t="str">
        <f t="shared" si="246"/>
        <v/>
      </c>
      <c r="R313" s="892" t="str">
        <f t="shared" si="246"/>
        <v/>
      </c>
      <c r="S313" s="892" t="str">
        <f t="shared" si="246"/>
        <v/>
      </c>
      <c r="T313" s="892" t="str">
        <f t="shared" si="246"/>
        <v/>
      </c>
      <c r="U313" s="884"/>
      <c r="V313" s="884"/>
      <c r="W313" s="884"/>
      <c r="X313" s="884"/>
      <c r="Y313" s="884"/>
      <c r="Z313" s="884"/>
      <c r="AA313" s="884"/>
      <c r="AB313" s="872" t="str">
        <f>""</f>
        <v/>
      </c>
      <c r="AC313" s="873" t="str">
        <f>""</f>
        <v/>
      </c>
      <c r="AD313" s="873" t="str">
        <f>""</f>
        <v/>
      </c>
      <c r="AE313" s="873" t="str">
        <f>""</f>
        <v/>
      </c>
      <c r="AF313" s="874" t="str">
        <f>""</f>
        <v/>
      </c>
      <c r="AG313" s="893" t="str">
        <f>""</f>
        <v/>
      </c>
      <c r="AH313" s="893" t="str">
        <f>""</f>
        <v/>
      </c>
      <c r="AI313" s="893" t="str">
        <f>""</f>
        <v/>
      </c>
      <c r="AJ313" s="895" t="str">
        <f>""</f>
        <v/>
      </c>
      <c r="AK313" s="1269" t="str">
        <f>""</f>
        <v/>
      </c>
    </row>
    <row r="314" spans="1:37" s="316" customFormat="1" ht="15" customHeight="1" thickBot="1" x14ac:dyDescent="0.35">
      <c r="A314" s="1956"/>
      <c r="B314" s="656"/>
      <c r="C314" s="657"/>
      <c r="D314" s="658" t="s">
        <v>99</v>
      </c>
      <c r="E314" s="556"/>
      <c r="F314" s="556"/>
      <c r="G314" s="556"/>
      <c r="H314" s="556"/>
      <c r="I314" s="556"/>
      <c r="J314" s="556"/>
      <c r="K314" s="556"/>
      <c r="L314" s="659"/>
      <c r="M314" s="1961"/>
      <c r="N314" s="549" t="str">
        <f t="shared" ref="N314:T314" si="247">IF(N313&lt;&gt;"",N313/(1+E312),"")</f>
        <v/>
      </c>
      <c r="O314" s="549" t="str">
        <f t="shared" si="247"/>
        <v/>
      </c>
      <c r="P314" s="549" t="str">
        <f t="shared" si="247"/>
        <v/>
      </c>
      <c r="Q314" s="549" t="str">
        <f t="shared" si="247"/>
        <v/>
      </c>
      <c r="R314" s="549" t="str">
        <f t="shared" si="247"/>
        <v/>
      </c>
      <c r="S314" s="549" t="str">
        <f t="shared" si="247"/>
        <v/>
      </c>
      <c r="T314" s="549" t="str">
        <f t="shared" si="247"/>
        <v/>
      </c>
      <c r="U314" s="550"/>
      <c r="V314" s="550"/>
      <c r="W314" s="550"/>
      <c r="X314" s="550"/>
      <c r="Y314" s="550"/>
      <c r="Z314" s="550"/>
      <c r="AA314" s="550"/>
      <c r="AB314" s="551">
        <f>MAX(AB$5:AB313)+1</f>
        <v>31</v>
      </c>
      <c r="AC314" s="552" t="str">
        <f>""</f>
        <v/>
      </c>
      <c r="AD314" s="552" t="str">
        <f>""</f>
        <v/>
      </c>
      <c r="AE314" s="552" t="str">
        <f>""</f>
        <v/>
      </c>
      <c r="AF314" s="558" t="str">
        <f>""</f>
        <v/>
      </c>
      <c r="AG314" s="553" t="str">
        <f>""</f>
        <v/>
      </c>
      <c r="AH314" s="553" t="str">
        <f>""</f>
        <v/>
      </c>
      <c r="AI314" s="553" t="str">
        <f>""</f>
        <v/>
      </c>
      <c r="AJ314" s="554" t="str">
        <f>""</f>
        <v/>
      </c>
      <c r="AK314" s="555" t="str">
        <f>""</f>
        <v/>
      </c>
    </row>
    <row r="315" spans="1:37" s="56" customFormat="1" ht="15" customHeight="1" x14ac:dyDescent="0.3">
      <c r="A315" s="1954">
        <f>A305+1</f>
        <v>32</v>
      </c>
      <c r="B315" s="1957" t="s">
        <v>309</v>
      </c>
      <c r="C315" s="1958"/>
      <c r="D315" s="648" t="s">
        <v>34</v>
      </c>
      <c r="E315" s="649"/>
      <c r="F315" s="649"/>
      <c r="G315" s="649"/>
      <c r="H315" s="649"/>
      <c r="I315" s="649"/>
      <c r="J315" s="649"/>
      <c r="K315" s="649"/>
      <c r="L315" s="650" t="str">
        <f>IF(E315&lt;&gt;"",MAX(L$5:L314)+1,"")</f>
        <v/>
      </c>
      <c r="M315" s="1959" t="s">
        <v>25</v>
      </c>
      <c r="N315" s="539" t="str">
        <f t="shared" ref="N315:T315" si="248">IF(E315&lt;&gt;"",E315,"")</f>
        <v/>
      </c>
      <c r="O315" s="539" t="str">
        <f t="shared" si="248"/>
        <v/>
      </c>
      <c r="P315" s="539" t="str">
        <f t="shared" si="248"/>
        <v/>
      </c>
      <c r="Q315" s="539" t="str">
        <f t="shared" si="248"/>
        <v/>
      </c>
      <c r="R315" s="539" t="str">
        <f t="shared" si="248"/>
        <v/>
      </c>
      <c r="S315" s="539" t="str">
        <f t="shared" si="248"/>
        <v/>
      </c>
      <c r="T315" s="539" t="str">
        <f t="shared" si="248"/>
        <v/>
      </c>
      <c r="U315" s="540" t="str">
        <f t="shared" ref="U315:AA315" si="249">IF(N324&lt;&gt;"",N324/E323*1000,"")</f>
        <v/>
      </c>
      <c r="V315" s="540" t="str">
        <f t="shared" si="249"/>
        <v/>
      </c>
      <c r="W315" s="540" t="str">
        <f t="shared" si="249"/>
        <v/>
      </c>
      <c r="X315" s="540" t="str">
        <f t="shared" si="249"/>
        <v/>
      </c>
      <c r="Y315" s="540" t="str">
        <f t="shared" si="249"/>
        <v/>
      </c>
      <c r="Z315" s="540" t="str">
        <f t="shared" si="249"/>
        <v/>
      </c>
      <c r="AA315" s="540" t="str">
        <f t="shared" si="249"/>
        <v/>
      </c>
      <c r="AB315" s="539" t="str">
        <f>IF(L315&lt;&gt;"",L315,"")</f>
        <v/>
      </c>
      <c r="AC315" s="541" t="str">
        <f>IF(C316&lt;&gt;"",CONCATENATE(C316," a ",C317),"")</f>
        <v/>
      </c>
      <c r="AD315" s="542" t="str">
        <f>IF(C319&lt;&gt;"",C319,"")</f>
        <v/>
      </c>
      <c r="AE315" s="543" t="str">
        <f>IF(E316&lt;&gt;"",E316,"")</f>
        <v/>
      </c>
      <c r="AF315" s="557" t="str">
        <f>IF(E317&lt;&gt;"",E317,"")</f>
        <v/>
      </c>
      <c r="AG315" s="544" t="str">
        <f>IF(N315&lt;&gt;"",N315,"")</f>
        <v/>
      </c>
      <c r="AH315" s="545" t="str">
        <f>IF(E322&lt;&gt;"",E322*100,"")</f>
        <v/>
      </c>
      <c r="AI315" s="546" t="str">
        <f>IF(N324&lt;&gt;"",N324,"")</f>
        <v/>
      </c>
      <c r="AJ315" s="547" t="str">
        <f>IF(AH315="","",((AH315/100)-E324)*100)</f>
        <v/>
      </c>
      <c r="AK315" s="548" t="str">
        <f>IF(U315&lt;&gt;"",U315*100,"")</f>
        <v/>
      </c>
    </row>
    <row r="316" spans="1:37" s="57" customFormat="1" ht="15" customHeight="1" x14ac:dyDescent="0.3">
      <c r="A316" s="1955"/>
      <c r="B316" s="869" t="s">
        <v>310</v>
      </c>
      <c r="C316" s="666"/>
      <c r="D316" s="870" t="s">
        <v>156</v>
      </c>
      <c r="E316" s="871"/>
      <c r="F316" s="871"/>
      <c r="G316" s="871"/>
      <c r="H316" s="871"/>
      <c r="I316" s="871"/>
      <c r="J316" s="871"/>
      <c r="K316" s="871"/>
      <c r="L316" s="651" t="str">
        <f>IF(F315&lt;&gt;"",MAX(L$5:L315)+1,"")</f>
        <v/>
      </c>
      <c r="M316" s="1960"/>
      <c r="N316" s="872" t="str">
        <f>IF(E318&lt;&gt;"",LOOKUP(E318,Tara!$L$5:$L$21,Tara!$M$5:$M$21),"")</f>
        <v/>
      </c>
      <c r="O316" s="872" t="str">
        <f>IF(F318&lt;&gt;"",LOOKUP(F318,Tara!$L$5:$L$21,Tara!$M$5:$M$21),"")</f>
        <v/>
      </c>
      <c r="P316" s="872" t="str">
        <f>IF(G318&lt;&gt;"",LOOKUP(G318,Tara!$L$5:$L$21,Tara!$M$5:$M$21),"")</f>
        <v/>
      </c>
      <c r="Q316" s="872" t="str">
        <f>IF(H318&lt;&gt;"",LOOKUP(H318,Tara!$L$5:$L$21,Tara!$M$5:$M$21),"")</f>
        <v/>
      </c>
      <c r="R316" s="872" t="str">
        <f>IF(I318&lt;&gt;"",LOOKUP(I318,Tara!$L$5:$L$21,Tara!$M$5:$M$21),"")</f>
        <v/>
      </c>
      <c r="S316" s="872" t="str">
        <f>IF(J318&lt;&gt;"",LOOKUP(J318,Tara!$L$5:$L$21,Tara!$M$5:$M$21),"")</f>
        <v/>
      </c>
      <c r="T316" s="872" t="str">
        <f>IF(K318&lt;&gt;"",LOOKUP(K318,Tara!$L$5:$L$21,Tara!$M$5:$M$21),"")</f>
        <v/>
      </c>
      <c r="U316" s="872"/>
      <c r="V316" s="872"/>
      <c r="W316" s="872"/>
      <c r="X316" s="872"/>
      <c r="Y316" s="872"/>
      <c r="Z316" s="872"/>
      <c r="AA316" s="872"/>
      <c r="AB316" s="872" t="str">
        <f t="shared" ref="AB316:AB321" si="250">IF(L316&lt;&gt;"",L316,"")</f>
        <v/>
      </c>
      <c r="AC316" s="873" t="str">
        <f>""</f>
        <v/>
      </c>
      <c r="AD316" s="873" t="str">
        <f>""</f>
        <v/>
      </c>
      <c r="AE316" s="873" t="str">
        <f>IF(F316&lt;&gt;"",F316,"")</f>
        <v/>
      </c>
      <c r="AF316" s="874" t="str">
        <f>IF(E317&lt;&gt;"",F317,"")</f>
        <v/>
      </c>
      <c r="AG316" s="875" t="str">
        <f>IF(O315&lt;&gt;"",O315,"")</f>
        <v/>
      </c>
      <c r="AH316" s="896" t="str">
        <f>IF(F322&lt;&gt;"",F322*100,"")</f>
        <v/>
      </c>
      <c r="AI316" s="897" t="str">
        <f>IF(O324&lt;&gt;"",O324,"")</f>
        <v/>
      </c>
      <c r="AJ316" s="880" t="str">
        <f>IF(AH316="","",((AH316/100)-F324)*100)</f>
        <v/>
      </c>
      <c r="AK316" s="1267" t="str">
        <f>IF(V315&lt;&gt;"",V315*100,"")</f>
        <v/>
      </c>
    </row>
    <row r="317" spans="1:37" s="56" customFormat="1" ht="15" customHeight="1" x14ac:dyDescent="0.3">
      <c r="A317" s="1955"/>
      <c r="B317" s="869" t="s">
        <v>311</v>
      </c>
      <c r="C317" s="666"/>
      <c r="D317" s="870" t="s">
        <v>312</v>
      </c>
      <c r="E317" s="878"/>
      <c r="F317" s="878"/>
      <c r="G317" s="878"/>
      <c r="H317" s="878"/>
      <c r="I317" s="878"/>
      <c r="J317" s="878"/>
      <c r="K317" s="1268"/>
      <c r="L317" s="651" t="str">
        <f>IF(G315&lt;&gt;"",MAX(L$5:L316)+1,"")</f>
        <v/>
      </c>
      <c r="M317" s="1960"/>
      <c r="N317" s="872" t="str">
        <f t="shared" ref="N317:T317" si="251">IF(N316&lt;&gt;"",N316-E319,"")</f>
        <v/>
      </c>
      <c r="O317" s="872" t="str">
        <f t="shared" si="251"/>
        <v/>
      </c>
      <c r="P317" s="872" t="str">
        <f t="shared" si="251"/>
        <v/>
      </c>
      <c r="Q317" s="872" t="str">
        <f t="shared" si="251"/>
        <v/>
      </c>
      <c r="R317" s="872" t="str">
        <f t="shared" si="251"/>
        <v/>
      </c>
      <c r="S317" s="872" t="str">
        <f t="shared" si="251"/>
        <v/>
      </c>
      <c r="T317" s="872" t="str">
        <f t="shared" si="251"/>
        <v/>
      </c>
      <c r="U317" s="879"/>
      <c r="V317" s="879"/>
      <c r="W317" s="879"/>
      <c r="X317" s="879"/>
      <c r="Y317" s="879"/>
      <c r="Z317" s="879"/>
      <c r="AA317" s="879"/>
      <c r="AB317" s="872" t="str">
        <f t="shared" si="250"/>
        <v/>
      </c>
      <c r="AC317" s="873" t="str">
        <f>""</f>
        <v/>
      </c>
      <c r="AD317" s="873" t="str">
        <f>""</f>
        <v/>
      </c>
      <c r="AE317" s="873" t="str">
        <f>IF(G316&lt;&gt;"",G316,"")</f>
        <v/>
      </c>
      <c r="AF317" s="874" t="str">
        <f>IF(G317&lt;&gt;"",G317,"")</f>
        <v/>
      </c>
      <c r="AG317" s="875" t="str">
        <f>IF(P315&lt;&gt;"",P315,"")</f>
        <v/>
      </c>
      <c r="AH317" s="896" t="str">
        <f>IF(G322&lt;&gt;"",G322*100,"")</f>
        <v/>
      </c>
      <c r="AI317" s="897" t="str">
        <f>IF(P324&lt;&gt;"",P324,"")</f>
        <v/>
      </c>
      <c r="AJ317" s="880" t="str">
        <f>IF(AH317="","",((AH317/100)-G324)*100)</f>
        <v/>
      </c>
      <c r="AK317" s="1267" t="str">
        <f>IF(W315&lt;&gt;"",W315*100,"")</f>
        <v/>
      </c>
    </row>
    <row r="318" spans="1:37" s="56" customFormat="1" ht="15" customHeight="1" x14ac:dyDescent="0.3">
      <c r="A318" s="1955"/>
      <c r="B318" s="869" t="s">
        <v>313</v>
      </c>
      <c r="C318" s="666"/>
      <c r="D318" s="870" t="s">
        <v>314</v>
      </c>
      <c r="E318" s="750"/>
      <c r="F318" s="750"/>
      <c r="G318" s="750"/>
      <c r="H318" s="750"/>
      <c r="I318" s="750"/>
      <c r="J318" s="750"/>
      <c r="K318" s="750"/>
      <c r="L318" s="651" t="str">
        <f>IF(H315&lt;&gt;"",MAX(L$5:L317)+1,"")</f>
        <v/>
      </c>
      <c r="M318" s="1960"/>
      <c r="N318" s="872" t="str">
        <f>IF(E318&lt;&gt;"",LOOKUP(E318,Tara!$L$5:$L$21,Tara!$N$5:$N$21),"")</f>
        <v/>
      </c>
      <c r="O318" s="872" t="str">
        <f>IF(F318&lt;&gt;"",LOOKUP(F318,Tara!$L$5:$L$21,Tara!$N$5:$N$21),"")</f>
        <v/>
      </c>
      <c r="P318" s="872" t="str">
        <f>IF(G318&lt;&gt;"",LOOKUP(G318,Tara!$L$5:$L$21,Tara!$N$5:$N$21),"")</f>
        <v/>
      </c>
      <c r="Q318" s="872" t="str">
        <f>IF(H318&lt;&gt;"",LOOKUP(H318,Tara!$L$5:$L$21,Tara!$N$5:$N$21),"")</f>
        <v/>
      </c>
      <c r="R318" s="872" t="str">
        <f>IF(I318&lt;&gt;"",LOOKUP(I318,Tara!$L$5:$L$21,Tara!$N$5:$N$21),"")</f>
        <v/>
      </c>
      <c r="S318" s="872" t="str">
        <f>IF(J318&lt;&gt;"",LOOKUP(J318,Tara!$L$5:$L$21,Tara!$N$5:$N$21),"")</f>
        <v/>
      </c>
      <c r="T318" s="872" t="str">
        <f>IF(K318&lt;&gt;"",LOOKUP(K318,Tara!$L$5:$L$21,Tara!$N$5:$N$21),"")</f>
        <v/>
      </c>
      <c r="U318" s="881"/>
      <c r="V318" s="881"/>
      <c r="W318" s="881"/>
      <c r="X318" s="881"/>
      <c r="Y318" s="881"/>
      <c r="Z318" s="881"/>
      <c r="AA318" s="881"/>
      <c r="AB318" s="872" t="str">
        <f t="shared" si="250"/>
        <v/>
      </c>
      <c r="AC318" s="873" t="str">
        <f>""</f>
        <v/>
      </c>
      <c r="AD318" s="873" t="str">
        <f>""</f>
        <v/>
      </c>
      <c r="AE318" s="873" t="str">
        <f>IF(H316&lt;&gt;"",H316,"")</f>
        <v/>
      </c>
      <c r="AF318" s="874" t="str">
        <f>IF(H317&lt;&gt;"",H317,"")</f>
        <v/>
      </c>
      <c r="AG318" s="875" t="str">
        <f>IF(Q315&lt;&gt;"",Q315,"")</f>
        <v/>
      </c>
      <c r="AH318" s="896" t="str">
        <f>IF(H322&lt;&gt;"",H322*100,"")</f>
        <v/>
      </c>
      <c r="AI318" s="897" t="str">
        <f>IF(Q324&lt;&gt;"",Q324,"")</f>
        <v/>
      </c>
      <c r="AJ318" s="880" t="str">
        <f>IF(AH318="","",((AH318/100)-H324)*100)</f>
        <v/>
      </c>
      <c r="AK318" s="1267" t="str">
        <f>IF(X315&lt;&gt;"",X315*100,"")</f>
        <v/>
      </c>
    </row>
    <row r="319" spans="1:37" s="56" customFormat="1" ht="15" customHeight="1" x14ac:dyDescent="0.3">
      <c r="A319" s="1955"/>
      <c r="B319" s="882" t="s">
        <v>57</v>
      </c>
      <c r="C319" s="688"/>
      <c r="D319" s="870" t="s">
        <v>315</v>
      </c>
      <c r="E319" s="871"/>
      <c r="F319" s="871"/>
      <c r="G319" s="871"/>
      <c r="H319" s="871"/>
      <c r="I319" s="871"/>
      <c r="J319" s="871"/>
      <c r="K319" s="871"/>
      <c r="L319" s="651" t="str">
        <f>IF(I315&lt;&gt;"",MAX(L$5:L318)+1,"")</f>
        <v/>
      </c>
      <c r="M319" s="1960"/>
      <c r="N319" s="872" t="str">
        <f t="shared" ref="N319:T319" si="252">IF(N317&lt;&gt;"",N317-N318,"")</f>
        <v/>
      </c>
      <c r="O319" s="872" t="str">
        <f t="shared" si="252"/>
        <v/>
      </c>
      <c r="P319" s="872" t="str">
        <f t="shared" si="252"/>
        <v/>
      </c>
      <c r="Q319" s="872" t="str">
        <f t="shared" si="252"/>
        <v/>
      </c>
      <c r="R319" s="872" t="str">
        <f t="shared" si="252"/>
        <v/>
      </c>
      <c r="S319" s="872" t="str">
        <f t="shared" si="252"/>
        <v/>
      </c>
      <c r="T319" s="872" t="str">
        <f t="shared" si="252"/>
        <v/>
      </c>
      <c r="U319" s="881"/>
      <c r="V319" s="881"/>
      <c r="W319" s="881"/>
      <c r="X319" s="881"/>
      <c r="Y319" s="881"/>
      <c r="Z319" s="881"/>
      <c r="AA319" s="881"/>
      <c r="AB319" s="872" t="str">
        <f t="shared" si="250"/>
        <v/>
      </c>
      <c r="AC319" s="873" t="str">
        <f>""</f>
        <v/>
      </c>
      <c r="AD319" s="873" t="str">
        <f>""</f>
        <v/>
      </c>
      <c r="AE319" s="873" t="str">
        <f>IF(I316&lt;&gt;"",I316,"")</f>
        <v/>
      </c>
      <c r="AF319" s="874" t="str">
        <f>IF(I317&lt;&gt;"",I317,"")</f>
        <v/>
      </c>
      <c r="AG319" s="875" t="str">
        <f>IF(R315&lt;&gt;"",R315,"")</f>
        <v/>
      </c>
      <c r="AH319" s="896" t="str">
        <f>IF(I322&lt;&gt;"",I322*100,"")</f>
        <v/>
      </c>
      <c r="AI319" s="897" t="str">
        <f>IF(R324&lt;&gt;"",R324,"")</f>
        <v/>
      </c>
      <c r="AJ319" s="880" t="str">
        <f>IF(AH319="","",((AH319/100)-I324)*100)</f>
        <v/>
      </c>
      <c r="AK319" s="1267" t="str">
        <f>IF(Y315&lt;&gt;"",Y315*100,"")</f>
        <v/>
      </c>
    </row>
    <row r="320" spans="1:37" s="316" customFormat="1" ht="15" customHeight="1" x14ac:dyDescent="0.3">
      <c r="A320" s="1955"/>
      <c r="B320" s="882" t="s">
        <v>316</v>
      </c>
      <c r="C320" s="666"/>
      <c r="D320" s="883" t="s">
        <v>317</v>
      </c>
      <c r="E320" s="750"/>
      <c r="F320" s="750"/>
      <c r="G320" s="750"/>
      <c r="H320" s="750"/>
      <c r="I320" s="750"/>
      <c r="J320" s="750"/>
      <c r="K320" s="750"/>
      <c r="L320" s="651" t="str">
        <f>IF(J315&lt;&gt;"",MAX(L$5:L319)+1,"")</f>
        <v/>
      </c>
      <c r="M320" s="1960"/>
      <c r="N320" s="872" t="str">
        <f>IF(E318&lt;&gt;"",LOOKUP(E318,Tara!$L$5:$L$21,Tara!$O$5:$O$21),"")</f>
        <v/>
      </c>
      <c r="O320" s="872" t="str">
        <f>IF(F318&lt;&gt;"",LOOKUP(F318,Tara!$L$5:$L$21,Tara!$O$5:$O$21),"")</f>
        <v/>
      </c>
      <c r="P320" s="872" t="str">
        <f>IF(G318&lt;&gt;"",LOOKUP(G318,Tara!$L$5:$L$21,Tara!$O$5:$O$21),"")</f>
        <v/>
      </c>
      <c r="Q320" s="872" t="str">
        <f>IF(H318&lt;&gt;"",LOOKUP(H318,Tara!$L$5:$L$21,Tara!$O$5:$O$21),"")</f>
        <v/>
      </c>
      <c r="R320" s="872" t="str">
        <f>IF(I318&lt;&gt;"",LOOKUP(I318,Tara!$L$5:$L$21,Tara!$O$5:$O$21),"")</f>
        <v/>
      </c>
      <c r="S320" s="872" t="str">
        <f>IF(J318&lt;&gt;"",LOOKUP(J318,Tara!$L$5:$L$21,Tara!$O$5:$O$21),"")</f>
        <v/>
      </c>
      <c r="T320" s="872" t="str">
        <f>IF(K318&lt;&gt;"",LOOKUP(K318,Tara!$L$5:$L$21,Tara!$O$5:$O$21),"")</f>
        <v/>
      </c>
      <c r="U320" s="884"/>
      <c r="V320" s="884"/>
      <c r="W320" s="884"/>
      <c r="X320" s="884"/>
      <c r="Y320" s="884"/>
      <c r="Z320" s="884"/>
      <c r="AA320" s="884"/>
      <c r="AB320" s="872" t="str">
        <f t="shared" si="250"/>
        <v/>
      </c>
      <c r="AC320" s="873" t="str">
        <f>""</f>
        <v/>
      </c>
      <c r="AD320" s="873" t="str">
        <f>""</f>
        <v/>
      </c>
      <c r="AE320" s="873" t="str">
        <f>IF(J316&lt;&gt;"",J316,"")</f>
        <v/>
      </c>
      <c r="AF320" s="874" t="str">
        <f>IF(J317&lt;&gt;"",J317,"")</f>
        <v/>
      </c>
      <c r="AG320" s="875" t="str">
        <f>IF(S315&lt;&gt;"",S315,"")</f>
        <v/>
      </c>
      <c r="AH320" s="896" t="str">
        <f>IF(J322&lt;&gt;"",J322*100,"")</f>
        <v/>
      </c>
      <c r="AI320" s="897" t="str">
        <f>IF(S324&lt;&gt;"",S324,"")</f>
        <v/>
      </c>
      <c r="AJ320" s="880" t="str">
        <f>IF(AH320="","",((AH320/100)-J324)*100)</f>
        <v/>
      </c>
      <c r="AK320" s="1267" t="str">
        <f>IF(Z315&lt;&gt;"",Z315*100,"")</f>
        <v/>
      </c>
    </row>
    <row r="321" spans="1:37" s="316" customFormat="1" ht="15" customHeight="1" x14ac:dyDescent="0.3">
      <c r="A321" s="1955"/>
      <c r="B321" s="885" t="s">
        <v>318</v>
      </c>
      <c r="C321" s="886"/>
      <c r="D321" s="870" t="s">
        <v>319</v>
      </c>
      <c r="E321" s="750"/>
      <c r="F321" s="750"/>
      <c r="G321" s="750"/>
      <c r="H321" s="750"/>
      <c r="I321" s="750"/>
      <c r="J321" s="750"/>
      <c r="K321" s="750"/>
      <c r="L321" s="651" t="str">
        <f>IF(K315&lt;&gt;"",MAX(L$5:L320)+1,"")</f>
        <v/>
      </c>
      <c r="M321" s="1960"/>
      <c r="N321" s="887" t="str">
        <f>IF(N319&lt;&gt;"",N319/N320,"")</f>
        <v/>
      </c>
      <c r="O321" s="887" t="str">
        <f t="shared" ref="O321:T321" si="253">IF(O319&lt;&gt;"",O319/O320,"")</f>
        <v/>
      </c>
      <c r="P321" s="887" t="str">
        <f t="shared" si="253"/>
        <v/>
      </c>
      <c r="Q321" s="887" t="str">
        <f t="shared" si="253"/>
        <v/>
      </c>
      <c r="R321" s="887" t="str">
        <f t="shared" si="253"/>
        <v/>
      </c>
      <c r="S321" s="887" t="str">
        <f t="shared" si="253"/>
        <v/>
      </c>
      <c r="T321" s="887" t="str">
        <f t="shared" si="253"/>
        <v/>
      </c>
      <c r="U321" s="884"/>
      <c r="V321" s="884"/>
      <c r="W321" s="884"/>
      <c r="X321" s="884"/>
      <c r="Y321" s="884"/>
      <c r="Z321" s="884"/>
      <c r="AA321" s="884"/>
      <c r="AB321" s="872" t="str">
        <f t="shared" si="250"/>
        <v/>
      </c>
      <c r="AC321" s="873" t="str">
        <f>""</f>
        <v/>
      </c>
      <c r="AD321" s="873" t="str">
        <f>""</f>
        <v/>
      </c>
      <c r="AE321" s="873" t="str">
        <f>IF(K316&lt;&gt;"",K316,"")</f>
        <v/>
      </c>
      <c r="AF321" s="874" t="str">
        <f>IF(K317&lt;&gt;"",K317,"")</f>
        <v/>
      </c>
      <c r="AG321" s="875" t="str">
        <f>IF(T315&lt;&gt;"",T315,"")</f>
        <v/>
      </c>
      <c r="AH321" s="896" t="str">
        <f>IF(K322&lt;&gt;"",K322*100,"")</f>
        <v/>
      </c>
      <c r="AI321" s="897" t="str">
        <f>IF(T324&lt;&gt;"",T324,"")</f>
        <v/>
      </c>
      <c r="AJ321" s="880" t="str">
        <f>IF(AH321="","",((AH321/100)-K324)*100)</f>
        <v/>
      </c>
      <c r="AK321" s="1267" t="str">
        <f>IF(AA315&lt;&gt;"",AA315*100,"")</f>
        <v/>
      </c>
    </row>
    <row r="322" spans="1:37" s="316" customFormat="1" ht="15" customHeight="1" x14ac:dyDescent="0.3">
      <c r="A322" s="1955"/>
      <c r="B322" s="652"/>
      <c r="C322" s="653"/>
      <c r="D322" s="870" t="s">
        <v>320</v>
      </c>
      <c r="E322" s="888"/>
      <c r="F322" s="888"/>
      <c r="G322" s="888"/>
      <c r="H322" s="888"/>
      <c r="I322" s="888"/>
      <c r="J322" s="888"/>
      <c r="K322" s="888"/>
      <c r="L322" s="651"/>
      <c r="M322" s="1960"/>
      <c r="N322" s="889" t="str">
        <f>IF(E320&lt;&gt;"",LOOKUP(E320,Tara!$P$5:$P$21,Tara!$Q$5:$Q$21),"")</f>
        <v/>
      </c>
      <c r="O322" s="889" t="str">
        <f>IF(F320&lt;&gt;"",LOOKUP(F320,Tara!$P$5:$P$21,Tara!$Q$5:$Q$21),"")</f>
        <v/>
      </c>
      <c r="P322" s="889" t="str">
        <f>IF(G320&lt;&gt;"",LOOKUP(G320,Tara!$P$5:$P$21,Tara!$Q$5:$Q$21),"")</f>
        <v/>
      </c>
      <c r="Q322" s="889" t="str">
        <f>IF(H320&lt;&gt;"",LOOKUP(H320,Tara!$P$5:$P$21,Tara!$Q$5:$Q$21),"")</f>
        <v/>
      </c>
      <c r="R322" s="889" t="str">
        <f>IF(I320&lt;&gt;"",LOOKUP(I320,Tara!$P$5:$P$21,Tara!$Q$5:$Q$21),"")</f>
        <v/>
      </c>
      <c r="S322" s="889" t="str">
        <f>IF(J320&lt;&gt;"",LOOKUP(J320,Tara!$P$5:$P$21,Tara!$Q$5:$Q$21),"")</f>
        <v/>
      </c>
      <c r="T322" s="889" t="str">
        <f>IF(K320&lt;&gt;"",LOOKUP(K320,Tara!$P$5:$P$21,Tara!$Q$5:$Q$21),"")</f>
        <v/>
      </c>
      <c r="U322" s="884"/>
      <c r="V322" s="884"/>
      <c r="W322" s="884"/>
      <c r="X322" s="884"/>
      <c r="Y322" s="884"/>
      <c r="Z322" s="884"/>
      <c r="AA322" s="884"/>
      <c r="AB322" s="872" t="str">
        <f>""</f>
        <v/>
      </c>
      <c r="AC322" s="873" t="str">
        <f>""</f>
        <v/>
      </c>
      <c r="AD322" s="873" t="str">
        <f>""</f>
        <v/>
      </c>
      <c r="AE322" s="873" t="str">
        <f>""</f>
        <v/>
      </c>
      <c r="AF322" s="874" t="str">
        <f>""</f>
        <v/>
      </c>
      <c r="AG322" s="875" t="str">
        <f>""</f>
        <v/>
      </c>
      <c r="AH322" s="875" t="str">
        <f>""</f>
        <v/>
      </c>
      <c r="AI322" s="875" t="str">
        <f>""</f>
        <v/>
      </c>
      <c r="AJ322" s="890" t="str">
        <f>""</f>
        <v/>
      </c>
      <c r="AK322" s="1267" t="str">
        <f>""</f>
        <v/>
      </c>
    </row>
    <row r="323" spans="1:37" s="316" customFormat="1" ht="15" customHeight="1" x14ac:dyDescent="0.3">
      <c r="A323" s="1955"/>
      <c r="B323" s="654"/>
      <c r="C323" s="655"/>
      <c r="D323" s="891" t="s">
        <v>321</v>
      </c>
      <c r="E323" s="750"/>
      <c r="F323" s="750"/>
      <c r="G323" s="750"/>
      <c r="H323" s="750"/>
      <c r="I323" s="750"/>
      <c r="J323" s="750"/>
      <c r="K323" s="750"/>
      <c r="L323" s="651"/>
      <c r="M323" s="1960"/>
      <c r="N323" s="892" t="str">
        <f t="shared" ref="N323:T323" si="254">IF(E321&lt;&gt;"",(E321-N322)/N321,"")</f>
        <v/>
      </c>
      <c r="O323" s="892" t="str">
        <f t="shared" si="254"/>
        <v/>
      </c>
      <c r="P323" s="892" t="str">
        <f t="shared" si="254"/>
        <v/>
      </c>
      <c r="Q323" s="892" t="str">
        <f t="shared" si="254"/>
        <v/>
      </c>
      <c r="R323" s="892" t="str">
        <f t="shared" si="254"/>
        <v/>
      </c>
      <c r="S323" s="892" t="str">
        <f t="shared" si="254"/>
        <v/>
      </c>
      <c r="T323" s="892" t="str">
        <f t="shared" si="254"/>
        <v/>
      </c>
      <c r="U323" s="884"/>
      <c r="V323" s="884"/>
      <c r="W323" s="884"/>
      <c r="X323" s="884"/>
      <c r="Y323" s="884"/>
      <c r="Z323" s="884"/>
      <c r="AA323" s="884"/>
      <c r="AB323" s="872" t="str">
        <f>""</f>
        <v/>
      </c>
      <c r="AC323" s="873" t="str">
        <f>""</f>
        <v/>
      </c>
      <c r="AD323" s="873" t="str">
        <f>""</f>
        <v/>
      </c>
      <c r="AE323" s="873" t="str">
        <f>""</f>
        <v/>
      </c>
      <c r="AF323" s="874" t="str">
        <f>""</f>
        <v/>
      </c>
      <c r="AG323" s="893" t="str">
        <f>""</f>
        <v/>
      </c>
      <c r="AH323" s="893" t="str">
        <f>""</f>
        <v/>
      </c>
      <c r="AI323" s="893" t="str">
        <f>""</f>
        <v/>
      </c>
      <c r="AJ323" s="895" t="str">
        <f>""</f>
        <v/>
      </c>
      <c r="AK323" s="1269" t="str">
        <f>""</f>
        <v/>
      </c>
    </row>
    <row r="324" spans="1:37" s="316" customFormat="1" ht="15" customHeight="1" thickBot="1" x14ac:dyDescent="0.35">
      <c r="A324" s="1956"/>
      <c r="B324" s="656"/>
      <c r="C324" s="657"/>
      <c r="D324" s="658" t="s">
        <v>99</v>
      </c>
      <c r="E324" s="556"/>
      <c r="F324" s="556"/>
      <c r="G324" s="556"/>
      <c r="H324" s="556"/>
      <c r="I324" s="556"/>
      <c r="J324" s="556"/>
      <c r="K324" s="556"/>
      <c r="L324" s="659"/>
      <c r="M324" s="1961"/>
      <c r="N324" s="549" t="str">
        <f t="shared" ref="N324:T324" si="255">IF(N323&lt;&gt;"",N323/(1+E322),"")</f>
        <v/>
      </c>
      <c r="O324" s="549" t="str">
        <f t="shared" si="255"/>
        <v/>
      </c>
      <c r="P324" s="549" t="str">
        <f t="shared" si="255"/>
        <v/>
      </c>
      <c r="Q324" s="549" t="str">
        <f t="shared" si="255"/>
        <v/>
      </c>
      <c r="R324" s="549" t="str">
        <f t="shared" si="255"/>
        <v/>
      </c>
      <c r="S324" s="549" t="str">
        <f t="shared" si="255"/>
        <v/>
      </c>
      <c r="T324" s="549" t="str">
        <f t="shared" si="255"/>
        <v/>
      </c>
      <c r="U324" s="550"/>
      <c r="V324" s="550"/>
      <c r="W324" s="550"/>
      <c r="X324" s="550"/>
      <c r="Y324" s="550"/>
      <c r="Z324" s="550"/>
      <c r="AA324" s="550"/>
      <c r="AB324" s="551">
        <f>MAX(AB$5:AB323)+1</f>
        <v>32</v>
      </c>
      <c r="AC324" s="552" t="str">
        <f>""</f>
        <v/>
      </c>
      <c r="AD324" s="552" t="str">
        <f>""</f>
        <v/>
      </c>
      <c r="AE324" s="552" t="str">
        <f>""</f>
        <v/>
      </c>
      <c r="AF324" s="558" t="str">
        <f>""</f>
        <v/>
      </c>
      <c r="AG324" s="553" t="str">
        <f>""</f>
        <v/>
      </c>
      <c r="AH324" s="553" t="str">
        <f>""</f>
        <v/>
      </c>
      <c r="AI324" s="553" t="str">
        <f>""</f>
        <v/>
      </c>
      <c r="AJ324" s="554" t="str">
        <f>""</f>
        <v/>
      </c>
      <c r="AK324" s="555" t="str">
        <f>""</f>
        <v/>
      </c>
    </row>
    <row r="325" spans="1:37" s="56" customFormat="1" ht="15" customHeight="1" x14ac:dyDescent="0.3">
      <c r="A325" s="1954">
        <f>A315+1</f>
        <v>33</v>
      </c>
      <c r="B325" s="1957" t="s">
        <v>309</v>
      </c>
      <c r="C325" s="1958"/>
      <c r="D325" s="648" t="s">
        <v>34</v>
      </c>
      <c r="E325" s="649"/>
      <c r="F325" s="649"/>
      <c r="G325" s="649"/>
      <c r="H325" s="649"/>
      <c r="I325" s="649"/>
      <c r="J325" s="649"/>
      <c r="K325" s="649"/>
      <c r="L325" s="650" t="str">
        <f>IF(E325&lt;&gt;"",MAX(L$5:L324)+1,"")</f>
        <v/>
      </c>
      <c r="M325" s="1959" t="s">
        <v>25</v>
      </c>
      <c r="N325" s="539" t="str">
        <f t="shared" ref="N325:T325" si="256">IF(E325&lt;&gt;"",E325,"")</f>
        <v/>
      </c>
      <c r="O325" s="539" t="str">
        <f t="shared" si="256"/>
        <v/>
      </c>
      <c r="P325" s="539" t="str">
        <f t="shared" si="256"/>
        <v/>
      </c>
      <c r="Q325" s="539" t="str">
        <f t="shared" si="256"/>
        <v/>
      </c>
      <c r="R325" s="539" t="str">
        <f t="shared" si="256"/>
        <v/>
      </c>
      <c r="S325" s="539" t="str">
        <f t="shared" si="256"/>
        <v/>
      </c>
      <c r="T325" s="539" t="str">
        <f t="shared" si="256"/>
        <v/>
      </c>
      <c r="U325" s="540" t="str">
        <f t="shared" ref="U325:AA325" si="257">IF(N334&lt;&gt;"",N334/E333*1000,"")</f>
        <v/>
      </c>
      <c r="V325" s="540" t="str">
        <f t="shared" si="257"/>
        <v/>
      </c>
      <c r="W325" s="540" t="str">
        <f t="shared" si="257"/>
        <v/>
      </c>
      <c r="X325" s="540" t="str">
        <f t="shared" si="257"/>
        <v/>
      </c>
      <c r="Y325" s="540" t="str">
        <f t="shared" si="257"/>
        <v/>
      </c>
      <c r="Z325" s="540" t="str">
        <f t="shared" si="257"/>
        <v/>
      </c>
      <c r="AA325" s="540" t="str">
        <f t="shared" si="257"/>
        <v/>
      </c>
      <c r="AB325" s="539" t="str">
        <f>IF(L325&lt;&gt;"",L325,"")</f>
        <v/>
      </c>
      <c r="AC325" s="541" t="str">
        <f>IF(C326&lt;&gt;"",CONCATENATE(C326," a ",C327),"")</f>
        <v/>
      </c>
      <c r="AD325" s="542" t="str">
        <f>IF(C329&lt;&gt;"",C329,"")</f>
        <v/>
      </c>
      <c r="AE325" s="543" t="str">
        <f>IF(E326&lt;&gt;"",E326,"")</f>
        <v/>
      </c>
      <c r="AF325" s="557" t="str">
        <f>IF(E327&lt;&gt;"",E327,"")</f>
        <v/>
      </c>
      <c r="AG325" s="544" t="str">
        <f>IF(N325&lt;&gt;"",N325,"")</f>
        <v/>
      </c>
      <c r="AH325" s="545" t="str">
        <f>IF(E332&lt;&gt;"",E332*100,"")</f>
        <v/>
      </c>
      <c r="AI325" s="546" t="str">
        <f>IF(N334&lt;&gt;"",N334,"")</f>
        <v/>
      </c>
      <c r="AJ325" s="547" t="str">
        <f>IF(AH325="","",((AH325/100)-E334)*100)</f>
        <v/>
      </c>
      <c r="AK325" s="548" t="str">
        <f>IF(U325&lt;&gt;"",U325*100,"")</f>
        <v/>
      </c>
    </row>
    <row r="326" spans="1:37" s="57" customFormat="1" ht="15" customHeight="1" x14ac:dyDescent="0.3">
      <c r="A326" s="1955"/>
      <c r="B326" s="869" t="s">
        <v>310</v>
      </c>
      <c r="C326" s="666"/>
      <c r="D326" s="870" t="s">
        <v>156</v>
      </c>
      <c r="E326" s="871"/>
      <c r="F326" s="871"/>
      <c r="G326" s="871"/>
      <c r="H326" s="871"/>
      <c r="I326" s="871"/>
      <c r="J326" s="871"/>
      <c r="K326" s="871"/>
      <c r="L326" s="651" t="str">
        <f>IF(F325&lt;&gt;"",MAX(L$5:L325)+1,"")</f>
        <v/>
      </c>
      <c r="M326" s="1960"/>
      <c r="N326" s="872" t="str">
        <f>IF(E328&lt;&gt;"",LOOKUP(E328,Tara!$L$5:$L$21,Tara!$M$5:$M$21),"")</f>
        <v/>
      </c>
      <c r="O326" s="872" t="str">
        <f>IF(F328&lt;&gt;"",LOOKUP(F328,Tara!$L$5:$L$21,Tara!$M$5:$M$21),"")</f>
        <v/>
      </c>
      <c r="P326" s="872" t="str">
        <f>IF(G328&lt;&gt;"",LOOKUP(G328,Tara!$L$5:$L$21,Tara!$M$5:$M$21),"")</f>
        <v/>
      </c>
      <c r="Q326" s="872" t="str">
        <f>IF(H328&lt;&gt;"",LOOKUP(H328,Tara!$L$5:$L$21,Tara!$M$5:$M$21),"")</f>
        <v/>
      </c>
      <c r="R326" s="872" t="str">
        <f>IF(I328&lt;&gt;"",LOOKUP(I328,Tara!$L$5:$L$21,Tara!$M$5:$M$21),"")</f>
        <v/>
      </c>
      <c r="S326" s="872" t="str">
        <f>IF(J328&lt;&gt;"",LOOKUP(J328,Tara!$L$5:$L$21,Tara!$M$5:$M$21),"")</f>
        <v/>
      </c>
      <c r="T326" s="872" t="str">
        <f>IF(K328&lt;&gt;"",LOOKUP(K328,Tara!$L$5:$L$21,Tara!$M$5:$M$21),"")</f>
        <v/>
      </c>
      <c r="U326" s="872"/>
      <c r="V326" s="872"/>
      <c r="W326" s="872"/>
      <c r="X326" s="872"/>
      <c r="Y326" s="872"/>
      <c r="Z326" s="872"/>
      <c r="AA326" s="872"/>
      <c r="AB326" s="872" t="str">
        <f t="shared" ref="AB326:AB331" si="258">IF(L326&lt;&gt;"",L326,"")</f>
        <v/>
      </c>
      <c r="AC326" s="873" t="str">
        <f>""</f>
        <v/>
      </c>
      <c r="AD326" s="873" t="str">
        <f>""</f>
        <v/>
      </c>
      <c r="AE326" s="873" t="str">
        <f>IF(F326&lt;&gt;"",F326,"")</f>
        <v/>
      </c>
      <c r="AF326" s="874" t="str">
        <f>IF(E327&lt;&gt;"",F327,"")</f>
        <v/>
      </c>
      <c r="AG326" s="875" t="str">
        <f>IF(O325&lt;&gt;"",O325,"")</f>
        <v/>
      </c>
      <c r="AH326" s="896" t="str">
        <f>IF(F332&lt;&gt;"",F332*100,"")</f>
        <v/>
      </c>
      <c r="AI326" s="897" t="str">
        <f>IF(O334&lt;&gt;"",O334,"")</f>
        <v/>
      </c>
      <c r="AJ326" s="880" t="str">
        <f>IF(AH326="","",((AH326/100)-F334)*100)</f>
        <v/>
      </c>
      <c r="AK326" s="1267" t="str">
        <f>IF(V325&lt;&gt;"",V325*100,"")</f>
        <v/>
      </c>
    </row>
    <row r="327" spans="1:37" s="56" customFormat="1" ht="15" customHeight="1" x14ac:dyDescent="0.3">
      <c r="A327" s="1955"/>
      <c r="B327" s="869" t="s">
        <v>311</v>
      </c>
      <c r="C327" s="666"/>
      <c r="D327" s="870" t="s">
        <v>312</v>
      </c>
      <c r="E327" s="878"/>
      <c r="F327" s="878"/>
      <c r="G327" s="878"/>
      <c r="H327" s="878"/>
      <c r="I327" s="878"/>
      <c r="J327" s="878"/>
      <c r="K327" s="1268"/>
      <c r="L327" s="651" t="str">
        <f>IF(G325&lt;&gt;"",MAX(L$5:L326)+1,"")</f>
        <v/>
      </c>
      <c r="M327" s="1960"/>
      <c r="N327" s="872" t="str">
        <f t="shared" ref="N327:T327" si="259">IF(N326&lt;&gt;"",N326-E329,"")</f>
        <v/>
      </c>
      <c r="O327" s="872" t="str">
        <f t="shared" si="259"/>
        <v/>
      </c>
      <c r="P327" s="872" t="str">
        <f t="shared" si="259"/>
        <v/>
      </c>
      <c r="Q327" s="872" t="str">
        <f t="shared" si="259"/>
        <v/>
      </c>
      <c r="R327" s="872" t="str">
        <f t="shared" si="259"/>
        <v/>
      </c>
      <c r="S327" s="872" t="str">
        <f t="shared" si="259"/>
        <v/>
      </c>
      <c r="T327" s="872" t="str">
        <f t="shared" si="259"/>
        <v/>
      </c>
      <c r="U327" s="879"/>
      <c r="V327" s="879"/>
      <c r="W327" s="879"/>
      <c r="X327" s="879"/>
      <c r="Y327" s="879"/>
      <c r="Z327" s="879"/>
      <c r="AA327" s="879"/>
      <c r="AB327" s="872" t="str">
        <f t="shared" si="258"/>
        <v/>
      </c>
      <c r="AC327" s="873" t="str">
        <f>""</f>
        <v/>
      </c>
      <c r="AD327" s="873" t="str">
        <f>""</f>
        <v/>
      </c>
      <c r="AE327" s="873" t="str">
        <f>IF(G326&lt;&gt;"",G326,"")</f>
        <v/>
      </c>
      <c r="AF327" s="874" t="str">
        <f>IF(G327&lt;&gt;"",G327,"")</f>
        <v/>
      </c>
      <c r="AG327" s="875" t="str">
        <f>IF(P325&lt;&gt;"",P325,"")</f>
        <v/>
      </c>
      <c r="AH327" s="896" t="str">
        <f>IF(G332&lt;&gt;"",G332*100,"")</f>
        <v/>
      </c>
      <c r="AI327" s="897" t="str">
        <f>IF(P334&lt;&gt;"",P334,"")</f>
        <v/>
      </c>
      <c r="AJ327" s="880" t="str">
        <f>IF(AH327="","",((AH327/100)-G334)*100)</f>
        <v/>
      </c>
      <c r="AK327" s="1267" t="str">
        <f>IF(W325&lt;&gt;"",W325*100,"")</f>
        <v/>
      </c>
    </row>
    <row r="328" spans="1:37" s="56" customFormat="1" ht="15" customHeight="1" x14ac:dyDescent="0.3">
      <c r="A328" s="1955"/>
      <c r="B328" s="869" t="s">
        <v>313</v>
      </c>
      <c r="C328" s="666"/>
      <c r="D328" s="870" t="s">
        <v>314</v>
      </c>
      <c r="E328" s="750"/>
      <c r="F328" s="750"/>
      <c r="G328" s="750"/>
      <c r="H328" s="750"/>
      <c r="I328" s="750"/>
      <c r="J328" s="750"/>
      <c r="K328" s="750"/>
      <c r="L328" s="651" t="str">
        <f>IF(H325&lt;&gt;"",MAX(L$5:L327)+1,"")</f>
        <v/>
      </c>
      <c r="M328" s="1960"/>
      <c r="N328" s="872" t="str">
        <f>IF(E328&lt;&gt;"",LOOKUP(E328,Tara!$L$5:$L$21,Tara!$N$5:$N$21),"")</f>
        <v/>
      </c>
      <c r="O328" s="872" t="str">
        <f>IF(F328&lt;&gt;"",LOOKUP(F328,Tara!$L$5:$L$21,Tara!$N$5:$N$21),"")</f>
        <v/>
      </c>
      <c r="P328" s="872" t="str">
        <f>IF(G328&lt;&gt;"",LOOKUP(G328,Tara!$L$5:$L$21,Tara!$N$5:$N$21),"")</f>
        <v/>
      </c>
      <c r="Q328" s="872" t="str">
        <f>IF(H328&lt;&gt;"",LOOKUP(H328,Tara!$L$5:$L$21,Tara!$N$5:$N$21),"")</f>
        <v/>
      </c>
      <c r="R328" s="872" t="str">
        <f>IF(I328&lt;&gt;"",LOOKUP(I328,Tara!$L$5:$L$21,Tara!$N$5:$N$21),"")</f>
        <v/>
      </c>
      <c r="S328" s="872" t="str">
        <f>IF(J328&lt;&gt;"",LOOKUP(J328,Tara!$L$5:$L$21,Tara!$N$5:$N$21),"")</f>
        <v/>
      </c>
      <c r="T328" s="872" t="str">
        <f>IF(K328&lt;&gt;"",LOOKUP(K328,Tara!$L$5:$L$21,Tara!$N$5:$N$21),"")</f>
        <v/>
      </c>
      <c r="U328" s="881"/>
      <c r="V328" s="881"/>
      <c r="W328" s="881"/>
      <c r="X328" s="881"/>
      <c r="Y328" s="881"/>
      <c r="Z328" s="881"/>
      <c r="AA328" s="881"/>
      <c r="AB328" s="872" t="str">
        <f t="shared" si="258"/>
        <v/>
      </c>
      <c r="AC328" s="873" t="str">
        <f>""</f>
        <v/>
      </c>
      <c r="AD328" s="873" t="str">
        <f>""</f>
        <v/>
      </c>
      <c r="AE328" s="873" t="str">
        <f>IF(H326&lt;&gt;"",H326,"")</f>
        <v/>
      </c>
      <c r="AF328" s="874" t="str">
        <f>IF(H327&lt;&gt;"",H327,"")</f>
        <v/>
      </c>
      <c r="AG328" s="875" t="str">
        <f>IF(Q325&lt;&gt;"",Q325,"")</f>
        <v/>
      </c>
      <c r="AH328" s="896" t="str">
        <f>IF(H332&lt;&gt;"",H332*100,"")</f>
        <v/>
      </c>
      <c r="AI328" s="897" t="str">
        <f>IF(Q334&lt;&gt;"",Q334,"")</f>
        <v/>
      </c>
      <c r="AJ328" s="880" t="str">
        <f>IF(AH328="","",((AH328/100)-H334)*100)</f>
        <v/>
      </c>
      <c r="AK328" s="1267" t="str">
        <f>IF(X325&lt;&gt;"",X325*100,"")</f>
        <v/>
      </c>
    </row>
    <row r="329" spans="1:37" s="56" customFormat="1" ht="15" customHeight="1" x14ac:dyDescent="0.3">
      <c r="A329" s="1955"/>
      <c r="B329" s="882" t="s">
        <v>57</v>
      </c>
      <c r="C329" s="688"/>
      <c r="D329" s="870" t="s">
        <v>315</v>
      </c>
      <c r="E329" s="871"/>
      <c r="F329" s="871"/>
      <c r="G329" s="871"/>
      <c r="H329" s="871"/>
      <c r="I329" s="871"/>
      <c r="J329" s="871"/>
      <c r="K329" s="871"/>
      <c r="L329" s="651" t="str">
        <f>IF(I325&lt;&gt;"",MAX(L$5:L328)+1,"")</f>
        <v/>
      </c>
      <c r="M329" s="1960"/>
      <c r="N329" s="872" t="str">
        <f t="shared" ref="N329:T329" si="260">IF(N327&lt;&gt;"",N327-N328,"")</f>
        <v/>
      </c>
      <c r="O329" s="872" t="str">
        <f t="shared" si="260"/>
        <v/>
      </c>
      <c r="P329" s="872" t="str">
        <f t="shared" si="260"/>
        <v/>
      </c>
      <c r="Q329" s="872" t="str">
        <f t="shared" si="260"/>
        <v/>
      </c>
      <c r="R329" s="872" t="str">
        <f t="shared" si="260"/>
        <v/>
      </c>
      <c r="S329" s="872" t="str">
        <f t="shared" si="260"/>
        <v/>
      </c>
      <c r="T329" s="872" t="str">
        <f t="shared" si="260"/>
        <v/>
      </c>
      <c r="U329" s="881"/>
      <c r="V329" s="881"/>
      <c r="W329" s="881"/>
      <c r="X329" s="881"/>
      <c r="Y329" s="881"/>
      <c r="Z329" s="881"/>
      <c r="AA329" s="881"/>
      <c r="AB329" s="872" t="str">
        <f t="shared" si="258"/>
        <v/>
      </c>
      <c r="AC329" s="873" t="str">
        <f>""</f>
        <v/>
      </c>
      <c r="AD329" s="873" t="str">
        <f>""</f>
        <v/>
      </c>
      <c r="AE329" s="873" t="str">
        <f>IF(I326&lt;&gt;"",I326,"")</f>
        <v/>
      </c>
      <c r="AF329" s="874" t="str">
        <f>IF(I327&lt;&gt;"",I327,"")</f>
        <v/>
      </c>
      <c r="AG329" s="875" t="str">
        <f>IF(R325&lt;&gt;"",R325,"")</f>
        <v/>
      </c>
      <c r="AH329" s="896" t="str">
        <f>IF(I332&lt;&gt;"",I332*100,"")</f>
        <v/>
      </c>
      <c r="AI329" s="897" t="str">
        <f>IF(R334&lt;&gt;"",R334,"")</f>
        <v/>
      </c>
      <c r="AJ329" s="880" t="str">
        <f>IF(AH329="","",((AH329/100)-I334)*100)</f>
        <v/>
      </c>
      <c r="AK329" s="1267" t="str">
        <f>IF(Y325&lt;&gt;"",Y325*100,"")</f>
        <v/>
      </c>
    </row>
    <row r="330" spans="1:37" s="316" customFormat="1" ht="15" customHeight="1" x14ac:dyDescent="0.3">
      <c r="A330" s="1955"/>
      <c r="B330" s="882" t="s">
        <v>316</v>
      </c>
      <c r="C330" s="666"/>
      <c r="D330" s="883" t="s">
        <v>317</v>
      </c>
      <c r="E330" s="750"/>
      <c r="F330" s="750"/>
      <c r="G330" s="750"/>
      <c r="H330" s="750"/>
      <c r="I330" s="750"/>
      <c r="J330" s="750"/>
      <c r="K330" s="750"/>
      <c r="L330" s="651" t="str">
        <f>IF(J325&lt;&gt;"",MAX(L$5:L329)+1,"")</f>
        <v/>
      </c>
      <c r="M330" s="1960"/>
      <c r="N330" s="872" t="str">
        <f>IF(E328&lt;&gt;"",LOOKUP(E328,Tara!$L$5:$L$21,Tara!$O$5:$O$21),"")</f>
        <v/>
      </c>
      <c r="O330" s="872" t="str">
        <f>IF(F328&lt;&gt;"",LOOKUP(F328,Tara!$L$5:$L$21,Tara!$O$5:$O$21),"")</f>
        <v/>
      </c>
      <c r="P330" s="872" t="str">
        <f>IF(G328&lt;&gt;"",LOOKUP(G328,Tara!$L$5:$L$21,Tara!$O$5:$O$21),"")</f>
        <v/>
      </c>
      <c r="Q330" s="872" t="str">
        <f>IF(H328&lt;&gt;"",LOOKUP(H328,Tara!$L$5:$L$21,Tara!$O$5:$O$21),"")</f>
        <v/>
      </c>
      <c r="R330" s="872" t="str">
        <f>IF(I328&lt;&gt;"",LOOKUP(I328,Tara!$L$5:$L$21,Tara!$O$5:$O$21),"")</f>
        <v/>
      </c>
      <c r="S330" s="872" t="str">
        <f>IF(J328&lt;&gt;"",LOOKUP(J328,Tara!$L$5:$L$21,Tara!$O$5:$O$21),"")</f>
        <v/>
      </c>
      <c r="T330" s="872" t="str">
        <f>IF(K328&lt;&gt;"",LOOKUP(K328,Tara!$L$5:$L$21,Tara!$O$5:$O$21),"")</f>
        <v/>
      </c>
      <c r="U330" s="884"/>
      <c r="V330" s="884"/>
      <c r="W330" s="884"/>
      <c r="X330" s="884"/>
      <c r="Y330" s="884"/>
      <c r="Z330" s="884"/>
      <c r="AA330" s="884"/>
      <c r="AB330" s="872" t="str">
        <f t="shared" si="258"/>
        <v/>
      </c>
      <c r="AC330" s="873" t="str">
        <f>""</f>
        <v/>
      </c>
      <c r="AD330" s="873" t="str">
        <f>""</f>
        <v/>
      </c>
      <c r="AE330" s="873" t="str">
        <f>IF(J326&lt;&gt;"",J326,"")</f>
        <v/>
      </c>
      <c r="AF330" s="874" t="str">
        <f>IF(J327&lt;&gt;"",J327,"")</f>
        <v/>
      </c>
      <c r="AG330" s="875" t="str">
        <f>IF(S325&lt;&gt;"",S325,"")</f>
        <v/>
      </c>
      <c r="AH330" s="896" t="str">
        <f>IF(J332&lt;&gt;"",J332*100,"")</f>
        <v/>
      </c>
      <c r="AI330" s="897" t="str">
        <f>IF(S334&lt;&gt;"",S334,"")</f>
        <v/>
      </c>
      <c r="AJ330" s="880" t="str">
        <f>IF(AH330="","",((AH330/100)-J334)*100)</f>
        <v/>
      </c>
      <c r="AK330" s="1267" t="str">
        <f>IF(Z325&lt;&gt;"",Z325*100,"")</f>
        <v/>
      </c>
    </row>
    <row r="331" spans="1:37" s="316" customFormat="1" ht="15" customHeight="1" x14ac:dyDescent="0.3">
      <c r="A331" s="1955"/>
      <c r="B331" s="885" t="s">
        <v>318</v>
      </c>
      <c r="C331" s="886"/>
      <c r="D331" s="870" t="s">
        <v>319</v>
      </c>
      <c r="E331" s="750"/>
      <c r="F331" s="750"/>
      <c r="G331" s="750"/>
      <c r="H331" s="750"/>
      <c r="I331" s="750"/>
      <c r="J331" s="750"/>
      <c r="K331" s="750"/>
      <c r="L331" s="651" t="str">
        <f>IF(K325&lt;&gt;"",MAX(L$5:L330)+1,"")</f>
        <v/>
      </c>
      <c r="M331" s="1960"/>
      <c r="N331" s="887" t="str">
        <f>IF(N329&lt;&gt;"",N329/N330,"")</f>
        <v/>
      </c>
      <c r="O331" s="887" t="str">
        <f t="shared" ref="O331:T331" si="261">IF(O329&lt;&gt;"",O329/O330,"")</f>
        <v/>
      </c>
      <c r="P331" s="887" t="str">
        <f t="shared" si="261"/>
        <v/>
      </c>
      <c r="Q331" s="887" t="str">
        <f t="shared" si="261"/>
        <v/>
      </c>
      <c r="R331" s="887" t="str">
        <f t="shared" si="261"/>
        <v/>
      </c>
      <c r="S331" s="887" t="str">
        <f t="shared" si="261"/>
        <v/>
      </c>
      <c r="T331" s="887" t="str">
        <f t="shared" si="261"/>
        <v/>
      </c>
      <c r="U331" s="884"/>
      <c r="V331" s="884"/>
      <c r="W331" s="884"/>
      <c r="X331" s="884"/>
      <c r="Y331" s="884"/>
      <c r="Z331" s="884"/>
      <c r="AA331" s="884"/>
      <c r="AB331" s="872" t="str">
        <f t="shared" si="258"/>
        <v/>
      </c>
      <c r="AC331" s="873" t="str">
        <f>""</f>
        <v/>
      </c>
      <c r="AD331" s="873" t="str">
        <f>""</f>
        <v/>
      </c>
      <c r="AE331" s="873" t="str">
        <f>IF(K326&lt;&gt;"",K326,"")</f>
        <v/>
      </c>
      <c r="AF331" s="874" t="str">
        <f>IF(K327&lt;&gt;"",K327,"")</f>
        <v/>
      </c>
      <c r="AG331" s="875" t="str">
        <f>IF(T325&lt;&gt;"",T325,"")</f>
        <v/>
      </c>
      <c r="AH331" s="896" t="str">
        <f>IF(K332&lt;&gt;"",K332*100,"")</f>
        <v/>
      </c>
      <c r="AI331" s="897" t="str">
        <f>IF(T334&lt;&gt;"",T334,"")</f>
        <v/>
      </c>
      <c r="AJ331" s="880" t="str">
        <f>IF(AH331="","",((AH331/100)-K334)*100)</f>
        <v/>
      </c>
      <c r="AK331" s="1267" t="str">
        <f>IF(AA325&lt;&gt;"",AA325*100,"")</f>
        <v/>
      </c>
    </row>
    <row r="332" spans="1:37" s="316" customFormat="1" ht="15" customHeight="1" x14ac:dyDescent="0.3">
      <c r="A332" s="1955"/>
      <c r="B332" s="652"/>
      <c r="C332" s="653"/>
      <c r="D332" s="870" t="s">
        <v>320</v>
      </c>
      <c r="E332" s="888"/>
      <c r="F332" s="888"/>
      <c r="G332" s="888"/>
      <c r="H332" s="888"/>
      <c r="I332" s="888"/>
      <c r="J332" s="888"/>
      <c r="K332" s="888"/>
      <c r="L332" s="651"/>
      <c r="M332" s="1960"/>
      <c r="N332" s="889" t="str">
        <f>IF(E330&lt;&gt;"",LOOKUP(E330,Tara!$P$5:$P$21,Tara!$Q$5:$Q$21),"")</f>
        <v/>
      </c>
      <c r="O332" s="889" t="str">
        <f>IF(F330&lt;&gt;"",LOOKUP(F330,Tara!$P$5:$P$21,Tara!$Q$5:$Q$21),"")</f>
        <v/>
      </c>
      <c r="P332" s="889" t="str">
        <f>IF(G330&lt;&gt;"",LOOKUP(G330,Tara!$P$5:$P$21,Tara!$Q$5:$Q$21),"")</f>
        <v/>
      </c>
      <c r="Q332" s="889" t="str">
        <f>IF(H330&lt;&gt;"",LOOKUP(H330,Tara!$P$5:$P$21,Tara!$Q$5:$Q$21),"")</f>
        <v/>
      </c>
      <c r="R332" s="889" t="str">
        <f>IF(I330&lt;&gt;"",LOOKUP(I330,Tara!$P$5:$P$21,Tara!$Q$5:$Q$21),"")</f>
        <v/>
      </c>
      <c r="S332" s="889" t="str">
        <f>IF(J330&lt;&gt;"",LOOKUP(J330,Tara!$P$5:$P$21,Tara!$Q$5:$Q$21),"")</f>
        <v/>
      </c>
      <c r="T332" s="889" t="str">
        <f>IF(K330&lt;&gt;"",LOOKUP(K330,Tara!$P$5:$P$21,Tara!$Q$5:$Q$21),"")</f>
        <v/>
      </c>
      <c r="U332" s="884"/>
      <c r="V332" s="884"/>
      <c r="W332" s="884"/>
      <c r="X332" s="884"/>
      <c r="Y332" s="884"/>
      <c r="Z332" s="884"/>
      <c r="AA332" s="884"/>
      <c r="AB332" s="872" t="str">
        <f>""</f>
        <v/>
      </c>
      <c r="AC332" s="873" t="str">
        <f>""</f>
        <v/>
      </c>
      <c r="AD332" s="873" t="str">
        <f>""</f>
        <v/>
      </c>
      <c r="AE332" s="873" t="str">
        <f>""</f>
        <v/>
      </c>
      <c r="AF332" s="874" t="str">
        <f>""</f>
        <v/>
      </c>
      <c r="AG332" s="875" t="str">
        <f>""</f>
        <v/>
      </c>
      <c r="AH332" s="875" t="str">
        <f>""</f>
        <v/>
      </c>
      <c r="AI332" s="875" t="str">
        <f>""</f>
        <v/>
      </c>
      <c r="AJ332" s="890" t="str">
        <f>""</f>
        <v/>
      </c>
      <c r="AK332" s="1267" t="str">
        <f>""</f>
        <v/>
      </c>
    </row>
    <row r="333" spans="1:37" s="316" customFormat="1" ht="15" customHeight="1" x14ac:dyDescent="0.3">
      <c r="A333" s="1955"/>
      <c r="B333" s="654"/>
      <c r="C333" s="655"/>
      <c r="D333" s="891" t="s">
        <v>321</v>
      </c>
      <c r="E333" s="750"/>
      <c r="F333" s="750"/>
      <c r="G333" s="750"/>
      <c r="H333" s="750"/>
      <c r="I333" s="750"/>
      <c r="J333" s="750"/>
      <c r="K333" s="750"/>
      <c r="L333" s="651"/>
      <c r="M333" s="1960"/>
      <c r="N333" s="892" t="str">
        <f t="shared" ref="N333:T333" si="262">IF(E331&lt;&gt;"",(E331-N332)/N331,"")</f>
        <v/>
      </c>
      <c r="O333" s="892" t="str">
        <f t="shared" si="262"/>
        <v/>
      </c>
      <c r="P333" s="892" t="str">
        <f t="shared" si="262"/>
        <v/>
      </c>
      <c r="Q333" s="892" t="str">
        <f t="shared" si="262"/>
        <v/>
      </c>
      <c r="R333" s="892" t="str">
        <f t="shared" si="262"/>
        <v/>
      </c>
      <c r="S333" s="892" t="str">
        <f t="shared" si="262"/>
        <v/>
      </c>
      <c r="T333" s="892" t="str">
        <f t="shared" si="262"/>
        <v/>
      </c>
      <c r="U333" s="884"/>
      <c r="V333" s="884"/>
      <c r="W333" s="884"/>
      <c r="X333" s="884"/>
      <c r="Y333" s="884"/>
      <c r="Z333" s="884"/>
      <c r="AA333" s="884"/>
      <c r="AB333" s="872" t="str">
        <f>""</f>
        <v/>
      </c>
      <c r="AC333" s="873" t="str">
        <f>""</f>
        <v/>
      </c>
      <c r="AD333" s="873" t="str">
        <f>""</f>
        <v/>
      </c>
      <c r="AE333" s="873" t="str">
        <f>""</f>
        <v/>
      </c>
      <c r="AF333" s="874" t="str">
        <f>""</f>
        <v/>
      </c>
      <c r="AG333" s="893" t="str">
        <f>""</f>
        <v/>
      </c>
      <c r="AH333" s="893" t="str">
        <f>""</f>
        <v/>
      </c>
      <c r="AI333" s="893" t="str">
        <f>""</f>
        <v/>
      </c>
      <c r="AJ333" s="895" t="str">
        <f>""</f>
        <v/>
      </c>
      <c r="AK333" s="1269" t="str">
        <f>""</f>
        <v/>
      </c>
    </row>
    <row r="334" spans="1:37" s="316" customFormat="1" ht="15" customHeight="1" thickBot="1" x14ac:dyDescent="0.35">
      <c r="A334" s="1956"/>
      <c r="B334" s="656"/>
      <c r="C334" s="657"/>
      <c r="D334" s="658" t="s">
        <v>99</v>
      </c>
      <c r="E334" s="556"/>
      <c r="F334" s="556"/>
      <c r="G334" s="556"/>
      <c r="H334" s="556"/>
      <c r="I334" s="556"/>
      <c r="J334" s="556"/>
      <c r="K334" s="556"/>
      <c r="L334" s="659"/>
      <c r="M334" s="1961"/>
      <c r="N334" s="549" t="str">
        <f t="shared" ref="N334:T334" si="263">IF(N333&lt;&gt;"",N333/(1+E332),"")</f>
        <v/>
      </c>
      <c r="O334" s="549" t="str">
        <f t="shared" si="263"/>
        <v/>
      </c>
      <c r="P334" s="549" t="str">
        <f t="shared" si="263"/>
        <v/>
      </c>
      <c r="Q334" s="549" t="str">
        <f t="shared" si="263"/>
        <v/>
      </c>
      <c r="R334" s="549" t="str">
        <f t="shared" si="263"/>
        <v/>
      </c>
      <c r="S334" s="549" t="str">
        <f t="shared" si="263"/>
        <v/>
      </c>
      <c r="T334" s="549" t="str">
        <f t="shared" si="263"/>
        <v/>
      </c>
      <c r="U334" s="550"/>
      <c r="V334" s="550"/>
      <c r="W334" s="550"/>
      <c r="X334" s="550"/>
      <c r="Y334" s="550"/>
      <c r="Z334" s="550"/>
      <c r="AA334" s="550"/>
      <c r="AB334" s="551">
        <f>MAX(AB$5:AB333)+1</f>
        <v>33</v>
      </c>
      <c r="AC334" s="552" t="str">
        <f>""</f>
        <v/>
      </c>
      <c r="AD334" s="552" t="str">
        <f>""</f>
        <v/>
      </c>
      <c r="AE334" s="552" t="str">
        <f>""</f>
        <v/>
      </c>
      <c r="AF334" s="558" t="str">
        <f>""</f>
        <v/>
      </c>
      <c r="AG334" s="553" t="str">
        <f>""</f>
        <v/>
      </c>
      <c r="AH334" s="553" t="str">
        <f>""</f>
        <v/>
      </c>
      <c r="AI334" s="553" t="str">
        <f>""</f>
        <v/>
      </c>
      <c r="AJ334" s="554" t="str">
        <f>""</f>
        <v/>
      </c>
      <c r="AK334" s="555" t="str">
        <f>""</f>
        <v/>
      </c>
    </row>
    <row r="335" spans="1:37" s="56" customFormat="1" ht="15" customHeight="1" x14ac:dyDescent="0.3">
      <c r="A335" s="1954">
        <f>A325+1</f>
        <v>34</v>
      </c>
      <c r="B335" s="1957" t="s">
        <v>309</v>
      </c>
      <c r="C335" s="1958"/>
      <c r="D335" s="648" t="s">
        <v>34</v>
      </c>
      <c r="E335" s="649"/>
      <c r="F335" s="649"/>
      <c r="G335" s="649"/>
      <c r="H335" s="649"/>
      <c r="I335" s="649"/>
      <c r="J335" s="649"/>
      <c r="K335" s="649"/>
      <c r="L335" s="650" t="str">
        <f>IF(E335&lt;&gt;"",MAX(L$5:L334)+1,"")</f>
        <v/>
      </c>
      <c r="M335" s="1959" t="s">
        <v>25</v>
      </c>
      <c r="N335" s="539" t="str">
        <f t="shared" ref="N335:T335" si="264">IF(E335&lt;&gt;"",E335,"")</f>
        <v/>
      </c>
      <c r="O335" s="539" t="str">
        <f t="shared" si="264"/>
        <v/>
      </c>
      <c r="P335" s="539" t="str">
        <f t="shared" si="264"/>
        <v/>
      </c>
      <c r="Q335" s="539" t="str">
        <f t="shared" si="264"/>
        <v/>
      </c>
      <c r="R335" s="539" t="str">
        <f t="shared" si="264"/>
        <v/>
      </c>
      <c r="S335" s="539" t="str">
        <f t="shared" si="264"/>
        <v/>
      </c>
      <c r="T335" s="539" t="str">
        <f t="shared" si="264"/>
        <v/>
      </c>
      <c r="U335" s="540" t="str">
        <f t="shared" ref="U335:AA335" si="265">IF(N344&lt;&gt;"",N344/E343*1000,"")</f>
        <v/>
      </c>
      <c r="V335" s="540" t="str">
        <f t="shared" si="265"/>
        <v/>
      </c>
      <c r="W335" s="540" t="str">
        <f t="shared" si="265"/>
        <v/>
      </c>
      <c r="X335" s="540" t="str">
        <f t="shared" si="265"/>
        <v/>
      </c>
      <c r="Y335" s="540" t="str">
        <f t="shared" si="265"/>
        <v/>
      </c>
      <c r="Z335" s="540" t="str">
        <f t="shared" si="265"/>
        <v/>
      </c>
      <c r="AA335" s="540" t="str">
        <f t="shared" si="265"/>
        <v/>
      </c>
      <c r="AB335" s="539" t="str">
        <f>IF(L335&lt;&gt;"",L335,"")</f>
        <v/>
      </c>
      <c r="AC335" s="541" t="str">
        <f>IF(C336&lt;&gt;"",CONCATENATE(C336," a ",C337),"")</f>
        <v/>
      </c>
      <c r="AD335" s="542" t="str">
        <f>IF(C339&lt;&gt;"",C339,"")</f>
        <v/>
      </c>
      <c r="AE335" s="543" t="str">
        <f>IF(E336&lt;&gt;"",E336,"")</f>
        <v/>
      </c>
      <c r="AF335" s="557" t="str">
        <f>IF(E337&lt;&gt;"",E337,"")</f>
        <v/>
      </c>
      <c r="AG335" s="544" t="str">
        <f>IF(N335&lt;&gt;"",N335,"")</f>
        <v/>
      </c>
      <c r="AH335" s="545" t="str">
        <f>IF(E342&lt;&gt;"",E342*100,"")</f>
        <v/>
      </c>
      <c r="AI335" s="546" t="str">
        <f>IF(N344&lt;&gt;"",N344,"")</f>
        <v/>
      </c>
      <c r="AJ335" s="547" t="str">
        <f>IF(AH335="","",((AH335/100)-E344)*100)</f>
        <v/>
      </c>
      <c r="AK335" s="548" t="str">
        <f>IF(U335&lt;&gt;"",U335*100,"")</f>
        <v/>
      </c>
    </row>
    <row r="336" spans="1:37" s="57" customFormat="1" ht="15" customHeight="1" x14ac:dyDescent="0.3">
      <c r="A336" s="1955"/>
      <c r="B336" s="869" t="s">
        <v>310</v>
      </c>
      <c r="C336" s="666"/>
      <c r="D336" s="870" t="s">
        <v>156</v>
      </c>
      <c r="E336" s="871"/>
      <c r="F336" s="871"/>
      <c r="G336" s="871"/>
      <c r="H336" s="871"/>
      <c r="I336" s="871"/>
      <c r="J336" s="871"/>
      <c r="K336" s="871"/>
      <c r="L336" s="651" t="str">
        <f>IF(F335&lt;&gt;"",MAX(L$5:L335)+1,"")</f>
        <v/>
      </c>
      <c r="M336" s="1960"/>
      <c r="N336" s="872" t="str">
        <f>IF(E338&lt;&gt;"",LOOKUP(E338,Tara!$L$5:$L$21,Tara!$M$5:$M$21),"")</f>
        <v/>
      </c>
      <c r="O336" s="872" t="str">
        <f>IF(F338&lt;&gt;"",LOOKUP(F338,Tara!$L$5:$L$21,Tara!$M$5:$M$21),"")</f>
        <v/>
      </c>
      <c r="P336" s="872" t="str">
        <f>IF(G338&lt;&gt;"",LOOKUP(G338,Tara!$L$5:$L$21,Tara!$M$5:$M$21),"")</f>
        <v/>
      </c>
      <c r="Q336" s="872" t="str">
        <f>IF(H338&lt;&gt;"",LOOKUP(H338,Tara!$L$5:$L$21,Tara!$M$5:$M$21),"")</f>
        <v/>
      </c>
      <c r="R336" s="872" t="str">
        <f>IF(I338&lt;&gt;"",LOOKUP(I338,Tara!$L$5:$L$21,Tara!$M$5:$M$21),"")</f>
        <v/>
      </c>
      <c r="S336" s="872" t="str">
        <f>IF(J338&lt;&gt;"",LOOKUP(J338,Tara!$L$5:$L$21,Tara!$M$5:$M$21),"")</f>
        <v/>
      </c>
      <c r="T336" s="872" t="str">
        <f>IF(K338&lt;&gt;"",LOOKUP(K338,Tara!$L$5:$L$21,Tara!$M$5:$M$21),"")</f>
        <v/>
      </c>
      <c r="U336" s="872"/>
      <c r="V336" s="872"/>
      <c r="W336" s="872"/>
      <c r="X336" s="872"/>
      <c r="Y336" s="872"/>
      <c r="Z336" s="872"/>
      <c r="AA336" s="872"/>
      <c r="AB336" s="872" t="str">
        <f t="shared" ref="AB336:AB341" si="266">IF(L336&lt;&gt;"",L336,"")</f>
        <v/>
      </c>
      <c r="AC336" s="873" t="str">
        <f>""</f>
        <v/>
      </c>
      <c r="AD336" s="873" t="str">
        <f>""</f>
        <v/>
      </c>
      <c r="AE336" s="873" t="str">
        <f>IF(F336&lt;&gt;"",F336,"")</f>
        <v/>
      </c>
      <c r="AF336" s="874" t="str">
        <f>IF(E337&lt;&gt;"",F337,"")</f>
        <v/>
      </c>
      <c r="AG336" s="875" t="str">
        <f>IF(O335&lt;&gt;"",O335,"")</f>
        <v/>
      </c>
      <c r="AH336" s="896" t="str">
        <f>IF(F342&lt;&gt;"",F342*100,"")</f>
        <v/>
      </c>
      <c r="AI336" s="897" t="str">
        <f>IF(O344&lt;&gt;"",O344,"")</f>
        <v/>
      </c>
      <c r="AJ336" s="880" t="str">
        <f>IF(AH336="","",((AH336/100)-F344)*100)</f>
        <v/>
      </c>
      <c r="AK336" s="1267" t="str">
        <f>IF(V335&lt;&gt;"",V335*100,"")</f>
        <v/>
      </c>
    </row>
    <row r="337" spans="1:37" s="56" customFormat="1" ht="15" customHeight="1" x14ac:dyDescent="0.3">
      <c r="A337" s="1955"/>
      <c r="B337" s="869" t="s">
        <v>311</v>
      </c>
      <c r="C337" s="666"/>
      <c r="D337" s="870" t="s">
        <v>312</v>
      </c>
      <c r="E337" s="878"/>
      <c r="F337" s="878"/>
      <c r="G337" s="878"/>
      <c r="H337" s="878"/>
      <c r="I337" s="878"/>
      <c r="J337" s="878"/>
      <c r="K337" s="1268"/>
      <c r="L337" s="651" t="str">
        <f>IF(G335&lt;&gt;"",MAX(L$5:L336)+1,"")</f>
        <v/>
      </c>
      <c r="M337" s="1960"/>
      <c r="N337" s="872" t="str">
        <f t="shared" ref="N337:T337" si="267">IF(N336&lt;&gt;"",N336-E339,"")</f>
        <v/>
      </c>
      <c r="O337" s="872" t="str">
        <f t="shared" si="267"/>
        <v/>
      </c>
      <c r="P337" s="872" t="str">
        <f t="shared" si="267"/>
        <v/>
      </c>
      <c r="Q337" s="872" t="str">
        <f t="shared" si="267"/>
        <v/>
      </c>
      <c r="R337" s="872" t="str">
        <f t="shared" si="267"/>
        <v/>
      </c>
      <c r="S337" s="872" t="str">
        <f t="shared" si="267"/>
        <v/>
      </c>
      <c r="T337" s="872" t="str">
        <f t="shared" si="267"/>
        <v/>
      </c>
      <c r="U337" s="879"/>
      <c r="V337" s="879"/>
      <c r="W337" s="879"/>
      <c r="X337" s="879"/>
      <c r="Y337" s="879"/>
      <c r="Z337" s="879"/>
      <c r="AA337" s="879"/>
      <c r="AB337" s="872" t="str">
        <f t="shared" si="266"/>
        <v/>
      </c>
      <c r="AC337" s="873" t="str">
        <f>""</f>
        <v/>
      </c>
      <c r="AD337" s="873" t="str">
        <f>""</f>
        <v/>
      </c>
      <c r="AE337" s="873" t="str">
        <f>IF(G336&lt;&gt;"",G336,"")</f>
        <v/>
      </c>
      <c r="AF337" s="874" t="str">
        <f>IF(G337&lt;&gt;"",G337,"")</f>
        <v/>
      </c>
      <c r="AG337" s="875" t="str">
        <f>IF(P335&lt;&gt;"",P335,"")</f>
        <v/>
      </c>
      <c r="AH337" s="896" t="str">
        <f>IF(G342&lt;&gt;"",G342*100,"")</f>
        <v/>
      </c>
      <c r="AI337" s="897" t="str">
        <f>IF(P344&lt;&gt;"",P344,"")</f>
        <v/>
      </c>
      <c r="AJ337" s="880" t="str">
        <f>IF(AH337="","",((AH337/100)-G344)*100)</f>
        <v/>
      </c>
      <c r="AK337" s="1267" t="str">
        <f>IF(W335&lt;&gt;"",W335*100,"")</f>
        <v/>
      </c>
    </row>
    <row r="338" spans="1:37" s="56" customFormat="1" ht="15" customHeight="1" x14ac:dyDescent="0.3">
      <c r="A338" s="1955"/>
      <c r="B338" s="869" t="s">
        <v>313</v>
      </c>
      <c r="C338" s="666"/>
      <c r="D338" s="870" t="s">
        <v>314</v>
      </c>
      <c r="E338" s="750"/>
      <c r="F338" s="750"/>
      <c r="G338" s="750"/>
      <c r="H338" s="750"/>
      <c r="I338" s="750"/>
      <c r="J338" s="750"/>
      <c r="K338" s="750"/>
      <c r="L338" s="651" t="str">
        <f>IF(H335&lt;&gt;"",MAX(L$5:L337)+1,"")</f>
        <v/>
      </c>
      <c r="M338" s="1960"/>
      <c r="N338" s="872" t="str">
        <f>IF(E338&lt;&gt;"",LOOKUP(E338,Tara!$L$5:$L$21,Tara!$N$5:$N$21),"")</f>
        <v/>
      </c>
      <c r="O338" s="872" t="str">
        <f>IF(F338&lt;&gt;"",LOOKUP(F338,Tara!$L$5:$L$21,Tara!$N$5:$N$21),"")</f>
        <v/>
      </c>
      <c r="P338" s="872" t="str">
        <f>IF(G338&lt;&gt;"",LOOKUP(G338,Tara!$L$5:$L$21,Tara!$N$5:$N$21),"")</f>
        <v/>
      </c>
      <c r="Q338" s="872" t="str">
        <f>IF(H338&lt;&gt;"",LOOKUP(H338,Tara!$L$5:$L$21,Tara!$N$5:$N$21),"")</f>
        <v/>
      </c>
      <c r="R338" s="872" t="str">
        <f>IF(I338&lt;&gt;"",LOOKUP(I338,Tara!$L$5:$L$21,Tara!$N$5:$N$21),"")</f>
        <v/>
      </c>
      <c r="S338" s="872" t="str">
        <f>IF(J338&lt;&gt;"",LOOKUP(J338,Tara!$L$5:$L$21,Tara!$N$5:$N$21),"")</f>
        <v/>
      </c>
      <c r="T338" s="872" t="str">
        <f>IF(K338&lt;&gt;"",LOOKUP(K338,Tara!$L$5:$L$21,Tara!$N$5:$N$21),"")</f>
        <v/>
      </c>
      <c r="U338" s="881"/>
      <c r="V338" s="881"/>
      <c r="W338" s="881"/>
      <c r="X338" s="881"/>
      <c r="Y338" s="881"/>
      <c r="Z338" s="881"/>
      <c r="AA338" s="881"/>
      <c r="AB338" s="872" t="str">
        <f t="shared" si="266"/>
        <v/>
      </c>
      <c r="AC338" s="873" t="str">
        <f>""</f>
        <v/>
      </c>
      <c r="AD338" s="873" t="str">
        <f>""</f>
        <v/>
      </c>
      <c r="AE338" s="873" t="str">
        <f>IF(H336&lt;&gt;"",H336,"")</f>
        <v/>
      </c>
      <c r="AF338" s="874" t="str">
        <f>IF(H337&lt;&gt;"",H337,"")</f>
        <v/>
      </c>
      <c r="AG338" s="875" t="str">
        <f>IF(Q335&lt;&gt;"",Q335,"")</f>
        <v/>
      </c>
      <c r="AH338" s="896" t="str">
        <f>IF(H342&lt;&gt;"",H342*100,"")</f>
        <v/>
      </c>
      <c r="AI338" s="897" t="str">
        <f>IF(Q344&lt;&gt;"",Q344,"")</f>
        <v/>
      </c>
      <c r="AJ338" s="880" t="str">
        <f>IF(AH338="","",((AH338/100)-H344)*100)</f>
        <v/>
      </c>
      <c r="AK338" s="1267" t="str">
        <f>IF(X335&lt;&gt;"",X335*100,"")</f>
        <v/>
      </c>
    </row>
    <row r="339" spans="1:37" s="56" customFormat="1" ht="15" customHeight="1" x14ac:dyDescent="0.3">
      <c r="A339" s="1955"/>
      <c r="B339" s="882" t="s">
        <v>57</v>
      </c>
      <c r="C339" s="688"/>
      <c r="D339" s="870" t="s">
        <v>315</v>
      </c>
      <c r="E339" s="871"/>
      <c r="F339" s="871"/>
      <c r="G339" s="871"/>
      <c r="H339" s="871"/>
      <c r="I339" s="871"/>
      <c r="J339" s="871"/>
      <c r="K339" s="871"/>
      <c r="L339" s="651" t="str">
        <f>IF(I335&lt;&gt;"",MAX(L$5:L338)+1,"")</f>
        <v/>
      </c>
      <c r="M339" s="1960"/>
      <c r="N339" s="872" t="str">
        <f t="shared" ref="N339:T339" si="268">IF(N337&lt;&gt;"",N337-N338,"")</f>
        <v/>
      </c>
      <c r="O339" s="872" t="str">
        <f t="shared" si="268"/>
        <v/>
      </c>
      <c r="P339" s="872" t="str">
        <f t="shared" si="268"/>
        <v/>
      </c>
      <c r="Q339" s="872" t="str">
        <f t="shared" si="268"/>
        <v/>
      </c>
      <c r="R339" s="872" t="str">
        <f t="shared" si="268"/>
        <v/>
      </c>
      <c r="S339" s="872" t="str">
        <f t="shared" si="268"/>
        <v/>
      </c>
      <c r="T339" s="872" t="str">
        <f t="shared" si="268"/>
        <v/>
      </c>
      <c r="U339" s="881"/>
      <c r="V339" s="881"/>
      <c r="W339" s="881"/>
      <c r="X339" s="881"/>
      <c r="Y339" s="881"/>
      <c r="Z339" s="881"/>
      <c r="AA339" s="881"/>
      <c r="AB339" s="872" t="str">
        <f t="shared" si="266"/>
        <v/>
      </c>
      <c r="AC339" s="873" t="str">
        <f>""</f>
        <v/>
      </c>
      <c r="AD339" s="873" t="str">
        <f>""</f>
        <v/>
      </c>
      <c r="AE339" s="873" t="str">
        <f>IF(I336&lt;&gt;"",I336,"")</f>
        <v/>
      </c>
      <c r="AF339" s="874" t="str">
        <f>IF(I337&lt;&gt;"",I337,"")</f>
        <v/>
      </c>
      <c r="AG339" s="875" t="str">
        <f>IF(R335&lt;&gt;"",R335,"")</f>
        <v/>
      </c>
      <c r="AH339" s="896" t="str">
        <f>IF(I342&lt;&gt;"",I342*100,"")</f>
        <v/>
      </c>
      <c r="AI339" s="897" t="str">
        <f>IF(R344&lt;&gt;"",R344,"")</f>
        <v/>
      </c>
      <c r="AJ339" s="880" t="str">
        <f>IF(AH339="","",((AH339/100)-I344)*100)</f>
        <v/>
      </c>
      <c r="AK339" s="1267" t="str">
        <f>IF(Y335&lt;&gt;"",Y335*100,"")</f>
        <v/>
      </c>
    </row>
    <row r="340" spans="1:37" s="316" customFormat="1" ht="15" customHeight="1" x14ac:dyDescent="0.3">
      <c r="A340" s="1955"/>
      <c r="B340" s="882" t="s">
        <v>316</v>
      </c>
      <c r="C340" s="666"/>
      <c r="D340" s="883" t="s">
        <v>317</v>
      </c>
      <c r="E340" s="750"/>
      <c r="F340" s="750"/>
      <c r="G340" s="750"/>
      <c r="H340" s="750"/>
      <c r="I340" s="750"/>
      <c r="J340" s="750"/>
      <c r="K340" s="750"/>
      <c r="L340" s="651" t="str">
        <f>IF(J335&lt;&gt;"",MAX(L$5:L339)+1,"")</f>
        <v/>
      </c>
      <c r="M340" s="1960"/>
      <c r="N340" s="872" t="str">
        <f>IF(E338&lt;&gt;"",LOOKUP(E338,Tara!$L$5:$L$21,Tara!$O$5:$O$21),"")</f>
        <v/>
      </c>
      <c r="O340" s="872" t="str">
        <f>IF(F338&lt;&gt;"",LOOKUP(F338,Tara!$L$5:$L$21,Tara!$O$5:$O$21),"")</f>
        <v/>
      </c>
      <c r="P340" s="872" t="str">
        <f>IF(G338&lt;&gt;"",LOOKUP(G338,Tara!$L$5:$L$21,Tara!$O$5:$O$21),"")</f>
        <v/>
      </c>
      <c r="Q340" s="872" t="str">
        <f>IF(H338&lt;&gt;"",LOOKUP(H338,Tara!$L$5:$L$21,Tara!$O$5:$O$21),"")</f>
        <v/>
      </c>
      <c r="R340" s="872" t="str">
        <f>IF(I338&lt;&gt;"",LOOKUP(I338,Tara!$L$5:$L$21,Tara!$O$5:$O$21),"")</f>
        <v/>
      </c>
      <c r="S340" s="872" t="str">
        <f>IF(J338&lt;&gt;"",LOOKUP(J338,Tara!$L$5:$L$21,Tara!$O$5:$O$21),"")</f>
        <v/>
      </c>
      <c r="T340" s="872" t="str">
        <f>IF(K338&lt;&gt;"",LOOKUP(K338,Tara!$L$5:$L$21,Tara!$O$5:$O$21),"")</f>
        <v/>
      </c>
      <c r="U340" s="884"/>
      <c r="V340" s="884"/>
      <c r="W340" s="884"/>
      <c r="X340" s="884"/>
      <c r="Y340" s="884"/>
      <c r="Z340" s="884"/>
      <c r="AA340" s="884"/>
      <c r="AB340" s="872" t="str">
        <f t="shared" si="266"/>
        <v/>
      </c>
      <c r="AC340" s="873" t="str">
        <f>""</f>
        <v/>
      </c>
      <c r="AD340" s="873" t="str">
        <f>""</f>
        <v/>
      </c>
      <c r="AE340" s="873" t="str">
        <f>IF(J336&lt;&gt;"",J336,"")</f>
        <v/>
      </c>
      <c r="AF340" s="874" t="str">
        <f>IF(J337&lt;&gt;"",J337,"")</f>
        <v/>
      </c>
      <c r="AG340" s="875" t="str">
        <f>IF(S335&lt;&gt;"",S335,"")</f>
        <v/>
      </c>
      <c r="AH340" s="896" t="str">
        <f>IF(J342&lt;&gt;"",J342*100,"")</f>
        <v/>
      </c>
      <c r="AI340" s="897" t="str">
        <f>IF(S344&lt;&gt;"",S344,"")</f>
        <v/>
      </c>
      <c r="AJ340" s="880" t="str">
        <f>IF(AH340="","",((AH340/100)-J344)*100)</f>
        <v/>
      </c>
      <c r="AK340" s="1267" t="str">
        <f>IF(Z335&lt;&gt;"",Z335*100,"")</f>
        <v/>
      </c>
    </row>
    <row r="341" spans="1:37" s="316" customFormat="1" ht="15" customHeight="1" x14ac:dyDescent="0.3">
      <c r="A341" s="1955"/>
      <c r="B341" s="885" t="s">
        <v>318</v>
      </c>
      <c r="C341" s="886"/>
      <c r="D341" s="870" t="s">
        <v>319</v>
      </c>
      <c r="E341" s="750"/>
      <c r="F341" s="750"/>
      <c r="G341" s="750"/>
      <c r="H341" s="750"/>
      <c r="I341" s="750"/>
      <c r="J341" s="750"/>
      <c r="K341" s="750"/>
      <c r="L341" s="651" t="str">
        <f>IF(K335&lt;&gt;"",MAX(L$5:L340)+1,"")</f>
        <v/>
      </c>
      <c r="M341" s="1960"/>
      <c r="N341" s="887" t="str">
        <f>IF(N339&lt;&gt;"",N339/N340,"")</f>
        <v/>
      </c>
      <c r="O341" s="887" t="str">
        <f t="shared" ref="O341:T341" si="269">IF(O339&lt;&gt;"",O339/O340,"")</f>
        <v/>
      </c>
      <c r="P341" s="887" t="str">
        <f t="shared" si="269"/>
        <v/>
      </c>
      <c r="Q341" s="887" t="str">
        <f t="shared" si="269"/>
        <v/>
      </c>
      <c r="R341" s="887" t="str">
        <f t="shared" si="269"/>
        <v/>
      </c>
      <c r="S341" s="887" t="str">
        <f t="shared" si="269"/>
        <v/>
      </c>
      <c r="T341" s="887" t="str">
        <f t="shared" si="269"/>
        <v/>
      </c>
      <c r="U341" s="884"/>
      <c r="V341" s="884"/>
      <c r="W341" s="884"/>
      <c r="X341" s="884"/>
      <c r="Y341" s="884"/>
      <c r="Z341" s="884"/>
      <c r="AA341" s="884"/>
      <c r="AB341" s="872" t="str">
        <f t="shared" si="266"/>
        <v/>
      </c>
      <c r="AC341" s="873" t="str">
        <f>""</f>
        <v/>
      </c>
      <c r="AD341" s="873" t="str">
        <f>""</f>
        <v/>
      </c>
      <c r="AE341" s="873" t="str">
        <f>IF(K336&lt;&gt;"",K336,"")</f>
        <v/>
      </c>
      <c r="AF341" s="874" t="str">
        <f>IF(K337&lt;&gt;"",K337,"")</f>
        <v/>
      </c>
      <c r="AG341" s="875" t="str">
        <f>IF(T335&lt;&gt;"",T335,"")</f>
        <v/>
      </c>
      <c r="AH341" s="896" t="str">
        <f>IF(K342&lt;&gt;"",K342*100,"")</f>
        <v/>
      </c>
      <c r="AI341" s="897" t="str">
        <f>IF(T344&lt;&gt;"",T344,"")</f>
        <v/>
      </c>
      <c r="AJ341" s="880" t="str">
        <f>IF(AH341="","",((AH341/100)-K344)*100)</f>
        <v/>
      </c>
      <c r="AK341" s="1267" t="str">
        <f>IF(AA335&lt;&gt;"",AA335*100,"")</f>
        <v/>
      </c>
    </row>
    <row r="342" spans="1:37" s="316" customFormat="1" ht="15" customHeight="1" x14ac:dyDescent="0.3">
      <c r="A342" s="1955"/>
      <c r="B342" s="652"/>
      <c r="C342" s="653"/>
      <c r="D342" s="870" t="s">
        <v>320</v>
      </c>
      <c r="E342" s="888"/>
      <c r="F342" s="888"/>
      <c r="G342" s="888"/>
      <c r="H342" s="888"/>
      <c r="I342" s="888"/>
      <c r="J342" s="888"/>
      <c r="K342" s="888"/>
      <c r="L342" s="651"/>
      <c r="M342" s="1960"/>
      <c r="N342" s="889" t="str">
        <f>IF(E340&lt;&gt;"",LOOKUP(E340,Tara!$P$5:$P$21,Tara!$Q$5:$Q$21),"")</f>
        <v/>
      </c>
      <c r="O342" s="889" t="str">
        <f>IF(F340&lt;&gt;"",LOOKUP(F340,Tara!$P$5:$P$21,Tara!$Q$5:$Q$21),"")</f>
        <v/>
      </c>
      <c r="P342" s="889" t="str">
        <f>IF(G340&lt;&gt;"",LOOKUP(G340,Tara!$P$5:$P$21,Tara!$Q$5:$Q$21),"")</f>
        <v/>
      </c>
      <c r="Q342" s="889" t="str">
        <f>IF(H340&lt;&gt;"",LOOKUP(H340,Tara!$P$5:$P$21,Tara!$Q$5:$Q$21),"")</f>
        <v/>
      </c>
      <c r="R342" s="889" t="str">
        <f>IF(I340&lt;&gt;"",LOOKUP(I340,Tara!$P$5:$P$21,Tara!$Q$5:$Q$21),"")</f>
        <v/>
      </c>
      <c r="S342" s="889" t="str">
        <f>IF(J340&lt;&gt;"",LOOKUP(J340,Tara!$P$5:$P$21,Tara!$Q$5:$Q$21),"")</f>
        <v/>
      </c>
      <c r="T342" s="889" t="str">
        <f>IF(K340&lt;&gt;"",LOOKUP(K340,Tara!$P$5:$P$21,Tara!$Q$5:$Q$21),"")</f>
        <v/>
      </c>
      <c r="U342" s="884"/>
      <c r="V342" s="884"/>
      <c r="W342" s="884"/>
      <c r="X342" s="884"/>
      <c r="Y342" s="884"/>
      <c r="Z342" s="884"/>
      <c r="AA342" s="884"/>
      <c r="AB342" s="872" t="str">
        <f>""</f>
        <v/>
      </c>
      <c r="AC342" s="873" t="str">
        <f>""</f>
        <v/>
      </c>
      <c r="AD342" s="873" t="str">
        <f>""</f>
        <v/>
      </c>
      <c r="AE342" s="873" t="str">
        <f>""</f>
        <v/>
      </c>
      <c r="AF342" s="874" t="str">
        <f>""</f>
        <v/>
      </c>
      <c r="AG342" s="875" t="str">
        <f>""</f>
        <v/>
      </c>
      <c r="AH342" s="875" t="str">
        <f>""</f>
        <v/>
      </c>
      <c r="AI342" s="875" t="str">
        <f>""</f>
        <v/>
      </c>
      <c r="AJ342" s="890" t="str">
        <f>""</f>
        <v/>
      </c>
      <c r="AK342" s="1267" t="str">
        <f>""</f>
        <v/>
      </c>
    </row>
    <row r="343" spans="1:37" s="316" customFormat="1" ht="15" customHeight="1" x14ac:dyDescent="0.3">
      <c r="A343" s="1955"/>
      <c r="B343" s="654"/>
      <c r="C343" s="655"/>
      <c r="D343" s="891" t="s">
        <v>321</v>
      </c>
      <c r="E343" s="750"/>
      <c r="F343" s="750"/>
      <c r="G343" s="750"/>
      <c r="H343" s="750"/>
      <c r="I343" s="750"/>
      <c r="J343" s="750"/>
      <c r="K343" s="750"/>
      <c r="L343" s="651"/>
      <c r="M343" s="1960"/>
      <c r="N343" s="892" t="str">
        <f t="shared" ref="N343:T343" si="270">IF(E341&lt;&gt;"",(E341-N342)/N341,"")</f>
        <v/>
      </c>
      <c r="O343" s="892" t="str">
        <f t="shared" si="270"/>
        <v/>
      </c>
      <c r="P343" s="892" t="str">
        <f t="shared" si="270"/>
        <v/>
      </c>
      <c r="Q343" s="892" t="str">
        <f t="shared" si="270"/>
        <v/>
      </c>
      <c r="R343" s="892" t="str">
        <f t="shared" si="270"/>
        <v/>
      </c>
      <c r="S343" s="892" t="str">
        <f t="shared" si="270"/>
        <v/>
      </c>
      <c r="T343" s="892" t="str">
        <f t="shared" si="270"/>
        <v/>
      </c>
      <c r="U343" s="884"/>
      <c r="V343" s="884"/>
      <c r="W343" s="884"/>
      <c r="X343" s="884"/>
      <c r="Y343" s="884"/>
      <c r="Z343" s="884"/>
      <c r="AA343" s="884"/>
      <c r="AB343" s="872" t="str">
        <f>""</f>
        <v/>
      </c>
      <c r="AC343" s="873" t="str">
        <f>""</f>
        <v/>
      </c>
      <c r="AD343" s="873" t="str">
        <f>""</f>
        <v/>
      </c>
      <c r="AE343" s="873" t="str">
        <f>""</f>
        <v/>
      </c>
      <c r="AF343" s="874" t="str">
        <f>""</f>
        <v/>
      </c>
      <c r="AG343" s="893" t="str">
        <f>""</f>
        <v/>
      </c>
      <c r="AH343" s="893" t="str">
        <f>""</f>
        <v/>
      </c>
      <c r="AI343" s="893" t="str">
        <f>""</f>
        <v/>
      </c>
      <c r="AJ343" s="895" t="str">
        <f>""</f>
        <v/>
      </c>
      <c r="AK343" s="1269" t="str">
        <f>""</f>
        <v/>
      </c>
    </row>
    <row r="344" spans="1:37" s="316" customFormat="1" ht="15" customHeight="1" thickBot="1" x14ac:dyDescent="0.35">
      <c r="A344" s="1956"/>
      <c r="B344" s="656"/>
      <c r="C344" s="657"/>
      <c r="D344" s="658" t="s">
        <v>99</v>
      </c>
      <c r="E344" s="556"/>
      <c r="F344" s="556"/>
      <c r="G344" s="556"/>
      <c r="H344" s="556"/>
      <c r="I344" s="556"/>
      <c r="J344" s="556"/>
      <c r="K344" s="556"/>
      <c r="L344" s="659"/>
      <c r="M344" s="1961"/>
      <c r="N344" s="549" t="str">
        <f t="shared" ref="N344:T344" si="271">IF(N343&lt;&gt;"",N343/(1+E342),"")</f>
        <v/>
      </c>
      <c r="O344" s="549" t="str">
        <f t="shared" si="271"/>
        <v/>
      </c>
      <c r="P344" s="549" t="str">
        <f t="shared" si="271"/>
        <v/>
      </c>
      <c r="Q344" s="549" t="str">
        <f t="shared" si="271"/>
        <v/>
      </c>
      <c r="R344" s="549" t="str">
        <f t="shared" si="271"/>
        <v/>
      </c>
      <c r="S344" s="549" t="str">
        <f t="shared" si="271"/>
        <v/>
      </c>
      <c r="T344" s="549" t="str">
        <f t="shared" si="271"/>
        <v/>
      </c>
      <c r="U344" s="550"/>
      <c r="V344" s="550"/>
      <c r="W344" s="550"/>
      <c r="X344" s="550"/>
      <c r="Y344" s="550"/>
      <c r="Z344" s="550"/>
      <c r="AA344" s="550"/>
      <c r="AB344" s="551">
        <f>MAX(AB$5:AB343)+1</f>
        <v>34</v>
      </c>
      <c r="AC344" s="552" t="str">
        <f>""</f>
        <v/>
      </c>
      <c r="AD344" s="552" t="str">
        <f>""</f>
        <v/>
      </c>
      <c r="AE344" s="552" t="str">
        <f>""</f>
        <v/>
      </c>
      <c r="AF344" s="558" t="str">
        <f>""</f>
        <v/>
      </c>
      <c r="AG344" s="553" t="str">
        <f>""</f>
        <v/>
      </c>
      <c r="AH344" s="553" t="str">
        <f>""</f>
        <v/>
      </c>
      <c r="AI344" s="553" t="str">
        <f>""</f>
        <v/>
      </c>
      <c r="AJ344" s="554" t="str">
        <f>""</f>
        <v/>
      </c>
      <c r="AK344" s="555" t="str">
        <f>""</f>
        <v/>
      </c>
    </row>
    <row r="345" spans="1:37" s="56" customFormat="1" ht="15" customHeight="1" x14ac:dyDescent="0.3">
      <c r="A345" s="1954">
        <f>A335+1</f>
        <v>35</v>
      </c>
      <c r="B345" s="1957" t="s">
        <v>309</v>
      </c>
      <c r="C345" s="1958"/>
      <c r="D345" s="648" t="s">
        <v>34</v>
      </c>
      <c r="E345" s="649"/>
      <c r="F345" s="649"/>
      <c r="G345" s="649"/>
      <c r="H345" s="649"/>
      <c r="I345" s="649"/>
      <c r="J345" s="649"/>
      <c r="K345" s="649"/>
      <c r="L345" s="650" t="str">
        <f>IF(E345&lt;&gt;"",MAX(L$5:L344)+1,"")</f>
        <v/>
      </c>
      <c r="M345" s="1959" t="s">
        <v>25</v>
      </c>
      <c r="N345" s="539" t="str">
        <f t="shared" ref="N345:T345" si="272">IF(E345&lt;&gt;"",E345,"")</f>
        <v/>
      </c>
      <c r="O345" s="539" t="str">
        <f t="shared" si="272"/>
        <v/>
      </c>
      <c r="P345" s="539" t="str">
        <f t="shared" si="272"/>
        <v/>
      </c>
      <c r="Q345" s="539" t="str">
        <f t="shared" si="272"/>
        <v/>
      </c>
      <c r="R345" s="539" t="str">
        <f t="shared" si="272"/>
        <v/>
      </c>
      <c r="S345" s="539" t="str">
        <f t="shared" si="272"/>
        <v/>
      </c>
      <c r="T345" s="539" t="str">
        <f t="shared" si="272"/>
        <v/>
      </c>
      <c r="U345" s="540" t="str">
        <f t="shared" ref="U345:AA345" si="273">IF(N354&lt;&gt;"",N354/E353*1000,"")</f>
        <v/>
      </c>
      <c r="V345" s="540" t="str">
        <f t="shared" si="273"/>
        <v/>
      </c>
      <c r="W345" s="540" t="str">
        <f t="shared" si="273"/>
        <v/>
      </c>
      <c r="X345" s="540" t="str">
        <f t="shared" si="273"/>
        <v/>
      </c>
      <c r="Y345" s="540" t="str">
        <f t="shared" si="273"/>
        <v/>
      </c>
      <c r="Z345" s="540" t="str">
        <f t="shared" si="273"/>
        <v/>
      </c>
      <c r="AA345" s="540" t="str">
        <f t="shared" si="273"/>
        <v/>
      </c>
      <c r="AB345" s="539" t="str">
        <f>IF(L345&lt;&gt;"",L345,"")</f>
        <v/>
      </c>
      <c r="AC345" s="541" t="str">
        <f>IF(C346&lt;&gt;"",CONCATENATE(C346," a ",C347),"")</f>
        <v/>
      </c>
      <c r="AD345" s="542" t="str">
        <f>IF(C349&lt;&gt;"",C349,"")</f>
        <v/>
      </c>
      <c r="AE345" s="543" t="str">
        <f>IF(E346&lt;&gt;"",E346,"")</f>
        <v/>
      </c>
      <c r="AF345" s="557" t="str">
        <f>IF(E347&lt;&gt;"",E347,"")</f>
        <v/>
      </c>
      <c r="AG345" s="544" t="str">
        <f>IF(N345&lt;&gt;"",N345,"")</f>
        <v/>
      </c>
      <c r="AH345" s="545" t="str">
        <f>IF(E352&lt;&gt;"",E352*100,"")</f>
        <v/>
      </c>
      <c r="AI345" s="546" t="str">
        <f>IF(N354&lt;&gt;"",N354,"")</f>
        <v/>
      </c>
      <c r="AJ345" s="547" t="str">
        <f>IF(AH345="","",((AH345/100)-E354)*100)</f>
        <v/>
      </c>
      <c r="AK345" s="548" t="str">
        <f>IF(U345&lt;&gt;"",U345*100,"")</f>
        <v/>
      </c>
    </row>
    <row r="346" spans="1:37" s="57" customFormat="1" ht="15" customHeight="1" x14ac:dyDescent="0.3">
      <c r="A346" s="1955"/>
      <c r="B346" s="869" t="s">
        <v>310</v>
      </c>
      <c r="C346" s="666"/>
      <c r="D346" s="870" t="s">
        <v>156</v>
      </c>
      <c r="E346" s="871"/>
      <c r="F346" s="871"/>
      <c r="G346" s="871"/>
      <c r="H346" s="871"/>
      <c r="I346" s="871"/>
      <c r="J346" s="871"/>
      <c r="K346" s="871"/>
      <c r="L346" s="651" t="str">
        <f>IF(F345&lt;&gt;"",MAX(L$5:L345)+1,"")</f>
        <v/>
      </c>
      <c r="M346" s="1960"/>
      <c r="N346" s="872" t="str">
        <f>IF(E348&lt;&gt;"",LOOKUP(E348,Tara!$L$5:$L$21,Tara!$M$5:$M$21),"")</f>
        <v/>
      </c>
      <c r="O346" s="872" t="str">
        <f>IF(F348&lt;&gt;"",LOOKUP(F348,Tara!$L$5:$L$21,Tara!$M$5:$M$21),"")</f>
        <v/>
      </c>
      <c r="P346" s="872" t="str">
        <f>IF(G348&lt;&gt;"",LOOKUP(G348,Tara!$L$5:$L$21,Tara!$M$5:$M$21),"")</f>
        <v/>
      </c>
      <c r="Q346" s="872" t="str">
        <f>IF(H348&lt;&gt;"",LOOKUP(H348,Tara!$L$5:$L$21,Tara!$M$5:$M$21),"")</f>
        <v/>
      </c>
      <c r="R346" s="872" t="str">
        <f>IF(I348&lt;&gt;"",LOOKUP(I348,Tara!$L$5:$L$21,Tara!$M$5:$M$21),"")</f>
        <v/>
      </c>
      <c r="S346" s="872" t="str">
        <f>IF(J348&lt;&gt;"",LOOKUP(J348,Tara!$L$5:$L$21,Tara!$M$5:$M$21),"")</f>
        <v/>
      </c>
      <c r="T346" s="872" t="str">
        <f>IF(K348&lt;&gt;"",LOOKUP(K348,Tara!$L$5:$L$21,Tara!$M$5:$M$21),"")</f>
        <v/>
      </c>
      <c r="U346" s="872"/>
      <c r="V346" s="872"/>
      <c r="W346" s="872"/>
      <c r="X346" s="872"/>
      <c r="Y346" s="872"/>
      <c r="Z346" s="872"/>
      <c r="AA346" s="872"/>
      <c r="AB346" s="872" t="str">
        <f t="shared" ref="AB346:AB351" si="274">IF(L346&lt;&gt;"",L346,"")</f>
        <v/>
      </c>
      <c r="AC346" s="873" t="str">
        <f>""</f>
        <v/>
      </c>
      <c r="AD346" s="873" t="str">
        <f>""</f>
        <v/>
      </c>
      <c r="AE346" s="873" t="str">
        <f>IF(F346&lt;&gt;"",F346,"")</f>
        <v/>
      </c>
      <c r="AF346" s="874" t="str">
        <f>IF(E347&lt;&gt;"",F347,"")</f>
        <v/>
      </c>
      <c r="AG346" s="875" t="str">
        <f>IF(O345&lt;&gt;"",O345,"")</f>
        <v/>
      </c>
      <c r="AH346" s="896" t="str">
        <f>IF(F352&lt;&gt;"",F352*100,"")</f>
        <v/>
      </c>
      <c r="AI346" s="897" t="str">
        <f>IF(O354&lt;&gt;"",O354,"")</f>
        <v/>
      </c>
      <c r="AJ346" s="880" t="str">
        <f>IF(AH346="","",((AH346/100)-F354)*100)</f>
        <v/>
      </c>
      <c r="AK346" s="1267" t="str">
        <f>IF(V345&lt;&gt;"",V345*100,"")</f>
        <v/>
      </c>
    </row>
    <row r="347" spans="1:37" s="56" customFormat="1" ht="15" customHeight="1" x14ac:dyDescent="0.3">
      <c r="A347" s="1955"/>
      <c r="B347" s="869" t="s">
        <v>311</v>
      </c>
      <c r="C347" s="666"/>
      <c r="D347" s="870" t="s">
        <v>312</v>
      </c>
      <c r="E347" s="878"/>
      <c r="F347" s="878"/>
      <c r="G347" s="878"/>
      <c r="H347" s="878"/>
      <c r="I347" s="878"/>
      <c r="J347" s="878"/>
      <c r="K347" s="1268"/>
      <c r="L347" s="651" t="str">
        <f>IF(G345&lt;&gt;"",MAX(L$5:L346)+1,"")</f>
        <v/>
      </c>
      <c r="M347" s="1960"/>
      <c r="N347" s="872" t="str">
        <f t="shared" ref="N347:T347" si="275">IF(N346&lt;&gt;"",N346-E349,"")</f>
        <v/>
      </c>
      <c r="O347" s="872" t="str">
        <f t="shared" si="275"/>
        <v/>
      </c>
      <c r="P347" s="872" t="str">
        <f t="shared" si="275"/>
        <v/>
      </c>
      <c r="Q347" s="872" t="str">
        <f t="shared" si="275"/>
        <v/>
      </c>
      <c r="R347" s="872" t="str">
        <f t="shared" si="275"/>
        <v/>
      </c>
      <c r="S347" s="872" t="str">
        <f t="shared" si="275"/>
        <v/>
      </c>
      <c r="T347" s="872" t="str">
        <f t="shared" si="275"/>
        <v/>
      </c>
      <c r="U347" s="879"/>
      <c r="V347" s="879"/>
      <c r="W347" s="879"/>
      <c r="X347" s="879"/>
      <c r="Y347" s="879"/>
      <c r="Z347" s="879"/>
      <c r="AA347" s="879"/>
      <c r="AB347" s="872" t="str">
        <f t="shared" si="274"/>
        <v/>
      </c>
      <c r="AC347" s="873" t="str">
        <f>""</f>
        <v/>
      </c>
      <c r="AD347" s="873" t="str">
        <f>""</f>
        <v/>
      </c>
      <c r="AE347" s="873" t="str">
        <f>IF(G346&lt;&gt;"",G346,"")</f>
        <v/>
      </c>
      <c r="AF347" s="874" t="str">
        <f>IF(G347&lt;&gt;"",G347,"")</f>
        <v/>
      </c>
      <c r="AG347" s="875" t="str">
        <f>IF(P345&lt;&gt;"",P345,"")</f>
        <v/>
      </c>
      <c r="AH347" s="896" t="str">
        <f>IF(G352&lt;&gt;"",G352*100,"")</f>
        <v/>
      </c>
      <c r="AI347" s="897" t="str">
        <f>IF(P354&lt;&gt;"",P354,"")</f>
        <v/>
      </c>
      <c r="AJ347" s="880" t="str">
        <f>IF(AH347="","",((AH347/100)-G354)*100)</f>
        <v/>
      </c>
      <c r="AK347" s="1267" t="str">
        <f>IF(W345&lt;&gt;"",W345*100,"")</f>
        <v/>
      </c>
    </row>
    <row r="348" spans="1:37" s="56" customFormat="1" ht="15" customHeight="1" x14ac:dyDescent="0.3">
      <c r="A348" s="1955"/>
      <c r="B348" s="869" t="s">
        <v>313</v>
      </c>
      <c r="C348" s="666"/>
      <c r="D348" s="870" t="s">
        <v>314</v>
      </c>
      <c r="E348" s="750"/>
      <c r="F348" s="750"/>
      <c r="G348" s="750"/>
      <c r="H348" s="750"/>
      <c r="I348" s="750"/>
      <c r="J348" s="750"/>
      <c r="K348" s="750"/>
      <c r="L348" s="651" t="str">
        <f>IF(H345&lt;&gt;"",MAX(L$5:L347)+1,"")</f>
        <v/>
      </c>
      <c r="M348" s="1960"/>
      <c r="N348" s="872" t="str">
        <f>IF(E348&lt;&gt;"",LOOKUP(E348,Tara!$L$5:$L$21,Tara!$N$5:$N$21),"")</f>
        <v/>
      </c>
      <c r="O348" s="872" t="str">
        <f>IF(F348&lt;&gt;"",LOOKUP(F348,Tara!$L$5:$L$21,Tara!$N$5:$N$21),"")</f>
        <v/>
      </c>
      <c r="P348" s="872" t="str">
        <f>IF(G348&lt;&gt;"",LOOKUP(G348,Tara!$L$5:$L$21,Tara!$N$5:$N$21),"")</f>
        <v/>
      </c>
      <c r="Q348" s="872" t="str">
        <f>IF(H348&lt;&gt;"",LOOKUP(H348,Tara!$L$5:$L$21,Tara!$N$5:$N$21),"")</f>
        <v/>
      </c>
      <c r="R348" s="872" t="str">
        <f>IF(I348&lt;&gt;"",LOOKUP(I348,Tara!$L$5:$L$21,Tara!$N$5:$N$21),"")</f>
        <v/>
      </c>
      <c r="S348" s="872" t="str">
        <f>IF(J348&lt;&gt;"",LOOKUP(J348,Tara!$L$5:$L$21,Tara!$N$5:$N$21),"")</f>
        <v/>
      </c>
      <c r="T348" s="872" t="str">
        <f>IF(K348&lt;&gt;"",LOOKUP(K348,Tara!$L$5:$L$21,Tara!$N$5:$N$21),"")</f>
        <v/>
      </c>
      <c r="U348" s="881"/>
      <c r="V348" s="881"/>
      <c r="W348" s="881"/>
      <c r="X348" s="881"/>
      <c r="Y348" s="881"/>
      <c r="Z348" s="881"/>
      <c r="AA348" s="881"/>
      <c r="AB348" s="872" t="str">
        <f t="shared" si="274"/>
        <v/>
      </c>
      <c r="AC348" s="873" t="str">
        <f>""</f>
        <v/>
      </c>
      <c r="AD348" s="873" t="str">
        <f>""</f>
        <v/>
      </c>
      <c r="AE348" s="873" t="str">
        <f>IF(H346&lt;&gt;"",H346,"")</f>
        <v/>
      </c>
      <c r="AF348" s="874" t="str">
        <f>IF(H347&lt;&gt;"",H347,"")</f>
        <v/>
      </c>
      <c r="AG348" s="875" t="str">
        <f>IF(Q345&lt;&gt;"",Q345,"")</f>
        <v/>
      </c>
      <c r="AH348" s="896" t="str">
        <f>IF(H352&lt;&gt;"",H352*100,"")</f>
        <v/>
      </c>
      <c r="AI348" s="897" t="str">
        <f>IF(Q354&lt;&gt;"",Q354,"")</f>
        <v/>
      </c>
      <c r="AJ348" s="880" t="str">
        <f>IF(AH348="","",((AH348/100)-H354)*100)</f>
        <v/>
      </c>
      <c r="AK348" s="1267" t="str">
        <f>IF(X345&lt;&gt;"",X345*100,"")</f>
        <v/>
      </c>
    </row>
    <row r="349" spans="1:37" s="56" customFormat="1" ht="15" customHeight="1" x14ac:dyDescent="0.3">
      <c r="A349" s="1955"/>
      <c r="B349" s="882" t="s">
        <v>57</v>
      </c>
      <c r="C349" s="688"/>
      <c r="D349" s="870" t="s">
        <v>315</v>
      </c>
      <c r="E349" s="871"/>
      <c r="F349" s="871"/>
      <c r="G349" s="871"/>
      <c r="H349" s="871"/>
      <c r="I349" s="871"/>
      <c r="J349" s="871"/>
      <c r="K349" s="871"/>
      <c r="L349" s="651" t="str">
        <f>IF(I345&lt;&gt;"",MAX(L$5:L348)+1,"")</f>
        <v/>
      </c>
      <c r="M349" s="1960"/>
      <c r="N349" s="872" t="str">
        <f t="shared" ref="N349:T349" si="276">IF(N347&lt;&gt;"",N347-N348,"")</f>
        <v/>
      </c>
      <c r="O349" s="872" t="str">
        <f t="shared" si="276"/>
        <v/>
      </c>
      <c r="P349" s="872" t="str">
        <f t="shared" si="276"/>
        <v/>
      </c>
      <c r="Q349" s="872" t="str">
        <f t="shared" si="276"/>
        <v/>
      </c>
      <c r="R349" s="872" t="str">
        <f t="shared" si="276"/>
        <v/>
      </c>
      <c r="S349" s="872" t="str">
        <f t="shared" si="276"/>
        <v/>
      </c>
      <c r="T349" s="872" t="str">
        <f t="shared" si="276"/>
        <v/>
      </c>
      <c r="U349" s="881"/>
      <c r="V349" s="881"/>
      <c r="W349" s="881"/>
      <c r="X349" s="881"/>
      <c r="Y349" s="881"/>
      <c r="Z349" s="881"/>
      <c r="AA349" s="881"/>
      <c r="AB349" s="872" t="str">
        <f t="shared" si="274"/>
        <v/>
      </c>
      <c r="AC349" s="873" t="str">
        <f>""</f>
        <v/>
      </c>
      <c r="AD349" s="873" t="str">
        <f>""</f>
        <v/>
      </c>
      <c r="AE349" s="873" t="str">
        <f>IF(I346&lt;&gt;"",I346,"")</f>
        <v/>
      </c>
      <c r="AF349" s="874" t="str">
        <f>IF(I347&lt;&gt;"",I347,"")</f>
        <v/>
      </c>
      <c r="AG349" s="875" t="str">
        <f>IF(R345&lt;&gt;"",R345,"")</f>
        <v/>
      </c>
      <c r="AH349" s="896" t="str">
        <f>IF(I352&lt;&gt;"",I352*100,"")</f>
        <v/>
      </c>
      <c r="AI349" s="897" t="str">
        <f>IF(R354&lt;&gt;"",R354,"")</f>
        <v/>
      </c>
      <c r="AJ349" s="880" t="str">
        <f>IF(AH349="","",((AH349/100)-I354)*100)</f>
        <v/>
      </c>
      <c r="AK349" s="1267" t="str">
        <f>IF(Y345&lt;&gt;"",Y345*100,"")</f>
        <v/>
      </c>
    </row>
    <row r="350" spans="1:37" s="316" customFormat="1" ht="15" customHeight="1" x14ac:dyDescent="0.3">
      <c r="A350" s="1955"/>
      <c r="B350" s="882" t="s">
        <v>316</v>
      </c>
      <c r="C350" s="666"/>
      <c r="D350" s="883" t="s">
        <v>317</v>
      </c>
      <c r="E350" s="750"/>
      <c r="F350" s="750"/>
      <c r="G350" s="750"/>
      <c r="H350" s="750"/>
      <c r="I350" s="750"/>
      <c r="J350" s="750"/>
      <c r="K350" s="750"/>
      <c r="L350" s="651" t="str">
        <f>IF(J345&lt;&gt;"",MAX(L$5:L349)+1,"")</f>
        <v/>
      </c>
      <c r="M350" s="1960"/>
      <c r="N350" s="872" t="str">
        <f>IF(E348&lt;&gt;"",LOOKUP(E348,Tara!$L$5:$L$21,Tara!$O$5:$O$21),"")</f>
        <v/>
      </c>
      <c r="O350" s="872" t="str">
        <f>IF(F348&lt;&gt;"",LOOKUP(F348,Tara!$L$5:$L$21,Tara!$O$5:$O$21),"")</f>
        <v/>
      </c>
      <c r="P350" s="872" t="str">
        <f>IF(G348&lt;&gt;"",LOOKUP(G348,Tara!$L$5:$L$21,Tara!$O$5:$O$21),"")</f>
        <v/>
      </c>
      <c r="Q350" s="872" t="str">
        <f>IF(H348&lt;&gt;"",LOOKUP(H348,Tara!$L$5:$L$21,Tara!$O$5:$O$21),"")</f>
        <v/>
      </c>
      <c r="R350" s="872" t="str">
        <f>IF(I348&lt;&gt;"",LOOKUP(I348,Tara!$L$5:$L$21,Tara!$O$5:$O$21),"")</f>
        <v/>
      </c>
      <c r="S350" s="872" t="str">
        <f>IF(J348&lt;&gt;"",LOOKUP(J348,Tara!$L$5:$L$21,Tara!$O$5:$O$21),"")</f>
        <v/>
      </c>
      <c r="T350" s="872" t="str">
        <f>IF(K348&lt;&gt;"",LOOKUP(K348,Tara!$L$5:$L$21,Tara!$O$5:$O$21),"")</f>
        <v/>
      </c>
      <c r="U350" s="884"/>
      <c r="V350" s="884"/>
      <c r="W350" s="884"/>
      <c r="X350" s="884"/>
      <c r="Y350" s="884"/>
      <c r="Z350" s="884"/>
      <c r="AA350" s="884"/>
      <c r="AB350" s="872" t="str">
        <f t="shared" si="274"/>
        <v/>
      </c>
      <c r="AC350" s="873" t="str">
        <f>""</f>
        <v/>
      </c>
      <c r="AD350" s="873" t="str">
        <f>""</f>
        <v/>
      </c>
      <c r="AE350" s="873" t="str">
        <f>IF(J346&lt;&gt;"",J346,"")</f>
        <v/>
      </c>
      <c r="AF350" s="874" t="str">
        <f>IF(J347&lt;&gt;"",J347,"")</f>
        <v/>
      </c>
      <c r="AG350" s="875" t="str">
        <f>IF(S345&lt;&gt;"",S345,"")</f>
        <v/>
      </c>
      <c r="AH350" s="896" t="str">
        <f>IF(J352&lt;&gt;"",J352*100,"")</f>
        <v/>
      </c>
      <c r="AI350" s="897" t="str">
        <f>IF(S354&lt;&gt;"",S354,"")</f>
        <v/>
      </c>
      <c r="AJ350" s="880" t="str">
        <f>IF(AH350="","",((AH350/100)-J354)*100)</f>
        <v/>
      </c>
      <c r="AK350" s="1267" t="str">
        <f>IF(Z345&lt;&gt;"",Z345*100,"")</f>
        <v/>
      </c>
    </row>
    <row r="351" spans="1:37" s="316" customFormat="1" ht="15" customHeight="1" x14ac:dyDescent="0.3">
      <c r="A351" s="1955"/>
      <c r="B351" s="885" t="s">
        <v>318</v>
      </c>
      <c r="C351" s="886"/>
      <c r="D351" s="870" t="s">
        <v>319</v>
      </c>
      <c r="E351" s="750"/>
      <c r="F351" s="750"/>
      <c r="G351" s="750"/>
      <c r="H351" s="750"/>
      <c r="I351" s="750"/>
      <c r="J351" s="750"/>
      <c r="K351" s="750"/>
      <c r="L351" s="651" t="str">
        <f>IF(K345&lt;&gt;"",MAX(L$5:L350)+1,"")</f>
        <v/>
      </c>
      <c r="M351" s="1960"/>
      <c r="N351" s="887" t="str">
        <f>IF(N349&lt;&gt;"",N349/N350,"")</f>
        <v/>
      </c>
      <c r="O351" s="887" t="str">
        <f t="shared" ref="O351:T351" si="277">IF(O349&lt;&gt;"",O349/O350,"")</f>
        <v/>
      </c>
      <c r="P351" s="887" t="str">
        <f t="shared" si="277"/>
        <v/>
      </c>
      <c r="Q351" s="887" t="str">
        <f t="shared" si="277"/>
        <v/>
      </c>
      <c r="R351" s="887" t="str">
        <f t="shared" si="277"/>
        <v/>
      </c>
      <c r="S351" s="887" t="str">
        <f t="shared" si="277"/>
        <v/>
      </c>
      <c r="T351" s="887" t="str">
        <f t="shared" si="277"/>
        <v/>
      </c>
      <c r="U351" s="884"/>
      <c r="V351" s="884"/>
      <c r="W351" s="884"/>
      <c r="X351" s="884"/>
      <c r="Y351" s="884"/>
      <c r="Z351" s="884"/>
      <c r="AA351" s="884"/>
      <c r="AB351" s="872" t="str">
        <f t="shared" si="274"/>
        <v/>
      </c>
      <c r="AC351" s="873" t="str">
        <f>""</f>
        <v/>
      </c>
      <c r="AD351" s="873" t="str">
        <f>""</f>
        <v/>
      </c>
      <c r="AE351" s="873" t="str">
        <f>IF(K346&lt;&gt;"",K346,"")</f>
        <v/>
      </c>
      <c r="AF351" s="874" t="str">
        <f>IF(K347&lt;&gt;"",K347,"")</f>
        <v/>
      </c>
      <c r="AG351" s="875" t="str">
        <f>IF(T345&lt;&gt;"",T345,"")</f>
        <v/>
      </c>
      <c r="AH351" s="896" t="str">
        <f>IF(K352&lt;&gt;"",K352*100,"")</f>
        <v/>
      </c>
      <c r="AI351" s="897" t="str">
        <f>IF(T354&lt;&gt;"",T354,"")</f>
        <v/>
      </c>
      <c r="AJ351" s="880" t="str">
        <f>IF(AH351="","",((AH351/100)-K354)*100)</f>
        <v/>
      </c>
      <c r="AK351" s="1267" t="str">
        <f>IF(AA345&lt;&gt;"",AA345*100,"")</f>
        <v/>
      </c>
    </row>
    <row r="352" spans="1:37" s="316" customFormat="1" ht="15" customHeight="1" x14ac:dyDescent="0.3">
      <c r="A352" s="1955"/>
      <c r="B352" s="652"/>
      <c r="C352" s="653"/>
      <c r="D352" s="870" t="s">
        <v>320</v>
      </c>
      <c r="E352" s="888"/>
      <c r="F352" s="888"/>
      <c r="G352" s="888"/>
      <c r="H352" s="888"/>
      <c r="I352" s="888"/>
      <c r="J352" s="888"/>
      <c r="K352" s="888"/>
      <c r="L352" s="651"/>
      <c r="M352" s="1960"/>
      <c r="N352" s="889" t="str">
        <f>IF(E350&lt;&gt;"",LOOKUP(E350,Tara!$P$5:$P$21,Tara!$Q$5:$Q$21),"")</f>
        <v/>
      </c>
      <c r="O352" s="889" t="str">
        <f>IF(F350&lt;&gt;"",LOOKUP(F350,Tara!$P$5:$P$21,Tara!$Q$5:$Q$21),"")</f>
        <v/>
      </c>
      <c r="P352" s="889" t="str">
        <f>IF(G350&lt;&gt;"",LOOKUP(G350,Tara!$P$5:$P$21,Tara!$Q$5:$Q$21),"")</f>
        <v/>
      </c>
      <c r="Q352" s="889" t="str">
        <f>IF(H350&lt;&gt;"",LOOKUP(H350,Tara!$P$5:$P$21,Tara!$Q$5:$Q$21),"")</f>
        <v/>
      </c>
      <c r="R352" s="889" t="str">
        <f>IF(I350&lt;&gt;"",LOOKUP(I350,Tara!$P$5:$P$21,Tara!$Q$5:$Q$21),"")</f>
        <v/>
      </c>
      <c r="S352" s="889" t="str">
        <f>IF(J350&lt;&gt;"",LOOKUP(J350,Tara!$P$5:$P$21,Tara!$Q$5:$Q$21),"")</f>
        <v/>
      </c>
      <c r="T352" s="889" t="str">
        <f>IF(K350&lt;&gt;"",LOOKUP(K350,Tara!$P$5:$P$21,Tara!$Q$5:$Q$21),"")</f>
        <v/>
      </c>
      <c r="U352" s="884"/>
      <c r="V352" s="884"/>
      <c r="W352" s="884"/>
      <c r="X352" s="884"/>
      <c r="Y352" s="884"/>
      <c r="Z352" s="884"/>
      <c r="AA352" s="884"/>
      <c r="AB352" s="872" t="str">
        <f>""</f>
        <v/>
      </c>
      <c r="AC352" s="873" t="str">
        <f>""</f>
        <v/>
      </c>
      <c r="AD352" s="873" t="str">
        <f>""</f>
        <v/>
      </c>
      <c r="AE352" s="873" t="str">
        <f>""</f>
        <v/>
      </c>
      <c r="AF352" s="874" t="str">
        <f>""</f>
        <v/>
      </c>
      <c r="AG352" s="875" t="str">
        <f>""</f>
        <v/>
      </c>
      <c r="AH352" s="875" t="str">
        <f>""</f>
        <v/>
      </c>
      <c r="AI352" s="875" t="str">
        <f>""</f>
        <v/>
      </c>
      <c r="AJ352" s="890" t="str">
        <f>""</f>
        <v/>
      </c>
      <c r="AK352" s="1267" t="str">
        <f>""</f>
        <v/>
      </c>
    </row>
    <row r="353" spans="1:37" s="316" customFormat="1" ht="15" customHeight="1" x14ac:dyDescent="0.3">
      <c r="A353" s="1955"/>
      <c r="B353" s="654"/>
      <c r="C353" s="655"/>
      <c r="D353" s="891" t="s">
        <v>321</v>
      </c>
      <c r="E353" s="750"/>
      <c r="F353" s="750"/>
      <c r="G353" s="750"/>
      <c r="H353" s="750"/>
      <c r="I353" s="750"/>
      <c r="J353" s="750"/>
      <c r="K353" s="750"/>
      <c r="L353" s="651"/>
      <c r="M353" s="1960"/>
      <c r="N353" s="892" t="str">
        <f t="shared" ref="N353:T353" si="278">IF(E351&lt;&gt;"",(E351-N352)/N351,"")</f>
        <v/>
      </c>
      <c r="O353" s="892" t="str">
        <f t="shared" si="278"/>
        <v/>
      </c>
      <c r="P353" s="892" t="str">
        <f t="shared" si="278"/>
        <v/>
      </c>
      <c r="Q353" s="892" t="str">
        <f t="shared" si="278"/>
        <v/>
      </c>
      <c r="R353" s="892" t="str">
        <f t="shared" si="278"/>
        <v/>
      </c>
      <c r="S353" s="892" t="str">
        <f t="shared" si="278"/>
        <v/>
      </c>
      <c r="T353" s="892" t="str">
        <f t="shared" si="278"/>
        <v/>
      </c>
      <c r="U353" s="884"/>
      <c r="V353" s="884"/>
      <c r="W353" s="884"/>
      <c r="X353" s="884"/>
      <c r="Y353" s="884"/>
      <c r="Z353" s="884"/>
      <c r="AA353" s="884"/>
      <c r="AB353" s="872" t="str">
        <f>""</f>
        <v/>
      </c>
      <c r="AC353" s="873" t="str">
        <f>""</f>
        <v/>
      </c>
      <c r="AD353" s="873" t="str">
        <f>""</f>
        <v/>
      </c>
      <c r="AE353" s="873" t="str">
        <f>""</f>
        <v/>
      </c>
      <c r="AF353" s="874" t="str">
        <f>""</f>
        <v/>
      </c>
      <c r="AG353" s="893" t="str">
        <f>""</f>
        <v/>
      </c>
      <c r="AH353" s="893" t="str">
        <f>""</f>
        <v/>
      </c>
      <c r="AI353" s="893" t="str">
        <f>""</f>
        <v/>
      </c>
      <c r="AJ353" s="895" t="str">
        <f>""</f>
        <v/>
      </c>
      <c r="AK353" s="1269" t="str">
        <f>""</f>
        <v/>
      </c>
    </row>
    <row r="354" spans="1:37" s="316" customFormat="1" ht="15" customHeight="1" thickBot="1" x14ac:dyDescent="0.35">
      <c r="A354" s="1956"/>
      <c r="B354" s="656"/>
      <c r="C354" s="657"/>
      <c r="D354" s="658" t="s">
        <v>99</v>
      </c>
      <c r="E354" s="556"/>
      <c r="F354" s="556"/>
      <c r="G354" s="556"/>
      <c r="H354" s="556"/>
      <c r="I354" s="556"/>
      <c r="J354" s="556"/>
      <c r="K354" s="556"/>
      <c r="L354" s="659"/>
      <c r="M354" s="1961"/>
      <c r="N354" s="549" t="str">
        <f t="shared" ref="N354:T354" si="279">IF(N353&lt;&gt;"",N353/(1+E352),"")</f>
        <v/>
      </c>
      <c r="O354" s="549" t="str">
        <f t="shared" si="279"/>
        <v/>
      </c>
      <c r="P354" s="549" t="str">
        <f t="shared" si="279"/>
        <v/>
      </c>
      <c r="Q354" s="549" t="str">
        <f t="shared" si="279"/>
        <v/>
      </c>
      <c r="R354" s="549" t="str">
        <f t="shared" si="279"/>
        <v/>
      </c>
      <c r="S354" s="549" t="str">
        <f t="shared" si="279"/>
        <v/>
      </c>
      <c r="T354" s="549" t="str">
        <f t="shared" si="279"/>
        <v/>
      </c>
      <c r="U354" s="550"/>
      <c r="V354" s="550"/>
      <c r="W354" s="550"/>
      <c r="X354" s="550"/>
      <c r="Y354" s="550"/>
      <c r="Z354" s="550"/>
      <c r="AA354" s="550"/>
      <c r="AB354" s="551">
        <f>MAX(AB$5:AB353)+1</f>
        <v>35</v>
      </c>
      <c r="AC354" s="552" t="str">
        <f>""</f>
        <v/>
      </c>
      <c r="AD354" s="552" t="str">
        <f>""</f>
        <v/>
      </c>
      <c r="AE354" s="552" t="str">
        <f>""</f>
        <v/>
      </c>
      <c r="AF354" s="558" t="str">
        <f>""</f>
        <v/>
      </c>
      <c r="AG354" s="553" t="str">
        <f>""</f>
        <v/>
      </c>
      <c r="AH354" s="553" t="str">
        <f>""</f>
        <v/>
      </c>
      <c r="AI354" s="553" t="str">
        <f>""</f>
        <v/>
      </c>
      <c r="AJ354" s="554" t="str">
        <f>""</f>
        <v/>
      </c>
      <c r="AK354" s="555" t="str">
        <f>""</f>
        <v/>
      </c>
    </row>
    <row r="355" spans="1:37" s="56" customFormat="1" ht="15" customHeight="1" x14ac:dyDescent="0.3">
      <c r="A355" s="1954">
        <f>A345+1</f>
        <v>36</v>
      </c>
      <c r="B355" s="1957" t="s">
        <v>309</v>
      </c>
      <c r="C355" s="1958"/>
      <c r="D355" s="648" t="s">
        <v>34</v>
      </c>
      <c r="E355" s="649"/>
      <c r="F355" s="649"/>
      <c r="G355" s="649"/>
      <c r="H355" s="649"/>
      <c r="I355" s="649"/>
      <c r="J355" s="649"/>
      <c r="K355" s="649"/>
      <c r="L355" s="650" t="str">
        <f>IF(E355&lt;&gt;"",MAX(L$5:L354)+1,"")</f>
        <v/>
      </c>
      <c r="M355" s="1959" t="s">
        <v>25</v>
      </c>
      <c r="N355" s="539" t="str">
        <f t="shared" ref="N355:T355" si="280">IF(E355&lt;&gt;"",E355,"")</f>
        <v/>
      </c>
      <c r="O355" s="539" t="str">
        <f t="shared" si="280"/>
        <v/>
      </c>
      <c r="P355" s="539" t="str">
        <f t="shared" si="280"/>
        <v/>
      </c>
      <c r="Q355" s="539" t="str">
        <f t="shared" si="280"/>
        <v/>
      </c>
      <c r="R355" s="539" t="str">
        <f t="shared" si="280"/>
        <v/>
      </c>
      <c r="S355" s="539" t="str">
        <f t="shared" si="280"/>
        <v/>
      </c>
      <c r="T355" s="539" t="str">
        <f t="shared" si="280"/>
        <v/>
      </c>
      <c r="U355" s="540" t="str">
        <f t="shared" ref="U355:AA355" si="281">IF(N364&lt;&gt;"",N364/E363*1000,"")</f>
        <v/>
      </c>
      <c r="V355" s="540" t="str">
        <f t="shared" si="281"/>
        <v/>
      </c>
      <c r="W355" s="540" t="str">
        <f t="shared" si="281"/>
        <v/>
      </c>
      <c r="X355" s="540" t="str">
        <f t="shared" si="281"/>
        <v/>
      </c>
      <c r="Y355" s="540" t="str">
        <f t="shared" si="281"/>
        <v/>
      </c>
      <c r="Z355" s="540" t="str">
        <f t="shared" si="281"/>
        <v/>
      </c>
      <c r="AA355" s="540" t="str">
        <f t="shared" si="281"/>
        <v/>
      </c>
      <c r="AB355" s="539" t="str">
        <f>IF(L355&lt;&gt;"",L355,"")</f>
        <v/>
      </c>
      <c r="AC355" s="541" t="str">
        <f>IF(C356&lt;&gt;"",CONCATENATE(C356," a ",C357),"")</f>
        <v/>
      </c>
      <c r="AD355" s="542" t="str">
        <f>IF(C359&lt;&gt;"",C359,"")</f>
        <v/>
      </c>
      <c r="AE355" s="543" t="str">
        <f>IF(E356&lt;&gt;"",E356,"")</f>
        <v/>
      </c>
      <c r="AF355" s="557" t="str">
        <f>IF(E357&lt;&gt;"",E357,"")</f>
        <v/>
      </c>
      <c r="AG355" s="544" t="str">
        <f>IF(N355&lt;&gt;"",N355,"")</f>
        <v/>
      </c>
      <c r="AH355" s="545" t="str">
        <f>IF(E362&lt;&gt;"",E362*100,"")</f>
        <v/>
      </c>
      <c r="AI355" s="546" t="str">
        <f>IF(N364&lt;&gt;"",N364,"")</f>
        <v/>
      </c>
      <c r="AJ355" s="547" t="str">
        <f>IF(AH355="","",((AH355/100)-E364)*100)</f>
        <v/>
      </c>
      <c r="AK355" s="548" t="str">
        <f>IF(U355&lt;&gt;"",U355*100,"")</f>
        <v/>
      </c>
    </row>
    <row r="356" spans="1:37" s="57" customFormat="1" ht="15" customHeight="1" x14ac:dyDescent="0.3">
      <c r="A356" s="1955"/>
      <c r="B356" s="869" t="s">
        <v>310</v>
      </c>
      <c r="C356" s="666"/>
      <c r="D356" s="870" t="s">
        <v>156</v>
      </c>
      <c r="E356" s="871"/>
      <c r="F356" s="871"/>
      <c r="G356" s="871"/>
      <c r="H356" s="871"/>
      <c r="I356" s="871"/>
      <c r="J356" s="871"/>
      <c r="K356" s="871"/>
      <c r="L356" s="651" t="str">
        <f>IF(F355&lt;&gt;"",MAX(L$5:L355)+1,"")</f>
        <v/>
      </c>
      <c r="M356" s="1960"/>
      <c r="N356" s="872" t="str">
        <f>IF(E358&lt;&gt;"",LOOKUP(E358,Tara!$L$5:$L$21,Tara!$M$5:$M$21),"")</f>
        <v/>
      </c>
      <c r="O356" s="872" t="str">
        <f>IF(F358&lt;&gt;"",LOOKUP(F358,Tara!$L$5:$L$21,Tara!$M$5:$M$21),"")</f>
        <v/>
      </c>
      <c r="P356" s="872" t="str">
        <f>IF(G358&lt;&gt;"",LOOKUP(G358,Tara!$L$5:$L$21,Tara!$M$5:$M$21),"")</f>
        <v/>
      </c>
      <c r="Q356" s="872" t="str">
        <f>IF(H358&lt;&gt;"",LOOKUP(H358,Tara!$L$5:$L$21,Tara!$M$5:$M$21),"")</f>
        <v/>
      </c>
      <c r="R356" s="872" t="str">
        <f>IF(I358&lt;&gt;"",LOOKUP(I358,Tara!$L$5:$L$21,Tara!$M$5:$M$21),"")</f>
        <v/>
      </c>
      <c r="S356" s="872" t="str">
        <f>IF(J358&lt;&gt;"",LOOKUP(J358,Tara!$L$5:$L$21,Tara!$M$5:$M$21),"")</f>
        <v/>
      </c>
      <c r="T356" s="872" t="str">
        <f>IF(K358&lt;&gt;"",LOOKUP(K358,Tara!$L$5:$L$21,Tara!$M$5:$M$21),"")</f>
        <v/>
      </c>
      <c r="U356" s="872"/>
      <c r="V356" s="872"/>
      <c r="W356" s="872"/>
      <c r="X356" s="872"/>
      <c r="Y356" s="872"/>
      <c r="Z356" s="872"/>
      <c r="AA356" s="872"/>
      <c r="AB356" s="872" t="str">
        <f t="shared" ref="AB356:AB361" si="282">IF(L356&lt;&gt;"",L356,"")</f>
        <v/>
      </c>
      <c r="AC356" s="873" t="str">
        <f>""</f>
        <v/>
      </c>
      <c r="AD356" s="873" t="str">
        <f>""</f>
        <v/>
      </c>
      <c r="AE356" s="873" t="str">
        <f>IF(F356&lt;&gt;"",F356,"")</f>
        <v/>
      </c>
      <c r="AF356" s="874" t="str">
        <f>IF(E357&lt;&gt;"",F357,"")</f>
        <v/>
      </c>
      <c r="AG356" s="875" t="str">
        <f>IF(O355&lt;&gt;"",O355,"")</f>
        <v/>
      </c>
      <c r="AH356" s="896" t="str">
        <f>IF(F362&lt;&gt;"",F362*100,"")</f>
        <v/>
      </c>
      <c r="AI356" s="897" t="str">
        <f>IF(O364&lt;&gt;"",O364,"")</f>
        <v/>
      </c>
      <c r="AJ356" s="880" t="str">
        <f>IF(AH356="","",((AH356/100)-F364)*100)</f>
        <v/>
      </c>
      <c r="AK356" s="1267" t="str">
        <f>IF(V355&lt;&gt;"",V355*100,"")</f>
        <v/>
      </c>
    </row>
    <row r="357" spans="1:37" s="56" customFormat="1" ht="15" customHeight="1" x14ac:dyDescent="0.3">
      <c r="A357" s="1955"/>
      <c r="B357" s="869" t="s">
        <v>311</v>
      </c>
      <c r="C357" s="666"/>
      <c r="D357" s="870" t="s">
        <v>312</v>
      </c>
      <c r="E357" s="878"/>
      <c r="F357" s="878"/>
      <c r="G357" s="878"/>
      <c r="H357" s="878"/>
      <c r="I357" s="878"/>
      <c r="J357" s="878"/>
      <c r="K357" s="1268"/>
      <c r="L357" s="651" t="str">
        <f>IF(G355&lt;&gt;"",MAX(L$5:L356)+1,"")</f>
        <v/>
      </c>
      <c r="M357" s="1960"/>
      <c r="N357" s="872" t="str">
        <f t="shared" ref="N357:T357" si="283">IF(N356&lt;&gt;"",N356-E359,"")</f>
        <v/>
      </c>
      <c r="O357" s="872" t="str">
        <f t="shared" si="283"/>
        <v/>
      </c>
      <c r="P357" s="872" t="str">
        <f t="shared" si="283"/>
        <v/>
      </c>
      <c r="Q357" s="872" t="str">
        <f t="shared" si="283"/>
        <v/>
      </c>
      <c r="R357" s="872" t="str">
        <f t="shared" si="283"/>
        <v/>
      </c>
      <c r="S357" s="872" t="str">
        <f t="shared" si="283"/>
        <v/>
      </c>
      <c r="T357" s="872" t="str">
        <f t="shared" si="283"/>
        <v/>
      </c>
      <c r="U357" s="879"/>
      <c r="V357" s="879"/>
      <c r="W357" s="879"/>
      <c r="X357" s="879"/>
      <c r="Y357" s="879"/>
      <c r="Z357" s="879"/>
      <c r="AA357" s="879"/>
      <c r="AB357" s="872" t="str">
        <f t="shared" si="282"/>
        <v/>
      </c>
      <c r="AC357" s="873" t="str">
        <f>""</f>
        <v/>
      </c>
      <c r="AD357" s="873" t="str">
        <f>""</f>
        <v/>
      </c>
      <c r="AE357" s="873" t="str">
        <f>IF(G356&lt;&gt;"",G356,"")</f>
        <v/>
      </c>
      <c r="AF357" s="874" t="str">
        <f>IF(G357&lt;&gt;"",G357,"")</f>
        <v/>
      </c>
      <c r="AG357" s="875" t="str">
        <f>IF(P355&lt;&gt;"",P355,"")</f>
        <v/>
      </c>
      <c r="AH357" s="896" t="str">
        <f>IF(G362&lt;&gt;"",G362*100,"")</f>
        <v/>
      </c>
      <c r="AI357" s="897" t="str">
        <f>IF(P364&lt;&gt;"",P364,"")</f>
        <v/>
      </c>
      <c r="AJ357" s="880" t="str">
        <f>IF(AH357="","",((AH357/100)-G364)*100)</f>
        <v/>
      </c>
      <c r="AK357" s="1267" t="str">
        <f>IF(W355&lt;&gt;"",W355*100,"")</f>
        <v/>
      </c>
    </row>
    <row r="358" spans="1:37" s="56" customFormat="1" ht="15" customHeight="1" x14ac:dyDescent="0.3">
      <c r="A358" s="1955"/>
      <c r="B358" s="869" t="s">
        <v>313</v>
      </c>
      <c r="C358" s="666"/>
      <c r="D358" s="870" t="s">
        <v>314</v>
      </c>
      <c r="E358" s="750"/>
      <c r="F358" s="750"/>
      <c r="G358" s="750"/>
      <c r="H358" s="750"/>
      <c r="I358" s="750"/>
      <c r="J358" s="750"/>
      <c r="K358" s="750"/>
      <c r="L358" s="651" t="str">
        <f>IF(H355&lt;&gt;"",MAX(L$5:L357)+1,"")</f>
        <v/>
      </c>
      <c r="M358" s="1960"/>
      <c r="N358" s="872" t="str">
        <f>IF(E358&lt;&gt;"",LOOKUP(E358,Tara!$L$5:$L$21,Tara!$N$5:$N$21),"")</f>
        <v/>
      </c>
      <c r="O358" s="872" t="str">
        <f>IF(F358&lt;&gt;"",LOOKUP(F358,Tara!$L$5:$L$21,Tara!$N$5:$N$21),"")</f>
        <v/>
      </c>
      <c r="P358" s="872" t="str">
        <f>IF(G358&lt;&gt;"",LOOKUP(G358,Tara!$L$5:$L$21,Tara!$N$5:$N$21),"")</f>
        <v/>
      </c>
      <c r="Q358" s="872" t="str">
        <f>IF(H358&lt;&gt;"",LOOKUP(H358,Tara!$L$5:$L$21,Tara!$N$5:$N$21),"")</f>
        <v/>
      </c>
      <c r="R358" s="872" t="str">
        <f>IF(I358&lt;&gt;"",LOOKUP(I358,Tara!$L$5:$L$21,Tara!$N$5:$N$21),"")</f>
        <v/>
      </c>
      <c r="S358" s="872" t="str">
        <f>IF(J358&lt;&gt;"",LOOKUP(J358,Tara!$L$5:$L$21,Tara!$N$5:$N$21),"")</f>
        <v/>
      </c>
      <c r="T358" s="872" t="str">
        <f>IF(K358&lt;&gt;"",LOOKUP(K358,Tara!$L$5:$L$21,Tara!$N$5:$N$21),"")</f>
        <v/>
      </c>
      <c r="U358" s="881"/>
      <c r="V358" s="881"/>
      <c r="W358" s="881"/>
      <c r="X358" s="881"/>
      <c r="Y358" s="881"/>
      <c r="Z358" s="881"/>
      <c r="AA358" s="881"/>
      <c r="AB358" s="872" t="str">
        <f t="shared" si="282"/>
        <v/>
      </c>
      <c r="AC358" s="873" t="str">
        <f>""</f>
        <v/>
      </c>
      <c r="AD358" s="873" t="str">
        <f>""</f>
        <v/>
      </c>
      <c r="AE358" s="873" t="str">
        <f>IF(H356&lt;&gt;"",H356,"")</f>
        <v/>
      </c>
      <c r="AF358" s="874" t="str">
        <f>IF(H357&lt;&gt;"",H357,"")</f>
        <v/>
      </c>
      <c r="AG358" s="875" t="str">
        <f>IF(Q355&lt;&gt;"",Q355,"")</f>
        <v/>
      </c>
      <c r="AH358" s="896" t="str">
        <f>IF(H362&lt;&gt;"",H362*100,"")</f>
        <v/>
      </c>
      <c r="AI358" s="897" t="str">
        <f>IF(Q364&lt;&gt;"",Q364,"")</f>
        <v/>
      </c>
      <c r="AJ358" s="880" t="str">
        <f>IF(AH358="","",((AH358/100)-H364)*100)</f>
        <v/>
      </c>
      <c r="AK358" s="1267" t="str">
        <f>IF(X355&lt;&gt;"",X355*100,"")</f>
        <v/>
      </c>
    </row>
    <row r="359" spans="1:37" s="56" customFormat="1" ht="15" customHeight="1" x14ac:dyDescent="0.3">
      <c r="A359" s="1955"/>
      <c r="B359" s="882" t="s">
        <v>57</v>
      </c>
      <c r="C359" s="688"/>
      <c r="D359" s="870" t="s">
        <v>315</v>
      </c>
      <c r="E359" s="871"/>
      <c r="F359" s="871"/>
      <c r="G359" s="871"/>
      <c r="H359" s="871"/>
      <c r="I359" s="871"/>
      <c r="J359" s="871"/>
      <c r="K359" s="871"/>
      <c r="L359" s="651" t="str">
        <f>IF(I355&lt;&gt;"",MAX(L$5:L358)+1,"")</f>
        <v/>
      </c>
      <c r="M359" s="1960"/>
      <c r="N359" s="872" t="str">
        <f t="shared" ref="N359:T359" si="284">IF(N357&lt;&gt;"",N357-N358,"")</f>
        <v/>
      </c>
      <c r="O359" s="872" t="str">
        <f t="shared" si="284"/>
        <v/>
      </c>
      <c r="P359" s="872" t="str">
        <f t="shared" si="284"/>
        <v/>
      </c>
      <c r="Q359" s="872" t="str">
        <f t="shared" si="284"/>
        <v/>
      </c>
      <c r="R359" s="872" t="str">
        <f t="shared" si="284"/>
        <v/>
      </c>
      <c r="S359" s="872" t="str">
        <f t="shared" si="284"/>
        <v/>
      </c>
      <c r="T359" s="872" t="str">
        <f t="shared" si="284"/>
        <v/>
      </c>
      <c r="U359" s="881"/>
      <c r="V359" s="881"/>
      <c r="W359" s="881"/>
      <c r="X359" s="881"/>
      <c r="Y359" s="881"/>
      <c r="Z359" s="881"/>
      <c r="AA359" s="881"/>
      <c r="AB359" s="872" t="str">
        <f t="shared" si="282"/>
        <v/>
      </c>
      <c r="AC359" s="873" t="str">
        <f>""</f>
        <v/>
      </c>
      <c r="AD359" s="873" t="str">
        <f>""</f>
        <v/>
      </c>
      <c r="AE359" s="873" t="str">
        <f>IF(I356&lt;&gt;"",I356,"")</f>
        <v/>
      </c>
      <c r="AF359" s="874" t="str">
        <f>IF(I357&lt;&gt;"",I357,"")</f>
        <v/>
      </c>
      <c r="AG359" s="875" t="str">
        <f>IF(R355&lt;&gt;"",R355,"")</f>
        <v/>
      </c>
      <c r="AH359" s="896" t="str">
        <f>IF(I362&lt;&gt;"",I362*100,"")</f>
        <v/>
      </c>
      <c r="AI359" s="897" t="str">
        <f>IF(R364&lt;&gt;"",R364,"")</f>
        <v/>
      </c>
      <c r="AJ359" s="880" t="str">
        <f>IF(AH359="","",((AH359/100)-I364)*100)</f>
        <v/>
      </c>
      <c r="AK359" s="1267" t="str">
        <f>IF(Y355&lt;&gt;"",Y355*100,"")</f>
        <v/>
      </c>
    </row>
    <row r="360" spans="1:37" s="316" customFormat="1" ht="15" customHeight="1" x14ac:dyDescent="0.3">
      <c r="A360" s="1955"/>
      <c r="B360" s="882" t="s">
        <v>316</v>
      </c>
      <c r="C360" s="666"/>
      <c r="D360" s="883" t="s">
        <v>317</v>
      </c>
      <c r="E360" s="750"/>
      <c r="F360" s="750"/>
      <c r="G360" s="750"/>
      <c r="H360" s="750"/>
      <c r="I360" s="750"/>
      <c r="J360" s="750"/>
      <c r="K360" s="750"/>
      <c r="L360" s="651" t="str">
        <f>IF(J355&lt;&gt;"",MAX(L$5:L359)+1,"")</f>
        <v/>
      </c>
      <c r="M360" s="1960"/>
      <c r="N360" s="872" t="str">
        <f>IF(E358&lt;&gt;"",LOOKUP(E358,Tara!$L$5:$L$21,Tara!$O$5:$O$21),"")</f>
        <v/>
      </c>
      <c r="O360" s="872" t="str">
        <f>IF(F358&lt;&gt;"",LOOKUP(F358,Tara!$L$5:$L$21,Tara!$O$5:$O$21),"")</f>
        <v/>
      </c>
      <c r="P360" s="872" t="str">
        <f>IF(G358&lt;&gt;"",LOOKUP(G358,Tara!$L$5:$L$21,Tara!$O$5:$O$21),"")</f>
        <v/>
      </c>
      <c r="Q360" s="872" t="str">
        <f>IF(H358&lt;&gt;"",LOOKUP(H358,Tara!$L$5:$L$21,Tara!$O$5:$O$21),"")</f>
        <v/>
      </c>
      <c r="R360" s="872" t="str">
        <f>IF(I358&lt;&gt;"",LOOKUP(I358,Tara!$L$5:$L$21,Tara!$O$5:$O$21),"")</f>
        <v/>
      </c>
      <c r="S360" s="872" t="str">
        <f>IF(J358&lt;&gt;"",LOOKUP(J358,Tara!$L$5:$L$21,Tara!$O$5:$O$21),"")</f>
        <v/>
      </c>
      <c r="T360" s="872" t="str">
        <f>IF(K358&lt;&gt;"",LOOKUP(K358,Tara!$L$5:$L$21,Tara!$O$5:$O$21),"")</f>
        <v/>
      </c>
      <c r="U360" s="884"/>
      <c r="V360" s="884"/>
      <c r="W360" s="884"/>
      <c r="X360" s="884"/>
      <c r="Y360" s="884"/>
      <c r="Z360" s="884"/>
      <c r="AA360" s="884"/>
      <c r="AB360" s="872" t="str">
        <f t="shared" si="282"/>
        <v/>
      </c>
      <c r="AC360" s="873" t="str">
        <f>""</f>
        <v/>
      </c>
      <c r="AD360" s="873" t="str">
        <f>""</f>
        <v/>
      </c>
      <c r="AE360" s="873" t="str">
        <f>IF(J356&lt;&gt;"",J356,"")</f>
        <v/>
      </c>
      <c r="AF360" s="874" t="str">
        <f>IF(J357&lt;&gt;"",J357,"")</f>
        <v/>
      </c>
      <c r="AG360" s="875" t="str">
        <f>IF(S355&lt;&gt;"",S355,"")</f>
        <v/>
      </c>
      <c r="AH360" s="896" t="str">
        <f>IF(J362&lt;&gt;"",J362*100,"")</f>
        <v/>
      </c>
      <c r="AI360" s="897" t="str">
        <f>IF(S364&lt;&gt;"",S364,"")</f>
        <v/>
      </c>
      <c r="AJ360" s="880" t="str">
        <f>IF(AH360="","",((AH360/100)-J364)*100)</f>
        <v/>
      </c>
      <c r="AK360" s="1267" t="str">
        <f>IF(Z355&lt;&gt;"",Z355*100,"")</f>
        <v/>
      </c>
    </row>
    <row r="361" spans="1:37" s="316" customFormat="1" ht="15" customHeight="1" x14ac:dyDescent="0.3">
      <c r="A361" s="1955"/>
      <c r="B361" s="885" t="s">
        <v>318</v>
      </c>
      <c r="C361" s="886"/>
      <c r="D361" s="870" t="s">
        <v>319</v>
      </c>
      <c r="E361" s="750"/>
      <c r="F361" s="750"/>
      <c r="G361" s="750"/>
      <c r="H361" s="750"/>
      <c r="I361" s="750"/>
      <c r="J361" s="750"/>
      <c r="K361" s="750"/>
      <c r="L361" s="651" t="str">
        <f>IF(K355&lt;&gt;"",MAX(L$5:L360)+1,"")</f>
        <v/>
      </c>
      <c r="M361" s="1960"/>
      <c r="N361" s="887" t="str">
        <f>IF(N359&lt;&gt;"",N359/N360,"")</f>
        <v/>
      </c>
      <c r="O361" s="887" t="str">
        <f t="shared" ref="O361:T361" si="285">IF(O359&lt;&gt;"",O359/O360,"")</f>
        <v/>
      </c>
      <c r="P361" s="887" t="str">
        <f t="shared" si="285"/>
        <v/>
      </c>
      <c r="Q361" s="887" t="str">
        <f t="shared" si="285"/>
        <v/>
      </c>
      <c r="R361" s="887" t="str">
        <f t="shared" si="285"/>
        <v/>
      </c>
      <c r="S361" s="887" t="str">
        <f t="shared" si="285"/>
        <v/>
      </c>
      <c r="T361" s="887" t="str">
        <f t="shared" si="285"/>
        <v/>
      </c>
      <c r="U361" s="884"/>
      <c r="V361" s="884"/>
      <c r="W361" s="884"/>
      <c r="X361" s="884"/>
      <c r="Y361" s="884"/>
      <c r="Z361" s="884"/>
      <c r="AA361" s="884"/>
      <c r="AB361" s="872" t="str">
        <f t="shared" si="282"/>
        <v/>
      </c>
      <c r="AC361" s="873" t="str">
        <f>""</f>
        <v/>
      </c>
      <c r="AD361" s="873" t="str">
        <f>""</f>
        <v/>
      </c>
      <c r="AE361" s="873" t="str">
        <f>IF(K356&lt;&gt;"",K356,"")</f>
        <v/>
      </c>
      <c r="AF361" s="874" t="str">
        <f>IF(K357&lt;&gt;"",K357,"")</f>
        <v/>
      </c>
      <c r="AG361" s="875" t="str">
        <f>IF(T355&lt;&gt;"",T355,"")</f>
        <v/>
      </c>
      <c r="AH361" s="896" t="str">
        <f>IF(K362&lt;&gt;"",K362*100,"")</f>
        <v/>
      </c>
      <c r="AI361" s="897" t="str">
        <f>IF(T364&lt;&gt;"",T364,"")</f>
        <v/>
      </c>
      <c r="AJ361" s="880" t="str">
        <f>IF(AH361="","",((AH361/100)-K364)*100)</f>
        <v/>
      </c>
      <c r="AK361" s="1267" t="str">
        <f>IF(AA355&lt;&gt;"",AA355*100,"")</f>
        <v/>
      </c>
    </row>
    <row r="362" spans="1:37" s="316" customFormat="1" ht="15" customHeight="1" x14ac:dyDescent="0.3">
      <c r="A362" s="1955"/>
      <c r="B362" s="652"/>
      <c r="C362" s="653"/>
      <c r="D362" s="870" t="s">
        <v>320</v>
      </c>
      <c r="E362" s="888"/>
      <c r="F362" s="888"/>
      <c r="G362" s="888"/>
      <c r="H362" s="888"/>
      <c r="I362" s="888"/>
      <c r="J362" s="888"/>
      <c r="K362" s="888"/>
      <c r="L362" s="651"/>
      <c r="M362" s="1960"/>
      <c r="N362" s="889" t="str">
        <f>IF(E360&lt;&gt;"",LOOKUP(E360,Tara!$P$5:$P$21,Tara!$Q$5:$Q$21),"")</f>
        <v/>
      </c>
      <c r="O362" s="889" t="str">
        <f>IF(F360&lt;&gt;"",LOOKUP(F360,Tara!$P$5:$P$21,Tara!$Q$5:$Q$21),"")</f>
        <v/>
      </c>
      <c r="P362" s="889" t="str">
        <f>IF(G360&lt;&gt;"",LOOKUP(G360,Tara!$P$5:$P$21,Tara!$Q$5:$Q$21),"")</f>
        <v/>
      </c>
      <c r="Q362" s="889" t="str">
        <f>IF(H360&lt;&gt;"",LOOKUP(H360,Tara!$P$5:$P$21,Tara!$Q$5:$Q$21),"")</f>
        <v/>
      </c>
      <c r="R362" s="889" t="str">
        <f>IF(I360&lt;&gt;"",LOOKUP(I360,Tara!$P$5:$P$21,Tara!$Q$5:$Q$21),"")</f>
        <v/>
      </c>
      <c r="S362" s="889" t="str">
        <f>IF(J360&lt;&gt;"",LOOKUP(J360,Tara!$P$5:$P$21,Tara!$Q$5:$Q$21),"")</f>
        <v/>
      </c>
      <c r="T362" s="889" t="str">
        <f>IF(K360&lt;&gt;"",LOOKUP(K360,Tara!$P$5:$P$21,Tara!$Q$5:$Q$21),"")</f>
        <v/>
      </c>
      <c r="U362" s="884"/>
      <c r="V362" s="884"/>
      <c r="W362" s="884"/>
      <c r="X362" s="884"/>
      <c r="Y362" s="884"/>
      <c r="Z362" s="884"/>
      <c r="AA362" s="884"/>
      <c r="AB362" s="872" t="str">
        <f>""</f>
        <v/>
      </c>
      <c r="AC362" s="873" t="str">
        <f>""</f>
        <v/>
      </c>
      <c r="AD362" s="873" t="str">
        <f>""</f>
        <v/>
      </c>
      <c r="AE362" s="873" t="str">
        <f>""</f>
        <v/>
      </c>
      <c r="AF362" s="874" t="str">
        <f>""</f>
        <v/>
      </c>
      <c r="AG362" s="875" t="str">
        <f>""</f>
        <v/>
      </c>
      <c r="AH362" s="875" t="str">
        <f>""</f>
        <v/>
      </c>
      <c r="AI362" s="875" t="str">
        <f>""</f>
        <v/>
      </c>
      <c r="AJ362" s="890" t="str">
        <f>""</f>
        <v/>
      </c>
      <c r="AK362" s="1267" t="str">
        <f>""</f>
        <v/>
      </c>
    </row>
    <row r="363" spans="1:37" s="316" customFormat="1" ht="15" customHeight="1" x14ac:dyDescent="0.3">
      <c r="A363" s="1955"/>
      <c r="B363" s="654"/>
      <c r="C363" s="655"/>
      <c r="D363" s="891" t="s">
        <v>321</v>
      </c>
      <c r="E363" s="750"/>
      <c r="F363" s="750"/>
      <c r="G363" s="750"/>
      <c r="H363" s="750"/>
      <c r="I363" s="750"/>
      <c r="J363" s="750"/>
      <c r="K363" s="750"/>
      <c r="L363" s="651"/>
      <c r="M363" s="1960"/>
      <c r="N363" s="892" t="str">
        <f t="shared" ref="N363:T363" si="286">IF(E361&lt;&gt;"",(E361-N362)/N361,"")</f>
        <v/>
      </c>
      <c r="O363" s="892" t="str">
        <f t="shared" si="286"/>
        <v/>
      </c>
      <c r="P363" s="892" t="str">
        <f t="shared" si="286"/>
        <v/>
      </c>
      <c r="Q363" s="892" t="str">
        <f t="shared" si="286"/>
        <v/>
      </c>
      <c r="R363" s="892" t="str">
        <f t="shared" si="286"/>
        <v/>
      </c>
      <c r="S363" s="892" t="str">
        <f t="shared" si="286"/>
        <v/>
      </c>
      <c r="T363" s="892" t="str">
        <f t="shared" si="286"/>
        <v/>
      </c>
      <c r="U363" s="884"/>
      <c r="V363" s="884"/>
      <c r="W363" s="884"/>
      <c r="X363" s="884"/>
      <c r="Y363" s="884"/>
      <c r="Z363" s="884"/>
      <c r="AA363" s="884"/>
      <c r="AB363" s="872" t="str">
        <f>""</f>
        <v/>
      </c>
      <c r="AC363" s="873" t="str">
        <f>""</f>
        <v/>
      </c>
      <c r="AD363" s="873" t="str">
        <f>""</f>
        <v/>
      </c>
      <c r="AE363" s="873" t="str">
        <f>""</f>
        <v/>
      </c>
      <c r="AF363" s="874" t="str">
        <f>""</f>
        <v/>
      </c>
      <c r="AG363" s="893" t="str">
        <f>""</f>
        <v/>
      </c>
      <c r="AH363" s="893" t="str">
        <f>""</f>
        <v/>
      </c>
      <c r="AI363" s="893" t="str">
        <f>""</f>
        <v/>
      </c>
      <c r="AJ363" s="895" t="str">
        <f>""</f>
        <v/>
      </c>
      <c r="AK363" s="1269" t="str">
        <f>""</f>
        <v/>
      </c>
    </row>
    <row r="364" spans="1:37" s="316" customFormat="1" ht="15" customHeight="1" thickBot="1" x14ac:dyDescent="0.35">
      <c r="A364" s="1956"/>
      <c r="B364" s="656"/>
      <c r="C364" s="657"/>
      <c r="D364" s="658" t="s">
        <v>99</v>
      </c>
      <c r="E364" s="556"/>
      <c r="F364" s="556"/>
      <c r="G364" s="556"/>
      <c r="H364" s="556"/>
      <c r="I364" s="556"/>
      <c r="J364" s="556"/>
      <c r="K364" s="556"/>
      <c r="L364" s="659"/>
      <c r="M364" s="1961"/>
      <c r="N364" s="549" t="str">
        <f t="shared" ref="N364:T364" si="287">IF(N363&lt;&gt;"",N363/(1+E362),"")</f>
        <v/>
      </c>
      <c r="O364" s="549" t="str">
        <f t="shared" si="287"/>
        <v/>
      </c>
      <c r="P364" s="549" t="str">
        <f t="shared" si="287"/>
        <v/>
      </c>
      <c r="Q364" s="549" t="str">
        <f t="shared" si="287"/>
        <v/>
      </c>
      <c r="R364" s="549" t="str">
        <f t="shared" si="287"/>
        <v/>
      </c>
      <c r="S364" s="549" t="str">
        <f t="shared" si="287"/>
        <v/>
      </c>
      <c r="T364" s="549" t="str">
        <f t="shared" si="287"/>
        <v/>
      </c>
      <c r="U364" s="550"/>
      <c r="V364" s="550"/>
      <c r="W364" s="550"/>
      <c r="X364" s="550"/>
      <c r="Y364" s="550"/>
      <c r="Z364" s="550"/>
      <c r="AA364" s="550"/>
      <c r="AB364" s="551">
        <f>MAX(AB$5:AB363)+1</f>
        <v>36</v>
      </c>
      <c r="AC364" s="552" t="str">
        <f>""</f>
        <v/>
      </c>
      <c r="AD364" s="552" t="str">
        <f>""</f>
        <v/>
      </c>
      <c r="AE364" s="552" t="str">
        <f>""</f>
        <v/>
      </c>
      <c r="AF364" s="558" t="str">
        <f>""</f>
        <v/>
      </c>
      <c r="AG364" s="553" t="str">
        <f>""</f>
        <v/>
      </c>
      <c r="AH364" s="553" t="str">
        <f>""</f>
        <v/>
      </c>
      <c r="AI364" s="553" t="str">
        <f>""</f>
        <v/>
      </c>
      <c r="AJ364" s="554" t="str">
        <f>""</f>
        <v/>
      </c>
      <c r="AK364" s="555" t="str">
        <f>""</f>
        <v/>
      </c>
    </row>
    <row r="365" spans="1:37" s="56" customFormat="1" ht="15" customHeight="1" x14ac:dyDescent="0.3">
      <c r="A365" s="1954">
        <f>A355+1</f>
        <v>37</v>
      </c>
      <c r="B365" s="1957" t="s">
        <v>309</v>
      </c>
      <c r="C365" s="1958"/>
      <c r="D365" s="648" t="s">
        <v>34</v>
      </c>
      <c r="E365" s="649"/>
      <c r="F365" s="649"/>
      <c r="G365" s="649"/>
      <c r="H365" s="649"/>
      <c r="I365" s="649"/>
      <c r="J365" s="649"/>
      <c r="K365" s="649"/>
      <c r="L365" s="650" t="str">
        <f>IF(E365&lt;&gt;"",MAX(L$5:L364)+1,"")</f>
        <v/>
      </c>
      <c r="M365" s="1959" t="s">
        <v>25</v>
      </c>
      <c r="N365" s="539" t="str">
        <f t="shared" ref="N365:T365" si="288">IF(E365&lt;&gt;"",E365,"")</f>
        <v/>
      </c>
      <c r="O365" s="539" t="str">
        <f t="shared" si="288"/>
        <v/>
      </c>
      <c r="P365" s="539" t="str">
        <f t="shared" si="288"/>
        <v/>
      </c>
      <c r="Q365" s="539" t="str">
        <f t="shared" si="288"/>
        <v/>
      </c>
      <c r="R365" s="539" t="str">
        <f t="shared" si="288"/>
        <v/>
      </c>
      <c r="S365" s="539" t="str">
        <f t="shared" si="288"/>
        <v/>
      </c>
      <c r="T365" s="539" t="str">
        <f t="shared" si="288"/>
        <v/>
      </c>
      <c r="U365" s="540" t="str">
        <f t="shared" ref="U365:AA365" si="289">IF(N374&lt;&gt;"",N374/E373*1000,"")</f>
        <v/>
      </c>
      <c r="V365" s="540" t="str">
        <f t="shared" si="289"/>
        <v/>
      </c>
      <c r="W365" s="540" t="str">
        <f t="shared" si="289"/>
        <v/>
      </c>
      <c r="X365" s="540" t="str">
        <f t="shared" si="289"/>
        <v/>
      </c>
      <c r="Y365" s="540" t="str">
        <f t="shared" si="289"/>
        <v/>
      </c>
      <c r="Z365" s="540" t="str">
        <f t="shared" si="289"/>
        <v/>
      </c>
      <c r="AA365" s="540" t="str">
        <f t="shared" si="289"/>
        <v/>
      </c>
      <c r="AB365" s="539" t="str">
        <f>IF(L365&lt;&gt;"",L365,"")</f>
        <v/>
      </c>
      <c r="AC365" s="541" t="str">
        <f>IF(C366&lt;&gt;"",CONCATENATE(C366," a ",C367),"")</f>
        <v/>
      </c>
      <c r="AD365" s="542" t="str">
        <f>IF(C369&lt;&gt;"",C369,"")</f>
        <v/>
      </c>
      <c r="AE365" s="543" t="str">
        <f>IF(E366&lt;&gt;"",E366,"")</f>
        <v/>
      </c>
      <c r="AF365" s="557" t="str">
        <f>IF(E367&lt;&gt;"",E367,"")</f>
        <v/>
      </c>
      <c r="AG365" s="544" t="str">
        <f>IF(N365&lt;&gt;"",N365,"")</f>
        <v/>
      </c>
      <c r="AH365" s="545" t="str">
        <f>IF(E372&lt;&gt;"",E372*100,"")</f>
        <v/>
      </c>
      <c r="AI365" s="546" t="str">
        <f>IF(N374&lt;&gt;"",N374,"")</f>
        <v/>
      </c>
      <c r="AJ365" s="547" t="str">
        <f>IF(AH365="","",((AH365/100)-E374)*100)</f>
        <v/>
      </c>
      <c r="AK365" s="548" t="str">
        <f>IF(U365&lt;&gt;"",U365*100,"")</f>
        <v/>
      </c>
    </row>
    <row r="366" spans="1:37" s="57" customFormat="1" ht="15" customHeight="1" x14ac:dyDescent="0.3">
      <c r="A366" s="1955"/>
      <c r="B366" s="869" t="s">
        <v>310</v>
      </c>
      <c r="C366" s="666"/>
      <c r="D366" s="870" t="s">
        <v>156</v>
      </c>
      <c r="E366" s="871"/>
      <c r="F366" s="871"/>
      <c r="G366" s="871"/>
      <c r="H366" s="871"/>
      <c r="I366" s="871"/>
      <c r="J366" s="871"/>
      <c r="K366" s="871"/>
      <c r="L366" s="651" t="str">
        <f>IF(F365&lt;&gt;"",MAX(L$5:L365)+1,"")</f>
        <v/>
      </c>
      <c r="M366" s="1960"/>
      <c r="N366" s="872" t="str">
        <f>IF(E368&lt;&gt;"",LOOKUP(E368,Tara!$L$5:$L$21,Tara!$M$5:$M$21),"")</f>
        <v/>
      </c>
      <c r="O366" s="872" t="str">
        <f>IF(F368&lt;&gt;"",LOOKUP(F368,Tara!$L$5:$L$21,Tara!$M$5:$M$21),"")</f>
        <v/>
      </c>
      <c r="P366" s="872" t="str">
        <f>IF(G368&lt;&gt;"",LOOKUP(G368,Tara!$L$5:$L$21,Tara!$M$5:$M$21),"")</f>
        <v/>
      </c>
      <c r="Q366" s="872" t="str">
        <f>IF(H368&lt;&gt;"",LOOKUP(H368,Tara!$L$5:$L$21,Tara!$M$5:$M$21),"")</f>
        <v/>
      </c>
      <c r="R366" s="872" t="str">
        <f>IF(I368&lt;&gt;"",LOOKUP(I368,Tara!$L$5:$L$21,Tara!$M$5:$M$21),"")</f>
        <v/>
      </c>
      <c r="S366" s="872" t="str">
        <f>IF(J368&lt;&gt;"",LOOKUP(J368,Tara!$L$5:$L$21,Tara!$M$5:$M$21),"")</f>
        <v/>
      </c>
      <c r="T366" s="872" t="str">
        <f>IF(K368&lt;&gt;"",LOOKUP(K368,Tara!$L$5:$L$21,Tara!$M$5:$M$21),"")</f>
        <v/>
      </c>
      <c r="U366" s="872"/>
      <c r="V366" s="872"/>
      <c r="W366" s="872"/>
      <c r="X366" s="872"/>
      <c r="Y366" s="872"/>
      <c r="Z366" s="872"/>
      <c r="AA366" s="872"/>
      <c r="AB366" s="872" t="str">
        <f t="shared" ref="AB366:AB371" si="290">IF(L366&lt;&gt;"",L366,"")</f>
        <v/>
      </c>
      <c r="AC366" s="873" t="str">
        <f>""</f>
        <v/>
      </c>
      <c r="AD366" s="873" t="str">
        <f>""</f>
        <v/>
      </c>
      <c r="AE366" s="873" t="str">
        <f>IF(F366&lt;&gt;"",F366,"")</f>
        <v/>
      </c>
      <c r="AF366" s="874" t="str">
        <f>IF(E367&lt;&gt;"",F367,"")</f>
        <v/>
      </c>
      <c r="AG366" s="875" t="str">
        <f>IF(O365&lt;&gt;"",O365,"")</f>
        <v/>
      </c>
      <c r="AH366" s="896" t="str">
        <f>IF(F372&lt;&gt;"",F372*100,"")</f>
        <v/>
      </c>
      <c r="AI366" s="897" t="str">
        <f>IF(O374&lt;&gt;"",O374,"")</f>
        <v/>
      </c>
      <c r="AJ366" s="880" t="str">
        <f>IF(AH366="","",((AH366/100)-F374)*100)</f>
        <v/>
      </c>
      <c r="AK366" s="1267" t="str">
        <f>IF(V365&lt;&gt;"",V365*100,"")</f>
        <v/>
      </c>
    </row>
    <row r="367" spans="1:37" s="56" customFormat="1" ht="15" customHeight="1" x14ac:dyDescent="0.3">
      <c r="A367" s="1955"/>
      <c r="B367" s="869" t="s">
        <v>311</v>
      </c>
      <c r="C367" s="666"/>
      <c r="D367" s="870" t="s">
        <v>312</v>
      </c>
      <c r="E367" s="878"/>
      <c r="F367" s="878"/>
      <c r="G367" s="878"/>
      <c r="H367" s="878"/>
      <c r="I367" s="878"/>
      <c r="J367" s="878"/>
      <c r="K367" s="1268"/>
      <c r="L367" s="651" t="str">
        <f>IF(G365&lt;&gt;"",MAX(L$5:L366)+1,"")</f>
        <v/>
      </c>
      <c r="M367" s="1960"/>
      <c r="N367" s="872" t="str">
        <f t="shared" ref="N367:T367" si="291">IF(N366&lt;&gt;"",N366-E369,"")</f>
        <v/>
      </c>
      <c r="O367" s="872" t="str">
        <f t="shared" si="291"/>
        <v/>
      </c>
      <c r="P367" s="872" t="str">
        <f t="shared" si="291"/>
        <v/>
      </c>
      <c r="Q367" s="872" t="str">
        <f t="shared" si="291"/>
        <v/>
      </c>
      <c r="R367" s="872" t="str">
        <f t="shared" si="291"/>
        <v/>
      </c>
      <c r="S367" s="872" t="str">
        <f t="shared" si="291"/>
        <v/>
      </c>
      <c r="T367" s="872" t="str">
        <f t="shared" si="291"/>
        <v/>
      </c>
      <c r="U367" s="879"/>
      <c r="V367" s="879"/>
      <c r="W367" s="879"/>
      <c r="X367" s="879"/>
      <c r="Y367" s="879"/>
      <c r="Z367" s="879"/>
      <c r="AA367" s="879"/>
      <c r="AB367" s="872" t="str">
        <f t="shared" si="290"/>
        <v/>
      </c>
      <c r="AC367" s="873" t="str">
        <f>""</f>
        <v/>
      </c>
      <c r="AD367" s="873" t="str">
        <f>""</f>
        <v/>
      </c>
      <c r="AE367" s="873" t="str">
        <f>IF(G366&lt;&gt;"",G366,"")</f>
        <v/>
      </c>
      <c r="AF367" s="874" t="str">
        <f>IF(G367&lt;&gt;"",G367,"")</f>
        <v/>
      </c>
      <c r="AG367" s="875" t="str">
        <f>IF(P365&lt;&gt;"",P365,"")</f>
        <v/>
      </c>
      <c r="AH367" s="896" t="str">
        <f>IF(G372&lt;&gt;"",G372*100,"")</f>
        <v/>
      </c>
      <c r="AI367" s="897" t="str">
        <f>IF(P374&lt;&gt;"",P374,"")</f>
        <v/>
      </c>
      <c r="AJ367" s="880" t="str">
        <f>IF(AH367="","",((AH367/100)-G374)*100)</f>
        <v/>
      </c>
      <c r="AK367" s="1267" t="str">
        <f>IF(W365&lt;&gt;"",W365*100,"")</f>
        <v/>
      </c>
    </row>
    <row r="368" spans="1:37" s="56" customFormat="1" ht="15" customHeight="1" x14ac:dyDescent="0.3">
      <c r="A368" s="1955"/>
      <c r="B368" s="869" t="s">
        <v>313</v>
      </c>
      <c r="C368" s="666"/>
      <c r="D368" s="870" t="s">
        <v>314</v>
      </c>
      <c r="E368" s="750"/>
      <c r="F368" s="750"/>
      <c r="G368" s="750"/>
      <c r="H368" s="750"/>
      <c r="I368" s="750"/>
      <c r="J368" s="750"/>
      <c r="K368" s="750"/>
      <c r="L368" s="651" t="str">
        <f>IF(H365&lt;&gt;"",MAX(L$5:L367)+1,"")</f>
        <v/>
      </c>
      <c r="M368" s="1960"/>
      <c r="N368" s="872" t="str">
        <f>IF(E368&lt;&gt;"",LOOKUP(E368,Tara!$L$5:$L$21,Tara!$N$5:$N$21),"")</f>
        <v/>
      </c>
      <c r="O368" s="872" t="str">
        <f>IF(F368&lt;&gt;"",LOOKUP(F368,Tara!$L$5:$L$21,Tara!$N$5:$N$21),"")</f>
        <v/>
      </c>
      <c r="P368" s="872" t="str">
        <f>IF(G368&lt;&gt;"",LOOKUP(G368,Tara!$L$5:$L$21,Tara!$N$5:$N$21),"")</f>
        <v/>
      </c>
      <c r="Q368" s="872" t="str">
        <f>IF(H368&lt;&gt;"",LOOKUP(H368,Tara!$L$5:$L$21,Tara!$N$5:$N$21),"")</f>
        <v/>
      </c>
      <c r="R368" s="872" t="str">
        <f>IF(I368&lt;&gt;"",LOOKUP(I368,Tara!$L$5:$L$21,Tara!$N$5:$N$21),"")</f>
        <v/>
      </c>
      <c r="S368" s="872" t="str">
        <f>IF(J368&lt;&gt;"",LOOKUP(J368,Tara!$L$5:$L$21,Tara!$N$5:$N$21),"")</f>
        <v/>
      </c>
      <c r="T368" s="872" t="str">
        <f>IF(K368&lt;&gt;"",LOOKUP(K368,Tara!$L$5:$L$21,Tara!$N$5:$N$21),"")</f>
        <v/>
      </c>
      <c r="U368" s="881"/>
      <c r="V368" s="881"/>
      <c r="W368" s="881"/>
      <c r="X368" s="881"/>
      <c r="Y368" s="881"/>
      <c r="Z368" s="881"/>
      <c r="AA368" s="881"/>
      <c r="AB368" s="872" t="str">
        <f t="shared" si="290"/>
        <v/>
      </c>
      <c r="AC368" s="873" t="str">
        <f>""</f>
        <v/>
      </c>
      <c r="AD368" s="873" t="str">
        <f>""</f>
        <v/>
      </c>
      <c r="AE368" s="873" t="str">
        <f>IF(H366&lt;&gt;"",H366,"")</f>
        <v/>
      </c>
      <c r="AF368" s="874" t="str">
        <f>IF(H367&lt;&gt;"",H367,"")</f>
        <v/>
      </c>
      <c r="AG368" s="875" t="str">
        <f>IF(Q365&lt;&gt;"",Q365,"")</f>
        <v/>
      </c>
      <c r="AH368" s="896" t="str">
        <f>IF(H372&lt;&gt;"",H372*100,"")</f>
        <v/>
      </c>
      <c r="AI368" s="897" t="str">
        <f>IF(Q374&lt;&gt;"",Q374,"")</f>
        <v/>
      </c>
      <c r="AJ368" s="880" t="str">
        <f>IF(AH368="","",((AH368/100)-H374)*100)</f>
        <v/>
      </c>
      <c r="AK368" s="1267" t="str">
        <f>IF(X365&lt;&gt;"",X365*100,"")</f>
        <v/>
      </c>
    </row>
    <row r="369" spans="1:37" s="56" customFormat="1" ht="15" customHeight="1" x14ac:dyDescent="0.3">
      <c r="A369" s="1955"/>
      <c r="B369" s="882" t="s">
        <v>57</v>
      </c>
      <c r="C369" s="688"/>
      <c r="D369" s="870" t="s">
        <v>315</v>
      </c>
      <c r="E369" s="871"/>
      <c r="F369" s="871"/>
      <c r="G369" s="871"/>
      <c r="H369" s="871"/>
      <c r="I369" s="871"/>
      <c r="J369" s="871"/>
      <c r="K369" s="871"/>
      <c r="L369" s="651" t="str">
        <f>IF(I365&lt;&gt;"",MAX(L$5:L368)+1,"")</f>
        <v/>
      </c>
      <c r="M369" s="1960"/>
      <c r="N369" s="872" t="str">
        <f t="shared" ref="N369:T369" si="292">IF(N367&lt;&gt;"",N367-N368,"")</f>
        <v/>
      </c>
      <c r="O369" s="872" t="str">
        <f t="shared" si="292"/>
        <v/>
      </c>
      <c r="P369" s="872" t="str">
        <f t="shared" si="292"/>
        <v/>
      </c>
      <c r="Q369" s="872" t="str">
        <f t="shared" si="292"/>
        <v/>
      </c>
      <c r="R369" s="872" t="str">
        <f t="shared" si="292"/>
        <v/>
      </c>
      <c r="S369" s="872" t="str">
        <f t="shared" si="292"/>
        <v/>
      </c>
      <c r="T369" s="872" t="str">
        <f t="shared" si="292"/>
        <v/>
      </c>
      <c r="U369" s="881"/>
      <c r="V369" s="881"/>
      <c r="W369" s="881"/>
      <c r="X369" s="881"/>
      <c r="Y369" s="881"/>
      <c r="Z369" s="881"/>
      <c r="AA369" s="881"/>
      <c r="AB369" s="872" t="str">
        <f t="shared" si="290"/>
        <v/>
      </c>
      <c r="AC369" s="873" t="str">
        <f>""</f>
        <v/>
      </c>
      <c r="AD369" s="873" t="str">
        <f>""</f>
        <v/>
      </c>
      <c r="AE369" s="873" t="str">
        <f>IF(I366&lt;&gt;"",I366,"")</f>
        <v/>
      </c>
      <c r="AF369" s="874" t="str">
        <f>IF(I367&lt;&gt;"",I367,"")</f>
        <v/>
      </c>
      <c r="AG369" s="875" t="str">
        <f>IF(R365&lt;&gt;"",R365,"")</f>
        <v/>
      </c>
      <c r="AH369" s="896" t="str">
        <f>IF(I372&lt;&gt;"",I372*100,"")</f>
        <v/>
      </c>
      <c r="AI369" s="897" t="str">
        <f>IF(R374&lt;&gt;"",R374,"")</f>
        <v/>
      </c>
      <c r="AJ369" s="880" t="str">
        <f>IF(AH369="","",((AH369/100)-I374)*100)</f>
        <v/>
      </c>
      <c r="AK369" s="1267" t="str">
        <f>IF(Y365&lt;&gt;"",Y365*100,"")</f>
        <v/>
      </c>
    </row>
    <row r="370" spans="1:37" s="316" customFormat="1" ht="15" customHeight="1" x14ac:dyDescent="0.3">
      <c r="A370" s="1955"/>
      <c r="B370" s="882" t="s">
        <v>316</v>
      </c>
      <c r="C370" s="666"/>
      <c r="D370" s="883" t="s">
        <v>317</v>
      </c>
      <c r="E370" s="750"/>
      <c r="F370" s="750"/>
      <c r="G370" s="750"/>
      <c r="H370" s="750"/>
      <c r="I370" s="750"/>
      <c r="J370" s="750"/>
      <c r="K370" s="750"/>
      <c r="L370" s="651" t="str">
        <f>IF(J365&lt;&gt;"",MAX(L$5:L369)+1,"")</f>
        <v/>
      </c>
      <c r="M370" s="1960"/>
      <c r="N370" s="872" t="str">
        <f>IF(E368&lt;&gt;"",LOOKUP(E368,Tara!$L$5:$L$21,Tara!$O$5:$O$21),"")</f>
        <v/>
      </c>
      <c r="O370" s="872" t="str">
        <f>IF(F368&lt;&gt;"",LOOKUP(F368,Tara!$L$5:$L$21,Tara!$O$5:$O$21),"")</f>
        <v/>
      </c>
      <c r="P370" s="872" t="str">
        <f>IF(G368&lt;&gt;"",LOOKUP(G368,Tara!$L$5:$L$21,Tara!$O$5:$O$21),"")</f>
        <v/>
      </c>
      <c r="Q370" s="872" t="str">
        <f>IF(H368&lt;&gt;"",LOOKUP(H368,Tara!$L$5:$L$21,Tara!$O$5:$O$21),"")</f>
        <v/>
      </c>
      <c r="R370" s="872" t="str">
        <f>IF(I368&lt;&gt;"",LOOKUP(I368,Tara!$L$5:$L$21,Tara!$O$5:$O$21),"")</f>
        <v/>
      </c>
      <c r="S370" s="872" t="str">
        <f>IF(J368&lt;&gt;"",LOOKUP(J368,Tara!$L$5:$L$21,Tara!$O$5:$O$21),"")</f>
        <v/>
      </c>
      <c r="T370" s="872" t="str">
        <f>IF(K368&lt;&gt;"",LOOKUP(K368,Tara!$L$5:$L$21,Tara!$O$5:$O$21),"")</f>
        <v/>
      </c>
      <c r="U370" s="884"/>
      <c r="V370" s="884"/>
      <c r="W370" s="884"/>
      <c r="X370" s="884"/>
      <c r="Y370" s="884"/>
      <c r="Z370" s="884"/>
      <c r="AA370" s="884"/>
      <c r="AB370" s="872" t="str">
        <f t="shared" si="290"/>
        <v/>
      </c>
      <c r="AC370" s="873" t="str">
        <f>""</f>
        <v/>
      </c>
      <c r="AD370" s="873" t="str">
        <f>""</f>
        <v/>
      </c>
      <c r="AE370" s="873" t="str">
        <f>IF(J366&lt;&gt;"",J366,"")</f>
        <v/>
      </c>
      <c r="AF370" s="874" t="str">
        <f>IF(J367&lt;&gt;"",J367,"")</f>
        <v/>
      </c>
      <c r="AG370" s="875" t="str">
        <f>IF(S365&lt;&gt;"",S365,"")</f>
        <v/>
      </c>
      <c r="AH370" s="896" t="str">
        <f>IF(J372&lt;&gt;"",J372*100,"")</f>
        <v/>
      </c>
      <c r="AI370" s="897" t="str">
        <f>IF(S374&lt;&gt;"",S374,"")</f>
        <v/>
      </c>
      <c r="AJ370" s="880" t="str">
        <f>IF(AH370="","",((AH370/100)-J374)*100)</f>
        <v/>
      </c>
      <c r="AK370" s="1267" t="str">
        <f>IF(Z365&lt;&gt;"",Z365*100,"")</f>
        <v/>
      </c>
    </row>
    <row r="371" spans="1:37" s="316" customFormat="1" ht="15" customHeight="1" x14ac:dyDescent="0.3">
      <c r="A371" s="1955"/>
      <c r="B371" s="885" t="s">
        <v>318</v>
      </c>
      <c r="C371" s="886"/>
      <c r="D371" s="870" t="s">
        <v>319</v>
      </c>
      <c r="E371" s="750"/>
      <c r="F371" s="750"/>
      <c r="G371" s="750"/>
      <c r="H371" s="750"/>
      <c r="I371" s="750"/>
      <c r="J371" s="750"/>
      <c r="K371" s="750"/>
      <c r="L371" s="651" t="str">
        <f>IF(K365&lt;&gt;"",MAX(L$5:L370)+1,"")</f>
        <v/>
      </c>
      <c r="M371" s="1960"/>
      <c r="N371" s="887" t="str">
        <f>IF(N369&lt;&gt;"",N369/N370,"")</f>
        <v/>
      </c>
      <c r="O371" s="887" t="str">
        <f t="shared" ref="O371:T371" si="293">IF(O369&lt;&gt;"",O369/O370,"")</f>
        <v/>
      </c>
      <c r="P371" s="887" t="str">
        <f t="shared" si="293"/>
        <v/>
      </c>
      <c r="Q371" s="887" t="str">
        <f t="shared" si="293"/>
        <v/>
      </c>
      <c r="R371" s="887" t="str">
        <f t="shared" si="293"/>
        <v/>
      </c>
      <c r="S371" s="887" t="str">
        <f t="shared" si="293"/>
        <v/>
      </c>
      <c r="T371" s="887" t="str">
        <f t="shared" si="293"/>
        <v/>
      </c>
      <c r="U371" s="884"/>
      <c r="V371" s="884"/>
      <c r="W371" s="884"/>
      <c r="X371" s="884"/>
      <c r="Y371" s="884"/>
      <c r="Z371" s="884"/>
      <c r="AA371" s="884"/>
      <c r="AB371" s="872" t="str">
        <f t="shared" si="290"/>
        <v/>
      </c>
      <c r="AC371" s="873" t="str">
        <f>""</f>
        <v/>
      </c>
      <c r="AD371" s="873" t="str">
        <f>""</f>
        <v/>
      </c>
      <c r="AE371" s="873" t="str">
        <f>IF(K366&lt;&gt;"",K366,"")</f>
        <v/>
      </c>
      <c r="AF371" s="874" t="str">
        <f>IF(K367&lt;&gt;"",K367,"")</f>
        <v/>
      </c>
      <c r="AG371" s="875" t="str">
        <f>IF(T365&lt;&gt;"",T365,"")</f>
        <v/>
      </c>
      <c r="AH371" s="896" t="str">
        <f>IF(K372&lt;&gt;"",K372*100,"")</f>
        <v/>
      </c>
      <c r="AI371" s="897" t="str">
        <f>IF(T374&lt;&gt;"",T374,"")</f>
        <v/>
      </c>
      <c r="AJ371" s="880" t="str">
        <f>IF(AH371="","",((AH371/100)-K374)*100)</f>
        <v/>
      </c>
      <c r="AK371" s="1267" t="str">
        <f>IF(AA365&lt;&gt;"",AA365*100,"")</f>
        <v/>
      </c>
    </row>
    <row r="372" spans="1:37" s="316" customFormat="1" ht="15" customHeight="1" x14ac:dyDescent="0.3">
      <c r="A372" s="1955"/>
      <c r="B372" s="652"/>
      <c r="C372" s="653"/>
      <c r="D372" s="870" t="s">
        <v>320</v>
      </c>
      <c r="E372" s="888"/>
      <c r="F372" s="888"/>
      <c r="G372" s="888"/>
      <c r="H372" s="888"/>
      <c r="I372" s="888"/>
      <c r="J372" s="888"/>
      <c r="K372" s="888"/>
      <c r="L372" s="651"/>
      <c r="M372" s="1960"/>
      <c r="N372" s="889" t="str">
        <f>IF(E370&lt;&gt;"",LOOKUP(E370,Tara!$P$5:$P$21,Tara!$Q$5:$Q$21),"")</f>
        <v/>
      </c>
      <c r="O372" s="889" t="str">
        <f>IF(F370&lt;&gt;"",LOOKUP(F370,Tara!$P$5:$P$21,Tara!$Q$5:$Q$21),"")</f>
        <v/>
      </c>
      <c r="P372" s="889" t="str">
        <f>IF(G370&lt;&gt;"",LOOKUP(G370,Tara!$P$5:$P$21,Tara!$Q$5:$Q$21),"")</f>
        <v/>
      </c>
      <c r="Q372" s="889" t="str">
        <f>IF(H370&lt;&gt;"",LOOKUP(H370,Tara!$P$5:$P$21,Tara!$Q$5:$Q$21),"")</f>
        <v/>
      </c>
      <c r="R372" s="889" t="str">
        <f>IF(I370&lt;&gt;"",LOOKUP(I370,Tara!$P$5:$P$21,Tara!$Q$5:$Q$21),"")</f>
        <v/>
      </c>
      <c r="S372" s="889" t="str">
        <f>IF(J370&lt;&gt;"",LOOKUP(J370,Tara!$P$5:$P$21,Tara!$Q$5:$Q$21),"")</f>
        <v/>
      </c>
      <c r="T372" s="889" t="str">
        <f>IF(K370&lt;&gt;"",LOOKUP(K370,Tara!$P$5:$P$21,Tara!$Q$5:$Q$21),"")</f>
        <v/>
      </c>
      <c r="U372" s="884"/>
      <c r="V372" s="884"/>
      <c r="W372" s="884"/>
      <c r="X372" s="884"/>
      <c r="Y372" s="884"/>
      <c r="Z372" s="884"/>
      <c r="AA372" s="884"/>
      <c r="AB372" s="872" t="str">
        <f>""</f>
        <v/>
      </c>
      <c r="AC372" s="873" t="str">
        <f>""</f>
        <v/>
      </c>
      <c r="AD372" s="873" t="str">
        <f>""</f>
        <v/>
      </c>
      <c r="AE372" s="873" t="str">
        <f>""</f>
        <v/>
      </c>
      <c r="AF372" s="874" t="str">
        <f>""</f>
        <v/>
      </c>
      <c r="AG372" s="875" t="str">
        <f>""</f>
        <v/>
      </c>
      <c r="AH372" s="875" t="str">
        <f>""</f>
        <v/>
      </c>
      <c r="AI372" s="875" t="str">
        <f>""</f>
        <v/>
      </c>
      <c r="AJ372" s="890" t="str">
        <f>""</f>
        <v/>
      </c>
      <c r="AK372" s="1267" t="str">
        <f>""</f>
        <v/>
      </c>
    </row>
    <row r="373" spans="1:37" s="316" customFormat="1" ht="15" customHeight="1" x14ac:dyDescent="0.3">
      <c r="A373" s="1955"/>
      <c r="B373" s="654"/>
      <c r="C373" s="655"/>
      <c r="D373" s="891" t="s">
        <v>321</v>
      </c>
      <c r="E373" s="750"/>
      <c r="F373" s="750"/>
      <c r="G373" s="750"/>
      <c r="H373" s="750"/>
      <c r="I373" s="750"/>
      <c r="J373" s="750"/>
      <c r="K373" s="750"/>
      <c r="L373" s="651"/>
      <c r="M373" s="1960"/>
      <c r="N373" s="892" t="str">
        <f t="shared" ref="N373:T373" si="294">IF(E371&lt;&gt;"",(E371-N372)/N371,"")</f>
        <v/>
      </c>
      <c r="O373" s="892" t="str">
        <f t="shared" si="294"/>
        <v/>
      </c>
      <c r="P373" s="892" t="str">
        <f t="shared" si="294"/>
        <v/>
      </c>
      <c r="Q373" s="892" t="str">
        <f t="shared" si="294"/>
        <v/>
      </c>
      <c r="R373" s="892" t="str">
        <f t="shared" si="294"/>
        <v/>
      </c>
      <c r="S373" s="892" t="str">
        <f t="shared" si="294"/>
        <v/>
      </c>
      <c r="T373" s="892" t="str">
        <f t="shared" si="294"/>
        <v/>
      </c>
      <c r="U373" s="884"/>
      <c r="V373" s="884"/>
      <c r="W373" s="884"/>
      <c r="X373" s="884"/>
      <c r="Y373" s="884"/>
      <c r="Z373" s="884"/>
      <c r="AA373" s="884"/>
      <c r="AB373" s="872" t="str">
        <f>""</f>
        <v/>
      </c>
      <c r="AC373" s="873" t="str">
        <f>""</f>
        <v/>
      </c>
      <c r="AD373" s="873" t="str">
        <f>""</f>
        <v/>
      </c>
      <c r="AE373" s="873" t="str">
        <f>""</f>
        <v/>
      </c>
      <c r="AF373" s="874" t="str">
        <f>""</f>
        <v/>
      </c>
      <c r="AG373" s="893" t="str">
        <f>""</f>
        <v/>
      </c>
      <c r="AH373" s="893" t="str">
        <f>""</f>
        <v/>
      </c>
      <c r="AI373" s="893" t="str">
        <f>""</f>
        <v/>
      </c>
      <c r="AJ373" s="895" t="str">
        <f>""</f>
        <v/>
      </c>
      <c r="AK373" s="1269" t="str">
        <f>""</f>
        <v/>
      </c>
    </row>
    <row r="374" spans="1:37" s="316" customFormat="1" ht="15" customHeight="1" thickBot="1" x14ac:dyDescent="0.35">
      <c r="A374" s="1956"/>
      <c r="B374" s="656"/>
      <c r="C374" s="657"/>
      <c r="D374" s="658" t="s">
        <v>99</v>
      </c>
      <c r="E374" s="556"/>
      <c r="F374" s="556"/>
      <c r="G374" s="556"/>
      <c r="H374" s="556"/>
      <c r="I374" s="556"/>
      <c r="J374" s="556"/>
      <c r="K374" s="556"/>
      <c r="L374" s="659"/>
      <c r="M374" s="1961"/>
      <c r="N374" s="549" t="str">
        <f t="shared" ref="N374:T374" si="295">IF(N373&lt;&gt;"",N373/(1+E372),"")</f>
        <v/>
      </c>
      <c r="O374" s="549" t="str">
        <f t="shared" si="295"/>
        <v/>
      </c>
      <c r="P374" s="549" t="str">
        <f t="shared" si="295"/>
        <v/>
      </c>
      <c r="Q374" s="549" t="str">
        <f t="shared" si="295"/>
        <v/>
      </c>
      <c r="R374" s="549" t="str">
        <f t="shared" si="295"/>
        <v/>
      </c>
      <c r="S374" s="549" t="str">
        <f t="shared" si="295"/>
        <v/>
      </c>
      <c r="T374" s="549" t="str">
        <f t="shared" si="295"/>
        <v/>
      </c>
      <c r="U374" s="550"/>
      <c r="V374" s="550"/>
      <c r="W374" s="550"/>
      <c r="X374" s="550"/>
      <c r="Y374" s="550"/>
      <c r="Z374" s="550"/>
      <c r="AA374" s="550"/>
      <c r="AB374" s="551">
        <f>MAX(AB$5:AB373)+1</f>
        <v>37</v>
      </c>
      <c r="AC374" s="552" t="str">
        <f>""</f>
        <v/>
      </c>
      <c r="AD374" s="552" t="str">
        <f>""</f>
        <v/>
      </c>
      <c r="AE374" s="552" t="str">
        <f>""</f>
        <v/>
      </c>
      <c r="AF374" s="558" t="str">
        <f>""</f>
        <v/>
      </c>
      <c r="AG374" s="553" t="str">
        <f>""</f>
        <v/>
      </c>
      <c r="AH374" s="553" t="str">
        <f>""</f>
        <v/>
      </c>
      <c r="AI374" s="553" t="str">
        <f>""</f>
        <v/>
      </c>
      <c r="AJ374" s="554" t="str">
        <f>""</f>
        <v/>
      </c>
      <c r="AK374" s="555" t="str">
        <f>""</f>
        <v/>
      </c>
    </row>
    <row r="375" spans="1:37" s="56" customFormat="1" ht="15" customHeight="1" x14ac:dyDescent="0.3">
      <c r="A375" s="1954">
        <f>A365+1</f>
        <v>38</v>
      </c>
      <c r="B375" s="1957" t="s">
        <v>309</v>
      </c>
      <c r="C375" s="1958"/>
      <c r="D375" s="648" t="s">
        <v>34</v>
      </c>
      <c r="E375" s="649"/>
      <c r="F375" s="649"/>
      <c r="G375" s="649"/>
      <c r="H375" s="649"/>
      <c r="I375" s="649"/>
      <c r="J375" s="649"/>
      <c r="K375" s="649"/>
      <c r="L375" s="650" t="str">
        <f>IF(E375&lt;&gt;"",MAX(L$5:L374)+1,"")</f>
        <v/>
      </c>
      <c r="M375" s="1959" t="s">
        <v>25</v>
      </c>
      <c r="N375" s="539" t="str">
        <f t="shared" ref="N375:T375" si="296">IF(E375&lt;&gt;"",E375,"")</f>
        <v/>
      </c>
      <c r="O375" s="539" t="str">
        <f t="shared" si="296"/>
        <v/>
      </c>
      <c r="P375" s="539" t="str">
        <f t="shared" si="296"/>
        <v/>
      </c>
      <c r="Q375" s="539" t="str">
        <f t="shared" si="296"/>
        <v/>
      </c>
      <c r="R375" s="539" t="str">
        <f t="shared" si="296"/>
        <v/>
      </c>
      <c r="S375" s="539" t="str">
        <f t="shared" si="296"/>
        <v/>
      </c>
      <c r="T375" s="539" t="str">
        <f t="shared" si="296"/>
        <v/>
      </c>
      <c r="U375" s="540" t="str">
        <f t="shared" ref="U375:AA375" si="297">IF(N384&lt;&gt;"",N384/E383*1000,"")</f>
        <v/>
      </c>
      <c r="V375" s="540" t="str">
        <f t="shared" si="297"/>
        <v/>
      </c>
      <c r="W375" s="540" t="str">
        <f t="shared" si="297"/>
        <v/>
      </c>
      <c r="X375" s="540" t="str">
        <f t="shared" si="297"/>
        <v/>
      </c>
      <c r="Y375" s="540" t="str">
        <f t="shared" si="297"/>
        <v/>
      </c>
      <c r="Z375" s="540" t="str">
        <f t="shared" si="297"/>
        <v/>
      </c>
      <c r="AA375" s="540" t="str">
        <f t="shared" si="297"/>
        <v/>
      </c>
      <c r="AB375" s="539" t="str">
        <f>IF(L375&lt;&gt;"",L375,"")</f>
        <v/>
      </c>
      <c r="AC375" s="541" t="str">
        <f>IF(C376&lt;&gt;"",CONCATENATE(C376," a ",C377),"")</f>
        <v/>
      </c>
      <c r="AD375" s="542" t="str">
        <f>IF(C379&lt;&gt;"",C379,"")</f>
        <v/>
      </c>
      <c r="AE375" s="543" t="str">
        <f>IF(E376&lt;&gt;"",E376,"")</f>
        <v/>
      </c>
      <c r="AF375" s="557" t="str">
        <f>IF(E377&lt;&gt;"",E377,"")</f>
        <v/>
      </c>
      <c r="AG375" s="544" t="str">
        <f>IF(N375&lt;&gt;"",N375,"")</f>
        <v/>
      </c>
      <c r="AH375" s="545" t="str">
        <f>IF(E382&lt;&gt;"",E382*100,"")</f>
        <v/>
      </c>
      <c r="AI375" s="546" t="str">
        <f>IF(N384&lt;&gt;"",N384,"")</f>
        <v/>
      </c>
      <c r="AJ375" s="547" t="str">
        <f>IF(AH375="","",((AH375/100)-E384)*100)</f>
        <v/>
      </c>
      <c r="AK375" s="548" t="str">
        <f>IF(U375&lt;&gt;"",U375*100,"")</f>
        <v/>
      </c>
    </row>
    <row r="376" spans="1:37" s="57" customFormat="1" ht="15" customHeight="1" x14ac:dyDescent="0.3">
      <c r="A376" s="1955"/>
      <c r="B376" s="869" t="s">
        <v>310</v>
      </c>
      <c r="C376" s="666"/>
      <c r="D376" s="870" t="s">
        <v>156</v>
      </c>
      <c r="E376" s="871"/>
      <c r="F376" s="871"/>
      <c r="G376" s="871"/>
      <c r="H376" s="871"/>
      <c r="I376" s="871"/>
      <c r="J376" s="871"/>
      <c r="K376" s="871"/>
      <c r="L376" s="651" t="str">
        <f>IF(F375&lt;&gt;"",MAX(L$5:L375)+1,"")</f>
        <v/>
      </c>
      <c r="M376" s="1960"/>
      <c r="N376" s="872" t="str">
        <f>IF(E378&lt;&gt;"",LOOKUP(E378,Tara!$L$5:$L$21,Tara!$M$5:$M$21),"")</f>
        <v/>
      </c>
      <c r="O376" s="872" t="str">
        <f>IF(F378&lt;&gt;"",LOOKUP(F378,Tara!$L$5:$L$21,Tara!$M$5:$M$21),"")</f>
        <v/>
      </c>
      <c r="P376" s="872" t="str">
        <f>IF(G378&lt;&gt;"",LOOKUP(G378,Tara!$L$5:$L$21,Tara!$M$5:$M$21),"")</f>
        <v/>
      </c>
      <c r="Q376" s="872" t="str">
        <f>IF(H378&lt;&gt;"",LOOKUP(H378,Tara!$L$5:$L$21,Tara!$M$5:$M$21),"")</f>
        <v/>
      </c>
      <c r="R376" s="872" t="str">
        <f>IF(I378&lt;&gt;"",LOOKUP(I378,Tara!$L$5:$L$21,Tara!$M$5:$M$21),"")</f>
        <v/>
      </c>
      <c r="S376" s="872" t="str">
        <f>IF(J378&lt;&gt;"",LOOKUP(J378,Tara!$L$5:$L$21,Tara!$M$5:$M$21),"")</f>
        <v/>
      </c>
      <c r="T376" s="872" t="str">
        <f>IF(K378&lt;&gt;"",LOOKUP(K378,Tara!$L$5:$L$21,Tara!$M$5:$M$21),"")</f>
        <v/>
      </c>
      <c r="U376" s="872"/>
      <c r="V376" s="872"/>
      <c r="W376" s="872"/>
      <c r="X376" s="872"/>
      <c r="Y376" s="872"/>
      <c r="Z376" s="872"/>
      <c r="AA376" s="872"/>
      <c r="AB376" s="872" t="str">
        <f t="shared" ref="AB376:AB381" si="298">IF(L376&lt;&gt;"",L376,"")</f>
        <v/>
      </c>
      <c r="AC376" s="873" t="str">
        <f>""</f>
        <v/>
      </c>
      <c r="AD376" s="873" t="str">
        <f>""</f>
        <v/>
      </c>
      <c r="AE376" s="873" t="str">
        <f>IF(F376&lt;&gt;"",F376,"")</f>
        <v/>
      </c>
      <c r="AF376" s="874" t="str">
        <f>IF(E377&lt;&gt;"",F377,"")</f>
        <v/>
      </c>
      <c r="AG376" s="875" t="str">
        <f>IF(O375&lt;&gt;"",O375,"")</f>
        <v/>
      </c>
      <c r="AH376" s="896" t="str">
        <f>IF(F382&lt;&gt;"",F382*100,"")</f>
        <v/>
      </c>
      <c r="AI376" s="897" t="str">
        <f>IF(O384&lt;&gt;"",O384,"")</f>
        <v/>
      </c>
      <c r="AJ376" s="880" t="str">
        <f>IF(AH376="","",((AH376/100)-F384)*100)</f>
        <v/>
      </c>
      <c r="AK376" s="1267" t="str">
        <f>IF(V375&lt;&gt;"",V375*100,"")</f>
        <v/>
      </c>
    </row>
    <row r="377" spans="1:37" s="56" customFormat="1" ht="15" customHeight="1" x14ac:dyDescent="0.3">
      <c r="A377" s="1955"/>
      <c r="B377" s="869" t="s">
        <v>311</v>
      </c>
      <c r="C377" s="666"/>
      <c r="D377" s="870" t="s">
        <v>312</v>
      </c>
      <c r="E377" s="878"/>
      <c r="F377" s="878"/>
      <c r="G377" s="878"/>
      <c r="H377" s="878"/>
      <c r="I377" s="878"/>
      <c r="J377" s="878"/>
      <c r="K377" s="1268"/>
      <c r="L377" s="651" t="str">
        <f>IF(G375&lt;&gt;"",MAX(L$5:L376)+1,"")</f>
        <v/>
      </c>
      <c r="M377" s="1960"/>
      <c r="N377" s="872" t="str">
        <f t="shared" ref="N377:T377" si="299">IF(N376&lt;&gt;"",N376-E379,"")</f>
        <v/>
      </c>
      <c r="O377" s="872" t="str">
        <f t="shared" si="299"/>
        <v/>
      </c>
      <c r="P377" s="872" t="str">
        <f t="shared" si="299"/>
        <v/>
      </c>
      <c r="Q377" s="872" t="str">
        <f t="shared" si="299"/>
        <v/>
      </c>
      <c r="R377" s="872" t="str">
        <f t="shared" si="299"/>
        <v/>
      </c>
      <c r="S377" s="872" t="str">
        <f t="shared" si="299"/>
        <v/>
      </c>
      <c r="T377" s="872" t="str">
        <f t="shared" si="299"/>
        <v/>
      </c>
      <c r="U377" s="879"/>
      <c r="V377" s="879"/>
      <c r="W377" s="879"/>
      <c r="X377" s="879"/>
      <c r="Y377" s="879"/>
      <c r="Z377" s="879"/>
      <c r="AA377" s="879"/>
      <c r="AB377" s="872" t="str">
        <f t="shared" si="298"/>
        <v/>
      </c>
      <c r="AC377" s="873" t="str">
        <f>""</f>
        <v/>
      </c>
      <c r="AD377" s="873" t="str">
        <f>""</f>
        <v/>
      </c>
      <c r="AE377" s="873" t="str">
        <f>IF(G376&lt;&gt;"",G376,"")</f>
        <v/>
      </c>
      <c r="AF377" s="874" t="str">
        <f>IF(G377&lt;&gt;"",G377,"")</f>
        <v/>
      </c>
      <c r="AG377" s="875" t="str">
        <f>IF(P375&lt;&gt;"",P375,"")</f>
        <v/>
      </c>
      <c r="AH377" s="896" t="str">
        <f>IF(G382&lt;&gt;"",G382*100,"")</f>
        <v/>
      </c>
      <c r="AI377" s="897" t="str">
        <f>IF(P384&lt;&gt;"",P384,"")</f>
        <v/>
      </c>
      <c r="AJ377" s="880" t="str">
        <f>IF(AH377="","",((AH377/100)-G384)*100)</f>
        <v/>
      </c>
      <c r="AK377" s="1267" t="str">
        <f>IF(W375&lt;&gt;"",W375*100,"")</f>
        <v/>
      </c>
    </row>
    <row r="378" spans="1:37" s="56" customFormat="1" ht="15" customHeight="1" x14ac:dyDescent="0.3">
      <c r="A378" s="1955"/>
      <c r="B378" s="869" t="s">
        <v>313</v>
      </c>
      <c r="C378" s="666"/>
      <c r="D378" s="870" t="s">
        <v>314</v>
      </c>
      <c r="E378" s="750"/>
      <c r="F378" s="750"/>
      <c r="G378" s="750"/>
      <c r="H378" s="750"/>
      <c r="I378" s="750"/>
      <c r="J378" s="750"/>
      <c r="K378" s="750"/>
      <c r="L378" s="651" t="str">
        <f>IF(H375&lt;&gt;"",MAX(L$5:L377)+1,"")</f>
        <v/>
      </c>
      <c r="M378" s="1960"/>
      <c r="N378" s="872" t="str">
        <f>IF(E378&lt;&gt;"",LOOKUP(E378,Tara!$L$5:$L$21,Tara!$N$5:$N$21),"")</f>
        <v/>
      </c>
      <c r="O378" s="872" t="str">
        <f>IF(F378&lt;&gt;"",LOOKUP(F378,Tara!$L$5:$L$21,Tara!$N$5:$N$21),"")</f>
        <v/>
      </c>
      <c r="P378" s="872" t="str">
        <f>IF(G378&lt;&gt;"",LOOKUP(G378,Tara!$L$5:$L$21,Tara!$N$5:$N$21),"")</f>
        <v/>
      </c>
      <c r="Q378" s="872" t="str">
        <f>IF(H378&lt;&gt;"",LOOKUP(H378,Tara!$L$5:$L$21,Tara!$N$5:$N$21),"")</f>
        <v/>
      </c>
      <c r="R378" s="872" t="str">
        <f>IF(I378&lt;&gt;"",LOOKUP(I378,Tara!$L$5:$L$21,Tara!$N$5:$N$21),"")</f>
        <v/>
      </c>
      <c r="S378" s="872" t="str">
        <f>IF(J378&lt;&gt;"",LOOKUP(J378,Tara!$L$5:$L$21,Tara!$N$5:$N$21),"")</f>
        <v/>
      </c>
      <c r="T378" s="872" t="str">
        <f>IF(K378&lt;&gt;"",LOOKUP(K378,Tara!$L$5:$L$21,Tara!$N$5:$N$21),"")</f>
        <v/>
      </c>
      <c r="U378" s="881"/>
      <c r="V378" s="881"/>
      <c r="W378" s="881"/>
      <c r="X378" s="881"/>
      <c r="Y378" s="881"/>
      <c r="Z378" s="881"/>
      <c r="AA378" s="881"/>
      <c r="AB378" s="872" t="str">
        <f t="shared" si="298"/>
        <v/>
      </c>
      <c r="AC378" s="873" t="str">
        <f>""</f>
        <v/>
      </c>
      <c r="AD378" s="873" t="str">
        <f>""</f>
        <v/>
      </c>
      <c r="AE378" s="873" t="str">
        <f>IF(H376&lt;&gt;"",H376,"")</f>
        <v/>
      </c>
      <c r="AF378" s="874" t="str">
        <f>IF(H377&lt;&gt;"",H377,"")</f>
        <v/>
      </c>
      <c r="AG378" s="875" t="str">
        <f>IF(Q375&lt;&gt;"",Q375,"")</f>
        <v/>
      </c>
      <c r="AH378" s="896" t="str">
        <f>IF(H382&lt;&gt;"",H382*100,"")</f>
        <v/>
      </c>
      <c r="AI378" s="897" t="str">
        <f>IF(Q384&lt;&gt;"",Q384,"")</f>
        <v/>
      </c>
      <c r="AJ378" s="880" t="str">
        <f>IF(AH378="","",((AH378/100)-H384)*100)</f>
        <v/>
      </c>
      <c r="AK378" s="1267" t="str">
        <f>IF(X375&lt;&gt;"",X375*100,"")</f>
        <v/>
      </c>
    </row>
    <row r="379" spans="1:37" s="56" customFormat="1" ht="15" customHeight="1" x14ac:dyDescent="0.3">
      <c r="A379" s="1955"/>
      <c r="B379" s="882" t="s">
        <v>57</v>
      </c>
      <c r="C379" s="688"/>
      <c r="D379" s="870" t="s">
        <v>315</v>
      </c>
      <c r="E379" s="871"/>
      <c r="F379" s="871"/>
      <c r="G379" s="871"/>
      <c r="H379" s="871"/>
      <c r="I379" s="871"/>
      <c r="J379" s="871"/>
      <c r="K379" s="871"/>
      <c r="L379" s="651" t="str">
        <f>IF(I375&lt;&gt;"",MAX(L$5:L378)+1,"")</f>
        <v/>
      </c>
      <c r="M379" s="1960"/>
      <c r="N379" s="872" t="str">
        <f t="shared" ref="N379:T379" si="300">IF(N377&lt;&gt;"",N377-N378,"")</f>
        <v/>
      </c>
      <c r="O379" s="872" t="str">
        <f t="shared" si="300"/>
        <v/>
      </c>
      <c r="P379" s="872" t="str">
        <f t="shared" si="300"/>
        <v/>
      </c>
      <c r="Q379" s="872" t="str">
        <f t="shared" si="300"/>
        <v/>
      </c>
      <c r="R379" s="872" t="str">
        <f t="shared" si="300"/>
        <v/>
      </c>
      <c r="S379" s="872" t="str">
        <f t="shared" si="300"/>
        <v/>
      </c>
      <c r="T379" s="872" t="str">
        <f t="shared" si="300"/>
        <v/>
      </c>
      <c r="U379" s="881"/>
      <c r="V379" s="881"/>
      <c r="W379" s="881"/>
      <c r="X379" s="881"/>
      <c r="Y379" s="881"/>
      <c r="Z379" s="881"/>
      <c r="AA379" s="881"/>
      <c r="AB379" s="872" t="str">
        <f t="shared" si="298"/>
        <v/>
      </c>
      <c r="AC379" s="873" t="str">
        <f>""</f>
        <v/>
      </c>
      <c r="AD379" s="873" t="str">
        <f>""</f>
        <v/>
      </c>
      <c r="AE379" s="873" t="str">
        <f>IF(I376&lt;&gt;"",I376,"")</f>
        <v/>
      </c>
      <c r="AF379" s="874" t="str">
        <f>IF(I377&lt;&gt;"",I377,"")</f>
        <v/>
      </c>
      <c r="AG379" s="875" t="str">
        <f>IF(R375&lt;&gt;"",R375,"")</f>
        <v/>
      </c>
      <c r="AH379" s="896" t="str">
        <f>IF(I382&lt;&gt;"",I382*100,"")</f>
        <v/>
      </c>
      <c r="AI379" s="897" t="str">
        <f>IF(R384&lt;&gt;"",R384,"")</f>
        <v/>
      </c>
      <c r="AJ379" s="880" t="str">
        <f>IF(AH379="","",((AH379/100)-I384)*100)</f>
        <v/>
      </c>
      <c r="AK379" s="1267" t="str">
        <f>IF(Y375&lt;&gt;"",Y375*100,"")</f>
        <v/>
      </c>
    </row>
    <row r="380" spans="1:37" s="316" customFormat="1" ht="15" customHeight="1" x14ac:dyDescent="0.3">
      <c r="A380" s="1955"/>
      <c r="B380" s="882" t="s">
        <v>316</v>
      </c>
      <c r="C380" s="666"/>
      <c r="D380" s="883" t="s">
        <v>317</v>
      </c>
      <c r="E380" s="750"/>
      <c r="F380" s="750"/>
      <c r="G380" s="750"/>
      <c r="H380" s="750"/>
      <c r="I380" s="750"/>
      <c r="J380" s="750"/>
      <c r="K380" s="750"/>
      <c r="L380" s="651" t="str">
        <f>IF(J375&lt;&gt;"",MAX(L$5:L379)+1,"")</f>
        <v/>
      </c>
      <c r="M380" s="1960"/>
      <c r="N380" s="872" t="str">
        <f>IF(E378&lt;&gt;"",LOOKUP(E378,Tara!$L$5:$L$21,Tara!$O$5:$O$21),"")</f>
        <v/>
      </c>
      <c r="O380" s="872" t="str">
        <f>IF(F378&lt;&gt;"",LOOKUP(F378,Tara!$L$5:$L$21,Tara!$O$5:$O$21),"")</f>
        <v/>
      </c>
      <c r="P380" s="872" t="str">
        <f>IF(G378&lt;&gt;"",LOOKUP(G378,Tara!$L$5:$L$21,Tara!$O$5:$O$21),"")</f>
        <v/>
      </c>
      <c r="Q380" s="872" t="str">
        <f>IF(H378&lt;&gt;"",LOOKUP(H378,Tara!$L$5:$L$21,Tara!$O$5:$O$21),"")</f>
        <v/>
      </c>
      <c r="R380" s="872" t="str">
        <f>IF(I378&lt;&gt;"",LOOKUP(I378,Tara!$L$5:$L$21,Tara!$O$5:$O$21),"")</f>
        <v/>
      </c>
      <c r="S380" s="872" t="str">
        <f>IF(J378&lt;&gt;"",LOOKUP(J378,Tara!$L$5:$L$21,Tara!$O$5:$O$21),"")</f>
        <v/>
      </c>
      <c r="T380" s="872" t="str">
        <f>IF(K378&lt;&gt;"",LOOKUP(K378,Tara!$L$5:$L$21,Tara!$O$5:$O$21),"")</f>
        <v/>
      </c>
      <c r="U380" s="884"/>
      <c r="V380" s="884"/>
      <c r="W380" s="884"/>
      <c r="X380" s="884"/>
      <c r="Y380" s="884"/>
      <c r="Z380" s="884"/>
      <c r="AA380" s="884"/>
      <c r="AB380" s="872" t="str">
        <f t="shared" si="298"/>
        <v/>
      </c>
      <c r="AC380" s="873" t="str">
        <f>""</f>
        <v/>
      </c>
      <c r="AD380" s="873" t="str">
        <f>""</f>
        <v/>
      </c>
      <c r="AE380" s="873" t="str">
        <f>IF(J376&lt;&gt;"",J376,"")</f>
        <v/>
      </c>
      <c r="AF380" s="874" t="str">
        <f>IF(J377&lt;&gt;"",J377,"")</f>
        <v/>
      </c>
      <c r="AG380" s="875" t="str">
        <f>IF(S375&lt;&gt;"",S375,"")</f>
        <v/>
      </c>
      <c r="AH380" s="896" t="str">
        <f>IF(J382&lt;&gt;"",J382*100,"")</f>
        <v/>
      </c>
      <c r="AI380" s="897" t="str">
        <f>IF(S384&lt;&gt;"",S384,"")</f>
        <v/>
      </c>
      <c r="AJ380" s="880" t="str">
        <f>IF(AH380="","",((AH380/100)-J384)*100)</f>
        <v/>
      </c>
      <c r="AK380" s="1267" t="str">
        <f>IF(Z375&lt;&gt;"",Z375*100,"")</f>
        <v/>
      </c>
    </row>
    <row r="381" spans="1:37" s="316" customFormat="1" ht="15" customHeight="1" x14ac:dyDescent="0.3">
      <c r="A381" s="1955"/>
      <c r="B381" s="885" t="s">
        <v>318</v>
      </c>
      <c r="C381" s="886"/>
      <c r="D381" s="870" t="s">
        <v>319</v>
      </c>
      <c r="E381" s="750"/>
      <c r="F381" s="750"/>
      <c r="G381" s="750"/>
      <c r="H381" s="750"/>
      <c r="I381" s="750"/>
      <c r="J381" s="750"/>
      <c r="K381" s="750"/>
      <c r="L381" s="651" t="str">
        <f>IF(K375&lt;&gt;"",MAX(L$5:L380)+1,"")</f>
        <v/>
      </c>
      <c r="M381" s="1960"/>
      <c r="N381" s="887" t="str">
        <f>IF(N379&lt;&gt;"",N379/N380,"")</f>
        <v/>
      </c>
      <c r="O381" s="887" t="str">
        <f t="shared" ref="O381:T381" si="301">IF(O379&lt;&gt;"",O379/O380,"")</f>
        <v/>
      </c>
      <c r="P381" s="887" t="str">
        <f t="shared" si="301"/>
        <v/>
      </c>
      <c r="Q381" s="887" t="str">
        <f t="shared" si="301"/>
        <v/>
      </c>
      <c r="R381" s="887" t="str">
        <f t="shared" si="301"/>
        <v/>
      </c>
      <c r="S381" s="887" t="str">
        <f t="shared" si="301"/>
        <v/>
      </c>
      <c r="T381" s="887" t="str">
        <f t="shared" si="301"/>
        <v/>
      </c>
      <c r="U381" s="884"/>
      <c r="V381" s="884"/>
      <c r="W381" s="884"/>
      <c r="X381" s="884"/>
      <c r="Y381" s="884"/>
      <c r="Z381" s="884"/>
      <c r="AA381" s="884"/>
      <c r="AB381" s="872" t="str">
        <f t="shared" si="298"/>
        <v/>
      </c>
      <c r="AC381" s="873" t="str">
        <f>""</f>
        <v/>
      </c>
      <c r="AD381" s="873" t="str">
        <f>""</f>
        <v/>
      </c>
      <c r="AE381" s="873" t="str">
        <f>IF(K376&lt;&gt;"",K376,"")</f>
        <v/>
      </c>
      <c r="AF381" s="874" t="str">
        <f>IF(K377&lt;&gt;"",K377,"")</f>
        <v/>
      </c>
      <c r="AG381" s="875" t="str">
        <f>IF(T375&lt;&gt;"",T375,"")</f>
        <v/>
      </c>
      <c r="AH381" s="896" t="str">
        <f>IF(K382&lt;&gt;"",K382*100,"")</f>
        <v/>
      </c>
      <c r="AI381" s="897" t="str">
        <f>IF(T384&lt;&gt;"",T384,"")</f>
        <v/>
      </c>
      <c r="AJ381" s="880" t="str">
        <f>IF(AH381="","",((AH381/100)-K384)*100)</f>
        <v/>
      </c>
      <c r="AK381" s="1267" t="str">
        <f>IF(AA375&lt;&gt;"",AA375*100,"")</f>
        <v/>
      </c>
    </row>
    <row r="382" spans="1:37" s="316" customFormat="1" ht="15" customHeight="1" x14ac:dyDescent="0.3">
      <c r="A382" s="1955"/>
      <c r="B382" s="652"/>
      <c r="C382" s="653"/>
      <c r="D382" s="870" t="s">
        <v>320</v>
      </c>
      <c r="E382" s="888"/>
      <c r="F382" s="888"/>
      <c r="G382" s="888"/>
      <c r="H382" s="888"/>
      <c r="I382" s="888"/>
      <c r="J382" s="888"/>
      <c r="K382" s="888"/>
      <c r="L382" s="651"/>
      <c r="M382" s="1960"/>
      <c r="N382" s="889" t="str">
        <f>IF(E380&lt;&gt;"",LOOKUP(E380,Tara!$P$5:$P$21,Tara!$Q$5:$Q$21),"")</f>
        <v/>
      </c>
      <c r="O382" s="889" t="str">
        <f>IF(F380&lt;&gt;"",LOOKUP(F380,Tara!$P$5:$P$21,Tara!$Q$5:$Q$21),"")</f>
        <v/>
      </c>
      <c r="P382" s="889" t="str">
        <f>IF(G380&lt;&gt;"",LOOKUP(G380,Tara!$P$5:$P$21,Tara!$Q$5:$Q$21),"")</f>
        <v/>
      </c>
      <c r="Q382" s="889" t="str">
        <f>IF(H380&lt;&gt;"",LOOKUP(H380,Tara!$P$5:$P$21,Tara!$Q$5:$Q$21),"")</f>
        <v/>
      </c>
      <c r="R382" s="889" t="str">
        <f>IF(I380&lt;&gt;"",LOOKUP(I380,Tara!$P$5:$P$21,Tara!$Q$5:$Q$21),"")</f>
        <v/>
      </c>
      <c r="S382" s="889" t="str">
        <f>IF(J380&lt;&gt;"",LOOKUP(J380,Tara!$P$5:$P$21,Tara!$Q$5:$Q$21),"")</f>
        <v/>
      </c>
      <c r="T382" s="889" t="str">
        <f>IF(K380&lt;&gt;"",LOOKUP(K380,Tara!$P$5:$P$21,Tara!$Q$5:$Q$21),"")</f>
        <v/>
      </c>
      <c r="U382" s="884"/>
      <c r="V382" s="884"/>
      <c r="W382" s="884"/>
      <c r="X382" s="884"/>
      <c r="Y382" s="884"/>
      <c r="Z382" s="884"/>
      <c r="AA382" s="884"/>
      <c r="AB382" s="872" t="str">
        <f>""</f>
        <v/>
      </c>
      <c r="AC382" s="873" t="str">
        <f>""</f>
        <v/>
      </c>
      <c r="AD382" s="873" t="str">
        <f>""</f>
        <v/>
      </c>
      <c r="AE382" s="873" t="str">
        <f>""</f>
        <v/>
      </c>
      <c r="AF382" s="874" t="str">
        <f>""</f>
        <v/>
      </c>
      <c r="AG382" s="875" t="str">
        <f>""</f>
        <v/>
      </c>
      <c r="AH382" s="875" t="str">
        <f>""</f>
        <v/>
      </c>
      <c r="AI382" s="875" t="str">
        <f>""</f>
        <v/>
      </c>
      <c r="AJ382" s="890" t="str">
        <f>""</f>
        <v/>
      </c>
      <c r="AK382" s="1267" t="str">
        <f>""</f>
        <v/>
      </c>
    </row>
    <row r="383" spans="1:37" s="316" customFormat="1" ht="15" customHeight="1" x14ac:dyDescent="0.3">
      <c r="A383" s="1955"/>
      <c r="B383" s="654"/>
      <c r="C383" s="655"/>
      <c r="D383" s="891" t="s">
        <v>321</v>
      </c>
      <c r="E383" s="750"/>
      <c r="F383" s="750"/>
      <c r="G383" s="750"/>
      <c r="H383" s="750"/>
      <c r="I383" s="750"/>
      <c r="J383" s="750"/>
      <c r="K383" s="750"/>
      <c r="L383" s="651"/>
      <c r="M383" s="1960"/>
      <c r="N383" s="892" t="str">
        <f t="shared" ref="N383:T383" si="302">IF(E381&lt;&gt;"",(E381-N382)/N381,"")</f>
        <v/>
      </c>
      <c r="O383" s="892" t="str">
        <f t="shared" si="302"/>
        <v/>
      </c>
      <c r="P383" s="892" t="str">
        <f t="shared" si="302"/>
        <v/>
      </c>
      <c r="Q383" s="892" t="str">
        <f t="shared" si="302"/>
        <v/>
      </c>
      <c r="R383" s="892" t="str">
        <f t="shared" si="302"/>
        <v/>
      </c>
      <c r="S383" s="892" t="str">
        <f t="shared" si="302"/>
        <v/>
      </c>
      <c r="T383" s="892" t="str">
        <f t="shared" si="302"/>
        <v/>
      </c>
      <c r="U383" s="884"/>
      <c r="V383" s="884"/>
      <c r="W383" s="884"/>
      <c r="X383" s="884"/>
      <c r="Y383" s="884"/>
      <c r="Z383" s="884"/>
      <c r="AA383" s="884"/>
      <c r="AB383" s="872" t="str">
        <f>""</f>
        <v/>
      </c>
      <c r="AC383" s="873" t="str">
        <f>""</f>
        <v/>
      </c>
      <c r="AD383" s="873" t="str">
        <f>""</f>
        <v/>
      </c>
      <c r="AE383" s="873" t="str">
        <f>""</f>
        <v/>
      </c>
      <c r="AF383" s="874" t="str">
        <f>""</f>
        <v/>
      </c>
      <c r="AG383" s="893" t="str">
        <f>""</f>
        <v/>
      </c>
      <c r="AH383" s="893" t="str">
        <f>""</f>
        <v/>
      </c>
      <c r="AI383" s="893" t="str">
        <f>""</f>
        <v/>
      </c>
      <c r="AJ383" s="895" t="str">
        <f>""</f>
        <v/>
      </c>
      <c r="AK383" s="1269" t="str">
        <f>""</f>
        <v/>
      </c>
    </row>
    <row r="384" spans="1:37" s="316" customFormat="1" ht="15" customHeight="1" thickBot="1" x14ac:dyDescent="0.35">
      <c r="A384" s="1956"/>
      <c r="B384" s="656"/>
      <c r="C384" s="657"/>
      <c r="D384" s="658" t="s">
        <v>99</v>
      </c>
      <c r="E384" s="556"/>
      <c r="F384" s="556"/>
      <c r="G384" s="556"/>
      <c r="H384" s="556"/>
      <c r="I384" s="556"/>
      <c r="J384" s="556"/>
      <c r="K384" s="556"/>
      <c r="L384" s="659"/>
      <c r="M384" s="1961"/>
      <c r="N384" s="549" t="str">
        <f t="shared" ref="N384:T384" si="303">IF(N383&lt;&gt;"",N383/(1+E382),"")</f>
        <v/>
      </c>
      <c r="O384" s="549" t="str">
        <f t="shared" si="303"/>
        <v/>
      </c>
      <c r="P384" s="549" t="str">
        <f t="shared" si="303"/>
        <v/>
      </c>
      <c r="Q384" s="549" t="str">
        <f t="shared" si="303"/>
        <v/>
      </c>
      <c r="R384" s="549" t="str">
        <f t="shared" si="303"/>
        <v/>
      </c>
      <c r="S384" s="549" t="str">
        <f t="shared" si="303"/>
        <v/>
      </c>
      <c r="T384" s="549" t="str">
        <f t="shared" si="303"/>
        <v/>
      </c>
      <c r="U384" s="550"/>
      <c r="V384" s="550"/>
      <c r="W384" s="550"/>
      <c r="X384" s="550"/>
      <c r="Y384" s="550"/>
      <c r="Z384" s="550"/>
      <c r="AA384" s="550"/>
      <c r="AB384" s="551">
        <f>MAX(AB$5:AB383)+1</f>
        <v>38</v>
      </c>
      <c r="AC384" s="552" t="str">
        <f>""</f>
        <v/>
      </c>
      <c r="AD384" s="552" t="str">
        <f>""</f>
        <v/>
      </c>
      <c r="AE384" s="552" t="str">
        <f>""</f>
        <v/>
      </c>
      <c r="AF384" s="558" t="str">
        <f>""</f>
        <v/>
      </c>
      <c r="AG384" s="553" t="str">
        <f>""</f>
        <v/>
      </c>
      <c r="AH384" s="553" t="str">
        <f>""</f>
        <v/>
      </c>
      <c r="AI384" s="553" t="str">
        <f>""</f>
        <v/>
      </c>
      <c r="AJ384" s="554" t="str">
        <f>""</f>
        <v/>
      </c>
      <c r="AK384" s="555" t="str">
        <f>""</f>
        <v/>
      </c>
    </row>
    <row r="385" spans="1:37" s="56" customFormat="1" ht="15" customHeight="1" x14ac:dyDescent="0.3">
      <c r="A385" s="1954">
        <f>A375+1</f>
        <v>39</v>
      </c>
      <c r="B385" s="1957" t="s">
        <v>309</v>
      </c>
      <c r="C385" s="1958"/>
      <c r="D385" s="648" t="s">
        <v>34</v>
      </c>
      <c r="E385" s="649"/>
      <c r="F385" s="649"/>
      <c r="G385" s="649"/>
      <c r="H385" s="649"/>
      <c r="I385" s="649"/>
      <c r="J385" s="649"/>
      <c r="K385" s="649"/>
      <c r="L385" s="650" t="str">
        <f>IF(E385&lt;&gt;"",MAX(L$5:L384)+1,"")</f>
        <v/>
      </c>
      <c r="M385" s="1959" t="s">
        <v>25</v>
      </c>
      <c r="N385" s="539" t="str">
        <f t="shared" ref="N385:T385" si="304">IF(E385&lt;&gt;"",E385,"")</f>
        <v/>
      </c>
      <c r="O385" s="539" t="str">
        <f t="shared" si="304"/>
        <v/>
      </c>
      <c r="P385" s="539" t="str">
        <f t="shared" si="304"/>
        <v/>
      </c>
      <c r="Q385" s="539" t="str">
        <f t="shared" si="304"/>
        <v/>
      </c>
      <c r="R385" s="539" t="str">
        <f t="shared" si="304"/>
        <v/>
      </c>
      <c r="S385" s="539" t="str">
        <f t="shared" si="304"/>
        <v/>
      </c>
      <c r="T385" s="539" t="str">
        <f t="shared" si="304"/>
        <v/>
      </c>
      <c r="U385" s="540" t="str">
        <f t="shared" ref="U385:AA385" si="305">IF(N394&lt;&gt;"",N394/E393*1000,"")</f>
        <v/>
      </c>
      <c r="V385" s="540" t="str">
        <f t="shared" si="305"/>
        <v/>
      </c>
      <c r="W385" s="540" t="str">
        <f t="shared" si="305"/>
        <v/>
      </c>
      <c r="X385" s="540" t="str">
        <f t="shared" si="305"/>
        <v/>
      </c>
      <c r="Y385" s="540" t="str">
        <f t="shared" si="305"/>
        <v/>
      </c>
      <c r="Z385" s="540" t="str">
        <f t="shared" si="305"/>
        <v/>
      </c>
      <c r="AA385" s="540" t="str">
        <f t="shared" si="305"/>
        <v/>
      </c>
      <c r="AB385" s="539" t="str">
        <f>IF(L385&lt;&gt;"",L385,"")</f>
        <v/>
      </c>
      <c r="AC385" s="541" t="str">
        <f>IF(C386&lt;&gt;"",CONCATENATE(C386," a ",C387),"")</f>
        <v/>
      </c>
      <c r="AD385" s="542" t="str">
        <f>IF(C389&lt;&gt;"",C389,"")</f>
        <v/>
      </c>
      <c r="AE385" s="543" t="str">
        <f>IF(E386&lt;&gt;"",E386,"")</f>
        <v/>
      </c>
      <c r="AF385" s="557" t="str">
        <f>IF(E387&lt;&gt;"",E387,"")</f>
        <v/>
      </c>
      <c r="AG385" s="544" t="str">
        <f>IF(N385&lt;&gt;"",N385,"")</f>
        <v/>
      </c>
      <c r="AH385" s="545" t="str">
        <f>IF(E392&lt;&gt;"",E392*100,"")</f>
        <v/>
      </c>
      <c r="AI385" s="546" t="str">
        <f>IF(N394&lt;&gt;"",N394,"")</f>
        <v/>
      </c>
      <c r="AJ385" s="547" t="str">
        <f>IF(AH385="","",((AH385/100)-E394)*100)</f>
        <v/>
      </c>
      <c r="AK385" s="548" t="str">
        <f>IF(U385&lt;&gt;"",U385*100,"")</f>
        <v/>
      </c>
    </row>
    <row r="386" spans="1:37" s="57" customFormat="1" ht="15" customHeight="1" x14ac:dyDescent="0.3">
      <c r="A386" s="1955"/>
      <c r="B386" s="869" t="s">
        <v>310</v>
      </c>
      <c r="C386" s="666"/>
      <c r="D386" s="870" t="s">
        <v>156</v>
      </c>
      <c r="E386" s="871"/>
      <c r="F386" s="871"/>
      <c r="G386" s="871"/>
      <c r="H386" s="871"/>
      <c r="I386" s="871"/>
      <c r="J386" s="871"/>
      <c r="K386" s="871"/>
      <c r="L386" s="651" t="str">
        <f>IF(F385&lt;&gt;"",MAX(L$5:L385)+1,"")</f>
        <v/>
      </c>
      <c r="M386" s="1960"/>
      <c r="N386" s="872" t="str">
        <f>IF(E388&lt;&gt;"",LOOKUP(E388,Tara!$L$5:$L$21,Tara!$M$5:$M$21),"")</f>
        <v/>
      </c>
      <c r="O386" s="872" t="str">
        <f>IF(F388&lt;&gt;"",LOOKUP(F388,Tara!$L$5:$L$21,Tara!$M$5:$M$21),"")</f>
        <v/>
      </c>
      <c r="P386" s="872" t="str">
        <f>IF(G388&lt;&gt;"",LOOKUP(G388,Tara!$L$5:$L$21,Tara!$M$5:$M$21),"")</f>
        <v/>
      </c>
      <c r="Q386" s="872" t="str">
        <f>IF(H388&lt;&gt;"",LOOKUP(H388,Tara!$L$5:$L$21,Tara!$M$5:$M$21),"")</f>
        <v/>
      </c>
      <c r="R386" s="872" t="str">
        <f>IF(I388&lt;&gt;"",LOOKUP(I388,Tara!$L$5:$L$21,Tara!$M$5:$M$21),"")</f>
        <v/>
      </c>
      <c r="S386" s="872" t="str">
        <f>IF(J388&lt;&gt;"",LOOKUP(J388,Tara!$L$5:$L$21,Tara!$M$5:$M$21),"")</f>
        <v/>
      </c>
      <c r="T386" s="872" t="str">
        <f>IF(K388&lt;&gt;"",LOOKUP(K388,Tara!$L$5:$L$21,Tara!$M$5:$M$21),"")</f>
        <v/>
      </c>
      <c r="U386" s="872"/>
      <c r="V386" s="872"/>
      <c r="W386" s="872"/>
      <c r="X386" s="872"/>
      <c r="Y386" s="872"/>
      <c r="Z386" s="872"/>
      <c r="AA386" s="872"/>
      <c r="AB386" s="872" t="str">
        <f t="shared" ref="AB386:AB391" si="306">IF(L386&lt;&gt;"",L386,"")</f>
        <v/>
      </c>
      <c r="AC386" s="873" t="str">
        <f>""</f>
        <v/>
      </c>
      <c r="AD386" s="873" t="str">
        <f>""</f>
        <v/>
      </c>
      <c r="AE386" s="873" t="str">
        <f>IF(F386&lt;&gt;"",F386,"")</f>
        <v/>
      </c>
      <c r="AF386" s="874" t="str">
        <f>IF(E387&lt;&gt;"",F387,"")</f>
        <v/>
      </c>
      <c r="AG386" s="875" t="str">
        <f>IF(O385&lt;&gt;"",O385,"")</f>
        <v/>
      </c>
      <c r="AH386" s="896" t="str">
        <f>IF(F392&lt;&gt;"",F392*100,"")</f>
        <v/>
      </c>
      <c r="AI386" s="897" t="str">
        <f>IF(O394&lt;&gt;"",O394,"")</f>
        <v/>
      </c>
      <c r="AJ386" s="880" t="str">
        <f>IF(AH386="","",((AH386/100)-F394)*100)</f>
        <v/>
      </c>
      <c r="AK386" s="1267" t="str">
        <f>IF(V385&lt;&gt;"",V385*100,"")</f>
        <v/>
      </c>
    </row>
    <row r="387" spans="1:37" s="56" customFormat="1" ht="15" customHeight="1" x14ac:dyDescent="0.3">
      <c r="A387" s="1955"/>
      <c r="B387" s="869" t="s">
        <v>311</v>
      </c>
      <c r="C387" s="666"/>
      <c r="D387" s="870" t="s">
        <v>312</v>
      </c>
      <c r="E387" s="878"/>
      <c r="F387" s="878"/>
      <c r="G387" s="878"/>
      <c r="H387" s="878"/>
      <c r="I387" s="878"/>
      <c r="J387" s="878"/>
      <c r="K387" s="1268"/>
      <c r="L387" s="651" t="str">
        <f>IF(G385&lt;&gt;"",MAX(L$5:L386)+1,"")</f>
        <v/>
      </c>
      <c r="M387" s="1960"/>
      <c r="N387" s="872" t="str">
        <f t="shared" ref="N387:T387" si="307">IF(N386&lt;&gt;"",N386-E389,"")</f>
        <v/>
      </c>
      <c r="O387" s="872" t="str">
        <f t="shared" si="307"/>
        <v/>
      </c>
      <c r="P387" s="872" t="str">
        <f t="shared" si="307"/>
        <v/>
      </c>
      <c r="Q387" s="872" t="str">
        <f t="shared" si="307"/>
        <v/>
      </c>
      <c r="R387" s="872" t="str">
        <f t="shared" si="307"/>
        <v/>
      </c>
      <c r="S387" s="872" t="str">
        <f t="shared" si="307"/>
        <v/>
      </c>
      <c r="T387" s="872" t="str">
        <f t="shared" si="307"/>
        <v/>
      </c>
      <c r="U387" s="879"/>
      <c r="V387" s="879"/>
      <c r="W387" s="879"/>
      <c r="X387" s="879"/>
      <c r="Y387" s="879"/>
      <c r="Z387" s="879"/>
      <c r="AA387" s="879"/>
      <c r="AB387" s="872" t="str">
        <f t="shared" si="306"/>
        <v/>
      </c>
      <c r="AC387" s="873" t="str">
        <f>""</f>
        <v/>
      </c>
      <c r="AD387" s="873" t="str">
        <f>""</f>
        <v/>
      </c>
      <c r="AE387" s="873" t="str">
        <f>IF(G386&lt;&gt;"",G386,"")</f>
        <v/>
      </c>
      <c r="AF387" s="874" t="str">
        <f>IF(G387&lt;&gt;"",G387,"")</f>
        <v/>
      </c>
      <c r="AG387" s="875" t="str">
        <f>IF(P385&lt;&gt;"",P385,"")</f>
        <v/>
      </c>
      <c r="AH387" s="896" t="str">
        <f>IF(G392&lt;&gt;"",G392*100,"")</f>
        <v/>
      </c>
      <c r="AI387" s="897" t="str">
        <f>IF(P394&lt;&gt;"",P394,"")</f>
        <v/>
      </c>
      <c r="AJ387" s="880" t="str">
        <f>IF(AH387="","",((AH387/100)-G394)*100)</f>
        <v/>
      </c>
      <c r="AK387" s="1267" t="str">
        <f>IF(W385&lt;&gt;"",W385*100,"")</f>
        <v/>
      </c>
    </row>
    <row r="388" spans="1:37" s="56" customFormat="1" ht="15" customHeight="1" x14ac:dyDescent="0.3">
      <c r="A388" s="1955"/>
      <c r="B388" s="869" t="s">
        <v>313</v>
      </c>
      <c r="C388" s="666"/>
      <c r="D388" s="870" t="s">
        <v>314</v>
      </c>
      <c r="E388" s="750"/>
      <c r="F388" s="750"/>
      <c r="G388" s="750"/>
      <c r="H388" s="750"/>
      <c r="I388" s="750"/>
      <c r="J388" s="750"/>
      <c r="K388" s="750"/>
      <c r="L388" s="651" t="str">
        <f>IF(H385&lt;&gt;"",MAX(L$5:L387)+1,"")</f>
        <v/>
      </c>
      <c r="M388" s="1960"/>
      <c r="N388" s="872" t="str">
        <f>IF(E388&lt;&gt;"",LOOKUP(E388,Tara!$L$5:$L$21,Tara!$N$5:$N$21),"")</f>
        <v/>
      </c>
      <c r="O388" s="872" t="str">
        <f>IF(F388&lt;&gt;"",LOOKUP(F388,Tara!$L$5:$L$21,Tara!$N$5:$N$21),"")</f>
        <v/>
      </c>
      <c r="P388" s="872" t="str">
        <f>IF(G388&lt;&gt;"",LOOKUP(G388,Tara!$L$5:$L$21,Tara!$N$5:$N$21),"")</f>
        <v/>
      </c>
      <c r="Q388" s="872" t="str">
        <f>IF(H388&lt;&gt;"",LOOKUP(H388,Tara!$L$5:$L$21,Tara!$N$5:$N$21),"")</f>
        <v/>
      </c>
      <c r="R388" s="872" t="str">
        <f>IF(I388&lt;&gt;"",LOOKUP(I388,Tara!$L$5:$L$21,Tara!$N$5:$N$21),"")</f>
        <v/>
      </c>
      <c r="S388" s="872" t="str">
        <f>IF(J388&lt;&gt;"",LOOKUP(J388,Tara!$L$5:$L$21,Tara!$N$5:$N$21),"")</f>
        <v/>
      </c>
      <c r="T388" s="872" t="str">
        <f>IF(K388&lt;&gt;"",LOOKUP(K388,Tara!$L$5:$L$21,Tara!$N$5:$N$21),"")</f>
        <v/>
      </c>
      <c r="U388" s="881"/>
      <c r="V388" s="881"/>
      <c r="W388" s="881"/>
      <c r="X388" s="881"/>
      <c r="Y388" s="881"/>
      <c r="Z388" s="881"/>
      <c r="AA388" s="881"/>
      <c r="AB388" s="872" t="str">
        <f t="shared" si="306"/>
        <v/>
      </c>
      <c r="AC388" s="873" t="str">
        <f>""</f>
        <v/>
      </c>
      <c r="AD388" s="873" t="str">
        <f>""</f>
        <v/>
      </c>
      <c r="AE388" s="873" t="str">
        <f>IF(H386&lt;&gt;"",H386,"")</f>
        <v/>
      </c>
      <c r="AF388" s="874" t="str">
        <f>IF(H387&lt;&gt;"",H387,"")</f>
        <v/>
      </c>
      <c r="AG388" s="875" t="str">
        <f>IF(Q385&lt;&gt;"",Q385,"")</f>
        <v/>
      </c>
      <c r="AH388" s="896" t="str">
        <f>IF(H392&lt;&gt;"",H392*100,"")</f>
        <v/>
      </c>
      <c r="AI388" s="897" t="str">
        <f>IF(Q394&lt;&gt;"",Q394,"")</f>
        <v/>
      </c>
      <c r="AJ388" s="880" t="str">
        <f>IF(AH388="","",((AH388/100)-H394)*100)</f>
        <v/>
      </c>
      <c r="AK388" s="1267" t="str">
        <f>IF(X385&lt;&gt;"",X385*100,"")</f>
        <v/>
      </c>
    </row>
    <row r="389" spans="1:37" s="56" customFormat="1" ht="15" customHeight="1" x14ac:dyDescent="0.3">
      <c r="A389" s="1955"/>
      <c r="B389" s="882" t="s">
        <v>57</v>
      </c>
      <c r="C389" s="688"/>
      <c r="D389" s="870" t="s">
        <v>315</v>
      </c>
      <c r="E389" s="871"/>
      <c r="F389" s="871"/>
      <c r="G389" s="871"/>
      <c r="H389" s="871"/>
      <c r="I389" s="871"/>
      <c r="J389" s="871"/>
      <c r="K389" s="871"/>
      <c r="L389" s="651" t="str">
        <f>IF(I385&lt;&gt;"",MAX(L$5:L388)+1,"")</f>
        <v/>
      </c>
      <c r="M389" s="1960"/>
      <c r="N389" s="872" t="str">
        <f t="shared" ref="N389:T389" si="308">IF(N387&lt;&gt;"",N387-N388,"")</f>
        <v/>
      </c>
      <c r="O389" s="872" t="str">
        <f t="shared" si="308"/>
        <v/>
      </c>
      <c r="P389" s="872" t="str">
        <f t="shared" si="308"/>
        <v/>
      </c>
      <c r="Q389" s="872" t="str">
        <f t="shared" si="308"/>
        <v/>
      </c>
      <c r="R389" s="872" t="str">
        <f t="shared" si="308"/>
        <v/>
      </c>
      <c r="S389" s="872" t="str">
        <f t="shared" si="308"/>
        <v/>
      </c>
      <c r="T389" s="872" t="str">
        <f t="shared" si="308"/>
        <v/>
      </c>
      <c r="U389" s="881"/>
      <c r="V389" s="881"/>
      <c r="W389" s="881"/>
      <c r="X389" s="881"/>
      <c r="Y389" s="881"/>
      <c r="Z389" s="881"/>
      <c r="AA389" s="881"/>
      <c r="AB389" s="872" t="str">
        <f t="shared" si="306"/>
        <v/>
      </c>
      <c r="AC389" s="873" t="str">
        <f>""</f>
        <v/>
      </c>
      <c r="AD389" s="873" t="str">
        <f>""</f>
        <v/>
      </c>
      <c r="AE389" s="873" t="str">
        <f>IF(I386&lt;&gt;"",I386,"")</f>
        <v/>
      </c>
      <c r="AF389" s="874" t="str">
        <f>IF(I387&lt;&gt;"",I387,"")</f>
        <v/>
      </c>
      <c r="AG389" s="875" t="str">
        <f>IF(R385&lt;&gt;"",R385,"")</f>
        <v/>
      </c>
      <c r="AH389" s="896" t="str">
        <f>IF(I392&lt;&gt;"",I392*100,"")</f>
        <v/>
      </c>
      <c r="AI389" s="897" t="str">
        <f>IF(R394&lt;&gt;"",R394,"")</f>
        <v/>
      </c>
      <c r="AJ389" s="880" t="str">
        <f>IF(AH389="","",((AH389/100)-I394)*100)</f>
        <v/>
      </c>
      <c r="AK389" s="1267" t="str">
        <f>IF(Y385&lt;&gt;"",Y385*100,"")</f>
        <v/>
      </c>
    </row>
    <row r="390" spans="1:37" s="316" customFormat="1" ht="15" customHeight="1" x14ac:dyDescent="0.3">
      <c r="A390" s="1955"/>
      <c r="B390" s="882" t="s">
        <v>316</v>
      </c>
      <c r="C390" s="666"/>
      <c r="D390" s="883" t="s">
        <v>317</v>
      </c>
      <c r="E390" s="750"/>
      <c r="F390" s="750"/>
      <c r="G390" s="750"/>
      <c r="H390" s="750"/>
      <c r="I390" s="750"/>
      <c r="J390" s="750"/>
      <c r="K390" s="750"/>
      <c r="L390" s="651" t="str">
        <f>IF(J385&lt;&gt;"",MAX(L$5:L389)+1,"")</f>
        <v/>
      </c>
      <c r="M390" s="1960"/>
      <c r="N390" s="872" t="str">
        <f>IF(E388&lt;&gt;"",LOOKUP(E388,Tara!$L$5:$L$21,Tara!$O$5:$O$21),"")</f>
        <v/>
      </c>
      <c r="O390" s="872" t="str">
        <f>IF(F388&lt;&gt;"",LOOKUP(F388,Tara!$L$5:$L$21,Tara!$O$5:$O$21),"")</f>
        <v/>
      </c>
      <c r="P390" s="872" t="str">
        <f>IF(G388&lt;&gt;"",LOOKUP(G388,Tara!$L$5:$L$21,Tara!$O$5:$O$21),"")</f>
        <v/>
      </c>
      <c r="Q390" s="872" t="str">
        <f>IF(H388&lt;&gt;"",LOOKUP(H388,Tara!$L$5:$L$21,Tara!$O$5:$O$21),"")</f>
        <v/>
      </c>
      <c r="R390" s="872" t="str">
        <f>IF(I388&lt;&gt;"",LOOKUP(I388,Tara!$L$5:$L$21,Tara!$O$5:$O$21),"")</f>
        <v/>
      </c>
      <c r="S390" s="872" t="str">
        <f>IF(J388&lt;&gt;"",LOOKUP(J388,Tara!$L$5:$L$21,Tara!$O$5:$O$21),"")</f>
        <v/>
      </c>
      <c r="T390" s="872" t="str">
        <f>IF(K388&lt;&gt;"",LOOKUP(K388,Tara!$L$5:$L$21,Tara!$O$5:$O$21),"")</f>
        <v/>
      </c>
      <c r="U390" s="884"/>
      <c r="V390" s="884"/>
      <c r="W390" s="884"/>
      <c r="X390" s="884"/>
      <c r="Y390" s="884"/>
      <c r="Z390" s="884"/>
      <c r="AA390" s="884"/>
      <c r="AB390" s="872" t="str">
        <f t="shared" si="306"/>
        <v/>
      </c>
      <c r="AC390" s="873" t="str">
        <f>""</f>
        <v/>
      </c>
      <c r="AD390" s="873" t="str">
        <f>""</f>
        <v/>
      </c>
      <c r="AE390" s="873" t="str">
        <f>IF(J386&lt;&gt;"",J386,"")</f>
        <v/>
      </c>
      <c r="AF390" s="874" t="str">
        <f>IF(J387&lt;&gt;"",J387,"")</f>
        <v/>
      </c>
      <c r="AG390" s="875" t="str">
        <f>IF(S385&lt;&gt;"",S385,"")</f>
        <v/>
      </c>
      <c r="AH390" s="896" t="str">
        <f>IF(J392&lt;&gt;"",J392*100,"")</f>
        <v/>
      </c>
      <c r="AI390" s="897" t="str">
        <f>IF(S394&lt;&gt;"",S394,"")</f>
        <v/>
      </c>
      <c r="AJ390" s="880" t="str">
        <f>IF(AH390="","",((AH390/100)-J394)*100)</f>
        <v/>
      </c>
      <c r="AK390" s="1267" t="str">
        <f>IF(Z385&lt;&gt;"",Z385*100,"")</f>
        <v/>
      </c>
    </row>
    <row r="391" spans="1:37" s="316" customFormat="1" ht="15" customHeight="1" x14ac:dyDescent="0.3">
      <c r="A391" s="1955"/>
      <c r="B391" s="885" t="s">
        <v>318</v>
      </c>
      <c r="C391" s="886"/>
      <c r="D391" s="870" t="s">
        <v>319</v>
      </c>
      <c r="E391" s="750"/>
      <c r="F391" s="750"/>
      <c r="G391" s="750"/>
      <c r="H391" s="750"/>
      <c r="I391" s="750"/>
      <c r="J391" s="750"/>
      <c r="K391" s="750"/>
      <c r="L391" s="651" t="str">
        <f>IF(K385&lt;&gt;"",MAX(L$5:L390)+1,"")</f>
        <v/>
      </c>
      <c r="M391" s="1960"/>
      <c r="N391" s="887" t="str">
        <f>IF(N389&lt;&gt;"",N389/N390,"")</f>
        <v/>
      </c>
      <c r="O391" s="887" t="str">
        <f t="shared" ref="O391:T391" si="309">IF(O389&lt;&gt;"",O389/O390,"")</f>
        <v/>
      </c>
      <c r="P391" s="887" t="str">
        <f t="shared" si="309"/>
        <v/>
      </c>
      <c r="Q391" s="887" t="str">
        <f t="shared" si="309"/>
        <v/>
      </c>
      <c r="R391" s="887" t="str">
        <f t="shared" si="309"/>
        <v/>
      </c>
      <c r="S391" s="887" t="str">
        <f t="shared" si="309"/>
        <v/>
      </c>
      <c r="T391" s="887" t="str">
        <f t="shared" si="309"/>
        <v/>
      </c>
      <c r="U391" s="884"/>
      <c r="V391" s="884"/>
      <c r="W391" s="884"/>
      <c r="X391" s="884"/>
      <c r="Y391" s="884"/>
      <c r="Z391" s="884"/>
      <c r="AA391" s="884"/>
      <c r="AB391" s="872" t="str">
        <f t="shared" si="306"/>
        <v/>
      </c>
      <c r="AC391" s="873" t="str">
        <f>""</f>
        <v/>
      </c>
      <c r="AD391" s="873" t="str">
        <f>""</f>
        <v/>
      </c>
      <c r="AE391" s="873" t="str">
        <f>IF(K386&lt;&gt;"",K386,"")</f>
        <v/>
      </c>
      <c r="AF391" s="874" t="str">
        <f>IF(K387&lt;&gt;"",K387,"")</f>
        <v/>
      </c>
      <c r="AG391" s="875" t="str">
        <f>IF(T385&lt;&gt;"",T385,"")</f>
        <v/>
      </c>
      <c r="AH391" s="896" t="str">
        <f>IF(K392&lt;&gt;"",K392*100,"")</f>
        <v/>
      </c>
      <c r="AI391" s="897" t="str">
        <f>IF(T394&lt;&gt;"",T394,"")</f>
        <v/>
      </c>
      <c r="AJ391" s="880" t="str">
        <f>IF(AH391="","",((AH391/100)-K394)*100)</f>
        <v/>
      </c>
      <c r="AK391" s="1267" t="str">
        <f>IF(AA385&lt;&gt;"",AA385*100,"")</f>
        <v/>
      </c>
    </row>
    <row r="392" spans="1:37" s="316" customFormat="1" ht="15" customHeight="1" x14ac:dyDescent="0.3">
      <c r="A392" s="1955"/>
      <c r="B392" s="652"/>
      <c r="C392" s="653"/>
      <c r="D392" s="870" t="s">
        <v>320</v>
      </c>
      <c r="E392" s="888"/>
      <c r="F392" s="888"/>
      <c r="G392" s="888"/>
      <c r="H392" s="888"/>
      <c r="I392" s="888"/>
      <c r="J392" s="888"/>
      <c r="K392" s="888"/>
      <c r="L392" s="651"/>
      <c r="M392" s="1960"/>
      <c r="N392" s="889" t="str">
        <f>IF(E390&lt;&gt;"",LOOKUP(E390,Tara!$P$5:$P$21,Tara!$Q$5:$Q$21),"")</f>
        <v/>
      </c>
      <c r="O392" s="889" t="str">
        <f>IF(F390&lt;&gt;"",LOOKUP(F390,Tara!$P$5:$P$21,Tara!$Q$5:$Q$21),"")</f>
        <v/>
      </c>
      <c r="P392" s="889" t="str">
        <f>IF(G390&lt;&gt;"",LOOKUP(G390,Tara!$P$5:$P$21,Tara!$Q$5:$Q$21),"")</f>
        <v/>
      </c>
      <c r="Q392" s="889" t="str">
        <f>IF(H390&lt;&gt;"",LOOKUP(H390,Tara!$P$5:$P$21,Tara!$Q$5:$Q$21),"")</f>
        <v/>
      </c>
      <c r="R392" s="889" t="str">
        <f>IF(I390&lt;&gt;"",LOOKUP(I390,Tara!$P$5:$P$21,Tara!$Q$5:$Q$21),"")</f>
        <v/>
      </c>
      <c r="S392" s="889" t="str">
        <f>IF(J390&lt;&gt;"",LOOKUP(J390,Tara!$P$5:$P$21,Tara!$Q$5:$Q$21),"")</f>
        <v/>
      </c>
      <c r="T392" s="889" t="str">
        <f>IF(K390&lt;&gt;"",LOOKUP(K390,Tara!$P$5:$P$21,Tara!$Q$5:$Q$21),"")</f>
        <v/>
      </c>
      <c r="U392" s="884"/>
      <c r="V392" s="884"/>
      <c r="W392" s="884"/>
      <c r="X392" s="884"/>
      <c r="Y392" s="884"/>
      <c r="Z392" s="884"/>
      <c r="AA392" s="884"/>
      <c r="AB392" s="872" t="str">
        <f>""</f>
        <v/>
      </c>
      <c r="AC392" s="873" t="str">
        <f>""</f>
        <v/>
      </c>
      <c r="AD392" s="873" t="str">
        <f>""</f>
        <v/>
      </c>
      <c r="AE392" s="873" t="str">
        <f>""</f>
        <v/>
      </c>
      <c r="AF392" s="874" t="str">
        <f>""</f>
        <v/>
      </c>
      <c r="AG392" s="875" t="str">
        <f>""</f>
        <v/>
      </c>
      <c r="AH392" s="875" t="str">
        <f>""</f>
        <v/>
      </c>
      <c r="AI392" s="875" t="str">
        <f>""</f>
        <v/>
      </c>
      <c r="AJ392" s="890" t="str">
        <f>""</f>
        <v/>
      </c>
      <c r="AK392" s="1267" t="str">
        <f>""</f>
        <v/>
      </c>
    </row>
    <row r="393" spans="1:37" s="316" customFormat="1" ht="15" customHeight="1" x14ac:dyDescent="0.3">
      <c r="A393" s="1955"/>
      <c r="B393" s="654"/>
      <c r="C393" s="655"/>
      <c r="D393" s="891" t="s">
        <v>321</v>
      </c>
      <c r="E393" s="750"/>
      <c r="F393" s="750"/>
      <c r="G393" s="750"/>
      <c r="H393" s="750"/>
      <c r="I393" s="750"/>
      <c r="J393" s="750"/>
      <c r="K393" s="750"/>
      <c r="L393" s="651"/>
      <c r="M393" s="1960"/>
      <c r="N393" s="892" t="str">
        <f t="shared" ref="N393:T393" si="310">IF(E391&lt;&gt;"",(E391-N392)/N391,"")</f>
        <v/>
      </c>
      <c r="O393" s="892" t="str">
        <f t="shared" si="310"/>
        <v/>
      </c>
      <c r="P393" s="892" t="str">
        <f t="shared" si="310"/>
        <v/>
      </c>
      <c r="Q393" s="892" t="str">
        <f t="shared" si="310"/>
        <v/>
      </c>
      <c r="R393" s="892" t="str">
        <f t="shared" si="310"/>
        <v/>
      </c>
      <c r="S393" s="892" t="str">
        <f t="shared" si="310"/>
        <v/>
      </c>
      <c r="T393" s="892" t="str">
        <f t="shared" si="310"/>
        <v/>
      </c>
      <c r="U393" s="884"/>
      <c r="V393" s="884"/>
      <c r="W393" s="884"/>
      <c r="X393" s="884"/>
      <c r="Y393" s="884"/>
      <c r="Z393" s="884"/>
      <c r="AA393" s="884"/>
      <c r="AB393" s="872" t="str">
        <f>""</f>
        <v/>
      </c>
      <c r="AC393" s="873" t="str">
        <f>""</f>
        <v/>
      </c>
      <c r="AD393" s="873" t="str">
        <f>""</f>
        <v/>
      </c>
      <c r="AE393" s="873" t="str">
        <f>""</f>
        <v/>
      </c>
      <c r="AF393" s="874" t="str">
        <f>""</f>
        <v/>
      </c>
      <c r="AG393" s="893" t="str">
        <f>""</f>
        <v/>
      </c>
      <c r="AH393" s="893" t="str">
        <f>""</f>
        <v/>
      </c>
      <c r="AI393" s="893" t="str">
        <f>""</f>
        <v/>
      </c>
      <c r="AJ393" s="895" t="str">
        <f>""</f>
        <v/>
      </c>
      <c r="AK393" s="1269" t="str">
        <f>""</f>
        <v/>
      </c>
    </row>
    <row r="394" spans="1:37" s="316" customFormat="1" ht="15" customHeight="1" thickBot="1" x14ac:dyDescent="0.35">
      <c r="A394" s="1956"/>
      <c r="B394" s="656"/>
      <c r="C394" s="657"/>
      <c r="D394" s="658" t="s">
        <v>99</v>
      </c>
      <c r="E394" s="556"/>
      <c r="F394" s="556"/>
      <c r="G394" s="556"/>
      <c r="H394" s="556"/>
      <c r="I394" s="556"/>
      <c r="J394" s="556"/>
      <c r="K394" s="556"/>
      <c r="L394" s="659"/>
      <c r="M394" s="1961"/>
      <c r="N394" s="549" t="str">
        <f t="shared" ref="N394:T394" si="311">IF(N393&lt;&gt;"",N393/(1+E392),"")</f>
        <v/>
      </c>
      <c r="O394" s="549" t="str">
        <f t="shared" si="311"/>
        <v/>
      </c>
      <c r="P394" s="549" t="str">
        <f t="shared" si="311"/>
        <v/>
      </c>
      <c r="Q394" s="549" t="str">
        <f t="shared" si="311"/>
        <v/>
      </c>
      <c r="R394" s="549" t="str">
        <f t="shared" si="311"/>
        <v/>
      </c>
      <c r="S394" s="549" t="str">
        <f t="shared" si="311"/>
        <v/>
      </c>
      <c r="T394" s="549" t="str">
        <f t="shared" si="311"/>
        <v/>
      </c>
      <c r="U394" s="550"/>
      <c r="V394" s="550"/>
      <c r="W394" s="550"/>
      <c r="X394" s="550"/>
      <c r="Y394" s="550"/>
      <c r="Z394" s="550"/>
      <c r="AA394" s="550"/>
      <c r="AB394" s="551">
        <f>MAX(AB$5:AB393)+1</f>
        <v>39</v>
      </c>
      <c r="AC394" s="552" t="str">
        <f>""</f>
        <v/>
      </c>
      <c r="AD394" s="552" t="str">
        <f>""</f>
        <v/>
      </c>
      <c r="AE394" s="552" t="str">
        <f>""</f>
        <v/>
      </c>
      <c r="AF394" s="558" t="str">
        <f>""</f>
        <v/>
      </c>
      <c r="AG394" s="553" t="str">
        <f>""</f>
        <v/>
      </c>
      <c r="AH394" s="553" t="str">
        <f>""</f>
        <v/>
      </c>
      <c r="AI394" s="553" t="str">
        <f>""</f>
        <v/>
      </c>
      <c r="AJ394" s="554" t="str">
        <f>""</f>
        <v/>
      </c>
      <c r="AK394" s="555" t="str">
        <f>""</f>
        <v/>
      </c>
    </row>
    <row r="395" spans="1:37" s="56" customFormat="1" ht="15" customHeight="1" x14ac:dyDescent="0.3">
      <c r="A395" s="1954">
        <f>A385+1</f>
        <v>40</v>
      </c>
      <c r="B395" s="1957" t="s">
        <v>309</v>
      </c>
      <c r="C395" s="1958"/>
      <c r="D395" s="648" t="s">
        <v>34</v>
      </c>
      <c r="E395" s="649"/>
      <c r="F395" s="649"/>
      <c r="G395" s="649"/>
      <c r="H395" s="649"/>
      <c r="I395" s="649"/>
      <c r="J395" s="649"/>
      <c r="K395" s="649"/>
      <c r="L395" s="650" t="str">
        <f>IF(E395&lt;&gt;"",MAX(L$5:L394)+1,"")</f>
        <v/>
      </c>
      <c r="M395" s="1959" t="s">
        <v>25</v>
      </c>
      <c r="N395" s="539" t="str">
        <f t="shared" ref="N395:T395" si="312">IF(E395&lt;&gt;"",E395,"")</f>
        <v/>
      </c>
      <c r="O395" s="539" t="str">
        <f t="shared" si="312"/>
        <v/>
      </c>
      <c r="P395" s="539" t="str">
        <f t="shared" si="312"/>
        <v/>
      </c>
      <c r="Q395" s="539" t="str">
        <f t="shared" si="312"/>
        <v/>
      </c>
      <c r="R395" s="539" t="str">
        <f t="shared" si="312"/>
        <v/>
      </c>
      <c r="S395" s="539" t="str">
        <f t="shared" si="312"/>
        <v/>
      </c>
      <c r="T395" s="539" t="str">
        <f t="shared" si="312"/>
        <v/>
      </c>
      <c r="U395" s="540" t="str">
        <f t="shared" ref="U395:AA395" si="313">IF(N404&lt;&gt;"",N404/E403*1000,"")</f>
        <v/>
      </c>
      <c r="V395" s="540" t="str">
        <f t="shared" si="313"/>
        <v/>
      </c>
      <c r="W395" s="540" t="str">
        <f t="shared" si="313"/>
        <v/>
      </c>
      <c r="X395" s="540" t="str">
        <f t="shared" si="313"/>
        <v/>
      </c>
      <c r="Y395" s="540" t="str">
        <f t="shared" si="313"/>
        <v/>
      </c>
      <c r="Z395" s="540" t="str">
        <f t="shared" si="313"/>
        <v/>
      </c>
      <c r="AA395" s="540" t="str">
        <f t="shared" si="313"/>
        <v/>
      </c>
      <c r="AB395" s="539" t="str">
        <f>IF(L395&lt;&gt;"",L395,"")</f>
        <v/>
      </c>
      <c r="AC395" s="541" t="str">
        <f>IF(C396&lt;&gt;"",CONCATENATE(C396," a ",C397),"")</f>
        <v/>
      </c>
      <c r="AD395" s="542" t="str">
        <f>IF(C399&lt;&gt;"",C399,"")</f>
        <v/>
      </c>
      <c r="AE395" s="543" t="str">
        <f>IF(E396&lt;&gt;"",E396,"")</f>
        <v/>
      </c>
      <c r="AF395" s="557" t="str">
        <f>IF(E397&lt;&gt;"",E397,"")</f>
        <v/>
      </c>
      <c r="AG395" s="544" t="str">
        <f>IF(N395&lt;&gt;"",N395,"")</f>
        <v/>
      </c>
      <c r="AH395" s="545" t="str">
        <f>IF(E402&lt;&gt;"",E402*100,"")</f>
        <v/>
      </c>
      <c r="AI395" s="546" t="str">
        <f>IF(N404&lt;&gt;"",N404,"")</f>
        <v/>
      </c>
      <c r="AJ395" s="547" t="str">
        <f>IF(AH395="","",((AH395/100)-E404)*100)</f>
        <v/>
      </c>
      <c r="AK395" s="548" t="str">
        <f>IF(U395&lt;&gt;"",U395*100,"")</f>
        <v/>
      </c>
    </row>
    <row r="396" spans="1:37" s="57" customFormat="1" ht="15" customHeight="1" x14ac:dyDescent="0.3">
      <c r="A396" s="1955"/>
      <c r="B396" s="869" t="s">
        <v>310</v>
      </c>
      <c r="C396" s="666"/>
      <c r="D396" s="870" t="s">
        <v>156</v>
      </c>
      <c r="E396" s="871"/>
      <c r="F396" s="871"/>
      <c r="G396" s="871"/>
      <c r="H396" s="871"/>
      <c r="I396" s="871"/>
      <c r="J396" s="871"/>
      <c r="K396" s="871"/>
      <c r="L396" s="651" t="str">
        <f>IF(F395&lt;&gt;"",MAX(L$5:L395)+1,"")</f>
        <v/>
      </c>
      <c r="M396" s="1960"/>
      <c r="N396" s="872" t="str">
        <f>IF(E398&lt;&gt;"",LOOKUP(E398,Tara!$L$5:$L$21,Tara!$M$5:$M$21),"")</f>
        <v/>
      </c>
      <c r="O396" s="872" t="str">
        <f>IF(F398&lt;&gt;"",LOOKUP(F398,Tara!$L$5:$L$21,Tara!$M$5:$M$21),"")</f>
        <v/>
      </c>
      <c r="P396" s="872" t="str">
        <f>IF(G398&lt;&gt;"",LOOKUP(G398,Tara!$L$5:$L$21,Tara!$M$5:$M$21),"")</f>
        <v/>
      </c>
      <c r="Q396" s="872" t="str">
        <f>IF(H398&lt;&gt;"",LOOKUP(H398,Tara!$L$5:$L$21,Tara!$M$5:$M$21),"")</f>
        <v/>
      </c>
      <c r="R396" s="872" t="str">
        <f>IF(I398&lt;&gt;"",LOOKUP(I398,Tara!$L$5:$L$21,Tara!$M$5:$M$21),"")</f>
        <v/>
      </c>
      <c r="S396" s="872" t="str">
        <f>IF(J398&lt;&gt;"",LOOKUP(J398,Tara!$L$5:$L$21,Tara!$M$5:$M$21),"")</f>
        <v/>
      </c>
      <c r="T396" s="872" t="str">
        <f>IF(K398&lt;&gt;"",LOOKUP(K398,Tara!$L$5:$L$21,Tara!$M$5:$M$21),"")</f>
        <v/>
      </c>
      <c r="U396" s="872"/>
      <c r="V396" s="872"/>
      <c r="W396" s="872"/>
      <c r="X396" s="872"/>
      <c r="Y396" s="872"/>
      <c r="Z396" s="872"/>
      <c r="AA396" s="872"/>
      <c r="AB396" s="872" t="str">
        <f t="shared" ref="AB396:AB401" si="314">IF(L396&lt;&gt;"",L396,"")</f>
        <v/>
      </c>
      <c r="AC396" s="873" t="str">
        <f>""</f>
        <v/>
      </c>
      <c r="AD396" s="873" t="str">
        <f>""</f>
        <v/>
      </c>
      <c r="AE396" s="873" t="str">
        <f>IF(F396&lt;&gt;"",F396,"")</f>
        <v/>
      </c>
      <c r="AF396" s="874" t="str">
        <f>IF(E397&lt;&gt;"",F397,"")</f>
        <v/>
      </c>
      <c r="AG396" s="875" t="str">
        <f>IF(O395&lt;&gt;"",O395,"")</f>
        <v/>
      </c>
      <c r="AH396" s="896" t="str">
        <f>IF(F402&lt;&gt;"",F402*100,"")</f>
        <v/>
      </c>
      <c r="AI396" s="897" t="str">
        <f>IF(O404&lt;&gt;"",O404,"")</f>
        <v/>
      </c>
      <c r="AJ396" s="880" t="str">
        <f>IF(AH396="","",((AH396/100)-F404)*100)</f>
        <v/>
      </c>
      <c r="AK396" s="1267" t="str">
        <f>IF(V395&lt;&gt;"",V395*100,"")</f>
        <v/>
      </c>
    </row>
    <row r="397" spans="1:37" s="56" customFormat="1" ht="15" customHeight="1" x14ac:dyDescent="0.3">
      <c r="A397" s="1955"/>
      <c r="B397" s="869" t="s">
        <v>311</v>
      </c>
      <c r="C397" s="666"/>
      <c r="D397" s="870" t="s">
        <v>312</v>
      </c>
      <c r="E397" s="878"/>
      <c r="F397" s="878"/>
      <c r="G397" s="878"/>
      <c r="H397" s="878"/>
      <c r="I397" s="878"/>
      <c r="J397" s="878"/>
      <c r="K397" s="1268"/>
      <c r="L397" s="651" t="str">
        <f>IF(G395&lt;&gt;"",MAX(L$5:L396)+1,"")</f>
        <v/>
      </c>
      <c r="M397" s="1960"/>
      <c r="N397" s="872" t="str">
        <f t="shared" ref="N397:T397" si="315">IF(N396&lt;&gt;"",N396-E399,"")</f>
        <v/>
      </c>
      <c r="O397" s="872" t="str">
        <f t="shared" si="315"/>
        <v/>
      </c>
      <c r="P397" s="872" t="str">
        <f t="shared" si="315"/>
        <v/>
      </c>
      <c r="Q397" s="872" t="str">
        <f t="shared" si="315"/>
        <v/>
      </c>
      <c r="R397" s="872" t="str">
        <f t="shared" si="315"/>
        <v/>
      </c>
      <c r="S397" s="872" t="str">
        <f t="shared" si="315"/>
        <v/>
      </c>
      <c r="T397" s="872" t="str">
        <f t="shared" si="315"/>
        <v/>
      </c>
      <c r="U397" s="879"/>
      <c r="V397" s="879"/>
      <c r="W397" s="879"/>
      <c r="X397" s="879"/>
      <c r="Y397" s="879"/>
      <c r="Z397" s="879"/>
      <c r="AA397" s="879"/>
      <c r="AB397" s="872" t="str">
        <f t="shared" si="314"/>
        <v/>
      </c>
      <c r="AC397" s="873" t="str">
        <f>""</f>
        <v/>
      </c>
      <c r="AD397" s="873" t="str">
        <f>""</f>
        <v/>
      </c>
      <c r="AE397" s="873" t="str">
        <f>IF(G396&lt;&gt;"",G396,"")</f>
        <v/>
      </c>
      <c r="AF397" s="874" t="str">
        <f>IF(G397&lt;&gt;"",G397,"")</f>
        <v/>
      </c>
      <c r="AG397" s="875" t="str">
        <f>IF(P395&lt;&gt;"",P395,"")</f>
        <v/>
      </c>
      <c r="AH397" s="896" t="str">
        <f>IF(G402&lt;&gt;"",G402*100,"")</f>
        <v/>
      </c>
      <c r="AI397" s="897" t="str">
        <f>IF(P404&lt;&gt;"",P404,"")</f>
        <v/>
      </c>
      <c r="AJ397" s="880" t="str">
        <f>IF(AH397="","",((AH397/100)-G404)*100)</f>
        <v/>
      </c>
      <c r="AK397" s="1267" t="str">
        <f>IF(W395&lt;&gt;"",W395*100,"")</f>
        <v/>
      </c>
    </row>
    <row r="398" spans="1:37" s="56" customFormat="1" ht="15" customHeight="1" x14ac:dyDescent="0.3">
      <c r="A398" s="1955"/>
      <c r="B398" s="869" t="s">
        <v>313</v>
      </c>
      <c r="C398" s="666"/>
      <c r="D398" s="870" t="s">
        <v>314</v>
      </c>
      <c r="E398" s="750"/>
      <c r="F398" s="750"/>
      <c r="G398" s="750"/>
      <c r="H398" s="750"/>
      <c r="I398" s="750"/>
      <c r="J398" s="750"/>
      <c r="K398" s="750"/>
      <c r="L398" s="651" t="str">
        <f>IF(H395&lt;&gt;"",MAX(L$5:L397)+1,"")</f>
        <v/>
      </c>
      <c r="M398" s="1960"/>
      <c r="N398" s="872" t="str">
        <f>IF(E398&lt;&gt;"",LOOKUP(E398,Tara!$L$5:$L$21,Tara!$N$5:$N$21),"")</f>
        <v/>
      </c>
      <c r="O398" s="872" t="str">
        <f>IF(F398&lt;&gt;"",LOOKUP(F398,Tara!$L$5:$L$21,Tara!$N$5:$N$21),"")</f>
        <v/>
      </c>
      <c r="P398" s="872" t="str">
        <f>IF(G398&lt;&gt;"",LOOKUP(G398,Tara!$L$5:$L$21,Tara!$N$5:$N$21),"")</f>
        <v/>
      </c>
      <c r="Q398" s="872" t="str">
        <f>IF(H398&lt;&gt;"",LOOKUP(H398,Tara!$L$5:$L$21,Tara!$N$5:$N$21),"")</f>
        <v/>
      </c>
      <c r="R398" s="872" t="str">
        <f>IF(I398&lt;&gt;"",LOOKUP(I398,Tara!$L$5:$L$21,Tara!$N$5:$N$21),"")</f>
        <v/>
      </c>
      <c r="S398" s="872" t="str">
        <f>IF(J398&lt;&gt;"",LOOKUP(J398,Tara!$L$5:$L$21,Tara!$N$5:$N$21),"")</f>
        <v/>
      </c>
      <c r="T398" s="872" t="str">
        <f>IF(K398&lt;&gt;"",LOOKUP(K398,Tara!$L$5:$L$21,Tara!$N$5:$N$21),"")</f>
        <v/>
      </c>
      <c r="U398" s="881"/>
      <c r="V398" s="881"/>
      <c r="W398" s="881"/>
      <c r="X398" s="881"/>
      <c r="Y398" s="881"/>
      <c r="Z398" s="881"/>
      <c r="AA398" s="881"/>
      <c r="AB398" s="872" t="str">
        <f t="shared" si="314"/>
        <v/>
      </c>
      <c r="AC398" s="873" t="str">
        <f>""</f>
        <v/>
      </c>
      <c r="AD398" s="873" t="str">
        <f>""</f>
        <v/>
      </c>
      <c r="AE398" s="873" t="str">
        <f>IF(H396&lt;&gt;"",H396,"")</f>
        <v/>
      </c>
      <c r="AF398" s="874" t="str">
        <f>IF(H397&lt;&gt;"",H397,"")</f>
        <v/>
      </c>
      <c r="AG398" s="875" t="str">
        <f>IF(Q395&lt;&gt;"",Q395,"")</f>
        <v/>
      </c>
      <c r="AH398" s="896" t="str">
        <f>IF(H402&lt;&gt;"",H402*100,"")</f>
        <v/>
      </c>
      <c r="AI398" s="897" t="str">
        <f>IF(Q404&lt;&gt;"",Q404,"")</f>
        <v/>
      </c>
      <c r="AJ398" s="880" t="str">
        <f>IF(AH398="","",((AH398/100)-H404)*100)</f>
        <v/>
      </c>
      <c r="AK398" s="1267" t="str">
        <f>IF(X395&lt;&gt;"",X395*100,"")</f>
        <v/>
      </c>
    </row>
    <row r="399" spans="1:37" s="56" customFormat="1" ht="15" customHeight="1" x14ac:dyDescent="0.3">
      <c r="A399" s="1955"/>
      <c r="B399" s="882" t="s">
        <v>57</v>
      </c>
      <c r="C399" s="688"/>
      <c r="D399" s="870" t="s">
        <v>315</v>
      </c>
      <c r="E399" s="871"/>
      <c r="F399" s="871"/>
      <c r="G399" s="871"/>
      <c r="H399" s="871"/>
      <c r="I399" s="871"/>
      <c r="J399" s="871"/>
      <c r="K399" s="871"/>
      <c r="L399" s="651" t="str">
        <f>IF(I395&lt;&gt;"",MAX(L$5:L398)+1,"")</f>
        <v/>
      </c>
      <c r="M399" s="1960"/>
      <c r="N399" s="872" t="str">
        <f t="shared" ref="N399:T399" si="316">IF(N397&lt;&gt;"",N397-N398,"")</f>
        <v/>
      </c>
      <c r="O399" s="872" t="str">
        <f t="shared" si="316"/>
        <v/>
      </c>
      <c r="P399" s="872" t="str">
        <f t="shared" si="316"/>
        <v/>
      </c>
      <c r="Q399" s="872" t="str">
        <f t="shared" si="316"/>
        <v/>
      </c>
      <c r="R399" s="872" t="str">
        <f t="shared" si="316"/>
        <v/>
      </c>
      <c r="S399" s="872" t="str">
        <f t="shared" si="316"/>
        <v/>
      </c>
      <c r="T399" s="872" t="str">
        <f t="shared" si="316"/>
        <v/>
      </c>
      <c r="U399" s="881"/>
      <c r="V399" s="881"/>
      <c r="W399" s="881"/>
      <c r="X399" s="881"/>
      <c r="Y399" s="881"/>
      <c r="Z399" s="881"/>
      <c r="AA399" s="881"/>
      <c r="AB399" s="872" t="str">
        <f t="shared" si="314"/>
        <v/>
      </c>
      <c r="AC399" s="873" t="str">
        <f>""</f>
        <v/>
      </c>
      <c r="AD399" s="873" t="str">
        <f>""</f>
        <v/>
      </c>
      <c r="AE399" s="873" t="str">
        <f>IF(I396&lt;&gt;"",I396,"")</f>
        <v/>
      </c>
      <c r="AF399" s="874" t="str">
        <f>IF(I397&lt;&gt;"",I397,"")</f>
        <v/>
      </c>
      <c r="AG399" s="875" t="str">
        <f>IF(R395&lt;&gt;"",R395,"")</f>
        <v/>
      </c>
      <c r="AH399" s="896" t="str">
        <f>IF(I402&lt;&gt;"",I402*100,"")</f>
        <v/>
      </c>
      <c r="AI399" s="897" t="str">
        <f>IF(R404&lt;&gt;"",R404,"")</f>
        <v/>
      </c>
      <c r="AJ399" s="880" t="str">
        <f>IF(AH399="","",((AH399/100)-I404)*100)</f>
        <v/>
      </c>
      <c r="AK399" s="1267" t="str">
        <f>IF(Y395&lt;&gt;"",Y395*100,"")</f>
        <v/>
      </c>
    </row>
    <row r="400" spans="1:37" s="316" customFormat="1" ht="15" customHeight="1" x14ac:dyDescent="0.3">
      <c r="A400" s="1955"/>
      <c r="B400" s="882" t="s">
        <v>316</v>
      </c>
      <c r="C400" s="666"/>
      <c r="D400" s="883" t="s">
        <v>317</v>
      </c>
      <c r="E400" s="750"/>
      <c r="F400" s="750"/>
      <c r="G400" s="750"/>
      <c r="H400" s="750"/>
      <c r="I400" s="750"/>
      <c r="J400" s="750"/>
      <c r="K400" s="750"/>
      <c r="L400" s="651" t="str">
        <f>IF(J395&lt;&gt;"",MAX(L$5:L399)+1,"")</f>
        <v/>
      </c>
      <c r="M400" s="1960"/>
      <c r="N400" s="872" t="str">
        <f>IF(E398&lt;&gt;"",LOOKUP(E398,Tara!$L$5:$L$21,Tara!$O$5:$O$21),"")</f>
        <v/>
      </c>
      <c r="O400" s="872" t="str">
        <f>IF(F398&lt;&gt;"",LOOKUP(F398,Tara!$L$5:$L$21,Tara!$O$5:$O$21),"")</f>
        <v/>
      </c>
      <c r="P400" s="872" t="str">
        <f>IF(G398&lt;&gt;"",LOOKUP(G398,Tara!$L$5:$L$21,Tara!$O$5:$O$21),"")</f>
        <v/>
      </c>
      <c r="Q400" s="872" t="str">
        <f>IF(H398&lt;&gt;"",LOOKUP(H398,Tara!$L$5:$L$21,Tara!$O$5:$O$21),"")</f>
        <v/>
      </c>
      <c r="R400" s="872" t="str">
        <f>IF(I398&lt;&gt;"",LOOKUP(I398,Tara!$L$5:$L$21,Tara!$O$5:$O$21),"")</f>
        <v/>
      </c>
      <c r="S400" s="872" t="str">
        <f>IF(J398&lt;&gt;"",LOOKUP(J398,Tara!$L$5:$L$21,Tara!$O$5:$O$21),"")</f>
        <v/>
      </c>
      <c r="T400" s="872" t="str">
        <f>IF(K398&lt;&gt;"",LOOKUP(K398,Tara!$L$5:$L$21,Tara!$O$5:$O$21),"")</f>
        <v/>
      </c>
      <c r="U400" s="884"/>
      <c r="V400" s="884"/>
      <c r="W400" s="884"/>
      <c r="X400" s="884"/>
      <c r="Y400" s="884"/>
      <c r="Z400" s="884"/>
      <c r="AA400" s="884"/>
      <c r="AB400" s="872" t="str">
        <f t="shared" si="314"/>
        <v/>
      </c>
      <c r="AC400" s="873" t="str">
        <f>""</f>
        <v/>
      </c>
      <c r="AD400" s="873" t="str">
        <f>""</f>
        <v/>
      </c>
      <c r="AE400" s="873" t="str">
        <f>IF(J396&lt;&gt;"",J396,"")</f>
        <v/>
      </c>
      <c r="AF400" s="874" t="str">
        <f>IF(J397&lt;&gt;"",J397,"")</f>
        <v/>
      </c>
      <c r="AG400" s="875" t="str">
        <f>IF(S395&lt;&gt;"",S395,"")</f>
        <v/>
      </c>
      <c r="AH400" s="896" t="str">
        <f>IF(J402&lt;&gt;"",J402*100,"")</f>
        <v/>
      </c>
      <c r="AI400" s="897" t="str">
        <f>IF(S404&lt;&gt;"",S404,"")</f>
        <v/>
      </c>
      <c r="AJ400" s="880" t="str">
        <f>IF(AH400="","",((AH400/100)-J404)*100)</f>
        <v/>
      </c>
      <c r="AK400" s="1267" t="str">
        <f>IF(Z395&lt;&gt;"",Z395*100,"")</f>
        <v/>
      </c>
    </row>
    <row r="401" spans="1:37" s="316" customFormat="1" ht="15" customHeight="1" x14ac:dyDescent="0.3">
      <c r="A401" s="1955"/>
      <c r="B401" s="885" t="s">
        <v>318</v>
      </c>
      <c r="C401" s="886"/>
      <c r="D401" s="870" t="s">
        <v>319</v>
      </c>
      <c r="E401" s="750"/>
      <c r="F401" s="750"/>
      <c r="G401" s="750"/>
      <c r="H401" s="750"/>
      <c r="I401" s="750"/>
      <c r="J401" s="750"/>
      <c r="K401" s="750"/>
      <c r="L401" s="651" t="str">
        <f>IF(K395&lt;&gt;"",MAX(L$5:L400)+1,"")</f>
        <v/>
      </c>
      <c r="M401" s="1960"/>
      <c r="N401" s="887" t="str">
        <f>IF(N399&lt;&gt;"",N399/N400,"")</f>
        <v/>
      </c>
      <c r="O401" s="887" t="str">
        <f t="shared" ref="O401:T401" si="317">IF(O399&lt;&gt;"",O399/O400,"")</f>
        <v/>
      </c>
      <c r="P401" s="887" t="str">
        <f t="shared" si="317"/>
        <v/>
      </c>
      <c r="Q401" s="887" t="str">
        <f t="shared" si="317"/>
        <v/>
      </c>
      <c r="R401" s="887" t="str">
        <f t="shared" si="317"/>
        <v/>
      </c>
      <c r="S401" s="887" t="str">
        <f t="shared" si="317"/>
        <v/>
      </c>
      <c r="T401" s="887" t="str">
        <f t="shared" si="317"/>
        <v/>
      </c>
      <c r="U401" s="884"/>
      <c r="V401" s="884"/>
      <c r="W401" s="884"/>
      <c r="X401" s="884"/>
      <c r="Y401" s="884"/>
      <c r="Z401" s="884"/>
      <c r="AA401" s="884"/>
      <c r="AB401" s="872" t="str">
        <f t="shared" si="314"/>
        <v/>
      </c>
      <c r="AC401" s="873" t="str">
        <f>""</f>
        <v/>
      </c>
      <c r="AD401" s="873" t="str">
        <f>""</f>
        <v/>
      </c>
      <c r="AE401" s="873" t="str">
        <f>IF(K396&lt;&gt;"",K396,"")</f>
        <v/>
      </c>
      <c r="AF401" s="874" t="str">
        <f>IF(K397&lt;&gt;"",K397,"")</f>
        <v/>
      </c>
      <c r="AG401" s="875" t="str">
        <f>IF(T395&lt;&gt;"",T395,"")</f>
        <v/>
      </c>
      <c r="AH401" s="896" t="str">
        <f>IF(K402&lt;&gt;"",K402*100,"")</f>
        <v/>
      </c>
      <c r="AI401" s="897" t="str">
        <f>IF(T404&lt;&gt;"",T404,"")</f>
        <v/>
      </c>
      <c r="AJ401" s="880" t="str">
        <f>IF(AH401="","",((AH401/100)-K404)*100)</f>
        <v/>
      </c>
      <c r="AK401" s="1267" t="str">
        <f>IF(AA395&lt;&gt;"",AA395*100,"")</f>
        <v/>
      </c>
    </row>
    <row r="402" spans="1:37" s="316" customFormat="1" ht="15" customHeight="1" x14ac:dyDescent="0.3">
      <c r="A402" s="1955"/>
      <c r="B402" s="652"/>
      <c r="C402" s="653"/>
      <c r="D402" s="870" t="s">
        <v>320</v>
      </c>
      <c r="E402" s="888"/>
      <c r="F402" s="888"/>
      <c r="G402" s="888"/>
      <c r="H402" s="888"/>
      <c r="I402" s="888"/>
      <c r="J402" s="888"/>
      <c r="K402" s="888"/>
      <c r="L402" s="651"/>
      <c r="M402" s="1960"/>
      <c r="N402" s="889" t="str">
        <f>IF(E400&lt;&gt;"",LOOKUP(E400,Tara!$P$5:$P$21,Tara!$Q$5:$Q$21),"")</f>
        <v/>
      </c>
      <c r="O402" s="889" t="str">
        <f>IF(F400&lt;&gt;"",LOOKUP(F400,Tara!$P$5:$P$21,Tara!$Q$5:$Q$21),"")</f>
        <v/>
      </c>
      <c r="P402" s="889" t="str">
        <f>IF(G400&lt;&gt;"",LOOKUP(G400,Tara!$P$5:$P$21,Tara!$Q$5:$Q$21),"")</f>
        <v/>
      </c>
      <c r="Q402" s="889" t="str">
        <f>IF(H400&lt;&gt;"",LOOKUP(H400,Tara!$P$5:$P$21,Tara!$Q$5:$Q$21),"")</f>
        <v/>
      </c>
      <c r="R402" s="889" t="str">
        <f>IF(I400&lt;&gt;"",LOOKUP(I400,Tara!$P$5:$P$21,Tara!$Q$5:$Q$21),"")</f>
        <v/>
      </c>
      <c r="S402" s="889" t="str">
        <f>IF(J400&lt;&gt;"",LOOKUP(J400,Tara!$P$5:$P$21,Tara!$Q$5:$Q$21),"")</f>
        <v/>
      </c>
      <c r="T402" s="889" t="str">
        <f>IF(K400&lt;&gt;"",LOOKUP(K400,Tara!$P$5:$P$21,Tara!$Q$5:$Q$21),"")</f>
        <v/>
      </c>
      <c r="U402" s="884"/>
      <c r="V402" s="884"/>
      <c r="W402" s="884"/>
      <c r="X402" s="884"/>
      <c r="Y402" s="884"/>
      <c r="Z402" s="884"/>
      <c r="AA402" s="884"/>
      <c r="AB402" s="872" t="str">
        <f>""</f>
        <v/>
      </c>
      <c r="AC402" s="873" t="str">
        <f>""</f>
        <v/>
      </c>
      <c r="AD402" s="873" t="str">
        <f>""</f>
        <v/>
      </c>
      <c r="AE402" s="873" t="str">
        <f>""</f>
        <v/>
      </c>
      <c r="AF402" s="874" t="str">
        <f>""</f>
        <v/>
      </c>
      <c r="AG402" s="875" t="str">
        <f>""</f>
        <v/>
      </c>
      <c r="AH402" s="875" t="str">
        <f>""</f>
        <v/>
      </c>
      <c r="AI402" s="875" t="str">
        <f>""</f>
        <v/>
      </c>
      <c r="AJ402" s="890" t="str">
        <f>""</f>
        <v/>
      </c>
      <c r="AK402" s="1267" t="str">
        <f>""</f>
        <v/>
      </c>
    </row>
    <row r="403" spans="1:37" s="316" customFormat="1" ht="15" customHeight="1" x14ac:dyDescent="0.3">
      <c r="A403" s="1955"/>
      <c r="B403" s="654"/>
      <c r="C403" s="655"/>
      <c r="D403" s="891" t="s">
        <v>321</v>
      </c>
      <c r="E403" s="750"/>
      <c r="F403" s="750"/>
      <c r="G403" s="750"/>
      <c r="H403" s="750"/>
      <c r="I403" s="750"/>
      <c r="J403" s="750"/>
      <c r="K403" s="750"/>
      <c r="L403" s="651"/>
      <c r="M403" s="1960"/>
      <c r="N403" s="892" t="str">
        <f t="shared" ref="N403:T403" si="318">IF(E401&lt;&gt;"",(E401-N402)/N401,"")</f>
        <v/>
      </c>
      <c r="O403" s="892" t="str">
        <f t="shared" si="318"/>
        <v/>
      </c>
      <c r="P403" s="892" t="str">
        <f t="shared" si="318"/>
        <v/>
      </c>
      <c r="Q403" s="892" t="str">
        <f t="shared" si="318"/>
        <v/>
      </c>
      <c r="R403" s="892" t="str">
        <f t="shared" si="318"/>
        <v/>
      </c>
      <c r="S403" s="892" t="str">
        <f t="shared" si="318"/>
        <v/>
      </c>
      <c r="T403" s="892" t="str">
        <f t="shared" si="318"/>
        <v/>
      </c>
      <c r="U403" s="884"/>
      <c r="V403" s="884"/>
      <c r="W403" s="884"/>
      <c r="X403" s="884"/>
      <c r="Y403" s="884"/>
      <c r="Z403" s="884"/>
      <c r="AA403" s="884"/>
      <c r="AB403" s="872" t="str">
        <f>""</f>
        <v/>
      </c>
      <c r="AC403" s="873" t="str">
        <f>""</f>
        <v/>
      </c>
      <c r="AD403" s="873" t="str">
        <f>""</f>
        <v/>
      </c>
      <c r="AE403" s="873" t="str">
        <f>""</f>
        <v/>
      </c>
      <c r="AF403" s="874" t="str">
        <f>""</f>
        <v/>
      </c>
      <c r="AG403" s="893" t="str">
        <f>""</f>
        <v/>
      </c>
      <c r="AH403" s="893" t="str">
        <f>""</f>
        <v/>
      </c>
      <c r="AI403" s="893" t="str">
        <f>""</f>
        <v/>
      </c>
      <c r="AJ403" s="895" t="str">
        <f>""</f>
        <v/>
      </c>
      <c r="AK403" s="1269" t="str">
        <f>""</f>
        <v/>
      </c>
    </row>
    <row r="404" spans="1:37" s="316" customFormat="1" ht="15" customHeight="1" thickBot="1" x14ac:dyDescent="0.35">
      <c r="A404" s="1956"/>
      <c r="B404" s="656"/>
      <c r="C404" s="657"/>
      <c r="D404" s="658" t="s">
        <v>99</v>
      </c>
      <c r="E404" s="556"/>
      <c r="F404" s="556"/>
      <c r="G404" s="556"/>
      <c r="H404" s="556"/>
      <c r="I404" s="556"/>
      <c r="J404" s="556"/>
      <c r="K404" s="556"/>
      <c r="L404" s="659"/>
      <c r="M404" s="1961"/>
      <c r="N404" s="549" t="str">
        <f t="shared" ref="N404:T404" si="319">IF(N403&lt;&gt;"",N403/(1+E402),"")</f>
        <v/>
      </c>
      <c r="O404" s="549" t="str">
        <f t="shared" si="319"/>
        <v/>
      </c>
      <c r="P404" s="549" t="str">
        <f t="shared" si="319"/>
        <v/>
      </c>
      <c r="Q404" s="549" t="str">
        <f t="shared" si="319"/>
        <v/>
      </c>
      <c r="R404" s="549" t="str">
        <f t="shared" si="319"/>
        <v/>
      </c>
      <c r="S404" s="549" t="str">
        <f t="shared" si="319"/>
        <v/>
      </c>
      <c r="T404" s="549" t="str">
        <f t="shared" si="319"/>
        <v/>
      </c>
      <c r="U404" s="550"/>
      <c r="V404" s="550"/>
      <c r="W404" s="550"/>
      <c r="X404" s="550"/>
      <c r="Y404" s="550"/>
      <c r="Z404" s="550"/>
      <c r="AA404" s="550"/>
      <c r="AB404" s="551">
        <f>MAX(AB$5:AB403)+1</f>
        <v>40</v>
      </c>
      <c r="AC404" s="552" t="str">
        <f>""</f>
        <v/>
      </c>
      <c r="AD404" s="552" t="str">
        <f>""</f>
        <v/>
      </c>
      <c r="AE404" s="552" t="str">
        <f>""</f>
        <v/>
      </c>
      <c r="AF404" s="558" t="str">
        <f>""</f>
        <v/>
      </c>
      <c r="AG404" s="553" t="str">
        <f>""</f>
        <v/>
      </c>
      <c r="AH404" s="553" t="str">
        <f>""</f>
        <v/>
      </c>
      <c r="AI404" s="553" t="str">
        <f>""</f>
        <v/>
      </c>
      <c r="AJ404" s="554" t="str">
        <f>""</f>
        <v/>
      </c>
      <c r="AK404" s="555" t="str">
        <f>""</f>
        <v/>
      </c>
    </row>
    <row r="405" spans="1:37" s="56" customFormat="1" ht="15" customHeight="1" x14ac:dyDescent="0.3">
      <c r="A405" s="1954">
        <f>A395+1</f>
        <v>41</v>
      </c>
      <c r="B405" s="1957" t="s">
        <v>309</v>
      </c>
      <c r="C405" s="1958"/>
      <c r="D405" s="648" t="s">
        <v>34</v>
      </c>
      <c r="E405" s="649"/>
      <c r="F405" s="649"/>
      <c r="G405" s="649"/>
      <c r="H405" s="649"/>
      <c r="I405" s="649"/>
      <c r="J405" s="649"/>
      <c r="K405" s="649"/>
      <c r="L405" s="650" t="str">
        <f>IF(E405&lt;&gt;"",MAX(L$5:L404)+1,"")</f>
        <v/>
      </c>
      <c r="M405" s="1959" t="s">
        <v>25</v>
      </c>
      <c r="N405" s="539" t="str">
        <f t="shared" ref="N405:T405" si="320">IF(E405&lt;&gt;"",E405,"")</f>
        <v/>
      </c>
      <c r="O405" s="539" t="str">
        <f t="shared" si="320"/>
        <v/>
      </c>
      <c r="P405" s="539" t="str">
        <f t="shared" si="320"/>
        <v/>
      </c>
      <c r="Q405" s="539" t="str">
        <f t="shared" si="320"/>
        <v/>
      </c>
      <c r="R405" s="539" t="str">
        <f t="shared" si="320"/>
        <v/>
      </c>
      <c r="S405" s="539" t="str">
        <f t="shared" si="320"/>
        <v/>
      </c>
      <c r="T405" s="539" t="str">
        <f t="shared" si="320"/>
        <v/>
      </c>
      <c r="U405" s="540" t="str">
        <f t="shared" ref="U405:AA405" si="321">IF(N414&lt;&gt;"",N414/E413*1000,"")</f>
        <v/>
      </c>
      <c r="V405" s="540" t="str">
        <f t="shared" si="321"/>
        <v/>
      </c>
      <c r="W405" s="540" t="str">
        <f t="shared" si="321"/>
        <v/>
      </c>
      <c r="X405" s="540" t="str">
        <f t="shared" si="321"/>
        <v/>
      </c>
      <c r="Y405" s="540" t="str">
        <f t="shared" si="321"/>
        <v/>
      </c>
      <c r="Z405" s="540" t="str">
        <f t="shared" si="321"/>
        <v/>
      </c>
      <c r="AA405" s="540" t="str">
        <f t="shared" si="321"/>
        <v/>
      </c>
      <c r="AB405" s="539" t="str">
        <f>IF(L405&lt;&gt;"",L405,"")</f>
        <v/>
      </c>
      <c r="AC405" s="541" t="str">
        <f>IF(C406&lt;&gt;"",CONCATENATE(C406," a ",C407),"")</f>
        <v/>
      </c>
      <c r="AD405" s="542" t="str">
        <f>IF(C409&lt;&gt;"",C409,"")</f>
        <v/>
      </c>
      <c r="AE405" s="543" t="str">
        <f>IF(E406&lt;&gt;"",E406,"")</f>
        <v/>
      </c>
      <c r="AF405" s="557" t="str">
        <f>IF(E407&lt;&gt;"",E407,"")</f>
        <v/>
      </c>
      <c r="AG405" s="544" t="str">
        <f>IF(N405&lt;&gt;"",N405,"")</f>
        <v/>
      </c>
      <c r="AH405" s="545" t="str">
        <f>IF(E412&lt;&gt;"",E412*100,"")</f>
        <v/>
      </c>
      <c r="AI405" s="546" t="str">
        <f>IF(N414&lt;&gt;"",N414,"")</f>
        <v/>
      </c>
      <c r="AJ405" s="547" t="str">
        <f>IF(AH405="","",((AH405/100)-E414)*100)</f>
        <v/>
      </c>
      <c r="AK405" s="548" t="str">
        <f>IF(U405&lt;&gt;"",U405*100,"")</f>
        <v/>
      </c>
    </row>
    <row r="406" spans="1:37" s="57" customFormat="1" ht="15" customHeight="1" x14ac:dyDescent="0.3">
      <c r="A406" s="1955"/>
      <c r="B406" s="869" t="s">
        <v>310</v>
      </c>
      <c r="C406" s="666"/>
      <c r="D406" s="870" t="s">
        <v>156</v>
      </c>
      <c r="E406" s="871"/>
      <c r="F406" s="871"/>
      <c r="G406" s="871"/>
      <c r="H406" s="871"/>
      <c r="I406" s="871"/>
      <c r="J406" s="871"/>
      <c r="K406" s="871"/>
      <c r="L406" s="651" t="str">
        <f>IF(F405&lt;&gt;"",MAX(L$5:L405)+1,"")</f>
        <v/>
      </c>
      <c r="M406" s="1960"/>
      <c r="N406" s="872" t="str">
        <f>IF(E408&lt;&gt;"",LOOKUP(E408,Tara!$L$5:$L$21,Tara!$M$5:$M$21),"")</f>
        <v/>
      </c>
      <c r="O406" s="872" t="str">
        <f>IF(F408&lt;&gt;"",LOOKUP(F408,Tara!$L$5:$L$21,Tara!$M$5:$M$21),"")</f>
        <v/>
      </c>
      <c r="P406" s="872" t="str">
        <f>IF(G408&lt;&gt;"",LOOKUP(G408,Tara!$L$5:$L$21,Tara!$M$5:$M$21),"")</f>
        <v/>
      </c>
      <c r="Q406" s="872" t="str">
        <f>IF(H408&lt;&gt;"",LOOKUP(H408,Tara!$L$5:$L$21,Tara!$M$5:$M$21),"")</f>
        <v/>
      </c>
      <c r="R406" s="872" t="str">
        <f>IF(I408&lt;&gt;"",LOOKUP(I408,Tara!$L$5:$L$21,Tara!$M$5:$M$21),"")</f>
        <v/>
      </c>
      <c r="S406" s="872" t="str">
        <f>IF(J408&lt;&gt;"",LOOKUP(J408,Tara!$L$5:$L$21,Tara!$M$5:$M$21),"")</f>
        <v/>
      </c>
      <c r="T406" s="872" t="str">
        <f>IF(K408&lt;&gt;"",LOOKUP(K408,Tara!$L$5:$L$21,Tara!$M$5:$M$21),"")</f>
        <v/>
      </c>
      <c r="U406" s="872"/>
      <c r="V406" s="872"/>
      <c r="W406" s="872"/>
      <c r="X406" s="872"/>
      <c r="Y406" s="872"/>
      <c r="Z406" s="872"/>
      <c r="AA406" s="872"/>
      <c r="AB406" s="872" t="str">
        <f t="shared" ref="AB406:AB411" si="322">IF(L406&lt;&gt;"",L406,"")</f>
        <v/>
      </c>
      <c r="AC406" s="873" t="str">
        <f>""</f>
        <v/>
      </c>
      <c r="AD406" s="873" t="str">
        <f>""</f>
        <v/>
      </c>
      <c r="AE406" s="873" t="str">
        <f>IF(F406&lt;&gt;"",F406,"")</f>
        <v/>
      </c>
      <c r="AF406" s="874" t="str">
        <f>IF(E407&lt;&gt;"",F407,"")</f>
        <v/>
      </c>
      <c r="AG406" s="875" t="str">
        <f>IF(O405&lt;&gt;"",O405,"")</f>
        <v/>
      </c>
      <c r="AH406" s="896" t="str">
        <f>IF(F412&lt;&gt;"",F412*100,"")</f>
        <v/>
      </c>
      <c r="AI406" s="897" t="str">
        <f>IF(O414&lt;&gt;"",O414,"")</f>
        <v/>
      </c>
      <c r="AJ406" s="880" t="str">
        <f>IF(AH406="","",((AH406/100)-F414)*100)</f>
        <v/>
      </c>
      <c r="AK406" s="1267" t="str">
        <f>IF(V405&lt;&gt;"",V405*100,"")</f>
        <v/>
      </c>
    </row>
    <row r="407" spans="1:37" s="56" customFormat="1" ht="15" customHeight="1" x14ac:dyDescent="0.3">
      <c r="A407" s="1955"/>
      <c r="B407" s="869" t="s">
        <v>311</v>
      </c>
      <c r="C407" s="666"/>
      <c r="D407" s="870" t="s">
        <v>312</v>
      </c>
      <c r="E407" s="878"/>
      <c r="F407" s="878"/>
      <c r="G407" s="878"/>
      <c r="H407" s="878"/>
      <c r="I407" s="878"/>
      <c r="J407" s="878"/>
      <c r="K407" s="1268"/>
      <c r="L407" s="651" t="str">
        <f>IF(G405&lt;&gt;"",MAX(L$5:L406)+1,"")</f>
        <v/>
      </c>
      <c r="M407" s="1960"/>
      <c r="N407" s="872" t="str">
        <f t="shared" ref="N407:T407" si="323">IF(N406&lt;&gt;"",N406-E409,"")</f>
        <v/>
      </c>
      <c r="O407" s="872" t="str">
        <f t="shared" si="323"/>
        <v/>
      </c>
      <c r="P407" s="872" t="str">
        <f t="shared" si="323"/>
        <v/>
      </c>
      <c r="Q407" s="872" t="str">
        <f t="shared" si="323"/>
        <v/>
      </c>
      <c r="R407" s="872" t="str">
        <f t="shared" si="323"/>
        <v/>
      </c>
      <c r="S407" s="872" t="str">
        <f t="shared" si="323"/>
        <v/>
      </c>
      <c r="T407" s="872" t="str">
        <f t="shared" si="323"/>
        <v/>
      </c>
      <c r="U407" s="879"/>
      <c r="V407" s="879"/>
      <c r="W407" s="879"/>
      <c r="X407" s="879"/>
      <c r="Y407" s="879"/>
      <c r="Z407" s="879"/>
      <c r="AA407" s="879"/>
      <c r="AB407" s="872" t="str">
        <f t="shared" si="322"/>
        <v/>
      </c>
      <c r="AC407" s="873" t="str">
        <f>""</f>
        <v/>
      </c>
      <c r="AD407" s="873" t="str">
        <f>""</f>
        <v/>
      </c>
      <c r="AE407" s="873" t="str">
        <f>IF(G406&lt;&gt;"",G406,"")</f>
        <v/>
      </c>
      <c r="AF407" s="874" t="str">
        <f>IF(G407&lt;&gt;"",G407,"")</f>
        <v/>
      </c>
      <c r="AG407" s="875" t="str">
        <f>IF(P405&lt;&gt;"",P405,"")</f>
        <v/>
      </c>
      <c r="AH407" s="896" t="str">
        <f>IF(G412&lt;&gt;"",G412*100,"")</f>
        <v/>
      </c>
      <c r="AI407" s="897" t="str">
        <f>IF(P414&lt;&gt;"",P414,"")</f>
        <v/>
      </c>
      <c r="AJ407" s="880" t="str">
        <f>IF(AH407="","",((AH407/100)-G414)*100)</f>
        <v/>
      </c>
      <c r="AK407" s="1267" t="str">
        <f>IF(W405&lt;&gt;"",W405*100,"")</f>
        <v/>
      </c>
    </row>
    <row r="408" spans="1:37" s="56" customFormat="1" ht="15" customHeight="1" x14ac:dyDescent="0.3">
      <c r="A408" s="1955"/>
      <c r="B408" s="869" t="s">
        <v>313</v>
      </c>
      <c r="C408" s="666"/>
      <c r="D408" s="870" t="s">
        <v>314</v>
      </c>
      <c r="E408" s="750"/>
      <c r="F408" s="750"/>
      <c r="G408" s="750"/>
      <c r="H408" s="750"/>
      <c r="I408" s="750"/>
      <c r="J408" s="750"/>
      <c r="K408" s="750"/>
      <c r="L408" s="651" t="str">
        <f>IF(H405&lt;&gt;"",MAX(L$5:L407)+1,"")</f>
        <v/>
      </c>
      <c r="M408" s="1960"/>
      <c r="N408" s="872" t="str">
        <f>IF(E408&lt;&gt;"",LOOKUP(E408,Tara!$L$5:$L$21,Tara!$N$5:$N$21),"")</f>
        <v/>
      </c>
      <c r="O408" s="872" t="str">
        <f>IF(F408&lt;&gt;"",LOOKUP(F408,Tara!$L$5:$L$21,Tara!$N$5:$N$21),"")</f>
        <v/>
      </c>
      <c r="P408" s="872" t="str">
        <f>IF(G408&lt;&gt;"",LOOKUP(G408,Tara!$L$5:$L$21,Tara!$N$5:$N$21),"")</f>
        <v/>
      </c>
      <c r="Q408" s="872" t="str">
        <f>IF(H408&lt;&gt;"",LOOKUP(H408,Tara!$L$5:$L$21,Tara!$N$5:$N$21),"")</f>
        <v/>
      </c>
      <c r="R408" s="872" t="str">
        <f>IF(I408&lt;&gt;"",LOOKUP(I408,Tara!$L$5:$L$21,Tara!$N$5:$N$21),"")</f>
        <v/>
      </c>
      <c r="S408" s="872" t="str">
        <f>IF(J408&lt;&gt;"",LOOKUP(J408,Tara!$L$5:$L$21,Tara!$N$5:$N$21),"")</f>
        <v/>
      </c>
      <c r="T408" s="872" t="str">
        <f>IF(K408&lt;&gt;"",LOOKUP(K408,Tara!$L$5:$L$21,Tara!$N$5:$N$21),"")</f>
        <v/>
      </c>
      <c r="U408" s="881"/>
      <c r="V408" s="881"/>
      <c r="W408" s="881"/>
      <c r="X408" s="881"/>
      <c r="Y408" s="881"/>
      <c r="Z408" s="881"/>
      <c r="AA408" s="881"/>
      <c r="AB408" s="872" t="str">
        <f t="shared" si="322"/>
        <v/>
      </c>
      <c r="AC408" s="873" t="str">
        <f>""</f>
        <v/>
      </c>
      <c r="AD408" s="873" t="str">
        <f>""</f>
        <v/>
      </c>
      <c r="AE408" s="873" t="str">
        <f>IF(H406&lt;&gt;"",H406,"")</f>
        <v/>
      </c>
      <c r="AF408" s="874" t="str">
        <f>IF(H407&lt;&gt;"",H407,"")</f>
        <v/>
      </c>
      <c r="AG408" s="875" t="str">
        <f>IF(Q405&lt;&gt;"",Q405,"")</f>
        <v/>
      </c>
      <c r="AH408" s="896" t="str">
        <f>IF(H412&lt;&gt;"",H412*100,"")</f>
        <v/>
      </c>
      <c r="AI408" s="897" t="str">
        <f>IF(Q414&lt;&gt;"",Q414,"")</f>
        <v/>
      </c>
      <c r="AJ408" s="880" t="str">
        <f>IF(AH408="","",((AH408/100)-H414)*100)</f>
        <v/>
      </c>
      <c r="AK408" s="1267" t="str">
        <f>IF(X405&lt;&gt;"",X405*100,"")</f>
        <v/>
      </c>
    </row>
    <row r="409" spans="1:37" s="56" customFormat="1" ht="15" customHeight="1" x14ac:dyDescent="0.3">
      <c r="A409" s="1955"/>
      <c r="B409" s="882" t="s">
        <v>57</v>
      </c>
      <c r="C409" s="688"/>
      <c r="D409" s="870" t="s">
        <v>315</v>
      </c>
      <c r="E409" s="871"/>
      <c r="F409" s="871"/>
      <c r="G409" s="871"/>
      <c r="H409" s="871"/>
      <c r="I409" s="871"/>
      <c r="J409" s="871"/>
      <c r="K409" s="871"/>
      <c r="L409" s="651" t="str">
        <f>IF(I405&lt;&gt;"",MAX(L$5:L408)+1,"")</f>
        <v/>
      </c>
      <c r="M409" s="1960"/>
      <c r="N409" s="872" t="str">
        <f t="shared" ref="N409:T409" si="324">IF(N407&lt;&gt;"",N407-N408,"")</f>
        <v/>
      </c>
      <c r="O409" s="872" t="str">
        <f t="shared" si="324"/>
        <v/>
      </c>
      <c r="P409" s="872" t="str">
        <f t="shared" si="324"/>
        <v/>
      </c>
      <c r="Q409" s="872" t="str">
        <f t="shared" si="324"/>
        <v/>
      </c>
      <c r="R409" s="872" t="str">
        <f t="shared" si="324"/>
        <v/>
      </c>
      <c r="S409" s="872" t="str">
        <f t="shared" si="324"/>
        <v/>
      </c>
      <c r="T409" s="872" t="str">
        <f t="shared" si="324"/>
        <v/>
      </c>
      <c r="U409" s="881"/>
      <c r="V409" s="881"/>
      <c r="W409" s="881"/>
      <c r="X409" s="881"/>
      <c r="Y409" s="881"/>
      <c r="Z409" s="881"/>
      <c r="AA409" s="881"/>
      <c r="AB409" s="872" t="str">
        <f t="shared" si="322"/>
        <v/>
      </c>
      <c r="AC409" s="873" t="str">
        <f>""</f>
        <v/>
      </c>
      <c r="AD409" s="873" t="str">
        <f>""</f>
        <v/>
      </c>
      <c r="AE409" s="873" t="str">
        <f>IF(I406&lt;&gt;"",I406,"")</f>
        <v/>
      </c>
      <c r="AF409" s="874" t="str">
        <f>IF(I407&lt;&gt;"",I407,"")</f>
        <v/>
      </c>
      <c r="AG409" s="875" t="str">
        <f>IF(R405&lt;&gt;"",R405,"")</f>
        <v/>
      </c>
      <c r="AH409" s="896" t="str">
        <f>IF(I412&lt;&gt;"",I412*100,"")</f>
        <v/>
      </c>
      <c r="AI409" s="897" t="str">
        <f>IF(R414&lt;&gt;"",R414,"")</f>
        <v/>
      </c>
      <c r="AJ409" s="880" t="str">
        <f>IF(AH409="","",((AH409/100)-I414)*100)</f>
        <v/>
      </c>
      <c r="AK409" s="1267" t="str">
        <f>IF(Y405&lt;&gt;"",Y405*100,"")</f>
        <v/>
      </c>
    </row>
    <row r="410" spans="1:37" s="316" customFormat="1" ht="15" customHeight="1" x14ac:dyDescent="0.3">
      <c r="A410" s="1955"/>
      <c r="B410" s="882" t="s">
        <v>316</v>
      </c>
      <c r="C410" s="666"/>
      <c r="D410" s="883" t="s">
        <v>317</v>
      </c>
      <c r="E410" s="750"/>
      <c r="F410" s="750"/>
      <c r="G410" s="750"/>
      <c r="H410" s="750"/>
      <c r="I410" s="750"/>
      <c r="J410" s="750"/>
      <c r="K410" s="750"/>
      <c r="L410" s="651" t="str">
        <f>IF(J405&lt;&gt;"",MAX(L$5:L409)+1,"")</f>
        <v/>
      </c>
      <c r="M410" s="1960"/>
      <c r="N410" s="872" t="str">
        <f>IF(E408&lt;&gt;"",LOOKUP(E408,Tara!$L$5:$L$21,Tara!$O$5:$O$21),"")</f>
        <v/>
      </c>
      <c r="O410" s="872" t="str">
        <f>IF(F408&lt;&gt;"",LOOKUP(F408,Tara!$L$5:$L$21,Tara!$O$5:$O$21),"")</f>
        <v/>
      </c>
      <c r="P410" s="872" t="str">
        <f>IF(G408&lt;&gt;"",LOOKUP(G408,Tara!$L$5:$L$21,Tara!$O$5:$O$21),"")</f>
        <v/>
      </c>
      <c r="Q410" s="872" t="str">
        <f>IF(H408&lt;&gt;"",LOOKUP(H408,Tara!$L$5:$L$21,Tara!$O$5:$O$21),"")</f>
        <v/>
      </c>
      <c r="R410" s="872" t="str">
        <f>IF(I408&lt;&gt;"",LOOKUP(I408,Tara!$L$5:$L$21,Tara!$O$5:$O$21),"")</f>
        <v/>
      </c>
      <c r="S410" s="872" t="str">
        <f>IF(J408&lt;&gt;"",LOOKUP(J408,Tara!$L$5:$L$21,Tara!$O$5:$O$21),"")</f>
        <v/>
      </c>
      <c r="T410" s="872" t="str">
        <f>IF(K408&lt;&gt;"",LOOKUP(K408,Tara!$L$5:$L$21,Tara!$O$5:$O$21),"")</f>
        <v/>
      </c>
      <c r="U410" s="884"/>
      <c r="V410" s="884"/>
      <c r="W410" s="884"/>
      <c r="X410" s="884"/>
      <c r="Y410" s="884"/>
      <c r="Z410" s="884"/>
      <c r="AA410" s="884"/>
      <c r="AB410" s="872" t="str">
        <f t="shared" si="322"/>
        <v/>
      </c>
      <c r="AC410" s="873" t="str">
        <f>""</f>
        <v/>
      </c>
      <c r="AD410" s="873" t="str">
        <f>""</f>
        <v/>
      </c>
      <c r="AE410" s="873" t="str">
        <f>IF(J406&lt;&gt;"",J406,"")</f>
        <v/>
      </c>
      <c r="AF410" s="874" t="str">
        <f>IF(J407&lt;&gt;"",J407,"")</f>
        <v/>
      </c>
      <c r="AG410" s="875" t="str">
        <f>IF(S405&lt;&gt;"",S405,"")</f>
        <v/>
      </c>
      <c r="AH410" s="896" t="str">
        <f>IF(J412&lt;&gt;"",J412*100,"")</f>
        <v/>
      </c>
      <c r="AI410" s="897" t="str">
        <f>IF(S414&lt;&gt;"",S414,"")</f>
        <v/>
      </c>
      <c r="AJ410" s="880" t="str">
        <f>IF(AH410="","",((AH410/100)-J414)*100)</f>
        <v/>
      </c>
      <c r="AK410" s="1267" t="str">
        <f>IF(Z405&lt;&gt;"",Z405*100,"")</f>
        <v/>
      </c>
    </row>
    <row r="411" spans="1:37" s="316" customFormat="1" ht="15" customHeight="1" x14ac:dyDescent="0.3">
      <c r="A411" s="1955"/>
      <c r="B411" s="885" t="s">
        <v>318</v>
      </c>
      <c r="C411" s="886"/>
      <c r="D411" s="870" t="s">
        <v>319</v>
      </c>
      <c r="E411" s="750"/>
      <c r="F411" s="750"/>
      <c r="G411" s="750"/>
      <c r="H411" s="750"/>
      <c r="I411" s="750"/>
      <c r="J411" s="750"/>
      <c r="K411" s="750"/>
      <c r="L411" s="651" t="str">
        <f>IF(K405&lt;&gt;"",MAX(L$5:L410)+1,"")</f>
        <v/>
      </c>
      <c r="M411" s="1960"/>
      <c r="N411" s="887" t="str">
        <f>IF(N409&lt;&gt;"",N409/N410,"")</f>
        <v/>
      </c>
      <c r="O411" s="887" t="str">
        <f t="shared" ref="O411:T411" si="325">IF(O409&lt;&gt;"",O409/O410,"")</f>
        <v/>
      </c>
      <c r="P411" s="887" t="str">
        <f t="shared" si="325"/>
        <v/>
      </c>
      <c r="Q411" s="887" t="str">
        <f t="shared" si="325"/>
        <v/>
      </c>
      <c r="R411" s="887" t="str">
        <f t="shared" si="325"/>
        <v/>
      </c>
      <c r="S411" s="887" t="str">
        <f t="shared" si="325"/>
        <v/>
      </c>
      <c r="T411" s="887" t="str">
        <f t="shared" si="325"/>
        <v/>
      </c>
      <c r="U411" s="884"/>
      <c r="V411" s="884"/>
      <c r="W411" s="884"/>
      <c r="X411" s="884"/>
      <c r="Y411" s="884"/>
      <c r="Z411" s="884"/>
      <c r="AA411" s="884"/>
      <c r="AB411" s="872" t="str">
        <f t="shared" si="322"/>
        <v/>
      </c>
      <c r="AC411" s="873" t="str">
        <f>""</f>
        <v/>
      </c>
      <c r="AD411" s="873" t="str">
        <f>""</f>
        <v/>
      </c>
      <c r="AE411" s="873" t="str">
        <f>IF(K406&lt;&gt;"",K406,"")</f>
        <v/>
      </c>
      <c r="AF411" s="874" t="str">
        <f>IF(K407&lt;&gt;"",K407,"")</f>
        <v/>
      </c>
      <c r="AG411" s="875" t="str">
        <f>IF(T405&lt;&gt;"",T405,"")</f>
        <v/>
      </c>
      <c r="AH411" s="896" t="str">
        <f>IF(K412&lt;&gt;"",K412*100,"")</f>
        <v/>
      </c>
      <c r="AI411" s="897" t="str">
        <f>IF(T414&lt;&gt;"",T414,"")</f>
        <v/>
      </c>
      <c r="AJ411" s="880" t="str">
        <f>IF(AH411="","",((AH411/100)-K414)*100)</f>
        <v/>
      </c>
      <c r="AK411" s="1267" t="str">
        <f>IF(AA405&lt;&gt;"",AA405*100,"")</f>
        <v/>
      </c>
    </row>
    <row r="412" spans="1:37" s="316" customFormat="1" ht="15" customHeight="1" x14ac:dyDescent="0.3">
      <c r="A412" s="1955"/>
      <c r="B412" s="652"/>
      <c r="C412" s="653"/>
      <c r="D412" s="870" t="s">
        <v>320</v>
      </c>
      <c r="E412" s="888"/>
      <c r="F412" s="888"/>
      <c r="G412" s="888"/>
      <c r="H412" s="888"/>
      <c r="I412" s="888"/>
      <c r="J412" s="888"/>
      <c r="K412" s="888"/>
      <c r="L412" s="651"/>
      <c r="M412" s="1960"/>
      <c r="N412" s="889" t="str">
        <f>IF(E410&lt;&gt;"",LOOKUP(E410,Tara!$P$5:$P$21,Tara!$Q$5:$Q$21),"")</f>
        <v/>
      </c>
      <c r="O412" s="889" t="str">
        <f>IF(F410&lt;&gt;"",LOOKUP(F410,Tara!$P$5:$P$21,Tara!$Q$5:$Q$21),"")</f>
        <v/>
      </c>
      <c r="P412" s="889" t="str">
        <f>IF(G410&lt;&gt;"",LOOKUP(G410,Tara!$P$5:$P$21,Tara!$Q$5:$Q$21),"")</f>
        <v/>
      </c>
      <c r="Q412" s="889" t="str">
        <f>IF(H410&lt;&gt;"",LOOKUP(H410,Tara!$P$5:$P$21,Tara!$Q$5:$Q$21),"")</f>
        <v/>
      </c>
      <c r="R412" s="889" t="str">
        <f>IF(I410&lt;&gt;"",LOOKUP(I410,Tara!$P$5:$P$21,Tara!$Q$5:$Q$21),"")</f>
        <v/>
      </c>
      <c r="S412" s="889" t="str">
        <f>IF(J410&lt;&gt;"",LOOKUP(J410,Tara!$P$5:$P$21,Tara!$Q$5:$Q$21),"")</f>
        <v/>
      </c>
      <c r="T412" s="889" t="str">
        <f>IF(K410&lt;&gt;"",LOOKUP(K410,Tara!$P$5:$P$21,Tara!$Q$5:$Q$21),"")</f>
        <v/>
      </c>
      <c r="U412" s="884"/>
      <c r="V412" s="884"/>
      <c r="W412" s="884"/>
      <c r="X412" s="884"/>
      <c r="Y412" s="884"/>
      <c r="Z412" s="884"/>
      <c r="AA412" s="884"/>
      <c r="AB412" s="872" t="str">
        <f>""</f>
        <v/>
      </c>
      <c r="AC412" s="873" t="str">
        <f>""</f>
        <v/>
      </c>
      <c r="AD412" s="873" t="str">
        <f>""</f>
        <v/>
      </c>
      <c r="AE412" s="873" t="str">
        <f>""</f>
        <v/>
      </c>
      <c r="AF412" s="874" t="str">
        <f>""</f>
        <v/>
      </c>
      <c r="AG412" s="875" t="str">
        <f>""</f>
        <v/>
      </c>
      <c r="AH412" s="875" t="str">
        <f>""</f>
        <v/>
      </c>
      <c r="AI412" s="875" t="str">
        <f>""</f>
        <v/>
      </c>
      <c r="AJ412" s="890" t="str">
        <f>""</f>
        <v/>
      </c>
      <c r="AK412" s="1267" t="str">
        <f>""</f>
        <v/>
      </c>
    </row>
    <row r="413" spans="1:37" s="316" customFormat="1" ht="15" customHeight="1" x14ac:dyDescent="0.3">
      <c r="A413" s="1955"/>
      <c r="B413" s="654"/>
      <c r="C413" s="655"/>
      <c r="D413" s="891" t="s">
        <v>321</v>
      </c>
      <c r="E413" s="750"/>
      <c r="F413" s="750"/>
      <c r="G413" s="750"/>
      <c r="H413" s="750"/>
      <c r="I413" s="750"/>
      <c r="J413" s="750"/>
      <c r="K413" s="750"/>
      <c r="L413" s="651"/>
      <c r="M413" s="1960"/>
      <c r="N413" s="892" t="str">
        <f t="shared" ref="N413:T413" si="326">IF(E411&lt;&gt;"",(E411-N412)/N411,"")</f>
        <v/>
      </c>
      <c r="O413" s="892" t="str">
        <f t="shared" si="326"/>
        <v/>
      </c>
      <c r="P413" s="892" t="str">
        <f t="shared" si="326"/>
        <v/>
      </c>
      <c r="Q413" s="892" t="str">
        <f t="shared" si="326"/>
        <v/>
      </c>
      <c r="R413" s="892" t="str">
        <f t="shared" si="326"/>
        <v/>
      </c>
      <c r="S413" s="892" t="str">
        <f t="shared" si="326"/>
        <v/>
      </c>
      <c r="T413" s="892" t="str">
        <f t="shared" si="326"/>
        <v/>
      </c>
      <c r="U413" s="884"/>
      <c r="V413" s="884"/>
      <c r="W413" s="884"/>
      <c r="X413" s="884"/>
      <c r="Y413" s="884"/>
      <c r="Z413" s="884"/>
      <c r="AA413" s="884"/>
      <c r="AB413" s="872" t="str">
        <f>""</f>
        <v/>
      </c>
      <c r="AC413" s="873" t="str">
        <f>""</f>
        <v/>
      </c>
      <c r="AD413" s="873" t="str">
        <f>""</f>
        <v/>
      </c>
      <c r="AE413" s="873" t="str">
        <f>""</f>
        <v/>
      </c>
      <c r="AF413" s="874" t="str">
        <f>""</f>
        <v/>
      </c>
      <c r="AG413" s="893" t="str">
        <f>""</f>
        <v/>
      </c>
      <c r="AH413" s="893" t="str">
        <f>""</f>
        <v/>
      </c>
      <c r="AI413" s="893" t="str">
        <f>""</f>
        <v/>
      </c>
      <c r="AJ413" s="895" t="str">
        <f>""</f>
        <v/>
      </c>
      <c r="AK413" s="1269" t="str">
        <f>""</f>
        <v/>
      </c>
    </row>
    <row r="414" spans="1:37" s="316" customFormat="1" ht="15" customHeight="1" thickBot="1" x14ac:dyDescent="0.35">
      <c r="A414" s="1956"/>
      <c r="B414" s="656"/>
      <c r="C414" s="657"/>
      <c r="D414" s="658" t="s">
        <v>99</v>
      </c>
      <c r="E414" s="556"/>
      <c r="F414" s="556"/>
      <c r="G414" s="556"/>
      <c r="H414" s="556"/>
      <c r="I414" s="556"/>
      <c r="J414" s="556"/>
      <c r="K414" s="556"/>
      <c r="L414" s="659"/>
      <c r="M414" s="1961"/>
      <c r="N414" s="549" t="str">
        <f t="shared" ref="N414:T414" si="327">IF(N413&lt;&gt;"",N413/(1+E412),"")</f>
        <v/>
      </c>
      <c r="O414" s="549" t="str">
        <f t="shared" si="327"/>
        <v/>
      </c>
      <c r="P414" s="549" t="str">
        <f t="shared" si="327"/>
        <v/>
      </c>
      <c r="Q414" s="549" t="str">
        <f t="shared" si="327"/>
        <v/>
      </c>
      <c r="R414" s="549" t="str">
        <f t="shared" si="327"/>
        <v/>
      </c>
      <c r="S414" s="549" t="str">
        <f t="shared" si="327"/>
        <v/>
      </c>
      <c r="T414" s="549" t="str">
        <f t="shared" si="327"/>
        <v/>
      </c>
      <c r="U414" s="550"/>
      <c r="V414" s="550"/>
      <c r="W414" s="550"/>
      <c r="X414" s="550"/>
      <c r="Y414" s="550"/>
      <c r="Z414" s="550"/>
      <c r="AA414" s="550"/>
      <c r="AB414" s="551">
        <f>MAX(AB$5:AB413)+1</f>
        <v>41</v>
      </c>
      <c r="AC414" s="552" t="str">
        <f>""</f>
        <v/>
      </c>
      <c r="AD414" s="552" t="str">
        <f>""</f>
        <v/>
      </c>
      <c r="AE414" s="552" t="str">
        <f>""</f>
        <v/>
      </c>
      <c r="AF414" s="558" t="str">
        <f>""</f>
        <v/>
      </c>
      <c r="AG414" s="553" t="str">
        <f>""</f>
        <v/>
      </c>
      <c r="AH414" s="553" t="str">
        <f>""</f>
        <v/>
      </c>
      <c r="AI414" s="553" t="str">
        <f>""</f>
        <v/>
      </c>
      <c r="AJ414" s="554" t="str">
        <f>""</f>
        <v/>
      </c>
      <c r="AK414" s="555" t="str">
        <f>""</f>
        <v/>
      </c>
    </row>
  </sheetData>
  <mergeCells count="130">
    <mergeCell ref="M35:M44"/>
    <mergeCell ref="A85:A94"/>
    <mergeCell ref="B85:C85"/>
    <mergeCell ref="M85:M94"/>
    <mergeCell ref="A125:A134"/>
    <mergeCell ref="B125:C125"/>
    <mergeCell ref="M125:M134"/>
    <mergeCell ref="A135:A144"/>
    <mergeCell ref="B135:C135"/>
    <mergeCell ref="M135:M144"/>
    <mergeCell ref="A65:A74"/>
    <mergeCell ref="B65:C65"/>
    <mergeCell ref="M65:M74"/>
    <mergeCell ref="A75:A84"/>
    <mergeCell ref="B75:C75"/>
    <mergeCell ref="M75:M84"/>
    <mergeCell ref="A95:A104"/>
    <mergeCell ref="B95:C95"/>
    <mergeCell ref="M95:M104"/>
    <mergeCell ref="A165:A174"/>
    <mergeCell ref="B165:C165"/>
    <mergeCell ref="M165:M174"/>
    <mergeCell ref="A175:A184"/>
    <mergeCell ref="B175:C175"/>
    <mergeCell ref="M175:M184"/>
    <mergeCell ref="A105:A114"/>
    <mergeCell ref="B105:C105"/>
    <mergeCell ref="M105:M114"/>
    <mergeCell ref="A115:A124"/>
    <mergeCell ref="B115:C115"/>
    <mergeCell ref="M115:M124"/>
    <mergeCell ref="A145:A154"/>
    <mergeCell ref="B145:C145"/>
    <mergeCell ref="M145:M154"/>
    <mergeCell ref="A155:A164"/>
    <mergeCell ref="B155:C155"/>
    <mergeCell ref="M155:M164"/>
    <mergeCell ref="AC1:AC4"/>
    <mergeCell ref="AF1:AF4"/>
    <mergeCell ref="M4:N4"/>
    <mergeCell ref="AE1:AE4"/>
    <mergeCell ref="AD1:AD4"/>
    <mergeCell ref="A45:A54"/>
    <mergeCell ref="M45:M54"/>
    <mergeCell ref="A55:A64"/>
    <mergeCell ref="B55:C55"/>
    <mergeCell ref="M55:M64"/>
    <mergeCell ref="B45:C45"/>
    <mergeCell ref="L1:L4"/>
    <mergeCell ref="D1:K4"/>
    <mergeCell ref="A15:A24"/>
    <mergeCell ref="B15:C15"/>
    <mergeCell ref="M15:M24"/>
    <mergeCell ref="A5:A14"/>
    <mergeCell ref="B5:C5"/>
    <mergeCell ref="M5:M14"/>
    <mergeCell ref="A25:A34"/>
    <mergeCell ref="B25:C25"/>
    <mergeCell ref="M25:M34"/>
    <mergeCell ref="A35:A44"/>
    <mergeCell ref="B35:C35"/>
    <mergeCell ref="A205:A214"/>
    <mergeCell ref="B205:C205"/>
    <mergeCell ref="M205:M214"/>
    <mergeCell ref="A215:A224"/>
    <mergeCell ref="B215:C215"/>
    <mergeCell ref="M215:M224"/>
    <mergeCell ref="A185:A194"/>
    <mergeCell ref="B185:C185"/>
    <mergeCell ref="M185:M194"/>
    <mergeCell ref="A195:A204"/>
    <mergeCell ref="B195:C195"/>
    <mergeCell ref="M195:M204"/>
    <mergeCell ref="A245:A254"/>
    <mergeCell ref="B245:C245"/>
    <mergeCell ref="M245:M254"/>
    <mergeCell ref="A255:A264"/>
    <mergeCell ref="B255:C255"/>
    <mergeCell ref="M255:M264"/>
    <mergeCell ref="A225:A234"/>
    <mergeCell ref="B225:C225"/>
    <mergeCell ref="M225:M234"/>
    <mergeCell ref="A235:A244"/>
    <mergeCell ref="B235:C235"/>
    <mergeCell ref="M235:M244"/>
    <mergeCell ref="A285:A294"/>
    <mergeCell ref="B285:C285"/>
    <mergeCell ref="M285:M294"/>
    <mergeCell ref="A295:A304"/>
    <mergeCell ref="B295:C295"/>
    <mergeCell ref="M295:M304"/>
    <mergeCell ref="A265:A274"/>
    <mergeCell ref="B265:C265"/>
    <mergeCell ref="M265:M274"/>
    <mergeCell ref="A275:A284"/>
    <mergeCell ref="B275:C275"/>
    <mergeCell ref="M275:M284"/>
    <mergeCell ref="A325:A334"/>
    <mergeCell ref="B325:C325"/>
    <mergeCell ref="M325:M334"/>
    <mergeCell ref="A335:A344"/>
    <mergeCell ref="B335:C335"/>
    <mergeCell ref="M335:M344"/>
    <mergeCell ref="A305:A314"/>
    <mergeCell ref="B305:C305"/>
    <mergeCell ref="M305:M314"/>
    <mergeCell ref="A315:A324"/>
    <mergeCell ref="B315:C315"/>
    <mergeCell ref="M315:M324"/>
    <mergeCell ref="A365:A374"/>
    <mergeCell ref="B365:C365"/>
    <mergeCell ref="M365:M374"/>
    <mergeCell ref="A375:A384"/>
    <mergeCell ref="B375:C375"/>
    <mergeCell ref="M375:M384"/>
    <mergeCell ref="A345:A354"/>
    <mergeCell ref="B345:C345"/>
    <mergeCell ref="M345:M354"/>
    <mergeCell ref="A355:A364"/>
    <mergeCell ref="B355:C355"/>
    <mergeCell ref="M355:M364"/>
    <mergeCell ref="A405:A414"/>
    <mergeCell ref="B405:C405"/>
    <mergeCell ref="M405:M414"/>
    <mergeCell ref="A385:A394"/>
    <mergeCell ref="B385:C385"/>
    <mergeCell ref="M385:M394"/>
    <mergeCell ref="A395:A404"/>
    <mergeCell ref="B395:C395"/>
    <mergeCell ref="M395:M40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1">
    <tabColor rgb="FFFFFF00"/>
  </sheetPr>
  <dimension ref="A1:AK60"/>
  <sheetViews>
    <sheetView view="pageBreakPreview" zoomScale="85" zoomScaleNormal="100" zoomScaleSheetLayoutView="85" workbookViewId="0">
      <pane ySplit="4" topLeftCell="A23" activePane="bottomLeft" state="frozen"/>
      <selection activeCell="B19" sqref="B19"/>
      <selection pane="bottomLeft" activeCell="B19" sqref="B19"/>
    </sheetView>
  </sheetViews>
  <sheetFormatPr defaultRowHeight="13" x14ac:dyDescent="0.3"/>
  <cols>
    <col min="1" max="1" width="3.26953125" style="303" customWidth="1"/>
    <col min="2" max="3" width="9.7265625" style="303" customWidth="1"/>
    <col min="4" max="5" width="8.7265625" style="303" customWidth="1"/>
    <col min="6" max="12" width="9" style="303" customWidth="1"/>
    <col min="13" max="35" width="9.1796875" style="303"/>
    <col min="36" max="36" width="9" style="303" customWidth="1"/>
    <col min="37" max="37" width="2.7265625" style="326" customWidth="1"/>
    <col min="38" max="250" width="9.1796875" style="303"/>
    <col min="251" max="251" width="2.453125" style="303" customWidth="1"/>
    <col min="252" max="252" width="18" style="303" customWidth="1"/>
    <col min="253" max="253" width="21.1796875" style="303" customWidth="1"/>
    <col min="254" max="260" width="8.26953125" style="303" customWidth="1"/>
    <col min="261" max="261" width="2.1796875" style="303" bestFit="1" customWidth="1"/>
    <col min="262" max="262" width="18.26953125" style="303" customWidth="1"/>
    <col min="263" max="263" width="6.7265625" style="303" customWidth="1"/>
    <col min="264" max="264" width="10.1796875" style="303" bestFit="1" customWidth="1"/>
    <col min="265" max="265" width="8.7265625" style="303" bestFit="1" customWidth="1"/>
    <col min="266" max="506" width="9.1796875" style="303"/>
    <col min="507" max="507" width="2.453125" style="303" customWidth="1"/>
    <col min="508" max="508" width="18" style="303" customWidth="1"/>
    <col min="509" max="509" width="21.1796875" style="303" customWidth="1"/>
    <col min="510" max="516" width="8.26953125" style="303" customWidth="1"/>
    <col min="517" max="517" width="2.1796875" style="303" bestFit="1" customWidth="1"/>
    <col min="518" max="518" width="18.26953125" style="303" customWidth="1"/>
    <col min="519" max="519" width="6.7265625" style="303" customWidth="1"/>
    <col min="520" max="520" width="10.1796875" style="303" bestFit="1" customWidth="1"/>
    <col min="521" max="521" width="8.7265625" style="303" bestFit="1" customWidth="1"/>
    <col min="522" max="762" width="9.1796875" style="303"/>
    <col min="763" max="763" width="2.453125" style="303" customWidth="1"/>
    <col min="764" max="764" width="18" style="303" customWidth="1"/>
    <col min="765" max="765" width="21.1796875" style="303" customWidth="1"/>
    <col min="766" max="772" width="8.26953125" style="303" customWidth="1"/>
    <col min="773" max="773" width="2.1796875" style="303" bestFit="1" customWidth="1"/>
    <col min="774" max="774" width="18.26953125" style="303" customWidth="1"/>
    <col min="775" max="775" width="6.7265625" style="303" customWidth="1"/>
    <col min="776" max="776" width="10.1796875" style="303" bestFit="1" customWidth="1"/>
    <col min="777" max="777" width="8.7265625" style="303" bestFit="1" customWidth="1"/>
    <col min="778" max="1018" width="9.1796875" style="303"/>
    <col min="1019" max="1019" width="2.453125" style="303" customWidth="1"/>
    <col min="1020" max="1020" width="18" style="303" customWidth="1"/>
    <col min="1021" max="1021" width="21.1796875" style="303" customWidth="1"/>
    <col min="1022" max="1028" width="8.26953125" style="303" customWidth="1"/>
    <col min="1029" max="1029" width="2.1796875" style="303" bestFit="1" customWidth="1"/>
    <col min="1030" max="1030" width="18.26953125" style="303" customWidth="1"/>
    <col min="1031" max="1031" width="6.7265625" style="303" customWidth="1"/>
    <col min="1032" max="1032" width="10.1796875" style="303" bestFit="1" customWidth="1"/>
    <col min="1033" max="1033" width="8.7265625" style="303" bestFit="1" customWidth="1"/>
    <col min="1034" max="1274" width="9.1796875" style="303"/>
    <col min="1275" max="1275" width="2.453125" style="303" customWidth="1"/>
    <col min="1276" max="1276" width="18" style="303" customWidth="1"/>
    <col min="1277" max="1277" width="21.1796875" style="303" customWidth="1"/>
    <col min="1278" max="1284" width="8.26953125" style="303" customWidth="1"/>
    <col min="1285" max="1285" width="2.1796875" style="303" bestFit="1" customWidth="1"/>
    <col min="1286" max="1286" width="18.26953125" style="303" customWidth="1"/>
    <col min="1287" max="1287" width="6.7265625" style="303" customWidth="1"/>
    <col min="1288" max="1288" width="10.1796875" style="303" bestFit="1" customWidth="1"/>
    <col min="1289" max="1289" width="8.7265625" style="303" bestFit="1" customWidth="1"/>
    <col min="1290" max="1530" width="9.1796875" style="303"/>
    <col min="1531" max="1531" width="2.453125" style="303" customWidth="1"/>
    <col min="1532" max="1532" width="18" style="303" customWidth="1"/>
    <col min="1533" max="1533" width="21.1796875" style="303" customWidth="1"/>
    <col min="1534" max="1540" width="8.26953125" style="303" customWidth="1"/>
    <col min="1541" max="1541" width="2.1796875" style="303" bestFit="1" customWidth="1"/>
    <col min="1542" max="1542" width="18.26953125" style="303" customWidth="1"/>
    <col min="1543" max="1543" width="6.7265625" style="303" customWidth="1"/>
    <col min="1544" max="1544" width="10.1796875" style="303" bestFit="1" customWidth="1"/>
    <col min="1545" max="1545" width="8.7265625" style="303" bestFit="1" customWidth="1"/>
    <col min="1546" max="1786" width="9.1796875" style="303"/>
    <col min="1787" max="1787" width="2.453125" style="303" customWidth="1"/>
    <col min="1788" max="1788" width="18" style="303" customWidth="1"/>
    <col min="1789" max="1789" width="21.1796875" style="303" customWidth="1"/>
    <col min="1790" max="1796" width="8.26953125" style="303" customWidth="1"/>
    <col min="1797" max="1797" width="2.1796875" style="303" bestFit="1" customWidth="1"/>
    <col min="1798" max="1798" width="18.26953125" style="303" customWidth="1"/>
    <col min="1799" max="1799" width="6.7265625" style="303" customWidth="1"/>
    <col min="1800" max="1800" width="10.1796875" style="303" bestFit="1" customWidth="1"/>
    <col min="1801" max="1801" width="8.7265625" style="303" bestFit="1" customWidth="1"/>
    <col min="1802" max="2042" width="9.1796875" style="303"/>
    <col min="2043" max="2043" width="2.453125" style="303" customWidth="1"/>
    <col min="2044" max="2044" width="18" style="303" customWidth="1"/>
    <col min="2045" max="2045" width="21.1796875" style="303" customWidth="1"/>
    <col min="2046" max="2052" width="8.26953125" style="303" customWidth="1"/>
    <col min="2053" max="2053" width="2.1796875" style="303" bestFit="1" customWidth="1"/>
    <col min="2054" max="2054" width="18.26953125" style="303" customWidth="1"/>
    <col min="2055" max="2055" width="6.7265625" style="303" customWidth="1"/>
    <col min="2056" max="2056" width="10.1796875" style="303" bestFit="1" customWidth="1"/>
    <col min="2057" max="2057" width="8.7265625" style="303" bestFit="1" customWidth="1"/>
    <col min="2058" max="2298" width="9.1796875" style="303"/>
    <col min="2299" max="2299" width="2.453125" style="303" customWidth="1"/>
    <col min="2300" max="2300" width="18" style="303" customWidth="1"/>
    <col min="2301" max="2301" width="21.1796875" style="303" customWidth="1"/>
    <col min="2302" max="2308" width="8.26953125" style="303" customWidth="1"/>
    <col min="2309" max="2309" width="2.1796875" style="303" bestFit="1" customWidth="1"/>
    <col min="2310" max="2310" width="18.26953125" style="303" customWidth="1"/>
    <col min="2311" max="2311" width="6.7265625" style="303" customWidth="1"/>
    <col min="2312" max="2312" width="10.1796875" style="303" bestFit="1" customWidth="1"/>
    <col min="2313" max="2313" width="8.7265625" style="303" bestFit="1" customWidth="1"/>
    <col min="2314" max="2554" width="9.1796875" style="303"/>
    <col min="2555" max="2555" width="2.453125" style="303" customWidth="1"/>
    <col min="2556" max="2556" width="18" style="303" customWidth="1"/>
    <col min="2557" max="2557" width="21.1796875" style="303" customWidth="1"/>
    <col min="2558" max="2564" width="8.26953125" style="303" customWidth="1"/>
    <col min="2565" max="2565" width="2.1796875" style="303" bestFit="1" customWidth="1"/>
    <col min="2566" max="2566" width="18.26953125" style="303" customWidth="1"/>
    <col min="2567" max="2567" width="6.7265625" style="303" customWidth="1"/>
    <col min="2568" max="2568" width="10.1796875" style="303" bestFit="1" customWidth="1"/>
    <col min="2569" max="2569" width="8.7265625" style="303" bestFit="1" customWidth="1"/>
    <col min="2570" max="2810" width="9.1796875" style="303"/>
    <col min="2811" max="2811" width="2.453125" style="303" customWidth="1"/>
    <col min="2812" max="2812" width="18" style="303" customWidth="1"/>
    <col min="2813" max="2813" width="21.1796875" style="303" customWidth="1"/>
    <col min="2814" max="2820" width="8.26953125" style="303" customWidth="1"/>
    <col min="2821" max="2821" width="2.1796875" style="303" bestFit="1" customWidth="1"/>
    <col min="2822" max="2822" width="18.26953125" style="303" customWidth="1"/>
    <col min="2823" max="2823" width="6.7265625" style="303" customWidth="1"/>
    <col min="2824" max="2824" width="10.1796875" style="303" bestFit="1" customWidth="1"/>
    <col min="2825" max="2825" width="8.7265625" style="303" bestFit="1" customWidth="1"/>
    <col min="2826" max="3066" width="9.1796875" style="303"/>
    <col min="3067" max="3067" width="2.453125" style="303" customWidth="1"/>
    <col min="3068" max="3068" width="18" style="303" customWidth="1"/>
    <col min="3069" max="3069" width="21.1796875" style="303" customWidth="1"/>
    <col min="3070" max="3076" width="8.26953125" style="303" customWidth="1"/>
    <col min="3077" max="3077" width="2.1796875" style="303" bestFit="1" customWidth="1"/>
    <col min="3078" max="3078" width="18.26953125" style="303" customWidth="1"/>
    <col min="3079" max="3079" width="6.7265625" style="303" customWidth="1"/>
    <col min="3080" max="3080" width="10.1796875" style="303" bestFit="1" customWidth="1"/>
    <col min="3081" max="3081" width="8.7265625" style="303" bestFit="1" customWidth="1"/>
    <col min="3082" max="3322" width="9.1796875" style="303"/>
    <col min="3323" max="3323" width="2.453125" style="303" customWidth="1"/>
    <col min="3324" max="3324" width="18" style="303" customWidth="1"/>
    <col min="3325" max="3325" width="21.1796875" style="303" customWidth="1"/>
    <col min="3326" max="3332" width="8.26953125" style="303" customWidth="1"/>
    <col min="3333" max="3333" width="2.1796875" style="303" bestFit="1" customWidth="1"/>
    <col min="3334" max="3334" width="18.26953125" style="303" customWidth="1"/>
    <col min="3335" max="3335" width="6.7265625" style="303" customWidth="1"/>
    <col min="3336" max="3336" width="10.1796875" style="303" bestFit="1" customWidth="1"/>
    <col min="3337" max="3337" width="8.7265625" style="303" bestFit="1" customWidth="1"/>
    <col min="3338" max="3578" width="9.1796875" style="303"/>
    <col min="3579" max="3579" width="2.453125" style="303" customWidth="1"/>
    <col min="3580" max="3580" width="18" style="303" customWidth="1"/>
    <col min="3581" max="3581" width="21.1796875" style="303" customWidth="1"/>
    <col min="3582" max="3588" width="8.26953125" style="303" customWidth="1"/>
    <col min="3589" max="3589" width="2.1796875" style="303" bestFit="1" customWidth="1"/>
    <col min="3590" max="3590" width="18.26953125" style="303" customWidth="1"/>
    <col min="3591" max="3591" width="6.7265625" style="303" customWidth="1"/>
    <col min="3592" max="3592" width="10.1796875" style="303" bestFit="1" customWidth="1"/>
    <col min="3593" max="3593" width="8.7265625" style="303" bestFit="1" customWidth="1"/>
    <col min="3594" max="3834" width="9.1796875" style="303"/>
    <col min="3835" max="3835" width="2.453125" style="303" customWidth="1"/>
    <col min="3836" max="3836" width="18" style="303" customWidth="1"/>
    <col min="3837" max="3837" width="21.1796875" style="303" customWidth="1"/>
    <col min="3838" max="3844" width="8.26953125" style="303" customWidth="1"/>
    <col min="3845" max="3845" width="2.1796875" style="303" bestFit="1" customWidth="1"/>
    <col min="3846" max="3846" width="18.26953125" style="303" customWidth="1"/>
    <col min="3847" max="3847" width="6.7265625" style="303" customWidth="1"/>
    <col min="3848" max="3848" width="10.1796875" style="303" bestFit="1" customWidth="1"/>
    <col min="3849" max="3849" width="8.7265625" style="303" bestFit="1" customWidth="1"/>
    <col min="3850" max="4090" width="9.1796875" style="303"/>
    <col min="4091" max="4091" width="2.453125" style="303" customWidth="1"/>
    <col min="4092" max="4092" width="18" style="303" customWidth="1"/>
    <col min="4093" max="4093" width="21.1796875" style="303" customWidth="1"/>
    <col min="4094" max="4100" width="8.26953125" style="303" customWidth="1"/>
    <col min="4101" max="4101" width="2.1796875" style="303" bestFit="1" customWidth="1"/>
    <col min="4102" max="4102" width="18.26953125" style="303" customWidth="1"/>
    <col min="4103" max="4103" width="6.7265625" style="303" customWidth="1"/>
    <col min="4104" max="4104" width="10.1796875" style="303" bestFit="1" customWidth="1"/>
    <col min="4105" max="4105" width="8.7265625" style="303" bestFit="1" customWidth="1"/>
    <col min="4106" max="4346" width="9.1796875" style="303"/>
    <col min="4347" max="4347" width="2.453125" style="303" customWidth="1"/>
    <col min="4348" max="4348" width="18" style="303" customWidth="1"/>
    <col min="4349" max="4349" width="21.1796875" style="303" customWidth="1"/>
    <col min="4350" max="4356" width="8.26953125" style="303" customWidth="1"/>
    <col min="4357" max="4357" width="2.1796875" style="303" bestFit="1" customWidth="1"/>
    <col min="4358" max="4358" width="18.26953125" style="303" customWidth="1"/>
    <col min="4359" max="4359" width="6.7265625" style="303" customWidth="1"/>
    <col min="4360" max="4360" width="10.1796875" style="303" bestFit="1" customWidth="1"/>
    <col min="4361" max="4361" width="8.7265625" style="303" bestFit="1" customWidth="1"/>
    <col min="4362" max="4602" width="9.1796875" style="303"/>
    <col min="4603" max="4603" width="2.453125" style="303" customWidth="1"/>
    <col min="4604" max="4604" width="18" style="303" customWidth="1"/>
    <col min="4605" max="4605" width="21.1796875" style="303" customWidth="1"/>
    <col min="4606" max="4612" width="8.26953125" style="303" customWidth="1"/>
    <col min="4613" max="4613" width="2.1796875" style="303" bestFit="1" customWidth="1"/>
    <col min="4614" max="4614" width="18.26953125" style="303" customWidth="1"/>
    <col min="4615" max="4615" width="6.7265625" style="303" customWidth="1"/>
    <col min="4616" max="4616" width="10.1796875" style="303" bestFit="1" customWidth="1"/>
    <col min="4617" max="4617" width="8.7265625" style="303" bestFit="1" customWidth="1"/>
    <col min="4618" max="4858" width="9.1796875" style="303"/>
    <col min="4859" max="4859" width="2.453125" style="303" customWidth="1"/>
    <col min="4860" max="4860" width="18" style="303" customWidth="1"/>
    <col min="4861" max="4861" width="21.1796875" style="303" customWidth="1"/>
    <col min="4862" max="4868" width="8.26953125" style="303" customWidth="1"/>
    <col min="4869" max="4869" width="2.1796875" style="303" bestFit="1" customWidth="1"/>
    <col min="4870" max="4870" width="18.26953125" style="303" customWidth="1"/>
    <col min="4871" max="4871" width="6.7265625" style="303" customWidth="1"/>
    <col min="4872" max="4872" width="10.1796875" style="303" bestFit="1" customWidth="1"/>
    <col min="4873" max="4873" width="8.7265625" style="303" bestFit="1" customWidth="1"/>
    <col min="4874" max="5114" width="9.1796875" style="303"/>
    <col min="5115" max="5115" width="2.453125" style="303" customWidth="1"/>
    <col min="5116" max="5116" width="18" style="303" customWidth="1"/>
    <col min="5117" max="5117" width="21.1796875" style="303" customWidth="1"/>
    <col min="5118" max="5124" width="8.26953125" style="303" customWidth="1"/>
    <col min="5125" max="5125" width="2.1796875" style="303" bestFit="1" customWidth="1"/>
    <col min="5126" max="5126" width="18.26953125" style="303" customWidth="1"/>
    <col min="5127" max="5127" width="6.7265625" style="303" customWidth="1"/>
    <col min="5128" max="5128" width="10.1796875" style="303" bestFit="1" customWidth="1"/>
    <col min="5129" max="5129" width="8.7265625" style="303" bestFit="1" customWidth="1"/>
    <col min="5130" max="5370" width="9.1796875" style="303"/>
    <col min="5371" max="5371" width="2.453125" style="303" customWidth="1"/>
    <col min="5372" max="5372" width="18" style="303" customWidth="1"/>
    <col min="5373" max="5373" width="21.1796875" style="303" customWidth="1"/>
    <col min="5374" max="5380" width="8.26953125" style="303" customWidth="1"/>
    <col min="5381" max="5381" width="2.1796875" style="303" bestFit="1" customWidth="1"/>
    <col min="5382" max="5382" width="18.26953125" style="303" customWidth="1"/>
    <col min="5383" max="5383" width="6.7265625" style="303" customWidth="1"/>
    <col min="5384" max="5384" width="10.1796875" style="303" bestFit="1" customWidth="1"/>
    <col min="5385" max="5385" width="8.7265625" style="303" bestFit="1" customWidth="1"/>
    <col min="5386" max="5626" width="9.1796875" style="303"/>
    <col min="5627" max="5627" width="2.453125" style="303" customWidth="1"/>
    <col min="5628" max="5628" width="18" style="303" customWidth="1"/>
    <col min="5629" max="5629" width="21.1796875" style="303" customWidth="1"/>
    <col min="5630" max="5636" width="8.26953125" style="303" customWidth="1"/>
    <col min="5637" max="5637" width="2.1796875" style="303" bestFit="1" customWidth="1"/>
    <col min="5638" max="5638" width="18.26953125" style="303" customWidth="1"/>
    <col min="5639" max="5639" width="6.7265625" style="303" customWidth="1"/>
    <col min="5640" max="5640" width="10.1796875" style="303" bestFit="1" customWidth="1"/>
    <col min="5641" max="5641" width="8.7265625" style="303" bestFit="1" customWidth="1"/>
    <col min="5642" max="5882" width="9.1796875" style="303"/>
    <col min="5883" max="5883" width="2.453125" style="303" customWidth="1"/>
    <col min="5884" max="5884" width="18" style="303" customWidth="1"/>
    <col min="5885" max="5885" width="21.1796875" style="303" customWidth="1"/>
    <col min="5886" max="5892" width="8.26953125" style="303" customWidth="1"/>
    <col min="5893" max="5893" width="2.1796875" style="303" bestFit="1" customWidth="1"/>
    <col min="5894" max="5894" width="18.26953125" style="303" customWidth="1"/>
    <col min="5895" max="5895" width="6.7265625" style="303" customWidth="1"/>
    <col min="5896" max="5896" width="10.1796875" style="303" bestFit="1" customWidth="1"/>
    <col min="5897" max="5897" width="8.7265625" style="303" bestFit="1" customWidth="1"/>
    <col min="5898" max="6138" width="9.1796875" style="303"/>
    <col min="6139" max="6139" width="2.453125" style="303" customWidth="1"/>
    <col min="6140" max="6140" width="18" style="303" customWidth="1"/>
    <col min="6141" max="6141" width="21.1796875" style="303" customWidth="1"/>
    <col min="6142" max="6148" width="8.26953125" style="303" customWidth="1"/>
    <col min="6149" max="6149" width="2.1796875" style="303" bestFit="1" customWidth="1"/>
    <col min="6150" max="6150" width="18.26953125" style="303" customWidth="1"/>
    <col min="6151" max="6151" width="6.7265625" style="303" customWidth="1"/>
    <col min="6152" max="6152" width="10.1796875" style="303" bestFit="1" customWidth="1"/>
    <col min="6153" max="6153" width="8.7265625" style="303" bestFit="1" customWidth="1"/>
    <col min="6154" max="6394" width="9.1796875" style="303"/>
    <col min="6395" max="6395" width="2.453125" style="303" customWidth="1"/>
    <col min="6396" max="6396" width="18" style="303" customWidth="1"/>
    <col min="6397" max="6397" width="21.1796875" style="303" customWidth="1"/>
    <col min="6398" max="6404" width="8.26953125" style="303" customWidth="1"/>
    <col min="6405" max="6405" width="2.1796875" style="303" bestFit="1" customWidth="1"/>
    <col min="6406" max="6406" width="18.26953125" style="303" customWidth="1"/>
    <col min="6407" max="6407" width="6.7265625" style="303" customWidth="1"/>
    <col min="6408" max="6408" width="10.1796875" style="303" bestFit="1" customWidth="1"/>
    <col min="6409" max="6409" width="8.7265625" style="303" bestFit="1" customWidth="1"/>
    <col min="6410" max="6650" width="9.1796875" style="303"/>
    <col min="6651" max="6651" width="2.453125" style="303" customWidth="1"/>
    <col min="6652" max="6652" width="18" style="303" customWidth="1"/>
    <col min="6653" max="6653" width="21.1796875" style="303" customWidth="1"/>
    <col min="6654" max="6660" width="8.26953125" style="303" customWidth="1"/>
    <col min="6661" max="6661" width="2.1796875" style="303" bestFit="1" customWidth="1"/>
    <col min="6662" max="6662" width="18.26953125" style="303" customWidth="1"/>
    <col min="6663" max="6663" width="6.7265625" style="303" customWidth="1"/>
    <col min="6664" max="6664" width="10.1796875" style="303" bestFit="1" customWidth="1"/>
    <col min="6665" max="6665" width="8.7265625" style="303" bestFit="1" customWidth="1"/>
    <col min="6666" max="6906" width="9.1796875" style="303"/>
    <col min="6907" max="6907" width="2.453125" style="303" customWidth="1"/>
    <col min="6908" max="6908" width="18" style="303" customWidth="1"/>
    <col min="6909" max="6909" width="21.1796875" style="303" customWidth="1"/>
    <col min="6910" max="6916" width="8.26953125" style="303" customWidth="1"/>
    <col min="6917" max="6917" width="2.1796875" style="303" bestFit="1" customWidth="1"/>
    <col min="6918" max="6918" width="18.26953125" style="303" customWidth="1"/>
    <col min="6919" max="6919" width="6.7265625" style="303" customWidth="1"/>
    <col min="6920" max="6920" width="10.1796875" style="303" bestFit="1" customWidth="1"/>
    <col min="6921" max="6921" width="8.7265625" style="303" bestFit="1" customWidth="1"/>
    <col min="6922" max="7162" width="9.1796875" style="303"/>
    <col min="7163" max="7163" width="2.453125" style="303" customWidth="1"/>
    <col min="7164" max="7164" width="18" style="303" customWidth="1"/>
    <col min="7165" max="7165" width="21.1796875" style="303" customWidth="1"/>
    <col min="7166" max="7172" width="8.26953125" style="303" customWidth="1"/>
    <col min="7173" max="7173" width="2.1796875" style="303" bestFit="1" customWidth="1"/>
    <col min="7174" max="7174" width="18.26953125" style="303" customWidth="1"/>
    <col min="7175" max="7175" width="6.7265625" style="303" customWidth="1"/>
    <col min="7176" max="7176" width="10.1796875" style="303" bestFit="1" customWidth="1"/>
    <col min="7177" max="7177" width="8.7265625" style="303" bestFit="1" customWidth="1"/>
    <col min="7178" max="7418" width="9.1796875" style="303"/>
    <col min="7419" max="7419" width="2.453125" style="303" customWidth="1"/>
    <col min="7420" max="7420" width="18" style="303" customWidth="1"/>
    <col min="7421" max="7421" width="21.1796875" style="303" customWidth="1"/>
    <col min="7422" max="7428" width="8.26953125" style="303" customWidth="1"/>
    <col min="7429" max="7429" width="2.1796875" style="303" bestFit="1" customWidth="1"/>
    <col min="7430" max="7430" width="18.26953125" style="303" customWidth="1"/>
    <col min="7431" max="7431" width="6.7265625" style="303" customWidth="1"/>
    <col min="7432" max="7432" width="10.1796875" style="303" bestFit="1" customWidth="1"/>
    <col min="7433" max="7433" width="8.7265625" style="303" bestFit="1" customWidth="1"/>
    <col min="7434" max="7674" width="9.1796875" style="303"/>
    <col min="7675" max="7675" width="2.453125" style="303" customWidth="1"/>
    <col min="7676" max="7676" width="18" style="303" customWidth="1"/>
    <col min="7677" max="7677" width="21.1796875" style="303" customWidth="1"/>
    <col min="7678" max="7684" width="8.26953125" style="303" customWidth="1"/>
    <col min="7685" max="7685" width="2.1796875" style="303" bestFit="1" customWidth="1"/>
    <col min="7686" max="7686" width="18.26953125" style="303" customWidth="1"/>
    <col min="7687" max="7687" width="6.7265625" style="303" customWidth="1"/>
    <col min="7688" max="7688" width="10.1796875" style="303" bestFit="1" customWidth="1"/>
    <col min="7689" max="7689" width="8.7265625" style="303" bestFit="1" customWidth="1"/>
    <col min="7690" max="7930" width="9.1796875" style="303"/>
    <col min="7931" max="7931" width="2.453125" style="303" customWidth="1"/>
    <col min="7932" max="7932" width="18" style="303" customWidth="1"/>
    <col min="7933" max="7933" width="21.1796875" style="303" customWidth="1"/>
    <col min="7934" max="7940" width="8.26953125" style="303" customWidth="1"/>
    <col min="7941" max="7941" width="2.1796875" style="303" bestFit="1" customWidth="1"/>
    <col min="7942" max="7942" width="18.26953125" style="303" customWidth="1"/>
    <col min="7943" max="7943" width="6.7265625" style="303" customWidth="1"/>
    <col min="7944" max="7944" width="10.1796875" style="303" bestFit="1" customWidth="1"/>
    <col min="7945" max="7945" width="8.7265625" style="303" bestFit="1" customWidth="1"/>
    <col min="7946" max="8186" width="9.1796875" style="303"/>
    <col min="8187" max="8187" width="2.453125" style="303" customWidth="1"/>
    <col min="8188" max="8188" width="18" style="303" customWidth="1"/>
    <col min="8189" max="8189" width="21.1796875" style="303" customWidth="1"/>
    <col min="8190" max="8196" width="8.26953125" style="303" customWidth="1"/>
    <col min="8197" max="8197" width="2.1796875" style="303" bestFit="1" customWidth="1"/>
    <col min="8198" max="8198" width="18.26953125" style="303" customWidth="1"/>
    <col min="8199" max="8199" width="6.7265625" style="303" customWidth="1"/>
    <col min="8200" max="8200" width="10.1796875" style="303" bestFit="1" customWidth="1"/>
    <col min="8201" max="8201" width="8.7265625" style="303" bestFit="1" customWidth="1"/>
    <col min="8202" max="8442" width="9.1796875" style="303"/>
    <col min="8443" max="8443" width="2.453125" style="303" customWidth="1"/>
    <col min="8444" max="8444" width="18" style="303" customWidth="1"/>
    <col min="8445" max="8445" width="21.1796875" style="303" customWidth="1"/>
    <col min="8446" max="8452" width="8.26953125" style="303" customWidth="1"/>
    <col min="8453" max="8453" width="2.1796875" style="303" bestFit="1" customWidth="1"/>
    <col min="8454" max="8454" width="18.26953125" style="303" customWidth="1"/>
    <col min="8455" max="8455" width="6.7265625" style="303" customWidth="1"/>
    <col min="8456" max="8456" width="10.1796875" style="303" bestFit="1" customWidth="1"/>
    <col min="8457" max="8457" width="8.7265625" style="303" bestFit="1" customWidth="1"/>
    <col min="8458" max="8698" width="9.1796875" style="303"/>
    <col min="8699" max="8699" width="2.453125" style="303" customWidth="1"/>
    <col min="8700" max="8700" width="18" style="303" customWidth="1"/>
    <col min="8701" max="8701" width="21.1796875" style="303" customWidth="1"/>
    <col min="8702" max="8708" width="8.26953125" style="303" customWidth="1"/>
    <col min="8709" max="8709" width="2.1796875" style="303" bestFit="1" customWidth="1"/>
    <col min="8710" max="8710" width="18.26953125" style="303" customWidth="1"/>
    <col min="8711" max="8711" width="6.7265625" style="303" customWidth="1"/>
    <col min="8712" max="8712" width="10.1796875" style="303" bestFit="1" customWidth="1"/>
    <col min="8713" max="8713" width="8.7265625" style="303" bestFit="1" customWidth="1"/>
    <col min="8714" max="8954" width="9.1796875" style="303"/>
    <col min="8955" max="8955" width="2.453125" style="303" customWidth="1"/>
    <col min="8956" max="8956" width="18" style="303" customWidth="1"/>
    <col min="8957" max="8957" width="21.1796875" style="303" customWidth="1"/>
    <col min="8958" max="8964" width="8.26953125" style="303" customWidth="1"/>
    <col min="8965" max="8965" width="2.1796875" style="303" bestFit="1" customWidth="1"/>
    <col min="8966" max="8966" width="18.26953125" style="303" customWidth="1"/>
    <col min="8967" max="8967" width="6.7265625" style="303" customWidth="1"/>
    <col min="8968" max="8968" width="10.1796875" style="303" bestFit="1" customWidth="1"/>
    <col min="8969" max="8969" width="8.7265625" style="303" bestFit="1" customWidth="1"/>
    <col min="8970" max="9210" width="9.1796875" style="303"/>
    <col min="9211" max="9211" width="2.453125" style="303" customWidth="1"/>
    <col min="9212" max="9212" width="18" style="303" customWidth="1"/>
    <col min="9213" max="9213" width="21.1796875" style="303" customWidth="1"/>
    <col min="9214" max="9220" width="8.26953125" style="303" customWidth="1"/>
    <col min="9221" max="9221" width="2.1796875" style="303" bestFit="1" customWidth="1"/>
    <col min="9222" max="9222" width="18.26953125" style="303" customWidth="1"/>
    <col min="9223" max="9223" width="6.7265625" style="303" customWidth="1"/>
    <col min="9224" max="9224" width="10.1796875" style="303" bestFit="1" customWidth="1"/>
    <col min="9225" max="9225" width="8.7265625" style="303" bestFit="1" customWidth="1"/>
    <col min="9226" max="9466" width="9.1796875" style="303"/>
    <col min="9467" max="9467" width="2.453125" style="303" customWidth="1"/>
    <col min="9468" max="9468" width="18" style="303" customWidth="1"/>
    <col min="9469" max="9469" width="21.1796875" style="303" customWidth="1"/>
    <col min="9470" max="9476" width="8.26953125" style="303" customWidth="1"/>
    <col min="9477" max="9477" width="2.1796875" style="303" bestFit="1" customWidth="1"/>
    <col min="9478" max="9478" width="18.26953125" style="303" customWidth="1"/>
    <col min="9479" max="9479" width="6.7265625" style="303" customWidth="1"/>
    <col min="9480" max="9480" width="10.1796875" style="303" bestFit="1" customWidth="1"/>
    <col min="9481" max="9481" width="8.7265625" style="303" bestFit="1" customWidth="1"/>
    <col min="9482" max="9722" width="9.1796875" style="303"/>
    <col min="9723" max="9723" width="2.453125" style="303" customWidth="1"/>
    <col min="9724" max="9724" width="18" style="303" customWidth="1"/>
    <col min="9725" max="9725" width="21.1796875" style="303" customWidth="1"/>
    <col min="9726" max="9732" width="8.26953125" style="303" customWidth="1"/>
    <col min="9733" max="9733" width="2.1796875" style="303" bestFit="1" customWidth="1"/>
    <col min="9734" max="9734" width="18.26953125" style="303" customWidth="1"/>
    <col min="9735" max="9735" width="6.7265625" style="303" customWidth="1"/>
    <col min="9736" max="9736" width="10.1796875" style="303" bestFit="1" customWidth="1"/>
    <col min="9737" max="9737" width="8.7265625" style="303" bestFit="1" customWidth="1"/>
    <col min="9738" max="9978" width="9.1796875" style="303"/>
    <col min="9979" max="9979" width="2.453125" style="303" customWidth="1"/>
    <col min="9980" max="9980" width="18" style="303" customWidth="1"/>
    <col min="9981" max="9981" width="21.1796875" style="303" customWidth="1"/>
    <col min="9982" max="9988" width="8.26953125" style="303" customWidth="1"/>
    <col min="9989" max="9989" width="2.1796875" style="303" bestFit="1" customWidth="1"/>
    <col min="9990" max="9990" width="18.26953125" style="303" customWidth="1"/>
    <col min="9991" max="9991" width="6.7265625" style="303" customWidth="1"/>
    <col min="9992" max="9992" width="10.1796875" style="303" bestFit="1" customWidth="1"/>
    <col min="9993" max="9993" width="8.7265625" style="303" bestFit="1" customWidth="1"/>
    <col min="9994" max="10234" width="9.1796875" style="303"/>
    <col min="10235" max="10235" width="2.453125" style="303" customWidth="1"/>
    <col min="10236" max="10236" width="18" style="303" customWidth="1"/>
    <col min="10237" max="10237" width="21.1796875" style="303" customWidth="1"/>
    <col min="10238" max="10244" width="8.26953125" style="303" customWidth="1"/>
    <col min="10245" max="10245" width="2.1796875" style="303" bestFit="1" customWidth="1"/>
    <col min="10246" max="10246" width="18.26953125" style="303" customWidth="1"/>
    <col min="10247" max="10247" width="6.7265625" style="303" customWidth="1"/>
    <col min="10248" max="10248" width="10.1796875" style="303" bestFit="1" customWidth="1"/>
    <col min="10249" max="10249" width="8.7265625" style="303" bestFit="1" customWidth="1"/>
    <col min="10250" max="10490" width="9.1796875" style="303"/>
    <col min="10491" max="10491" width="2.453125" style="303" customWidth="1"/>
    <col min="10492" max="10492" width="18" style="303" customWidth="1"/>
    <col min="10493" max="10493" width="21.1796875" style="303" customWidth="1"/>
    <col min="10494" max="10500" width="8.26953125" style="303" customWidth="1"/>
    <col min="10501" max="10501" width="2.1796875" style="303" bestFit="1" customWidth="1"/>
    <col min="10502" max="10502" width="18.26953125" style="303" customWidth="1"/>
    <col min="10503" max="10503" width="6.7265625" style="303" customWidth="1"/>
    <col min="10504" max="10504" width="10.1796875" style="303" bestFit="1" customWidth="1"/>
    <col min="10505" max="10505" width="8.7265625" style="303" bestFit="1" customWidth="1"/>
    <col min="10506" max="10746" width="9.1796875" style="303"/>
    <col min="10747" max="10747" width="2.453125" style="303" customWidth="1"/>
    <col min="10748" max="10748" width="18" style="303" customWidth="1"/>
    <col min="10749" max="10749" width="21.1796875" style="303" customWidth="1"/>
    <col min="10750" max="10756" width="8.26953125" style="303" customWidth="1"/>
    <col min="10757" max="10757" width="2.1796875" style="303" bestFit="1" customWidth="1"/>
    <col min="10758" max="10758" width="18.26953125" style="303" customWidth="1"/>
    <col min="10759" max="10759" width="6.7265625" style="303" customWidth="1"/>
    <col min="10760" max="10760" width="10.1796875" style="303" bestFit="1" customWidth="1"/>
    <col min="10761" max="10761" width="8.7265625" style="303" bestFit="1" customWidth="1"/>
    <col min="10762" max="11002" width="9.1796875" style="303"/>
    <col min="11003" max="11003" width="2.453125" style="303" customWidth="1"/>
    <col min="11004" max="11004" width="18" style="303" customWidth="1"/>
    <col min="11005" max="11005" width="21.1796875" style="303" customWidth="1"/>
    <col min="11006" max="11012" width="8.26953125" style="303" customWidth="1"/>
    <col min="11013" max="11013" width="2.1796875" style="303" bestFit="1" customWidth="1"/>
    <col min="11014" max="11014" width="18.26953125" style="303" customWidth="1"/>
    <col min="11015" max="11015" width="6.7265625" style="303" customWidth="1"/>
    <col min="11016" max="11016" width="10.1796875" style="303" bestFit="1" customWidth="1"/>
    <col min="11017" max="11017" width="8.7265625" style="303" bestFit="1" customWidth="1"/>
    <col min="11018" max="11258" width="9.1796875" style="303"/>
    <col min="11259" max="11259" width="2.453125" style="303" customWidth="1"/>
    <col min="11260" max="11260" width="18" style="303" customWidth="1"/>
    <col min="11261" max="11261" width="21.1796875" style="303" customWidth="1"/>
    <col min="11262" max="11268" width="8.26953125" style="303" customWidth="1"/>
    <col min="11269" max="11269" width="2.1796875" style="303" bestFit="1" customWidth="1"/>
    <col min="11270" max="11270" width="18.26953125" style="303" customWidth="1"/>
    <col min="11271" max="11271" width="6.7265625" style="303" customWidth="1"/>
    <col min="11272" max="11272" width="10.1796875" style="303" bestFit="1" customWidth="1"/>
    <col min="11273" max="11273" width="8.7265625" style="303" bestFit="1" customWidth="1"/>
    <col min="11274" max="11514" width="9.1796875" style="303"/>
    <col min="11515" max="11515" width="2.453125" style="303" customWidth="1"/>
    <col min="11516" max="11516" width="18" style="303" customWidth="1"/>
    <col min="11517" max="11517" width="21.1796875" style="303" customWidth="1"/>
    <col min="11518" max="11524" width="8.26953125" style="303" customWidth="1"/>
    <col min="11525" max="11525" width="2.1796875" style="303" bestFit="1" customWidth="1"/>
    <col min="11526" max="11526" width="18.26953125" style="303" customWidth="1"/>
    <col min="11527" max="11527" width="6.7265625" style="303" customWidth="1"/>
    <col min="11528" max="11528" width="10.1796875" style="303" bestFit="1" customWidth="1"/>
    <col min="11529" max="11529" width="8.7265625" style="303" bestFit="1" customWidth="1"/>
    <col min="11530" max="11770" width="9.1796875" style="303"/>
    <col min="11771" max="11771" width="2.453125" style="303" customWidth="1"/>
    <col min="11772" max="11772" width="18" style="303" customWidth="1"/>
    <col min="11773" max="11773" width="21.1796875" style="303" customWidth="1"/>
    <col min="11774" max="11780" width="8.26953125" style="303" customWidth="1"/>
    <col min="11781" max="11781" width="2.1796875" style="303" bestFit="1" customWidth="1"/>
    <col min="11782" max="11782" width="18.26953125" style="303" customWidth="1"/>
    <col min="11783" max="11783" width="6.7265625" style="303" customWidth="1"/>
    <col min="11784" max="11784" width="10.1796875" style="303" bestFit="1" customWidth="1"/>
    <col min="11785" max="11785" width="8.7265625" style="303" bestFit="1" customWidth="1"/>
    <col min="11786" max="12026" width="9.1796875" style="303"/>
    <col min="12027" max="12027" width="2.453125" style="303" customWidth="1"/>
    <col min="12028" max="12028" width="18" style="303" customWidth="1"/>
    <col min="12029" max="12029" width="21.1796875" style="303" customWidth="1"/>
    <col min="12030" max="12036" width="8.26953125" style="303" customWidth="1"/>
    <col min="12037" max="12037" width="2.1796875" style="303" bestFit="1" customWidth="1"/>
    <col min="12038" max="12038" width="18.26953125" style="303" customWidth="1"/>
    <col min="12039" max="12039" width="6.7265625" style="303" customWidth="1"/>
    <col min="12040" max="12040" width="10.1796875" style="303" bestFit="1" customWidth="1"/>
    <col min="12041" max="12041" width="8.7265625" style="303" bestFit="1" customWidth="1"/>
    <col min="12042" max="12282" width="9.1796875" style="303"/>
    <col min="12283" max="12283" width="2.453125" style="303" customWidth="1"/>
    <col min="12284" max="12284" width="18" style="303" customWidth="1"/>
    <col min="12285" max="12285" width="21.1796875" style="303" customWidth="1"/>
    <col min="12286" max="12292" width="8.26953125" style="303" customWidth="1"/>
    <col min="12293" max="12293" width="2.1796875" style="303" bestFit="1" customWidth="1"/>
    <col min="12294" max="12294" width="18.26953125" style="303" customWidth="1"/>
    <col min="12295" max="12295" width="6.7265625" style="303" customWidth="1"/>
    <col min="12296" max="12296" width="10.1796875" style="303" bestFit="1" customWidth="1"/>
    <col min="12297" max="12297" width="8.7265625" style="303" bestFit="1" customWidth="1"/>
    <col min="12298" max="12538" width="9.1796875" style="303"/>
    <col min="12539" max="12539" width="2.453125" style="303" customWidth="1"/>
    <col min="12540" max="12540" width="18" style="303" customWidth="1"/>
    <col min="12541" max="12541" width="21.1796875" style="303" customWidth="1"/>
    <col min="12542" max="12548" width="8.26953125" style="303" customWidth="1"/>
    <col min="12549" max="12549" width="2.1796875" style="303" bestFit="1" customWidth="1"/>
    <col min="12550" max="12550" width="18.26953125" style="303" customWidth="1"/>
    <col min="12551" max="12551" width="6.7265625" style="303" customWidth="1"/>
    <col min="12552" max="12552" width="10.1796875" style="303" bestFit="1" customWidth="1"/>
    <col min="12553" max="12553" width="8.7265625" style="303" bestFit="1" customWidth="1"/>
    <col min="12554" max="12794" width="9.1796875" style="303"/>
    <col min="12795" max="12795" width="2.453125" style="303" customWidth="1"/>
    <col min="12796" max="12796" width="18" style="303" customWidth="1"/>
    <col min="12797" max="12797" width="21.1796875" style="303" customWidth="1"/>
    <col min="12798" max="12804" width="8.26953125" style="303" customWidth="1"/>
    <col min="12805" max="12805" width="2.1796875" style="303" bestFit="1" customWidth="1"/>
    <col min="12806" max="12806" width="18.26953125" style="303" customWidth="1"/>
    <col min="12807" max="12807" width="6.7265625" style="303" customWidth="1"/>
    <col min="12808" max="12808" width="10.1796875" style="303" bestFit="1" customWidth="1"/>
    <col min="12809" max="12809" width="8.7265625" style="303" bestFit="1" customWidth="1"/>
    <col min="12810" max="13050" width="9.1796875" style="303"/>
    <col min="13051" max="13051" width="2.453125" style="303" customWidth="1"/>
    <col min="13052" max="13052" width="18" style="303" customWidth="1"/>
    <col min="13053" max="13053" width="21.1796875" style="303" customWidth="1"/>
    <col min="13054" max="13060" width="8.26953125" style="303" customWidth="1"/>
    <col min="13061" max="13061" width="2.1796875" style="303" bestFit="1" customWidth="1"/>
    <col min="13062" max="13062" width="18.26953125" style="303" customWidth="1"/>
    <col min="13063" max="13063" width="6.7265625" style="303" customWidth="1"/>
    <col min="13064" max="13064" width="10.1796875" style="303" bestFit="1" customWidth="1"/>
    <col min="13065" max="13065" width="8.7265625" style="303" bestFit="1" customWidth="1"/>
    <col min="13066" max="13306" width="9.1796875" style="303"/>
    <col min="13307" max="13307" width="2.453125" style="303" customWidth="1"/>
    <col min="13308" max="13308" width="18" style="303" customWidth="1"/>
    <col min="13309" max="13309" width="21.1796875" style="303" customWidth="1"/>
    <col min="13310" max="13316" width="8.26953125" style="303" customWidth="1"/>
    <col min="13317" max="13317" width="2.1796875" style="303" bestFit="1" customWidth="1"/>
    <col min="13318" max="13318" width="18.26953125" style="303" customWidth="1"/>
    <col min="13319" max="13319" width="6.7265625" style="303" customWidth="1"/>
    <col min="13320" max="13320" width="10.1796875" style="303" bestFit="1" customWidth="1"/>
    <col min="13321" max="13321" width="8.7265625" style="303" bestFit="1" customWidth="1"/>
    <col min="13322" max="13562" width="9.1796875" style="303"/>
    <col min="13563" max="13563" width="2.453125" style="303" customWidth="1"/>
    <col min="13564" max="13564" width="18" style="303" customWidth="1"/>
    <col min="13565" max="13565" width="21.1796875" style="303" customWidth="1"/>
    <col min="13566" max="13572" width="8.26953125" style="303" customWidth="1"/>
    <col min="13573" max="13573" width="2.1796875" style="303" bestFit="1" customWidth="1"/>
    <col min="13574" max="13574" width="18.26953125" style="303" customWidth="1"/>
    <col min="13575" max="13575" width="6.7265625" style="303" customWidth="1"/>
    <col min="13576" max="13576" width="10.1796875" style="303" bestFit="1" customWidth="1"/>
    <col min="13577" max="13577" width="8.7265625" style="303" bestFit="1" customWidth="1"/>
    <col min="13578" max="13818" width="9.1796875" style="303"/>
    <col min="13819" max="13819" width="2.453125" style="303" customWidth="1"/>
    <col min="13820" max="13820" width="18" style="303" customWidth="1"/>
    <col min="13821" max="13821" width="21.1796875" style="303" customWidth="1"/>
    <col min="13822" max="13828" width="8.26953125" style="303" customWidth="1"/>
    <col min="13829" max="13829" width="2.1796875" style="303" bestFit="1" customWidth="1"/>
    <col min="13830" max="13830" width="18.26953125" style="303" customWidth="1"/>
    <col min="13831" max="13831" width="6.7265625" style="303" customWidth="1"/>
    <col min="13832" max="13832" width="10.1796875" style="303" bestFit="1" customWidth="1"/>
    <col min="13833" max="13833" width="8.7265625" style="303" bestFit="1" customWidth="1"/>
    <col min="13834" max="14074" width="9.1796875" style="303"/>
    <col min="14075" max="14075" width="2.453125" style="303" customWidth="1"/>
    <col min="14076" max="14076" width="18" style="303" customWidth="1"/>
    <col min="14077" max="14077" width="21.1796875" style="303" customWidth="1"/>
    <col min="14078" max="14084" width="8.26953125" style="303" customWidth="1"/>
    <col min="14085" max="14085" width="2.1796875" style="303" bestFit="1" customWidth="1"/>
    <col min="14086" max="14086" width="18.26953125" style="303" customWidth="1"/>
    <col min="14087" max="14087" width="6.7265625" style="303" customWidth="1"/>
    <col min="14088" max="14088" width="10.1796875" style="303" bestFit="1" customWidth="1"/>
    <col min="14089" max="14089" width="8.7265625" style="303" bestFit="1" customWidth="1"/>
    <col min="14090" max="14330" width="9.1796875" style="303"/>
    <col min="14331" max="14331" width="2.453125" style="303" customWidth="1"/>
    <col min="14332" max="14332" width="18" style="303" customWidth="1"/>
    <col min="14333" max="14333" width="21.1796875" style="303" customWidth="1"/>
    <col min="14334" max="14340" width="8.26953125" style="303" customWidth="1"/>
    <col min="14341" max="14341" width="2.1796875" style="303" bestFit="1" customWidth="1"/>
    <col min="14342" max="14342" width="18.26953125" style="303" customWidth="1"/>
    <col min="14343" max="14343" width="6.7265625" style="303" customWidth="1"/>
    <col min="14344" max="14344" width="10.1796875" style="303" bestFit="1" customWidth="1"/>
    <col min="14345" max="14345" width="8.7265625" style="303" bestFit="1" customWidth="1"/>
    <col min="14346" max="14586" width="9.1796875" style="303"/>
    <col min="14587" max="14587" width="2.453125" style="303" customWidth="1"/>
    <col min="14588" max="14588" width="18" style="303" customWidth="1"/>
    <col min="14589" max="14589" width="21.1796875" style="303" customWidth="1"/>
    <col min="14590" max="14596" width="8.26953125" style="303" customWidth="1"/>
    <col min="14597" max="14597" width="2.1796875" style="303" bestFit="1" customWidth="1"/>
    <col min="14598" max="14598" width="18.26953125" style="303" customWidth="1"/>
    <col min="14599" max="14599" width="6.7265625" style="303" customWidth="1"/>
    <col min="14600" max="14600" width="10.1796875" style="303" bestFit="1" customWidth="1"/>
    <col min="14601" max="14601" width="8.7265625" style="303" bestFit="1" customWidth="1"/>
    <col min="14602" max="14842" width="9.1796875" style="303"/>
    <col min="14843" max="14843" width="2.453125" style="303" customWidth="1"/>
    <col min="14844" max="14844" width="18" style="303" customWidth="1"/>
    <col min="14845" max="14845" width="21.1796875" style="303" customWidth="1"/>
    <col min="14846" max="14852" width="8.26953125" style="303" customWidth="1"/>
    <col min="14853" max="14853" width="2.1796875" style="303" bestFit="1" customWidth="1"/>
    <col min="14854" max="14854" width="18.26953125" style="303" customWidth="1"/>
    <col min="14855" max="14855" width="6.7265625" style="303" customWidth="1"/>
    <col min="14856" max="14856" width="10.1796875" style="303" bestFit="1" customWidth="1"/>
    <col min="14857" max="14857" width="8.7265625" style="303" bestFit="1" customWidth="1"/>
    <col min="14858" max="15098" width="9.1796875" style="303"/>
    <col min="15099" max="15099" width="2.453125" style="303" customWidth="1"/>
    <col min="15100" max="15100" width="18" style="303" customWidth="1"/>
    <col min="15101" max="15101" width="21.1796875" style="303" customWidth="1"/>
    <col min="15102" max="15108" width="8.26953125" style="303" customWidth="1"/>
    <col min="15109" max="15109" width="2.1796875" style="303" bestFit="1" customWidth="1"/>
    <col min="15110" max="15110" width="18.26953125" style="303" customWidth="1"/>
    <col min="15111" max="15111" width="6.7265625" style="303" customWidth="1"/>
    <col min="15112" max="15112" width="10.1796875" style="303" bestFit="1" customWidth="1"/>
    <col min="15113" max="15113" width="8.7265625" style="303" bestFit="1" customWidth="1"/>
    <col min="15114" max="15354" width="9.1796875" style="303"/>
    <col min="15355" max="15355" width="2.453125" style="303" customWidth="1"/>
    <col min="15356" max="15356" width="18" style="303" customWidth="1"/>
    <col min="15357" max="15357" width="21.1796875" style="303" customWidth="1"/>
    <col min="15358" max="15364" width="8.26953125" style="303" customWidth="1"/>
    <col min="15365" max="15365" width="2.1796875" style="303" bestFit="1" customWidth="1"/>
    <col min="15366" max="15366" width="18.26953125" style="303" customWidth="1"/>
    <col min="15367" max="15367" width="6.7265625" style="303" customWidth="1"/>
    <col min="15368" max="15368" width="10.1796875" style="303" bestFit="1" customWidth="1"/>
    <col min="15369" max="15369" width="8.7265625" style="303" bestFit="1" customWidth="1"/>
    <col min="15370" max="15610" width="9.1796875" style="303"/>
    <col min="15611" max="15611" width="2.453125" style="303" customWidth="1"/>
    <col min="15612" max="15612" width="18" style="303" customWidth="1"/>
    <col min="15613" max="15613" width="21.1796875" style="303" customWidth="1"/>
    <col min="15614" max="15620" width="8.26953125" style="303" customWidth="1"/>
    <col min="15621" max="15621" width="2.1796875" style="303" bestFit="1" customWidth="1"/>
    <col min="15622" max="15622" width="18.26953125" style="303" customWidth="1"/>
    <col min="15623" max="15623" width="6.7265625" style="303" customWidth="1"/>
    <col min="15624" max="15624" width="10.1796875" style="303" bestFit="1" customWidth="1"/>
    <col min="15625" max="15625" width="8.7265625" style="303" bestFit="1" customWidth="1"/>
    <col min="15626" max="15866" width="9.1796875" style="303"/>
    <col min="15867" max="15867" width="2.453125" style="303" customWidth="1"/>
    <col min="15868" max="15868" width="18" style="303" customWidth="1"/>
    <col min="15869" max="15869" width="21.1796875" style="303" customWidth="1"/>
    <col min="15870" max="15876" width="8.26953125" style="303" customWidth="1"/>
    <col min="15877" max="15877" width="2.1796875" style="303" bestFit="1" customWidth="1"/>
    <col min="15878" max="15878" width="18.26953125" style="303" customWidth="1"/>
    <col min="15879" max="15879" width="6.7265625" style="303" customWidth="1"/>
    <col min="15880" max="15880" width="10.1796875" style="303" bestFit="1" customWidth="1"/>
    <col min="15881" max="15881" width="8.7265625" style="303" bestFit="1" customWidth="1"/>
    <col min="15882" max="16122" width="9.1796875" style="303"/>
    <col min="16123" max="16123" width="2.453125" style="303" customWidth="1"/>
    <col min="16124" max="16124" width="18" style="303" customWidth="1"/>
    <col min="16125" max="16125" width="21.1796875" style="303" customWidth="1"/>
    <col min="16126" max="16132" width="8.26953125" style="303" customWidth="1"/>
    <col min="16133" max="16133" width="2.1796875" style="303" bestFit="1" customWidth="1"/>
    <col min="16134" max="16134" width="18.26953125" style="303" customWidth="1"/>
    <col min="16135" max="16135" width="6.7265625" style="303" customWidth="1"/>
    <col min="16136" max="16136" width="10.1796875" style="303" bestFit="1" customWidth="1"/>
    <col min="16137" max="16137" width="8.7265625" style="303" bestFit="1" customWidth="1"/>
    <col min="16138" max="16384" width="9.1796875" style="303"/>
  </cols>
  <sheetData>
    <row r="1" spans="1:37" ht="12.75" customHeight="1" x14ac:dyDescent="0.3">
      <c r="A1" s="1706"/>
      <c r="B1" s="1707"/>
      <c r="C1" s="1708"/>
      <c r="D1" s="1990" t="str">
        <f>"ENSAIO DE DENSIDADE IN-SITU (METÓDO FRASCO DE AREIA)"</f>
        <v>ENSAIO DE DENSIDADE IN-SITU (METÓDO FRASCO DE AREIA)</v>
      </c>
      <c r="E1" s="1991"/>
      <c r="F1" s="1991"/>
      <c r="G1" s="1991"/>
      <c r="H1" s="1991"/>
      <c r="I1" s="1991"/>
      <c r="J1" s="1991"/>
      <c r="K1" s="1991"/>
      <c r="L1" s="1992"/>
      <c r="N1" s="342" t="s">
        <v>152</v>
      </c>
      <c r="AK1" s="317">
        <f>(N2-1)*10+4</f>
        <v>-6</v>
      </c>
    </row>
    <row r="2" spans="1:37" ht="12.75" customHeight="1" x14ac:dyDescent="0.3">
      <c r="A2" s="1709"/>
      <c r="B2" s="1710"/>
      <c r="C2" s="1711"/>
      <c r="D2" s="1993"/>
      <c r="E2" s="1994"/>
      <c r="F2" s="1994"/>
      <c r="G2" s="1994"/>
      <c r="H2" s="1994"/>
      <c r="I2" s="1994"/>
      <c r="J2" s="1994"/>
      <c r="K2" s="1994"/>
      <c r="L2" s="1995"/>
      <c r="N2" s="343">
        <v>0</v>
      </c>
      <c r="AK2" s="318"/>
    </row>
    <row r="3" spans="1:37" ht="12.75" customHeight="1" x14ac:dyDescent="0.3">
      <c r="A3" s="2001"/>
      <c r="B3" s="1719"/>
      <c r="C3" s="1720"/>
      <c r="D3" s="1993"/>
      <c r="E3" s="1994"/>
      <c r="F3" s="1994"/>
      <c r="G3" s="1994"/>
      <c r="H3" s="1994"/>
      <c r="I3" s="1994"/>
      <c r="J3" s="1994"/>
      <c r="K3" s="1994"/>
      <c r="L3" s="1995"/>
      <c r="AK3" s="318"/>
    </row>
    <row r="4" spans="1:37" ht="12.75" customHeight="1" x14ac:dyDescent="0.3">
      <c r="A4" s="1723"/>
      <c r="B4" s="1724"/>
      <c r="C4" s="1725"/>
      <c r="D4" s="1996"/>
      <c r="E4" s="1997"/>
      <c r="F4" s="1997"/>
      <c r="G4" s="1997"/>
      <c r="H4" s="1997"/>
      <c r="I4" s="1997"/>
      <c r="J4" s="1997"/>
      <c r="K4" s="1997"/>
      <c r="L4" s="1998"/>
      <c r="AK4" s="318"/>
    </row>
    <row r="5" spans="1:37" ht="5.15" customHeight="1" x14ac:dyDescent="0.3">
      <c r="A5" s="2004"/>
      <c r="B5" s="2004"/>
      <c r="C5" s="2004"/>
      <c r="D5" s="2004"/>
      <c r="E5" s="2004"/>
      <c r="F5" s="2004"/>
      <c r="G5" s="2004"/>
      <c r="H5" s="2004"/>
      <c r="I5" s="2004"/>
      <c r="J5" s="2004"/>
      <c r="K5" s="2004"/>
      <c r="L5" s="2004"/>
      <c r="AK5" s="318"/>
    </row>
    <row r="6" spans="1:37" ht="15" customHeight="1" x14ac:dyDescent="0.3">
      <c r="A6" s="2005" t="s">
        <v>322</v>
      </c>
      <c r="B6" s="2006"/>
      <c r="C6" s="1999" t="str">
        <f>'Digitar Dados de Dens. InSitu'!A1</f>
        <v>BR -163</v>
      </c>
      <c r="D6" s="1999"/>
      <c r="E6" s="2000"/>
      <c r="F6" s="621" t="s">
        <v>323</v>
      </c>
      <c r="G6" s="2007" t="str">
        <f ca="1">IF(OR($N$2="",$N$2=0),"",IF(INDIRECT(ADDRESS(($AK6-1),COLUMN()-4,,,"Digitar Dados de Dens. InSitu"))&lt;&gt;"",INDIRECT(ADDRESS(($AK6-1),COLUMN()-4,,,"Digitar Dados de Dens. InSitu")),""))</f>
        <v/>
      </c>
      <c r="H6" s="2007" t="str">
        <f ca="1">IF(OR($N$2="",$N$2=0),"",IF(INDIRECT(ADDRESS(($AK6),COLUMN()-1,,,"Digitar Dados de Dens. InSitu"))&lt;&gt;"",INDIRECT(ADDRESS(($AK6),COLUMN()-1,,,"Digitar Dados de Dens. InSitu")),""))</f>
        <v/>
      </c>
      <c r="I6" s="2007" t="str">
        <f ca="1">IF(OR($N$2="",$N$2=0),"",IF(INDIRECT(ADDRESS(($AK6),COLUMN()-1,,,"Digitar Dados de Dens. InSitu"))&lt;&gt;"",INDIRECT(ADDRESS(($AK6),COLUMN()-1,,,"Digitar Dados de Dens. InSitu")),""))</f>
        <v/>
      </c>
      <c r="J6" s="314" t="s">
        <v>324</v>
      </c>
      <c r="K6" s="2008" t="str">
        <f ca="1">IF(OR($N$2="",$N$2=0),"",IF(INDIRECT(ADDRESS(($AK6),COLUMN()-8,,,"Digitar Dados de Dens. InSitu"))&lt;&gt;"",INDIRECT(ADDRESS(($AK6),COLUMN()-8,,,"Digitar Dados de Dens. InSitu")),""))</f>
        <v/>
      </c>
      <c r="L6" s="2009"/>
      <c r="AK6" s="318">
        <f>AK1+5</f>
        <v>-1</v>
      </c>
    </row>
    <row r="7" spans="1:37" ht="15" customHeight="1" x14ac:dyDescent="0.3">
      <c r="A7" s="2002" t="s">
        <v>161</v>
      </c>
      <c r="B7" s="2003"/>
      <c r="C7" s="2010" t="str">
        <f>'Digitar Dados de Dens. InSitu'!A2</f>
        <v>CAMPO GRANDE MS</v>
      </c>
      <c r="D7" s="2010"/>
      <c r="E7" s="2010"/>
      <c r="F7" s="2010"/>
      <c r="G7" s="2010"/>
      <c r="H7" s="2010"/>
      <c r="I7" s="2010"/>
      <c r="J7" s="2010"/>
      <c r="K7" s="2010"/>
      <c r="L7" s="2011"/>
      <c r="AK7" s="318"/>
    </row>
    <row r="8" spans="1:37" ht="15" customHeight="1" x14ac:dyDescent="0.3">
      <c r="A8" s="1979" t="s">
        <v>325</v>
      </c>
      <c r="B8" s="1980"/>
      <c r="C8" s="1981">
        <f>'Digitar Dados de Dens. InSitu'!A3</f>
        <v>0</v>
      </c>
      <c r="D8" s="1981"/>
      <c r="E8" s="1981"/>
      <c r="F8" s="1981"/>
      <c r="G8" s="1981"/>
      <c r="H8" s="1981"/>
      <c r="I8" s="1981"/>
      <c r="J8" s="1981"/>
      <c r="K8" s="1981"/>
      <c r="L8" s="1982"/>
      <c r="AK8" s="318">
        <f>AK1+2</f>
        <v>-4</v>
      </c>
    </row>
    <row r="9" spans="1:37" ht="15" customHeight="1" x14ac:dyDescent="0.3">
      <c r="A9" s="1979" t="s">
        <v>325</v>
      </c>
      <c r="B9" s="1980"/>
      <c r="C9" s="616" t="str">
        <f ca="1">IF(OR($N$2="",$N$2=0),"",IF(INDIRECT(ADDRESS(($AK8),COLUMN(),,,"Digitar Dados de Dens. InSitu"))&lt;&gt;"",INDIRECT(ADDRESS(($AK8),COLUMN(),,,"Digitar Dados de Dens. InSitu")),""))</f>
        <v/>
      </c>
      <c r="D9" s="1978" t="s">
        <v>326</v>
      </c>
      <c r="E9" s="1978"/>
      <c r="F9" s="617" t="str">
        <f ca="1">IF(OR($N$2="",$N$2=0),"",IF(INDIRECT(ADDRESS(($AK8)+1,COLUMN()-3,,,"Digitar Dados de Dens. InSitu"))&lt;&gt;"",INDIRECT(ADDRESS(($AK8)+1,COLUMN()-3,,,"Digitar Dados de Dens. InSitu")),""))</f>
        <v/>
      </c>
      <c r="G9" s="315"/>
      <c r="H9" s="315"/>
      <c r="I9" s="315"/>
      <c r="J9" s="315"/>
      <c r="K9" s="315"/>
      <c r="L9" s="315"/>
      <c r="AK9" s="318"/>
    </row>
    <row r="10" spans="1:37" ht="20.149999999999999" customHeight="1" x14ac:dyDescent="0.3">
      <c r="A10" s="1986" t="s">
        <v>34</v>
      </c>
      <c r="B10" s="1987"/>
      <c r="C10" s="1987"/>
      <c r="D10" s="1987"/>
      <c r="E10" s="1988"/>
      <c r="F10" s="319" t="str">
        <f ca="1">IF(OR($N$2="",$N$2=0),"",IF(INDIRECT(ADDRESS(($AK10),COLUMN()-1,,,"Digitar Dados de Dens. InSitu"))&lt;&gt;"",INDIRECT(ADDRESS(($AK10),COLUMN()-1,,,"Digitar Dados de Dens. InSitu")),""))</f>
        <v/>
      </c>
      <c r="G10" s="319" t="str">
        <f t="shared" ref="G10:L12" ca="1" si="0">IF(OR($N$2="",$N$2=0),"",IF(INDIRECT(ADDRESS(($AK10),COLUMN()-1,,,"Digitar Dados de Dens. InSitu"))&lt;&gt;"",INDIRECT(ADDRESS(($AK10),COLUMN()-1,,,"Digitar Dados de Dens. InSitu")),""))</f>
        <v/>
      </c>
      <c r="H10" s="319" t="str">
        <f t="shared" ca="1" si="0"/>
        <v/>
      </c>
      <c r="I10" s="319" t="str">
        <f t="shared" ca="1" si="0"/>
        <v/>
      </c>
      <c r="J10" s="319" t="str">
        <f t="shared" ca="1" si="0"/>
        <v/>
      </c>
      <c r="K10" s="319" t="str">
        <f t="shared" ca="1" si="0"/>
        <v/>
      </c>
      <c r="L10" s="319" t="str">
        <f t="shared" ca="1" si="0"/>
        <v/>
      </c>
      <c r="AK10" s="318">
        <f>AK1+1</f>
        <v>-5</v>
      </c>
    </row>
    <row r="11" spans="1:37" ht="20.149999999999999" customHeight="1" x14ac:dyDescent="0.3">
      <c r="A11" s="1986" t="s">
        <v>156</v>
      </c>
      <c r="B11" s="1987"/>
      <c r="C11" s="1987"/>
      <c r="D11" s="1987"/>
      <c r="E11" s="1988"/>
      <c r="F11" s="320" t="str">
        <f ca="1">IF(OR($N$2="",$N$2=0),"",IF(INDIRECT(ADDRESS(($AK11),COLUMN()-1,,,"Digitar Dados de Dens. InSitu"))&lt;&gt;"",INDIRECT(ADDRESS(($AK11),COLUMN()-1,,,"Digitar Dados de Dens. InSitu")),""))</f>
        <v/>
      </c>
      <c r="G11" s="320" t="str">
        <f t="shared" ca="1" si="0"/>
        <v/>
      </c>
      <c r="H11" s="320" t="str">
        <f t="shared" ca="1" si="0"/>
        <v/>
      </c>
      <c r="I11" s="320" t="str">
        <f t="shared" ca="1" si="0"/>
        <v/>
      </c>
      <c r="J11" s="320" t="str">
        <f t="shared" ca="1" si="0"/>
        <v/>
      </c>
      <c r="K11" s="320" t="str">
        <f t="shared" ca="1" si="0"/>
        <v/>
      </c>
      <c r="L11" s="320" t="str">
        <f t="shared" ca="1" si="0"/>
        <v/>
      </c>
      <c r="AK11" s="318">
        <f>AK10+1</f>
        <v>-4</v>
      </c>
    </row>
    <row r="12" spans="1:37" ht="20.149999999999999" customHeight="1" x14ac:dyDescent="0.3">
      <c r="A12" s="1986" t="s">
        <v>312</v>
      </c>
      <c r="B12" s="1987"/>
      <c r="C12" s="1987"/>
      <c r="D12" s="1987"/>
      <c r="E12" s="1988"/>
      <c r="F12" s="323" t="str">
        <f ca="1">IF(OR($N$2="",$N$2=0),"",IF(INDIRECT(ADDRESS(($AK12),COLUMN()-1,,,"Digitar Dados de Dens. InSitu"))&lt;&gt;"",INDIRECT(ADDRESS(($AK12),COLUMN()-1,,,"Digitar Dados de Dens. InSitu")),""))</f>
        <v/>
      </c>
      <c r="G12" s="323" t="str">
        <f t="shared" ca="1" si="0"/>
        <v/>
      </c>
      <c r="H12" s="323" t="str">
        <f t="shared" ca="1" si="0"/>
        <v/>
      </c>
      <c r="I12" s="323" t="str">
        <f t="shared" ca="1" si="0"/>
        <v/>
      </c>
      <c r="J12" s="323" t="str">
        <f t="shared" ca="1" si="0"/>
        <v/>
      </c>
      <c r="K12" s="323" t="str">
        <f t="shared" ca="1" si="0"/>
        <v/>
      </c>
      <c r="L12" s="323" t="str">
        <f t="shared" ca="1" si="0"/>
        <v/>
      </c>
      <c r="AK12" s="318">
        <f>AK11+1</f>
        <v>-3</v>
      </c>
    </row>
    <row r="13" spans="1:37" ht="20.149999999999999" customHeight="1" x14ac:dyDescent="0.3">
      <c r="A13" s="1986" t="s">
        <v>327</v>
      </c>
      <c r="B13" s="1987"/>
      <c r="C13" s="1987"/>
      <c r="D13" s="1988"/>
      <c r="E13" s="305" t="s">
        <v>280</v>
      </c>
      <c r="F13" s="304"/>
      <c r="G13" s="304"/>
      <c r="H13" s="304"/>
      <c r="I13" s="304"/>
      <c r="J13" s="304"/>
      <c r="K13" s="304"/>
      <c r="L13" s="304"/>
      <c r="AK13" s="318"/>
    </row>
    <row r="14" spans="1:37" ht="22" customHeight="1" x14ac:dyDescent="0.3">
      <c r="A14" s="2035" t="s">
        <v>328</v>
      </c>
      <c r="B14" s="2036"/>
      <c r="C14" s="2036"/>
      <c r="D14" s="2036"/>
      <c r="E14" s="2037"/>
      <c r="F14" s="304"/>
      <c r="G14" s="304"/>
      <c r="H14" s="304"/>
      <c r="I14" s="304"/>
      <c r="J14" s="304"/>
      <c r="K14" s="304"/>
      <c r="L14" s="304"/>
      <c r="AK14" s="318"/>
    </row>
    <row r="15" spans="1:37" ht="22" customHeight="1" x14ac:dyDescent="0.3">
      <c r="A15" s="1989" t="s">
        <v>329</v>
      </c>
      <c r="B15" s="1986" t="s">
        <v>330</v>
      </c>
      <c r="C15" s="1987"/>
      <c r="D15" s="1987"/>
      <c r="E15" s="1988"/>
      <c r="F15" s="312" t="str">
        <f t="shared" ref="F15:L17" ca="1" si="1">IF(OR($N$2="",$N$2=0),"",IF(INDIRECT(ADDRESS(($AK15),COLUMN()-1,,,"Digitar Dados de Dens. InSitu"))&lt;&gt;"",INDIRECT(ADDRESS(($AK15),COLUMN()-1,,,"Digitar Dados de Dens. InSitu")),""))</f>
        <v/>
      </c>
      <c r="G15" s="312" t="str">
        <f t="shared" ca="1" si="1"/>
        <v/>
      </c>
      <c r="H15" s="312" t="str">
        <f t="shared" ca="1" si="1"/>
        <v/>
      </c>
      <c r="I15" s="312" t="str">
        <f t="shared" ca="1" si="1"/>
        <v/>
      </c>
      <c r="J15" s="312" t="str">
        <f t="shared" ca="1" si="1"/>
        <v/>
      </c>
      <c r="K15" s="312" t="str">
        <f t="shared" ca="1" si="1"/>
        <v/>
      </c>
      <c r="L15" s="312" t="str">
        <f t="shared" ca="1" si="1"/>
        <v/>
      </c>
      <c r="AK15" s="318">
        <f>AK12+1</f>
        <v>-2</v>
      </c>
    </row>
    <row r="16" spans="1:37" ht="22" customHeight="1" x14ac:dyDescent="0.3">
      <c r="A16" s="1989"/>
      <c r="B16" s="1986" t="s">
        <v>331</v>
      </c>
      <c r="C16" s="1987"/>
      <c r="D16" s="1987"/>
      <c r="E16" s="1988"/>
      <c r="F16" s="311" t="str">
        <f ca="1">IF(F10&lt;&gt;"",LOOKUP(F15,Tara!$L$5:$L$21,Tara!$M$5:$M$21),"")</f>
        <v/>
      </c>
      <c r="G16" s="311" t="str">
        <f ca="1">IF(G10&lt;&gt;"",LOOKUP(G15,Tara!$L$5:$L$21,Tara!$M$5:$M$21),"")</f>
        <v/>
      </c>
      <c r="H16" s="311" t="str">
        <f ca="1">IF(H10&lt;&gt;"",LOOKUP(H15,Tara!$L$5:$L$21,Tara!$M$5:$M$21),"")</f>
        <v/>
      </c>
      <c r="I16" s="311" t="str">
        <f ca="1">IF(I10&lt;&gt;"",LOOKUP(I15,Tara!$L$5:$L$21,Tara!$M$5:$M$21),"")</f>
        <v/>
      </c>
      <c r="J16" s="311" t="str">
        <f ca="1">IF(J10&lt;&gt;"",LOOKUP(J15,Tara!$L$5:$L$21,Tara!$M$5:$M$21),"")</f>
        <v/>
      </c>
      <c r="K16" s="311" t="str">
        <f ca="1">IF(K10&lt;&gt;"",LOOKUP(K15,Tara!$L$5:$L$21,Tara!$M$5:$M$21),"")</f>
        <v/>
      </c>
      <c r="L16" s="311" t="str">
        <f ca="1">IF(L10&lt;&gt;"",LOOKUP(L15,Tara!$L$5:$L$21,Tara!$M$5:$M$21),"")</f>
        <v/>
      </c>
      <c r="AK16" s="318"/>
    </row>
    <row r="17" spans="1:37" ht="22" customHeight="1" x14ac:dyDescent="0.3">
      <c r="A17" s="1989"/>
      <c r="B17" s="1986" t="s">
        <v>332</v>
      </c>
      <c r="C17" s="1987"/>
      <c r="D17" s="1987"/>
      <c r="E17" s="1988"/>
      <c r="F17" s="535" t="str">
        <f t="shared" ca="1" si="1"/>
        <v/>
      </c>
      <c r="G17" s="535" t="str">
        <f t="shared" ca="1" si="1"/>
        <v/>
      </c>
      <c r="H17" s="535" t="str">
        <f t="shared" ca="1" si="1"/>
        <v/>
      </c>
      <c r="I17" s="535" t="str">
        <f t="shared" ca="1" si="1"/>
        <v/>
      </c>
      <c r="J17" s="535" t="str">
        <f t="shared" ca="1" si="1"/>
        <v/>
      </c>
      <c r="K17" s="535" t="str">
        <f t="shared" ca="1" si="1"/>
        <v/>
      </c>
      <c r="L17" s="535" t="str">
        <f t="shared" ca="1" si="1"/>
        <v/>
      </c>
      <c r="AK17" s="318">
        <f>AK15+1</f>
        <v>-1</v>
      </c>
    </row>
    <row r="18" spans="1:37" ht="22" customHeight="1" x14ac:dyDescent="0.3">
      <c r="A18" s="1989"/>
      <c r="B18" s="1986" t="s">
        <v>333</v>
      </c>
      <c r="C18" s="1987"/>
      <c r="D18" s="1987"/>
      <c r="E18" s="1988"/>
      <c r="F18" s="537" t="str">
        <f ca="1">IF(F15&lt;&gt;"",F16-F17,"")</f>
        <v/>
      </c>
      <c r="G18" s="536" t="str">
        <f t="shared" ref="G18:L18" ca="1" si="2">IF(G15&lt;&gt;"",G16-G17,"")</f>
        <v/>
      </c>
      <c r="H18" s="536" t="str">
        <f t="shared" ca="1" si="2"/>
        <v/>
      </c>
      <c r="I18" s="536" t="str">
        <f t="shared" ca="1" si="2"/>
        <v/>
      </c>
      <c r="J18" s="536" t="str">
        <f t="shared" ca="1" si="2"/>
        <v/>
      </c>
      <c r="K18" s="536" t="str">
        <f t="shared" ca="1" si="2"/>
        <v/>
      </c>
      <c r="L18" s="536" t="str">
        <f t="shared" ca="1" si="2"/>
        <v/>
      </c>
      <c r="AK18" s="318"/>
    </row>
    <row r="19" spans="1:37" ht="22" customHeight="1" x14ac:dyDescent="0.3">
      <c r="A19" s="1989"/>
      <c r="B19" s="1986" t="s">
        <v>334</v>
      </c>
      <c r="C19" s="1987"/>
      <c r="D19" s="1987"/>
      <c r="E19" s="1988"/>
      <c r="F19" s="536" t="str">
        <f ca="1">IF(F15&lt;&gt;"",LOOKUP(F15,Tara!$L$5:$L$21,Tara!$N$5:$N$21),"")</f>
        <v/>
      </c>
      <c r="G19" s="536" t="str">
        <f ca="1">IF(G15&lt;&gt;"",LOOKUP(G15,Tara!$L$5:$L$21,Tara!$N$5:$N$21),"")</f>
        <v/>
      </c>
      <c r="H19" s="536" t="str">
        <f ca="1">IF(H15&lt;&gt;"",LOOKUP(H15,Tara!$L$5:$L$21,Tara!$N$5:$N$21),"")</f>
        <v/>
      </c>
      <c r="I19" s="536" t="str">
        <f ca="1">IF(I15&lt;&gt;"",LOOKUP(I15,Tara!$L$5:$L$21,Tara!$N$5:$N$21),"")</f>
        <v/>
      </c>
      <c r="J19" s="536" t="str">
        <f ca="1">IF(J15&lt;&gt;"",LOOKUP(J15,Tara!$L$5:$L$21,Tara!$N$5:$N$21),"")</f>
        <v/>
      </c>
      <c r="K19" s="536" t="str">
        <f ca="1">IF(K15&lt;&gt;"",LOOKUP(K15,Tara!$L$5:$L$21,Tara!$N$5:$N$21),"")</f>
        <v/>
      </c>
      <c r="L19" s="536" t="str">
        <f ca="1">IF(L15&lt;&gt;"",LOOKUP(L15,Tara!$L$5:$L$21,Tara!$N$5:$N$21),"")</f>
        <v/>
      </c>
      <c r="AK19" s="318"/>
    </row>
    <row r="20" spans="1:37" ht="22" customHeight="1" x14ac:dyDescent="0.3">
      <c r="A20" s="1989"/>
      <c r="B20" s="1986" t="s">
        <v>335</v>
      </c>
      <c r="C20" s="1987"/>
      <c r="D20" s="1987"/>
      <c r="E20" s="1988"/>
      <c r="F20" s="536" t="str">
        <f ca="1">IF(F18&lt;&gt;"",F18-F19,"")</f>
        <v/>
      </c>
      <c r="G20" s="536" t="str">
        <f t="shared" ref="G20:L20" ca="1" si="3">IF(G18&lt;&gt;"",G18-G19,"")</f>
        <v/>
      </c>
      <c r="H20" s="536" t="str">
        <f t="shared" ca="1" si="3"/>
        <v/>
      </c>
      <c r="I20" s="536" t="str">
        <f t="shared" ca="1" si="3"/>
        <v/>
      </c>
      <c r="J20" s="536" t="str">
        <f t="shared" ca="1" si="3"/>
        <v/>
      </c>
      <c r="K20" s="536" t="str">
        <f t="shared" ca="1" si="3"/>
        <v/>
      </c>
      <c r="L20" s="536" t="str">
        <f t="shared" ca="1" si="3"/>
        <v/>
      </c>
      <c r="AK20" s="318"/>
    </row>
    <row r="21" spans="1:37" ht="22" customHeight="1" x14ac:dyDescent="0.3">
      <c r="A21" s="1989"/>
      <c r="B21" s="1986" t="s">
        <v>336</v>
      </c>
      <c r="C21" s="1987"/>
      <c r="D21" s="1987"/>
      <c r="E21" s="1988"/>
      <c r="F21" s="307" t="str">
        <f ca="1">IF(F15&lt;&gt;"",LOOKUP(F15,Tara!$L$5:$L$21,Tara!$O$5:$O$21),"")</f>
        <v/>
      </c>
      <c r="G21" s="307" t="str">
        <f ca="1">IF(G15&lt;&gt;"",LOOKUP(G15,Tara!$L$5:$L$21,Tara!$O$5:$O$21),"")</f>
        <v/>
      </c>
      <c r="H21" s="307" t="str">
        <f ca="1">IF(H15&lt;&gt;"",LOOKUP(H15,Tara!$L$5:$L$21,Tara!$O$5:$O$21),"")</f>
        <v/>
      </c>
      <c r="I21" s="635" t="str">
        <f ca="1">IF(I15&lt;&gt;"",LOOKUP(I15,Tara!$L$5:$L$21,Tara!$O$5:$O$21),"")</f>
        <v/>
      </c>
      <c r="J21" s="307" t="str">
        <f ca="1">IF(J15&lt;&gt;"",LOOKUP(J15,Tara!$L$5:$L$21,Tara!$O$5:$O$21),"")</f>
        <v/>
      </c>
      <c r="K21" s="307" t="str">
        <f ca="1">IF(K15&lt;&gt;"",LOOKUP(K15,Tara!$L$5:$L$21,Tara!$O$5:$O$21),"")</f>
        <v/>
      </c>
      <c r="L21" s="307" t="str">
        <f ca="1">IF(L15&lt;&gt;"",LOOKUP(L15,Tara!$L$5:$L$21,Tara!$O$5:$O$21),"")</f>
        <v/>
      </c>
      <c r="AK21" s="318"/>
    </row>
    <row r="22" spans="1:37" ht="22" customHeight="1" x14ac:dyDescent="0.3">
      <c r="A22" s="1989"/>
      <c r="B22" s="1986" t="s">
        <v>337</v>
      </c>
      <c r="C22" s="1987"/>
      <c r="D22" s="1987"/>
      <c r="E22" s="1988"/>
      <c r="F22" s="306" t="str">
        <f ca="1">IF(F15&lt;&gt;"",F20/F21,"")</f>
        <v/>
      </c>
      <c r="G22" s="306" t="str">
        <f t="shared" ref="G22:L22" ca="1" si="4">IF(G15&lt;&gt;"",G20/G21,"")</f>
        <v/>
      </c>
      <c r="H22" s="306" t="str">
        <f t="shared" ca="1" si="4"/>
        <v/>
      </c>
      <c r="I22" s="306" t="str">
        <f t="shared" ca="1" si="4"/>
        <v/>
      </c>
      <c r="J22" s="306" t="str">
        <f t="shared" ca="1" si="4"/>
        <v/>
      </c>
      <c r="K22" s="307" t="str">
        <f t="shared" ca="1" si="4"/>
        <v/>
      </c>
      <c r="L22" s="307" t="str">
        <f t="shared" ca="1" si="4"/>
        <v/>
      </c>
      <c r="M22" s="604" t="str">
        <f ca="1">F22</f>
        <v/>
      </c>
      <c r="N22" s="604" t="str">
        <f t="shared" ref="N22:S22" ca="1" si="5">G22</f>
        <v/>
      </c>
      <c r="O22" s="604" t="str">
        <f t="shared" ca="1" si="5"/>
        <v/>
      </c>
      <c r="P22" s="604" t="str">
        <f t="shared" ca="1" si="5"/>
        <v/>
      </c>
      <c r="Q22" s="604" t="str">
        <f t="shared" ca="1" si="5"/>
        <v/>
      </c>
      <c r="R22" s="604" t="str">
        <f t="shared" ca="1" si="5"/>
        <v/>
      </c>
      <c r="S22" s="604" t="str">
        <f t="shared" ca="1" si="5"/>
        <v/>
      </c>
      <c r="T22" s="604"/>
      <c r="U22" s="604"/>
      <c r="AK22" s="318"/>
    </row>
    <row r="23" spans="1:37" ht="22" customHeight="1" x14ac:dyDescent="0.3">
      <c r="A23" s="1983" t="s">
        <v>338</v>
      </c>
      <c r="B23" s="1986" t="s">
        <v>339</v>
      </c>
      <c r="C23" s="1987"/>
      <c r="D23" s="1987"/>
      <c r="E23" s="1988"/>
      <c r="F23" s="312" t="str">
        <f t="shared" ref="F23:L24" ca="1" si="6">IF(OR($N$2="",$N$2=0),"",IF(INDIRECT(ADDRESS(($AK23),COLUMN()-1,,,"Digitar Dados de Dens. InSitu"))&lt;&gt;"",INDIRECT(ADDRESS(($AK23),COLUMN()-1,,,"Digitar Dados de Dens. InSitu")),""))</f>
        <v/>
      </c>
      <c r="G23" s="312" t="str">
        <f t="shared" ca="1" si="6"/>
        <v/>
      </c>
      <c r="H23" s="312" t="str">
        <f t="shared" ca="1" si="6"/>
        <v/>
      </c>
      <c r="I23" s="312" t="str">
        <f t="shared" ca="1" si="6"/>
        <v/>
      </c>
      <c r="J23" s="312" t="str">
        <f t="shared" ca="1" si="6"/>
        <v/>
      </c>
      <c r="K23" s="312" t="str">
        <f t="shared" ca="1" si="6"/>
        <v/>
      </c>
      <c r="L23" s="312" t="str">
        <f t="shared" ca="1" si="6"/>
        <v/>
      </c>
      <c r="AK23" s="318">
        <f>AK17+1</f>
        <v>0</v>
      </c>
    </row>
    <row r="24" spans="1:37" ht="22" customHeight="1" x14ac:dyDescent="0.3">
      <c r="A24" s="1984"/>
      <c r="B24" s="1986" t="s">
        <v>319</v>
      </c>
      <c r="C24" s="1987"/>
      <c r="D24" s="1987"/>
      <c r="E24" s="1988"/>
      <c r="F24" s="312" t="str">
        <f t="shared" ca="1" si="6"/>
        <v/>
      </c>
      <c r="G24" s="312" t="str">
        <f t="shared" ca="1" si="6"/>
        <v/>
      </c>
      <c r="H24" s="312" t="str">
        <f t="shared" ca="1" si="6"/>
        <v/>
      </c>
      <c r="I24" s="312" t="str">
        <f t="shared" ca="1" si="6"/>
        <v/>
      </c>
      <c r="J24" s="312" t="str">
        <f t="shared" ca="1" si="6"/>
        <v/>
      </c>
      <c r="K24" s="312" t="str">
        <f t="shared" ca="1" si="6"/>
        <v/>
      </c>
      <c r="L24" s="312" t="str">
        <f t="shared" ca="1" si="6"/>
        <v/>
      </c>
      <c r="AK24" s="318">
        <f>AK23+1</f>
        <v>1</v>
      </c>
    </row>
    <row r="25" spans="1:37" ht="22" customHeight="1" x14ac:dyDescent="0.3">
      <c r="A25" s="1984"/>
      <c r="B25" s="1986" t="s">
        <v>340</v>
      </c>
      <c r="C25" s="1987"/>
      <c r="D25" s="1987"/>
      <c r="E25" s="1988"/>
      <c r="F25" s="323" t="str">
        <f ca="1">IF(F24&lt;&gt;"",LOOKUP(F23,Tara!$P$5:$P$21,Tara!$Q$5:$Q$21),"")</f>
        <v/>
      </c>
      <c r="G25" s="323" t="str">
        <f ca="1">IF(G24&lt;&gt;"",LOOKUP(G23,Tara!$P$5:$P$21,Tara!$Q$5:$Q$21),"")</f>
        <v/>
      </c>
      <c r="H25" s="323" t="str">
        <f ca="1">IF(H24&lt;&gt;"",LOOKUP(H23,Tara!$P$5:$P$21,Tara!$Q$5:$Q$21),"")</f>
        <v/>
      </c>
      <c r="I25" s="323" t="str">
        <f ca="1">IF(I24&lt;&gt;"",LOOKUP(I23,Tara!$P$5:$P$21,Tara!$Q$5:$Q$21),"")</f>
        <v/>
      </c>
      <c r="J25" s="323" t="str">
        <f ca="1">IF(J24&lt;&gt;"",LOOKUP(J23,Tara!$P$5:$P$21,Tara!$Q$5:$Q$21),"")</f>
        <v/>
      </c>
      <c r="K25" s="323" t="str">
        <f ca="1">IF(K24&lt;&gt;"",LOOKUP(K23,Tara!$P$5:$P$21,Tara!$Q$5:$Q$21),"")</f>
        <v/>
      </c>
      <c r="L25" s="323" t="str">
        <f ca="1">IF(L24&lt;&gt;"",LOOKUP(L23,Tara!$P$5:$P$21,Tara!$Q$5:$Q$21),"")</f>
        <v/>
      </c>
      <c r="AK25" s="318"/>
    </row>
    <row r="26" spans="1:37" ht="22" customHeight="1" x14ac:dyDescent="0.3">
      <c r="A26" s="1985"/>
      <c r="B26" s="1986" t="s">
        <v>341</v>
      </c>
      <c r="C26" s="1987"/>
      <c r="D26" s="1987"/>
      <c r="E26" s="1988"/>
      <c r="F26" s="306" t="str">
        <f ca="1">IF(F25&lt;&gt;"",F24-F25,"")</f>
        <v/>
      </c>
      <c r="G26" s="306" t="str">
        <f t="shared" ref="G26:L26" ca="1" si="7">IF(G25&lt;&gt;"",G24-G25,"")</f>
        <v/>
      </c>
      <c r="H26" s="306" t="str">
        <f t="shared" ca="1" si="7"/>
        <v/>
      </c>
      <c r="I26" s="306" t="str">
        <f t="shared" ca="1" si="7"/>
        <v/>
      </c>
      <c r="J26" s="306" t="str">
        <f t="shared" ca="1" si="7"/>
        <v/>
      </c>
      <c r="K26" s="306" t="str">
        <f t="shared" ca="1" si="7"/>
        <v/>
      </c>
      <c r="L26" s="306" t="str">
        <f t="shared" ca="1" si="7"/>
        <v/>
      </c>
      <c r="AK26" s="318"/>
    </row>
    <row r="27" spans="1:37" ht="22" customHeight="1" x14ac:dyDescent="0.3">
      <c r="A27" s="1983" t="s">
        <v>342</v>
      </c>
      <c r="B27" s="1986" t="s">
        <v>19</v>
      </c>
      <c r="C27" s="1987"/>
      <c r="D27" s="1987"/>
      <c r="E27" s="1988"/>
      <c r="F27" s="308"/>
      <c r="G27" s="308"/>
      <c r="H27" s="308"/>
      <c r="I27" s="308"/>
      <c r="J27" s="308"/>
      <c r="K27" s="308"/>
      <c r="L27" s="308"/>
      <c r="AK27" s="318"/>
    </row>
    <row r="28" spans="1:37" ht="22" customHeight="1" x14ac:dyDescent="0.3">
      <c r="A28" s="1984"/>
      <c r="B28" s="2015" t="s">
        <v>343</v>
      </c>
      <c r="C28" s="2016"/>
      <c r="D28" s="2016"/>
      <c r="E28" s="2017"/>
      <c r="F28" s="308"/>
      <c r="G28" s="308"/>
      <c r="H28" s="308"/>
      <c r="I28" s="308"/>
      <c r="J28" s="308"/>
      <c r="K28" s="308"/>
      <c r="L28" s="308"/>
      <c r="AK28" s="318"/>
    </row>
    <row r="29" spans="1:37" ht="22" customHeight="1" x14ac:dyDescent="0.3">
      <c r="A29" s="1984"/>
      <c r="B29" s="2015" t="s">
        <v>344</v>
      </c>
      <c r="C29" s="2016"/>
      <c r="D29" s="2016"/>
      <c r="E29" s="2017"/>
      <c r="F29" s="308"/>
      <c r="G29" s="308"/>
      <c r="H29" s="308"/>
      <c r="I29" s="308"/>
      <c r="J29" s="308"/>
      <c r="K29" s="308"/>
      <c r="L29" s="308"/>
      <c r="AK29" s="318"/>
    </row>
    <row r="30" spans="1:37" ht="22" customHeight="1" x14ac:dyDescent="0.3">
      <c r="A30" s="1984"/>
      <c r="B30" s="2015" t="s">
        <v>345</v>
      </c>
      <c r="C30" s="2016"/>
      <c r="D30" s="2016"/>
      <c r="E30" s="2017"/>
      <c r="F30" s="308"/>
      <c r="G30" s="308"/>
      <c r="H30" s="308"/>
      <c r="I30" s="308"/>
      <c r="J30" s="308"/>
      <c r="K30" s="308"/>
      <c r="L30" s="308"/>
      <c r="AK30" s="318"/>
    </row>
    <row r="31" spans="1:37" ht="22" customHeight="1" x14ac:dyDescent="0.3">
      <c r="A31" s="1984"/>
      <c r="B31" s="2015" t="s">
        <v>346</v>
      </c>
      <c r="C31" s="2016"/>
      <c r="D31" s="2016"/>
      <c r="E31" s="2017"/>
      <c r="F31" s="308"/>
      <c r="G31" s="308"/>
      <c r="H31" s="308"/>
      <c r="I31" s="308"/>
      <c r="J31" s="308"/>
      <c r="K31" s="308"/>
      <c r="L31" s="308"/>
      <c r="AK31" s="318"/>
    </row>
    <row r="32" spans="1:37" ht="22" customHeight="1" x14ac:dyDescent="0.3">
      <c r="A32" s="1984"/>
      <c r="B32" s="2015" t="s">
        <v>347</v>
      </c>
      <c r="C32" s="2016"/>
      <c r="D32" s="2016"/>
      <c r="E32" s="2017"/>
      <c r="F32" s="308"/>
      <c r="G32" s="308"/>
      <c r="H32" s="308"/>
      <c r="I32" s="308"/>
      <c r="J32" s="308"/>
      <c r="K32" s="308"/>
      <c r="L32" s="308"/>
      <c r="M32" s="604" t="e">
        <f ca="1">IF(M34&lt;&gt;"",M34*M22/1000,"")</f>
        <v>#VALUE!</v>
      </c>
      <c r="N32" s="604" t="e">
        <f t="shared" ref="N32:S32" ca="1" si="8">IF(N34&lt;&gt;"",N34*N22/1000,"")</f>
        <v>#VALUE!</v>
      </c>
      <c r="O32" s="604" t="e">
        <f t="shared" ca="1" si="8"/>
        <v>#VALUE!</v>
      </c>
      <c r="P32" s="604" t="e">
        <f t="shared" ca="1" si="8"/>
        <v>#VALUE!</v>
      </c>
      <c r="Q32" s="604" t="e">
        <f t="shared" ca="1" si="8"/>
        <v>#VALUE!</v>
      </c>
      <c r="R32" s="604" t="e">
        <f t="shared" ca="1" si="8"/>
        <v>#VALUE!</v>
      </c>
      <c r="S32" s="604" t="e">
        <f t="shared" ca="1" si="8"/>
        <v>#VALUE!</v>
      </c>
      <c r="T32" s="604"/>
      <c r="AK32" s="318"/>
    </row>
    <row r="33" spans="1:37" ht="22" customHeight="1" x14ac:dyDescent="0.3">
      <c r="A33" s="1985"/>
      <c r="B33" s="1986" t="s">
        <v>348</v>
      </c>
      <c r="C33" s="1987"/>
      <c r="D33" s="1987"/>
      <c r="E33" s="1988"/>
      <c r="F33" s="325" t="str">
        <f t="shared" ref="F33:L33" ca="1" si="9">IF(OR($N$2="",$N$2=0),"",IF(INDIRECT(ADDRESS(($AK33),COLUMN()-1,,,"Digitar Dados de Dens. InSitu"))&lt;&gt;"",INDIRECT(ADDRESS(($AK33),COLUMN()-1,,,"Digitar Dados de Dens. InSitu")),""))</f>
        <v/>
      </c>
      <c r="G33" s="325" t="str">
        <f t="shared" ca="1" si="9"/>
        <v/>
      </c>
      <c r="H33" s="325" t="str">
        <f t="shared" ca="1" si="9"/>
        <v/>
      </c>
      <c r="I33" s="325" t="str">
        <f t="shared" ca="1" si="9"/>
        <v/>
      </c>
      <c r="J33" s="325" t="str">
        <f t="shared" ca="1" si="9"/>
        <v/>
      </c>
      <c r="K33" s="325" t="str">
        <f t="shared" ca="1" si="9"/>
        <v/>
      </c>
      <c r="L33" s="325" t="str">
        <f t="shared" ca="1" si="9"/>
        <v/>
      </c>
      <c r="M33" s="601" t="str">
        <f ca="1">IF(F33&lt;&gt;"",F33,"")</f>
        <v/>
      </c>
      <c r="N33" s="601" t="str">
        <f t="shared" ref="N33:S33" ca="1" si="10">IF(G33&lt;&gt;"",G33,"")</f>
        <v/>
      </c>
      <c r="O33" s="601" t="str">
        <f t="shared" ca="1" si="10"/>
        <v/>
      </c>
      <c r="P33" s="601" t="str">
        <f t="shared" ca="1" si="10"/>
        <v/>
      </c>
      <c r="Q33" s="601" t="str">
        <f t="shared" ca="1" si="10"/>
        <v/>
      </c>
      <c r="R33" s="601" t="str">
        <f t="shared" ca="1" si="10"/>
        <v/>
      </c>
      <c r="S33" s="601" t="str">
        <f t="shared" ca="1" si="10"/>
        <v/>
      </c>
      <c r="AK33" s="318">
        <f>AK24+1</f>
        <v>2</v>
      </c>
    </row>
    <row r="34" spans="1:37" ht="24" customHeight="1" x14ac:dyDescent="0.3">
      <c r="A34" s="2021" t="s">
        <v>349</v>
      </c>
      <c r="B34" s="2033" t="s">
        <v>350</v>
      </c>
      <c r="C34" s="2034"/>
      <c r="D34" s="2025" t="s">
        <v>351</v>
      </c>
      <c r="E34" s="2026"/>
      <c r="F34" s="599" t="str">
        <f ca="1">IF(F33&lt;&gt;"",(F24/F22),"")</f>
        <v/>
      </c>
      <c r="G34" s="599" t="str">
        <f t="shared" ref="G34:L34" ca="1" si="11">IF(G33&lt;&gt;"",(G24/G22),"")</f>
        <v/>
      </c>
      <c r="H34" s="599" t="str">
        <f t="shared" ca="1" si="11"/>
        <v/>
      </c>
      <c r="I34" s="599" t="str">
        <f t="shared" ca="1" si="11"/>
        <v/>
      </c>
      <c r="J34" s="599" t="str">
        <f t="shared" ca="1" si="11"/>
        <v/>
      </c>
      <c r="K34" s="599" t="str">
        <f t="shared" ca="1" si="11"/>
        <v/>
      </c>
      <c r="L34" s="599" t="str">
        <f t="shared" ca="1" si="11"/>
        <v/>
      </c>
      <c r="M34" s="602" t="e">
        <f ca="1">IF(M35&lt;&gt;"",M35*(1+M33),"")</f>
        <v>#VALUE!</v>
      </c>
      <c r="N34" s="602" t="e">
        <f t="shared" ref="N34:S34" ca="1" si="12">IF(N35&lt;&gt;"",N35*(1+N33),"")</f>
        <v>#VALUE!</v>
      </c>
      <c r="O34" s="602" t="e">
        <f t="shared" ca="1" si="12"/>
        <v>#VALUE!</v>
      </c>
      <c r="P34" s="602" t="e">
        <f t="shared" ca="1" si="12"/>
        <v>#VALUE!</v>
      </c>
      <c r="Q34" s="602" t="e">
        <f t="shared" ca="1" si="12"/>
        <v>#VALUE!</v>
      </c>
      <c r="R34" s="602" t="e">
        <f t="shared" ca="1" si="12"/>
        <v>#VALUE!</v>
      </c>
      <c r="S34" s="602" t="e">
        <f t="shared" ca="1" si="12"/>
        <v>#VALUE!</v>
      </c>
      <c r="AK34" s="318"/>
    </row>
    <row r="35" spans="1:37" ht="24" customHeight="1" x14ac:dyDescent="0.3">
      <c r="A35" s="2022"/>
      <c r="B35" s="2033" t="s">
        <v>352</v>
      </c>
      <c r="C35" s="2034"/>
      <c r="D35" s="2025" t="s">
        <v>353</v>
      </c>
      <c r="E35" s="2026"/>
      <c r="F35" s="599" t="str">
        <f ca="1">IF(F10&lt;&gt;"",F34/(1+F33),"")</f>
        <v/>
      </c>
      <c r="G35" s="599" t="str">
        <f t="shared" ref="G35:L35" ca="1" si="13">IF(G10&lt;&gt;"",G34/(1+G33),"")</f>
        <v/>
      </c>
      <c r="H35" s="599" t="str">
        <f t="shared" ca="1" si="13"/>
        <v/>
      </c>
      <c r="I35" s="599" t="str">
        <f t="shared" ca="1" si="13"/>
        <v/>
      </c>
      <c r="J35" s="599" t="str">
        <f t="shared" ca="1" si="13"/>
        <v/>
      </c>
      <c r="K35" s="599" t="str">
        <f t="shared" ca="1" si="13"/>
        <v/>
      </c>
      <c r="L35" s="599" t="str">
        <f t="shared" ca="1" si="13"/>
        <v/>
      </c>
      <c r="M35" s="602" t="e">
        <f ca="1">IF(M39&lt;&gt;"",M39*M37%*100,"")</f>
        <v>#VALUE!</v>
      </c>
      <c r="N35" s="602" t="e">
        <f t="shared" ref="N35:S35" ca="1" si="14">IF(N39&lt;&gt;"",N39*N37%*100,"")</f>
        <v>#VALUE!</v>
      </c>
      <c r="O35" s="602" t="e">
        <f t="shared" ca="1" si="14"/>
        <v>#VALUE!</v>
      </c>
      <c r="P35" s="602" t="e">
        <f t="shared" ca="1" si="14"/>
        <v>#VALUE!</v>
      </c>
      <c r="Q35" s="602" t="e">
        <f t="shared" ca="1" si="14"/>
        <v>#VALUE!</v>
      </c>
      <c r="R35" s="602" t="e">
        <f t="shared" ca="1" si="14"/>
        <v>#VALUE!</v>
      </c>
      <c r="S35" s="602" t="e">
        <f t="shared" ca="1" si="14"/>
        <v>#VALUE!</v>
      </c>
      <c r="AK35" s="318"/>
    </row>
    <row r="36" spans="1:37" ht="22" customHeight="1" x14ac:dyDescent="0.3">
      <c r="A36" s="2021" t="s">
        <v>354</v>
      </c>
      <c r="B36" s="2024" t="s">
        <v>355</v>
      </c>
      <c r="C36" s="2025"/>
      <c r="D36" s="2025"/>
      <c r="E36" s="2026"/>
      <c r="F36" s="306"/>
      <c r="G36" s="306"/>
      <c r="H36" s="306"/>
      <c r="I36" s="306"/>
      <c r="J36" s="306"/>
      <c r="K36" s="306"/>
      <c r="L36" s="306"/>
      <c r="AK36" s="318"/>
    </row>
    <row r="37" spans="1:37" ht="24" customHeight="1" x14ac:dyDescent="0.3">
      <c r="A37" s="2023"/>
      <c r="B37" s="2033" t="s">
        <v>321</v>
      </c>
      <c r="C37" s="2034"/>
      <c r="D37" s="2025" t="s">
        <v>356</v>
      </c>
      <c r="E37" s="2026"/>
      <c r="F37" s="312" t="str">
        <f t="shared" ref="F37:L38" ca="1" si="15">IF(OR($N$2="",$N$2=0),"",IF(INDIRECT(ADDRESS(($AK37),COLUMN()-1,,,"Digitar Dados de Dens. InSitu"))&lt;&gt;"",INDIRECT(ADDRESS(($AK37),COLUMN()-1,,,"Digitar Dados de Dens. InSitu")),""))</f>
        <v/>
      </c>
      <c r="G37" s="312" t="str">
        <f t="shared" ca="1" si="15"/>
        <v/>
      </c>
      <c r="H37" s="312" t="str">
        <f t="shared" ca="1" si="15"/>
        <v/>
      </c>
      <c r="I37" s="312" t="str">
        <f t="shared" ca="1" si="15"/>
        <v/>
      </c>
      <c r="J37" s="312" t="str">
        <f t="shared" ca="1" si="15"/>
        <v/>
      </c>
      <c r="K37" s="312" t="str">
        <f t="shared" ca="1" si="15"/>
        <v/>
      </c>
      <c r="L37" s="312" t="str">
        <f t="shared" ca="1" si="15"/>
        <v/>
      </c>
      <c r="M37" s="602" t="str">
        <f ca="1">IF(F37&lt;&gt;"",F37,"")</f>
        <v/>
      </c>
      <c r="N37" s="602" t="str">
        <f t="shared" ref="N37:S37" ca="1" si="16">IF(G37&lt;&gt;"",G37,"")</f>
        <v/>
      </c>
      <c r="O37" s="602" t="str">
        <f t="shared" ca="1" si="16"/>
        <v/>
      </c>
      <c r="P37" s="602" t="str">
        <f t="shared" ca="1" si="16"/>
        <v/>
      </c>
      <c r="Q37" s="602" t="str">
        <f t="shared" ca="1" si="16"/>
        <v/>
      </c>
      <c r="R37" s="602" t="str">
        <f t="shared" ca="1" si="16"/>
        <v/>
      </c>
      <c r="S37" s="602" t="str">
        <f t="shared" ca="1" si="16"/>
        <v/>
      </c>
      <c r="AK37" s="318">
        <f>AK33+1</f>
        <v>3</v>
      </c>
    </row>
    <row r="38" spans="1:37" ht="22" customHeight="1" x14ac:dyDescent="0.3">
      <c r="A38" s="2022"/>
      <c r="B38" s="2024" t="s">
        <v>99</v>
      </c>
      <c r="C38" s="2025"/>
      <c r="D38" s="2025"/>
      <c r="E38" s="2026"/>
      <c r="F38" s="313" t="str">
        <f t="shared" ca="1" si="15"/>
        <v/>
      </c>
      <c r="G38" s="313" t="str">
        <f t="shared" ca="1" si="15"/>
        <v/>
      </c>
      <c r="H38" s="313" t="str">
        <f t="shared" ca="1" si="15"/>
        <v/>
      </c>
      <c r="I38" s="313" t="str">
        <f t="shared" ca="1" si="15"/>
        <v/>
      </c>
      <c r="J38" s="313" t="str">
        <f t="shared" ca="1" si="15"/>
        <v/>
      </c>
      <c r="K38" s="313" t="str">
        <f t="shared" ca="1" si="15"/>
        <v/>
      </c>
      <c r="L38" s="313" t="str">
        <f t="shared" ca="1" si="15"/>
        <v/>
      </c>
      <c r="AK38" s="318">
        <f>AK37+1</f>
        <v>4</v>
      </c>
    </row>
    <row r="39" spans="1:37" ht="20.149999999999999" customHeight="1" x14ac:dyDescent="0.3">
      <c r="A39" s="2024" t="s">
        <v>357</v>
      </c>
      <c r="B39" s="2025"/>
      <c r="C39" s="2025"/>
      <c r="D39" s="2025"/>
      <c r="E39" s="2026"/>
      <c r="F39" s="324" t="str">
        <f ca="1">IF(F35&lt;&gt;"",F35/F37*1000,"")</f>
        <v/>
      </c>
      <c r="G39" s="324" t="str">
        <f t="shared" ref="G39:L39" ca="1" si="17">IF(G35&lt;&gt;"",G35/G37*1000,"")</f>
        <v/>
      </c>
      <c r="H39" s="324" t="str">
        <f t="shared" ca="1" si="17"/>
        <v/>
      </c>
      <c r="I39" s="324" t="str">
        <f t="shared" ca="1" si="17"/>
        <v/>
      </c>
      <c r="J39" s="324" t="str">
        <f t="shared" ca="1" si="17"/>
        <v/>
      </c>
      <c r="K39" s="324" t="str">
        <f t="shared" ca="1" si="17"/>
        <v/>
      </c>
      <c r="L39" s="324" t="str">
        <f t="shared" ca="1" si="17"/>
        <v/>
      </c>
      <c r="M39" s="603">
        <f ca="1">RANDBETWEEN(100.1*10,102.5*10)/1000</f>
        <v>1.0069999999999999</v>
      </c>
      <c r="N39" s="603">
        <f t="shared" ref="N39:S39" ca="1" si="18">RANDBETWEEN(100.1*10,102.5*10)/1000</f>
        <v>1.002</v>
      </c>
      <c r="O39" s="603">
        <f t="shared" ca="1" si="18"/>
        <v>1.0029999999999999</v>
      </c>
      <c r="P39" s="603">
        <f t="shared" ca="1" si="18"/>
        <v>1.0029999999999999</v>
      </c>
      <c r="Q39" s="603">
        <f t="shared" ca="1" si="18"/>
        <v>1.0209999999999999</v>
      </c>
      <c r="R39" s="603">
        <f t="shared" ca="1" si="18"/>
        <v>1.008</v>
      </c>
      <c r="S39" s="603">
        <f t="shared" ca="1" si="18"/>
        <v>1.022</v>
      </c>
      <c r="T39" s="601"/>
      <c r="AK39" s="318"/>
    </row>
    <row r="40" spans="1:37" ht="24" customHeight="1" x14ac:dyDescent="0.3">
      <c r="A40" s="2027" t="s">
        <v>267</v>
      </c>
      <c r="B40" s="2028"/>
      <c r="C40" s="2028"/>
      <c r="D40" s="2028"/>
      <c r="E40" s="2029"/>
      <c r="F40" s="2013"/>
      <c r="G40" s="2014"/>
      <c r="H40" s="2014"/>
      <c r="I40" s="309"/>
      <c r="J40" s="2004"/>
      <c r="K40" s="2004"/>
      <c r="L40" s="2012"/>
      <c r="M40" s="601"/>
      <c r="N40" s="601"/>
      <c r="O40" s="601"/>
      <c r="P40" s="601"/>
      <c r="Q40" s="601"/>
      <c r="R40" s="601"/>
      <c r="S40" s="601"/>
      <c r="AK40" s="318">
        <f>AK1+10</f>
        <v>4</v>
      </c>
    </row>
    <row r="41" spans="1:37" ht="24" customHeight="1" x14ac:dyDescent="0.3">
      <c r="A41" s="2030"/>
      <c r="B41" s="2031"/>
      <c r="C41" s="2031"/>
      <c r="D41" s="2031"/>
      <c r="E41" s="2032"/>
      <c r="F41" s="2018" t="s">
        <v>358</v>
      </c>
      <c r="G41" s="2019"/>
      <c r="H41" s="2019"/>
      <c r="I41" s="310"/>
      <c r="J41" s="2019" t="s">
        <v>359</v>
      </c>
      <c r="K41" s="2019"/>
      <c r="L41" s="2020"/>
    </row>
    <row r="42" spans="1:37" ht="24" customHeight="1" x14ac:dyDescent="0.3"/>
    <row r="43" spans="1:37" ht="24" customHeight="1" x14ac:dyDescent="0.3"/>
    <row r="44" spans="1:37" ht="24" customHeight="1" x14ac:dyDescent="0.3"/>
    <row r="45" spans="1:37" ht="24" customHeight="1" x14ac:dyDescent="0.3"/>
    <row r="46" spans="1:37" ht="12" customHeight="1" x14ac:dyDescent="0.3"/>
    <row r="47" spans="1:37" ht="12" customHeight="1" x14ac:dyDescent="0.3"/>
    <row r="48" spans="1:37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</sheetData>
  <mergeCells count="58">
    <mergeCell ref="A10:E10"/>
    <mergeCell ref="A11:E11"/>
    <mergeCell ref="A12:E12"/>
    <mergeCell ref="A14:E14"/>
    <mergeCell ref="B17:E17"/>
    <mergeCell ref="F41:H41"/>
    <mergeCell ref="J41:L41"/>
    <mergeCell ref="A34:A35"/>
    <mergeCell ref="A36:A38"/>
    <mergeCell ref="B36:E36"/>
    <mergeCell ref="B38:E38"/>
    <mergeCell ref="A39:E39"/>
    <mergeCell ref="A40:E41"/>
    <mergeCell ref="B35:C35"/>
    <mergeCell ref="D35:E35"/>
    <mergeCell ref="B34:C34"/>
    <mergeCell ref="D34:E34"/>
    <mergeCell ref="B37:C37"/>
    <mergeCell ref="D37:E37"/>
    <mergeCell ref="B22:E22"/>
    <mergeCell ref="A23:A26"/>
    <mergeCell ref="B23:E23"/>
    <mergeCell ref="B25:E25"/>
    <mergeCell ref="J40:L40"/>
    <mergeCell ref="F40:H40"/>
    <mergeCell ref="B28:E28"/>
    <mergeCell ref="B29:E29"/>
    <mergeCell ref="B30:E30"/>
    <mergeCell ref="B31:E31"/>
    <mergeCell ref="B32:E32"/>
    <mergeCell ref="B33:E33"/>
    <mergeCell ref="A7:B7"/>
    <mergeCell ref="A5:L5"/>
    <mergeCell ref="A6:B6"/>
    <mergeCell ref="G6:I6"/>
    <mergeCell ref="K6:L6"/>
    <mergeCell ref="C7:L7"/>
    <mergeCell ref="D1:L4"/>
    <mergeCell ref="C6:E6"/>
    <mergeCell ref="A1:C2"/>
    <mergeCell ref="A3:C3"/>
    <mergeCell ref="A4:C4"/>
    <mergeCell ref="D9:E9"/>
    <mergeCell ref="A9:B9"/>
    <mergeCell ref="C8:L8"/>
    <mergeCell ref="A27:A33"/>
    <mergeCell ref="B27:E27"/>
    <mergeCell ref="B24:E24"/>
    <mergeCell ref="B26:E26"/>
    <mergeCell ref="A15:A22"/>
    <mergeCell ref="B15:E15"/>
    <mergeCell ref="B20:E20"/>
    <mergeCell ref="B19:E19"/>
    <mergeCell ref="B18:E18"/>
    <mergeCell ref="B16:E16"/>
    <mergeCell ref="A8:B8"/>
    <mergeCell ref="A13:D13"/>
    <mergeCell ref="B21:E21"/>
  </mergeCells>
  <conditionalFormatting sqref="F15:L24">
    <cfRule type="containsErrors" dxfId="0" priority="1">
      <formula>ISERROR(F15)</formula>
    </cfRule>
  </conditionalFormatting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96" orientation="portrait" r:id="rId1"/>
  <headerFooter alignWithMargins="0"/>
  <ignoredErrors>
    <ignoredError sqref="F16:L16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0" r:id="rId4" name="Spinner 2">
              <controlPr defaultSize="0" autoPict="0">
                <anchor moveWithCells="1" sizeWithCells="1">
                  <from>
                    <xdr:col>14</xdr:col>
                    <xdr:colOff>165100</xdr:colOff>
                    <xdr:row>0</xdr:row>
                    <xdr:rowOff>19050</xdr:rowOff>
                  </from>
                  <to>
                    <xdr:col>14</xdr:col>
                    <xdr:colOff>393700</xdr:colOff>
                    <xdr:row>3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5">
    <tabColor rgb="FFFFC000"/>
  </sheetPr>
  <dimension ref="A1:U222"/>
  <sheetViews>
    <sheetView workbookViewId="0">
      <selection activeCell="B19" sqref="B19"/>
    </sheetView>
  </sheetViews>
  <sheetFormatPr defaultColWidth="9.1796875" defaultRowHeight="14" x14ac:dyDescent="0.3"/>
  <cols>
    <col min="1" max="1" width="4.7265625" style="12" bestFit="1" customWidth="1"/>
    <col min="2" max="2" width="10" style="12" bestFit="1" customWidth="1"/>
    <col min="3" max="3" width="4.7265625" style="12" bestFit="1" customWidth="1"/>
    <col min="4" max="4" width="10" style="12" bestFit="1" customWidth="1"/>
    <col min="5" max="5" width="4.7265625" style="12" bestFit="1" customWidth="1"/>
    <col min="6" max="6" width="9.1796875" style="12"/>
    <col min="7" max="7" width="8.54296875" style="12" bestFit="1" customWidth="1"/>
    <col min="8" max="8" width="10" style="12" bestFit="1" customWidth="1"/>
    <col min="9" max="9" width="11.54296875" style="12" bestFit="1" customWidth="1"/>
    <col min="10" max="10" width="10" style="12" bestFit="1" customWidth="1"/>
    <col min="11" max="11" width="9.1796875" style="12"/>
    <col min="12" max="12" width="9.453125" style="12" bestFit="1" customWidth="1"/>
    <col min="13" max="13" width="11" style="12" bestFit="1" customWidth="1"/>
    <col min="14" max="14" width="15.1796875" style="12" bestFit="1" customWidth="1"/>
    <col min="15" max="15" width="14.453125" style="12" bestFit="1" customWidth="1"/>
    <col min="16" max="16" width="11.453125" style="12" bestFit="1" customWidth="1"/>
    <col min="17" max="17" width="16.26953125" style="12" bestFit="1" customWidth="1"/>
    <col min="18" max="18" width="18.81640625" style="12" bestFit="1" customWidth="1"/>
    <col min="19" max="19" width="12.7265625" style="12" bestFit="1" customWidth="1"/>
    <col min="20" max="20" width="18.26953125" style="12" bestFit="1" customWidth="1"/>
    <col min="21" max="21" width="13.453125" style="12" bestFit="1" customWidth="1"/>
    <col min="22" max="16384" width="9.1796875" style="12"/>
  </cols>
  <sheetData>
    <row r="1" spans="1:21" s="60" customFormat="1" ht="12" customHeight="1" x14ac:dyDescent="0.4">
      <c r="A1" s="2046" t="s">
        <v>360</v>
      </c>
      <c r="B1" s="2047"/>
      <c r="C1" s="2047"/>
      <c r="D1" s="2047"/>
      <c r="E1" s="2047"/>
      <c r="F1" s="2047"/>
      <c r="G1" s="2047"/>
      <c r="H1" s="2047"/>
      <c r="I1" s="2047"/>
      <c r="J1" s="2047"/>
      <c r="L1" s="2056" t="s">
        <v>302</v>
      </c>
      <c r="M1" s="2057"/>
      <c r="N1" s="2057"/>
      <c r="O1" s="2057"/>
      <c r="P1" s="2057"/>
      <c r="Q1" s="2057"/>
      <c r="R1" s="2058"/>
    </row>
    <row r="2" spans="1:21" s="60" customFormat="1" ht="12" customHeight="1" x14ac:dyDescent="0.4">
      <c r="A2" s="2048"/>
      <c r="B2" s="2049"/>
      <c r="C2" s="2049"/>
      <c r="D2" s="2049"/>
      <c r="E2" s="2049"/>
      <c r="F2" s="2049"/>
      <c r="G2" s="2049"/>
      <c r="H2" s="2049"/>
      <c r="I2" s="2049"/>
      <c r="J2" s="2049"/>
      <c r="L2" s="2059"/>
      <c r="M2" s="2060"/>
      <c r="N2" s="2060"/>
      <c r="O2" s="2060"/>
      <c r="P2" s="2060"/>
      <c r="Q2" s="2060"/>
      <c r="R2" s="2061"/>
    </row>
    <row r="3" spans="1:21" ht="16.5" customHeight="1" x14ac:dyDescent="0.3">
      <c r="A3" s="2054" t="s">
        <v>361</v>
      </c>
      <c r="B3" s="2055"/>
      <c r="C3" s="2055"/>
      <c r="D3" s="2055"/>
      <c r="E3" s="2055"/>
      <c r="F3" s="2055"/>
      <c r="G3" s="2050" t="s">
        <v>362</v>
      </c>
      <c r="H3" s="2051"/>
      <c r="I3" s="2051"/>
      <c r="J3" s="2051"/>
      <c r="L3" s="2040" t="s">
        <v>363</v>
      </c>
      <c r="M3" s="2041"/>
      <c r="N3" s="2041"/>
      <c r="O3" s="2042"/>
      <c r="P3" s="2040" t="s">
        <v>364</v>
      </c>
      <c r="Q3" s="2041"/>
      <c r="R3" s="2042"/>
      <c r="S3" s="2038" t="s">
        <v>364</v>
      </c>
      <c r="T3" s="2039"/>
    </row>
    <row r="4" spans="1:21" ht="16.5" customHeight="1" x14ac:dyDescent="0.3">
      <c r="A4" s="2043" t="s">
        <v>365</v>
      </c>
      <c r="B4" s="2045"/>
      <c r="C4" s="2043" t="s">
        <v>366</v>
      </c>
      <c r="D4" s="2045"/>
      <c r="E4" s="2043" t="s">
        <v>367</v>
      </c>
      <c r="F4" s="2044"/>
      <c r="G4" s="2052"/>
      <c r="H4" s="2053"/>
      <c r="I4" s="2053"/>
      <c r="J4" s="2053"/>
      <c r="L4" s="1270" t="s">
        <v>368</v>
      </c>
      <c r="M4" s="898" t="s">
        <v>369</v>
      </c>
      <c r="N4" s="898" t="s">
        <v>370</v>
      </c>
      <c r="O4" s="899" t="s">
        <v>371</v>
      </c>
      <c r="P4" s="1270" t="s">
        <v>372</v>
      </c>
      <c r="Q4" s="898" t="s">
        <v>46</v>
      </c>
      <c r="R4" s="899" t="s">
        <v>182</v>
      </c>
      <c r="S4" s="1270" t="s">
        <v>373</v>
      </c>
      <c r="T4" s="533" t="s">
        <v>374</v>
      </c>
    </row>
    <row r="5" spans="1:21" x14ac:dyDescent="0.3">
      <c r="A5" s="900" t="s">
        <v>62</v>
      </c>
      <c r="B5" s="900" t="s">
        <v>375</v>
      </c>
      <c r="C5" s="900" t="s">
        <v>62</v>
      </c>
      <c r="D5" s="900" t="s">
        <v>375</v>
      </c>
      <c r="E5" s="900" t="s">
        <v>62</v>
      </c>
      <c r="F5" s="900" t="s">
        <v>375</v>
      </c>
      <c r="G5" s="13" t="s">
        <v>62</v>
      </c>
      <c r="H5" s="13" t="s">
        <v>375</v>
      </c>
      <c r="I5" s="13" t="s">
        <v>376</v>
      </c>
      <c r="J5" s="13" t="s">
        <v>377</v>
      </c>
      <c r="L5" s="1271">
        <v>1</v>
      </c>
      <c r="M5" s="901">
        <v>7000</v>
      </c>
      <c r="N5" s="901">
        <v>525</v>
      </c>
      <c r="O5" s="902">
        <v>1.4530000000000001</v>
      </c>
      <c r="P5" s="1271">
        <v>1</v>
      </c>
      <c r="Q5" s="901"/>
      <c r="R5" s="903"/>
      <c r="S5" s="1271">
        <v>1</v>
      </c>
      <c r="T5" s="903">
        <v>0</v>
      </c>
      <c r="U5" s="534" t="s">
        <v>378</v>
      </c>
    </row>
    <row r="6" spans="1:21" ht="14.5" x14ac:dyDescent="0.35">
      <c r="A6" s="904">
        <v>1</v>
      </c>
      <c r="B6" s="686">
        <v>14.54</v>
      </c>
      <c r="C6" s="904">
        <v>1</v>
      </c>
      <c r="D6" s="686">
        <v>26.16</v>
      </c>
      <c r="E6" s="904">
        <v>1</v>
      </c>
      <c r="F6" s="686">
        <v>14.54</v>
      </c>
      <c r="G6" s="904">
        <v>1</v>
      </c>
      <c r="H6" s="696">
        <v>5090</v>
      </c>
      <c r="I6" s="692">
        <v>2093</v>
      </c>
      <c r="J6" s="695">
        <v>114.82</v>
      </c>
      <c r="L6" s="1271">
        <v>2</v>
      </c>
      <c r="M6" s="901">
        <v>7000</v>
      </c>
      <c r="N6" s="901">
        <v>525</v>
      </c>
      <c r="O6" s="902">
        <v>1.4530000000000001</v>
      </c>
      <c r="P6" s="1271"/>
      <c r="Q6" s="901"/>
      <c r="R6" s="903"/>
      <c r="S6" s="1271"/>
      <c r="T6" s="903"/>
    </row>
    <row r="7" spans="1:21" ht="14.5" x14ac:dyDescent="0.35">
      <c r="A7" s="904">
        <v>2</v>
      </c>
      <c r="B7" s="686">
        <v>11.36</v>
      </c>
      <c r="C7" s="904">
        <v>2</v>
      </c>
      <c r="D7" s="686">
        <v>34.159999999999997</v>
      </c>
      <c r="E7" s="904">
        <v>2</v>
      </c>
      <c r="F7" s="686">
        <v>11.36</v>
      </c>
      <c r="G7" s="904">
        <v>2</v>
      </c>
      <c r="H7" s="692">
        <v>5079</v>
      </c>
      <c r="I7" s="692">
        <v>2090</v>
      </c>
      <c r="J7" s="695">
        <v>114.94</v>
      </c>
      <c r="L7" s="1271">
        <v>3</v>
      </c>
      <c r="M7" s="901">
        <v>7000</v>
      </c>
      <c r="N7" s="901">
        <v>525</v>
      </c>
      <c r="O7" s="902">
        <v>1.4530000000000001</v>
      </c>
      <c r="P7" s="1271"/>
      <c r="Q7" s="901"/>
      <c r="R7" s="903"/>
      <c r="S7" s="1271"/>
      <c r="T7" s="903"/>
    </row>
    <row r="8" spans="1:21" ht="14.5" x14ac:dyDescent="0.35">
      <c r="A8" s="904">
        <v>3</v>
      </c>
      <c r="B8" s="686">
        <v>11.36</v>
      </c>
      <c r="C8" s="904">
        <v>3</v>
      </c>
      <c r="D8" s="686">
        <v>35.29</v>
      </c>
      <c r="E8" s="904">
        <v>3</v>
      </c>
      <c r="F8" s="686">
        <v>11.36</v>
      </c>
      <c r="G8" s="904">
        <v>3</v>
      </c>
      <c r="H8" s="692">
        <v>5106</v>
      </c>
      <c r="I8" s="692">
        <v>2095</v>
      </c>
      <c r="J8" s="695">
        <v>115</v>
      </c>
      <c r="L8" s="1271">
        <v>4</v>
      </c>
      <c r="M8" s="901">
        <v>7000</v>
      </c>
      <c r="N8" s="901">
        <v>525</v>
      </c>
      <c r="O8" s="902">
        <v>1.4530000000000001</v>
      </c>
      <c r="P8" s="1271"/>
      <c r="Q8" s="901"/>
      <c r="R8" s="903"/>
      <c r="S8" s="1271"/>
      <c r="T8" s="903"/>
    </row>
    <row r="9" spans="1:21" ht="14.5" x14ac:dyDescent="0.35">
      <c r="A9" s="904">
        <v>4</v>
      </c>
      <c r="B9" s="686">
        <v>11.1</v>
      </c>
      <c r="C9" s="904">
        <v>4</v>
      </c>
      <c r="D9" s="686">
        <v>32.58</v>
      </c>
      <c r="E9" s="904">
        <v>4</v>
      </c>
      <c r="F9" s="686">
        <v>11.1</v>
      </c>
      <c r="G9" s="904">
        <v>4</v>
      </c>
      <c r="H9" s="692">
        <v>5103</v>
      </c>
      <c r="I9" s="692">
        <v>2095</v>
      </c>
      <c r="J9" s="695">
        <v>114.79</v>
      </c>
      <c r="L9" s="1271">
        <v>5</v>
      </c>
      <c r="M9" s="901">
        <v>7000</v>
      </c>
      <c r="N9" s="901">
        <v>525</v>
      </c>
      <c r="O9" s="902">
        <v>1.4530000000000001</v>
      </c>
      <c r="P9" s="1271"/>
      <c r="Q9" s="901"/>
      <c r="R9" s="903"/>
      <c r="S9" s="1271"/>
      <c r="T9" s="903"/>
    </row>
    <row r="10" spans="1:21" ht="14.5" x14ac:dyDescent="0.35">
      <c r="A10" s="904">
        <v>5</v>
      </c>
      <c r="B10" s="686">
        <v>15.76</v>
      </c>
      <c r="C10" s="904">
        <v>5</v>
      </c>
      <c r="D10" s="686">
        <v>32.299999999999997</v>
      </c>
      <c r="E10" s="904">
        <v>5</v>
      </c>
      <c r="F10" s="686">
        <v>15.76</v>
      </c>
      <c r="G10" s="904">
        <v>5</v>
      </c>
      <c r="H10" s="692">
        <v>5092</v>
      </c>
      <c r="I10" s="692">
        <v>2093</v>
      </c>
      <c r="J10" s="695">
        <v>114.78</v>
      </c>
      <c r="L10" s="1271"/>
      <c r="M10" s="901"/>
      <c r="N10" s="901"/>
      <c r="O10" s="903"/>
      <c r="P10" s="1271"/>
      <c r="Q10" s="901"/>
      <c r="R10" s="903"/>
      <c r="S10" s="1271"/>
      <c r="T10" s="903"/>
    </row>
    <row r="11" spans="1:21" ht="14.5" x14ac:dyDescent="0.35">
      <c r="A11" s="904">
        <v>6</v>
      </c>
      <c r="B11" s="686">
        <v>12.8</v>
      </c>
      <c r="C11" s="904">
        <v>6</v>
      </c>
      <c r="D11" s="686">
        <v>37.29</v>
      </c>
      <c r="E11" s="904">
        <v>6</v>
      </c>
      <c r="F11" s="686">
        <v>12.8</v>
      </c>
      <c r="G11" s="904">
        <v>6</v>
      </c>
      <c r="H11" s="692">
        <v>5432</v>
      </c>
      <c r="I11" s="692">
        <v>2093</v>
      </c>
      <c r="J11" s="695">
        <v>114.91</v>
      </c>
      <c r="L11" s="1271"/>
      <c r="M11" s="901"/>
      <c r="N11" s="901"/>
      <c r="O11" s="903"/>
      <c r="P11" s="1271"/>
      <c r="Q11" s="901"/>
      <c r="R11" s="903"/>
      <c r="S11" s="1271"/>
      <c r="T11" s="903"/>
    </row>
    <row r="12" spans="1:21" ht="14.5" x14ac:dyDescent="0.35">
      <c r="A12" s="904">
        <v>7</v>
      </c>
      <c r="B12" s="686">
        <v>10.99</v>
      </c>
      <c r="C12" s="904">
        <v>7</v>
      </c>
      <c r="D12" s="686">
        <v>17.32</v>
      </c>
      <c r="E12" s="904">
        <v>7</v>
      </c>
      <c r="F12" s="686">
        <v>10.99</v>
      </c>
      <c r="G12" s="904">
        <v>7</v>
      </c>
      <c r="H12" s="692">
        <v>5096</v>
      </c>
      <c r="I12" s="692">
        <v>2095</v>
      </c>
      <c r="J12" s="695">
        <v>115.02</v>
      </c>
      <c r="L12" s="1271"/>
      <c r="M12" s="901"/>
      <c r="N12" s="901"/>
      <c r="O12" s="903"/>
      <c r="P12" s="1271"/>
      <c r="Q12" s="901"/>
      <c r="R12" s="903"/>
      <c r="S12" s="1271"/>
      <c r="T12" s="903"/>
    </row>
    <row r="13" spans="1:21" ht="14.5" x14ac:dyDescent="0.35">
      <c r="A13" s="904">
        <v>8</v>
      </c>
      <c r="B13" s="686">
        <v>14.6</v>
      </c>
      <c r="C13" s="904">
        <v>8</v>
      </c>
      <c r="D13" s="686">
        <v>18.2</v>
      </c>
      <c r="E13" s="904">
        <v>8</v>
      </c>
      <c r="F13" s="686">
        <v>14.6</v>
      </c>
      <c r="G13" s="904">
        <v>8</v>
      </c>
      <c r="H13" s="692">
        <v>5121</v>
      </c>
      <c r="I13" s="692">
        <v>2092</v>
      </c>
      <c r="J13" s="695">
        <v>114.52</v>
      </c>
      <c r="L13" s="1271"/>
      <c r="M13" s="901"/>
      <c r="N13" s="901"/>
      <c r="O13" s="903"/>
      <c r="P13" s="1271"/>
      <c r="Q13" s="901"/>
      <c r="R13" s="903"/>
      <c r="S13" s="1271"/>
      <c r="T13" s="903"/>
    </row>
    <row r="14" spans="1:21" ht="14.5" x14ac:dyDescent="0.35">
      <c r="A14" s="904">
        <v>9</v>
      </c>
      <c r="B14" s="686">
        <v>12.82</v>
      </c>
      <c r="C14" s="904">
        <v>9</v>
      </c>
      <c r="D14" s="686">
        <v>25.09</v>
      </c>
      <c r="E14" s="904">
        <v>9</v>
      </c>
      <c r="F14" s="686">
        <v>12.82</v>
      </c>
      <c r="G14" s="904">
        <v>9</v>
      </c>
      <c r="H14" s="692">
        <v>5090</v>
      </c>
      <c r="I14" s="692">
        <v>2095</v>
      </c>
      <c r="J14" s="695">
        <v>114.85</v>
      </c>
      <c r="L14" s="1271"/>
      <c r="M14" s="901"/>
      <c r="N14" s="901"/>
      <c r="O14" s="903"/>
      <c r="P14" s="1271"/>
      <c r="Q14" s="901"/>
      <c r="R14" s="903"/>
      <c r="S14" s="1271"/>
      <c r="T14" s="903"/>
    </row>
    <row r="15" spans="1:21" ht="14.5" x14ac:dyDescent="0.35">
      <c r="A15" s="904">
        <v>10</v>
      </c>
      <c r="B15" s="686">
        <v>8.3699999999999992</v>
      </c>
      <c r="C15" s="904">
        <v>10</v>
      </c>
      <c r="D15" s="686">
        <v>24.1</v>
      </c>
      <c r="E15" s="904">
        <v>10</v>
      </c>
      <c r="F15" s="686">
        <v>8.3699999999999992</v>
      </c>
      <c r="G15" s="904">
        <v>10</v>
      </c>
      <c r="H15" s="692">
        <v>5491</v>
      </c>
      <c r="I15" s="692">
        <v>2090</v>
      </c>
      <c r="J15" s="695">
        <v>114.88</v>
      </c>
      <c r="L15" s="1271"/>
      <c r="M15" s="901"/>
      <c r="N15" s="901"/>
      <c r="O15" s="903"/>
      <c r="P15" s="1271"/>
      <c r="Q15" s="901"/>
      <c r="R15" s="903"/>
      <c r="S15" s="1271"/>
      <c r="T15" s="903"/>
    </row>
    <row r="16" spans="1:21" ht="14.5" x14ac:dyDescent="0.35">
      <c r="A16" s="904">
        <v>11</v>
      </c>
      <c r="B16" s="686">
        <v>9.14</v>
      </c>
      <c r="C16" s="904">
        <v>11</v>
      </c>
      <c r="D16" s="686">
        <v>26.51</v>
      </c>
      <c r="E16" s="904">
        <v>11</v>
      </c>
      <c r="F16" s="686">
        <v>9.14</v>
      </c>
      <c r="G16" s="904">
        <v>11</v>
      </c>
      <c r="H16" s="692">
        <v>5310</v>
      </c>
      <c r="I16" s="692">
        <v>2092</v>
      </c>
      <c r="J16" s="695">
        <v>114.86</v>
      </c>
      <c r="L16" s="1271"/>
      <c r="M16" s="901"/>
      <c r="N16" s="901"/>
      <c r="O16" s="903"/>
      <c r="P16" s="1271"/>
      <c r="Q16" s="901"/>
      <c r="R16" s="903"/>
      <c r="S16" s="1271"/>
      <c r="T16" s="903"/>
    </row>
    <row r="17" spans="1:20" ht="14.5" x14ac:dyDescent="0.35">
      <c r="A17" s="904">
        <v>12</v>
      </c>
      <c r="B17" s="686">
        <v>11.87</v>
      </c>
      <c r="C17" s="904">
        <v>12</v>
      </c>
      <c r="D17" s="686">
        <v>25.2</v>
      </c>
      <c r="E17" s="904">
        <v>12</v>
      </c>
      <c r="F17" s="686">
        <v>11.87</v>
      </c>
      <c r="G17" s="904">
        <v>12</v>
      </c>
      <c r="H17" s="692">
        <v>5342</v>
      </c>
      <c r="I17" s="692">
        <v>2090</v>
      </c>
      <c r="J17" s="695">
        <v>115</v>
      </c>
      <c r="L17" s="1271"/>
      <c r="M17" s="901"/>
      <c r="N17" s="901"/>
      <c r="O17" s="903"/>
      <c r="P17" s="1271"/>
      <c r="Q17" s="901"/>
      <c r="R17" s="903"/>
      <c r="S17" s="1271"/>
      <c r="T17" s="903"/>
    </row>
    <row r="18" spans="1:20" ht="14.5" x14ac:dyDescent="0.35">
      <c r="A18" s="904">
        <v>13</v>
      </c>
      <c r="B18" s="686">
        <v>16.03</v>
      </c>
      <c r="C18" s="904">
        <v>13</v>
      </c>
      <c r="D18" s="686">
        <v>24.15</v>
      </c>
      <c r="E18" s="904">
        <v>13</v>
      </c>
      <c r="F18" s="686">
        <v>16.03</v>
      </c>
      <c r="G18" s="904">
        <v>13</v>
      </c>
      <c r="H18" s="692">
        <v>5197</v>
      </c>
      <c r="I18" s="692">
        <v>2081</v>
      </c>
      <c r="J18" s="695">
        <v>114.96</v>
      </c>
      <c r="L18" s="1271"/>
      <c r="M18" s="901"/>
      <c r="N18" s="901"/>
      <c r="O18" s="903"/>
      <c r="P18" s="1271"/>
      <c r="Q18" s="901"/>
      <c r="R18" s="903"/>
      <c r="S18" s="1271"/>
      <c r="T18" s="903"/>
    </row>
    <row r="19" spans="1:20" ht="14.5" x14ac:dyDescent="0.35">
      <c r="A19" s="904">
        <v>14</v>
      </c>
      <c r="B19" s="686">
        <v>8.4700000000000006</v>
      </c>
      <c r="C19" s="904">
        <v>14</v>
      </c>
      <c r="D19" s="686">
        <v>18.760000000000002</v>
      </c>
      <c r="E19" s="904">
        <v>14</v>
      </c>
      <c r="F19" s="686">
        <v>8.4700000000000006</v>
      </c>
      <c r="G19" s="904">
        <v>14</v>
      </c>
      <c r="H19" s="692">
        <v>5092</v>
      </c>
      <c r="I19" s="692">
        <v>2093</v>
      </c>
      <c r="J19" s="695">
        <v>114.76</v>
      </c>
      <c r="L19" s="1271"/>
      <c r="M19" s="901"/>
      <c r="N19" s="901"/>
      <c r="O19" s="903"/>
      <c r="P19" s="1271"/>
      <c r="Q19" s="901"/>
      <c r="R19" s="903"/>
      <c r="S19" s="1271"/>
      <c r="T19" s="903"/>
    </row>
    <row r="20" spans="1:20" ht="14.5" x14ac:dyDescent="0.35">
      <c r="A20" s="904">
        <v>15</v>
      </c>
      <c r="B20" s="686">
        <v>8.4499999999999993</v>
      </c>
      <c r="C20" s="904">
        <v>15</v>
      </c>
      <c r="D20" s="686">
        <v>26.58</v>
      </c>
      <c r="E20" s="904">
        <v>15</v>
      </c>
      <c r="F20" s="686">
        <v>8.4499999999999993</v>
      </c>
      <c r="G20" s="904">
        <v>15</v>
      </c>
      <c r="H20" s="692">
        <v>5083</v>
      </c>
      <c r="I20" s="692">
        <v>2093</v>
      </c>
      <c r="J20" s="695">
        <v>114.63</v>
      </c>
      <c r="L20" s="1271"/>
      <c r="M20" s="901"/>
      <c r="N20" s="901"/>
      <c r="O20" s="903"/>
      <c r="P20" s="1271"/>
      <c r="Q20" s="901"/>
      <c r="R20" s="903"/>
      <c r="S20" s="1271"/>
      <c r="T20" s="903"/>
    </row>
    <row r="21" spans="1:20" ht="14.5" x14ac:dyDescent="0.35">
      <c r="A21" s="904">
        <v>16</v>
      </c>
      <c r="B21" s="686">
        <v>8.17</v>
      </c>
      <c r="C21" s="904">
        <v>16</v>
      </c>
      <c r="D21" s="686">
        <v>23.27</v>
      </c>
      <c r="E21" s="904">
        <v>16</v>
      </c>
      <c r="F21" s="686">
        <v>8.17</v>
      </c>
      <c r="G21" s="904">
        <v>16</v>
      </c>
      <c r="H21" s="692">
        <v>5287</v>
      </c>
      <c r="I21" s="692">
        <v>2095</v>
      </c>
      <c r="J21" s="695">
        <v>114.7</v>
      </c>
      <c r="L21" s="321"/>
      <c r="M21" s="532"/>
      <c r="N21" s="532"/>
      <c r="O21" s="322"/>
      <c r="P21" s="321"/>
      <c r="Q21" s="532"/>
      <c r="R21" s="322"/>
      <c r="S21" s="321"/>
      <c r="T21" s="322"/>
    </row>
    <row r="22" spans="1:20" ht="14.5" x14ac:dyDescent="0.35">
      <c r="A22" s="904">
        <v>17</v>
      </c>
      <c r="B22" s="686">
        <v>15.32</v>
      </c>
      <c r="C22" s="904">
        <v>17</v>
      </c>
      <c r="D22" s="686">
        <v>23.44</v>
      </c>
      <c r="E22" s="904">
        <v>17</v>
      </c>
      <c r="F22" s="686">
        <v>15.32</v>
      </c>
      <c r="G22" s="904">
        <v>17</v>
      </c>
      <c r="H22" s="692">
        <v>5092</v>
      </c>
      <c r="I22" s="692">
        <v>2093</v>
      </c>
      <c r="J22" s="695">
        <v>114</v>
      </c>
    </row>
    <row r="23" spans="1:20" ht="14.5" x14ac:dyDescent="0.35">
      <c r="A23" s="904">
        <v>18</v>
      </c>
      <c r="B23" s="686">
        <v>11.34</v>
      </c>
      <c r="C23" s="904">
        <v>18</v>
      </c>
      <c r="D23" s="686">
        <v>27.52</v>
      </c>
      <c r="E23" s="904">
        <v>18</v>
      </c>
      <c r="F23" s="686">
        <v>11.34</v>
      </c>
      <c r="G23" s="904">
        <v>18</v>
      </c>
      <c r="H23" s="692">
        <v>5486</v>
      </c>
      <c r="I23" s="692">
        <v>2095</v>
      </c>
      <c r="J23" s="695">
        <v>114.82</v>
      </c>
    </row>
    <row r="24" spans="1:20" ht="14.5" x14ac:dyDescent="0.35">
      <c r="A24" s="904">
        <v>19</v>
      </c>
      <c r="B24" s="686">
        <v>12.15</v>
      </c>
      <c r="C24" s="904">
        <v>19</v>
      </c>
      <c r="D24" s="686">
        <v>27.31</v>
      </c>
      <c r="E24" s="904">
        <v>19</v>
      </c>
      <c r="F24" s="686">
        <v>12.15</v>
      </c>
      <c r="G24" s="904">
        <v>19</v>
      </c>
      <c r="H24" s="692">
        <v>5271</v>
      </c>
      <c r="I24" s="692">
        <v>2095</v>
      </c>
      <c r="J24" s="695">
        <v>114.79</v>
      </c>
    </row>
    <row r="25" spans="1:20" ht="14.5" x14ac:dyDescent="0.35">
      <c r="A25" s="904">
        <v>20</v>
      </c>
      <c r="B25" s="686">
        <v>8.43</v>
      </c>
      <c r="C25" s="904">
        <v>20</v>
      </c>
      <c r="D25" s="686">
        <v>31.2</v>
      </c>
      <c r="E25" s="904">
        <v>20</v>
      </c>
      <c r="F25" s="686">
        <v>8.43</v>
      </c>
      <c r="G25" s="904">
        <v>20</v>
      </c>
      <c r="H25" s="692">
        <v>5090</v>
      </c>
      <c r="I25" s="692">
        <v>2091</v>
      </c>
      <c r="J25" s="695">
        <v>115</v>
      </c>
    </row>
    <row r="26" spans="1:20" ht="14.5" x14ac:dyDescent="0.35">
      <c r="A26" s="904">
        <v>21</v>
      </c>
      <c r="B26" s="686">
        <v>11.15</v>
      </c>
      <c r="C26" s="904">
        <v>21</v>
      </c>
      <c r="D26" s="686">
        <v>14.81</v>
      </c>
      <c r="E26" s="904">
        <v>21</v>
      </c>
      <c r="F26" s="686">
        <v>11.15</v>
      </c>
      <c r="G26" s="904">
        <v>21</v>
      </c>
      <c r="H26" s="692">
        <v>5463</v>
      </c>
      <c r="I26" s="692">
        <v>2093</v>
      </c>
      <c r="J26" s="695">
        <v>114</v>
      </c>
    </row>
    <row r="27" spans="1:20" ht="14.5" x14ac:dyDescent="0.35">
      <c r="A27" s="904">
        <v>22</v>
      </c>
      <c r="B27" s="686">
        <v>10.86</v>
      </c>
      <c r="C27" s="904">
        <v>22</v>
      </c>
      <c r="D27" s="686">
        <v>15.1</v>
      </c>
      <c r="E27" s="904">
        <v>22</v>
      </c>
      <c r="F27" s="686">
        <v>10.86</v>
      </c>
      <c r="G27" s="904">
        <v>22</v>
      </c>
      <c r="H27" s="692">
        <v>5193</v>
      </c>
      <c r="I27" s="692">
        <v>2093</v>
      </c>
      <c r="J27" s="695">
        <v>114.74</v>
      </c>
    </row>
    <row r="28" spans="1:20" ht="14.5" x14ac:dyDescent="0.35">
      <c r="A28" s="904">
        <v>23</v>
      </c>
      <c r="B28" s="686">
        <v>8.4700000000000006</v>
      </c>
      <c r="C28" s="904">
        <v>23</v>
      </c>
      <c r="D28" s="686">
        <v>26.18</v>
      </c>
      <c r="E28" s="904">
        <v>23</v>
      </c>
      <c r="F28" s="686">
        <v>8.4700000000000006</v>
      </c>
      <c r="G28" s="904">
        <v>23</v>
      </c>
      <c r="H28" s="692">
        <v>4507</v>
      </c>
      <c r="I28" s="692">
        <v>2071</v>
      </c>
      <c r="J28" s="695">
        <v>113.8</v>
      </c>
    </row>
    <row r="29" spans="1:20" ht="14.5" x14ac:dyDescent="0.35">
      <c r="A29" s="904">
        <v>24</v>
      </c>
      <c r="B29" s="686">
        <v>11.93</v>
      </c>
      <c r="C29" s="904">
        <v>24</v>
      </c>
      <c r="D29" s="686">
        <v>26.05</v>
      </c>
      <c r="E29" s="904">
        <v>24</v>
      </c>
      <c r="F29" s="686">
        <v>11.93</v>
      </c>
      <c r="G29" s="904">
        <v>24</v>
      </c>
      <c r="H29" s="692">
        <v>5589</v>
      </c>
      <c r="I29" s="692">
        <v>2095</v>
      </c>
      <c r="J29" s="695">
        <v>114.41</v>
      </c>
    </row>
    <row r="30" spans="1:20" ht="14.5" x14ac:dyDescent="0.35">
      <c r="A30" s="904">
        <v>25</v>
      </c>
      <c r="B30" s="686">
        <v>8.89</v>
      </c>
      <c r="C30" s="904">
        <v>25</v>
      </c>
      <c r="D30" s="686">
        <v>32.08</v>
      </c>
      <c r="E30" s="904">
        <v>25</v>
      </c>
      <c r="F30" s="686">
        <v>8.89</v>
      </c>
      <c r="G30" s="904">
        <v>25</v>
      </c>
      <c r="H30" s="692">
        <v>5565</v>
      </c>
      <c r="I30" s="692">
        <v>2084</v>
      </c>
      <c r="J30" s="695">
        <v>114.4</v>
      </c>
    </row>
    <row r="31" spans="1:20" ht="14.5" x14ac:dyDescent="0.35">
      <c r="A31" s="904">
        <v>26</v>
      </c>
      <c r="B31" s="686">
        <v>11.9</v>
      </c>
      <c r="C31" s="904">
        <v>26</v>
      </c>
      <c r="D31" s="686">
        <v>21.95</v>
      </c>
      <c r="E31" s="904">
        <v>26</v>
      </c>
      <c r="F31" s="686">
        <v>11.9</v>
      </c>
      <c r="G31" s="904">
        <v>26</v>
      </c>
      <c r="H31" s="697">
        <v>5373</v>
      </c>
      <c r="I31" s="697">
        <v>2077</v>
      </c>
      <c r="J31" s="698">
        <v>113.6</v>
      </c>
      <c r="K31" s="904">
        <v>26</v>
      </c>
      <c r="L31" s="684">
        <v>2380</v>
      </c>
      <c r="M31" s="684">
        <v>997.45799999999997</v>
      </c>
      <c r="N31" s="693">
        <v>127</v>
      </c>
    </row>
    <row r="32" spans="1:20" ht="14.5" x14ac:dyDescent="0.35">
      <c r="A32" s="904">
        <v>27</v>
      </c>
      <c r="B32" s="686">
        <v>8.5</v>
      </c>
      <c r="C32" s="904">
        <v>27</v>
      </c>
      <c r="D32" s="686">
        <v>20.9</v>
      </c>
      <c r="E32" s="904">
        <v>27</v>
      </c>
      <c r="F32" s="686">
        <v>8.5</v>
      </c>
      <c r="G32" s="904">
        <v>27</v>
      </c>
      <c r="H32" s="683">
        <v>5479</v>
      </c>
      <c r="I32" s="683">
        <v>2059</v>
      </c>
      <c r="J32" s="693">
        <v>114.82</v>
      </c>
      <c r="K32" s="904">
        <v>27</v>
      </c>
      <c r="L32" s="684">
        <v>2370</v>
      </c>
      <c r="M32" s="684">
        <v>1005.312</v>
      </c>
      <c r="N32" s="693">
        <v>128</v>
      </c>
    </row>
    <row r="33" spans="1:14" ht="14.5" x14ac:dyDescent="0.35">
      <c r="A33" s="904">
        <v>28</v>
      </c>
      <c r="B33" s="686">
        <v>8.52</v>
      </c>
      <c r="C33" s="904">
        <v>28</v>
      </c>
      <c r="D33" s="686">
        <v>29.18</v>
      </c>
      <c r="E33" s="904">
        <v>28</v>
      </c>
      <c r="F33" s="686">
        <v>8.52</v>
      </c>
      <c r="G33" s="904">
        <v>28</v>
      </c>
      <c r="H33" s="683">
        <v>5294</v>
      </c>
      <c r="I33" s="683">
        <v>2083</v>
      </c>
      <c r="J33" s="693">
        <v>114.6</v>
      </c>
      <c r="K33" s="904">
        <v>28</v>
      </c>
      <c r="L33" s="684">
        <v>2330</v>
      </c>
      <c r="M33" s="684">
        <v>1005.312</v>
      </c>
      <c r="N33" s="693">
        <v>128</v>
      </c>
    </row>
    <row r="34" spans="1:14" ht="14.5" x14ac:dyDescent="0.35">
      <c r="A34" s="904">
        <v>29</v>
      </c>
      <c r="B34" s="686">
        <v>10.36</v>
      </c>
      <c r="C34" s="904">
        <v>29</v>
      </c>
      <c r="D34" s="686">
        <v>25.6</v>
      </c>
      <c r="E34" s="904">
        <v>29</v>
      </c>
      <c r="F34" s="686">
        <v>10.36</v>
      </c>
      <c r="G34" s="904">
        <v>29</v>
      </c>
      <c r="H34" s="683">
        <v>5576</v>
      </c>
      <c r="I34" s="683">
        <v>2079</v>
      </c>
      <c r="J34" s="693">
        <v>114.4</v>
      </c>
      <c r="K34" s="904">
        <v>29</v>
      </c>
      <c r="L34" s="684">
        <v>2290</v>
      </c>
      <c r="M34" s="684">
        <v>1013.1659999999999</v>
      </c>
      <c r="N34" s="693">
        <v>129</v>
      </c>
    </row>
    <row r="35" spans="1:14" ht="14.5" x14ac:dyDescent="0.35">
      <c r="A35" s="904">
        <v>30</v>
      </c>
      <c r="B35" s="686">
        <v>8.64</v>
      </c>
      <c r="C35" s="904">
        <v>30</v>
      </c>
      <c r="D35" s="686">
        <v>24.3</v>
      </c>
      <c r="E35" s="904">
        <v>30</v>
      </c>
      <c r="F35" s="686">
        <v>8.64</v>
      </c>
      <c r="G35" s="904">
        <v>30</v>
      </c>
      <c r="H35" s="683">
        <v>5507</v>
      </c>
      <c r="I35" s="683">
        <v>2046</v>
      </c>
      <c r="J35" s="693">
        <v>114.6</v>
      </c>
    </row>
    <row r="36" spans="1:14" ht="14.5" x14ac:dyDescent="0.35">
      <c r="A36" s="904">
        <v>31</v>
      </c>
      <c r="B36" s="686">
        <v>8.42</v>
      </c>
      <c r="C36" s="904">
        <v>31</v>
      </c>
      <c r="D36" s="686">
        <v>38.21</v>
      </c>
      <c r="E36" s="904">
        <v>31</v>
      </c>
      <c r="F36" s="686">
        <v>8.42</v>
      </c>
      <c r="G36" s="904">
        <v>31</v>
      </c>
      <c r="H36" s="683">
        <v>3809</v>
      </c>
      <c r="I36" s="683">
        <v>1830</v>
      </c>
      <c r="J36" s="693">
        <v>114.4</v>
      </c>
    </row>
    <row r="37" spans="1:14" ht="14.5" x14ac:dyDescent="0.35">
      <c r="A37" s="904">
        <v>32</v>
      </c>
      <c r="B37" s="686">
        <v>8.66</v>
      </c>
      <c r="C37" s="904">
        <v>32</v>
      </c>
      <c r="D37" s="686">
        <v>28.02</v>
      </c>
      <c r="E37" s="904">
        <v>32</v>
      </c>
      <c r="F37" s="686">
        <v>8.66</v>
      </c>
      <c r="G37" s="904">
        <v>32</v>
      </c>
      <c r="H37" s="683">
        <v>5245</v>
      </c>
      <c r="I37" s="683">
        <v>2060</v>
      </c>
      <c r="J37" s="693">
        <v>114.6</v>
      </c>
    </row>
    <row r="38" spans="1:14" ht="14.5" x14ac:dyDescent="0.35">
      <c r="A38" s="904">
        <v>33</v>
      </c>
      <c r="B38" s="686">
        <v>11.17</v>
      </c>
      <c r="C38" s="904">
        <v>33</v>
      </c>
      <c r="D38" s="686">
        <v>16.399999999999999</v>
      </c>
      <c r="E38" s="904">
        <v>33</v>
      </c>
      <c r="F38" s="686">
        <v>11.17</v>
      </c>
      <c r="G38" s="904">
        <v>33</v>
      </c>
      <c r="H38" s="683">
        <v>5325</v>
      </c>
      <c r="I38" s="683">
        <v>2032</v>
      </c>
      <c r="J38" s="693">
        <v>114.4</v>
      </c>
    </row>
    <row r="39" spans="1:14" ht="14.5" x14ac:dyDescent="0.35">
      <c r="A39" s="904">
        <v>34</v>
      </c>
      <c r="B39" s="686">
        <v>8.52</v>
      </c>
      <c r="C39" s="904">
        <v>34</v>
      </c>
      <c r="D39" s="686">
        <v>29.87</v>
      </c>
      <c r="E39" s="904">
        <v>34</v>
      </c>
      <c r="F39" s="686">
        <v>8.52</v>
      </c>
      <c r="G39" s="904">
        <v>34</v>
      </c>
      <c r="H39" s="683">
        <v>5343</v>
      </c>
      <c r="I39" s="683">
        <v>2054</v>
      </c>
      <c r="J39" s="693">
        <v>114.2</v>
      </c>
    </row>
    <row r="40" spans="1:14" ht="14.5" x14ac:dyDescent="0.35">
      <c r="A40" s="904">
        <v>35</v>
      </c>
      <c r="B40" s="686">
        <v>12.66</v>
      </c>
      <c r="C40" s="904">
        <v>35</v>
      </c>
      <c r="D40" s="686">
        <v>26.11</v>
      </c>
      <c r="E40" s="904">
        <v>35</v>
      </c>
      <c r="F40" s="686">
        <v>12.66</v>
      </c>
      <c r="G40" s="904">
        <v>35</v>
      </c>
      <c r="H40" s="683">
        <v>5304</v>
      </c>
      <c r="I40" s="683">
        <v>2063</v>
      </c>
      <c r="J40" s="693">
        <v>114.6</v>
      </c>
    </row>
    <row r="41" spans="1:14" ht="14.5" x14ac:dyDescent="0.35">
      <c r="A41" s="904">
        <v>36</v>
      </c>
      <c r="B41" s="686">
        <v>12.68</v>
      </c>
      <c r="C41" s="904">
        <v>36</v>
      </c>
      <c r="D41" s="686">
        <v>25.68</v>
      </c>
      <c r="E41" s="904">
        <v>36</v>
      </c>
      <c r="F41" s="686">
        <v>12.68</v>
      </c>
      <c r="G41" s="904">
        <v>36</v>
      </c>
      <c r="H41" s="683">
        <v>5047</v>
      </c>
      <c r="I41" s="683">
        <v>2047</v>
      </c>
      <c r="J41" s="693">
        <v>114.4</v>
      </c>
    </row>
    <row r="42" spans="1:14" ht="14.5" x14ac:dyDescent="0.35">
      <c r="A42" s="904">
        <v>37</v>
      </c>
      <c r="B42" s="686">
        <v>8.4700000000000006</v>
      </c>
      <c r="C42" s="904">
        <v>37</v>
      </c>
      <c r="D42" s="686">
        <v>24.7</v>
      </c>
      <c r="E42" s="904">
        <v>37</v>
      </c>
      <c r="F42" s="686">
        <v>8.4700000000000006</v>
      </c>
      <c r="G42" s="904">
        <v>37</v>
      </c>
      <c r="H42" s="683">
        <v>4061</v>
      </c>
      <c r="I42" s="683">
        <v>1927</v>
      </c>
      <c r="J42" s="693">
        <v>114.3</v>
      </c>
    </row>
    <row r="43" spans="1:14" ht="14.5" x14ac:dyDescent="0.35">
      <c r="A43" s="904">
        <v>38</v>
      </c>
      <c r="B43" s="686">
        <v>8.49</v>
      </c>
      <c r="C43" s="904">
        <v>38</v>
      </c>
      <c r="D43" s="686">
        <v>30.19</v>
      </c>
      <c r="E43" s="904">
        <v>38</v>
      </c>
      <c r="F43" s="686">
        <v>8.49</v>
      </c>
      <c r="G43" s="904">
        <v>38</v>
      </c>
      <c r="H43" s="683">
        <v>4028</v>
      </c>
      <c r="I43" s="683">
        <v>1904</v>
      </c>
      <c r="J43" s="693">
        <v>114.3</v>
      </c>
    </row>
    <row r="44" spans="1:14" ht="14.5" x14ac:dyDescent="0.35">
      <c r="A44" s="904">
        <v>39</v>
      </c>
      <c r="B44" s="686">
        <v>11.28</v>
      </c>
      <c r="C44" s="904">
        <v>39</v>
      </c>
      <c r="D44" s="686">
        <v>31.1</v>
      </c>
      <c r="E44" s="904">
        <v>39</v>
      </c>
      <c r="F44" s="686">
        <v>11.28</v>
      </c>
      <c r="G44" s="904">
        <v>39</v>
      </c>
      <c r="H44" s="683">
        <v>5114</v>
      </c>
      <c r="I44" s="683">
        <v>2037</v>
      </c>
      <c r="J44" s="693">
        <v>114.5</v>
      </c>
    </row>
    <row r="45" spans="1:14" ht="14.5" x14ac:dyDescent="0.35">
      <c r="A45" s="904">
        <v>40</v>
      </c>
      <c r="B45" s="686">
        <v>12.17</v>
      </c>
      <c r="C45" s="904">
        <v>40</v>
      </c>
      <c r="D45" s="686">
        <v>30.2</v>
      </c>
      <c r="E45" s="904">
        <v>40</v>
      </c>
      <c r="F45" s="686">
        <v>12.17</v>
      </c>
      <c r="G45" s="904">
        <v>40</v>
      </c>
      <c r="H45" s="683">
        <v>4705</v>
      </c>
      <c r="I45" s="683">
        <v>2061</v>
      </c>
      <c r="J45" s="694">
        <v>114.5</v>
      </c>
    </row>
    <row r="46" spans="1:14" ht="14.5" x14ac:dyDescent="0.35">
      <c r="A46" s="904">
        <v>41</v>
      </c>
      <c r="B46" s="686">
        <v>8.2799999999999994</v>
      </c>
      <c r="C46" s="904">
        <v>41</v>
      </c>
      <c r="D46" s="686">
        <v>19.260000000000002</v>
      </c>
      <c r="E46" s="904">
        <v>41</v>
      </c>
      <c r="F46" s="686">
        <v>8.2799999999999994</v>
      </c>
      <c r="G46" s="904">
        <v>41</v>
      </c>
      <c r="H46" s="692">
        <v>5530</v>
      </c>
      <c r="I46" s="692">
        <v>2082</v>
      </c>
      <c r="J46" s="699">
        <v>114.5</v>
      </c>
    </row>
    <row r="47" spans="1:14" ht="14.5" x14ac:dyDescent="0.35">
      <c r="A47" s="904">
        <v>42</v>
      </c>
      <c r="B47" s="686">
        <v>8.0399999999999991</v>
      </c>
      <c r="C47" s="904">
        <v>42</v>
      </c>
      <c r="D47" s="686">
        <v>18.3</v>
      </c>
      <c r="E47" s="904">
        <v>42</v>
      </c>
      <c r="F47" s="686">
        <v>8.0399999999999991</v>
      </c>
      <c r="G47" s="904">
        <v>42</v>
      </c>
      <c r="H47" s="683">
        <v>4075</v>
      </c>
      <c r="I47" s="683">
        <v>1939</v>
      </c>
      <c r="J47" s="693">
        <v>114.4</v>
      </c>
    </row>
    <row r="48" spans="1:14" ht="14.5" x14ac:dyDescent="0.35">
      <c r="A48" s="904">
        <v>43</v>
      </c>
      <c r="B48" s="686">
        <v>8.43</v>
      </c>
      <c r="C48" s="904">
        <v>43</v>
      </c>
      <c r="D48" s="686">
        <v>19.03</v>
      </c>
      <c r="E48" s="904">
        <v>43</v>
      </c>
      <c r="F48" s="686">
        <v>8.43</v>
      </c>
      <c r="G48" s="904">
        <v>43</v>
      </c>
      <c r="H48" s="683">
        <v>5437</v>
      </c>
      <c r="I48" s="683">
        <v>2078</v>
      </c>
      <c r="J48" s="693">
        <v>114.4</v>
      </c>
    </row>
    <row r="49" spans="1:10" ht="14.5" x14ac:dyDescent="0.35">
      <c r="A49" s="904">
        <v>44</v>
      </c>
      <c r="B49" s="686">
        <v>8.44</v>
      </c>
      <c r="C49" s="904">
        <v>44</v>
      </c>
      <c r="D49" s="686">
        <v>18.36</v>
      </c>
      <c r="E49" s="904">
        <v>44</v>
      </c>
      <c r="F49" s="686">
        <v>8.44</v>
      </c>
      <c r="G49" s="904">
        <v>44</v>
      </c>
      <c r="H49" s="683">
        <v>4924</v>
      </c>
      <c r="I49" s="683">
        <v>2012</v>
      </c>
      <c r="J49" s="693">
        <v>114</v>
      </c>
    </row>
    <row r="50" spans="1:10" ht="14.5" x14ac:dyDescent="0.35">
      <c r="A50" s="904">
        <v>45</v>
      </c>
      <c r="B50" s="686">
        <v>8.51</v>
      </c>
      <c r="C50" s="904">
        <v>45</v>
      </c>
      <c r="D50" s="686">
        <v>37.31</v>
      </c>
      <c r="E50" s="904">
        <v>45</v>
      </c>
      <c r="F50" s="686">
        <v>8.51</v>
      </c>
      <c r="G50" s="904">
        <v>45</v>
      </c>
      <c r="H50" s="683">
        <v>5255</v>
      </c>
      <c r="I50" s="683">
        <v>2018</v>
      </c>
      <c r="J50" s="693">
        <v>114.5</v>
      </c>
    </row>
    <row r="51" spans="1:10" ht="14.5" x14ac:dyDescent="0.35">
      <c r="A51" s="904">
        <v>46</v>
      </c>
      <c r="B51" s="686">
        <v>8.32</v>
      </c>
      <c r="C51" s="904">
        <v>46</v>
      </c>
      <c r="D51" s="686">
        <v>35.15</v>
      </c>
      <c r="E51" s="904">
        <v>46</v>
      </c>
      <c r="F51" s="686">
        <v>8.32</v>
      </c>
      <c r="G51" s="904">
        <v>46</v>
      </c>
      <c r="H51" s="683">
        <v>5222</v>
      </c>
      <c r="I51" s="683">
        <v>2037</v>
      </c>
      <c r="J51" s="693">
        <v>114.4</v>
      </c>
    </row>
    <row r="52" spans="1:10" ht="14.5" x14ac:dyDescent="0.35">
      <c r="A52" s="904">
        <v>47</v>
      </c>
      <c r="B52" s="686">
        <v>8.17</v>
      </c>
      <c r="C52" s="904">
        <v>47</v>
      </c>
      <c r="D52" s="686">
        <v>34.200000000000003</v>
      </c>
      <c r="E52" s="904">
        <v>47</v>
      </c>
      <c r="F52" s="686">
        <v>8.17</v>
      </c>
      <c r="G52" s="904">
        <v>47</v>
      </c>
      <c r="H52" s="682">
        <v>5093</v>
      </c>
      <c r="I52" s="683">
        <v>2051</v>
      </c>
      <c r="J52" s="693">
        <v>114.5</v>
      </c>
    </row>
    <row r="53" spans="1:10" ht="14.5" x14ac:dyDescent="0.35">
      <c r="A53" s="904">
        <v>48</v>
      </c>
      <c r="B53" s="686">
        <v>8.16</v>
      </c>
      <c r="C53" s="904">
        <v>48</v>
      </c>
      <c r="D53" s="686">
        <v>26.95</v>
      </c>
      <c r="E53" s="904">
        <v>48</v>
      </c>
      <c r="F53" s="686">
        <v>8.16</v>
      </c>
      <c r="G53" s="904">
        <v>48</v>
      </c>
      <c r="H53" s="683">
        <v>5130</v>
      </c>
      <c r="I53" s="683">
        <v>2068</v>
      </c>
      <c r="J53" s="693">
        <v>114.3</v>
      </c>
    </row>
    <row r="54" spans="1:10" ht="14.5" x14ac:dyDescent="0.35">
      <c r="A54" s="904">
        <v>49</v>
      </c>
      <c r="B54" s="686">
        <v>8.16</v>
      </c>
      <c r="C54" s="904">
        <v>49</v>
      </c>
      <c r="D54" s="686">
        <v>24.02</v>
      </c>
      <c r="E54" s="904">
        <v>49</v>
      </c>
      <c r="F54" s="686">
        <v>8.16</v>
      </c>
      <c r="G54" s="904">
        <v>49</v>
      </c>
      <c r="H54" s="683">
        <v>5119</v>
      </c>
      <c r="I54" s="683">
        <v>2055</v>
      </c>
      <c r="J54" s="693">
        <v>114.4</v>
      </c>
    </row>
    <row r="55" spans="1:10" ht="14.5" x14ac:dyDescent="0.35">
      <c r="A55" s="904">
        <v>50</v>
      </c>
      <c r="B55" s="686">
        <v>8.42</v>
      </c>
      <c r="C55" s="904">
        <v>50</v>
      </c>
      <c r="D55" s="686">
        <v>16.61</v>
      </c>
      <c r="E55" s="904">
        <v>50</v>
      </c>
      <c r="F55" s="686">
        <v>8.42</v>
      </c>
      <c r="G55" s="904">
        <v>50</v>
      </c>
      <c r="H55" s="683">
        <v>5056</v>
      </c>
      <c r="I55" s="683">
        <v>2044</v>
      </c>
      <c r="J55" s="693">
        <v>114.5</v>
      </c>
    </row>
    <row r="56" spans="1:10" ht="14.5" x14ac:dyDescent="0.35">
      <c r="A56" s="904">
        <v>51</v>
      </c>
      <c r="B56" s="686">
        <v>8.41</v>
      </c>
      <c r="C56" s="904">
        <v>51</v>
      </c>
      <c r="D56" s="686">
        <v>18.59</v>
      </c>
      <c r="E56" s="904">
        <v>51</v>
      </c>
      <c r="F56" s="686">
        <v>8.41</v>
      </c>
      <c r="G56" s="904">
        <v>51</v>
      </c>
      <c r="H56" s="683">
        <v>5407</v>
      </c>
      <c r="I56" s="683">
        <v>2080</v>
      </c>
      <c r="J56" s="693">
        <v>114.5</v>
      </c>
    </row>
    <row r="57" spans="1:10" ht="14.5" x14ac:dyDescent="0.35">
      <c r="A57" s="904">
        <v>52</v>
      </c>
      <c r="B57" s="686">
        <v>14.05</v>
      </c>
      <c r="C57" s="904">
        <v>52</v>
      </c>
      <c r="D57" s="686">
        <v>24.83</v>
      </c>
      <c r="E57" s="904">
        <v>52</v>
      </c>
      <c r="F57" s="686">
        <v>14.05</v>
      </c>
      <c r="G57" s="904">
        <v>52</v>
      </c>
      <c r="H57" s="683">
        <v>5245</v>
      </c>
      <c r="I57" s="683">
        <v>2068</v>
      </c>
      <c r="J57" s="693">
        <v>114.5</v>
      </c>
    </row>
    <row r="58" spans="1:10" ht="14.5" x14ac:dyDescent="0.35">
      <c r="A58" s="904">
        <v>53</v>
      </c>
      <c r="B58" s="686">
        <v>18.32</v>
      </c>
      <c r="C58" s="904">
        <v>53</v>
      </c>
      <c r="D58" s="686">
        <v>16.37</v>
      </c>
      <c r="E58" s="904">
        <v>53</v>
      </c>
      <c r="F58" s="686">
        <v>18.32</v>
      </c>
      <c r="G58" s="905">
        <v>53</v>
      </c>
      <c r="H58" s="683">
        <v>4817</v>
      </c>
      <c r="I58" s="683">
        <v>2058</v>
      </c>
      <c r="J58" s="693">
        <v>115</v>
      </c>
    </row>
    <row r="59" spans="1:10" ht="14.5" x14ac:dyDescent="0.35">
      <c r="A59" s="904">
        <v>54</v>
      </c>
      <c r="B59" s="686">
        <v>9.82</v>
      </c>
      <c r="C59" s="904">
        <v>54</v>
      </c>
      <c r="D59" s="686">
        <v>18.82</v>
      </c>
      <c r="E59" s="904">
        <v>54</v>
      </c>
      <c r="F59" s="686">
        <v>9.82</v>
      </c>
      <c r="G59" s="905">
        <v>54</v>
      </c>
      <c r="H59" s="683">
        <v>3848</v>
      </c>
      <c r="I59" s="683">
        <v>1862</v>
      </c>
      <c r="J59" s="693">
        <v>114.96</v>
      </c>
    </row>
    <row r="60" spans="1:10" ht="14.5" x14ac:dyDescent="0.35">
      <c r="A60" s="904">
        <v>55</v>
      </c>
      <c r="B60" s="686">
        <v>13.49</v>
      </c>
      <c r="C60" s="904">
        <v>55</v>
      </c>
      <c r="D60" s="686">
        <v>29.87</v>
      </c>
      <c r="E60" s="904">
        <v>55</v>
      </c>
      <c r="F60" s="686">
        <v>13.49</v>
      </c>
      <c r="G60" s="905">
        <v>55</v>
      </c>
      <c r="H60" s="683">
        <v>4068</v>
      </c>
      <c r="I60" s="683">
        <v>2062</v>
      </c>
      <c r="J60" s="693">
        <v>114.76</v>
      </c>
    </row>
    <row r="61" spans="1:10" ht="14.5" x14ac:dyDescent="0.35">
      <c r="A61" s="904">
        <v>56</v>
      </c>
      <c r="B61" s="686">
        <v>19.09</v>
      </c>
      <c r="C61" s="904">
        <v>56</v>
      </c>
      <c r="D61" s="686">
        <v>30</v>
      </c>
      <c r="E61" s="904">
        <v>56</v>
      </c>
      <c r="F61" s="686">
        <v>19.09</v>
      </c>
      <c r="G61" s="905">
        <v>56</v>
      </c>
      <c r="H61" s="683">
        <v>4073</v>
      </c>
      <c r="I61" s="683">
        <v>2018</v>
      </c>
      <c r="J61" s="693">
        <v>114.63</v>
      </c>
    </row>
    <row r="62" spans="1:10" ht="14.5" x14ac:dyDescent="0.35">
      <c r="A62" s="904">
        <v>57</v>
      </c>
      <c r="B62" s="686">
        <v>17.71</v>
      </c>
      <c r="C62" s="904">
        <v>57</v>
      </c>
      <c r="D62" s="686">
        <v>36</v>
      </c>
      <c r="E62" s="904">
        <v>57</v>
      </c>
      <c r="F62" s="686">
        <v>17.71</v>
      </c>
      <c r="G62" s="905">
        <v>57</v>
      </c>
      <c r="H62" s="683">
        <v>4009</v>
      </c>
      <c r="I62" s="683">
        <v>2075</v>
      </c>
      <c r="J62" s="693">
        <v>114.7</v>
      </c>
    </row>
    <row r="63" spans="1:10" ht="14.5" x14ac:dyDescent="0.35">
      <c r="A63" s="904">
        <v>58</v>
      </c>
      <c r="B63" s="686">
        <v>19.190000000000001</v>
      </c>
      <c r="C63" s="904">
        <v>58</v>
      </c>
      <c r="D63" s="686">
        <v>32.21</v>
      </c>
      <c r="E63" s="904">
        <v>58</v>
      </c>
      <c r="F63" s="686">
        <v>19.190000000000001</v>
      </c>
      <c r="G63" s="905">
        <v>58</v>
      </c>
      <c r="H63" s="683">
        <v>5439</v>
      </c>
      <c r="I63" s="683">
        <v>2043</v>
      </c>
      <c r="J63" s="693">
        <v>114</v>
      </c>
    </row>
    <row r="64" spans="1:10" ht="14.5" x14ac:dyDescent="0.35">
      <c r="A64" s="904">
        <v>59</v>
      </c>
      <c r="B64" s="686">
        <v>14.04</v>
      </c>
      <c r="C64" s="904">
        <v>59</v>
      </c>
      <c r="D64" s="686">
        <v>16.77</v>
      </c>
      <c r="E64" s="904">
        <v>59</v>
      </c>
      <c r="F64" s="686">
        <v>14.04</v>
      </c>
      <c r="G64" s="905">
        <v>59</v>
      </c>
      <c r="H64" s="683">
        <v>5574</v>
      </c>
      <c r="I64" s="683">
        <v>2078</v>
      </c>
      <c r="J64" s="693">
        <v>114.82</v>
      </c>
    </row>
    <row r="65" spans="1:10" ht="14.5" x14ac:dyDescent="0.35">
      <c r="A65" s="904">
        <v>60</v>
      </c>
      <c r="B65" s="686">
        <v>8.52</v>
      </c>
      <c r="C65" s="904">
        <v>60</v>
      </c>
      <c r="D65" s="686">
        <v>18.350000000000001</v>
      </c>
      <c r="E65" s="904">
        <v>60</v>
      </c>
      <c r="F65" s="686">
        <v>8.52</v>
      </c>
      <c r="G65" s="906">
        <v>60</v>
      </c>
      <c r="H65" s="683">
        <v>4655</v>
      </c>
      <c r="I65" s="683">
        <v>2058</v>
      </c>
      <c r="J65" s="693">
        <v>114.79</v>
      </c>
    </row>
    <row r="66" spans="1:10" ht="14.5" x14ac:dyDescent="0.35">
      <c r="A66" s="904">
        <v>61</v>
      </c>
      <c r="B66" s="686">
        <v>13</v>
      </c>
      <c r="C66" s="904">
        <v>61</v>
      </c>
      <c r="D66" s="686">
        <v>19.03</v>
      </c>
      <c r="E66" s="904">
        <v>61</v>
      </c>
      <c r="F66" s="686">
        <v>13</v>
      </c>
      <c r="G66" s="905">
        <v>61</v>
      </c>
      <c r="H66" s="697">
        <v>4330</v>
      </c>
      <c r="I66" s="697">
        <v>2064</v>
      </c>
      <c r="J66" s="698">
        <v>115</v>
      </c>
    </row>
    <row r="67" spans="1:10" ht="14.5" x14ac:dyDescent="0.35">
      <c r="A67" s="904">
        <v>62</v>
      </c>
      <c r="B67" s="686">
        <v>19.46</v>
      </c>
      <c r="C67" s="904">
        <v>62</v>
      </c>
      <c r="D67" s="686">
        <v>28.42</v>
      </c>
      <c r="E67" s="904">
        <v>62</v>
      </c>
      <c r="F67" s="686">
        <v>19.46</v>
      </c>
      <c r="G67" s="905">
        <v>62</v>
      </c>
      <c r="H67" s="683">
        <v>4932</v>
      </c>
      <c r="I67" s="683">
        <v>2097</v>
      </c>
      <c r="J67" s="693">
        <v>114</v>
      </c>
    </row>
    <row r="68" spans="1:10" ht="14.5" x14ac:dyDescent="0.35">
      <c r="A68" s="904">
        <v>63</v>
      </c>
      <c r="B68" s="686">
        <v>13.24</v>
      </c>
      <c r="C68" s="904">
        <v>63</v>
      </c>
      <c r="D68" s="686">
        <v>28.4</v>
      </c>
      <c r="E68" s="904">
        <v>63</v>
      </c>
      <c r="F68" s="686">
        <v>13.24</v>
      </c>
      <c r="G68" s="905">
        <v>63</v>
      </c>
      <c r="H68" s="683">
        <v>4910</v>
      </c>
      <c r="I68" s="683">
        <v>2087</v>
      </c>
      <c r="J68" s="693">
        <v>114.74</v>
      </c>
    </row>
    <row r="69" spans="1:10" ht="14.5" x14ac:dyDescent="0.35">
      <c r="A69" s="904">
        <v>64</v>
      </c>
      <c r="B69" s="686">
        <v>15.29</v>
      </c>
      <c r="C69" s="904">
        <v>64</v>
      </c>
      <c r="D69" s="686">
        <v>20.52</v>
      </c>
      <c r="E69" s="904">
        <v>64</v>
      </c>
      <c r="F69" s="686">
        <v>15.29</v>
      </c>
      <c r="G69" s="905">
        <v>64</v>
      </c>
      <c r="H69" s="683">
        <v>4954</v>
      </c>
      <c r="I69" s="683">
        <v>2088</v>
      </c>
      <c r="J69" s="693">
        <v>113.8</v>
      </c>
    </row>
    <row r="70" spans="1:10" ht="14.5" x14ac:dyDescent="0.35">
      <c r="A70" s="904">
        <v>65</v>
      </c>
      <c r="B70" s="686">
        <v>10.82</v>
      </c>
      <c r="C70" s="904">
        <v>65</v>
      </c>
      <c r="D70" s="686">
        <v>27.63</v>
      </c>
      <c r="E70" s="904">
        <v>65</v>
      </c>
      <c r="F70" s="686">
        <v>10.82</v>
      </c>
      <c r="G70" s="905">
        <v>65</v>
      </c>
      <c r="H70" s="683">
        <v>4904</v>
      </c>
      <c r="I70" s="683">
        <v>2101</v>
      </c>
      <c r="J70" s="693">
        <v>114.41</v>
      </c>
    </row>
    <row r="71" spans="1:10" ht="14.5" x14ac:dyDescent="0.35">
      <c r="A71" s="904">
        <v>66</v>
      </c>
      <c r="B71" s="686">
        <v>11.68</v>
      </c>
      <c r="C71" s="904">
        <v>66</v>
      </c>
      <c r="D71" s="686">
        <v>28.16</v>
      </c>
      <c r="E71" s="904">
        <v>66</v>
      </c>
      <c r="F71" s="686">
        <v>11.68</v>
      </c>
      <c r="G71" s="905">
        <v>66</v>
      </c>
      <c r="H71" s="683">
        <v>4924</v>
      </c>
      <c r="I71" s="683">
        <v>2075</v>
      </c>
      <c r="J71" s="693">
        <v>114.79</v>
      </c>
    </row>
    <row r="72" spans="1:10" ht="14.5" x14ac:dyDescent="0.35">
      <c r="A72" s="904">
        <v>67</v>
      </c>
      <c r="B72" s="686">
        <v>18.89</v>
      </c>
      <c r="C72" s="904">
        <v>67</v>
      </c>
      <c r="D72" s="686">
        <v>28.61</v>
      </c>
      <c r="E72" s="904">
        <v>67</v>
      </c>
      <c r="F72" s="686">
        <v>18.89</v>
      </c>
      <c r="G72" s="905">
        <v>67</v>
      </c>
      <c r="H72" s="683">
        <v>5274</v>
      </c>
      <c r="I72" s="683">
        <v>2084</v>
      </c>
      <c r="J72" s="693">
        <v>113.6</v>
      </c>
    </row>
    <row r="73" spans="1:10" ht="14.5" x14ac:dyDescent="0.35">
      <c r="A73" s="904">
        <v>68</v>
      </c>
      <c r="B73" s="686">
        <v>17.149999999999999</v>
      </c>
      <c r="C73" s="904">
        <v>68</v>
      </c>
      <c r="D73" s="686">
        <v>25.03</v>
      </c>
      <c r="E73" s="904">
        <v>68</v>
      </c>
      <c r="F73" s="686">
        <v>17.149999999999999</v>
      </c>
      <c r="G73" s="905">
        <v>68</v>
      </c>
      <c r="H73" s="683">
        <v>5230</v>
      </c>
      <c r="I73" s="683">
        <v>2065</v>
      </c>
      <c r="J73" s="693">
        <v>114.82</v>
      </c>
    </row>
    <row r="74" spans="1:10" ht="14.5" x14ac:dyDescent="0.35">
      <c r="A74" s="904">
        <v>69</v>
      </c>
      <c r="B74" s="686">
        <v>6.46</v>
      </c>
      <c r="C74" s="904">
        <v>69</v>
      </c>
      <c r="D74" s="686">
        <v>27.07</v>
      </c>
      <c r="E74" s="904">
        <v>69</v>
      </c>
      <c r="F74" s="686">
        <v>6.46</v>
      </c>
      <c r="G74" s="905">
        <v>69</v>
      </c>
      <c r="H74" s="683">
        <v>5180</v>
      </c>
      <c r="I74" s="683">
        <v>2081</v>
      </c>
      <c r="J74" s="693">
        <v>114.4</v>
      </c>
    </row>
    <row r="75" spans="1:10" ht="14.5" x14ac:dyDescent="0.35">
      <c r="A75" s="904">
        <v>70</v>
      </c>
      <c r="B75" s="686">
        <v>18.510000000000002</v>
      </c>
      <c r="C75" s="904">
        <v>70</v>
      </c>
      <c r="D75" s="686">
        <v>25.24</v>
      </c>
      <c r="E75" s="904">
        <v>70</v>
      </c>
      <c r="F75" s="686">
        <v>18.510000000000002</v>
      </c>
      <c r="G75" s="905">
        <v>70</v>
      </c>
      <c r="H75" s="683">
        <v>5262</v>
      </c>
      <c r="I75" s="683">
        <v>2077</v>
      </c>
      <c r="J75" s="693">
        <v>114.31</v>
      </c>
    </row>
    <row r="76" spans="1:10" ht="14.5" x14ac:dyDescent="0.35">
      <c r="A76" s="904">
        <v>71</v>
      </c>
      <c r="B76" s="686">
        <v>6.95</v>
      </c>
      <c r="C76" s="904">
        <v>71</v>
      </c>
      <c r="D76" s="686">
        <v>27.75</v>
      </c>
      <c r="E76" s="904">
        <v>71</v>
      </c>
      <c r="F76" s="686">
        <v>6.95</v>
      </c>
      <c r="G76" s="905">
        <v>71</v>
      </c>
      <c r="H76" s="683">
        <v>4580</v>
      </c>
      <c r="I76" s="683">
        <v>2110</v>
      </c>
      <c r="J76" s="693">
        <v>112.6</v>
      </c>
    </row>
    <row r="77" spans="1:10" ht="14.5" x14ac:dyDescent="0.35">
      <c r="A77" s="904">
        <v>72</v>
      </c>
      <c r="B77" s="686">
        <v>11.47</v>
      </c>
      <c r="C77" s="904">
        <v>72</v>
      </c>
      <c r="D77" s="686">
        <v>24.4</v>
      </c>
      <c r="E77" s="904">
        <v>72</v>
      </c>
      <c r="F77" s="686">
        <v>11.47</v>
      </c>
      <c r="G77" s="905">
        <v>72</v>
      </c>
      <c r="H77" s="683">
        <v>4176</v>
      </c>
      <c r="I77" s="683">
        <v>2075</v>
      </c>
      <c r="J77" s="693">
        <v>114.4</v>
      </c>
    </row>
    <row r="78" spans="1:10" ht="14.5" x14ac:dyDescent="0.35">
      <c r="A78" s="904">
        <v>73</v>
      </c>
      <c r="B78" s="686">
        <v>11.55</v>
      </c>
      <c r="C78" s="904">
        <v>73</v>
      </c>
      <c r="D78" s="686">
        <v>32.479999999999997</v>
      </c>
      <c r="E78" s="904">
        <v>73</v>
      </c>
      <c r="F78" s="686">
        <v>11.55</v>
      </c>
      <c r="G78" s="905">
        <v>73</v>
      </c>
      <c r="H78" s="683">
        <v>4194</v>
      </c>
      <c r="I78" s="683">
        <v>2078</v>
      </c>
      <c r="J78" s="693">
        <v>114.3</v>
      </c>
    </row>
    <row r="79" spans="1:10" ht="14.5" x14ac:dyDescent="0.35">
      <c r="A79" s="904">
        <v>74</v>
      </c>
      <c r="B79" s="686">
        <v>9.3699999999999992</v>
      </c>
      <c r="C79" s="904">
        <v>74</v>
      </c>
      <c r="D79" s="686">
        <v>28.24</v>
      </c>
      <c r="E79" s="904">
        <v>74</v>
      </c>
      <c r="F79" s="686">
        <v>9.3699999999999992</v>
      </c>
      <c r="G79" s="905">
        <v>74</v>
      </c>
      <c r="H79" s="683">
        <v>4932</v>
      </c>
      <c r="I79" s="683">
        <v>2081</v>
      </c>
      <c r="J79" s="693">
        <v>114.3</v>
      </c>
    </row>
    <row r="80" spans="1:10" ht="14.5" x14ac:dyDescent="0.35">
      <c r="A80" s="904">
        <v>75</v>
      </c>
      <c r="B80" s="686">
        <v>6.63</v>
      </c>
      <c r="C80" s="904">
        <v>75</v>
      </c>
      <c r="D80" s="686">
        <v>18.23</v>
      </c>
      <c r="E80" s="904">
        <v>75</v>
      </c>
      <c r="F80" s="686">
        <v>6.63</v>
      </c>
      <c r="G80" s="905">
        <v>75</v>
      </c>
      <c r="H80" s="683">
        <v>5196</v>
      </c>
      <c r="I80" s="683">
        <v>2066</v>
      </c>
      <c r="J80" s="693">
        <v>114.1</v>
      </c>
    </row>
    <row r="81" spans="1:10" ht="19.5" customHeight="1" x14ac:dyDescent="0.35">
      <c r="A81" s="904">
        <v>76</v>
      </c>
      <c r="B81" s="686">
        <v>6.63</v>
      </c>
      <c r="C81" s="904">
        <v>76</v>
      </c>
      <c r="D81" s="686">
        <v>18.87</v>
      </c>
      <c r="E81" s="904">
        <v>76</v>
      </c>
      <c r="F81" s="686">
        <v>6.63</v>
      </c>
      <c r="G81" s="905">
        <v>76</v>
      </c>
      <c r="H81" s="683">
        <v>4792</v>
      </c>
      <c r="I81" s="683">
        <v>2064</v>
      </c>
      <c r="J81" s="693">
        <v>114.2</v>
      </c>
    </row>
    <row r="82" spans="1:10" ht="14.5" x14ac:dyDescent="0.35">
      <c r="A82" s="907">
        <v>77</v>
      </c>
      <c r="B82" s="691">
        <v>6.96</v>
      </c>
      <c r="C82" s="907">
        <v>77</v>
      </c>
      <c r="D82" s="691">
        <v>33.49</v>
      </c>
      <c r="E82" s="907">
        <v>77</v>
      </c>
      <c r="F82" s="691">
        <v>6.96</v>
      </c>
      <c r="G82" s="905">
        <v>77</v>
      </c>
      <c r="H82" s="683">
        <v>4908</v>
      </c>
      <c r="I82" s="683">
        <v>2077</v>
      </c>
      <c r="J82" s="693">
        <v>113.9</v>
      </c>
    </row>
    <row r="83" spans="1:10" ht="14.5" x14ac:dyDescent="0.35">
      <c r="A83" s="904">
        <v>78</v>
      </c>
      <c r="B83" s="686">
        <v>28.33</v>
      </c>
      <c r="C83" s="904">
        <v>78</v>
      </c>
      <c r="D83" s="686">
        <v>28.35</v>
      </c>
      <c r="E83" s="904">
        <v>78</v>
      </c>
      <c r="F83" s="686">
        <v>28.33</v>
      </c>
      <c r="G83" s="905">
        <v>78</v>
      </c>
      <c r="H83" s="684">
        <v>5196</v>
      </c>
      <c r="I83" s="684">
        <v>2077</v>
      </c>
      <c r="J83" s="693">
        <v>114.82</v>
      </c>
    </row>
    <row r="84" spans="1:10" ht="14.5" x14ac:dyDescent="0.35">
      <c r="A84" s="904">
        <v>79</v>
      </c>
      <c r="B84" s="686">
        <v>26.57</v>
      </c>
      <c r="C84" s="904">
        <v>79</v>
      </c>
      <c r="D84" s="686">
        <v>28.2</v>
      </c>
      <c r="E84" s="904">
        <v>79</v>
      </c>
      <c r="F84" s="686">
        <v>26.57</v>
      </c>
      <c r="G84" s="905">
        <v>79</v>
      </c>
      <c r="H84" s="684">
        <v>5240</v>
      </c>
      <c r="I84" s="684">
        <v>2068</v>
      </c>
      <c r="J84" s="693">
        <v>114.94</v>
      </c>
    </row>
    <row r="85" spans="1:10" ht="14.5" x14ac:dyDescent="0.35">
      <c r="A85" s="904">
        <v>80</v>
      </c>
      <c r="B85" s="686">
        <v>18.399999999999999</v>
      </c>
      <c r="C85" s="904">
        <v>80</v>
      </c>
      <c r="D85" s="686">
        <v>18.45</v>
      </c>
      <c r="E85" s="904">
        <v>80</v>
      </c>
      <c r="F85" s="686">
        <v>18.399999999999999</v>
      </c>
      <c r="G85" s="905">
        <v>80</v>
      </c>
      <c r="H85" s="684">
        <v>5216</v>
      </c>
      <c r="I85" s="684">
        <v>2085</v>
      </c>
      <c r="J85" s="693">
        <v>115</v>
      </c>
    </row>
    <row r="86" spans="1:10" ht="14.5" x14ac:dyDescent="0.35">
      <c r="A86" s="904">
        <v>81</v>
      </c>
      <c r="B86" s="686">
        <v>18.12</v>
      </c>
      <c r="C86" s="904">
        <v>81</v>
      </c>
      <c r="D86" s="686">
        <v>28.15</v>
      </c>
      <c r="E86" s="904">
        <v>81</v>
      </c>
      <c r="F86" s="686">
        <v>18.12</v>
      </c>
      <c r="G86" s="905">
        <v>81</v>
      </c>
      <c r="H86" s="684">
        <v>5270</v>
      </c>
      <c r="I86" s="684">
        <v>2066</v>
      </c>
      <c r="J86" s="693">
        <v>114.79</v>
      </c>
    </row>
    <row r="87" spans="1:10" ht="14.5" x14ac:dyDescent="0.35">
      <c r="A87" s="904">
        <v>82</v>
      </c>
      <c r="B87" s="686">
        <v>33.799999999999997</v>
      </c>
      <c r="C87" s="904">
        <v>82</v>
      </c>
      <c r="D87" s="686">
        <v>33.83</v>
      </c>
      <c r="E87" s="904">
        <v>82</v>
      </c>
      <c r="F87" s="686">
        <v>33.799999999999997</v>
      </c>
      <c r="G87" s="905">
        <v>82</v>
      </c>
      <c r="H87" s="684">
        <v>5208</v>
      </c>
      <c r="I87" s="684">
        <v>2065</v>
      </c>
      <c r="J87" s="693">
        <v>114.78</v>
      </c>
    </row>
    <row r="88" spans="1:10" ht="14.5" x14ac:dyDescent="0.35">
      <c r="A88" s="904">
        <v>83</v>
      </c>
      <c r="B88" s="686">
        <v>16.690000000000001</v>
      </c>
      <c r="C88" s="904">
        <v>83</v>
      </c>
      <c r="D88" s="686">
        <v>16.77</v>
      </c>
      <c r="E88" s="904">
        <v>83</v>
      </c>
      <c r="F88" s="686">
        <v>16.690000000000001</v>
      </c>
      <c r="G88" s="905">
        <v>83</v>
      </c>
      <c r="H88" s="684">
        <v>4910</v>
      </c>
      <c r="I88" s="684">
        <v>2084</v>
      </c>
      <c r="J88" s="693">
        <v>114.91</v>
      </c>
    </row>
    <row r="89" spans="1:10" ht="14.5" x14ac:dyDescent="0.35">
      <c r="A89" s="904">
        <v>84</v>
      </c>
      <c r="B89" s="686">
        <v>25.5</v>
      </c>
      <c r="C89" s="904">
        <v>84</v>
      </c>
      <c r="D89" s="686">
        <v>25.5</v>
      </c>
      <c r="E89" s="904">
        <v>84</v>
      </c>
      <c r="F89" s="686">
        <v>25.5</v>
      </c>
      <c r="G89" s="905">
        <v>84</v>
      </c>
      <c r="H89" s="684">
        <v>4968</v>
      </c>
      <c r="I89" s="684">
        <v>2086</v>
      </c>
      <c r="J89" s="693">
        <v>115.02</v>
      </c>
    </row>
    <row r="90" spans="1:10" ht="14.5" x14ac:dyDescent="0.35">
      <c r="A90" s="904">
        <v>85</v>
      </c>
      <c r="B90" s="686">
        <v>29.75</v>
      </c>
      <c r="C90" s="904">
        <v>85</v>
      </c>
      <c r="D90" s="686">
        <v>29.75</v>
      </c>
      <c r="E90" s="904">
        <v>85</v>
      </c>
      <c r="F90" s="686">
        <v>29.75</v>
      </c>
      <c r="G90" s="905">
        <v>85</v>
      </c>
      <c r="H90" s="684">
        <v>5252</v>
      </c>
      <c r="I90" s="684">
        <v>2080</v>
      </c>
      <c r="J90" s="693">
        <v>114.52</v>
      </c>
    </row>
    <row r="91" spans="1:10" ht="14.5" x14ac:dyDescent="0.35">
      <c r="A91" s="904">
        <v>86</v>
      </c>
      <c r="B91" s="686">
        <v>28.17</v>
      </c>
      <c r="C91" s="904">
        <v>86</v>
      </c>
      <c r="D91" s="686">
        <v>28.17</v>
      </c>
      <c r="E91" s="904">
        <v>86</v>
      </c>
      <c r="F91" s="686">
        <v>28.17</v>
      </c>
      <c r="G91" s="905">
        <v>86</v>
      </c>
      <c r="H91" s="684">
        <v>4925</v>
      </c>
      <c r="I91" s="684">
        <v>2077</v>
      </c>
      <c r="J91" s="693">
        <v>114.85</v>
      </c>
    </row>
    <row r="92" spans="1:10" ht="14.5" x14ac:dyDescent="0.35">
      <c r="A92" s="904">
        <v>87</v>
      </c>
      <c r="B92" s="686">
        <v>33.700000000000003</v>
      </c>
      <c r="C92" s="904">
        <v>87</v>
      </c>
      <c r="D92" s="686">
        <v>33.67</v>
      </c>
      <c r="E92" s="904">
        <v>87</v>
      </c>
      <c r="F92" s="686">
        <v>33.700000000000003</v>
      </c>
      <c r="G92" s="905">
        <v>87</v>
      </c>
      <c r="H92" s="684">
        <v>4727</v>
      </c>
      <c r="I92" s="684">
        <v>2091</v>
      </c>
      <c r="J92" s="693">
        <v>114.88</v>
      </c>
    </row>
    <row r="93" spans="1:10" ht="14.5" x14ac:dyDescent="0.35">
      <c r="A93" s="904">
        <v>88</v>
      </c>
      <c r="B93" s="686">
        <v>29.4</v>
      </c>
      <c r="C93" s="904">
        <v>88</v>
      </c>
      <c r="D93" s="686">
        <v>29.51</v>
      </c>
      <c r="E93" s="904">
        <v>88</v>
      </c>
      <c r="F93" s="686">
        <v>29.4</v>
      </c>
      <c r="G93" s="905">
        <v>88</v>
      </c>
      <c r="H93" s="684">
        <v>4408</v>
      </c>
      <c r="I93" s="684">
        <v>2065</v>
      </c>
      <c r="J93" s="693">
        <v>114.86</v>
      </c>
    </row>
    <row r="94" spans="1:10" ht="14.5" x14ac:dyDescent="0.35">
      <c r="A94" s="904">
        <v>89</v>
      </c>
      <c r="B94" s="686">
        <v>25.28</v>
      </c>
      <c r="C94" s="904">
        <v>89</v>
      </c>
      <c r="D94" s="686">
        <v>25.32</v>
      </c>
      <c r="E94" s="904">
        <v>89</v>
      </c>
      <c r="F94" s="686">
        <v>25.28</v>
      </c>
      <c r="G94" s="905">
        <v>89</v>
      </c>
      <c r="H94" s="684">
        <v>4760</v>
      </c>
      <c r="I94" s="684">
        <v>2093</v>
      </c>
      <c r="J94" s="693">
        <v>115</v>
      </c>
    </row>
    <row r="95" spans="1:10" ht="14.5" x14ac:dyDescent="0.35">
      <c r="A95" s="904">
        <v>90</v>
      </c>
      <c r="B95" s="686">
        <v>26.75</v>
      </c>
      <c r="C95" s="904">
        <v>90</v>
      </c>
      <c r="D95" s="686">
        <v>26.75</v>
      </c>
      <c r="E95" s="904">
        <v>90</v>
      </c>
      <c r="F95" s="686">
        <v>26.75</v>
      </c>
      <c r="G95" s="905">
        <v>90</v>
      </c>
      <c r="H95" s="684">
        <v>4687</v>
      </c>
      <c r="I95" s="684">
        <v>2095</v>
      </c>
      <c r="J95" s="693">
        <v>114.96</v>
      </c>
    </row>
    <row r="96" spans="1:10" ht="14.5" x14ac:dyDescent="0.35">
      <c r="A96" s="904">
        <v>91</v>
      </c>
      <c r="B96" s="686">
        <v>24.82</v>
      </c>
      <c r="C96" s="904">
        <v>91</v>
      </c>
      <c r="D96" s="686">
        <v>24.84</v>
      </c>
      <c r="E96" s="904">
        <v>91</v>
      </c>
      <c r="F96" s="686">
        <v>24.82</v>
      </c>
      <c r="G96" s="905">
        <v>91</v>
      </c>
      <c r="H96" s="684">
        <v>5270</v>
      </c>
      <c r="I96" s="684">
        <v>2083</v>
      </c>
      <c r="J96" s="693">
        <v>114.76</v>
      </c>
    </row>
    <row r="97" spans="1:10" ht="14.5" x14ac:dyDescent="0.35">
      <c r="A97" s="904">
        <v>92</v>
      </c>
      <c r="B97" s="686">
        <v>29.76</v>
      </c>
      <c r="C97" s="904">
        <v>92</v>
      </c>
      <c r="D97" s="686">
        <v>29.76</v>
      </c>
      <c r="E97" s="904">
        <v>92</v>
      </c>
      <c r="F97" s="686">
        <v>29.76</v>
      </c>
      <c r="G97" s="905">
        <v>92</v>
      </c>
      <c r="H97" s="684">
        <v>5254</v>
      </c>
      <c r="I97" s="684">
        <v>2078</v>
      </c>
      <c r="J97" s="693">
        <v>114.63</v>
      </c>
    </row>
    <row r="98" spans="1:10" ht="14.5" x14ac:dyDescent="0.35">
      <c r="A98" s="904">
        <v>93</v>
      </c>
      <c r="B98" s="686">
        <v>26.1</v>
      </c>
      <c r="C98" s="904">
        <v>93</v>
      </c>
      <c r="D98" s="686">
        <v>26.14</v>
      </c>
      <c r="E98" s="904">
        <v>93</v>
      </c>
      <c r="F98" s="686">
        <v>26.1</v>
      </c>
      <c r="G98" s="905">
        <v>93</v>
      </c>
      <c r="H98" s="684">
        <v>5196</v>
      </c>
      <c r="I98" s="684">
        <v>2066</v>
      </c>
      <c r="J98" s="693">
        <v>114.7</v>
      </c>
    </row>
    <row r="99" spans="1:10" ht="14.5" x14ac:dyDescent="0.35">
      <c r="A99" s="904">
        <v>94</v>
      </c>
      <c r="B99" s="686">
        <v>30.78</v>
      </c>
      <c r="C99" s="904">
        <v>94</v>
      </c>
      <c r="D99" s="686">
        <v>34.61</v>
      </c>
      <c r="E99" s="904">
        <v>94</v>
      </c>
      <c r="F99" s="686">
        <v>30.78</v>
      </c>
      <c r="G99" s="905">
        <v>94</v>
      </c>
      <c r="H99" s="684">
        <v>4792</v>
      </c>
      <c r="I99" s="684">
        <v>2064</v>
      </c>
      <c r="J99" s="693">
        <v>114</v>
      </c>
    </row>
    <row r="100" spans="1:10" ht="14.5" x14ac:dyDescent="0.35">
      <c r="A100" s="904">
        <v>95</v>
      </c>
      <c r="B100" s="686">
        <v>16.829999999999998</v>
      </c>
      <c r="C100" s="904">
        <v>95</v>
      </c>
      <c r="D100" s="686">
        <v>16.829999999999998</v>
      </c>
      <c r="E100" s="904">
        <v>95</v>
      </c>
      <c r="F100" s="686">
        <v>16.829999999999998</v>
      </c>
      <c r="G100" s="905">
        <v>95</v>
      </c>
      <c r="H100" s="684">
        <v>4908</v>
      </c>
      <c r="I100" s="684">
        <v>2077</v>
      </c>
      <c r="J100" s="693">
        <v>114.82</v>
      </c>
    </row>
    <row r="101" spans="1:10" ht="14.5" x14ac:dyDescent="0.35">
      <c r="A101" s="904">
        <v>96</v>
      </c>
      <c r="B101" s="686">
        <v>15.05</v>
      </c>
      <c r="C101" s="904">
        <v>96</v>
      </c>
      <c r="D101" s="686">
        <v>15.05</v>
      </c>
      <c r="E101" s="904">
        <v>96</v>
      </c>
      <c r="F101" s="686">
        <v>15.05</v>
      </c>
      <c r="G101" s="905">
        <v>96</v>
      </c>
      <c r="H101" s="684">
        <v>5206</v>
      </c>
      <c r="I101" s="684">
        <v>2057</v>
      </c>
      <c r="J101" s="693">
        <v>114.79</v>
      </c>
    </row>
    <row r="102" spans="1:10" ht="14.5" x14ac:dyDescent="0.35">
      <c r="A102" s="904">
        <v>97</v>
      </c>
      <c r="B102" s="686">
        <v>23.1</v>
      </c>
      <c r="C102" s="904">
        <v>97</v>
      </c>
      <c r="D102" s="686">
        <v>23.1</v>
      </c>
      <c r="E102" s="904">
        <v>97</v>
      </c>
      <c r="F102" s="686">
        <v>23.1</v>
      </c>
      <c r="G102" s="905">
        <v>97</v>
      </c>
      <c r="H102" s="684">
        <v>5240</v>
      </c>
      <c r="I102" s="684">
        <v>2070</v>
      </c>
      <c r="J102" s="693">
        <v>115</v>
      </c>
    </row>
    <row r="103" spans="1:10" ht="14.5" x14ac:dyDescent="0.35">
      <c r="A103" s="904">
        <v>98</v>
      </c>
      <c r="B103" s="686">
        <v>21.75</v>
      </c>
      <c r="C103" s="904">
        <v>98</v>
      </c>
      <c r="D103" s="686">
        <v>21.75</v>
      </c>
      <c r="E103" s="904">
        <v>98</v>
      </c>
      <c r="F103" s="686">
        <v>21.75</v>
      </c>
      <c r="G103" s="905">
        <v>98</v>
      </c>
      <c r="H103" s="684">
        <v>5232</v>
      </c>
      <c r="I103" s="684">
        <v>2078</v>
      </c>
      <c r="J103" s="693">
        <v>114</v>
      </c>
    </row>
    <row r="104" spans="1:10" ht="14.5" x14ac:dyDescent="0.35">
      <c r="A104" s="904">
        <v>99</v>
      </c>
      <c r="B104" s="686">
        <v>29.55</v>
      </c>
      <c r="C104" s="904">
        <v>99</v>
      </c>
      <c r="D104" s="686">
        <v>29.62</v>
      </c>
      <c r="E104" s="904">
        <v>99</v>
      </c>
      <c r="F104" s="686">
        <v>29.55</v>
      </c>
      <c r="G104" s="905">
        <v>99</v>
      </c>
      <c r="H104" s="684">
        <v>5251</v>
      </c>
      <c r="I104" s="684">
        <v>2080</v>
      </c>
      <c r="J104" s="693">
        <v>114.74</v>
      </c>
    </row>
    <row r="105" spans="1:10" ht="14.5" x14ac:dyDescent="0.35">
      <c r="A105" s="904">
        <v>100</v>
      </c>
      <c r="B105" s="686">
        <v>26.4</v>
      </c>
      <c r="C105" s="904">
        <v>100</v>
      </c>
      <c r="D105" s="686">
        <v>26.42</v>
      </c>
      <c r="E105" s="904">
        <v>100</v>
      </c>
      <c r="F105" s="686">
        <v>26.4</v>
      </c>
      <c r="G105" s="905">
        <v>100</v>
      </c>
      <c r="H105" s="684">
        <v>5274</v>
      </c>
      <c r="I105" s="684">
        <v>2084</v>
      </c>
      <c r="J105" s="693">
        <v>113.8</v>
      </c>
    </row>
    <row r="106" spans="1:10" ht="14.5" x14ac:dyDescent="0.35">
      <c r="A106" s="904">
        <v>101</v>
      </c>
      <c r="B106" s="686">
        <v>38</v>
      </c>
      <c r="C106" s="904">
        <v>101</v>
      </c>
      <c r="D106" s="686">
        <v>38</v>
      </c>
      <c r="E106" s="904">
        <v>101</v>
      </c>
      <c r="F106" s="686">
        <v>38</v>
      </c>
      <c r="G106" s="904">
        <v>101</v>
      </c>
      <c r="H106" s="684">
        <v>5230</v>
      </c>
      <c r="I106" s="684">
        <v>2065</v>
      </c>
      <c r="J106" s="693">
        <v>114.41</v>
      </c>
    </row>
    <row r="107" spans="1:10" ht="14.5" x14ac:dyDescent="0.35">
      <c r="A107" s="904">
        <v>102</v>
      </c>
      <c r="B107" s="686">
        <v>35.840000000000003</v>
      </c>
      <c r="C107" s="904">
        <v>102</v>
      </c>
      <c r="D107" s="686">
        <v>35.840000000000003</v>
      </c>
      <c r="E107" s="904">
        <v>102</v>
      </c>
      <c r="F107" s="686">
        <v>35.840000000000003</v>
      </c>
      <c r="G107" s="904">
        <v>102</v>
      </c>
      <c r="H107" s="685">
        <v>5180</v>
      </c>
      <c r="I107" s="685">
        <v>2081</v>
      </c>
      <c r="J107" s="687">
        <v>114.79</v>
      </c>
    </row>
    <row r="108" spans="1:10" ht="14.5" x14ac:dyDescent="0.35">
      <c r="A108" s="904">
        <v>103</v>
      </c>
      <c r="B108" s="686">
        <v>38.880000000000003</v>
      </c>
      <c r="C108" s="904">
        <v>103</v>
      </c>
      <c r="D108" s="686">
        <v>38.880000000000003</v>
      </c>
      <c r="E108" s="904">
        <v>103</v>
      </c>
      <c r="F108" s="686">
        <v>38.880000000000003</v>
      </c>
      <c r="G108" s="904">
        <v>103</v>
      </c>
      <c r="H108" s="685">
        <v>5262</v>
      </c>
      <c r="I108" s="685">
        <v>2077</v>
      </c>
      <c r="J108" s="687">
        <v>113.6</v>
      </c>
    </row>
    <row r="109" spans="1:10" ht="14.5" x14ac:dyDescent="0.35">
      <c r="A109" s="904">
        <v>104</v>
      </c>
      <c r="B109" s="686">
        <v>31.6</v>
      </c>
      <c r="C109" s="904">
        <v>104</v>
      </c>
      <c r="D109" s="686">
        <v>31.6</v>
      </c>
      <c r="E109" s="904">
        <v>104</v>
      </c>
      <c r="F109" s="686">
        <v>31.6</v>
      </c>
      <c r="G109" s="904">
        <v>104</v>
      </c>
      <c r="H109" s="685">
        <v>5298</v>
      </c>
      <c r="I109" s="685">
        <v>2080</v>
      </c>
      <c r="J109" s="687">
        <v>114.82</v>
      </c>
    </row>
    <row r="110" spans="1:10" ht="14.5" x14ac:dyDescent="0.35">
      <c r="A110" s="904">
        <v>105</v>
      </c>
      <c r="B110" s="686">
        <v>28.34</v>
      </c>
      <c r="C110" s="904">
        <v>105</v>
      </c>
      <c r="D110" s="686">
        <v>28.34</v>
      </c>
      <c r="E110" s="904">
        <v>105</v>
      </c>
      <c r="F110" s="686">
        <v>28.34</v>
      </c>
      <c r="G110" s="904">
        <v>105</v>
      </c>
      <c r="H110" s="685">
        <v>5526</v>
      </c>
      <c r="I110" s="685">
        <v>2096</v>
      </c>
      <c r="J110" s="687">
        <v>114.6</v>
      </c>
    </row>
    <row r="111" spans="1:10" ht="14.5" x14ac:dyDescent="0.35">
      <c r="A111" s="904">
        <v>106</v>
      </c>
      <c r="B111" s="686">
        <v>28.06</v>
      </c>
      <c r="C111" s="904">
        <v>106</v>
      </c>
      <c r="D111" s="686">
        <v>28.06</v>
      </c>
      <c r="E111" s="904">
        <v>106</v>
      </c>
      <c r="F111" s="686">
        <v>28.06</v>
      </c>
      <c r="G111" s="904">
        <v>106</v>
      </c>
      <c r="H111" s="685">
        <v>5492</v>
      </c>
      <c r="I111" s="685">
        <v>2084</v>
      </c>
      <c r="J111" s="687">
        <v>114.4</v>
      </c>
    </row>
    <row r="112" spans="1:10" ht="14.5" x14ac:dyDescent="0.35">
      <c r="A112" s="904">
        <v>107</v>
      </c>
      <c r="B112" s="686">
        <v>28.07</v>
      </c>
      <c r="C112" s="904">
        <v>107</v>
      </c>
      <c r="D112" s="686">
        <v>28.12</v>
      </c>
      <c r="E112" s="904">
        <v>107</v>
      </c>
      <c r="F112" s="686">
        <v>28.07</v>
      </c>
      <c r="G112" s="904">
        <v>107</v>
      </c>
      <c r="H112" s="685">
        <v>5450</v>
      </c>
      <c r="I112" s="685">
        <v>2085</v>
      </c>
      <c r="J112" s="687">
        <v>114.6</v>
      </c>
    </row>
    <row r="113" spans="1:10" ht="14.5" x14ac:dyDescent="0.35">
      <c r="A113" s="904">
        <v>108</v>
      </c>
      <c r="B113" s="686">
        <v>22.61</v>
      </c>
      <c r="C113" s="904">
        <v>108</v>
      </c>
      <c r="D113" s="686">
        <v>22.61</v>
      </c>
      <c r="E113" s="904">
        <v>108</v>
      </c>
      <c r="F113" s="686">
        <v>22.61</v>
      </c>
      <c r="G113" s="904">
        <v>108</v>
      </c>
      <c r="H113" s="685">
        <v>5526</v>
      </c>
      <c r="I113" s="685">
        <v>2084</v>
      </c>
      <c r="J113" s="687">
        <v>114.4</v>
      </c>
    </row>
    <row r="114" spans="1:10" ht="14.5" x14ac:dyDescent="0.35">
      <c r="A114" s="904">
        <v>109</v>
      </c>
      <c r="B114" s="686">
        <v>33.54</v>
      </c>
      <c r="C114" s="904">
        <v>109</v>
      </c>
      <c r="D114" s="686">
        <v>33.54</v>
      </c>
      <c r="E114" s="904">
        <v>109</v>
      </c>
      <c r="F114" s="686">
        <v>33.54</v>
      </c>
      <c r="G114" s="904">
        <v>109</v>
      </c>
      <c r="H114" s="685">
        <v>5438</v>
      </c>
      <c r="I114" s="685">
        <v>2090</v>
      </c>
      <c r="J114" s="687">
        <v>114.6</v>
      </c>
    </row>
    <row r="115" spans="1:10" ht="14.5" x14ac:dyDescent="0.35">
      <c r="A115" s="904">
        <v>110</v>
      </c>
      <c r="B115" s="686">
        <v>21.25</v>
      </c>
      <c r="C115" s="904">
        <v>110</v>
      </c>
      <c r="D115" s="686">
        <v>21.25</v>
      </c>
      <c r="E115" s="904">
        <v>110</v>
      </c>
      <c r="F115" s="686">
        <v>21.25</v>
      </c>
      <c r="G115" s="904">
        <v>110</v>
      </c>
      <c r="H115" s="685">
        <v>5442</v>
      </c>
      <c r="I115" s="685">
        <v>2084</v>
      </c>
      <c r="J115" s="687">
        <v>114.4</v>
      </c>
    </row>
    <row r="116" spans="1:10" ht="14.5" x14ac:dyDescent="0.35">
      <c r="A116" s="904">
        <v>111</v>
      </c>
      <c r="B116" s="686">
        <v>40.29</v>
      </c>
      <c r="C116" s="904">
        <v>111</v>
      </c>
      <c r="D116" s="686">
        <v>40.340000000000003</v>
      </c>
      <c r="E116" s="904">
        <v>111</v>
      </c>
      <c r="F116" s="686">
        <v>40.29</v>
      </c>
      <c r="G116" s="904">
        <v>111</v>
      </c>
      <c r="H116" s="685">
        <v>5506</v>
      </c>
      <c r="I116" s="685">
        <v>2088</v>
      </c>
      <c r="J116" s="687">
        <v>114.2</v>
      </c>
    </row>
    <row r="117" spans="1:10" ht="14.5" x14ac:dyDescent="0.35">
      <c r="A117" s="904">
        <v>112</v>
      </c>
      <c r="B117" s="686">
        <v>36.65</v>
      </c>
      <c r="C117" s="904">
        <v>112</v>
      </c>
      <c r="D117" s="686">
        <v>36.65</v>
      </c>
      <c r="E117" s="904">
        <v>112</v>
      </c>
      <c r="F117" s="686">
        <v>36.65</v>
      </c>
      <c r="G117" s="904">
        <v>112</v>
      </c>
      <c r="H117" s="685">
        <v>5494</v>
      </c>
      <c r="I117" s="685">
        <v>2096</v>
      </c>
      <c r="J117" s="687">
        <v>114.6</v>
      </c>
    </row>
    <row r="118" spans="1:10" ht="14.5" x14ac:dyDescent="0.35">
      <c r="A118" s="904">
        <v>113</v>
      </c>
      <c r="B118" s="686">
        <v>33.799999999999997</v>
      </c>
      <c r="C118" s="904">
        <v>113</v>
      </c>
      <c r="D118" s="686">
        <v>33.799999999999997</v>
      </c>
      <c r="E118" s="904">
        <v>113</v>
      </c>
      <c r="F118" s="686">
        <v>33.799999999999997</v>
      </c>
      <c r="G118" s="904">
        <v>113</v>
      </c>
      <c r="H118" s="685">
        <v>5442</v>
      </c>
      <c r="I118" s="685">
        <v>2084</v>
      </c>
      <c r="J118" s="687">
        <v>114.4</v>
      </c>
    </row>
    <row r="119" spans="1:10" ht="14.5" x14ac:dyDescent="0.35">
      <c r="A119" s="904">
        <v>114</v>
      </c>
      <c r="B119" s="686">
        <v>40.5</v>
      </c>
      <c r="C119" s="904">
        <v>114</v>
      </c>
      <c r="D119" s="686">
        <v>40.5</v>
      </c>
      <c r="E119" s="904">
        <v>114</v>
      </c>
      <c r="F119" s="686">
        <v>40.5</v>
      </c>
      <c r="G119" s="904">
        <v>114</v>
      </c>
      <c r="H119" s="685">
        <v>5436</v>
      </c>
      <c r="I119" s="685">
        <v>2090</v>
      </c>
      <c r="J119" s="687">
        <v>114.3</v>
      </c>
    </row>
    <row r="120" spans="1:10" ht="14.5" x14ac:dyDescent="0.35">
      <c r="A120" s="904">
        <v>115</v>
      </c>
      <c r="B120" s="686">
        <v>17.25</v>
      </c>
      <c r="C120" s="904">
        <v>115</v>
      </c>
      <c r="D120" s="686">
        <v>17.25</v>
      </c>
      <c r="E120" s="904">
        <v>115</v>
      </c>
      <c r="F120" s="686">
        <v>17.25</v>
      </c>
      <c r="G120" s="904">
        <v>115</v>
      </c>
      <c r="H120" s="685">
        <v>5482</v>
      </c>
      <c r="I120" s="685">
        <v>2088</v>
      </c>
      <c r="J120" s="687">
        <v>114.3</v>
      </c>
    </row>
    <row r="121" spans="1:10" ht="14.5" x14ac:dyDescent="0.35">
      <c r="A121" s="904">
        <v>116</v>
      </c>
      <c r="B121" s="686">
        <v>21.89</v>
      </c>
      <c r="C121" s="904">
        <v>116</v>
      </c>
      <c r="D121" s="686">
        <v>21.89</v>
      </c>
      <c r="E121" s="904">
        <v>116</v>
      </c>
      <c r="F121" s="686">
        <v>21.89</v>
      </c>
      <c r="G121" s="904">
        <v>116</v>
      </c>
      <c r="H121" s="685">
        <v>5530</v>
      </c>
      <c r="I121" s="685">
        <v>2086</v>
      </c>
      <c r="J121" s="687">
        <v>114.5</v>
      </c>
    </row>
    <row r="122" spans="1:10" ht="14.5" x14ac:dyDescent="0.35">
      <c r="A122" s="904">
        <v>117</v>
      </c>
      <c r="B122" s="686">
        <v>9.17</v>
      </c>
      <c r="C122" s="904">
        <v>117</v>
      </c>
      <c r="D122" s="686">
        <v>9.17</v>
      </c>
      <c r="E122" s="904">
        <v>117</v>
      </c>
      <c r="F122" s="686">
        <v>9.17</v>
      </c>
      <c r="G122" s="904">
        <v>117</v>
      </c>
      <c r="H122" s="685">
        <v>5516</v>
      </c>
      <c r="I122" s="685">
        <v>2094</v>
      </c>
      <c r="J122" s="687">
        <v>114.5</v>
      </c>
    </row>
    <row r="123" spans="1:10" ht="14.5" x14ac:dyDescent="0.35">
      <c r="A123" s="904">
        <v>118</v>
      </c>
      <c r="B123" s="686">
        <v>7.32</v>
      </c>
      <c r="C123" s="904">
        <v>118</v>
      </c>
      <c r="D123" s="686">
        <v>7.32</v>
      </c>
      <c r="E123" s="904">
        <v>118</v>
      </c>
      <c r="F123" s="686">
        <v>7.32</v>
      </c>
      <c r="G123" s="904">
        <v>118</v>
      </c>
      <c r="H123" s="685">
        <v>5486</v>
      </c>
      <c r="I123" s="685">
        <v>2091</v>
      </c>
      <c r="J123" s="687">
        <v>114.5</v>
      </c>
    </row>
    <row r="124" spans="1:10" ht="14.5" x14ac:dyDescent="0.35">
      <c r="A124" s="904">
        <v>119</v>
      </c>
      <c r="B124" s="686">
        <v>8.3000000000000007</v>
      </c>
      <c r="C124" s="904">
        <v>119</v>
      </c>
      <c r="D124" s="686">
        <v>8.3000000000000007</v>
      </c>
      <c r="E124" s="904">
        <v>119</v>
      </c>
      <c r="F124" s="686">
        <v>8.3000000000000007</v>
      </c>
      <c r="G124" s="904">
        <v>119</v>
      </c>
      <c r="H124" s="685">
        <v>5586</v>
      </c>
      <c r="I124" s="685">
        <v>2092</v>
      </c>
      <c r="J124" s="687">
        <v>114.4</v>
      </c>
    </row>
    <row r="125" spans="1:10" ht="14.5" x14ac:dyDescent="0.35">
      <c r="A125" s="904">
        <v>120</v>
      </c>
      <c r="B125" s="686">
        <v>8.23</v>
      </c>
      <c r="C125" s="904">
        <v>120</v>
      </c>
      <c r="D125" s="686">
        <v>8.23</v>
      </c>
      <c r="E125" s="904">
        <v>120</v>
      </c>
      <c r="F125" s="686">
        <v>8.23</v>
      </c>
      <c r="G125" s="904">
        <v>120</v>
      </c>
      <c r="H125" s="685">
        <v>5522</v>
      </c>
      <c r="I125" s="685">
        <v>2090</v>
      </c>
      <c r="J125" s="687">
        <v>114.4</v>
      </c>
    </row>
    <row r="126" spans="1:10" ht="14.5" x14ac:dyDescent="0.35">
      <c r="A126" s="904">
        <v>121</v>
      </c>
      <c r="B126" s="686">
        <v>6.36</v>
      </c>
      <c r="C126" s="904">
        <v>121</v>
      </c>
      <c r="D126" s="686">
        <v>6.36</v>
      </c>
      <c r="E126" s="904">
        <v>121</v>
      </c>
      <c r="F126" s="686">
        <v>6.36</v>
      </c>
      <c r="G126" s="904">
        <v>121</v>
      </c>
      <c r="H126" s="685">
        <v>5484</v>
      </c>
      <c r="I126" s="685">
        <v>2082</v>
      </c>
      <c r="J126" s="687">
        <v>114</v>
      </c>
    </row>
    <row r="127" spans="1:10" ht="14.5" x14ac:dyDescent="0.35">
      <c r="A127" s="904">
        <v>122</v>
      </c>
      <c r="B127" s="686">
        <v>8.85</v>
      </c>
      <c r="C127" s="904">
        <v>122</v>
      </c>
      <c r="D127" s="686">
        <v>36.65</v>
      </c>
      <c r="E127" s="904">
        <v>122</v>
      </c>
      <c r="F127" s="686">
        <v>8.85</v>
      </c>
      <c r="G127" s="904">
        <v>122</v>
      </c>
      <c r="H127" s="685">
        <v>5430</v>
      </c>
      <c r="I127" s="685">
        <v>2091</v>
      </c>
      <c r="J127" s="687">
        <v>114.5</v>
      </c>
    </row>
    <row r="128" spans="1:10" ht="14.5" x14ac:dyDescent="0.35">
      <c r="A128" s="904">
        <v>123</v>
      </c>
      <c r="B128" s="686">
        <v>7.62</v>
      </c>
      <c r="C128" s="904">
        <v>123</v>
      </c>
      <c r="D128" s="686">
        <v>7.62</v>
      </c>
      <c r="E128" s="904">
        <v>123</v>
      </c>
      <c r="F128" s="686">
        <v>7.62</v>
      </c>
      <c r="G128" s="904">
        <v>123</v>
      </c>
      <c r="H128" s="685">
        <v>5530</v>
      </c>
      <c r="I128" s="685">
        <v>2092</v>
      </c>
      <c r="J128" s="687">
        <v>114.4</v>
      </c>
    </row>
    <row r="129" spans="1:10" ht="14.5" x14ac:dyDescent="0.35">
      <c r="A129" s="904">
        <v>124</v>
      </c>
      <c r="B129" s="686">
        <v>7.26</v>
      </c>
      <c r="C129" s="904">
        <v>124</v>
      </c>
      <c r="D129" s="686">
        <v>7.26</v>
      </c>
      <c r="E129" s="904">
        <v>124</v>
      </c>
      <c r="F129" s="686">
        <v>7.26</v>
      </c>
      <c r="G129" s="904">
        <v>124</v>
      </c>
      <c r="H129" s="685">
        <v>5554</v>
      </c>
      <c r="I129" s="685">
        <v>2091</v>
      </c>
      <c r="J129" s="687">
        <v>114.5</v>
      </c>
    </row>
    <row r="130" spans="1:10" ht="14.5" x14ac:dyDescent="0.35">
      <c r="A130" s="904">
        <v>125</v>
      </c>
      <c r="B130" s="686">
        <v>6.29</v>
      </c>
      <c r="C130" s="904">
        <v>125</v>
      </c>
      <c r="D130" s="686">
        <v>6.29</v>
      </c>
      <c r="E130" s="904">
        <v>125</v>
      </c>
      <c r="F130" s="686">
        <v>6.29</v>
      </c>
      <c r="G130" s="904">
        <v>125</v>
      </c>
      <c r="H130" s="685">
        <v>5452</v>
      </c>
      <c r="I130" s="685">
        <v>2088</v>
      </c>
      <c r="J130" s="687">
        <v>114.3</v>
      </c>
    </row>
    <row r="131" spans="1:10" ht="14.5" x14ac:dyDescent="0.35">
      <c r="A131" s="904">
        <v>126</v>
      </c>
      <c r="B131" s="686">
        <v>7.17</v>
      </c>
      <c r="C131" s="904">
        <v>126</v>
      </c>
      <c r="D131" s="686">
        <v>7.17</v>
      </c>
      <c r="E131" s="904">
        <v>126</v>
      </c>
      <c r="F131" s="686">
        <v>7.17</v>
      </c>
      <c r="G131" s="904">
        <v>126</v>
      </c>
      <c r="H131" s="685">
        <v>5496</v>
      </c>
      <c r="I131" s="685">
        <v>2090</v>
      </c>
      <c r="J131" s="687">
        <v>114.4</v>
      </c>
    </row>
    <row r="132" spans="1:10" ht="14.5" x14ac:dyDescent="0.35">
      <c r="A132" s="904">
        <v>127</v>
      </c>
      <c r="B132" s="686">
        <v>7.92</v>
      </c>
      <c r="C132" s="904">
        <v>127</v>
      </c>
      <c r="D132" s="686">
        <v>7.92</v>
      </c>
      <c r="E132" s="904">
        <v>127</v>
      </c>
      <c r="F132" s="686">
        <v>7.92</v>
      </c>
      <c r="G132" s="904">
        <v>127</v>
      </c>
      <c r="H132" s="685">
        <v>5428</v>
      </c>
      <c r="I132" s="685">
        <v>2091</v>
      </c>
      <c r="J132" s="687">
        <v>114.5</v>
      </c>
    </row>
    <row r="133" spans="1:10" ht="14.5" x14ac:dyDescent="0.35">
      <c r="A133" s="904">
        <v>128</v>
      </c>
      <c r="B133" s="686">
        <v>8.5500000000000007</v>
      </c>
      <c r="C133" s="904">
        <v>128</v>
      </c>
      <c r="D133" s="686">
        <v>8.5500000000000007</v>
      </c>
      <c r="E133" s="904">
        <v>128</v>
      </c>
      <c r="F133" s="686">
        <v>8.5500000000000007</v>
      </c>
      <c r="G133" s="904">
        <v>128</v>
      </c>
      <c r="H133" s="685">
        <v>5442</v>
      </c>
      <c r="I133" s="685">
        <v>2091</v>
      </c>
      <c r="J133" s="687">
        <v>114.5</v>
      </c>
    </row>
    <row r="134" spans="1:10" ht="14.5" x14ac:dyDescent="0.35">
      <c r="A134" s="904">
        <v>129</v>
      </c>
      <c r="B134" s="686">
        <v>6.29</v>
      </c>
      <c r="C134" s="904">
        <v>129</v>
      </c>
      <c r="D134" s="686">
        <v>6.29</v>
      </c>
      <c r="E134" s="904">
        <v>129</v>
      </c>
      <c r="F134" s="686">
        <v>6.29</v>
      </c>
      <c r="G134" s="904">
        <v>129</v>
      </c>
      <c r="H134" s="685">
        <v>5428</v>
      </c>
      <c r="I134" s="685">
        <v>2086</v>
      </c>
      <c r="J134" s="687">
        <v>114.5</v>
      </c>
    </row>
    <row r="135" spans="1:10" ht="14.5" x14ac:dyDescent="0.35">
      <c r="A135" s="904">
        <v>130</v>
      </c>
      <c r="B135" s="686">
        <v>7.21</v>
      </c>
      <c r="C135" s="904">
        <v>130</v>
      </c>
      <c r="D135" s="686">
        <v>7.21</v>
      </c>
      <c r="E135" s="904">
        <v>130</v>
      </c>
      <c r="F135" s="686">
        <v>7.21</v>
      </c>
      <c r="G135" s="904">
        <v>130</v>
      </c>
      <c r="H135" s="685">
        <v>5252</v>
      </c>
      <c r="I135" s="685">
        <v>2080</v>
      </c>
      <c r="J135" s="687">
        <v>115</v>
      </c>
    </row>
    <row r="136" spans="1:10" ht="14.5" x14ac:dyDescent="0.35">
      <c r="A136" s="904">
        <v>131</v>
      </c>
      <c r="B136" s="686">
        <v>6.12</v>
      </c>
      <c r="C136" s="904">
        <v>131</v>
      </c>
      <c r="D136" s="686">
        <v>6.12</v>
      </c>
      <c r="E136" s="904">
        <v>131</v>
      </c>
      <c r="F136" s="686">
        <v>6.12</v>
      </c>
      <c r="G136" s="904">
        <v>131</v>
      </c>
      <c r="H136" s="685">
        <v>4925</v>
      </c>
      <c r="I136" s="685">
        <v>2077</v>
      </c>
      <c r="J136" s="687">
        <v>114.96</v>
      </c>
    </row>
    <row r="137" spans="1:10" ht="14.5" x14ac:dyDescent="0.35">
      <c r="A137" s="904">
        <v>132</v>
      </c>
      <c r="B137" s="686">
        <v>6.45</v>
      </c>
      <c r="C137" s="904">
        <v>132</v>
      </c>
      <c r="D137" s="686">
        <v>6.45</v>
      </c>
      <c r="E137" s="904">
        <v>132</v>
      </c>
      <c r="F137" s="686">
        <v>6.45</v>
      </c>
      <c r="G137" s="904">
        <v>132</v>
      </c>
      <c r="H137" s="685">
        <v>4580</v>
      </c>
      <c r="I137" s="685">
        <v>2110</v>
      </c>
      <c r="J137" s="687">
        <v>114.76</v>
      </c>
    </row>
    <row r="138" spans="1:10" ht="14.5" x14ac:dyDescent="0.35">
      <c r="A138" s="904">
        <v>133</v>
      </c>
      <c r="B138" s="686">
        <v>7.87</v>
      </c>
      <c r="C138" s="904">
        <v>133</v>
      </c>
      <c r="D138" s="686">
        <v>7.87</v>
      </c>
      <c r="E138" s="904">
        <v>133</v>
      </c>
      <c r="F138" s="686">
        <v>7.87</v>
      </c>
      <c r="G138" s="904">
        <v>133</v>
      </c>
      <c r="H138" s="685">
        <v>4176</v>
      </c>
      <c r="I138" s="685">
        <v>2075</v>
      </c>
      <c r="J138" s="687">
        <v>114.63</v>
      </c>
    </row>
    <row r="139" spans="1:10" ht="14.5" x14ac:dyDescent="0.35">
      <c r="A139" s="904">
        <v>134</v>
      </c>
      <c r="B139" s="686">
        <v>7.7</v>
      </c>
      <c r="C139" s="904">
        <v>134</v>
      </c>
      <c r="D139" s="686">
        <v>7.7</v>
      </c>
      <c r="E139" s="904">
        <v>134</v>
      </c>
      <c r="F139" s="686">
        <v>7.7</v>
      </c>
      <c r="G139" s="904">
        <v>134</v>
      </c>
      <c r="H139" s="685">
        <v>4194</v>
      </c>
      <c r="I139" s="685">
        <v>2078</v>
      </c>
      <c r="J139" s="687">
        <v>114.7</v>
      </c>
    </row>
    <row r="140" spans="1:10" ht="14.5" x14ac:dyDescent="0.35">
      <c r="A140" s="904">
        <v>135</v>
      </c>
      <c r="B140" s="686">
        <v>5.51</v>
      </c>
      <c r="C140" s="904">
        <v>135</v>
      </c>
      <c r="D140" s="686">
        <v>5.51</v>
      </c>
      <c r="E140" s="904">
        <v>135</v>
      </c>
      <c r="F140" s="686">
        <v>5.51</v>
      </c>
      <c r="G140" s="904">
        <v>135</v>
      </c>
      <c r="H140" s="685">
        <v>4932</v>
      </c>
      <c r="I140" s="685">
        <v>2081</v>
      </c>
      <c r="J140" s="687">
        <v>114</v>
      </c>
    </row>
    <row r="141" spans="1:10" ht="14.5" x14ac:dyDescent="0.35">
      <c r="A141" s="904">
        <v>136</v>
      </c>
      <c r="B141" s="686">
        <v>6.07</v>
      </c>
      <c r="C141" s="904">
        <v>136</v>
      </c>
      <c r="D141" s="686">
        <v>6.07</v>
      </c>
      <c r="E141" s="904">
        <v>136</v>
      </c>
      <c r="F141" s="686">
        <v>6.07</v>
      </c>
      <c r="G141" s="904">
        <v>136</v>
      </c>
      <c r="H141" s="685">
        <v>4898</v>
      </c>
      <c r="I141" s="685">
        <v>2095</v>
      </c>
      <c r="J141" s="687">
        <v>114.82</v>
      </c>
    </row>
    <row r="142" spans="1:10" ht="14.5" x14ac:dyDescent="0.35">
      <c r="A142" s="904">
        <v>137</v>
      </c>
      <c r="B142" s="686">
        <v>7.7</v>
      </c>
      <c r="C142" s="904">
        <v>137</v>
      </c>
      <c r="D142" s="686">
        <v>7.7</v>
      </c>
      <c r="E142" s="904">
        <v>137</v>
      </c>
      <c r="F142" s="686">
        <v>7.7</v>
      </c>
      <c r="G142" s="904">
        <v>137</v>
      </c>
      <c r="H142" s="685">
        <v>4918</v>
      </c>
      <c r="I142" s="685">
        <v>2095</v>
      </c>
      <c r="J142" s="687">
        <v>114.79</v>
      </c>
    </row>
    <row r="143" spans="1:10" ht="14.5" x14ac:dyDescent="0.35">
      <c r="A143" s="904">
        <v>138</v>
      </c>
      <c r="B143" s="686">
        <v>6.46</v>
      </c>
      <c r="C143" s="904">
        <v>138</v>
      </c>
      <c r="D143" s="686">
        <v>6.46</v>
      </c>
      <c r="E143" s="904">
        <v>138</v>
      </c>
      <c r="F143" s="686">
        <v>6.46</v>
      </c>
      <c r="G143" s="904">
        <v>138</v>
      </c>
      <c r="H143" s="685">
        <v>4924</v>
      </c>
      <c r="I143" s="685">
        <v>2079</v>
      </c>
      <c r="J143" s="687">
        <v>115</v>
      </c>
    </row>
    <row r="144" spans="1:10" ht="14.5" x14ac:dyDescent="0.35">
      <c r="A144" s="904">
        <v>139</v>
      </c>
      <c r="B144" s="686">
        <v>8.0299999999999994</v>
      </c>
      <c r="C144" s="904">
        <v>139</v>
      </c>
      <c r="D144" s="686">
        <v>8.0299999999999994</v>
      </c>
      <c r="E144" s="904">
        <v>139</v>
      </c>
      <c r="F144" s="686">
        <v>8.0299999999999994</v>
      </c>
      <c r="G144" s="904">
        <v>139</v>
      </c>
      <c r="H144" s="685">
        <v>4932</v>
      </c>
      <c r="I144" s="685">
        <v>2097</v>
      </c>
      <c r="J144" s="687">
        <v>114</v>
      </c>
    </row>
    <row r="145" spans="1:10" ht="14.5" x14ac:dyDescent="0.35">
      <c r="A145" s="904">
        <v>140</v>
      </c>
      <c r="B145" s="686">
        <v>8.66</v>
      </c>
      <c r="C145" s="904">
        <v>140</v>
      </c>
      <c r="D145" s="686">
        <v>8.66</v>
      </c>
      <c r="E145" s="904">
        <v>140</v>
      </c>
      <c r="F145" s="686">
        <v>8.66</v>
      </c>
      <c r="G145" s="904">
        <v>140</v>
      </c>
      <c r="H145" s="685">
        <v>4910</v>
      </c>
      <c r="I145" s="685">
        <v>2087</v>
      </c>
      <c r="J145" s="687">
        <v>114.74</v>
      </c>
    </row>
    <row r="146" spans="1:10" ht="14.5" x14ac:dyDescent="0.35">
      <c r="A146" s="904">
        <v>141</v>
      </c>
      <c r="B146" s="686">
        <v>8.48</v>
      </c>
      <c r="C146" s="904">
        <v>141</v>
      </c>
      <c r="D146" s="686">
        <v>8.48</v>
      </c>
      <c r="E146" s="904">
        <v>141</v>
      </c>
      <c r="F146" s="686">
        <v>8.48</v>
      </c>
      <c r="G146" s="904">
        <v>141</v>
      </c>
      <c r="H146" s="685">
        <v>4954</v>
      </c>
      <c r="I146" s="685">
        <v>2088</v>
      </c>
      <c r="J146" s="687">
        <v>113.8</v>
      </c>
    </row>
    <row r="147" spans="1:10" ht="14.5" x14ac:dyDescent="0.35">
      <c r="A147" s="904">
        <v>142</v>
      </c>
      <c r="B147" s="686">
        <v>6.33</v>
      </c>
      <c r="C147" s="904">
        <v>142</v>
      </c>
      <c r="D147" s="686">
        <v>6.33</v>
      </c>
      <c r="E147" s="904">
        <v>142</v>
      </c>
      <c r="F147" s="686">
        <v>6.33</v>
      </c>
      <c r="G147" s="904">
        <v>142</v>
      </c>
      <c r="H147" s="685">
        <v>4904</v>
      </c>
      <c r="I147" s="685">
        <v>2101</v>
      </c>
      <c r="J147" s="687">
        <v>114.41</v>
      </c>
    </row>
    <row r="148" spans="1:10" ht="14.5" x14ac:dyDescent="0.35">
      <c r="A148" s="904">
        <v>143</v>
      </c>
      <c r="B148" s="686">
        <v>8.42</v>
      </c>
      <c r="C148" s="904">
        <v>143</v>
      </c>
      <c r="D148" s="686">
        <v>8.42</v>
      </c>
      <c r="E148" s="904">
        <v>143</v>
      </c>
      <c r="F148" s="686">
        <v>8.42</v>
      </c>
      <c r="G148" s="904">
        <v>143</v>
      </c>
      <c r="H148" s="685">
        <v>4924</v>
      </c>
      <c r="I148" s="685">
        <v>2075</v>
      </c>
      <c r="J148" s="687">
        <v>114.79</v>
      </c>
    </row>
    <row r="149" spans="1:10" ht="14.5" x14ac:dyDescent="0.35">
      <c r="A149" s="904">
        <v>144</v>
      </c>
      <c r="B149" s="686">
        <v>8.01</v>
      </c>
      <c r="C149" s="904">
        <v>144</v>
      </c>
      <c r="D149" s="686">
        <v>8.01</v>
      </c>
      <c r="E149" s="904">
        <v>144</v>
      </c>
      <c r="F149" s="686">
        <v>8.01</v>
      </c>
      <c r="G149" s="904">
        <v>144</v>
      </c>
      <c r="H149" s="685">
        <v>5274</v>
      </c>
      <c r="I149" s="685">
        <v>2084</v>
      </c>
      <c r="J149" s="687">
        <v>113.6</v>
      </c>
    </row>
    <row r="150" spans="1:10" ht="14.5" x14ac:dyDescent="0.35">
      <c r="A150" s="904">
        <v>145</v>
      </c>
      <c r="B150" s="686">
        <v>6.54</v>
      </c>
      <c r="C150" s="904">
        <v>145</v>
      </c>
      <c r="D150" s="686">
        <v>6.54</v>
      </c>
      <c r="E150" s="904">
        <v>145</v>
      </c>
      <c r="F150" s="686">
        <v>6.54</v>
      </c>
      <c r="G150" s="904">
        <v>145</v>
      </c>
      <c r="H150" s="685">
        <v>5230</v>
      </c>
      <c r="I150" s="685">
        <v>2065</v>
      </c>
      <c r="J150" s="687">
        <v>114.82</v>
      </c>
    </row>
    <row r="151" spans="1:10" ht="14.5" x14ac:dyDescent="0.35">
      <c r="A151" s="904">
        <v>146</v>
      </c>
      <c r="B151" s="686">
        <v>8.19</v>
      </c>
      <c r="C151" s="904">
        <v>146</v>
      </c>
      <c r="D151" s="686">
        <v>8.19</v>
      </c>
      <c r="E151" s="904">
        <v>146</v>
      </c>
      <c r="F151" s="686">
        <v>8.19</v>
      </c>
      <c r="G151" s="904">
        <v>146</v>
      </c>
      <c r="H151" s="685">
        <v>5180</v>
      </c>
      <c r="I151" s="685">
        <v>2081</v>
      </c>
      <c r="J151" s="687">
        <v>114.4</v>
      </c>
    </row>
    <row r="152" spans="1:10" ht="14.5" x14ac:dyDescent="0.35">
      <c r="A152" s="904">
        <v>147</v>
      </c>
      <c r="B152" s="686">
        <v>16.84</v>
      </c>
      <c r="C152" s="904">
        <v>147</v>
      </c>
      <c r="D152" s="686">
        <v>16.84</v>
      </c>
      <c r="E152" s="904">
        <v>147</v>
      </c>
      <c r="F152" s="686">
        <v>16.84</v>
      </c>
      <c r="G152" s="904">
        <v>147</v>
      </c>
      <c r="H152" s="685">
        <v>5262</v>
      </c>
      <c r="I152" s="685">
        <v>2077</v>
      </c>
      <c r="J152" s="687">
        <v>114.31</v>
      </c>
    </row>
    <row r="153" spans="1:10" x14ac:dyDescent="0.3">
      <c r="A153" s="904">
        <v>148</v>
      </c>
      <c r="B153" s="687">
        <v>17.010000000000002</v>
      </c>
      <c r="C153" s="904">
        <v>148</v>
      </c>
      <c r="D153" s="687">
        <v>17.010000000000002</v>
      </c>
      <c r="E153" s="904">
        <v>148</v>
      </c>
      <c r="F153" s="687">
        <v>17.010000000000002</v>
      </c>
      <c r="G153" s="904">
        <v>148</v>
      </c>
      <c r="H153" s="685">
        <v>4580</v>
      </c>
      <c r="I153" s="685">
        <v>2110</v>
      </c>
      <c r="J153" s="687">
        <v>112.6</v>
      </c>
    </row>
    <row r="154" spans="1:10" x14ac:dyDescent="0.3">
      <c r="A154" s="904">
        <v>149</v>
      </c>
      <c r="B154" s="687">
        <v>17.010000000000002</v>
      </c>
      <c r="C154" s="904">
        <v>149</v>
      </c>
      <c r="D154" s="687">
        <v>17.010000000000002</v>
      </c>
      <c r="E154" s="904">
        <v>149</v>
      </c>
      <c r="F154" s="687">
        <v>17.010000000000002</v>
      </c>
      <c r="G154" s="904">
        <v>149</v>
      </c>
      <c r="H154" s="685">
        <v>4176</v>
      </c>
      <c r="I154" s="685">
        <v>2075</v>
      </c>
      <c r="J154" s="687">
        <v>114.4</v>
      </c>
    </row>
    <row r="155" spans="1:10" x14ac:dyDescent="0.3">
      <c r="A155" s="904">
        <v>150</v>
      </c>
      <c r="B155" s="687">
        <v>15.47</v>
      </c>
      <c r="C155" s="904">
        <v>150</v>
      </c>
      <c r="D155" s="687">
        <v>15.47</v>
      </c>
      <c r="E155" s="904">
        <v>150</v>
      </c>
      <c r="F155" s="687">
        <v>15.47</v>
      </c>
      <c r="G155" s="904">
        <v>150</v>
      </c>
      <c r="H155" s="685">
        <v>4194</v>
      </c>
      <c r="I155" s="685">
        <v>2078</v>
      </c>
      <c r="J155" s="687">
        <v>114.3</v>
      </c>
    </row>
    <row r="156" spans="1:10" x14ac:dyDescent="0.3">
      <c r="A156" s="904">
        <v>151</v>
      </c>
      <c r="B156" s="687">
        <v>14.43</v>
      </c>
      <c r="C156" s="904">
        <v>151</v>
      </c>
      <c r="D156" s="687">
        <v>14.43</v>
      </c>
      <c r="E156" s="904">
        <v>151</v>
      </c>
      <c r="F156" s="687">
        <v>14.43</v>
      </c>
      <c r="G156" s="904">
        <v>151</v>
      </c>
      <c r="H156" s="685">
        <v>4932</v>
      </c>
      <c r="I156" s="685">
        <v>2081</v>
      </c>
      <c r="J156" s="687">
        <v>114.3</v>
      </c>
    </row>
    <row r="157" spans="1:10" x14ac:dyDescent="0.3">
      <c r="A157" s="904">
        <v>152</v>
      </c>
      <c r="B157" s="687">
        <v>16.53</v>
      </c>
      <c r="C157" s="904">
        <v>152</v>
      </c>
      <c r="D157" s="687">
        <v>16.53</v>
      </c>
      <c r="E157" s="904">
        <v>152</v>
      </c>
      <c r="F157" s="687">
        <v>16.53</v>
      </c>
      <c r="G157" s="904">
        <v>152</v>
      </c>
      <c r="H157" s="685">
        <v>5196</v>
      </c>
      <c r="I157" s="685">
        <v>2066</v>
      </c>
      <c r="J157" s="687">
        <v>114.1</v>
      </c>
    </row>
    <row r="158" spans="1:10" x14ac:dyDescent="0.3">
      <c r="A158" s="904">
        <v>153</v>
      </c>
      <c r="B158" s="687">
        <v>23.61</v>
      </c>
      <c r="C158" s="904">
        <v>153</v>
      </c>
      <c r="D158" s="687">
        <v>23.61</v>
      </c>
      <c r="E158" s="904">
        <v>153</v>
      </c>
      <c r="F158" s="687">
        <v>23.61</v>
      </c>
      <c r="G158" s="904">
        <v>153</v>
      </c>
      <c r="H158" s="685">
        <v>4792</v>
      </c>
      <c r="I158" s="685">
        <v>2064</v>
      </c>
      <c r="J158" s="687">
        <v>114.2</v>
      </c>
    </row>
    <row r="159" spans="1:10" x14ac:dyDescent="0.3">
      <c r="A159" s="904">
        <v>154</v>
      </c>
      <c r="B159" s="687">
        <v>16.29</v>
      </c>
      <c r="C159" s="904">
        <v>154</v>
      </c>
      <c r="D159" s="687">
        <v>16.29</v>
      </c>
      <c r="E159" s="904">
        <v>154</v>
      </c>
      <c r="F159" s="687">
        <v>16.29</v>
      </c>
      <c r="G159" s="904">
        <v>154</v>
      </c>
      <c r="H159" s="685">
        <v>4908</v>
      </c>
      <c r="I159" s="685">
        <v>2077</v>
      </c>
      <c r="J159" s="687">
        <v>113.9</v>
      </c>
    </row>
    <row r="160" spans="1:10" ht="14.5" x14ac:dyDescent="0.35">
      <c r="A160" s="904">
        <v>155</v>
      </c>
      <c r="B160" s="687">
        <v>15.92</v>
      </c>
      <c r="C160" s="904">
        <v>155</v>
      </c>
      <c r="D160" s="687">
        <v>15.92</v>
      </c>
      <c r="E160" s="904">
        <v>155</v>
      </c>
      <c r="F160" s="687">
        <v>15.92</v>
      </c>
      <c r="G160" s="904"/>
      <c r="H160" s="685"/>
      <c r="I160" s="685"/>
      <c r="J160" s="693"/>
    </row>
    <row r="161" spans="1:10" ht="14.5" x14ac:dyDescent="0.35">
      <c r="A161" s="904">
        <v>156</v>
      </c>
      <c r="B161" s="687">
        <v>15.42</v>
      </c>
      <c r="C161" s="904">
        <v>156</v>
      </c>
      <c r="D161" s="687">
        <v>15.42</v>
      </c>
      <c r="E161" s="904">
        <v>156</v>
      </c>
      <c r="F161" s="687">
        <v>15.42</v>
      </c>
      <c r="G161" s="904"/>
      <c r="H161" s="685"/>
      <c r="I161" s="685"/>
      <c r="J161" s="693"/>
    </row>
    <row r="162" spans="1:10" ht="14.5" x14ac:dyDescent="0.35">
      <c r="A162" s="904">
        <v>157</v>
      </c>
      <c r="B162" s="687">
        <v>16.170000000000002</v>
      </c>
      <c r="C162" s="904">
        <v>157</v>
      </c>
      <c r="D162" s="687">
        <v>16.170000000000002</v>
      </c>
      <c r="E162" s="904">
        <v>157</v>
      </c>
      <c r="F162" s="687">
        <v>16.170000000000002</v>
      </c>
      <c r="G162" s="904"/>
      <c r="H162" s="685"/>
      <c r="I162" s="685"/>
      <c r="J162" s="693"/>
    </row>
    <row r="163" spans="1:10" ht="14.5" x14ac:dyDescent="0.35">
      <c r="A163" s="904">
        <v>158</v>
      </c>
      <c r="B163" s="687">
        <v>16.28</v>
      </c>
      <c r="C163" s="904">
        <v>158</v>
      </c>
      <c r="D163" s="687">
        <v>16.28</v>
      </c>
      <c r="E163" s="904">
        <v>158</v>
      </c>
      <c r="F163" s="687">
        <v>16.28</v>
      </c>
      <c r="G163" s="904"/>
      <c r="H163" s="685"/>
      <c r="I163" s="685"/>
      <c r="J163" s="693"/>
    </row>
    <row r="164" spans="1:10" ht="14.5" x14ac:dyDescent="0.35">
      <c r="A164" s="904">
        <v>159</v>
      </c>
      <c r="B164" s="687">
        <v>16.07</v>
      </c>
      <c r="C164" s="904">
        <v>159</v>
      </c>
      <c r="D164" s="687">
        <v>16.07</v>
      </c>
      <c r="E164" s="904">
        <v>159</v>
      </c>
      <c r="F164" s="687">
        <v>16.07</v>
      </c>
      <c r="G164" s="904"/>
      <c r="H164" s="685"/>
      <c r="I164" s="685"/>
      <c r="J164" s="693"/>
    </row>
    <row r="165" spans="1:10" ht="14.5" x14ac:dyDescent="0.35">
      <c r="A165" s="904">
        <v>160</v>
      </c>
      <c r="B165" s="687">
        <v>16.29</v>
      </c>
      <c r="C165" s="904">
        <v>160</v>
      </c>
      <c r="D165" s="687">
        <v>16.29</v>
      </c>
      <c r="E165" s="904">
        <v>160</v>
      </c>
      <c r="F165" s="687">
        <v>16.29</v>
      </c>
      <c r="G165" s="904"/>
      <c r="H165" s="685"/>
      <c r="I165" s="685"/>
      <c r="J165" s="693"/>
    </row>
    <row r="166" spans="1:10" ht="14.5" x14ac:dyDescent="0.35">
      <c r="A166" s="904">
        <v>161</v>
      </c>
      <c r="B166" s="687">
        <v>16.97</v>
      </c>
      <c r="C166" s="904">
        <v>161</v>
      </c>
      <c r="D166" s="687">
        <v>16.97</v>
      </c>
      <c r="E166" s="904">
        <v>161</v>
      </c>
      <c r="F166" s="687">
        <v>16.97</v>
      </c>
      <c r="G166" s="904"/>
      <c r="H166" s="685"/>
      <c r="I166" s="685"/>
      <c r="J166" s="693"/>
    </row>
    <row r="167" spans="1:10" ht="14.5" x14ac:dyDescent="0.35">
      <c r="A167" s="904">
        <v>162</v>
      </c>
      <c r="B167" s="687">
        <v>13.62</v>
      </c>
      <c r="C167" s="904">
        <v>162</v>
      </c>
      <c r="D167" s="687">
        <v>13.62</v>
      </c>
      <c r="E167" s="904">
        <v>162</v>
      </c>
      <c r="F167" s="687">
        <v>13.62</v>
      </c>
      <c r="G167" s="904"/>
      <c r="H167" s="685"/>
      <c r="I167" s="685"/>
      <c r="J167" s="694"/>
    </row>
    <row r="168" spans="1:10" ht="14.5" x14ac:dyDescent="0.35">
      <c r="A168" s="904">
        <v>163</v>
      </c>
      <c r="B168" s="687">
        <v>13.72</v>
      </c>
      <c r="C168" s="904">
        <v>163</v>
      </c>
      <c r="D168" s="687">
        <v>13.72</v>
      </c>
      <c r="E168" s="904">
        <v>163</v>
      </c>
      <c r="F168" s="687">
        <v>13.72</v>
      </c>
      <c r="G168" s="904"/>
      <c r="H168" s="685"/>
      <c r="I168" s="685"/>
      <c r="J168" s="694"/>
    </row>
    <row r="169" spans="1:10" ht="14.5" x14ac:dyDescent="0.35">
      <c r="A169" s="904">
        <v>164</v>
      </c>
      <c r="B169" s="687">
        <v>15.49</v>
      </c>
      <c r="C169" s="904">
        <v>164</v>
      </c>
      <c r="D169" s="687">
        <v>15.49</v>
      </c>
      <c r="E169" s="904">
        <v>164</v>
      </c>
      <c r="F169" s="687">
        <v>15.49</v>
      </c>
      <c r="G169" s="904"/>
      <c r="H169" s="685"/>
      <c r="I169" s="685"/>
      <c r="J169" s="693"/>
    </row>
    <row r="170" spans="1:10" ht="14.5" x14ac:dyDescent="0.35">
      <c r="A170" s="904">
        <v>165</v>
      </c>
      <c r="B170" s="687">
        <v>17.440000000000001</v>
      </c>
      <c r="C170" s="904">
        <v>165</v>
      </c>
      <c r="D170" s="687">
        <v>17.440000000000001</v>
      </c>
      <c r="E170" s="904">
        <v>165</v>
      </c>
      <c r="F170" s="687">
        <v>17.440000000000001</v>
      </c>
      <c r="G170" s="904"/>
      <c r="H170" s="685"/>
      <c r="I170" s="685"/>
      <c r="J170" s="693"/>
    </row>
    <row r="171" spans="1:10" ht="14.5" x14ac:dyDescent="0.35">
      <c r="A171" s="904">
        <v>166</v>
      </c>
      <c r="B171" s="687">
        <v>16.72</v>
      </c>
      <c r="C171" s="904">
        <v>166</v>
      </c>
      <c r="D171" s="687">
        <v>16.72</v>
      </c>
      <c r="E171" s="904">
        <v>166</v>
      </c>
      <c r="F171" s="687">
        <v>16.72</v>
      </c>
      <c r="G171" s="904"/>
      <c r="H171" s="685"/>
      <c r="I171" s="685"/>
      <c r="J171" s="693"/>
    </row>
    <row r="172" spans="1:10" ht="14.5" x14ac:dyDescent="0.35">
      <c r="A172" s="904">
        <v>167</v>
      </c>
      <c r="B172" s="687">
        <v>15.71</v>
      </c>
      <c r="C172" s="904">
        <v>167</v>
      </c>
      <c r="D172" s="687">
        <v>15.71</v>
      </c>
      <c r="E172" s="904">
        <v>167</v>
      </c>
      <c r="F172" s="687">
        <v>15.71</v>
      </c>
      <c r="G172" s="904"/>
      <c r="H172" s="685"/>
      <c r="I172" s="685"/>
      <c r="J172" s="693"/>
    </row>
    <row r="173" spans="1:10" ht="14.5" x14ac:dyDescent="0.35">
      <c r="A173" s="904">
        <v>168</v>
      </c>
      <c r="B173" s="687">
        <v>14.98</v>
      </c>
      <c r="C173" s="904">
        <v>168</v>
      </c>
      <c r="D173" s="687">
        <v>14.98</v>
      </c>
      <c r="E173" s="904">
        <v>168</v>
      </c>
      <c r="F173" s="687">
        <v>14.98</v>
      </c>
      <c r="G173" s="904"/>
      <c r="H173" s="685"/>
      <c r="I173" s="685"/>
      <c r="J173" s="693"/>
    </row>
    <row r="174" spans="1:10" ht="14.5" x14ac:dyDescent="0.35">
      <c r="A174" s="904">
        <v>169</v>
      </c>
      <c r="B174" s="687">
        <v>21.01</v>
      </c>
      <c r="C174" s="904">
        <v>169</v>
      </c>
      <c r="D174" s="687">
        <v>21.01</v>
      </c>
      <c r="E174" s="904">
        <v>169</v>
      </c>
      <c r="F174" s="687">
        <v>21.01</v>
      </c>
      <c r="G174" s="904"/>
      <c r="H174" s="685"/>
      <c r="I174" s="685"/>
      <c r="J174" s="693"/>
    </row>
    <row r="175" spans="1:10" ht="14.5" x14ac:dyDescent="0.35">
      <c r="A175" s="904">
        <v>170</v>
      </c>
      <c r="B175" s="687">
        <v>17.399999999999999</v>
      </c>
      <c r="C175" s="904">
        <v>170</v>
      </c>
      <c r="D175" s="687">
        <v>17.399999999999999</v>
      </c>
      <c r="E175" s="904">
        <v>170</v>
      </c>
      <c r="F175" s="687">
        <v>17.399999999999999</v>
      </c>
      <c r="G175" s="904"/>
      <c r="H175" s="685"/>
      <c r="I175" s="685"/>
      <c r="J175" s="693"/>
    </row>
    <row r="176" spans="1:10" ht="14.5" x14ac:dyDescent="0.35">
      <c r="A176" s="904">
        <v>171</v>
      </c>
      <c r="B176" s="687">
        <v>20.89</v>
      </c>
      <c r="C176" s="904">
        <v>171</v>
      </c>
      <c r="D176" s="687">
        <v>20.89</v>
      </c>
      <c r="E176" s="904">
        <v>171</v>
      </c>
      <c r="F176" s="687">
        <v>20.89</v>
      </c>
      <c r="G176" s="904"/>
      <c r="H176" s="685"/>
      <c r="I176" s="685"/>
      <c r="J176" s="693"/>
    </row>
    <row r="177" spans="1:10" ht="14.5" x14ac:dyDescent="0.35">
      <c r="A177" s="904">
        <v>172</v>
      </c>
      <c r="B177" s="687">
        <v>13.7</v>
      </c>
      <c r="C177" s="904">
        <v>172</v>
      </c>
      <c r="D177" s="687">
        <v>13.7</v>
      </c>
      <c r="E177" s="904">
        <v>172</v>
      </c>
      <c r="F177" s="687">
        <v>13.7</v>
      </c>
      <c r="G177" s="904"/>
      <c r="H177" s="685"/>
      <c r="I177" s="685"/>
      <c r="J177" s="693"/>
    </row>
    <row r="178" spans="1:10" ht="14.5" x14ac:dyDescent="0.35">
      <c r="A178" s="904">
        <v>173</v>
      </c>
      <c r="B178" s="687">
        <v>15.93</v>
      </c>
      <c r="C178" s="904">
        <v>173</v>
      </c>
      <c r="D178" s="687">
        <v>15.93</v>
      </c>
      <c r="E178" s="904">
        <v>173</v>
      </c>
      <c r="F178" s="687">
        <v>15.93</v>
      </c>
      <c r="G178" s="904"/>
      <c r="H178" s="685"/>
      <c r="I178" s="685"/>
      <c r="J178" s="693"/>
    </row>
    <row r="179" spans="1:10" ht="14.5" x14ac:dyDescent="0.35">
      <c r="A179" s="904">
        <v>174</v>
      </c>
      <c r="B179" s="687">
        <v>18.78</v>
      </c>
      <c r="C179" s="904">
        <v>174</v>
      </c>
      <c r="D179" s="687">
        <v>18.78</v>
      </c>
      <c r="E179" s="904">
        <v>174</v>
      </c>
      <c r="F179" s="687">
        <v>18.78</v>
      </c>
      <c r="G179" s="904"/>
      <c r="H179" s="685"/>
      <c r="I179" s="685"/>
      <c r="J179" s="693"/>
    </row>
    <row r="180" spans="1:10" ht="14.5" x14ac:dyDescent="0.35">
      <c r="A180" s="904">
        <v>175</v>
      </c>
      <c r="B180" s="687">
        <v>16.170000000000002</v>
      </c>
      <c r="C180" s="904">
        <v>175</v>
      </c>
      <c r="D180" s="687">
        <v>16.170000000000002</v>
      </c>
      <c r="E180" s="904">
        <v>175</v>
      </c>
      <c r="F180" s="687">
        <v>16.170000000000002</v>
      </c>
      <c r="G180" s="904"/>
      <c r="H180" s="685"/>
      <c r="I180" s="685"/>
      <c r="J180" s="693"/>
    </row>
    <row r="181" spans="1:10" ht="14.5" x14ac:dyDescent="0.35">
      <c r="A181" s="904">
        <v>176</v>
      </c>
      <c r="B181" s="687">
        <v>19.850000000000001</v>
      </c>
      <c r="C181" s="904">
        <v>176</v>
      </c>
      <c r="D181" s="687">
        <v>19.850000000000001</v>
      </c>
      <c r="E181" s="904">
        <v>176</v>
      </c>
      <c r="F181" s="687">
        <v>19.850000000000001</v>
      </c>
      <c r="G181" s="904"/>
      <c r="H181" s="685"/>
      <c r="I181" s="685"/>
      <c r="J181" s="693"/>
    </row>
    <row r="182" spans="1:10" ht="14.5" x14ac:dyDescent="0.35">
      <c r="A182" s="904">
        <v>177</v>
      </c>
      <c r="B182" s="687">
        <v>20.47</v>
      </c>
      <c r="C182" s="904">
        <v>177</v>
      </c>
      <c r="D182" s="687">
        <v>20.47</v>
      </c>
      <c r="E182" s="904">
        <v>177</v>
      </c>
      <c r="F182" s="687">
        <v>20.47</v>
      </c>
      <c r="G182" s="904"/>
      <c r="H182" s="685"/>
      <c r="I182" s="685"/>
      <c r="J182" s="693"/>
    </row>
    <row r="183" spans="1:10" ht="14.5" x14ac:dyDescent="0.35">
      <c r="A183" s="904">
        <v>178</v>
      </c>
      <c r="B183" s="687">
        <v>14.9</v>
      </c>
      <c r="C183" s="904">
        <v>178</v>
      </c>
      <c r="D183" s="687">
        <v>14.9</v>
      </c>
      <c r="E183" s="904">
        <v>178</v>
      </c>
      <c r="F183" s="687">
        <v>14.9</v>
      </c>
      <c r="G183" s="904"/>
      <c r="H183" s="685"/>
      <c r="I183" s="685"/>
      <c r="J183" s="693"/>
    </row>
    <row r="184" spans="1:10" ht="14.5" x14ac:dyDescent="0.35">
      <c r="A184" s="904">
        <v>179</v>
      </c>
      <c r="B184" s="687">
        <v>13.61</v>
      </c>
      <c r="C184" s="904">
        <v>179</v>
      </c>
      <c r="D184" s="687">
        <v>13.61</v>
      </c>
      <c r="E184" s="904">
        <v>179</v>
      </c>
      <c r="F184" s="687">
        <v>13.61</v>
      </c>
      <c r="G184" s="904"/>
      <c r="H184" s="685"/>
      <c r="I184" s="685"/>
      <c r="J184" s="693"/>
    </row>
    <row r="185" spans="1:10" ht="14.5" x14ac:dyDescent="0.35">
      <c r="A185" s="904">
        <v>180</v>
      </c>
      <c r="B185" s="687">
        <v>16.27</v>
      </c>
      <c r="C185" s="904">
        <v>180</v>
      </c>
      <c r="D185" s="687">
        <v>16.27</v>
      </c>
      <c r="E185" s="904">
        <v>180</v>
      </c>
      <c r="F185" s="687">
        <v>16.27</v>
      </c>
      <c r="G185" s="904"/>
      <c r="H185" s="685"/>
      <c r="I185" s="685"/>
      <c r="J185" s="693"/>
    </row>
    <row r="186" spans="1:10" ht="14.5" x14ac:dyDescent="0.35">
      <c r="A186" s="904">
        <v>181</v>
      </c>
      <c r="B186" s="687">
        <v>16.350000000000001</v>
      </c>
      <c r="C186" s="904">
        <v>181</v>
      </c>
      <c r="D186" s="687">
        <v>16.350000000000001</v>
      </c>
      <c r="E186" s="904">
        <v>181</v>
      </c>
      <c r="F186" s="687">
        <v>16.350000000000001</v>
      </c>
      <c r="J186" s="693"/>
    </row>
    <row r="187" spans="1:10" ht="14.5" x14ac:dyDescent="0.35">
      <c r="A187" s="904">
        <v>182</v>
      </c>
      <c r="B187" s="687">
        <v>17.77</v>
      </c>
      <c r="C187" s="904">
        <v>182</v>
      </c>
      <c r="D187" s="687">
        <v>17.77</v>
      </c>
      <c r="E187" s="904">
        <v>182</v>
      </c>
      <c r="F187" s="687">
        <v>17.77</v>
      </c>
      <c r="J187" s="693"/>
    </row>
    <row r="188" spans="1:10" ht="14.5" x14ac:dyDescent="0.35">
      <c r="A188" s="904">
        <v>183</v>
      </c>
      <c r="B188" s="687">
        <v>14.64</v>
      </c>
      <c r="C188" s="904">
        <v>183</v>
      </c>
      <c r="D188" s="687">
        <v>14.64</v>
      </c>
      <c r="E188" s="904">
        <v>183</v>
      </c>
      <c r="F188" s="687">
        <v>14.64</v>
      </c>
      <c r="J188" s="693"/>
    </row>
    <row r="189" spans="1:10" x14ac:dyDescent="0.3">
      <c r="A189" s="904">
        <v>184</v>
      </c>
      <c r="B189" s="687">
        <v>16.72</v>
      </c>
      <c r="C189" s="904">
        <v>184</v>
      </c>
      <c r="D189" s="687">
        <v>16.72</v>
      </c>
      <c r="E189" s="904">
        <v>184</v>
      </c>
      <c r="F189" s="687">
        <v>16.72</v>
      </c>
    </row>
    <row r="190" spans="1:10" x14ac:dyDescent="0.3">
      <c r="A190" s="904">
        <v>185</v>
      </c>
      <c r="B190" s="687">
        <v>14.37</v>
      </c>
      <c r="C190" s="904">
        <v>185</v>
      </c>
      <c r="D190" s="687">
        <v>14.37</v>
      </c>
      <c r="E190" s="904">
        <v>185</v>
      </c>
      <c r="F190" s="687">
        <v>14.37</v>
      </c>
    </row>
    <row r="191" spans="1:10" x14ac:dyDescent="0.3">
      <c r="A191" s="904">
        <v>186</v>
      </c>
      <c r="B191" s="687">
        <v>18.22</v>
      </c>
      <c r="C191" s="904">
        <v>186</v>
      </c>
      <c r="D191" s="687">
        <v>18.22</v>
      </c>
      <c r="E191" s="904">
        <v>186</v>
      </c>
      <c r="F191" s="687">
        <v>18.22</v>
      </c>
    </row>
    <row r="192" spans="1:10" x14ac:dyDescent="0.3">
      <c r="A192" s="904">
        <v>187</v>
      </c>
      <c r="B192" s="687">
        <v>19.21</v>
      </c>
      <c r="C192" s="904">
        <v>187</v>
      </c>
      <c r="D192" s="687">
        <v>19.21</v>
      </c>
      <c r="E192" s="904">
        <v>187</v>
      </c>
      <c r="F192" s="687">
        <v>19.21</v>
      </c>
    </row>
    <row r="193" spans="1:6" x14ac:dyDescent="0.3">
      <c r="A193" s="904">
        <v>188</v>
      </c>
      <c r="B193" s="687">
        <v>19.43</v>
      </c>
      <c r="C193" s="904">
        <v>188</v>
      </c>
      <c r="D193" s="687">
        <v>19.43</v>
      </c>
      <c r="E193" s="904">
        <v>188</v>
      </c>
      <c r="F193" s="687">
        <v>19.43</v>
      </c>
    </row>
    <row r="194" spans="1:6" x14ac:dyDescent="0.3">
      <c r="A194" s="904">
        <v>189</v>
      </c>
      <c r="B194" s="687">
        <v>13.74</v>
      </c>
      <c r="C194" s="904">
        <v>189</v>
      </c>
      <c r="D194" s="687">
        <v>13.74</v>
      </c>
      <c r="E194" s="904">
        <v>189</v>
      </c>
      <c r="F194" s="687">
        <v>13.74</v>
      </c>
    </row>
    <row r="195" spans="1:6" x14ac:dyDescent="0.3">
      <c r="A195" s="904">
        <v>190</v>
      </c>
      <c r="B195" s="687">
        <v>14.92</v>
      </c>
      <c r="C195" s="904">
        <v>190</v>
      </c>
      <c r="D195" s="687">
        <v>14.92</v>
      </c>
      <c r="E195" s="904">
        <v>190</v>
      </c>
      <c r="F195" s="687">
        <v>14.92</v>
      </c>
    </row>
    <row r="196" spans="1:6" x14ac:dyDescent="0.3">
      <c r="A196" s="904">
        <v>191</v>
      </c>
      <c r="B196" s="687">
        <v>14.91</v>
      </c>
      <c r="C196" s="904">
        <v>191</v>
      </c>
      <c r="D196" s="687">
        <v>14.91</v>
      </c>
      <c r="E196" s="904">
        <v>191</v>
      </c>
      <c r="F196" s="687">
        <v>14.91</v>
      </c>
    </row>
    <row r="197" spans="1:6" x14ac:dyDescent="0.3">
      <c r="A197" s="904">
        <v>192</v>
      </c>
      <c r="B197" s="687">
        <v>15.3</v>
      </c>
      <c r="C197" s="904">
        <v>192</v>
      </c>
      <c r="D197" s="687">
        <v>15.3</v>
      </c>
      <c r="E197" s="904">
        <v>192</v>
      </c>
      <c r="F197" s="687">
        <v>15.3</v>
      </c>
    </row>
    <row r="198" spans="1:6" x14ac:dyDescent="0.3">
      <c r="A198" s="904">
        <v>193</v>
      </c>
      <c r="B198" s="687">
        <v>16.57</v>
      </c>
      <c r="C198" s="904">
        <v>193</v>
      </c>
      <c r="D198" s="687">
        <v>16.57</v>
      </c>
      <c r="E198" s="904">
        <v>193</v>
      </c>
      <c r="F198" s="687">
        <v>16.57</v>
      </c>
    </row>
    <row r="199" spans="1:6" x14ac:dyDescent="0.3">
      <c r="A199" s="904">
        <v>194</v>
      </c>
      <c r="B199" s="687">
        <v>15.17</v>
      </c>
      <c r="C199" s="904">
        <v>194</v>
      </c>
      <c r="D199" s="687">
        <v>15.17</v>
      </c>
      <c r="E199" s="904">
        <v>194</v>
      </c>
      <c r="F199" s="687">
        <v>15.17</v>
      </c>
    </row>
    <row r="200" spans="1:6" x14ac:dyDescent="0.3">
      <c r="A200" s="904">
        <v>195</v>
      </c>
      <c r="B200" s="687">
        <v>16.440000000000001</v>
      </c>
      <c r="C200" s="904">
        <v>195</v>
      </c>
      <c r="D200" s="687">
        <v>16.440000000000001</v>
      </c>
      <c r="E200" s="904">
        <v>195</v>
      </c>
      <c r="F200" s="687">
        <v>16.440000000000001</v>
      </c>
    </row>
    <row r="201" spans="1:6" x14ac:dyDescent="0.3">
      <c r="A201" s="904">
        <v>196</v>
      </c>
      <c r="B201" s="687">
        <v>16.690000000000001</v>
      </c>
      <c r="C201" s="904">
        <v>196</v>
      </c>
      <c r="D201" s="687">
        <v>16.690000000000001</v>
      </c>
      <c r="E201" s="904">
        <v>196</v>
      </c>
      <c r="F201" s="687">
        <v>16.690000000000001</v>
      </c>
    </row>
    <row r="202" spans="1:6" x14ac:dyDescent="0.3">
      <c r="A202" s="904">
        <v>197</v>
      </c>
      <c r="B202" s="687">
        <v>16.2</v>
      </c>
      <c r="C202" s="904">
        <v>197</v>
      </c>
      <c r="D202" s="687">
        <v>16.2</v>
      </c>
      <c r="E202" s="904">
        <v>197</v>
      </c>
      <c r="F202" s="687">
        <v>16.2</v>
      </c>
    </row>
    <row r="203" spans="1:6" x14ac:dyDescent="0.3">
      <c r="A203" s="904">
        <v>198</v>
      </c>
      <c r="B203" s="687">
        <v>13.33</v>
      </c>
      <c r="C203" s="904">
        <v>198</v>
      </c>
      <c r="D203" s="687">
        <v>13.33</v>
      </c>
      <c r="E203" s="904">
        <v>198</v>
      </c>
      <c r="F203" s="687">
        <v>13.33</v>
      </c>
    </row>
    <row r="204" spans="1:6" x14ac:dyDescent="0.3">
      <c r="A204" s="904">
        <v>199</v>
      </c>
      <c r="B204" s="687">
        <v>13.8</v>
      </c>
      <c r="C204" s="904">
        <v>199</v>
      </c>
      <c r="D204" s="687">
        <v>13.8</v>
      </c>
      <c r="E204" s="904">
        <v>199</v>
      </c>
      <c r="F204" s="687">
        <v>13.8</v>
      </c>
    </row>
    <row r="205" spans="1:6" x14ac:dyDescent="0.3">
      <c r="A205" s="904">
        <v>200</v>
      </c>
      <c r="B205" s="687">
        <v>17.89</v>
      </c>
      <c r="C205" s="904">
        <v>200</v>
      </c>
      <c r="D205" s="687">
        <v>17.89</v>
      </c>
      <c r="E205" s="904">
        <v>200</v>
      </c>
      <c r="F205" s="687">
        <v>17.89</v>
      </c>
    </row>
    <row r="206" spans="1:6" x14ac:dyDescent="0.3">
      <c r="A206" s="904">
        <v>201</v>
      </c>
      <c r="B206" s="687">
        <v>14.31</v>
      </c>
      <c r="C206" s="904">
        <v>201</v>
      </c>
      <c r="D206" s="687">
        <v>14.31</v>
      </c>
      <c r="E206" s="904">
        <v>201</v>
      </c>
      <c r="F206" s="687">
        <v>14.31</v>
      </c>
    </row>
    <row r="207" spans="1:6" x14ac:dyDescent="0.3">
      <c r="A207" s="904">
        <v>202</v>
      </c>
      <c r="B207" s="687">
        <v>16.170000000000002</v>
      </c>
      <c r="C207" s="904">
        <v>202</v>
      </c>
      <c r="D207" s="687">
        <v>16.170000000000002</v>
      </c>
      <c r="E207" s="904">
        <v>202</v>
      </c>
      <c r="F207" s="687">
        <v>16.170000000000002</v>
      </c>
    </row>
    <row r="208" spans="1:6" x14ac:dyDescent="0.3">
      <c r="A208" s="904">
        <v>203</v>
      </c>
      <c r="B208" s="687">
        <v>13.31</v>
      </c>
      <c r="C208" s="904">
        <v>203</v>
      </c>
      <c r="D208" s="687">
        <v>13.31</v>
      </c>
      <c r="E208" s="904">
        <v>203</v>
      </c>
      <c r="F208" s="687">
        <v>13.31</v>
      </c>
    </row>
    <row r="209" spans="1:10" x14ac:dyDescent="0.3">
      <c r="A209" s="904">
        <v>204</v>
      </c>
      <c r="B209" s="687">
        <v>13.95</v>
      </c>
      <c r="C209" s="904">
        <v>204</v>
      </c>
      <c r="D209" s="687">
        <v>13.95</v>
      </c>
      <c r="E209" s="904">
        <v>204</v>
      </c>
      <c r="F209" s="687">
        <v>13.95</v>
      </c>
    </row>
    <row r="210" spans="1:10" x14ac:dyDescent="0.3">
      <c r="A210" s="904">
        <v>205</v>
      </c>
      <c r="B210" s="687">
        <v>19.559999999999999</v>
      </c>
      <c r="C210" s="904">
        <v>205</v>
      </c>
      <c r="D210" s="687">
        <v>19.559999999999999</v>
      </c>
      <c r="E210" s="904">
        <v>205</v>
      </c>
      <c r="F210" s="687">
        <v>19.559999999999999</v>
      </c>
    </row>
    <row r="211" spans="1:10" x14ac:dyDescent="0.3">
      <c r="A211" s="904">
        <v>206</v>
      </c>
      <c r="B211" s="687">
        <v>17.309999999999999</v>
      </c>
      <c r="C211" s="904">
        <v>206</v>
      </c>
      <c r="D211" s="687">
        <v>17.309999999999999</v>
      </c>
      <c r="E211" s="904">
        <v>206</v>
      </c>
      <c r="F211" s="687">
        <v>17.309999999999999</v>
      </c>
    </row>
    <row r="212" spans="1:10" x14ac:dyDescent="0.3">
      <c r="A212" s="904">
        <v>207</v>
      </c>
      <c r="B212" s="687">
        <v>17.829999999999998</v>
      </c>
      <c r="C212" s="904">
        <v>207</v>
      </c>
      <c r="D212" s="687">
        <v>17.829999999999998</v>
      </c>
      <c r="E212" s="904">
        <v>207</v>
      </c>
      <c r="F212" s="687">
        <v>17.829999999999998</v>
      </c>
    </row>
    <row r="213" spans="1:10" x14ac:dyDescent="0.3">
      <c r="A213" s="904">
        <v>208</v>
      </c>
      <c r="B213" s="687">
        <v>14.55</v>
      </c>
      <c r="C213" s="904">
        <v>208</v>
      </c>
      <c r="D213" s="687">
        <v>14.55</v>
      </c>
      <c r="E213" s="904">
        <v>208</v>
      </c>
      <c r="F213" s="687">
        <v>14.55</v>
      </c>
    </row>
    <row r="214" spans="1:10" x14ac:dyDescent="0.3">
      <c r="A214" s="904">
        <v>209</v>
      </c>
      <c r="B214" s="687">
        <v>14.75</v>
      </c>
      <c r="C214" s="904">
        <v>209</v>
      </c>
      <c r="D214" s="687">
        <v>14.75</v>
      </c>
      <c r="E214" s="904">
        <v>209</v>
      </c>
      <c r="F214" s="687">
        <v>14.75</v>
      </c>
    </row>
    <row r="222" spans="1:10" x14ac:dyDescent="0.3">
      <c r="G222" s="2043" t="s">
        <v>379</v>
      </c>
      <c r="H222" s="2044"/>
      <c r="I222" s="2044"/>
      <c r="J222" s="2045"/>
    </row>
  </sheetData>
  <mergeCells count="11">
    <mergeCell ref="S3:T3"/>
    <mergeCell ref="L3:O3"/>
    <mergeCell ref="G222:J222"/>
    <mergeCell ref="A1:J2"/>
    <mergeCell ref="G3:J4"/>
    <mergeCell ref="A3:F3"/>
    <mergeCell ref="A4:B4"/>
    <mergeCell ref="C4:D4"/>
    <mergeCell ref="E4:F4"/>
    <mergeCell ref="L1:R2"/>
    <mergeCell ref="P3:R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AN40"/>
  <sheetViews>
    <sheetView view="pageBreakPreview" zoomScale="110" zoomScaleNormal="100" zoomScaleSheetLayoutView="110" workbookViewId="0">
      <pane xSplit="4" ySplit="7" topLeftCell="E8" activePane="bottomRight" state="frozen"/>
      <selection pane="topRight" activeCell="B19" sqref="B19"/>
      <selection pane="bottomLeft" activeCell="B19" sqref="B19"/>
      <selection pane="bottomRight" activeCell="B19" sqref="B19"/>
    </sheetView>
  </sheetViews>
  <sheetFormatPr defaultRowHeight="14.5" x14ac:dyDescent="0.35"/>
  <cols>
    <col min="1" max="1" width="5" customWidth="1"/>
    <col min="2" max="2" width="9.81640625" customWidth="1"/>
    <col min="3" max="3" width="4.7265625" customWidth="1"/>
    <col min="4" max="4" width="7.26953125" customWidth="1"/>
    <col min="5" max="7" width="4.26953125" customWidth="1"/>
    <col min="8" max="9" width="4.81640625" customWidth="1"/>
    <col min="10" max="13" width="4.26953125" customWidth="1"/>
    <col min="14" max="14" width="3.54296875" bestFit="1" customWidth="1"/>
    <col min="15" max="15" width="3.81640625" bestFit="1" customWidth="1"/>
    <col min="16" max="16" width="3.26953125" customWidth="1"/>
    <col min="17" max="18" width="4.7265625" customWidth="1"/>
    <col min="19" max="19" width="5" bestFit="1" customWidth="1"/>
    <col min="20" max="20" width="3.54296875" bestFit="1" customWidth="1"/>
    <col min="21" max="21" width="4.7265625" customWidth="1"/>
    <col min="22" max="22" width="3.7265625" customWidth="1"/>
    <col min="23" max="23" width="13.1796875" customWidth="1"/>
    <col min="24" max="24" width="6.54296875" customWidth="1"/>
    <col min="25" max="25" width="7.81640625" bestFit="1" customWidth="1"/>
    <col min="26" max="26" width="8.7265625" customWidth="1"/>
    <col min="27" max="27" width="5.1796875" customWidth="1"/>
    <col min="28" max="28" width="3.453125" customWidth="1"/>
    <col min="29" max="30" width="5.1796875" customWidth="1"/>
    <col min="31" max="31" width="5" customWidth="1"/>
    <col min="32" max="33" width="8.7265625" customWidth="1"/>
    <col min="39" max="39" width="2.453125" bestFit="1" customWidth="1"/>
    <col min="40" max="40" width="3.81640625" bestFit="1" customWidth="1"/>
  </cols>
  <sheetData>
    <row r="1" spans="1:40" ht="9" customHeight="1" x14ac:dyDescent="0.35">
      <c r="B1" s="575">
        <v>344</v>
      </c>
      <c r="C1" s="575">
        <v>345</v>
      </c>
      <c r="D1" s="575">
        <f>C1+1</f>
        <v>346</v>
      </c>
      <c r="E1" s="575">
        <f t="shared" ref="E1:M1" si="0">D1+1</f>
        <v>347</v>
      </c>
      <c r="F1" s="575">
        <f t="shared" si="0"/>
        <v>348</v>
      </c>
      <c r="G1" s="575">
        <f t="shared" si="0"/>
        <v>349</v>
      </c>
      <c r="H1" s="575">
        <f t="shared" si="0"/>
        <v>350</v>
      </c>
      <c r="I1" s="575">
        <f t="shared" si="0"/>
        <v>351</v>
      </c>
      <c r="J1" s="575">
        <f t="shared" si="0"/>
        <v>352</v>
      </c>
      <c r="K1" s="575">
        <f t="shared" si="0"/>
        <v>353</v>
      </c>
      <c r="L1" s="575">
        <f t="shared" si="0"/>
        <v>354</v>
      </c>
      <c r="M1" s="575">
        <f t="shared" si="0"/>
        <v>355</v>
      </c>
      <c r="N1" s="575">
        <v>357</v>
      </c>
      <c r="O1" s="575">
        <v>358</v>
      </c>
      <c r="P1" s="575">
        <v>360</v>
      </c>
      <c r="Q1" s="575">
        <v>361</v>
      </c>
      <c r="R1" s="575">
        <v>363</v>
      </c>
      <c r="S1" s="575">
        <v>365</v>
      </c>
      <c r="T1" s="575">
        <v>364</v>
      </c>
      <c r="U1" s="575">
        <v>366</v>
      </c>
      <c r="V1" s="575">
        <v>367</v>
      </c>
    </row>
    <row r="2" spans="1:40" x14ac:dyDescent="0.35">
      <c r="B2" s="2066"/>
      <c r="C2" s="2067"/>
      <c r="D2" s="2068"/>
      <c r="E2" s="2075" t="s">
        <v>380</v>
      </c>
      <c r="F2" s="2076"/>
      <c r="G2" s="2076"/>
      <c r="H2" s="2077" t="str">
        <f>'Digitar Dados de Dens. InSitu'!A1</f>
        <v>BR -163</v>
      </c>
      <c r="I2" s="2077"/>
      <c r="J2" s="2078" t="s">
        <v>381</v>
      </c>
      <c r="K2" s="2079"/>
      <c r="L2" s="2079"/>
      <c r="M2" s="2080"/>
      <c r="N2" s="2080"/>
      <c r="O2" s="2080"/>
      <c r="P2" s="2080"/>
      <c r="Q2" s="2080"/>
      <c r="R2" s="716"/>
      <c r="S2" s="2081" t="s">
        <v>382</v>
      </c>
      <c r="T2" s="2081"/>
      <c r="U2" s="2081"/>
      <c r="V2" s="2082" t="s">
        <v>383</v>
      </c>
      <c r="W2" s="2082"/>
      <c r="X2" s="2083" t="s">
        <v>384</v>
      </c>
      <c r="Y2" s="2083"/>
      <c r="Z2" s="2084" t="s">
        <v>385</v>
      </c>
      <c r="AA2" s="2084"/>
      <c r="AB2" s="2084"/>
      <c r="AC2" s="2084"/>
      <c r="AD2" s="2085"/>
    </row>
    <row r="3" spans="1:40" x14ac:dyDescent="0.35">
      <c r="B3" s="2069"/>
      <c r="C3" s="2070"/>
      <c r="D3" s="2071"/>
      <c r="E3" s="2062" t="s">
        <v>386</v>
      </c>
      <c r="F3" s="2063"/>
      <c r="G3" s="2063"/>
      <c r="H3" s="2064" t="str">
        <f>'Digitar Dados de Dens. InSitu'!A2</f>
        <v>CAMPO GRANDE MS</v>
      </c>
      <c r="I3" s="2064"/>
      <c r="J3" s="2064"/>
      <c r="K3" s="2064"/>
      <c r="L3" s="2064"/>
      <c r="M3" s="2064"/>
      <c r="N3" s="2064"/>
      <c r="O3" s="2064"/>
      <c r="P3" s="2064"/>
      <c r="Q3" s="2064"/>
      <c r="R3" s="2064"/>
      <c r="S3" s="2064"/>
      <c r="T3" s="2064"/>
      <c r="U3" s="2064"/>
      <c r="V3" s="2064"/>
      <c r="W3" s="2064"/>
      <c r="X3" s="2064"/>
      <c r="Y3" s="2064"/>
      <c r="Z3" s="2064"/>
      <c r="AA3" s="2064"/>
      <c r="AB3" s="2064"/>
      <c r="AC3" s="2064"/>
      <c r="AD3" s="2065"/>
    </row>
    <row r="4" spans="1:40" ht="16.5" customHeight="1" x14ac:dyDescent="0.35">
      <c r="B4" s="2072"/>
      <c r="C4" s="2073"/>
      <c r="D4" s="2074"/>
      <c r="E4" s="2062" t="s">
        <v>387</v>
      </c>
      <c r="F4" s="2063"/>
      <c r="G4" s="2063"/>
      <c r="H4" s="2064">
        <f>'Digitar Dados de Dens. InSitu'!A3</f>
        <v>0</v>
      </c>
      <c r="I4" s="2064"/>
      <c r="J4" s="2064"/>
      <c r="K4" s="2064"/>
      <c r="L4" s="2064"/>
      <c r="M4" s="2064"/>
      <c r="N4" s="2064"/>
      <c r="O4" s="2064"/>
      <c r="P4" s="2064"/>
      <c r="Q4" s="2064"/>
      <c r="R4" s="2064"/>
      <c r="S4" s="2064"/>
      <c r="T4" s="2064"/>
      <c r="U4" s="2064"/>
      <c r="V4" s="2064"/>
      <c r="W4" s="2064"/>
      <c r="X4" s="2064"/>
      <c r="Y4" s="2064"/>
      <c r="Z4" s="2064"/>
      <c r="AA4" s="2064"/>
      <c r="AB4" s="2064"/>
      <c r="AC4" s="2064"/>
      <c r="AD4" s="2065"/>
    </row>
    <row r="5" spans="1:40" ht="18" customHeight="1" x14ac:dyDescent="0.35">
      <c r="B5" s="664"/>
      <c r="C5" s="618"/>
      <c r="D5" s="618"/>
      <c r="E5" s="2089" t="s">
        <v>388</v>
      </c>
      <c r="F5" s="2090"/>
      <c r="G5" s="2090"/>
      <c r="H5" s="2090"/>
      <c r="I5" s="2090"/>
      <c r="J5" s="2090"/>
      <c r="K5" s="2090"/>
      <c r="L5" s="2090"/>
      <c r="M5" s="2090"/>
      <c r="N5" s="2090"/>
      <c r="O5" s="2090"/>
      <c r="P5" s="2090"/>
      <c r="Q5" s="2090"/>
      <c r="R5" s="2090"/>
      <c r="S5" s="2090"/>
      <c r="T5" s="2090"/>
      <c r="U5" s="2090"/>
      <c r="V5" s="2090"/>
      <c r="W5" s="2090"/>
      <c r="X5" s="2090"/>
      <c r="Y5" s="2090"/>
      <c r="Z5" s="2090"/>
      <c r="AA5" s="2090"/>
      <c r="AB5" s="2090"/>
      <c r="AC5" s="2090"/>
      <c r="AD5" s="2091"/>
    </row>
    <row r="6" spans="1:40" x14ac:dyDescent="0.35">
      <c r="B6" s="2092" t="s">
        <v>389</v>
      </c>
      <c r="C6" s="2093"/>
      <c r="D6" s="2094"/>
      <c r="E6" s="2092" t="s">
        <v>50</v>
      </c>
      <c r="F6" s="2093"/>
      <c r="G6" s="2093"/>
      <c r="H6" s="2093"/>
      <c r="I6" s="2093"/>
      <c r="J6" s="2093"/>
      <c r="K6" s="2093"/>
      <c r="L6" s="2093"/>
      <c r="M6" s="2094"/>
      <c r="N6" s="2092" t="s">
        <v>390</v>
      </c>
      <c r="O6" s="2093"/>
      <c r="P6" s="2092" t="s">
        <v>391</v>
      </c>
      <c r="Q6" s="2093"/>
      <c r="R6" s="2094"/>
      <c r="S6" s="2092" t="s">
        <v>392</v>
      </c>
      <c r="T6" s="2093"/>
      <c r="U6" s="2093"/>
      <c r="V6" s="2094"/>
      <c r="W6" s="2092" t="s">
        <v>53</v>
      </c>
      <c r="X6" s="2093"/>
      <c r="Y6" s="2093"/>
      <c r="Z6" s="2093"/>
      <c r="AA6" s="2093"/>
      <c r="AB6" s="2093"/>
      <c r="AC6" s="2093"/>
      <c r="AD6" s="2094"/>
      <c r="AF6" s="2095" t="s">
        <v>152</v>
      </c>
      <c r="AG6" s="2095"/>
    </row>
    <row r="7" spans="1:40" x14ac:dyDescent="0.35">
      <c r="B7" s="559" t="s">
        <v>393</v>
      </c>
      <c r="C7" s="560" t="s">
        <v>394</v>
      </c>
      <c r="D7" s="561" t="s">
        <v>57</v>
      </c>
      <c r="E7" s="562" t="s">
        <v>29</v>
      </c>
      <c r="F7" s="562" t="s">
        <v>395</v>
      </c>
      <c r="G7" s="562" t="s">
        <v>31</v>
      </c>
      <c r="H7" s="562" t="s">
        <v>258</v>
      </c>
      <c r="I7" s="562" t="s">
        <v>33</v>
      </c>
      <c r="J7" s="562" t="s">
        <v>396</v>
      </c>
      <c r="K7" s="562" t="s">
        <v>397</v>
      </c>
      <c r="L7" s="562" t="s">
        <v>398</v>
      </c>
      <c r="M7" s="562" t="s">
        <v>399</v>
      </c>
      <c r="N7" s="560" t="s">
        <v>78</v>
      </c>
      <c r="O7" s="560" t="s">
        <v>69</v>
      </c>
      <c r="P7" s="560" t="s">
        <v>400</v>
      </c>
      <c r="Q7" s="560" t="s">
        <v>401</v>
      </c>
      <c r="R7" s="560" t="s">
        <v>402</v>
      </c>
      <c r="S7" s="560" t="s">
        <v>403</v>
      </c>
      <c r="T7" s="560" t="s">
        <v>404</v>
      </c>
      <c r="U7" s="560" t="s">
        <v>405</v>
      </c>
      <c r="V7" s="560" t="s">
        <v>406</v>
      </c>
      <c r="W7" s="560" t="s">
        <v>407</v>
      </c>
      <c r="X7" s="560" t="s">
        <v>393</v>
      </c>
      <c r="Y7" s="560" t="s">
        <v>394</v>
      </c>
      <c r="Z7" s="560" t="s">
        <v>57</v>
      </c>
      <c r="AA7" s="560" t="s">
        <v>408</v>
      </c>
      <c r="AB7" s="560" t="s">
        <v>409</v>
      </c>
      <c r="AC7" s="560" t="s">
        <v>410</v>
      </c>
      <c r="AD7" s="560" t="s">
        <v>411</v>
      </c>
      <c r="AF7" s="629" t="s">
        <v>412</v>
      </c>
      <c r="AG7" s="560" t="s">
        <v>413</v>
      </c>
    </row>
    <row r="8" spans="1:40" x14ac:dyDescent="0.35">
      <c r="A8" s="575">
        <f>IF(AF8&lt;&gt;"",(AF8-1)*7+9,"")</f>
        <v>9</v>
      </c>
      <c r="B8" s="597" t="str">
        <f ca="1">IF($A8="","",IF(INDIRECT(ADDRESS($A8,B$1,,,"Digitar Dados dos Ensaios"))&lt;&gt;"",INDIRECT(ADDRESS($A8,B$1,,,"Digitar Dados dos Ensaios")),""))</f>
        <v/>
      </c>
      <c r="C8" s="563" t="str">
        <f t="shared" ref="C8:U23" ca="1" si="1">IF($A8="","",IF(INDIRECT(ADDRESS($A8,C$1,,,"Digitar Dados dos Ensaios"))&lt;&gt;"",INDIRECT(ADDRESS($A8,C$1,,,"Digitar Dados dos Ensaios")),""))</f>
        <v>-</v>
      </c>
      <c r="D8" s="564">
        <f ca="1">IF($A8="","",IF(INDIRECT(ADDRESS($A8,D$1,,,"Digitar Dados dos Ensaios"))&lt;&gt;"",INDIRECT(ADDRESS($A8,D$1,,,"Digitar Dados dos Ensaios")),""))</f>
        <v>45804</v>
      </c>
      <c r="E8" s="565">
        <f ca="1">IF($A8="","",IF(INDIRECT(ADDRESS($A8,E$1,,,"Digitar Dados dos Ensaios"))&lt;&gt;"",INDIRECT(ADDRESS($A8,E$1,,,"Digitar Dados dos Ensaios")),""))</f>
        <v>100</v>
      </c>
      <c r="F8" s="565">
        <f t="shared" ca="1" si="1"/>
        <v>100</v>
      </c>
      <c r="G8" s="565">
        <f t="shared" ca="1" si="1"/>
        <v>97.723984107061483</v>
      </c>
      <c r="H8" s="566">
        <f t="shared" ca="1" si="1"/>
        <v>94.098907160616207</v>
      </c>
      <c r="I8" s="566">
        <f t="shared" ca="1" si="1"/>
        <v>81.504073165077102</v>
      </c>
      <c r="J8" s="566">
        <f t="shared" ca="1" si="1"/>
        <v>65.427262625212848</v>
      </c>
      <c r="K8" s="566">
        <f t="shared" ca="1" si="1"/>
        <v>52.992717068920022</v>
      </c>
      <c r="L8" s="566">
        <f t="shared" ca="1" si="1"/>
        <v>41.712020886931384</v>
      </c>
      <c r="M8" s="566">
        <f t="shared" ca="1" si="1"/>
        <v>22.913159716640937</v>
      </c>
      <c r="N8" s="566" t="str">
        <f t="shared" ca="1" si="1"/>
        <v>NP</v>
      </c>
      <c r="O8" s="566" t="str">
        <f t="shared" ca="1" si="1"/>
        <v>NP</v>
      </c>
      <c r="P8" s="590">
        <f ca="1">IF($A8="","",IF(INDIRECT(ADDRESS($A8,P$1,,,"Digitar Dados dos Ensaios"))&lt;&gt;"",INDIRECT(ADDRESS($A8,P$1,,,"Digitar Dados dos Ensaios")),""))</f>
        <v>0</v>
      </c>
      <c r="Q8" s="566" t="str">
        <f t="shared" ca="1" si="1"/>
        <v>A-1b</v>
      </c>
      <c r="R8" s="566" t="str">
        <f t="shared" ca="1" si="1"/>
        <v>D</v>
      </c>
      <c r="S8" s="590">
        <f ca="1">IF($A8="","",IF(INDIRECT(ADDRESS($A8,S$1,,,"Digitar Dados dos Ensaios"))&lt;&gt;"",INDIRECT(ADDRESS($A8,S$1,,,"Digitar Dados dos Ensaios")),""))</f>
        <v>2219.2468551635602</v>
      </c>
      <c r="T8" s="567">
        <f t="shared" ca="1" si="1"/>
        <v>5.7765822483399836</v>
      </c>
      <c r="U8" s="567">
        <f t="shared" ca="1" si="1"/>
        <v>20041.621694828224</v>
      </c>
      <c r="V8" s="569">
        <f ca="1">IF($A8="","",IF(INDIRECT(ADDRESS($A8,V$1,,,"Digitar Dados dos Ensaios"))&lt;&gt;"",INDIRECT(ADDRESS($A8,V$1,,,"Digitar Dados dos Ensaios")),""))</f>
        <v>4.2194868739289348E-2</v>
      </c>
      <c r="W8" s="576" t="str">
        <f>IF($AG8&lt;&gt;"",LOOKUP($AG8,'Digitar Dados de Dens. InSitu'!$AB$5:$AB$5760,'Digitar Dados de Dens. InSitu'!$AC$5:$AC$5760),"")</f>
        <v/>
      </c>
      <c r="X8" s="568" t="str">
        <f>IF($AG8&lt;&gt;"",LOOKUP($AG8,'Digitar Dados de Dens. InSitu'!$AB$5:$AB$5760,'Digitar Dados de Dens. InSitu'!$AG$5:$AG$5760),"")</f>
        <v/>
      </c>
      <c r="Y8" s="567" t="str">
        <f>IF($AG8&lt;&gt;"",LOOKUP($AG8,'Digitar Dados de Dens. InSitu'!$AB$5:$AB$5760,'Digitar Dados de Dens. InSitu'!$AE$5:$AE$5760),"")</f>
        <v/>
      </c>
      <c r="Z8" s="570" t="str">
        <f>IF($AG8&lt;&gt;"",LOOKUP($AG8,'Digitar Dados de Dens. InSitu'!$AB$5:$AB$5760,'Digitar Dados de Dens. InSitu'!$AD$5:$AD$5760),"")</f>
        <v/>
      </c>
      <c r="AA8" s="600" t="str">
        <f>IF($AG8&lt;&gt;"",LOOKUP($AG8,'Digitar Dados de Dens. InSitu'!$AB$5:$AB$5760,'Digitar Dados de Dens. InSitu'!$AI$5:$AI$5760),"")</f>
        <v/>
      </c>
      <c r="AB8" s="571" t="str">
        <f>IF($AG8&lt;&gt;"",LOOKUP($AG8,'Digitar Dados de Dens. InSitu'!$AB$5:$AB$5760,'Digitar Dados de Dens. InSitu'!$AH$5:$AH$5760),"")</f>
        <v/>
      </c>
      <c r="AC8" s="577" t="str">
        <f>IF($AG8&lt;&gt;"",LOOKUP($AG8,'Digitar Dados de Dens. InSitu'!$AB$5:$AB$5760,'Digitar Dados de Dens. InSitu'!$AJ$5:$AJ$5760),"")</f>
        <v/>
      </c>
      <c r="AD8" s="566" t="str">
        <f>IF($AG8&lt;&gt;"",LOOKUP($AG8,'Digitar Dados de Dens. InSitu'!$AB$5:$AB$5760,'Digitar Dados de Dens. InSitu'!$AK$5:$AK$5760),"")</f>
        <v/>
      </c>
      <c r="AE8" s="572"/>
      <c r="AF8" s="573">
        <v>1</v>
      </c>
      <c r="AG8" s="574">
        <v>1</v>
      </c>
    </row>
    <row r="9" spans="1:40" x14ac:dyDescent="0.35">
      <c r="A9" s="575" t="str">
        <f t="shared" ref="A9:A28" si="2">IF(AF9&lt;&gt;"",(AF9-1)*7+9,"")</f>
        <v/>
      </c>
      <c r="B9" s="597" t="str">
        <f t="shared" ref="B9:Q27" ca="1" si="3">IF($A9="","",IF(INDIRECT(ADDRESS($A9,B$1,,,"Digitar Dados dos Ensaios"))&lt;&gt;"",INDIRECT(ADDRESS($A9,B$1,,,"Digitar Dados dos Ensaios")),""))</f>
        <v/>
      </c>
      <c r="C9" s="563" t="str">
        <f t="shared" ca="1" si="1"/>
        <v/>
      </c>
      <c r="D9" s="564" t="str">
        <f t="shared" ca="1" si="1"/>
        <v/>
      </c>
      <c r="E9" s="565" t="str">
        <f t="shared" ca="1" si="1"/>
        <v/>
      </c>
      <c r="F9" s="565" t="str">
        <f t="shared" ca="1" si="1"/>
        <v/>
      </c>
      <c r="G9" s="565" t="str">
        <f t="shared" ca="1" si="1"/>
        <v/>
      </c>
      <c r="H9" s="566" t="str">
        <f t="shared" ca="1" si="1"/>
        <v/>
      </c>
      <c r="I9" s="566" t="str">
        <f t="shared" ca="1" si="1"/>
        <v/>
      </c>
      <c r="J9" s="566" t="str">
        <f t="shared" ca="1" si="1"/>
        <v/>
      </c>
      <c r="K9" s="566" t="str">
        <f t="shared" ca="1" si="1"/>
        <v/>
      </c>
      <c r="L9" s="566" t="str">
        <f t="shared" ca="1" si="1"/>
        <v/>
      </c>
      <c r="M9" s="566" t="str">
        <f t="shared" ca="1" si="1"/>
        <v/>
      </c>
      <c r="N9" s="566" t="str">
        <f t="shared" ca="1" si="1"/>
        <v/>
      </c>
      <c r="O9" s="566" t="str">
        <f t="shared" ca="1" si="1"/>
        <v/>
      </c>
      <c r="P9" s="590" t="str">
        <f t="shared" ca="1" si="1"/>
        <v/>
      </c>
      <c r="Q9" s="566" t="str">
        <f t="shared" ca="1" si="1"/>
        <v/>
      </c>
      <c r="R9" s="566" t="str">
        <f t="shared" ca="1" si="1"/>
        <v/>
      </c>
      <c r="S9" s="590" t="str">
        <f t="shared" ca="1" si="1"/>
        <v/>
      </c>
      <c r="T9" s="567" t="str">
        <f t="shared" ca="1" si="1"/>
        <v/>
      </c>
      <c r="U9" s="567" t="str">
        <f t="shared" ca="1" si="1"/>
        <v/>
      </c>
      <c r="V9" s="569" t="str">
        <f t="shared" ref="V9:V28" ca="1" si="4">IF($A9="","",IF(INDIRECT(ADDRESS($A9,V$1,,,"Digitar Dados dos Ensaios"))&lt;&gt;"",INDIRECT(ADDRESS($A9,V$1,,,"Digitar Dados dos Ensaios")),""))</f>
        <v/>
      </c>
      <c r="W9" s="576" t="str">
        <f>IF($AG9&lt;&gt;"",LOOKUP($AG9,'Digitar Dados de Dens. InSitu'!$AB$5:$AB$5760,'Digitar Dados de Dens. InSitu'!$AC$5:$AC$5760),"")</f>
        <v/>
      </c>
      <c r="X9" s="568" t="str">
        <f>IF($AG9&lt;&gt;"",LOOKUP($AG9,'Digitar Dados de Dens. InSitu'!$AB$5:$AB$5760,'Digitar Dados de Dens. InSitu'!$AG$5:$AG$5760),"")</f>
        <v/>
      </c>
      <c r="Y9" s="567" t="str">
        <f>IF($AG9&lt;&gt;"",LOOKUP($AG9,'Digitar Dados de Dens. InSitu'!$AB$5:$AB$5760,'Digitar Dados de Dens. InSitu'!$AE$5:$AE$5760),"")</f>
        <v/>
      </c>
      <c r="Z9" s="570" t="str">
        <f>IF($AG9&lt;&gt;"",LOOKUP($AG9,'Digitar Dados de Dens. InSitu'!$AB$5:$AB$5760,'Digitar Dados de Dens. InSitu'!$AD$5:$AD$5760),"")</f>
        <v/>
      </c>
      <c r="AA9" s="600" t="str">
        <f>IF($AG9&lt;&gt;"",LOOKUP($AG9,'Digitar Dados de Dens. InSitu'!$AB$5:$AB$5760,'Digitar Dados de Dens. InSitu'!$AI$5:$AI$5760),"")</f>
        <v/>
      </c>
      <c r="AB9" s="571" t="str">
        <f>IF($AG9&lt;&gt;"",LOOKUP($AG9,'Digitar Dados de Dens. InSitu'!$AB$5:$AB$5760,'Digitar Dados de Dens. InSitu'!$AH$5:$AH$5760),"")</f>
        <v/>
      </c>
      <c r="AC9" s="577" t="str">
        <f>IF($AG9&lt;&gt;"",LOOKUP($AG9,'Digitar Dados de Dens. InSitu'!$AB$5:$AB$5760,'Digitar Dados de Dens. InSitu'!$AJ$5:$AJ$5760),"")</f>
        <v/>
      </c>
      <c r="AD9" s="566" t="str">
        <f>IF($AG9&lt;&gt;"",LOOKUP($AG9,'Digitar Dados de Dens. InSitu'!$AB$5:$AB$5760,'Digitar Dados de Dens. InSitu'!$AK$5:$AK$5760),"")</f>
        <v/>
      </c>
      <c r="AE9" s="572"/>
      <c r="AF9" s="573"/>
      <c r="AG9" s="574">
        <v>2</v>
      </c>
    </row>
    <row r="10" spans="1:40" x14ac:dyDescent="0.35">
      <c r="A10" s="575" t="str">
        <f t="shared" si="2"/>
        <v/>
      </c>
      <c r="B10" s="597" t="str">
        <f t="shared" ca="1" si="3"/>
        <v/>
      </c>
      <c r="C10" s="563" t="str">
        <f t="shared" ca="1" si="1"/>
        <v/>
      </c>
      <c r="D10" s="564" t="str">
        <f t="shared" ca="1" si="1"/>
        <v/>
      </c>
      <c r="E10" s="565" t="str">
        <f t="shared" ca="1" si="1"/>
        <v/>
      </c>
      <c r="F10" s="565" t="str">
        <f t="shared" ca="1" si="1"/>
        <v/>
      </c>
      <c r="G10" s="565" t="str">
        <f t="shared" ca="1" si="1"/>
        <v/>
      </c>
      <c r="H10" s="566" t="str">
        <f t="shared" ca="1" si="1"/>
        <v/>
      </c>
      <c r="I10" s="566" t="str">
        <f t="shared" ca="1" si="1"/>
        <v/>
      </c>
      <c r="J10" s="566" t="str">
        <f t="shared" ca="1" si="1"/>
        <v/>
      </c>
      <c r="K10" s="566" t="str">
        <f t="shared" ca="1" si="1"/>
        <v/>
      </c>
      <c r="L10" s="566" t="str">
        <f t="shared" ca="1" si="1"/>
        <v/>
      </c>
      <c r="M10" s="566" t="str">
        <f t="shared" ca="1" si="1"/>
        <v/>
      </c>
      <c r="N10" s="566" t="str">
        <f t="shared" ca="1" si="1"/>
        <v/>
      </c>
      <c r="O10" s="566" t="str">
        <f t="shared" ca="1" si="1"/>
        <v/>
      </c>
      <c r="P10" s="590" t="str">
        <f t="shared" ca="1" si="1"/>
        <v/>
      </c>
      <c r="Q10" s="566" t="str">
        <f t="shared" ca="1" si="1"/>
        <v/>
      </c>
      <c r="R10" s="566" t="str">
        <f t="shared" ca="1" si="1"/>
        <v/>
      </c>
      <c r="S10" s="590" t="str">
        <f t="shared" ca="1" si="1"/>
        <v/>
      </c>
      <c r="T10" s="567" t="str">
        <f t="shared" ca="1" si="1"/>
        <v/>
      </c>
      <c r="U10" s="567" t="str">
        <f t="shared" ca="1" si="1"/>
        <v/>
      </c>
      <c r="V10" s="569" t="str">
        <f t="shared" ca="1" si="4"/>
        <v/>
      </c>
      <c r="W10" s="576" t="str">
        <f>IF($AG10&lt;&gt;"",LOOKUP($AG10,'Digitar Dados de Dens. InSitu'!$AB$5:$AB$5760,'Digitar Dados de Dens. InSitu'!$AC$5:$AC$5760),"")</f>
        <v/>
      </c>
      <c r="X10" s="568" t="str">
        <f>IF($AG10&lt;&gt;"",LOOKUP($AG10,'Digitar Dados de Dens. InSitu'!$AB$5:$AB$5760,'Digitar Dados de Dens. InSitu'!$AG$5:$AG$5760),"")</f>
        <v/>
      </c>
      <c r="Y10" s="567" t="str">
        <f>IF($AG10&lt;&gt;"",LOOKUP($AG10,'Digitar Dados de Dens. InSitu'!$AB$5:$AB$5760,'Digitar Dados de Dens. InSitu'!$AE$5:$AE$5760),"")</f>
        <v/>
      </c>
      <c r="Z10" s="570" t="str">
        <f>IF($AG10&lt;&gt;"",LOOKUP($AG10,'Digitar Dados de Dens. InSitu'!$AB$5:$AB$5760,'Digitar Dados de Dens. InSitu'!$AD$5:$AD$5760),"")</f>
        <v/>
      </c>
      <c r="AA10" s="600" t="str">
        <f>IF($AG10&lt;&gt;"",LOOKUP($AG10,'Digitar Dados de Dens. InSitu'!$AB$5:$AB$5760,'Digitar Dados de Dens. InSitu'!$AI$5:$AI$5760),"")</f>
        <v/>
      </c>
      <c r="AB10" s="571" t="str">
        <f>IF($AG10&lt;&gt;"",LOOKUP($AG10,'Digitar Dados de Dens. InSitu'!$AB$5:$AB$5760,'Digitar Dados de Dens. InSitu'!$AH$5:$AH$5760),"")</f>
        <v/>
      </c>
      <c r="AC10" s="577" t="str">
        <f>IF($AG10&lt;&gt;"",LOOKUP($AG10,'Digitar Dados de Dens. InSitu'!$AB$5:$AB$5760,'Digitar Dados de Dens. InSitu'!$AJ$5:$AJ$5760),"")</f>
        <v/>
      </c>
      <c r="AD10" s="566" t="str">
        <f>IF($AG10&lt;&gt;"",LOOKUP($AG10,'Digitar Dados de Dens. InSitu'!$AB$5:$AB$5760,'Digitar Dados de Dens. InSitu'!$AK$5:$AK$5760),"")</f>
        <v/>
      </c>
      <c r="AE10" s="572"/>
      <c r="AF10" s="573"/>
      <c r="AG10" s="574">
        <v>3</v>
      </c>
    </row>
    <row r="11" spans="1:40" x14ac:dyDescent="0.35">
      <c r="A11" s="575" t="str">
        <f t="shared" si="2"/>
        <v/>
      </c>
      <c r="B11" s="597" t="str">
        <f t="shared" ca="1" si="3"/>
        <v/>
      </c>
      <c r="C11" s="563" t="str">
        <f t="shared" ca="1" si="1"/>
        <v/>
      </c>
      <c r="D11" s="564" t="str">
        <f t="shared" ca="1" si="1"/>
        <v/>
      </c>
      <c r="E11" s="565" t="str">
        <f t="shared" ca="1" si="1"/>
        <v/>
      </c>
      <c r="F11" s="565" t="str">
        <f t="shared" ca="1" si="1"/>
        <v/>
      </c>
      <c r="G11" s="565" t="str">
        <f t="shared" ca="1" si="1"/>
        <v/>
      </c>
      <c r="H11" s="566" t="str">
        <f t="shared" ca="1" si="1"/>
        <v/>
      </c>
      <c r="I11" s="566" t="str">
        <f t="shared" ca="1" si="1"/>
        <v/>
      </c>
      <c r="J11" s="566" t="str">
        <f t="shared" ca="1" si="1"/>
        <v/>
      </c>
      <c r="K11" s="566" t="str">
        <f t="shared" ca="1" si="1"/>
        <v/>
      </c>
      <c r="L11" s="566" t="str">
        <f t="shared" ca="1" si="1"/>
        <v/>
      </c>
      <c r="M11" s="566" t="str">
        <f t="shared" ca="1" si="1"/>
        <v/>
      </c>
      <c r="N11" s="566" t="str">
        <f t="shared" ca="1" si="1"/>
        <v/>
      </c>
      <c r="O11" s="566" t="str">
        <f t="shared" ca="1" si="1"/>
        <v/>
      </c>
      <c r="P11" s="590" t="str">
        <f t="shared" ca="1" si="1"/>
        <v/>
      </c>
      <c r="Q11" s="566" t="str">
        <f t="shared" ca="1" si="1"/>
        <v/>
      </c>
      <c r="R11" s="566" t="str">
        <f t="shared" ca="1" si="1"/>
        <v/>
      </c>
      <c r="S11" s="590" t="str">
        <f t="shared" ca="1" si="1"/>
        <v/>
      </c>
      <c r="T11" s="567" t="str">
        <f t="shared" ca="1" si="1"/>
        <v/>
      </c>
      <c r="U11" s="567" t="str">
        <f t="shared" ca="1" si="1"/>
        <v/>
      </c>
      <c r="V11" s="569" t="str">
        <f t="shared" ca="1" si="4"/>
        <v/>
      </c>
      <c r="W11" s="576" t="str">
        <f>IF($AG11&lt;&gt;"",LOOKUP($AG11,'Digitar Dados de Dens. InSitu'!$AB$5:$AB$5760,'Digitar Dados de Dens. InSitu'!$AC$5:$AC$5760),"")</f>
        <v/>
      </c>
      <c r="X11" s="568" t="str">
        <f>IF($AG11&lt;&gt;"",LOOKUP($AG11,'Digitar Dados de Dens. InSitu'!$AB$5:$AB$5760,'Digitar Dados de Dens. InSitu'!$AG$5:$AG$5760),"")</f>
        <v/>
      </c>
      <c r="Y11" s="567" t="str">
        <f>IF($AG11&lt;&gt;"",LOOKUP($AG11,'Digitar Dados de Dens. InSitu'!$AB$5:$AB$5760,'Digitar Dados de Dens. InSitu'!$AE$5:$AE$5760),"")</f>
        <v/>
      </c>
      <c r="Z11" s="570" t="str">
        <f>IF($AG11&lt;&gt;"",LOOKUP($AG11,'Digitar Dados de Dens. InSitu'!$AB$5:$AB$5760,'Digitar Dados de Dens. InSitu'!$AD$5:$AD$5760),"")</f>
        <v/>
      </c>
      <c r="AA11" s="600" t="str">
        <f>IF($AG11&lt;&gt;"",LOOKUP($AG11,'Digitar Dados de Dens. InSitu'!$AB$5:$AB$5760,'Digitar Dados de Dens. InSitu'!$AI$5:$AI$5760),"")</f>
        <v/>
      </c>
      <c r="AB11" s="571" t="str">
        <f>IF($AG11&lt;&gt;"",LOOKUP($AG11,'Digitar Dados de Dens. InSitu'!$AB$5:$AB$5760,'Digitar Dados de Dens. InSitu'!$AH$5:$AH$5760),"")</f>
        <v/>
      </c>
      <c r="AC11" s="577" t="str">
        <f>IF($AG11&lt;&gt;"",LOOKUP($AG11,'Digitar Dados de Dens. InSitu'!$AB$5:$AB$5760,'Digitar Dados de Dens. InSitu'!$AJ$5:$AJ$5760),"")</f>
        <v/>
      </c>
      <c r="AD11" s="566" t="str">
        <f>IF($AG11&lt;&gt;"",LOOKUP($AG11,'Digitar Dados de Dens. InSitu'!$AB$5:$AB$5760,'Digitar Dados de Dens. InSitu'!$AK$5:$AK$5760),"")</f>
        <v/>
      </c>
      <c r="AE11" s="572"/>
      <c r="AF11" s="573"/>
      <c r="AG11" s="574">
        <v>4</v>
      </c>
      <c r="AM11" s="572">
        <v>1</v>
      </c>
      <c r="AN11" s="572">
        <v>0</v>
      </c>
    </row>
    <row r="12" spans="1:40" x14ac:dyDescent="0.35">
      <c r="A12" s="575" t="str">
        <f t="shared" si="2"/>
        <v/>
      </c>
      <c r="B12" s="597" t="str">
        <f t="shared" ca="1" si="3"/>
        <v/>
      </c>
      <c r="C12" s="563" t="str">
        <f t="shared" ca="1" si="1"/>
        <v/>
      </c>
      <c r="D12" s="564" t="str">
        <f t="shared" ca="1" si="1"/>
        <v/>
      </c>
      <c r="E12" s="565" t="str">
        <f t="shared" ca="1" si="1"/>
        <v/>
      </c>
      <c r="F12" s="565" t="str">
        <f t="shared" ca="1" si="1"/>
        <v/>
      </c>
      <c r="G12" s="565" t="str">
        <f t="shared" ca="1" si="1"/>
        <v/>
      </c>
      <c r="H12" s="566" t="str">
        <f t="shared" ca="1" si="1"/>
        <v/>
      </c>
      <c r="I12" s="566" t="str">
        <f t="shared" ca="1" si="1"/>
        <v/>
      </c>
      <c r="J12" s="566" t="str">
        <f t="shared" ca="1" si="1"/>
        <v/>
      </c>
      <c r="K12" s="566" t="str">
        <f t="shared" ca="1" si="1"/>
        <v/>
      </c>
      <c r="L12" s="566" t="str">
        <f t="shared" ca="1" si="1"/>
        <v/>
      </c>
      <c r="M12" s="566" t="str">
        <f t="shared" ca="1" si="1"/>
        <v/>
      </c>
      <c r="N12" s="566" t="str">
        <f t="shared" ca="1" si="1"/>
        <v/>
      </c>
      <c r="O12" s="566" t="str">
        <f t="shared" ca="1" si="1"/>
        <v/>
      </c>
      <c r="P12" s="590" t="str">
        <f t="shared" ca="1" si="1"/>
        <v/>
      </c>
      <c r="Q12" s="566" t="str">
        <f t="shared" ca="1" si="1"/>
        <v/>
      </c>
      <c r="R12" s="566" t="str">
        <f t="shared" ca="1" si="1"/>
        <v/>
      </c>
      <c r="S12" s="590" t="str">
        <f t="shared" ca="1" si="1"/>
        <v/>
      </c>
      <c r="T12" s="567" t="str">
        <f t="shared" ca="1" si="1"/>
        <v/>
      </c>
      <c r="U12" s="567" t="str">
        <f t="shared" ca="1" si="1"/>
        <v/>
      </c>
      <c r="V12" s="569" t="str">
        <f t="shared" ca="1" si="4"/>
        <v/>
      </c>
      <c r="W12" s="576" t="str">
        <f>IF($AG12&lt;&gt;"",LOOKUP($AG12,'Digitar Dados de Dens. InSitu'!$AB$5:$AB$5760,'Digitar Dados de Dens. InSitu'!$AC$5:$AC$5760),"")</f>
        <v/>
      </c>
      <c r="X12" s="568" t="str">
        <f>IF($AG12&lt;&gt;"",LOOKUP($AG12,'Digitar Dados de Dens. InSitu'!$AB$5:$AB$5760,'Digitar Dados de Dens. InSitu'!$AG$5:$AG$5760),"")</f>
        <v/>
      </c>
      <c r="Y12" s="567" t="str">
        <f>IF($AG12&lt;&gt;"",LOOKUP($AG12,'Digitar Dados de Dens. InSitu'!$AB$5:$AB$5760,'Digitar Dados de Dens. InSitu'!$AE$5:$AE$5760),"")</f>
        <v/>
      </c>
      <c r="Z12" s="570" t="str">
        <f>IF($AG12&lt;&gt;"",LOOKUP($AG12,'Digitar Dados de Dens. InSitu'!$AB$5:$AB$5760,'Digitar Dados de Dens. InSitu'!$AD$5:$AD$5760),"")</f>
        <v/>
      </c>
      <c r="AA12" s="600" t="str">
        <f>IF($AG12&lt;&gt;"",LOOKUP($AG12,'Digitar Dados de Dens. InSitu'!$AB$5:$AB$5760,'Digitar Dados de Dens. InSitu'!$AI$5:$AI$5760),"")</f>
        <v/>
      </c>
      <c r="AB12" s="571" t="str">
        <f>IF($AG12&lt;&gt;"",LOOKUP($AG12,'Digitar Dados de Dens. InSitu'!$AB$5:$AB$5760,'Digitar Dados de Dens. InSitu'!$AH$5:$AH$5760),"")</f>
        <v/>
      </c>
      <c r="AC12" s="577" t="str">
        <f>IF($AG12&lt;&gt;"",LOOKUP($AG12,'Digitar Dados de Dens. InSitu'!$AB$5:$AB$5760,'Digitar Dados de Dens. InSitu'!$AJ$5:$AJ$5760),"")</f>
        <v/>
      </c>
      <c r="AD12" s="566" t="str">
        <f>IF($AG12&lt;&gt;"",LOOKUP($AG12,'Digitar Dados de Dens. InSitu'!$AB$5:$AB$5760,'Digitar Dados de Dens. InSitu'!$AK$5:$AK$5760),"")</f>
        <v/>
      </c>
      <c r="AE12" s="572"/>
      <c r="AF12" s="573"/>
      <c r="AG12" s="574">
        <v>5</v>
      </c>
      <c r="AM12" s="572">
        <v>2</v>
      </c>
      <c r="AN12" s="572">
        <v>0</v>
      </c>
    </row>
    <row r="13" spans="1:40" x14ac:dyDescent="0.35">
      <c r="A13" s="575" t="str">
        <f t="shared" si="2"/>
        <v/>
      </c>
      <c r="B13" s="597" t="str">
        <f t="shared" ca="1" si="3"/>
        <v/>
      </c>
      <c r="C13" s="563" t="str">
        <f t="shared" ca="1" si="1"/>
        <v/>
      </c>
      <c r="D13" s="564" t="str">
        <f t="shared" ca="1" si="1"/>
        <v/>
      </c>
      <c r="E13" s="565" t="str">
        <f t="shared" ca="1" si="1"/>
        <v/>
      </c>
      <c r="F13" s="565" t="str">
        <f t="shared" ca="1" si="1"/>
        <v/>
      </c>
      <c r="G13" s="565" t="str">
        <f t="shared" ca="1" si="1"/>
        <v/>
      </c>
      <c r="H13" s="566" t="str">
        <f t="shared" ca="1" si="1"/>
        <v/>
      </c>
      <c r="I13" s="566" t="str">
        <f t="shared" ca="1" si="1"/>
        <v/>
      </c>
      <c r="J13" s="566" t="str">
        <f t="shared" ca="1" si="1"/>
        <v/>
      </c>
      <c r="K13" s="566" t="str">
        <f t="shared" ca="1" si="1"/>
        <v/>
      </c>
      <c r="L13" s="566" t="str">
        <f t="shared" ca="1" si="1"/>
        <v/>
      </c>
      <c r="M13" s="566" t="str">
        <f t="shared" ca="1" si="1"/>
        <v/>
      </c>
      <c r="N13" s="566" t="str">
        <f t="shared" ca="1" si="1"/>
        <v/>
      </c>
      <c r="O13" s="566" t="str">
        <f t="shared" ca="1" si="1"/>
        <v/>
      </c>
      <c r="P13" s="590" t="str">
        <f t="shared" ca="1" si="1"/>
        <v/>
      </c>
      <c r="Q13" s="566" t="str">
        <f t="shared" ca="1" si="1"/>
        <v/>
      </c>
      <c r="R13" s="566" t="str">
        <f t="shared" ca="1" si="1"/>
        <v/>
      </c>
      <c r="S13" s="590" t="str">
        <f t="shared" ca="1" si="1"/>
        <v/>
      </c>
      <c r="T13" s="567" t="str">
        <f t="shared" ca="1" si="1"/>
        <v/>
      </c>
      <c r="U13" s="567" t="str">
        <f t="shared" ca="1" si="1"/>
        <v/>
      </c>
      <c r="V13" s="569" t="str">
        <f t="shared" ca="1" si="4"/>
        <v/>
      </c>
      <c r="W13" s="576" t="str">
        <f>IF($AG13&lt;&gt;"",LOOKUP($AG13,'Digitar Dados de Dens. InSitu'!$AB$5:$AB$5760,'Digitar Dados de Dens. InSitu'!$AC$5:$AC$5760),"")</f>
        <v/>
      </c>
      <c r="X13" s="568" t="str">
        <f>IF($AG13&lt;&gt;"",LOOKUP($AG13,'Digitar Dados de Dens. InSitu'!$AB$5:$AB$5760,'Digitar Dados de Dens. InSitu'!$AG$5:$AG$5760),"")</f>
        <v/>
      </c>
      <c r="Y13" s="567" t="str">
        <f>IF($AG13&lt;&gt;"",LOOKUP($AG13,'Digitar Dados de Dens. InSitu'!$AB$5:$AB$5760,'Digitar Dados de Dens. InSitu'!$AE$5:$AE$5760),"")</f>
        <v/>
      </c>
      <c r="Z13" s="570" t="str">
        <f>IF($AG13&lt;&gt;"",LOOKUP($AG13,'Digitar Dados de Dens. InSitu'!$AB$5:$AB$5760,'Digitar Dados de Dens. InSitu'!$AD$5:$AD$5760),"")</f>
        <v/>
      </c>
      <c r="AA13" s="600" t="str">
        <f>IF($AG13&lt;&gt;"",LOOKUP($AG13,'Digitar Dados de Dens. InSitu'!$AB$5:$AB$5760,'Digitar Dados de Dens. InSitu'!$AI$5:$AI$5760),"")</f>
        <v/>
      </c>
      <c r="AB13" s="571" t="str">
        <f>IF($AG13&lt;&gt;"",LOOKUP($AG13,'Digitar Dados de Dens. InSitu'!$AB$5:$AB$5760,'Digitar Dados de Dens. InSitu'!$AH$5:$AH$5760),"")</f>
        <v/>
      </c>
      <c r="AC13" s="577" t="str">
        <f>IF($AG13&lt;&gt;"",LOOKUP($AG13,'Digitar Dados de Dens. InSitu'!$AB$5:$AB$5760,'Digitar Dados de Dens. InSitu'!$AJ$5:$AJ$5760),"")</f>
        <v/>
      </c>
      <c r="AD13" s="566" t="str">
        <f>IF($AG13&lt;&gt;"",LOOKUP($AG13,'Digitar Dados de Dens. InSitu'!$AB$5:$AB$5760,'Digitar Dados de Dens. InSitu'!$AK$5:$AK$5760),"")</f>
        <v/>
      </c>
      <c r="AE13" s="572"/>
      <c r="AF13" s="573"/>
      <c r="AG13" s="574"/>
      <c r="AM13" s="572">
        <v>3</v>
      </c>
      <c r="AN13" s="572">
        <v>0</v>
      </c>
    </row>
    <row r="14" spans="1:40" x14ac:dyDescent="0.35">
      <c r="A14" s="575" t="str">
        <f t="shared" si="2"/>
        <v/>
      </c>
      <c r="B14" s="597" t="str">
        <f t="shared" ca="1" si="3"/>
        <v/>
      </c>
      <c r="C14" s="563" t="str">
        <f t="shared" ca="1" si="3"/>
        <v/>
      </c>
      <c r="D14" s="564" t="str">
        <f t="shared" ca="1" si="3"/>
        <v/>
      </c>
      <c r="E14" s="565" t="str">
        <f t="shared" ca="1" si="3"/>
        <v/>
      </c>
      <c r="F14" s="565" t="str">
        <f t="shared" ca="1" si="3"/>
        <v/>
      </c>
      <c r="G14" s="565" t="str">
        <f t="shared" ca="1" si="3"/>
        <v/>
      </c>
      <c r="H14" s="566" t="str">
        <f t="shared" ca="1" si="3"/>
        <v/>
      </c>
      <c r="I14" s="566" t="str">
        <f t="shared" ca="1" si="3"/>
        <v/>
      </c>
      <c r="J14" s="566" t="str">
        <f t="shared" ca="1" si="3"/>
        <v/>
      </c>
      <c r="K14" s="566" t="str">
        <f t="shared" ca="1" si="3"/>
        <v/>
      </c>
      <c r="L14" s="566" t="str">
        <f t="shared" ca="1" si="3"/>
        <v/>
      </c>
      <c r="M14" s="566" t="str">
        <f t="shared" ca="1" si="1"/>
        <v/>
      </c>
      <c r="N14" s="566" t="str">
        <f t="shared" ca="1" si="1"/>
        <v/>
      </c>
      <c r="O14" s="566" t="str">
        <f t="shared" ca="1" si="1"/>
        <v/>
      </c>
      <c r="P14" s="590" t="str">
        <f t="shared" ca="1" si="1"/>
        <v/>
      </c>
      <c r="Q14" s="566" t="str">
        <f t="shared" ca="1" si="1"/>
        <v/>
      </c>
      <c r="R14" s="566" t="str">
        <f t="shared" ca="1" si="1"/>
        <v/>
      </c>
      <c r="S14" s="590" t="str">
        <f t="shared" ca="1" si="1"/>
        <v/>
      </c>
      <c r="T14" s="567" t="str">
        <f t="shared" ca="1" si="1"/>
        <v/>
      </c>
      <c r="U14" s="567" t="str">
        <f t="shared" ca="1" si="1"/>
        <v/>
      </c>
      <c r="V14" s="569" t="str">
        <f t="shared" ca="1" si="4"/>
        <v/>
      </c>
      <c r="W14" s="576" t="str">
        <f>IF($AG14&lt;&gt;"",LOOKUP($AG14,'Digitar Dados de Dens. InSitu'!$AB$5:$AB$5760,'Digitar Dados de Dens. InSitu'!$AC$5:$AC$5760),"")</f>
        <v/>
      </c>
      <c r="X14" s="568" t="str">
        <f>IF($AG14&lt;&gt;"",LOOKUP($AG14,'Digitar Dados de Dens. InSitu'!$AB$5:$AB$5760,'Digitar Dados de Dens. InSitu'!$AG$5:$AG$5760),"")</f>
        <v/>
      </c>
      <c r="Y14" s="567" t="str">
        <f>IF($AG14&lt;&gt;"",LOOKUP($AG14,'Digitar Dados de Dens. InSitu'!$AB$5:$AB$5760,'Digitar Dados de Dens. InSitu'!$AE$5:$AE$5760),"")</f>
        <v/>
      </c>
      <c r="Z14" s="570" t="str">
        <f>IF($AG14&lt;&gt;"",LOOKUP($AG14,'Digitar Dados de Dens. InSitu'!$AB$5:$AB$5760,'Digitar Dados de Dens. InSitu'!$AD$5:$AD$5760),"")</f>
        <v/>
      </c>
      <c r="AA14" s="600" t="str">
        <f>IF($AG14&lt;&gt;"",LOOKUP($AG14,'Digitar Dados de Dens. InSitu'!$AB$5:$AB$5760,'Digitar Dados de Dens. InSitu'!$AI$5:$AI$5760),"")</f>
        <v/>
      </c>
      <c r="AB14" s="571" t="str">
        <f>IF($AG14&lt;&gt;"",LOOKUP($AG14,'Digitar Dados de Dens. InSitu'!$AB$5:$AB$5760,'Digitar Dados de Dens. InSitu'!$AH$5:$AH$5760),"")</f>
        <v/>
      </c>
      <c r="AC14" s="577" t="str">
        <f>IF($AG14&lt;&gt;"",LOOKUP($AG14,'Digitar Dados de Dens. InSitu'!$AB$5:$AB$5760,'Digitar Dados de Dens. InSitu'!$AJ$5:$AJ$5760),"")</f>
        <v/>
      </c>
      <c r="AD14" s="566" t="str">
        <f>IF($AG14&lt;&gt;"",LOOKUP($AG14,'Digitar Dados de Dens. InSitu'!$AB$5:$AB$5760,'Digitar Dados de Dens. InSitu'!$AK$5:$AK$5760),"")</f>
        <v/>
      </c>
      <c r="AE14" s="572"/>
      <c r="AF14" s="573"/>
      <c r="AG14" s="574"/>
      <c r="AM14" s="572">
        <v>4</v>
      </c>
      <c r="AN14" s="572">
        <v>0</v>
      </c>
    </row>
    <row r="15" spans="1:40" x14ac:dyDescent="0.35">
      <c r="A15" s="575" t="str">
        <f t="shared" si="2"/>
        <v/>
      </c>
      <c r="B15" s="597" t="str">
        <f t="shared" ca="1" si="3"/>
        <v/>
      </c>
      <c r="C15" s="563" t="str">
        <f t="shared" ca="1" si="3"/>
        <v/>
      </c>
      <c r="D15" s="564" t="str">
        <f t="shared" ca="1" si="3"/>
        <v/>
      </c>
      <c r="E15" s="565" t="str">
        <f t="shared" ca="1" si="3"/>
        <v/>
      </c>
      <c r="F15" s="565" t="str">
        <f t="shared" ca="1" si="3"/>
        <v/>
      </c>
      <c r="G15" s="565" t="str">
        <f t="shared" ca="1" si="3"/>
        <v/>
      </c>
      <c r="H15" s="566" t="str">
        <f t="shared" ca="1" si="3"/>
        <v/>
      </c>
      <c r="I15" s="566" t="str">
        <f t="shared" ca="1" si="3"/>
        <v/>
      </c>
      <c r="J15" s="566" t="str">
        <f t="shared" ca="1" si="3"/>
        <v/>
      </c>
      <c r="K15" s="566" t="str">
        <f t="shared" ca="1" si="3"/>
        <v/>
      </c>
      <c r="L15" s="566" t="str">
        <f t="shared" ca="1" si="3"/>
        <v/>
      </c>
      <c r="M15" s="566" t="str">
        <f t="shared" ca="1" si="1"/>
        <v/>
      </c>
      <c r="N15" s="566" t="str">
        <f t="shared" ca="1" si="1"/>
        <v/>
      </c>
      <c r="O15" s="566" t="str">
        <f t="shared" ca="1" si="1"/>
        <v/>
      </c>
      <c r="P15" s="590" t="str">
        <f t="shared" ca="1" si="1"/>
        <v/>
      </c>
      <c r="Q15" s="566" t="str">
        <f t="shared" ca="1" si="1"/>
        <v/>
      </c>
      <c r="R15" s="566" t="str">
        <f t="shared" ca="1" si="1"/>
        <v/>
      </c>
      <c r="S15" s="590" t="str">
        <f t="shared" ca="1" si="1"/>
        <v/>
      </c>
      <c r="T15" s="567" t="str">
        <f t="shared" ca="1" si="1"/>
        <v/>
      </c>
      <c r="U15" s="567" t="str">
        <f t="shared" ca="1" si="1"/>
        <v/>
      </c>
      <c r="V15" s="569" t="str">
        <f t="shared" ca="1" si="4"/>
        <v/>
      </c>
      <c r="W15" s="576" t="str">
        <f>IF($AG15&lt;&gt;"",LOOKUP($AG15,'Digitar Dados de Dens. InSitu'!$AB$5:$AB$5760,'Digitar Dados de Dens. InSitu'!$AC$5:$AC$5760),"")</f>
        <v/>
      </c>
      <c r="X15" s="568" t="str">
        <f>IF($AG15&lt;&gt;"",LOOKUP($AG15,'Digitar Dados de Dens. InSitu'!$AB$5:$AB$5760,'Digitar Dados de Dens. InSitu'!$AG$5:$AG$5760),"")</f>
        <v/>
      </c>
      <c r="Y15" s="567" t="str">
        <f>IF($AG15&lt;&gt;"",LOOKUP($AG15,'Digitar Dados de Dens. InSitu'!$AB$5:$AB$5760,'Digitar Dados de Dens. InSitu'!$AE$5:$AE$5760),"")</f>
        <v/>
      </c>
      <c r="Z15" s="570" t="str">
        <f>IF($AG15&lt;&gt;"",LOOKUP($AG15,'Digitar Dados de Dens. InSitu'!$AB$5:$AB$5760,'Digitar Dados de Dens. InSitu'!$AD$5:$AD$5760),"")</f>
        <v/>
      </c>
      <c r="AA15" s="600" t="str">
        <f>IF($AG15&lt;&gt;"",LOOKUP($AG15,'Digitar Dados de Dens. InSitu'!$AB$5:$AB$5760,'Digitar Dados de Dens. InSitu'!$AI$5:$AI$5760),"")</f>
        <v/>
      </c>
      <c r="AB15" s="571" t="str">
        <f>IF($AG15&lt;&gt;"",LOOKUP($AG15,'Digitar Dados de Dens. InSitu'!$AB$5:$AB$5760,'Digitar Dados de Dens. InSitu'!$AH$5:$AH$5760),"")</f>
        <v/>
      </c>
      <c r="AC15" s="577" t="str">
        <f>IF($AG15&lt;&gt;"",LOOKUP($AG15,'Digitar Dados de Dens. InSitu'!$AB$5:$AB$5760,'Digitar Dados de Dens. InSitu'!$AJ$5:$AJ$5760),"")</f>
        <v/>
      </c>
      <c r="AD15" s="566" t="str">
        <f>IF($AG15&lt;&gt;"",LOOKUP($AG15,'Digitar Dados de Dens. InSitu'!$AB$5:$AB$5760,'Digitar Dados de Dens. InSitu'!$AK$5:$AK$5760),"")</f>
        <v/>
      </c>
      <c r="AE15" s="572"/>
      <c r="AF15" s="573"/>
      <c r="AG15" s="574"/>
      <c r="AM15" s="572">
        <v>5</v>
      </c>
      <c r="AN15" s="572">
        <v>1.55</v>
      </c>
    </row>
    <row r="16" spans="1:40" x14ac:dyDescent="0.35">
      <c r="A16" s="575" t="str">
        <f t="shared" si="2"/>
        <v/>
      </c>
      <c r="B16" s="597" t="str">
        <f t="shared" ca="1" si="3"/>
        <v/>
      </c>
      <c r="C16" s="563" t="str">
        <f t="shared" ca="1" si="3"/>
        <v/>
      </c>
      <c r="D16" s="564" t="str">
        <f t="shared" ca="1" si="3"/>
        <v/>
      </c>
      <c r="E16" s="565" t="str">
        <f t="shared" ca="1" si="3"/>
        <v/>
      </c>
      <c r="F16" s="565" t="str">
        <f t="shared" ca="1" si="3"/>
        <v/>
      </c>
      <c r="G16" s="565" t="str">
        <f t="shared" ca="1" si="3"/>
        <v/>
      </c>
      <c r="H16" s="566" t="str">
        <f t="shared" ca="1" si="3"/>
        <v/>
      </c>
      <c r="I16" s="566" t="str">
        <f t="shared" ca="1" si="3"/>
        <v/>
      </c>
      <c r="J16" s="566" t="str">
        <f t="shared" ca="1" si="3"/>
        <v/>
      </c>
      <c r="K16" s="566" t="str">
        <f t="shared" ca="1" si="3"/>
        <v/>
      </c>
      <c r="L16" s="566" t="str">
        <f t="shared" ca="1" si="3"/>
        <v/>
      </c>
      <c r="M16" s="566" t="str">
        <f t="shared" ca="1" si="1"/>
        <v/>
      </c>
      <c r="N16" s="566" t="str">
        <f t="shared" ca="1" si="1"/>
        <v/>
      </c>
      <c r="O16" s="566" t="str">
        <f t="shared" ca="1" si="1"/>
        <v/>
      </c>
      <c r="P16" s="590" t="str">
        <f t="shared" ca="1" si="1"/>
        <v/>
      </c>
      <c r="Q16" s="566" t="str">
        <f t="shared" ca="1" si="1"/>
        <v/>
      </c>
      <c r="R16" s="566" t="str">
        <f t="shared" ca="1" si="1"/>
        <v/>
      </c>
      <c r="S16" s="590" t="str">
        <f t="shared" ca="1" si="1"/>
        <v/>
      </c>
      <c r="T16" s="567" t="str">
        <f t="shared" ca="1" si="1"/>
        <v/>
      </c>
      <c r="U16" s="567" t="str">
        <f t="shared" ca="1" si="1"/>
        <v/>
      </c>
      <c r="V16" s="569" t="str">
        <f t="shared" ca="1" si="4"/>
        <v/>
      </c>
      <c r="W16" s="576" t="str">
        <f>IF($AG16&lt;&gt;"",LOOKUP($AG16,'Digitar Dados de Dens. InSitu'!$AB$5:$AB$5760,'Digitar Dados de Dens. InSitu'!$AC$5:$AC$5760),"")</f>
        <v/>
      </c>
      <c r="X16" s="568" t="str">
        <f>IF($AG16&lt;&gt;"",LOOKUP($AG16,'Digitar Dados de Dens. InSitu'!$AB$5:$AB$5760,'Digitar Dados de Dens. InSitu'!$AG$5:$AG$5760),"")</f>
        <v/>
      </c>
      <c r="Y16" s="567" t="str">
        <f>IF($AG16&lt;&gt;"",LOOKUP($AG16,'Digitar Dados de Dens. InSitu'!$AB$5:$AB$5760,'Digitar Dados de Dens. InSitu'!$AE$5:$AE$5760),"")</f>
        <v/>
      </c>
      <c r="Z16" s="570" t="str">
        <f>IF($AG16&lt;&gt;"",LOOKUP($AG16,'Digitar Dados de Dens. InSitu'!$AB$5:$AB$5760,'Digitar Dados de Dens. InSitu'!$AD$5:$AD$5760),"")</f>
        <v/>
      </c>
      <c r="AA16" s="600" t="str">
        <f>IF($AG16&lt;&gt;"",LOOKUP($AG16,'Digitar Dados de Dens. InSitu'!$AB$5:$AB$5760,'Digitar Dados de Dens. InSitu'!$AI$5:$AI$5760),"")</f>
        <v/>
      </c>
      <c r="AB16" s="571" t="str">
        <f>IF($AG16&lt;&gt;"",LOOKUP($AG16,'Digitar Dados de Dens. InSitu'!$AB$5:$AB$5760,'Digitar Dados de Dens. InSitu'!$AH$5:$AH$5760),"")</f>
        <v/>
      </c>
      <c r="AC16" s="577" t="str">
        <f>IF($AG16&lt;&gt;"",LOOKUP($AG16,'Digitar Dados de Dens. InSitu'!$AB$5:$AB$5760,'Digitar Dados de Dens. InSitu'!$AJ$5:$AJ$5760),"")</f>
        <v/>
      </c>
      <c r="AD16" s="566" t="str">
        <f>IF($AG16&lt;&gt;"",LOOKUP($AG16,'Digitar Dados de Dens. InSitu'!$AB$5:$AB$5760,'Digitar Dados de Dens. InSitu'!$AK$5:$AK$5760),"")</f>
        <v/>
      </c>
      <c r="AE16" s="572"/>
      <c r="AF16" s="573"/>
      <c r="AG16" s="574"/>
      <c r="AM16" s="572">
        <v>6</v>
      </c>
      <c r="AN16" s="572">
        <v>1.41</v>
      </c>
    </row>
    <row r="17" spans="1:40" x14ac:dyDescent="0.35">
      <c r="A17" s="575" t="str">
        <f t="shared" si="2"/>
        <v/>
      </c>
      <c r="B17" s="597" t="str">
        <f t="shared" ca="1" si="3"/>
        <v/>
      </c>
      <c r="C17" s="563" t="str">
        <f t="shared" ca="1" si="3"/>
        <v/>
      </c>
      <c r="D17" s="564" t="str">
        <f t="shared" ca="1" si="3"/>
        <v/>
      </c>
      <c r="E17" s="565" t="str">
        <f t="shared" ca="1" si="3"/>
        <v/>
      </c>
      <c r="F17" s="565" t="str">
        <f t="shared" ca="1" si="3"/>
        <v/>
      </c>
      <c r="G17" s="565" t="str">
        <f t="shared" ca="1" si="3"/>
        <v/>
      </c>
      <c r="H17" s="566" t="str">
        <f t="shared" ca="1" si="3"/>
        <v/>
      </c>
      <c r="I17" s="566" t="str">
        <f t="shared" ca="1" si="3"/>
        <v/>
      </c>
      <c r="J17" s="566" t="str">
        <f t="shared" ca="1" si="3"/>
        <v/>
      </c>
      <c r="K17" s="566" t="str">
        <f t="shared" ca="1" si="3"/>
        <v/>
      </c>
      <c r="L17" s="566" t="str">
        <f t="shared" ca="1" si="3"/>
        <v/>
      </c>
      <c r="M17" s="566" t="str">
        <f t="shared" ca="1" si="1"/>
        <v/>
      </c>
      <c r="N17" s="566" t="str">
        <f t="shared" ca="1" si="1"/>
        <v/>
      </c>
      <c r="O17" s="566" t="str">
        <f t="shared" ca="1" si="1"/>
        <v/>
      </c>
      <c r="P17" s="590" t="str">
        <f t="shared" ca="1" si="1"/>
        <v/>
      </c>
      <c r="Q17" s="566" t="str">
        <f t="shared" ca="1" si="1"/>
        <v/>
      </c>
      <c r="R17" s="566" t="str">
        <f t="shared" ca="1" si="1"/>
        <v/>
      </c>
      <c r="S17" s="590" t="str">
        <f t="shared" ca="1" si="1"/>
        <v/>
      </c>
      <c r="T17" s="567" t="str">
        <f t="shared" ca="1" si="1"/>
        <v/>
      </c>
      <c r="U17" s="567" t="str">
        <f t="shared" ca="1" si="1"/>
        <v/>
      </c>
      <c r="V17" s="569" t="str">
        <f t="shared" ca="1" si="4"/>
        <v/>
      </c>
      <c r="W17" s="576" t="str">
        <f>IF($AG17&lt;&gt;"",LOOKUP($AG17,'Digitar Dados de Dens. InSitu'!$AB$5:$AB$5760,'Digitar Dados de Dens. InSitu'!$AC$5:$AC$5760),"")</f>
        <v/>
      </c>
      <c r="X17" s="568" t="str">
        <f>IF($AG17&lt;&gt;"",LOOKUP($AG17,'Digitar Dados de Dens. InSitu'!$AB$5:$AB$5760,'Digitar Dados de Dens. InSitu'!$AG$5:$AG$5760),"")</f>
        <v/>
      </c>
      <c r="Y17" s="567" t="str">
        <f>IF($AG17&lt;&gt;"",LOOKUP($AG17,'Digitar Dados de Dens. InSitu'!$AB$5:$AB$5760,'Digitar Dados de Dens. InSitu'!$AE$5:$AE$5760),"")</f>
        <v/>
      </c>
      <c r="Z17" s="570" t="str">
        <f>IF($AG17&lt;&gt;"",LOOKUP($AG17,'Digitar Dados de Dens. InSitu'!$AB$5:$AB$5760,'Digitar Dados de Dens. InSitu'!$AD$5:$AD$5760),"")</f>
        <v/>
      </c>
      <c r="AA17" s="600" t="str">
        <f>IF($AG17&lt;&gt;"",LOOKUP($AG17,'Digitar Dados de Dens. InSitu'!$AB$5:$AB$5760,'Digitar Dados de Dens. InSitu'!$AI$5:$AI$5760),"")</f>
        <v/>
      </c>
      <c r="AB17" s="571" t="str">
        <f>IF($AG17&lt;&gt;"",LOOKUP($AG17,'Digitar Dados de Dens. InSitu'!$AB$5:$AB$5760,'Digitar Dados de Dens. InSitu'!$AH$5:$AH$5760),"")</f>
        <v/>
      </c>
      <c r="AC17" s="577" t="str">
        <f>IF($AG17&lt;&gt;"",LOOKUP($AG17,'Digitar Dados de Dens. InSitu'!$AB$5:$AB$5760,'Digitar Dados de Dens. InSitu'!$AJ$5:$AJ$5760),"")</f>
        <v/>
      </c>
      <c r="AD17" s="566" t="str">
        <f>IF($AG17&lt;&gt;"",LOOKUP($AG17,'Digitar Dados de Dens. InSitu'!$AB$5:$AB$5760,'Digitar Dados de Dens. InSitu'!$AK$5:$AK$5760),"")</f>
        <v/>
      </c>
      <c r="AE17" s="572"/>
      <c r="AF17" s="573"/>
      <c r="AG17" s="574"/>
      <c r="AM17" s="572">
        <v>7</v>
      </c>
      <c r="AN17" s="572">
        <v>1.36</v>
      </c>
    </row>
    <row r="18" spans="1:40" x14ac:dyDescent="0.35">
      <c r="A18" s="575" t="str">
        <f t="shared" si="2"/>
        <v/>
      </c>
      <c r="B18" s="597" t="str">
        <f t="shared" ca="1" si="3"/>
        <v/>
      </c>
      <c r="C18" s="563" t="str">
        <f t="shared" ca="1" si="3"/>
        <v/>
      </c>
      <c r="D18" s="564" t="str">
        <f t="shared" ca="1" si="3"/>
        <v/>
      </c>
      <c r="E18" s="565" t="str">
        <f t="shared" ca="1" si="3"/>
        <v/>
      </c>
      <c r="F18" s="565" t="str">
        <f t="shared" ca="1" si="3"/>
        <v/>
      </c>
      <c r="G18" s="565" t="str">
        <f t="shared" ca="1" si="3"/>
        <v/>
      </c>
      <c r="H18" s="566" t="str">
        <f t="shared" ca="1" si="3"/>
        <v/>
      </c>
      <c r="I18" s="566" t="str">
        <f t="shared" ca="1" si="3"/>
        <v/>
      </c>
      <c r="J18" s="566" t="str">
        <f t="shared" ca="1" si="3"/>
        <v/>
      </c>
      <c r="K18" s="566" t="str">
        <f t="shared" ca="1" si="3"/>
        <v/>
      </c>
      <c r="L18" s="566" t="str">
        <f t="shared" ca="1" si="3"/>
        <v/>
      </c>
      <c r="M18" s="566" t="str">
        <f t="shared" ca="1" si="1"/>
        <v/>
      </c>
      <c r="N18" s="566" t="str">
        <f t="shared" ca="1" si="1"/>
        <v/>
      </c>
      <c r="O18" s="566" t="str">
        <f t="shared" ca="1" si="1"/>
        <v/>
      </c>
      <c r="P18" s="590" t="str">
        <f t="shared" ca="1" si="1"/>
        <v/>
      </c>
      <c r="Q18" s="566" t="str">
        <f t="shared" ca="1" si="1"/>
        <v/>
      </c>
      <c r="R18" s="566" t="str">
        <f t="shared" ca="1" si="1"/>
        <v/>
      </c>
      <c r="S18" s="590" t="str">
        <f t="shared" ca="1" si="1"/>
        <v/>
      </c>
      <c r="T18" s="567" t="str">
        <f t="shared" ca="1" si="1"/>
        <v/>
      </c>
      <c r="U18" s="567" t="str">
        <f t="shared" ca="1" si="1"/>
        <v/>
      </c>
      <c r="V18" s="569" t="str">
        <f t="shared" ca="1" si="4"/>
        <v/>
      </c>
      <c r="W18" s="576" t="str">
        <f>IF($AG18&lt;&gt;"",LOOKUP($AG18,'Digitar Dados de Dens. InSitu'!$AB$5:$AB$5760,'Digitar Dados de Dens. InSitu'!$AC$5:$AC$5760),"")</f>
        <v/>
      </c>
      <c r="X18" s="568" t="str">
        <f>IF($AG18&lt;&gt;"",LOOKUP($AG18,'Digitar Dados de Dens. InSitu'!$AB$5:$AB$5760,'Digitar Dados de Dens. InSitu'!$AG$5:$AG$5760),"")</f>
        <v/>
      </c>
      <c r="Y18" s="567" t="str">
        <f>IF($AG18&lt;&gt;"",LOOKUP($AG18,'Digitar Dados de Dens. InSitu'!$AB$5:$AB$5760,'Digitar Dados de Dens. InSitu'!$AE$5:$AE$5760),"")</f>
        <v/>
      </c>
      <c r="Z18" s="570" t="str">
        <f>IF($AG18&lt;&gt;"",LOOKUP($AG18,'Digitar Dados de Dens. InSitu'!$AB$5:$AB$5760,'Digitar Dados de Dens. InSitu'!$AD$5:$AD$5760),"")</f>
        <v/>
      </c>
      <c r="AA18" s="600" t="str">
        <f>IF($AG18&lt;&gt;"",LOOKUP($AG18,'Digitar Dados de Dens. InSitu'!$AB$5:$AB$5760,'Digitar Dados de Dens. InSitu'!$AI$5:$AI$5760),"")</f>
        <v/>
      </c>
      <c r="AB18" s="571" t="str">
        <f>IF($AG18&lt;&gt;"",LOOKUP($AG18,'Digitar Dados de Dens. InSitu'!$AB$5:$AB$5760,'Digitar Dados de Dens. InSitu'!$AH$5:$AH$5760),"")</f>
        <v/>
      </c>
      <c r="AC18" s="577" t="str">
        <f>IF($AG18&lt;&gt;"",LOOKUP($AG18,'Digitar Dados de Dens. InSitu'!$AB$5:$AB$5760,'Digitar Dados de Dens. InSitu'!$AJ$5:$AJ$5760),"")</f>
        <v/>
      </c>
      <c r="AD18" s="566" t="str">
        <f>IF($AG18&lt;&gt;"",LOOKUP($AG18,'Digitar Dados de Dens. InSitu'!$AB$5:$AB$5760,'Digitar Dados de Dens. InSitu'!$AK$5:$AK$5760),"")</f>
        <v/>
      </c>
      <c r="AE18" s="572"/>
      <c r="AF18" s="573"/>
      <c r="AG18" s="574"/>
      <c r="AM18" s="572">
        <v>8</v>
      </c>
      <c r="AN18" s="572">
        <v>1.31</v>
      </c>
    </row>
    <row r="19" spans="1:40" x14ac:dyDescent="0.35">
      <c r="A19" s="575" t="str">
        <f t="shared" si="2"/>
        <v/>
      </c>
      <c r="B19" s="597" t="str">
        <f t="shared" ca="1" si="3"/>
        <v/>
      </c>
      <c r="C19" s="563" t="str">
        <f t="shared" ca="1" si="3"/>
        <v/>
      </c>
      <c r="D19" s="564" t="str">
        <f t="shared" ca="1" si="3"/>
        <v/>
      </c>
      <c r="E19" s="565" t="str">
        <f t="shared" ca="1" si="3"/>
        <v/>
      </c>
      <c r="F19" s="565" t="str">
        <f t="shared" ca="1" si="3"/>
        <v/>
      </c>
      <c r="G19" s="565" t="str">
        <f t="shared" ca="1" si="3"/>
        <v/>
      </c>
      <c r="H19" s="566" t="str">
        <f t="shared" ca="1" si="3"/>
        <v/>
      </c>
      <c r="I19" s="566" t="str">
        <f t="shared" ca="1" si="3"/>
        <v/>
      </c>
      <c r="J19" s="566" t="str">
        <f t="shared" ca="1" si="3"/>
        <v/>
      </c>
      <c r="K19" s="566" t="str">
        <f t="shared" ca="1" si="3"/>
        <v/>
      </c>
      <c r="L19" s="566" t="str">
        <f t="shared" ca="1" si="3"/>
        <v/>
      </c>
      <c r="M19" s="566" t="str">
        <f t="shared" ca="1" si="1"/>
        <v/>
      </c>
      <c r="N19" s="566" t="str">
        <f t="shared" ca="1" si="1"/>
        <v/>
      </c>
      <c r="O19" s="566" t="str">
        <f t="shared" ca="1" si="1"/>
        <v/>
      </c>
      <c r="P19" s="590" t="str">
        <f t="shared" ca="1" si="1"/>
        <v/>
      </c>
      <c r="Q19" s="566" t="str">
        <f t="shared" ca="1" si="1"/>
        <v/>
      </c>
      <c r="R19" s="566" t="str">
        <f t="shared" ca="1" si="1"/>
        <v/>
      </c>
      <c r="S19" s="590" t="str">
        <f t="shared" ca="1" si="1"/>
        <v/>
      </c>
      <c r="T19" s="567" t="str">
        <f t="shared" ca="1" si="1"/>
        <v/>
      </c>
      <c r="U19" s="567" t="str">
        <f t="shared" ca="1" si="1"/>
        <v/>
      </c>
      <c r="V19" s="569" t="str">
        <f t="shared" ca="1" si="4"/>
        <v/>
      </c>
      <c r="W19" s="576" t="str">
        <f>IF($AG19&lt;&gt;"",LOOKUP($AG19,'Digitar Dados de Dens. InSitu'!$AB$5:$AB$5760,'Digitar Dados de Dens. InSitu'!$AC$5:$AC$5760),"")</f>
        <v/>
      </c>
      <c r="X19" s="568" t="str">
        <f>IF($AG19&lt;&gt;"",LOOKUP($AG19,'Digitar Dados de Dens. InSitu'!$AB$5:$AB$5760,'Digitar Dados de Dens. InSitu'!$AG$5:$AG$5760),"")</f>
        <v/>
      </c>
      <c r="Y19" s="567" t="str">
        <f>IF($AG19&lt;&gt;"",LOOKUP($AG19,'Digitar Dados de Dens. InSitu'!$AB$5:$AB$5760,'Digitar Dados de Dens. InSitu'!$AE$5:$AE$5760),"")</f>
        <v/>
      </c>
      <c r="Z19" s="570" t="str">
        <f>IF($AG19&lt;&gt;"",LOOKUP($AG19,'Digitar Dados de Dens. InSitu'!$AB$5:$AB$5760,'Digitar Dados de Dens. InSitu'!$AD$5:$AD$5760),"")</f>
        <v/>
      </c>
      <c r="AA19" s="600" t="str">
        <f>IF($AG19&lt;&gt;"",LOOKUP($AG19,'Digitar Dados de Dens. InSitu'!$AB$5:$AB$5760,'Digitar Dados de Dens. InSitu'!$AI$5:$AI$5760),"")</f>
        <v/>
      </c>
      <c r="AB19" s="571" t="str">
        <f>IF($AG19&lt;&gt;"",LOOKUP($AG19,'Digitar Dados de Dens. InSitu'!$AB$5:$AB$5760,'Digitar Dados de Dens. InSitu'!$AH$5:$AH$5760),"")</f>
        <v/>
      </c>
      <c r="AC19" s="577" t="str">
        <f>IF($AG19&lt;&gt;"",LOOKUP($AG19,'Digitar Dados de Dens. InSitu'!$AB$5:$AB$5760,'Digitar Dados de Dens. InSitu'!$AJ$5:$AJ$5760),"")</f>
        <v/>
      </c>
      <c r="AD19" s="566" t="str">
        <f>IF($AG19&lt;&gt;"",LOOKUP($AG19,'Digitar Dados de Dens. InSitu'!$AB$5:$AB$5760,'Digitar Dados de Dens. InSitu'!$AK$5:$AK$5760),"")</f>
        <v/>
      </c>
      <c r="AE19" s="572"/>
      <c r="AF19" s="573"/>
      <c r="AG19" s="574"/>
      <c r="AM19" s="572">
        <v>9</v>
      </c>
      <c r="AN19" s="572">
        <v>1.25</v>
      </c>
    </row>
    <row r="20" spans="1:40" x14ac:dyDescent="0.35">
      <c r="A20" s="575" t="str">
        <f t="shared" si="2"/>
        <v/>
      </c>
      <c r="B20" s="597" t="str">
        <f t="shared" ca="1" si="3"/>
        <v/>
      </c>
      <c r="C20" s="563" t="str">
        <f t="shared" ca="1" si="3"/>
        <v/>
      </c>
      <c r="D20" s="564" t="str">
        <f t="shared" ca="1" si="3"/>
        <v/>
      </c>
      <c r="E20" s="565" t="str">
        <f t="shared" ca="1" si="3"/>
        <v/>
      </c>
      <c r="F20" s="565" t="str">
        <f t="shared" ca="1" si="3"/>
        <v/>
      </c>
      <c r="G20" s="565" t="str">
        <f t="shared" ca="1" si="3"/>
        <v/>
      </c>
      <c r="H20" s="566" t="str">
        <f t="shared" ca="1" si="3"/>
        <v/>
      </c>
      <c r="I20" s="566" t="str">
        <f t="shared" ca="1" si="3"/>
        <v/>
      </c>
      <c r="J20" s="566" t="str">
        <f t="shared" ca="1" si="3"/>
        <v/>
      </c>
      <c r="K20" s="566" t="str">
        <f t="shared" ca="1" si="3"/>
        <v/>
      </c>
      <c r="L20" s="566" t="str">
        <f t="shared" ca="1" si="3"/>
        <v/>
      </c>
      <c r="M20" s="566" t="str">
        <f t="shared" ca="1" si="1"/>
        <v/>
      </c>
      <c r="N20" s="566" t="str">
        <f t="shared" ca="1" si="1"/>
        <v/>
      </c>
      <c r="O20" s="566" t="str">
        <f t="shared" ca="1" si="1"/>
        <v/>
      </c>
      <c r="P20" s="590" t="str">
        <f t="shared" ca="1" si="1"/>
        <v/>
      </c>
      <c r="Q20" s="566" t="str">
        <f t="shared" ca="1" si="1"/>
        <v/>
      </c>
      <c r="R20" s="566" t="str">
        <f t="shared" ca="1" si="1"/>
        <v/>
      </c>
      <c r="S20" s="590" t="str">
        <f t="shared" ca="1" si="1"/>
        <v/>
      </c>
      <c r="T20" s="567" t="str">
        <f t="shared" ca="1" si="1"/>
        <v/>
      </c>
      <c r="U20" s="567" t="str">
        <f t="shared" ca="1" si="1"/>
        <v/>
      </c>
      <c r="V20" s="569" t="str">
        <f t="shared" ca="1" si="4"/>
        <v/>
      </c>
      <c r="W20" s="576" t="str">
        <f>IF($AG20&lt;&gt;"",LOOKUP($AG20,'Digitar Dados de Dens. InSitu'!$AB$5:$AB$5760,'Digitar Dados de Dens. InSitu'!$AC$5:$AC$5760),"")</f>
        <v/>
      </c>
      <c r="X20" s="568" t="str">
        <f>IF($AG20&lt;&gt;"",LOOKUP($AG20,'Digitar Dados de Dens. InSitu'!$AB$5:$AB$5760,'Digitar Dados de Dens. InSitu'!$AG$5:$AG$5760),"")</f>
        <v/>
      </c>
      <c r="Y20" s="567" t="str">
        <f>IF($AG20&lt;&gt;"",LOOKUP($AG20,'Digitar Dados de Dens. InSitu'!$AB$5:$AB$5760,'Digitar Dados de Dens. InSitu'!$AE$5:$AE$5760),"")</f>
        <v/>
      </c>
      <c r="Z20" s="570" t="str">
        <f>IF($AG20&lt;&gt;"",LOOKUP($AG20,'Digitar Dados de Dens. InSitu'!$AB$5:$AB$5760,'Digitar Dados de Dens. InSitu'!$AD$5:$AD$5760),"")</f>
        <v/>
      </c>
      <c r="AA20" s="600" t="str">
        <f>IF($AG20&lt;&gt;"",LOOKUP($AG20,'Digitar Dados de Dens. InSitu'!$AB$5:$AB$5760,'Digitar Dados de Dens. InSitu'!$AI$5:$AI$5760),"")</f>
        <v/>
      </c>
      <c r="AB20" s="571" t="str">
        <f>IF($AG20&lt;&gt;"",LOOKUP($AG20,'Digitar Dados de Dens. InSitu'!$AB$5:$AB$5760,'Digitar Dados de Dens. InSitu'!$AH$5:$AH$5760),"")</f>
        <v/>
      </c>
      <c r="AC20" s="577" t="str">
        <f>IF($AG20&lt;&gt;"",LOOKUP($AG20,'Digitar Dados de Dens. InSitu'!$AB$5:$AB$5760,'Digitar Dados de Dens. InSitu'!$AJ$5:$AJ$5760),"")</f>
        <v/>
      </c>
      <c r="AD20" s="566" t="str">
        <f>IF($AG20&lt;&gt;"",LOOKUP($AG20,'Digitar Dados de Dens. InSitu'!$AB$5:$AB$5760,'Digitar Dados de Dens. InSitu'!$AK$5:$AK$5760),"")</f>
        <v/>
      </c>
      <c r="AE20" s="572"/>
      <c r="AF20" s="573"/>
      <c r="AG20" s="574"/>
      <c r="AM20" s="572">
        <v>10</v>
      </c>
      <c r="AN20" s="572">
        <v>1.21</v>
      </c>
    </row>
    <row r="21" spans="1:40" x14ac:dyDescent="0.35">
      <c r="A21" s="575" t="str">
        <f t="shared" si="2"/>
        <v/>
      </c>
      <c r="B21" s="597" t="str">
        <f t="shared" ca="1" si="3"/>
        <v/>
      </c>
      <c r="C21" s="563" t="str">
        <f t="shared" ca="1" si="3"/>
        <v/>
      </c>
      <c r="D21" s="564" t="str">
        <f t="shared" ca="1" si="3"/>
        <v/>
      </c>
      <c r="E21" s="565" t="str">
        <f t="shared" ca="1" si="3"/>
        <v/>
      </c>
      <c r="F21" s="565" t="str">
        <f t="shared" ca="1" si="3"/>
        <v/>
      </c>
      <c r="G21" s="565" t="str">
        <f t="shared" ca="1" si="3"/>
        <v/>
      </c>
      <c r="H21" s="566" t="str">
        <f t="shared" ca="1" si="3"/>
        <v/>
      </c>
      <c r="I21" s="566" t="str">
        <f t="shared" ca="1" si="3"/>
        <v/>
      </c>
      <c r="J21" s="566" t="str">
        <f t="shared" ca="1" si="3"/>
        <v/>
      </c>
      <c r="K21" s="566" t="str">
        <f t="shared" ca="1" si="3"/>
        <v/>
      </c>
      <c r="L21" s="566" t="str">
        <f t="shared" ca="1" si="3"/>
        <v/>
      </c>
      <c r="M21" s="566" t="str">
        <f t="shared" ca="1" si="1"/>
        <v/>
      </c>
      <c r="N21" s="566" t="str">
        <f t="shared" ca="1" si="1"/>
        <v/>
      </c>
      <c r="O21" s="566" t="str">
        <f t="shared" ca="1" si="1"/>
        <v/>
      </c>
      <c r="P21" s="590" t="str">
        <f t="shared" ca="1" si="1"/>
        <v/>
      </c>
      <c r="Q21" s="566" t="str">
        <f t="shared" ca="1" si="1"/>
        <v/>
      </c>
      <c r="R21" s="566" t="str">
        <f t="shared" ca="1" si="1"/>
        <v/>
      </c>
      <c r="S21" s="590" t="str">
        <f t="shared" ca="1" si="1"/>
        <v/>
      </c>
      <c r="T21" s="567" t="str">
        <f t="shared" ca="1" si="1"/>
        <v/>
      </c>
      <c r="U21" s="567" t="str">
        <f t="shared" ca="1" si="1"/>
        <v/>
      </c>
      <c r="V21" s="569" t="str">
        <f t="shared" ca="1" si="4"/>
        <v/>
      </c>
      <c r="W21" s="576" t="str">
        <f>IF($AG21&lt;&gt;"",LOOKUP($AG21,'Digitar Dados de Dens. InSitu'!$AB$5:$AB$5760,'Digitar Dados de Dens. InSitu'!$AC$5:$AC$5760),"")</f>
        <v/>
      </c>
      <c r="X21" s="568" t="str">
        <f>IF($AG21&lt;&gt;"",LOOKUP($AG21,'Digitar Dados de Dens. InSitu'!$AB$5:$AB$5760,'Digitar Dados de Dens. InSitu'!$AG$5:$AG$5760),"")</f>
        <v/>
      </c>
      <c r="Y21" s="567" t="str">
        <f>IF($AG21&lt;&gt;"",LOOKUP($AG21,'Digitar Dados de Dens. InSitu'!$AB$5:$AB$5760,'Digitar Dados de Dens. InSitu'!$AE$5:$AE$5760),"")</f>
        <v/>
      </c>
      <c r="Z21" s="570" t="str">
        <f>IF($AG21&lt;&gt;"",LOOKUP($AG21,'Digitar Dados de Dens. InSitu'!$AB$5:$AB$5760,'Digitar Dados de Dens. InSitu'!$AD$5:$AD$5760),"")</f>
        <v/>
      </c>
      <c r="AA21" s="600" t="str">
        <f>IF($AG21&lt;&gt;"",LOOKUP($AG21,'Digitar Dados de Dens. InSitu'!$AB$5:$AB$5760,'Digitar Dados de Dens. InSitu'!$AI$5:$AI$5760),"")</f>
        <v/>
      </c>
      <c r="AB21" s="571" t="str">
        <f>IF($AG21&lt;&gt;"",LOOKUP($AG21,'Digitar Dados de Dens. InSitu'!$AB$5:$AB$5760,'Digitar Dados de Dens. InSitu'!$AH$5:$AH$5760),"")</f>
        <v/>
      </c>
      <c r="AC21" s="577" t="str">
        <f>IF($AG21&lt;&gt;"",LOOKUP($AG21,'Digitar Dados de Dens. InSitu'!$AB$5:$AB$5760,'Digitar Dados de Dens. InSitu'!$AJ$5:$AJ$5760),"")</f>
        <v/>
      </c>
      <c r="AD21" s="566" t="str">
        <f>IF($AG21&lt;&gt;"",LOOKUP($AG21,'Digitar Dados de Dens. InSitu'!$AB$5:$AB$5760,'Digitar Dados de Dens. InSitu'!$AK$5:$AK$5760),"")</f>
        <v/>
      </c>
      <c r="AE21" s="572"/>
      <c r="AF21" s="573"/>
      <c r="AG21" s="574"/>
      <c r="AM21" s="572">
        <v>11</v>
      </c>
      <c r="AN21" s="572">
        <v>1.19</v>
      </c>
    </row>
    <row r="22" spans="1:40" x14ac:dyDescent="0.35">
      <c r="A22" s="575" t="str">
        <f t="shared" si="2"/>
        <v/>
      </c>
      <c r="B22" s="597" t="str">
        <f t="shared" ca="1" si="3"/>
        <v/>
      </c>
      <c r="C22" s="563" t="str">
        <f t="shared" ca="1" si="3"/>
        <v/>
      </c>
      <c r="D22" s="564" t="str">
        <f t="shared" ca="1" si="3"/>
        <v/>
      </c>
      <c r="E22" s="565" t="str">
        <f t="shared" ca="1" si="3"/>
        <v/>
      </c>
      <c r="F22" s="565" t="str">
        <f t="shared" ca="1" si="3"/>
        <v/>
      </c>
      <c r="G22" s="565" t="str">
        <f t="shared" ca="1" si="3"/>
        <v/>
      </c>
      <c r="H22" s="566" t="str">
        <f t="shared" ca="1" si="3"/>
        <v/>
      </c>
      <c r="I22" s="566" t="str">
        <f t="shared" ca="1" si="3"/>
        <v/>
      </c>
      <c r="J22" s="566" t="str">
        <f t="shared" ca="1" si="3"/>
        <v/>
      </c>
      <c r="K22" s="566" t="str">
        <f t="shared" ca="1" si="3"/>
        <v/>
      </c>
      <c r="L22" s="566" t="str">
        <f t="shared" ca="1" si="3"/>
        <v/>
      </c>
      <c r="M22" s="566" t="str">
        <f t="shared" ca="1" si="1"/>
        <v/>
      </c>
      <c r="N22" s="566" t="str">
        <f t="shared" ca="1" si="1"/>
        <v/>
      </c>
      <c r="O22" s="566" t="str">
        <f t="shared" ca="1" si="1"/>
        <v/>
      </c>
      <c r="P22" s="590" t="str">
        <f t="shared" ca="1" si="1"/>
        <v/>
      </c>
      <c r="Q22" s="566" t="str">
        <f t="shared" ca="1" si="1"/>
        <v/>
      </c>
      <c r="R22" s="566" t="str">
        <f t="shared" ca="1" si="1"/>
        <v/>
      </c>
      <c r="S22" s="590" t="str">
        <f t="shared" ca="1" si="1"/>
        <v/>
      </c>
      <c r="T22" s="567" t="str">
        <f t="shared" ca="1" si="1"/>
        <v/>
      </c>
      <c r="U22" s="567" t="str">
        <f t="shared" ca="1" si="1"/>
        <v/>
      </c>
      <c r="V22" s="569" t="str">
        <f t="shared" ca="1" si="4"/>
        <v/>
      </c>
      <c r="W22" s="576" t="str">
        <f>IF($AG22&lt;&gt;"",LOOKUP($AG22,'Digitar Dados de Dens. InSitu'!$AB$5:$AB$5760,'Digitar Dados de Dens. InSitu'!$AC$5:$AC$5760),"")</f>
        <v/>
      </c>
      <c r="X22" s="568" t="str">
        <f>IF($AG22&lt;&gt;"",LOOKUP($AG22,'Digitar Dados de Dens. InSitu'!$AB$5:$AB$5760,'Digitar Dados de Dens. InSitu'!$AG$5:$AG$5760),"")</f>
        <v/>
      </c>
      <c r="Y22" s="567" t="str">
        <f>IF($AG22&lt;&gt;"",LOOKUP($AG22,'Digitar Dados de Dens. InSitu'!$AB$5:$AB$5760,'Digitar Dados de Dens. InSitu'!$AE$5:$AE$5760),"")</f>
        <v/>
      </c>
      <c r="Z22" s="570" t="str">
        <f>IF($AG22&lt;&gt;"",LOOKUP($AG22,'Digitar Dados de Dens. InSitu'!$AB$5:$AB$5760,'Digitar Dados de Dens. InSitu'!$AD$5:$AD$5760),"")</f>
        <v/>
      </c>
      <c r="AA22" s="600" t="str">
        <f>IF($AG22&lt;&gt;"",LOOKUP($AG22,'Digitar Dados de Dens. InSitu'!$AB$5:$AB$5760,'Digitar Dados de Dens. InSitu'!$AI$5:$AI$5760),"")</f>
        <v/>
      </c>
      <c r="AB22" s="571" t="str">
        <f>IF($AG22&lt;&gt;"",LOOKUP($AG22,'Digitar Dados de Dens. InSitu'!$AB$5:$AB$5760,'Digitar Dados de Dens. InSitu'!$AH$5:$AH$5760),"")</f>
        <v/>
      </c>
      <c r="AC22" s="577" t="str">
        <f>IF($AG22&lt;&gt;"",LOOKUP($AG22,'Digitar Dados de Dens. InSitu'!$AB$5:$AB$5760,'Digitar Dados de Dens. InSitu'!$AJ$5:$AJ$5760),"")</f>
        <v/>
      </c>
      <c r="AD22" s="566" t="str">
        <f>IF($AG22&lt;&gt;"",LOOKUP($AG22,'Digitar Dados de Dens. InSitu'!$AB$5:$AB$5760,'Digitar Dados de Dens. InSitu'!$AK$5:$AK$5760),"")</f>
        <v/>
      </c>
      <c r="AE22" s="572"/>
      <c r="AF22" s="573"/>
      <c r="AG22" s="574"/>
      <c r="AM22" s="572">
        <v>12</v>
      </c>
      <c r="AN22" s="572">
        <v>1.1599999999999999</v>
      </c>
    </row>
    <row r="23" spans="1:40" ht="12" customHeight="1" x14ac:dyDescent="0.35">
      <c r="A23" s="575" t="str">
        <f t="shared" si="2"/>
        <v/>
      </c>
      <c r="B23" s="597" t="str">
        <f t="shared" ca="1" si="3"/>
        <v/>
      </c>
      <c r="C23" s="563" t="str">
        <f t="shared" ca="1" si="3"/>
        <v/>
      </c>
      <c r="D23" s="564" t="str">
        <f t="shared" ca="1" si="3"/>
        <v/>
      </c>
      <c r="E23" s="565" t="str">
        <f t="shared" ca="1" si="3"/>
        <v/>
      </c>
      <c r="F23" s="565" t="str">
        <f t="shared" ca="1" si="3"/>
        <v/>
      </c>
      <c r="G23" s="565" t="str">
        <f t="shared" ca="1" si="3"/>
        <v/>
      </c>
      <c r="H23" s="566" t="str">
        <f t="shared" ca="1" si="3"/>
        <v/>
      </c>
      <c r="I23" s="566" t="str">
        <f t="shared" ca="1" si="3"/>
        <v/>
      </c>
      <c r="J23" s="566" t="str">
        <f t="shared" ca="1" si="3"/>
        <v/>
      </c>
      <c r="K23" s="566" t="str">
        <f t="shared" ca="1" si="3"/>
        <v/>
      </c>
      <c r="L23" s="566" t="str">
        <f t="shared" ca="1" si="3"/>
        <v/>
      </c>
      <c r="M23" s="566" t="str">
        <f t="shared" ca="1" si="1"/>
        <v/>
      </c>
      <c r="N23" s="566" t="str">
        <f t="shared" ca="1" si="1"/>
        <v/>
      </c>
      <c r="O23" s="566" t="str">
        <f t="shared" ca="1" si="1"/>
        <v/>
      </c>
      <c r="P23" s="590" t="str">
        <f t="shared" ca="1" si="1"/>
        <v/>
      </c>
      <c r="Q23" s="566" t="str">
        <f t="shared" ca="1" si="1"/>
        <v/>
      </c>
      <c r="R23" s="566" t="str">
        <f t="shared" ca="1" si="1"/>
        <v/>
      </c>
      <c r="S23" s="590" t="str">
        <f t="shared" ca="1" si="1"/>
        <v/>
      </c>
      <c r="T23" s="567" t="str">
        <f t="shared" ca="1" si="1"/>
        <v/>
      </c>
      <c r="U23" s="567" t="str">
        <f t="shared" ca="1" si="1"/>
        <v/>
      </c>
      <c r="V23" s="569" t="str">
        <f t="shared" ca="1" si="4"/>
        <v/>
      </c>
      <c r="W23" s="576" t="str">
        <f>IF($AG23&lt;&gt;"",LOOKUP($AG23,'Digitar Dados de Dens. InSitu'!$AB$5:$AB$5760,'Digitar Dados de Dens. InSitu'!$AC$5:$AC$5760),"")</f>
        <v/>
      </c>
      <c r="X23" s="568" t="str">
        <f>IF($AG23&lt;&gt;"",LOOKUP($AG23,'Digitar Dados de Dens. InSitu'!$AB$5:$AB$5760,'Digitar Dados de Dens. InSitu'!$AG$5:$AG$5760),"")</f>
        <v/>
      </c>
      <c r="Y23" s="567" t="str">
        <f>IF($AG23&lt;&gt;"",LOOKUP($AG23,'Digitar Dados de Dens. InSitu'!$AB$5:$AB$5760,'Digitar Dados de Dens. InSitu'!$AE$5:$AE$5760),"")</f>
        <v/>
      </c>
      <c r="Z23" s="570" t="str">
        <f>IF($AG23&lt;&gt;"",LOOKUP($AG23,'Digitar Dados de Dens. InSitu'!$AB$5:$AB$5760,'Digitar Dados de Dens. InSitu'!$AD$5:$AD$5760),"")</f>
        <v/>
      </c>
      <c r="AA23" s="600" t="str">
        <f>IF($AG23&lt;&gt;"",LOOKUP($AG23,'Digitar Dados de Dens. InSitu'!$AB$5:$AB$5760,'Digitar Dados de Dens. InSitu'!$AI$5:$AI$5760),"")</f>
        <v/>
      </c>
      <c r="AB23" s="571" t="str">
        <f>IF($AG23&lt;&gt;"",LOOKUP($AG23,'Digitar Dados de Dens. InSitu'!$AB$5:$AB$5760,'Digitar Dados de Dens. InSitu'!$AH$5:$AH$5760),"")</f>
        <v/>
      </c>
      <c r="AC23" s="577" t="str">
        <f>IF($AG23&lt;&gt;"",LOOKUP($AG23,'Digitar Dados de Dens. InSitu'!$AB$5:$AB$5760,'Digitar Dados de Dens. InSitu'!$AJ$5:$AJ$5760),"")</f>
        <v/>
      </c>
      <c r="AD23" s="566" t="str">
        <f>IF($AG23&lt;&gt;"",LOOKUP($AG23,'Digitar Dados de Dens. InSitu'!$AB$5:$AB$5760,'Digitar Dados de Dens. InSitu'!$AK$5:$AK$5760),"")</f>
        <v/>
      </c>
      <c r="AE23" s="572"/>
      <c r="AF23" s="573"/>
      <c r="AG23" s="574"/>
      <c r="AM23" s="572">
        <v>13</v>
      </c>
      <c r="AN23" s="572">
        <v>1.1299999999999999</v>
      </c>
    </row>
    <row r="24" spans="1:40" x14ac:dyDescent="0.35">
      <c r="A24" s="575" t="str">
        <f t="shared" si="2"/>
        <v/>
      </c>
      <c r="B24" s="597" t="str">
        <f t="shared" ca="1" si="3"/>
        <v/>
      </c>
      <c r="C24" s="563" t="str">
        <f t="shared" ca="1" si="3"/>
        <v/>
      </c>
      <c r="D24" s="564" t="str">
        <f t="shared" ca="1" si="3"/>
        <v/>
      </c>
      <c r="E24" s="565" t="str">
        <f t="shared" ca="1" si="3"/>
        <v/>
      </c>
      <c r="F24" s="565" t="str">
        <f t="shared" ca="1" si="3"/>
        <v/>
      </c>
      <c r="G24" s="565" t="str">
        <f t="shared" ca="1" si="3"/>
        <v/>
      </c>
      <c r="H24" s="566" t="str">
        <f t="shared" ca="1" si="3"/>
        <v/>
      </c>
      <c r="I24" s="566" t="str">
        <f t="shared" ca="1" si="3"/>
        <v/>
      </c>
      <c r="J24" s="566" t="str">
        <f t="shared" ca="1" si="3"/>
        <v/>
      </c>
      <c r="K24" s="566" t="str">
        <f t="shared" ca="1" si="3"/>
        <v/>
      </c>
      <c r="L24" s="566" t="str">
        <f t="shared" ca="1" si="3"/>
        <v/>
      </c>
      <c r="M24" s="566" t="str">
        <f t="shared" ca="1" si="3"/>
        <v/>
      </c>
      <c r="N24" s="566" t="str">
        <f t="shared" ca="1" si="3"/>
        <v/>
      </c>
      <c r="O24" s="566" t="str">
        <f t="shared" ca="1" si="3"/>
        <v/>
      </c>
      <c r="P24" s="590" t="str">
        <f t="shared" ca="1" si="3"/>
        <v/>
      </c>
      <c r="Q24" s="566" t="str">
        <f t="shared" ca="1" si="3"/>
        <v/>
      </c>
      <c r="R24" s="566" t="str">
        <f ca="1">IF($A24="","",IF(INDIRECT(ADDRESS($A24,R$1,,,"Digitar Dados dos Ensaios"))&lt;&gt;"",INDIRECT(ADDRESS($A24,R$1,,,"Digitar Dados dos Ensaios")),""))</f>
        <v/>
      </c>
      <c r="S24" s="590" t="str">
        <f t="shared" ref="M24:U28" ca="1" si="5">IF($A24="","",IF(INDIRECT(ADDRESS($A24,S$1,,,"Digitar Dados dos Ensaios"))&lt;&gt;"",INDIRECT(ADDRESS($A24,S$1,,,"Digitar Dados dos Ensaios")),""))</f>
        <v/>
      </c>
      <c r="T24" s="567" t="str">
        <f t="shared" ca="1" si="5"/>
        <v/>
      </c>
      <c r="U24" s="567" t="str">
        <f t="shared" ca="1" si="5"/>
        <v/>
      </c>
      <c r="V24" s="569" t="str">
        <f t="shared" ca="1" si="4"/>
        <v/>
      </c>
      <c r="W24" s="576" t="str">
        <f>IF($AG24&lt;&gt;"",LOOKUP($AG24,'Digitar Dados de Dens. InSitu'!$AB$5:$AB$5760,'Digitar Dados de Dens. InSitu'!$AC$5:$AC$5760),"")</f>
        <v/>
      </c>
      <c r="X24" s="568" t="str">
        <f>IF($AG24&lt;&gt;"",LOOKUP($AG24,'Digitar Dados de Dens. InSitu'!$AB$5:$AB$5760,'Digitar Dados de Dens. InSitu'!$AG$5:$AG$5760),"")</f>
        <v/>
      </c>
      <c r="Y24" s="567" t="str">
        <f>IF($AG24&lt;&gt;"",LOOKUP($AG24,'Digitar Dados de Dens. InSitu'!$AB$5:$AB$5760,'Digitar Dados de Dens. InSitu'!$AE$5:$AE$5760),"")</f>
        <v/>
      </c>
      <c r="Z24" s="570" t="str">
        <f>IF($AG24&lt;&gt;"",LOOKUP($AG24,'Digitar Dados de Dens. InSitu'!$AB$5:$AB$5760,'Digitar Dados de Dens. InSitu'!$AD$5:$AD$5760),"")</f>
        <v/>
      </c>
      <c r="AA24" s="600" t="str">
        <f>IF($AG24&lt;&gt;"",LOOKUP($AG24,'Digitar Dados de Dens. InSitu'!$AB$5:$AB$5760,'Digitar Dados de Dens. InSitu'!$AI$5:$AI$5760),"")</f>
        <v/>
      </c>
      <c r="AB24" s="571" t="str">
        <f>IF($AG24&lt;&gt;"",LOOKUP($AG24,'Digitar Dados de Dens. InSitu'!$AB$5:$AB$5760,'Digitar Dados de Dens. InSitu'!$AH$5:$AH$5760),"")</f>
        <v/>
      </c>
      <c r="AC24" s="577" t="str">
        <f>IF($AG24&lt;&gt;"",LOOKUP($AG24,'Digitar Dados de Dens. InSitu'!$AB$5:$AB$5760,'Digitar Dados de Dens. InSitu'!$AJ$5:$AJ$5760),"")</f>
        <v/>
      </c>
      <c r="AD24" s="566" t="str">
        <f>IF($AG24&lt;&gt;"",LOOKUP($AG24,'Digitar Dados de Dens. InSitu'!$AB$5:$AB$5760,'Digitar Dados de Dens. InSitu'!$AK$5:$AK$5760),"")</f>
        <v/>
      </c>
      <c r="AE24" s="572"/>
      <c r="AF24" s="573"/>
      <c r="AG24" s="574"/>
      <c r="AM24" s="572">
        <v>14</v>
      </c>
      <c r="AN24" s="572">
        <v>1.1100000000000001</v>
      </c>
    </row>
    <row r="25" spans="1:40" x14ac:dyDescent="0.35">
      <c r="A25" s="575" t="str">
        <f t="shared" si="2"/>
        <v/>
      </c>
      <c r="B25" s="597" t="str">
        <f t="shared" ca="1" si="3"/>
        <v/>
      </c>
      <c r="C25" s="563" t="str">
        <f t="shared" ca="1" si="3"/>
        <v/>
      </c>
      <c r="D25" s="564" t="str">
        <f t="shared" ca="1" si="3"/>
        <v/>
      </c>
      <c r="E25" s="565" t="str">
        <f t="shared" ca="1" si="3"/>
        <v/>
      </c>
      <c r="F25" s="565" t="str">
        <f t="shared" ca="1" si="3"/>
        <v/>
      </c>
      <c r="G25" s="565" t="str">
        <f t="shared" ca="1" si="3"/>
        <v/>
      </c>
      <c r="H25" s="566" t="str">
        <f t="shared" ca="1" si="3"/>
        <v/>
      </c>
      <c r="I25" s="566" t="str">
        <f t="shared" ca="1" si="3"/>
        <v/>
      </c>
      <c r="J25" s="566" t="str">
        <f t="shared" ca="1" si="3"/>
        <v/>
      </c>
      <c r="K25" s="566" t="str">
        <f t="shared" ca="1" si="3"/>
        <v/>
      </c>
      <c r="L25" s="566" t="str">
        <f t="shared" ca="1" si="3"/>
        <v/>
      </c>
      <c r="M25" s="566" t="str">
        <f t="shared" ca="1" si="5"/>
        <v/>
      </c>
      <c r="N25" s="566" t="str">
        <f t="shared" ca="1" si="5"/>
        <v/>
      </c>
      <c r="O25" s="566" t="str">
        <f t="shared" ca="1" si="5"/>
        <v/>
      </c>
      <c r="P25" s="590" t="str">
        <f t="shared" ca="1" si="3"/>
        <v/>
      </c>
      <c r="Q25" s="566" t="str">
        <f t="shared" ca="1" si="5"/>
        <v/>
      </c>
      <c r="R25" s="566" t="str">
        <f ca="1">IF($A25="","",IF(INDIRECT(ADDRESS($A25,R$1,,,"Digitar Dados dos Ensaios"))&lt;&gt;"",INDIRECT(ADDRESS($A25,R$1,,,"Digitar Dados dos Ensaios")),""))</f>
        <v/>
      </c>
      <c r="S25" s="590" t="str">
        <f t="shared" ca="1" si="5"/>
        <v/>
      </c>
      <c r="T25" s="567" t="str">
        <f t="shared" ca="1" si="5"/>
        <v/>
      </c>
      <c r="U25" s="567" t="str">
        <f t="shared" ca="1" si="5"/>
        <v/>
      </c>
      <c r="V25" s="569" t="str">
        <f t="shared" ca="1" si="4"/>
        <v/>
      </c>
      <c r="W25" s="576" t="str">
        <f>IF($AG25&lt;&gt;"",LOOKUP($AG25,'Digitar Dados de Dens. InSitu'!$AB$5:$AB$5760,'Digitar Dados de Dens. InSitu'!$AC$5:$AC$5760),"")</f>
        <v/>
      </c>
      <c r="X25" s="568" t="str">
        <f>IF($AG25&lt;&gt;"",LOOKUP($AG25,'Digitar Dados de Dens. InSitu'!$AB$5:$AB$5760,'Digitar Dados de Dens. InSitu'!$AG$5:$AG$5760),"")</f>
        <v/>
      </c>
      <c r="Y25" s="567" t="str">
        <f>IF($AG25&lt;&gt;"",LOOKUP($AG25,'Digitar Dados de Dens. InSitu'!$AB$5:$AB$5760,'Digitar Dados de Dens. InSitu'!$AE$5:$AE$5760),"")</f>
        <v/>
      </c>
      <c r="Z25" s="570" t="str">
        <f>IF($AG25&lt;&gt;"",LOOKUP($AG25,'Digitar Dados de Dens. InSitu'!$AB$5:$AB$5760,'Digitar Dados de Dens. InSitu'!$AD$5:$AD$5760),"")</f>
        <v/>
      </c>
      <c r="AA25" s="600" t="str">
        <f>IF($AG25&lt;&gt;"",LOOKUP($AG25,'Digitar Dados de Dens. InSitu'!$AB$5:$AB$5760,'Digitar Dados de Dens. InSitu'!$AI$5:$AI$5760),"")</f>
        <v/>
      </c>
      <c r="AB25" s="571" t="str">
        <f>IF($AG25&lt;&gt;"",LOOKUP($AG25,'Digitar Dados de Dens. InSitu'!$AB$5:$AB$5760,'Digitar Dados de Dens. InSitu'!$AH$5:$AH$5760),"")</f>
        <v/>
      </c>
      <c r="AC25" s="577" t="str">
        <f>IF($AG25&lt;&gt;"",LOOKUP($AG25,'Digitar Dados de Dens. InSitu'!$AB$5:$AB$5760,'Digitar Dados de Dens. InSitu'!$AJ$5:$AJ$5760),"")</f>
        <v/>
      </c>
      <c r="AD25" s="566" t="str">
        <f>IF($AG25&lt;&gt;"",LOOKUP($AG25,'Digitar Dados de Dens. InSitu'!$AB$5:$AB$5760,'Digitar Dados de Dens. InSitu'!$AK$5:$AK$5760),"")</f>
        <v/>
      </c>
      <c r="AE25" s="572"/>
      <c r="AF25" s="573"/>
      <c r="AG25" s="574"/>
      <c r="AM25" s="572">
        <v>15</v>
      </c>
      <c r="AN25" s="572">
        <v>1.1000000000000001</v>
      </c>
    </row>
    <row r="26" spans="1:40" x14ac:dyDescent="0.35">
      <c r="A26" s="575" t="str">
        <f t="shared" si="2"/>
        <v/>
      </c>
      <c r="B26" s="597" t="str">
        <f t="shared" ca="1" si="3"/>
        <v/>
      </c>
      <c r="C26" s="563" t="str">
        <f t="shared" ca="1" si="3"/>
        <v/>
      </c>
      <c r="D26" s="564" t="str">
        <f t="shared" ca="1" si="3"/>
        <v/>
      </c>
      <c r="E26" s="565" t="str">
        <f t="shared" ca="1" si="3"/>
        <v/>
      </c>
      <c r="F26" s="565" t="str">
        <f t="shared" ca="1" si="3"/>
        <v/>
      </c>
      <c r="G26" s="565" t="str">
        <f t="shared" ca="1" si="3"/>
        <v/>
      </c>
      <c r="H26" s="566" t="str">
        <f t="shared" ca="1" si="3"/>
        <v/>
      </c>
      <c r="I26" s="566" t="str">
        <f t="shared" ca="1" si="3"/>
        <v/>
      </c>
      <c r="J26" s="566" t="str">
        <f t="shared" ca="1" si="3"/>
        <v/>
      </c>
      <c r="K26" s="566" t="str">
        <f t="shared" ca="1" si="3"/>
        <v/>
      </c>
      <c r="L26" s="566" t="str">
        <f t="shared" ca="1" si="3"/>
        <v/>
      </c>
      <c r="M26" s="566" t="str">
        <f t="shared" ca="1" si="5"/>
        <v/>
      </c>
      <c r="N26" s="566" t="str">
        <f t="shared" ca="1" si="5"/>
        <v/>
      </c>
      <c r="O26" s="566" t="str">
        <f t="shared" ca="1" si="5"/>
        <v/>
      </c>
      <c r="P26" s="590" t="str">
        <f t="shared" ca="1" si="3"/>
        <v/>
      </c>
      <c r="Q26" s="566" t="str">
        <f t="shared" ca="1" si="5"/>
        <v/>
      </c>
      <c r="R26" s="566" t="str">
        <f ca="1">IF($A26="","",IF(INDIRECT(ADDRESS($A26,R$1,,,"Digitar Dados dos Ensaios"))&lt;&gt;"",INDIRECT(ADDRESS($A26,R$1,,,"Digitar Dados dos Ensaios")),""))</f>
        <v/>
      </c>
      <c r="S26" s="590" t="str">
        <f t="shared" ca="1" si="5"/>
        <v/>
      </c>
      <c r="T26" s="567" t="str">
        <f t="shared" ca="1" si="5"/>
        <v/>
      </c>
      <c r="U26" s="567" t="str">
        <f t="shared" ca="1" si="5"/>
        <v/>
      </c>
      <c r="V26" s="569" t="str">
        <f t="shared" ca="1" si="4"/>
        <v/>
      </c>
      <c r="W26" s="576" t="str">
        <f>IF($AG26&lt;&gt;"",LOOKUP($AG26,'Digitar Dados de Dens. InSitu'!$AB$5:$AB$5760,'Digitar Dados de Dens. InSitu'!$AC$5:$AC$5760),"")</f>
        <v/>
      </c>
      <c r="X26" s="568" t="str">
        <f>IF($AG26&lt;&gt;"",LOOKUP($AG26,'Digitar Dados de Dens. InSitu'!$AB$5:$AB$5760,'Digitar Dados de Dens. InSitu'!$AG$5:$AG$5760),"")</f>
        <v/>
      </c>
      <c r="Y26" s="567" t="str">
        <f>IF($AG26&lt;&gt;"",LOOKUP($AG26,'Digitar Dados de Dens. InSitu'!$AB$5:$AB$5760,'Digitar Dados de Dens. InSitu'!$AE$5:$AE$5760),"")</f>
        <v/>
      </c>
      <c r="Z26" s="570" t="str">
        <f>IF($AG26&lt;&gt;"",LOOKUP($AG26,'Digitar Dados de Dens. InSitu'!$AB$5:$AB$5760,'Digitar Dados de Dens. InSitu'!$AD$5:$AD$5760),"")</f>
        <v/>
      </c>
      <c r="AA26" s="600" t="str">
        <f>IF($AG26&lt;&gt;"",LOOKUP($AG26,'Digitar Dados de Dens. InSitu'!$AB$5:$AB$5760,'Digitar Dados de Dens. InSitu'!$AI$5:$AI$5760),"")</f>
        <v/>
      </c>
      <c r="AB26" s="571" t="str">
        <f>IF($AG26&lt;&gt;"",LOOKUP($AG26,'Digitar Dados de Dens. InSitu'!$AB$5:$AB$5760,'Digitar Dados de Dens. InSitu'!$AH$5:$AH$5760),"")</f>
        <v/>
      </c>
      <c r="AC26" s="577" t="str">
        <f>IF($AG26&lt;&gt;"",LOOKUP($AG26,'Digitar Dados de Dens. InSitu'!$AB$5:$AB$5760,'Digitar Dados de Dens. InSitu'!$AJ$5:$AJ$5760),"")</f>
        <v/>
      </c>
      <c r="AD26" s="566" t="str">
        <f>IF($AG26&lt;&gt;"",LOOKUP($AG26,'Digitar Dados de Dens. InSitu'!$AB$5:$AB$5760,'Digitar Dados de Dens. InSitu'!$AK$5:$AK$5760),"")</f>
        <v/>
      </c>
      <c r="AE26" s="572"/>
      <c r="AF26" s="573"/>
      <c r="AG26" s="574"/>
      <c r="AM26" s="572">
        <v>16</v>
      </c>
      <c r="AN26" s="572">
        <v>1.08</v>
      </c>
    </row>
    <row r="27" spans="1:40" x14ac:dyDescent="0.35">
      <c r="A27" s="575" t="str">
        <f t="shared" si="2"/>
        <v/>
      </c>
      <c r="B27" s="597" t="str">
        <f t="shared" ca="1" si="3"/>
        <v/>
      </c>
      <c r="C27" s="563" t="str">
        <f t="shared" ca="1" si="3"/>
        <v/>
      </c>
      <c r="D27" s="564" t="str">
        <f t="shared" ca="1" si="3"/>
        <v/>
      </c>
      <c r="E27" s="565" t="str">
        <f t="shared" ca="1" si="3"/>
        <v/>
      </c>
      <c r="F27" s="565" t="str">
        <f t="shared" ca="1" si="3"/>
        <v/>
      </c>
      <c r="G27" s="565" t="str">
        <f t="shared" ca="1" si="3"/>
        <v/>
      </c>
      <c r="H27" s="566" t="str">
        <f t="shared" ca="1" si="3"/>
        <v/>
      </c>
      <c r="I27" s="566" t="str">
        <f t="shared" ca="1" si="3"/>
        <v/>
      </c>
      <c r="J27" s="566" t="str">
        <f t="shared" ca="1" si="3"/>
        <v/>
      </c>
      <c r="K27" s="566" t="str">
        <f t="shared" ca="1" si="3"/>
        <v/>
      </c>
      <c r="L27" s="566" t="str">
        <f t="shared" ca="1" si="3"/>
        <v/>
      </c>
      <c r="M27" s="566" t="str">
        <f t="shared" ca="1" si="5"/>
        <v/>
      </c>
      <c r="N27" s="566" t="str">
        <f t="shared" ca="1" si="5"/>
        <v/>
      </c>
      <c r="O27" s="566" t="str">
        <f t="shared" ca="1" si="5"/>
        <v/>
      </c>
      <c r="P27" s="590" t="str">
        <f t="shared" ca="1" si="3"/>
        <v/>
      </c>
      <c r="Q27" s="566" t="str">
        <f t="shared" ca="1" si="5"/>
        <v/>
      </c>
      <c r="R27" s="566" t="str">
        <f ca="1">IF($A27="","",IF(INDIRECT(ADDRESS($A27,R$1,,,"Digitar Dados dos Ensaios"))&lt;&gt;"",INDIRECT(ADDRESS($A27,R$1,,,"Digitar Dados dos Ensaios")),""))</f>
        <v/>
      </c>
      <c r="S27" s="590" t="str">
        <f t="shared" ca="1" si="5"/>
        <v/>
      </c>
      <c r="T27" s="567" t="str">
        <f t="shared" ca="1" si="5"/>
        <v/>
      </c>
      <c r="U27" s="567" t="str">
        <f t="shared" ca="1" si="5"/>
        <v/>
      </c>
      <c r="V27" s="569" t="str">
        <f t="shared" ca="1" si="4"/>
        <v/>
      </c>
      <c r="W27" s="576" t="str">
        <f>IF($AG27&lt;&gt;"",LOOKUP($AG27,'Digitar Dados de Dens. InSitu'!$AB$5:$AB$5760,'Digitar Dados de Dens. InSitu'!$AC$5:$AC$5760),"")</f>
        <v/>
      </c>
      <c r="X27" s="568" t="str">
        <f>IF($AG27&lt;&gt;"",LOOKUP($AG27,'Digitar Dados de Dens. InSitu'!$AB$5:$AB$5760,'Digitar Dados de Dens. InSitu'!$AG$5:$AG$5760),"")</f>
        <v/>
      </c>
      <c r="Y27" s="567" t="str">
        <f>IF($AG27&lt;&gt;"",LOOKUP($AG27,'Digitar Dados de Dens. InSitu'!$AB$5:$AB$5760,'Digitar Dados de Dens. InSitu'!$AE$5:$AE$5760),"")</f>
        <v/>
      </c>
      <c r="Z27" s="570" t="str">
        <f>IF($AG27&lt;&gt;"",LOOKUP($AG27,'Digitar Dados de Dens. InSitu'!$AB$5:$AB$5760,'Digitar Dados de Dens. InSitu'!$AD$5:$AD$5760),"")</f>
        <v/>
      </c>
      <c r="AA27" s="600" t="str">
        <f>IF($AG27&lt;&gt;"",LOOKUP($AG27,'Digitar Dados de Dens. InSitu'!$AB$5:$AB$5760,'Digitar Dados de Dens. InSitu'!$AI$5:$AI$5760),"")</f>
        <v/>
      </c>
      <c r="AB27" s="571" t="str">
        <f>IF($AG27&lt;&gt;"",LOOKUP($AG27,'Digitar Dados de Dens. InSitu'!$AB$5:$AB$5760,'Digitar Dados de Dens. InSitu'!$AH$5:$AH$5760),"")</f>
        <v/>
      </c>
      <c r="AC27" s="577" t="str">
        <f>IF($AG27&lt;&gt;"",LOOKUP($AG27,'Digitar Dados de Dens. InSitu'!$AB$5:$AB$5760,'Digitar Dados de Dens. InSitu'!$AJ$5:$AJ$5760),"")</f>
        <v/>
      </c>
      <c r="AD27" s="566" t="str">
        <f>IF($AG27&lt;&gt;"",LOOKUP($AG27,'Digitar Dados de Dens. InSitu'!$AB$5:$AB$5760,'Digitar Dados de Dens. InSitu'!$AK$5:$AK$5760),"")</f>
        <v/>
      </c>
      <c r="AE27" s="572"/>
      <c r="AF27" s="573"/>
      <c r="AG27" s="574"/>
      <c r="AM27" s="572">
        <v>17</v>
      </c>
      <c r="AN27" s="572">
        <v>1.06</v>
      </c>
    </row>
    <row r="28" spans="1:40" x14ac:dyDescent="0.35">
      <c r="A28" s="575" t="str">
        <f t="shared" si="2"/>
        <v/>
      </c>
      <c r="B28" s="597" t="str">
        <f t="shared" ref="B28:L28" ca="1" si="6">IF($A28="","",IF(INDIRECT(ADDRESS($A28,B$1,,,"Digitar Dados dos Ensaios"))&lt;&gt;"",INDIRECT(ADDRESS($A28,B$1,,,"Digitar Dados dos Ensaios")),""))</f>
        <v/>
      </c>
      <c r="C28" s="563" t="str">
        <f t="shared" ca="1" si="6"/>
        <v/>
      </c>
      <c r="D28" s="564" t="str">
        <f t="shared" ca="1" si="6"/>
        <v/>
      </c>
      <c r="E28" s="565" t="str">
        <f t="shared" ca="1" si="6"/>
        <v/>
      </c>
      <c r="F28" s="565" t="str">
        <f t="shared" ca="1" si="6"/>
        <v/>
      </c>
      <c r="G28" s="565" t="str">
        <f t="shared" ca="1" si="6"/>
        <v/>
      </c>
      <c r="H28" s="566" t="str">
        <f t="shared" ca="1" si="6"/>
        <v/>
      </c>
      <c r="I28" s="566" t="str">
        <f t="shared" ca="1" si="6"/>
        <v/>
      </c>
      <c r="J28" s="566" t="str">
        <f t="shared" ca="1" si="6"/>
        <v/>
      </c>
      <c r="K28" s="566" t="str">
        <f t="shared" ca="1" si="6"/>
        <v/>
      </c>
      <c r="L28" s="566" t="str">
        <f t="shared" ca="1" si="6"/>
        <v/>
      </c>
      <c r="M28" s="566" t="str">
        <f t="shared" ca="1" si="5"/>
        <v/>
      </c>
      <c r="N28" s="566" t="str">
        <f t="shared" ca="1" si="5"/>
        <v/>
      </c>
      <c r="O28" s="566" t="str">
        <f t="shared" ca="1" si="5"/>
        <v/>
      </c>
      <c r="P28" s="590" t="str">
        <f t="shared" ca="1" si="5"/>
        <v/>
      </c>
      <c r="Q28" s="566" t="str">
        <f t="shared" ca="1" si="5"/>
        <v/>
      </c>
      <c r="R28" s="566" t="str">
        <f ca="1">IF($A28="","",IF(INDIRECT(ADDRESS($A28,R$1,,,"Digitar Dados dos Ensaios"))&lt;&gt;"",INDIRECT(ADDRESS($A28,R$1,,,"Digitar Dados dos Ensaios")),""))</f>
        <v/>
      </c>
      <c r="S28" s="590" t="str">
        <f t="shared" ca="1" si="5"/>
        <v/>
      </c>
      <c r="T28" s="567" t="str">
        <f t="shared" ca="1" si="5"/>
        <v/>
      </c>
      <c r="U28" s="567" t="str">
        <f t="shared" ca="1" si="5"/>
        <v/>
      </c>
      <c r="V28" s="569" t="str">
        <f t="shared" ca="1" si="4"/>
        <v/>
      </c>
      <c r="W28" s="576" t="str">
        <f>IF($AG28&lt;&gt;"",LOOKUP($AG28,'Digitar Dados de Dens. InSitu'!$AB$5:$AB$5760,'Digitar Dados de Dens. InSitu'!$AC$5:$AC$5760),"")</f>
        <v/>
      </c>
      <c r="X28" s="568" t="str">
        <f>IF($AG28&lt;&gt;"",LOOKUP($AG28,'Digitar Dados de Dens. InSitu'!$AB$5:$AB$5760,'Digitar Dados de Dens. InSitu'!$AG$5:$AG$5760),"")</f>
        <v/>
      </c>
      <c r="Y28" s="567" t="str">
        <f>IF($AG28&lt;&gt;"",LOOKUP($AG28,'Digitar Dados de Dens. InSitu'!$AB$5:$AB$5760,'Digitar Dados de Dens. InSitu'!$AE$5:$AE$5760),"")</f>
        <v/>
      </c>
      <c r="Z28" s="570" t="str">
        <f>IF($AG28&lt;&gt;"",LOOKUP($AG28,'Digitar Dados de Dens. InSitu'!$AB$5:$AB$5760,'Digitar Dados de Dens. InSitu'!$AD$5:$AD$5760),"")</f>
        <v/>
      </c>
      <c r="AA28" s="600" t="str">
        <f>IF($AG28&lt;&gt;"",LOOKUP($AG28,'Digitar Dados de Dens. InSitu'!$AB$5:$AB$5760,'Digitar Dados de Dens. InSitu'!$AI$5:$AI$5760),"")</f>
        <v/>
      </c>
      <c r="AB28" s="571" t="str">
        <f>IF($AG28&lt;&gt;"",LOOKUP($AG28,'Digitar Dados de Dens. InSitu'!$AB$5:$AB$5760,'Digitar Dados de Dens. InSitu'!$AH$5:$AH$5760),"")</f>
        <v/>
      </c>
      <c r="AC28" s="577" t="str">
        <f>IF($AG28&lt;&gt;"",LOOKUP($AG28,'Digitar Dados de Dens. InSitu'!$AB$5:$AB$5760,'Digitar Dados de Dens. InSitu'!$AJ$5:$AJ$5760),"")</f>
        <v/>
      </c>
      <c r="AD28" s="566" t="str">
        <f>IF($AG28&lt;&gt;"",LOOKUP($AG28,'Digitar Dados de Dens. InSitu'!$AB$5:$AB$5760,'Digitar Dados de Dens. InSitu'!$AK$5:$AK$5760),"")</f>
        <v/>
      </c>
      <c r="AE28" s="572"/>
      <c r="AF28" s="573"/>
      <c r="AG28" s="574"/>
      <c r="AM28" s="572">
        <v>17</v>
      </c>
      <c r="AN28" s="572">
        <v>1.06</v>
      </c>
    </row>
    <row r="29" spans="1:40" s="587" customFormat="1" ht="5.15" customHeight="1" x14ac:dyDescent="0.35">
      <c r="B29" s="908"/>
      <c r="AD29" s="1272"/>
      <c r="AM29" s="572">
        <v>19</v>
      </c>
      <c r="AN29" s="572">
        <v>1.04</v>
      </c>
    </row>
    <row r="30" spans="1:40" x14ac:dyDescent="0.35">
      <c r="B30" s="2086" t="s">
        <v>414</v>
      </c>
      <c r="C30" s="2087"/>
      <c r="D30" s="2088"/>
      <c r="E30" s="578"/>
      <c r="F30" s="578"/>
      <c r="G30" s="578"/>
      <c r="H30" s="578"/>
      <c r="I30" s="578"/>
      <c r="J30" s="579"/>
      <c r="K30" s="579"/>
      <c r="L30" s="579"/>
      <c r="M30" s="579"/>
      <c r="N30" s="579"/>
      <c r="O30" s="579"/>
      <c r="P30" s="579"/>
      <c r="Q30" s="579"/>
      <c r="R30" s="579"/>
      <c r="S30" s="579"/>
      <c r="T30" s="579"/>
      <c r="U30" s="579"/>
      <c r="V30" s="579"/>
      <c r="W30" s="579"/>
      <c r="X30" s="579"/>
      <c r="Y30" s="579"/>
      <c r="Z30" s="579"/>
      <c r="AA30" s="579"/>
      <c r="AB30" s="580"/>
      <c r="AC30" s="579"/>
      <c r="AD30" s="579"/>
      <c r="AM30" s="572">
        <v>20</v>
      </c>
      <c r="AN30" s="572">
        <v>1.04</v>
      </c>
    </row>
    <row r="31" spans="1:40" x14ac:dyDescent="0.35">
      <c r="B31" s="2086" t="s">
        <v>415</v>
      </c>
      <c r="C31" s="2087"/>
      <c r="D31" s="2088"/>
      <c r="E31" s="578"/>
      <c r="F31" s="578"/>
      <c r="G31" s="578"/>
      <c r="H31" s="578"/>
      <c r="I31" s="578"/>
      <c r="J31" s="579"/>
      <c r="K31" s="579"/>
      <c r="L31" s="579"/>
      <c r="M31" s="579"/>
      <c r="N31" s="579"/>
      <c r="O31" s="579"/>
      <c r="P31" s="579"/>
      <c r="Q31" s="579"/>
      <c r="R31" s="579"/>
      <c r="S31" s="579"/>
      <c r="T31" s="579"/>
      <c r="U31" s="579"/>
      <c r="V31" s="579"/>
      <c r="W31" s="579"/>
      <c r="X31" s="579"/>
      <c r="Y31" s="579"/>
      <c r="Z31" s="579"/>
      <c r="AA31" s="579"/>
      <c r="AB31" s="579"/>
      <c r="AC31" s="579"/>
      <c r="AD31" s="579"/>
      <c r="AM31" s="572">
        <v>21</v>
      </c>
      <c r="AN31" s="572">
        <v>1.01</v>
      </c>
    </row>
    <row r="32" spans="1:40" x14ac:dyDescent="0.35">
      <c r="B32" s="2086" t="s">
        <v>416</v>
      </c>
      <c r="C32" s="2087"/>
      <c r="D32" s="2088"/>
      <c r="E32" s="578">
        <f t="shared" ref="E32:P32" ca="1" si="7">COUNT(E8:E28)</f>
        <v>1</v>
      </c>
      <c r="F32" s="578">
        <f t="shared" ca="1" si="7"/>
        <v>1</v>
      </c>
      <c r="G32" s="578">
        <f t="shared" ca="1" si="7"/>
        <v>1</v>
      </c>
      <c r="H32" s="578">
        <f t="shared" ca="1" si="7"/>
        <v>1</v>
      </c>
      <c r="I32" s="578">
        <f t="shared" ca="1" si="7"/>
        <v>1</v>
      </c>
      <c r="J32" s="578">
        <f t="shared" ca="1" si="7"/>
        <v>1</v>
      </c>
      <c r="K32" s="578">
        <f t="shared" ca="1" si="7"/>
        <v>1</v>
      </c>
      <c r="L32" s="578">
        <f t="shared" ca="1" si="7"/>
        <v>1</v>
      </c>
      <c r="M32" s="578">
        <f t="shared" ca="1" si="7"/>
        <v>1</v>
      </c>
      <c r="N32" s="578">
        <f t="shared" ca="1" si="7"/>
        <v>0</v>
      </c>
      <c r="O32" s="578">
        <f t="shared" ca="1" si="7"/>
        <v>0</v>
      </c>
      <c r="P32" s="578">
        <f t="shared" ca="1" si="7"/>
        <v>1</v>
      </c>
      <c r="Q32" s="578"/>
      <c r="R32" s="578"/>
      <c r="S32" s="578">
        <f ca="1">COUNT(S8:S28)</f>
        <v>1</v>
      </c>
      <c r="T32" s="578">
        <f ca="1">COUNT(T8:T28)</f>
        <v>1</v>
      </c>
      <c r="U32" s="578">
        <f ca="1">COUNT(U8:U28)</f>
        <v>1</v>
      </c>
      <c r="V32" s="578">
        <f ca="1">COUNT(V8:V28)</f>
        <v>1</v>
      </c>
      <c r="W32" s="578"/>
      <c r="X32" s="578"/>
      <c r="Y32" s="578"/>
      <c r="Z32" s="578"/>
      <c r="AA32" s="578">
        <f>COUNT(AA8:AA28)</f>
        <v>0</v>
      </c>
      <c r="AB32" s="578">
        <f>COUNT(AB8:AB28)</f>
        <v>0</v>
      </c>
      <c r="AC32" s="578">
        <f>COUNT(AC8:AC28)</f>
        <v>0</v>
      </c>
      <c r="AD32" s="578">
        <f>COUNT(AD8:AD28)</f>
        <v>0</v>
      </c>
    </row>
    <row r="33" spans="2:30" x14ac:dyDescent="0.35">
      <c r="B33" s="2086" t="s">
        <v>417</v>
      </c>
      <c r="C33" s="2087"/>
      <c r="D33" s="2088"/>
      <c r="E33" s="578" t="str">
        <f ca="1">IF(E32="","",IF(E32&lt;5,"",LOOKUP(E32,$AM$11:$AM$28,$AN$11:$AN$28)))</f>
        <v/>
      </c>
      <c r="F33" s="578" t="str">
        <f ca="1">IF(F32="","",IF(F32&lt;5,"",LOOKUP(F32,$AM$11:$AM$28,$AN$11:$AN$28)))</f>
        <v/>
      </c>
      <c r="G33" s="578" t="str">
        <f ca="1">IF(G32="","",IF(G32&lt;5,"",LOOKUP(G32,$AM$11:$AM$28,$AN$11:$AN$28)))</f>
        <v/>
      </c>
      <c r="H33" s="578" t="str">
        <f ca="1">IF(H32="","",IF(H32&lt;5,"",LOOKUP(H32,$AM$11:$AM$28,$AN$11:$AN$28)))</f>
        <v/>
      </c>
      <c r="I33" s="578" t="str">
        <f t="shared" ref="I33:P33" ca="1" si="8">IF(I32="","",IF(I32&lt;5,"",LOOKUP(I32,$AM$11:$AM$31,$AN$11:$AN$31)))</f>
        <v/>
      </c>
      <c r="J33" s="578" t="str">
        <f t="shared" ca="1" si="8"/>
        <v/>
      </c>
      <c r="K33" s="578" t="str">
        <f t="shared" ca="1" si="8"/>
        <v/>
      </c>
      <c r="L33" s="578" t="str">
        <f t="shared" ca="1" si="8"/>
        <v/>
      </c>
      <c r="M33" s="578" t="str">
        <f t="shared" ca="1" si="8"/>
        <v/>
      </c>
      <c r="N33" s="578" t="str">
        <f t="shared" ca="1" si="8"/>
        <v/>
      </c>
      <c r="O33" s="578" t="str">
        <f t="shared" ca="1" si="8"/>
        <v/>
      </c>
      <c r="P33" s="583" t="str">
        <f t="shared" ca="1" si="8"/>
        <v/>
      </c>
      <c r="Q33" s="578"/>
      <c r="R33" s="578"/>
      <c r="S33" s="578" t="str">
        <f ca="1">IF(S32="","",IF(S32&lt;5,"",LOOKUP(S32,$AM$11:$AM$31,$AN$11:$AN$31)))</f>
        <v/>
      </c>
      <c r="T33" s="578" t="str">
        <f ca="1">IF(T32="","",IF(T32&lt;5,"",LOOKUP(T32,$AM$11:$AM$31,$AN$11:$AN$31)))</f>
        <v/>
      </c>
      <c r="U33" s="578" t="str">
        <f ca="1">IF(U32="","",IF(U32&lt;5,"",LOOKUP(U32,$AM$11:$AM$31,$AN$11:$AN$31)))</f>
        <v/>
      </c>
      <c r="V33" s="578" t="str">
        <f ca="1">IF(V32="","",IF(V32&lt;5,"",LOOKUP(V32,$AM$11:$AM$31,$AN$11:$AN$31)))</f>
        <v/>
      </c>
      <c r="W33" s="578"/>
      <c r="X33" s="578"/>
      <c r="Y33" s="578"/>
      <c r="Z33" s="578"/>
      <c r="AA33" s="578" t="str">
        <f>IF(AA32="","",IF(AA32&lt;5,"",LOOKUP(AA32,$AM$11:$AM$31,$AN$11:$AN$31)))</f>
        <v/>
      </c>
      <c r="AB33" s="578" t="str">
        <f>IF(AB32="","",IF(AB32&lt;5,"",LOOKUP(AB32,$AM$11:$AM$31,$AN$11:$AN$31)))</f>
        <v/>
      </c>
      <c r="AC33" s="578" t="str">
        <f>IF(AC32="","",IF(AC32&lt;5,"",LOOKUP(AC32,$AM$11:$AM$31,$AN$11:$AN$31)))</f>
        <v/>
      </c>
      <c r="AD33" s="578" t="str">
        <f>IF(AD32="","",IF(AD32&lt;5,"",LOOKUP(AD32,$AM$11:$AM$31,$AN$11:$AN$31)))</f>
        <v/>
      </c>
    </row>
    <row r="34" spans="2:30" x14ac:dyDescent="0.35">
      <c r="B34" s="2086"/>
      <c r="C34" s="2087"/>
      <c r="D34" s="2088"/>
      <c r="E34" s="581" t="s">
        <v>29</v>
      </c>
      <c r="F34" s="581" t="s">
        <v>395</v>
      </c>
      <c r="G34" s="581" t="s">
        <v>31</v>
      </c>
      <c r="H34" s="581" t="s">
        <v>258</v>
      </c>
      <c r="I34" s="581" t="s">
        <v>33</v>
      </c>
      <c r="J34" s="581" t="s">
        <v>418</v>
      </c>
      <c r="K34" s="581" t="s">
        <v>419</v>
      </c>
      <c r="L34" s="581" t="s">
        <v>420</v>
      </c>
      <c r="M34" s="581" t="s">
        <v>421</v>
      </c>
      <c r="N34" s="581" t="s">
        <v>78</v>
      </c>
      <c r="O34" s="582" t="s">
        <v>69</v>
      </c>
      <c r="P34" s="582" t="s">
        <v>279</v>
      </c>
      <c r="Q34" s="582" t="s">
        <v>82</v>
      </c>
      <c r="R34" s="582" t="s">
        <v>402</v>
      </c>
      <c r="S34" s="582" t="s">
        <v>403</v>
      </c>
      <c r="T34" s="582" t="s">
        <v>404</v>
      </c>
      <c r="U34" s="582" t="s">
        <v>405</v>
      </c>
      <c r="V34" s="582" t="s">
        <v>406</v>
      </c>
      <c r="W34" s="582"/>
      <c r="X34" s="582"/>
      <c r="Y34" s="582"/>
      <c r="Z34" s="582"/>
      <c r="AA34" s="582" t="s">
        <v>408</v>
      </c>
      <c r="AB34" s="582" t="s">
        <v>409</v>
      </c>
      <c r="AC34" s="582" t="s">
        <v>410</v>
      </c>
      <c r="AD34" s="582" t="s">
        <v>411</v>
      </c>
    </row>
    <row r="35" spans="2:30" x14ac:dyDescent="0.35">
      <c r="B35" s="2086" t="s">
        <v>422</v>
      </c>
      <c r="C35" s="2087"/>
      <c r="D35" s="2088"/>
      <c r="E35" s="579">
        <f t="shared" ref="E35:R35" ca="1" si="9">IF(E32=0,"-",AVERAGE(E8:E28))</f>
        <v>100</v>
      </c>
      <c r="F35" s="579">
        <f t="shared" ca="1" si="9"/>
        <v>100</v>
      </c>
      <c r="G35" s="579">
        <f t="shared" ca="1" si="9"/>
        <v>97.723984107061483</v>
      </c>
      <c r="H35" s="579">
        <f t="shared" ca="1" si="9"/>
        <v>94.098907160616207</v>
      </c>
      <c r="I35" s="579">
        <f t="shared" ca="1" si="9"/>
        <v>81.504073165077102</v>
      </c>
      <c r="J35" s="579">
        <f t="shared" ca="1" si="9"/>
        <v>65.427262625212848</v>
      </c>
      <c r="K35" s="579">
        <f t="shared" ca="1" si="9"/>
        <v>52.992717068920022</v>
      </c>
      <c r="L35" s="579">
        <f t="shared" ca="1" si="9"/>
        <v>41.712020886931384</v>
      </c>
      <c r="M35" s="579">
        <f t="shared" ca="1" si="9"/>
        <v>22.913159716640937</v>
      </c>
      <c r="N35" s="579" t="str">
        <f t="shared" ca="1" si="9"/>
        <v>-</v>
      </c>
      <c r="O35" s="579" t="str">
        <f t="shared" ca="1" si="9"/>
        <v>-</v>
      </c>
      <c r="P35" s="580">
        <f t="shared" ca="1" si="9"/>
        <v>0</v>
      </c>
      <c r="Q35" s="580" t="str">
        <f t="shared" si="9"/>
        <v>-</v>
      </c>
      <c r="R35" s="580" t="str">
        <f t="shared" si="9"/>
        <v>-</v>
      </c>
      <c r="S35" s="580">
        <f ca="1">IF(S32=0,"-",AVERAGE(S8:S28))</f>
        <v>2219.2468551635602</v>
      </c>
      <c r="T35" s="579">
        <f ca="1">IF(T32=0,"-",AVERAGE(T8:T28))</f>
        <v>5.7765822483399836</v>
      </c>
      <c r="U35" s="579">
        <f ca="1">IF(U32=0,"-",AVERAGE(U8:U28))</f>
        <v>20041.621694828224</v>
      </c>
      <c r="V35" s="583">
        <f ca="1">IF(V32=0,"-",AVERAGE(V8:V28))</f>
        <v>4.2194868739289348E-2</v>
      </c>
      <c r="W35" s="579"/>
      <c r="X35" s="579"/>
      <c r="Y35" s="579"/>
      <c r="Z35" s="579"/>
      <c r="AA35" s="605" t="str">
        <f>IF(AA32=0,"-",AVERAGE(AA8:AA28))</f>
        <v>-</v>
      </c>
      <c r="AB35" s="579" t="str">
        <f>IF(AB32=0,"-",AVERAGE(AB8:AB28))</f>
        <v>-</v>
      </c>
      <c r="AC35" s="579" t="str">
        <f>IF(AC32=0,"-",AVERAGE(AC8:AC28))</f>
        <v>-</v>
      </c>
      <c r="AD35" s="579" t="str">
        <f>IF(AD32=0,"-",AVERAGE(AD8:AD28))</f>
        <v>-</v>
      </c>
    </row>
    <row r="36" spans="2:30" x14ac:dyDescent="0.35">
      <c r="B36" s="2086" t="s">
        <v>423</v>
      </c>
      <c r="C36" s="2087"/>
      <c r="D36" s="2088"/>
      <c r="E36" s="583" t="str">
        <f t="shared" ref="E36:V36" ca="1" si="10">IF(E32=1,"-",IF(E32=0,"-",IF(E32="","-",STDEV(E8:E28))))</f>
        <v>-</v>
      </c>
      <c r="F36" s="583" t="str">
        <f t="shared" ca="1" si="10"/>
        <v>-</v>
      </c>
      <c r="G36" s="583" t="str">
        <f t="shared" ca="1" si="10"/>
        <v>-</v>
      </c>
      <c r="H36" s="583" t="str">
        <f t="shared" ca="1" si="10"/>
        <v>-</v>
      </c>
      <c r="I36" s="583" t="str">
        <f t="shared" ca="1" si="10"/>
        <v>-</v>
      </c>
      <c r="J36" s="583" t="str">
        <f t="shared" ca="1" si="10"/>
        <v>-</v>
      </c>
      <c r="K36" s="583" t="str">
        <f t="shared" ca="1" si="10"/>
        <v>-</v>
      </c>
      <c r="L36" s="583" t="str">
        <f t="shared" ca="1" si="10"/>
        <v>-</v>
      </c>
      <c r="M36" s="583" t="str">
        <f t="shared" ca="1" si="10"/>
        <v>-</v>
      </c>
      <c r="N36" s="583" t="str">
        <f t="shared" ca="1" si="10"/>
        <v>-</v>
      </c>
      <c r="O36" s="583" t="str">
        <f t="shared" ca="1" si="10"/>
        <v>-</v>
      </c>
      <c r="P36" s="580" t="str">
        <f t="shared" ca="1" si="10"/>
        <v>-</v>
      </c>
      <c r="Q36" s="580" t="str">
        <f t="shared" si="10"/>
        <v>-</v>
      </c>
      <c r="R36" s="580" t="str">
        <f t="shared" si="10"/>
        <v>-</v>
      </c>
      <c r="S36" s="579" t="str">
        <f t="shared" ca="1" si="10"/>
        <v>-</v>
      </c>
      <c r="T36" s="583" t="str">
        <f t="shared" ca="1" si="10"/>
        <v>-</v>
      </c>
      <c r="U36" s="583" t="str">
        <f t="shared" ca="1" si="10"/>
        <v>-</v>
      </c>
      <c r="V36" s="583" t="str">
        <f t="shared" ca="1" si="10"/>
        <v>-</v>
      </c>
      <c r="W36" s="583"/>
      <c r="X36" s="583"/>
      <c r="Y36" s="583"/>
      <c r="Z36" s="583"/>
      <c r="AA36" s="583" t="str">
        <f>IF(AA32=1,"-",IF(AA32=0,"-",IF(AA32="","-",STDEV(AA8:AA28))))</f>
        <v>-</v>
      </c>
      <c r="AB36" s="583" t="str">
        <f>IF(AB32=1,"-",IF(AB32=0,"-",IF(AB32="","-",STDEV(AB8:AB28))))</f>
        <v>-</v>
      </c>
      <c r="AC36" s="583" t="str">
        <f>IF(AC32=1,"-",IF(AC32=0,"-",IF(AC32="","-",STDEV(AC8:AC28))))</f>
        <v>-</v>
      </c>
      <c r="AD36" s="583" t="str">
        <f>IF(AD32=1,"-",IF(AD32=0,"-",IF(AD32="","-",STDEV(AD8:AD28))))</f>
        <v>-</v>
      </c>
    </row>
    <row r="37" spans="2:30" x14ac:dyDescent="0.35">
      <c r="B37" s="2086" t="s">
        <v>424</v>
      </c>
      <c r="C37" s="2087"/>
      <c r="D37" s="2088"/>
      <c r="E37" s="584" t="str">
        <f ca="1">IF(E32&lt;5,"-",IF(E35="-","-",E35-(E33*E36)))</f>
        <v>-</v>
      </c>
      <c r="F37" s="584" t="str">
        <f t="shared" ref="F37:V37" ca="1" si="11">IF(F32&lt;5,"-",IF(F35="-","-",F35-(F33*F36)))</f>
        <v>-</v>
      </c>
      <c r="G37" s="584" t="str">
        <f t="shared" ca="1" si="11"/>
        <v>-</v>
      </c>
      <c r="H37" s="584" t="str">
        <f t="shared" ca="1" si="11"/>
        <v>-</v>
      </c>
      <c r="I37" s="584" t="str">
        <f t="shared" ca="1" si="11"/>
        <v>-</v>
      </c>
      <c r="J37" s="584" t="str">
        <f t="shared" ca="1" si="11"/>
        <v>-</v>
      </c>
      <c r="K37" s="584" t="str">
        <f t="shared" ca="1" si="11"/>
        <v>-</v>
      </c>
      <c r="L37" s="584" t="str">
        <f t="shared" ca="1" si="11"/>
        <v>-</v>
      </c>
      <c r="M37" s="584" t="str">
        <f t="shared" ca="1" si="11"/>
        <v>-</v>
      </c>
      <c r="N37" s="584" t="str">
        <f t="shared" ca="1" si="11"/>
        <v>-</v>
      </c>
      <c r="O37" s="584" t="str">
        <f t="shared" ca="1" si="11"/>
        <v>-</v>
      </c>
      <c r="P37" s="585" t="str">
        <f t="shared" ca="1" si="11"/>
        <v>-</v>
      </c>
      <c r="Q37" s="585" t="str">
        <f t="shared" si="11"/>
        <v>-</v>
      </c>
      <c r="R37" s="585" t="str">
        <f t="shared" si="11"/>
        <v>-</v>
      </c>
      <c r="S37" s="585" t="str">
        <f t="shared" ca="1" si="11"/>
        <v>-</v>
      </c>
      <c r="T37" s="584" t="str">
        <f t="shared" ca="1" si="11"/>
        <v>-</v>
      </c>
      <c r="U37" s="584" t="str">
        <f t="shared" ca="1" si="11"/>
        <v>-</v>
      </c>
      <c r="V37" s="586" t="str">
        <f t="shared" ca="1" si="11"/>
        <v>-</v>
      </c>
      <c r="W37" s="586"/>
      <c r="X37" s="586"/>
      <c r="Y37" s="586"/>
      <c r="Z37" s="586"/>
      <c r="AA37" s="606" t="str">
        <f>IF(AA32&lt;5,"-",IF(AA35="-","-",AA35-(AA33*AA36)))</f>
        <v>-</v>
      </c>
      <c r="AB37" s="584" t="str">
        <f>IF(AB32&lt;5,"-",IF(AB35="-","-",AB35-(AB33*AB36)))</f>
        <v>-</v>
      </c>
      <c r="AC37" s="584" t="str">
        <f>IF(AC32&lt;5,"-",IF(AC35="-","-",AC35-(AC33*AC36)))</f>
        <v>-</v>
      </c>
      <c r="AD37" s="584" t="str">
        <f>IF(AD32&lt;5,"-",IF(AD35="-","-",AD35-(AD33*AD36)))</f>
        <v>-</v>
      </c>
    </row>
    <row r="38" spans="2:30" x14ac:dyDescent="0.35">
      <c r="B38" s="2086" t="s">
        <v>425</v>
      </c>
      <c r="C38" s="2087"/>
      <c r="D38" s="2088"/>
      <c r="E38" s="584" t="str">
        <f ca="1">IF(E32&lt;5,"-",IF(E35="-","-",E35+(E33*E36)))</f>
        <v>-</v>
      </c>
      <c r="F38" s="584" t="str">
        <f t="shared" ref="F38:V38" ca="1" si="12">IF(F32&lt;5,"-",IF(F35="-","-",F35+(F33*F36)))</f>
        <v>-</v>
      </c>
      <c r="G38" s="584" t="str">
        <f t="shared" ca="1" si="12"/>
        <v>-</v>
      </c>
      <c r="H38" s="584" t="str">
        <f ca="1">IF(H32&lt;5,"-",IF(H35="-","-",H35+(H33*H36)))</f>
        <v>-</v>
      </c>
      <c r="I38" s="584" t="str">
        <f t="shared" ca="1" si="12"/>
        <v>-</v>
      </c>
      <c r="J38" s="584" t="str">
        <f t="shared" ca="1" si="12"/>
        <v>-</v>
      </c>
      <c r="K38" s="584" t="str">
        <f t="shared" ca="1" si="12"/>
        <v>-</v>
      </c>
      <c r="L38" s="584" t="str">
        <f t="shared" ca="1" si="12"/>
        <v>-</v>
      </c>
      <c r="M38" s="584" t="str">
        <f t="shared" ca="1" si="12"/>
        <v>-</v>
      </c>
      <c r="N38" s="584" t="str">
        <f t="shared" ca="1" si="12"/>
        <v>-</v>
      </c>
      <c r="O38" s="584" t="str">
        <f t="shared" ca="1" si="12"/>
        <v>-</v>
      </c>
      <c r="P38" s="585" t="str">
        <f t="shared" ca="1" si="12"/>
        <v>-</v>
      </c>
      <c r="Q38" s="585" t="str">
        <f t="shared" si="12"/>
        <v>-</v>
      </c>
      <c r="R38" s="585" t="str">
        <f t="shared" si="12"/>
        <v>-</v>
      </c>
      <c r="S38" s="585" t="str">
        <f t="shared" ca="1" si="12"/>
        <v>-</v>
      </c>
      <c r="T38" s="584" t="str">
        <f t="shared" ca="1" si="12"/>
        <v>-</v>
      </c>
      <c r="U38" s="584" t="str">
        <f t="shared" ca="1" si="12"/>
        <v>-</v>
      </c>
      <c r="V38" s="586" t="str">
        <f t="shared" ca="1" si="12"/>
        <v>-</v>
      </c>
      <c r="W38" s="586"/>
      <c r="X38" s="586"/>
      <c r="Y38" s="586"/>
      <c r="Z38" s="586"/>
      <c r="AA38" s="606" t="str">
        <f>IF(AA32&lt;5,"-",IF(AA35="-","-",AA35+(AA33*AA36)))</f>
        <v>-</v>
      </c>
      <c r="AB38" s="584" t="str">
        <f>IF(AB32&lt;5,"-",IF(AB35="-","-",AB35+(AB33*AB36)))</f>
        <v>-</v>
      </c>
      <c r="AC38" s="584" t="str">
        <f>IF(AC32&lt;5,"-",IF(AC35="-","-",AC35+(AC33*AC36)))</f>
        <v>-</v>
      </c>
      <c r="AD38" s="584" t="str">
        <f>IF(AD32&lt;5,"-",IF(AD35="-","-",AD35+(AD33*AD36)))</f>
        <v>-</v>
      </c>
    </row>
    <row r="39" spans="2:30" ht="25" customHeight="1" x14ac:dyDescent="0.35">
      <c r="B39" s="2096"/>
      <c r="C39" s="2097"/>
      <c r="D39" s="2097"/>
      <c r="E39" s="2100"/>
      <c r="F39" s="2100"/>
      <c r="G39" s="2100"/>
      <c r="H39" s="2100"/>
      <c r="I39" s="2100"/>
      <c r="J39" s="2100"/>
      <c r="K39" s="2100"/>
      <c r="L39" s="660"/>
      <c r="M39" s="2097"/>
      <c r="N39" s="2097"/>
      <c r="O39" s="2097"/>
      <c r="P39" s="2097"/>
      <c r="Q39" s="2097"/>
      <c r="R39" s="2097"/>
      <c r="S39" s="2097"/>
      <c r="T39" s="2097"/>
      <c r="U39" s="660"/>
      <c r="V39" s="660"/>
      <c r="W39" s="2100"/>
      <c r="X39" s="2100"/>
      <c r="Y39" s="2100"/>
      <c r="Z39" s="2100"/>
      <c r="AA39" s="2100"/>
      <c r="AB39" s="2100"/>
      <c r="AC39" s="661"/>
      <c r="AD39" s="1273"/>
    </row>
    <row r="40" spans="2:30" x14ac:dyDescent="0.35">
      <c r="B40" s="2098"/>
      <c r="C40" s="2099"/>
      <c r="D40" s="2099"/>
      <c r="E40" s="2099" t="s">
        <v>301</v>
      </c>
      <c r="F40" s="2099"/>
      <c r="G40" s="2099"/>
      <c r="H40" s="2099"/>
      <c r="I40" s="2099"/>
      <c r="J40" s="2099"/>
      <c r="K40" s="2099"/>
      <c r="L40" s="662"/>
      <c r="M40" s="2099"/>
      <c r="N40" s="2099"/>
      <c r="O40" s="2099"/>
      <c r="P40" s="2099"/>
      <c r="Q40" s="2099"/>
      <c r="R40" s="2099"/>
      <c r="S40" s="2099"/>
      <c r="T40" s="2099"/>
      <c r="U40" s="662"/>
      <c r="V40" s="662"/>
      <c r="W40" s="2099" t="s">
        <v>296</v>
      </c>
      <c r="X40" s="2099"/>
      <c r="Y40" s="2099"/>
      <c r="Z40" s="2099"/>
      <c r="AA40" s="2099"/>
      <c r="AB40" s="2099"/>
      <c r="AC40" s="663"/>
      <c r="AD40" s="663"/>
    </row>
  </sheetData>
  <mergeCells count="37">
    <mergeCell ref="M39:T39"/>
    <mergeCell ref="W39:AB39"/>
    <mergeCell ref="E40:K40"/>
    <mergeCell ref="M40:T40"/>
    <mergeCell ref="W40:AB40"/>
    <mergeCell ref="E39:K39"/>
    <mergeCell ref="B35:D35"/>
    <mergeCell ref="B36:D36"/>
    <mergeCell ref="B37:D37"/>
    <mergeCell ref="B38:D38"/>
    <mergeCell ref="B39:D40"/>
    <mergeCell ref="AF6:AG6"/>
    <mergeCell ref="B30:D30"/>
    <mergeCell ref="B31:D31"/>
    <mergeCell ref="B32:D32"/>
    <mergeCell ref="B33:D33"/>
    <mergeCell ref="B34:D34"/>
    <mergeCell ref="E5:AD5"/>
    <mergeCell ref="B6:D6"/>
    <mergeCell ref="E6:M6"/>
    <mergeCell ref="N6:O6"/>
    <mergeCell ref="P6:R6"/>
    <mergeCell ref="S6:V6"/>
    <mergeCell ref="W6:AD6"/>
    <mergeCell ref="E4:G4"/>
    <mergeCell ref="H4:AD4"/>
    <mergeCell ref="B2:D4"/>
    <mergeCell ref="E2:G2"/>
    <mergeCell ref="H2:I2"/>
    <mergeCell ref="J2:L2"/>
    <mergeCell ref="M2:Q2"/>
    <mergeCell ref="S2:U2"/>
    <mergeCell ref="V2:W2"/>
    <mergeCell ref="X2:Y2"/>
    <mergeCell ref="Z2:AD2"/>
    <mergeCell ref="E3:G3"/>
    <mergeCell ref="H3:AD3"/>
  </mergeCells>
  <printOptions horizontalCentered="1" verticalCentered="1"/>
  <pageMargins left="0.19685039370078741" right="7.874015748031496E-2" top="0.39370078740157483" bottom="0.39370078740157483" header="0" footer="0"/>
  <pageSetup paperSize="9" scale="90" orientation="landscape" r:id="rId1"/>
  <colBreaks count="1" manualBreakCount="1">
    <brk id="30" min="1" max="3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AN40"/>
  <sheetViews>
    <sheetView view="pageBreakPreview" zoomScale="110" zoomScaleNormal="100" zoomScaleSheetLayoutView="110" workbookViewId="0">
      <pane xSplit="4" ySplit="7" topLeftCell="E8" activePane="bottomRight" state="frozen"/>
      <selection pane="topRight" activeCell="B19" sqref="B19"/>
      <selection pane="bottomLeft" activeCell="B19" sqref="B19"/>
      <selection pane="bottomRight" activeCell="B19" sqref="B19"/>
    </sheetView>
  </sheetViews>
  <sheetFormatPr defaultRowHeight="14.5" x14ac:dyDescent="0.35"/>
  <cols>
    <col min="1" max="1" width="5" customWidth="1"/>
    <col min="2" max="2" width="9.81640625" customWidth="1"/>
    <col min="3" max="3" width="4.7265625" customWidth="1"/>
    <col min="4" max="4" width="7.26953125" customWidth="1"/>
    <col min="5" max="7" width="4.26953125" customWidth="1"/>
    <col min="8" max="9" width="4.81640625" customWidth="1"/>
    <col min="10" max="13" width="4.26953125" customWidth="1"/>
    <col min="14" max="14" width="3.54296875" bestFit="1" customWidth="1"/>
    <col min="15" max="15" width="3.81640625" bestFit="1" customWidth="1"/>
    <col min="16" max="16" width="3.26953125" customWidth="1"/>
    <col min="17" max="18" width="4.7265625" customWidth="1"/>
    <col min="19" max="19" width="5" bestFit="1" customWidth="1"/>
    <col min="20" max="20" width="3.54296875" bestFit="1" customWidth="1"/>
    <col min="21" max="21" width="4.7265625" customWidth="1"/>
    <col min="22" max="22" width="3.7265625" customWidth="1"/>
    <col min="23" max="23" width="13.1796875" customWidth="1"/>
    <col min="24" max="24" width="6.54296875" customWidth="1"/>
    <col min="25" max="25" width="7.81640625" bestFit="1" customWidth="1"/>
    <col min="26" max="26" width="8.7265625" customWidth="1"/>
    <col min="27" max="27" width="5.1796875" customWidth="1"/>
    <col min="28" max="28" width="3.453125" customWidth="1"/>
    <col min="29" max="30" width="5.1796875" customWidth="1"/>
    <col min="31" max="31" width="5" customWidth="1"/>
    <col min="32" max="33" width="8.7265625" customWidth="1"/>
    <col min="39" max="39" width="2.453125" bestFit="1" customWidth="1"/>
    <col min="40" max="40" width="3.81640625" bestFit="1" customWidth="1"/>
  </cols>
  <sheetData>
    <row r="1" spans="1:40" ht="9" customHeight="1" x14ac:dyDescent="0.35">
      <c r="B1" s="575">
        <v>344</v>
      </c>
      <c r="C1" s="575">
        <v>345</v>
      </c>
      <c r="D1" s="575">
        <f>C1+1</f>
        <v>346</v>
      </c>
      <c r="E1" s="575">
        <f t="shared" ref="E1:M1" si="0">D1+1</f>
        <v>347</v>
      </c>
      <c r="F1" s="575">
        <f t="shared" si="0"/>
        <v>348</v>
      </c>
      <c r="G1" s="575">
        <f t="shared" si="0"/>
        <v>349</v>
      </c>
      <c r="H1" s="575">
        <f t="shared" si="0"/>
        <v>350</v>
      </c>
      <c r="I1" s="575">
        <f t="shared" si="0"/>
        <v>351</v>
      </c>
      <c r="J1" s="575">
        <f t="shared" si="0"/>
        <v>352</v>
      </c>
      <c r="K1" s="575">
        <f t="shared" si="0"/>
        <v>353</v>
      </c>
      <c r="L1" s="575">
        <f t="shared" si="0"/>
        <v>354</v>
      </c>
      <c r="M1" s="575">
        <f t="shared" si="0"/>
        <v>355</v>
      </c>
      <c r="N1" s="575">
        <v>357</v>
      </c>
      <c r="O1" s="575">
        <v>358</v>
      </c>
      <c r="P1" s="575">
        <v>360</v>
      </c>
      <c r="Q1" s="575">
        <v>361</v>
      </c>
      <c r="R1" s="575">
        <v>363</v>
      </c>
      <c r="S1" s="575">
        <v>365</v>
      </c>
      <c r="T1" s="575">
        <v>364</v>
      </c>
      <c r="U1" s="575">
        <v>366</v>
      </c>
      <c r="V1" s="575">
        <v>367</v>
      </c>
    </row>
    <row r="2" spans="1:40" x14ac:dyDescent="0.35">
      <c r="B2" s="2066"/>
      <c r="C2" s="2067"/>
      <c r="D2" s="2068"/>
      <c r="E2" s="2075" t="s">
        <v>380</v>
      </c>
      <c r="F2" s="2076"/>
      <c r="G2" s="2076"/>
      <c r="H2" s="2077" t="str">
        <f>'Digitar Dados de Dens. InSitu'!A1</f>
        <v>BR -163</v>
      </c>
      <c r="I2" s="2077"/>
      <c r="J2" s="2078" t="s">
        <v>381</v>
      </c>
      <c r="K2" s="2079"/>
      <c r="L2" s="2079"/>
      <c r="M2" s="2080">
        <f>'Resumo (Imprimir) (1)'!M2:Q2</f>
        <v>0</v>
      </c>
      <c r="N2" s="2080"/>
      <c r="O2" s="2080"/>
      <c r="P2" s="2080"/>
      <c r="Q2" s="2080"/>
      <c r="R2" s="716"/>
      <c r="S2" s="2081" t="s">
        <v>382</v>
      </c>
      <c r="T2" s="2081"/>
      <c r="U2" s="2081"/>
      <c r="V2" s="2082" t="str">
        <f>'Resumo (Imprimir) (1)'!V2:W2</f>
        <v>50ª Medição</v>
      </c>
      <c r="W2" s="2082"/>
      <c r="X2" s="2083" t="s">
        <v>384</v>
      </c>
      <c r="Y2" s="2083"/>
      <c r="Z2" s="2084" t="str">
        <f>'Resumo (Imprimir) (1)'!Z2:AD2</f>
        <v>01/12/2018 ATE 31/12/2018</v>
      </c>
      <c r="AA2" s="2084"/>
      <c r="AB2" s="2084"/>
      <c r="AC2" s="2084"/>
      <c r="AD2" s="2085"/>
    </row>
    <row r="3" spans="1:40" x14ac:dyDescent="0.35">
      <c r="B3" s="2069"/>
      <c r="C3" s="2070"/>
      <c r="D3" s="2071"/>
      <c r="E3" s="2062" t="s">
        <v>386</v>
      </c>
      <c r="F3" s="2063"/>
      <c r="G3" s="2063"/>
      <c r="H3" s="2064" t="str">
        <f>'Digitar Dados de Dens. InSitu'!A2</f>
        <v>CAMPO GRANDE MS</v>
      </c>
      <c r="I3" s="2064"/>
      <c r="J3" s="2064"/>
      <c r="K3" s="2064"/>
      <c r="L3" s="2064"/>
      <c r="M3" s="2064"/>
      <c r="N3" s="2064"/>
      <c r="O3" s="2064"/>
      <c r="P3" s="2064"/>
      <c r="Q3" s="2064"/>
      <c r="R3" s="2064"/>
      <c r="S3" s="2064"/>
      <c r="T3" s="2064"/>
      <c r="U3" s="2064"/>
      <c r="V3" s="2064"/>
      <c r="W3" s="2064"/>
      <c r="X3" s="2064"/>
      <c r="Y3" s="2064"/>
      <c r="Z3" s="2064"/>
      <c r="AA3" s="2064"/>
      <c r="AB3" s="2064"/>
      <c r="AC3" s="2064"/>
      <c r="AD3" s="2065"/>
    </row>
    <row r="4" spans="1:40" ht="16.5" customHeight="1" x14ac:dyDescent="0.35">
      <c r="B4" s="2072"/>
      <c r="C4" s="2073"/>
      <c r="D4" s="2074"/>
      <c r="E4" s="2062" t="s">
        <v>387</v>
      </c>
      <c r="F4" s="2063"/>
      <c r="G4" s="2063"/>
      <c r="H4" s="2064">
        <f>'Digitar Dados de Dens. InSitu'!A3</f>
        <v>0</v>
      </c>
      <c r="I4" s="2064"/>
      <c r="J4" s="2064"/>
      <c r="K4" s="2064"/>
      <c r="L4" s="2064"/>
      <c r="M4" s="2064"/>
      <c r="N4" s="2064"/>
      <c r="O4" s="2064"/>
      <c r="P4" s="2064"/>
      <c r="Q4" s="2064"/>
      <c r="R4" s="2064"/>
      <c r="S4" s="2064"/>
      <c r="T4" s="2064"/>
      <c r="U4" s="2064"/>
      <c r="V4" s="2064"/>
      <c r="W4" s="2064"/>
      <c r="X4" s="2064"/>
      <c r="Y4" s="2064"/>
      <c r="Z4" s="2064"/>
      <c r="AA4" s="2064"/>
      <c r="AB4" s="2064"/>
      <c r="AC4" s="2064"/>
      <c r="AD4" s="2065"/>
    </row>
    <row r="5" spans="1:40" ht="18" customHeight="1" x14ac:dyDescent="0.35">
      <c r="B5" s="664"/>
      <c r="C5" s="618"/>
      <c r="D5" s="618"/>
      <c r="E5" s="2089" t="s">
        <v>388</v>
      </c>
      <c r="F5" s="2090"/>
      <c r="G5" s="2090"/>
      <c r="H5" s="2090"/>
      <c r="I5" s="2090"/>
      <c r="J5" s="2090"/>
      <c r="K5" s="2090"/>
      <c r="L5" s="2090"/>
      <c r="M5" s="2090"/>
      <c r="N5" s="2090"/>
      <c r="O5" s="2090"/>
      <c r="P5" s="2090"/>
      <c r="Q5" s="2090"/>
      <c r="R5" s="2090"/>
      <c r="S5" s="2090"/>
      <c r="T5" s="2090"/>
      <c r="U5" s="2090"/>
      <c r="V5" s="2090"/>
      <c r="W5" s="2090"/>
      <c r="X5" s="2090"/>
      <c r="Y5" s="2090"/>
      <c r="Z5" s="2090"/>
      <c r="AA5" s="2090"/>
      <c r="AB5" s="2090"/>
      <c r="AC5" s="2090"/>
      <c r="AD5" s="2091"/>
    </row>
    <row r="6" spans="1:40" x14ac:dyDescent="0.35">
      <c r="B6" s="2092" t="s">
        <v>389</v>
      </c>
      <c r="C6" s="2093"/>
      <c r="D6" s="2094"/>
      <c r="E6" s="2092" t="s">
        <v>50</v>
      </c>
      <c r="F6" s="2093"/>
      <c r="G6" s="2093"/>
      <c r="H6" s="2093"/>
      <c r="I6" s="2093"/>
      <c r="J6" s="2093"/>
      <c r="K6" s="2093"/>
      <c r="L6" s="2093"/>
      <c r="M6" s="2094"/>
      <c r="N6" s="2092" t="s">
        <v>390</v>
      </c>
      <c r="O6" s="2093"/>
      <c r="P6" s="2092" t="s">
        <v>391</v>
      </c>
      <c r="Q6" s="2093"/>
      <c r="R6" s="2094"/>
      <c r="S6" s="2092" t="s">
        <v>392</v>
      </c>
      <c r="T6" s="2093"/>
      <c r="U6" s="2093"/>
      <c r="V6" s="2094"/>
      <c r="W6" s="2092" t="s">
        <v>53</v>
      </c>
      <c r="X6" s="2093"/>
      <c r="Y6" s="2093"/>
      <c r="Z6" s="2093"/>
      <c r="AA6" s="2093"/>
      <c r="AB6" s="2093"/>
      <c r="AC6" s="2093"/>
      <c r="AD6" s="2094"/>
      <c r="AF6" s="2095" t="s">
        <v>152</v>
      </c>
      <c r="AG6" s="2095"/>
    </row>
    <row r="7" spans="1:40" x14ac:dyDescent="0.35">
      <c r="B7" s="559" t="s">
        <v>393</v>
      </c>
      <c r="C7" s="560" t="s">
        <v>394</v>
      </c>
      <c r="D7" s="561" t="s">
        <v>57</v>
      </c>
      <c r="E7" s="562" t="s">
        <v>29</v>
      </c>
      <c r="F7" s="562" t="s">
        <v>395</v>
      </c>
      <c r="G7" s="562" t="s">
        <v>31</v>
      </c>
      <c r="H7" s="562" t="s">
        <v>258</v>
      </c>
      <c r="I7" s="562" t="s">
        <v>33</v>
      </c>
      <c r="J7" s="562" t="s">
        <v>396</v>
      </c>
      <c r="K7" s="562" t="s">
        <v>397</v>
      </c>
      <c r="L7" s="562" t="s">
        <v>398</v>
      </c>
      <c r="M7" s="562" t="s">
        <v>399</v>
      </c>
      <c r="N7" s="560" t="s">
        <v>78</v>
      </c>
      <c r="O7" s="560" t="s">
        <v>69</v>
      </c>
      <c r="P7" s="560" t="s">
        <v>400</v>
      </c>
      <c r="Q7" s="560" t="s">
        <v>401</v>
      </c>
      <c r="R7" s="560" t="s">
        <v>402</v>
      </c>
      <c r="S7" s="560" t="s">
        <v>403</v>
      </c>
      <c r="T7" s="560" t="s">
        <v>404</v>
      </c>
      <c r="U7" s="560" t="s">
        <v>405</v>
      </c>
      <c r="V7" s="560" t="s">
        <v>406</v>
      </c>
      <c r="W7" s="560" t="s">
        <v>407</v>
      </c>
      <c r="X7" s="560" t="s">
        <v>393</v>
      </c>
      <c r="Y7" s="560" t="s">
        <v>394</v>
      </c>
      <c r="Z7" s="560" t="s">
        <v>57</v>
      </c>
      <c r="AA7" s="560" t="s">
        <v>408</v>
      </c>
      <c r="AB7" s="560" t="s">
        <v>409</v>
      </c>
      <c r="AC7" s="560" t="s">
        <v>410</v>
      </c>
      <c r="AD7" s="560" t="s">
        <v>411</v>
      </c>
      <c r="AF7" s="629" t="s">
        <v>412</v>
      </c>
      <c r="AG7" s="560" t="s">
        <v>413</v>
      </c>
    </row>
    <row r="8" spans="1:40" x14ac:dyDescent="0.35">
      <c r="A8" s="575">
        <f>IF(AF8&lt;&gt;"",(AF8-1)*7+9,"")</f>
        <v>9</v>
      </c>
      <c r="B8" s="597" t="str">
        <f ca="1">IF($A8="","",IF(INDIRECT(ADDRESS($A8,B$1,,,"Digitar Dados dos Ensaios"))&lt;&gt;"",INDIRECT(ADDRESS($A8,B$1,,,"Digitar Dados dos Ensaios")),""))</f>
        <v/>
      </c>
      <c r="C8" s="563" t="str">
        <f t="shared" ref="C8:U23" ca="1" si="1">IF($A8="","",IF(INDIRECT(ADDRESS($A8,C$1,,,"Digitar Dados dos Ensaios"))&lt;&gt;"",INDIRECT(ADDRESS($A8,C$1,,,"Digitar Dados dos Ensaios")),""))</f>
        <v>-</v>
      </c>
      <c r="D8" s="564">
        <f ca="1">IF($A8="","",IF(INDIRECT(ADDRESS($A8,D$1,,,"Digitar Dados dos Ensaios"))&lt;&gt;"",INDIRECT(ADDRESS($A8,D$1,,,"Digitar Dados dos Ensaios")),""))</f>
        <v>45804</v>
      </c>
      <c r="E8" s="565">
        <f ca="1">IF($A8="","",IF(INDIRECT(ADDRESS($A8,E$1,,,"Digitar Dados dos Ensaios"))&lt;&gt;"",INDIRECT(ADDRESS($A8,E$1,,,"Digitar Dados dos Ensaios")),""))</f>
        <v>100</v>
      </c>
      <c r="F8" s="565">
        <f t="shared" ca="1" si="1"/>
        <v>100</v>
      </c>
      <c r="G8" s="565">
        <f t="shared" ca="1" si="1"/>
        <v>97.723984107061483</v>
      </c>
      <c r="H8" s="566">
        <f t="shared" ca="1" si="1"/>
        <v>94.098907160616207</v>
      </c>
      <c r="I8" s="566">
        <f t="shared" ca="1" si="1"/>
        <v>81.504073165077102</v>
      </c>
      <c r="J8" s="566">
        <f t="shared" ca="1" si="1"/>
        <v>65.427262625212848</v>
      </c>
      <c r="K8" s="566">
        <f t="shared" ca="1" si="1"/>
        <v>52.992717068920022</v>
      </c>
      <c r="L8" s="566">
        <f t="shared" ca="1" si="1"/>
        <v>41.712020886931384</v>
      </c>
      <c r="M8" s="566">
        <f t="shared" ca="1" si="1"/>
        <v>22.913159716640937</v>
      </c>
      <c r="N8" s="566" t="str">
        <f t="shared" ca="1" si="1"/>
        <v>NP</v>
      </c>
      <c r="O8" s="566" t="str">
        <f t="shared" ca="1" si="1"/>
        <v>NP</v>
      </c>
      <c r="P8" s="590">
        <f ca="1">IF($A8="","",IF(INDIRECT(ADDRESS($A8,P$1,,,"Digitar Dados dos Ensaios"))&lt;&gt;"",INDIRECT(ADDRESS($A8,P$1,,,"Digitar Dados dos Ensaios")),""))</f>
        <v>0</v>
      </c>
      <c r="Q8" s="566" t="str">
        <f t="shared" ca="1" si="1"/>
        <v>A-1b</v>
      </c>
      <c r="R8" s="566" t="str">
        <f t="shared" ca="1" si="1"/>
        <v>D</v>
      </c>
      <c r="S8" s="590">
        <f ca="1">IF($A8="","",IF(INDIRECT(ADDRESS($A8,S$1,,,"Digitar Dados dos Ensaios"))&lt;&gt;"",INDIRECT(ADDRESS($A8,S$1,,,"Digitar Dados dos Ensaios")),""))</f>
        <v>2219.2468551635602</v>
      </c>
      <c r="T8" s="567">
        <f t="shared" ca="1" si="1"/>
        <v>5.7765822483399836</v>
      </c>
      <c r="U8" s="567">
        <f t="shared" ca="1" si="1"/>
        <v>20041.621694828224</v>
      </c>
      <c r="V8" s="569">
        <f ca="1">IF($A8="","",IF(INDIRECT(ADDRESS($A8,V$1,,,"Digitar Dados dos Ensaios"))&lt;&gt;"",INDIRECT(ADDRESS($A8,V$1,,,"Digitar Dados dos Ensaios")),""))</f>
        <v>4.2194868739289348E-2</v>
      </c>
      <c r="W8" s="576" t="str">
        <f>IF($AG8&lt;&gt;"",LOOKUP($AG8,'Digitar Dados de Dens. InSitu'!$AB$5:$AB$5760,'Digitar Dados de Dens. InSitu'!$AC$5:$AC$5760),"")</f>
        <v/>
      </c>
      <c r="X8" s="568" t="str">
        <f>IF($AG8&lt;&gt;"",LOOKUP($AG8,'Digitar Dados de Dens. InSitu'!$AB$5:$AB$5760,'Digitar Dados de Dens. InSitu'!$AG$5:$AG$5760),"")</f>
        <v/>
      </c>
      <c r="Y8" s="567" t="str">
        <f>IF($AG8&lt;&gt;"",LOOKUP($AG8,'Digitar Dados de Dens. InSitu'!$AB$5:$AB$5760,'Digitar Dados de Dens. InSitu'!$AE$5:$AE$5760),"")</f>
        <v/>
      </c>
      <c r="Z8" s="570" t="str">
        <f>IF($AG8&lt;&gt;"",LOOKUP($AG8,'Digitar Dados de Dens. InSitu'!$AB$5:$AB$5760,'Digitar Dados de Dens. InSitu'!$AD$5:$AD$5760),"")</f>
        <v/>
      </c>
      <c r="AA8" s="600" t="str">
        <f>IF($AG8&lt;&gt;"",LOOKUP($AG8,'Digitar Dados de Dens. InSitu'!$AB$5:$AB$5760,'Digitar Dados de Dens. InSitu'!$AI$5:$AI$5760),"")</f>
        <v/>
      </c>
      <c r="AB8" s="571" t="str">
        <f>IF($AG8&lt;&gt;"",LOOKUP($AG8,'Digitar Dados de Dens. InSitu'!$AB$5:$AB$5760,'Digitar Dados de Dens. InSitu'!$AH$5:$AH$5760),"")</f>
        <v/>
      </c>
      <c r="AC8" s="577" t="str">
        <f>IF($AG8&lt;&gt;"",LOOKUP($AG8,'Digitar Dados de Dens. InSitu'!$AB$5:$AB$5760,'Digitar Dados de Dens. InSitu'!$AJ$5:$AJ$5760),"")</f>
        <v/>
      </c>
      <c r="AD8" s="566" t="str">
        <f>IF($AG8&lt;&gt;"",LOOKUP($AG8,'Digitar Dados de Dens. InSitu'!$AB$5:$AB$5760,'Digitar Dados de Dens. InSitu'!$AK$5:$AK$5760),"")</f>
        <v/>
      </c>
      <c r="AE8" s="572"/>
      <c r="AF8" s="573">
        <v>1</v>
      </c>
      <c r="AG8" s="574">
        <v>1</v>
      </c>
    </row>
    <row r="9" spans="1:40" x14ac:dyDescent="0.35">
      <c r="A9" s="575" t="str">
        <f t="shared" ref="A9:A28" si="2">IF(AF9&lt;&gt;"",(AF9-1)*7+9,"")</f>
        <v/>
      </c>
      <c r="B9" s="597" t="str">
        <f t="shared" ref="B9:Q27" ca="1" si="3">IF($A9="","",IF(INDIRECT(ADDRESS($A9,B$1,,,"Digitar Dados dos Ensaios"))&lt;&gt;"",INDIRECT(ADDRESS($A9,B$1,,,"Digitar Dados dos Ensaios")),""))</f>
        <v/>
      </c>
      <c r="C9" s="563" t="str">
        <f t="shared" ca="1" si="1"/>
        <v/>
      </c>
      <c r="D9" s="564" t="str">
        <f t="shared" ca="1" si="1"/>
        <v/>
      </c>
      <c r="E9" s="565" t="str">
        <f t="shared" ca="1" si="1"/>
        <v/>
      </c>
      <c r="F9" s="565" t="str">
        <f t="shared" ca="1" si="1"/>
        <v/>
      </c>
      <c r="G9" s="565" t="str">
        <f t="shared" ca="1" si="1"/>
        <v/>
      </c>
      <c r="H9" s="566" t="str">
        <f t="shared" ca="1" si="1"/>
        <v/>
      </c>
      <c r="I9" s="566" t="str">
        <f t="shared" ca="1" si="1"/>
        <v/>
      </c>
      <c r="J9" s="566" t="str">
        <f t="shared" ca="1" si="1"/>
        <v/>
      </c>
      <c r="K9" s="566" t="str">
        <f t="shared" ca="1" si="1"/>
        <v/>
      </c>
      <c r="L9" s="566" t="str">
        <f t="shared" ca="1" si="1"/>
        <v/>
      </c>
      <c r="M9" s="566" t="str">
        <f t="shared" ca="1" si="1"/>
        <v/>
      </c>
      <c r="N9" s="566" t="str">
        <f t="shared" ca="1" si="1"/>
        <v/>
      </c>
      <c r="O9" s="566" t="str">
        <f t="shared" ca="1" si="1"/>
        <v/>
      </c>
      <c r="P9" s="590" t="str">
        <f t="shared" ca="1" si="1"/>
        <v/>
      </c>
      <c r="Q9" s="566" t="str">
        <f t="shared" ca="1" si="1"/>
        <v/>
      </c>
      <c r="R9" s="566" t="str">
        <f t="shared" ca="1" si="1"/>
        <v/>
      </c>
      <c r="S9" s="590" t="str">
        <f t="shared" ca="1" si="1"/>
        <v/>
      </c>
      <c r="T9" s="567" t="str">
        <f t="shared" ca="1" si="1"/>
        <v/>
      </c>
      <c r="U9" s="567" t="str">
        <f t="shared" ca="1" si="1"/>
        <v/>
      </c>
      <c r="V9" s="569" t="str">
        <f t="shared" ref="V9:V28" ca="1" si="4">IF($A9="","",IF(INDIRECT(ADDRESS($A9,V$1,,,"Digitar Dados dos Ensaios"))&lt;&gt;"",INDIRECT(ADDRESS($A9,V$1,,,"Digitar Dados dos Ensaios")),""))</f>
        <v/>
      </c>
      <c r="W9" s="576" t="str">
        <f>IF($AG9&lt;&gt;"",LOOKUP($AG9,'Digitar Dados de Dens. InSitu'!$AB$5:$AB$5760,'Digitar Dados de Dens. InSitu'!$AC$5:$AC$5760),"")</f>
        <v/>
      </c>
      <c r="X9" s="568" t="str">
        <f>IF($AG9&lt;&gt;"",LOOKUP($AG9,'Digitar Dados de Dens. InSitu'!$AB$5:$AB$5760,'Digitar Dados de Dens. InSitu'!$AG$5:$AG$5760),"")</f>
        <v/>
      </c>
      <c r="Y9" s="567" t="str">
        <f>IF($AG9&lt;&gt;"",LOOKUP($AG9,'Digitar Dados de Dens. InSitu'!$AB$5:$AB$5760,'Digitar Dados de Dens. InSitu'!$AE$5:$AE$5760),"")</f>
        <v/>
      </c>
      <c r="Z9" s="570" t="str">
        <f>IF($AG9&lt;&gt;"",LOOKUP($AG9,'Digitar Dados de Dens. InSitu'!$AB$5:$AB$5760,'Digitar Dados de Dens. InSitu'!$AD$5:$AD$5760),"")</f>
        <v/>
      </c>
      <c r="AA9" s="600" t="str">
        <f>IF($AG9&lt;&gt;"",LOOKUP($AG9,'Digitar Dados de Dens. InSitu'!$AB$5:$AB$5760,'Digitar Dados de Dens. InSitu'!$AI$5:$AI$5760),"")</f>
        <v/>
      </c>
      <c r="AB9" s="571" t="str">
        <f>IF($AG9&lt;&gt;"",LOOKUP($AG9,'Digitar Dados de Dens. InSitu'!$AB$5:$AB$5760,'Digitar Dados de Dens. InSitu'!$AH$5:$AH$5760),"")</f>
        <v/>
      </c>
      <c r="AC9" s="577" t="str">
        <f>IF($AG9&lt;&gt;"",LOOKUP($AG9,'Digitar Dados de Dens. InSitu'!$AB$5:$AB$5760,'Digitar Dados de Dens. InSitu'!$AJ$5:$AJ$5760),"")</f>
        <v/>
      </c>
      <c r="AD9" s="566" t="str">
        <f>IF($AG9&lt;&gt;"",LOOKUP($AG9,'Digitar Dados de Dens. InSitu'!$AB$5:$AB$5760,'Digitar Dados de Dens. InSitu'!$AK$5:$AK$5760),"")</f>
        <v/>
      </c>
      <c r="AE9" s="572"/>
      <c r="AF9" s="573"/>
      <c r="AG9" s="574">
        <v>2</v>
      </c>
    </row>
    <row r="10" spans="1:40" x14ac:dyDescent="0.35">
      <c r="A10" s="575" t="str">
        <f t="shared" si="2"/>
        <v/>
      </c>
      <c r="B10" s="597" t="str">
        <f t="shared" ca="1" si="3"/>
        <v/>
      </c>
      <c r="C10" s="563" t="str">
        <f t="shared" ca="1" si="1"/>
        <v/>
      </c>
      <c r="D10" s="564" t="str">
        <f t="shared" ca="1" si="1"/>
        <v/>
      </c>
      <c r="E10" s="565" t="str">
        <f t="shared" ca="1" si="1"/>
        <v/>
      </c>
      <c r="F10" s="565" t="str">
        <f t="shared" ca="1" si="1"/>
        <v/>
      </c>
      <c r="G10" s="565" t="str">
        <f t="shared" ca="1" si="1"/>
        <v/>
      </c>
      <c r="H10" s="566" t="str">
        <f t="shared" ca="1" si="1"/>
        <v/>
      </c>
      <c r="I10" s="566" t="str">
        <f t="shared" ca="1" si="1"/>
        <v/>
      </c>
      <c r="J10" s="566" t="str">
        <f t="shared" ca="1" si="1"/>
        <v/>
      </c>
      <c r="K10" s="566" t="str">
        <f t="shared" ca="1" si="1"/>
        <v/>
      </c>
      <c r="L10" s="566" t="str">
        <f t="shared" ca="1" si="1"/>
        <v/>
      </c>
      <c r="M10" s="566" t="str">
        <f t="shared" ca="1" si="1"/>
        <v/>
      </c>
      <c r="N10" s="566" t="str">
        <f t="shared" ca="1" si="1"/>
        <v/>
      </c>
      <c r="O10" s="566" t="str">
        <f t="shared" ca="1" si="1"/>
        <v/>
      </c>
      <c r="P10" s="590" t="str">
        <f t="shared" ca="1" si="1"/>
        <v/>
      </c>
      <c r="Q10" s="566" t="str">
        <f t="shared" ca="1" si="1"/>
        <v/>
      </c>
      <c r="R10" s="566" t="str">
        <f t="shared" ca="1" si="1"/>
        <v/>
      </c>
      <c r="S10" s="590" t="str">
        <f t="shared" ca="1" si="1"/>
        <v/>
      </c>
      <c r="T10" s="567" t="str">
        <f t="shared" ca="1" si="1"/>
        <v/>
      </c>
      <c r="U10" s="567" t="str">
        <f t="shared" ca="1" si="1"/>
        <v/>
      </c>
      <c r="V10" s="569" t="str">
        <f t="shared" ca="1" si="4"/>
        <v/>
      </c>
      <c r="W10" s="576" t="str">
        <f>IF($AG10&lt;&gt;"",LOOKUP($AG10,'Digitar Dados de Dens. InSitu'!$AB$5:$AB$5760,'Digitar Dados de Dens. InSitu'!$AC$5:$AC$5760),"")</f>
        <v/>
      </c>
      <c r="X10" s="568" t="str">
        <f>IF($AG10&lt;&gt;"",LOOKUP($AG10,'Digitar Dados de Dens. InSitu'!$AB$5:$AB$5760,'Digitar Dados de Dens. InSitu'!$AG$5:$AG$5760),"")</f>
        <v/>
      </c>
      <c r="Y10" s="567" t="str">
        <f>IF($AG10&lt;&gt;"",LOOKUP($AG10,'Digitar Dados de Dens. InSitu'!$AB$5:$AB$5760,'Digitar Dados de Dens. InSitu'!$AE$5:$AE$5760),"")</f>
        <v/>
      </c>
      <c r="Z10" s="570" t="str">
        <f>IF($AG10&lt;&gt;"",LOOKUP($AG10,'Digitar Dados de Dens. InSitu'!$AB$5:$AB$5760,'Digitar Dados de Dens. InSitu'!$AD$5:$AD$5760),"")</f>
        <v/>
      </c>
      <c r="AA10" s="600" t="str">
        <f>IF($AG10&lt;&gt;"",LOOKUP($AG10,'Digitar Dados de Dens. InSitu'!$AB$5:$AB$5760,'Digitar Dados de Dens. InSitu'!$AI$5:$AI$5760),"")</f>
        <v/>
      </c>
      <c r="AB10" s="571" t="str">
        <f>IF($AG10&lt;&gt;"",LOOKUP($AG10,'Digitar Dados de Dens. InSitu'!$AB$5:$AB$5760,'Digitar Dados de Dens. InSitu'!$AH$5:$AH$5760),"")</f>
        <v/>
      </c>
      <c r="AC10" s="577" t="str">
        <f>IF($AG10&lt;&gt;"",LOOKUP($AG10,'Digitar Dados de Dens. InSitu'!$AB$5:$AB$5760,'Digitar Dados de Dens. InSitu'!$AJ$5:$AJ$5760),"")</f>
        <v/>
      </c>
      <c r="AD10" s="566" t="str">
        <f>IF($AG10&lt;&gt;"",LOOKUP($AG10,'Digitar Dados de Dens. InSitu'!$AB$5:$AB$5760,'Digitar Dados de Dens. InSitu'!$AK$5:$AK$5760),"")</f>
        <v/>
      </c>
      <c r="AE10" s="572"/>
      <c r="AF10" s="573"/>
      <c r="AG10" s="574">
        <v>3</v>
      </c>
    </row>
    <row r="11" spans="1:40" x14ac:dyDescent="0.35">
      <c r="A11" s="575" t="str">
        <f t="shared" si="2"/>
        <v/>
      </c>
      <c r="B11" s="597" t="str">
        <f t="shared" ca="1" si="3"/>
        <v/>
      </c>
      <c r="C11" s="563" t="str">
        <f t="shared" ca="1" si="1"/>
        <v/>
      </c>
      <c r="D11" s="564" t="str">
        <f t="shared" ca="1" si="1"/>
        <v/>
      </c>
      <c r="E11" s="565" t="str">
        <f t="shared" ca="1" si="1"/>
        <v/>
      </c>
      <c r="F11" s="565" t="str">
        <f t="shared" ca="1" si="1"/>
        <v/>
      </c>
      <c r="G11" s="565" t="str">
        <f t="shared" ca="1" si="1"/>
        <v/>
      </c>
      <c r="H11" s="566" t="str">
        <f t="shared" ca="1" si="1"/>
        <v/>
      </c>
      <c r="I11" s="566" t="str">
        <f t="shared" ca="1" si="1"/>
        <v/>
      </c>
      <c r="J11" s="566" t="str">
        <f t="shared" ca="1" si="1"/>
        <v/>
      </c>
      <c r="K11" s="566" t="str">
        <f t="shared" ca="1" si="1"/>
        <v/>
      </c>
      <c r="L11" s="566" t="str">
        <f t="shared" ca="1" si="1"/>
        <v/>
      </c>
      <c r="M11" s="566" t="str">
        <f t="shared" ca="1" si="1"/>
        <v/>
      </c>
      <c r="N11" s="566" t="str">
        <f t="shared" ca="1" si="1"/>
        <v/>
      </c>
      <c r="O11" s="566" t="str">
        <f t="shared" ca="1" si="1"/>
        <v/>
      </c>
      <c r="P11" s="590" t="str">
        <f t="shared" ca="1" si="1"/>
        <v/>
      </c>
      <c r="Q11" s="566" t="str">
        <f t="shared" ca="1" si="1"/>
        <v/>
      </c>
      <c r="R11" s="566" t="str">
        <f t="shared" ca="1" si="1"/>
        <v/>
      </c>
      <c r="S11" s="590" t="str">
        <f t="shared" ca="1" si="1"/>
        <v/>
      </c>
      <c r="T11" s="567" t="str">
        <f t="shared" ca="1" si="1"/>
        <v/>
      </c>
      <c r="U11" s="567" t="str">
        <f t="shared" ca="1" si="1"/>
        <v/>
      </c>
      <c r="V11" s="569" t="str">
        <f t="shared" ca="1" si="4"/>
        <v/>
      </c>
      <c r="W11" s="576" t="str">
        <f>IF($AG11&lt;&gt;"",LOOKUP($AG11,'Digitar Dados de Dens. InSitu'!$AB$5:$AB$5760,'Digitar Dados de Dens. InSitu'!$AC$5:$AC$5760),"")</f>
        <v/>
      </c>
      <c r="X11" s="568" t="str">
        <f>IF($AG11&lt;&gt;"",LOOKUP($AG11,'Digitar Dados de Dens. InSitu'!$AB$5:$AB$5760,'Digitar Dados de Dens. InSitu'!$AG$5:$AG$5760),"")</f>
        <v/>
      </c>
      <c r="Y11" s="567" t="str">
        <f>IF($AG11&lt;&gt;"",LOOKUP($AG11,'Digitar Dados de Dens. InSitu'!$AB$5:$AB$5760,'Digitar Dados de Dens. InSitu'!$AE$5:$AE$5760),"")</f>
        <v/>
      </c>
      <c r="Z11" s="570" t="str">
        <f>IF($AG11&lt;&gt;"",LOOKUP($AG11,'Digitar Dados de Dens. InSitu'!$AB$5:$AB$5760,'Digitar Dados de Dens. InSitu'!$AD$5:$AD$5760),"")</f>
        <v/>
      </c>
      <c r="AA11" s="600" t="str">
        <f>IF($AG11&lt;&gt;"",LOOKUP($AG11,'Digitar Dados de Dens. InSitu'!$AB$5:$AB$5760,'Digitar Dados de Dens. InSitu'!$AI$5:$AI$5760),"")</f>
        <v/>
      </c>
      <c r="AB11" s="571" t="str">
        <f>IF($AG11&lt;&gt;"",LOOKUP($AG11,'Digitar Dados de Dens. InSitu'!$AB$5:$AB$5760,'Digitar Dados de Dens. InSitu'!$AH$5:$AH$5760),"")</f>
        <v/>
      </c>
      <c r="AC11" s="577" t="str">
        <f>IF($AG11&lt;&gt;"",LOOKUP($AG11,'Digitar Dados de Dens. InSitu'!$AB$5:$AB$5760,'Digitar Dados de Dens. InSitu'!$AJ$5:$AJ$5760),"")</f>
        <v/>
      </c>
      <c r="AD11" s="566" t="str">
        <f>IF($AG11&lt;&gt;"",LOOKUP($AG11,'Digitar Dados de Dens. InSitu'!$AB$5:$AB$5760,'Digitar Dados de Dens. InSitu'!$AK$5:$AK$5760),"")</f>
        <v/>
      </c>
      <c r="AE11" s="572"/>
      <c r="AF11" s="573"/>
      <c r="AG11" s="574">
        <v>4</v>
      </c>
      <c r="AM11" s="572">
        <v>1</v>
      </c>
      <c r="AN11" s="572">
        <v>0</v>
      </c>
    </row>
    <row r="12" spans="1:40" x14ac:dyDescent="0.35">
      <c r="A12" s="575" t="str">
        <f t="shared" si="2"/>
        <v/>
      </c>
      <c r="B12" s="597" t="str">
        <f t="shared" ca="1" si="3"/>
        <v/>
      </c>
      <c r="C12" s="563" t="str">
        <f t="shared" ca="1" si="1"/>
        <v/>
      </c>
      <c r="D12" s="564" t="str">
        <f t="shared" ca="1" si="1"/>
        <v/>
      </c>
      <c r="E12" s="565" t="str">
        <f t="shared" ca="1" si="1"/>
        <v/>
      </c>
      <c r="F12" s="565" t="str">
        <f t="shared" ca="1" si="1"/>
        <v/>
      </c>
      <c r="G12" s="565" t="str">
        <f t="shared" ca="1" si="1"/>
        <v/>
      </c>
      <c r="H12" s="566" t="str">
        <f t="shared" ca="1" si="1"/>
        <v/>
      </c>
      <c r="I12" s="566" t="str">
        <f t="shared" ca="1" si="1"/>
        <v/>
      </c>
      <c r="J12" s="566" t="str">
        <f t="shared" ca="1" si="1"/>
        <v/>
      </c>
      <c r="K12" s="566" t="str">
        <f t="shared" ca="1" si="1"/>
        <v/>
      </c>
      <c r="L12" s="566" t="str">
        <f t="shared" ca="1" si="1"/>
        <v/>
      </c>
      <c r="M12" s="566" t="str">
        <f t="shared" ca="1" si="1"/>
        <v/>
      </c>
      <c r="N12" s="566" t="str">
        <f t="shared" ca="1" si="1"/>
        <v/>
      </c>
      <c r="O12" s="566" t="str">
        <f t="shared" ca="1" si="1"/>
        <v/>
      </c>
      <c r="P12" s="590" t="str">
        <f t="shared" ca="1" si="1"/>
        <v/>
      </c>
      <c r="Q12" s="566" t="str">
        <f t="shared" ca="1" si="1"/>
        <v/>
      </c>
      <c r="R12" s="566" t="str">
        <f t="shared" ca="1" si="1"/>
        <v/>
      </c>
      <c r="S12" s="590" t="str">
        <f t="shared" ca="1" si="1"/>
        <v/>
      </c>
      <c r="T12" s="567" t="str">
        <f t="shared" ca="1" si="1"/>
        <v/>
      </c>
      <c r="U12" s="567" t="str">
        <f t="shared" ca="1" si="1"/>
        <v/>
      </c>
      <c r="V12" s="569" t="str">
        <f t="shared" ca="1" si="4"/>
        <v/>
      </c>
      <c r="W12" s="576" t="str">
        <f>IF($AG12&lt;&gt;"",LOOKUP($AG12,'Digitar Dados de Dens. InSitu'!$AB$5:$AB$5760,'Digitar Dados de Dens. InSitu'!$AC$5:$AC$5760),"")</f>
        <v/>
      </c>
      <c r="X12" s="568" t="str">
        <f>IF($AG12&lt;&gt;"",LOOKUP($AG12,'Digitar Dados de Dens. InSitu'!$AB$5:$AB$5760,'Digitar Dados de Dens. InSitu'!$AG$5:$AG$5760),"")</f>
        <v/>
      </c>
      <c r="Y12" s="567" t="str">
        <f>IF($AG12&lt;&gt;"",LOOKUP($AG12,'Digitar Dados de Dens. InSitu'!$AB$5:$AB$5760,'Digitar Dados de Dens. InSitu'!$AE$5:$AE$5760),"")</f>
        <v/>
      </c>
      <c r="Z12" s="570" t="str">
        <f>IF($AG12&lt;&gt;"",LOOKUP($AG12,'Digitar Dados de Dens. InSitu'!$AB$5:$AB$5760,'Digitar Dados de Dens. InSitu'!$AD$5:$AD$5760),"")</f>
        <v/>
      </c>
      <c r="AA12" s="600" t="str">
        <f>IF($AG12&lt;&gt;"",LOOKUP($AG12,'Digitar Dados de Dens. InSitu'!$AB$5:$AB$5760,'Digitar Dados de Dens. InSitu'!$AI$5:$AI$5760),"")</f>
        <v/>
      </c>
      <c r="AB12" s="571" t="str">
        <f>IF($AG12&lt;&gt;"",LOOKUP($AG12,'Digitar Dados de Dens. InSitu'!$AB$5:$AB$5760,'Digitar Dados de Dens. InSitu'!$AH$5:$AH$5760),"")</f>
        <v/>
      </c>
      <c r="AC12" s="577" t="str">
        <f>IF($AG12&lt;&gt;"",LOOKUP($AG12,'Digitar Dados de Dens. InSitu'!$AB$5:$AB$5760,'Digitar Dados de Dens. InSitu'!$AJ$5:$AJ$5760),"")</f>
        <v/>
      </c>
      <c r="AD12" s="566" t="str">
        <f>IF($AG12&lt;&gt;"",LOOKUP($AG12,'Digitar Dados de Dens. InSitu'!$AB$5:$AB$5760,'Digitar Dados de Dens. InSitu'!$AK$5:$AK$5760),"")</f>
        <v/>
      </c>
      <c r="AE12" s="572"/>
      <c r="AF12" s="573"/>
      <c r="AG12" s="574">
        <v>5</v>
      </c>
      <c r="AM12" s="572">
        <v>2</v>
      </c>
      <c r="AN12" s="572">
        <v>0</v>
      </c>
    </row>
    <row r="13" spans="1:40" x14ac:dyDescent="0.35">
      <c r="A13" s="575" t="str">
        <f t="shared" si="2"/>
        <v/>
      </c>
      <c r="B13" s="597" t="str">
        <f t="shared" ca="1" si="3"/>
        <v/>
      </c>
      <c r="C13" s="563" t="str">
        <f t="shared" ca="1" si="1"/>
        <v/>
      </c>
      <c r="D13" s="564" t="str">
        <f t="shared" ca="1" si="1"/>
        <v/>
      </c>
      <c r="E13" s="565" t="str">
        <f t="shared" ca="1" si="1"/>
        <v/>
      </c>
      <c r="F13" s="565" t="str">
        <f t="shared" ca="1" si="1"/>
        <v/>
      </c>
      <c r="G13" s="565" t="str">
        <f t="shared" ca="1" si="1"/>
        <v/>
      </c>
      <c r="H13" s="566" t="str">
        <f t="shared" ca="1" si="1"/>
        <v/>
      </c>
      <c r="I13" s="566" t="str">
        <f t="shared" ca="1" si="1"/>
        <v/>
      </c>
      <c r="J13" s="566" t="str">
        <f t="shared" ca="1" si="1"/>
        <v/>
      </c>
      <c r="K13" s="566" t="str">
        <f t="shared" ca="1" si="1"/>
        <v/>
      </c>
      <c r="L13" s="566" t="str">
        <f t="shared" ca="1" si="1"/>
        <v/>
      </c>
      <c r="M13" s="566" t="str">
        <f t="shared" ca="1" si="1"/>
        <v/>
      </c>
      <c r="N13" s="566" t="str">
        <f t="shared" ca="1" si="1"/>
        <v/>
      </c>
      <c r="O13" s="566" t="str">
        <f t="shared" ca="1" si="1"/>
        <v/>
      </c>
      <c r="P13" s="590" t="str">
        <f t="shared" ca="1" si="1"/>
        <v/>
      </c>
      <c r="Q13" s="566" t="str">
        <f t="shared" ca="1" si="1"/>
        <v/>
      </c>
      <c r="R13" s="566" t="str">
        <f t="shared" ca="1" si="1"/>
        <v/>
      </c>
      <c r="S13" s="590" t="str">
        <f t="shared" ca="1" si="1"/>
        <v/>
      </c>
      <c r="T13" s="567" t="str">
        <f t="shared" ca="1" si="1"/>
        <v/>
      </c>
      <c r="U13" s="567" t="str">
        <f t="shared" ca="1" si="1"/>
        <v/>
      </c>
      <c r="V13" s="569" t="str">
        <f t="shared" ca="1" si="4"/>
        <v/>
      </c>
      <c r="W13" s="576" t="str">
        <f>IF($AG13&lt;&gt;"",LOOKUP($AG13,'Digitar Dados de Dens. InSitu'!$AB$5:$AB$5760,'Digitar Dados de Dens. InSitu'!$AC$5:$AC$5760),"")</f>
        <v/>
      </c>
      <c r="X13" s="568" t="str">
        <f>IF($AG13&lt;&gt;"",LOOKUP($AG13,'Digitar Dados de Dens. InSitu'!$AB$5:$AB$5760,'Digitar Dados de Dens. InSitu'!$AG$5:$AG$5760),"")</f>
        <v/>
      </c>
      <c r="Y13" s="567" t="str">
        <f>IF($AG13&lt;&gt;"",LOOKUP($AG13,'Digitar Dados de Dens. InSitu'!$AB$5:$AB$5760,'Digitar Dados de Dens. InSitu'!$AE$5:$AE$5760),"")</f>
        <v/>
      </c>
      <c r="Z13" s="570" t="str">
        <f>IF($AG13&lt;&gt;"",LOOKUP($AG13,'Digitar Dados de Dens. InSitu'!$AB$5:$AB$5760,'Digitar Dados de Dens. InSitu'!$AD$5:$AD$5760),"")</f>
        <v/>
      </c>
      <c r="AA13" s="600" t="str">
        <f>IF($AG13&lt;&gt;"",LOOKUP($AG13,'Digitar Dados de Dens. InSitu'!$AB$5:$AB$5760,'Digitar Dados de Dens. InSitu'!$AI$5:$AI$5760),"")</f>
        <v/>
      </c>
      <c r="AB13" s="571" t="str">
        <f>IF($AG13&lt;&gt;"",LOOKUP($AG13,'Digitar Dados de Dens. InSitu'!$AB$5:$AB$5760,'Digitar Dados de Dens. InSitu'!$AH$5:$AH$5760),"")</f>
        <v/>
      </c>
      <c r="AC13" s="577" t="str">
        <f>IF($AG13&lt;&gt;"",LOOKUP($AG13,'Digitar Dados de Dens. InSitu'!$AB$5:$AB$5760,'Digitar Dados de Dens. InSitu'!$AJ$5:$AJ$5760),"")</f>
        <v/>
      </c>
      <c r="AD13" s="566" t="str">
        <f>IF($AG13&lt;&gt;"",LOOKUP($AG13,'Digitar Dados de Dens. InSitu'!$AB$5:$AB$5760,'Digitar Dados de Dens. InSitu'!$AK$5:$AK$5760),"")</f>
        <v/>
      </c>
      <c r="AE13" s="572"/>
      <c r="AF13" s="573"/>
      <c r="AG13" s="574"/>
      <c r="AM13" s="572">
        <v>3</v>
      </c>
      <c r="AN13" s="572">
        <v>0</v>
      </c>
    </row>
    <row r="14" spans="1:40" x14ac:dyDescent="0.35">
      <c r="A14" s="575" t="str">
        <f t="shared" si="2"/>
        <v/>
      </c>
      <c r="B14" s="597" t="str">
        <f t="shared" ca="1" si="3"/>
        <v/>
      </c>
      <c r="C14" s="563" t="str">
        <f t="shared" ca="1" si="3"/>
        <v/>
      </c>
      <c r="D14" s="564" t="str">
        <f t="shared" ca="1" si="3"/>
        <v/>
      </c>
      <c r="E14" s="565" t="str">
        <f t="shared" ca="1" si="3"/>
        <v/>
      </c>
      <c r="F14" s="565" t="str">
        <f t="shared" ca="1" si="3"/>
        <v/>
      </c>
      <c r="G14" s="565" t="str">
        <f t="shared" ca="1" si="3"/>
        <v/>
      </c>
      <c r="H14" s="566" t="str">
        <f t="shared" ca="1" si="3"/>
        <v/>
      </c>
      <c r="I14" s="566" t="str">
        <f t="shared" ca="1" si="3"/>
        <v/>
      </c>
      <c r="J14" s="566" t="str">
        <f t="shared" ca="1" si="3"/>
        <v/>
      </c>
      <c r="K14" s="566" t="str">
        <f t="shared" ca="1" si="3"/>
        <v/>
      </c>
      <c r="L14" s="566" t="str">
        <f t="shared" ca="1" si="3"/>
        <v/>
      </c>
      <c r="M14" s="566" t="str">
        <f t="shared" ca="1" si="1"/>
        <v/>
      </c>
      <c r="N14" s="566" t="str">
        <f t="shared" ca="1" si="1"/>
        <v/>
      </c>
      <c r="O14" s="566" t="str">
        <f t="shared" ca="1" si="1"/>
        <v/>
      </c>
      <c r="P14" s="590" t="str">
        <f t="shared" ca="1" si="1"/>
        <v/>
      </c>
      <c r="Q14" s="566" t="str">
        <f t="shared" ca="1" si="1"/>
        <v/>
      </c>
      <c r="R14" s="566" t="str">
        <f t="shared" ca="1" si="1"/>
        <v/>
      </c>
      <c r="S14" s="590" t="str">
        <f t="shared" ca="1" si="1"/>
        <v/>
      </c>
      <c r="T14" s="567" t="str">
        <f t="shared" ca="1" si="1"/>
        <v/>
      </c>
      <c r="U14" s="567" t="str">
        <f t="shared" ca="1" si="1"/>
        <v/>
      </c>
      <c r="V14" s="569" t="str">
        <f t="shared" ca="1" si="4"/>
        <v/>
      </c>
      <c r="W14" s="576" t="str">
        <f>IF($AG14&lt;&gt;"",LOOKUP($AG14,'Digitar Dados de Dens. InSitu'!$AB$5:$AB$5760,'Digitar Dados de Dens. InSitu'!$AC$5:$AC$5760),"")</f>
        <v/>
      </c>
      <c r="X14" s="568" t="str">
        <f>IF($AG14&lt;&gt;"",LOOKUP($AG14,'Digitar Dados de Dens. InSitu'!$AB$5:$AB$5760,'Digitar Dados de Dens. InSitu'!$AG$5:$AG$5760),"")</f>
        <v/>
      </c>
      <c r="Y14" s="567" t="str">
        <f>IF($AG14&lt;&gt;"",LOOKUP($AG14,'Digitar Dados de Dens. InSitu'!$AB$5:$AB$5760,'Digitar Dados de Dens. InSitu'!$AE$5:$AE$5760),"")</f>
        <v/>
      </c>
      <c r="Z14" s="570" t="str">
        <f>IF($AG14&lt;&gt;"",LOOKUP($AG14,'Digitar Dados de Dens. InSitu'!$AB$5:$AB$5760,'Digitar Dados de Dens. InSitu'!$AD$5:$AD$5760),"")</f>
        <v/>
      </c>
      <c r="AA14" s="600" t="str">
        <f>IF($AG14&lt;&gt;"",LOOKUP($AG14,'Digitar Dados de Dens. InSitu'!$AB$5:$AB$5760,'Digitar Dados de Dens. InSitu'!$AI$5:$AI$5760),"")</f>
        <v/>
      </c>
      <c r="AB14" s="571" t="str">
        <f>IF($AG14&lt;&gt;"",LOOKUP($AG14,'Digitar Dados de Dens. InSitu'!$AB$5:$AB$5760,'Digitar Dados de Dens. InSitu'!$AH$5:$AH$5760),"")</f>
        <v/>
      </c>
      <c r="AC14" s="577" t="str">
        <f>IF($AG14&lt;&gt;"",LOOKUP($AG14,'Digitar Dados de Dens. InSitu'!$AB$5:$AB$5760,'Digitar Dados de Dens. InSitu'!$AJ$5:$AJ$5760),"")</f>
        <v/>
      </c>
      <c r="AD14" s="566" t="str">
        <f>IF($AG14&lt;&gt;"",LOOKUP($AG14,'Digitar Dados de Dens. InSitu'!$AB$5:$AB$5760,'Digitar Dados de Dens. InSitu'!$AK$5:$AK$5760),"")</f>
        <v/>
      </c>
      <c r="AE14" s="572"/>
      <c r="AF14" s="573"/>
      <c r="AG14" s="574"/>
      <c r="AM14" s="572">
        <v>4</v>
      </c>
      <c r="AN14" s="572">
        <v>0</v>
      </c>
    </row>
    <row r="15" spans="1:40" x14ac:dyDescent="0.35">
      <c r="A15" s="575" t="str">
        <f t="shared" si="2"/>
        <v/>
      </c>
      <c r="B15" s="597" t="str">
        <f t="shared" ca="1" si="3"/>
        <v/>
      </c>
      <c r="C15" s="563" t="str">
        <f t="shared" ca="1" si="3"/>
        <v/>
      </c>
      <c r="D15" s="564" t="str">
        <f t="shared" ca="1" si="3"/>
        <v/>
      </c>
      <c r="E15" s="565" t="str">
        <f t="shared" ca="1" si="3"/>
        <v/>
      </c>
      <c r="F15" s="565" t="str">
        <f t="shared" ca="1" si="3"/>
        <v/>
      </c>
      <c r="G15" s="565" t="str">
        <f t="shared" ca="1" si="3"/>
        <v/>
      </c>
      <c r="H15" s="566" t="str">
        <f t="shared" ca="1" si="3"/>
        <v/>
      </c>
      <c r="I15" s="566" t="str">
        <f t="shared" ca="1" si="3"/>
        <v/>
      </c>
      <c r="J15" s="566" t="str">
        <f t="shared" ca="1" si="3"/>
        <v/>
      </c>
      <c r="K15" s="566" t="str">
        <f t="shared" ca="1" si="3"/>
        <v/>
      </c>
      <c r="L15" s="566" t="str">
        <f t="shared" ca="1" si="3"/>
        <v/>
      </c>
      <c r="M15" s="566" t="str">
        <f t="shared" ca="1" si="1"/>
        <v/>
      </c>
      <c r="N15" s="566" t="str">
        <f t="shared" ca="1" si="1"/>
        <v/>
      </c>
      <c r="O15" s="566" t="str">
        <f t="shared" ca="1" si="1"/>
        <v/>
      </c>
      <c r="P15" s="590" t="str">
        <f t="shared" ca="1" si="1"/>
        <v/>
      </c>
      <c r="Q15" s="566" t="str">
        <f t="shared" ca="1" si="1"/>
        <v/>
      </c>
      <c r="R15" s="566" t="str">
        <f t="shared" ca="1" si="1"/>
        <v/>
      </c>
      <c r="S15" s="590" t="str">
        <f t="shared" ca="1" si="1"/>
        <v/>
      </c>
      <c r="T15" s="567" t="str">
        <f t="shared" ca="1" si="1"/>
        <v/>
      </c>
      <c r="U15" s="567" t="str">
        <f t="shared" ca="1" si="1"/>
        <v/>
      </c>
      <c r="V15" s="569" t="str">
        <f t="shared" ca="1" si="4"/>
        <v/>
      </c>
      <c r="W15" s="576" t="str">
        <f>IF($AG15&lt;&gt;"",LOOKUP($AG15,'Digitar Dados de Dens. InSitu'!$AB$5:$AB$5760,'Digitar Dados de Dens. InSitu'!$AC$5:$AC$5760),"")</f>
        <v/>
      </c>
      <c r="X15" s="568" t="str">
        <f>IF($AG15&lt;&gt;"",LOOKUP($AG15,'Digitar Dados de Dens. InSitu'!$AB$5:$AB$5760,'Digitar Dados de Dens. InSitu'!$AG$5:$AG$5760),"")</f>
        <v/>
      </c>
      <c r="Y15" s="567" t="str">
        <f>IF($AG15&lt;&gt;"",LOOKUP($AG15,'Digitar Dados de Dens. InSitu'!$AB$5:$AB$5760,'Digitar Dados de Dens. InSitu'!$AE$5:$AE$5760),"")</f>
        <v/>
      </c>
      <c r="Z15" s="570" t="str">
        <f>IF($AG15&lt;&gt;"",LOOKUP($AG15,'Digitar Dados de Dens. InSitu'!$AB$5:$AB$5760,'Digitar Dados de Dens. InSitu'!$AD$5:$AD$5760),"")</f>
        <v/>
      </c>
      <c r="AA15" s="600" t="str">
        <f>IF($AG15&lt;&gt;"",LOOKUP($AG15,'Digitar Dados de Dens. InSitu'!$AB$5:$AB$5760,'Digitar Dados de Dens. InSitu'!$AI$5:$AI$5760),"")</f>
        <v/>
      </c>
      <c r="AB15" s="571" t="str">
        <f>IF($AG15&lt;&gt;"",LOOKUP($AG15,'Digitar Dados de Dens. InSitu'!$AB$5:$AB$5760,'Digitar Dados de Dens. InSitu'!$AH$5:$AH$5760),"")</f>
        <v/>
      </c>
      <c r="AC15" s="577" t="str">
        <f>IF($AG15&lt;&gt;"",LOOKUP($AG15,'Digitar Dados de Dens. InSitu'!$AB$5:$AB$5760,'Digitar Dados de Dens. InSitu'!$AJ$5:$AJ$5760),"")</f>
        <v/>
      </c>
      <c r="AD15" s="566" t="str">
        <f>IF($AG15&lt;&gt;"",LOOKUP($AG15,'Digitar Dados de Dens. InSitu'!$AB$5:$AB$5760,'Digitar Dados de Dens. InSitu'!$AK$5:$AK$5760),"")</f>
        <v/>
      </c>
      <c r="AE15" s="572"/>
      <c r="AF15" s="573"/>
      <c r="AG15" s="574"/>
      <c r="AM15" s="572">
        <v>5</v>
      </c>
      <c r="AN15" s="572">
        <v>1.55</v>
      </c>
    </row>
    <row r="16" spans="1:40" x14ac:dyDescent="0.35">
      <c r="A16" s="575" t="str">
        <f t="shared" si="2"/>
        <v/>
      </c>
      <c r="B16" s="597" t="str">
        <f t="shared" ca="1" si="3"/>
        <v/>
      </c>
      <c r="C16" s="563" t="str">
        <f t="shared" ca="1" si="3"/>
        <v/>
      </c>
      <c r="D16" s="564" t="str">
        <f t="shared" ca="1" si="3"/>
        <v/>
      </c>
      <c r="E16" s="565" t="str">
        <f t="shared" ca="1" si="3"/>
        <v/>
      </c>
      <c r="F16" s="565" t="str">
        <f t="shared" ca="1" si="3"/>
        <v/>
      </c>
      <c r="G16" s="565" t="str">
        <f t="shared" ca="1" si="3"/>
        <v/>
      </c>
      <c r="H16" s="566" t="str">
        <f t="shared" ca="1" si="3"/>
        <v/>
      </c>
      <c r="I16" s="566" t="str">
        <f t="shared" ca="1" si="3"/>
        <v/>
      </c>
      <c r="J16" s="566" t="str">
        <f t="shared" ca="1" si="3"/>
        <v/>
      </c>
      <c r="K16" s="566" t="str">
        <f t="shared" ca="1" si="3"/>
        <v/>
      </c>
      <c r="L16" s="566" t="str">
        <f t="shared" ca="1" si="3"/>
        <v/>
      </c>
      <c r="M16" s="566" t="str">
        <f t="shared" ca="1" si="1"/>
        <v/>
      </c>
      <c r="N16" s="566" t="str">
        <f t="shared" ca="1" si="1"/>
        <v/>
      </c>
      <c r="O16" s="566" t="str">
        <f t="shared" ca="1" si="1"/>
        <v/>
      </c>
      <c r="P16" s="590" t="str">
        <f t="shared" ca="1" si="1"/>
        <v/>
      </c>
      <c r="Q16" s="566" t="str">
        <f t="shared" ca="1" si="1"/>
        <v/>
      </c>
      <c r="R16" s="566" t="str">
        <f t="shared" ca="1" si="1"/>
        <v/>
      </c>
      <c r="S16" s="590" t="str">
        <f t="shared" ca="1" si="1"/>
        <v/>
      </c>
      <c r="T16" s="567" t="str">
        <f t="shared" ca="1" si="1"/>
        <v/>
      </c>
      <c r="U16" s="567" t="str">
        <f t="shared" ca="1" si="1"/>
        <v/>
      </c>
      <c r="V16" s="569" t="str">
        <f t="shared" ca="1" si="4"/>
        <v/>
      </c>
      <c r="W16" s="576" t="str">
        <f>IF($AG16&lt;&gt;"",LOOKUP($AG16,'Digitar Dados de Dens. InSitu'!$AB$5:$AB$5760,'Digitar Dados de Dens. InSitu'!$AC$5:$AC$5760),"")</f>
        <v/>
      </c>
      <c r="X16" s="568" t="str">
        <f>IF($AG16&lt;&gt;"",LOOKUP($AG16,'Digitar Dados de Dens. InSitu'!$AB$5:$AB$5760,'Digitar Dados de Dens. InSitu'!$AG$5:$AG$5760),"")</f>
        <v/>
      </c>
      <c r="Y16" s="567" t="str">
        <f>IF($AG16&lt;&gt;"",LOOKUP($AG16,'Digitar Dados de Dens. InSitu'!$AB$5:$AB$5760,'Digitar Dados de Dens. InSitu'!$AE$5:$AE$5760),"")</f>
        <v/>
      </c>
      <c r="Z16" s="570" t="str">
        <f>IF($AG16&lt;&gt;"",LOOKUP($AG16,'Digitar Dados de Dens. InSitu'!$AB$5:$AB$5760,'Digitar Dados de Dens. InSitu'!$AD$5:$AD$5760),"")</f>
        <v/>
      </c>
      <c r="AA16" s="600" t="str">
        <f>IF($AG16&lt;&gt;"",LOOKUP($AG16,'Digitar Dados de Dens. InSitu'!$AB$5:$AB$5760,'Digitar Dados de Dens. InSitu'!$AI$5:$AI$5760),"")</f>
        <v/>
      </c>
      <c r="AB16" s="571" t="str">
        <f>IF($AG16&lt;&gt;"",LOOKUP($AG16,'Digitar Dados de Dens. InSitu'!$AB$5:$AB$5760,'Digitar Dados de Dens. InSitu'!$AH$5:$AH$5760),"")</f>
        <v/>
      </c>
      <c r="AC16" s="577" t="str">
        <f>IF($AG16&lt;&gt;"",LOOKUP($AG16,'Digitar Dados de Dens. InSitu'!$AB$5:$AB$5760,'Digitar Dados de Dens. InSitu'!$AJ$5:$AJ$5760),"")</f>
        <v/>
      </c>
      <c r="AD16" s="566" t="str">
        <f>IF($AG16&lt;&gt;"",LOOKUP($AG16,'Digitar Dados de Dens. InSitu'!$AB$5:$AB$5760,'Digitar Dados de Dens. InSitu'!$AK$5:$AK$5760),"")</f>
        <v/>
      </c>
      <c r="AE16" s="572"/>
      <c r="AF16" s="573"/>
      <c r="AG16" s="574"/>
      <c r="AM16" s="572">
        <v>6</v>
      </c>
      <c r="AN16" s="572">
        <v>1.41</v>
      </c>
    </row>
    <row r="17" spans="1:40" x14ac:dyDescent="0.35">
      <c r="A17" s="575" t="str">
        <f t="shared" si="2"/>
        <v/>
      </c>
      <c r="B17" s="597" t="str">
        <f t="shared" ca="1" si="3"/>
        <v/>
      </c>
      <c r="C17" s="563" t="str">
        <f t="shared" ca="1" si="3"/>
        <v/>
      </c>
      <c r="D17" s="564" t="str">
        <f t="shared" ca="1" si="3"/>
        <v/>
      </c>
      <c r="E17" s="565" t="str">
        <f t="shared" ca="1" si="3"/>
        <v/>
      </c>
      <c r="F17" s="565" t="str">
        <f t="shared" ca="1" si="3"/>
        <v/>
      </c>
      <c r="G17" s="565" t="str">
        <f t="shared" ca="1" si="3"/>
        <v/>
      </c>
      <c r="H17" s="566" t="str">
        <f t="shared" ca="1" si="3"/>
        <v/>
      </c>
      <c r="I17" s="566" t="str">
        <f t="shared" ca="1" si="3"/>
        <v/>
      </c>
      <c r="J17" s="566" t="str">
        <f t="shared" ca="1" si="3"/>
        <v/>
      </c>
      <c r="K17" s="566" t="str">
        <f t="shared" ca="1" si="3"/>
        <v/>
      </c>
      <c r="L17" s="566" t="str">
        <f t="shared" ca="1" si="3"/>
        <v/>
      </c>
      <c r="M17" s="566" t="str">
        <f t="shared" ca="1" si="1"/>
        <v/>
      </c>
      <c r="N17" s="566" t="str">
        <f t="shared" ca="1" si="1"/>
        <v/>
      </c>
      <c r="O17" s="566" t="str">
        <f t="shared" ca="1" si="1"/>
        <v/>
      </c>
      <c r="P17" s="590" t="str">
        <f t="shared" ca="1" si="1"/>
        <v/>
      </c>
      <c r="Q17" s="566" t="str">
        <f t="shared" ca="1" si="1"/>
        <v/>
      </c>
      <c r="R17" s="566" t="str">
        <f t="shared" ca="1" si="1"/>
        <v/>
      </c>
      <c r="S17" s="590" t="str">
        <f t="shared" ca="1" si="1"/>
        <v/>
      </c>
      <c r="T17" s="567" t="str">
        <f t="shared" ca="1" si="1"/>
        <v/>
      </c>
      <c r="U17" s="567" t="str">
        <f t="shared" ca="1" si="1"/>
        <v/>
      </c>
      <c r="V17" s="569" t="str">
        <f t="shared" ca="1" si="4"/>
        <v/>
      </c>
      <c r="W17" s="576" t="str">
        <f>IF($AG17&lt;&gt;"",LOOKUP($AG17,'Digitar Dados de Dens. InSitu'!$AB$5:$AB$5760,'Digitar Dados de Dens. InSitu'!$AC$5:$AC$5760),"")</f>
        <v/>
      </c>
      <c r="X17" s="568" t="str">
        <f>IF($AG17&lt;&gt;"",LOOKUP($AG17,'Digitar Dados de Dens. InSitu'!$AB$5:$AB$5760,'Digitar Dados de Dens. InSitu'!$AG$5:$AG$5760),"")</f>
        <v/>
      </c>
      <c r="Y17" s="567" t="str">
        <f>IF($AG17&lt;&gt;"",LOOKUP($AG17,'Digitar Dados de Dens. InSitu'!$AB$5:$AB$5760,'Digitar Dados de Dens. InSitu'!$AE$5:$AE$5760),"")</f>
        <v/>
      </c>
      <c r="Z17" s="570" t="str">
        <f>IF($AG17&lt;&gt;"",LOOKUP($AG17,'Digitar Dados de Dens. InSitu'!$AB$5:$AB$5760,'Digitar Dados de Dens. InSitu'!$AD$5:$AD$5760),"")</f>
        <v/>
      </c>
      <c r="AA17" s="600" t="str">
        <f>IF($AG17&lt;&gt;"",LOOKUP($AG17,'Digitar Dados de Dens. InSitu'!$AB$5:$AB$5760,'Digitar Dados de Dens. InSitu'!$AI$5:$AI$5760),"")</f>
        <v/>
      </c>
      <c r="AB17" s="571" t="str">
        <f>IF($AG17&lt;&gt;"",LOOKUP($AG17,'Digitar Dados de Dens. InSitu'!$AB$5:$AB$5760,'Digitar Dados de Dens. InSitu'!$AH$5:$AH$5760),"")</f>
        <v/>
      </c>
      <c r="AC17" s="577" t="str">
        <f>IF($AG17&lt;&gt;"",LOOKUP($AG17,'Digitar Dados de Dens. InSitu'!$AB$5:$AB$5760,'Digitar Dados de Dens. InSitu'!$AJ$5:$AJ$5760),"")</f>
        <v/>
      </c>
      <c r="AD17" s="566" t="str">
        <f>IF($AG17&lt;&gt;"",LOOKUP($AG17,'Digitar Dados de Dens. InSitu'!$AB$5:$AB$5760,'Digitar Dados de Dens. InSitu'!$AK$5:$AK$5760),"")</f>
        <v/>
      </c>
      <c r="AE17" s="572"/>
      <c r="AF17" s="573"/>
      <c r="AG17" s="574"/>
      <c r="AM17" s="572">
        <v>7</v>
      </c>
      <c r="AN17" s="572">
        <v>1.36</v>
      </c>
    </row>
    <row r="18" spans="1:40" x14ac:dyDescent="0.35">
      <c r="A18" s="575" t="str">
        <f t="shared" si="2"/>
        <v/>
      </c>
      <c r="B18" s="597" t="str">
        <f t="shared" ca="1" si="3"/>
        <v/>
      </c>
      <c r="C18" s="563" t="str">
        <f t="shared" ca="1" si="3"/>
        <v/>
      </c>
      <c r="D18" s="564" t="str">
        <f t="shared" ca="1" si="3"/>
        <v/>
      </c>
      <c r="E18" s="565" t="str">
        <f t="shared" ca="1" si="3"/>
        <v/>
      </c>
      <c r="F18" s="565" t="str">
        <f t="shared" ca="1" si="3"/>
        <v/>
      </c>
      <c r="G18" s="565" t="str">
        <f t="shared" ca="1" si="3"/>
        <v/>
      </c>
      <c r="H18" s="566" t="str">
        <f t="shared" ca="1" si="3"/>
        <v/>
      </c>
      <c r="I18" s="566" t="str">
        <f t="shared" ca="1" si="3"/>
        <v/>
      </c>
      <c r="J18" s="566" t="str">
        <f t="shared" ca="1" si="3"/>
        <v/>
      </c>
      <c r="K18" s="566" t="str">
        <f t="shared" ca="1" si="3"/>
        <v/>
      </c>
      <c r="L18" s="566" t="str">
        <f t="shared" ca="1" si="3"/>
        <v/>
      </c>
      <c r="M18" s="566" t="str">
        <f t="shared" ca="1" si="1"/>
        <v/>
      </c>
      <c r="N18" s="566" t="str">
        <f t="shared" ca="1" si="1"/>
        <v/>
      </c>
      <c r="O18" s="566" t="str">
        <f t="shared" ca="1" si="1"/>
        <v/>
      </c>
      <c r="P18" s="590" t="str">
        <f t="shared" ca="1" si="1"/>
        <v/>
      </c>
      <c r="Q18" s="566" t="str">
        <f t="shared" ca="1" si="1"/>
        <v/>
      </c>
      <c r="R18" s="566" t="str">
        <f t="shared" ca="1" si="1"/>
        <v/>
      </c>
      <c r="S18" s="590" t="str">
        <f t="shared" ca="1" si="1"/>
        <v/>
      </c>
      <c r="T18" s="567" t="str">
        <f t="shared" ca="1" si="1"/>
        <v/>
      </c>
      <c r="U18" s="567" t="str">
        <f t="shared" ca="1" si="1"/>
        <v/>
      </c>
      <c r="V18" s="569" t="str">
        <f t="shared" ca="1" si="4"/>
        <v/>
      </c>
      <c r="W18" s="576" t="str">
        <f>IF($AG18&lt;&gt;"",LOOKUP($AG18,'Digitar Dados de Dens. InSitu'!$AB$5:$AB$5760,'Digitar Dados de Dens. InSitu'!$AC$5:$AC$5760),"")</f>
        <v/>
      </c>
      <c r="X18" s="568" t="str">
        <f>IF($AG18&lt;&gt;"",LOOKUP($AG18,'Digitar Dados de Dens. InSitu'!$AB$5:$AB$5760,'Digitar Dados de Dens. InSitu'!$AG$5:$AG$5760),"")</f>
        <v/>
      </c>
      <c r="Y18" s="567" t="str">
        <f>IF($AG18&lt;&gt;"",LOOKUP($AG18,'Digitar Dados de Dens. InSitu'!$AB$5:$AB$5760,'Digitar Dados de Dens. InSitu'!$AE$5:$AE$5760),"")</f>
        <v/>
      </c>
      <c r="Z18" s="570" t="str">
        <f>IF($AG18&lt;&gt;"",LOOKUP($AG18,'Digitar Dados de Dens. InSitu'!$AB$5:$AB$5760,'Digitar Dados de Dens. InSitu'!$AD$5:$AD$5760),"")</f>
        <v/>
      </c>
      <c r="AA18" s="600" t="str">
        <f>IF($AG18&lt;&gt;"",LOOKUP($AG18,'Digitar Dados de Dens. InSitu'!$AB$5:$AB$5760,'Digitar Dados de Dens. InSitu'!$AI$5:$AI$5760),"")</f>
        <v/>
      </c>
      <c r="AB18" s="571" t="str">
        <f>IF($AG18&lt;&gt;"",LOOKUP($AG18,'Digitar Dados de Dens. InSitu'!$AB$5:$AB$5760,'Digitar Dados de Dens. InSitu'!$AH$5:$AH$5760),"")</f>
        <v/>
      </c>
      <c r="AC18" s="577" t="str">
        <f>IF($AG18&lt;&gt;"",LOOKUP($AG18,'Digitar Dados de Dens. InSitu'!$AB$5:$AB$5760,'Digitar Dados de Dens. InSitu'!$AJ$5:$AJ$5760),"")</f>
        <v/>
      </c>
      <c r="AD18" s="566" t="str">
        <f>IF($AG18&lt;&gt;"",LOOKUP($AG18,'Digitar Dados de Dens. InSitu'!$AB$5:$AB$5760,'Digitar Dados de Dens. InSitu'!$AK$5:$AK$5760),"")</f>
        <v/>
      </c>
      <c r="AE18" s="572"/>
      <c r="AF18" s="573"/>
      <c r="AG18" s="574"/>
      <c r="AM18" s="572">
        <v>8</v>
      </c>
      <c r="AN18" s="572">
        <v>1.31</v>
      </c>
    </row>
    <row r="19" spans="1:40" x14ac:dyDescent="0.35">
      <c r="A19" s="575" t="str">
        <f t="shared" si="2"/>
        <v/>
      </c>
      <c r="B19" s="597" t="str">
        <f t="shared" ca="1" si="3"/>
        <v/>
      </c>
      <c r="C19" s="563" t="str">
        <f t="shared" ca="1" si="3"/>
        <v/>
      </c>
      <c r="D19" s="564" t="str">
        <f t="shared" ca="1" si="3"/>
        <v/>
      </c>
      <c r="E19" s="565" t="str">
        <f t="shared" ca="1" si="3"/>
        <v/>
      </c>
      <c r="F19" s="565" t="str">
        <f t="shared" ca="1" si="3"/>
        <v/>
      </c>
      <c r="G19" s="565" t="str">
        <f t="shared" ca="1" si="3"/>
        <v/>
      </c>
      <c r="H19" s="566" t="str">
        <f t="shared" ca="1" si="3"/>
        <v/>
      </c>
      <c r="I19" s="566" t="str">
        <f t="shared" ca="1" si="3"/>
        <v/>
      </c>
      <c r="J19" s="566" t="str">
        <f t="shared" ca="1" si="3"/>
        <v/>
      </c>
      <c r="K19" s="566" t="str">
        <f t="shared" ca="1" si="3"/>
        <v/>
      </c>
      <c r="L19" s="566" t="str">
        <f t="shared" ca="1" si="3"/>
        <v/>
      </c>
      <c r="M19" s="566" t="str">
        <f t="shared" ca="1" si="1"/>
        <v/>
      </c>
      <c r="N19" s="566" t="str">
        <f t="shared" ca="1" si="1"/>
        <v/>
      </c>
      <c r="O19" s="566" t="str">
        <f t="shared" ca="1" si="1"/>
        <v/>
      </c>
      <c r="P19" s="590" t="str">
        <f t="shared" ca="1" si="1"/>
        <v/>
      </c>
      <c r="Q19" s="566" t="str">
        <f t="shared" ca="1" si="1"/>
        <v/>
      </c>
      <c r="R19" s="566" t="str">
        <f t="shared" ca="1" si="1"/>
        <v/>
      </c>
      <c r="S19" s="590" t="str">
        <f t="shared" ca="1" si="1"/>
        <v/>
      </c>
      <c r="T19" s="567" t="str">
        <f t="shared" ca="1" si="1"/>
        <v/>
      </c>
      <c r="U19" s="567" t="str">
        <f t="shared" ca="1" si="1"/>
        <v/>
      </c>
      <c r="V19" s="569" t="str">
        <f t="shared" ca="1" si="4"/>
        <v/>
      </c>
      <c r="W19" s="576" t="str">
        <f>IF($AG19&lt;&gt;"",LOOKUP($AG19,'Digitar Dados de Dens. InSitu'!$AB$5:$AB$5760,'Digitar Dados de Dens. InSitu'!$AC$5:$AC$5760),"")</f>
        <v/>
      </c>
      <c r="X19" s="568" t="str">
        <f>IF($AG19&lt;&gt;"",LOOKUP($AG19,'Digitar Dados de Dens. InSitu'!$AB$5:$AB$5760,'Digitar Dados de Dens. InSitu'!$AG$5:$AG$5760),"")</f>
        <v/>
      </c>
      <c r="Y19" s="567" t="str">
        <f>IF($AG19&lt;&gt;"",LOOKUP($AG19,'Digitar Dados de Dens. InSitu'!$AB$5:$AB$5760,'Digitar Dados de Dens. InSitu'!$AE$5:$AE$5760),"")</f>
        <v/>
      </c>
      <c r="Z19" s="570" t="str">
        <f>IF($AG19&lt;&gt;"",LOOKUP($AG19,'Digitar Dados de Dens. InSitu'!$AB$5:$AB$5760,'Digitar Dados de Dens. InSitu'!$AD$5:$AD$5760),"")</f>
        <v/>
      </c>
      <c r="AA19" s="600" t="str">
        <f>IF($AG19&lt;&gt;"",LOOKUP($AG19,'Digitar Dados de Dens. InSitu'!$AB$5:$AB$5760,'Digitar Dados de Dens. InSitu'!$AI$5:$AI$5760),"")</f>
        <v/>
      </c>
      <c r="AB19" s="571" t="str">
        <f>IF($AG19&lt;&gt;"",LOOKUP($AG19,'Digitar Dados de Dens. InSitu'!$AB$5:$AB$5760,'Digitar Dados de Dens. InSitu'!$AH$5:$AH$5760),"")</f>
        <v/>
      </c>
      <c r="AC19" s="577" t="str">
        <f>IF($AG19&lt;&gt;"",LOOKUP($AG19,'Digitar Dados de Dens. InSitu'!$AB$5:$AB$5760,'Digitar Dados de Dens. InSitu'!$AJ$5:$AJ$5760),"")</f>
        <v/>
      </c>
      <c r="AD19" s="566" t="str">
        <f>IF($AG19&lt;&gt;"",LOOKUP($AG19,'Digitar Dados de Dens. InSitu'!$AB$5:$AB$5760,'Digitar Dados de Dens. InSitu'!$AK$5:$AK$5760),"")</f>
        <v/>
      </c>
      <c r="AE19" s="572"/>
      <c r="AF19" s="573"/>
      <c r="AG19" s="574"/>
      <c r="AM19" s="572">
        <v>9</v>
      </c>
      <c r="AN19" s="572">
        <v>1.25</v>
      </c>
    </row>
    <row r="20" spans="1:40" x14ac:dyDescent="0.35">
      <c r="A20" s="575" t="str">
        <f t="shared" si="2"/>
        <v/>
      </c>
      <c r="B20" s="597" t="str">
        <f t="shared" ca="1" si="3"/>
        <v/>
      </c>
      <c r="C20" s="563" t="str">
        <f t="shared" ca="1" si="3"/>
        <v/>
      </c>
      <c r="D20" s="564" t="str">
        <f t="shared" ca="1" si="3"/>
        <v/>
      </c>
      <c r="E20" s="565" t="str">
        <f t="shared" ca="1" si="3"/>
        <v/>
      </c>
      <c r="F20" s="565" t="str">
        <f t="shared" ca="1" si="3"/>
        <v/>
      </c>
      <c r="G20" s="565" t="str">
        <f t="shared" ca="1" si="3"/>
        <v/>
      </c>
      <c r="H20" s="566" t="str">
        <f t="shared" ca="1" si="3"/>
        <v/>
      </c>
      <c r="I20" s="566" t="str">
        <f t="shared" ca="1" si="3"/>
        <v/>
      </c>
      <c r="J20" s="566" t="str">
        <f t="shared" ca="1" si="3"/>
        <v/>
      </c>
      <c r="K20" s="566" t="str">
        <f t="shared" ca="1" si="3"/>
        <v/>
      </c>
      <c r="L20" s="566" t="str">
        <f t="shared" ca="1" si="3"/>
        <v/>
      </c>
      <c r="M20" s="566" t="str">
        <f t="shared" ca="1" si="1"/>
        <v/>
      </c>
      <c r="N20" s="566" t="str">
        <f t="shared" ca="1" si="1"/>
        <v/>
      </c>
      <c r="O20" s="566" t="str">
        <f t="shared" ca="1" si="1"/>
        <v/>
      </c>
      <c r="P20" s="590" t="str">
        <f t="shared" ca="1" si="1"/>
        <v/>
      </c>
      <c r="Q20" s="566" t="str">
        <f t="shared" ca="1" si="1"/>
        <v/>
      </c>
      <c r="R20" s="566" t="str">
        <f t="shared" ca="1" si="1"/>
        <v/>
      </c>
      <c r="S20" s="590" t="str">
        <f t="shared" ca="1" si="1"/>
        <v/>
      </c>
      <c r="T20" s="567" t="str">
        <f t="shared" ca="1" si="1"/>
        <v/>
      </c>
      <c r="U20" s="567" t="str">
        <f t="shared" ca="1" si="1"/>
        <v/>
      </c>
      <c r="V20" s="569" t="str">
        <f t="shared" ca="1" si="4"/>
        <v/>
      </c>
      <c r="W20" s="576" t="str">
        <f>IF($AG20&lt;&gt;"",LOOKUP($AG20,'Digitar Dados de Dens. InSitu'!$AB$5:$AB$5760,'Digitar Dados de Dens. InSitu'!$AC$5:$AC$5760),"")</f>
        <v/>
      </c>
      <c r="X20" s="568" t="str">
        <f>IF($AG20&lt;&gt;"",LOOKUP($AG20,'Digitar Dados de Dens. InSitu'!$AB$5:$AB$5760,'Digitar Dados de Dens. InSitu'!$AG$5:$AG$5760),"")</f>
        <v/>
      </c>
      <c r="Y20" s="567" t="str">
        <f>IF($AG20&lt;&gt;"",LOOKUP($AG20,'Digitar Dados de Dens. InSitu'!$AB$5:$AB$5760,'Digitar Dados de Dens. InSitu'!$AE$5:$AE$5760),"")</f>
        <v/>
      </c>
      <c r="Z20" s="570" t="str">
        <f>IF($AG20&lt;&gt;"",LOOKUP($AG20,'Digitar Dados de Dens. InSitu'!$AB$5:$AB$5760,'Digitar Dados de Dens. InSitu'!$AD$5:$AD$5760),"")</f>
        <v/>
      </c>
      <c r="AA20" s="600" t="str">
        <f>IF($AG20&lt;&gt;"",LOOKUP($AG20,'Digitar Dados de Dens. InSitu'!$AB$5:$AB$5760,'Digitar Dados de Dens. InSitu'!$AI$5:$AI$5760),"")</f>
        <v/>
      </c>
      <c r="AB20" s="571" t="str">
        <f>IF($AG20&lt;&gt;"",LOOKUP($AG20,'Digitar Dados de Dens. InSitu'!$AB$5:$AB$5760,'Digitar Dados de Dens. InSitu'!$AH$5:$AH$5760),"")</f>
        <v/>
      </c>
      <c r="AC20" s="577" t="str">
        <f>IF($AG20&lt;&gt;"",LOOKUP($AG20,'Digitar Dados de Dens. InSitu'!$AB$5:$AB$5760,'Digitar Dados de Dens. InSitu'!$AJ$5:$AJ$5760),"")</f>
        <v/>
      </c>
      <c r="AD20" s="566" t="str">
        <f>IF($AG20&lt;&gt;"",LOOKUP($AG20,'Digitar Dados de Dens. InSitu'!$AB$5:$AB$5760,'Digitar Dados de Dens. InSitu'!$AK$5:$AK$5760),"")</f>
        <v/>
      </c>
      <c r="AE20" s="572"/>
      <c r="AF20" s="573"/>
      <c r="AG20" s="574"/>
      <c r="AM20" s="572">
        <v>10</v>
      </c>
      <c r="AN20" s="572">
        <v>1.21</v>
      </c>
    </row>
    <row r="21" spans="1:40" x14ac:dyDescent="0.35">
      <c r="A21" s="575" t="str">
        <f t="shared" si="2"/>
        <v/>
      </c>
      <c r="B21" s="597" t="str">
        <f t="shared" ca="1" si="3"/>
        <v/>
      </c>
      <c r="C21" s="563" t="str">
        <f t="shared" ca="1" si="3"/>
        <v/>
      </c>
      <c r="D21" s="564" t="str">
        <f t="shared" ca="1" si="3"/>
        <v/>
      </c>
      <c r="E21" s="565" t="str">
        <f t="shared" ca="1" si="3"/>
        <v/>
      </c>
      <c r="F21" s="565" t="str">
        <f t="shared" ca="1" si="3"/>
        <v/>
      </c>
      <c r="G21" s="565" t="str">
        <f t="shared" ca="1" si="3"/>
        <v/>
      </c>
      <c r="H21" s="566" t="str">
        <f t="shared" ca="1" si="3"/>
        <v/>
      </c>
      <c r="I21" s="566" t="str">
        <f t="shared" ca="1" si="3"/>
        <v/>
      </c>
      <c r="J21" s="566" t="str">
        <f t="shared" ca="1" si="3"/>
        <v/>
      </c>
      <c r="K21" s="566" t="str">
        <f t="shared" ca="1" si="3"/>
        <v/>
      </c>
      <c r="L21" s="566" t="str">
        <f t="shared" ca="1" si="3"/>
        <v/>
      </c>
      <c r="M21" s="566" t="str">
        <f t="shared" ca="1" si="1"/>
        <v/>
      </c>
      <c r="N21" s="566" t="str">
        <f t="shared" ca="1" si="1"/>
        <v/>
      </c>
      <c r="O21" s="566" t="str">
        <f t="shared" ca="1" si="1"/>
        <v/>
      </c>
      <c r="P21" s="590" t="str">
        <f t="shared" ca="1" si="1"/>
        <v/>
      </c>
      <c r="Q21" s="566" t="str">
        <f t="shared" ca="1" si="1"/>
        <v/>
      </c>
      <c r="R21" s="566" t="str">
        <f t="shared" ca="1" si="1"/>
        <v/>
      </c>
      <c r="S21" s="590" t="str">
        <f t="shared" ca="1" si="1"/>
        <v/>
      </c>
      <c r="T21" s="567" t="str">
        <f t="shared" ca="1" si="1"/>
        <v/>
      </c>
      <c r="U21" s="567" t="str">
        <f t="shared" ca="1" si="1"/>
        <v/>
      </c>
      <c r="V21" s="569" t="str">
        <f t="shared" ca="1" si="4"/>
        <v/>
      </c>
      <c r="W21" s="576" t="str">
        <f>IF($AG21&lt;&gt;"",LOOKUP($AG21,'Digitar Dados de Dens. InSitu'!$AB$5:$AB$5760,'Digitar Dados de Dens. InSitu'!$AC$5:$AC$5760),"")</f>
        <v/>
      </c>
      <c r="X21" s="568" t="str">
        <f>IF($AG21&lt;&gt;"",LOOKUP($AG21,'Digitar Dados de Dens. InSitu'!$AB$5:$AB$5760,'Digitar Dados de Dens. InSitu'!$AG$5:$AG$5760),"")</f>
        <v/>
      </c>
      <c r="Y21" s="567" t="str">
        <f>IF($AG21&lt;&gt;"",LOOKUP($AG21,'Digitar Dados de Dens. InSitu'!$AB$5:$AB$5760,'Digitar Dados de Dens. InSitu'!$AE$5:$AE$5760),"")</f>
        <v/>
      </c>
      <c r="Z21" s="570" t="str">
        <f>IF($AG21&lt;&gt;"",LOOKUP($AG21,'Digitar Dados de Dens. InSitu'!$AB$5:$AB$5760,'Digitar Dados de Dens. InSitu'!$AD$5:$AD$5760),"")</f>
        <v/>
      </c>
      <c r="AA21" s="600" t="str">
        <f>IF($AG21&lt;&gt;"",LOOKUP($AG21,'Digitar Dados de Dens. InSitu'!$AB$5:$AB$5760,'Digitar Dados de Dens. InSitu'!$AI$5:$AI$5760),"")</f>
        <v/>
      </c>
      <c r="AB21" s="571" t="str">
        <f>IF($AG21&lt;&gt;"",LOOKUP($AG21,'Digitar Dados de Dens. InSitu'!$AB$5:$AB$5760,'Digitar Dados de Dens. InSitu'!$AH$5:$AH$5760),"")</f>
        <v/>
      </c>
      <c r="AC21" s="577" t="str">
        <f>IF($AG21&lt;&gt;"",LOOKUP($AG21,'Digitar Dados de Dens. InSitu'!$AB$5:$AB$5760,'Digitar Dados de Dens. InSitu'!$AJ$5:$AJ$5760),"")</f>
        <v/>
      </c>
      <c r="AD21" s="566" t="str">
        <f>IF($AG21&lt;&gt;"",LOOKUP($AG21,'Digitar Dados de Dens. InSitu'!$AB$5:$AB$5760,'Digitar Dados de Dens. InSitu'!$AK$5:$AK$5760),"")</f>
        <v/>
      </c>
      <c r="AE21" s="572"/>
      <c r="AF21" s="573"/>
      <c r="AG21" s="574"/>
      <c r="AM21" s="572">
        <v>11</v>
      </c>
      <c r="AN21" s="572">
        <v>1.19</v>
      </c>
    </row>
    <row r="22" spans="1:40" x14ac:dyDescent="0.35">
      <c r="A22" s="575" t="str">
        <f t="shared" si="2"/>
        <v/>
      </c>
      <c r="B22" s="597" t="str">
        <f t="shared" ca="1" si="3"/>
        <v/>
      </c>
      <c r="C22" s="563" t="str">
        <f t="shared" ca="1" si="3"/>
        <v/>
      </c>
      <c r="D22" s="564" t="str">
        <f t="shared" ca="1" si="3"/>
        <v/>
      </c>
      <c r="E22" s="565" t="str">
        <f t="shared" ca="1" si="3"/>
        <v/>
      </c>
      <c r="F22" s="565" t="str">
        <f t="shared" ca="1" si="3"/>
        <v/>
      </c>
      <c r="G22" s="565" t="str">
        <f t="shared" ca="1" si="3"/>
        <v/>
      </c>
      <c r="H22" s="566" t="str">
        <f t="shared" ca="1" si="3"/>
        <v/>
      </c>
      <c r="I22" s="566" t="str">
        <f t="shared" ca="1" si="3"/>
        <v/>
      </c>
      <c r="J22" s="566" t="str">
        <f t="shared" ca="1" si="3"/>
        <v/>
      </c>
      <c r="K22" s="566" t="str">
        <f t="shared" ca="1" si="3"/>
        <v/>
      </c>
      <c r="L22" s="566" t="str">
        <f t="shared" ca="1" si="3"/>
        <v/>
      </c>
      <c r="M22" s="566" t="str">
        <f t="shared" ca="1" si="1"/>
        <v/>
      </c>
      <c r="N22" s="566" t="str">
        <f t="shared" ca="1" si="1"/>
        <v/>
      </c>
      <c r="O22" s="566" t="str">
        <f t="shared" ca="1" si="1"/>
        <v/>
      </c>
      <c r="P22" s="590" t="str">
        <f t="shared" ca="1" si="1"/>
        <v/>
      </c>
      <c r="Q22" s="566" t="str">
        <f t="shared" ca="1" si="1"/>
        <v/>
      </c>
      <c r="R22" s="566" t="str">
        <f t="shared" ca="1" si="1"/>
        <v/>
      </c>
      <c r="S22" s="590" t="str">
        <f t="shared" ca="1" si="1"/>
        <v/>
      </c>
      <c r="T22" s="567" t="str">
        <f t="shared" ca="1" si="1"/>
        <v/>
      </c>
      <c r="U22" s="567" t="str">
        <f t="shared" ca="1" si="1"/>
        <v/>
      </c>
      <c r="V22" s="569" t="str">
        <f t="shared" ca="1" si="4"/>
        <v/>
      </c>
      <c r="W22" s="576" t="str">
        <f>IF($AG22&lt;&gt;"",LOOKUP($AG22,'Digitar Dados de Dens. InSitu'!$AB$5:$AB$5760,'Digitar Dados de Dens. InSitu'!$AC$5:$AC$5760),"")</f>
        <v/>
      </c>
      <c r="X22" s="568" t="str">
        <f>IF($AG22&lt;&gt;"",LOOKUP($AG22,'Digitar Dados de Dens. InSitu'!$AB$5:$AB$5760,'Digitar Dados de Dens. InSitu'!$AG$5:$AG$5760),"")</f>
        <v/>
      </c>
      <c r="Y22" s="567" t="str">
        <f>IF($AG22&lt;&gt;"",LOOKUP($AG22,'Digitar Dados de Dens. InSitu'!$AB$5:$AB$5760,'Digitar Dados de Dens. InSitu'!$AE$5:$AE$5760),"")</f>
        <v/>
      </c>
      <c r="Z22" s="570" t="str">
        <f>IF($AG22&lt;&gt;"",LOOKUP($AG22,'Digitar Dados de Dens. InSitu'!$AB$5:$AB$5760,'Digitar Dados de Dens. InSitu'!$AD$5:$AD$5760),"")</f>
        <v/>
      </c>
      <c r="AA22" s="600" t="str">
        <f>IF($AG22&lt;&gt;"",LOOKUP($AG22,'Digitar Dados de Dens. InSitu'!$AB$5:$AB$5760,'Digitar Dados de Dens. InSitu'!$AI$5:$AI$5760),"")</f>
        <v/>
      </c>
      <c r="AB22" s="571" t="str">
        <f>IF($AG22&lt;&gt;"",LOOKUP($AG22,'Digitar Dados de Dens. InSitu'!$AB$5:$AB$5760,'Digitar Dados de Dens. InSitu'!$AH$5:$AH$5760),"")</f>
        <v/>
      </c>
      <c r="AC22" s="577" t="str">
        <f>IF($AG22&lt;&gt;"",LOOKUP($AG22,'Digitar Dados de Dens. InSitu'!$AB$5:$AB$5760,'Digitar Dados de Dens. InSitu'!$AJ$5:$AJ$5760),"")</f>
        <v/>
      </c>
      <c r="AD22" s="566" t="str">
        <f>IF($AG22&lt;&gt;"",LOOKUP($AG22,'Digitar Dados de Dens. InSitu'!$AB$5:$AB$5760,'Digitar Dados de Dens. InSitu'!$AK$5:$AK$5760),"")</f>
        <v/>
      </c>
      <c r="AE22" s="572"/>
      <c r="AF22" s="573"/>
      <c r="AG22" s="574"/>
      <c r="AM22" s="572">
        <v>12</v>
      </c>
      <c r="AN22" s="572">
        <v>1.1599999999999999</v>
      </c>
    </row>
    <row r="23" spans="1:40" ht="12" customHeight="1" x14ac:dyDescent="0.35">
      <c r="A23" s="575" t="str">
        <f t="shared" si="2"/>
        <v/>
      </c>
      <c r="B23" s="597" t="str">
        <f t="shared" ca="1" si="3"/>
        <v/>
      </c>
      <c r="C23" s="563" t="str">
        <f t="shared" ca="1" si="3"/>
        <v/>
      </c>
      <c r="D23" s="564" t="str">
        <f t="shared" ca="1" si="3"/>
        <v/>
      </c>
      <c r="E23" s="565" t="str">
        <f t="shared" ca="1" si="3"/>
        <v/>
      </c>
      <c r="F23" s="565" t="str">
        <f t="shared" ca="1" si="3"/>
        <v/>
      </c>
      <c r="G23" s="565" t="str">
        <f t="shared" ca="1" si="3"/>
        <v/>
      </c>
      <c r="H23" s="566" t="str">
        <f t="shared" ca="1" si="3"/>
        <v/>
      </c>
      <c r="I23" s="566" t="str">
        <f t="shared" ca="1" si="3"/>
        <v/>
      </c>
      <c r="J23" s="566" t="str">
        <f t="shared" ca="1" si="3"/>
        <v/>
      </c>
      <c r="K23" s="566" t="str">
        <f t="shared" ca="1" si="3"/>
        <v/>
      </c>
      <c r="L23" s="566" t="str">
        <f t="shared" ca="1" si="3"/>
        <v/>
      </c>
      <c r="M23" s="566" t="str">
        <f t="shared" ca="1" si="1"/>
        <v/>
      </c>
      <c r="N23" s="566" t="str">
        <f t="shared" ca="1" si="1"/>
        <v/>
      </c>
      <c r="O23" s="566" t="str">
        <f t="shared" ca="1" si="1"/>
        <v/>
      </c>
      <c r="P23" s="590" t="str">
        <f t="shared" ca="1" si="1"/>
        <v/>
      </c>
      <c r="Q23" s="566" t="str">
        <f t="shared" ca="1" si="1"/>
        <v/>
      </c>
      <c r="R23" s="566" t="str">
        <f t="shared" ca="1" si="1"/>
        <v/>
      </c>
      <c r="S23" s="590" t="str">
        <f t="shared" ca="1" si="1"/>
        <v/>
      </c>
      <c r="T23" s="567" t="str">
        <f t="shared" ca="1" si="1"/>
        <v/>
      </c>
      <c r="U23" s="567" t="str">
        <f t="shared" ca="1" si="1"/>
        <v/>
      </c>
      <c r="V23" s="569" t="str">
        <f t="shared" ca="1" si="4"/>
        <v/>
      </c>
      <c r="W23" s="576" t="str">
        <f>IF($AG23&lt;&gt;"",LOOKUP($AG23,'Digitar Dados de Dens. InSitu'!$AB$5:$AB$5760,'Digitar Dados de Dens. InSitu'!$AC$5:$AC$5760),"")</f>
        <v/>
      </c>
      <c r="X23" s="568" t="str">
        <f>IF($AG23&lt;&gt;"",LOOKUP($AG23,'Digitar Dados de Dens. InSitu'!$AB$5:$AB$5760,'Digitar Dados de Dens. InSitu'!$AG$5:$AG$5760),"")</f>
        <v/>
      </c>
      <c r="Y23" s="567" t="str">
        <f>IF($AG23&lt;&gt;"",LOOKUP($AG23,'Digitar Dados de Dens. InSitu'!$AB$5:$AB$5760,'Digitar Dados de Dens. InSitu'!$AE$5:$AE$5760),"")</f>
        <v/>
      </c>
      <c r="Z23" s="570" t="str">
        <f>IF($AG23&lt;&gt;"",LOOKUP($AG23,'Digitar Dados de Dens. InSitu'!$AB$5:$AB$5760,'Digitar Dados de Dens. InSitu'!$AD$5:$AD$5760),"")</f>
        <v/>
      </c>
      <c r="AA23" s="600" t="str">
        <f>IF($AG23&lt;&gt;"",LOOKUP($AG23,'Digitar Dados de Dens. InSitu'!$AB$5:$AB$5760,'Digitar Dados de Dens. InSitu'!$AI$5:$AI$5760),"")</f>
        <v/>
      </c>
      <c r="AB23" s="571" t="str">
        <f>IF($AG23&lt;&gt;"",LOOKUP($AG23,'Digitar Dados de Dens. InSitu'!$AB$5:$AB$5760,'Digitar Dados de Dens. InSitu'!$AH$5:$AH$5760),"")</f>
        <v/>
      </c>
      <c r="AC23" s="577" t="str">
        <f>IF($AG23&lt;&gt;"",LOOKUP($AG23,'Digitar Dados de Dens. InSitu'!$AB$5:$AB$5760,'Digitar Dados de Dens. InSitu'!$AJ$5:$AJ$5760),"")</f>
        <v/>
      </c>
      <c r="AD23" s="566" t="str">
        <f>IF($AG23&lt;&gt;"",LOOKUP($AG23,'Digitar Dados de Dens. InSitu'!$AB$5:$AB$5760,'Digitar Dados de Dens. InSitu'!$AK$5:$AK$5760),"")</f>
        <v/>
      </c>
      <c r="AE23" s="572"/>
      <c r="AF23" s="573"/>
      <c r="AG23" s="574"/>
      <c r="AM23" s="572">
        <v>13</v>
      </c>
      <c r="AN23" s="572">
        <v>1.1299999999999999</v>
      </c>
    </row>
    <row r="24" spans="1:40" x14ac:dyDescent="0.35">
      <c r="A24" s="575" t="str">
        <f t="shared" si="2"/>
        <v/>
      </c>
      <c r="B24" s="597" t="str">
        <f t="shared" ca="1" si="3"/>
        <v/>
      </c>
      <c r="C24" s="563" t="str">
        <f t="shared" ca="1" si="3"/>
        <v/>
      </c>
      <c r="D24" s="564" t="str">
        <f t="shared" ca="1" si="3"/>
        <v/>
      </c>
      <c r="E24" s="565" t="str">
        <f t="shared" ca="1" si="3"/>
        <v/>
      </c>
      <c r="F24" s="565" t="str">
        <f t="shared" ca="1" si="3"/>
        <v/>
      </c>
      <c r="G24" s="565" t="str">
        <f t="shared" ca="1" si="3"/>
        <v/>
      </c>
      <c r="H24" s="566" t="str">
        <f t="shared" ca="1" si="3"/>
        <v/>
      </c>
      <c r="I24" s="566" t="str">
        <f t="shared" ca="1" si="3"/>
        <v/>
      </c>
      <c r="J24" s="566" t="str">
        <f t="shared" ca="1" si="3"/>
        <v/>
      </c>
      <c r="K24" s="566" t="str">
        <f t="shared" ca="1" si="3"/>
        <v/>
      </c>
      <c r="L24" s="566" t="str">
        <f t="shared" ca="1" si="3"/>
        <v/>
      </c>
      <c r="M24" s="566" t="str">
        <f t="shared" ca="1" si="3"/>
        <v/>
      </c>
      <c r="N24" s="566" t="str">
        <f t="shared" ca="1" si="3"/>
        <v/>
      </c>
      <c r="O24" s="566" t="str">
        <f t="shared" ca="1" si="3"/>
        <v/>
      </c>
      <c r="P24" s="590" t="str">
        <f t="shared" ca="1" si="3"/>
        <v/>
      </c>
      <c r="Q24" s="566" t="str">
        <f t="shared" ca="1" si="3"/>
        <v/>
      </c>
      <c r="R24" s="566" t="str">
        <f ca="1">IF($A24="","",IF(INDIRECT(ADDRESS($A24,R$1,,,"Digitar Dados dos Ensaios"))&lt;&gt;"",INDIRECT(ADDRESS($A24,R$1,,,"Digitar Dados dos Ensaios")),""))</f>
        <v/>
      </c>
      <c r="S24" s="590" t="str">
        <f t="shared" ref="M24:U28" ca="1" si="5">IF($A24="","",IF(INDIRECT(ADDRESS($A24,S$1,,,"Digitar Dados dos Ensaios"))&lt;&gt;"",INDIRECT(ADDRESS($A24,S$1,,,"Digitar Dados dos Ensaios")),""))</f>
        <v/>
      </c>
      <c r="T24" s="567" t="str">
        <f t="shared" ca="1" si="5"/>
        <v/>
      </c>
      <c r="U24" s="567" t="str">
        <f t="shared" ca="1" si="5"/>
        <v/>
      </c>
      <c r="V24" s="569" t="str">
        <f t="shared" ca="1" si="4"/>
        <v/>
      </c>
      <c r="W24" s="576" t="str">
        <f>IF($AG24&lt;&gt;"",LOOKUP($AG24,'Digitar Dados de Dens. InSitu'!$AB$5:$AB$5760,'Digitar Dados de Dens. InSitu'!$AC$5:$AC$5760),"")</f>
        <v/>
      </c>
      <c r="X24" s="568" t="str">
        <f>IF($AG24&lt;&gt;"",LOOKUP($AG24,'Digitar Dados de Dens. InSitu'!$AB$5:$AB$5760,'Digitar Dados de Dens. InSitu'!$AG$5:$AG$5760),"")</f>
        <v/>
      </c>
      <c r="Y24" s="567" t="str">
        <f>IF($AG24&lt;&gt;"",LOOKUP($AG24,'Digitar Dados de Dens. InSitu'!$AB$5:$AB$5760,'Digitar Dados de Dens. InSitu'!$AE$5:$AE$5760),"")</f>
        <v/>
      </c>
      <c r="Z24" s="570" t="str">
        <f>IF($AG24&lt;&gt;"",LOOKUP($AG24,'Digitar Dados de Dens. InSitu'!$AB$5:$AB$5760,'Digitar Dados de Dens. InSitu'!$AD$5:$AD$5760),"")</f>
        <v/>
      </c>
      <c r="AA24" s="600" t="str">
        <f>IF($AG24&lt;&gt;"",LOOKUP($AG24,'Digitar Dados de Dens. InSitu'!$AB$5:$AB$5760,'Digitar Dados de Dens. InSitu'!$AI$5:$AI$5760),"")</f>
        <v/>
      </c>
      <c r="AB24" s="571" t="str">
        <f>IF($AG24&lt;&gt;"",LOOKUP($AG24,'Digitar Dados de Dens. InSitu'!$AB$5:$AB$5760,'Digitar Dados de Dens. InSitu'!$AH$5:$AH$5760),"")</f>
        <v/>
      </c>
      <c r="AC24" s="577" t="str">
        <f>IF($AG24&lt;&gt;"",LOOKUP($AG24,'Digitar Dados de Dens. InSitu'!$AB$5:$AB$5760,'Digitar Dados de Dens. InSitu'!$AJ$5:$AJ$5760),"")</f>
        <v/>
      </c>
      <c r="AD24" s="566" t="str">
        <f>IF($AG24&lt;&gt;"",LOOKUP($AG24,'Digitar Dados de Dens. InSitu'!$AB$5:$AB$5760,'Digitar Dados de Dens. InSitu'!$AK$5:$AK$5760),"")</f>
        <v/>
      </c>
      <c r="AE24" s="572"/>
      <c r="AF24" s="573"/>
      <c r="AG24" s="574"/>
      <c r="AM24" s="572">
        <v>14</v>
      </c>
      <c r="AN24" s="572">
        <v>1.1100000000000001</v>
      </c>
    </row>
    <row r="25" spans="1:40" x14ac:dyDescent="0.35">
      <c r="A25" s="575" t="str">
        <f t="shared" si="2"/>
        <v/>
      </c>
      <c r="B25" s="597" t="str">
        <f t="shared" ca="1" si="3"/>
        <v/>
      </c>
      <c r="C25" s="563" t="str">
        <f t="shared" ca="1" si="3"/>
        <v/>
      </c>
      <c r="D25" s="564" t="str">
        <f t="shared" ca="1" si="3"/>
        <v/>
      </c>
      <c r="E25" s="565" t="str">
        <f t="shared" ca="1" si="3"/>
        <v/>
      </c>
      <c r="F25" s="565" t="str">
        <f t="shared" ca="1" si="3"/>
        <v/>
      </c>
      <c r="G25" s="565" t="str">
        <f t="shared" ca="1" si="3"/>
        <v/>
      </c>
      <c r="H25" s="566" t="str">
        <f t="shared" ca="1" si="3"/>
        <v/>
      </c>
      <c r="I25" s="566" t="str">
        <f t="shared" ca="1" si="3"/>
        <v/>
      </c>
      <c r="J25" s="566" t="str">
        <f t="shared" ca="1" si="3"/>
        <v/>
      </c>
      <c r="K25" s="566" t="str">
        <f t="shared" ca="1" si="3"/>
        <v/>
      </c>
      <c r="L25" s="566" t="str">
        <f t="shared" ca="1" si="3"/>
        <v/>
      </c>
      <c r="M25" s="566" t="str">
        <f t="shared" ca="1" si="5"/>
        <v/>
      </c>
      <c r="N25" s="566" t="str">
        <f t="shared" ca="1" si="5"/>
        <v/>
      </c>
      <c r="O25" s="566" t="str">
        <f t="shared" ca="1" si="5"/>
        <v/>
      </c>
      <c r="P25" s="590" t="str">
        <f t="shared" ca="1" si="3"/>
        <v/>
      </c>
      <c r="Q25" s="566" t="str">
        <f t="shared" ca="1" si="5"/>
        <v/>
      </c>
      <c r="R25" s="566" t="str">
        <f ca="1">IF($A25="","",IF(INDIRECT(ADDRESS($A25,R$1,,,"Digitar Dados dos Ensaios"))&lt;&gt;"",INDIRECT(ADDRESS($A25,R$1,,,"Digitar Dados dos Ensaios")),""))</f>
        <v/>
      </c>
      <c r="S25" s="590" t="str">
        <f t="shared" ca="1" si="5"/>
        <v/>
      </c>
      <c r="T25" s="567" t="str">
        <f t="shared" ca="1" si="5"/>
        <v/>
      </c>
      <c r="U25" s="567" t="str">
        <f t="shared" ca="1" si="5"/>
        <v/>
      </c>
      <c r="V25" s="569" t="str">
        <f t="shared" ca="1" si="4"/>
        <v/>
      </c>
      <c r="W25" s="576" t="str">
        <f>IF($AG25&lt;&gt;"",LOOKUP($AG25,'Digitar Dados de Dens. InSitu'!$AB$5:$AB$5760,'Digitar Dados de Dens. InSitu'!$AC$5:$AC$5760),"")</f>
        <v/>
      </c>
      <c r="X25" s="568" t="str">
        <f>IF($AG25&lt;&gt;"",LOOKUP($AG25,'Digitar Dados de Dens. InSitu'!$AB$5:$AB$5760,'Digitar Dados de Dens. InSitu'!$AG$5:$AG$5760),"")</f>
        <v/>
      </c>
      <c r="Y25" s="567" t="str">
        <f>IF($AG25&lt;&gt;"",LOOKUP($AG25,'Digitar Dados de Dens. InSitu'!$AB$5:$AB$5760,'Digitar Dados de Dens. InSitu'!$AE$5:$AE$5760),"")</f>
        <v/>
      </c>
      <c r="Z25" s="570" t="str">
        <f>IF($AG25&lt;&gt;"",LOOKUP($AG25,'Digitar Dados de Dens. InSitu'!$AB$5:$AB$5760,'Digitar Dados de Dens. InSitu'!$AD$5:$AD$5760),"")</f>
        <v/>
      </c>
      <c r="AA25" s="600" t="str">
        <f>IF($AG25&lt;&gt;"",LOOKUP($AG25,'Digitar Dados de Dens. InSitu'!$AB$5:$AB$5760,'Digitar Dados de Dens. InSitu'!$AI$5:$AI$5760),"")</f>
        <v/>
      </c>
      <c r="AB25" s="571" t="str">
        <f>IF($AG25&lt;&gt;"",LOOKUP($AG25,'Digitar Dados de Dens. InSitu'!$AB$5:$AB$5760,'Digitar Dados de Dens. InSitu'!$AH$5:$AH$5760),"")</f>
        <v/>
      </c>
      <c r="AC25" s="577" t="str">
        <f>IF($AG25&lt;&gt;"",LOOKUP($AG25,'Digitar Dados de Dens. InSitu'!$AB$5:$AB$5760,'Digitar Dados de Dens. InSitu'!$AJ$5:$AJ$5760),"")</f>
        <v/>
      </c>
      <c r="AD25" s="566" t="str">
        <f>IF($AG25&lt;&gt;"",LOOKUP($AG25,'Digitar Dados de Dens. InSitu'!$AB$5:$AB$5760,'Digitar Dados de Dens. InSitu'!$AK$5:$AK$5760),"")</f>
        <v/>
      </c>
      <c r="AE25" s="572"/>
      <c r="AF25" s="573"/>
      <c r="AG25" s="574"/>
      <c r="AM25" s="572">
        <v>15</v>
      </c>
      <c r="AN25" s="572">
        <v>1.1000000000000001</v>
      </c>
    </row>
    <row r="26" spans="1:40" x14ac:dyDescent="0.35">
      <c r="A26" s="575" t="str">
        <f t="shared" si="2"/>
        <v/>
      </c>
      <c r="B26" s="597" t="str">
        <f t="shared" ca="1" si="3"/>
        <v/>
      </c>
      <c r="C26" s="563" t="str">
        <f t="shared" ca="1" si="3"/>
        <v/>
      </c>
      <c r="D26" s="564" t="str">
        <f t="shared" ca="1" si="3"/>
        <v/>
      </c>
      <c r="E26" s="565" t="str">
        <f t="shared" ca="1" si="3"/>
        <v/>
      </c>
      <c r="F26" s="565" t="str">
        <f t="shared" ca="1" si="3"/>
        <v/>
      </c>
      <c r="G26" s="565" t="str">
        <f t="shared" ca="1" si="3"/>
        <v/>
      </c>
      <c r="H26" s="566" t="str">
        <f t="shared" ca="1" si="3"/>
        <v/>
      </c>
      <c r="I26" s="566" t="str">
        <f t="shared" ca="1" si="3"/>
        <v/>
      </c>
      <c r="J26" s="566" t="str">
        <f t="shared" ca="1" si="3"/>
        <v/>
      </c>
      <c r="K26" s="566" t="str">
        <f t="shared" ca="1" si="3"/>
        <v/>
      </c>
      <c r="L26" s="566" t="str">
        <f t="shared" ca="1" si="3"/>
        <v/>
      </c>
      <c r="M26" s="566" t="str">
        <f t="shared" ca="1" si="5"/>
        <v/>
      </c>
      <c r="N26" s="566" t="str">
        <f t="shared" ca="1" si="5"/>
        <v/>
      </c>
      <c r="O26" s="566" t="str">
        <f t="shared" ca="1" si="5"/>
        <v/>
      </c>
      <c r="P26" s="590" t="str">
        <f t="shared" ca="1" si="3"/>
        <v/>
      </c>
      <c r="Q26" s="566" t="str">
        <f t="shared" ca="1" si="5"/>
        <v/>
      </c>
      <c r="R26" s="566" t="str">
        <f ca="1">IF($A26="","",IF(INDIRECT(ADDRESS($A26,R$1,,,"Digitar Dados dos Ensaios"))&lt;&gt;"",INDIRECT(ADDRESS($A26,R$1,,,"Digitar Dados dos Ensaios")),""))</f>
        <v/>
      </c>
      <c r="S26" s="590" t="str">
        <f t="shared" ca="1" si="5"/>
        <v/>
      </c>
      <c r="T26" s="567" t="str">
        <f t="shared" ca="1" si="5"/>
        <v/>
      </c>
      <c r="U26" s="567" t="str">
        <f t="shared" ca="1" si="5"/>
        <v/>
      </c>
      <c r="V26" s="569" t="str">
        <f t="shared" ca="1" si="4"/>
        <v/>
      </c>
      <c r="W26" s="576" t="str">
        <f>IF($AG26&lt;&gt;"",LOOKUP($AG26,'Digitar Dados de Dens. InSitu'!$AB$5:$AB$5760,'Digitar Dados de Dens. InSitu'!$AC$5:$AC$5760),"")</f>
        <v/>
      </c>
      <c r="X26" s="568" t="str">
        <f>IF($AG26&lt;&gt;"",LOOKUP($AG26,'Digitar Dados de Dens. InSitu'!$AB$5:$AB$5760,'Digitar Dados de Dens. InSitu'!$AG$5:$AG$5760),"")</f>
        <v/>
      </c>
      <c r="Y26" s="567" t="str">
        <f>IF($AG26&lt;&gt;"",LOOKUP($AG26,'Digitar Dados de Dens. InSitu'!$AB$5:$AB$5760,'Digitar Dados de Dens. InSitu'!$AE$5:$AE$5760),"")</f>
        <v/>
      </c>
      <c r="Z26" s="570" t="str">
        <f>IF($AG26&lt;&gt;"",LOOKUP($AG26,'Digitar Dados de Dens. InSitu'!$AB$5:$AB$5760,'Digitar Dados de Dens. InSitu'!$AD$5:$AD$5760),"")</f>
        <v/>
      </c>
      <c r="AA26" s="600" t="str">
        <f>IF($AG26&lt;&gt;"",LOOKUP($AG26,'Digitar Dados de Dens. InSitu'!$AB$5:$AB$5760,'Digitar Dados de Dens. InSitu'!$AI$5:$AI$5760),"")</f>
        <v/>
      </c>
      <c r="AB26" s="571" t="str">
        <f>IF($AG26&lt;&gt;"",LOOKUP($AG26,'Digitar Dados de Dens. InSitu'!$AB$5:$AB$5760,'Digitar Dados de Dens. InSitu'!$AH$5:$AH$5760),"")</f>
        <v/>
      </c>
      <c r="AC26" s="577" t="str">
        <f>IF($AG26&lt;&gt;"",LOOKUP($AG26,'Digitar Dados de Dens. InSitu'!$AB$5:$AB$5760,'Digitar Dados de Dens. InSitu'!$AJ$5:$AJ$5760),"")</f>
        <v/>
      </c>
      <c r="AD26" s="566" t="str">
        <f>IF($AG26&lt;&gt;"",LOOKUP($AG26,'Digitar Dados de Dens. InSitu'!$AB$5:$AB$5760,'Digitar Dados de Dens. InSitu'!$AK$5:$AK$5760),"")</f>
        <v/>
      </c>
      <c r="AE26" s="572"/>
      <c r="AF26" s="573"/>
      <c r="AG26" s="574"/>
      <c r="AM26" s="572">
        <v>16</v>
      </c>
      <c r="AN26" s="572">
        <v>1.08</v>
      </c>
    </row>
    <row r="27" spans="1:40" x14ac:dyDescent="0.35">
      <c r="A27" s="575" t="str">
        <f t="shared" si="2"/>
        <v/>
      </c>
      <c r="B27" s="597" t="str">
        <f t="shared" ca="1" si="3"/>
        <v/>
      </c>
      <c r="C27" s="563" t="str">
        <f t="shared" ca="1" si="3"/>
        <v/>
      </c>
      <c r="D27" s="564" t="str">
        <f t="shared" ca="1" si="3"/>
        <v/>
      </c>
      <c r="E27" s="565" t="str">
        <f t="shared" ca="1" si="3"/>
        <v/>
      </c>
      <c r="F27" s="565" t="str">
        <f t="shared" ca="1" si="3"/>
        <v/>
      </c>
      <c r="G27" s="565" t="str">
        <f t="shared" ca="1" si="3"/>
        <v/>
      </c>
      <c r="H27" s="566" t="str">
        <f t="shared" ca="1" si="3"/>
        <v/>
      </c>
      <c r="I27" s="566" t="str">
        <f t="shared" ca="1" si="3"/>
        <v/>
      </c>
      <c r="J27" s="566" t="str">
        <f t="shared" ca="1" si="3"/>
        <v/>
      </c>
      <c r="K27" s="566" t="str">
        <f t="shared" ca="1" si="3"/>
        <v/>
      </c>
      <c r="L27" s="566" t="str">
        <f t="shared" ca="1" si="3"/>
        <v/>
      </c>
      <c r="M27" s="566" t="str">
        <f t="shared" ca="1" si="5"/>
        <v/>
      </c>
      <c r="N27" s="566" t="str">
        <f t="shared" ca="1" si="5"/>
        <v/>
      </c>
      <c r="O27" s="566" t="str">
        <f t="shared" ca="1" si="5"/>
        <v/>
      </c>
      <c r="P27" s="590" t="str">
        <f t="shared" ca="1" si="3"/>
        <v/>
      </c>
      <c r="Q27" s="566" t="str">
        <f t="shared" ca="1" si="5"/>
        <v/>
      </c>
      <c r="R27" s="566" t="str">
        <f ca="1">IF($A27="","",IF(INDIRECT(ADDRESS($A27,R$1,,,"Digitar Dados dos Ensaios"))&lt;&gt;"",INDIRECT(ADDRESS($A27,R$1,,,"Digitar Dados dos Ensaios")),""))</f>
        <v/>
      </c>
      <c r="S27" s="590" t="str">
        <f t="shared" ca="1" si="5"/>
        <v/>
      </c>
      <c r="T27" s="567" t="str">
        <f t="shared" ca="1" si="5"/>
        <v/>
      </c>
      <c r="U27" s="567" t="str">
        <f t="shared" ca="1" si="5"/>
        <v/>
      </c>
      <c r="V27" s="569" t="str">
        <f t="shared" ca="1" si="4"/>
        <v/>
      </c>
      <c r="W27" s="576" t="str">
        <f>IF($AG27&lt;&gt;"",LOOKUP($AG27,'Digitar Dados de Dens. InSitu'!$AB$5:$AB$5760,'Digitar Dados de Dens. InSitu'!$AC$5:$AC$5760),"")</f>
        <v/>
      </c>
      <c r="X27" s="568" t="str">
        <f>IF($AG27&lt;&gt;"",LOOKUP($AG27,'Digitar Dados de Dens. InSitu'!$AB$5:$AB$5760,'Digitar Dados de Dens. InSitu'!$AG$5:$AG$5760),"")</f>
        <v/>
      </c>
      <c r="Y27" s="567" t="str">
        <f>IF($AG27&lt;&gt;"",LOOKUP($AG27,'Digitar Dados de Dens. InSitu'!$AB$5:$AB$5760,'Digitar Dados de Dens. InSitu'!$AE$5:$AE$5760),"")</f>
        <v/>
      </c>
      <c r="Z27" s="570" t="str">
        <f>IF($AG27&lt;&gt;"",LOOKUP($AG27,'Digitar Dados de Dens. InSitu'!$AB$5:$AB$5760,'Digitar Dados de Dens. InSitu'!$AD$5:$AD$5760),"")</f>
        <v/>
      </c>
      <c r="AA27" s="600" t="str">
        <f>IF($AG27&lt;&gt;"",LOOKUP($AG27,'Digitar Dados de Dens. InSitu'!$AB$5:$AB$5760,'Digitar Dados de Dens. InSitu'!$AI$5:$AI$5760),"")</f>
        <v/>
      </c>
      <c r="AB27" s="571" t="str">
        <f>IF($AG27&lt;&gt;"",LOOKUP($AG27,'Digitar Dados de Dens. InSitu'!$AB$5:$AB$5760,'Digitar Dados de Dens. InSitu'!$AH$5:$AH$5760),"")</f>
        <v/>
      </c>
      <c r="AC27" s="577" t="str">
        <f>IF($AG27&lt;&gt;"",LOOKUP($AG27,'Digitar Dados de Dens. InSitu'!$AB$5:$AB$5760,'Digitar Dados de Dens. InSitu'!$AJ$5:$AJ$5760),"")</f>
        <v/>
      </c>
      <c r="AD27" s="566" t="str">
        <f>IF($AG27&lt;&gt;"",LOOKUP($AG27,'Digitar Dados de Dens. InSitu'!$AB$5:$AB$5760,'Digitar Dados de Dens. InSitu'!$AK$5:$AK$5760),"")</f>
        <v/>
      </c>
      <c r="AE27" s="572"/>
      <c r="AF27" s="573"/>
      <c r="AG27" s="574"/>
      <c r="AM27" s="572">
        <v>17</v>
      </c>
      <c r="AN27" s="572">
        <v>1.06</v>
      </c>
    </row>
    <row r="28" spans="1:40" x14ac:dyDescent="0.35">
      <c r="A28" s="575" t="str">
        <f t="shared" si="2"/>
        <v/>
      </c>
      <c r="B28" s="597" t="str">
        <f t="shared" ref="B28:L28" ca="1" si="6">IF($A28="","",IF(INDIRECT(ADDRESS($A28,B$1,,,"Digitar Dados dos Ensaios"))&lt;&gt;"",INDIRECT(ADDRESS($A28,B$1,,,"Digitar Dados dos Ensaios")),""))</f>
        <v/>
      </c>
      <c r="C28" s="563" t="str">
        <f t="shared" ca="1" si="6"/>
        <v/>
      </c>
      <c r="D28" s="564" t="str">
        <f t="shared" ca="1" si="6"/>
        <v/>
      </c>
      <c r="E28" s="565" t="str">
        <f t="shared" ca="1" si="6"/>
        <v/>
      </c>
      <c r="F28" s="565" t="str">
        <f t="shared" ca="1" si="6"/>
        <v/>
      </c>
      <c r="G28" s="565" t="str">
        <f t="shared" ca="1" si="6"/>
        <v/>
      </c>
      <c r="H28" s="566" t="str">
        <f t="shared" ca="1" si="6"/>
        <v/>
      </c>
      <c r="I28" s="566" t="str">
        <f t="shared" ca="1" si="6"/>
        <v/>
      </c>
      <c r="J28" s="566" t="str">
        <f t="shared" ca="1" si="6"/>
        <v/>
      </c>
      <c r="K28" s="566" t="str">
        <f t="shared" ca="1" si="6"/>
        <v/>
      </c>
      <c r="L28" s="566" t="str">
        <f t="shared" ca="1" si="6"/>
        <v/>
      </c>
      <c r="M28" s="566" t="str">
        <f t="shared" ca="1" si="5"/>
        <v/>
      </c>
      <c r="N28" s="566" t="str">
        <f t="shared" ca="1" si="5"/>
        <v/>
      </c>
      <c r="O28" s="566" t="str">
        <f t="shared" ca="1" si="5"/>
        <v/>
      </c>
      <c r="P28" s="590" t="str">
        <f t="shared" ca="1" si="5"/>
        <v/>
      </c>
      <c r="Q28" s="566" t="str">
        <f t="shared" ca="1" si="5"/>
        <v/>
      </c>
      <c r="R28" s="566" t="str">
        <f ca="1">IF($A28="","",IF(INDIRECT(ADDRESS($A28,R$1,,,"Digitar Dados dos Ensaios"))&lt;&gt;"",INDIRECT(ADDRESS($A28,R$1,,,"Digitar Dados dos Ensaios")),""))</f>
        <v/>
      </c>
      <c r="S28" s="590" t="str">
        <f t="shared" ca="1" si="5"/>
        <v/>
      </c>
      <c r="T28" s="567" t="str">
        <f t="shared" ca="1" si="5"/>
        <v/>
      </c>
      <c r="U28" s="567" t="str">
        <f t="shared" ca="1" si="5"/>
        <v/>
      </c>
      <c r="V28" s="569" t="str">
        <f t="shared" ca="1" si="4"/>
        <v/>
      </c>
      <c r="W28" s="576" t="str">
        <f>IF($AG28&lt;&gt;"",LOOKUP($AG28,'Digitar Dados de Dens. InSitu'!$AB$5:$AB$5760,'Digitar Dados de Dens. InSitu'!$AC$5:$AC$5760),"")</f>
        <v/>
      </c>
      <c r="X28" s="568" t="str">
        <f>IF($AG28&lt;&gt;"",LOOKUP($AG28,'Digitar Dados de Dens. InSitu'!$AB$5:$AB$5760,'Digitar Dados de Dens. InSitu'!$AG$5:$AG$5760),"")</f>
        <v/>
      </c>
      <c r="Y28" s="567" t="str">
        <f>IF($AG28&lt;&gt;"",LOOKUP($AG28,'Digitar Dados de Dens. InSitu'!$AB$5:$AB$5760,'Digitar Dados de Dens. InSitu'!$AE$5:$AE$5760),"")</f>
        <v/>
      </c>
      <c r="Z28" s="570" t="str">
        <f>IF($AG28&lt;&gt;"",LOOKUP($AG28,'Digitar Dados de Dens. InSitu'!$AB$5:$AB$5760,'Digitar Dados de Dens. InSitu'!$AD$5:$AD$5760),"")</f>
        <v/>
      </c>
      <c r="AA28" s="600" t="str">
        <f>IF($AG28&lt;&gt;"",LOOKUP($AG28,'Digitar Dados de Dens. InSitu'!$AB$5:$AB$5760,'Digitar Dados de Dens. InSitu'!$AI$5:$AI$5760),"")</f>
        <v/>
      </c>
      <c r="AB28" s="571" t="str">
        <f>IF($AG28&lt;&gt;"",LOOKUP($AG28,'Digitar Dados de Dens. InSitu'!$AB$5:$AB$5760,'Digitar Dados de Dens. InSitu'!$AH$5:$AH$5760),"")</f>
        <v/>
      </c>
      <c r="AC28" s="577" t="str">
        <f>IF($AG28&lt;&gt;"",LOOKUP($AG28,'Digitar Dados de Dens. InSitu'!$AB$5:$AB$5760,'Digitar Dados de Dens. InSitu'!$AJ$5:$AJ$5760),"")</f>
        <v/>
      </c>
      <c r="AD28" s="566" t="str">
        <f>IF($AG28&lt;&gt;"",LOOKUP($AG28,'Digitar Dados de Dens. InSitu'!$AB$5:$AB$5760,'Digitar Dados de Dens. InSitu'!$AK$5:$AK$5760),"")</f>
        <v/>
      </c>
      <c r="AE28" s="572"/>
      <c r="AF28" s="573"/>
      <c r="AG28" s="574"/>
      <c r="AM28" s="572">
        <v>17</v>
      </c>
      <c r="AN28" s="572">
        <v>1.06</v>
      </c>
    </row>
    <row r="29" spans="1:40" s="587" customFormat="1" ht="5.15" customHeight="1" x14ac:dyDescent="0.35">
      <c r="B29" s="908"/>
      <c r="AD29" s="1272"/>
      <c r="AM29" s="572">
        <v>19</v>
      </c>
      <c r="AN29" s="572">
        <v>1.04</v>
      </c>
    </row>
    <row r="30" spans="1:40" x14ac:dyDescent="0.35">
      <c r="B30" s="2086" t="s">
        <v>414</v>
      </c>
      <c r="C30" s="2087"/>
      <c r="D30" s="2088"/>
      <c r="E30" s="578"/>
      <c r="F30" s="578"/>
      <c r="G30" s="578"/>
      <c r="H30" s="578"/>
      <c r="I30" s="578"/>
      <c r="J30" s="579"/>
      <c r="K30" s="579"/>
      <c r="L30" s="579"/>
      <c r="M30" s="579"/>
      <c r="N30" s="579"/>
      <c r="O30" s="579"/>
      <c r="P30" s="579"/>
      <c r="Q30" s="579"/>
      <c r="R30" s="579"/>
      <c r="S30" s="579"/>
      <c r="T30" s="579"/>
      <c r="U30" s="579"/>
      <c r="V30" s="579"/>
      <c r="W30" s="579"/>
      <c r="X30" s="579"/>
      <c r="Y30" s="579"/>
      <c r="Z30" s="579"/>
      <c r="AA30" s="579"/>
      <c r="AB30" s="580"/>
      <c r="AC30" s="579"/>
      <c r="AD30" s="579"/>
      <c r="AM30" s="572">
        <v>20</v>
      </c>
      <c r="AN30" s="572">
        <v>1.04</v>
      </c>
    </row>
    <row r="31" spans="1:40" x14ac:dyDescent="0.35">
      <c r="B31" s="2086" t="s">
        <v>415</v>
      </c>
      <c r="C31" s="2087"/>
      <c r="D31" s="2088"/>
      <c r="E31" s="578"/>
      <c r="F31" s="578"/>
      <c r="G31" s="578"/>
      <c r="H31" s="578"/>
      <c r="I31" s="578"/>
      <c r="J31" s="579"/>
      <c r="K31" s="579"/>
      <c r="L31" s="579"/>
      <c r="M31" s="579"/>
      <c r="N31" s="579"/>
      <c r="O31" s="579"/>
      <c r="P31" s="579"/>
      <c r="Q31" s="579"/>
      <c r="R31" s="579"/>
      <c r="S31" s="579"/>
      <c r="T31" s="579"/>
      <c r="U31" s="579"/>
      <c r="V31" s="579"/>
      <c r="W31" s="579"/>
      <c r="X31" s="579"/>
      <c r="Y31" s="579"/>
      <c r="Z31" s="579"/>
      <c r="AA31" s="579"/>
      <c r="AB31" s="579"/>
      <c r="AC31" s="579"/>
      <c r="AD31" s="579"/>
      <c r="AM31" s="572">
        <v>21</v>
      </c>
      <c r="AN31" s="572">
        <v>1.01</v>
      </c>
    </row>
    <row r="32" spans="1:40" x14ac:dyDescent="0.35">
      <c r="B32" s="2086" t="s">
        <v>416</v>
      </c>
      <c r="C32" s="2087"/>
      <c r="D32" s="2088"/>
      <c r="E32" s="578">
        <f t="shared" ref="E32:P32" ca="1" si="7">COUNT(E8:E28)</f>
        <v>1</v>
      </c>
      <c r="F32" s="578">
        <f t="shared" ca="1" si="7"/>
        <v>1</v>
      </c>
      <c r="G32" s="578">
        <f t="shared" ca="1" si="7"/>
        <v>1</v>
      </c>
      <c r="H32" s="578">
        <f t="shared" ca="1" si="7"/>
        <v>1</v>
      </c>
      <c r="I32" s="578">
        <f t="shared" ca="1" si="7"/>
        <v>1</v>
      </c>
      <c r="J32" s="578">
        <f t="shared" ca="1" si="7"/>
        <v>1</v>
      </c>
      <c r="K32" s="578">
        <f t="shared" ca="1" si="7"/>
        <v>1</v>
      </c>
      <c r="L32" s="578">
        <f t="shared" ca="1" si="7"/>
        <v>1</v>
      </c>
      <c r="M32" s="578">
        <f t="shared" ca="1" si="7"/>
        <v>1</v>
      </c>
      <c r="N32" s="578">
        <f t="shared" ca="1" si="7"/>
        <v>0</v>
      </c>
      <c r="O32" s="578">
        <f t="shared" ca="1" si="7"/>
        <v>0</v>
      </c>
      <c r="P32" s="578">
        <f t="shared" ca="1" si="7"/>
        <v>1</v>
      </c>
      <c r="Q32" s="578"/>
      <c r="R32" s="578"/>
      <c r="S32" s="578">
        <f ca="1">COUNT(S8:S28)</f>
        <v>1</v>
      </c>
      <c r="T32" s="578">
        <f ca="1">COUNT(T8:T28)</f>
        <v>1</v>
      </c>
      <c r="U32" s="578">
        <f ca="1">COUNT(U8:U28)</f>
        <v>1</v>
      </c>
      <c r="V32" s="578">
        <f ca="1">COUNT(V8:V28)</f>
        <v>1</v>
      </c>
      <c r="W32" s="578"/>
      <c r="X32" s="578"/>
      <c r="Y32" s="578"/>
      <c r="Z32" s="578"/>
      <c r="AA32" s="578">
        <f>COUNT(AA8:AA28)</f>
        <v>0</v>
      </c>
      <c r="AB32" s="578">
        <f>COUNT(AB8:AB28)</f>
        <v>0</v>
      </c>
      <c r="AC32" s="578">
        <f>COUNT(AC8:AC28)</f>
        <v>0</v>
      </c>
      <c r="AD32" s="578">
        <f>COUNT(AD8:AD28)</f>
        <v>0</v>
      </c>
    </row>
    <row r="33" spans="2:30" x14ac:dyDescent="0.35">
      <c r="B33" s="2086" t="s">
        <v>417</v>
      </c>
      <c r="C33" s="2087"/>
      <c r="D33" s="2088"/>
      <c r="E33" s="578" t="str">
        <f ca="1">IF(E32="","",IF(E32&lt;5,"",LOOKUP(E32,$AM$11:$AM$28,$AN$11:$AN$28)))</f>
        <v/>
      </c>
      <c r="F33" s="578" t="str">
        <f ca="1">IF(F32="","",IF(F32&lt;5,"",LOOKUP(F32,$AM$11:$AM$28,$AN$11:$AN$28)))</f>
        <v/>
      </c>
      <c r="G33" s="578" t="str">
        <f ca="1">IF(G32="","",IF(G32&lt;5,"",LOOKUP(G32,$AM$11:$AM$28,$AN$11:$AN$28)))</f>
        <v/>
      </c>
      <c r="H33" s="578" t="str">
        <f ca="1">IF(H32="","",IF(H32&lt;5,"",LOOKUP(H32,$AM$11:$AM$28,$AN$11:$AN$28)))</f>
        <v/>
      </c>
      <c r="I33" s="578" t="str">
        <f t="shared" ref="I33:P33" ca="1" si="8">IF(I32="","",IF(I32&lt;5,"",LOOKUP(I32,$AM$11:$AM$31,$AN$11:$AN$31)))</f>
        <v/>
      </c>
      <c r="J33" s="578" t="str">
        <f t="shared" ca="1" si="8"/>
        <v/>
      </c>
      <c r="K33" s="578" t="str">
        <f t="shared" ca="1" si="8"/>
        <v/>
      </c>
      <c r="L33" s="578" t="str">
        <f t="shared" ca="1" si="8"/>
        <v/>
      </c>
      <c r="M33" s="578" t="str">
        <f t="shared" ca="1" si="8"/>
        <v/>
      </c>
      <c r="N33" s="578" t="str">
        <f t="shared" ca="1" si="8"/>
        <v/>
      </c>
      <c r="O33" s="578" t="str">
        <f t="shared" ca="1" si="8"/>
        <v/>
      </c>
      <c r="P33" s="583" t="str">
        <f t="shared" ca="1" si="8"/>
        <v/>
      </c>
      <c r="Q33" s="578"/>
      <c r="R33" s="578"/>
      <c r="S33" s="578" t="str">
        <f ca="1">IF(S32="","",IF(S32&lt;5,"",LOOKUP(S32,$AM$11:$AM$31,$AN$11:$AN$31)))</f>
        <v/>
      </c>
      <c r="T33" s="578" t="str">
        <f ca="1">IF(T32="","",IF(T32&lt;5,"",LOOKUP(T32,$AM$11:$AM$31,$AN$11:$AN$31)))</f>
        <v/>
      </c>
      <c r="U33" s="578" t="str">
        <f ca="1">IF(U32="","",IF(U32&lt;5,"",LOOKUP(U32,$AM$11:$AM$31,$AN$11:$AN$31)))</f>
        <v/>
      </c>
      <c r="V33" s="578" t="str">
        <f ca="1">IF(V32="","",IF(V32&lt;5,"",LOOKUP(V32,$AM$11:$AM$31,$AN$11:$AN$31)))</f>
        <v/>
      </c>
      <c r="W33" s="578"/>
      <c r="X33" s="578"/>
      <c r="Y33" s="578"/>
      <c r="Z33" s="578"/>
      <c r="AA33" s="578" t="str">
        <f>IF(AA32="","",IF(AA32&lt;5,"",LOOKUP(AA32,$AM$11:$AM$31,$AN$11:$AN$31)))</f>
        <v/>
      </c>
      <c r="AB33" s="578" t="str">
        <f>IF(AB32="","",IF(AB32&lt;5,"",LOOKUP(AB32,$AM$11:$AM$31,$AN$11:$AN$31)))</f>
        <v/>
      </c>
      <c r="AC33" s="578" t="str">
        <f>IF(AC32="","",IF(AC32&lt;5,"",LOOKUP(AC32,$AM$11:$AM$31,$AN$11:$AN$31)))</f>
        <v/>
      </c>
      <c r="AD33" s="578" t="str">
        <f>IF(AD32="","",IF(AD32&lt;5,"",LOOKUP(AD32,$AM$11:$AM$31,$AN$11:$AN$31)))</f>
        <v/>
      </c>
    </row>
    <row r="34" spans="2:30" x14ac:dyDescent="0.35">
      <c r="B34" s="2086"/>
      <c r="C34" s="2087"/>
      <c r="D34" s="2088"/>
      <c r="E34" s="581" t="s">
        <v>29</v>
      </c>
      <c r="F34" s="581" t="s">
        <v>395</v>
      </c>
      <c r="G34" s="581" t="s">
        <v>31</v>
      </c>
      <c r="H34" s="581" t="s">
        <v>258</v>
      </c>
      <c r="I34" s="581" t="s">
        <v>33</v>
      </c>
      <c r="J34" s="581" t="s">
        <v>418</v>
      </c>
      <c r="K34" s="581" t="s">
        <v>419</v>
      </c>
      <c r="L34" s="581" t="s">
        <v>420</v>
      </c>
      <c r="M34" s="581" t="s">
        <v>421</v>
      </c>
      <c r="N34" s="581" t="s">
        <v>78</v>
      </c>
      <c r="O34" s="582" t="s">
        <v>69</v>
      </c>
      <c r="P34" s="582" t="s">
        <v>279</v>
      </c>
      <c r="Q34" s="582" t="s">
        <v>82</v>
      </c>
      <c r="R34" s="582" t="s">
        <v>402</v>
      </c>
      <c r="S34" s="582" t="s">
        <v>403</v>
      </c>
      <c r="T34" s="582" t="s">
        <v>404</v>
      </c>
      <c r="U34" s="582" t="s">
        <v>405</v>
      </c>
      <c r="V34" s="582" t="s">
        <v>406</v>
      </c>
      <c r="W34" s="582"/>
      <c r="X34" s="582"/>
      <c r="Y34" s="582"/>
      <c r="Z34" s="582"/>
      <c r="AA34" s="582" t="s">
        <v>408</v>
      </c>
      <c r="AB34" s="582" t="s">
        <v>409</v>
      </c>
      <c r="AC34" s="582" t="s">
        <v>410</v>
      </c>
      <c r="AD34" s="582" t="s">
        <v>411</v>
      </c>
    </row>
    <row r="35" spans="2:30" x14ac:dyDescent="0.35">
      <c r="B35" s="2086" t="s">
        <v>422</v>
      </c>
      <c r="C35" s="2087"/>
      <c r="D35" s="2088"/>
      <c r="E35" s="579">
        <f t="shared" ref="E35:R35" ca="1" si="9">IF(E32=0,"-",AVERAGE(E8:E28))</f>
        <v>100</v>
      </c>
      <c r="F35" s="579">
        <f t="shared" ca="1" si="9"/>
        <v>100</v>
      </c>
      <c r="G35" s="579">
        <f t="shared" ca="1" si="9"/>
        <v>97.723984107061483</v>
      </c>
      <c r="H35" s="579">
        <f t="shared" ca="1" si="9"/>
        <v>94.098907160616207</v>
      </c>
      <c r="I35" s="579">
        <f t="shared" ca="1" si="9"/>
        <v>81.504073165077102</v>
      </c>
      <c r="J35" s="579">
        <f t="shared" ca="1" si="9"/>
        <v>65.427262625212848</v>
      </c>
      <c r="K35" s="579">
        <f t="shared" ca="1" si="9"/>
        <v>52.992717068920022</v>
      </c>
      <c r="L35" s="579">
        <f t="shared" ca="1" si="9"/>
        <v>41.712020886931384</v>
      </c>
      <c r="M35" s="579">
        <f t="shared" ca="1" si="9"/>
        <v>22.913159716640937</v>
      </c>
      <c r="N35" s="579" t="str">
        <f t="shared" ca="1" si="9"/>
        <v>-</v>
      </c>
      <c r="O35" s="579" t="str">
        <f t="shared" ca="1" si="9"/>
        <v>-</v>
      </c>
      <c r="P35" s="580">
        <f t="shared" ca="1" si="9"/>
        <v>0</v>
      </c>
      <c r="Q35" s="580" t="str">
        <f t="shared" si="9"/>
        <v>-</v>
      </c>
      <c r="R35" s="580" t="str">
        <f t="shared" si="9"/>
        <v>-</v>
      </c>
      <c r="S35" s="580">
        <f ca="1">IF(S32=0,"-",AVERAGE(S8:S28))</f>
        <v>2219.2468551635602</v>
      </c>
      <c r="T35" s="579">
        <f ca="1">IF(T32=0,"-",AVERAGE(T8:T28))</f>
        <v>5.7765822483399836</v>
      </c>
      <c r="U35" s="579">
        <f ca="1">IF(U32=0,"-",AVERAGE(U8:U28))</f>
        <v>20041.621694828224</v>
      </c>
      <c r="V35" s="583">
        <f ca="1">IF(V32=0,"-",AVERAGE(V8:V28))</f>
        <v>4.2194868739289348E-2</v>
      </c>
      <c r="W35" s="579"/>
      <c r="X35" s="579"/>
      <c r="Y35" s="579"/>
      <c r="Z35" s="579"/>
      <c r="AA35" s="605" t="str">
        <f>IF(AA32=0,"-",AVERAGE(AA8:AA28))</f>
        <v>-</v>
      </c>
      <c r="AB35" s="579" t="str">
        <f>IF(AB32=0,"-",AVERAGE(AB8:AB28))</f>
        <v>-</v>
      </c>
      <c r="AC35" s="579" t="str">
        <f>IF(AC32=0,"-",AVERAGE(AC8:AC28))</f>
        <v>-</v>
      </c>
      <c r="AD35" s="579" t="str">
        <f>IF(AD32=0,"-",AVERAGE(AD8:AD28))</f>
        <v>-</v>
      </c>
    </row>
    <row r="36" spans="2:30" x14ac:dyDescent="0.35">
      <c r="B36" s="2086" t="s">
        <v>423</v>
      </c>
      <c r="C36" s="2087"/>
      <c r="D36" s="2088"/>
      <c r="E36" s="583" t="str">
        <f t="shared" ref="E36:V36" ca="1" si="10">IF(E32=1,"-",IF(E32=0,"-",IF(E32="","-",STDEV(E8:E28))))</f>
        <v>-</v>
      </c>
      <c r="F36" s="583" t="str">
        <f t="shared" ca="1" si="10"/>
        <v>-</v>
      </c>
      <c r="G36" s="583" t="str">
        <f t="shared" ca="1" si="10"/>
        <v>-</v>
      </c>
      <c r="H36" s="583" t="str">
        <f t="shared" ca="1" si="10"/>
        <v>-</v>
      </c>
      <c r="I36" s="583" t="str">
        <f t="shared" ca="1" si="10"/>
        <v>-</v>
      </c>
      <c r="J36" s="583" t="str">
        <f t="shared" ca="1" si="10"/>
        <v>-</v>
      </c>
      <c r="K36" s="583" t="str">
        <f t="shared" ca="1" si="10"/>
        <v>-</v>
      </c>
      <c r="L36" s="583" t="str">
        <f t="shared" ca="1" si="10"/>
        <v>-</v>
      </c>
      <c r="M36" s="583" t="str">
        <f t="shared" ca="1" si="10"/>
        <v>-</v>
      </c>
      <c r="N36" s="583" t="str">
        <f t="shared" ca="1" si="10"/>
        <v>-</v>
      </c>
      <c r="O36" s="583" t="str">
        <f t="shared" ca="1" si="10"/>
        <v>-</v>
      </c>
      <c r="P36" s="580" t="str">
        <f t="shared" ca="1" si="10"/>
        <v>-</v>
      </c>
      <c r="Q36" s="580" t="str">
        <f t="shared" si="10"/>
        <v>-</v>
      </c>
      <c r="R36" s="580" t="str">
        <f t="shared" si="10"/>
        <v>-</v>
      </c>
      <c r="S36" s="579" t="str">
        <f t="shared" ca="1" si="10"/>
        <v>-</v>
      </c>
      <c r="T36" s="583" t="str">
        <f t="shared" ca="1" si="10"/>
        <v>-</v>
      </c>
      <c r="U36" s="583" t="str">
        <f t="shared" ca="1" si="10"/>
        <v>-</v>
      </c>
      <c r="V36" s="583" t="str">
        <f t="shared" ca="1" si="10"/>
        <v>-</v>
      </c>
      <c r="W36" s="583"/>
      <c r="X36" s="583"/>
      <c r="Y36" s="583"/>
      <c r="Z36" s="583"/>
      <c r="AA36" s="583" t="str">
        <f>IF(AA32=1,"-",IF(AA32=0,"-",IF(AA32="","-",STDEV(AA8:AA28))))</f>
        <v>-</v>
      </c>
      <c r="AB36" s="583" t="str">
        <f>IF(AB32=1,"-",IF(AB32=0,"-",IF(AB32="","-",STDEV(AB8:AB28))))</f>
        <v>-</v>
      </c>
      <c r="AC36" s="583" t="str">
        <f>IF(AC32=1,"-",IF(AC32=0,"-",IF(AC32="","-",STDEV(AC8:AC28))))</f>
        <v>-</v>
      </c>
      <c r="AD36" s="583" t="str">
        <f>IF(AD32=1,"-",IF(AD32=0,"-",IF(AD32="","-",STDEV(AD8:AD28))))</f>
        <v>-</v>
      </c>
    </row>
    <row r="37" spans="2:30" x14ac:dyDescent="0.35">
      <c r="B37" s="2086" t="s">
        <v>424</v>
      </c>
      <c r="C37" s="2087"/>
      <c r="D37" s="2088"/>
      <c r="E37" s="584" t="str">
        <f ca="1">IF(E32&lt;5,"-",IF(E35="-","-",E35-(E33*E36)))</f>
        <v>-</v>
      </c>
      <c r="F37" s="584" t="str">
        <f t="shared" ref="F37:V37" ca="1" si="11">IF(F32&lt;5,"-",IF(F35="-","-",F35-(F33*F36)))</f>
        <v>-</v>
      </c>
      <c r="G37" s="584" t="str">
        <f t="shared" ca="1" si="11"/>
        <v>-</v>
      </c>
      <c r="H37" s="584" t="str">
        <f t="shared" ca="1" si="11"/>
        <v>-</v>
      </c>
      <c r="I37" s="584" t="str">
        <f t="shared" ca="1" si="11"/>
        <v>-</v>
      </c>
      <c r="J37" s="584" t="str">
        <f t="shared" ca="1" si="11"/>
        <v>-</v>
      </c>
      <c r="K37" s="584" t="str">
        <f t="shared" ca="1" si="11"/>
        <v>-</v>
      </c>
      <c r="L37" s="584" t="str">
        <f t="shared" ca="1" si="11"/>
        <v>-</v>
      </c>
      <c r="M37" s="584" t="str">
        <f t="shared" ca="1" si="11"/>
        <v>-</v>
      </c>
      <c r="N37" s="584" t="str">
        <f t="shared" ca="1" si="11"/>
        <v>-</v>
      </c>
      <c r="O37" s="584" t="str">
        <f t="shared" ca="1" si="11"/>
        <v>-</v>
      </c>
      <c r="P37" s="585" t="str">
        <f t="shared" ca="1" si="11"/>
        <v>-</v>
      </c>
      <c r="Q37" s="585" t="str">
        <f t="shared" si="11"/>
        <v>-</v>
      </c>
      <c r="R37" s="585" t="str">
        <f t="shared" si="11"/>
        <v>-</v>
      </c>
      <c r="S37" s="585" t="str">
        <f t="shared" ca="1" si="11"/>
        <v>-</v>
      </c>
      <c r="T37" s="584" t="str">
        <f t="shared" ca="1" si="11"/>
        <v>-</v>
      </c>
      <c r="U37" s="584" t="str">
        <f t="shared" ca="1" si="11"/>
        <v>-</v>
      </c>
      <c r="V37" s="586" t="str">
        <f t="shared" ca="1" si="11"/>
        <v>-</v>
      </c>
      <c r="W37" s="586"/>
      <c r="X37" s="586"/>
      <c r="Y37" s="586"/>
      <c r="Z37" s="586"/>
      <c r="AA37" s="606" t="str">
        <f>IF(AA32&lt;5,"-",IF(AA35="-","-",AA35-(AA33*AA36)))</f>
        <v>-</v>
      </c>
      <c r="AB37" s="584" t="str">
        <f>IF(AB32&lt;5,"-",IF(AB35="-","-",AB35-(AB33*AB36)))</f>
        <v>-</v>
      </c>
      <c r="AC37" s="584" t="str">
        <f>IF(AC32&lt;5,"-",IF(AC35="-","-",AC35-(AC33*AC36)))</f>
        <v>-</v>
      </c>
      <c r="AD37" s="584" t="str">
        <f>IF(AD32&lt;5,"-",IF(AD35="-","-",AD35-(AD33*AD36)))</f>
        <v>-</v>
      </c>
    </row>
    <row r="38" spans="2:30" x14ac:dyDescent="0.35">
      <c r="B38" s="2086" t="s">
        <v>425</v>
      </c>
      <c r="C38" s="2087"/>
      <c r="D38" s="2088"/>
      <c r="E38" s="584" t="str">
        <f ca="1">IF(E32&lt;5,"-",IF(E35="-","-",E35+(E33*E36)))</f>
        <v>-</v>
      </c>
      <c r="F38" s="584" t="str">
        <f t="shared" ref="F38:V38" ca="1" si="12">IF(F32&lt;5,"-",IF(F35="-","-",F35+(F33*F36)))</f>
        <v>-</v>
      </c>
      <c r="G38" s="584" t="str">
        <f t="shared" ca="1" si="12"/>
        <v>-</v>
      </c>
      <c r="H38" s="584" t="str">
        <f ca="1">IF(H32&lt;5,"-",IF(H35="-","-",H35+(H33*H36)))</f>
        <v>-</v>
      </c>
      <c r="I38" s="584" t="str">
        <f t="shared" ca="1" si="12"/>
        <v>-</v>
      </c>
      <c r="J38" s="584" t="str">
        <f t="shared" ca="1" si="12"/>
        <v>-</v>
      </c>
      <c r="K38" s="584" t="str">
        <f t="shared" ca="1" si="12"/>
        <v>-</v>
      </c>
      <c r="L38" s="584" t="str">
        <f t="shared" ca="1" si="12"/>
        <v>-</v>
      </c>
      <c r="M38" s="584" t="str">
        <f t="shared" ca="1" si="12"/>
        <v>-</v>
      </c>
      <c r="N38" s="584" t="str">
        <f t="shared" ca="1" si="12"/>
        <v>-</v>
      </c>
      <c r="O38" s="584" t="str">
        <f t="shared" ca="1" si="12"/>
        <v>-</v>
      </c>
      <c r="P38" s="585" t="str">
        <f t="shared" ca="1" si="12"/>
        <v>-</v>
      </c>
      <c r="Q38" s="585" t="str">
        <f t="shared" si="12"/>
        <v>-</v>
      </c>
      <c r="R38" s="585" t="str">
        <f t="shared" si="12"/>
        <v>-</v>
      </c>
      <c r="S38" s="585" t="str">
        <f t="shared" ca="1" si="12"/>
        <v>-</v>
      </c>
      <c r="T38" s="584" t="str">
        <f t="shared" ca="1" si="12"/>
        <v>-</v>
      </c>
      <c r="U38" s="584" t="str">
        <f t="shared" ca="1" si="12"/>
        <v>-</v>
      </c>
      <c r="V38" s="586" t="str">
        <f t="shared" ca="1" si="12"/>
        <v>-</v>
      </c>
      <c r="W38" s="586"/>
      <c r="X38" s="586"/>
      <c r="Y38" s="586"/>
      <c r="Z38" s="586"/>
      <c r="AA38" s="606" t="str">
        <f>IF(AA32&lt;5,"-",IF(AA35="-","-",AA35+(AA33*AA36)))</f>
        <v>-</v>
      </c>
      <c r="AB38" s="584" t="str">
        <f>IF(AB32&lt;5,"-",IF(AB35="-","-",AB35+(AB33*AB36)))</f>
        <v>-</v>
      </c>
      <c r="AC38" s="584" t="str">
        <f>IF(AC32&lt;5,"-",IF(AC35="-","-",AC35+(AC33*AC36)))</f>
        <v>-</v>
      </c>
      <c r="AD38" s="584" t="str">
        <f>IF(AD32&lt;5,"-",IF(AD35="-","-",AD35+(AD33*AD36)))</f>
        <v>-</v>
      </c>
    </row>
    <row r="39" spans="2:30" ht="25" customHeight="1" x14ac:dyDescent="0.35">
      <c r="B39" s="2096"/>
      <c r="C39" s="2097"/>
      <c r="D39" s="2097"/>
      <c r="E39" s="2100"/>
      <c r="F39" s="2100"/>
      <c r="G39" s="2100"/>
      <c r="H39" s="2100"/>
      <c r="I39" s="2100"/>
      <c r="J39" s="2100"/>
      <c r="K39" s="2100"/>
      <c r="L39" s="660"/>
      <c r="M39" s="2097"/>
      <c r="N39" s="2097"/>
      <c r="O39" s="2097"/>
      <c r="P39" s="2097"/>
      <c r="Q39" s="2097"/>
      <c r="R39" s="2097"/>
      <c r="S39" s="2097"/>
      <c r="T39" s="2097"/>
      <c r="U39" s="660"/>
      <c r="V39" s="660"/>
      <c r="W39" s="2100"/>
      <c r="X39" s="2100"/>
      <c r="Y39" s="2100"/>
      <c r="Z39" s="2100"/>
      <c r="AA39" s="2100"/>
      <c r="AB39" s="2100"/>
      <c r="AC39" s="661"/>
      <c r="AD39" s="1273"/>
    </row>
    <row r="40" spans="2:30" x14ac:dyDescent="0.35">
      <c r="B40" s="2098"/>
      <c r="C40" s="2099"/>
      <c r="D40" s="2099"/>
      <c r="E40" s="2099" t="s">
        <v>301</v>
      </c>
      <c r="F40" s="2099"/>
      <c r="G40" s="2099"/>
      <c r="H40" s="2099"/>
      <c r="I40" s="2099"/>
      <c r="J40" s="2099"/>
      <c r="K40" s="2099"/>
      <c r="L40" s="662"/>
      <c r="M40" s="2099"/>
      <c r="N40" s="2099"/>
      <c r="O40" s="2099"/>
      <c r="P40" s="2099"/>
      <c r="Q40" s="2099"/>
      <c r="R40" s="2099"/>
      <c r="S40" s="2099"/>
      <c r="T40" s="2099"/>
      <c r="U40" s="662"/>
      <c r="V40" s="662"/>
      <c r="W40" s="2099" t="s">
        <v>296</v>
      </c>
      <c r="X40" s="2099"/>
      <c r="Y40" s="2099"/>
      <c r="Z40" s="2099"/>
      <c r="AA40" s="2099"/>
      <c r="AB40" s="2099"/>
      <c r="AC40" s="663"/>
      <c r="AD40" s="663"/>
    </row>
  </sheetData>
  <mergeCells count="37">
    <mergeCell ref="E4:G4"/>
    <mergeCell ref="H4:AD4"/>
    <mergeCell ref="B2:D4"/>
    <mergeCell ref="E2:G2"/>
    <mergeCell ref="H2:I2"/>
    <mergeCell ref="J2:L2"/>
    <mergeCell ref="M2:Q2"/>
    <mergeCell ref="S2:U2"/>
    <mergeCell ref="V2:W2"/>
    <mergeCell ref="X2:Y2"/>
    <mergeCell ref="Z2:AD2"/>
    <mergeCell ref="E3:G3"/>
    <mergeCell ref="H3:AD3"/>
    <mergeCell ref="B34:D34"/>
    <mergeCell ref="E5:AD5"/>
    <mergeCell ref="B6:D6"/>
    <mergeCell ref="E6:M6"/>
    <mergeCell ref="N6:O6"/>
    <mergeCell ref="P6:R6"/>
    <mergeCell ref="S6:V6"/>
    <mergeCell ref="W6:AD6"/>
    <mergeCell ref="AF6:AG6"/>
    <mergeCell ref="B30:D30"/>
    <mergeCell ref="B31:D31"/>
    <mergeCell ref="B32:D32"/>
    <mergeCell ref="B33:D33"/>
    <mergeCell ref="B35:D35"/>
    <mergeCell ref="B36:D36"/>
    <mergeCell ref="B37:D37"/>
    <mergeCell ref="B38:D38"/>
    <mergeCell ref="B39:D40"/>
    <mergeCell ref="M39:T39"/>
    <mergeCell ref="W39:AB39"/>
    <mergeCell ref="E40:K40"/>
    <mergeCell ref="M40:T40"/>
    <mergeCell ref="W40:AB40"/>
    <mergeCell ref="E39:K39"/>
  </mergeCells>
  <printOptions horizontalCentered="1" verticalCentered="1"/>
  <pageMargins left="0.19685039370078741" right="7.874015748031496E-2" top="0.39370078740157483" bottom="0.39370078740157483" header="0" footer="0"/>
  <pageSetup paperSize="9" scale="90" orientation="landscape" r:id="rId1"/>
  <colBreaks count="1" manualBreakCount="1">
    <brk id="30" min="1" max="3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18"/>
  <sheetViews>
    <sheetView topLeftCell="A1333" workbookViewId="0">
      <selection activeCell="B19" sqref="B19"/>
    </sheetView>
  </sheetViews>
  <sheetFormatPr defaultRowHeight="12.5" x14ac:dyDescent="0.25"/>
  <cols>
    <col min="1" max="8" width="15.7265625" style="622" customWidth="1"/>
    <col min="9" max="256" width="9.1796875" style="622"/>
    <col min="257" max="259" width="22.54296875" style="622" customWidth="1"/>
    <col min="260" max="261" width="8.1796875" style="622" customWidth="1"/>
    <col min="262" max="262" width="33.26953125" style="622" customWidth="1"/>
    <col min="263" max="263" width="4.7265625" style="622" customWidth="1"/>
    <col min="264" max="512" width="9.1796875" style="622"/>
    <col min="513" max="515" width="22.54296875" style="622" customWidth="1"/>
    <col min="516" max="517" width="8.1796875" style="622" customWidth="1"/>
    <col min="518" max="518" width="33.26953125" style="622" customWidth="1"/>
    <col min="519" max="519" width="4.7265625" style="622" customWidth="1"/>
    <col min="520" max="768" width="9.1796875" style="622"/>
    <col min="769" max="771" width="22.54296875" style="622" customWidth="1"/>
    <col min="772" max="773" width="8.1796875" style="622" customWidth="1"/>
    <col min="774" max="774" width="33.26953125" style="622" customWidth="1"/>
    <col min="775" max="775" width="4.7265625" style="622" customWidth="1"/>
    <col min="776" max="1024" width="9.1796875" style="622"/>
    <col min="1025" max="1027" width="22.54296875" style="622" customWidth="1"/>
    <col min="1028" max="1029" width="8.1796875" style="622" customWidth="1"/>
    <col min="1030" max="1030" width="33.26953125" style="622" customWidth="1"/>
    <col min="1031" max="1031" width="4.7265625" style="622" customWidth="1"/>
    <col min="1032" max="1280" width="9.1796875" style="622"/>
    <col min="1281" max="1283" width="22.54296875" style="622" customWidth="1"/>
    <col min="1284" max="1285" width="8.1796875" style="622" customWidth="1"/>
    <col min="1286" max="1286" width="33.26953125" style="622" customWidth="1"/>
    <col min="1287" max="1287" width="4.7265625" style="622" customWidth="1"/>
    <col min="1288" max="1536" width="9.1796875" style="622"/>
    <col min="1537" max="1539" width="22.54296875" style="622" customWidth="1"/>
    <col min="1540" max="1541" width="8.1796875" style="622" customWidth="1"/>
    <col min="1542" max="1542" width="33.26953125" style="622" customWidth="1"/>
    <col min="1543" max="1543" width="4.7265625" style="622" customWidth="1"/>
    <col min="1544" max="1792" width="9.1796875" style="622"/>
    <col min="1793" max="1795" width="22.54296875" style="622" customWidth="1"/>
    <col min="1796" max="1797" width="8.1796875" style="622" customWidth="1"/>
    <col min="1798" max="1798" width="33.26953125" style="622" customWidth="1"/>
    <col min="1799" max="1799" width="4.7265625" style="622" customWidth="1"/>
    <col min="1800" max="2048" width="9.1796875" style="622"/>
    <col min="2049" max="2051" width="22.54296875" style="622" customWidth="1"/>
    <col min="2052" max="2053" width="8.1796875" style="622" customWidth="1"/>
    <col min="2054" max="2054" width="33.26953125" style="622" customWidth="1"/>
    <col min="2055" max="2055" width="4.7265625" style="622" customWidth="1"/>
    <col min="2056" max="2304" width="9.1796875" style="622"/>
    <col min="2305" max="2307" width="22.54296875" style="622" customWidth="1"/>
    <col min="2308" max="2309" width="8.1796875" style="622" customWidth="1"/>
    <col min="2310" max="2310" width="33.26953125" style="622" customWidth="1"/>
    <col min="2311" max="2311" width="4.7265625" style="622" customWidth="1"/>
    <col min="2312" max="2560" width="9.1796875" style="622"/>
    <col min="2561" max="2563" width="22.54296875" style="622" customWidth="1"/>
    <col min="2564" max="2565" width="8.1796875" style="622" customWidth="1"/>
    <col min="2566" max="2566" width="33.26953125" style="622" customWidth="1"/>
    <col min="2567" max="2567" width="4.7265625" style="622" customWidth="1"/>
    <col min="2568" max="2816" width="9.1796875" style="622"/>
    <col min="2817" max="2819" width="22.54296875" style="622" customWidth="1"/>
    <col min="2820" max="2821" width="8.1796875" style="622" customWidth="1"/>
    <col min="2822" max="2822" width="33.26953125" style="622" customWidth="1"/>
    <col min="2823" max="2823" width="4.7265625" style="622" customWidth="1"/>
    <col min="2824" max="3072" width="9.1796875" style="622"/>
    <col min="3073" max="3075" width="22.54296875" style="622" customWidth="1"/>
    <col min="3076" max="3077" width="8.1796875" style="622" customWidth="1"/>
    <col min="3078" max="3078" width="33.26953125" style="622" customWidth="1"/>
    <col min="3079" max="3079" width="4.7265625" style="622" customWidth="1"/>
    <col min="3080" max="3328" width="9.1796875" style="622"/>
    <col min="3329" max="3331" width="22.54296875" style="622" customWidth="1"/>
    <col min="3332" max="3333" width="8.1796875" style="622" customWidth="1"/>
    <col min="3334" max="3334" width="33.26953125" style="622" customWidth="1"/>
    <col min="3335" max="3335" width="4.7265625" style="622" customWidth="1"/>
    <col min="3336" max="3584" width="9.1796875" style="622"/>
    <col min="3585" max="3587" width="22.54296875" style="622" customWidth="1"/>
    <col min="3588" max="3589" width="8.1796875" style="622" customWidth="1"/>
    <col min="3590" max="3590" width="33.26953125" style="622" customWidth="1"/>
    <col min="3591" max="3591" width="4.7265625" style="622" customWidth="1"/>
    <col min="3592" max="3840" width="9.1796875" style="622"/>
    <col min="3841" max="3843" width="22.54296875" style="622" customWidth="1"/>
    <col min="3844" max="3845" width="8.1796875" style="622" customWidth="1"/>
    <col min="3846" max="3846" width="33.26953125" style="622" customWidth="1"/>
    <col min="3847" max="3847" width="4.7265625" style="622" customWidth="1"/>
    <col min="3848" max="4096" width="9.1796875" style="622"/>
    <col min="4097" max="4099" width="22.54296875" style="622" customWidth="1"/>
    <col min="4100" max="4101" width="8.1796875" style="622" customWidth="1"/>
    <col min="4102" max="4102" width="33.26953125" style="622" customWidth="1"/>
    <col min="4103" max="4103" width="4.7265625" style="622" customWidth="1"/>
    <col min="4104" max="4352" width="9.1796875" style="622"/>
    <col min="4353" max="4355" width="22.54296875" style="622" customWidth="1"/>
    <col min="4356" max="4357" width="8.1796875" style="622" customWidth="1"/>
    <col min="4358" max="4358" width="33.26953125" style="622" customWidth="1"/>
    <col min="4359" max="4359" width="4.7265625" style="622" customWidth="1"/>
    <col min="4360" max="4608" width="9.1796875" style="622"/>
    <col min="4609" max="4611" width="22.54296875" style="622" customWidth="1"/>
    <col min="4612" max="4613" width="8.1796875" style="622" customWidth="1"/>
    <col min="4614" max="4614" width="33.26953125" style="622" customWidth="1"/>
    <col min="4615" max="4615" width="4.7265625" style="622" customWidth="1"/>
    <col min="4616" max="4864" width="9.1796875" style="622"/>
    <col min="4865" max="4867" width="22.54296875" style="622" customWidth="1"/>
    <col min="4868" max="4869" width="8.1796875" style="622" customWidth="1"/>
    <col min="4870" max="4870" width="33.26953125" style="622" customWidth="1"/>
    <col min="4871" max="4871" width="4.7265625" style="622" customWidth="1"/>
    <col min="4872" max="5120" width="9.1796875" style="622"/>
    <col min="5121" max="5123" width="22.54296875" style="622" customWidth="1"/>
    <col min="5124" max="5125" width="8.1796875" style="622" customWidth="1"/>
    <col min="5126" max="5126" width="33.26953125" style="622" customWidth="1"/>
    <col min="5127" max="5127" width="4.7265625" style="622" customWidth="1"/>
    <col min="5128" max="5376" width="9.1796875" style="622"/>
    <col min="5377" max="5379" width="22.54296875" style="622" customWidth="1"/>
    <col min="5380" max="5381" width="8.1796875" style="622" customWidth="1"/>
    <col min="5382" max="5382" width="33.26953125" style="622" customWidth="1"/>
    <col min="5383" max="5383" width="4.7265625" style="622" customWidth="1"/>
    <col min="5384" max="5632" width="9.1796875" style="622"/>
    <col min="5633" max="5635" width="22.54296875" style="622" customWidth="1"/>
    <col min="5636" max="5637" width="8.1796875" style="622" customWidth="1"/>
    <col min="5638" max="5638" width="33.26953125" style="622" customWidth="1"/>
    <col min="5639" max="5639" width="4.7265625" style="622" customWidth="1"/>
    <col min="5640" max="5888" width="9.1796875" style="622"/>
    <col min="5889" max="5891" width="22.54296875" style="622" customWidth="1"/>
    <col min="5892" max="5893" width="8.1796875" style="622" customWidth="1"/>
    <col min="5894" max="5894" width="33.26953125" style="622" customWidth="1"/>
    <col min="5895" max="5895" width="4.7265625" style="622" customWidth="1"/>
    <col min="5896" max="6144" width="9.1796875" style="622"/>
    <col min="6145" max="6147" width="22.54296875" style="622" customWidth="1"/>
    <col min="6148" max="6149" width="8.1796875" style="622" customWidth="1"/>
    <col min="6150" max="6150" width="33.26953125" style="622" customWidth="1"/>
    <col min="6151" max="6151" width="4.7265625" style="622" customWidth="1"/>
    <col min="6152" max="6400" width="9.1796875" style="622"/>
    <col min="6401" max="6403" width="22.54296875" style="622" customWidth="1"/>
    <col min="6404" max="6405" width="8.1796875" style="622" customWidth="1"/>
    <col min="6406" max="6406" width="33.26953125" style="622" customWidth="1"/>
    <col min="6407" max="6407" width="4.7265625" style="622" customWidth="1"/>
    <col min="6408" max="6656" width="9.1796875" style="622"/>
    <col min="6657" max="6659" width="22.54296875" style="622" customWidth="1"/>
    <col min="6660" max="6661" width="8.1796875" style="622" customWidth="1"/>
    <col min="6662" max="6662" width="33.26953125" style="622" customWidth="1"/>
    <col min="6663" max="6663" width="4.7265625" style="622" customWidth="1"/>
    <col min="6664" max="6912" width="9.1796875" style="622"/>
    <col min="6913" max="6915" width="22.54296875" style="622" customWidth="1"/>
    <col min="6916" max="6917" width="8.1796875" style="622" customWidth="1"/>
    <col min="6918" max="6918" width="33.26953125" style="622" customWidth="1"/>
    <col min="6919" max="6919" width="4.7265625" style="622" customWidth="1"/>
    <col min="6920" max="7168" width="9.1796875" style="622"/>
    <col min="7169" max="7171" width="22.54296875" style="622" customWidth="1"/>
    <col min="7172" max="7173" width="8.1796875" style="622" customWidth="1"/>
    <col min="7174" max="7174" width="33.26953125" style="622" customWidth="1"/>
    <col min="7175" max="7175" width="4.7265625" style="622" customWidth="1"/>
    <col min="7176" max="7424" width="9.1796875" style="622"/>
    <col min="7425" max="7427" width="22.54296875" style="622" customWidth="1"/>
    <col min="7428" max="7429" width="8.1796875" style="622" customWidth="1"/>
    <col min="7430" max="7430" width="33.26953125" style="622" customWidth="1"/>
    <col min="7431" max="7431" width="4.7265625" style="622" customWidth="1"/>
    <col min="7432" max="7680" width="9.1796875" style="622"/>
    <col min="7681" max="7683" width="22.54296875" style="622" customWidth="1"/>
    <col min="7684" max="7685" width="8.1796875" style="622" customWidth="1"/>
    <col min="7686" max="7686" width="33.26953125" style="622" customWidth="1"/>
    <col min="7687" max="7687" width="4.7265625" style="622" customWidth="1"/>
    <col min="7688" max="7936" width="9.1796875" style="622"/>
    <col min="7937" max="7939" width="22.54296875" style="622" customWidth="1"/>
    <col min="7940" max="7941" width="8.1796875" style="622" customWidth="1"/>
    <col min="7942" max="7942" width="33.26953125" style="622" customWidth="1"/>
    <col min="7943" max="7943" width="4.7265625" style="622" customWidth="1"/>
    <col min="7944" max="8192" width="9.1796875" style="622"/>
    <col min="8193" max="8195" width="22.54296875" style="622" customWidth="1"/>
    <col min="8196" max="8197" width="8.1796875" style="622" customWidth="1"/>
    <col min="8198" max="8198" width="33.26953125" style="622" customWidth="1"/>
    <col min="8199" max="8199" width="4.7265625" style="622" customWidth="1"/>
    <col min="8200" max="8448" width="9.1796875" style="622"/>
    <col min="8449" max="8451" width="22.54296875" style="622" customWidth="1"/>
    <col min="8452" max="8453" width="8.1796875" style="622" customWidth="1"/>
    <col min="8454" max="8454" width="33.26953125" style="622" customWidth="1"/>
    <col min="8455" max="8455" width="4.7265625" style="622" customWidth="1"/>
    <col min="8456" max="8704" width="9.1796875" style="622"/>
    <col min="8705" max="8707" width="22.54296875" style="622" customWidth="1"/>
    <col min="8708" max="8709" width="8.1796875" style="622" customWidth="1"/>
    <col min="8710" max="8710" width="33.26953125" style="622" customWidth="1"/>
    <col min="8711" max="8711" width="4.7265625" style="622" customWidth="1"/>
    <col min="8712" max="8960" width="9.1796875" style="622"/>
    <col min="8961" max="8963" width="22.54296875" style="622" customWidth="1"/>
    <col min="8964" max="8965" width="8.1796875" style="622" customWidth="1"/>
    <col min="8966" max="8966" width="33.26953125" style="622" customWidth="1"/>
    <col min="8967" max="8967" width="4.7265625" style="622" customWidth="1"/>
    <col min="8968" max="9216" width="9.1796875" style="622"/>
    <col min="9217" max="9219" width="22.54296875" style="622" customWidth="1"/>
    <col min="9220" max="9221" width="8.1796875" style="622" customWidth="1"/>
    <col min="9222" max="9222" width="33.26953125" style="622" customWidth="1"/>
    <col min="9223" max="9223" width="4.7265625" style="622" customWidth="1"/>
    <col min="9224" max="9472" width="9.1796875" style="622"/>
    <col min="9473" max="9475" width="22.54296875" style="622" customWidth="1"/>
    <col min="9476" max="9477" width="8.1796875" style="622" customWidth="1"/>
    <col min="9478" max="9478" width="33.26953125" style="622" customWidth="1"/>
    <col min="9479" max="9479" width="4.7265625" style="622" customWidth="1"/>
    <col min="9480" max="9728" width="9.1796875" style="622"/>
    <col min="9729" max="9731" width="22.54296875" style="622" customWidth="1"/>
    <col min="9732" max="9733" width="8.1796875" style="622" customWidth="1"/>
    <col min="9734" max="9734" width="33.26953125" style="622" customWidth="1"/>
    <col min="9735" max="9735" width="4.7265625" style="622" customWidth="1"/>
    <col min="9736" max="9984" width="9.1796875" style="622"/>
    <col min="9985" max="9987" width="22.54296875" style="622" customWidth="1"/>
    <col min="9988" max="9989" width="8.1796875" style="622" customWidth="1"/>
    <col min="9990" max="9990" width="33.26953125" style="622" customWidth="1"/>
    <col min="9991" max="9991" width="4.7265625" style="622" customWidth="1"/>
    <col min="9992" max="10240" width="9.1796875" style="622"/>
    <col min="10241" max="10243" width="22.54296875" style="622" customWidth="1"/>
    <col min="10244" max="10245" width="8.1796875" style="622" customWidth="1"/>
    <col min="10246" max="10246" width="33.26953125" style="622" customWidth="1"/>
    <col min="10247" max="10247" width="4.7265625" style="622" customWidth="1"/>
    <col min="10248" max="10496" width="9.1796875" style="622"/>
    <col min="10497" max="10499" width="22.54296875" style="622" customWidth="1"/>
    <col min="10500" max="10501" width="8.1796875" style="622" customWidth="1"/>
    <col min="10502" max="10502" width="33.26953125" style="622" customWidth="1"/>
    <col min="10503" max="10503" width="4.7265625" style="622" customWidth="1"/>
    <col min="10504" max="10752" width="9.1796875" style="622"/>
    <col min="10753" max="10755" width="22.54296875" style="622" customWidth="1"/>
    <col min="10756" max="10757" width="8.1796875" style="622" customWidth="1"/>
    <col min="10758" max="10758" width="33.26953125" style="622" customWidth="1"/>
    <col min="10759" max="10759" width="4.7265625" style="622" customWidth="1"/>
    <col min="10760" max="11008" width="9.1796875" style="622"/>
    <col min="11009" max="11011" width="22.54296875" style="622" customWidth="1"/>
    <col min="11012" max="11013" width="8.1796875" style="622" customWidth="1"/>
    <col min="11014" max="11014" width="33.26953125" style="622" customWidth="1"/>
    <col min="11015" max="11015" width="4.7265625" style="622" customWidth="1"/>
    <col min="11016" max="11264" width="9.1796875" style="622"/>
    <col min="11265" max="11267" width="22.54296875" style="622" customWidth="1"/>
    <col min="11268" max="11269" width="8.1796875" style="622" customWidth="1"/>
    <col min="11270" max="11270" width="33.26953125" style="622" customWidth="1"/>
    <col min="11271" max="11271" width="4.7265625" style="622" customWidth="1"/>
    <col min="11272" max="11520" width="9.1796875" style="622"/>
    <col min="11521" max="11523" width="22.54296875" style="622" customWidth="1"/>
    <col min="11524" max="11525" width="8.1796875" style="622" customWidth="1"/>
    <col min="11526" max="11526" width="33.26953125" style="622" customWidth="1"/>
    <col min="11527" max="11527" width="4.7265625" style="622" customWidth="1"/>
    <col min="11528" max="11776" width="9.1796875" style="622"/>
    <col min="11777" max="11779" width="22.54296875" style="622" customWidth="1"/>
    <col min="11780" max="11781" width="8.1796875" style="622" customWidth="1"/>
    <col min="11782" max="11782" width="33.26953125" style="622" customWidth="1"/>
    <col min="11783" max="11783" width="4.7265625" style="622" customWidth="1"/>
    <col min="11784" max="12032" width="9.1796875" style="622"/>
    <col min="12033" max="12035" width="22.54296875" style="622" customWidth="1"/>
    <col min="12036" max="12037" width="8.1796875" style="622" customWidth="1"/>
    <col min="12038" max="12038" width="33.26953125" style="622" customWidth="1"/>
    <col min="12039" max="12039" width="4.7265625" style="622" customWidth="1"/>
    <col min="12040" max="12288" width="9.1796875" style="622"/>
    <col min="12289" max="12291" width="22.54296875" style="622" customWidth="1"/>
    <col min="12292" max="12293" width="8.1796875" style="622" customWidth="1"/>
    <col min="12294" max="12294" width="33.26953125" style="622" customWidth="1"/>
    <col min="12295" max="12295" width="4.7265625" style="622" customWidth="1"/>
    <col min="12296" max="12544" width="9.1796875" style="622"/>
    <col min="12545" max="12547" width="22.54296875" style="622" customWidth="1"/>
    <col min="12548" max="12549" width="8.1796875" style="622" customWidth="1"/>
    <col min="12550" max="12550" width="33.26953125" style="622" customWidth="1"/>
    <col min="12551" max="12551" width="4.7265625" style="622" customWidth="1"/>
    <col min="12552" max="12800" width="9.1796875" style="622"/>
    <col min="12801" max="12803" width="22.54296875" style="622" customWidth="1"/>
    <col min="12804" max="12805" width="8.1796875" style="622" customWidth="1"/>
    <col min="12806" max="12806" width="33.26953125" style="622" customWidth="1"/>
    <col min="12807" max="12807" width="4.7265625" style="622" customWidth="1"/>
    <col min="12808" max="13056" width="9.1796875" style="622"/>
    <col min="13057" max="13059" width="22.54296875" style="622" customWidth="1"/>
    <col min="13060" max="13061" width="8.1796875" style="622" customWidth="1"/>
    <col min="13062" max="13062" width="33.26953125" style="622" customWidth="1"/>
    <col min="13063" max="13063" width="4.7265625" style="622" customWidth="1"/>
    <col min="13064" max="13312" width="9.1796875" style="622"/>
    <col min="13313" max="13315" width="22.54296875" style="622" customWidth="1"/>
    <col min="13316" max="13317" width="8.1796875" style="622" customWidth="1"/>
    <col min="13318" max="13318" width="33.26953125" style="622" customWidth="1"/>
    <col min="13319" max="13319" width="4.7265625" style="622" customWidth="1"/>
    <col min="13320" max="13568" width="9.1796875" style="622"/>
    <col min="13569" max="13571" width="22.54296875" style="622" customWidth="1"/>
    <col min="13572" max="13573" width="8.1796875" style="622" customWidth="1"/>
    <col min="13574" max="13574" width="33.26953125" style="622" customWidth="1"/>
    <col min="13575" max="13575" width="4.7265625" style="622" customWidth="1"/>
    <col min="13576" max="13824" width="9.1796875" style="622"/>
    <col min="13825" max="13827" width="22.54296875" style="622" customWidth="1"/>
    <col min="13828" max="13829" width="8.1796875" style="622" customWidth="1"/>
    <col min="13830" max="13830" width="33.26953125" style="622" customWidth="1"/>
    <col min="13831" max="13831" width="4.7265625" style="622" customWidth="1"/>
    <col min="13832" max="14080" width="9.1796875" style="622"/>
    <col min="14081" max="14083" width="22.54296875" style="622" customWidth="1"/>
    <col min="14084" max="14085" width="8.1796875" style="622" customWidth="1"/>
    <col min="14086" max="14086" width="33.26953125" style="622" customWidth="1"/>
    <col min="14087" max="14087" width="4.7265625" style="622" customWidth="1"/>
    <col min="14088" max="14336" width="9.1796875" style="622"/>
    <col min="14337" max="14339" width="22.54296875" style="622" customWidth="1"/>
    <col min="14340" max="14341" width="8.1796875" style="622" customWidth="1"/>
    <col min="14342" max="14342" width="33.26953125" style="622" customWidth="1"/>
    <col min="14343" max="14343" width="4.7265625" style="622" customWidth="1"/>
    <col min="14344" max="14592" width="9.1796875" style="622"/>
    <col min="14593" max="14595" width="22.54296875" style="622" customWidth="1"/>
    <col min="14596" max="14597" width="8.1796875" style="622" customWidth="1"/>
    <col min="14598" max="14598" width="33.26953125" style="622" customWidth="1"/>
    <col min="14599" max="14599" width="4.7265625" style="622" customWidth="1"/>
    <col min="14600" max="14848" width="9.1796875" style="622"/>
    <col min="14849" max="14851" width="22.54296875" style="622" customWidth="1"/>
    <col min="14852" max="14853" width="8.1796875" style="622" customWidth="1"/>
    <col min="14854" max="14854" width="33.26953125" style="622" customWidth="1"/>
    <col min="14855" max="14855" width="4.7265625" style="622" customWidth="1"/>
    <col min="14856" max="15104" width="9.1796875" style="622"/>
    <col min="15105" max="15107" width="22.54296875" style="622" customWidth="1"/>
    <col min="15108" max="15109" width="8.1796875" style="622" customWidth="1"/>
    <col min="15110" max="15110" width="33.26953125" style="622" customWidth="1"/>
    <col min="15111" max="15111" width="4.7265625" style="622" customWidth="1"/>
    <col min="15112" max="15360" width="9.1796875" style="622"/>
    <col min="15361" max="15363" width="22.54296875" style="622" customWidth="1"/>
    <col min="15364" max="15365" width="8.1796875" style="622" customWidth="1"/>
    <col min="15366" max="15366" width="33.26953125" style="622" customWidth="1"/>
    <col min="15367" max="15367" width="4.7265625" style="622" customWidth="1"/>
    <col min="15368" max="15616" width="9.1796875" style="622"/>
    <col min="15617" max="15619" width="22.54296875" style="622" customWidth="1"/>
    <col min="15620" max="15621" width="8.1796875" style="622" customWidth="1"/>
    <col min="15622" max="15622" width="33.26953125" style="622" customWidth="1"/>
    <col min="15623" max="15623" width="4.7265625" style="622" customWidth="1"/>
    <col min="15624" max="15872" width="9.1796875" style="622"/>
    <col min="15873" max="15875" width="22.54296875" style="622" customWidth="1"/>
    <col min="15876" max="15877" width="8.1796875" style="622" customWidth="1"/>
    <col min="15878" max="15878" width="33.26953125" style="622" customWidth="1"/>
    <col min="15879" max="15879" width="4.7265625" style="622" customWidth="1"/>
    <col min="15880" max="16128" width="9.1796875" style="622"/>
    <col min="16129" max="16131" width="22.54296875" style="622" customWidth="1"/>
    <col min="16132" max="16133" width="8.1796875" style="622" customWidth="1"/>
    <col min="16134" max="16134" width="33.26953125" style="622" customWidth="1"/>
    <col min="16135" max="16135" width="4.7265625" style="622" customWidth="1"/>
    <col min="16136" max="16384" width="9.1796875" style="622"/>
  </cols>
  <sheetData>
    <row r="1" spans="1:8" ht="22.5" customHeight="1" x14ac:dyDescent="0.25">
      <c r="A1" s="2105" t="s">
        <v>426</v>
      </c>
      <c r="B1" s="2106"/>
      <c r="C1" s="2105" t="s">
        <v>427</v>
      </c>
      <c r="D1" s="2106"/>
      <c r="E1" s="2111" t="s">
        <v>426</v>
      </c>
      <c r="F1" s="2112"/>
      <c r="G1" s="2111" t="s">
        <v>427</v>
      </c>
      <c r="H1" s="2112"/>
    </row>
    <row r="2" spans="1:8" ht="3" customHeight="1" x14ac:dyDescent="0.25">
      <c r="A2" s="2107"/>
      <c r="B2" s="2108"/>
      <c r="C2" s="2107"/>
      <c r="D2" s="2108"/>
      <c r="E2" s="2113"/>
      <c r="F2" s="2114"/>
      <c r="G2" s="2113"/>
      <c r="H2" s="2114"/>
    </row>
    <row r="3" spans="1:8" ht="3" customHeight="1" x14ac:dyDescent="0.25">
      <c r="A3" s="2107"/>
      <c r="B3" s="2108"/>
      <c r="C3" s="2107"/>
      <c r="D3" s="2108"/>
      <c r="E3" s="2113"/>
      <c r="F3" s="2114"/>
      <c r="G3" s="2113"/>
      <c r="H3" s="2114"/>
    </row>
    <row r="4" spans="1:8" ht="22.5" customHeight="1" x14ac:dyDescent="0.25">
      <c r="A4" s="2109"/>
      <c r="B4" s="2110"/>
      <c r="C4" s="2109"/>
      <c r="D4" s="2110"/>
      <c r="E4" s="2115"/>
      <c r="F4" s="2116"/>
      <c r="G4" s="2115"/>
      <c r="H4" s="2116"/>
    </row>
    <row r="5" spans="1:8" ht="22.5" customHeight="1" x14ac:dyDescent="0.25">
      <c r="A5" s="2117" t="s">
        <v>393</v>
      </c>
      <c r="B5" s="2119" t="s">
        <v>428</v>
      </c>
      <c r="C5" s="2117" t="s">
        <v>429</v>
      </c>
      <c r="D5" s="2121"/>
      <c r="E5" s="2123" t="s">
        <v>393</v>
      </c>
      <c r="F5" s="2125" t="s">
        <v>428</v>
      </c>
      <c r="G5" s="2123" t="s">
        <v>429</v>
      </c>
      <c r="H5" s="2127"/>
    </row>
    <row r="6" spans="1:8" ht="21.75" customHeight="1" x14ac:dyDescent="0.25">
      <c r="A6" s="2118"/>
      <c r="B6" s="2120"/>
      <c r="C6" s="2118"/>
      <c r="D6" s="2122"/>
      <c r="E6" s="2124"/>
      <c r="F6" s="2126"/>
      <c r="G6" s="2124"/>
      <c r="H6" s="2128"/>
    </row>
    <row r="7" spans="1:8" ht="15.5" x14ac:dyDescent="0.35">
      <c r="A7" s="625">
        <v>15</v>
      </c>
      <c r="B7" s="626" t="s">
        <v>430</v>
      </c>
      <c r="C7" s="2101">
        <f>IF(A7="","",A7)</f>
        <v>15</v>
      </c>
      <c r="D7" s="2102"/>
      <c r="E7" s="627">
        <f>IF(A7="","",A7+15)</f>
        <v>30</v>
      </c>
      <c r="F7" s="628" t="s">
        <v>431</v>
      </c>
      <c r="G7" s="2103">
        <f>IF(E7="","",E7)</f>
        <v>30</v>
      </c>
      <c r="H7" s="2104"/>
    </row>
    <row r="8" spans="1:8" ht="15.5" x14ac:dyDescent="0.35">
      <c r="A8" s="625"/>
      <c r="B8" s="626" t="s">
        <v>430</v>
      </c>
      <c r="C8" s="2101">
        <f>IF(C7="","",C7+10)</f>
        <v>25</v>
      </c>
      <c r="D8" s="2102"/>
      <c r="E8" s="627"/>
      <c r="F8" s="628" t="s">
        <v>431</v>
      </c>
      <c r="G8" s="2103">
        <f>IF(G7="","",G7+10)</f>
        <v>40</v>
      </c>
      <c r="H8" s="2104"/>
    </row>
    <row r="9" spans="1:8" ht="15.5" x14ac:dyDescent="0.35">
      <c r="A9" s="625"/>
      <c r="B9" s="626" t="s">
        <v>430</v>
      </c>
      <c r="C9" s="2101">
        <f>IF(C8="","",C8+10)</f>
        <v>35</v>
      </c>
      <c r="D9" s="2102"/>
      <c r="E9" s="627"/>
      <c r="F9" s="628" t="s">
        <v>431</v>
      </c>
      <c r="G9" s="2103">
        <f>IF(G8="","",G8+10)</f>
        <v>50</v>
      </c>
      <c r="H9" s="2104"/>
    </row>
    <row r="10" spans="1:8" ht="15.5" x14ac:dyDescent="0.35">
      <c r="A10" s="625">
        <f>A7+30</f>
        <v>45</v>
      </c>
      <c r="B10" s="626" t="s">
        <v>430</v>
      </c>
      <c r="C10" s="2101">
        <f>IF(A10="","",A10)</f>
        <v>45</v>
      </c>
      <c r="D10" s="2102"/>
      <c r="E10" s="627">
        <f>E7+30</f>
        <v>60</v>
      </c>
      <c r="F10" s="628" t="s">
        <v>431</v>
      </c>
      <c r="G10" s="2103">
        <f>IF(E10="","",E10)</f>
        <v>60</v>
      </c>
      <c r="H10" s="2104"/>
    </row>
    <row r="11" spans="1:8" ht="15.5" x14ac:dyDescent="0.35">
      <c r="A11" s="625"/>
      <c r="B11" s="626" t="s">
        <v>430</v>
      </c>
      <c r="C11" s="2101">
        <f>IF(C10="","",C10+10)</f>
        <v>55</v>
      </c>
      <c r="D11" s="2102"/>
      <c r="E11" s="627"/>
      <c r="F11" s="628" t="s">
        <v>431</v>
      </c>
      <c r="G11" s="2103">
        <f>IF(G10="","",G10+10)</f>
        <v>70</v>
      </c>
      <c r="H11" s="2104"/>
    </row>
    <row r="12" spans="1:8" ht="15.5" x14ac:dyDescent="0.35">
      <c r="A12" s="625"/>
      <c r="B12" s="626" t="s">
        <v>430</v>
      </c>
      <c r="C12" s="2101">
        <f>IF(C11="","",C11+10)</f>
        <v>65</v>
      </c>
      <c r="D12" s="2102"/>
      <c r="E12" s="627"/>
      <c r="F12" s="628" t="s">
        <v>431</v>
      </c>
      <c r="G12" s="2103">
        <f>IF(G11="","",G11+10)</f>
        <v>80</v>
      </c>
      <c r="H12" s="2104"/>
    </row>
    <row r="13" spans="1:8" ht="15.5" x14ac:dyDescent="0.35">
      <c r="A13" s="625">
        <f>A10+30</f>
        <v>75</v>
      </c>
      <c r="B13" s="626" t="s">
        <v>430</v>
      </c>
      <c r="C13" s="2101">
        <f>IF(A13="","",A13)</f>
        <v>75</v>
      </c>
      <c r="D13" s="2102"/>
      <c r="E13" s="627">
        <f>E10+30</f>
        <v>90</v>
      </c>
      <c r="F13" s="628" t="s">
        <v>431</v>
      </c>
      <c r="G13" s="2103">
        <f>IF(E13="","",E13)</f>
        <v>90</v>
      </c>
      <c r="H13" s="2104"/>
    </row>
    <row r="14" spans="1:8" ht="15.5" x14ac:dyDescent="0.35">
      <c r="A14" s="625"/>
      <c r="B14" s="626" t="s">
        <v>430</v>
      </c>
      <c r="C14" s="2101">
        <f>IF(C13="","",C13+10)</f>
        <v>85</v>
      </c>
      <c r="D14" s="2102"/>
      <c r="E14" s="627"/>
      <c r="F14" s="628" t="s">
        <v>431</v>
      </c>
      <c r="G14" s="2103">
        <f>IF(G13="","",G13+10)</f>
        <v>100</v>
      </c>
      <c r="H14" s="2104"/>
    </row>
    <row r="15" spans="1:8" ht="15.5" x14ac:dyDescent="0.35">
      <c r="A15" s="625"/>
      <c r="B15" s="626" t="s">
        <v>430</v>
      </c>
      <c r="C15" s="2101">
        <f>IF(C14="","",C14+10)</f>
        <v>95</v>
      </c>
      <c r="D15" s="2102"/>
      <c r="E15" s="627"/>
      <c r="F15" s="628" t="s">
        <v>431</v>
      </c>
      <c r="G15" s="2103">
        <f>IF(G14="","",G14+10)</f>
        <v>110</v>
      </c>
      <c r="H15" s="2104"/>
    </row>
    <row r="16" spans="1:8" ht="15.5" x14ac:dyDescent="0.35">
      <c r="A16" s="625">
        <f>A13+30</f>
        <v>105</v>
      </c>
      <c r="B16" s="626" t="s">
        <v>430</v>
      </c>
      <c r="C16" s="2101">
        <f>IF(A16="","",A16)</f>
        <v>105</v>
      </c>
      <c r="D16" s="2102"/>
      <c r="E16" s="627">
        <f>E13+30</f>
        <v>120</v>
      </c>
      <c r="F16" s="628" t="s">
        <v>431</v>
      </c>
      <c r="G16" s="2103">
        <f>IF(E16="","",E16)</f>
        <v>120</v>
      </c>
      <c r="H16" s="2104"/>
    </row>
    <row r="17" spans="1:8" ht="15.5" x14ac:dyDescent="0.35">
      <c r="A17" s="625"/>
      <c r="B17" s="626" t="s">
        <v>430</v>
      </c>
      <c r="C17" s="2101">
        <f>IF(C16="","",C16+10)</f>
        <v>115</v>
      </c>
      <c r="D17" s="2102"/>
      <c r="E17" s="627"/>
      <c r="F17" s="628" t="s">
        <v>431</v>
      </c>
      <c r="G17" s="2103">
        <f>IF(G16="","",G16+10)</f>
        <v>130</v>
      </c>
      <c r="H17" s="2104"/>
    </row>
    <row r="18" spans="1:8" ht="15.5" x14ac:dyDescent="0.35">
      <c r="A18" s="625"/>
      <c r="B18" s="626" t="s">
        <v>430</v>
      </c>
      <c r="C18" s="2101">
        <f>IF(C17="","",C17+10)</f>
        <v>125</v>
      </c>
      <c r="D18" s="2102"/>
      <c r="E18" s="627"/>
      <c r="F18" s="628" t="s">
        <v>431</v>
      </c>
      <c r="G18" s="2103">
        <f>IF(G17="","",G17+10)</f>
        <v>140</v>
      </c>
      <c r="H18" s="2104"/>
    </row>
    <row r="19" spans="1:8" ht="15.5" x14ac:dyDescent="0.35">
      <c r="A19" s="625">
        <f>A16+30</f>
        <v>135</v>
      </c>
      <c r="B19" s="626" t="s">
        <v>430</v>
      </c>
      <c r="C19" s="2101">
        <f>IF(A19="","",A19)</f>
        <v>135</v>
      </c>
      <c r="D19" s="2102"/>
      <c r="E19" s="627">
        <f>E16+30</f>
        <v>150</v>
      </c>
      <c r="F19" s="628" t="s">
        <v>431</v>
      </c>
      <c r="G19" s="2103">
        <f>IF(E19="","",E19)</f>
        <v>150</v>
      </c>
      <c r="H19" s="2104"/>
    </row>
    <row r="20" spans="1:8" ht="15.5" x14ac:dyDescent="0.35">
      <c r="A20" s="625"/>
      <c r="B20" s="626" t="s">
        <v>430</v>
      </c>
      <c r="C20" s="2101">
        <f>IF(C19="","",C19+10)</f>
        <v>145</v>
      </c>
      <c r="D20" s="2102"/>
      <c r="E20" s="627"/>
      <c r="F20" s="628" t="s">
        <v>431</v>
      </c>
      <c r="G20" s="2103">
        <f>IF(G19="","",G19+10)</f>
        <v>160</v>
      </c>
      <c r="H20" s="2104"/>
    </row>
    <row r="21" spans="1:8" ht="15.5" x14ac:dyDescent="0.35">
      <c r="A21" s="625"/>
      <c r="B21" s="626" t="s">
        <v>430</v>
      </c>
      <c r="C21" s="2101">
        <f>IF(C20="","",C20+10)</f>
        <v>155</v>
      </c>
      <c r="D21" s="2102"/>
      <c r="E21" s="627"/>
      <c r="F21" s="628" t="s">
        <v>431</v>
      </c>
      <c r="G21" s="2103">
        <f>IF(G20="","",G20+10)</f>
        <v>170</v>
      </c>
      <c r="H21" s="2104"/>
    </row>
    <row r="22" spans="1:8" ht="15.5" x14ac:dyDescent="0.35">
      <c r="A22" s="625">
        <f>A19+30</f>
        <v>165</v>
      </c>
      <c r="B22" s="626" t="s">
        <v>430</v>
      </c>
      <c r="C22" s="2101">
        <f>IF(A22="","",A22)</f>
        <v>165</v>
      </c>
      <c r="D22" s="2102"/>
      <c r="E22" s="627">
        <f>E19+30</f>
        <v>180</v>
      </c>
      <c r="F22" s="628" t="s">
        <v>431</v>
      </c>
      <c r="G22" s="2103">
        <f>IF(E22="","",E22)</f>
        <v>180</v>
      </c>
      <c r="H22" s="2104"/>
    </row>
    <row r="23" spans="1:8" ht="15.5" x14ac:dyDescent="0.35">
      <c r="A23" s="625"/>
      <c r="B23" s="626" t="s">
        <v>430</v>
      </c>
      <c r="C23" s="2101">
        <f>IF(C22="","",C22+10)</f>
        <v>175</v>
      </c>
      <c r="D23" s="2102"/>
      <c r="E23" s="627"/>
      <c r="F23" s="628" t="s">
        <v>431</v>
      </c>
      <c r="G23" s="2103">
        <f>IF(G22="","",G22+10)</f>
        <v>190</v>
      </c>
      <c r="H23" s="2104"/>
    </row>
    <row r="24" spans="1:8" ht="15.5" x14ac:dyDescent="0.35">
      <c r="A24" s="625"/>
      <c r="B24" s="626" t="s">
        <v>430</v>
      </c>
      <c r="C24" s="2101">
        <f>IF(C23="","",C23+10)</f>
        <v>185</v>
      </c>
      <c r="D24" s="2102"/>
      <c r="E24" s="627"/>
      <c r="F24" s="628" t="s">
        <v>431</v>
      </c>
      <c r="G24" s="2103">
        <f>IF(G23="","",G23+10)</f>
        <v>200</v>
      </c>
      <c r="H24" s="2104"/>
    </row>
    <row r="25" spans="1:8" ht="15.5" x14ac:dyDescent="0.35">
      <c r="A25" s="625">
        <f>A22+30</f>
        <v>195</v>
      </c>
      <c r="B25" s="626" t="s">
        <v>430</v>
      </c>
      <c r="C25" s="2101">
        <f>IF(A25="","",A25)</f>
        <v>195</v>
      </c>
      <c r="D25" s="2102"/>
      <c r="E25" s="627">
        <f>E22+30</f>
        <v>210</v>
      </c>
      <c r="F25" s="628" t="s">
        <v>431</v>
      </c>
      <c r="G25" s="2103">
        <f>IF(E25="","",E25)</f>
        <v>210</v>
      </c>
      <c r="H25" s="2104"/>
    </row>
    <row r="26" spans="1:8" ht="15.5" x14ac:dyDescent="0.35">
      <c r="A26" s="625"/>
      <c r="B26" s="626" t="s">
        <v>430</v>
      </c>
      <c r="C26" s="2101">
        <f>IF(C25="","",C25+10)</f>
        <v>205</v>
      </c>
      <c r="D26" s="2102"/>
      <c r="E26" s="627"/>
      <c r="F26" s="628" t="s">
        <v>431</v>
      </c>
      <c r="G26" s="2103">
        <f>IF(G25="","",G25+10)</f>
        <v>220</v>
      </c>
      <c r="H26" s="2104"/>
    </row>
    <row r="27" spans="1:8" ht="15.5" x14ac:dyDescent="0.35">
      <c r="A27" s="625"/>
      <c r="B27" s="626" t="s">
        <v>430</v>
      </c>
      <c r="C27" s="2101">
        <f>IF(C26="","",C26+10)</f>
        <v>215</v>
      </c>
      <c r="D27" s="2102"/>
      <c r="E27" s="627"/>
      <c r="F27" s="628" t="s">
        <v>431</v>
      </c>
      <c r="G27" s="2103">
        <f>IF(G26="","",G26+10)</f>
        <v>230</v>
      </c>
      <c r="H27" s="2104"/>
    </row>
    <row r="28" spans="1:8" ht="15.5" x14ac:dyDescent="0.35">
      <c r="A28" s="625">
        <f>A25+30</f>
        <v>225</v>
      </c>
      <c r="B28" s="626" t="s">
        <v>430</v>
      </c>
      <c r="C28" s="2101">
        <f>IF(A28="","",A28)</f>
        <v>225</v>
      </c>
      <c r="D28" s="2102"/>
      <c r="E28" s="627">
        <f>E25+30</f>
        <v>240</v>
      </c>
      <c r="F28" s="628" t="s">
        <v>431</v>
      </c>
      <c r="G28" s="2103">
        <f>IF(E28="","",E28)</f>
        <v>240</v>
      </c>
      <c r="H28" s="2104"/>
    </row>
    <row r="29" spans="1:8" ht="15.5" x14ac:dyDescent="0.35">
      <c r="A29" s="625"/>
      <c r="B29" s="626" t="s">
        <v>430</v>
      </c>
      <c r="C29" s="2101">
        <f>IF(C28="","",C28+10)</f>
        <v>235</v>
      </c>
      <c r="D29" s="2102"/>
      <c r="E29" s="627"/>
      <c r="F29" s="628" t="s">
        <v>431</v>
      </c>
      <c r="G29" s="2103">
        <f>IF(G28="","",G28+10)</f>
        <v>250</v>
      </c>
      <c r="H29" s="2104"/>
    </row>
    <row r="30" spans="1:8" ht="15.5" x14ac:dyDescent="0.35">
      <c r="A30" s="625"/>
      <c r="B30" s="626" t="s">
        <v>430</v>
      </c>
      <c r="C30" s="2101">
        <f>IF(C29="","",C29+10)</f>
        <v>245</v>
      </c>
      <c r="D30" s="2102"/>
      <c r="E30" s="627"/>
      <c r="F30" s="628" t="s">
        <v>431</v>
      </c>
      <c r="G30" s="2103">
        <f>IF(G29="","",G29+10)</f>
        <v>260</v>
      </c>
      <c r="H30" s="2104"/>
    </row>
    <row r="31" spans="1:8" ht="15.5" x14ac:dyDescent="0.35">
      <c r="A31" s="625">
        <f>A28+30</f>
        <v>255</v>
      </c>
      <c r="B31" s="626" t="s">
        <v>430</v>
      </c>
      <c r="C31" s="2101">
        <f>IF(A31="","",A31)</f>
        <v>255</v>
      </c>
      <c r="D31" s="2102"/>
      <c r="E31" s="627">
        <f>E28+30</f>
        <v>270</v>
      </c>
      <c r="F31" s="628" t="s">
        <v>431</v>
      </c>
      <c r="G31" s="2103">
        <f>IF(E31="","",E31)</f>
        <v>270</v>
      </c>
      <c r="H31" s="2104"/>
    </row>
    <row r="32" spans="1:8" ht="15.5" x14ac:dyDescent="0.35">
      <c r="A32" s="625"/>
      <c r="B32" s="626" t="s">
        <v>430</v>
      </c>
      <c r="C32" s="2101">
        <f>IF(C31="","",C31+10)</f>
        <v>265</v>
      </c>
      <c r="D32" s="2102"/>
      <c r="E32" s="627"/>
      <c r="F32" s="628" t="s">
        <v>431</v>
      </c>
      <c r="G32" s="2103">
        <f>IF(G31="","",G31+10)</f>
        <v>280</v>
      </c>
      <c r="H32" s="2104"/>
    </row>
    <row r="33" spans="1:8" ht="15.5" x14ac:dyDescent="0.35">
      <c r="A33" s="625"/>
      <c r="B33" s="626" t="s">
        <v>430</v>
      </c>
      <c r="C33" s="2101">
        <f>IF(C32="","",C32+10)</f>
        <v>275</v>
      </c>
      <c r="D33" s="2102"/>
      <c r="E33" s="627"/>
      <c r="F33" s="628" t="s">
        <v>431</v>
      </c>
      <c r="G33" s="2103">
        <f>IF(G32="","",G32+10)</f>
        <v>290</v>
      </c>
      <c r="H33" s="2104"/>
    </row>
    <row r="34" spans="1:8" ht="15.5" x14ac:dyDescent="0.35">
      <c r="A34" s="625">
        <f>A31+30</f>
        <v>285</v>
      </c>
      <c r="B34" s="626" t="s">
        <v>430</v>
      </c>
      <c r="C34" s="2101">
        <f>IF(A34="","",A34)</f>
        <v>285</v>
      </c>
      <c r="D34" s="2102"/>
      <c r="E34" s="627">
        <f>E31+30</f>
        <v>300</v>
      </c>
      <c r="F34" s="628" t="s">
        <v>431</v>
      </c>
      <c r="G34" s="2103">
        <f>IF(E34="","",E34)</f>
        <v>300</v>
      </c>
      <c r="H34" s="2104"/>
    </row>
    <row r="35" spans="1:8" ht="15.5" x14ac:dyDescent="0.35">
      <c r="A35" s="625"/>
      <c r="B35" s="626" t="s">
        <v>430</v>
      </c>
      <c r="C35" s="2101">
        <f>IF(C34="","",C34+10)</f>
        <v>295</v>
      </c>
      <c r="D35" s="2102"/>
      <c r="E35" s="627"/>
      <c r="F35" s="628" t="s">
        <v>431</v>
      </c>
      <c r="G35" s="2103">
        <f>IF(G34="","",G34+10)</f>
        <v>310</v>
      </c>
      <c r="H35" s="2104"/>
    </row>
    <row r="36" spans="1:8" ht="15.5" x14ac:dyDescent="0.35">
      <c r="A36" s="625"/>
      <c r="B36" s="626" t="s">
        <v>430</v>
      </c>
      <c r="C36" s="2101">
        <f>IF(C35="","",C35+10)</f>
        <v>305</v>
      </c>
      <c r="D36" s="2102"/>
      <c r="E36" s="627"/>
      <c r="F36" s="628" t="s">
        <v>431</v>
      </c>
      <c r="G36" s="2103">
        <f>IF(G35="","",G35+10)</f>
        <v>320</v>
      </c>
      <c r="H36" s="2104"/>
    </row>
    <row r="37" spans="1:8" ht="15.5" x14ac:dyDescent="0.35">
      <c r="A37" s="625">
        <f>A34+30</f>
        <v>315</v>
      </c>
      <c r="B37" s="626" t="s">
        <v>430</v>
      </c>
      <c r="C37" s="2101">
        <f>IF(A37="","",A37)</f>
        <v>315</v>
      </c>
      <c r="D37" s="2102"/>
      <c r="E37" s="627">
        <f>E34+30</f>
        <v>330</v>
      </c>
      <c r="F37" s="628" t="s">
        <v>431</v>
      </c>
      <c r="G37" s="2103">
        <f>IF(E37="","",E37)</f>
        <v>330</v>
      </c>
      <c r="H37" s="2104"/>
    </row>
    <row r="38" spans="1:8" ht="15.5" x14ac:dyDescent="0.35">
      <c r="A38" s="625"/>
      <c r="B38" s="626" t="s">
        <v>430</v>
      </c>
      <c r="C38" s="2101">
        <f>IF(C37="","",C37+10)</f>
        <v>325</v>
      </c>
      <c r="D38" s="2102"/>
      <c r="E38" s="627"/>
      <c r="F38" s="628" t="s">
        <v>431</v>
      </c>
      <c r="G38" s="2103">
        <f>IF(G37="","",G37+10)</f>
        <v>340</v>
      </c>
      <c r="H38" s="2104"/>
    </row>
    <row r="39" spans="1:8" ht="15.5" x14ac:dyDescent="0.35">
      <c r="A39" s="625"/>
      <c r="B39" s="626" t="s">
        <v>430</v>
      </c>
      <c r="C39" s="2101">
        <f>IF(C38="","",C38+10)</f>
        <v>335</v>
      </c>
      <c r="D39" s="2102"/>
      <c r="E39" s="627"/>
      <c r="F39" s="628" t="s">
        <v>431</v>
      </c>
      <c r="G39" s="2103">
        <f>IF(G38="","",G38+10)</f>
        <v>350</v>
      </c>
      <c r="H39" s="2104"/>
    </row>
    <row r="40" spans="1:8" ht="15.5" x14ac:dyDescent="0.35">
      <c r="A40" s="625">
        <f>A37+30</f>
        <v>345</v>
      </c>
      <c r="B40" s="626" t="s">
        <v>430</v>
      </c>
      <c r="C40" s="2101">
        <f>IF(A40="","",A40)</f>
        <v>345</v>
      </c>
      <c r="D40" s="2102"/>
      <c r="E40" s="627">
        <f>E37+30</f>
        <v>360</v>
      </c>
      <c r="F40" s="628" t="s">
        <v>431</v>
      </c>
      <c r="G40" s="2103">
        <f>IF(E40="","",E40)</f>
        <v>360</v>
      </c>
      <c r="H40" s="2104"/>
    </row>
    <row r="41" spans="1:8" ht="15.5" x14ac:dyDescent="0.35">
      <c r="A41" s="625"/>
      <c r="B41" s="626" t="s">
        <v>430</v>
      </c>
      <c r="C41" s="2101">
        <f>IF(C40="","",C40+10)</f>
        <v>355</v>
      </c>
      <c r="D41" s="2102"/>
      <c r="E41" s="627"/>
      <c r="F41" s="628" t="s">
        <v>431</v>
      </c>
      <c r="G41" s="2103">
        <f>IF(G40="","",G40+10)</f>
        <v>370</v>
      </c>
      <c r="H41" s="2104"/>
    </row>
    <row r="42" spans="1:8" ht="15.5" x14ac:dyDescent="0.35">
      <c r="A42" s="625"/>
      <c r="B42" s="626" t="s">
        <v>430</v>
      </c>
      <c r="C42" s="2101">
        <f>IF(C41="","",C41+10)</f>
        <v>365</v>
      </c>
      <c r="D42" s="2102"/>
      <c r="E42" s="627"/>
      <c r="F42" s="628" t="s">
        <v>431</v>
      </c>
      <c r="G42" s="2103">
        <f>IF(G41="","",G41+10)</f>
        <v>380</v>
      </c>
      <c r="H42" s="2104"/>
    </row>
    <row r="43" spans="1:8" ht="15.5" x14ac:dyDescent="0.35">
      <c r="A43" s="625">
        <f>A40+30</f>
        <v>375</v>
      </c>
      <c r="B43" s="626" t="s">
        <v>430</v>
      </c>
      <c r="C43" s="2101">
        <f>IF(A43="","",A43)</f>
        <v>375</v>
      </c>
      <c r="D43" s="2102"/>
      <c r="E43" s="627">
        <f>E40+30</f>
        <v>390</v>
      </c>
      <c r="F43" s="628" t="s">
        <v>431</v>
      </c>
      <c r="G43" s="2103">
        <f>IF(E43="","",E43)</f>
        <v>390</v>
      </c>
      <c r="H43" s="2104"/>
    </row>
    <row r="44" spans="1:8" ht="15.5" x14ac:dyDescent="0.35">
      <c r="A44" s="625"/>
      <c r="B44" s="626" t="s">
        <v>430</v>
      </c>
      <c r="C44" s="2101">
        <f>IF(C43="","",C43+10)</f>
        <v>385</v>
      </c>
      <c r="D44" s="2102"/>
      <c r="E44" s="627"/>
      <c r="F44" s="628" t="s">
        <v>431</v>
      </c>
      <c r="G44" s="2103">
        <f>IF(G43="","",G43+10)</f>
        <v>400</v>
      </c>
      <c r="H44" s="2104"/>
    </row>
    <row r="45" spans="1:8" ht="15.5" x14ac:dyDescent="0.35">
      <c r="A45" s="625"/>
      <c r="B45" s="626" t="s">
        <v>430</v>
      </c>
      <c r="C45" s="2101">
        <f>IF(C44="","",C44+10)</f>
        <v>395</v>
      </c>
      <c r="D45" s="2102"/>
      <c r="E45" s="627"/>
      <c r="F45" s="628" t="s">
        <v>431</v>
      </c>
      <c r="G45" s="2103">
        <f>IF(G44="","",G44+10)</f>
        <v>410</v>
      </c>
      <c r="H45" s="2104"/>
    </row>
    <row r="46" spans="1:8" ht="15.5" x14ac:dyDescent="0.35">
      <c r="A46" s="625">
        <f>A43+30</f>
        <v>405</v>
      </c>
      <c r="B46" s="626" t="s">
        <v>430</v>
      </c>
      <c r="C46" s="2101">
        <f>IF(A46="","",A46)</f>
        <v>405</v>
      </c>
      <c r="D46" s="2102"/>
      <c r="E46" s="627">
        <f>E43+30</f>
        <v>420</v>
      </c>
      <c r="F46" s="628" t="s">
        <v>431</v>
      </c>
      <c r="G46" s="2103">
        <f>IF(E46="","",E46)</f>
        <v>420</v>
      </c>
      <c r="H46" s="2104"/>
    </row>
    <row r="47" spans="1:8" ht="15.5" x14ac:dyDescent="0.35">
      <c r="A47" s="625"/>
      <c r="B47" s="626" t="s">
        <v>430</v>
      </c>
      <c r="C47" s="2101">
        <f>IF(C46="","",C46+10)</f>
        <v>415</v>
      </c>
      <c r="D47" s="2102"/>
      <c r="E47" s="627"/>
      <c r="F47" s="628" t="s">
        <v>431</v>
      </c>
      <c r="G47" s="2103">
        <f>IF(G46="","",G46+10)</f>
        <v>430</v>
      </c>
      <c r="H47" s="2104"/>
    </row>
    <row r="48" spans="1:8" ht="15.5" x14ac:dyDescent="0.35">
      <c r="A48" s="625"/>
      <c r="B48" s="626" t="s">
        <v>430</v>
      </c>
      <c r="C48" s="2101">
        <f>IF(C47="","",C47+10)</f>
        <v>425</v>
      </c>
      <c r="D48" s="2102"/>
      <c r="E48" s="627"/>
      <c r="F48" s="628" t="s">
        <v>431</v>
      </c>
      <c r="G48" s="2103">
        <f>IF(G47="","",G47+10)</f>
        <v>440</v>
      </c>
      <c r="H48" s="2104"/>
    </row>
    <row r="49" spans="1:8" ht="15.5" x14ac:dyDescent="0.35">
      <c r="A49" s="625">
        <f>A46+30</f>
        <v>435</v>
      </c>
      <c r="B49" s="626" t="s">
        <v>430</v>
      </c>
      <c r="C49" s="2101">
        <f>IF(A49="","",A49)</f>
        <v>435</v>
      </c>
      <c r="D49" s="2102"/>
      <c r="E49" s="627">
        <f>E46+30</f>
        <v>450</v>
      </c>
      <c r="F49" s="628" t="s">
        <v>431</v>
      </c>
      <c r="G49" s="2103">
        <f>IF(E49="","",E49)</f>
        <v>450</v>
      </c>
      <c r="H49" s="2104"/>
    </row>
    <row r="50" spans="1:8" ht="15.5" x14ac:dyDescent="0.35">
      <c r="A50" s="625"/>
      <c r="B50" s="626" t="s">
        <v>430</v>
      </c>
      <c r="C50" s="2101">
        <f>IF(C49="","",C49+10)</f>
        <v>445</v>
      </c>
      <c r="D50" s="2102"/>
      <c r="E50" s="627"/>
      <c r="F50" s="628" t="s">
        <v>431</v>
      </c>
      <c r="G50" s="2103">
        <f>IF(G49="","",G49+10)</f>
        <v>460</v>
      </c>
      <c r="H50" s="2104"/>
    </row>
    <row r="51" spans="1:8" ht="15.5" x14ac:dyDescent="0.35">
      <c r="A51" s="625"/>
      <c r="B51" s="626" t="s">
        <v>430</v>
      </c>
      <c r="C51" s="2101">
        <f>IF(C50="","",C50+10)</f>
        <v>455</v>
      </c>
      <c r="D51" s="2102"/>
      <c r="E51" s="627"/>
      <c r="F51" s="628" t="s">
        <v>431</v>
      </c>
      <c r="G51" s="2103">
        <f>IF(G50="","",G50+10)</f>
        <v>470</v>
      </c>
      <c r="H51" s="2104"/>
    </row>
    <row r="52" spans="1:8" ht="15.5" x14ac:dyDescent="0.35">
      <c r="A52" s="625">
        <f>A49+30</f>
        <v>465</v>
      </c>
      <c r="B52" s="626" t="s">
        <v>430</v>
      </c>
      <c r="C52" s="2101">
        <f>IF(A52="","",A52)</f>
        <v>465</v>
      </c>
      <c r="D52" s="2102"/>
      <c r="E52" s="627">
        <f>E49+30</f>
        <v>480</v>
      </c>
      <c r="F52" s="628" t="s">
        <v>431</v>
      </c>
      <c r="G52" s="2103">
        <f>IF(E52="","",E52)</f>
        <v>480</v>
      </c>
      <c r="H52" s="2104"/>
    </row>
    <row r="53" spans="1:8" ht="15.5" x14ac:dyDescent="0.35">
      <c r="A53" s="625"/>
      <c r="B53" s="626" t="s">
        <v>430</v>
      </c>
      <c r="C53" s="2101">
        <f>IF(C52="","",C52+10)</f>
        <v>475</v>
      </c>
      <c r="D53" s="2102"/>
      <c r="E53" s="627"/>
      <c r="F53" s="628" t="s">
        <v>431</v>
      </c>
      <c r="G53" s="2103">
        <f>IF(G52="","",G52+10)</f>
        <v>490</v>
      </c>
      <c r="H53" s="2104"/>
    </row>
    <row r="54" spans="1:8" ht="15.5" x14ac:dyDescent="0.35">
      <c r="A54" s="625"/>
      <c r="B54" s="626" t="s">
        <v>430</v>
      </c>
      <c r="C54" s="2101">
        <f>IF(C53="","",C53+10)</f>
        <v>485</v>
      </c>
      <c r="D54" s="2102"/>
      <c r="E54" s="627"/>
      <c r="F54" s="628" t="s">
        <v>431</v>
      </c>
      <c r="G54" s="2103">
        <f>IF(G53="","",G53+10)</f>
        <v>500</v>
      </c>
      <c r="H54" s="2104"/>
    </row>
    <row r="55" spans="1:8" ht="15.5" x14ac:dyDescent="0.35">
      <c r="A55" s="625">
        <f>A52+30</f>
        <v>495</v>
      </c>
      <c r="B55" s="626" t="s">
        <v>430</v>
      </c>
      <c r="C55" s="2101">
        <f>IF(A55="","",A55)</f>
        <v>495</v>
      </c>
      <c r="D55" s="2102"/>
      <c r="E55" s="627">
        <f>E52+30</f>
        <v>510</v>
      </c>
      <c r="F55" s="628" t="s">
        <v>431</v>
      </c>
      <c r="G55" s="2103">
        <f>IF(E55="","",E55)</f>
        <v>510</v>
      </c>
      <c r="H55" s="2104"/>
    </row>
    <row r="56" spans="1:8" ht="15.5" x14ac:dyDescent="0.35">
      <c r="A56" s="625"/>
      <c r="B56" s="626" t="s">
        <v>430</v>
      </c>
      <c r="C56" s="2101">
        <f>IF(C55="","",C55+10)</f>
        <v>505</v>
      </c>
      <c r="D56" s="2102"/>
      <c r="E56" s="627"/>
      <c r="F56" s="628" t="s">
        <v>431</v>
      </c>
      <c r="G56" s="2103">
        <f>IF(G55="","",G55+10)</f>
        <v>520</v>
      </c>
      <c r="H56" s="2104"/>
    </row>
    <row r="57" spans="1:8" ht="15.5" x14ac:dyDescent="0.35">
      <c r="A57" s="625"/>
      <c r="B57" s="626" t="s">
        <v>430</v>
      </c>
      <c r="C57" s="2101">
        <f>IF(C56="","",C56+10)</f>
        <v>515</v>
      </c>
      <c r="D57" s="2102"/>
      <c r="E57" s="627"/>
      <c r="F57" s="628" t="s">
        <v>431</v>
      </c>
      <c r="G57" s="2103">
        <f>IF(G56="","",G56+10)</f>
        <v>530</v>
      </c>
      <c r="H57" s="2104"/>
    </row>
    <row r="58" spans="1:8" ht="15.5" x14ac:dyDescent="0.35">
      <c r="A58" s="625">
        <f>A55+30</f>
        <v>525</v>
      </c>
      <c r="B58" s="626" t="s">
        <v>430</v>
      </c>
      <c r="C58" s="2101">
        <f>IF(A58="","",A58)</f>
        <v>525</v>
      </c>
      <c r="D58" s="2102"/>
      <c r="E58" s="627">
        <f>E55+30</f>
        <v>540</v>
      </c>
      <c r="F58" s="628" t="s">
        <v>431</v>
      </c>
      <c r="G58" s="2103">
        <f>IF(E58="","",E58)</f>
        <v>540</v>
      </c>
      <c r="H58" s="2104"/>
    </row>
    <row r="59" spans="1:8" ht="15.5" x14ac:dyDescent="0.35">
      <c r="A59" s="625"/>
      <c r="B59" s="626" t="s">
        <v>430</v>
      </c>
      <c r="C59" s="2101">
        <f>IF(C58="","",C58+10)</f>
        <v>535</v>
      </c>
      <c r="D59" s="2102"/>
      <c r="E59" s="627"/>
      <c r="F59" s="628" t="s">
        <v>431</v>
      </c>
      <c r="G59" s="2103">
        <f>IF(G58="","",G58+10)</f>
        <v>550</v>
      </c>
      <c r="H59" s="2104"/>
    </row>
    <row r="60" spans="1:8" ht="15.5" x14ac:dyDescent="0.35">
      <c r="A60" s="625"/>
      <c r="B60" s="626" t="s">
        <v>430</v>
      </c>
      <c r="C60" s="2101">
        <f>IF(C59="","",C59+10)</f>
        <v>545</v>
      </c>
      <c r="D60" s="2102"/>
      <c r="E60" s="627"/>
      <c r="F60" s="628" t="s">
        <v>431</v>
      </c>
      <c r="G60" s="2103">
        <f>IF(G59="","",G59+10)</f>
        <v>560</v>
      </c>
      <c r="H60" s="2104"/>
    </row>
    <row r="61" spans="1:8" ht="15.5" x14ac:dyDescent="0.35">
      <c r="A61" s="625">
        <f>A58+30</f>
        <v>555</v>
      </c>
      <c r="B61" s="626" t="s">
        <v>430</v>
      </c>
      <c r="C61" s="2101">
        <f>IF(A61="","",A61)</f>
        <v>555</v>
      </c>
      <c r="D61" s="2102"/>
      <c r="E61" s="627">
        <f>E58+30</f>
        <v>570</v>
      </c>
      <c r="F61" s="628" t="s">
        <v>431</v>
      </c>
      <c r="G61" s="2103">
        <f>IF(E61="","",E61)</f>
        <v>570</v>
      </c>
      <c r="H61" s="2104"/>
    </row>
    <row r="62" spans="1:8" ht="15.5" x14ac:dyDescent="0.35">
      <c r="A62" s="625"/>
      <c r="B62" s="626" t="s">
        <v>430</v>
      </c>
      <c r="C62" s="2101">
        <f>IF(C61="","",C61+10)</f>
        <v>565</v>
      </c>
      <c r="D62" s="2102"/>
      <c r="E62" s="627"/>
      <c r="F62" s="628" t="s">
        <v>431</v>
      </c>
      <c r="G62" s="2103">
        <f>IF(G61="","",G61+10)</f>
        <v>580</v>
      </c>
      <c r="H62" s="2104"/>
    </row>
    <row r="63" spans="1:8" ht="15.5" x14ac:dyDescent="0.35">
      <c r="A63" s="625"/>
      <c r="B63" s="626" t="s">
        <v>430</v>
      </c>
      <c r="C63" s="2101">
        <f>IF(C62="","",C62+10)</f>
        <v>575</v>
      </c>
      <c r="D63" s="2102"/>
      <c r="E63" s="627"/>
      <c r="F63" s="628" t="s">
        <v>431</v>
      </c>
      <c r="G63" s="2103">
        <f>IF(G62="","",G62+10)</f>
        <v>590</v>
      </c>
      <c r="H63" s="2104"/>
    </row>
    <row r="64" spans="1:8" ht="15.5" x14ac:dyDescent="0.35">
      <c r="A64" s="625">
        <f>A61+30</f>
        <v>585</v>
      </c>
      <c r="B64" s="626" t="s">
        <v>430</v>
      </c>
      <c r="C64" s="2101">
        <f>IF(A64="","",A64)</f>
        <v>585</v>
      </c>
      <c r="D64" s="2102"/>
      <c r="E64" s="627">
        <f>E61+30</f>
        <v>600</v>
      </c>
      <c r="F64" s="628" t="s">
        <v>431</v>
      </c>
      <c r="G64" s="2103">
        <f>IF(E64="","",E64)</f>
        <v>600</v>
      </c>
      <c r="H64" s="2104"/>
    </row>
    <row r="65" spans="1:8" ht="15.5" x14ac:dyDescent="0.35">
      <c r="A65" s="625"/>
      <c r="B65" s="626" t="s">
        <v>430</v>
      </c>
      <c r="C65" s="2101">
        <f>IF(C64="","",C64+10)</f>
        <v>595</v>
      </c>
      <c r="D65" s="2102"/>
      <c r="E65" s="627"/>
      <c r="F65" s="628" t="s">
        <v>431</v>
      </c>
      <c r="G65" s="2103">
        <f>IF(G64="","",G64+10)</f>
        <v>610</v>
      </c>
      <c r="H65" s="2104"/>
    </row>
    <row r="66" spans="1:8" ht="15.5" x14ac:dyDescent="0.35">
      <c r="A66" s="625"/>
      <c r="B66" s="626" t="s">
        <v>430</v>
      </c>
      <c r="C66" s="2101">
        <f>IF(C65="","",C65+10)</f>
        <v>605</v>
      </c>
      <c r="D66" s="2102"/>
      <c r="E66" s="627"/>
      <c r="F66" s="628" t="s">
        <v>431</v>
      </c>
      <c r="G66" s="2103">
        <f>IF(G65="","",G65+10)</f>
        <v>620</v>
      </c>
      <c r="H66" s="2104"/>
    </row>
    <row r="67" spans="1:8" ht="15.5" x14ac:dyDescent="0.35">
      <c r="A67" s="625">
        <f>A64+30</f>
        <v>615</v>
      </c>
      <c r="B67" s="626" t="s">
        <v>430</v>
      </c>
      <c r="C67" s="2101">
        <f>IF(A67="","",A67)</f>
        <v>615</v>
      </c>
      <c r="D67" s="2102"/>
      <c r="E67" s="627">
        <f>E64+30</f>
        <v>630</v>
      </c>
      <c r="F67" s="628" t="s">
        <v>431</v>
      </c>
      <c r="G67" s="2103">
        <f>IF(E67="","",E67)</f>
        <v>630</v>
      </c>
      <c r="H67" s="2104"/>
    </row>
    <row r="68" spans="1:8" ht="15.5" x14ac:dyDescent="0.35">
      <c r="A68" s="625"/>
      <c r="B68" s="626" t="s">
        <v>430</v>
      </c>
      <c r="C68" s="2101">
        <f>IF(C67="","",C67+10)</f>
        <v>625</v>
      </c>
      <c r="D68" s="2102"/>
      <c r="E68" s="627"/>
      <c r="F68" s="628" t="s">
        <v>431</v>
      </c>
      <c r="G68" s="2103">
        <f>IF(G67="","",G67+10)</f>
        <v>640</v>
      </c>
      <c r="H68" s="2104"/>
    </row>
    <row r="69" spans="1:8" ht="15.5" x14ac:dyDescent="0.35">
      <c r="A69" s="625"/>
      <c r="B69" s="626" t="s">
        <v>430</v>
      </c>
      <c r="C69" s="2101">
        <f>IF(C68="","",C68+10)</f>
        <v>635</v>
      </c>
      <c r="D69" s="2102"/>
      <c r="E69" s="627"/>
      <c r="F69" s="628" t="s">
        <v>431</v>
      </c>
      <c r="G69" s="2103">
        <f>IF(G68="","",G68+10)</f>
        <v>650</v>
      </c>
      <c r="H69" s="2104"/>
    </row>
    <row r="70" spans="1:8" ht="15.5" x14ac:dyDescent="0.35">
      <c r="A70" s="625">
        <f>A67+30</f>
        <v>645</v>
      </c>
      <c r="B70" s="626" t="s">
        <v>430</v>
      </c>
      <c r="C70" s="2101">
        <f>IF(A70="","",A70)</f>
        <v>645</v>
      </c>
      <c r="D70" s="2102"/>
      <c r="E70" s="627">
        <f>E67+30</f>
        <v>660</v>
      </c>
      <c r="F70" s="628" t="s">
        <v>431</v>
      </c>
      <c r="G70" s="2103">
        <f>IF(E70="","",E70)</f>
        <v>660</v>
      </c>
      <c r="H70" s="2104"/>
    </row>
    <row r="71" spans="1:8" ht="15.5" x14ac:dyDescent="0.35">
      <c r="A71" s="625"/>
      <c r="B71" s="626" t="s">
        <v>430</v>
      </c>
      <c r="C71" s="2101">
        <f>IF(C70="","",C70+10)</f>
        <v>655</v>
      </c>
      <c r="D71" s="2102"/>
      <c r="E71" s="627"/>
      <c r="F71" s="628" t="s">
        <v>431</v>
      </c>
      <c r="G71" s="2103">
        <f>IF(G70="","",G70+10)</f>
        <v>670</v>
      </c>
      <c r="H71" s="2104"/>
    </row>
    <row r="72" spans="1:8" ht="15.5" x14ac:dyDescent="0.35">
      <c r="A72" s="625"/>
      <c r="B72" s="626" t="s">
        <v>430</v>
      </c>
      <c r="C72" s="2101">
        <f>IF(C71="","",C71+10)</f>
        <v>665</v>
      </c>
      <c r="D72" s="2102"/>
      <c r="E72" s="627"/>
      <c r="F72" s="628" t="s">
        <v>431</v>
      </c>
      <c r="G72" s="2103">
        <f>IF(G71="","",G71+10)</f>
        <v>680</v>
      </c>
      <c r="H72" s="2104"/>
    </row>
    <row r="73" spans="1:8" ht="15.5" x14ac:dyDescent="0.35">
      <c r="A73" s="625">
        <f>A70+30</f>
        <v>675</v>
      </c>
      <c r="B73" s="626" t="s">
        <v>430</v>
      </c>
      <c r="C73" s="2101">
        <f>IF(A73="","",A73)</f>
        <v>675</v>
      </c>
      <c r="D73" s="2102"/>
      <c r="E73" s="627">
        <f>E70+30</f>
        <v>690</v>
      </c>
      <c r="F73" s="628" t="s">
        <v>431</v>
      </c>
      <c r="G73" s="2103">
        <f>IF(E73="","",E73)</f>
        <v>690</v>
      </c>
      <c r="H73" s="2104"/>
    </row>
    <row r="74" spans="1:8" ht="15.5" x14ac:dyDescent="0.35">
      <c r="A74" s="625"/>
      <c r="B74" s="626" t="s">
        <v>430</v>
      </c>
      <c r="C74" s="2101">
        <f>IF(C73="","",C73+10)</f>
        <v>685</v>
      </c>
      <c r="D74" s="2102"/>
      <c r="E74" s="627"/>
      <c r="F74" s="628" t="s">
        <v>431</v>
      </c>
      <c r="G74" s="2103">
        <f>IF(G73="","",G73+10)</f>
        <v>700</v>
      </c>
      <c r="H74" s="2104"/>
    </row>
    <row r="75" spans="1:8" ht="15.5" x14ac:dyDescent="0.35">
      <c r="A75" s="625"/>
      <c r="B75" s="626" t="s">
        <v>430</v>
      </c>
      <c r="C75" s="2101">
        <f>IF(C74="","",C74+10)</f>
        <v>695</v>
      </c>
      <c r="D75" s="2102"/>
      <c r="E75" s="627"/>
      <c r="F75" s="628" t="s">
        <v>431</v>
      </c>
      <c r="G75" s="2103">
        <f>IF(G74="","",G74+10)</f>
        <v>710</v>
      </c>
      <c r="H75" s="2104"/>
    </row>
    <row r="76" spans="1:8" ht="15.5" x14ac:dyDescent="0.35">
      <c r="A76" s="625">
        <f>A73+30</f>
        <v>705</v>
      </c>
      <c r="B76" s="626" t="s">
        <v>430</v>
      </c>
      <c r="C76" s="2101">
        <f>IF(A76="","",A76)</f>
        <v>705</v>
      </c>
      <c r="D76" s="2102"/>
      <c r="E76" s="627">
        <f>E73+30</f>
        <v>720</v>
      </c>
      <c r="F76" s="628" t="s">
        <v>431</v>
      </c>
      <c r="G76" s="2103">
        <f>IF(E76="","",E76)</f>
        <v>720</v>
      </c>
      <c r="H76" s="2104"/>
    </row>
    <row r="77" spans="1:8" ht="15.5" x14ac:dyDescent="0.35">
      <c r="A77" s="625"/>
      <c r="B77" s="626" t="s">
        <v>430</v>
      </c>
      <c r="C77" s="2101">
        <f>IF(C76="","",C76+10)</f>
        <v>715</v>
      </c>
      <c r="D77" s="2102"/>
      <c r="E77" s="627"/>
      <c r="F77" s="628" t="s">
        <v>431</v>
      </c>
      <c r="G77" s="2103">
        <f>IF(G76="","",G76+10)</f>
        <v>730</v>
      </c>
      <c r="H77" s="2104"/>
    </row>
    <row r="78" spans="1:8" ht="15.5" x14ac:dyDescent="0.35">
      <c r="A78" s="625"/>
      <c r="B78" s="626" t="s">
        <v>430</v>
      </c>
      <c r="C78" s="2101">
        <f>IF(C77="","",C77+10)</f>
        <v>725</v>
      </c>
      <c r="D78" s="2102"/>
      <c r="E78" s="627"/>
      <c r="F78" s="628" t="s">
        <v>431</v>
      </c>
      <c r="G78" s="2103">
        <f>IF(G77="","",G77+10)</f>
        <v>740</v>
      </c>
      <c r="H78" s="2104"/>
    </row>
    <row r="79" spans="1:8" ht="15.5" x14ac:dyDescent="0.35">
      <c r="A79" s="625">
        <f>A76+30</f>
        <v>735</v>
      </c>
      <c r="B79" s="626" t="s">
        <v>430</v>
      </c>
      <c r="C79" s="2101">
        <f>IF(A79="","",A79)</f>
        <v>735</v>
      </c>
      <c r="D79" s="2102"/>
      <c r="E79" s="627">
        <f>E76+30</f>
        <v>750</v>
      </c>
      <c r="F79" s="628" t="s">
        <v>431</v>
      </c>
      <c r="G79" s="2103">
        <f>IF(E79="","",E79)</f>
        <v>750</v>
      </c>
      <c r="H79" s="2104"/>
    </row>
    <row r="80" spans="1:8" ht="15.5" x14ac:dyDescent="0.35">
      <c r="A80" s="625"/>
      <c r="B80" s="626" t="s">
        <v>430</v>
      </c>
      <c r="C80" s="2101">
        <f>IF(C79="","",C79+10)</f>
        <v>745</v>
      </c>
      <c r="D80" s="2102"/>
      <c r="E80" s="627"/>
      <c r="F80" s="628" t="s">
        <v>431</v>
      </c>
      <c r="G80" s="2103">
        <f>IF(G79="","",G79+10)</f>
        <v>760</v>
      </c>
      <c r="H80" s="2104"/>
    </row>
    <row r="81" spans="1:8" ht="15.5" x14ac:dyDescent="0.35">
      <c r="A81" s="625"/>
      <c r="B81" s="626" t="s">
        <v>430</v>
      </c>
      <c r="C81" s="2101">
        <f>IF(C80="","",C80+10)</f>
        <v>755</v>
      </c>
      <c r="D81" s="2102"/>
      <c r="E81" s="627"/>
      <c r="F81" s="628" t="s">
        <v>431</v>
      </c>
      <c r="G81" s="2103">
        <f>IF(G80="","",G80+10)</f>
        <v>770</v>
      </c>
      <c r="H81" s="2104"/>
    </row>
    <row r="82" spans="1:8" ht="15.5" x14ac:dyDescent="0.35">
      <c r="A82" s="625">
        <f>A79+30</f>
        <v>765</v>
      </c>
      <c r="B82" s="626" t="s">
        <v>430</v>
      </c>
      <c r="C82" s="2101">
        <f>IF(A82="","",A82)</f>
        <v>765</v>
      </c>
      <c r="D82" s="2102"/>
      <c r="E82" s="627">
        <f>E79+30</f>
        <v>780</v>
      </c>
      <c r="F82" s="628" t="s">
        <v>431</v>
      </c>
      <c r="G82" s="2103">
        <f>IF(E82="","",E82)</f>
        <v>780</v>
      </c>
      <c r="H82" s="2104"/>
    </row>
    <row r="83" spans="1:8" ht="15.5" x14ac:dyDescent="0.35">
      <c r="A83" s="625"/>
      <c r="B83" s="626" t="s">
        <v>430</v>
      </c>
      <c r="C83" s="2101">
        <f>IF(C82="","",C82+10)</f>
        <v>775</v>
      </c>
      <c r="D83" s="2102"/>
      <c r="E83" s="627"/>
      <c r="F83" s="628" t="s">
        <v>431</v>
      </c>
      <c r="G83" s="2103">
        <f>IF(G82="","",G82+10)</f>
        <v>790</v>
      </c>
      <c r="H83" s="2104"/>
    </row>
    <row r="84" spans="1:8" ht="15.5" x14ac:dyDescent="0.35">
      <c r="A84" s="625"/>
      <c r="B84" s="626" t="s">
        <v>430</v>
      </c>
      <c r="C84" s="2101">
        <f>IF(C83="","",C83+10)</f>
        <v>785</v>
      </c>
      <c r="D84" s="2102"/>
      <c r="E84" s="627"/>
      <c r="F84" s="628" t="s">
        <v>431</v>
      </c>
      <c r="G84" s="2103">
        <f>IF(G83="","",G83+10)</f>
        <v>800</v>
      </c>
      <c r="H84" s="2104"/>
    </row>
    <row r="85" spans="1:8" ht="15.5" x14ac:dyDescent="0.35">
      <c r="A85" s="625">
        <f>A82+30</f>
        <v>795</v>
      </c>
      <c r="B85" s="626" t="s">
        <v>430</v>
      </c>
      <c r="C85" s="2101">
        <f>IF(A85="","",A85)</f>
        <v>795</v>
      </c>
      <c r="D85" s="2102"/>
      <c r="E85" s="627">
        <f>E82+30</f>
        <v>810</v>
      </c>
      <c r="F85" s="628" t="s">
        <v>431</v>
      </c>
      <c r="G85" s="2103">
        <f>IF(E85="","",E85)</f>
        <v>810</v>
      </c>
      <c r="H85" s="2104"/>
    </row>
    <row r="86" spans="1:8" ht="15.5" x14ac:dyDescent="0.35">
      <c r="A86" s="625"/>
      <c r="B86" s="626" t="s">
        <v>430</v>
      </c>
      <c r="C86" s="2101">
        <f>IF(C85="","",C85+10)</f>
        <v>805</v>
      </c>
      <c r="D86" s="2102"/>
      <c r="E86" s="627"/>
      <c r="F86" s="628" t="s">
        <v>431</v>
      </c>
      <c r="G86" s="2103">
        <f>IF(G85="","",G85+10)</f>
        <v>820</v>
      </c>
      <c r="H86" s="2104"/>
    </row>
    <row r="87" spans="1:8" ht="15.5" x14ac:dyDescent="0.35">
      <c r="A87" s="625"/>
      <c r="B87" s="626" t="s">
        <v>430</v>
      </c>
      <c r="C87" s="2101">
        <f>IF(C86="","",C86+10)</f>
        <v>815</v>
      </c>
      <c r="D87" s="2102"/>
      <c r="E87" s="627"/>
      <c r="F87" s="628" t="s">
        <v>431</v>
      </c>
      <c r="G87" s="2103">
        <f>IF(G86="","",G86+10)</f>
        <v>830</v>
      </c>
      <c r="H87" s="2104"/>
    </row>
    <row r="88" spans="1:8" ht="15.5" x14ac:dyDescent="0.35">
      <c r="A88" s="625">
        <f>A85+30</f>
        <v>825</v>
      </c>
      <c r="B88" s="626" t="s">
        <v>430</v>
      </c>
      <c r="C88" s="2101">
        <f>IF(A88="","",A88)</f>
        <v>825</v>
      </c>
      <c r="D88" s="2102"/>
      <c r="E88" s="627">
        <f>E85+30</f>
        <v>840</v>
      </c>
      <c r="F88" s="628" t="s">
        <v>431</v>
      </c>
      <c r="G88" s="2103">
        <f>IF(E88="","",E88)</f>
        <v>840</v>
      </c>
      <c r="H88" s="2104"/>
    </row>
    <row r="89" spans="1:8" ht="15.5" x14ac:dyDescent="0.35">
      <c r="A89" s="625"/>
      <c r="B89" s="626" t="s">
        <v>430</v>
      </c>
      <c r="C89" s="2101">
        <f>IF(C88="","",C88+10)</f>
        <v>835</v>
      </c>
      <c r="D89" s="2102"/>
      <c r="E89" s="627"/>
      <c r="F89" s="628" t="s">
        <v>431</v>
      </c>
      <c r="G89" s="2103">
        <f>IF(G88="","",G88+10)</f>
        <v>850</v>
      </c>
      <c r="H89" s="2104"/>
    </row>
    <row r="90" spans="1:8" ht="15.5" x14ac:dyDescent="0.35">
      <c r="A90" s="625"/>
      <c r="B90" s="626" t="s">
        <v>430</v>
      </c>
      <c r="C90" s="2101">
        <f>IF(C89="","",C89+10)</f>
        <v>845</v>
      </c>
      <c r="D90" s="2102"/>
      <c r="E90" s="627"/>
      <c r="F90" s="628" t="s">
        <v>431</v>
      </c>
      <c r="G90" s="2103">
        <f>IF(G89="","",G89+10)</f>
        <v>860</v>
      </c>
      <c r="H90" s="2104"/>
    </row>
    <row r="91" spans="1:8" ht="15.5" x14ac:dyDescent="0.35">
      <c r="A91" s="625">
        <f>A88+30</f>
        <v>855</v>
      </c>
      <c r="B91" s="626" t="s">
        <v>430</v>
      </c>
      <c r="C91" s="2101">
        <f>IF(A91="","",A91)</f>
        <v>855</v>
      </c>
      <c r="D91" s="2102"/>
      <c r="E91" s="627">
        <f>E88+30</f>
        <v>870</v>
      </c>
      <c r="F91" s="628" t="s">
        <v>431</v>
      </c>
      <c r="G91" s="2103">
        <f>IF(E91="","",E91)</f>
        <v>870</v>
      </c>
      <c r="H91" s="2104"/>
    </row>
    <row r="92" spans="1:8" ht="15.5" x14ac:dyDescent="0.35">
      <c r="A92" s="625"/>
      <c r="B92" s="626" t="s">
        <v>430</v>
      </c>
      <c r="C92" s="2101">
        <f>IF(C91="","",C91+10)</f>
        <v>865</v>
      </c>
      <c r="D92" s="2102"/>
      <c r="E92" s="627"/>
      <c r="F92" s="628" t="s">
        <v>431</v>
      </c>
      <c r="G92" s="2103">
        <f>IF(G91="","",G91+10)</f>
        <v>880</v>
      </c>
      <c r="H92" s="2104"/>
    </row>
    <row r="93" spans="1:8" ht="15.5" x14ac:dyDescent="0.35">
      <c r="A93" s="625"/>
      <c r="B93" s="626" t="s">
        <v>430</v>
      </c>
      <c r="C93" s="2101">
        <f>IF(C92="","",C92+10)</f>
        <v>875</v>
      </c>
      <c r="D93" s="2102"/>
      <c r="E93" s="627"/>
      <c r="F93" s="628" t="s">
        <v>431</v>
      </c>
      <c r="G93" s="2103">
        <f>IF(G92="","",G92+10)</f>
        <v>890</v>
      </c>
      <c r="H93" s="2104"/>
    </row>
    <row r="94" spans="1:8" ht="15.5" x14ac:dyDescent="0.35">
      <c r="A94" s="625">
        <f>A91+30</f>
        <v>885</v>
      </c>
      <c r="B94" s="626" t="s">
        <v>430</v>
      </c>
      <c r="C94" s="2101">
        <f>IF(A94="","",A94)</f>
        <v>885</v>
      </c>
      <c r="D94" s="2102"/>
      <c r="E94" s="627">
        <f>E91+30</f>
        <v>900</v>
      </c>
      <c r="F94" s="628" t="s">
        <v>431</v>
      </c>
      <c r="G94" s="2103">
        <f>IF(E94="","",E94)</f>
        <v>900</v>
      </c>
      <c r="H94" s="2104"/>
    </row>
    <row r="95" spans="1:8" ht="15.5" x14ac:dyDescent="0.35">
      <c r="A95" s="625"/>
      <c r="B95" s="626" t="s">
        <v>430</v>
      </c>
      <c r="C95" s="2101">
        <f>IF(C94="","",C94+10)</f>
        <v>895</v>
      </c>
      <c r="D95" s="2102"/>
      <c r="E95" s="627"/>
      <c r="F95" s="628" t="s">
        <v>431</v>
      </c>
      <c r="G95" s="2103">
        <f>IF(G94="","",G94+10)</f>
        <v>910</v>
      </c>
      <c r="H95" s="2104"/>
    </row>
    <row r="96" spans="1:8" ht="15.5" x14ac:dyDescent="0.35">
      <c r="A96" s="625"/>
      <c r="B96" s="626" t="s">
        <v>430</v>
      </c>
      <c r="C96" s="2101">
        <f>IF(C95="","",C95+10)</f>
        <v>905</v>
      </c>
      <c r="D96" s="2102"/>
      <c r="E96" s="627"/>
      <c r="F96" s="628" t="s">
        <v>431</v>
      </c>
      <c r="G96" s="2103">
        <f>IF(G95="","",G95+10)</f>
        <v>920</v>
      </c>
      <c r="H96" s="2104"/>
    </row>
    <row r="97" spans="1:8" ht="15.5" x14ac:dyDescent="0.35">
      <c r="A97" s="625">
        <f>A94+30</f>
        <v>915</v>
      </c>
      <c r="B97" s="626" t="s">
        <v>430</v>
      </c>
      <c r="C97" s="2101">
        <f>IF(A97="","",A97)</f>
        <v>915</v>
      </c>
      <c r="D97" s="2102"/>
      <c r="E97" s="627">
        <f>E94+30</f>
        <v>930</v>
      </c>
      <c r="F97" s="628" t="s">
        <v>431</v>
      </c>
      <c r="G97" s="2103">
        <f>IF(E97="","",E97)</f>
        <v>930</v>
      </c>
      <c r="H97" s="2104"/>
    </row>
    <row r="98" spans="1:8" ht="15.5" x14ac:dyDescent="0.35">
      <c r="A98" s="625"/>
      <c r="B98" s="626" t="s">
        <v>430</v>
      </c>
      <c r="C98" s="2101">
        <f>IF(C97="","",C97+10)</f>
        <v>925</v>
      </c>
      <c r="D98" s="2102"/>
      <c r="E98" s="627"/>
      <c r="F98" s="628" t="s">
        <v>431</v>
      </c>
      <c r="G98" s="2103">
        <f>IF(G97="","",G97+10)</f>
        <v>940</v>
      </c>
      <c r="H98" s="2104"/>
    </row>
    <row r="99" spans="1:8" ht="15.5" x14ac:dyDescent="0.35">
      <c r="A99" s="625"/>
      <c r="B99" s="626" t="s">
        <v>430</v>
      </c>
      <c r="C99" s="2101">
        <f>IF(C98="","",C98+10)</f>
        <v>935</v>
      </c>
      <c r="D99" s="2102"/>
      <c r="E99" s="627"/>
      <c r="F99" s="628" t="s">
        <v>431</v>
      </c>
      <c r="G99" s="2103">
        <f>IF(G98="","",G98+10)</f>
        <v>950</v>
      </c>
      <c r="H99" s="2104"/>
    </row>
    <row r="100" spans="1:8" ht="15.5" x14ac:dyDescent="0.35">
      <c r="A100" s="625">
        <f>A97+30</f>
        <v>945</v>
      </c>
      <c r="B100" s="626" t="s">
        <v>430</v>
      </c>
      <c r="C100" s="2101">
        <f>IF(A100="","",A100)</f>
        <v>945</v>
      </c>
      <c r="D100" s="2102"/>
      <c r="E100" s="627">
        <f>E97+30</f>
        <v>960</v>
      </c>
      <c r="F100" s="628" t="s">
        <v>431</v>
      </c>
      <c r="G100" s="2103">
        <f>IF(E100="","",E100)</f>
        <v>960</v>
      </c>
      <c r="H100" s="2104"/>
    </row>
    <row r="101" spans="1:8" ht="15.5" x14ac:dyDescent="0.35">
      <c r="A101" s="625"/>
      <c r="B101" s="626" t="s">
        <v>430</v>
      </c>
      <c r="C101" s="2101">
        <f>IF(C100="","",C100+10)</f>
        <v>955</v>
      </c>
      <c r="D101" s="2102"/>
      <c r="E101" s="627"/>
      <c r="F101" s="628" t="s">
        <v>431</v>
      </c>
      <c r="G101" s="2103">
        <f>IF(G100="","",G100+10)</f>
        <v>970</v>
      </c>
      <c r="H101" s="2104"/>
    </row>
    <row r="102" spans="1:8" ht="15.5" x14ac:dyDescent="0.35">
      <c r="A102" s="625"/>
      <c r="B102" s="626" t="s">
        <v>430</v>
      </c>
      <c r="C102" s="2101">
        <f>IF(C101="","",C101+10)</f>
        <v>965</v>
      </c>
      <c r="D102" s="2102"/>
      <c r="E102" s="627"/>
      <c r="F102" s="628" t="s">
        <v>431</v>
      </c>
      <c r="G102" s="2103">
        <f>IF(G101="","",G101+10)</f>
        <v>980</v>
      </c>
      <c r="H102" s="2104"/>
    </row>
    <row r="103" spans="1:8" ht="15.5" x14ac:dyDescent="0.35">
      <c r="A103" s="625">
        <f>A100+30</f>
        <v>975</v>
      </c>
      <c r="B103" s="626" t="s">
        <v>430</v>
      </c>
      <c r="C103" s="2101">
        <f>IF(A103="","",A103)</f>
        <v>975</v>
      </c>
      <c r="D103" s="2102"/>
      <c r="E103" s="627">
        <f>E100+30</f>
        <v>990</v>
      </c>
      <c r="F103" s="628" t="s">
        <v>431</v>
      </c>
      <c r="G103" s="2103">
        <f>IF(E103="","",E103)</f>
        <v>990</v>
      </c>
      <c r="H103" s="2104"/>
    </row>
    <row r="104" spans="1:8" ht="15.5" x14ac:dyDescent="0.35">
      <c r="A104" s="625"/>
      <c r="B104" s="626" t="s">
        <v>430</v>
      </c>
      <c r="C104" s="2101">
        <f>IF(C103="","",C103+10)</f>
        <v>985</v>
      </c>
      <c r="D104" s="2102"/>
      <c r="E104" s="627"/>
      <c r="F104" s="628" t="s">
        <v>431</v>
      </c>
      <c r="G104" s="2103">
        <f>IF(G103="","",G103+10)</f>
        <v>1000</v>
      </c>
      <c r="H104" s="2104"/>
    </row>
    <row r="105" spans="1:8" ht="15.5" x14ac:dyDescent="0.35">
      <c r="A105" s="625"/>
      <c r="B105" s="626" t="s">
        <v>430</v>
      </c>
      <c r="C105" s="2101">
        <f>IF(C104="","",C104+10)</f>
        <v>995</v>
      </c>
      <c r="D105" s="2102"/>
      <c r="E105" s="627"/>
      <c r="F105" s="628" t="s">
        <v>431</v>
      </c>
      <c r="G105" s="2103">
        <f>IF(G104="","",G104+10)</f>
        <v>1010</v>
      </c>
      <c r="H105" s="2104"/>
    </row>
    <row r="106" spans="1:8" ht="15.5" x14ac:dyDescent="0.35">
      <c r="A106" s="625">
        <f>A103+30</f>
        <v>1005</v>
      </c>
      <c r="B106" s="626" t="s">
        <v>430</v>
      </c>
      <c r="C106" s="2101">
        <f>IF(A106="","",A106)</f>
        <v>1005</v>
      </c>
      <c r="D106" s="2102"/>
      <c r="E106" s="627">
        <f>E103+30</f>
        <v>1020</v>
      </c>
      <c r="F106" s="628" t="s">
        <v>431</v>
      </c>
      <c r="G106" s="2103">
        <f>IF(E106="","",E106)</f>
        <v>1020</v>
      </c>
      <c r="H106" s="2104"/>
    </row>
    <row r="107" spans="1:8" ht="15.5" x14ac:dyDescent="0.35">
      <c r="A107" s="625"/>
      <c r="B107" s="626" t="s">
        <v>430</v>
      </c>
      <c r="C107" s="2101">
        <f>IF(C106="","",C106+10)</f>
        <v>1015</v>
      </c>
      <c r="D107" s="2102"/>
      <c r="E107" s="627"/>
      <c r="F107" s="628" t="s">
        <v>431</v>
      </c>
      <c r="G107" s="2103">
        <f>IF(G106="","",G106+10)</f>
        <v>1030</v>
      </c>
      <c r="H107" s="2104"/>
    </row>
    <row r="108" spans="1:8" ht="15.5" x14ac:dyDescent="0.35">
      <c r="A108" s="625"/>
      <c r="B108" s="626" t="s">
        <v>430</v>
      </c>
      <c r="C108" s="2101">
        <f>IF(C107="","",C107+10)</f>
        <v>1025</v>
      </c>
      <c r="D108" s="2102"/>
      <c r="E108" s="627"/>
      <c r="F108" s="628" t="s">
        <v>431</v>
      </c>
      <c r="G108" s="2103">
        <f>IF(G107="","",G107+10)</f>
        <v>1040</v>
      </c>
      <c r="H108" s="2104"/>
    </row>
    <row r="109" spans="1:8" ht="15.5" x14ac:dyDescent="0.35">
      <c r="A109" s="625">
        <f>A106+30</f>
        <v>1035</v>
      </c>
      <c r="B109" s="626" t="s">
        <v>430</v>
      </c>
      <c r="C109" s="2101">
        <f>IF(A109="","",A109)</f>
        <v>1035</v>
      </c>
      <c r="D109" s="2102"/>
      <c r="E109" s="627">
        <f>E106+30</f>
        <v>1050</v>
      </c>
      <c r="F109" s="628" t="s">
        <v>431</v>
      </c>
      <c r="G109" s="2103">
        <f>IF(E109="","",E109)</f>
        <v>1050</v>
      </c>
      <c r="H109" s="2104"/>
    </row>
    <row r="110" spans="1:8" ht="15.5" x14ac:dyDescent="0.35">
      <c r="A110" s="625"/>
      <c r="B110" s="626" t="s">
        <v>430</v>
      </c>
      <c r="C110" s="2101">
        <f>IF(C109="","",C109+10)</f>
        <v>1045</v>
      </c>
      <c r="D110" s="2102"/>
      <c r="E110" s="627"/>
      <c r="F110" s="628" t="s">
        <v>431</v>
      </c>
      <c r="G110" s="2103">
        <f>IF(G109="","",G109+10)</f>
        <v>1060</v>
      </c>
      <c r="H110" s="2104"/>
    </row>
    <row r="111" spans="1:8" ht="15.5" x14ac:dyDescent="0.35">
      <c r="A111" s="625"/>
      <c r="B111" s="626" t="s">
        <v>430</v>
      </c>
      <c r="C111" s="2101">
        <f>IF(C110="","",C110+10)</f>
        <v>1055</v>
      </c>
      <c r="D111" s="2102"/>
      <c r="E111" s="627"/>
      <c r="F111" s="628" t="s">
        <v>431</v>
      </c>
      <c r="G111" s="2103">
        <f>IF(G110="","",G110+10)</f>
        <v>1070</v>
      </c>
      <c r="H111" s="2104"/>
    </row>
    <row r="112" spans="1:8" ht="15.5" x14ac:dyDescent="0.35">
      <c r="A112" s="625">
        <f>A109+30</f>
        <v>1065</v>
      </c>
      <c r="B112" s="626" t="s">
        <v>430</v>
      </c>
      <c r="C112" s="2101">
        <f>IF(A112="","",A112)</f>
        <v>1065</v>
      </c>
      <c r="D112" s="2102"/>
      <c r="E112" s="627">
        <f>E109+30</f>
        <v>1080</v>
      </c>
      <c r="F112" s="628" t="s">
        <v>431</v>
      </c>
      <c r="G112" s="2103">
        <f>IF(E112="","",E112)</f>
        <v>1080</v>
      </c>
      <c r="H112" s="2104"/>
    </row>
    <row r="113" spans="1:8" ht="15.5" x14ac:dyDescent="0.35">
      <c r="A113" s="625"/>
      <c r="B113" s="626" t="s">
        <v>430</v>
      </c>
      <c r="C113" s="2101">
        <f>IF(C112="","",C112+10)</f>
        <v>1075</v>
      </c>
      <c r="D113" s="2102"/>
      <c r="E113" s="627"/>
      <c r="F113" s="628" t="s">
        <v>431</v>
      </c>
      <c r="G113" s="2103">
        <f>IF(G112="","",G112+10)</f>
        <v>1090</v>
      </c>
      <c r="H113" s="2104"/>
    </row>
    <row r="114" spans="1:8" ht="15.5" x14ac:dyDescent="0.35">
      <c r="A114" s="625"/>
      <c r="B114" s="626" t="s">
        <v>430</v>
      </c>
      <c r="C114" s="2101">
        <f>IF(C113="","",C113+10)</f>
        <v>1085</v>
      </c>
      <c r="D114" s="2102"/>
      <c r="E114" s="627"/>
      <c r="F114" s="628" t="s">
        <v>431</v>
      </c>
      <c r="G114" s="2103">
        <f>IF(G113="","",G113+10)</f>
        <v>1100</v>
      </c>
      <c r="H114" s="2104"/>
    </row>
    <row r="115" spans="1:8" ht="15.5" x14ac:dyDescent="0.35">
      <c r="A115" s="625">
        <f>A112+30</f>
        <v>1095</v>
      </c>
      <c r="B115" s="626" t="s">
        <v>430</v>
      </c>
      <c r="C115" s="2101">
        <f>IF(A115="","",A115)</f>
        <v>1095</v>
      </c>
      <c r="D115" s="2102"/>
      <c r="E115" s="627">
        <f>E112+30</f>
        <v>1110</v>
      </c>
      <c r="F115" s="628" t="s">
        <v>431</v>
      </c>
      <c r="G115" s="2103">
        <f>IF(E115="","",E115)</f>
        <v>1110</v>
      </c>
      <c r="H115" s="2104"/>
    </row>
    <row r="116" spans="1:8" ht="15.5" x14ac:dyDescent="0.35">
      <c r="A116" s="625"/>
      <c r="B116" s="626" t="s">
        <v>430</v>
      </c>
      <c r="C116" s="2101">
        <f>IF(C115="","",C115+10)</f>
        <v>1105</v>
      </c>
      <c r="D116" s="2102"/>
      <c r="E116" s="627"/>
      <c r="F116" s="628" t="s">
        <v>431</v>
      </c>
      <c r="G116" s="2103">
        <f>IF(G115="","",G115+10)</f>
        <v>1120</v>
      </c>
      <c r="H116" s="2104"/>
    </row>
    <row r="117" spans="1:8" ht="15.5" x14ac:dyDescent="0.35">
      <c r="A117" s="625"/>
      <c r="B117" s="626" t="s">
        <v>430</v>
      </c>
      <c r="C117" s="2101">
        <f>IF(C116="","",C116+10)</f>
        <v>1115</v>
      </c>
      <c r="D117" s="2102"/>
      <c r="E117" s="627"/>
      <c r="F117" s="628" t="s">
        <v>431</v>
      </c>
      <c r="G117" s="2103">
        <f>IF(G116="","",G116+10)</f>
        <v>1130</v>
      </c>
      <c r="H117" s="2104"/>
    </row>
    <row r="118" spans="1:8" ht="15.5" x14ac:dyDescent="0.35">
      <c r="A118" s="625">
        <f>A115+30</f>
        <v>1125</v>
      </c>
      <c r="B118" s="626" t="s">
        <v>430</v>
      </c>
      <c r="C118" s="2101">
        <f>IF(A118="","",A118)</f>
        <v>1125</v>
      </c>
      <c r="D118" s="2102"/>
      <c r="E118" s="627">
        <f>E115+30</f>
        <v>1140</v>
      </c>
      <c r="F118" s="628" t="s">
        <v>431</v>
      </c>
      <c r="G118" s="2103">
        <f>IF(E118="","",E118)</f>
        <v>1140</v>
      </c>
      <c r="H118" s="2104"/>
    </row>
    <row r="119" spans="1:8" ht="15.5" x14ac:dyDescent="0.35">
      <c r="A119" s="625"/>
      <c r="B119" s="626" t="s">
        <v>430</v>
      </c>
      <c r="C119" s="2101">
        <f>IF(C118="","",C118+10)</f>
        <v>1135</v>
      </c>
      <c r="D119" s="2102"/>
      <c r="E119" s="627"/>
      <c r="F119" s="628" t="s">
        <v>431</v>
      </c>
      <c r="G119" s="2103">
        <f>IF(G118="","",G118+10)</f>
        <v>1150</v>
      </c>
      <c r="H119" s="2104"/>
    </row>
    <row r="120" spans="1:8" ht="15.5" x14ac:dyDescent="0.35">
      <c r="A120" s="625"/>
      <c r="B120" s="626" t="s">
        <v>430</v>
      </c>
      <c r="C120" s="2101">
        <f>IF(C119="","",C119+10)</f>
        <v>1145</v>
      </c>
      <c r="D120" s="2102"/>
      <c r="E120" s="627"/>
      <c r="F120" s="628" t="s">
        <v>431</v>
      </c>
      <c r="G120" s="2103">
        <f>IF(G119="","",G119+10)</f>
        <v>1160</v>
      </c>
      <c r="H120" s="2104"/>
    </row>
    <row r="121" spans="1:8" ht="15.5" x14ac:dyDescent="0.35">
      <c r="A121" s="625">
        <f>A118+30</f>
        <v>1155</v>
      </c>
      <c r="B121" s="626" t="s">
        <v>430</v>
      </c>
      <c r="C121" s="2101">
        <f>IF(A121="","",A121)</f>
        <v>1155</v>
      </c>
      <c r="D121" s="2102"/>
      <c r="E121" s="627">
        <f>E118+30</f>
        <v>1170</v>
      </c>
      <c r="F121" s="628" t="s">
        <v>431</v>
      </c>
      <c r="G121" s="2103">
        <f>IF(E121="","",E121)</f>
        <v>1170</v>
      </c>
      <c r="H121" s="2104"/>
    </row>
    <row r="122" spans="1:8" ht="15.5" x14ac:dyDescent="0.35">
      <c r="A122" s="625"/>
      <c r="B122" s="626" t="s">
        <v>430</v>
      </c>
      <c r="C122" s="2101">
        <f>IF(C121="","",C121+10)</f>
        <v>1165</v>
      </c>
      <c r="D122" s="2102"/>
      <c r="E122" s="627"/>
      <c r="F122" s="628" t="s">
        <v>431</v>
      </c>
      <c r="G122" s="2103">
        <f>IF(G121="","",G121+10)</f>
        <v>1180</v>
      </c>
      <c r="H122" s="2104"/>
    </row>
    <row r="123" spans="1:8" ht="15.5" x14ac:dyDescent="0.35">
      <c r="A123" s="625"/>
      <c r="B123" s="626" t="s">
        <v>430</v>
      </c>
      <c r="C123" s="2101">
        <f>IF(C122="","",C122+10)</f>
        <v>1175</v>
      </c>
      <c r="D123" s="2102"/>
      <c r="E123" s="627"/>
      <c r="F123" s="628" t="s">
        <v>431</v>
      </c>
      <c r="G123" s="2103">
        <f>IF(G122="","",G122+10)</f>
        <v>1190</v>
      </c>
      <c r="H123" s="2104"/>
    </row>
    <row r="124" spans="1:8" ht="15.5" x14ac:dyDescent="0.35">
      <c r="A124" s="625">
        <f>A121+30</f>
        <v>1185</v>
      </c>
      <c r="B124" s="626" t="s">
        <v>430</v>
      </c>
      <c r="C124" s="2101">
        <f>IF(A124="","",A124)</f>
        <v>1185</v>
      </c>
      <c r="D124" s="2102"/>
      <c r="E124" s="627">
        <f>E121+30</f>
        <v>1200</v>
      </c>
      <c r="F124" s="628" t="s">
        <v>431</v>
      </c>
      <c r="G124" s="2103">
        <f>IF(E124="","",E124)</f>
        <v>1200</v>
      </c>
      <c r="H124" s="2104"/>
    </row>
    <row r="125" spans="1:8" ht="15.5" x14ac:dyDescent="0.35">
      <c r="A125" s="625"/>
      <c r="B125" s="626" t="s">
        <v>430</v>
      </c>
      <c r="C125" s="2101">
        <f>IF(C124="","",C124+10)</f>
        <v>1195</v>
      </c>
      <c r="D125" s="2102"/>
      <c r="E125" s="627"/>
      <c r="F125" s="628" t="s">
        <v>431</v>
      </c>
      <c r="G125" s="2103">
        <f>IF(G124="","",G124+10)</f>
        <v>1210</v>
      </c>
      <c r="H125" s="2104"/>
    </row>
    <row r="126" spans="1:8" ht="15.5" x14ac:dyDescent="0.35">
      <c r="A126" s="625"/>
      <c r="B126" s="626" t="s">
        <v>430</v>
      </c>
      <c r="C126" s="2101">
        <f>IF(C125="","",C125+10)</f>
        <v>1205</v>
      </c>
      <c r="D126" s="2102"/>
      <c r="E126" s="627"/>
      <c r="F126" s="628" t="s">
        <v>431</v>
      </c>
      <c r="G126" s="2103">
        <f>IF(G125="","",G125+10)</f>
        <v>1220</v>
      </c>
      <c r="H126" s="2104"/>
    </row>
    <row r="127" spans="1:8" ht="15.5" x14ac:dyDescent="0.35">
      <c r="A127" s="625">
        <f>A124+30</f>
        <v>1215</v>
      </c>
      <c r="B127" s="626" t="s">
        <v>430</v>
      </c>
      <c r="C127" s="2101">
        <f>IF(A127="","",A127)</f>
        <v>1215</v>
      </c>
      <c r="D127" s="2102"/>
      <c r="E127" s="627">
        <f>E124+30</f>
        <v>1230</v>
      </c>
      <c r="F127" s="628" t="s">
        <v>431</v>
      </c>
      <c r="G127" s="2103">
        <f>IF(E127="","",E127)</f>
        <v>1230</v>
      </c>
      <c r="H127" s="2104"/>
    </row>
    <row r="128" spans="1:8" ht="15.5" x14ac:dyDescent="0.35">
      <c r="A128" s="625"/>
      <c r="B128" s="626" t="s">
        <v>430</v>
      </c>
      <c r="C128" s="2101">
        <f>IF(C127="","",C127+10)</f>
        <v>1225</v>
      </c>
      <c r="D128" s="2102"/>
      <c r="E128" s="627"/>
      <c r="F128" s="628" t="s">
        <v>431</v>
      </c>
      <c r="G128" s="2103">
        <f>IF(G127="","",G127+10)</f>
        <v>1240</v>
      </c>
      <c r="H128" s="2104"/>
    </row>
    <row r="129" spans="1:8" ht="15.5" x14ac:dyDescent="0.35">
      <c r="A129" s="625"/>
      <c r="B129" s="626" t="s">
        <v>430</v>
      </c>
      <c r="C129" s="2101">
        <f>IF(C128="","",C128+10)</f>
        <v>1235</v>
      </c>
      <c r="D129" s="2102"/>
      <c r="E129" s="627"/>
      <c r="F129" s="628" t="s">
        <v>431</v>
      </c>
      <c r="G129" s="2103">
        <f>IF(G128="","",G128+10)</f>
        <v>1250</v>
      </c>
      <c r="H129" s="2104"/>
    </row>
    <row r="130" spans="1:8" ht="15.5" x14ac:dyDescent="0.35">
      <c r="A130" s="625">
        <f>A127+30</f>
        <v>1245</v>
      </c>
      <c r="B130" s="626" t="s">
        <v>430</v>
      </c>
      <c r="C130" s="2101">
        <f>IF(A130="","",A130)</f>
        <v>1245</v>
      </c>
      <c r="D130" s="2102"/>
      <c r="E130" s="627">
        <f>E127+30</f>
        <v>1260</v>
      </c>
      <c r="F130" s="628" t="s">
        <v>431</v>
      </c>
      <c r="G130" s="2103">
        <f>IF(E130="","",E130)</f>
        <v>1260</v>
      </c>
      <c r="H130" s="2104"/>
    </row>
    <row r="131" spans="1:8" ht="15.5" x14ac:dyDescent="0.35">
      <c r="A131" s="625"/>
      <c r="B131" s="626" t="s">
        <v>430</v>
      </c>
      <c r="C131" s="2101">
        <f>IF(C130="","",C130+10)</f>
        <v>1255</v>
      </c>
      <c r="D131" s="2102"/>
      <c r="E131" s="627"/>
      <c r="F131" s="628" t="s">
        <v>431</v>
      </c>
      <c r="G131" s="2103">
        <f>IF(G130="","",G130+10)</f>
        <v>1270</v>
      </c>
      <c r="H131" s="2104"/>
    </row>
    <row r="132" spans="1:8" ht="15.5" x14ac:dyDescent="0.35">
      <c r="A132" s="625"/>
      <c r="B132" s="626" t="s">
        <v>430</v>
      </c>
      <c r="C132" s="2101">
        <f>IF(C131="","",C131+10)</f>
        <v>1265</v>
      </c>
      <c r="D132" s="2102"/>
      <c r="E132" s="627"/>
      <c r="F132" s="628" t="s">
        <v>431</v>
      </c>
      <c r="G132" s="2103">
        <f>IF(G131="","",G131+10)</f>
        <v>1280</v>
      </c>
      <c r="H132" s="2104"/>
    </row>
    <row r="133" spans="1:8" ht="15.5" x14ac:dyDescent="0.35">
      <c r="A133" s="625">
        <f>A130+30</f>
        <v>1275</v>
      </c>
      <c r="B133" s="626" t="s">
        <v>430</v>
      </c>
      <c r="C133" s="2101">
        <f>IF(A133="","",A133)</f>
        <v>1275</v>
      </c>
      <c r="D133" s="2102"/>
      <c r="E133" s="627">
        <f>E130+30</f>
        <v>1290</v>
      </c>
      <c r="F133" s="628" t="s">
        <v>431</v>
      </c>
      <c r="G133" s="2103">
        <f>IF(E133="","",E133)</f>
        <v>1290</v>
      </c>
      <c r="H133" s="2104"/>
    </row>
    <row r="134" spans="1:8" ht="15.5" x14ac:dyDescent="0.35">
      <c r="A134" s="625"/>
      <c r="B134" s="626" t="s">
        <v>430</v>
      </c>
      <c r="C134" s="2101">
        <f>IF(C133="","",C133+10)</f>
        <v>1285</v>
      </c>
      <c r="D134" s="2102"/>
      <c r="E134" s="627"/>
      <c r="F134" s="628" t="s">
        <v>431</v>
      </c>
      <c r="G134" s="2103">
        <f>IF(G133="","",G133+10)</f>
        <v>1300</v>
      </c>
      <c r="H134" s="2104"/>
    </row>
    <row r="135" spans="1:8" ht="15.5" x14ac:dyDescent="0.35">
      <c r="A135" s="625"/>
      <c r="B135" s="626" t="s">
        <v>430</v>
      </c>
      <c r="C135" s="2101">
        <f>IF(C134="","",C134+10)</f>
        <v>1295</v>
      </c>
      <c r="D135" s="2102"/>
      <c r="E135" s="627"/>
      <c r="F135" s="628" t="s">
        <v>431</v>
      </c>
      <c r="G135" s="2103">
        <f>IF(G134="","",G134+10)</f>
        <v>1310</v>
      </c>
      <c r="H135" s="2104"/>
    </row>
    <row r="136" spans="1:8" ht="15.5" x14ac:dyDescent="0.35">
      <c r="A136" s="625">
        <f>A133+30</f>
        <v>1305</v>
      </c>
      <c r="B136" s="626" t="s">
        <v>430</v>
      </c>
      <c r="C136" s="2101">
        <f>IF(A136="","",A136)</f>
        <v>1305</v>
      </c>
      <c r="D136" s="2102"/>
      <c r="E136" s="627">
        <f>E133+30</f>
        <v>1320</v>
      </c>
      <c r="F136" s="628" t="s">
        <v>431</v>
      </c>
      <c r="G136" s="2103">
        <f>IF(E136="","",E136)</f>
        <v>1320</v>
      </c>
      <c r="H136" s="2104"/>
    </row>
    <row r="137" spans="1:8" ht="15.5" x14ac:dyDescent="0.35">
      <c r="A137" s="625"/>
      <c r="B137" s="626" t="s">
        <v>430</v>
      </c>
      <c r="C137" s="2101">
        <f>IF(C136="","",C136+10)</f>
        <v>1315</v>
      </c>
      <c r="D137" s="2102"/>
      <c r="E137" s="627"/>
      <c r="F137" s="628" t="s">
        <v>431</v>
      </c>
      <c r="G137" s="2103">
        <f>IF(G136="","",G136+10)</f>
        <v>1330</v>
      </c>
      <c r="H137" s="2104"/>
    </row>
    <row r="138" spans="1:8" ht="15.5" x14ac:dyDescent="0.35">
      <c r="A138" s="625"/>
      <c r="B138" s="626" t="s">
        <v>430</v>
      </c>
      <c r="C138" s="2101">
        <f>IF(C137="","",C137+10)</f>
        <v>1325</v>
      </c>
      <c r="D138" s="2102"/>
      <c r="E138" s="627"/>
      <c r="F138" s="628" t="s">
        <v>431</v>
      </c>
      <c r="G138" s="2103">
        <f>IF(G137="","",G137+10)</f>
        <v>1340</v>
      </c>
      <c r="H138" s="2104"/>
    </row>
    <row r="139" spans="1:8" ht="15.5" x14ac:dyDescent="0.35">
      <c r="A139" s="625">
        <f>A136+30</f>
        <v>1335</v>
      </c>
      <c r="B139" s="626" t="s">
        <v>430</v>
      </c>
      <c r="C139" s="2101">
        <f>IF(A139="","",A139)</f>
        <v>1335</v>
      </c>
      <c r="D139" s="2102"/>
      <c r="E139" s="627">
        <f>E136+30</f>
        <v>1350</v>
      </c>
      <c r="F139" s="628" t="s">
        <v>431</v>
      </c>
      <c r="G139" s="2103">
        <f>IF(E139="","",E139)</f>
        <v>1350</v>
      </c>
      <c r="H139" s="2104"/>
    </row>
    <row r="140" spans="1:8" ht="15.5" x14ac:dyDescent="0.35">
      <c r="A140" s="625"/>
      <c r="B140" s="626" t="s">
        <v>430</v>
      </c>
      <c r="C140" s="2101">
        <f>IF(C139="","",C139+10)</f>
        <v>1345</v>
      </c>
      <c r="D140" s="2102"/>
      <c r="E140" s="627"/>
      <c r="F140" s="628" t="s">
        <v>431</v>
      </c>
      <c r="G140" s="2103">
        <f>IF(G139="","",G139+10)</f>
        <v>1360</v>
      </c>
      <c r="H140" s="2104"/>
    </row>
    <row r="141" spans="1:8" ht="15.5" x14ac:dyDescent="0.35">
      <c r="A141" s="625"/>
      <c r="B141" s="626" t="s">
        <v>430</v>
      </c>
      <c r="C141" s="2101">
        <f>IF(C140="","",C140+10)</f>
        <v>1355</v>
      </c>
      <c r="D141" s="2102"/>
      <c r="E141" s="627"/>
      <c r="F141" s="628" t="s">
        <v>431</v>
      </c>
      <c r="G141" s="2103">
        <f>IF(G140="","",G140+10)</f>
        <v>1370</v>
      </c>
      <c r="H141" s="2104"/>
    </row>
    <row r="142" spans="1:8" ht="15.5" x14ac:dyDescent="0.35">
      <c r="A142" s="625">
        <f>A139+30</f>
        <v>1365</v>
      </c>
      <c r="B142" s="626" t="s">
        <v>430</v>
      </c>
      <c r="C142" s="2101">
        <f>IF(A142="","",A142)</f>
        <v>1365</v>
      </c>
      <c r="D142" s="2102"/>
      <c r="E142" s="627">
        <f>E139+30</f>
        <v>1380</v>
      </c>
      <c r="F142" s="628" t="s">
        <v>431</v>
      </c>
      <c r="G142" s="2103">
        <f>IF(E142="","",E142)</f>
        <v>1380</v>
      </c>
      <c r="H142" s="2104"/>
    </row>
    <row r="143" spans="1:8" ht="15.5" x14ac:dyDescent="0.35">
      <c r="A143" s="625"/>
      <c r="B143" s="626" t="s">
        <v>430</v>
      </c>
      <c r="C143" s="2101">
        <f>IF(C142="","",C142+10)</f>
        <v>1375</v>
      </c>
      <c r="D143" s="2102"/>
      <c r="E143" s="627"/>
      <c r="F143" s="628" t="s">
        <v>431</v>
      </c>
      <c r="G143" s="2103">
        <f>IF(G142="","",G142+10)</f>
        <v>1390</v>
      </c>
      <c r="H143" s="2104"/>
    </row>
    <row r="144" spans="1:8" ht="15.5" x14ac:dyDescent="0.35">
      <c r="A144" s="625"/>
      <c r="B144" s="626" t="s">
        <v>430</v>
      </c>
      <c r="C144" s="2101">
        <f>IF(C143="","",C143+10)</f>
        <v>1385</v>
      </c>
      <c r="D144" s="2102"/>
      <c r="E144" s="627"/>
      <c r="F144" s="628" t="s">
        <v>431</v>
      </c>
      <c r="G144" s="2103">
        <f>IF(G143="","",G143+10)</f>
        <v>1400</v>
      </c>
      <c r="H144" s="2104"/>
    </row>
    <row r="145" spans="1:8" ht="15.5" x14ac:dyDescent="0.35">
      <c r="A145" s="625">
        <f>A142+30</f>
        <v>1395</v>
      </c>
      <c r="B145" s="626" t="s">
        <v>430</v>
      </c>
      <c r="C145" s="2101">
        <f>IF(A145="","",A145)</f>
        <v>1395</v>
      </c>
      <c r="D145" s="2102"/>
      <c r="E145" s="627">
        <f>E142+30</f>
        <v>1410</v>
      </c>
      <c r="F145" s="628" t="s">
        <v>431</v>
      </c>
      <c r="G145" s="2103">
        <f>IF(E145="","",E145)</f>
        <v>1410</v>
      </c>
      <c r="H145" s="2104"/>
    </row>
    <row r="146" spans="1:8" ht="15.5" x14ac:dyDescent="0.35">
      <c r="A146" s="625"/>
      <c r="B146" s="626" t="s">
        <v>430</v>
      </c>
      <c r="C146" s="2101">
        <f>IF(C145="","",C145+10)</f>
        <v>1405</v>
      </c>
      <c r="D146" s="2102"/>
      <c r="E146" s="627"/>
      <c r="F146" s="628" t="s">
        <v>431</v>
      </c>
      <c r="G146" s="2103">
        <f>IF(G145="","",G145+10)</f>
        <v>1420</v>
      </c>
      <c r="H146" s="2104"/>
    </row>
    <row r="147" spans="1:8" ht="15.5" x14ac:dyDescent="0.35">
      <c r="A147" s="625"/>
      <c r="B147" s="626" t="s">
        <v>430</v>
      </c>
      <c r="C147" s="2101">
        <f>IF(C146="","",C146+10)</f>
        <v>1415</v>
      </c>
      <c r="D147" s="2102"/>
      <c r="E147" s="627"/>
      <c r="F147" s="628" t="s">
        <v>431</v>
      </c>
      <c r="G147" s="2103">
        <f>IF(G146="","",G146+10)</f>
        <v>1430</v>
      </c>
      <c r="H147" s="2104"/>
    </row>
    <row r="148" spans="1:8" ht="15.5" x14ac:dyDescent="0.35">
      <c r="A148" s="625">
        <f>A145+30</f>
        <v>1425</v>
      </c>
      <c r="B148" s="626" t="s">
        <v>430</v>
      </c>
      <c r="C148" s="2101">
        <f>IF(A148="","",A148)</f>
        <v>1425</v>
      </c>
      <c r="D148" s="2102"/>
      <c r="E148" s="627">
        <f>E145+30</f>
        <v>1440</v>
      </c>
      <c r="F148" s="628" t="s">
        <v>431</v>
      </c>
      <c r="G148" s="2103">
        <f>IF(E148="","",E148)</f>
        <v>1440</v>
      </c>
      <c r="H148" s="2104"/>
    </row>
    <row r="149" spans="1:8" ht="15.5" x14ac:dyDescent="0.35">
      <c r="A149" s="625"/>
      <c r="B149" s="626" t="s">
        <v>430</v>
      </c>
      <c r="C149" s="2101">
        <f>IF(C148="","",C148+10)</f>
        <v>1435</v>
      </c>
      <c r="D149" s="2102"/>
      <c r="E149" s="627"/>
      <c r="F149" s="628" t="s">
        <v>431</v>
      </c>
      <c r="G149" s="2103">
        <f>IF(G148="","",G148+10)</f>
        <v>1450</v>
      </c>
      <c r="H149" s="2104"/>
    </row>
    <row r="150" spans="1:8" ht="15.5" x14ac:dyDescent="0.35">
      <c r="A150" s="625"/>
      <c r="B150" s="626" t="s">
        <v>430</v>
      </c>
      <c r="C150" s="2101">
        <f>IF(C149="","",C149+10)</f>
        <v>1445</v>
      </c>
      <c r="D150" s="2102"/>
      <c r="E150" s="627"/>
      <c r="F150" s="628" t="s">
        <v>431</v>
      </c>
      <c r="G150" s="2103">
        <f>IF(G149="","",G149+10)</f>
        <v>1460</v>
      </c>
      <c r="H150" s="2104"/>
    </row>
    <row r="151" spans="1:8" ht="15.5" x14ac:dyDescent="0.35">
      <c r="A151" s="625">
        <f>A148+30</f>
        <v>1455</v>
      </c>
      <c r="B151" s="626" t="s">
        <v>430</v>
      </c>
      <c r="C151" s="2101">
        <f>IF(A151="","",A151)</f>
        <v>1455</v>
      </c>
      <c r="D151" s="2102"/>
      <c r="E151" s="627">
        <f>E148+30</f>
        <v>1470</v>
      </c>
      <c r="F151" s="628" t="s">
        <v>431</v>
      </c>
      <c r="G151" s="2103">
        <f>IF(E151="","",E151)</f>
        <v>1470</v>
      </c>
      <c r="H151" s="2104"/>
    </row>
    <row r="152" spans="1:8" ht="15.5" x14ac:dyDescent="0.35">
      <c r="A152" s="625"/>
      <c r="B152" s="626" t="s">
        <v>430</v>
      </c>
      <c r="C152" s="2101">
        <f>IF(C151="","",C151+10)</f>
        <v>1465</v>
      </c>
      <c r="D152" s="2102"/>
      <c r="E152" s="627"/>
      <c r="F152" s="628" t="s">
        <v>431</v>
      </c>
      <c r="G152" s="2103">
        <f>IF(G151="","",G151+10)</f>
        <v>1480</v>
      </c>
      <c r="H152" s="2104"/>
    </row>
    <row r="153" spans="1:8" ht="15.5" x14ac:dyDescent="0.35">
      <c r="A153" s="625"/>
      <c r="B153" s="626" t="s">
        <v>430</v>
      </c>
      <c r="C153" s="2101">
        <f>IF(C152="","",C152+10)</f>
        <v>1475</v>
      </c>
      <c r="D153" s="2102"/>
      <c r="E153" s="627"/>
      <c r="F153" s="628" t="s">
        <v>431</v>
      </c>
      <c r="G153" s="2103">
        <f>IF(G152="","",G152+10)</f>
        <v>1490</v>
      </c>
      <c r="H153" s="2104"/>
    </row>
    <row r="154" spans="1:8" ht="15.5" x14ac:dyDescent="0.35">
      <c r="A154" s="625">
        <f>A151+30</f>
        <v>1485</v>
      </c>
      <c r="B154" s="626" t="s">
        <v>430</v>
      </c>
      <c r="C154" s="2101">
        <f>IF(A154="","",A154)</f>
        <v>1485</v>
      </c>
      <c r="D154" s="2102"/>
      <c r="E154" s="627">
        <f>E151+30</f>
        <v>1500</v>
      </c>
      <c r="F154" s="628" t="s">
        <v>431</v>
      </c>
      <c r="G154" s="2103">
        <f>IF(E154="","",E154)</f>
        <v>1500</v>
      </c>
      <c r="H154" s="2104"/>
    </row>
    <row r="155" spans="1:8" ht="15.5" x14ac:dyDescent="0.35">
      <c r="A155" s="625"/>
      <c r="B155" s="626" t="s">
        <v>430</v>
      </c>
      <c r="C155" s="2101">
        <f>IF(C154="","",C154+10)</f>
        <v>1495</v>
      </c>
      <c r="D155" s="2102"/>
      <c r="E155" s="627"/>
      <c r="F155" s="628" t="s">
        <v>431</v>
      </c>
      <c r="G155" s="2103">
        <f>IF(G154="","",G154+10)</f>
        <v>1510</v>
      </c>
      <c r="H155" s="2104"/>
    </row>
    <row r="156" spans="1:8" ht="15.5" x14ac:dyDescent="0.35">
      <c r="A156" s="625"/>
      <c r="B156" s="626" t="s">
        <v>430</v>
      </c>
      <c r="C156" s="2101">
        <f>IF(C155="","",C155+10)</f>
        <v>1505</v>
      </c>
      <c r="D156" s="2102"/>
      <c r="E156" s="627"/>
      <c r="F156" s="628" t="s">
        <v>431</v>
      </c>
      <c r="G156" s="2103">
        <f>IF(G155="","",G155+10)</f>
        <v>1520</v>
      </c>
      <c r="H156" s="2104"/>
    </row>
    <row r="157" spans="1:8" ht="15.5" x14ac:dyDescent="0.35">
      <c r="A157" s="625">
        <f>A154+30</f>
        <v>1515</v>
      </c>
      <c r="B157" s="626" t="s">
        <v>430</v>
      </c>
      <c r="C157" s="2101">
        <f>IF(A157="","",A157)</f>
        <v>1515</v>
      </c>
      <c r="D157" s="2102"/>
      <c r="E157" s="627">
        <f>E154+30</f>
        <v>1530</v>
      </c>
      <c r="F157" s="628" t="s">
        <v>431</v>
      </c>
      <c r="G157" s="2103">
        <f>IF(E157="","",E157)</f>
        <v>1530</v>
      </c>
      <c r="H157" s="2104"/>
    </row>
    <row r="158" spans="1:8" ht="15.5" x14ac:dyDescent="0.35">
      <c r="A158" s="625"/>
      <c r="B158" s="626" t="s">
        <v>430</v>
      </c>
      <c r="C158" s="2101">
        <f>IF(C157="","",C157+10)</f>
        <v>1525</v>
      </c>
      <c r="D158" s="2102"/>
      <c r="E158" s="627"/>
      <c r="F158" s="628" t="s">
        <v>431</v>
      </c>
      <c r="G158" s="2103">
        <f>IF(G157="","",G157+10)</f>
        <v>1540</v>
      </c>
      <c r="H158" s="2104"/>
    </row>
    <row r="159" spans="1:8" ht="15.5" x14ac:dyDescent="0.35">
      <c r="A159" s="625"/>
      <c r="B159" s="626" t="s">
        <v>430</v>
      </c>
      <c r="C159" s="2101">
        <f>IF(C158="","",C158+10)</f>
        <v>1535</v>
      </c>
      <c r="D159" s="2102"/>
      <c r="E159" s="627"/>
      <c r="F159" s="628" t="s">
        <v>431</v>
      </c>
      <c r="G159" s="2103">
        <f>IF(G158="","",G158+10)</f>
        <v>1550</v>
      </c>
      <c r="H159" s="2104"/>
    </row>
    <row r="160" spans="1:8" ht="15.5" x14ac:dyDescent="0.35">
      <c r="A160" s="625">
        <f>A157+30</f>
        <v>1545</v>
      </c>
      <c r="B160" s="626" t="s">
        <v>430</v>
      </c>
      <c r="C160" s="2101">
        <f>IF(A160="","",A160)</f>
        <v>1545</v>
      </c>
      <c r="D160" s="2102"/>
      <c r="E160" s="627">
        <f>E157+30</f>
        <v>1560</v>
      </c>
      <c r="F160" s="628" t="s">
        <v>431</v>
      </c>
      <c r="G160" s="2103">
        <f>IF(E160="","",E160)</f>
        <v>1560</v>
      </c>
      <c r="H160" s="2104"/>
    </row>
    <row r="161" spans="1:8" ht="15.5" x14ac:dyDescent="0.35">
      <c r="A161" s="625"/>
      <c r="B161" s="626" t="s">
        <v>430</v>
      </c>
      <c r="C161" s="2101">
        <f>IF(C160="","",C160+10)</f>
        <v>1555</v>
      </c>
      <c r="D161" s="2102"/>
      <c r="E161" s="627"/>
      <c r="F161" s="628" t="s">
        <v>431</v>
      </c>
      <c r="G161" s="2103">
        <f>IF(G160="","",G160+10)</f>
        <v>1570</v>
      </c>
      <c r="H161" s="2104"/>
    </row>
    <row r="162" spans="1:8" ht="15.5" x14ac:dyDescent="0.35">
      <c r="A162" s="625"/>
      <c r="B162" s="626" t="s">
        <v>430</v>
      </c>
      <c r="C162" s="2101">
        <f>IF(C161="","",C161+10)</f>
        <v>1565</v>
      </c>
      <c r="D162" s="2102"/>
      <c r="E162" s="627"/>
      <c r="F162" s="628" t="s">
        <v>431</v>
      </c>
      <c r="G162" s="2103">
        <f>IF(G161="","",G161+10)</f>
        <v>1580</v>
      </c>
      <c r="H162" s="2104"/>
    </row>
    <row r="163" spans="1:8" ht="15.5" x14ac:dyDescent="0.35">
      <c r="A163" s="625">
        <f>A160+30</f>
        <v>1575</v>
      </c>
      <c r="B163" s="626" t="s">
        <v>430</v>
      </c>
      <c r="C163" s="2101">
        <f>IF(A163="","",A163)</f>
        <v>1575</v>
      </c>
      <c r="D163" s="2102"/>
      <c r="E163" s="627">
        <f>E160+30</f>
        <v>1590</v>
      </c>
      <c r="F163" s="628" t="s">
        <v>431</v>
      </c>
      <c r="G163" s="2103">
        <f>IF(E163="","",E163)</f>
        <v>1590</v>
      </c>
      <c r="H163" s="2104"/>
    </row>
    <row r="164" spans="1:8" ht="15.5" x14ac:dyDescent="0.35">
      <c r="A164" s="625"/>
      <c r="B164" s="626" t="s">
        <v>430</v>
      </c>
      <c r="C164" s="2101">
        <f>IF(C163="","",C163+10)</f>
        <v>1585</v>
      </c>
      <c r="D164" s="2102"/>
      <c r="E164" s="627"/>
      <c r="F164" s="628" t="s">
        <v>431</v>
      </c>
      <c r="G164" s="2103">
        <f>IF(G163="","",G163+10)</f>
        <v>1600</v>
      </c>
      <c r="H164" s="2104"/>
    </row>
    <row r="165" spans="1:8" ht="15.5" x14ac:dyDescent="0.35">
      <c r="A165" s="625"/>
      <c r="B165" s="626" t="s">
        <v>430</v>
      </c>
      <c r="C165" s="2101">
        <f>IF(C164="","",C164+10)</f>
        <v>1595</v>
      </c>
      <c r="D165" s="2102"/>
      <c r="E165" s="627"/>
      <c r="F165" s="628" t="s">
        <v>431</v>
      </c>
      <c r="G165" s="2103">
        <f>IF(G164="","",G164+10)</f>
        <v>1610</v>
      </c>
      <c r="H165" s="2104"/>
    </row>
    <row r="166" spans="1:8" ht="15.5" x14ac:dyDescent="0.35">
      <c r="A166" s="625">
        <f>A163+30</f>
        <v>1605</v>
      </c>
      <c r="B166" s="626" t="s">
        <v>430</v>
      </c>
      <c r="C166" s="2101">
        <f>IF(A166="","",A166)</f>
        <v>1605</v>
      </c>
      <c r="D166" s="2102"/>
      <c r="E166" s="627">
        <f>E163+30</f>
        <v>1620</v>
      </c>
      <c r="F166" s="628" t="s">
        <v>431</v>
      </c>
      <c r="G166" s="2103">
        <f>IF(E166="","",E166)</f>
        <v>1620</v>
      </c>
      <c r="H166" s="2104"/>
    </row>
    <row r="167" spans="1:8" ht="15.5" x14ac:dyDescent="0.35">
      <c r="A167" s="625"/>
      <c r="B167" s="626" t="s">
        <v>430</v>
      </c>
      <c r="C167" s="2101">
        <f>IF(C166="","",C166+10)</f>
        <v>1615</v>
      </c>
      <c r="D167" s="2102"/>
      <c r="E167" s="627"/>
      <c r="F167" s="628" t="s">
        <v>431</v>
      </c>
      <c r="G167" s="2103">
        <f>IF(G166="","",G166+10)</f>
        <v>1630</v>
      </c>
      <c r="H167" s="2104"/>
    </row>
    <row r="168" spans="1:8" ht="15.5" x14ac:dyDescent="0.35">
      <c r="A168" s="625"/>
      <c r="B168" s="626" t="s">
        <v>430</v>
      </c>
      <c r="C168" s="2101">
        <f>IF(C167="","",C167+10)</f>
        <v>1625</v>
      </c>
      <c r="D168" s="2102"/>
      <c r="E168" s="627"/>
      <c r="F168" s="628" t="s">
        <v>431</v>
      </c>
      <c r="G168" s="2103">
        <f>IF(G167="","",G167+10)</f>
        <v>1640</v>
      </c>
      <c r="H168" s="2104"/>
    </row>
    <row r="169" spans="1:8" ht="15.5" x14ac:dyDescent="0.35">
      <c r="A169" s="625">
        <f>A166+30</f>
        <v>1635</v>
      </c>
      <c r="B169" s="626" t="s">
        <v>430</v>
      </c>
      <c r="C169" s="2101">
        <f>IF(A169="","",A169)</f>
        <v>1635</v>
      </c>
      <c r="D169" s="2102"/>
      <c r="E169" s="627">
        <f>E166+30</f>
        <v>1650</v>
      </c>
      <c r="F169" s="628" t="s">
        <v>431</v>
      </c>
      <c r="G169" s="2103">
        <f>IF(E169="","",E169)</f>
        <v>1650</v>
      </c>
      <c r="H169" s="2104"/>
    </row>
    <row r="170" spans="1:8" ht="15.5" x14ac:dyDescent="0.35">
      <c r="A170" s="625"/>
      <c r="B170" s="626" t="s">
        <v>430</v>
      </c>
      <c r="C170" s="2101">
        <f>IF(C169="","",C169+10)</f>
        <v>1645</v>
      </c>
      <c r="D170" s="2102"/>
      <c r="E170" s="627"/>
      <c r="F170" s="628" t="s">
        <v>431</v>
      </c>
      <c r="G170" s="2103">
        <f>IF(G169="","",G169+10)</f>
        <v>1660</v>
      </c>
      <c r="H170" s="2104"/>
    </row>
    <row r="171" spans="1:8" ht="15.5" x14ac:dyDescent="0.35">
      <c r="A171" s="625"/>
      <c r="B171" s="626" t="s">
        <v>430</v>
      </c>
      <c r="C171" s="2101">
        <f>IF(C170="","",C170+10)</f>
        <v>1655</v>
      </c>
      <c r="D171" s="2102"/>
      <c r="E171" s="627"/>
      <c r="F171" s="628" t="s">
        <v>431</v>
      </c>
      <c r="G171" s="2103">
        <f>IF(G170="","",G170+10)</f>
        <v>1670</v>
      </c>
      <c r="H171" s="2104"/>
    </row>
    <row r="172" spans="1:8" ht="15.5" x14ac:dyDescent="0.35">
      <c r="A172" s="625">
        <f>A169+30</f>
        <v>1665</v>
      </c>
      <c r="B172" s="626" t="s">
        <v>430</v>
      </c>
      <c r="C172" s="2101">
        <f>IF(A172="","",A172)</f>
        <v>1665</v>
      </c>
      <c r="D172" s="2102"/>
      <c r="E172" s="627">
        <f>E169+30</f>
        <v>1680</v>
      </c>
      <c r="F172" s="628" t="s">
        <v>431</v>
      </c>
      <c r="G172" s="2103">
        <f>IF(E172="","",E172)</f>
        <v>1680</v>
      </c>
      <c r="H172" s="2104"/>
    </row>
    <row r="173" spans="1:8" ht="15.5" x14ac:dyDescent="0.35">
      <c r="A173" s="625"/>
      <c r="B173" s="626" t="s">
        <v>430</v>
      </c>
      <c r="C173" s="2101">
        <f>IF(C172="","",C172+10)</f>
        <v>1675</v>
      </c>
      <c r="D173" s="2102"/>
      <c r="E173" s="627"/>
      <c r="F173" s="628" t="s">
        <v>431</v>
      </c>
      <c r="G173" s="2103">
        <f>IF(G172="","",G172+10)</f>
        <v>1690</v>
      </c>
      <c r="H173" s="2104"/>
    </row>
    <row r="174" spans="1:8" ht="15.5" x14ac:dyDescent="0.35">
      <c r="A174" s="625"/>
      <c r="B174" s="626" t="s">
        <v>430</v>
      </c>
      <c r="C174" s="2101">
        <f>IF(C173="","",C173+10)</f>
        <v>1685</v>
      </c>
      <c r="D174" s="2102"/>
      <c r="E174" s="627"/>
      <c r="F174" s="628" t="s">
        <v>431</v>
      </c>
      <c r="G174" s="2103">
        <f>IF(G173="","",G173+10)</f>
        <v>1700</v>
      </c>
      <c r="H174" s="2104"/>
    </row>
    <row r="175" spans="1:8" ht="15.5" x14ac:dyDescent="0.35">
      <c r="A175" s="625">
        <f>A172+30</f>
        <v>1695</v>
      </c>
      <c r="B175" s="626" t="s">
        <v>430</v>
      </c>
      <c r="C175" s="2101">
        <f>IF(A175="","",A175)</f>
        <v>1695</v>
      </c>
      <c r="D175" s="2102"/>
      <c r="E175" s="627">
        <f>E172+30</f>
        <v>1710</v>
      </c>
      <c r="F175" s="628" t="s">
        <v>431</v>
      </c>
      <c r="G175" s="2103">
        <f>IF(E175="","",E175)</f>
        <v>1710</v>
      </c>
      <c r="H175" s="2104"/>
    </row>
    <row r="176" spans="1:8" ht="15.5" x14ac:dyDescent="0.35">
      <c r="A176" s="625"/>
      <c r="B176" s="626" t="s">
        <v>430</v>
      </c>
      <c r="C176" s="2101">
        <f>IF(C175="","",C175+10)</f>
        <v>1705</v>
      </c>
      <c r="D176" s="2102"/>
      <c r="E176" s="627"/>
      <c r="F176" s="628" t="s">
        <v>431</v>
      </c>
      <c r="G176" s="2103">
        <f>IF(G175="","",G175+10)</f>
        <v>1720</v>
      </c>
      <c r="H176" s="2104"/>
    </row>
    <row r="177" spans="1:8" ht="15.5" x14ac:dyDescent="0.35">
      <c r="A177" s="625"/>
      <c r="B177" s="626" t="s">
        <v>430</v>
      </c>
      <c r="C177" s="2101">
        <f>IF(C176="","",C176+10)</f>
        <v>1715</v>
      </c>
      <c r="D177" s="2102"/>
      <c r="E177" s="627"/>
      <c r="F177" s="628" t="s">
        <v>431</v>
      </c>
      <c r="G177" s="2103">
        <f>IF(G176="","",G176+10)</f>
        <v>1730</v>
      </c>
      <c r="H177" s="2104"/>
    </row>
    <row r="178" spans="1:8" ht="15.5" x14ac:dyDescent="0.35">
      <c r="A178" s="625">
        <f>A175+30</f>
        <v>1725</v>
      </c>
      <c r="B178" s="626" t="s">
        <v>430</v>
      </c>
      <c r="C178" s="2101">
        <f>IF(A178="","",A178)</f>
        <v>1725</v>
      </c>
      <c r="D178" s="2102"/>
      <c r="E178" s="627">
        <f>E175+30</f>
        <v>1740</v>
      </c>
      <c r="F178" s="628" t="s">
        <v>431</v>
      </c>
      <c r="G178" s="2103">
        <f>IF(E178="","",E178)</f>
        <v>1740</v>
      </c>
      <c r="H178" s="2104"/>
    </row>
    <row r="179" spans="1:8" ht="15.5" x14ac:dyDescent="0.35">
      <c r="A179" s="625"/>
      <c r="B179" s="626" t="s">
        <v>430</v>
      </c>
      <c r="C179" s="2101">
        <f>IF(C178="","",C178+10)</f>
        <v>1735</v>
      </c>
      <c r="D179" s="2102"/>
      <c r="E179" s="627"/>
      <c r="F179" s="628" t="s">
        <v>431</v>
      </c>
      <c r="G179" s="2103">
        <f>IF(G178="","",G178+10)</f>
        <v>1750</v>
      </c>
      <c r="H179" s="2104"/>
    </row>
    <row r="180" spans="1:8" ht="15.5" x14ac:dyDescent="0.35">
      <c r="A180" s="625"/>
      <c r="B180" s="626" t="s">
        <v>430</v>
      </c>
      <c r="C180" s="2101">
        <f>IF(C179="","",C179+10)</f>
        <v>1745</v>
      </c>
      <c r="D180" s="2102"/>
      <c r="E180" s="627"/>
      <c r="F180" s="628" t="s">
        <v>431</v>
      </c>
      <c r="G180" s="2103">
        <f>IF(G179="","",G179+10)</f>
        <v>1760</v>
      </c>
      <c r="H180" s="2104"/>
    </row>
    <row r="181" spans="1:8" ht="15.5" x14ac:dyDescent="0.35">
      <c r="A181" s="625">
        <f>A178+30</f>
        <v>1755</v>
      </c>
      <c r="B181" s="626" t="s">
        <v>430</v>
      </c>
      <c r="C181" s="2101">
        <f>IF(A181="","",A181)</f>
        <v>1755</v>
      </c>
      <c r="D181" s="2102"/>
      <c r="E181" s="627">
        <f>E178+30</f>
        <v>1770</v>
      </c>
      <c r="F181" s="628" t="s">
        <v>431</v>
      </c>
      <c r="G181" s="2103">
        <f>IF(E181="","",E181)</f>
        <v>1770</v>
      </c>
      <c r="H181" s="2104"/>
    </row>
    <row r="182" spans="1:8" ht="15.5" x14ac:dyDescent="0.35">
      <c r="A182" s="625"/>
      <c r="B182" s="626" t="s">
        <v>430</v>
      </c>
      <c r="C182" s="2101">
        <f>IF(C181="","",C181+10)</f>
        <v>1765</v>
      </c>
      <c r="D182" s="2102"/>
      <c r="E182" s="627"/>
      <c r="F182" s="628" t="s">
        <v>431</v>
      </c>
      <c r="G182" s="2103">
        <f>IF(G181="","",G181+10)</f>
        <v>1780</v>
      </c>
      <c r="H182" s="2104"/>
    </row>
    <row r="183" spans="1:8" ht="15.5" x14ac:dyDescent="0.35">
      <c r="A183" s="625"/>
      <c r="B183" s="626" t="s">
        <v>430</v>
      </c>
      <c r="C183" s="2101">
        <f>IF(C182="","",C182+10)</f>
        <v>1775</v>
      </c>
      <c r="D183" s="2102"/>
      <c r="E183" s="627"/>
      <c r="F183" s="628" t="s">
        <v>431</v>
      </c>
      <c r="G183" s="2103">
        <f>IF(G182="","",G182+10)</f>
        <v>1790</v>
      </c>
      <c r="H183" s="2104"/>
    </row>
    <row r="184" spans="1:8" ht="15.5" x14ac:dyDescent="0.35">
      <c r="A184" s="625">
        <f>A181+30</f>
        <v>1785</v>
      </c>
      <c r="B184" s="626" t="s">
        <v>430</v>
      </c>
      <c r="C184" s="2101">
        <f>IF(A184="","",A184)</f>
        <v>1785</v>
      </c>
      <c r="D184" s="2102"/>
      <c r="E184" s="627">
        <f>E181+30</f>
        <v>1800</v>
      </c>
      <c r="F184" s="628" t="s">
        <v>431</v>
      </c>
      <c r="G184" s="2103">
        <f>IF(E184="","",E184)</f>
        <v>1800</v>
      </c>
      <c r="H184" s="2104"/>
    </row>
    <row r="185" spans="1:8" ht="15.5" x14ac:dyDescent="0.35">
      <c r="A185" s="625"/>
      <c r="B185" s="626" t="s">
        <v>430</v>
      </c>
      <c r="C185" s="2101">
        <f>IF(C184="","",C184+10)</f>
        <v>1795</v>
      </c>
      <c r="D185" s="2102"/>
      <c r="E185" s="627"/>
      <c r="F185" s="628" t="s">
        <v>431</v>
      </c>
      <c r="G185" s="2103">
        <f>IF(G184="","",G184+10)</f>
        <v>1810</v>
      </c>
      <c r="H185" s="2104"/>
    </row>
    <row r="186" spans="1:8" ht="15.5" x14ac:dyDescent="0.35">
      <c r="A186" s="625"/>
      <c r="B186" s="626" t="s">
        <v>430</v>
      </c>
      <c r="C186" s="2101">
        <f>IF(C185="","",C185+10)</f>
        <v>1805</v>
      </c>
      <c r="D186" s="2102"/>
      <c r="E186" s="627"/>
      <c r="F186" s="628" t="s">
        <v>431</v>
      </c>
      <c r="G186" s="2103">
        <f>IF(G185="","",G185+10)</f>
        <v>1820</v>
      </c>
      <c r="H186" s="2104"/>
    </row>
    <row r="187" spans="1:8" ht="15.5" x14ac:dyDescent="0.35">
      <c r="A187" s="625">
        <f>A184+30</f>
        <v>1815</v>
      </c>
      <c r="B187" s="626" t="s">
        <v>430</v>
      </c>
      <c r="C187" s="2101">
        <f>IF(A187="","",A187)</f>
        <v>1815</v>
      </c>
      <c r="D187" s="2102"/>
      <c r="E187" s="627">
        <f>E184+30</f>
        <v>1830</v>
      </c>
      <c r="F187" s="628" t="s">
        <v>431</v>
      </c>
      <c r="G187" s="2103">
        <f>IF(E187="","",E187)</f>
        <v>1830</v>
      </c>
      <c r="H187" s="2104"/>
    </row>
    <row r="188" spans="1:8" ht="15.5" x14ac:dyDescent="0.35">
      <c r="A188" s="625"/>
      <c r="B188" s="626" t="s">
        <v>430</v>
      </c>
      <c r="C188" s="2101">
        <f>IF(C187="","",C187+10)</f>
        <v>1825</v>
      </c>
      <c r="D188" s="2102"/>
      <c r="E188" s="627"/>
      <c r="F188" s="628" t="s">
        <v>431</v>
      </c>
      <c r="G188" s="2103">
        <f>IF(G187="","",G187+10)</f>
        <v>1840</v>
      </c>
      <c r="H188" s="2104"/>
    </row>
    <row r="189" spans="1:8" ht="15.5" x14ac:dyDescent="0.35">
      <c r="A189" s="625"/>
      <c r="B189" s="626" t="s">
        <v>430</v>
      </c>
      <c r="C189" s="2101">
        <f>IF(C188="","",C188+10)</f>
        <v>1835</v>
      </c>
      <c r="D189" s="2102"/>
      <c r="E189" s="627"/>
      <c r="F189" s="628" t="s">
        <v>431</v>
      </c>
      <c r="G189" s="2103">
        <f>IF(G188="","",G188+10)</f>
        <v>1850</v>
      </c>
      <c r="H189" s="2104"/>
    </row>
    <row r="190" spans="1:8" ht="15.5" x14ac:dyDescent="0.35">
      <c r="A190" s="625">
        <f>A187+30</f>
        <v>1845</v>
      </c>
      <c r="B190" s="626" t="s">
        <v>430</v>
      </c>
      <c r="C190" s="2101">
        <f>IF(A190="","",A190)</f>
        <v>1845</v>
      </c>
      <c r="D190" s="2102"/>
      <c r="E190" s="627">
        <f>E187+30</f>
        <v>1860</v>
      </c>
      <c r="F190" s="628" t="s">
        <v>431</v>
      </c>
      <c r="G190" s="2103">
        <f>IF(E190="","",E190)</f>
        <v>1860</v>
      </c>
      <c r="H190" s="2104"/>
    </row>
    <row r="191" spans="1:8" ht="15.5" x14ac:dyDescent="0.35">
      <c r="A191" s="625"/>
      <c r="B191" s="626" t="s">
        <v>430</v>
      </c>
      <c r="C191" s="2101">
        <f>IF(C190="","",C190+10)</f>
        <v>1855</v>
      </c>
      <c r="D191" s="2102"/>
      <c r="E191" s="627"/>
      <c r="F191" s="628" t="s">
        <v>431</v>
      </c>
      <c r="G191" s="2103">
        <f>IF(G190="","",G190+10)</f>
        <v>1870</v>
      </c>
      <c r="H191" s="2104"/>
    </row>
    <row r="192" spans="1:8" ht="15.5" x14ac:dyDescent="0.35">
      <c r="A192" s="625"/>
      <c r="B192" s="626" t="s">
        <v>430</v>
      </c>
      <c r="C192" s="2101">
        <f>IF(C191="","",C191+10)</f>
        <v>1865</v>
      </c>
      <c r="D192" s="2102"/>
      <c r="E192" s="627"/>
      <c r="F192" s="628" t="s">
        <v>431</v>
      </c>
      <c r="G192" s="2103">
        <f>IF(G191="","",G191+10)</f>
        <v>1880</v>
      </c>
      <c r="H192" s="2104"/>
    </row>
    <row r="193" spans="1:8" ht="15.5" x14ac:dyDescent="0.35">
      <c r="A193" s="625">
        <f>A190+30</f>
        <v>1875</v>
      </c>
      <c r="B193" s="626" t="s">
        <v>430</v>
      </c>
      <c r="C193" s="2101">
        <f>IF(A193="","",A193)</f>
        <v>1875</v>
      </c>
      <c r="D193" s="2102"/>
      <c r="E193" s="627">
        <f>E190+30</f>
        <v>1890</v>
      </c>
      <c r="F193" s="628" t="s">
        <v>431</v>
      </c>
      <c r="G193" s="2103">
        <f>IF(E193="","",E193)</f>
        <v>1890</v>
      </c>
      <c r="H193" s="2104"/>
    </row>
    <row r="194" spans="1:8" ht="15.5" x14ac:dyDescent="0.35">
      <c r="A194" s="625"/>
      <c r="B194" s="626" t="s">
        <v>430</v>
      </c>
      <c r="C194" s="2101">
        <f>IF(C193="","",C193+10)</f>
        <v>1885</v>
      </c>
      <c r="D194" s="2102"/>
      <c r="E194" s="627"/>
      <c r="F194" s="628" t="s">
        <v>431</v>
      </c>
      <c r="G194" s="2103">
        <f>IF(G193="","",G193+10)</f>
        <v>1900</v>
      </c>
      <c r="H194" s="2104"/>
    </row>
    <row r="195" spans="1:8" ht="15.5" x14ac:dyDescent="0.35">
      <c r="A195" s="625"/>
      <c r="B195" s="626" t="s">
        <v>430</v>
      </c>
      <c r="C195" s="2101">
        <f>IF(C194="","",C194+10)</f>
        <v>1895</v>
      </c>
      <c r="D195" s="2102"/>
      <c r="E195" s="627"/>
      <c r="F195" s="628" t="s">
        <v>431</v>
      </c>
      <c r="G195" s="2103">
        <f>IF(G194="","",G194+10)</f>
        <v>1910</v>
      </c>
      <c r="H195" s="2104"/>
    </row>
    <row r="196" spans="1:8" ht="15.5" x14ac:dyDescent="0.35">
      <c r="A196" s="625">
        <f>A193+30</f>
        <v>1905</v>
      </c>
      <c r="B196" s="626" t="s">
        <v>430</v>
      </c>
      <c r="C196" s="2101">
        <f>IF(A196="","",A196)</f>
        <v>1905</v>
      </c>
      <c r="D196" s="2102"/>
      <c r="E196" s="627">
        <f>E193+30</f>
        <v>1920</v>
      </c>
      <c r="F196" s="628" t="s">
        <v>431</v>
      </c>
      <c r="G196" s="2103">
        <f>IF(E196="","",E196)</f>
        <v>1920</v>
      </c>
      <c r="H196" s="2104"/>
    </row>
    <row r="197" spans="1:8" ht="15.5" x14ac:dyDescent="0.35">
      <c r="A197" s="625"/>
      <c r="B197" s="626" t="s">
        <v>430</v>
      </c>
      <c r="C197" s="2101">
        <f>IF(C196="","",C196+10)</f>
        <v>1915</v>
      </c>
      <c r="D197" s="2102"/>
      <c r="E197" s="627"/>
      <c r="F197" s="628" t="s">
        <v>431</v>
      </c>
      <c r="G197" s="2103">
        <f>IF(G196="","",G196+10)</f>
        <v>1930</v>
      </c>
      <c r="H197" s="2104"/>
    </row>
    <row r="198" spans="1:8" ht="15.5" x14ac:dyDescent="0.35">
      <c r="A198" s="625"/>
      <c r="B198" s="626" t="s">
        <v>430</v>
      </c>
      <c r="C198" s="2101">
        <f>IF(C197="","",C197+10)</f>
        <v>1925</v>
      </c>
      <c r="D198" s="2102"/>
      <c r="E198" s="627"/>
      <c r="F198" s="628" t="s">
        <v>431</v>
      </c>
      <c r="G198" s="2103">
        <f>IF(G197="","",G197+10)</f>
        <v>1940</v>
      </c>
      <c r="H198" s="2104"/>
    </row>
    <row r="199" spans="1:8" ht="15.5" x14ac:dyDescent="0.35">
      <c r="A199" s="625">
        <f>A196+30</f>
        <v>1935</v>
      </c>
      <c r="B199" s="626" t="s">
        <v>430</v>
      </c>
      <c r="C199" s="2101">
        <f>IF(A199="","",A199)</f>
        <v>1935</v>
      </c>
      <c r="D199" s="2102"/>
      <c r="E199" s="627">
        <f>E196+30</f>
        <v>1950</v>
      </c>
      <c r="F199" s="628" t="s">
        <v>431</v>
      </c>
      <c r="G199" s="2103">
        <f>IF(E199="","",E199)</f>
        <v>1950</v>
      </c>
      <c r="H199" s="2104"/>
    </row>
    <row r="200" spans="1:8" ht="15.5" x14ac:dyDescent="0.35">
      <c r="A200" s="625"/>
      <c r="B200" s="626" t="s">
        <v>430</v>
      </c>
      <c r="C200" s="2101">
        <f>IF(C199="","",C199+10)</f>
        <v>1945</v>
      </c>
      <c r="D200" s="2102"/>
      <c r="E200" s="627"/>
      <c r="F200" s="628" t="s">
        <v>431</v>
      </c>
      <c r="G200" s="2103">
        <f>IF(G199="","",G199+10)</f>
        <v>1960</v>
      </c>
      <c r="H200" s="2104"/>
    </row>
    <row r="201" spans="1:8" ht="15.5" x14ac:dyDescent="0.35">
      <c r="A201" s="625"/>
      <c r="B201" s="626" t="s">
        <v>430</v>
      </c>
      <c r="C201" s="2101">
        <f>IF(C200="","",C200+10)</f>
        <v>1955</v>
      </c>
      <c r="D201" s="2102"/>
      <c r="E201" s="627"/>
      <c r="F201" s="628" t="s">
        <v>431</v>
      </c>
      <c r="G201" s="2103">
        <f>IF(G200="","",G200+10)</f>
        <v>1970</v>
      </c>
      <c r="H201" s="2104"/>
    </row>
    <row r="202" spans="1:8" ht="15.5" x14ac:dyDescent="0.35">
      <c r="A202" s="625">
        <f>A199+30</f>
        <v>1965</v>
      </c>
      <c r="B202" s="626" t="s">
        <v>430</v>
      </c>
      <c r="C202" s="2101">
        <f>IF(A202="","",A202)</f>
        <v>1965</v>
      </c>
      <c r="D202" s="2102"/>
      <c r="E202" s="627">
        <f>E199+30</f>
        <v>1980</v>
      </c>
      <c r="F202" s="628" t="s">
        <v>431</v>
      </c>
      <c r="G202" s="2103">
        <f>IF(E202="","",E202)</f>
        <v>1980</v>
      </c>
      <c r="H202" s="2104"/>
    </row>
    <row r="203" spans="1:8" ht="15.5" x14ac:dyDescent="0.35">
      <c r="A203" s="625"/>
      <c r="B203" s="626" t="s">
        <v>430</v>
      </c>
      <c r="C203" s="2101">
        <f>IF(C202="","",C202+10)</f>
        <v>1975</v>
      </c>
      <c r="D203" s="2102"/>
      <c r="E203" s="627"/>
      <c r="F203" s="628" t="s">
        <v>431</v>
      </c>
      <c r="G203" s="2103">
        <f>IF(G202="","",G202+10)</f>
        <v>1990</v>
      </c>
      <c r="H203" s="2104"/>
    </row>
    <row r="204" spans="1:8" ht="15.5" x14ac:dyDescent="0.35">
      <c r="A204" s="625"/>
      <c r="B204" s="626" t="s">
        <v>430</v>
      </c>
      <c r="C204" s="2101">
        <f>IF(C203="","",C203+10)</f>
        <v>1985</v>
      </c>
      <c r="D204" s="2102"/>
      <c r="E204" s="627"/>
      <c r="F204" s="628" t="s">
        <v>431</v>
      </c>
      <c r="G204" s="2103">
        <f>IF(G203="","",G203+10)</f>
        <v>2000</v>
      </c>
      <c r="H204" s="2104"/>
    </row>
    <row r="205" spans="1:8" ht="15.5" x14ac:dyDescent="0.35">
      <c r="A205" s="625">
        <f>A202+30</f>
        <v>1995</v>
      </c>
      <c r="B205" s="626" t="s">
        <v>430</v>
      </c>
      <c r="C205" s="2101">
        <f>IF(A205="","",A205)</f>
        <v>1995</v>
      </c>
      <c r="D205" s="2102"/>
      <c r="E205" s="627">
        <f>E202+30</f>
        <v>2010</v>
      </c>
      <c r="F205" s="628" t="s">
        <v>431</v>
      </c>
      <c r="G205" s="2103">
        <f>IF(E205="","",E205)</f>
        <v>2010</v>
      </c>
      <c r="H205" s="2104"/>
    </row>
    <row r="206" spans="1:8" ht="15.5" x14ac:dyDescent="0.35">
      <c r="A206" s="625"/>
      <c r="B206" s="626" t="s">
        <v>430</v>
      </c>
      <c r="C206" s="2101">
        <f>IF(C205="","",C205+10)</f>
        <v>2005</v>
      </c>
      <c r="D206" s="2102"/>
      <c r="E206" s="627"/>
      <c r="F206" s="628" t="s">
        <v>431</v>
      </c>
      <c r="G206" s="2103">
        <f>IF(G205="","",G205+10)</f>
        <v>2020</v>
      </c>
      <c r="H206" s="2104"/>
    </row>
    <row r="207" spans="1:8" ht="15.5" x14ac:dyDescent="0.35">
      <c r="A207" s="625"/>
      <c r="B207" s="626" t="s">
        <v>430</v>
      </c>
      <c r="C207" s="2101">
        <f>IF(C206="","",C206+10)</f>
        <v>2015</v>
      </c>
      <c r="D207" s="2102"/>
      <c r="E207" s="627"/>
      <c r="F207" s="628" t="s">
        <v>431</v>
      </c>
      <c r="G207" s="2103">
        <f>IF(G206="","",G206+10)</f>
        <v>2030</v>
      </c>
      <c r="H207" s="2104"/>
    </row>
    <row r="208" spans="1:8" ht="15.5" x14ac:dyDescent="0.35">
      <c r="A208" s="625">
        <f>A205+30</f>
        <v>2025</v>
      </c>
      <c r="B208" s="626" t="s">
        <v>430</v>
      </c>
      <c r="C208" s="2101">
        <f>IF(A208="","",A208)</f>
        <v>2025</v>
      </c>
      <c r="D208" s="2102"/>
      <c r="E208" s="627">
        <f>E205+30</f>
        <v>2040</v>
      </c>
      <c r="F208" s="628" t="s">
        <v>431</v>
      </c>
      <c r="G208" s="2103">
        <f>IF(E208="","",E208)</f>
        <v>2040</v>
      </c>
      <c r="H208" s="2104"/>
    </row>
    <row r="209" spans="1:8" ht="15.5" x14ac:dyDescent="0.35">
      <c r="A209" s="625"/>
      <c r="B209" s="626" t="s">
        <v>430</v>
      </c>
      <c r="C209" s="2101">
        <f>IF(C208="","",C208+10)</f>
        <v>2035</v>
      </c>
      <c r="D209" s="2102"/>
      <c r="E209" s="627"/>
      <c r="F209" s="628" t="s">
        <v>431</v>
      </c>
      <c r="G209" s="2103">
        <f>IF(G208="","",G208+10)</f>
        <v>2050</v>
      </c>
      <c r="H209" s="2104"/>
    </row>
    <row r="210" spans="1:8" ht="15.5" x14ac:dyDescent="0.35">
      <c r="A210" s="625"/>
      <c r="B210" s="626" t="s">
        <v>430</v>
      </c>
      <c r="C210" s="2101">
        <f>IF(C209="","",C209+10)</f>
        <v>2045</v>
      </c>
      <c r="D210" s="2102"/>
      <c r="E210" s="627"/>
      <c r="F210" s="628" t="s">
        <v>431</v>
      </c>
      <c r="G210" s="2103">
        <f>IF(G209="","",G209+10)</f>
        <v>2060</v>
      </c>
      <c r="H210" s="2104"/>
    </row>
    <row r="211" spans="1:8" ht="15.5" x14ac:dyDescent="0.35">
      <c r="A211" s="625">
        <f>A208+30</f>
        <v>2055</v>
      </c>
      <c r="B211" s="626" t="s">
        <v>430</v>
      </c>
      <c r="C211" s="2101">
        <f>IF(A211="","",A211)</f>
        <v>2055</v>
      </c>
      <c r="D211" s="2102"/>
      <c r="E211" s="627">
        <f>E208+30</f>
        <v>2070</v>
      </c>
      <c r="F211" s="628" t="s">
        <v>431</v>
      </c>
      <c r="G211" s="2103">
        <f>IF(E211="","",E211)</f>
        <v>2070</v>
      </c>
      <c r="H211" s="2104"/>
    </row>
    <row r="212" spans="1:8" ht="15.5" x14ac:dyDescent="0.35">
      <c r="A212" s="625"/>
      <c r="B212" s="626" t="s">
        <v>430</v>
      </c>
      <c r="C212" s="2101">
        <f>IF(C211="","",C211+10)</f>
        <v>2065</v>
      </c>
      <c r="D212" s="2102"/>
      <c r="E212" s="627"/>
      <c r="F212" s="628" t="s">
        <v>431</v>
      </c>
      <c r="G212" s="2103">
        <f>IF(G211="","",G211+10)</f>
        <v>2080</v>
      </c>
      <c r="H212" s="2104"/>
    </row>
    <row r="213" spans="1:8" ht="15.5" x14ac:dyDescent="0.35">
      <c r="A213" s="625"/>
      <c r="B213" s="626" t="s">
        <v>430</v>
      </c>
      <c r="C213" s="2101">
        <f>IF(C212="","",C212+10)</f>
        <v>2075</v>
      </c>
      <c r="D213" s="2102"/>
      <c r="E213" s="627"/>
      <c r="F213" s="628" t="s">
        <v>431</v>
      </c>
      <c r="G213" s="2103">
        <f>IF(G212="","",G212+10)</f>
        <v>2090</v>
      </c>
      <c r="H213" s="2104"/>
    </row>
    <row r="214" spans="1:8" ht="15.5" x14ac:dyDescent="0.35">
      <c r="A214" s="625">
        <f>A211+30</f>
        <v>2085</v>
      </c>
      <c r="B214" s="626" t="s">
        <v>430</v>
      </c>
      <c r="C214" s="2101">
        <f>IF(A214="","",A214)</f>
        <v>2085</v>
      </c>
      <c r="D214" s="2102"/>
      <c r="E214" s="627">
        <f>E211+30</f>
        <v>2100</v>
      </c>
      <c r="F214" s="628" t="s">
        <v>431</v>
      </c>
      <c r="G214" s="2103">
        <f>IF(E214="","",E214)</f>
        <v>2100</v>
      </c>
      <c r="H214" s="2104"/>
    </row>
    <row r="215" spans="1:8" ht="15.5" x14ac:dyDescent="0.35">
      <c r="A215" s="625"/>
      <c r="B215" s="626" t="s">
        <v>430</v>
      </c>
      <c r="C215" s="2101">
        <f>IF(C214="","",C214+10)</f>
        <v>2095</v>
      </c>
      <c r="D215" s="2102"/>
      <c r="E215" s="627"/>
      <c r="F215" s="628" t="s">
        <v>431</v>
      </c>
      <c r="G215" s="2103">
        <f>IF(G214="","",G214+10)</f>
        <v>2110</v>
      </c>
      <c r="H215" s="2104"/>
    </row>
    <row r="216" spans="1:8" ht="15.5" x14ac:dyDescent="0.35">
      <c r="A216" s="625"/>
      <c r="B216" s="626" t="s">
        <v>430</v>
      </c>
      <c r="C216" s="2101">
        <f>IF(C215="","",C215+10)</f>
        <v>2105</v>
      </c>
      <c r="D216" s="2102"/>
      <c r="E216" s="627"/>
      <c r="F216" s="628" t="s">
        <v>431</v>
      </c>
      <c r="G216" s="2103">
        <f>IF(G215="","",G215+10)</f>
        <v>2120</v>
      </c>
      <c r="H216" s="2104"/>
    </row>
    <row r="217" spans="1:8" ht="15.5" x14ac:dyDescent="0.35">
      <c r="A217" s="625">
        <f>A214+30</f>
        <v>2115</v>
      </c>
      <c r="B217" s="626" t="s">
        <v>430</v>
      </c>
      <c r="C217" s="2101">
        <f>IF(A217="","",A217)</f>
        <v>2115</v>
      </c>
      <c r="D217" s="2102"/>
      <c r="E217" s="627">
        <f>E214+30</f>
        <v>2130</v>
      </c>
      <c r="F217" s="628" t="s">
        <v>431</v>
      </c>
      <c r="G217" s="2103">
        <f>IF(E217="","",E217)</f>
        <v>2130</v>
      </c>
      <c r="H217" s="2104"/>
    </row>
    <row r="218" spans="1:8" ht="15.5" x14ac:dyDescent="0.35">
      <c r="A218" s="625"/>
      <c r="B218" s="626" t="s">
        <v>430</v>
      </c>
      <c r="C218" s="2101">
        <f>IF(C217="","",C217+10)</f>
        <v>2125</v>
      </c>
      <c r="D218" s="2102"/>
      <c r="E218" s="627"/>
      <c r="F218" s="628" t="s">
        <v>431</v>
      </c>
      <c r="G218" s="2103">
        <f>IF(G217="","",G217+10)</f>
        <v>2140</v>
      </c>
      <c r="H218" s="2104"/>
    </row>
    <row r="219" spans="1:8" ht="15.5" x14ac:dyDescent="0.35">
      <c r="A219" s="625"/>
      <c r="B219" s="626" t="s">
        <v>430</v>
      </c>
      <c r="C219" s="2101">
        <f>IF(C218="","",C218+10)</f>
        <v>2135</v>
      </c>
      <c r="D219" s="2102"/>
      <c r="E219" s="627"/>
      <c r="F219" s="628" t="s">
        <v>431</v>
      </c>
      <c r="G219" s="2103">
        <f>IF(G218="","",G218+10)</f>
        <v>2150</v>
      </c>
      <c r="H219" s="2104"/>
    </row>
    <row r="220" spans="1:8" ht="15.5" x14ac:dyDescent="0.35">
      <c r="A220" s="625">
        <f>A217+30</f>
        <v>2145</v>
      </c>
      <c r="B220" s="626" t="s">
        <v>430</v>
      </c>
      <c r="C220" s="2101">
        <f>IF(A220="","",A220)</f>
        <v>2145</v>
      </c>
      <c r="D220" s="2102"/>
      <c r="E220" s="627">
        <f>E217+30</f>
        <v>2160</v>
      </c>
      <c r="F220" s="628" t="s">
        <v>431</v>
      </c>
      <c r="G220" s="2103">
        <f>IF(E220="","",E220)</f>
        <v>2160</v>
      </c>
      <c r="H220" s="2104"/>
    </row>
    <row r="221" spans="1:8" ht="15.5" x14ac:dyDescent="0.35">
      <c r="A221" s="625"/>
      <c r="B221" s="626" t="s">
        <v>430</v>
      </c>
      <c r="C221" s="2101">
        <f>IF(C220="","",C220+10)</f>
        <v>2155</v>
      </c>
      <c r="D221" s="2102"/>
      <c r="E221" s="627"/>
      <c r="F221" s="628" t="s">
        <v>431</v>
      </c>
      <c r="G221" s="2103">
        <f>IF(G220="","",G220+10)</f>
        <v>2170</v>
      </c>
      <c r="H221" s="2104"/>
    </row>
    <row r="222" spans="1:8" ht="15.5" x14ac:dyDescent="0.35">
      <c r="A222" s="625"/>
      <c r="B222" s="626" t="s">
        <v>430</v>
      </c>
      <c r="C222" s="2101">
        <f>IF(C221="","",C221+10)</f>
        <v>2165</v>
      </c>
      <c r="D222" s="2102"/>
      <c r="E222" s="627"/>
      <c r="F222" s="628" t="s">
        <v>431</v>
      </c>
      <c r="G222" s="2103">
        <f>IF(G221="","",G221+10)</f>
        <v>2180</v>
      </c>
      <c r="H222" s="2104"/>
    </row>
    <row r="223" spans="1:8" ht="15.5" x14ac:dyDescent="0.35">
      <c r="A223" s="625">
        <f>A220+30</f>
        <v>2175</v>
      </c>
      <c r="B223" s="626" t="s">
        <v>430</v>
      </c>
      <c r="C223" s="2101">
        <f>IF(A223="","",A223)</f>
        <v>2175</v>
      </c>
      <c r="D223" s="2102"/>
      <c r="E223" s="627">
        <f>E220+30</f>
        <v>2190</v>
      </c>
      <c r="F223" s="628" t="s">
        <v>431</v>
      </c>
      <c r="G223" s="2103">
        <f>IF(E223="","",E223)</f>
        <v>2190</v>
      </c>
      <c r="H223" s="2104"/>
    </row>
    <row r="224" spans="1:8" ht="15.5" x14ac:dyDescent="0.35">
      <c r="A224" s="625"/>
      <c r="B224" s="626" t="s">
        <v>430</v>
      </c>
      <c r="C224" s="2101">
        <f>IF(C223="","",C223+10)</f>
        <v>2185</v>
      </c>
      <c r="D224" s="2102"/>
      <c r="E224" s="627"/>
      <c r="F224" s="628" t="s">
        <v>431</v>
      </c>
      <c r="G224" s="2103">
        <f>IF(G223="","",G223+10)</f>
        <v>2200</v>
      </c>
      <c r="H224" s="2104"/>
    </row>
    <row r="225" spans="1:8" ht="15.5" x14ac:dyDescent="0.35">
      <c r="A225" s="625"/>
      <c r="B225" s="626" t="s">
        <v>430</v>
      </c>
      <c r="C225" s="2101">
        <f>IF(C224="","",C224+10)</f>
        <v>2195</v>
      </c>
      <c r="D225" s="2102"/>
      <c r="E225" s="627"/>
      <c r="F225" s="628" t="s">
        <v>431</v>
      </c>
      <c r="G225" s="2103">
        <f>IF(G224="","",G224+10)</f>
        <v>2210</v>
      </c>
      <c r="H225" s="2104"/>
    </row>
    <row r="226" spans="1:8" ht="15.5" x14ac:dyDescent="0.35">
      <c r="A226" s="625">
        <f>A223+30</f>
        <v>2205</v>
      </c>
      <c r="B226" s="626" t="s">
        <v>430</v>
      </c>
      <c r="C226" s="2101">
        <f>IF(A226="","",A226)</f>
        <v>2205</v>
      </c>
      <c r="D226" s="2102"/>
      <c r="E226" s="627">
        <f>E223+30</f>
        <v>2220</v>
      </c>
      <c r="F226" s="628" t="s">
        <v>431</v>
      </c>
      <c r="G226" s="2103">
        <f>IF(E226="","",E226)</f>
        <v>2220</v>
      </c>
      <c r="H226" s="2104"/>
    </row>
    <row r="227" spans="1:8" ht="15.5" x14ac:dyDescent="0.35">
      <c r="A227" s="625"/>
      <c r="B227" s="626" t="s">
        <v>430</v>
      </c>
      <c r="C227" s="2101">
        <f>IF(C226="","",C226+10)</f>
        <v>2215</v>
      </c>
      <c r="D227" s="2102"/>
      <c r="E227" s="627"/>
      <c r="F227" s="628" t="s">
        <v>431</v>
      </c>
      <c r="G227" s="2103">
        <f>IF(G226="","",G226+10)</f>
        <v>2230</v>
      </c>
      <c r="H227" s="2104"/>
    </row>
    <row r="228" spans="1:8" ht="15.5" x14ac:dyDescent="0.35">
      <c r="A228" s="625"/>
      <c r="B228" s="626" t="s">
        <v>430</v>
      </c>
      <c r="C228" s="2101">
        <f>IF(C227="","",C227+10)</f>
        <v>2225</v>
      </c>
      <c r="D228" s="2102"/>
      <c r="E228" s="627"/>
      <c r="F228" s="628" t="s">
        <v>431</v>
      </c>
      <c r="G228" s="2103">
        <f>IF(G227="","",G227+10)</f>
        <v>2240</v>
      </c>
      <c r="H228" s="2104"/>
    </row>
    <row r="229" spans="1:8" ht="15.5" x14ac:dyDescent="0.35">
      <c r="A229" s="625">
        <f>A226+30</f>
        <v>2235</v>
      </c>
      <c r="B229" s="626" t="s">
        <v>430</v>
      </c>
      <c r="C229" s="2101">
        <f>IF(A229="","",A229)</f>
        <v>2235</v>
      </c>
      <c r="D229" s="2102"/>
      <c r="E229" s="627">
        <f>E226+30</f>
        <v>2250</v>
      </c>
      <c r="F229" s="628" t="s">
        <v>431</v>
      </c>
      <c r="G229" s="2103">
        <f>IF(E229="","",E229)</f>
        <v>2250</v>
      </c>
      <c r="H229" s="2104"/>
    </row>
    <row r="230" spans="1:8" ht="15.5" x14ac:dyDescent="0.35">
      <c r="A230" s="625"/>
      <c r="B230" s="626" t="s">
        <v>430</v>
      </c>
      <c r="C230" s="2101">
        <f>IF(C229="","",C229+10)</f>
        <v>2245</v>
      </c>
      <c r="D230" s="2102"/>
      <c r="E230" s="627"/>
      <c r="F230" s="628" t="s">
        <v>431</v>
      </c>
      <c r="G230" s="2103">
        <f>IF(G229="","",G229+10)</f>
        <v>2260</v>
      </c>
      <c r="H230" s="2104"/>
    </row>
    <row r="231" spans="1:8" ht="15.5" x14ac:dyDescent="0.35">
      <c r="A231" s="625"/>
      <c r="B231" s="626" t="s">
        <v>430</v>
      </c>
      <c r="C231" s="2101">
        <f>IF(C230="","",C230+10)</f>
        <v>2255</v>
      </c>
      <c r="D231" s="2102"/>
      <c r="E231" s="627"/>
      <c r="F231" s="628" t="s">
        <v>431</v>
      </c>
      <c r="G231" s="2103">
        <f>IF(G230="","",G230+10)</f>
        <v>2270</v>
      </c>
      <c r="H231" s="2104"/>
    </row>
    <row r="232" spans="1:8" ht="15.5" x14ac:dyDescent="0.35">
      <c r="A232" s="625">
        <f>A229+30</f>
        <v>2265</v>
      </c>
      <c r="B232" s="626" t="s">
        <v>430</v>
      </c>
      <c r="C232" s="2101">
        <f>IF(A232="","",A232)</f>
        <v>2265</v>
      </c>
      <c r="D232" s="2102"/>
      <c r="E232" s="627">
        <f>E229+30</f>
        <v>2280</v>
      </c>
      <c r="F232" s="628" t="s">
        <v>431</v>
      </c>
      <c r="G232" s="2103">
        <f>IF(E232="","",E232)</f>
        <v>2280</v>
      </c>
      <c r="H232" s="2104"/>
    </row>
    <row r="233" spans="1:8" ht="15.5" x14ac:dyDescent="0.35">
      <c r="A233" s="625"/>
      <c r="B233" s="626" t="s">
        <v>430</v>
      </c>
      <c r="C233" s="2101">
        <f>IF(C232="","",C232+10)</f>
        <v>2275</v>
      </c>
      <c r="D233" s="2102"/>
      <c r="E233" s="627"/>
      <c r="F233" s="628" t="s">
        <v>431</v>
      </c>
      <c r="G233" s="2103">
        <f>IF(G232="","",G232+10)</f>
        <v>2290</v>
      </c>
      <c r="H233" s="2104"/>
    </row>
    <row r="234" spans="1:8" ht="15.5" x14ac:dyDescent="0.35">
      <c r="A234" s="625"/>
      <c r="B234" s="626" t="s">
        <v>430</v>
      </c>
      <c r="C234" s="2101">
        <f>IF(C233="","",C233+10)</f>
        <v>2285</v>
      </c>
      <c r="D234" s="2102"/>
      <c r="E234" s="627"/>
      <c r="F234" s="628" t="s">
        <v>431</v>
      </c>
      <c r="G234" s="2103">
        <f>IF(G233="","",G233+10)</f>
        <v>2300</v>
      </c>
      <c r="H234" s="2104"/>
    </row>
    <row r="235" spans="1:8" ht="15.5" x14ac:dyDescent="0.35">
      <c r="A235" s="625">
        <f>A232+30</f>
        <v>2295</v>
      </c>
      <c r="B235" s="626" t="s">
        <v>430</v>
      </c>
      <c r="C235" s="2101">
        <f>IF(A235="","",A235)</f>
        <v>2295</v>
      </c>
      <c r="D235" s="2102"/>
      <c r="E235" s="627">
        <f>E232+30</f>
        <v>2310</v>
      </c>
      <c r="F235" s="628" t="s">
        <v>431</v>
      </c>
      <c r="G235" s="2103">
        <f>IF(E235="","",E235)</f>
        <v>2310</v>
      </c>
      <c r="H235" s="2104"/>
    </row>
    <row r="236" spans="1:8" ht="15.5" x14ac:dyDescent="0.35">
      <c r="A236" s="625"/>
      <c r="B236" s="626" t="s">
        <v>430</v>
      </c>
      <c r="C236" s="2101">
        <f>IF(C235="","",C235+10)</f>
        <v>2305</v>
      </c>
      <c r="D236" s="2102"/>
      <c r="E236" s="627"/>
      <c r="F236" s="628" t="s">
        <v>431</v>
      </c>
      <c r="G236" s="2103">
        <f>IF(G235="","",G235+10)</f>
        <v>2320</v>
      </c>
      <c r="H236" s="2104"/>
    </row>
    <row r="237" spans="1:8" ht="15.5" x14ac:dyDescent="0.35">
      <c r="A237" s="625"/>
      <c r="B237" s="626" t="s">
        <v>430</v>
      </c>
      <c r="C237" s="2101">
        <f>IF(C236="","",C236+10)</f>
        <v>2315</v>
      </c>
      <c r="D237" s="2102"/>
      <c r="E237" s="627"/>
      <c r="F237" s="628" t="s">
        <v>431</v>
      </c>
      <c r="G237" s="2103">
        <f>IF(G236="","",G236+10)</f>
        <v>2330</v>
      </c>
      <c r="H237" s="2104"/>
    </row>
    <row r="238" spans="1:8" ht="15.5" x14ac:dyDescent="0.35">
      <c r="A238" s="625">
        <f>A235+30</f>
        <v>2325</v>
      </c>
      <c r="B238" s="626" t="s">
        <v>430</v>
      </c>
      <c r="C238" s="2101">
        <f>IF(A238="","",A238)</f>
        <v>2325</v>
      </c>
      <c r="D238" s="2102"/>
      <c r="E238" s="627">
        <f>E235+30</f>
        <v>2340</v>
      </c>
      <c r="F238" s="628" t="s">
        <v>431</v>
      </c>
      <c r="G238" s="2103">
        <f>IF(E238="","",E238)</f>
        <v>2340</v>
      </c>
      <c r="H238" s="2104"/>
    </row>
    <row r="239" spans="1:8" ht="15.5" x14ac:dyDescent="0.35">
      <c r="A239" s="625"/>
      <c r="B239" s="626" t="s">
        <v>430</v>
      </c>
      <c r="C239" s="2101">
        <f>IF(C238="","",C238+10)</f>
        <v>2335</v>
      </c>
      <c r="D239" s="2102"/>
      <c r="E239" s="627"/>
      <c r="F239" s="628" t="s">
        <v>431</v>
      </c>
      <c r="G239" s="2103">
        <f>IF(G238="","",G238+10)</f>
        <v>2350</v>
      </c>
      <c r="H239" s="2104"/>
    </row>
    <row r="240" spans="1:8" ht="15.5" x14ac:dyDescent="0.35">
      <c r="A240" s="625"/>
      <c r="B240" s="626" t="s">
        <v>430</v>
      </c>
      <c r="C240" s="2101">
        <f>IF(C239="","",C239+10)</f>
        <v>2345</v>
      </c>
      <c r="D240" s="2102"/>
      <c r="E240" s="627"/>
      <c r="F240" s="628" t="s">
        <v>431</v>
      </c>
      <c r="G240" s="2103">
        <f>IF(G239="","",G239+10)</f>
        <v>2360</v>
      </c>
      <c r="H240" s="2104"/>
    </row>
    <row r="241" spans="1:8" ht="15.5" x14ac:dyDescent="0.35">
      <c r="A241" s="625">
        <f>A238+30</f>
        <v>2355</v>
      </c>
      <c r="B241" s="626" t="s">
        <v>430</v>
      </c>
      <c r="C241" s="2101">
        <f>IF(A241="","",A241)</f>
        <v>2355</v>
      </c>
      <c r="D241" s="2102"/>
      <c r="E241" s="627">
        <f>E238+30</f>
        <v>2370</v>
      </c>
      <c r="F241" s="628" t="s">
        <v>431</v>
      </c>
      <c r="G241" s="2103">
        <f>IF(E241="","",E241)</f>
        <v>2370</v>
      </c>
      <c r="H241" s="2104"/>
    </row>
    <row r="242" spans="1:8" ht="15.5" x14ac:dyDescent="0.35">
      <c r="A242" s="625"/>
      <c r="B242" s="626" t="s">
        <v>430</v>
      </c>
      <c r="C242" s="2101">
        <f>IF(C241="","",C241+10)</f>
        <v>2365</v>
      </c>
      <c r="D242" s="2102"/>
      <c r="E242" s="627"/>
      <c r="F242" s="628" t="s">
        <v>431</v>
      </c>
      <c r="G242" s="2103">
        <f>IF(G241="","",G241+10)</f>
        <v>2380</v>
      </c>
      <c r="H242" s="2104"/>
    </row>
    <row r="243" spans="1:8" ht="15.5" x14ac:dyDescent="0.35">
      <c r="A243" s="625"/>
      <c r="B243" s="626" t="s">
        <v>430</v>
      </c>
      <c r="C243" s="2101">
        <f>IF(C242="","",C242+10)</f>
        <v>2375</v>
      </c>
      <c r="D243" s="2102"/>
      <c r="E243" s="627"/>
      <c r="F243" s="628" t="s">
        <v>431</v>
      </c>
      <c r="G243" s="2103">
        <f>IF(G242="","",G242+10)</f>
        <v>2390</v>
      </c>
      <c r="H243" s="2104"/>
    </row>
    <row r="244" spans="1:8" ht="15.5" x14ac:dyDescent="0.35">
      <c r="A244" s="625">
        <f>A241+30</f>
        <v>2385</v>
      </c>
      <c r="B244" s="626" t="s">
        <v>430</v>
      </c>
      <c r="C244" s="2101">
        <f>IF(A244="","",A244)</f>
        <v>2385</v>
      </c>
      <c r="D244" s="2102"/>
      <c r="E244" s="627">
        <f>E241+30</f>
        <v>2400</v>
      </c>
      <c r="F244" s="628" t="s">
        <v>431</v>
      </c>
      <c r="G244" s="2103">
        <f>IF(E244="","",E244)</f>
        <v>2400</v>
      </c>
      <c r="H244" s="2104"/>
    </row>
    <row r="245" spans="1:8" ht="15.5" x14ac:dyDescent="0.35">
      <c r="A245" s="625"/>
      <c r="B245" s="626" t="s">
        <v>430</v>
      </c>
      <c r="C245" s="2101">
        <f>IF(C244="","",C244+10)</f>
        <v>2395</v>
      </c>
      <c r="D245" s="2102"/>
      <c r="E245" s="627"/>
      <c r="F245" s="628" t="s">
        <v>431</v>
      </c>
      <c r="G245" s="2103">
        <f>IF(G244="","",G244+10)</f>
        <v>2410</v>
      </c>
      <c r="H245" s="2104"/>
    </row>
    <row r="246" spans="1:8" ht="15.5" x14ac:dyDescent="0.35">
      <c r="A246" s="625"/>
      <c r="B246" s="626" t="s">
        <v>430</v>
      </c>
      <c r="C246" s="2101">
        <f>IF(C245="","",C245+10)</f>
        <v>2405</v>
      </c>
      <c r="D246" s="2102"/>
      <c r="E246" s="627"/>
      <c r="F246" s="628" t="s">
        <v>431</v>
      </c>
      <c r="G246" s="2103">
        <f>IF(G245="","",G245+10)</f>
        <v>2420</v>
      </c>
      <c r="H246" s="2104"/>
    </row>
    <row r="247" spans="1:8" ht="15.5" x14ac:dyDescent="0.35">
      <c r="A247" s="625">
        <f>A244+30</f>
        <v>2415</v>
      </c>
      <c r="B247" s="626" t="s">
        <v>430</v>
      </c>
      <c r="C247" s="2101">
        <f>IF(A247="","",A247)</f>
        <v>2415</v>
      </c>
      <c r="D247" s="2102"/>
      <c r="E247" s="627">
        <f>E244+30</f>
        <v>2430</v>
      </c>
      <c r="F247" s="628" t="s">
        <v>431</v>
      </c>
      <c r="G247" s="2103">
        <f>IF(E247="","",E247)</f>
        <v>2430</v>
      </c>
      <c r="H247" s="2104"/>
    </row>
    <row r="248" spans="1:8" ht="15.5" x14ac:dyDescent="0.35">
      <c r="A248" s="625"/>
      <c r="B248" s="626" t="s">
        <v>430</v>
      </c>
      <c r="C248" s="2101">
        <f>IF(C247="","",C247+10)</f>
        <v>2425</v>
      </c>
      <c r="D248" s="2102"/>
      <c r="E248" s="627"/>
      <c r="F248" s="628" t="s">
        <v>431</v>
      </c>
      <c r="G248" s="2103">
        <f>IF(G247="","",G247+10)</f>
        <v>2440</v>
      </c>
      <c r="H248" s="2104"/>
    </row>
    <row r="249" spans="1:8" ht="15.5" x14ac:dyDescent="0.35">
      <c r="A249" s="625"/>
      <c r="B249" s="626" t="s">
        <v>430</v>
      </c>
      <c r="C249" s="2101">
        <f>IF(C248="","",C248+10)</f>
        <v>2435</v>
      </c>
      <c r="D249" s="2102"/>
      <c r="E249" s="627"/>
      <c r="F249" s="628" t="s">
        <v>431</v>
      </c>
      <c r="G249" s="2103">
        <f>IF(G248="","",G248+10)</f>
        <v>2450</v>
      </c>
      <c r="H249" s="2104"/>
    </row>
    <row r="250" spans="1:8" ht="15.5" x14ac:dyDescent="0.35">
      <c r="A250" s="625">
        <f>A247+30</f>
        <v>2445</v>
      </c>
      <c r="B250" s="626" t="s">
        <v>430</v>
      </c>
      <c r="C250" s="2101">
        <f>IF(A250="","",A250)</f>
        <v>2445</v>
      </c>
      <c r="D250" s="2102"/>
      <c r="E250" s="627">
        <f>E247+30</f>
        <v>2460</v>
      </c>
      <c r="F250" s="628" t="s">
        <v>431</v>
      </c>
      <c r="G250" s="2103">
        <f>IF(E250="","",E250)</f>
        <v>2460</v>
      </c>
      <c r="H250" s="2104"/>
    </row>
    <row r="251" spans="1:8" ht="15.5" x14ac:dyDescent="0.35">
      <c r="A251" s="625"/>
      <c r="B251" s="626" t="s">
        <v>430</v>
      </c>
      <c r="C251" s="2101">
        <f>IF(C250="","",C250+10)</f>
        <v>2455</v>
      </c>
      <c r="D251" s="2102"/>
      <c r="E251" s="627"/>
      <c r="F251" s="628" t="s">
        <v>431</v>
      </c>
      <c r="G251" s="2103">
        <f>IF(G250="","",G250+10)</f>
        <v>2470</v>
      </c>
      <c r="H251" s="2104"/>
    </row>
    <row r="252" spans="1:8" ht="15.5" x14ac:dyDescent="0.35">
      <c r="A252" s="625"/>
      <c r="B252" s="626" t="s">
        <v>430</v>
      </c>
      <c r="C252" s="2101">
        <f>IF(C251="","",C251+10)</f>
        <v>2465</v>
      </c>
      <c r="D252" s="2102"/>
      <c r="E252" s="627"/>
      <c r="F252" s="628" t="s">
        <v>431</v>
      </c>
      <c r="G252" s="2103">
        <f>IF(G251="","",G251+10)</f>
        <v>2480</v>
      </c>
      <c r="H252" s="2104"/>
    </row>
    <row r="253" spans="1:8" ht="15.5" x14ac:dyDescent="0.35">
      <c r="A253" s="625">
        <f>A250+30</f>
        <v>2475</v>
      </c>
      <c r="B253" s="626" t="s">
        <v>430</v>
      </c>
      <c r="C253" s="2101">
        <f>IF(A253="","",A253)</f>
        <v>2475</v>
      </c>
      <c r="D253" s="2102"/>
      <c r="E253" s="627">
        <f>E250+30</f>
        <v>2490</v>
      </c>
      <c r="F253" s="628" t="s">
        <v>431</v>
      </c>
      <c r="G253" s="2103">
        <f>IF(E253="","",E253)</f>
        <v>2490</v>
      </c>
      <c r="H253" s="2104"/>
    </row>
    <row r="254" spans="1:8" ht="15.5" x14ac:dyDescent="0.35">
      <c r="A254" s="625"/>
      <c r="B254" s="626" t="s">
        <v>430</v>
      </c>
      <c r="C254" s="2101">
        <f>IF(C253="","",C253+10)</f>
        <v>2485</v>
      </c>
      <c r="D254" s="2102"/>
      <c r="E254" s="627"/>
      <c r="F254" s="628" t="s">
        <v>431</v>
      </c>
      <c r="G254" s="2103">
        <f>IF(G253="","",G253+10)</f>
        <v>2500</v>
      </c>
      <c r="H254" s="2104"/>
    </row>
    <row r="255" spans="1:8" ht="15.5" x14ac:dyDescent="0.35">
      <c r="A255" s="625"/>
      <c r="B255" s="626" t="s">
        <v>430</v>
      </c>
      <c r="C255" s="2101">
        <f>IF(C254="","",C254+10)</f>
        <v>2495</v>
      </c>
      <c r="D255" s="2102"/>
      <c r="E255" s="627"/>
      <c r="F255" s="628" t="s">
        <v>431</v>
      </c>
      <c r="G255" s="2103">
        <f>IF(G254="","",G254+10)</f>
        <v>2510</v>
      </c>
      <c r="H255" s="2104"/>
    </row>
    <row r="256" spans="1:8" ht="15.5" x14ac:dyDescent="0.35">
      <c r="A256" s="625">
        <f>A253+30</f>
        <v>2505</v>
      </c>
      <c r="B256" s="626" t="s">
        <v>430</v>
      </c>
      <c r="C256" s="2101">
        <f>IF(A256="","",A256)</f>
        <v>2505</v>
      </c>
      <c r="D256" s="2102"/>
      <c r="E256" s="627">
        <f>E253+30</f>
        <v>2520</v>
      </c>
      <c r="F256" s="628" t="s">
        <v>431</v>
      </c>
      <c r="G256" s="2103">
        <f>IF(E256="","",E256)</f>
        <v>2520</v>
      </c>
      <c r="H256" s="2104"/>
    </row>
    <row r="257" spans="1:8" ht="15.5" x14ac:dyDescent="0.35">
      <c r="A257" s="625"/>
      <c r="B257" s="626" t="s">
        <v>430</v>
      </c>
      <c r="C257" s="2101">
        <f>IF(C256="","",C256+10)</f>
        <v>2515</v>
      </c>
      <c r="D257" s="2102"/>
      <c r="E257" s="627"/>
      <c r="F257" s="628" t="s">
        <v>431</v>
      </c>
      <c r="G257" s="2103">
        <f>IF(G256="","",G256+10)</f>
        <v>2530</v>
      </c>
      <c r="H257" s="2104"/>
    </row>
    <row r="258" spans="1:8" ht="15.5" x14ac:dyDescent="0.35">
      <c r="A258" s="625"/>
      <c r="B258" s="626" t="s">
        <v>430</v>
      </c>
      <c r="C258" s="2101">
        <f>IF(C257="","",C257+10)</f>
        <v>2525</v>
      </c>
      <c r="D258" s="2102"/>
      <c r="E258" s="627"/>
      <c r="F258" s="628" t="s">
        <v>431</v>
      </c>
      <c r="G258" s="2103">
        <f>IF(G257="","",G257+10)</f>
        <v>2540</v>
      </c>
      <c r="H258" s="2104"/>
    </row>
    <row r="259" spans="1:8" ht="15.5" x14ac:dyDescent="0.35">
      <c r="A259" s="625">
        <f>A256+30</f>
        <v>2535</v>
      </c>
      <c r="B259" s="626" t="s">
        <v>430</v>
      </c>
      <c r="C259" s="2101">
        <f>IF(A259="","",A259)</f>
        <v>2535</v>
      </c>
      <c r="D259" s="2102"/>
      <c r="E259" s="627">
        <f>E256+30</f>
        <v>2550</v>
      </c>
      <c r="F259" s="628" t="s">
        <v>431</v>
      </c>
      <c r="G259" s="2103">
        <f>IF(E259="","",E259)</f>
        <v>2550</v>
      </c>
      <c r="H259" s="2104"/>
    </row>
    <row r="260" spans="1:8" ht="15.5" x14ac:dyDescent="0.35">
      <c r="A260" s="625"/>
      <c r="B260" s="626" t="s">
        <v>430</v>
      </c>
      <c r="C260" s="2101">
        <f>IF(C259="","",C259+10)</f>
        <v>2545</v>
      </c>
      <c r="D260" s="2102"/>
      <c r="E260" s="627"/>
      <c r="F260" s="628" t="s">
        <v>431</v>
      </c>
      <c r="G260" s="2103">
        <f>IF(G259="","",G259+10)</f>
        <v>2560</v>
      </c>
      <c r="H260" s="2104"/>
    </row>
    <row r="261" spans="1:8" ht="15.5" x14ac:dyDescent="0.35">
      <c r="A261" s="625"/>
      <c r="B261" s="626" t="s">
        <v>430</v>
      </c>
      <c r="C261" s="2101">
        <f>IF(C260="","",C260+10)</f>
        <v>2555</v>
      </c>
      <c r="D261" s="2102"/>
      <c r="E261" s="627"/>
      <c r="F261" s="628" t="s">
        <v>431</v>
      </c>
      <c r="G261" s="2103">
        <f>IF(G260="","",G260+10)</f>
        <v>2570</v>
      </c>
      <c r="H261" s="2104"/>
    </row>
    <row r="262" spans="1:8" ht="15.5" x14ac:dyDescent="0.35">
      <c r="A262" s="625">
        <f>A259+30</f>
        <v>2565</v>
      </c>
      <c r="B262" s="626" t="s">
        <v>430</v>
      </c>
      <c r="C262" s="2101">
        <f>IF(A262="","",A262)</f>
        <v>2565</v>
      </c>
      <c r="D262" s="2102"/>
      <c r="E262" s="627">
        <f>E259+30</f>
        <v>2580</v>
      </c>
      <c r="F262" s="628" t="s">
        <v>431</v>
      </c>
      <c r="G262" s="2103">
        <f>IF(E262="","",E262)</f>
        <v>2580</v>
      </c>
      <c r="H262" s="2104"/>
    </row>
    <row r="263" spans="1:8" ht="15.5" x14ac:dyDescent="0.35">
      <c r="A263" s="625"/>
      <c r="B263" s="626" t="s">
        <v>430</v>
      </c>
      <c r="C263" s="2101">
        <f>IF(C262="","",C262+10)</f>
        <v>2575</v>
      </c>
      <c r="D263" s="2102"/>
      <c r="E263" s="627"/>
      <c r="F263" s="628" t="s">
        <v>431</v>
      </c>
      <c r="G263" s="2103">
        <f>IF(G262="","",G262+10)</f>
        <v>2590</v>
      </c>
      <c r="H263" s="2104"/>
    </row>
    <row r="264" spans="1:8" ht="15.5" x14ac:dyDescent="0.35">
      <c r="A264" s="625"/>
      <c r="B264" s="626" t="s">
        <v>430</v>
      </c>
      <c r="C264" s="2101">
        <f>IF(C263="","",C263+10)</f>
        <v>2585</v>
      </c>
      <c r="D264" s="2102"/>
      <c r="E264" s="627"/>
      <c r="F264" s="628" t="s">
        <v>431</v>
      </c>
      <c r="G264" s="2103">
        <f>IF(G263="","",G263+10)</f>
        <v>2600</v>
      </c>
      <c r="H264" s="2104"/>
    </row>
    <row r="265" spans="1:8" ht="15.5" x14ac:dyDescent="0.35">
      <c r="A265" s="625">
        <f>A262+30</f>
        <v>2595</v>
      </c>
      <c r="B265" s="626" t="s">
        <v>430</v>
      </c>
      <c r="C265" s="2101">
        <f>IF(A265="","",A265)</f>
        <v>2595</v>
      </c>
      <c r="D265" s="2102"/>
      <c r="E265" s="627">
        <f>E262+30</f>
        <v>2610</v>
      </c>
      <c r="F265" s="628" t="s">
        <v>431</v>
      </c>
      <c r="G265" s="2103">
        <f>IF(E265="","",E265)</f>
        <v>2610</v>
      </c>
      <c r="H265" s="2104"/>
    </row>
    <row r="266" spans="1:8" ht="15.5" x14ac:dyDescent="0.35">
      <c r="A266" s="625"/>
      <c r="B266" s="626" t="s">
        <v>430</v>
      </c>
      <c r="C266" s="2101">
        <f>IF(C265="","",C265+10)</f>
        <v>2605</v>
      </c>
      <c r="D266" s="2102"/>
      <c r="E266" s="627"/>
      <c r="F266" s="628" t="s">
        <v>431</v>
      </c>
      <c r="G266" s="2103">
        <f>IF(G265="","",G265+10)</f>
        <v>2620</v>
      </c>
      <c r="H266" s="2104"/>
    </row>
    <row r="267" spans="1:8" ht="15.5" x14ac:dyDescent="0.35">
      <c r="A267" s="625"/>
      <c r="B267" s="626" t="s">
        <v>430</v>
      </c>
      <c r="C267" s="2101">
        <f>IF(C266="","",C266+10)</f>
        <v>2615</v>
      </c>
      <c r="D267" s="2102"/>
      <c r="E267" s="627"/>
      <c r="F267" s="628" t="s">
        <v>431</v>
      </c>
      <c r="G267" s="2103">
        <f>IF(G266="","",G266+10)</f>
        <v>2630</v>
      </c>
      <c r="H267" s="2104"/>
    </row>
    <row r="268" spans="1:8" ht="15.5" x14ac:dyDescent="0.35">
      <c r="A268" s="625">
        <f>A265+30</f>
        <v>2625</v>
      </c>
      <c r="B268" s="626" t="s">
        <v>430</v>
      </c>
      <c r="C268" s="2101">
        <f>IF(A268="","",A268)</f>
        <v>2625</v>
      </c>
      <c r="D268" s="2102"/>
      <c r="E268" s="627">
        <f>E265+30</f>
        <v>2640</v>
      </c>
      <c r="F268" s="628" t="s">
        <v>431</v>
      </c>
      <c r="G268" s="2103">
        <f>IF(E268="","",E268)</f>
        <v>2640</v>
      </c>
      <c r="H268" s="2104"/>
    </row>
    <row r="269" spans="1:8" ht="15.5" x14ac:dyDescent="0.35">
      <c r="A269" s="625"/>
      <c r="B269" s="626" t="s">
        <v>430</v>
      </c>
      <c r="C269" s="2101">
        <f>IF(C268="","",C268+10)</f>
        <v>2635</v>
      </c>
      <c r="D269" s="2102"/>
      <c r="E269" s="627"/>
      <c r="F269" s="628" t="s">
        <v>431</v>
      </c>
      <c r="G269" s="2103">
        <f>IF(G268="","",G268+10)</f>
        <v>2650</v>
      </c>
      <c r="H269" s="2104"/>
    </row>
    <row r="270" spans="1:8" ht="15.5" x14ac:dyDescent="0.35">
      <c r="A270" s="625"/>
      <c r="B270" s="626" t="s">
        <v>430</v>
      </c>
      <c r="C270" s="2101">
        <f>IF(C269="","",C269+10)</f>
        <v>2645</v>
      </c>
      <c r="D270" s="2102"/>
      <c r="E270" s="627"/>
      <c r="F270" s="628" t="s">
        <v>431</v>
      </c>
      <c r="G270" s="2103">
        <f>IF(G269="","",G269+10)</f>
        <v>2660</v>
      </c>
      <c r="H270" s="2104"/>
    </row>
    <row r="271" spans="1:8" ht="15.5" x14ac:dyDescent="0.35">
      <c r="A271" s="625">
        <f>A268+30</f>
        <v>2655</v>
      </c>
      <c r="B271" s="626" t="s">
        <v>430</v>
      </c>
      <c r="C271" s="2101">
        <f>IF(A271="","",A271)</f>
        <v>2655</v>
      </c>
      <c r="D271" s="2102"/>
      <c r="E271" s="627">
        <f>E268+30</f>
        <v>2670</v>
      </c>
      <c r="F271" s="628" t="s">
        <v>431</v>
      </c>
      <c r="G271" s="2103">
        <f>IF(E271="","",E271)</f>
        <v>2670</v>
      </c>
      <c r="H271" s="2104"/>
    </row>
    <row r="272" spans="1:8" ht="15.5" x14ac:dyDescent="0.35">
      <c r="A272" s="625"/>
      <c r="B272" s="626" t="s">
        <v>430</v>
      </c>
      <c r="C272" s="2101">
        <f>IF(C271="","",C271+10)</f>
        <v>2665</v>
      </c>
      <c r="D272" s="2102"/>
      <c r="E272" s="627"/>
      <c r="F272" s="628" t="s">
        <v>431</v>
      </c>
      <c r="G272" s="2103">
        <f>IF(G271="","",G271+10)</f>
        <v>2680</v>
      </c>
      <c r="H272" s="2104"/>
    </row>
    <row r="273" spans="1:8" ht="15.5" x14ac:dyDescent="0.35">
      <c r="A273" s="625"/>
      <c r="B273" s="626" t="s">
        <v>430</v>
      </c>
      <c r="C273" s="2101">
        <f>IF(C272="","",C272+10)</f>
        <v>2675</v>
      </c>
      <c r="D273" s="2102"/>
      <c r="E273" s="627"/>
      <c r="F273" s="628" t="s">
        <v>431</v>
      </c>
      <c r="G273" s="2103">
        <f>IF(G272="","",G272+10)</f>
        <v>2690</v>
      </c>
      <c r="H273" s="2104"/>
    </row>
    <row r="274" spans="1:8" ht="15.5" x14ac:dyDescent="0.35">
      <c r="A274" s="625">
        <f>A271+30</f>
        <v>2685</v>
      </c>
      <c r="B274" s="626" t="s">
        <v>430</v>
      </c>
      <c r="C274" s="2101">
        <f>IF(A274="","",A274)</f>
        <v>2685</v>
      </c>
      <c r="D274" s="2102"/>
      <c r="E274" s="627">
        <f>E271+30</f>
        <v>2700</v>
      </c>
      <c r="F274" s="628" t="s">
        <v>431</v>
      </c>
      <c r="G274" s="2103">
        <f>IF(E274="","",E274)</f>
        <v>2700</v>
      </c>
      <c r="H274" s="2104"/>
    </row>
    <row r="275" spans="1:8" ht="15.5" x14ac:dyDescent="0.35">
      <c r="A275" s="625"/>
      <c r="B275" s="626" t="s">
        <v>430</v>
      </c>
      <c r="C275" s="2101">
        <f>IF(C274="","",C274+10)</f>
        <v>2695</v>
      </c>
      <c r="D275" s="2102"/>
      <c r="E275" s="627"/>
      <c r="F275" s="628" t="s">
        <v>431</v>
      </c>
      <c r="G275" s="2103">
        <f>IF(G274="","",G274+10)</f>
        <v>2710</v>
      </c>
      <c r="H275" s="2104"/>
    </row>
    <row r="276" spans="1:8" ht="15.5" x14ac:dyDescent="0.35">
      <c r="A276" s="625"/>
      <c r="B276" s="626" t="s">
        <v>430</v>
      </c>
      <c r="C276" s="2101">
        <f>IF(C275="","",C275+10)</f>
        <v>2705</v>
      </c>
      <c r="D276" s="2102"/>
      <c r="E276" s="627"/>
      <c r="F276" s="628" t="s">
        <v>431</v>
      </c>
      <c r="G276" s="2103">
        <f>IF(G275="","",G275+10)</f>
        <v>2720</v>
      </c>
      <c r="H276" s="2104"/>
    </row>
    <row r="277" spans="1:8" ht="15.5" x14ac:dyDescent="0.35">
      <c r="A277" s="625">
        <f>A274+30</f>
        <v>2715</v>
      </c>
      <c r="B277" s="626" t="s">
        <v>430</v>
      </c>
      <c r="C277" s="2101">
        <f>IF(A277="","",A277)</f>
        <v>2715</v>
      </c>
      <c r="D277" s="2102"/>
      <c r="E277" s="627">
        <f>E274+30</f>
        <v>2730</v>
      </c>
      <c r="F277" s="628" t="s">
        <v>431</v>
      </c>
      <c r="G277" s="2103">
        <f>IF(E277="","",E277)</f>
        <v>2730</v>
      </c>
      <c r="H277" s="2104"/>
    </row>
    <row r="278" spans="1:8" ht="15.5" x14ac:dyDescent="0.35">
      <c r="A278" s="625"/>
      <c r="B278" s="626" t="s">
        <v>430</v>
      </c>
      <c r="C278" s="2101">
        <f>IF(C277="","",C277+10)</f>
        <v>2725</v>
      </c>
      <c r="D278" s="2102"/>
      <c r="E278" s="627"/>
      <c r="F278" s="628" t="s">
        <v>431</v>
      </c>
      <c r="G278" s="2103">
        <f>IF(G277="","",G277+10)</f>
        <v>2740</v>
      </c>
      <c r="H278" s="2104"/>
    </row>
    <row r="279" spans="1:8" ht="15.5" x14ac:dyDescent="0.35">
      <c r="A279" s="625"/>
      <c r="B279" s="626" t="s">
        <v>430</v>
      </c>
      <c r="C279" s="2101">
        <f>IF(C278="","",C278+10)</f>
        <v>2735</v>
      </c>
      <c r="D279" s="2102"/>
      <c r="E279" s="627"/>
      <c r="F279" s="628" t="s">
        <v>431</v>
      </c>
      <c r="G279" s="2103">
        <f>IF(G278="","",G278+10)</f>
        <v>2750</v>
      </c>
      <c r="H279" s="2104"/>
    </row>
    <row r="280" spans="1:8" ht="15.5" x14ac:dyDescent="0.35">
      <c r="A280" s="625">
        <f>A277+30</f>
        <v>2745</v>
      </c>
      <c r="B280" s="626" t="s">
        <v>430</v>
      </c>
      <c r="C280" s="2101">
        <f>IF(A280="","",A280)</f>
        <v>2745</v>
      </c>
      <c r="D280" s="2102"/>
      <c r="E280" s="627">
        <f>E277+30</f>
        <v>2760</v>
      </c>
      <c r="F280" s="628" t="s">
        <v>431</v>
      </c>
      <c r="G280" s="2103">
        <f>IF(E280="","",E280)</f>
        <v>2760</v>
      </c>
      <c r="H280" s="2104"/>
    </row>
    <row r="281" spans="1:8" ht="15.5" x14ac:dyDescent="0.35">
      <c r="A281" s="625"/>
      <c r="B281" s="626" t="s">
        <v>430</v>
      </c>
      <c r="C281" s="2101">
        <f>IF(C280="","",C280+10)</f>
        <v>2755</v>
      </c>
      <c r="D281" s="2102"/>
      <c r="E281" s="627"/>
      <c r="F281" s="628" t="s">
        <v>431</v>
      </c>
      <c r="G281" s="2103">
        <f>IF(G280="","",G280+10)</f>
        <v>2770</v>
      </c>
      <c r="H281" s="2104"/>
    </row>
    <row r="282" spans="1:8" ht="15.5" x14ac:dyDescent="0.35">
      <c r="A282" s="625"/>
      <c r="B282" s="626" t="s">
        <v>430</v>
      </c>
      <c r="C282" s="2101">
        <f>IF(C281="","",C281+10)</f>
        <v>2765</v>
      </c>
      <c r="D282" s="2102"/>
      <c r="E282" s="627"/>
      <c r="F282" s="628" t="s">
        <v>431</v>
      </c>
      <c r="G282" s="2103">
        <f>IF(G281="","",G281+10)</f>
        <v>2780</v>
      </c>
      <c r="H282" s="2104"/>
    </row>
    <row r="283" spans="1:8" ht="15.5" x14ac:dyDescent="0.35">
      <c r="A283" s="625">
        <f>A280+30</f>
        <v>2775</v>
      </c>
      <c r="B283" s="626" t="s">
        <v>430</v>
      </c>
      <c r="C283" s="2101">
        <f>IF(A283="","",A283)</f>
        <v>2775</v>
      </c>
      <c r="D283" s="2102"/>
      <c r="E283" s="627">
        <f>E280+30</f>
        <v>2790</v>
      </c>
      <c r="F283" s="628" t="s">
        <v>431</v>
      </c>
      <c r="G283" s="2103">
        <f>IF(E283="","",E283)</f>
        <v>2790</v>
      </c>
      <c r="H283" s="2104"/>
    </row>
    <row r="284" spans="1:8" ht="15.5" x14ac:dyDescent="0.35">
      <c r="A284" s="625"/>
      <c r="B284" s="626" t="s">
        <v>430</v>
      </c>
      <c r="C284" s="2101">
        <f>IF(C283="","",C283+10)</f>
        <v>2785</v>
      </c>
      <c r="D284" s="2102"/>
      <c r="E284" s="627"/>
      <c r="F284" s="628" t="s">
        <v>431</v>
      </c>
      <c r="G284" s="2103">
        <f>IF(G283="","",G283+10)</f>
        <v>2800</v>
      </c>
      <c r="H284" s="2104"/>
    </row>
    <row r="285" spans="1:8" ht="15.5" x14ac:dyDescent="0.35">
      <c r="A285" s="625"/>
      <c r="B285" s="626" t="s">
        <v>430</v>
      </c>
      <c r="C285" s="2101">
        <f>IF(C284="","",C284+10)</f>
        <v>2795</v>
      </c>
      <c r="D285" s="2102"/>
      <c r="E285" s="627"/>
      <c r="F285" s="628" t="s">
        <v>431</v>
      </c>
      <c r="G285" s="2103">
        <f>IF(G284="","",G284+10)</f>
        <v>2810</v>
      </c>
      <c r="H285" s="2104"/>
    </row>
    <row r="286" spans="1:8" ht="15.5" x14ac:dyDescent="0.35">
      <c r="A286" s="625">
        <f>A283+30</f>
        <v>2805</v>
      </c>
      <c r="B286" s="626" t="s">
        <v>430</v>
      </c>
      <c r="C286" s="2101">
        <f>IF(A286="","",A286)</f>
        <v>2805</v>
      </c>
      <c r="D286" s="2102"/>
      <c r="E286" s="627">
        <f>E283+30</f>
        <v>2820</v>
      </c>
      <c r="F286" s="628" t="s">
        <v>431</v>
      </c>
      <c r="G286" s="2103">
        <f>IF(E286="","",E286)</f>
        <v>2820</v>
      </c>
      <c r="H286" s="2104"/>
    </row>
    <row r="287" spans="1:8" ht="15.5" x14ac:dyDescent="0.35">
      <c r="A287" s="625"/>
      <c r="B287" s="626" t="s">
        <v>430</v>
      </c>
      <c r="C287" s="2101">
        <f>IF(C286="","",C286+10)</f>
        <v>2815</v>
      </c>
      <c r="D287" s="2102"/>
      <c r="E287" s="627"/>
      <c r="F287" s="628" t="s">
        <v>431</v>
      </c>
      <c r="G287" s="2103">
        <f>IF(G286="","",G286+10)</f>
        <v>2830</v>
      </c>
      <c r="H287" s="2104"/>
    </row>
    <row r="288" spans="1:8" ht="15.5" x14ac:dyDescent="0.35">
      <c r="A288" s="625"/>
      <c r="B288" s="626" t="s">
        <v>430</v>
      </c>
      <c r="C288" s="2101">
        <f>IF(C287="","",C287+10)</f>
        <v>2825</v>
      </c>
      <c r="D288" s="2102"/>
      <c r="E288" s="627"/>
      <c r="F288" s="628" t="s">
        <v>431</v>
      </c>
      <c r="G288" s="2103">
        <f>IF(G287="","",G287+10)</f>
        <v>2840</v>
      </c>
      <c r="H288" s="2104"/>
    </row>
    <row r="289" spans="1:8" ht="15.5" x14ac:dyDescent="0.35">
      <c r="A289" s="625">
        <f>A286+30</f>
        <v>2835</v>
      </c>
      <c r="B289" s="626" t="s">
        <v>430</v>
      </c>
      <c r="C289" s="2101">
        <f>IF(A289="","",A289)</f>
        <v>2835</v>
      </c>
      <c r="D289" s="2102"/>
      <c r="E289" s="627">
        <f>E286+30</f>
        <v>2850</v>
      </c>
      <c r="F289" s="628" t="s">
        <v>431</v>
      </c>
      <c r="G289" s="2103">
        <f>IF(E289="","",E289)</f>
        <v>2850</v>
      </c>
      <c r="H289" s="2104"/>
    </row>
    <row r="290" spans="1:8" ht="15.5" x14ac:dyDescent="0.35">
      <c r="A290" s="625"/>
      <c r="B290" s="626" t="s">
        <v>430</v>
      </c>
      <c r="C290" s="2101">
        <f>IF(C289="","",C289+10)</f>
        <v>2845</v>
      </c>
      <c r="D290" s="2102"/>
      <c r="E290" s="627"/>
      <c r="F290" s="628" t="s">
        <v>431</v>
      </c>
      <c r="G290" s="2103">
        <f>IF(G289="","",G289+10)</f>
        <v>2860</v>
      </c>
      <c r="H290" s="2104"/>
    </row>
    <row r="291" spans="1:8" ht="15.5" x14ac:dyDescent="0.35">
      <c r="A291" s="625"/>
      <c r="B291" s="626" t="s">
        <v>430</v>
      </c>
      <c r="C291" s="2101">
        <f>IF(C290="","",C290+10)</f>
        <v>2855</v>
      </c>
      <c r="D291" s="2102"/>
      <c r="E291" s="627"/>
      <c r="F291" s="628" t="s">
        <v>431</v>
      </c>
      <c r="G291" s="2103">
        <f>IF(G290="","",G290+10)</f>
        <v>2870</v>
      </c>
      <c r="H291" s="2104"/>
    </row>
    <row r="292" spans="1:8" ht="15.5" x14ac:dyDescent="0.35">
      <c r="A292" s="625">
        <f>A289+30</f>
        <v>2865</v>
      </c>
      <c r="B292" s="626" t="s">
        <v>430</v>
      </c>
      <c r="C292" s="2101">
        <f>IF(A292="","",A292)</f>
        <v>2865</v>
      </c>
      <c r="D292" s="2102"/>
      <c r="E292" s="627">
        <f>E289+30</f>
        <v>2880</v>
      </c>
      <c r="F292" s="628" t="s">
        <v>431</v>
      </c>
      <c r="G292" s="2103">
        <f>IF(E292="","",E292)</f>
        <v>2880</v>
      </c>
      <c r="H292" s="2104"/>
    </row>
    <row r="293" spans="1:8" ht="15.5" x14ac:dyDescent="0.35">
      <c r="A293" s="625"/>
      <c r="B293" s="626" t="s">
        <v>430</v>
      </c>
      <c r="C293" s="2101">
        <f>IF(C292="","",C292+10)</f>
        <v>2875</v>
      </c>
      <c r="D293" s="2102"/>
      <c r="E293" s="627"/>
      <c r="F293" s="628" t="s">
        <v>431</v>
      </c>
      <c r="G293" s="2103">
        <f>IF(G292="","",G292+10)</f>
        <v>2890</v>
      </c>
      <c r="H293" s="2104"/>
    </row>
    <row r="294" spans="1:8" ht="15.5" x14ac:dyDescent="0.35">
      <c r="A294" s="625"/>
      <c r="B294" s="626" t="s">
        <v>430</v>
      </c>
      <c r="C294" s="2101">
        <f>IF(C293="","",C293+10)</f>
        <v>2885</v>
      </c>
      <c r="D294" s="2102"/>
      <c r="E294" s="627"/>
      <c r="F294" s="628" t="s">
        <v>431</v>
      </c>
      <c r="G294" s="2103">
        <f>IF(G293="","",G293+10)</f>
        <v>2900</v>
      </c>
      <c r="H294" s="2104"/>
    </row>
    <row r="295" spans="1:8" ht="15.5" x14ac:dyDescent="0.35">
      <c r="A295" s="625">
        <f>A292+30</f>
        <v>2895</v>
      </c>
      <c r="B295" s="626" t="s">
        <v>430</v>
      </c>
      <c r="C295" s="2101">
        <f>IF(A295="","",A295)</f>
        <v>2895</v>
      </c>
      <c r="D295" s="2102"/>
      <c r="E295" s="627">
        <f>E292+30</f>
        <v>2910</v>
      </c>
      <c r="F295" s="628" t="s">
        <v>431</v>
      </c>
      <c r="G295" s="2103">
        <f>IF(E295="","",E295)</f>
        <v>2910</v>
      </c>
      <c r="H295" s="2104"/>
    </row>
    <row r="296" spans="1:8" ht="15.5" x14ac:dyDescent="0.35">
      <c r="A296" s="625"/>
      <c r="B296" s="626" t="s">
        <v>430</v>
      </c>
      <c r="C296" s="2101">
        <f>IF(C295="","",C295+10)</f>
        <v>2905</v>
      </c>
      <c r="D296" s="2102"/>
      <c r="E296" s="627"/>
      <c r="F296" s="628" t="s">
        <v>431</v>
      </c>
      <c r="G296" s="2103">
        <f>IF(G295="","",G295+10)</f>
        <v>2920</v>
      </c>
      <c r="H296" s="2104"/>
    </row>
    <row r="297" spans="1:8" ht="15.5" x14ac:dyDescent="0.35">
      <c r="A297" s="625"/>
      <c r="B297" s="626" t="s">
        <v>430</v>
      </c>
      <c r="C297" s="2101">
        <f>IF(C296="","",C296+10)</f>
        <v>2915</v>
      </c>
      <c r="D297" s="2102"/>
      <c r="E297" s="627"/>
      <c r="F297" s="628" t="s">
        <v>431</v>
      </c>
      <c r="G297" s="2103">
        <f>IF(G296="","",G296+10)</f>
        <v>2930</v>
      </c>
      <c r="H297" s="2104"/>
    </row>
    <row r="298" spans="1:8" ht="15.5" x14ac:dyDescent="0.35">
      <c r="A298" s="625">
        <f>A295+30</f>
        <v>2925</v>
      </c>
      <c r="B298" s="626" t="s">
        <v>430</v>
      </c>
      <c r="C298" s="2101">
        <f>IF(A298="","",A298)</f>
        <v>2925</v>
      </c>
      <c r="D298" s="2102"/>
      <c r="E298" s="627">
        <f>E295+30</f>
        <v>2940</v>
      </c>
      <c r="F298" s="628" t="s">
        <v>431</v>
      </c>
      <c r="G298" s="2103">
        <f>IF(E298="","",E298)</f>
        <v>2940</v>
      </c>
      <c r="H298" s="2104"/>
    </row>
    <row r="299" spans="1:8" ht="15.5" x14ac:dyDescent="0.35">
      <c r="A299" s="625"/>
      <c r="B299" s="626" t="s">
        <v>430</v>
      </c>
      <c r="C299" s="2101">
        <f>IF(C298="","",C298+10)</f>
        <v>2935</v>
      </c>
      <c r="D299" s="2102"/>
      <c r="E299" s="627"/>
      <c r="F299" s="628" t="s">
        <v>431</v>
      </c>
      <c r="G299" s="2103">
        <f>IF(G298="","",G298+10)</f>
        <v>2950</v>
      </c>
      <c r="H299" s="2104"/>
    </row>
    <row r="300" spans="1:8" ht="15.5" x14ac:dyDescent="0.35">
      <c r="A300" s="625"/>
      <c r="B300" s="626" t="s">
        <v>430</v>
      </c>
      <c r="C300" s="2101">
        <f>IF(C299="","",C299+10)</f>
        <v>2945</v>
      </c>
      <c r="D300" s="2102"/>
      <c r="E300" s="627"/>
      <c r="F300" s="628" t="s">
        <v>431</v>
      </c>
      <c r="G300" s="2103">
        <f>IF(G299="","",G299+10)</f>
        <v>2960</v>
      </c>
      <c r="H300" s="2104"/>
    </row>
    <row r="301" spans="1:8" ht="15.5" x14ac:dyDescent="0.35">
      <c r="A301" s="625">
        <f>A298+30</f>
        <v>2955</v>
      </c>
      <c r="B301" s="626" t="s">
        <v>430</v>
      </c>
      <c r="C301" s="2101">
        <f>IF(A301="","",A301)</f>
        <v>2955</v>
      </c>
      <c r="D301" s="2102"/>
      <c r="E301" s="627">
        <f>E298+30</f>
        <v>2970</v>
      </c>
      <c r="F301" s="628" t="s">
        <v>431</v>
      </c>
      <c r="G301" s="2103">
        <f>IF(E301="","",E301)</f>
        <v>2970</v>
      </c>
      <c r="H301" s="2104"/>
    </row>
    <row r="302" spans="1:8" ht="15.5" x14ac:dyDescent="0.35">
      <c r="A302" s="625"/>
      <c r="B302" s="626" t="s">
        <v>430</v>
      </c>
      <c r="C302" s="2101">
        <f>IF(C301="","",C301+10)</f>
        <v>2965</v>
      </c>
      <c r="D302" s="2102"/>
      <c r="E302" s="627"/>
      <c r="F302" s="628" t="s">
        <v>431</v>
      </c>
      <c r="G302" s="2103">
        <f>IF(G301="","",G301+10)</f>
        <v>2980</v>
      </c>
      <c r="H302" s="2104"/>
    </row>
    <row r="303" spans="1:8" ht="15.5" x14ac:dyDescent="0.35">
      <c r="A303" s="625"/>
      <c r="B303" s="626" t="s">
        <v>430</v>
      </c>
      <c r="C303" s="2101">
        <f>IF(C302="","",C302+10)</f>
        <v>2975</v>
      </c>
      <c r="D303" s="2102"/>
      <c r="E303" s="627"/>
      <c r="F303" s="628" t="s">
        <v>431</v>
      </c>
      <c r="G303" s="2103">
        <f>IF(G302="","",G302+10)</f>
        <v>2990</v>
      </c>
      <c r="H303" s="2104"/>
    </row>
    <row r="304" spans="1:8" ht="15.5" x14ac:dyDescent="0.35">
      <c r="A304" s="625">
        <f>A301+30</f>
        <v>2985</v>
      </c>
      <c r="B304" s="626" t="s">
        <v>430</v>
      </c>
      <c r="C304" s="2101">
        <f>IF(A304="","",A304)</f>
        <v>2985</v>
      </c>
      <c r="D304" s="2102"/>
      <c r="E304" s="627">
        <f>E301+30</f>
        <v>3000</v>
      </c>
      <c r="F304" s="628" t="s">
        <v>431</v>
      </c>
      <c r="G304" s="2103">
        <f>IF(E304="","",E304)</f>
        <v>3000</v>
      </c>
      <c r="H304" s="2104"/>
    </row>
    <row r="305" spans="1:8" ht="15.5" x14ac:dyDescent="0.35">
      <c r="A305" s="625"/>
      <c r="B305" s="626" t="s">
        <v>430</v>
      </c>
      <c r="C305" s="2101">
        <f>IF(C304="","",C304+10)</f>
        <v>2995</v>
      </c>
      <c r="D305" s="2102"/>
      <c r="E305" s="627"/>
      <c r="F305" s="628" t="s">
        <v>431</v>
      </c>
      <c r="G305" s="2103">
        <f>IF(G304="","",G304+10)</f>
        <v>3010</v>
      </c>
      <c r="H305" s="2104"/>
    </row>
    <row r="306" spans="1:8" ht="15.5" x14ac:dyDescent="0.35">
      <c r="A306" s="625"/>
      <c r="B306" s="626" t="s">
        <v>430</v>
      </c>
      <c r="C306" s="2101">
        <f>IF(C305="","",C305+10)</f>
        <v>3005</v>
      </c>
      <c r="D306" s="2102"/>
      <c r="E306" s="627"/>
      <c r="F306" s="628" t="s">
        <v>431</v>
      </c>
      <c r="G306" s="2103">
        <f>IF(G305="","",G305+10)</f>
        <v>3020</v>
      </c>
      <c r="H306" s="2104"/>
    </row>
    <row r="307" spans="1:8" ht="15.5" x14ac:dyDescent="0.35">
      <c r="A307" s="625">
        <f>A304+30</f>
        <v>3015</v>
      </c>
      <c r="B307" s="626" t="s">
        <v>430</v>
      </c>
      <c r="C307" s="2101">
        <f>IF(A307="","",A307)</f>
        <v>3015</v>
      </c>
      <c r="D307" s="2102"/>
      <c r="E307" s="627">
        <f>E304+30</f>
        <v>3030</v>
      </c>
      <c r="F307" s="628" t="s">
        <v>431</v>
      </c>
      <c r="G307" s="2103">
        <f>IF(E307="","",E307)</f>
        <v>3030</v>
      </c>
      <c r="H307" s="2104"/>
    </row>
    <row r="308" spans="1:8" ht="15.5" x14ac:dyDescent="0.35">
      <c r="A308" s="625"/>
      <c r="B308" s="626" t="s">
        <v>430</v>
      </c>
      <c r="C308" s="2101">
        <f>IF(C307="","",C307+10)</f>
        <v>3025</v>
      </c>
      <c r="D308" s="2102"/>
      <c r="E308" s="627"/>
      <c r="F308" s="628" t="s">
        <v>431</v>
      </c>
      <c r="G308" s="2103">
        <f>IF(G307="","",G307+10)</f>
        <v>3040</v>
      </c>
      <c r="H308" s="2104"/>
    </row>
    <row r="309" spans="1:8" ht="15.5" x14ac:dyDescent="0.35">
      <c r="A309" s="625"/>
      <c r="B309" s="626" t="s">
        <v>430</v>
      </c>
      <c r="C309" s="2101">
        <f>IF(C308="","",C308+10)</f>
        <v>3035</v>
      </c>
      <c r="D309" s="2102"/>
      <c r="E309" s="627"/>
      <c r="F309" s="628" t="s">
        <v>431</v>
      </c>
      <c r="G309" s="2103">
        <f>IF(G308="","",G308+10)</f>
        <v>3050</v>
      </c>
      <c r="H309" s="2104"/>
    </row>
    <row r="310" spans="1:8" ht="15.5" x14ac:dyDescent="0.35">
      <c r="A310" s="625">
        <f>A307+30</f>
        <v>3045</v>
      </c>
      <c r="B310" s="626" t="s">
        <v>430</v>
      </c>
      <c r="C310" s="2101">
        <f>IF(A310="","",A310)</f>
        <v>3045</v>
      </c>
      <c r="D310" s="2102"/>
      <c r="E310" s="627">
        <f>E307+30</f>
        <v>3060</v>
      </c>
      <c r="F310" s="628" t="s">
        <v>431</v>
      </c>
      <c r="G310" s="2103">
        <f>IF(E310="","",E310)</f>
        <v>3060</v>
      </c>
      <c r="H310" s="2104"/>
    </row>
    <row r="311" spans="1:8" ht="15.5" x14ac:dyDescent="0.35">
      <c r="A311" s="625"/>
      <c r="B311" s="626" t="s">
        <v>430</v>
      </c>
      <c r="C311" s="2101">
        <f>IF(C310="","",C310+10)</f>
        <v>3055</v>
      </c>
      <c r="D311" s="2102"/>
      <c r="E311" s="627"/>
      <c r="F311" s="628" t="s">
        <v>431</v>
      </c>
      <c r="G311" s="2103">
        <f>IF(G310="","",G310+10)</f>
        <v>3070</v>
      </c>
      <c r="H311" s="2104"/>
    </row>
    <row r="312" spans="1:8" ht="15.5" x14ac:dyDescent="0.35">
      <c r="A312" s="625"/>
      <c r="B312" s="626" t="s">
        <v>430</v>
      </c>
      <c r="C312" s="2101">
        <f>IF(C311="","",C311+10)</f>
        <v>3065</v>
      </c>
      <c r="D312" s="2102"/>
      <c r="E312" s="627"/>
      <c r="F312" s="628" t="s">
        <v>431</v>
      </c>
      <c r="G312" s="2103">
        <f>IF(G311="","",G311+10)</f>
        <v>3080</v>
      </c>
      <c r="H312" s="2104"/>
    </row>
    <row r="313" spans="1:8" ht="15.5" x14ac:dyDescent="0.35">
      <c r="A313" s="625">
        <f>A310+30</f>
        <v>3075</v>
      </c>
      <c r="B313" s="626" t="s">
        <v>430</v>
      </c>
      <c r="C313" s="2101">
        <f>IF(A313="","",A313)</f>
        <v>3075</v>
      </c>
      <c r="D313" s="2102"/>
      <c r="E313" s="627">
        <f>E310+30</f>
        <v>3090</v>
      </c>
      <c r="F313" s="628" t="s">
        <v>431</v>
      </c>
      <c r="G313" s="2103">
        <f>IF(E313="","",E313)</f>
        <v>3090</v>
      </c>
      <c r="H313" s="2104"/>
    </row>
    <row r="314" spans="1:8" ht="15.5" x14ac:dyDescent="0.35">
      <c r="A314" s="625"/>
      <c r="B314" s="626" t="s">
        <v>430</v>
      </c>
      <c r="C314" s="2101">
        <f>IF(C313="","",C313+10)</f>
        <v>3085</v>
      </c>
      <c r="D314" s="2102"/>
      <c r="E314" s="627"/>
      <c r="F314" s="628" t="s">
        <v>431</v>
      </c>
      <c r="G314" s="2103">
        <f>IF(G313="","",G313+10)</f>
        <v>3100</v>
      </c>
      <c r="H314" s="2104"/>
    </row>
    <row r="315" spans="1:8" ht="15.5" x14ac:dyDescent="0.35">
      <c r="A315" s="625"/>
      <c r="B315" s="626" t="s">
        <v>430</v>
      </c>
      <c r="C315" s="2101">
        <f>IF(C314="","",C314+10)</f>
        <v>3095</v>
      </c>
      <c r="D315" s="2102"/>
      <c r="E315" s="627"/>
      <c r="F315" s="628" t="s">
        <v>431</v>
      </c>
      <c r="G315" s="2103">
        <f>IF(G314="","",G314+10)</f>
        <v>3110</v>
      </c>
      <c r="H315" s="2104"/>
    </row>
    <row r="316" spans="1:8" ht="15.5" x14ac:dyDescent="0.35">
      <c r="A316" s="625">
        <f>A313+30</f>
        <v>3105</v>
      </c>
      <c r="B316" s="626" t="s">
        <v>430</v>
      </c>
      <c r="C316" s="2101">
        <f>IF(A316="","",A316)</f>
        <v>3105</v>
      </c>
      <c r="D316" s="2102"/>
      <c r="E316" s="627">
        <f>E313+30</f>
        <v>3120</v>
      </c>
      <c r="F316" s="628" t="s">
        <v>431</v>
      </c>
      <c r="G316" s="2103">
        <f>IF(E316="","",E316)</f>
        <v>3120</v>
      </c>
      <c r="H316" s="2104"/>
    </row>
    <row r="317" spans="1:8" ht="15.5" x14ac:dyDescent="0.35">
      <c r="A317" s="625"/>
      <c r="B317" s="626" t="s">
        <v>430</v>
      </c>
      <c r="C317" s="2101">
        <f>IF(C316="","",C316+10)</f>
        <v>3115</v>
      </c>
      <c r="D317" s="2102"/>
      <c r="E317" s="627"/>
      <c r="F317" s="628" t="s">
        <v>431</v>
      </c>
      <c r="G317" s="2103">
        <f>IF(G316="","",G316+10)</f>
        <v>3130</v>
      </c>
      <c r="H317" s="2104"/>
    </row>
    <row r="318" spans="1:8" ht="15.5" x14ac:dyDescent="0.35">
      <c r="A318" s="625"/>
      <c r="B318" s="626" t="s">
        <v>430</v>
      </c>
      <c r="C318" s="2101">
        <f>IF(C317="","",C317+10)</f>
        <v>3125</v>
      </c>
      <c r="D318" s="2102"/>
      <c r="E318" s="627"/>
      <c r="F318" s="628" t="s">
        <v>431</v>
      </c>
      <c r="G318" s="2103">
        <f>IF(G317="","",G317+10)</f>
        <v>3140</v>
      </c>
      <c r="H318" s="2104"/>
    </row>
    <row r="319" spans="1:8" ht="15.5" x14ac:dyDescent="0.35">
      <c r="A319" s="625">
        <f>A316+30</f>
        <v>3135</v>
      </c>
      <c r="B319" s="626" t="s">
        <v>430</v>
      </c>
      <c r="C319" s="2101">
        <f>IF(A319="","",A319)</f>
        <v>3135</v>
      </c>
      <c r="D319" s="2102"/>
      <c r="E319" s="627">
        <f>E316+30</f>
        <v>3150</v>
      </c>
      <c r="F319" s="628" t="s">
        <v>431</v>
      </c>
      <c r="G319" s="2103">
        <f>IF(E319="","",E319)</f>
        <v>3150</v>
      </c>
      <c r="H319" s="2104"/>
    </row>
    <row r="320" spans="1:8" ht="15.5" x14ac:dyDescent="0.35">
      <c r="A320" s="625"/>
      <c r="B320" s="626" t="s">
        <v>430</v>
      </c>
      <c r="C320" s="2101">
        <f>IF(C319="","",C319+10)</f>
        <v>3145</v>
      </c>
      <c r="D320" s="2102"/>
      <c r="E320" s="627"/>
      <c r="F320" s="628" t="s">
        <v>431</v>
      </c>
      <c r="G320" s="2103">
        <f>IF(G319="","",G319+10)</f>
        <v>3160</v>
      </c>
      <c r="H320" s="2104"/>
    </row>
    <row r="321" spans="1:8" ht="15.5" x14ac:dyDescent="0.35">
      <c r="A321" s="625"/>
      <c r="B321" s="626" t="s">
        <v>430</v>
      </c>
      <c r="C321" s="2101">
        <f>IF(C320="","",C320+10)</f>
        <v>3155</v>
      </c>
      <c r="D321" s="2102"/>
      <c r="E321" s="627"/>
      <c r="F321" s="628" t="s">
        <v>431</v>
      </c>
      <c r="G321" s="2103">
        <f>IF(G320="","",G320+10)</f>
        <v>3170</v>
      </c>
      <c r="H321" s="2104"/>
    </row>
    <row r="322" spans="1:8" ht="15.5" x14ac:dyDescent="0.35">
      <c r="A322" s="625">
        <f>A319+30</f>
        <v>3165</v>
      </c>
      <c r="B322" s="626" t="s">
        <v>430</v>
      </c>
      <c r="C322" s="2101">
        <f>IF(A322="","",A322)</f>
        <v>3165</v>
      </c>
      <c r="D322" s="2102"/>
      <c r="E322" s="627">
        <f>E319+30</f>
        <v>3180</v>
      </c>
      <c r="F322" s="628" t="s">
        <v>431</v>
      </c>
      <c r="G322" s="2103">
        <f>IF(E322="","",E322)</f>
        <v>3180</v>
      </c>
      <c r="H322" s="2104"/>
    </row>
    <row r="323" spans="1:8" ht="15.5" x14ac:dyDescent="0.35">
      <c r="A323" s="625"/>
      <c r="B323" s="626" t="s">
        <v>430</v>
      </c>
      <c r="C323" s="2101">
        <f>IF(C322="","",C322+10)</f>
        <v>3175</v>
      </c>
      <c r="D323" s="2102"/>
      <c r="E323" s="627"/>
      <c r="F323" s="628" t="s">
        <v>431</v>
      </c>
      <c r="G323" s="2103">
        <f>IF(G322="","",G322+10)</f>
        <v>3190</v>
      </c>
      <c r="H323" s="2104"/>
    </row>
    <row r="324" spans="1:8" ht="15.5" x14ac:dyDescent="0.35">
      <c r="A324" s="625"/>
      <c r="B324" s="626" t="s">
        <v>430</v>
      </c>
      <c r="C324" s="2101">
        <f>IF(C323="","",C323+10)</f>
        <v>3185</v>
      </c>
      <c r="D324" s="2102"/>
      <c r="E324" s="627"/>
      <c r="F324" s="628" t="s">
        <v>431</v>
      </c>
      <c r="G324" s="2103">
        <f>IF(G323="","",G323+10)</f>
        <v>3200</v>
      </c>
      <c r="H324" s="2104"/>
    </row>
    <row r="325" spans="1:8" ht="15.5" x14ac:dyDescent="0.35">
      <c r="A325" s="625">
        <f>A322+30</f>
        <v>3195</v>
      </c>
      <c r="B325" s="626" t="s">
        <v>430</v>
      </c>
      <c r="C325" s="2101">
        <f>IF(A325="","",A325)</f>
        <v>3195</v>
      </c>
      <c r="D325" s="2102"/>
      <c r="E325" s="627">
        <f>E322+30</f>
        <v>3210</v>
      </c>
      <c r="F325" s="628" t="s">
        <v>431</v>
      </c>
      <c r="G325" s="2103">
        <f>IF(E325="","",E325)</f>
        <v>3210</v>
      </c>
      <c r="H325" s="2104"/>
    </row>
    <row r="326" spans="1:8" ht="15.5" x14ac:dyDescent="0.35">
      <c r="A326" s="625"/>
      <c r="B326" s="626" t="s">
        <v>430</v>
      </c>
      <c r="C326" s="2101">
        <f>IF(C325="","",C325+10)</f>
        <v>3205</v>
      </c>
      <c r="D326" s="2102"/>
      <c r="E326" s="627"/>
      <c r="F326" s="628" t="s">
        <v>431</v>
      </c>
      <c r="G326" s="2103">
        <f>IF(G325="","",G325+10)</f>
        <v>3220</v>
      </c>
      <c r="H326" s="2104"/>
    </row>
    <row r="327" spans="1:8" ht="15.5" x14ac:dyDescent="0.35">
      <c r="A327" s="625"/>
      <c r="B327" s="626" t="s">
        <v>430</v>
      </c>
      <c r="C327" s="2101">
        <f>IF(C326="","",C326+10)</f>
        <v>3215</v>
      </c>
      <c r="D327" s="2102"/>
      <c r="E327" s="627"/>
      <c r="F327" s="628" t="s">
        <v>431</v>
      </c>
      <c r="G327" s="2103">
        <f>IF(G326="","",G326+10)</f>
        <v>3230</v>
      </c>
      <c r="H327" s="2104"/>
    </row>
    <row r="328" spans="1:8" ht="15.5" x14ac:dyDescent="0.35">
      <c r="A328" s="625">
        <f>A325+30</f>
        <v>3225</v>
      </c>
      <c r="B328" s="626" t="s">
        <v>430</v>
      </c>
      <c r="C328" s="2101">
        <f>IF(A328="","",A328)</f>
        <v>3225</v>
      </c>
      <c r="D328" s="2102"/>
      <c r="E328" s="627">
        <f>E325+30</f>
        <v>3240</v>
      </c>
      <c r="F328" s="628" t="s">
        <v>431</v>
      </c>
      <c r="G328" s="2103">
        <f>IF(E328="","",E328)</f>
        <v>3240</v>
      </c>
      <c r="H328" s="2104"/>
    </row>
    <row r="329" spans="1:8" ht="15.5" x14ac:dyDescent="0.35">
      <c r="A329" s="625"/>
      <c r="B329" s="626" t="s">
        <v>430</v>
      </c>
      <c r="C329" s="2101">
        <f>IF(C328="","",C328+10)</f>
        <v>3235</v>
      </c>
      <c r="D329" s="2102"/>
      <c r="E329" s="627"/>
      <c r="F329" s="628" t="s">
        <v>431</v>
      </c>
      <c r="G329" s="2103">
        <f>IF(G328="","",G328+10)</f>
        <v>3250</v>
      </c>
      <c r="H329" s="2104"/>
    </row>
    <row r="330" spans="1:8" ht="15.5" x14ac:dyDescent="0.35">
      <c r="A330" s="625"/>
      <c r="B330" s="626" t="s">
        <v>430</v>
      </c>
      <c r="C330" s="2101">
        <f>IF(C329="","",C329+10)</f>
        <v>3245</v>
      </c>
      <c r="D330" s="2102"/>
      <c r="E330" s="627"/>
      <c r="F330" s="628" t="s">
        <v>431</v>
      </c>
      <c r="G330" s="2103">
        <f>IF(G329="","",G329+10)</f>
        <v>3260</v>
      </c>
      <c r="H330" s="2104"/>
    </row>
    <row r="331" spans="1:8" ht="15.5" x14ac:dyDescent="0.35">
      <c r="A331" s="625">
        <f>A328+30</f>
        <v>3255</v>
      </c>
      <c r="B331" s="626" t="s">
        <v>430</v>
      </c>
      <c r="C331" s="2101">
        <f>IF(A331="","",A331)</f>
        <v>3255</v>
      </c>
      <c r="D331" s="2102"/>
      <c r="E331" s="627">
        <f>E328+30</f>
        <v>3270</v>
      </c>
      <c r="F331" s="628" t="s">
        <v>431</v>
      </c>
      <c r="G331" s="2103">
        <f>IF(E331="","",E331)</f>
        <v>3270</v>
      </c>
      <c r="H331" s="2104"/>
    </row>
    <row r="332" spans="1:8" ht="15.5" x14ac:dyDescent="0.35">
      <c r="A332" s="625"/>
      <c r="B332" s="626" t="s">
        <v>430</v>
      </c>
      <c r="C332" s="2101">
        <f>IF(C331="","",C331+10)</f>
        <v>3265</v>
      </c>
      <c r="D332" s="2102"/>
      <c r="E332" s="627"/>
      <c r="F332" s="628" t="s">
        <v>431</v>
      </c>
      <c r="G332" s="2103">
        <f>IF(G331="","",G331+10)</f>
        <v>3280</v>
      </c>
      <c r="H332" s="2104"/>
    </row>
    <row r="333" spans="1:8" ht="15.5" x14ac:dyDescent="0.35">
      <c r="A333" s="625"/>
      <c r="B333" s="626" t="s">
        <v>430</v>
      </c>
      <c r="C333" s="2101">
        <f>IF(C332="","",C332+10)</f>
        <v>3275</v>
      </c>
      <c r="D333" s="2102"/>
      <c r="E333" s="627"/>
      <c r="F333" s="628" t="s">
        <v>431</v>
      </c>
      <c r="G333" s="2103">
        <f>IF(G332="","",G332+10)</f>
        <v>3290</v>
      </c>
      <c r="H333" s="2104"/>
    </row>
    <row r="334" spans="1:8" ht="15.5" x14ac:dyDescent="0.35">
      <c r="A334" s="625">
        <f>A331+30</f>
        <v>3285</v>
      </c>
      <c r="B334" s="626" t="s">
        <v>430</v>
      </c>
      <c r="C334" s="2101">
        <f>IF(A334="","",A334)</f>
        <v>3285</v>
      </c>
      <c r="D334" s="2102"/>
      <c r="E334" s="627">
        <f>E331+30</f>
        <v>3300</v>
      </c>
      <c r="F334" s="628" t="s">
        <v>431</v>
      </c>
      <c r="G334" s="2103">
        <f>IF(E334="","",E334)</f>
        <v>3300</v>
      </c>
      <c r="H334" s="2104"/>
    </row>
    <row r="335" spans="1:8" ht="15.5" x14ac:dyDescent="0.35">
      <c r="A335" s="625"/>
      <c r="B335" s="626" t="s">
        <v>430</v>
      </c>
      <c r="C335" s="2101">
        <f>IF(C334="","",C334+10)</f>
        <v>3295</v>
      </c>
      <c r="D335" s="2102"/>
      <c r="E335" s="627"/>
      <c r="F335" s="628" t="s">
        <v>431</v>
      </c>
      <c r="G335" s="2103">
        <f>IF(G334="","",G334+10)</f>
        <v>3310</v>
      </c>
      <c r="H335" s="2104"/>
    </row>
    <row r="336" spans="1:8" ht="15.5" x14ac:dyDescent="0.35">
      <c r="A336" s="625"/>
      <c r="B336" s="626" t="s">
        <v>430</v>
      </c>
      <c r="C336" s="2101">
        <f>IF(C335="","",C335+10)</f>
        <v>3305</v>
      </c>
      <c r="D336" s="2102"/>
      <c r="E336" s="627"/>
      <c r="F336" s="628" t="s">
        <v>431</v>
      </c>
      <c r="G336" s="2103">
        <f>IF(G335="","",G335+10)</f>
        <v>3320</v>
      </c>
      <c r="H336" s="2104"/>
    </row>
    <row r="337" spans="1:8" ht="15.5" x14ac:dyDescent="0.35">
      <c r="A337" s="625">
        <f>A334+30</f>
        <v>3315</v>
      </c>
      <c r="B337" s="626" t="s">
        <v>430</v>
      </c>
      <c r="C337" s="2101">
        <f>IF(A337="","",A337)</f>
        <v>3315</v>
      </c>
      <c r="D337" s="2102"/>
      <c r="E337" s="627">
        <f>E334+30</f>
        <v>3330</v>
      </c>
      <c r="F337" s="628" t="s">
        <v>431</v>
      </c>
      <c r="G337" s="2103">
        <f>IF(E337="","",E337)</f>
        <v>3330</v>
      </c>
      <c r="H337" s="2104"/>
    </row>
    <row r="338" spans="1:8" ht="15.5" x14ac:dyDescent="0.35">
      <c r="A338" s="625"/>
      <c r="B338" s="626" t="s">
        <v>430</v>
      </c>
      <c r="C338" s="2101">
        <f>IF(C337="","",C337+10)</f>
        <v>3325</v>
      </c>
      <c r="D338" s="2102"/>
      <c r="E338" s="627"/>
      <c r="F338" s="628" t="s">
        <v>431</v>
      </c>
      <c r="G338" s="2103">
        <f>IF(G337="","",G337+10)</f>
        <v>3340</v>
      </c>
      <c r="H338" s="2104"/>
    </row>
    <row r="339" spans="1:8" ht="15.5" x14ac:dyDescent="0.35">
      <c r="A339" s="625"/>
      <c r="B339" s="626" t="s">
        <v>430</v>
      </c>
      <c r="C339" s="2101">
        <f>IF(C338="","",C338+10)</f>
        <v>3335</v>
      </c>
      <c r="D339" s="2102"/>
      <c r="E339" s="627"/>
      <c r="F339" s="628" t="s">
        <v>431</v>
      </c>
      <c r="G339" s="2103">
        <f>IF(G338="","",G338+10)</f>
        <v>3350</v>
      </c>
      <c r="H339" s="2104"/>
    </row>
    <row r="340" spans="1:8" ht="15.5" x14ac:dyDescent="0.35">
      <c r="A340" s="625">
        <f>A337+30</f>
        <v>3345</v>
      </c>
      <c r="B340" s="626" t="s">
        <v>430</v>
      </c>
      <c r="C340" s="2101">
        <f>IF(A340="","",A340)</f>
        <v>3345</v>
      </c>
      <c r="D340" s="2102"/>
      <c r="E340" s="627">
        <f>E337+30</f>
        <v>3360</v>
      </c>
      <c r="F340" s="628" t="s">
        <v>431</v>
      </c>
      <c r="G340" s="2103">
        <f>IF(E340="","",E340)</f>
        <v>3360</v>
      </c>
      <c r="H340" s="2104"/>
    </row>
    <row r="341" spans="1:8" ht="15.5" x14ac:dyDescent="0.35">
      <c r="A341" s="625"/>
      <c r="B341" s="626" t="s">
        <v>430</v>
      </c>
      <c r="C341" s="2101">
        <f>IF(C340="","",C340+10)</f>
        <v>3355</v>
      </c>
      <c r="D341" s="2102"/>
      <c r="E341" s="627"/>
      <c r="F341" s="628" t="s">
        <v>431</v>
      </c>
      <c r="G341" s="2103">
        <f>IF(G340="","",G340+10)</f>
        <v>3370</v>
      </c>
      <c r="H341" s="2104"/>
    </row>
    <row r="342" spans="1:8" ht="15.5" x14ac:dyDescent="0.35">
      <c r="A342" s="625"/>
      <c r="B342" s="626" t="s">
        <v>430</v>
      </c>
      <c r="C342" s="2101">
        <f>IF(C341="","",C341+10)</f>
        <v>3365</v>
      </c>
      <c r="D342" s="2102"/>
      <c r="E342" s="627"/>
      <c r="F342" s="628" t="s">
        <v>431</v>
      </c>
      <c r="G342" s="2103">
        <f>IF(G341="","",G341+10)</f>
        <v>3380</v>
      </c>
      <c r="H342" s="2104"/>
    </row>
    <row r="343" spans="1:8" ht="15.5" x14ac:dyDescent="0.35">
      <c r="A343" s="625">
        <f>A340+30</f>
        <v>3375</v>
      </c>
      <c r="B343" s="626" t="s">
        <v>430</v>
      </c>
      <c r="C343" s="2101">
        <f>IF(A343="","",A343)</f>
        <v>3375</v>
      </c>
      <c r="D343" s="2102"/>
      <c r="E343" s="627">
        <f>E340+30</f>
        <v>3390</v>
      </c>
      <c r="F343" s="628" t="s">
        <v>431</v>
      </c>
      <c r="G343" s="2103">
        <f>IF(E343="","",E343)</f>
        <v>3390</v>
      </c>
      <c r="H343" s="2104"/>
    </row>
    <row r="344" spans="1:8" ht="15.5" x14ac:dyDescent="0.35">
      <c r="A344" s="625"/>
      <c r="B344" s="626" t="s">
        <v>430</v>
      </c>
      <c r="C344" s="2101">
        <f>IF(C343="","",C343+10)</f>
        <v>3385</v>
      </c>
      <c r="D344" s="2102"/>
      <c r="E344" s="627"/>
      <c r="F344" s="628" t="s">
        <v>431</v>
      </c>
      <c r="G344" s="2103">
        <f>IF(G343="","",G343+10)</f>
        <v>3400</v>
      </c>
      <c r="H344" s="2104"/>
    </row>
    <row r="345" spans="1:8" ht="15.5" x14ac:dyDescent="0.35">
      <c r="A345" s="625"/>
      <c r="B345" s="626" t="s">
        <v>430</v>
      </c>
      <c r="C345" s="2101">
        <f>IF(C344="","",C344+10)</f>
        <v>3395</v>
      </c>
      <c r="D345" s="2102"/>
      <c r="E345" s="627"/>
      <c r="F345" s="628" t="s">
        <v>431</v>
      </c>
      <c r="G345" s="2103">
        <f>IF(G344="","",G344+10)</f>
        <v>3410</v>
      </c>
      <c r="H345" s="2104"/>
    </row>
    <row r="346" spans="1:8" ht="15.5" x14ac:dyDescent="0.35">
      <c r="A346" s="625">
        <f>A343+30</f>
        <v>3405</v>
      </c>
      <c r="B346" s="626" t="s">
        <v>430</v>
      </c>
      <c r="C346" s="2101">
        <f>IF(A346="","",A346)</f>
        <v>3405</v>
      </c>
      <c r="D346" s="2102"/>
      <c r="E346" s="627">
        <f>E343+30</f>
        <v>3420</v>
      </c>
      <c r="F346" s="628" t="s">
        <v>431</v>
      </c>
      <c r="G346" s="2103">
        <f>IF(E346="","",E346)</f>
        <v>3420</v>
      </c>
      <c r="H346" s="2104"/>
    </row>
    <row r="347" spans="1:8" ht="15.5" x14ac:dyDescent="0.35">
      <c r="A347" s="625"/>
      <c r="B347" s="626" t="s">
        <v>430</v>
      </c>
      <c r="C347" s="2101">
        <f>IF(C346="","",C346+10)</f>
        <v>3415</v>
      </c>
      <c r="D347" s="2102"/>
      <c r="E347" s="627"/>
      <c r="F347" s="628" t="s">
        <v>431</v>
      </c>
      <c r="G347" s="2103">
        <f>IF(G346="","",G346+10)</f>
        <v>3430</v>
      </c>
      <c r="H347" s="2104"/>
    </row>
    <row r="348" spans="1:8" ht="15.5" x14ac:dyDescent="0.35">
      <c r="A348" s="625"/>
      <c r="B348" s="626" t="s">
        <v>430</v>
      </c>
      <c r="C348" s="2101">
        <f>IF(C347="","",C347+10)</f>
        <v>3425</v>
      </c>
      <c r="D348" s="2102"/>
      <c r="E348" s="627"/>
      <c r="F348" s="628" t="s">
        <v>431</v>
      </c>
      <c r="G348" s="2103">
        <f>IF(G347="","",G347+10)</f>
        <v>3440</v>
      </c>
      <c r="H348" s="2104"/>
    </row>
    <row r="349" spans="1:8" ht="15.5" x14ac:dyDescent="0.35">
      <c r="A349" s="625">
        <f>A346+30</f>
        <v>3435</v>
      </c>
      <c r="B349" s="626" t="s">
        <v>430</v>
      </c>
      <c r="C349" s="2101">
        <f>IF(A349="","",A349)</f>
        <v>3435</v>
      </c>
      <c r="D349" s="2102"/>
      <c r="E349" s="627">
        <f>E346+30</f>
        <v>3450</v>
      </c>
      <c r="F349" s="628" t="s">
        <v>431</v>
      </c>
      <c r="G349" s="2103">
        <f>IF(E349="","",E349)</f>
        <v>3450</v>
      </c>
      <c r="H349" s="2104"/>
    </row>
    <row r="350" spans="1:8" ht="15.5" x14ac:dyDescent="0.35">
      <c r="A350" s="625"/>
      <c r="B350" s="626" t="s">
        <v>430</v>
      </c>
      <c r="C350" s="2101">
        <f>IF(C349="","",C349+10)</f>
        <v>3445</v>
      </c>
      <c r="D350" s="2102"/>
      <c r="E350" s="627"/>
      <c r="F350" s="628" t="s">
        <v>431</v>
      </c>
      <c r="G350" s="2103">
        <f>IF(G349="","",G349+10)</f>
        <v>3460</v>
      </c>
      <c r="H350" s="2104"/>
    </row>
    <row r="351" spans="1:8" ht="15.5" x14ac:dyDescent="0.35">
      <c r="A351" s="625"/>
      <c r="B351" s="626" t="s">
        <v>430</v>
      </c>
      <c r="C351" s="2101">
        <f>IF(C350="","",C350+10)</f>
        <v>3455</v>
      </c>
      <c r="D351" s="2102"/>
      <c r="E351" s="627"/>
      <c r="F351" s="628" t="s">
        <v>431</v>
      </c>
      <c r="G351" s="2103">
        <f>IF(G350="","",G350+10)</f>
        <v>3470</v>
      </c>
      <c r="H351" s="2104"/>
    </row>
    <row r="352" spans="1:8" ht="15.5" x14ac:dyDescent="0.35">
      <c r="A352" s="625">
        <f>A349+30</f>
        <v>3465</v>
      </c>
      <c r="B352" s="626" t="s">
        <v>430</v>
      </c>
      <c r="C352" s="2101">
        <f>IF(A352="","",A352)</f>
        <v>3465</v>
      </c>
      <c r="D352" s="2102"/>
      <c r="E352" s="627">
        <f>E349+30</f>
        <v>3480</v>
      </c>
      <c r="F352" s="628" t="s">
        <v>431</v>
      </c>
      <c r="G352" s="2103">
        <f>IF(E352="","",E352)</f>
        <v>3480</v>
      </c>
      <c r="H352" s="2104"/>
    </row>
    <row r="353" spans="1:8" ht="15.5" x14ac:dyDescent="0.35">
      <c r="A353" s="625"/>
      <c r="B353" s="626" t="s">
        <v>430</v>
      </c>
      <c r="C353" s="2101">
        <f>IF(C352="","",C352+10)</f>
        <v>3475</v>
      </c>
      <c r="D353" s="2102"/>
      <c r="E353" s="627"/>
      <c r="F353" s="628" t="s">
        <v>431</v>
      </c>
      <c r="G353" s="2103">
        <f>IF(G352="","",G352+10)</f>
        <v>3490</v>
      </c>
      <c r="H353" s="2104"/>
    </row>
    <row r="354" spans="1:8" ht="15.5" x14ac:dyDescent="0.35">
      <c r="A354" s="625"/>
      <c r="B354" s="626" t="s">
        <v>430</v>
      </c>
      <c r="C354" s="2101">
        <f>IF(C353="","",C353+10)</f>
        <v>3485</v>
      </c>
      <c r="D354" s="2102"/>
      <c r="E354" s="627"/>
      <c r="F354" s="628" t="s">
        <v>431</v>
      </c>
      <c r="G354" s="2103">
        <f>IF(G353="","",G353+10)</f>
        <v>3500</v>
      </c>
      <c r="H354" s="2104"/>
    </row>
    <row r="355" spans="1:8" ht="15.5" x14ac:dyDescent="0.35">
      <c r="A355" s="625">
        <f>A352+30</f>
        <v>3495</v>
      </c>
      <c r="B355" s="626" t="s">
        <v>430</v>
      </c>
      <c r="C355" s="2101">
        <f>IF(A355="","",A355)</f>
        <v>3495</v>
      </c>
      <c r="D355" s="2102"/>
      <c r="E355" s="627">
        <f>E352+30</f>
        <v>3510</v>
      </c>
      <c r="F355" s="628" t="s">
        <v>431</v>
      </c>
      <c r="G355" s="2103">
        <f>IF(E355="","",E355)</f>
        <v>3510</v>
      </c>
      <c r="H355" s="2104"/>
    </row>
    <row r="356" spans="1:8" ht="15.5" x14ac:dyDescent="0.35">
      <c r="A356" s="625"/>
      <c r="B356" s="626" t="s">
        <v>430</v>
      </c>
      <c r="C356" s="2101">
        <f>IF(C355="","",C355+10)</f>
        <v>3505</v>
      </c>
      <c r="D356" s="2102"/>
      <c r="E356" s="627"/>
      <c r="F356" s="628" t="s">
        <v>431</v>
      </c>
      <c r="G356" s="2103">
        <f>IF(G355="","",G355+10)</f>
        <v>3520</v>
      </c>
      <c r="H356" s="2104"/>
    </row>
    <row r="357" spans="1:8" ht="15.5" x14ac:dyDescent="0.35">
      <c r="A357" s="625"/>
      <c r="B357" s="626" t="s">
        <v>430</v>
      </c>
      <c r="C357" s="2101">
        <f>IF(C356="","",C356+10)</f>
        <v>3515</v>
      </c>
      <c r="D357" s="2102"/>
      <c r="E357" s="627"/>
      <c r="F357" s="628" t="s">
        <v>431</v>
      </c>
      <c r="G357" s="2103">
        <f>IF(G356="","",G356+10)</f>
        <v>3530</v>
      </c>
      <c r="H357" s="2104"/>
    </row>
    <row r="358" spans="1:8" ht="15.5" x14ac:dyDescent="0.35">
      <c r="A358" s="625">
        <f>A355+30</f>
        <v>3525</v>
      </c>
      <c r="B358" s="626" t="s">
        <v>430</v>
      </c>
      <c r="C358" s="2101">
        <f>IF(A358="","",A358)</f>
        <v>3525</v>
      </c>
      <c r="D358" s="2102"/>
      <c r="E358" s="627">
        <f>E355+30</f>
        <v>3540</v>
      </c>
      <c r="F358" s="628" t="s">
        <v>431</v>
      </c>
      <c r="G358" s="2103">
        <f>IF(E358="","",E358)</f>
        <v>3540</v>
      </c>
      <c r="H358" s="2104"/>
    </row>
    <row r="359" spans="1:8" ht="15.5" x14ac:dyDescent="0.35">
      <c r="A359" s="625"/>
      <c r="B359" s="626" t="s">
        <v>430</v>
      </c>
      <c r="C359" s="2101">
        <f>IF(C358="","",C358+10)</f>
        <v>3535</v>
      </c>
      <c r="D359" s="2102"/>
      <c r="E359" s="627"/>
      <c r="F359" s="628" t="s">
        <v>431</v>
      </c>
      <c r="G359" s="2103">
        <f>IF(G358="","",G358+10)</f>
        <v>3550</v>
      </c>
      <c r="H359" s="2104"/>
    </row>
    <row r="360" spans="1:8" ht="15.5" x14ac:dyDescent="0.35">
      <c r="A360" s="625"/>
      <c r="B360" s="626" t="s">
        <v>430</v>
      </c>
      <c r="C360" s="2101">
        <f>IF(C359="","",C359+10)</f>
        <v>3545</v>
      </c>
      <c r="D360" s="2102"/>
      <c r="E360" s="627"/>
      <c r="F360" s="628" t="s">
        <v>431</v>
      </c>
      <c r="G360" s="2103">
        <f>IF(G359="","",G359+10)</f>
        <v>3560</v>
      </c>
      <c r="H360" s="2104"/>
    </row>
    <row r="361" spans="1:8" ht="15.5" x14ac:dyDescent="0.35">
      <c r="A361" s="625">
        <f>A358+30</f>
        <v>3555</v>
      </c>
      <c r="B361" s="626" t="s">
        <v>430</v>
      </c>
      <c r="C361" s="2101">
        <f>IF(A361="","",A361)</f>
        <v>3555</v>
      </c>
      <c r="D361" s="2102"/>
      <c r="E361" s="627">
        <f>E358+30</f>
        <v>3570</v>
      </c>
      <c r="F361" s="628" t="s">
        <v>431</v>
      </c>
      <c r="G361" s="2103">
        <f>IF(E361="","",E361)</f>
        <v>3570</v>
      </c>
      <c r="H361" s="2104"/>
    </row>
    <row r="362" spans="1:8" ht="15.5" x14ac:dyDescent="0.35">
      <c r="A362" s="625"/>
      <c r="B362" s="626" t="s">
        <v>430</v>
      </c>
      <c r="C362" s="2101">
        <f>IF(C361="","",C361+10)</f>
        <v>3565</v>
      </c>
      <c r="D362" s="2102"/>
      <c r="E362" s="627"/>
      <c r="F362" s="628" t="s">
        <v>431</v>
      </c>
      <c r="G362" s="2103">
        <f>IF(G361="","",G361+10)</f>
        <v>3580</v>
      </c>
      <c r="H362" s="2104"/>
    </row>
    <row r="363" spans="1:8" ht="15.5" x14ac:dyDescent="0.35">
      <c r="A363" s="625"/>
      <c r="B363" s="626" t="s">
        <v>430</v>
      </c>
      <c r="C363" s="2101">
        <f>IF(C362="","",C362+10)</f>
        <v>3575</v>
      </c>
      <c r="D363" s="2102"/>
      <c r="E363" s="627"/>
      <c r="F363" s="628" t="s">
        <v>431</v>
      </c>
      <c r="G363" s="2103">
        <f>IF(G362="","",G362+10)</f>
        <v>3590</v>
      </c>
      <c r="H363" s="2104"/>
    </row>
    <row r="364" spans="1:8" ht="15.5" x14ac:dyDescent="0.35">
      <c r="A364" s="625">
        <f>A361+30</f>
        <v>3585</v>
      </c>
      <c r="B364" s="626" t="s">
        <v>430</v>
      </c>
      <c r="C364" s="2101">
        <f>IF(A364="","",A364)</f>
        <v>3585</v>
      </c>
      <c r="D364" s="2102"/>
      <c r="E364" s="627">
        <f>E361+30</f>
        <v>3600</v>
      </c>
      <c r="F364" s="628" t="s">
        <v>431</v>
      </c>
      <c r="G364" s="2103">
        <f>IF(E364="","",E364)</f>
        <v>3600</v>
      </c>
      <c r="H364" s="2104"/>
    </row>
    <row r="365" spans="1:8" ht="15.5" x14ac:dyDescent="0.35">
      <c r="A365" s="625"/>
      <c r="B365" s="626" t="s">
        <v>430</v>
      </c>
      <c r="C365" s="2101">
        <f>IF(C364="","",C364+10)</f>
        <v>3595</v>
      </c>
      <c r="D365" s="2102"/>
      <c r="E365" s="627"/>
      <c r="F365" s="628" t="s">
        <v>431</v>
      </c>
      <c r="G365" s="2103">
        <f>IF(G364="","",G364+10)</f>
        <v>3610</v>
      </c>
      <c r="H365" s="2104"/>
    </row>
    <row r="366" spans="1:8" ht="15.5" x14ac:dyDescent="0.35">
      <c r="A366" s="625"/>
      <c r="B366" s="626" t="s">
        <v>430</v>
      </c>
      <c r="C366" s="2101">
        <f>IF(C365="","",C365+10)</f>
        <v>3605</v>
      </c>
      <c r="D366" s="2102"/>
      <c r="E366" s="627"/>
      <c r="F366" s="628" t="s">
        <v>431</v>
      </c>
      <c r="G366" s="2103">
        <f>IF(G365="","",G365+10)</f>
        <v>3620</v>
      </c>
      <c r="H366" s="2104"/>
    </row>
    <row r="367" spans="1:8" ht="15.5" x14ac:dyDescent="0.35">
      <c r="A367" s="625">
        <f>A364+30</f>
        <v>3615</v>
      </c>
      <c r="B367" s="626" t="s">
        <v>430</v>
      </c>
      <c r="C367" s="2101">
        <f>IF(A367="","",A367)</f>
        <v>3615</v>
      </c>
      <c r="D367" s="2102"/>
      <c r="E367" s="627">
        <f>E364+30</f>
        <v>3630</v>
      </c>
      <c r="F367" s="628" t="s">
        <v>431</v>
      </c>
      <c r="G367" s="2103">
        <f>IF(E367="","",E367)</f>
        <v>3630</v>
      </c>
      <c r="H367" s="2104"/>
    </row>
    <row r="368" spans="1:8" ht="15.5" x14ac:dyDescent="0.35">
      <c r="A368" s="625"/>
      <c r="B368" s="626" t="s">
        <v>430</v>
      </c>
      <c r="C368" s="2101">
        <f>IF(C367="","",C367+10)</f>
        <v>3625</v>
      </c>
      <c r="D368" s="2102"/>
      <c r="E368" s="627"/>
      <c r="F368" s="628" t="s">
        <v>431</v>
      </c>
      <c r="G368" s="2103">
        <f>IF(G367="","",G367+10)</f>
        <v>3640</v>
      </c>
      <c r="H368" s="2104"/>
    </row>
    <row r="369" spans="1:8" ht="15.5" x14ac:dyDescent="0.35">
      <c r="A369" s="625"/>
      <c r="B369" s="626" t="s">
        <v>430</v>
      </c>
      <c r="C369" s="2101">
        <f>IF(C368="","",C368+10)</f>
        <v>3635</v>
      </c>
      <c r="D369" s="2102"/>
      <c r="E369" s="627"/>
      <c r="F369" s="628" t="s">
        <v>431</v>
      </c>
      <c r="G369" s="2103">
        <f>IF(G368="","",G368+10)</f>
        <v>3650</v>
      </c>
      <c r="H369" s="2104"/>
    </row>
    <row r="370" spans="1:8" ht="15.5" x14ac:dyDescent="0.35">
      <c r="A370" s="625">
        <f>A367+30</f>
        <v>3645</v>
      </c>
      <c r="B370" s="626" t="s">
        <v>430</v>
      </c>
      <c r="C370" s="2101">
        <f>IF(A370="","",A370)</f>
        <v>3645</v>
      </c>
      <c r="D370" s="2102"/>
      <c r="E370" s="627">
        <f>E367+30</f>
        <v>3660</v>
      </c>
      <c r="F370" s="628" t="s">
        <v>431</v>
      </c>
      <c r="G370" s="2103">
        <f>IF(E370="","",E370)</f>
        <v>3660</v>
      </c>
      <c r="H370" s="2104"/>
    </row>
    <row r="371" spans="1:8" ht="15.5" x14ac:dyDescent="0.35">
      <c r="A371" s="625"/>
      <c r="B371" s="626" t="s">
        <v>430</v>
      </c>
      <c r="C371" s="2101">
        <f>IF(C370="","",C370+10)</f>
        <v>3655</v>
      </c>
      <c r="D371" s="2102"/>
      <c r="E371" s="627"/>
      <c r="F371" s="628" t="s">
        <v>431</v>
      </c>
      <c r="G371" s="2103">
        <f>IF(G370="","",G370+10)</f>
        <v>3670</v>
      </c>
      <c r="H371" s="2104"/>
    </row>
    <row r="372" spans="1:8" ht="15.5" x14ac:dyDescent="0.35">
      <c r="A372" s="625"/>
      <c r="B372" s="626" t="s">
        <v>430</v>
      </c>
      <c r="C372" s="2101">
        <f>IF(C371="","",C371+10)</f>
        <v>3665</v>
      </c>
      <c r="D372" s="2102"/>
      <c r="E372" s="627"/>
      <c r="F372" s="628" t="s">
        <v>431</v>
      </c>
      <c r="G372" s="2103">
        <f>IF(G371="","",G371+10)</f>
        <v>3680</v>
      </c>
      <c r="H372" s="2104"/>
    </row>
    <row r="373" spans="1:8" ht="15.5" x14ac:dyDescent="0.35">
      <c r="A373" s="625">
        <f>A370+30</f>
        <v>3675</v>
      </c>
      <c r="B373" s="626" t="s">
        <v>430</v>
      </c>
      <c r="C373" s="2101">
        <f>IF(A373="","",A373)</f>
        <v>3675</v>
      </c>
      <c r="D373" s="2102"/>
      <c r="E373" s="627">
        <f>E370+30</f>
        <v>3690</v>
      </c>
      <c r="F373" s="628" t="s">
        <v>431</v>
      </c>
      <c r="G373" s="2103">
        <f>IF(E373="","",E373)</f>
        <v>3690</v>
      </c>
      <c r="H373" s="2104"/>
    </row>
    <row r="374" spans="1:8" ht="15.5" x14ac:dyDescent="0.35">
      <c r="A374" s="625"/>
      <c r="B374" s="626" t="s">
        <v>430</v>
      </c>
      <c r="C374" s="2101">
        <f>IF(C373="","",C373+10)</f>
        <v>3685</v>
      </c>
      <c r="D374" s="2102"/>
      <c r="E374" s="627"/>
      <c r="F374" s="628" t="s">
        <v>431</v>
      </c>
      <c r="G374" s="2103">
        <f>IF(G373="","",G373+10)</f>
        <v>3700</v>
      </c>
      <c r="H374" s="2104"/>
    </row>
    <row r="375" spans="1:8" ht="15.5" x14ac:dyDescent="0.35">
      <c r="A375" s="625"/>
      <c r="B375" s="626" t="s">
        <v>430</v>
      </c>
      <c r="C375" s="2101">
        <f>IF(C374="","",C374+10)</f>
        <v>3695</v>
      </c>
      <c r="D375" s="2102"/>
      <c r="E375" s="627"/>
      <c r="F375" s="628" t="s">
        <v>431</v>
      </c>
      <c r="G375" s="2103">
        <f>IF(G374="","",G374+10)</f>
        <v>3710</v>
      </c>
      <c r="H375" s="2104"/>
    </row>
    <row r="376" spans="1:8" ht="15.5" x14ac:dyDescent="0.35">
      <c r="A376" s="625">
        <f>A373+30</f>
        <v>3705</v>
      </c>
      <c r="B376" s="626" t="s">
        <v>430</v>
      </c>
      <c r="C376" s="2101">
        <f>IF(A376="","",A376)</f>
        <v>3705</v>
      </c>
      <c r="D376" s="2102"/>
      <c r="E376" s="627">
        <f>E373+30</f>
        <v>3720</v>
      </c>
      <c r="F376" s="628" t="s">
        <v>431</v>
      </c>
      <c r="G376" s="2103">
        <f>IF(E376="","",E376)</f>
        <v>3720</v>
      </c>
      <c r="H376" s="2104"/>
    </row>
    <row r="377" spans="1:8" ht="15.5" x14ac:dyDescent="0.35">
      <c r="A377" s="625"/>
      <c r="B377" s="626" t="s">
        <v>430</v>
      </c>
      <c r="C377" s="2101">
        <f>IF(C376="","",C376+10)</f>
        <v>3715</v>
      </c>
      <c r="D377" s="2102"/>
      <c r="E377" s="627"/>
      <c r="F377" s="628" t="s">
        <v>431</v>
      </c>
      <c r="G377" s="2103">
        <f>IF(G376="","",G376+10)</f>
        <v>3730</v>
      </c>
      <c r="H377" s="2104"/>
    </row>
    <row r="378" spans="1:8" ht="15.5" x14ac:dyDescent="0.35">
      <c r="A378" s="625"/>
      <c r="B378" s="626" t="s">
        <v>430</v>
      </c>
      <c r="C378" s="2101">
        <f>IF(C377="","",C377+10)</f>
        <v>3725</v>
      </c>
      <c r="D378" s="2102"/>
      <c r="E378" s="627"/>
      <c r="F378" s="628" t="s">
        <v>431</v>
      </c>
      <c r="G378" s="2103">
        <f>IF(G377="","",G377+10)</f>
        <v>3740</v>
      </c>
      <c r="H378" s="2104"/>
    </row>
    <row r="379" spans="1:8" ht="15.5" x14ac:dyDescent="0.35">
      <c r="A379" s="625">
        <f>A376+30</f>
        <v>3735</v>
      </c>
      <c r="B379" s="626" t="s">
        <v>430</v>
      </c>
      <c r="C379" s="2101">
        <f>IF(A379="","",A379)</f>
        <v>3735</v>
      </c>
      <c r="D379" s="2102"/>
      <c r="E379" s="627">
        <f>E376+30</f>
        <v>3750</v>
      </c>
      <c r="F379" s="628" t="s">
        <v>431</v>
      </c>
      <c r="G379" s="2103">
        <f>IF(E379="","",E379)</f>
        <v>3750</v>
      </c>
      <c r="H379" s="2104"/>
    </row>
    <row r="380" spans="1:8" ht="15.5" x14ac:dyDescent="0.35">
      <c r="A380" s="625"/>
      <c r="B380" s="626" t="s">
        <v>430</v>
      </c>
      <c r="C380" s="2101">
        <f>IF(C379="","",C379+10)</f>
        <v>3745</v>
      </c>
      <c r="D380" s="2102"/>
      <c r="E380" s="627"/>
      <c r="F380" s="628" t="s">
        <v>431</v>
      </c>
      <c r="G380" s="2103">
        <f>IF(G379="","",G379+10)</f>
        <v>3760</v>
      </c>
      <c r="H380" s="2104"/>
    </row>
    <row r="381" spans="1:8" ht="15.5" x14ac:dyDescent="0.35">
      <c r="A381" s="625"/>
      <c r="B381" s="626" t="s">
        <v>430</v>
      </c>
      <c r="C381" s="2101">
        <f>IF(C380="","",C380+10)</f>
        <v>3755</v>
      </c>
      <c r="D381" s="2102"/>
      <c r="E381" s="627"/>
      <c r="F381" s="628" t="s">
        <v>431</v>
      </c>
      <c r="G381" s="2103">
        <f>IF(G380="","",G380+10)</f>
        <v>3770</v>
      </c>
      <c r="H381" s="2104"/>
    </row>
    <row r="382" spans="1:8" ht="15.5" x14ac:dyDescent="0.35">
      <c r="A382" s="625">
        <f>A379+30</f>
        <v>3765</v>
      </c>
      <c r="B382" s="626" t="s">
        <v>430</v>
      </c>
      <c r="C382" s="2101">
        <f>IF(A382="","",A382)</f>
        <v>3765</v>
      </c>
      <c r="D382" s="2102"/>
      <c r="E382" s="627">
        <f>E379+30</f>
        <v>3780</v>
      </c>
      <c r="F382" s="628" t="s">
        <v>431</v>
      </c>
      <c r="G382" s="2103">
        <f>IF(E382="","",E382)</f>
        <v>3780</v>
      </c>
      <c r="H382" s="2104"/>
    </row>
    <row r="383" spans="1:8" ht="15.5" x14ac:dyDescent="0.35">
      <c r="A383" s="625"/>
      <c r="B383" s="626" t="s">
        <v>430</v>
      </c>
      <c r="C383" s="2101">
        <f>IF(C382="","",C382+10)</f>
        <v>3775</v>
      </c>
      <c r="D383" s="2102"/>
      <c r="E383" s="627"/>
      <c r="F383" s="628" t="s">
        <v>431</v>
      </c>
      <c r="G383" s="2103">
        <f>IF(G382="","",G382+10)</f>
        <v>3790</v>
      </c>
      <c r="H383" s="2104"/>
    </row>
    <row r="384" spans="1:8" ht="15.5" x14ac:dyDescent="0.35">
      <c r="A384" s="625"/>
      <c r="B384" s="626" t="s">
        <v>430</v>
      </c>
      <c r="C384" s="2101">
        <f>IF(C383="","",C383+10)</f>
        <v>3785</v>
      </c>
      <c r="D384" s="2102"/>
      <c r="E384" s="627"/>
      <c r="F384" s="628" t="s">
        <v>431</v>
      </c>
      <c r="G384" s="2103">
        <f>IF(G383="","",G383+10)</f>
        <v>3800</v>
      </c>
      <c r="H384" s="2104"/>
    </row>
    <row r="385" spans="1:8" ht="15.5" x14ac:dyDescent="0.35">
      <c r="A385" s="625">
        <f>A382+30</f>
        <v>3795</v>
      </c>
      <c r="B385" s="626" t="s">
        <v>430</v>
      </c>
      <c r="C385" s="2101">
        <f>IF(A385="","",A385)</f>
        <v>3795</v>
      </c>
      <c r="D385" s="2102"/>
      <c r="E385" s="627">
        <f>E382+30</f>
        <v>3810</v>
      </c>
      <c r="F385" s="628" t="s">
        <v>431</v>
      </c>
      <c r="G385" s="2103">
        <f>IF(E385="","",E385)</f>
        <v>3810</v>
      </c>
      <c r="H385" s="2104"/>
    </row>
    <row r="386" spans="1:8" ht="15.5" x14ac:dyDescent="0.35">
      <c r="A386" s="625"/>
      <c r="B386" s="626" t="s">
        <v>430</v>
      </c>
      <c r="C386" s="2101">
        <f>IF(C385="","",C385+10)</f>
        <v>3805</v>
      </c>
      <c r="D386" s="2102"/>
      <c r="E386" s="627"/>
      <c r="F386" s="628" t="s">
        <v>431</v>
      </c>
      <c r="G386" s="2103">
        <f>IF(G385="","",G385+10)</f>
        <v>3820</v>
      </c>
      <c r="H386" s="2104"/>
    </row>
    <row r="387" spans="1:8" ht="15.5" x14ac:dyDescent="0.35">
      <c r="A387" s="625"/>
      <c r="B387" s="626" t="s">
        <v>430</v>
      </c>
      <c r="C387" s="2101">
        <f>IF(C386="","",C386+10)</f>
        <v>3815</v>
      </c>
      <c r="D387" s="2102"/>
      <c r="E387" s="627"/>
      <c r="F387" s="628" t="s">
        <v>431</v>
      </c>
      <c r="G387" s="2103">
        <f>IF(G386="","",G386+10)</f>
        <v>3830</v>
      </c>
      <c r="H387" s="2104"/>
    </row>
    <row r="388" spans="1:8" ht="15.5" x14ac:dyDescent="0.35">
      <c r="A388" s="625">
        <f>A385+30</f>
        <v>3825</v>
      </c>
      <c r="B388" s="626" t="s">
        <v>430</v>
      </c>
      <c r="C388" s="2101">
        <f>IF(A388="","",A388)</f>
        <v>3825</v>
      </c>
      <c r="D388" s="2102"/>
      <c r="E388" s="627">
        <f>E385+30</f>
        <v>3840</v>
      </c>
      <c r="F388" s="628" t="s">
        <v>431</v>
      </c>
      <c r="G388" s="2103">
        <f>IF(E388="","",E388)</f>
        <v>3840</v>
      </c>
      <c r="H388" s="2104"/>
    </row>
    <row r="389" spans="1:8" ht="15.5" x14ac:dyDescent="0.35">
      <c r="A389" s="625"/>
      <c r="B389" s="626" t="s">
        <v>430</v>
      </c>
      <c r="C389" s="2101">
        <f>IF(C388="","",C388+10)</f>
        <v>3835</v>
      </c>
      <c r="D389" s="2102"/>
      <c r="E389" s="627"/>
      <c r="F389" s="628" t="s">
        <v>431</v>
      </c>
      <c r="G389" s="2103">
        <f>IF(G388="","",G388+10)</f>
        <v>3850</v>
      </c>
      <c r="H389" s="2104"/>
    </row>
    <row r="390" spans="1:8" ht="15.5" x14ac:dyDescent="0.35">
      <c r="A390" s="625"/>
      <c r="B390" s="626" t="s">
        <v>430</v>
      </c>
      <c r="C390" s="2101">
        <f>IF(C389="","",C389+10)</f>
        <v>3845</v>
      </c>
      <c r="D390" s="2102"/>
      <c r="E390" s="627"/>
      <c r="F390" s="628" t="s">
        <v>431</v>
      </c>
      <c r="G390" s="2103">
        <f>IF(G389="","",G389+10)</f>
        <v>3860</v>
      </c>
      <c r="H390" s="2104"/>
    </row>
    <row r="391" spans="1:8" ht="15.5" x14ac:dyDescent="0.35">
      <c r="A391" s="625">
        <f>A388+30</f>
        <v>3855</v>
      </c>
      <c r="B391" s="626" t="s">
        <v>430</v>
      </c>
      <c r="C391" s="2101">
        <f>IF(A391="","",A391)</f>
        <v>3855</v>
      </c>
      <c r="D391" s="2102"/>
      <c r="E391" s="627">
        <f>E388+30</f>
        <v>3870</v>
      </c>
      <c r="F391" s="628" t="s">
        <v>431</v>
      </c>
      <c r="G391" s="2103">
        <f>IF(E391="","",E391)</f>
        <v>3870</v>
      </c>
      <c r="H391" s="2104"/>
    </row>
    <row r="392" spans="1:8" ht="15.5" x14ac:dyDescent="0.35">
      <c r="A392" s="625"/>
      <c r="B392" s="626" t="s">
        <v>430</v>
      </c>
      <c r="C392" s="2101">
        <f>IF(C391="","",C391+10)</f>
        <v>3865</v>
      </c>
      <c r="D392" s="2102"/>
      <c r="E392" s="627"/>
      <c r="F392" s="628" t="s">
        <v>431</v>
      </c>
      <c r="G392" s="2103">
        <f>IF(G391="","",G391+10)</f>
        <v>3880</v>
      </c>
      <c r="H392" s="2104"/>
    </row>
    <row r="393" spans="1:8" ht="15.5" x14ac:dyDescent="0.35">
      <c r="A393" s="625"/>
      <c r="B393" s="626" t="s">
        <v>430</v>
      </c>
      <c r="C393" s="2101">
        <f>IF(C392="","",C392+10)</f>
        <v>3875</v>
      </c>
      <c r="D393" s="2102"/>
      <c r="E393" s="627"/>
      <c r="F393" s="628" t="s">
        <v>431</v>
      </c>
      <c r="G393" s="2103">
        <f>IF(G392="","",G392+10)</f>
        <v>3890</v>
      </c>
      <c r="H393" s="2104"/>
    </row>
    <row r="394" spans="1:8" ht="15.5" x14ac:dyDescent="0.35">
      <c r="A394" s="625">
        <f>A391+30</f>
        <v>3885</v>
      </c>
      <c r="B394" s="626" t="s">
        <v>430</v>
      </c>
      <c r="C394" s="2101">
        <f>IF(A394="","",A394)</f>
        <v>3885</v>
      </c>
      <c r="D394" s="2102"/>
      <c r="E394" s="627">
        <f>E391+30</f>
        <v>3900</v>
      </c>
      <c r="F394" s="628" t="s">
        <v>431</v>
      </c>
      <c r="G394" s="2103">
        <f>IF(E394="","",E394)</f>
        <v>3900</v>
      </c>
      <c r="H394" s="2104"/>
    </row>
    <row r="395" spans="1:8" ht="15.5" x14ac:dyDescent="0.35">
      <c r="A395" s="625"/>
      <c r="B395" s="626" t="s">
        <v>430</v>
      </c>
      <c r="C395" s="2101">
        <f>IF(C394="","",C394+10)</f>
        <v>3895</v>
      </c>
      <c r="D395" s="2102"/>
      <c r="E395" s="627"/>
      <c r="F395" s="628" t="s">
        <v>431</v>
      </c>
      <c r="G395" s="2103">
        <f>IF(G394="","",G394+10)</f>
        <v>3910</v>
      </c>
      <c r="H395" s="2104"/>
    </row>
    <row r="396" spans="1:8" ht="15.5" x14ac:dyDescent="0.35">
      <c r="A396" s="625"/>
      <c r="B396" s="626" t="s">
        <v>430</v>
      </c>
      <c r="C396" s="2101">
        <f>IF(C395="","",C395+10)</f>
        <v>3905</v>
      </c>
      <c r="D396" s="2102"/>
      <c r="E396" s="627"/>
      <c r="F396" s="628" t="s">
        <v>431</v>
      </c>
      <c r="G396" s="2103">
        <f>IF(G395="","",G395+10)</f>
        <v>3920</v>
      </c>
      <c r="H396" s="2104"/>
    </row>
    <row r="397" spans="1:8" ht="15.5" x14ac:dyDescent="0.35">
      <c r="A397" s="625">
        <f>A394+30</f>
        <v>3915</v>
      </c>
      <c r="B397" s="626" t="s">
        <v>430</v>
      </c>
      <c r="C397" s="2101">
        <f>IF(A397="","",A397)</f>
        <v>3915</v>
      </c>
      <c r="D397" s="2102"/>
      <c r="E397" s="627">
        <f>E394+30</f>
        <v>3930</v>
      </c>
      <c r="F397" s="628" t="s">
        <v>431</v>
      </c>
      <c r="G397" s="2103">
        <f>IF(E397="","",E397)</f>
        <v>3930</v>
      </c>
      <c r="H397" s="2104"/>
    </row>
    <row r="398" spans="1:8" ht="15.5" x14ac:dyDescent="0.35">
      <c r="A398" s="625"/>
      <c r="B398" s="626" t="s">
        <v>430</v>
      </c>
      <c r="C398" s="2101">
        <f>IF(C397="","",C397+10)</f>
        <v>3925</v>
      </c>
      <c r="D398" s="2102"/>
      <c r="E398" s="627"/>
      <c r="F398" s="628" t="s">
        <v>431</v>
      </c>
      <c r="G398" s="2103">
        <f>IF(G397="","",G397+10)</f>
        <v>3940</v>
      </c>
      <c r="H398" s="2104"/>
    </row>
    <row r="399" spans="1:8" ht="15.5" x14ac:dyDescent="0.35">
      <c r="A399" s="625"/>
      <c r="B399" s="626" t="s">
        <v>430</v>
      </c>
      <c r="C399" s="2101">
        <f>IF(C398="","",C398+10)</f>
        <v>3935</v>
      </c>
      <c r="D399" s="2102"/>
      <c r="E399" s="627"/>
      <c r="F399" s="628" t="s">
        <v>431</v>
      </c>
      <c r="G399" s="2103">
        <f>IF(G398="","",G398+10)</f>
        <v>3950</v>
      </c>
      <c r="H399" s="2104"/>
    </row>
    <row r="400" spans="1:8" ht="15.5" x14ac:dyDescent="0.35">
      <c r="A400" s="625">
        <f>A397+30</f>
        <v>3945</v>
      </c>
      <c r="B400" s="626" t="s">
        <v>430</v>
      </c>
      <c r="C400" s="2101">
        <f>IF(A400="","",A400)</f>
        <v>3945</v>
      </c>
      <c r="D400" s="2102"/>
      <c r="E400" s="627">
        <f>E397+30</f>
        <v>3960</v>
      </c>
      <c r="F400" s="628" t="s">
        <v>431</v>
      </c>
      <c r="G400" s="2103">
        <f>IF(E400="","",E400)</f>
        <v>3960</v>
      </c>
      <c r="H400" s="2104"/>
    </row>
    <row r="401" spans="1:8" ht="15.5" x14ac:dyDescent="0.35">
      <c r="A401" s="625"/>
      <c r="B401" s="626" t="s">
        <v>430</v>
      </c>
      <c r="C401" s="2101">
        <f>IF(C400="","",C400+10)</f>
        <v>3955</v>
      </c>
      <c r="D401" s="2102"/>
      <c r="E401" s="627"/>
      <c r="F401" s="628" t="s">
        <v>431</v>
      </c>
      <c r="G401" s="2103">
        <f>IF(G400="","",G400+10)</f>
        <v>3970</v>
      </c>
      <c r="H401" s="2104"/>
    </row>
    <row r="402" spans="1:8" ht="15.5" x14ac:dyDescent="0.35">
      <c r="A402" s="625"/>
      <c r="B402" s="626" t="s">
        <v>430</v>
      </c>
      <c r="C402" s="2101">
        <f>IF(C401="","",C401+10)</f>
        <v>3965</v>
      </c>
      <c r="D402" s="2102"/>
      <c r="E402" s="627"/>
      <c r="F402" s="628" t="s">
        <v>431</v>
      </c>
      <c r="G402" s="2103">
        <f>IF(G401="","",G401+10)</f>
        <v>3980</v>
      </c>
      <c r="H402" s="2104"/>
    </row>
    <row r="403" spans="1:8" ht="15.5" x14ac:dyDescent="0.35">
      <c r="A403" s="625">
        <f>A400+30</f>
        <v>3975</v>
      </c>
      <c r="B403" s="626" t="s">
        <v>430</v>
      </c>
      <c r="C403" s="2101">
        <f>IF(A403="","",A403)</f>
        <v>3975</v>
      </c>
      <c r="D403" s="2102"/>
      <c r="E403" s="627">
        <f>E400+30</f>
        <v>3990</v>
      </c>
      <c r="F403" s="628" t="s">
        <v>431</v>
      </c>
      <c r="G403" s="2103">
        <f>IF(E403="","",E403)</f>
        <v>3990</v>
      </c>
      <c r="H403" s="2104"/>
    </row>
    <row r="404" spans="1:8" ht="15.5" x14ac:dyDescent="0.35">
      <c r="A404" s="625"/>
      <c r="B404" s="626" t="s">
        <v>430</v>
      </c>
      <c r="C404" s="2101">
        <f>IF(C403="","",C403+10)</f>
        <v>3985</v>
      </c>
      <c r="D404" s="2102"/>
      <c r="E404" s="627"/>
      <c r="F404" s="628" t="s">
        <v>431</v>
      </c>
      <c r="G404" s="2103">
        <f>IF(G403="","",G403+10)</f>
        <v>4000</v>
      </c>
      <c r="H404" s="2104"/>
    </row>
    <row r="405" spans="1:8" ht="15.5" x14ac:dyDescent="0.35">
      <c r="A405" s="625"/>
      <c r="B405" s="626" t="s">
        <v>430</v>
      </c>
      <c r="C405" s="2101">
        <f>IF(C404="","",C404+10)</f>
        <v>3995</v>
      </c>
      <c r="D405" s="2102"/>
      <c r="E405" s="627"/>
      <c r="F405" s="628" t="s">
        <v>431</v>
      </c>
      <c r="G405" s="2103">
        <f>IF(G404="","",G404+10)</f>
        <v>4010</v>
      </c>
      <c r="H405" s="2104"/>
    </row>
    <row r="406" spans="1:8" ht="15.5" x14ac:dyDescent="0.35">
      <c r="A406" s="625">
        <f>A403+30</f>
        <v>4005</v>
      </c>
      <c r="B406" s="626" t="s">
        <v>430</v>
      </c>
      <c r="C406" s="2101">
        <f>IF(A406="","",A406)</f>
        <v>4005</v>
      </c>
      <c r="D406" s="2102"/>
      <c r="E406" s="627">
        <f>E403+30</f>
        <v>4020</v>
      </c>
      <c r="F406" s="628" t="s">
        <v>431</v>
      </c>
      <c r="G406" s="2103">
        <f>IF(E406="","",E406)</f>
        <v>4020</v>
      </c>
      <c r="H406" s="2104"/>
    </row>
    <row r="407" spans="1:8" ht="15.5" x14ac:dyDescent="0.35">
      <c r="A407" s="625"/>
      <c r="B407" s="626" t="s">
        <v>430</v>
      </c>
      <c r="C407" s="2101">
        <f>IF(C406="","",C406+10)</f>
        <v>4015</v>
      </c>
      <c r="D407" s="2102"/>
      <c r="E407" s="627"/>
      <c r="F407" s="628" t="s">
        <v>431</v>
      </c>
      <c r="G407" s="2103">
        <f>IF(G406="","",G406+10)</f>
        <v>4030</v>
      </c>
      <c r="H407" s="2104"/>
    </row>
    <row r="408" spans="1:8" ht="15.5" x14ac:dyDescent="0.35">
      <c r="A408" s="625"/>
      <c r="B408" s="626" t="s">
        <v>430</v>
      </c>
      <c r="C408" s="2101">
        <f>IF(C407="","",C407+10)</f>
        <v>4025</v>
      </c>
      <c r="D408" s="2102"/>
      <c r="E408" s="627"/>
      <c r="F408" s="628" t="s">
        <v>431</v>
      </c>
      <c r="G408" s="2103">
        <f>IF(G407="","",G407+10)</f>
        <v>4040</v>
      </c>
      <c r="H408" s="2104"/>
    </row>
    <row r="409" spans="1:8" ht="15.5" x14ac:dyDescent="0.35">
      <c r="A409" s="625">
        <f>A406+30</f>
        <v>4035</v>
      </c>
      <c r="B409" s="626" t="s">
        <v>430</v>
      </c>
      <c r="C409" s="2101">
        <f>IF(A409="","",A409)</f>
        <v>4035</v>
      </c>
      <c r="D409" s="2102"/>
      <c r="E409" s="627">
        <f>E406+30</f>
        <v>4050</v>
      </c>
      <c r="F409" s="628" t="s">
        <v>431</v>
      </c>
      <c r="G409" s="2103">
        <f>IF(E409="","",E409)</f>
        <v>4050</v>
      </c>
      <c r="H409" s="2104"/>
    </row>
    <row r="410" spans="1:8" ht="15.5" x14ac:dyDescent="0.35">
      <c r="A410" s="625"/>
      <c r="B410" s="626" t="s">
        <v>430</v>
      </c>
      <c r="C410" s="2101">
        <f>IF(C409="","",C409+10)</f>
        <v>4045</v>
      </c>
      <c r="D410" s="2102"/>
      <c r="E410" s="627"/>
      <c r="F410" s="628" t="s">
        <v>431</v>
      </c>
      <c r="G410" s="2103">
        <f>IF(G409="","",G409+10)</f>
        <v>4060</v>
      </c>
      <c r="H410" s="2104"/>
    </row>
    <row r="411" spans="1:8" ht="15.5" x14ac:dyDescent="0.35">
      <c r="A411" s="625"/>
      <c r="B411" s="626" t="s">
        <v>430</v>
      </c>
      <c r="C411" s="2101">
        <f>IF(C410="","",C410+10)</f>
        <v>4055</v>
      </c>
      <c r="D411" s="2102"/>
      <c r="E411" s="627"/>
      <c r="F411" s="628" t="s">
        <v>431</v>
      </c>
      <c r="G411" s="2103">
        <f>IF(G410="","",G410+10)</f>
        <v>4070</v>
      </c>
      <c r="H411" s="2104"/>
    </row>
    <row r="412" spans="1:8" ht="15.5" x14ac:dyDescent="0.35">
      <c r="A412" s="625">
        <f>A409+30</f>
        <v>4065</v>
      </c>
      <c r="B412" s="626" t="s">
        <v>430</v>
      </c>
      <c r="C412" s="2101">
        <f>IF(A412="","",A412)</f>
        <v>4065</v>
      </c>
      <c r="D412" s="2102"/>
      <c r="E412" s="627">
        <f>E409+30</f>
        <v>4080</v>
      </c>
      <c r="F412" s="628" t="s">
        <v>431</v>
      </c>
      <c r="G412" s="2103">
        <f>IF(E412="","",E412)</f>
        <v>4080</v>
      </c>
      <c r="H412" s="2104"/>
    </row>
    <row r="413" spans="1:8" ht="15.5" x14ac:dyDescent="0.35">
      <c r="A413" s="625"/>
      <c r="B413" s="626" t="s">
        <v>430</v>
      </c>
      <c r="C413" s="2101">
        <f>IF(C412="","",C412+10)</f>
        <v>4075</v>
      </c>
      <c r="D413" s="2102"/>
      <c r="E413" s="627"/>
      <c r="F413" s="628" t="s">
        <v>431</v>
      </c>
      <c r="G413" s="2103">
        <f>IF(G412="","",G412+10)</f>
        <v>4090</v>
      </c>
      <c r="H413" s="2104"/>
    </row>
    <row r="414" spans="1:8" ht="15.5" x14ac:dyDescent="0.35">
      <c r="A414" s="625"/>
      <c r="B414" s="626" t="s">
        <v>430</v>
      </c>
      <c r="C414" s="2101">
        <f>IF(C413="","",C413+10)</f>
        <v>4085</v>
      </c>
      <c r="D414" s="2102"/>
      <c r="E414" s="627"/>
      <c r="F414" s="628" t="s">
        <v>431</v>
      </c>
      <c r="G414" s="2103">
        <f>IF(G413="","",G413+10)</f>
        <v>4100</v>
      </c>
      <c r="H414" s="2104"/>
    </row>
    <row r="415" spans="1:8" ht="15.5" x14ac:dyDescent="0.35">
      <c r="A415" s="625">
        <f>A412+30</f>
        <v>4095</v>
      </c>
      <c r="B415" s="626" t="s">
        <v>430</v>
      </c>
      <c r="C415" s="2101">
        <f>IF(A415="","",A415)</f>
        <v>4095</v>
      </c>
      <c r="D415" s="2102"/>
      <c r="E415" s="627">
        <f>E412+30</f>
        <v>4110</v>
      </c>
      <c r="F415" s="628" t="s">
        <v>431</v>
      </c>
      <c r="G415" s="2103">
        <f>IF(E415="","",E415)</f>
        <v>4110</v>
      </c>
      <c r="H415" s="2104"/>
    </row>
    <row r="416" spans="1:8" ht="15.5" x14ac:dyDescent="0.35">
      <c r="A416" s="625"/>
      <c r="B416" s="626" t="s">
        <v>430</v>
      </c>
      <c r="C416" s="2101">
        <f>IF(C415="","",C415+10)</f>
        <v>4105</v>
      </c>
      <c r="D416" s="2102"/>
      <c r="E416" s="627"/>
      <c r="F416" s="628" t="s">
        <v>431</v>
      </c>
      <c r="G416" s="2103">
        <f>IF(G415="","",G415+10)</f>
        <v>4120</v>
      </c>
      <c r="H416" s="2104"/>
    </row>
    <row r="417" spans="1:8" ht="15.5" x14ac:dyDescent="0.35">
      <c r="A417" s="625"/>
      <c r="B417" s="626" t="s">
        <v>430</v>
      </c>
      <c r="C417" s="2101">
        <f>IF(C416="","",C416+10)</f>
        <v>4115</v>
      </c>
      <c r="D417" s="2102"/>
      <c r="E417" s="627"/>
      <c r="F417" s="628" t="s">
        <v>431</v>
      </c>
      <c r="G417" s="2103">
        <f>IF(G416="","",G416+10)</f>
        <v>4130</v>
      </c>
      <c r="H417" s="2104"/>
    </row>
    <row r="418" spans="1:8" ht="15.5" x14ac:dyDescent="0.35">
      <c r="A418" s="625">
        <f>A415+30</f>
        <v>4125</v>
      </c>
      <c r="B418" s="626" t="s">
        <v>430</v>
      </c>
      <c r="C418" s="2101">
        <f>IF(A418="","",A418)</f>
        <v>4125</v>
      </c>
      <c r="D418" s="2102"/>
      <c r="E418" s="627">
        <f>E415+30</f>
        <v>4140</v>
      </c>
      <c r="F418" s="628" t="s">
        <v>431</v>
      </c>
      <c r="G418" s="2103">
        <f>IF(E418="","",E418)</f>
        <v>4140</v>
      </c>
      <c r="H418" s="2104"/>
    </row>
    <row r="419" spans="1:8" ht="15.5" x14ac:dyDescent="0.35">
      <c r="A419" s="625"/>
      <c r="B419" s="626" t="s">
        <v>430</v>
      </c>
      <c r="C419" s="2101">
        <f>IF(C418="","",C418+10)</f>
        <v>4135</v>
      </c>
      <c r="D419" s="2102"/>
      <c r="E419" s="627"/>
      <c r="F419" s="628" t="s">
        <v>431</v>
      </c>
      <c r="G419" s="2103">
        <f>IF(G418="","",G418+10)</f>
        <v>4150</v>
      </c>
      <c r="H419" s="2104"/>
    </row>
    <row r="420" spans="1:8" ht="15.5" x14ac:dyDescent="0.35">
      <c r="A420" s="625"/>
      <c r="B420" s="626" t="s">
        <v>430</v>
      </c>
      <c r="C420" s="2101">
        <f>IF(C419="","",C419+10)</f>
        <v>4145</v>
      </c>
      <c r="D420" s="2102"/>
      <c r="E420" s="627"/>
      <c r="F420" s="628" t="s">
        <v>431</v>
      </c>
      <c r="G420" s="2103">
        <f>IF(G419="","",G419+10)</f>
        <v>4160</v>
      </c>
      <c r="H420" s="2104"/>
    </row>
    <row r="421" spans="1:8" ht="15.5" x14ac:dyDescent="0.35">
      <c r="A421" s="625">
        <f>A418+30</f>
        <v>4155</v>
      </c>
      <c r="B421" s="626" t="s">
        <v>430</v>
      </c>
      <c r="C421" s="2101">
        <f>IF(A421="","",A421)</f>
        <v>4155</v>
      </c>
      <c r="D421" s="2102"/>
      <c r="E421" s="627">
        <f>E418+30</f>
        <v>4170</v>
      </c>
      <c r="F421" s="628" t="s">
        <v>431</v>
      </c>
      <c r="G421" s="2103">
        <f>IF(E421="","",E421)</f>
        <v>4170</v>
      </c>
      <c r="H421" s="2104"/>
    </row>
    <row r="422" spans="1:8" ht="15.5" x14ac:dyDescent="0.35">
      <c r="A422" s="625"/>
      <c r="B422" s="626" t="s">
        <v>430</v>
      </c>
      <c r="C422" s="2101">
        <f>IF(C421="","",C421+10)</f>
        <v>4165</v>
      </c>
      <c r="D422" s="2102"/>
      <c r="E422" s="627"/>
      <c r="F422" s="628" t="s">
        <v>431</v>
      </c>
      <c r="G422" s="2103">
        <f>IF(G421="","",G421+10)</f>
        <v>4180</v>
      </c>
      <c r="H422" s="2104"/>
    </row>
    <row r="423" spans="1:8" ht="15.5" x14ac:dyDescent="0.35">
      <c r="A423" s="625"/>
      <c r="B423" s="626" t="s">
        <v>430</v>
      </c>
      <c r="C423" s="2101">
        <f>IF(C422="","",C422+10)</f>
        <v>4175</v>
      </c>
      <c r="D423" s="2102"/>
      <c r="E423" s="627"/>
      <c r="F423" s="628" t="s">
        <v>431</v>
      </c>
      <c r="G423" s="2103">
        <f>IF(G422="","",G422+10)</f>
        <v>4190</v>
      </c>
      <c r="H423" s="2104"/>
    </row>
    <row r="424" spans="1:8" ht="15.5" x14ac:dyDescent="0.35">
      <c r="A424" s="625">
        <f>A421+30</f>
        <v>4185</v>
      </c>
      <c r="B424" s="626" t="s">
        <v>430</v>
      </c>
      <c r="C424" s="2101">
        <f>IF(A424="","",A424)</f>
        <v>4185</v>
      </c>
      <c r="D424" s="2102"/>
      <c r="E424" s="627">
        <f>E421+30</f>
        <v>4200</v>
      </c>
      <c r="F424" s="628" t="s">
        <v>431</v>
      </c>
      <c r="G424" s="2103">
        <f>IF(E424="","",E424)</f>
        <v>4200</v>
      </c>
      <c r="H424" s="2104"/>
    </row>
    <row r="425" spans="1:8" ht="15.5" x14ac:dyDescent="0.35">
      <c r="A425" s="625"/>
      <c r="B425" s="626" t="s">
        <v>430</v>
      </c>
      <c r="C425" s="2101">
        <f>IF(C424="","",C424+10)</f>
        <v>4195</v>
      </c>
      <c r="D425" s="2102"/>
      <c r="E425" s="627"/>
      <c r="F425" s="628" t="s">
        <v>431</v>
      </c>
      <c r="G425" s="2103">
        <f>IF(G424="","",G424+10)</f>
        <v>4210</v>
      </c>
      <c r="H425" s="2104"/>
    </row>
    <row r="426" spans="1:8" ht="15.5" x14ac:dyDescent="0.35">
      <c r="A426" s="625"/>
      <c r="B426" s="626" t="s">
        <v>430</v>
      </c>
      <c r="C426" s="2101">
        <f>IF(C425="","",C425+10)</f>
        <v>4205</v>
      </c>
      <c r="D426" s="2102"/>
      <c r="E426" s="627"/>
      <c r="F426" s="628" t="s">
        <v>431</v>
      </c>
      <c r="G426" s="2103">
        <f>IF(G425="","",G425+10)</f>
        <v>4220</v>
      </c>
      <c r="H426" s="2104"/>
    </row>
    <row r="427" spans="1:8" ht="15.5" x14ac:dyDescent="0.35">
      <c r="A427" s="625">
        <f>A424+30</f>
        <v>4215</v>
      </c>
      <c r="B427" s="626" t="s">
        <v>430</v>
      </c>
      <c r="C427" s="2101">
        <f>IF(A427="","",A427)</f>
        <v>4215</v>
      </c>
      <c r="D427" s="2102"/>
      <c r="E427" s="627">
        <f>E424+30</f>
        <v>4230</v>
      </c>
      <c r="F427" s="628" t="s">
        <v>431</v>
      </c>
      <c r="G427" s="2103">
        <f>IF(E427="","",E427)</f>
        <v>4230</v>
      </c>
      <c r="H427" s="2104"/>
    </row>
    <row r="428" spans="1:8" ht="15.5" x14ac:dyDescent="0.35">
      <c r="A428" s="625"/>
      <c r="B428" s="626" t="s">
        <v>430</v>
      </c>
      <c r="C428" s="2101">
        <f>IF(C427="","",C427+10)</f>
        <v>4225</v>
      </c>
      <c r="D428" s="2102"/>
      <c r="E428" s="627"/>
      <c r="F428" s="628" t="s">
        <v>431</v>
      </c>
      <c r="G428" s="2103">
        <f>IF(G427="","",G427+10)</f>
        <v>4240</v>
      </c>
      <c r="H428" s="2104"/>
    </row>
    <row r="429" spans="1:8" ht="15.5" x14ac:dyDescent="0.35">
      <c r="A429" s="625"/>
      <c r="B429" s="626" t="s">
        <v>430</v>
      </c>
      <c r="C429" s="2101">
        <f>IF(C428="","",C428+10)</f>
        <v>4235</v>
      </c>
      <c r="D429" s="2102"/>
      <c r="E429" s="627"/>
      <c r="F429" s="628" t="s">
        <v>431</v>
      </c>
      <c r="G429" s="2103">
        <f>IF(G428="","",G428+10)</f>
        <v>4250</v>
      </c>
      <c r="H429" s="2104"/>
    </row>
    <row r="430" spans="1:8" ht="15.5" x14ac:dyDescent="0.35">
      <c r="A430" s="625">
        <f>A427+30</f>
        <v>4245</v>
      </c>
      <c r="B430" s="626" t="s">
        <v>430</v>
      </c>
      <c r="C430" s="2101">
        <f>IF(A430="","",A430)</f>
        <v>4245</v>
      </c>
      <c r="D430" s="2102"/>
      <c r="E430" s="627">
        <f>E427+30</f>
        <v>4260</v>
      </c>
      <c r="F430" s="628" t="s">
        <v>431</v>
      </c>
      <c r="G430" s="2103">
        <f>IF(E430="","",E430)</f>
        <v>4260</v>
      </c>
      <c r="H430" s="2104"/>
    </row>
    <row r="431" spans="1:8" ht="15.5" x14ac:dyDescent="0.35">
      <c r="A431" s="625"/>
      <c r="B431" s="626" t="s">
        <v>430</v>
      </c>
      <c r="C431" s="2101">
        <f>IF(C430="","",C430+10)</f>
        <v>4255</v>
      </c>
      <c r="D431" s="2102"/>
      <c r="E431" s="627"/>
      <c r="F431" s="628" t="s">
        <v>431</v>
      </c>
      <c r="G431" s="2103">
        <f>IF(G430="","",G430+10)</f>
        <v>4270</v>
      </c>
      <c r="H431" s="2104"/>
    </row>
    <row r="432" spans="1:8" ht="15.5" x14ac:dyDescent="0.35">
      <c r="A432" s="625"/>
      <c r="B432" s="626" t="s">
        <v>430</v>
      </c>
      <c r="C432" s="2101">
        <f>IF(C431="","",C431+10)</f>
        <v>4265</v>
      </c>
      <c r="D432" s="2102"/>
      <c r="E432" s="627"/>
      <c r="F432" s="628" t="s">
        <v>431</v>
      </c>
      <c r="G432" s="2103">
        <f>IF(G431="","",G431+10)</f>
        <v>4280</v>
      </c>
      <c r="H432" s="2104"/>
    </row>
    <row r="433" spans="1:8" ht="15.5" x14ac:dyDescent="0.35">
      <c r="A433" s="625">
        <f>A430+30</f>
        <v>4275</v>
      </c>
      <c r="B433" s="626" t="s">
        <v>430</v>
      </c>
      <c r="C433" s="2101">
        <f>IF(A433="","",A433)</f>
        <v>4275</v>
      </c>
      <c r="D433" s="2102"/>
      <c r="E433" s="627">
        <f>E430+30</f>
        <v>4290</v>
      </c>
      <c r="F433" s="628" t="s">
        <v>431</v>
      </c>
      <c r="G433" s="2103">
        <f>IF(E433="","",E433)</f>
        <v>4290</v>
      </c>
      <c r="H433" s="2104"/>
    </row>
    <row r="434" spans="1:8" ht="15.5" x14ac:dyDescent="0.35">
      <c r="A434" s="625"/>
      <c r="B434" s="626" t="s">
        <v>430</v>
      </c>
      <c r="C434" s="2101">
        <f>IF(C433="","",C433+10)</f>
        <v>4285</v>
      </c>
      <c r="D434" s="2102"/>
      <c r="E434" s="627"/>
      <c r="F434" s="628" t="s">
        <v>431</v>
      </c>
      <c r="G434" s="2103">
        <f>IF(G433="","",G433+10)</f>
        <v>4300</v>
      </c>
      <c r="H434" s="2104"/>
    </row>
    <row r="435" spans="1:8" ht="15.5" x14ac:dyDescent="0.35">
      <c r="A435" s="625"/>
      <c r="B435" s="626" t="s">
        <v>430</v>
      </c>
      <c r="C435" s="2101">
        <f>IF(C434="","",C434+10)</f>
        <v>4295</v>
      </c>
      <c r="D435" s="2102"/>
      <c r="E435" s="627"/>
      <c r="F435" s="628" t="s">
        <v>431</v>
      </c>
      <c r="G435" s="2103">
        <f>IF(G434="","",G434+10)</f>
        <v>4310</v>
      </c>
      <c r="H435" s="2104"/>
    </row>
    <row r="436" spans="1:8" ht="15.5" x14ac:dyDescent="0.35">
      <c r="A436" s="625">
        <f>A433+30</f>
        <v>4305</v>
      </c>
      <c r="B436" s="626" t="s">
        <v>430</v>
      </c>
      <c r="C436" s="2101">
        <f>IF(A436="","",A436)</f>
        <v>4305</v>
      </c>
      <c r="D436" s="2102"/>
      <c r="E436" s="627">
        <f>E433+30</f>
        <v>4320</v>
      </c>
      <c r="F436" s="628" t="s">
        <v>431</v>
      </c>
      <c r="G436" s="2103">
        <f>IF(E436="","",E436)</f>
        <v>4320</v>
      </c>
      <c r="H436" s="2104"/>
    </row>
    <row r="437" spans="1:8" ht="15.5" x14ac:dyDescent="0.35">
      <c r="A437" s="625"/>
      <c r="B437" s="626" t="s">
        <v>430</v>
      </c>
      <c r="C437" s="2101">
        <f>IF(C436="","",C436+10)</f>
        <v>4315</v>
      </c>
      <c r="D437" s="2102"/>
      <c r="E437" s="627"/>
      <c r="F437" s="628" t="s">
        <v>431</v>
      </c>
      <c r="G437" s="2103">
        <f>IF(G436="","",G436+10)</f>
        <v>4330</v>
      </c>
      <c r="H437" s="2104"/>
    </row>
    <row r="438" spans="1:8" ht="15.5" x14ac:dyDescent="0.35">
      <c r="A438" s="625"/>
      <c r="B438" s="626" t="s">
        <v>430</v>
      </c>
      <c r="C438" s="2101">
        <f>IF(C437="","",C437+10)</f>
        <v>4325</v>
      </c>
      <c r="D438" s="2102"/>
      <c r="E438" s="627"/>
      <c r="F438" s="628" t="s">
        <v>431</v>
      </c>
      <c r="G438" s="2103">
        <f>IF(G437="","",G437+10)</f>
        <v>4340</v>
      </c>
      <c r="H438" s="2104"/>
    </row>
    <row r="439" spans="1:8" ht="15.5" x14ac:dyDescent="0.35">
      <c r="A439" s="625">
        <f>A436+30</f>
        <v>4335</v>
      </c>
      <c r="B439" s="626" t="s">
        <v>430</v>
      </c>
      <c r="C439" s="2101">
        <f>IF(A439="","",A439)</f>
        <v>4335</v>
      </c>
      <c r="D439" s="2102"/>
      <c r="E439" s="627">
        <f>E436+30</f>
        <v>4350</v>
      </c>
      <c r="F439" s="628" t="s">
        <v>431</v>
      </c>
      <c r="G439" s="2103">
        <f>IF(E439="","",E439)</f>
        <v>4350</v>
      </c>
      <c r="H439" s="2104"/>
    </row>
    <row r="440" spans="1:8" ht="15.5" x14ac:dyDescent="0.35">
      <c r="A440" s="625"/>
      <c r="B440" s="626" t="s">
        <v>430</v>
      </c>
      <c r="C440" s="2101">
        <f>IF(C439="","",C439+10)</f>
        <v>4345</v>
      </c>
      <c r="D440" s="2102"/>
      <c r="E440" s="627"/>
      <c r="F440" s="628" t="s">
        <v>431</v>
      </c>
      <c r="G440" s="2103">
        <f>IF(G439="","",G439+10)</f>
        <v>4360</v>
      </c>
      <c r="H440" s="2104"/>
    </row>
    <row r="441" spans="1:8" ht="15.5" x14ac:dyDescent="0.35">
      <c r="A441" s="625"/>
      <c r="B441" s="626" t="s">
        <v>430</v>
      </c>
      <c r="C441" s="2101">
        <f>IF(C440="","",C440+10)</f>
        <v>4355</v>
      </c>
      <c r="D441" s="2102"/>
      <c r="E441" s="627"/>
      <c r="F441" s="628" t="s">
        <v>431</v>
      </c>
      <c r="G441" s="2103">
        <f>IF(G440="","",G440+10)</f>
        <v>4370</v>
      </c>
      <c r="H441" s="2104"/>
    </row>
    <row r="442" spans="1:8" ht="15.5" x14ac:dyDescent="0.35">
      <c r="A442" s="625">
        <f>A439+30</f>
        <v>4365</v>
      </c>
      <c r="B442" s="626" t="s">
        <v>430</v>
      </c>
      <c r="C442" s="2101">
        <f>IF(A442="","",A442)</f>
        <v>4365</v>
      </c>
      <c r="D442" s="2102"/>
      <c r="E442" s="627">
        <f>E439+30</f>
        <v>4380</v>
      </c>
      <c r="F442" s="628" t="s">
        <v>431</v>
      </c>
      <c r="G442" s="2103">
        <f>IF(E442="","",E442)</f>
        <v>4380</v>
      </c>
      <c r="H442" s="2104"/>
    </row>
    <row r="443" spans="1:8" ht="15.5" x14ac:dyDescent="0.35">
      <c r="A443" s="625"/>
      <c r="B443" s="626" t="s">
        <v>430</v>
      </c>
      <c r="C443" s="2101">
        <f>IF(C442="","",C442+10)</f>
        <v>4375</v>
      </c>
      <c r="D443" s="2102"/>
      <c r="E443" s="627"/>
      <c r="F443" s="628" t="s">
        <v>431</v>
      </c>
      <c r="G443" s="2103">
        <f>IF(G442="","",G442+10)</f>
        <v>4390</v>
      </c>
      <c r="H443" s="2104"/>
    </row>
    <row r="444" spans="1:8" ht="15.5" x14ac:dyDescent="0.35">
      <c r="A444" s="625"/>
      <c r="B444" s="626" t="s">
        <v>430</v>
      </c>
      <c r="C444" s="2101">
        <f>IF(C443="","",C443+10)</f>
        <v>4385</v>
      </c>
      <c r="D444" s="2102"/>
      <c r="E444" s="627"/>
      <c r="F444" s="628" t="s">
        <v>431</v>
      </c>
      <c r="G444" s="2103">
        <f>IF(G443="","",G443+10)</f>
        <v>4400</v>
      </c>
      <c r="H444" s="2104"/>
    </row>
    <row r="445" spans="1:8" ht="15.5" x14ac:dyDescent="0.35">
      <c r="A445" s="625">
        <f>A442+30</f>
        <v>4395</v>
      </c>
      <c r="B445" s="626" t="s">
        <v>430</v>
      </c>
      <c r="C445" s="2101">
        <f>IF(A445="","",A445)</f>
        <v>4395</v>
      </c>
      <c r="D445" s="2102"/>
      <c r="E445" s="627">
        <f>E442+30</f>
        <v>4410</v>
      </c>
      <c r="F445" s="628" t="s">
        <v>431</v>
      </c>
      <c r="G445" s="2103">
        <f>IF(E445="","",E445)</f>
        <v>4410</v>
      </c>
      <c r="H445" s="2104"/>
    </row>
    <row r="446" spans="1:8" ht="15.5" x14ac:dyDescent="0.35">
      <c r="A446" s="625"/>
      <c r="B446" s="626" t="s">
        <v>430</v>
      </c>
      <c r="C446" s="2101">
        <f>IF(C445="","",C445+10)</f>
        <v>4405</v>
      </c>
      <c r="D446" s="2102"/>
      <c r="E446" s="627"/>
      <c r="F446" s="628" t="s">
        <v>431</v>
      </c>
      <c r="G446" s="2103">
        <f>IF(G445="","",G445+10)</f>
        <v>4420</v>
      </c>
      <c r="H446" s="2104"/>
    </row>
    <row r="447" spans="1:8" ht="15.5" x14ac:dyDescent="0.35">
      <c r="A447" s="625"/>
      <c r="B447" s="626" t="s">
        <v>430</v>
      </c>
      <c r="C447" s="2101">
        <f>IF(C446="","",C446+10)</f>
        <v>4415</v>
      </c>
      <c r="D447" s="2102"/>
      <c r="E447" s="627"/>
      <c r="F447" s="628" t="s">
        <v>431</v>
      </c>
      <c r="G447" s="2103">
        <f>IF(G446="","",G446+10)</f>
        <v>4430</v>
      </c>
      <c r="H447" s="2104"/>
    </row>
    <row r="448" spans="1:8" ht="15.5" x14ac:dyDescent="0.35">
      <c r="A448" s="625">
        <f>A445+30</f>
        <v>4425</v>
      </c>
      <c r="B448" s="626" t="s">
        <v>430</v>
      </c>
      <c r="C448" s="2101">
        <f>IF(A448="","",A448)</f>
        <v>4425</v>
      </c>
      <c r="D448" s="2102"/>
      <c r="E448" s="627">
        <f>E445+30</f>
        <v>4440</v>
      </c>
      <c r="F448" s="628" t="s">
        <v>431</v>
      </c>
      <c r="G448" s="2103">
        <f>IF(E448="","",E448)</f>
        <v>4440</v>
      </c>
      <c r="H448" s="2104"/>
    </row>
    <row r="449" spans="1:8" ht="15.5" x14ac:dyDescent="0.35">
      <c r="A449" s="625"/>
      <c r="B449" s="626" t="s">
        <v>430</v>
      </c>
      <c r="C449" s="2101">
        <f>IF(C448="","",C448+10)</f>
        <v>4435</v>
      </c>
      <c r="D449" s="2102"/>
      <c r="E449" s="627"/>
      <c r="F449" s="628" t="s">
        <v>431</v>
      </c>
      <c r="G449" s="2103">
        <f>IF(G448="","",G448+10)</f>
        <v>4450</v>
      </c>
      <c r="H449" s="2104"/>
    </row>
    <row r="450" spans="1:8" ht="15.5" x14ac:dyDescent="0.35">
      <c r="A450" s="625"/>
      <c r="B450" s="626" t="s">
        <v>430</v>
      </c>
      <c r="C450" s="2101">
        <f>IF(C449="","",C449+10)</f>
        <v>4445</v>
      </c>
      <c r="D450" s="2102"/>
      <c r="E450" s="627"/>
      <c r="F450" s="628" t="s">
        <v>431</v>
      </c>
      <c r="G450" s="2103">
        <f>IF(G449="","",G449+10)</f>
        <v>4460</v>
      </c>
      <c r="H450" s="2104"/>
    </row>
    <row r="451" spans="1:8" ht="15.5" x14ac:dyDescent="0.35">
      <c r="A451" s="625">
        <f>A448+30</f>
        <v>4455</v>
      </c>
      <c r="B451" s="626" t="s">
        <v>430</v>
      </c>
      <c r="C451" s="2101">
        <f>IF(A451="","",A451)</f>
        <v>4455</v>
      </c>
      <c r="D451" s="2102"/>
      <c r="E451" s="627">
        <f>E448+30</f>
        <v>4470</v>
      </c>
      <c r="F451" s="628" t="s">
        <v>431</v>
      </c>
      <c r="G451" s="2103">
        <f>IF(E451="","",E451)</f>
        <v>4470</v>
      </c>
      <c r="H451" s="2104"/>
    </row>
    <row r="452" spans="1:8" ht="15.5" x14ac:dyDescent="0.35">
      <c r="A452" s="625"/>
      <c r="B452" s="626" t="s">
        <v>430</v>
      </c>
      <c r="C452" s="2101">
        <f>IF(C451="","",C451+10)</f>
        <v>4465</v>
      </c>
      <c r="D452" s="2102"/>
      <c r="E452" s="627"/>
      <c r="F452" s="628" t="s">
        <v>431</v>
      </c>
      <c r="G452" s="2103">
        <f>IF(G451="","",G451+10)</f>
        <v>4480</v>
      </c>
      <c r="H452" s="2104"/>
    </row>
    <row r="453" spans="1:8" ht="15.5" x14ac:dyDescent="0.35">
      <c r="A453" s="625"/>
      <c r="B453" s="626" t="s">
        <v>430</v>
      </c>
      <c r="C453" s="2101">
        <f>IF(C452="","",C452+10)</f>
        <v>4475</v>
      </c>
      <c r="D453" s="2102"/>
      <c r="E453" s="627"/>
      <c r="F453" s="628" t="s">
        <v>431</v>
      </c>
      <c r="G453" s="2103">
        <f>IF(G452="","",G452+10)</f>
        <v>4490</v>
      </c>
      <c r="H453" s="2104"/>
    </row>
    <row r="454" spans="1:8" ht="15.5" x14ac:dyDescent="0.35">
      <c r="A454" s="625">
        <f>A451+30</f>
        <v>4485</v>
      </c>
      <c r="B454" s="626" t="s">
        <v>430</v>
      </c>
      <c r="C454" s="2101">
        <f>IF(A454="","",A454)</f>
        <v>4485</v>
      </c>
      <c r="D454" s="2102"/>
      <c r="E454" s="627">
        <f>E451+30</f>
        <v>4500</v>
      </c>
      <c r="F454" s="628" t="s">
        <v>431</v>
      </c>
      <c r="G454" s="2103">
        <f>IF(E454="","",E454)</f>
        <v>4500</v>
      </c>
      <c r="H454" s="2104"/>
    </row>
    <row r="455" spans="1:8" ht="15.5" x14ac:dyDescent="0.35">
      <c r="A455" s="625"/>
      <c r="B455" s="626" t="s">
        <v>430</v>
      </c>
      <c r="C455" s="2101">
        <f>IF(C454="","",C454+10)</f>
        <v>4495</v>
      </c>
      <c r="D455" s="2102"/>
      <c r="E455" s="627"/>
      <c r="F455" s="628" t="s">
        <v>431</v>
      </c>
      <c r="G455" s="2103">
        <f>IF(G454="","",G454+10)</f>
        <v>4510</v>
      </c>
      <c r="H455" s="2104"/>
    </row>
    <row r="456" spans="1:8" ht="15.5" x14ac:dyDescent="0.35">
      <c r="A456" s="625"/>
      <c r="B456" s="626" t="s">
        <v>430</v>
      </c>
      <c r="C456" s="2101">
        <f>IF(C455="","",C455+10)</f>
        <v>4505</v>
      </c>
      <c r="D456" s="2102"/>
      <c r="E456" s="627"/>
      <c r="F456" s="628" t="s">
        <v>431</v>
      </c>
      <c r="G456" s="2103">
        <f>IF(G455="","",G455+10)</f>
        <v>4520</v>
      </c>
      <c r="H456" s="2104"/>
    </row>
    <row r="457" spans="1:8" ht="15.5" x14ac:dyDescent="0.35">
      <c r="A457" s="625">
        <f>A454+30</f>
        <v>4515</v>
      </c>
      <c r="B457" s="626" t="s">
        <v>430</v>
      </c>
      <c r="C457" s="2101">
        <f>IF(A457="","",A457)</f>
        <v>4515</v>
      </c>
      <c r="D457" s="2102"/>
      <c r="E457" s="627">
        <f>E454+30</f>
        <v>4530</v>
      </c>
      <c r="F457" s="628" t="s">
        <v>431</v>
      </c>
      <c r="G457" s="2103">
        <f>IF(E457="","",E457)</f>
        <v>4530</v>
      </c>
      <c r="H457" s="2104"/>
    </row>
    <row r="458" spans="1:8" ht="15.5" x14ac:dyDescent="0.35">
      <c r="A458" s="625"/>
      <c r="B458" s="626" t="s">
        <v>430</v>
      </c>
      <c r="C458" s="2101">
        <f>IF(C457="","",C457+10)</f>
        <v>4525</v>
      </c>
      <c r="D458" s="2102"/>
      <c r="E458" s="627"/>
      <c r="F458" s="628" t="s">
        <v>431</v>
      </c>
      <c r="G458" s="2103">
        <f>IF(G457="","",G457+10)</f>
        <v>4540</v>
      </c>
      <c r="H458" s="2104"/>
    </row>
    <row r="459" spans="1:8" ht="15.5" x14ac:dyDescent="0.35">
      <c r="A459" s="625"/>
      <c r="B459" s="626" t="s">
        <v>430</v>
      </c>
      <c r="C459" s="2101">
        <f>IF(C458="","",C458+10)</f>
        <v>4535</v>
      </c>
      <c r="D459" s="2102"/>
      <c r="E459" s="627"/>
      <c r="F459" s="628" t="s">
        <v>431</v>
      </c>
      <c r="G459" s="2103">
        <f>IF(G458="","",G458+10)</f>
        <v>4550</v>
      </c>
      <c r="H459" s="2104"/>
    </row>
    <row r="460" spans="1:8" ht="15.5" x14ac:dyDescent="0.35">
      <c r="A460" s="625">
        <f>A457+30</f>
        <v>4545</v>
      </c>
      <c r="B460" s="626" t="s">
        <v>430</v>
      </c>
      <c r="C460" s="2101">
        <f>IF(A460="","",A460)</f>
        <v>4545</v>
      </c>
      <c r="D460" s="2102"/>
      <c r="E460" s="627">
        <f>E457+30</f>
        <v>4560</v>
      </c>
      <c r="F460" s="628" t="s">
        <v>431</v>
      </c>
      <c r="G460" s="2103">
        <f>IF(E460="","",E460)</f>
        <v>4560</v>
      </c>
      <c r="H460" s="2104"/>
    </row>
    <row r="461" spans="1:8" ht="15.5" x14ac:dyDescent="0.35">
      <c r="A461" s="625"/>
      <c r="B461" s="626" t="s">
        <v>430</v>
      </c>
      <c r="C461" s="2101">
        <f>IF(C460="","",C460+10)</f>
        <v>4555</v>
      </c>
      <c r="D461" s="2102"/>
      <c r="E461" s="627"/>
      <c r="F461" s="628" t="s">
        <v>431</v>
      </c>
      <c r="G461" s="2103">
        <f>IF(G460="","",G460+10)</f>
        <v>4570</v>
      </c>
      <c r="H461" s="2104"/>
    </row>
    <row r="462" spans="1:8" ht="15.5" x14ac:dyDescent="0.35">
      <c r="A462" s="625"/>
      <c r="B462" s="626" t="s">
        <v>430</v>
      </c>
      <c r="C462" s="2101">
        <f>IF(C461="","",C461+10)</f>
        <v>4565</v>
      </c>
      <c r="D462" s="2102"/>
      <c r="E462" s="627"/>
      <c r="F462" s="628" t="s">
        <v>431</v>
      </c>
      <c r="G462" s="2103">
        <f>IF(G461="","",G461+10)</f>
        <v>4580</v>
      </c>
      <c r="H462" s="2104"/>
    </row>
    <row r="463" spans="1:8" ht="15.5" x14ac:dyDescent="0.35">
      <c r="A463" s="625">
        <f>A460+30</f>
        <v>4575</v>
      </c>
      <c r="B463" s="626" t="s">
        <v>430</v>
      </c>
      <c r="C463" s="2101">
        <f>IF(A463="","",A463)</f>
        <v>4575</v>
      </c>
      <c r="D463" s="2102"/>
      <c r="E463" s="627">
        <f>E460+30</f>
        <v>4590</v>
      </c>
      <c r="F463" s="628" t="s">
        <v>431</v>
      </c>
      <c r="G463" s="2103">
        <f>IF(E463="","",E463)</f>
        <v>4590</v>
      </c>
      <c r="H463" s="2104"/>
    </row>
    <row r="464" spans="1:8" ht="15.5" x14ac:dyDescent="0.35">
      <c r="A464" s="625"/>
      <c r="B464" s="626" t="s">
        <v>430</v>
      </c>
      <c r="C464" s="2101">
        <f>IF(C463="","",C463+10)</f>
        <v>4585</v>
      </c>
      <c r="D464" s="2102"/>
      <c r="E464" s="627"/>
      <c r="F464" s="628" t="s">
        <v>431</v>
      </c>
      <c r="G464" s="2103">
        <f>IF(G463="","",G463+10)</f>
        <v>4600</v>
      </c>
      <c r="H464" s="2104"/>
    </row>
    <row r="465" spans="1:8" ht="15.5" x14ac:dyDescent="0.35">
      <c r="A465" s="625"/>
      <c r="B465" s="626" t="s">
        <v>430</v>
      </c>
      <c r="C465" s="2101">
        <f>IF(C464="","",C464+10)</f>
        <v>4595</v>
      </c>
      <c r="D465" s="2102"/>
      <c r="E465" s="627"/>
      <c r="F465" s="628" t="s">
        <v>431</v>
      </c>
      <c r="G465" s="2103">
        <f>IF(G464="","",G464+10)</f>
        <v>4610</v>
      </c>
      <c r="H465" s="2104"/>
    </row>
    <row r="466" spans="1:8" ht="15.5" x14ac:dyDescent="0.35">
      <c r="A466" s="625">
        <f>A463+30</f>
        <v>4605</v>
      </c>
      <c r="B466" s="626" t="s">
        <v>430</v>
      </c>
      <c r="C466" s="2101">
        <f>IF(A466="","",A466)</f>
        <v>4605</v>
      </c>
      <c r="D466" s="2102"/>
      <c r="E466" s="627">
        <f>E463+30</f>
        <v>4620</v>
      </c>
      <c r="F466" s="628" t="s">
        <v>431</v>
      </c>
      <c r="G466" s="2103">
        <f>IF(E466="","",E466)</f>
        <v>4620</v>
      </c>
      <c r="H466" s="2104"/>
    </row>
    <row r="467" spans="1:8" ht="15.5" x14ac:dyDescent="0.35">
      <c r="A467" s="625"/>
      <c r="B467" s="626" t="s">
        <v>430</v>
      </c>
      <c r="C467" s="2101">
        <f>IF(C466="","",C466+10)</f>
        <v>4615</v>
      </c>
      <c r="D467" s="2102"/>
      <c r="E467" s="627"/>
      <c r="F467" s="628" t="s">
        <v>431</v>
      </c>
      <c r="G467" s="2103">
        <f>IF(G466="","",G466+10)</f>
        <v>4630</v>
      </c>
      <c r="H467" s="2104"/>
    </row>
    <row r="468" spans="1:8" ht="15.5" x14ac:dyDescent="0.35">
      <c r="A468" s="625"/>
      <c r="B468" s="626" t="s">
        <v>430</v>
      </c>
      <c r="C468" s="2101">
        <f>IF(C467="","",C467+10)</f>
        <v>4625</v>
      </c>
      <c r="D468" s="2102"/>
      <c r="E468" s="627"/>
      <c r="F468" s="628" t="s">
        <v>431</v>
      </c>
      <c r="G468" s="2103">
        <f>IF(G467="","",G467+10)</f>
        <v>4640</v>
      </c>
      <c r="H468" s="2104"/>
    </row>
    <row r="469" spans="1:8" ht="15.5" x14ac:dyDescent="0.35">
      <c r="A469" s="625">
        <f>A466+30</f>
        <v>4635</v>
      </c>
      <c r="B469" s="626" t="s">
        <v>430</v>
      </c>
      <c r="C469" s="2101">
        <f>IF(A469="","",A469)</f>
        <v>4635</v>
      </c>
      <c r="D469" s="2102"/>
      <c r="E469" s="627">
        <f>E466+30</f>
        <v>4650</v>
      </c>
      <c r="F469" s="628" t="s">
        <v>431</v>
      </c>
      <c r="G469" s="2103">
        <f>IF(E469="","",E469)</f>
        <v>4650</v>
      </c>
      <c r="H469" s="2104"/>
    </row>
    <row r="470" spans="1:8" ht="15.5" x14ac:dyDescent="0.35">
      <c r="A470" s="625"/>
      <c r="B470" s="626" t="s">
        <v>430</v>
      </c>
      <c r="C470" s="2101">
        <f>IF(C469="","",C469+10)</f>
        <v>4645</v>
      </c>
      <c r="D470" s="2102"/>
      <c r="E470" s="627"/>
      <c r="F470" s="628" t="s">
        <v>431</v>
      </c>
      <c r="G470" s="2103">
        <f>IF(G469="","",G469+10)</f>
        <v>4660</v>
      </c>
      <c r="H470" s="2104"/>
    </row>
    <row r="471" spans="1:8" ht="15.5" x14ac:dyDescent="0.35">
      <c r="A471" s="625"/>
      <c r="B471" s="626" t="s">
        <v>430</v>
      </c>
      <c r="C471" s="2101">
        <f>IF(C470="","",C470+10)</f>
        <v>4655</v>
      </c>
      <c r="D471" s="2102"/>
      <c r="E471" s="627"/>
      <c r="F471" s="628" t="s">
        <v>431</v>
      </c>
      <c r="G471" s="2103">
        <f>IF(G470="","",G470+10)</f>
        <v>4670</v>
      </c>
      <c r="H471" s="2104"/>
    </row>
    <row r="472" spans="1:8" ht="15.5" x14ac:dyDescent="0.35">
      <c r="A472" s="625">
        <f>A469+30</f>
        <v>4665</v>
      </c>
      <c r="B472" s="626" t="s">
        <v>430</v>
      </c>
      <c r="C472" s="2101">
        <f>IF(A472="","",A472)</f>
        <v>4665</v>
      </c>
      <c r="D472" s="2102"/>
      <c r="E472" s="627">
        <f>E469+30</f>
        <v>4680</v>
      </c>
      <c r="F472" s="628" t="s">
        <v>431</v>
      </c>
      <c r="G472" s="2103">
        <f>IF(E472="","",E472)</f>
        <v>4680</v>
      </c>
      <c r="H472" s="2104"/>
    </row>
    <row r="473" spans="1:8" ht="15.5" x14ac:dyDescent="0.35">
      <c r="A473" s="625"/>
      <c r="B473" s="626" t="s">
        <v>430</v>
      </c>
      <c r="C473" s="2101">
        <f>IF(C472="","",C472+10)</f>
        <v>4675</v>
      </c>
      <c r="D473" s="2102"/>
      <c r="E473" s="627"/>
      <c r="F473" s="628" t="s">
        <v>431</v>
      </c>
      <c r="G473" s="2103">
        <f>IF(G472="","",G472+10)</f>
        <v>4690</v>
      </c>
      <c r="H473" s="2104"/>
    </row>
    <row r="474" spans="1:8" ht="15.5" x14ac:dyDescent="0.35">
      <c r="A474" s="625"/>
      <c r="B474" s="626" t="s">
        <v>430</v>
      </c>
      <c r="C474" s="2101">
        <f>IF(C473="","",C473+10)</f>
        <v>4685</v>
      </c>
      <c r="D474" s="2102"/>
      <c r="E474" s="627"/>
      <c r="F474" s="628" t="s">
        <v>431</v>
      </c>
      <c r="G474" s="2103">
        <f>IF(G473="","",G473+10)</f>
        <v>4700</v>
      </c>
      <c r="H474" s="2104"/>
    </row>
    <row r="475" spans="1:8" ht="15.5" x14ac:dyDescent="0.35">
      <c r="A475" s="625">
        <f>A472+30</f>
        <v>4695</v>
      </c>
      <c r="B475" s="626" t="s">
        <v>430</v>
      </c>
      <c r="C475" s="2101">
        <f>IF(A475="","",A475)</f>
        <v>4695</v>
      </c>
      <c r="D475" s="2102"/>
      <c r="E475" s="627">
        <f>E472+30</f>
        <v>4710</v>
      </c>
      <c r="F475" s="628" t="s">
        <v>431</v>
      </c>
      <c r="G475" s="2103">
        <f>IF(E475="","",E475)</f>
        <v>4710</v>
      </c>
      <c r="H475" s="2104"/>
    </row>
    <row r="476" spans="1:8" ht="15.5" x14ac:dyDescent="0.35">
      <c r="A476" s="625"/>
      <c r="B476" s="626" t="s">
        <v>430</v>
      </c>
      <c r="C476" s="2101">
        <f>IF(C475="","",C475+10)</f>
        <v>4705</v>
      </c>
      <c r="D476" s="2102"/>
      <c r="E476" s="627"/>
      <c r="F476" s="628" t="s">
        <v>431</v>
      </c>
      <c r="G476" s="2103">
        <f>IF(G475="","",G475+10)</f>
        <v>4720</v>
      </c>
      <c r="H476" s="2104"/>
    </row>
    <row r="477" spans="1:8" ht="15.5" x14ac:dyDescent="0.35">
      <c r="A477" s="625"/>
      <c r="B477" s="626" t="s">
        <v>430</v>
      </c>
      <c r="C477" s="2101">
        <f>IF(C476="","",C476+10)</f>
        <v>4715</v>
      </c>
      <c r="D477" s="2102"/>
      <c r="E477" s="627"/>
      <c r="F477" s="628" t="s">
        <v>431</v>
      </c>
      <c r="G477" s="2103">
        <f>IF(G476="","",G476+10)</f>
        <v>4730</v>
      </c>
      <c r="H477" s="2104"/>
    </row>
    <row r="478" spans="1:8" ht="15.5" x14ac:dyDescent="0.35">
      <c r="A478" s="625">
        <f>A475+30</f>
        <v>4725</v>
      </c>
      <c r="B478" s="626" t="s">
        <v>430</v>
      </c>
      <c r="C478" s="2101">
        <f>IF(A478="","",A478)</f>
        <v>4725</v>
      </c>
      <c r="D478" s="2102"/>
      <c r="E478" s="627">
        <f>E475+30</f>
        <v>4740</v>
      </c>
      <c r="F478" s="628" t="s">
        <v>431</v>
      </c>
      <c r="G478" s="2103">
        <f>IF(E478="","",E478)</f>
        <v>4740</v>
      </c>
      <c r="H478" s="2104"/>
    </row>
    <row r="479" spans="1:8" ht="15.5" x14ac:dyDescent="0.35">
      <c r="A479" s="625"/>
      <c r="B479" s="626" t="s">
        <v>430</v>
      </c>
      <c r="C479" s="2101">
        <f>IF(C478="","",C478+10)</f>
        <v>4735</v>
      </c>
      <c r="D479" s="2102"/>
      <c r="E479" s="627"/>
      <c r="F479" s="628" t="s">
        <v>431</v>
      </c>
      <c r="G479" s="2103">
        <f>IF(G478="","",G478+10)</f>
        <v>4750</v>
      </c>
      <c r="H479" s="2104"/>
    </row>
    <row r="480" spans="1:8" ht="15.5" x14ac:dyDescent="0.35">
      <c r="A480" s="625"/>
      <c r="B480" s="626" t="s">
        <v>430</v>
      </c>
      <c r="C480" s="2101">
        <f>IF(C479="","",C479+10)</f>
        <v>4745</v>
      </c>
      <c r="D480" s="2102"/>
      <c r="E480" s="627"/>
      <c r="F480" s="628" t="s">
        <v>431</v>
      </c>
      <c r="G480" s="2103">
        <f>IF(G479="","",G479+10)</f>
        <v>4760</v>
      </c>
      <c r="H480" s="2104"/>
    </row>
    <row r="481" spans="1:8" ht="15.5" x14ac:dyDescent="0.35">
      <c r="A481" s="625">
        <f>A478+30</f>
        <v>4755</v>
      </c>
      <c r="B481" s="626" t="s">
        <v>430</v>
      </c>
      <c r="C481" s="2101">
        <f>IF(A481="","",A481)</f>
        <v>4755</v>
      </c>
      <c r="D481" s="2102"/>
      <c r="E481" s="627">
        <f>E478+30</f>
        <v>4770</v>
      </c>
      <c r="F481" s="628" t="s">
        <v>431</v>
      </c>
      <c r="G481" s="2103">
        <f>IF(E481="","",E481)</f>
        <v>4770</v>
      </c>
      <c r="H481" s="2104"/>
    </row>
    <row r="482" spans="1:8" ht="15.5" x14ac:dyDescent="0.35">
      <c r="A482" s="625"/>
      <c r="B482" s="626" t="s">
        <v>430</v>
      </c>
      <c r="C482" s="2101">
        <f>IF(C481="","",C481+10)</f>
        <v>4765</v>
      </c>
      <c r="D482" s="2102"/>
      <c r="E482" s="627"/>
      <c r="F482" s="628" t="s">
        <v>431</v>
      </c>
      <c r="G482" s="2103">
        <f>IF(G481="","",G481+10)</f>
        <v>4780</v>
      </c>
      <c r="H482" s="2104"/>
    </row>
    <row r="483" spans="1:8" ht="15.5" x14ac:dyDescent="0.35">
      <c r="A483" s="625"/>
      <c r="B483" s="626" t="s">
        <v>430</v>
      </c>
      <c r="C483" s="2101">
        <f>IF(C482="","",C482+10)</f>
        <v>4775</v>
      </c>
      <c r="D483" s="2102"/>
      <c r="E483" s="627"/>
      <c r="F483" s="628" t="s">
        <v>431</v>
      </c>
      <c r="G483" s="2103">
        <f>IF(G482="","",G482+10)</f>
        <v>4790</v>
      </c>
      <c r="H483" s="2104"/>
    </row>
    <row r="484" spans="1:8" ht="15.5" x14ac:dyDescent="0.35">
      <c r="A484" s="625">
        <f>A481+30</f>
        <v>4785</v>
      </c>
      <c r="B484" s="626" t="s">
        <v>430</v>
      </c>
      <c r="C484" s="2101">
        <f>IF(A484="","",A484)</f>
        <v>4785</v>
      </c>
      <c r="D484" s="2102"/>
      <c r="E484" s="627">
        <f>E481+30</f>
        <v>4800</v>
      </c>
      <c r="F484" s="628" t="s">
        <v>431</v>
      </c>
      <c r="G484" s="2103">
        <f>IF(E484="","",E484)</f>
        <v>4800</v>
      </c>
      <c r="H484" s="2104"/>
    </row>
    <row r="485" spans="1:8" ht="15.5" x14ac:dyDescent="0.35">
      <c r="A485" s="625"/>
      <c r="B485" s="626" t="s">
        <v>430</v>
      </c>
      <c r="C485" s="2101">
        <f>IF(C484="","",C484+10)</f>
        <v>4795</v>
      </c>
      <c r="D485" s="2102"/>
      <c r="E485" s="627"/>
      <c r="F485" s="628" t="s">
        <v>431</v>
      </c>
      <c r="G485" s="2103">
        <f>IF(G484="","",G484+10)</f>
        <v>4810</v>
      </c>
      <c r="H485" s="2104"/>
    </row>
    <row r="486" spans="1:8" ht="15.5" x14ac:dyDescent="0.35">
      <c r="A486" s="625"/>
      <c r="B486" s="626" t="s">
        <v>430</v>
      </c>
      <c r="C486" s="2101">
        <f>IF(C485="","",C485+10)</f>
        <v>4805</v>
      </c>
      <c r="D486" s="2102"/>
      <c r="E486" s="627"/>
      <c r="F486" s="628" t="s">
        <v>431</v>
      </c>
      <c r="G486" s="2103">
        <f>IF(G485="","",G485+10)</f>
        <v>4820</v>
      </c>
      <c r="H486" s="2104"/>
    </row>
    <row r="487" spans="1:8" ht="15.5" x14ac:dyDescent="0.35">
      <c r="A487" s="625">
        <f>A484+30</f>
        <v>4815</v>
      </c>
      <c r="B487" s="626" t="s">
        <v>430</v>
      </c>
      <c r="C487" s="2101">
        <f>IF(A487="","",A487)</f>
        <v>4815</v>
      </c>
      <c r="D487" s="2102"/>
      <c r="E487" s="627">
        <f>E484+30</f>
        <v>4830</v>
      </c>
      <c r="F487" s="628" t="s">
        <v>431</v>
      </c>
      <c r="G487" s="2103">
        <f>IF(E487="","",E487)</f>
        <v>4830</v>
      </c>
      <c r="H487" s="2104"/>
    </row>
    <row r="488" spans="1:8" ht="15.5" x14ac:dyDescent="0.35">
      <c r="A488" s="625"/>
      <c r="B488" s="626" t="s">
        <v>430</v>
      </c>
      <c r="C488" s="2101">
        <f>IF(C487="","",C487+10)</f>
        <v>4825</v>
      </c>
      <c r="D488" s="2102"/>
      <c r="E488" s="627"/>
      <c r="F488" s="628" t="s">
        <v>431</v>
      </c>
      <c r="G488" s="2103">
        <f>IF(G487="","",G487+10)</f>
        <v>4840</v>
      </c>
      <c r="H488" s="2104"/>
    </row>
    <row r="489" spans="1:8" ht="15.5" x14ac:dyDescent="0.35">
      <c r="A489" s="625"/>
      <c r="B489" s="626" t="s">
        <v>430</v>
      </c>
      <c r="C489" s="2101">
        <f>IF(C488="","",C488+10)</f>
        <v>4835</v>
      </c>
      <c r="D489" s="2102"/>
      <c r="E489" s="627"/>
      <c r="F489" s="628" t="s">
        <v>431</v>
      </c>
      <c r="G489" s="2103">
        <f>IF(G488="","",G488+10)</f>
        <v>4850</v>
      </c>
      <c r="H489" s="2104"/>
    </row>
    <row r="490" spans="1:8" ht="15.5" x14ac:dyDescent="0.35">
      <c r="A490" s="625">
        <f>A487+30</f>
        <v>4845</v>
      </c>
      <c r="B490" s="626" t="s">
        <v>430</v>
      </c>
      <c r="C490" s="2101">
        <f>IF(A490="","",A490)</f>
        <v>4845</v>
      </c>
      <c r="D490" s="2102"/>
      <c r="E490" s="627">
        <f>E487+30</f>
        <v>4860</v>
      </c>
      <c r="F490" s="628" t="s">
        <v>431</v>
      </c>
      <c r="G490" s="2103">
        <f>IF(E490="","",E490)</f>
        <v>4860</v>
      </c>
      <c r="H490" s="2104"/>
    </row>
    <row r="491" spans="1:8" ht="15.5" x14ac:dyDescent="0.35">
      <c r="A491" s="625"/>
      <c r="B491" s="626" t="s">
        <v>430</v>
      </c>
      <c r="C491" s="2101">
        <f>IF(C490="","",C490+10)</f>
        <v>4855</v>
      </c>
      <c r="D491" s="2102"/>
      <c r="E491" s="627"/>
      <c r="F491" s="628" t="s">
        <v>431</v>
      </c>
      <c r="G491" s="2103">
        <f>IF(G490="","",G490+10)</f>
        <v>4870</v>
      </c>
      <c r="H491" s="2104"/>
    </row>
    <row r="492" spans="1:8" ht="15.5" x14ac:dyDescent="0.35">
      <c r="A492" s="625"/>
      <c r="B492" s="626" t="s">
        <v>430</v>
      </c>
      <c r="C492" s="2101">
        <f>IF(C491="","",C491+10)</f>
        <v>4865</v>
      </c>
      <c r="D492" s="2102"/>
      <c r="E492" s="627"/>
      <c r="F492" s="628" t="s">
        <v>431</v>
      </c>
      <c r="G492" s="2103">
        <f>IF(G491="","",G491+10)</f>
        <v>4880</v>
      </c>
      <c r="H492" s="2104"/>
    </row>
    <row r="493" spans="1:8" ht="15.5" x14ac:dyDescent="0.35">
      <c r="A493" s="625">
        <f>A490+30</f>
        <v>4875</v>
      </c>
      <c r="B493" s="626" t="s">
        <v>430</v>
      </c>
      <c r="C493" s="2101">
        <f>IF(A493="","",A493)</f>
        <v>4875</v>
      </c>
      <c r="D493" s="2102"/>
      <c r="E493" s="627">
        <f>E490+30</f>
        <v>4890</v>
      </c>
      <c r="F493" s="628" t="s">
        <v>431</v>
      </c>
      <c r="G493" s="2103">
        <f>IF(E493="","",E493)</f>
        <v>4890</v>
      </c>
      <c r="H493" s="2104"/>
    </row>
    <row r="494" spans="1:8" ht="15.5" x14ac:dyDescent="0.35">
      <c r="A494" s="625"/>
      <c r="B494" s="626" t="s">
        <v>430</v>
      </c>
      <c r="C494" s="2101">
        <f>IF(C493="","",C493+10)</f>
        <v>4885</v>
      </c>
      <c r="D494" s="2102"/>
      <c r="E494" s="627"/>
      <c r="F494" s="628" t="s">
        <v>431</v>
      </c>
      <c r="G494" s="2103">
        <f>IF(G493="","",G493+10)</f>
        <v>4900</v>
      </c>
      <c r="H494" s="2104"/>
    </row>
    <row r="495" spans="1:8" ht="15.5" x14ac:dyDescent="0.35">
      <c r="A495" s="625"/>
      <c r="B495" s="626" t="s">
        <v>430</v>
      </c>
      <c r="C495" s="2101">
        <f>IF(C494="","",C494+10)</f>
        <v>4895</v>
      </c>
      <c r="D495" s="2102"/>
      <c r="E495" s="627"/>
      <c r="F495" s="628" t="s">
        <v>431</v>
      </c>
      <c r="G495" s="2103">
        <f>IF(G494="","",G494+10)</f>
        <v>4910</v>
      </c>
      <c r="H495" s="2104"/>
    </row>
    <row r="496" spans="1:8" ht="15.5" x14ac:dyDescent="0.35">
      <c r="A496" s="625">
        <f>A493+30</f>
        <v>4905</v>
      </c>
      <c r="B496" s="626" t="s">
        <v>430</v>
      </c>
      <c r="C496" s="2101">
        <f>IF(A496="","",A496)</f>
        <v>4905</v>
      </c>
      <c r="D496" s="2102"/>
      <c r="E496" s="627">
        <f>E493+30</f>
        <v>4920</v>
      </c>
      <c r="F496" s="628" t="s">
        <v>431</v>
      </c>
      <c r="G496" s="2103">
        <f>IF(E496="","",E496)</f>
        <v>4920</v>
      </c>
      <c r="H496" s="2104"/>
    </row>
    <row r="497" spans="1:8" ht="15.5" x14ac:dyDescent="0.35">
      <c r="A497" s="625"/>
      <c r="B497" s="626" t="s">
        <v>430</v>
      </c>
      <c r="C497" s="2101">
        <f>IF(C496="","",C496+10)</f>
        <v>4915</v>
      </c>
      <c r="D497" s="2102"/>
      <c r="E497" s="627"/>
      <c r="F497" s="628" t="s">
        <v>431</v>
      </c>
      <c r="G497" s="2103">
        <f>IF(G496="","",G496+10)</f>
        <v>4930</v>
      </c>
      <c r="H497" s="2104"/>
    </row>
    <row r="498" spans="1:8" ht="15.5" x14ac:dyDescent="0.35">
      <c r="A498" s="625"/>
      <c r="B498" s="626" t="s">
        <v>430</v>
      </c>
      <c r="C498" s="2101">
        <f>IF(C497="","",C497+10)</f>
        <v>4925</v>
      </c>
      <c r="D498" s="2102"/>
      <c r="E498" s="627"/>
      <c r="F498" s="628" t="s">
        <v>431</v>
      </c>
      <c r="G498" s="2103">
        <f>IF(G497="","",G497+10)</f>
        <v>4940</v>
      </c>
      <c r="H498" s="2104"/>
    </row>
    <row r="499" spans="1:8" ht="15.5" x14ac:dyDescent="0.35">
      <c r="A499" s="625">
        <f>A496+30</f>
        <v>4935</v>
      </c>
      <c r="B499" s="626" t="s">
        <v>430</v>
      </c>
      <c r="C499" s="2101">
        <f>IF(A499="","",A499)</f>
        <v>4935</v>
      </c>
      <c r="D499" s="2102"/>
      <c r="E499" s="627">
        <f>E496+30</f>
        <v>4950</v>
      </c>
      <c r="F499" s="628" t="s">
        <v>431</v>
      </c>
      <c r="G499" s="2103">
        <f>IF(E499="","",E499)</f>
        <v>4950</v>
      </c>
      <c r="H499" s="2104"/>
    </row>
    <row r="500" spans="1:8" ht="15.5" x14ac:dyDescent="0.35">
      <c r="A500" s="625"/>
      <c r="B500" s="626" t="s">
        <v>430</v>
      </c>
      <c r="C500" s="2101">
        <f>IF(C499="","",C499+10)</f>
        <v>4945</v>
      </c>
      <c r="D500" s="2102"/>
      <c r="E500" s="627"/>
      <c r="F500" s="628" t="s">
        <v>431</v>
      </c>
      <c r="G500" s="2103">
        <f>IF(G499="","",G499+10)</f>
        <v>4960</v>
      </c>
      <c r="H500" s="2104"/>
    </row>
    <row r="501" spans="1:8" ht="15.5" x14ac:dyDescent="0.35">
      <c r="A501" s="625"/>
      <c r="B501" s="626" t="s">
        <v>430</v>
      </c>
      <c r="C501" s="2101">
        <f>IF(C500="","",C500+10)</f>
        <v>4955</v>
      </c>
      <c r="D501" s="2102"/>
      <c r="E501" s="627"/>
      <c r="F501" s="628" t="s">
        <v>431</v>
      </c>
      <c r="G501" s="2103">
        <f>IF(G500="","",G500+10)</f>
        <v>4970</v>
      </c>
      <c r="H501" s="2104"/>
    </row>
    <row r="502" spans="1:8" ht="15.5" x14ac:dyDescent="0.35">
      <c r="A502" s="625">
        <f>A499+30</f>
        <v>4965</v>
      </c>
      <c r="B502" s="626" t="s">
        <v>430</v>
      </c>
      <c r="C502" s="2101">
        <f>IF(A502="","",A502)</f>
        <v>4965</v>
      </c>
      <c r="D502" s="2102"/>
      <c r="E502" s="627">
        <f>E499+30</f>
        <v>4980</v>
      </c>
      <c r="F502" s="628" t="s">
        <v>431</v>
      </c>
      <c r="G502" s="2103">
        <f>IF(E502="","",E502)</f>
        <v>4980</v>
      </c>
      <c r="H502" s="2104"/>
    </row>
    <row r="503" spans="1:8" ht="15.5" x14ac:dyDescent="0.35">
      <c r="A503" s="625"/>
      <c r="B503" s="626" t="s">
        <v>430</v>
      </c>
      <c r="C503" s="2101">
        <f>IF(C502="","",C502+10)</f>
        <v>4975</v>
      </c>
      <c r="D503" s="2102"/>
      <c r="E503" s="627"/>
      <c r="F503" s="628" t="s">
        <v>431</v>
      </c>
      <c r="G503" s="2103">
        <f>IF(G502="","",G502+10)</f>
        <v>4990</v>
      </c>
      <c r="H503" s="2104"/>
    </row>
    <row r="504" spans="1:8" ht="15.5" x14ac:dyDescent="0.35">
      <c r="A504" s="625"/>
      <c r="B504" s="626" t="s">
        <v>430</v>
      </c>
      <c r="C504" s="2101">
        <f>IF(C503="","",C503+10)</f>
        <v>4985</v>
      </c>
      <c r="D504" s="2102"/>
      <c r="E504" s="627"/>
      <c r="F504" s="628" t="s">
        <v>431</v>
      </c>
      <c r="G504" s="2103">
        <f>IF(G503="","",G503+10)</f>
        <v>5000</v>
      </c>
      <c r="H504" s="2104"/>
    </row>
    <row r="505" spans="1:8" ht="15.5" x14ac:dyDescent="0.35">
      <c r="A505" s="625">
        <f>A502+30</f>
        <v>4995</v>
      </c>
      <c r="B505" s="626" t="s">
        <v>430</v>
      </c>
      <c r="C505" s="2101">
        <f>IF(A505="","",A505)</f>
        <v>4995</v>
      </c>
      <c r="D505" s="2102"/>
      <c r="E505" s="627">
        <f>E502+30</f>
        <v>5010</v>
      </c>
      <c r="F505" s="628" t="s">
        <v>431</v>
      </c>
      <c r="G505" s="2103">
        <f>IF(E505="","",E505)</f>
        <v>5010</v>
      </c>
      <c r="H505" s="2104"/>
    </row>
    <row r="506" spans="1:8" ht="15.5" x14ac:dyDescent="0.35">
      <c r="A506" s="625"/>
      <c r="B506" s="626" t="s">
        <v>430</v>
      </c>
      <c r="C506" s="2101">
        <f>IF(C505="","",C505+10)</f>
        <v>5005</v>
      </c>
      <c r="D506" s="2102"/>
      <c r="E506" s="627"/>
      <c r="F506" s="628" t="s">
        <v>431</v>
      </c>
      <c r="G506" s="2103">
        <f>IF(G505="","",G505+10)</f>
        <v>5020</v>
      </c>
      <c r="H506" s="2104"/>
    </row>
    <row r="507" spans="1:8" ht="15.5" x14ac:dyDescent="0.35">
      <c r="A507" s="625"/>
      <c r="B507" s="626" t="s">
        <v>430</v>
      </c>
      <c r="C507" s="2101">
        <f>IF(C506="","",C506+10)</f>
        <v>5015</v>
      </c>
      <c r="D507" s="2102"/>
      <c r="E507" s="627"/>
      <c r="F507" s="628" t="s">
        <v>431</v>
      </c>
      <c r="G507" s="2103">
        <f>IF(G506="","",G506+10)</f>
        <v>5030</v>
      </c>
      <c r="H507" s="2104"/>
    </row>
    <row r="508" spans="1:8" ht="15.5" x14ac:dyDescent="0.35">
      <c r="A508" s="625">
        <f>A505+30</f>
        <v>5025</v>
      </c>
      <c r="B508" s="626" t="s">
        <v>430</v>
      </c>
      <c r="C508" s="2101">
        <f>IF(A508="","",A508)</f>
        <v>5025</v>
      </c>
      <c r="D508" s="2102"/>
      <c r="E508" s="627">
        <f>E505+30</f>
        <v>5040</v>
      </c>
      <c r="F508" s="628" t="s">
        <v>431</v>
      </c>
      <c r="G508" s="2103">
        <f>IF(E508="","",E508)</f>
        <v>5040</v>
      </c>
      <c r="H508" s="2104"/>
    </row>
    <row r="509" spans="1:8" ht="15.5" x14ac:dyDescent="0.35">
      <c r="A509" s="625"/>
      <c r="B509" s="626" t="s">
        <v>430</v>
      </c>
      <c r="C509" s="2101">
        <f>IF(C508="","",C508+10)</f>
        <v>5035</v>
      </c>
      <c r="D509" s="2102"/>
      <c r="E509" s="627"/>
      <c r="F509" s="628" t="s">
        <v>431</v>
      </c>
      <c r="G509" s="2103">
        <f>IF(G508="","",G508+10)</f>
        <v>5050</v>
      </c>
      <c r="H509" s="2104"/>
    </row>
    <row r="510" spans="1:8" ht="15.5" x14ac:dyDescent="0.35">
      <c r="A510" s="625"/>
      <c r="B510" s="626" t="s">
        <v>430</v>
      </c>
      <c r="C510" s="2101">
        <f>IF(C509="","",C509+10)</f>
        <v>5045</v>
      </c>
      <c r="D510" s="2102"/>
      <c r="E510" s="627"/>
      <c r="F510" s="628" t="s">
        <v>431</v>
      </c>
      <c r="G510" s="2103">
        <f>IF(G509="","",G509+10)</f>
        <v>5060</v>
      </c>
      <c r="H510" s="2104"/>
    </row>
    <row r="511" spans="1:8" ht="15.5" x14ac:dyDescent="0.35">
      <c r="A511" s="625">
        <f>A508+30</f>
        <v>5055</v>
      </c>
      <c r="B511" s="626" t="s">
        <v>430</v>
      </c>
      <c r="C511" s="2101">
        <f>IF(A511="","",A511)</f>
        <v>5055</v>
      </c>
      <c r="D511" s="2102"/>
      <c r="E511" s="627">
        <f>E508+30</f>
        <v>5070</v>
      </c>
      <c r="F511" s="628" t="s">
        <v>431</v>
      </c>
      <c r="G511" s="2103">
        <f>IF(E511="","",E511)</f>
        <v>5070</v>
      </c>
      <c r="H511" s="2104"/>
    </row>
    <row r="512" spans="1:8" ht="15.5" x14ac:dyDescent="0.35">
      <c r="A512" s="625"/>
      <c r="B512" s="626" t="s">
        <v>430</v>
      </c>
      <c r="C512" s="2101">
        <f>IF(C511="","",C511+10)</f>
        <v>5065</v>
      </c>
      <c r="D512" s="2102"/>
      <c r="E512" s="627"/>
      <c r="F512" s="628" t="s">
        <v>431</v>
      </c>
      <c r="G512" s="2103">
        <f>IF(G511="","",G511+10)</f>
        <v>5080</v>
      </c>
      <c r="H512" s="2104"/>
    </row>
    <row r="513" spans="1:8" ht="15.5" x14ac:dyDescent="0.35">
      <c r="A513" s="625"/>
      <c r="B513" s="626" t="s">
        <v>430</v>
      </c>
      <c r="C513" s="2101">
        <f>IF(C512="","",C512+10)</f>
        <v>5075</v>
      </c>
      <c r="D513" s="2102"/>
      <c r="E513" s="627"/>
      <c r="F513" s="628" t="s">
        <v>431</v>
      </c>
      <c r="G513" s="2103">
        <f>IF(G512="","",G512+10)</f>
        <v>5090</v>
      </c>
      <c r="H513" s="2104"/>
    </row>
    <row r="514" spans="1:8" ht="15.5" x14ac:dyDescent="0.35">
      <c r="A514" s="625">
        <f>A511+30</f>
        <v>5085</v>
      </c>
      <c r="B514" s="626" t="s">
        <v>430</v>
      </c>
      <c r="C514" s="2101">
        <f>IF(A514="","",A514)</f>
        <v>5085</v>
      </c>
      <c r="D514" s="2102"/>
      <c r="E514" s="627">
        <f>E511+30</f>
        <v>5100</v>
      </c>
      <c r="F514" s="628" t="s">
        <v>431</v>
      </c>
      <c r="G514" s="2103">
        <f>IF(E514="","",E514)</f>
        <v>5100</v>
      </c>
      <c r="H514" s="2104"/>
    </row>
    <row r="515" spans="1:8" ht="15.5" x14ac:dyDescent="0.35">
      <c r="A515" s="625"/>
      <c r="B515" s="626" t="s">
        <v>430</v>
      </c>
      <c r="C515" s="2101">
        <f>IF(C514="","",C514+10)</f>
        <v>5095</v>
      </c>
      <c r="D515" s="2102"/>
      <c r="E515" s="627"/>
      <c r="F515" s="628" t="s">
        <v>431</v>
      </c>
      <c r="G515" s="2103">
        <f>IF(G514="","",G514+10)</f>
        <v>5110</v>
      </c>
      <c r="H515" s="2104"/>
    </row>
    <row r="516" spans="1:8" ht="15.5" x14ac:dyDescent="0.35">
      <c r="A516" s="625"/>
      <c r="B516" s="626" t="s">
        <v>430</v>
      </c>
      <c r="C516" s="2101">
        <f>IF(C515="","",C515+10)</f>
        <v>5105</v>
      </c>
      <c r="D516" s="2102"/>
      <c r="E516" s="627"/>
      <c r="F516" s="628" t="s">
        <v>431</v>
      </c>
      <c r="G516" s="2103">
        <f>IF(G515="","",G515+10)</f>
        <v>5120</v>
      </c>
      <c r="H516" s="2104"/>
    </row>
    <row r="517" spans="1:8" ht="15.5" x14ac:dyDescent="0.35">
      <c r="A517" s="625">
        <f>A514+30</f>
        <v>5115</v>
      </c>
      <c r="B517" s="626" t="s">
        <v>430</v>
      </c>
      <c r="C517" s="2101">
        <f>IF(A517="","",A517)</f>
        <v>5115</v>
      </c>
      <c r="D517" s="2102"/>
      <c r="E517" s="627">
        <f>E514+30</f>
        <v>5130</v>
      </c>
      <c r="F517" s="628" t="s">
        <v>431</v>
      </c>
      <c r="G517" s="2103">
        <f>IF(E517="","",E517)</f>
        <v>5130</v>
      </c>
      <c r="H517" s="2104"/>
    </row>
    <row r="518" spans="1:8" ht="15.5" x14ac:dyDescent="0.35">
      <c r="A518" s="625"/>
      <c r="B518" s="626" t="s">
        <v>430</v>
      </c>
      <c r="C518" s="2101">
        <f>IF(C517="","",C517+10)</f>
        <v>5125</v>
      </c>
      <c r="D518" s="2102"/>
      <c r="E518" s="627"/>
      <c r="F518" s="628" t="s">
        <v>431</v>
      </c>
      <c r="G518" s="2103">
        <f>IF(G517="","",G517+10)</f>
        <v>5140</v>
      </c>
      <c r="H518" s="2104"/>
    </row>
    <row r="519" spans="1:8" ht="15.5" x14ac:dyDescent="0.35">
      <c r="A519" s="625"/>
      <c r="B519" s="626" t="s">
        <v>430</v>
      </c>
      <c r="C519" s="2101">
        <f>IF(C518="","",C518+10)</f>
        <v>5135</v>
      </c>
      <c r="D519" s="2102"/>
      <c r="E519" s="627"/>
      <c r="F519" s="628" t="s">
        <v>431</v>
      </c>
      <c r="G519" s="2103">
        <f>IF(G518="","",G518+10)</f>
        <v>5150</v>
      </c>
      <c r="H519" s="2104"/>
    </row>
    <row r="520" spans="1:8" ht="15.5" x14ac:dyDescent="0.35">
      <c r="A520" s="625">
        <f>A517+30</f>
        <v>5145</v>
      </c>
      <c r="B520" s="626" t="s">
        <v>430</v>
      </c>
      <c r="C520" s="2101">
        <f>IF(A520="","",A520)</f>
        <v>5145</v>
      </c>
      <c r="D520" s="2102"/>
      <c r="E520" s="627">
        <f>E517+30</f>
        <v>5160</v>
      </c>
      <c r="F520" s="628" t="s">
        <v>431</v>
      </c>
      <c r="G520" s="2103">
        <f>IF(E520="","",E520)</f>
        <v>5160</v>
      </c>
      <c r="H520" s="2104"/>
    </row>
    <row r="521" spans="1:8" ht="15.5" x14ac:dyDescent="0.35">
      <c r="A521" s="625"/>
      <c r="B521" s="626" t="s">
        <v>430</v>
      </c>
      <c r="C521" s="2101">
        <f>IF(C520="","",C520+10)</f>
        <v>5155</v>
      </c>
      <c r="D521" s="2102"/>
      <c r="E521" s="627"/>
      <c r="F521" s="628" t="s">
        <v>431</v>
      </c>
      <c r="G521" s="2103">
        <f>IF(G520="","",G520+10)</f>
        <v>5170</v>
      </c>
      <c r="H521" s="2104"/>
    </row>
    <row r="522" spans="1:8" ht="15.5" x14ac:dyDescent="0.35">
      <c r="A522" s="625"/>
      <c r="B522" s="626" t="s">
        <v>430</v>
      </c>
      <c r="C522" s="2101">
        <f>IF(C521="","",C521+10)</f>
        <v>5165</v>
      </c>
      <c r="D522" s="2102"/>
      <c r="E522" s="627"/>
      <c r="F522" s="628" t="s">
        <v>431</v>
      </c>
      <c r="G522" s="2103">
        <f>IF(G521="","",G521+10)</f>
        <v>5180</v>
      </c>
      <c r="H522" s="2104"/>
    </row>
    <row r="523" spans="1:8" ht="15.5" x14ac:dyDescent="0.35">
      <c r="A523" s="625">
        <f>A520+30</f>
        <v>5175</v>
      </c>
      <c r="B523" s="626" t="s">
        <v>430</v>
      </c>
      <c r="C523" s="2101">
        <f>IF(A523="","",A523)</f>
        <v>5175</v>
      </c>
      <c r="D523" s="2102"/>
      <c r="E523" s="627">
        <f>E520+30</f>
        <v>5190</v>
      </c>
      <c r="F523" s="628" t="s">
        <v>431</v>
      </c>
      <c r="G523" s="2103">
        <f>IF(E523="","",E523)</f>
        <v>5190</v>
      </c>
      <c r="H523" s="2104"/>
    </row>
    <row r="524" spans="1:8" ht="15.5" x14ac:dyDescent="0.35">
      <c r="A524" s="625"/>
      <c r="B524" s="626" t="s">
        <v>430</v>
      </c>
      <c r="C524" s="2101">
        <f>IF(C523="","",C523+10)</f>
        <v>5185</v>
      </c>
      <c r="D524" s="2102"/>
      <c r="E524" s="627"/>
      <c r="F524" s="628" t="s">
        <v>431</v>
      </c>
      <c r="G524" s="2103">
        <f>IF(G523="","",G523+10)</f>
        <v>5200</v>
      </c>
      <c r="H524" s="2104"/>
    </row>
    <row r="525" spans="1:8" ht="15.5" x14ac:dyDescent="0.35">
      <c r="A525" s="625"/>
      <c r="B525" s="626" t="s">
        <v>430</v>
      </c>
      <c r="C525" s="2101">
        <f>IF(C524="","",C524+10)</f>
        <v>5195</v>
      </c>
      <c r="D525" s="2102"/>
      <c r="E525" s="627"/>
      <c r="F525" s="628" t="s">
        <v>431</v>
      </c>
      <c r="G525" s="2103">
        <f>IF(G524="","",G524+10)</f>
        <v>5210</v>
      </c>
      <c r="H525" s="2104"/>
    </row>
    <row r="526" spans="1:8" ht="15.5" x14ac:dyDescent="0.35">
      <c r="A526" s="625">
        <f>A523+30</f>
        <v>5205</v>
      </c>
      <c r="B526" s="626" t="s">
        <v>430</v>
      </c>
      <c r="C526" s="2101">
        <f>IF(A526="","",A526)</f>
        <v>5205</v>
      </c>
      <c r="D526" s="2102"/>
      <c r="E526" s="627">
        <f>E523+30</f>
        <v>5220</v>
      </c>
      <c r="F526" s="628" t="s">
        <v>431</v>
      </c>
      <c r="G526" s="2103">
        <f>IF(E526="","",E526)</f>
        <v>5220</v>
      </c>
      <c r="H526" s="2104"/>
    </row>
    <row r="527" spans="1:8" ht="15.5" x14ac:dyDescent="0.35">
      <c r="A527" s="625"/>
      <c r="B527" s="626" t="s">
        <v>430</v>
      </c>
      <c r="C527" s="2101">
        <f>IF(C526="","",C526+10)</f>
        <v>5215</v>
      </c>
      <c r="D527" s="2102"/>
      <c r="E527" s="627"/>
      <c r="F527" s="628" t="s">
        <v>431</v>
      </c>
      <c r="G527" s="2103">
        <f>IF(G526="","",G526+10)</f>
        <v>5230</v>
      </c>
      <c r="H527" s="2104"/>
    </row>
    <row r="528" spans="1:8" ht="15.5" x14ac:dyDescent="0.35">
      <c r="A528" s="625"/>
      <c r="B528" s="626" t="s">
        <v>430</v>
      </c>
      <c r="C528" s="2101">
        <f>IF(C527="","",C527+10)</f>
        <v>5225</v>
      </c>
      <c r="D528" s="2102"/>
      <c r="E528" s="627"/>
      <c r="F528" s="628" t="s">
        <v>431</v>
      </c>
      <c r="G528" s="2103">
        <f>IF(G527="","",G527+10)</f>
        <v>5240</v>
      </c>
      <c r="H528" s="2104"/>
    </row>
    <row r="529" spans="1:8" ht="15.5" x14ac:dyDescent="0.35">
      <c r="A529" s="625">
        <f>A526+30</f>
        <v>5235</v>
      </c>
      <c r="B529" s="626" t="s">
        <v>430</v>
      </c>
      <c r="C529" s="2101">
        <f>IF(A529="","",A529)</f>
        <v>5235</v>
      </c>
      <c r="D529" s="2102"/>
      <c r="E529" s="627">
        <f>E526+30</f>
        <v>5250</v>
      </c>
      <c r="F529" s="628" t="s">
        <v>431</v>
      </c>
      <c r="G529" s="2103">
        <f>IF(E529="","",E529)</f>
        <v>5250</v>
      </c>
      <c r="H529" s="2104"/>
    </row>
    <row r="530" spans="1:8" ht="15.5" x14ac:dyDescent="0.35">
      <c r="A530" s="625"/>
      <c r="B530" s="626" t="s">
        <v>430</v>
      </c>
      <c r="C530" s="2101">
        <f>IF(C529="","",C529+10)</f>
        <v>5245</v>
      </c>
      <c r="D530" s="2102"/>
      <c r="E530" s="627"/>
      <c r="F530" s="628" t="s">
        <v>431</v>
      </c>
      <c r="G530" s="2103">
        <f>IF(G529="","",G529+10)</f>
        <v>5260</v>
      </c>
      <c r="H530" s="2104"/>
    </row>
    <row r="531" spans="1:8" ht="15.5" x14ac:dyDescent="0.35">
      <c r="A531" s="625"/>
      <c r="B531" s="626" t="s">
        <v>430</v>
      </c>
      <c r="C531" s="2101">
        <f>IF(C530="","",C530+10)</f>
        <v>5255</v>
      </c>
      <c r="D531" s="2102"/>
      <c r="E531" s="627"/>
      <c r="F531" s="628" t="s">
        <v>431</v>
      </c>
      <c r="G531" s="2103">
        <f>IF(G530="","",G530+10)</f>
        <v>5270</v>
      </c>
      <c r="H531" s="2104"/>
    </row>
    <row r="532" spans="1:8" ht="15.5" x14ac:dyDescent="0.35">
      <c r="A532" s="625">
        <f>A529+30</f>
        <v>5265</v>
      </c>
      <c r="B532" s="626" t="s">
        <v>430</v>
      </c>
      <c r="C532" s="2101">
        <f>IF(A532="","",A532)</f>
        <v>5265</v>
      </c>
      <c r="D532" s="2102"/>
      <c r="E532" s="627">
        <f>E529+30</f>
        <v>5280</v>
      </c>
      <c r="F532" s="628" t="s">
        <v>431</v>
      </c>
      <c r="G532" s="2103">
        <f>IF(E532="","",E532)</f>
        <v>5280</v>
      </c>
      <c r="H532" s="2104"/>
    </row>
    <row r="533" spans="1:8" ht="15.5" x14ac:dyDescent="0.35">
      <c r="A533" s="625"/>
      <c r="B533" s="626" t="s">
        <v>430</v>
      </c>
      <c r="C533" s="2101">
        <f>IF(C532="","",C532+10)</f>
        <v>5275</v>
      </c>
      <c r="D533" s="2102"/>
      <c r="E533" s="627"/>
      <c r="F533" s="628" t="s">
        <v>431</v>
      </c>
      <c r="G533" s="2103">
        <f>IF(G532="","",G532+10)</f>
        <v>5290</v>
      </c>
      <c r="H533" s="2104"/>
    </row>
    <row r="534" spans="1:8" ht="15.5" x14ac:dyDescent="0.35">
      <c r="A534" s="625"/>
      <c r="B534" s="626" t="s">
        <v>430</v>
      </c>
      <c r="C534" s="2101">
        <f>IF(C533="","",C533+10)</f>
        <v>5285</v>
      </c>
      <c r="D534" s="2102"/>
      <c r="E534" s="627"/>
      <c r="F534" s="628" t="s">
        <v>431</v>
      </c>
      <c r="G534" s="2103">
        <f>IF(G533="","",G533+10)</f>
        <v>5300</v>
      </c>
      <c r="H534" s="2104"/>
    </row>
    <row r="535" spans="1:8" ht="15.5" x14ac:dyDescent="0.35">
      <c r="A535" s="625">
        <f>A532+30</f>
        <v>5295</v>
      </c>
      <c r="B535" s="626" t="s">
        <v>430</v>
      </c>
      <c r="C535" s="2101">
        <f>IF(A535="","",A535)</f>
        <v>5295</v>
      </c>
      <c r="D535" s="2102"/>
      <c r="E535" s="627">
        <f>E532+30</f>
        <v>5310</v>
      </c>
      <c r="F535" s="628" t="s">
        <v>431</v>
      </c>
      <c r="G535" s="2103">
        <f>IF(E535="","",E535)</f>
        <v>5310</v>
      </c>
      <c r="H535" s="2104"/>
    </row>
    <row r="536" spans="1:8" ht="15.5" x14ac:dyDescent="0.35">
      <c r="A536" s="625"/>
      <c r="B536" s="626" t="s">
        <v>430</v>
      </c>
      <c r="C536" s="2101">
        <f>IF(C535="","",C535+10)</f>
        <v>5305</v>
      </c>
      <c r="D536" s="2102"/>
      <c r="E536" s="627"/>
      <c r="F536" s="628" t="s">
        <v>431</v>
      </c>
      <c r="G536" s="2103">
        <f>IF(G535="","",G535+10)</f>
        <v>5320</v>
      </c>
      <c r="H536" s="2104"/>
    </row>
    <row r="537" spans="1:8" ht="15.5" x14ac:dyDescent="0.35">
      <c r="A537" s="625"/>
      <c r="B537" s="626" t="s">
        <v>430</v>
      </c>
      <c r="C537" s="2101">
        <f>IF(C536="","",C536+10)</f>
        <v>5315</v>
      </c>
      <c r="D537" s="2102"/>
      <c r="E537" s="627"/>
      <c r="F537" s="628" t="s">
        <v>431</v>
      </c>
      <c r="G537" s="2103">
        <f>IF(G536="","",G536+10)</f>
        <v>5330</v>
      </c>
      <c r="H537" s="2104"/>
    </row>
    <row r="538" spans="1:8" ht="15.5" x14ac:dyDescent="0.35">
      <c r="A538" s="625">
        <f>A535+30</f>
        <v>5325</v>
      </c>
      <c r="B538" s="626" t="s">
        <v>430</v>
      </c>
      <c r="C538" s="2101">
        <f>IF(A538="","",A538)</f>
        <v>5325</v>
      </c>
      <c r="D538" s="2102"/>
      <c r="E538" s="627">
        <f>E535+30</f>
        <v>5340</v>
      </c>
      <c r="F538" s="628" t="s">
        <v>431</v>
      </c>
      <c r="G538" s="2103">
        <f>IF(E538="","",E538)</f>
        <v>5340</v>
      </c>
      <c r="H538" s="2104"/>
    </row>
    <row r="539" spans="1:8" ht="15.5" x14ac:dyDescent="0.35">
      <c r="A539" s="625"/>
      <c r="B539" s="626" t="s">
        <v>430</v>
      </c>
      <c r="C539" s="2101">
        <f>IF(C538="","",C538+10)</f>
        <v>5335</v>
      </c>
      <c r="D539" s="2102"/>
      <c r="E539" s="627"/>
      <c r="F539" s="628" t="s">
        <v>431</v>
      </c>
      <c r="G539" s="2103">
        <f>IF(G538="","",G538+10)</f>
        <v>5350</v>
      </c>
      <c r="H539" s="2104"/>
    </row>
    <row r="540" spans="1:8" ht="15.5" x14ac:dyDescent="0.35">
      <c r="A540" s="625"/>
      <c r="B540" s="626" t="s">
        <v>430</v>
      </c>
      <c r="C540" s="2101">
        <f>IF(C539="","",C539+10)</f>
        <v>5345</v>
      </c>
      <c r="D540" s="2102"/>
      <c r="E540" s="627"/>
      <c r="F540" s="628" t="s">
        <v>431</v>
      </c>
      <c r="G540" s="2103">
        <f>IF(G539="","",G539+10)</f>
        <v>5360</v>
      </c>
      <c r="H540" s="2104"/>
    </row>
    <row r="541" spans="1:8" ht="15.5" x14ac:dyDescent="0.35">
      <c r="A541" s="625">
        <f>A538+30</f>
        <v>5355</v>
      </c>
      <c r="B541" s="626" t="s">
        <v>430</v>
      </c>
      <c r="C541" s="2101">
        <f>IF(A541="","",A541)</f>
        <v>5355</v>
      </c>
      <c r="D541" s="2102"/>
      <c r="E541" s="627">
        <f>E538+30</f>
        <v>5370</v>
      </c>
      <c r="F541" s="628" t="s">
        <v>431</v>
      </c>
      <c r="G541" s="2103">
        <f>IF(E541="","",E541)</f>
        <v>5370</v>
      </c>
      <c r="H541" s="2104"/>
    </row>
    <row r="542" spans="1:8" ht="15.5" x14ac:dyDescent="0.35">
      <c r="A542" s="625"/>
      <c r="B542" s="626" t="s">
        <v>430</v>
      </c>
      <c r="C542" s="2101">
        <f>IF(C541="","",C541+10)</f>
        <v>5365</v>
      </c>
      <c r="D542" s="2102"/>
      <c r="E542" s="627"/>
      <c r="F542" s="628" t="s">
        <v>431</v>
      </c>
      <c r="G542" s="2103">
        <f>IF(G541="","",G541+10)</f>
        <v>5380</v>
      </c>
      <c r="H542" s="2104"/>
    </row>
    <row r="543" spans="1:8" ht="15.5" x14ac:dyDescent="0.35">
      <c r="A543" s="625"/>
      <c r="B543" s="626" t="s">
        <v>430</v>
      </c>
      <c r="C543" s="2101">
        <f>IF(C542="","",C542+10)</f>
        <v>5375</v>
      </c>
      <c r="D543" s="2102"/>
      <c r="E543" s="627"/>
      <c r="F543" s="628" t="s">
        <v>431</v>
      </c>
      <c r="G543" s="2103">
        <f>IF(G542="","",G542+10)</f>
        <v>5390</v>
      </c>
      <c r="H543" s="2104"/>
    </row>
    <row r="544" spans="1:8" ht="15.5" x14ac:dyDescent="0.35">
      <c r="A544" s="625">
        <f>A541+30</f>
        <v>5385</v>
      </c>
      <c r="B544" s="626" t="s">
        <v>430</v>
      </c>
      <c r="C544" s="2101">
        <f>IF(A544="","",A544)</f>
        <v>5385</v>
      </c>
      <c r="D544" s="2102"/>
      <c r="E544" s="627">
        <f>E541+30</f>
        <v>5400</v>
      </c>
      <c r="F544" s="628" t="s">
        <v>431</v>
      </c>
      <c r="G544" s="2103">
        <f>IF(E544="","",E544)</f>
        <v>5400</v>
      </c>
      <c r="H544" s="2104"/>
    </row>
    <row r="545" spans="1:8" ht="15.5" x14ac:dyDescent="0.35">
      <c r="A545" s="625"/>
      <c r="B545" s="626" t="s">
        <v>430</v>
      </c>
      <c r="C545" s="2101">
        <f>IF(C544="","",C544+10)</f>
        <v>5395</v>
      </c>
      <c r="D545" s="2102"/>
      <c r="E545" s="627"/>
      <c r="F545" s="628" t="s">
        <v>431</v>
      </c>
      <c r="G545" s="2103">
        <f>IF(G544="","",G544+10)</f>
        <v>5410</v>
      </c>
      <c r="H545" s="2104"/>
    </row>
    <row r="546" spans="1:8" ht="15.5" x14ac:dyDescent="0.35">
      <c r="A546" s="625"/>
      <c r="B546" s="626" t="s">
        <v>430</v>
      </c>
      <c r="C546" s="2101">
        <f>IF(C545="","",C545+10)</f>
        <v>5405</v>
      </c>
      <c r="D546" s="2102"/>
      <c r="E546" s="627"/>
      <c r="F546" s="628" t="s">
        <v>431</v>
      </c>
      <c r="G546" s="2103">
        <f>IF(G545="","",G545+10)</f>
        <v>5420</v>
      </c>
      <c r="H546" s="2104"/>
    </row>
    <row r="547" spans="1:8" ht="15.5" x14ac:dyDescent="0.35">
      <c r="A547" s="625">
        <f>A544+30</f>
        <v>5415</v>
      </c>
      <c r="B547" s="626" t="s">
        <v>430</v>
      </c>
      <c r="C547" s="2101">
        <f>IF(A547="","",A547)</f>
        <v>5415</v>
      </c>
      <c r="D547" s="2102"/>
      <c r="E547" s="627">
        <f>E544+30</f>
        <v>5430</v>
      </c>
      <c r="F547" s="628" t="s">
        <v>431</v>
      </c>
      <c r="G547" s="2103">
        <f>IF(E547="","",E547)</f>
        <v>5430</v>
      </c>
      <c r="H547" s="2104"/>
    </row>
    <row r="548" spans="1:8" ht="15.5" x14ac:dyDescent="0.35">
      <c r="A548" s="625"/>
      <c r="B548" s="626" t="s">
        <v>430</v>
      </c>
      <c r="C548" s="2101">
        <f>IF(C547="","",C547+10)</f>
        <v>5425</v>
      </c>
      <c r="D548" s="2102"/>
      <c r="E548" s="627"/>
      <c r="F548" s="628" t="s">
        <v>431</v>
      </c>
      <c r="G548" s="2103">
        <f>IF(G547="","",G547+10)</f>
        <v>5440</v>
      </c>
      <c r="H548" s="2104"/>
    </row>
    <row r="549" spans="1:8" ht="15.5" x14ac:dyDescent="0.35">
      <c r="A549" s="625"/>
      <c r="B549" s="626" t="s">
        <v>430</v>
      </c>
      <c r="C549" s="2101">
        <f>IF(C548="","",C548+10)</f>
        <v>5435</v>
      </c>
      <c r="D549" s="2102"/>
      <c r="E549" s="627"/>
      <c r="F549" s="628" t="s">
        <v>431</v>
      </c>
      <c r="G549" s="2103">
        <f>IF(G548="","",G548+10)</f>
        <v>5450</v>
      </c>
      <c r="H549" s="2104"/>
    </row>
    <row r="550" spans="1:8" ht="15.5" x14ac:dyDescent="0.35">
      <c r="A550" s="625">
        <f>A547+30</f>
        <v>5445</v>
      </c>
      <c r="B550" s="626" t="s">
        <v>430</v>
      </c>
      <c r="C550" s="2101">
        <f>IF(A550="","",A550)</f>
        <v>5445</v>
      </c>
      <c r="D550" s="2102"/>
      <c r="E550" s="627">
        <f>E547+30</f>
        <v>5460</v>
      </c>
      <c r="F550" s="628" t="s">
        <v>431</v>
      </c>
      <c r="G550" s="2103">
        <f>IF(E550="","",E550)</f>
        <v>5460</v>
      </c>
      <c r="H550" s="2104"/>
    </row>
    <row r="551" spans="1:8" ht="15.5" x14ac:dyDescent="0.35">
      <c r="A551" s="625"/>
      <c r="B551" s="626" t="s">
        <v>430</v>
      </c>
      <c r="C551" s="2101">
        <f>IF(C550="","",C550+10)</f>
        <v>5455</v>
      </c>
      <c r="D551" s="2102"/>
      <c r="E551" s="627"/>
      <c r="F551" s="628" t="s">
        <v>431</v>
      </c>
      <c r="G551" s="2103">
        <f>IF(G550="","",G550+10)</f>
        <v>5470</v>
      </c>
      <c r="H551" s="2104"/>
    </row>
    <row r="552" spans="1:8" ht="15.5" x14ac:dyDescent="0.35">
      <c r="A552" s="625"/>
      <c r="B552" s="626" t="s">
        <v>430</v>
      </c>
      <c r="C552" s="2101">
        <f>IF(C551="","",C551+10)</f>
        <v>5465</v>
      </c>
      <c r="D552" s="2102"/>
      <c r="E552" s="627"/>
      <c r="F552" s="628" t="s">
        <v>431</v>
      </c>
      <c r="G552" s="2103">
        <f>IF(G551="","",G551+10)</f>
        <v>5480</v>
      </c>
      <c r="H552" s="2104"/>
    </row>
    <row r="553" spans="1:8" ht="15.5" x14ac:dyDescent="0.35">
      <c r="A553" s="625">
        <f>A550+30</f>
        <v>5475</v>
      </c>
      <c r="B553" s="626" t="s">
        <v>430</v>
      </c>
      <c r="C553" s="2101">
        <f>IF(A553="","",A553)</f>
        <v>5475</v>
      </c>
      <c r="D553" s="2102"/>
      <c r="E553" s="627">
        <f>E550+30</f>
        <v>5490</v>
      </c>
      <c r="F553" s="628" t="s">
        <v>431</v>
      </c>
      <c r="G553" s="2103">
        <f>IF(E553="","",E553)</f>
        <v>5490</v>
      </c>
      <c r="H553" s="2104"/>
    </row>
    <row r="554" spans="1:8" ht="15.5" x14ac:dyDescent="0.35">
      <c r="A554" s="625"/>
      <c r="B554" s="626" t="s">
        <v>430</v>
      </c>
      <c r="C554" s="2101">
        <f>IF(C553="","",C553+10)</f>
        <v>5485</v>
      </c>
      <c r="D554" s="2102"/>
      <c r="E554" s="627"/>
      <c r="F554" s="628" t="s">
        <v>431</v>
      </c>
      <c r="G554" s="2103">
        <f>IF(G553="","",G553+10)</f>
        <v>5500</v>
      </c>
      <c r="H554" s="2104"/>
    </row>
    <row r="555" spans="1:8" ht="15.5" x14ac:dyDescent="0.35">
      <c r="A555" s="625"/>
      <c r="B555" s="626" t="s">
        <v>430</v>
      </c>
      <c r="C555" s="2101">
        <f>IF(C554="","",C554+10)</f>
        <v>5495</v>
      </c>
      <c r="D555" s="2102"/>
      <c r="E555" s="627"/>
      <c r="F555" s="628" t="s">
        <v>431</v>
      </c>
      <c r="G555" s="2103">
        <f>IF(G554="","",G554+10)</f>
        <v>5510</v>
      </c>
      <c r="H555" s="2104"/>
    </row>
    <row r="556" spans="1:8" ht="15.5" x14ac:dyDescent="0.35">
      <c r="A556" s="625">
        <f>A553+30</f>
        <v>5505</v>
      </c>
      <c r="B556" s="626" t="s">
        <v>430</v>
      </c>
      <c r="C556" s="2101">
        <f>IF(A556="","",A556)</f>
        <v>5505</v>
      </c>
      <c r="D556" s="2102"/>
      <c r="E556" s="627">
        <f>E553+30</f>
        <v>5520</v>
      </c>
      <c r="F556" s="628" t="s">
        <v>431</v>
      </c>
      <c r="G556" s="2103">
        <f>IF(E556="","",E556)</f>
        <v>5520</v>
      </c>
      <c r="H556" s="2104"/>
    </row>
    <row r="557" spans="1:8" ht="15.5" x14ac:dyDescent="0.35">
      <c r="A557" s="625"/>
      <c r="B557" s="626" t="s">
        <v>430</v>
      </c>
      <c r="C557" s="2101">
        <f>IF(C556="","",C556+10)</f>
        <v>5515</v>
      </c>
      <c r="D557" s="2102"/>
      <c r="E557" s="627"/>
      <c r="F557" s="628" t="s">
        <v>431</v>
      </c>
      <c r="G557" s="2103">
        <f>IF(G556="","",G556+10)</f>
        <v>5530</v>
      </c>
      <c r="H557" s="2104"/>
    </row>
    <row r="558" spans="1:8" ht="15.5" x14ac:dyDescent="0.35">
      <c r="A558" s="625"/>
      <c r="B558" s="626" t="s">
        <v>430</v>
      </c>
      <c r="C558" s="2101">
        <f>IF(C557="","",C557+10)</f>
        <v>5525</v>
      </c>
      <c r="D558" s="2102"/>
      <c r="E558" s="627"/>
      <c r="F558" s="628" t="s">
        <v>431</v>
      </c>
      <c r="G558" s="2103">
        <f>IF(G557="","",G557+10)</f>
        <v>5540</v>
      </c>
      <c r="H558" s="2104"/>
    </row>
    <row r="559" spans="1:8" ht="15.5" x14ac:dyDescent="0.35">
      <c r="A559" s="625">
        <f>A556+30</f>
        <v>5535</v>
      </c>
      <c r="B559" s="626" t="s">
        <v>430</v>
      </c>
      <c r="C559" s="2101">
        <f>IF(A559="","",A559)</f>
        <v>5535</v>
      </c>
      <c r="D559" s="2102"/>
      <c r="E559" s="627">
        <f>E556+30</f>
        <v>5550</v>
      </c>
      <c r="F559" s="628" t="s">
        <v>431</v>
      </c>
      <c r="G559" s="2103">
        <f>IF(E559="","",E559)</f>
        <v>5550</v>
      </c>
      <c r="H559" s="2104"/>
    </row>
    <row r="560" spans="1:8" ht="15.5" x14ac:dyDescent="0.35">
      <c r="A560" s="625"/>
      <c r="B560" s="626" t="s">
        <v>430</v>
      </c>
      <c r="C560" s="2101">
        <f>IF(C559="","",C559+10)</f>
        <v>5545</v>
      </c>
      <c r="D560" s="2102"/>
      <c r="E560" s="627"/>
      <c r="F560" s="628" t="s">
        <v>431</v>
      </c>
      <c r="G560" s="2103">
        <f>IF(G559="","",G559+10)</f>
        <v>5560</v>
      </c>
      <c r="H560" s="2104"/>
    </row>
    <row r="561" spans="1:8" ht="15.5" x14ac:dyDescent="0.35">
      <c r="A561" s="625"/>
      <c r="B561" s="626" t="s">
        <v>430</v>
      </c>
      <c r="C561" s="2101">
        <f>IF(C560="","",C560+10)</f>
        <v>5555</v>
      </c>
      <c r="D561" s="2102"/>
      <c r="E561" s="627"/>
      <c r="F561" s="628" t="s">
        <v>431</v>
      </c>
      <c r="G561" s="2103">
        <f>IF(G560="","",G560+10)</f>
        <v>5570</v>
      </c>
      <c r="H561" s="2104"/>
    </row>
    <row r="562" spans="1:8" ht="15.5" x14ac:dyDescent="0.35">
      <c r="A562" s="625">
        <f>A559+30</f>
        <v>5565</v>
      </c>
      <c r="B562" s="626" t="s">
        <v>430</v>
      </c>
      <c r="C562" s="2101">
        <f>IF(A562="","",A562)</f>
        <v>5565</v>
      </c>
      <c r="D562" s="2102"/>
      <c r="E562" s="627">
        <f>E559+30</f>
        <v>5580</v>
      </c>
      <c r="F562" s="628" t="s">
        <v>431</v>
      </c>
      <c r="G562" s="2103">
        <f>IF(E562="","",E562)</f>
        <v>5580</v>
      </c>
      <c r="H562" s="2104"/>
    </row>
    <row r="563" spans="1:8" ht="15.5" x14ac:dyDescent="0.35">
      <c r="A563" s="625"/>
      <c r="B563" s="626" t="s">
        <v>430</v>
      </c>
      <c r="C563" s="2101">
        <f>IF(C562="","",C562+10)</f>
        <v>5575</v>
      </c>
      <c r="D563" s="2102"/>
      <c r="E563" s="627"/>
      <c r="F563" s="628" t="s">
        <v>431</v>
      </c>
      <c r="G563" s="2103">
        <f>IF(G562="","",G562+10)</f>
        <v>5590</v>
      </c>
      <c r="H563" s="2104"/>
    </row>
    <row r="564" spans="1:8" ht="15.5" x14ac:dyDescent="0.35">
      <c r="A564" s="625"/>
      <c r="B564" s="626" t="s">
        <v>430</v>
      </c>
      <c r="C564" s="2101">
        <f>IF(C563="","",C563+10)</f>
        <v>5585</v>
      </c>
      <c r="D564" s="2102"/>
      <c r="E564" s="627"/>
      <c r="F564" s="628" t="s">
        <v>431</v>
      </c>
      <c r="G564" s="2103">
        <f>IF(G563="","",G563+10)</f>
        <v>5600</v>
      </c>
      <c r="H564" s="2104"/>
    </row>
    <row r="565" spans="1:8" ht="15.5" x14ac:dyDescent="0.35">
      <c r="A565" s="625">
        <f>A562+30</f>
        <v>5595</v>
      </c>
      <c r="B565" s="626" t="s">
        <v>430</v>
      </c>
      <c r="C565" s="2101">
        <f>IF(A565="","",A565)</f>
        <v>5595</v>
      </c>
      <c r="D565" s="2102"/>
      <c r="E565" s="627">
        <f>E562+30</f>
        <v>5610</v>
      </c>
      <c r="F565" s="628" t="s">
        <v>431</v>
      </c>
      <c r="G565" s="2103">
        <f>IF(E565="","",E565)</f>
        <v>5610</v>
      </c>
      <c r="H565" s="2104"/>
    </row>
    <row r="566" spans="1:8" ht="15.5" x14ac:dyDescent="0.35">
      <c r="A566" s="625"/>
      <c r="B566" s="626" t="s">
        <v>430</v>
      </c>
      <c r="C566" s="2101">
        <f>IF(C565="","",C565+10)</f>
        <v>5605</v>
      </c>
      <c r="D566" s="2102"/>
      <c r="E566" s="627"/>
      <c r="F566" s="628" t="s">
        <v>431</v>
      </c>
      <c r="G566" s="2103">
        <f>IF(G565="","",G565+10)</f>
        <v>5620</v>
      </c>
      <c r="H566" s="2104"/>
    </row>
    <row r="567" spans="1:8" ht="15.5" x14ac:dyDescent="0.35">
      <c r="A567" s="625"/>
      <c r="B567" s="626" t="s">
        <v>430</v>
      </c>
      <c r="C567" s="2101">
        <f>IF(C566="","",C566+10)</f>
        <v>5615</v>
      </c>
      <c r="D567" s="2102"/>
      <c r="E567" s="627"/>
      <c r="F567" s="628" t="s">
        <v>431</v>
      </c>
      <c r="G567" s="2103">
        <f>IF(G566="","",G566+10)</f>
        <v>5630</v>
      </c>
      <c r="H567" s="2104"/>
    </row>
    <row r="568" spans="1:8" ht="15.5" x14ac:dyDescent="0.35">
      <c r="A568" s="625">
        <f>A565+30</f>
        <v>5625</v>
      </c>
      <c r="B568" s="626" t="s">
        <v>430</v>
      </c>
      <c r="C568" s="2101">
        <f>IF(A568="","",A568)</f>
        <v>5625</v>
      </c>
      <c r="D568" s="2102"/>
      <c r="E568" s="627">
        <f>E565+30</f>
        <v>5640</v>
      </c>
      <c r="F568" s="628" t="s">
        <v>431</v>
      </c>
      <c r="G568" s="2103">
        <f>IF(E568="","",E568)</f>
        <v>5640</v>
      </c>
      <c r="H568" s="2104"/>
    </row>
    <row r="569" spans="1:8" ht="15.5" x14ac:dyDescent="0.35">
      <c r="A569" s="625"/>
      <c r="B569" s="626" t="s">
        <v>430</v>
      </c>
      <c r="C569" s="2101">
        <f>IF(C568="","",C568+10)</f>
        <v>5635</v>
      </c>
      <c r="D569" s="2102"/>
      <c r="E569" s="627"/>
      <c r="F569" s="628" t="s">
        <v>431</v>
      </c>
      <c r="G569" s="2103">
        <f>IF(G568="","",G568+10)</f>
        <v>5650</v>
      </c>
      <c r="H569" s="2104"/>
    </row>
    <row r="570" spans="1:8" ht="15.5" x14ac:dyDescent="0.35">
      <c r="A570" s="625"/>
      <c r="B570" s="626" t="s">
        <v>430</v>
      </c>
      <c r="C570" s="2101">
        <f>IF(C569="","",C569+10)</f>
        <v>5645</v>
      </c>
      <c r="D570" s="2102"/>
      <c r="E570" s="627"/>
      <c r="F570" s="628" t="s">
        <v>431</v>
      </c>
      <c r="G570" s="2103">
        <f>IF(G569="","",G569+10)</f>
        <v>5660</v>
      </c>
      <c r="H570" s="2104"/>
    </row>
    <row r="571" spans="1:8" ht="15.5" x14ac:dyDescent="0.35">
      <c r="A571" s="625">
        <f>A568+30</f>
        <v>5655</v>
      </c>
      <c r="B571" s="626" t="s">
        <v>430</v>
      </c>
      <c r="C571" s="2101">
        <f>IF(A571="","",A571)</f>
        <v>5655</v>
      </c>
      <c r="D571" s="2102"/>
      <c r="E571" s="627">
        <f>E568+30</f>
        <v>5670</v>
      </c>
      <c r="F571" s="628" t="s">
        <v>431</v>
      </c>
      <c r="G571" s="2103">
        <f>IF(E571="","",E571)</f>
        <v>5670</v>
      </c>
      <c r="H571" s="2104"/>
    </row>
    <row r="572" spans="1:8" ht="15.5" x14ac:dyDescent="0.35">
      <c r="A572" s="625"/>
      <c r="B572" s="626" t="s">
        <v>430</v>
      </c>
      <c r="C572" s="2101">
        <f>IF(C571="","",C571+10)</f>
        <v>5665</v>
      </c>
      <c r="D572" s="2102"/>
      <c r="E572" s="627"/>
      <c r="F572" s="628" t="s">
        <v>431</v>
      </c>
      <c r="G572" s="2103">
        <f>IF(G571="","",G571+10)</f>
        <v>5680</v>
      </c>
      <c r="H572" s="2104"/>
    </row>
    <row r="573" spans="1:8" ht="15.5" x14ac:dyDescent="0.35">
      <c r="A573" s="625"/>
      <c r="B573" s="626" t="s">
        <v>430</v>
      </c>
      <c r="C573" s="2101">
        <f>IF(C572="","",C572+10)</f>
        <v>5675</v>
      </c>
      <c r="D573" s="2102"/>
      <c r="E573" s="627"/>
      <c r="F573" s="628" t="s">
        <v>431</v>
      </c>
      <c r="G573" s="2103">
        <f>IF(G572="","",G572+10)</f>
        <v>5690</v>
      </c>
      <c r="H573" s="2104"/>
    </row>
    <row r="574" spans="1:8" ht="15.5" x14ac:dyDescent="0.35">
      <c r="A574" s="625">
        <f>A571+30</f>
        <v>5685</v>
      </c>
      <c r="B574" s="626" t="s">
        <v>430</v>
      </c>
      <c r="C574" s="2101">
        <f>IF(A574="","",A574)</f>
        <v>5685</v>
      </c>
      <c r="D574" s="2102"/>
      <c r="E574" s="627">
        <f>E571+30</f>
        <v>5700</v>
      </c>
      <c r="F574" s="628" t="s">
        <v>431</v>
      </c>
      <c r="G574" s="2103">
        <f>IF(E574="","",E574)</f>
        <v>5700</v>
      </c>
      <c r="H574" s="2104"/>
    </row>
    <row r="575" spans="1:8" ht="15.5" x14ac:dyDescent="0.35">
      <c r="A575" s="625"/>
      <c r="B575" s="626" t="s">
        <v>430</v>
      </c>
      <c r="C575" s="2101">
        <f>IF(C574="","",C574+10)</f>
        <v>5695</v>
      </c>
      <c r="D575" s="2102"/>
      <c r="E575" s="627"/>
      <c r="F575" s="628" t="s">
        <v>431</v>
      </c>
      <c r="G575" s="2103">
        <f>IF(G574="","",G574+10)</f>
        <v>5710</v>
      </c>
      <c r="H575" s="2104"/>
    </row>
    <row r="576" spans="1:8" ht="15.5" x14ac:dyDescent="0.35">
      <c r="A576" s="625"/>
      <c r="B576" s="626" t="s">
        <v>430</v>
      </c>
      <c r="C576" s="2101">
        <f>IF(C575="","",C575+10)</f>
        <v>5705</v>
      </c>
      <c r="D576" s="2102"/>
      <c r="E576" s="627"/>
      <c r="F576" s="628" t="s">
        <v>431</v>
      </c>
      <c r="G576" s="2103">
        <f>IF(G575="","",G575+10)</f>
        <v>5720</v>
      </c>
      <c r="H576" s="2104"/>
    </row>
    <row r="577" spans="1:8" ht="15.5" x14ac:dyDescent="0.35">
      <c r="A577" s="625">
        <f>A574+30</f>
        <v>5715</v>
      </c>
      <c r="B577" s="626" t="s">
        <v>430</v>
      </c>
      <c r="C577" s="2101">
        <f>IF(A577="","",A577)</f>
        <v>5715</v>
      </c>
      <c r="D577" s="2102"/>
      <c r="E577" s="627">
        <f>E574+30</f>
        <v>5730</v>
      </c>
      <c r="F577" s="628" t="s">
        <v>431</v>
      </c>
      <c r="G577" s="2103">
        <f>IF(E577="","",E577)</f>
        <v>5730</v>
      </c>
      <c r="H577" s="2104"/>
    </row>
    <row r="578" spans="1:8" ht="15.5" x14ac:dyDescent="0.35">
      <c r="A578" s="625"/>
      <c r="B578" s="626" t="s">
        <v>430</v>
      </c>
      <c r="C578" s="2101">
        <f>IF(C577="","",C577+10)</f>
        <v>5725</v>
      </c>
      <c r="D578" s="2102"/>
      <c r="E578" s="627"/>
      <c r="F578" s="628" t="s">
        <v>431</v>
      </c>
      <c r="G578" s="2103">
        <f>IF(G577="","",G577+10)</f>
        <v>5740</v>
      </c>
      <c r="H578" s="2104"/>
    </row>
    <row r="579" spans="1:8" ht="15.5" x14ac:dyDescent="0.35">
      <c r="A579" s="625"/>
      <c r="B579" s="626" t="s">
        <v>430</v>
      </c>
      <c r="C579" s="2101">
        <f>IF(C578="","",C578+10)</f>
        <v>5735</v>
      </c>
      <c r="D579" s="2102"/>
      <c r="E579" s="627"/>
      <c r="F579" s="628" t="s">
        <v>431</v>
      </c>
      <c r="G579" s="2103">
        <f>IF(G578="","",G578+10)</f>
        <v>5750</v>
      </c>
      <c r="H579" s="2104"/>
    </row>
    <row r="580" spans="1:8" ht="15.5" x14ac:dyDescent="0.35">
      <c r="A580" s="625">
        <f>A577+30</f>
        <v>5745</v>
      </c>
      <c r="B580" s="626" t="s">
        <v>430</v>
      </c>
      <c r="C580" s="2101">
        <f>IF(A580="","",A580)</f>
        <v>5745</v>
      </c>
      <c r="D580" s="2102"/>
      <c r="E580" s="627">
        <f>E577+30</f>
        <v>5760</v>
      </c>
      <c r="F580" s="628" t="s">
        <v>431</v>
      </c>
      <c r="G580" s="2103">
        <f>IF(E580="","",E580)</f>
        <v>5760</v>
      </c>
      <c r="H580" s="2104"/>
    </row>
    <row r="581" spans="1:8" ht="15.5" x14ac:dyDescent="0.35">
      <c r="A581" s="625"/>
      <c r="B581" s="626" t="s">
        <v>430</v>
      </c>
      <c r="C581" s="2101">
        <f>IF(C580="","",C580+10)</f>
        <v>5755</v>
      </c>
      <c r="D581" s="2102"/>
      <c r="E581" s="627"/>
      <c r="F581" s="628" t="s">
        <v>431</v>
      </c>
      <c r="G581" s="2103">
        <f>IF(G580="","",G580+10)</f>
        <v>5770</v>
      </c>
      <c r="H581" s="2104"/>
    </row>
    <row r="582" spans="1:8" ht="15.5" x14ac:dyDescent="0.35">
      <c r="A582" s="625"/>
      <c r="B582" s="626" t="s">
        <v>430</v>
      </c>
      <c r="C582" s="2101">
        <f>IF(C581="","",C581+10)</f>
        <v>5765</v>
      </c>
      <c r="D582" s="2102"/>
      <c r="E582" s="627"/>
      <c r="F582" s="628" t="s">
        <v>431</v>
      </c>
      <c r="G582" s="2103">
        <f>IF(G581="","",G581+10)</f>
        <v>5780</v>
      </c>
      <c r="H582" s="2104"/>
    </row>
    <row r="583" spans="1:8" ht="15.5" x14ac:dyDescent="0.35">
      <c r="A583" s="625">
        <f>A580+30</f>
        <v>5775</v>
      </c>
      <c r="B583" s="626" t="s">
        <v>430</v>
      </c>
      <c r="C583" s="2101">
        <f>IF(A583="","",A583)</f>
        <v>5775</v>
      </c>
      <c r="D583" s="2102"/>
      <c r="E583" s="627">
        <f>E580+30</f>
        <v>5790</v>
      </c>
      <c r="F583" s="628" t="s">
        <v>431</v>
      </c>
      <c r="G583" s="2103">
        <f>IF(E583="","",E583)</f>
        <v>5790</v>
      </c>
      <c r="H583" s="2104"/>
    </row>
    <row r="584" spans="1:8" ht="15.5" x14ac:dyDescent="0.35">
      <c r="A584" s="625"/>
      <c r="B584" s="626" t="s">
        <v>430</v>
      </c>
      <c r="C584" s="2101">
        <f>IF(C583="","",C583+10)</f>
        <v>5785</v>
      </c>
      <c r="D584" s="2102"/>
      <c r="E584" s="627"/>
      <c r="F584" s="628" t="s">
        <v>431</v>
      </c>
      <c r="G584" s="2103">
        <f>IF(G583="","",G583+10)</f>
        <v>5800</v>
      </c>
      <c r="H584" s="2104"/>
    </row>
    <row r="585" spans="1:8" ht="15.5" x14ac:dyDescent="0.35">
      <c r="A585" s="625"/>
      <c r="B585" s="626" t="s">
        <v>430</v>
      </c>
      <c r="C585" s="2101">
        <f>IF(C584="","",C584+10)</f>
        <v>5795</v>
      </c>
      <c r="D585" s="2102"/>
      <c r="E585" s="627"/>
      <c r="F585" s="628" t="s">
        <v>431</v>
      </c>
      <c r="G585" s="2103">
        <f>IF(G584="","",G584+10)</f>
        <v>5810</v>
      </c>
      <c r="H585" s="2104"/>
    </row>
    <row r="586" spans="1:8" ht="15.5" x14ac:dyDescent="0.35">
      <c r="A586" s="625">
        <f>A583+30</f>
        <v>5805</v>
      </c>
      <c r="B586" s="626" t="s">
        <v>430</v>
      </c>
      <c r="C586" s="2101">
        <f>IF(A586="","",A586)</f>
        <v>5805</v>
      </c>
      <c r="D586" s="2102"/>
      <c r="E586" s="627">
        <f>E583+30</f>
        <v>5820</v>
      </c>
      <c r="F586" s="628" t="s">
        <v>431</v>
      </c>
      <c r="G586" s="2103">
        <f>IF(E586="","",E586)</f>
        <v>5820</v>
      </c>
      <c r="H586" s="2104"/>
    </row>
    <row r="587" spans="1:8" ht="15.5" x14ac:dyDescent="0.35">
      <c r="A587" s="625"/>
      <c r="B587" s="626" t="s">
        <v>430</v>
      </c>
      <c r="C587" s="2101">
        <f>IF(C586="","",C586+10)</f>
        <v>5815</v>
      </c>
      <c r="D587" s="2102"/>
      <c r="E587" s="627"/>
      <c r="F587" s="628" t="s">
        <v>431</v>
      </c>
      <c r="G587" s="2103">
        <f>IF(G586="","",G586+10)</f>
        <v>5830</v>
      </c>
      <c r="H587" s="2104"/>
    </row>
    <row r="588" spans="1:8" ht="15.5" x14ac:dyDescent="0.35">
      <c r="A588" s="625"/>
      <c r="B588" s="626" t="s">
        <v>430</v>
      </c>
      <c r="C588" s="2101">
        <f>IF(C587="","",C587+10)</f>
        <v>5825</v>
      </c>
      <c r="D588" s="2102"/>
      <c r="E588" s="627"/>
      <c r="F588" s="628" t="s">
        <v>431</v>
      </c>
      <c r="G588" s="2103">
        <f>IF(G587="","",G587+10)</f>
        <v>5840</v>
      </c>
      <c r="H588" s="2104"/>
    </row>
    <row r="589" spans="1:8" ht="15.5" x14ac:dyDescent="0.35">
      <c r="A589" s="625">
        <f>A586+30</f>
        <v>5835</v>
      </c>
      <c r="B589" s="626" t="s">
        <v>430</v>
      </c>
      <c r="C589" s="2101">
        <f>IF(A589="","",A589)</f>
        <v>5835</v>
      </c>
      <c r="D589" s="2102"/>
      <c r="E589" s="627">
        <f>E586+30</f>
        <v>5850</v>
      </c>
      <c r="F589" s="628" t="s">
        <v>431</v>
      </c>
      <c r="G589" s="2103">
        <f>IF(E589="","",E589)</f>
        <v>5850</v>
      </c>
      <c r="H589" s="2104"/>
    </row>
    <row r="590" spans="1:8" ht="15.5" x14ac:dyDescent="0.35">
      <c r="A590" s="625"/>
      <c r="B590" s="626" t="s">
        <v>430</v>
      </c>
      <c r="C590" s="2101">
        <f>IF(C589="","",C589+10)</f>
        <v>5845</v>
      </c>
      <c r="D590" s="2102"/>
      <c r="E590" s="627"/>
      <c r="F590" s="628" t="s">
        <v>431</v>
      </c>
      <c r="G590" s="2103">
        <f>IF(G589="","",G589+10)</f>
        <v>5860</v>
      </c>
      <c r="H590" s="2104"/>
    </row>
    <row r="591" spans="1:8" ht="15.5" x14ac:dyDescent="0.35">
      <c r="A591" s="625"/>
      <c r="B591" s="626" t="s">
        <v>430</v>
      </c>
      <c r="C591" s="2101">
        <f>IF(C590="","",C590+10)</f>
        <v>5855</v>
      </c>
      <c r="D591" s="2102"/>
      <c r="E591" s="627"/>
      <c r="F591" s="628" t="s">
        <v>431</v>
      </c>
      <c r="G591" s="2103">
        <f>IF(G590="","",G590+10)</f>
        <v>5870</v>
      </c>
      <c r="H591" s="2104"/>
    </row>
    <row r="592" spans="1:8" ht="15.5" x14ac:dyDescent="0.35">
      <c r="A592" s="625">
        <f>A589+30</f>
        <v>5865</v>
      </c>
      <c r="B592" s="626" t="s">
        <v>430</v>
      </c>
      <c r="C592" s="2101">
        <f>IF(A592="","",A592)</f>
        <v>5865</v>
      </c>
      <c r="D592" s="2102"/>
      <c r="E592" s="627">
        <f>E589+30</f>
        <v>5880</v>
      </c>
      <c r="F592" s="628" t="s">
        <v>431</v>
      </c>
      <c r="G592" s="2103">
        <f>IF(E592="","",E592)</f>
        <v>5880</v>
      </c>
      <c r="H592" s="2104"/>
    </row>
    <row r="593" spans="1:8" ht="15.5" x14ac:dyDescent="0.35">
      <c r="A593" s="625"/>
      <c r="B593" s="626" t="s">
        <v>430</v>
      </c>
      <c r="C593" s="2101">
        <f>IF(C592="","",C592+10)</f>
        <v>5875</v>
      </c>
      <c r="D593" s="2102"/>
      <c r="E593" s="627"/>
      <c r="F593" s="628" t="s">
        <v>431</v>
      </c>
      <c r="G593" s="2103">
        <f>IF(G592="","",G592+10)</f>
        <v>5890</v>
      </c>
      <c r="H593" s="2104"/>
    </row>
    <row r="594" spans="1:8" ht="15.5" x14ac:dyDescent="0.35">
      <c r="A594" s="625"/>
      <c r="B594" s="626" t="s">
        <v>430</v>
      </c>
      <c r="C594" s="2101">
        <f>IF(C593="","",C593+10)</f>
        <v>5885</v>
      </c>
      <c r="D594" s="2102"/>
      <c r="E594" s="627"/>
      <c r="F594" s="628" t="s">
        <v>431</v>
      </c>
      <c r="G594" s="2103">
        <f>IF(G593="","",G593+10)</f>
        <v>5900</v>
      </c>
      <c r="H594" s="2104"/>
    </row>
    <row r="595" spans="1:8" ht="15.5" x14ac:dyDescent="0.35">
      <c r="A595" s="625">
        <f>A592+30</f>
        <v>5895</v>
      </c>
      <c r="B595" s="626" t="s">
        <v>430</v>
      </c>
      <c r="C595" s="2101">
        <f>IF(A595="","",A595)</f>
        <v>5895</v>
      </c>
      <c r="D595" s="2102"/>
      <c r="E595" s="627">
        <f>E592+30</f>
        <v>5910</v>
      </c>
      <c r="F595" s="628" t="s">
        <v>431</v>
      </c>
      <c r="G595" s="2103">
        <f>IF(E595="","",E595)</f>
        <v>5910</v>
      </c>
      <c r="H595" s="2104"/>
    </row>
    <row r="596" spans="1:8" ht="15.5" x14ac:dyDescent="0.35">
      <c r="A596" s="625"/>
      <c r="B596" s="626" t="s">
        <v>430</v>
      </c>
      <c r="C596" s="2101">
        <f>IF(C595="","",C595+10)</f>
        <v>5905</v>
      </c>
      <c r="D596" s="2102"/>
      <c r="E596" s="627"/>
      <c r="F596" s="628" t="s">
        <v>431</v>
      </c>
      <c r="G596" s="2103">
        <f>IF(G595="","",G595+10)</f>
        <v>5920</v>
      </c>
      <c r="H596" s="2104"/>
    </row>
    <row r="597" spans="1:8" ht="15.5" x14ac:dyDescent="0.35">
      <c r="A597" s="625"/>
      <c r="B597" s="626" t="s">
        <v>430</v>
      </c>
      <c r="C597" s="2101">
        <f>IF(C596="","",C596+10)</f>
        <v>5915</v>
      </c>
      <c r="D597" s="2102"/>
      <c r="E597" s="627"/>
      <c r="F597" s="628" t="s">
        <v>431</v>
      </c>
      <c r="G597" s="2103">
        <f>IF(G596="","",G596+10)</f>
        <v>5930</v>
      </c>
      <c r="H597" s="2104"/>
    </row>
    <row r="598" spans="1:8" ht="15.5" x14ac:dyDescent="0.35">
      <c r="A598" s="625">
        <f>A595+30</f>
        <v>5925</v>
      </c>
      <c r="B598" s="626" t="s">
        <v>430</v>
      </c>
      <c r="C598" s="2101">
        <f>IF(A598="","",A598)</f>
        <v>5925</v>
      </c>
      <c r="D598" s="2102"/>
      <c r="E598" s="627">
        <f>E595+30</f>
        <v>5940</v>
      </c>
      <c r="F598" s="628" t="s">
        <v>431</v>
      </c>
      <c r="G598" s="2103">
        <f>IF(E598="","",E598)</f>
        <v>5940</v>
      </c>
      <c r="H598" s="2104"/>
    </row>
    <row r="599" spans="1:8" ht="15.5" x14ac:dyDescent="0.35">
      <c r="A599" s="625"/>
      <c r="B599" s="626" t="s">
        <v>430</v>
      </c>
      <c r="C599" s="2101">
        <f>IF(C598="","",C598+10)</f>
        <v>5935</v>
      </c>
      <c r="D599" s="2102"/>
      <c r="E599" s="627"/>
      <c r="F599" s="628" t="s">
        <v>431</v>
      </c>
      <c r="G599" s="2103">
        <f>IF(G598="","",G598+10)</f>
        <v>5950</v>
      </c>
      <c r="H599" s="2104"/>
    </row>
    <row r="600" spans="1:8" ht="15.5" x14ac:dyDescent="0.35">
      <c r="A600" s="625"/>
      <c r="B600" s="626" t="s">
        <v>430</v>
      </c>
      <c r="C600" s="2101">
        <f>IF(C599="","",C599+10)</f>
        <v>5945</v>
      </c>
      <c r="D600" s="2102"/>
      <c r="E600" s="627"/>
      <c r="F600" s="628" t="s">
        <v>431</v>
      </c>
      <c r="G600" s="2103">
        <f>IF(G599="","",G599+10)</f>
        <v>5960</v>
      </c>
      <c r="H600" s="2104"/>
    </row>
    <row r="601" spans="1:8" ht="15.5" x14ac:dyDescent="0.35">
      <c r="A601" s="625">
        <f>A598+30</f>
        <v>5955</v>
      </c>
      <c r="B601" s="626" t="s">
        <v>430</v>
      </c>
      <c r="C601" s="2101">
        <f>IF(A601="","",A601)</f>
        <v>5955</v>
      </c>
      <c r="D601" s="2102"/>
      <c r="E601" s="627">
        <f>E598+30</f>
        <v>5970</v>
      </c>
      <c r="F601" s="628" t="s">
        <v>431</v>
      </c>
      <c r="G601" s="2103">
        <f>IF(E601="","",E601)</f>
        <v>5970</v>
      </c>
      <c r="H601" s="2104"/>
    </row>
    <row r="602" spans="1:8" ht="15.5" x14ac:dyDescent="0.35">
      <c r="A602" s="625"/>
      <c r="B602" s="626" t="s">
        <v>430</v>
      </c>
      <c r="C602" s="2101">
        <f>IF(C601="","",C601+10)</f>
        <v>5965</v>
      </c>
      <c r="D602" s="2102"/>
      <c r="E602" s="627"/>
      <c r="F602" s="628" t="s">
        <v>431</v>
      </c>
      <c r="G602" s="2103">
        <f>IF(G601="","",G601+10)</f>
        <v>5980</v>
      </c>
      <c r="H602" s="2104"/>
    </row>
    <row r="603" spans="1:8" ht="15.5" x14ac:dyDescent="0.35">
      <c r="A603" s="625"/>
      <c r="B603" s="626" t="s">
        <v>430</v>
      </c>
      <c r="C603" s="2101">
        <f>IF(C602="","",C602+10)</f>
        <v>5975</v>
      </c>
      <c r="D603" s="2102"/>
      <c r="E603" s="627"/>
      <c r="F603" s="628" t="s">
        <v>431</v>
      </c>
      <c r="G603" s="2103">
        <f>IF(G602="","",G602+10)</f>
        <v>5990</v>
      </c>
      <c r="H603" s="2104"/>
    </row>
    <row r="604" spans="1:8" ht="15.5" x14ac:dyDescent="0.35">
      <c r="A604" s="625">
        <f>A601+30</f>
        <v>5985</v>
      </c>
      <c r="B604" s="626" t="s">
        <v>430</v>
      </c>
      <c r="C604" s="2101">
        <f>IF(A604="","",A604)</f>
        <v>5985</v>
      </c>
      <c r="D604" s="2102"/>
      <c r="E604" s="627">
        <f>E601+30</f>
        <v>6000</v>
      </c>
      <c r="F604" s="628" t="s">
        <v>431</v>
      </c>
      <c r="G604" s="2103">
        <f>IF(E604="","",E604)</f>
        <v>6000</v>
      </c>
      <c r="H604" s="2104"/>
    </row>
    <row r="605" spans="1:8" ht="15.5" x14ac:dyDescent="0.35">
      <c r="A605" s="625"/>
      <c r="B605" s="626" t="s">
        <v>430</v>
      </c>
      <c r="C605" s="2101">
        <f>IF(C604="","",C604+10)</f>
        <v>5995</v>
      </c>
      <c r="D605" s="2102"/>
      <c r="E605" s="627"/>
      <c r="F605" s="628" t="s">
        <v>431</v>
      </c>
      <c r="G605" s="2103">
        <f>IF(G604="","",G604+10)</f>
        <v>6010</v>
      </c>
      <c r="H605" s="2104"/>
    </row>
    <row r="606" spans="1:8" ht="15.5" x14ac:dyDescent="0.35">
      <c r="A606" s="625"/>
      <c r="B606" s="626" t="s">
        <v>430</v>
      </c>
      <c r="C606" s="2101">
        <f>IF(C605="","",C605+10)</f>
        <v>6005</v>
      </c>
      <c r="D606" s="2102"/>
      <c r="E606" s="627"/>
      <c r="F606" s="628" t="s">
        <v>431</v>
      </c>
      <c r="G606" s="2103">
        <f>IF(G605="","",G605+10)</f>
        <v>6020</v>
      </c>
      <c r="H606" s="2104"/>
    </row>
    <row r="607" spans="1:8" ht="15.5" x14ac:dyDescent="0.35">
      <c r="A607" s="625">
        <f>A604+30</f>
        <v>6015</v>
      </c>
      <c r="B607" s="626" t="s">
        <v>430</v>
      </c>
      <c r="C607" s="2101">
        <f>IF(A607="","",A607)</f>
        <v>6015</v>
      </c>
      <c r="D607" s="2102"/>
      <c r="E607" s="627">
        <f>E604+30</f>
        <v>6030</v>
      </c>
      <c r="F607" s="628" t="s">
        <v>431</v>
      </c>
      <c r="G607" s="2103">
        <f>IF(E607="","",E607)</f>
        <v>6030</v>
      </c>
      <c r="H607" s="2104"/>
    </row>
    <row r="608" spans="1:8" ht="15.5" x14ac:dyDescent="0.35">
      <c r="A608" s="625"/>
      <c r="B608" s="626" t="s">
        <v>430</v>
      </c>
      <c r="C608" s="2101">
        <f>IF(C607="","",C607+10)</f>
        <v>6025</v>
      </c>
      <c r="D608" s="2102"/>
      <c r="E608" s="627"/>
      <c r="F608" s="628" t="s">
        <v>431</v>
      </c>
      <c r="G608" s="2103">
        <f>IF(G607="","",G607+10)</f>
        <v>6040</v>
      </c>
      <c r="H608" s="2104"/>
    </row>
    <row r="609" spans="1:8" ht="15.5" x14ac:dyDescent="0.35">
      <c r="A609" s="625"/>
      <c r="B609" s="626" t="s">
        <v>430</v>
      </c>
      <c r="C609" s="2101">
        <f>IF(C608="","",C608+10)</f>
        <v>6035</v>
      </c>
      <c r="D609" s="2102"/>
      <c r="E609" s="627"/>
      <c r="F609" s="628" t="s">
        <v>431</v>
      </c>
      <c r="G609" s="2103">
        <f>IF(G608="","",G608+10)</f>
        <v>6050</v>
      </c>
      <c r="H609" s="2104"/>
    </row>
    <row r="610" spans="1:8" ht="15.5" x14ac:dyDescent="0.35">
      <c r="A610" s="625">
        <f>A607+30</f>
        <v>6045</v>
      </c>
      <c r="B610" s="626" t="s">
        <v>430</v>
      </c>
      <c r="C610" s="2101">
        <f>IF(A610="","",A610)</f>
        <v>6045</v>
      </c>
      <c r="D610" s="2102"/>
      <c r="E610" s="627">
        <f>E607+30</f>
        <v>6060</v>
      </c>
      <c r="F610" s="628" t="s">
        <v>431</v>
      </c>
      <c r="G610" s="2103">
        <f>IF(E610="","",E610)</f>
        <v>6060</v>
      </c>
      <c r="H610" s="2104"/>
    </row>
    <row r="611" spans="1:8" ht="15.5" x14ac:dyDescent="0.35">
      <c r="A611" s="625"/>
      <c r="B611" s="626" t="s">
        <v>430</v>
      </c>
      <c r="C611" s="2101">
        <f>IF(C610="","",C610+10)</f>
        <v>6055</v>
      </c>
      <c r="D611" s="2102"/>
      <c r="E611" s="627"/>
      <c r="F611" s="628" t="s">
        <v>431</v>
      </c>
      <c r="G611" s="2103">
        <f>IF(G610="","",G610+10)</f>
        <v>6070</v>
      </c>
      <c r="H611" s="2104"/>
    </row>
    <row r="612" spans="1:8" ht="15.5" x14ac:dyDescent="0.35">
      <c r="A612" s="625"/>
      <c r="B612" s="626" t="s">
        <v>430</v>
      </c>
      <c r="C612" s="2101">
        <f>IF(C611="","",C611+10)</f>
        <v>6065</v>
      </c>
      <c r="D612" s="2102"/>
      <c r="E612" s="627"/>
      <c r="F612" s="628" t="s">
        <v>431</v>
      </c>
      <c r="G612" s="2103">
        <f>IF(G611="","",G611+10)</f>
        <v>6080</v>
      </c>
      <c r="H612" s="2104"/>
    </row>
    <row r="613" spans="1:8" ht="15.5" x14ac:dyDescent="0.35">
      <c r="A613" s="625">
        <f>A610+30</f>
        <v>6075</v>
      </c>
      <c r="B613" s="626" t="s">
        <v>430</v>
      </c>
      <c r="C613" s="2101">
        <f>IF(A613="","",A613)</f>
        <v>6075</v>
      </c>
      <c r="D613" s="2102"/>
      <c r="E613" s="627">
        <f>E610+30</f>
        <v>6090</v>
      </c>
      <c r="F613" s="628" t="s">
        <v>431</v>
      </c>
      <c r="G613" s="2103">
        <f>IF(E613="","",E613)</f>
        <v>6090</v>
      </c>
      <c r="H613" s="2104"/>
    </row>
    <row r="614" spans="1:8" ht="15.5" x14ac:dyDescent="0.35">
      <c r="A614" s="625"/>
      <c r="B614" s="626" t="s">
        <v>430</v>
      </c>
      <c r="C614" s="2101">
        <f>IF(C613="","",C613+10)</f>
        <v>6085</v>
      </c>
      <c r="D614" s="2102"/>
      <c r="E614" s="627"/>
      <c r="F614" s="628" t="s">
        <v>431</v>
      </c>
      <c r="G614" s="2103">
        <f>IF(G613="","",G613+10)</f>
        <v>6100</v>
      </c>
      <c r="H614" s="2104"/>
    </row>
    <row r="615" spans="1:8" ht="15.5" x14ac:dyDescent="0.35">
      <c r="A615" s="625"/>
      <c r="B615" s="626" t="s">
        <v>430</v>
      </c>
      <c r="C615" s="2101">
        <f>IF(C614="","",C614+10)</f>
        <v>6095</v>
      </c>
      <c r="D615" s="2102"/>
      <c r="E615" s="627"/>
      <c r="F615" s="628" t="s">
        <v>431</v>
      </c>
      <c r="G615" s="2103">
        <f>IF(G614="","",G614+10)</f>
        <v>6110</v>
      </c>
      <c r="H615" s="2104"/>
    </row>
    <row r="616" spans="1:8" ht="15.5" x14ac:dyDescent="0.35">
      <c r="A616" s="625">
        <f>A613+30</f>
        <v>6105</v>
      </c>
      <c r="B616" s="626" t="s">
        <v>430</v>
      </c>
      <c r="C616" s="2101">
        <f>IF(A616="","",A616)</f>
        <v>6105</v>
      </c>
      <c r="D616" s="2102"/>
      <c r="E616" s="627">
        <f>E613+30</f>
        <v>6120</v>
      </c>
      <c r="F616" s="628" t="s">
        <v>431</v>
      </c>
      <c r="G616" s="2103">
        <f>IF(E616="","",E616)</f>
        <v>6120</v>
      </c>
      <c r="H616" s="2104"/>
    </row>
    <row r="617" spans="1:8" ht="15.5" x14ac:dyDescent="0.35">
      <c r="A617" s="625"/>
      <c r="B617" s="626" t="s">
        <v>430</v>
      </c>
      <c r="C617" s="2101">
        <f>IF(C616="","",C616+10)</f>
        <v>6115</v>
      </c>
      <c r="D617" s="2102"/>
      <c r="E617" s="627"/>
      <c r="F617" s="628" t="s">
        <v>431</v>
      </c>
      <c r="G617" s="2103">
        <f>IF(G616="","",G616+10)</f>
        <v>6130</v>
      </c>
      <c r="H617" s="2104"/>
    </row>
    <row r="618" spans="1:8" ht="15.5" x14ac:dyDescent="0.35">
      <c r="A618" s="625"/>
      <c r="B618" s="626" t="s">
        <v>430</v>
      </c>
      <c r="C618" s="2101">
        <f>IF(C617="","",C617+10)</f>
        <v>6125</v>
      </c>
      <c r="D618" s="2102"/>
      <c r="E618" s="627"/>
      <c r="F618" s="628" t="s">
        <v>431</v>
      </c>
      <c r="G618" s="2103">
        <f>IF(G617="","",G617+10)</f>
        <v>6140</v>
      </c>
      <c r="H618" s="2104"/>
    </row>
    <row r="619" spans="1:8" ht="15.5" x14ac:dyDescent="0.35">
      <c r="A619" s="625">
        <f>A616+30</f>
        <v>6135</v>
      </c>
      <c r="B619" s="626" t="s">
        <v>430</v>
      </c>
      <c r="C619" s="2101">
        <f>IF(A619="","",A619)</f>
        <v>6135</v>
      </c>
      <c r="D619" s="2102"/>
      <c r="E619" s="627">
        <f>E616+30</f>
        <v>6150</v>
      </c>
      <c r="F619" s="628" t="s">
        <v>431</v>
      </c>
      <c r="G619" s="2103">
        <f>IF(E619="","",E619)</f>
        <v>6150</v>
      </c>
      <c r="H619" s="2104"/>
    </row>
    <row r="620" spans="1:8" ht="15.5" x14ac:dyDescent="0.35">
      <c r="A620" s="625"/>
      <c r="B620" s="626" t="s">
        <v>430</v>
      </c>
      <c r="C620" s="2101">
        <f>IF(C619="","",C619+10)</f>
        <v>6145</v>
      </c>
      <c r="D620" s="2102"/>
      <c r="E620" s="627"/>
      <c r="F620" s="628" t="s">
        <v>431</v>
      </c>
      <c r="G620" s="2103">
        <f>IF(G619="","",G619+10)</f>
        <v>6160</v>
      </c>
      <c r="H620" s="2104"/>
    </row>
    <row r="621" spans="1:8" ht="15.5" x14ac:dyDescent="0.35">
      <c r="A621" s="625"/>
      <c r="B621" s="626" t="s">
        <v>430</v>
      </c>
      <c r="C621" s="2101">
        <f>IF(C620="","",C620+10)</f>
        <v>6155</v>
      </c>
      <c r="D621" s="2102"/>
      <c r="E621" s="627"/>
      <c r="F621" s="628" t="s">
        <v>431</v>
      </c>
      <c r="G621" s="2103">
        <f>IF(G620="","",G620+10)</f>
        <v>6170</v>
      </c>
      <c r="H621" s="2104"/>
    </row>
    <row r="622" spans="1:8" ht="15.5" x14ac:dyDescent="0.35">
      <c r="A622" s="625">
        <f>A619+30</f>
        <v>6165</v>
      </c>
      <c r="B622" s="626" t="s">
        <v>430</v>
      </c>
      <c r="C622" s="2101">
        <f>IF(A622="","",A622)</f>
        <v>6165</v>
      </c>
      <c r="D622" s="2102"/>
      <c r="E622" s="627">
        <f>E619+30</f>
        <v>6180</v>
      </c>
      <c r="F622" s="628" t="s">
        <v>431</v>
      </c>
      <c r="G622" s="2103">
        <f>IF(E622="","",E622)</f>
        <v>6180</v>
      </c>
      <c r="H622" s="2104"/>
    </row>
    <row r="623" spans="1:8" ht="15.5" x14ac:dyDescent="0.35">
      <c r="A623" s="625"/>
      <c r="B623" s="626" t="s">
        <v>430</v>
      </c>
      <c r="C623" s="2101">
        <f>IF(C622="","",C622+10)</f>
        <v>6175</v>
      </c>
      <c r="D623" s="2102"/>
      <c r="E623" s="627"/>
      <c r="F623" s="628" t="s">
        <v>431</v>
      </c>
      <c r="G623" s="2103">
        <f>IF(G622="","",G622+10)</f>
        <v>6190</v>
      </c>
      <c r="H623" s="2104"/>
    </row>
    <row r="624" spans="1:8" ht="15.5" x14ac:dyDescent="0.35">
      <c r="A624" s="625"/>
      <c r="B624" s="626" t="s">
        <v>430</v>
      </c>
      <c r="C624" s="2101">
        <f>IF(C623="","",C623+10)</f>
        <v>6185</v>
      </c>
      <c r="D624" s="2102"/>
      <c r="E624" s="627"/>
      <c r="F624" s="628" t="s">
        <v>431</v>
      </c>
      <c r="G624" s="2103">
        <f>IF(G623="","",G623+10)</f>
        <v>6200</v>
      </c>
      <c r="H624" s="2104"/>
    </row>
    <row r="625" spans="1:8" ht="15.5" x14ac:dyDescent="0.35">
      <c r="A625" s="625">
        <f>A622+30</f>
        <v>6195</v>
      </c>
      <c r="B625" s="626" t="s">
        <v>430</v>
      </c>
      <c r="C625" s="2101">
        <f>IF(A625="","",A625)</f>
        <v>6195</v>
      </c>
      <c r="D625" s="2102"/>
      <c r="E625" s="627">
        <f>E622+30</f>
        <v>6210</v>
      </c>
      <c r="F625" s="628" t="s">
        <v>431</v>
      </c>
      <c r="G625" s="2103">
        <f>IF(E625="","",E625)</f>
        <v>6210</v>
      </c>
      <c r="H625" s="2104"/>
    </row>
    <row r="626" spans="1:8" ht="15.5" x14ac:dyDescent="0.35">
      <c r="A626" s="625"/>
      <c r="B626" s="626" t="s">
        <v>430</v>
      </c>
      <c r="C626" s="2101">
        <f>IF(C625="","",C625+10)</f>
        <v>6205</v>
      </c>
      <c r="D626" s="2102"/>
      <c r="E626" s="627"/>
      <c r="F626" s="628" t="s">
        <v>431</v>
      </c>
      <c r="G626" s="2103">
        <f>IF(G625="","",G625+10)</f>
        <v>6220</v>
      </c>
      <c r="H626" s="2104"/>
    </row>
    <row r="627" spans="1:8" ht="15.5" x14ac:dyDescent="0.35">
      <c r="A627" s="625"/>
      <c r="B627" s="626" t="s">
        <v>430</v>
      </c>
      <c r="C627" s="2101">
        <f>IF(C626="","",C626+10)</f>
        <v>6215</v>
      </c>
      <c r="D627" s="2102"/>
      <c r="E627" s="627"/>
      <c r="F627" s="628" t="s">
        <v>431</v>
      </c>
      <c r="G627" s="2103">
        <f>IF(G626="","",G626+10)</f>
        <v>6230</v>
      </c>
      <c r="H627" s="2104"/>
    </row>
    <row r="628" spans="1:8" ht="15.5" x14ac:dyDescent="0.35">
      <c r="A628" s="625">
        <f>A625+30</f>
        <v>6225</v>
      </c>
      <c r="B628" s="626" t="s">
        <v>430</v>
      </c>
      <c r="C628" s="2101">
        <f>IF(A628="","",A628)</f>
        <v>6225</v>
      </c>
      <c r="D628" s="2102"/>
      <c r="E628" s="627">
        <f>E625+30</f>
        <v>6240</v>
      </c>
      <c r="F628" s="628" t="s">
        <v>431</v>
      </c>
      <c r="G628" s="2103">
        <f>IF(E628="","",E628)</f>
        <v>6240</v>
      </c>
      <c r="H628" s="2104"/>
    </row>
    <row r="629" spans="1:8" ht="15.5" x14ac:dyDescent="0.35">
      <c r="A629" s="625"/>
      <c r="B629" s="626" t="s">
        <v>430</v>
      </c>
      <c r="C629" s="2101">
        <f>IF(C628="","",C628+10)</f>
        <v>6235</v>
      </c>
      <c r="D629" s="2102"/>
      <c r="E629" s="627"/>
      <c r="F629" s="628" t="s">
        <v>431</v>
      </c>
      <c r="G629" s="2103">
        <f>IF(G628="","",G628+10)</f>
        <v>6250</v>
      </c>
      <c r="H629" s="2104"/>
    </row>
    <row r="630" spans="1:8" ht="15.5" x14ac:dyDescent="0.35">
      <c r="A630" s="625"/>
      <c r="B630" s="626" t="s">
        <v>430</v>
      </c>
      <c r="C630" s="2101">
        <f>IF(C629="","",C629+10)</f>
        <v>6245</v>
      </c>
      <c r="D630" s="2102"/>
      <c r="E630" s="627"/>
      <c r="F630" s="628" t="s">
        <v>431</v>
      </c>
      <c r="G630" s="2103">
        <f>IF(G629="","",G629+10)</f>
        <v>6260</v>
      </c>
      <c r="H630" s="2104"/>
    </row>
    <row r="631" spans="1:8" ht="15.5" x14ac:dyDescent="0.35">
      <c r="A631" s="625">
        <f>A628+30</f>
        <v>6255</v>
      </c>
      <c r="B631" s="626" t="s">
        <v>430</v>
      </c>
      <c r="C631" s="2101">
        <f>IF(A631="","",A631)</f>
        <v>6255</v>
      </c>
      <c r="D631" s="2102"/>
      <c r="E631" s="627">
        <f>E628+30</f>
        <v>6270</v>
      </c>
      <c r="F631" s="628" t="s">
        <v>431</v>
      </c>
      <c r="G631" s="2103">
        <f>IF(E631="","",E631)</f>
        <v>6270</v>
      </c>
      <c r="H631" s="2104"/>
    </row>
    <row r="632" spans="1:8" ht="15.5" x14ac:dyDescent="0.35">
      <c r="A632" s="625"/>
      <c r="B632" s="626" t="s">
        <v>430</v>
      </c>
      <c r="C632" s="2101">
        <f>IF(C631="","",C631+10)</f>
        <v>6265</v>
      </c>
      <c r="D632" s="2102"/>
      <c r="E632" s="627"/>
      <c r="F632" s="628" t="s">
        <v>431</v>
      </c>
      <c r="G632" s="2103">
        <f>IF(G631="","",G631+10)</f>
        <v>6280</v>
      </c>
      <c r="H632" s="2104"/>
    </row>
    <row r="633" spans="1:8" ht="15.5" x14ac:dyDescent="0.35">
      <c r="A633" s="625"/>
      <c r="B633" s="626" t="s">
        <v>430</v>
      </c>
      <c r="C633" s="2101">
        <f>IF(C632="","",C632+10)</f>
        <v>6275</v>
      </c>
      <c r="D633" s="2102"/>
      <c r="E633" s="627"/>
      <c r="F633" s="628" t="s">
        <v>431</v>
      </c>
      <c r="G633" s="2103">
        <f>IF(G632="","",G632+10)</f>
        <v>6290</v>
      </c>
      <c r="H633" s="2104"/>
    </row>
    <row r="634" spans="1:8" ht="15.5" x14ac:dyDescent="0.35">
      <c r="A634" s="625">
        <f>A631+30</f>
        <v>6285</v>
      </c>
      <c r="B634" s="626" t="s">
        <v>430</v>
      </c>
      <c r="C634" s="2101">
        <f>IF(A634="","",A634)</f>
        <v>6285</v>
      </c>
      <c r="D634" s="2102"/>
      <c r="E634" s="627">
        <f>E631+30</f>
        <v>6300</v>
      </c>
      <c r="F634" s="628" t="s">
        <v>431</v>
      </c>
      <c r="G634" s="2103">
        <f>IF(E634="","",E634)</f>
        <v>6300</v>
      </c>
      <c r="H634" s="2104"/>
    </row>
    <row r="635" spans="1:8" ht="15.5" x14ac:dyDescent="0.35">
      <c r="A635" s="625"/>
      <c r="B635" s="626" t="s">
        <v>430</v>
      </c>
      <c r="C635" s="2101">
        <f>IF(C634="","",C634+10)</f>
        <v>6295</v>
      </c>
      <c r="D635" s="2102"/>
      <c r="E635" s="627"/>
      <c r="F635" s="628" t="s">
        <v>431</v>
      </c>
      <c r="G635" s="2103">
        <f>IF(G634="","",G634+10)</f>
        <v>6310</v>
      </c>
      <c r="H635" s="2104"/>
    </row>
    <row r="636" spans="1:8" ht="15.5" x14ac:dyDescent="0.35">
      <c r="A636" s="625"/>
      <c r="B636" s="626" t="s">
        <v>430</v>
      </c>
      <c r="C636" s="2101">
        <f>IF(C635="","",C635+10)</f>
        <v>6305</v>
      </c>
      <c r="D636" s="2102"/>
      <c r="E636" s="627"/>
      <c r="F636" s="628" t="s">
        <v>431</v>
      </c>
      <c r="G636" s="2103">
        <f>IF(G635="","",G635+10)</f>
        <v>6320</v>
      </c>
      <c r="H636" s="2104"/>
    </row>
    <row r="637" spans="1:8" ht="15.5" x14ac:dyDescent="0.35">
      <c r="A637" s="625">
        <f>A634+30</f>
        <v>6315</v>
      </c>
      <c r="B637" s="626" t="s">
        <v>430</v>
      </c>
      <c r="C637" s="2101">
        <f>IF(A637="","",A637)</f>
        <v>6315</v>
      </c>
      <c r="D637" s="2102"/>
      <c r="E637" s="627">
        <f>E634+30</f>
        <v>6330</v>
      </c>
      <c r="F637" s="628" t="s">
        <v>431</v>
      </c>
      <c r="G637" s="2103">
        <f>IF(E637="","",E637)</f>
        <v>6330</v>
      </c>
      <c r="H637" s="2104"/>
    </row>
    <row r="638" spans="1:8" ht="15.5" x14ac:dyDescent="0.35">
      <c r="A638" s="625"/>
      <c r="B638" s="626" t="s">
        <v>430</v>
      </c>
      <c r="C638" s="2101">
        <f>IF(C637="","",C637+10)</f>
        <v>6325</v>
      </c>
      <c r="D638" s="2102"/>
      <c r="E638" s="627"/>
      <c r="F638" s="628" t="s">
        <v>431</v>
      </c>
      <c r="G638" s="2103">
        <f>IF(G637="","",G637+10)</f>
        <v>6340</v>
      </c>
      <c r="H638" s="2104"/>
    </row>
    <row r="639" spans="1:8" ht="15.5" x14ac:dyDescent="0.35">
      <c r="A639" s="625"/>
      <c r="B639" s="626" t="s">
        <v>430</v>
      </c>
      <c r="C639" s="2101">
        <f>IF(C638="","",C638+10)</f>
        <v>6335</v>
      </c>
      <c r="D639" s="2102"/>
      <c r="E639" s="627"/>
      <c r="F639" s="628" t="s">
        <v>431</v>
      </c>
      <c r="G639" s="2103">
        <f>IF(G638="","",G638+10)</f>
        <v>6350</v>
      </c>
      <c r="H639" s="2104"/>
    </row>
    <row r="640" spans="1:8" ht="15.5" x14ac:dyDescent="0.35">
      <c r="A640" s="625">
        <f>A637+30</f>
        <v>6345</v>
      </c>
      <c r="B640" s="626" t="s">
        <v>430</v>
      </c>
      <c r="C640" s="2101">
        <f>IF(A640="","",A640)</f>
        <v>6345</v>
      </c>
      <c r="D640" s="2102"/>
      <c r="E640" s="627">
        <f>E637+30</f>
        <v>6360</v>
      </c>
      <c r="F640" s="628" t="s">
        <v>431</v>
      </c>
      <c r="G640" s="2103">
        <f>IF(E640="","",E640)</f>
        <v>6360</v>
      </c>
      <c r="H640" s="2104"/>
    </row>
    <row r="641" spans="1:8" ht="15.5" x14ac:dyDescent="0.35">
      <c r="A641" s="625"/>
      <c r="B641" s="626" t="s">
        <v>430</v>
      </c>
      <c r="C641" s="2101">
        <f>IF(C640="","",C640+10)</f>
        <v>6355</v>
      </c>
      <c r="D641" s="2102"/>
      <c r="E641" s="627"/>
      <c r="F641" s="628" t="s">
        <v>431</v>
      </c>
      <c r="G641" s="2103">
        <f>IF(G640="","",G640+10)</f>
        <v>6370</v>
      </c>
      <c r="H641" s="2104"/>
    </row>
    <row r="642" spans="1:8" ht="15.5" x14ac:dyDescent="0.35">
      <c r="A642" s="625"/>
      <c r="B642" s="626" t="s">
        <v>430</v>
      </c>
      <c r="C642" s="2101">
        <f>IF(C641="","",C641+10)</f>
        <v>6365</v>
      </c>
      <c r="D642" s="2102"/>
      <c r="E642" s="627"/>
      <c r="F642" s="628" t="s">
        <v>431</v>
      </c>
      <c r="G642" s="2103">
        <f>IF(G641="","",G641+10)</f>
        <v>6380</v>
      </c>
      <c r="H642" s="2104"/>
    </row>
    <row r="643" spans="1:8" ht="15.5" x14ac:dyDescent="0.35">
      <c r="A643" s="625">
        <f>A640+30</f>
        <v>6375</v>
      </c>
      <c r="B643" s="626" t="s">
        <v>430</v>
      </c>
      <c r="C643" s="2101">
        <f>IF(A643="","",A643)</f>
        <v>6375</v>
      </c>
      <c r="D643" s="2102"/>
      <c r="E643" s="627">
        <f>E640+30</f>
        <v>6390</v>
      </c>
      <c r="F643" s="628" t="s">
        <v>431</v>
      </c>
      <c r="G643" s="2103">
        <f>IF(E643="","",E643)</f>
        <v>6390</v>
      </c>
      <c r="H643" s="2104"/>
    </row>
    <row r="644" spans="1:8" ht="15.5" x14ac:dyDescent="0.35">
      <c r="A644" s="625"/>
      <c r="B644" s="626" t="s">
        <v>430</v>
      </c>
      <c r="C644" s="2101">
        <f>IF(C643="","",C643+10)</f>
        <v>6385</v>
      </c>
      <c r="D644" s="2102"/>
      <c r="E644" s="627"/>
      <c r="F644" s="628" t="s">
        <v>431</v>
      </c>
      <c r="G644" s="2103">
        <f>IF(G643="","",G643+10)</f>
        <v>6400</v>
      </c>
      <c r="H644" s="2104"/>
    </row>
    <row r="645" spans="1:8" ht="15.5" x14ac:dyDescent="0.35">
      <c r="A645" s="625"/>
      <c r="B645" s="626" t="s">
        <v>430</v>
      </c>
      <c r="C645" s="2101">
        <f>IF(C644="","",C644+10)</f>
        <v>6395</v>
      </c>
      <c r="D645" s="2102"/>
      <c r="E645" s="627"/>
      <c r="F645" s="628" t="s">
        <v>431</v>
      </c>
      <c r="G645" s="2103">
        <f>IF(G644="","",G644+10)</f>
        <v>6410</v>
      </c>
      <c r="H645" s="2104"/>
    </row>
    <row r="646" spans="1:8" ht="15.5" x14ac:dyDescent="0.35">
      <c r="A646" s="625">
        <f>A643+30</f>
        <v>6405</v>
      </c>
      <c r="B646" s="626" t="s">
        <v>430</v>
      </c>
      <c r="C646" s="2101">
        <f>IF(A646="","",A646)</f>
        <v>6405</v>
      </c>
      <c r="D646" s="2102"/>
      <c r="E646" s="627">
        <f>E643+30</f>
        <v>6420</v>
      </c>
      <c r="F646" s="628" t="s">
        <v>431</v>
      </c>
      <c r="G646" s="2103">
        <f>IF(E646="","",E646)</f>
        <v>6420</v>
      </c>
      <c r="H646" s="2104"/>
    </row>
    <row r="647" spans="1:8" ht="15.5" x14ac:dyDescent="0.35">
      <c r="A647" s="625"/>
      <c r="B647" s="626" t="s">
        <v>430</v>
      </c>
      <c r="C647" s="2101">
        <f>IF(C646="","",C646+10)</f>
        <v>6415</v>
      </c>
      <c r="D647" s="2102"/>
      <c r="E647" s="627"/>
      <c r="F647" s="628" t="s">
        <v>431</v>
      </c>
      <c r="G647" s="2103">
        <f>IF(G646="","",G646+10)</f>
        <v>6430</v>
      </c>
      <c r="H647" s="2104"/>
    </row>
    <row r="648" spans="1:8" ht="15.5" x14ac:dyDescent="0.35">
      <c r="A648" s="625"/>
      <c r="B648" s="626" t="s">
        <v>430</v>
      </c>
      <c r="C648" s="2101">
        <f>IF(C647="","",C647+10)</f>
        <v>6425</v>
      </c>
      <c r="D648" s="2102"/>
      <c r="E648" s="627"/>
      <c r="F648" s="628" t="s">
        <v>431</v>
      </c>
      <c r="G648" s="2103">
        <f>IF(G647="","",G647+10)</f>
        <v>6440</v>
      </c>
      <c r="H648" s="2104"/>
    </row>
    <row r="649" spans="1:8" ht="15.5" x14ac:dyDescent="0.35">
      <c r="A649" s="625">
        <f>A646+30</f>
        <v>6435</v>
      </c>
      <c r="B649" s="626" t="s">
        <v>430</v>
      </c>
      <c r="C649" s="2101">
        <f>IF(A649="","",A649)</f>
        <v>6435</v>
      </c>
      <c r="D649" s="2102"/>
      <c r="E649" s="627">
        <f>E646+30</f>
        <v>6450</v>
      </c>
      <c r="F649" s="628" t="s">
        <v>431</v>
      </c>
      <c r="G649" s="2103">
        <f>IF(E649="","",E649)</f>
        <v>6450</v>
      </c>
      <c r="H649" s="2104"/>
    </row>
    <row r="650" spans="1:8" ht="15.5" x14ac:dyDescent="0.35">
      <c r="A650" s="625"/>
      <c r="B650" s="626" t="s">
        <v>430</v>
      </c>
      <c r="C650" s="2101">
        <f>IF(C649="","",C649+10)</f>
        <v>6445</v>
      </c>
      <c r="D650" s="2102"/>
      <c r="E650" s="627"/>
      <c r="F650" s="628" t="s">
        <v>431</v>
      </c>
      <c r="G650" s="2103">
        <f>IF(G649="","",G649+10)</f>
        <v>6460</v>
      </c>
      <c r="H650" s="2104"/>
    </row>
    <row r="651" spans="1:8" ht="15.5" x14ac:dyDescent="0.35">
      <c r="A651" s="625"/>
      <c r="B651" s="626" t="s">
        <v>430</v>
      </c>
      <c r="C651" s="2101">
        <f>IF(C650="","",C650+10)</f>
        <v>6455</v>
      </c>
      <c r="D651" s="2102"/>
      <c r="E651" s="627"/>
      <c r="F651" s="628" t="s">
        <v>431</v>
      </c>
      <c r="G651" s="2103">
        <f>IF(G650="","",G650+10)</f>
        <v>6470</v>
      </c>
      <c r="H651" s="2104"/>
    </row>
    <row r="652" spans="1:8" ht="15.5" x14ac:dyDescent="0.35">
      <c r="A652" s="625">
        <f>A649+30</f>
        <v>6465</v>
      </c>
      <c r="B652" s="626" t="s">
        <v>430</v>
      </c>
      <c r="C652" s="2101">
        <f>IF(A652="","",A652)</f>
        <v>6465</v>
      </c>
      <c r="D652" s="2102"/>
      <c r="E652" s="627">
        <f>E649+30</f>
        <v>6480</v>
      </c>
      <c r="F652" s="628" t="s">
        <v>431</v>
      </c>
      <c r="G652" s="2103">
        <f>IF(E652="","",E652)</f>
        <v>6480</v>
      </c>
      <c r="H652" s="2104"/>
    </row>
    <row r="653" spans="1:8" ht="15.5" x14ac:dyDescent="0.35">
      <c r="A653" s="625"/>
      <c r="B653" s="626" t="s">
        <v>430</v>
      </c>
      <c r="C653" s="2101">
        <f>IF(C652="","",C652+10)</f>
        <v>6475</v>
      </c>
      <c r="D653" s="2102"/>
      <c r="E653" s="627"/>
      <c r="F653" s="628" t="s">
        <v>431</v>
      </c>
      <c r="G653" s="2103">
        <f>IF(G652="","",G652+10)</f>
        <v>6490</v>
      </c>
      <c r="H653" s="2104"/>
    </row>
    <row r="654" spans="1:8" ht="15.5" x14ac:dyDescent="0.35">
      <c r="A654" s="625"/>
      <c r="B654" s="626" t="s">
        <v>430</v>
      </c>
      <c r="C654" s="2101">
        <f>IF(C653="","",C653+10)</f>
        <v>6485</v>
      </c>
      <c r="D654" s="2102"/>
      <c r="E654" s="627"/>
      <c r="F654" s="628" t="s">
        <v>431</v>
      </c>
      <c r="G654" s="2103">
        <f>IF(G653="","",G653+10)</f>
        <v>6500</v>
      </c>
      <c r="H654" s="2104"/>
    </row>
    <row r="655" spans="1:8" ht="15.5" x14ac:dyDescent="0.35">
      <c r="A655" s="625">
        <f>A652+30</f>
        <v>6495</v>
      </c>
      <c r="B655" s="626" t="s">
        <v>430</v>
      </c>
      <c r="C655" s="2101">
        <f>IF(A655="","",A655)</f>
        <v>6495</v>
      </c>
      <c r="D655" s="2102"/>
      <c r="E655" s="627">
        <f>E652+30</f>
        <v>6510</v>
      </c>
      <c r="F655" s="628" t="s">
        <v>431</v>
      </c>
      <c r="G655" s="2103">
        <f>IF(E655="","",E655)</f>
        <v>6510</v>
      </c>
      <c r="H655" s="2104"/>
    </row>
    <row r="656" spans="1:8" ht="15.5" x14ac:dyDescent="0.35">
      <c r="A656" s="625"/>
      <c r="B656" s="626" t="s">
        <v>430</v>
      </c>
      <c r="C656" s="2101">
        <f>IF(C655="","",C655+10)</f>
        <v>6505</v>
      </c>
      <c r="D656" s="2102"/>
      <c r="E656" s="627"/>
      <c r="F656" s="628" t="s">
        <v>431</v>
      </c>
      <c r="G656" s="2103">
        <f>IF(G655="","",G655+10)</f>
        <v>6520</v>
      </c>
      <c r="H656" s="2104"/>
    </row>
    <row r="657" spans="1:8" ht="15.5" x14ac:dyDescent="0.35">
      <c r="A657" s="625"/>
      <c r="B657" s="626" t="s">
        <v>430</v>
      </c>
      <c r="C657" s="2101">
        <f>IF(C656="","",C656+10)</f>
        <v>6515</v>
      </c>
      <c r="D657" s="2102"/>
      <c r="E657" s="627"/>
      <c r="F657" s="628" t="s">
        <v>431</v>
      </c>
      <c r="G657" s="2103">
        <f>IF(G656="","",G656+10)</f>
        <v>6530</v>
      </c>
      <c r="H657" s="2104"/>
    </row>
    <row r="658" spans="1:8" ht="15.5" x14ac:dyDescent="0.35">
      <c r="A658" s="625">
        <f>A655+30</f>
        <v>6525</v>
      </c>
      <c r="B658" s="626" t="s">
        <v>430</v>
      </c>
      <c r="C658" s="2101">
        <f>IF(A658="","",A658)</f>
        <v>6525</v>
      </c>
      <c r="D658" s="2102"/>
      <c r="E658" s="627">
        <f>E655+30</f>
        <v>6540</v>
      </c>
      <c r="F658" s="628" t="s">
        <v>431</v>
      </c>
      <c r="G658" s="2103">
        <f>IF(E658="","",E658)</f>
        <v>6540</v>
      </c>
      <c r="H658" s="2104"/>
    </row>
    <row r="659" spans="1:8" ht="15.5" x14ac:dyDescent="0.35">
      <c r="A659" s="625"/>
      <c r="B659" s="626" t="s">
        <v>430</v>
      </c>
      <c r="C659" s="2101">
        <f>IF(C658="","",C658+10)</f>
        <v>6535</v>
      </c>
      <c r="D659" s="2102"/>
      <c r="E659" s="627"/>
      <c r="F659" s="628" t="s">
        <v>431</v>
      </c>
      <c r="G659" s="2103">
        <f>IF(G658="","",G658+10)</f>
        <v>6550</v>
      </c>
      <c r="H659" s="2104"/>
    </row>
    <row r="660" spans="1:8" ht="15.5" x14ac:dyDescent="0.35">
      <c r="A660" s="625"/>
      <c r="B660" s="626" t="s">
        <v>430</v>
      </c>
      <c r="C660" s="2101">
        <f>IF(C659="","",C659+10)</f>
        <v>6545</v>
      </c>
      <c r="D660" s="2102"/>
      <c r="E660" s="627"/>
      <c r="F660" s="628" t="s">
        <v>431</v>
      </c>
      <c r="G660" s="2103">
        <f>IF(G659="","",G659+10)</f>
        <v>6560</v>
      </c>
      <c r="H660" s="2104"/>
    </row>
    <row r="661" spans="1:8" ht="15.5" x14ac:dyDescent="0.35">
      <c r="A661" s="625">
        <f>A658+30</f>
        <v>6555</v>
      </c>
      <c r="B661" s="626" t="s">
        <v>430</v>
      </c>
      <c r="C661" s="2101">
        <f>IF(A661="","",A661)</f>
        <v>6555</v>
      </c>
      <c r="D661" s="2102"/>
      <c r="E661" s="627">
        <f>E658+30</f>
        <v>6570</v>
      </c>
      <c r="F661" s="628" t="s">
        <v>431</v>
      </c>
      <c r="G661" s="2103">
        <f>IF(E661="","",E661)</f>
        <v>6570</v>
      </c>
      <c r="H661" s="2104"/>
    </row>
    <row r="662" spans="1:8" ht="15.5" x14ac:dyDescent="0.35">
      <c r="A662" s="625"/>
      <c r="B662" s="626" t="s">
        <v>430</v>
      </c>
      <c r="C662" s="2101">
        <f>IF(C661="","",C661+10)</f>
        <v>6565</v>
      </c>
      <c r="D662" s="2102"/>
      <c r="E662" s="627"/>
      <c r="F662" s="628" t="s">
        <v>431</v>
      </c>
      <c r="G662" s="2103">
        <f>IF(G661="","",G661+10)</f>
        <v>6580</v>
      </c>
      <c r="H662" s="2104"/>
    </row>
    <row r="663" spans="1:8" ht="15.5" x14ac:dyDescent="0.35">
      <c r="A663" s="625"/>
      <c r="B663" s="626" t="s">
        <v>430</v>
      </c>
      <c r="C663" s="2101">
        <f>IF(C662="","",C662+10)</f>
        <v>6575</v>
      </c>
      <c r="D663" s="2102"/>
      <c r="E663" s="627"/>
      <c r="F663" s="628" t="s">
        <v>431</v>
      </c>
      <c r="G663" s="2103">
        <f>IF(G662="","",G662+10)</f>
        <v>6590</v>
      </c>
      <c r="H663" s="2104"/>
    </row>
    <row r="664" spans="1:8" ht="15.5" x14ac:dyDescent="0.35">
      <c r="A664" s="625">
        <f>A661+30</f>
        <v>6585</v>
      </c>
      <c r="B664" s="626" t="s">
        <v>430</v>
      </c>
      <c r="C664" s="2101">
        <f>IF(A664="","",A664)</f>
        <v>6585</v>
      </c>
      <c r="D664" s="2102"/>
      <c r="E664" s="627">
        <f>E661+30</f>
        <v>6600</v>
      </c>
      <c r="F664" s="628" t="s">
        <v>431</v>
      </c>
      <c r="G664" s="2103">
        <f>IF(E664="","",E664)</f>
        <v>6600</v>
      </c>
      <c r="H664" s="2104"/>
    </row>
    <row r="665" spans="1:8" ht="15.5" x14ac:dyDescent="0.35">
      <c r="A665" s="625"/>
      <c r="B665" s="626" t="s">
        <v>430</v>
      </c>
      <c r="C665" s="2101">
        <f>IF(C664="","",C664+10)</f>
        <v>6595</v>
      </c>
      <c r="D665" s="2102"/>
      <c r="E665" s="627"/>
      <c r="F665" s="628" t="s">
        <v>431</v>
      </c>
      <c r="G665" s="2103">
        <f>IF(G664="","",G664+10)</f>
        <v>6610</v>
      </c>
      <c r="H665" s="2104"/>
    </row>
    <row r="666" spans="1:8" ht="15.5" x14ac:dyDescent="0.35">
      <c r="A666" s="625"/>
      <c r="B666" s="626" t="s">
        <v>430</v>
      </c>
      <c r="C666" s="2101">
        <f>IF(C665="","",C665+10)</f>
        <v>6605</v>
      </c>
      <c r="D666" s="2102"/>
      <c r="E666" s="627"/>
      <c r="F666" s="628" t="s">
        <v>431</v>
      </c>
      <c r="G666" s="2103">
        <f>IF(G665="","",G665+10)</f>
        <v>6620</v>
      </c>
      <c r="H666" s="2104"/>
    </row>
    <row r="667" spans="1:8" ht="15.5" x14ac:dyDescent="0.35">
      <c r="A667" s="625">
        <f>A664+30</f>
        <v>6615</v>
      </c>
      <c r="B667" s="626" t="s">
        <v>430</v>
      </c>
      <c r="C667" s="2101">
        <f>IF(A667="","",A667)</f>
        <v>6615</v>
      </c>
      <c r="D667" s="2102"/>
      <c r="E667" s="627">
        <f>E664+30</f>
        <v>6630</v>
      </c>
      <c r="F667" s="628" t="s">
        <v>431</v>
      </c>
      <c r="G667" s="2103">
        <f>IF(E667="","",E667)</f>
        <v>6630</v>
      </c>
      <c r="H667" s="2104"/>
    </row>
    <row r="668" spans="1:8" ht="15.5" x14ac:dyDescent="0.35">
      <c r="A668" s="625"/>
      <c r="B668" s="626" t="s">
        <v>430</v>
      </c>
      <c r="C668" s="2101">
        <f>IF(C667="","",C667+10)</f>
        <v>6625</v>
      </c>
      <c r="D668" s="2102"/>
      <c r="E668" s="627"/>
      <c r="F668" s="628" t="s">
        <v>431</v>
      </c>
      <c r="G668" s="2103">
        <f>IF(G667="","",G667+10)</f>
        <v>6640</v>
      </c>
      <c r="H668" s="2104"/>
    </row>
    <row r="669" spans="1:8" ht="15.5" x14ac:dyDescent="0.35">
      <c r="A669" s="625"/>
      <c r="B669" s="626" t="s">
        <v>430</v>
      </c>
      <c r="C669" s="2101">
        <f>IF(C668="","",C668+10)</f>
        <v>6635</v>
      </c>
      <c r="D669" s="2102"/>
      <c r="E669" s="627"/>
      <c r="F669" s="628" t="s">
        <v>431</v>
      </c>
      <c r="G669" s="2103">
        <f>IF(G668="","",G668+10)</f>
        <v>6650</v>
      </c>
      <c r="H669" s="2104"/>
    </row>
    <row r="670" spans="1:8" ht="15.5" x14ac:dyDescent="0.35">
      <c r="A670" s="625">
        <f>A667+30</f>
        <v>6645</v>
      </c>
      <c r="B670" s="626" t="s">
        <v>430</v>
      </c>
      <c r="C670" s="2101">
        <f>IF(A670="","",A670)</f>
        <v>6645</v>
      </c>
      <c r="D670" s="2102"/>
      <c r="E670" s="627">
        <f>E667+30</f>
        <v>6660</v>
      </c>
      <c r="F670" s="628" t="s">
        <v>431</v>
      </c>
      <c r="G670" s="2103">
        <f>IF(E670="","",E670)</f>
        <v>6660</v>
      </c>
      <c r="H670" s="2104"/>
    </row>
    <row r="671" spans="1:8" ht="15.5" x14ac:dyDescent="0.35">
      <c r="A671" s="625"/>
      <c r="B671" s="626" t="s">
        <v>430</v>
      </c>
      <c r="C671" s="2101">
        <f>IF(C670="","",C670+10)</f>
        <v>6655</v>
      </c>
      <c r="D671" s="2102"/>
      <c r="E671" s="627"/>
      <c r="F671" s="628" t="s">
        <v>431</v>
      </c>
      <c r="G671" s="2103">
        <f>IF(G670="","",G670+10)</f>
        <v>6670</v>
      </c>
      <c r="H671" s="2104"/>
    </row>
    <row r="672" spans="1:8" ht="15.5" x14ac:dyDescent="0.35">
      <c r="A672" s="625"/>
      <c r="B672" s="626" t="s">
        <v>430</v>
      </c>
      <c r="C672" s="2101">
        <f>IF(C671="","",C671+10)</f>
        <v>6665</v>
      </c>
      <c r="D672" s="2102"/>
      <c r="E672" s="627"/>
      <c r="F672" s="628" t="s">
        <v>431</v>
      </c>
      <c r="G672" s="2103">
        <f>IF(G671="","",G671+10)</f>
        <v>6680</v>
      </c>
      <c r="H672" s="2104"/>
    </row>
    <row r="673" spans="1:8" ht="15.5" x14ac:dyDescent="0.35">
      <c r="A673" s="625">
        <f>A670+30</f>
        <v>6675</v>
      </c>
      <c r="B673" s="626" t="s">
        <v>430</v>
      </c>
      <c r="C673" s="2101">
        <f>IF(A673="","",A673)</f>
        <v>6675</v>
      </c>
      <c r="D673" s="2102"/>
      <c r="E673" s="627">
        <f>E670+30</f>
        <v>6690</v>
      </c>
      <c r="F673" s="628" t="s">
        <v>431</v>
      </c>
      <c r="G673" s="2103">
        <f>IF(E673="","",E673)</f>
        <v>6690</v>
      </c>
      <c r="H673" s="2104"/>
    </row>
    <row r="674" spans="1:8" ht="15.5" x14ac:dyDescent="0.35">
      <c r="A674" s="625"/>
      <c r="B674" s="626" t="s">
        <v>430</v>
      </c>
      <c r="C674" s="2101">
        <f>IF(C673="","",C673+10)</f>
        <v>6685</v>
      </c>
      <c r="D674" s="2102"/>
      <c r="E674" s="627"/>
      <c r="F674" s="628" t="s">
        <v>431</v>
      </c>
      <c r="G674" s="2103">
        <f>IF(G673="","",G673+10)</f>
        <v>6700</v>
      </c>
      <c r="H674" s="2104"/>
    </row>
    <row r="675" spans="1:8" ht="15.5" x14ac:dyDescent="0.35">
      <c r="A675" s="625"/>
      <c r="B675" s="626" t="s">
        <v>430</v>
      </c>
      <c r="C675" s="2101">
        <f>IF(C674="","",C674+10)</f>
        <v>6695</v>
      </c>
      <c r="D675" s="2102"/>
      <c r="E675" s="627"/>
      <c r="F675" s="628" t="s">
        <v>431</v>
      </c>
      <c r="G675" s="2103">
        <f>IF(G674="","",G674+10)</f>
        <v>6710</v>
      </c>
      <c r="H675" s="2104"/>
    </row>
    <row r="676" spans="1:8" ht="15.5" x14ac:dyDescent="0.35">
      <c r="A676" s="625">
        <f>A673+30</f>
        <v>6705</v>
      </c>
      <c r="B676" s="626" t="s">
        <v>430</v>
      </c>
      <c r="C676" s="2101">
        <f>IF(A676="","",A676)</f>
        <v>6705</v>
      </c>
      <c r="D676" s="2102"/>
      <c r="E676" s="627">
        <f>E673+30</f>
        <v>6720</v>
      </c>
      <c r="F676" s="628" t="s">
        <v>431</v>
      </c>
      <c r="G676" s="2103">
        <f>IF(E676="","",E676)</f>
        <v>6720</v>
      </c>
      <c r="H676" s="2104"/>
    </row>
    <row r="677" spans="1:8" ht="15.5" x14ac:dyDescent="0.35">
      <c r="A677" s="625"/>
      <c r="B677" s="626" t="s">
        <v>430</v>
      </c>
      <c r="C677" s="2101">
        <f>IF(C676="","",C676+10)</f>
        <v>6715</v>
      </c>
      <c r="D677" s="2102"/>
      <c r="E677" s="627"/>
      <c r="F677" s="628" t="s">
        <v>431</v>
      </c>
      <c r="G677" s="2103">
        <f>IF(G676="","",G676+10)</f>
        <v>6730</v>
      </c>
      <c r="H677" s="2104"/>
    </row>
    <row r="678" spans="1:8" ht="15.5" x14ac:dyDescent="0.35">
      <c r="A678" s="625"/>
      <c r="B678" s="626" t="s">
        <v>430</v>
      </c>
      <c r="C678" s="2101">
        <f>IF(C677="","",C677+10)</f>
        <v>6725</v>
      </c>
      <c r="D678" s="2102"/>
      <c r="E678" s="627"/>
      <c r="F678" s="628" t="s">
        <v>431</v>
      </c>
      <c r="G678" s="2103">
        <f>IF(G677="","",G677+10)</f>
        <v>6740</v>
      </c>
      <c r="H678" s="2104"/>
    </row>
    <row r="679" spans="1:8" ht="15.5" x14ac:dyDescent="0.35">
      <c r="A679" s="625">
        <f>A676+30</f>
        <v>6735</v>
      </c>
      <c r="B679" s="626" t="s">
        <v>430</v>
      </c>
      <c r="C679" s="2101">
        <f>IF(A679="","",A679)</f>
        <v>6735</v>
      </c>
      <c r="D679" s="2102"/>
      <c r="E679" s="627">
        <f>E676+30</f>
        <v>6750</v>
      </c>
      <c r="F679" s="628" t="s">
        <v>431</v>
      </c>
      <c r="G679" s="2103">
        <f>IF(E679="","",E679)</f>
        <v>6750</v>
      </c>
      <c r="H679" s="2104"/>
    </row>
    <row r="680" spans="1:8" ht="15.5" x14ac:dyDescent="0.35">
      <c r="A680" s="625"/>
      <c r="B680" s="626" t="s">
        <v>430</v>
      </c>
      <c r="C680" s="2101">
        <f>IF(C679="","",C679+10)</f>
        <v>6745</v>
      </c>
      <c r="D680" s="2102"/>
      <c r="E680" s="627"/>
      <c r="F680" s="628" t="s">
        <v>431</v>
      </c>
      <c r="G680" s="2103">
        <f>IF(G679="","",G679+10)</f>
        <v>6760</v>
      </c>
      <c r="H680" s="2104"/>
    </row>
    <row r="681" spans="1:8" ht="15.5" x14ac:dyDescent="0.35">
      <c r="A681" s="625"/>
      <c r="B681" s="626" t="s">
        <v>430</v>
      </c>
      <c r="C681" s="2101">
        <f>IF(C680="","",C680+10)</f>
        <v>6755</v>
      </c>
      <c r="D681" s="2102"/>
      <c r="E681" s="627"/>
      <c r="F681" s="628" t="s">
        <v>431</v>
      </c>
      <c r="G681" s="2103">
        <f>IF(G680="","",G680+10)</f>
        <v>6770</v>
      </c>
      <c r="H681" s="2104"/>
    </row>
    <row r="682" spans="1:8" ht="15.5" x14ac:dyDescent="0.35">
      <c r="A682" s="625">
        <f>A679+30</f>
        <v>6765</v>
      </c>
      <c r="B682" s="626" t="s">
        <v>430</v>
      </c>
      <c r="C682" s="2101">
        <f>IF(A682="","",A682)</f>
        <v>6765</v>
      </c>
      <c r="D682" s="2102"/>
      <c r="E682" s="627">
        <f>E679+30</f>
        <v>6780</v>
      </c>
      <c r="F682" s="628" t="s">
        <v>431</v>
      </c>
      <c r="G682" s="2103">
        <f>IF(E682="","",E682)</f>
        <v>6780</v>
      </c>
      <c r="H682" s="2104"/>
    </row>
    <row r="683" spans="1:8" ht="15.5" x14ac:dyDescent="0.35">
      <c r="A683" s="625"/>
      <c r="B683" s="626" t="s">
        <v>430</v>
      </c>
      <c r="C683" s="2101">
        <f>IF(C682="","",C682+10)</f>
        <v>6775</v>
      </c>
      <c r="D683" s="2102"/>
      <c r="E683" s="627"/>
      <c r="F683" s="628" t="s">
        <v>431</v>
      </c>
      <c r="G683" s="2103">
        <f>IF(G682="","",G682+10)</f>
        <v>6790</v>
      </c>
      <c r="H683" s="2104"/>
    </row>
    <row r="684" spans="1:8" ht="15.5" x14ac:dyDescent="0.35">
      <c r="A684" s="625"/>
      <c r="B684" s="626" t="s">
        <v>430</v>
      </c>
      <c r="C684" s="2101">
        <f>IF(C683="","",C683+10)</f>
        <v>6785</v>
      </c>
      <c r="D684" s="2102"/>
      <c r="E684" s="627"/>
      <c r="F684" s="628" t="s">
        <v>431</v>
      </c>
      <c r="G684" s="2103">
        <f>IF(G683="","",G683+10)</f>
        <v>6800</v>
      </c>
      <c r="H684" s="2104"/>
    </row>
    <row r="685" spans="1:8" ht="15.5" x14ac:dyDescent="0.35">
      <c r="A685" s="625">
        <f>A682+30</f>
        <v>6795</v>
      </c>
      <c r="B685" s="626" t="s">
        <v>430</v>
      </c>
      <c r="C685" s="2101">
        <f>IF(A685="","",A685)</f>
        <v>6795</v>
      </c>
      <c r="D685" s="2102"/>
      <c r="E685" s="627">
        <f>E682+30</f>
        <v>6810</v>
      </c>
      <c r="F685" s="628" t="s">
        <v>431</v>
      </c>
      <c r="G685" s="2103">
        <f>IF(E685="","",E685)</f>
        <v>6810</v>
      </c>
      <c r="H685" s="2104"/>
    </row>
    <row r="686" spans="1:8" ht="15.5" x14ac:dyDescent="0.35">
      <c r="A686" s="625"/>
      <c r="B686" s="626" t="s">
        <v>430</v>
      </c>
      <c r="C686" s="2101">
        <f>IF(C685="","",C685+10)</f>
        <v>6805</v>
      </c>
      <c r="D686" s="2102"/>
      <c r="E686" s="627"/>
      <c r="F686" s="628" t="s">
        <v>431</v>
      </c>
      <c r="G686" s="2103">
        <f>IF(G685="","",G685+10)</f>
        <v>6820</v>
      </c>
      <c r="H686" s="2104"/>
    </row>
    <row r="687" spans="1:8" ht="15.5" x14ac:dyDescent="0.35">
      <c r="A687" s="625"/>
      <c r="B687" s="626" t="s">
        <v>430</v>
      </c>
      <c r="C687" s="2101">
        <f>IF(C686="","",C686+10)</f>
        <v>6815</v>
      </c>
      <c r="D687" s="2102"/>
      <c r="E687" s="627"/>
      <c r="F687" s="628" t="s">
        <v>431</v>
      </c>
      <c r="G687" s="2103">
        <f>IF(G686="","",G686+10)</f>
        <v>6830</v>
      </c>
      <c r="H687" s="2104"/>
    </row>
    <row r="688" spans="1:8" ht="15.5" x14ac:dyDescent="0.35">
      <c r="A688" s="625">
        <f>A685+30</f>
        <v>6825</v>
      </c>
      <c r="B688" s="626" t="s">
        <v>430</v>
      </c>
      <c r="C688" s="2101">
        <f>IF(A688="","",A688)</f>
        <v>6825</v>
      </c>
      <c r="D688" s="2102"/>
      <c r="E688" s="627">
        <f>E685+30</f>
        <v>6840</v>
      </c>
      <c r="F688" s="628" t="s">
        <v>431</v>
      </c>
      <c r="G688" s="2103">
        <f>IF(E688="","",E688)</f>
        <v>6840</v>
      </c>
      <c r="H688" s="2104"/>
    </row>
    <row r="689" spans="1:8" ht="15.5" x14ac:dyDescent="0.35">
      <c r="A689" s="625"/>
      <c r="B689" s="626" t="s">
        <v>430</v>
      </c>
      <c r="C689" s="2101">
        <f>IF(C688="","",C688+10)</f>
        <v>6835</v>
      </c>
      <c r="D689" s="2102"/>
      <c r="E689" s="627"/>
      <c r="F689" s="628" t="s">
        <v>431</v>
      </c>
      <c r="G689" s="2103">
        <f>IF(G688="","",G688+10)</f>
        <v>6850</v>
      </c>
      <c r="H689" s="2104"/>
    </row>
    <row r="690" spans="1:8" ht="15.5" x14ac:dyDescent="0.35">
      <c r="A690" s="625"/>
      <c r="B690" s="626" t="s">
        <v>430</v>
      </c>
      <c r="C690" s="2101">
        <f>IF(C689="","",C689+10)</f>
        <v>6845</v>
      </c>
      <c r="D690" s="2102"/>
      <c r="E690" s="627"/>
      <c r="F690" s="628" t="s">
        <v>431</v>
      </c>
      <c r="G690" s="2103">
        <f>IF(G689="","",G689+10)</f>
        <v>6860</v>
      </c>
      <c r="H690" s="2104"/>
    </row>
    <row r="691" spans="1:8" ht="15.5" x14ac:dyDescent="0.35">
      <c r="A691" s="625">
        <f>A688+30</f>
        <v>6855</v>
      </c>
      <c r="B691" s="626" t="s">
        <v>430</v>
      </c>
      <c r="C691" s="2101">
        <f>IF(A691="","",A691)</f>
        <v>6855</v>
      </c>
      <c r="D691" s="2102"/>
      <c r="E691" s="627">
        <f>E688+30</f>
        <v>6870</v>
      </c>
      <c r="F691" s="628" t="s">
        <v>431</v>
      </c>
      <c r="G691" s="2103">
        <f>IF(E691="","",E691)</f>
        <v>6870</v>
      </c>
      <c r="H691" s="2104"/>
    </row>
    <row r="692" spans="1:8" ht="15.5" x14ac:dyDescent="0.35">
      <c r="A692" s="625"/>
      <c r="B692" s="626" t="s">
        <v>430</v>
      </c>
      <c r="C692" s="2101">
        <f>IF(C691="","",C691+10)</f>
        <v>6865</v>
      </c>
      <c r="D692" s="2102"/>
      <c r="E692" s="627"/>
      <c r="F692" s="628" t="s">
        <v>431</v>
      </c>
      <c r="G692" s="2103">
        <f>IF(G691="","",G691+10)</f>
        <v>6880</v>
      </c>
      <c r="H692" s="2104"/>
    </row>
    <row r="693" spans="1:8" ht="15.5" x14ac:dyDescent="0.35">
      <c r="A693" s="625"/>
      <c r="B693" s="626" t="s">
        <v>430</v>
      </c>
      <c r="C693" s="2101">
        <f>IF(C692="","",C692+10)</f>
        <v>6875</v>
      </c>
      <c r="D693" s="2102"/>
      <c r="E693" s="627"/>
      <c r="F693" s="628" t="s">
        <v>431</v>
      </c>
      <c r="G693" s="2103">
        <f>IF(G692="","",G692+10)</f>
        <v>6890</v>
      </c>
      <c r="H693" s="2104"/>
    </row>
    <row r="694" spans="1:8" ht="15.5" x14ac:dyDescent="0.35">
      <c r="A694" s="625">
        <f>A691+30</f>
        <v>6885</v>
      </c>
      <c r="B694" s="626" t="s">
        <v>430</v>
      </c>
      <c r="C694" s="2101">
        <f>IF(A694="","",A694)</f>
        <v>6885</v>
      </c>
      <c r="D694" s="2102"/>
      <c r="E694" s="627">
        <f>E691+30</f>
        <v>6900</v>
      </c>
      <c r="F694" s="628" t="s">
        <v>431</v>
      </c>
      <c r="G694" s="2103">
        <f>IF(E694="","",E694)</f>
        <v>6900</v>
      </c>
      <c r="H694" s="2104"/>
    </row>
    <row r="695" spans="1:8" ht="15.5" x14ac:dyDescent="0.35">
      <c r="A695" s="625"/>
      <c r="B695" s="626" t="s">
        <v>430</v>
      </c>
      <c r="C695" s="2101">
        <f>IF(C694="","",C694+10)</f>
        <v>6895</v>
      </c>
      <c r="D695" s="2102"/>
      <c r="E695" s="627"/>
      <c r="F695" s="628" t="s">
        <v>431</v>
      </c>
      <c r="G695" s="2103">
        <f>IF(G694="","",G694+10)</f>
        <v>6910</v>
      </c>
      <c r="H695" s="2104"/>
    </row>
    <row r="696" spans="1:8" ht="15.5" x14ac:dyDescent="0.35">
      <c r="A696" s="625"/>
      <c r="B696" s="626" t="s">
        <v>430</v>
      </c>
      <c r="C696" s="2101">
        <f>IF(C695="","",C695+10)</f>
        <v>6905</v>
      </c>
      <c r="D696" s="2102"/>
      <c r="E696" s="627"/>
      <c r="F696" s="628" t="s">
        <v>431</v>
      </c>
      <c r="G696" s="2103">
        <f>IF(G695="","",G695+10)</f>
        <v>6920</v>
      </c>
      <c r="H696" s="2104"/>
    </row>
    <row r="697" spans="1:8" ht="15.5" x14ac:dyDescent="0.35">
      <c r="A697" s="625">
        <f>A694+30</f>
        <v>6915</v>
      </c>
      <c r="B697" s="626" t="s">
        <v>430</v>
      </c>
      <c r="C697" s="2101">
        <f>IF(A697="","",A697)</f>
        <v>6915</v>
      </c>
      <c r="D697" s="2102"/>
      <c r="E697" s="627">
        <f>E694+30</f>
        <v>6930</v>
      </c>
      <c r="F697" s="628" t="s">
        <v>431</v>
      </c>
      <c r="G697" s="2103">
        <f>IF(E697="","",E697)</f>
        <v>6930</v>
      </c>
      <c r="H697" s="2104"/>
    </row>
    <row r="698" spans="1:8" ht="15.5" x14ac:dyDescent="0.35">
      <c r="A698" s="625"/>
      <c r="B698" s="626" t="s">
        <v>430</v>
      </c>
      <c r="C698" s="2101">
        <f>IF(C697="","",C697+10)</f>
        <v>6925</v>
      </c>
      <c r="D698" s="2102"/>
      <c r="E698" s="627"/>
      <c r="F698" s="628" t="s">
        <v>431</v>
      </c>
      <c r="G698" s="2103">
        <f>IF(G697="","",G697+10)</f>
        <v>6940</v>
      </c>
      <c r="H698" s="2104"/>
    </row>
    <row r="699" spans="1:8" ht="15.5" x14ac:dyDescent="0.35">
      <c r="A699" s="625"/>
      <c r="B699" s="626" t="s">
        <v>430</v>
      </c>
      <c r="C699" s="2101">
        <f>IF(C698="","",C698+10)</f>
        <v>6935</v>
      </c>
      <c r="D699" s="2102"/>
      <c r="E699" s="627"/>
      <c r="F699" s="628" t="s">
        <v>431</v>
      </c>
      <c r="G699" s="2103">
        <f>IF(G698="","",G698+10)</f>
        <v>6950</v>
      </c>
      <c r="H699" s="2104"/>
    </row>
    <row r="700" spans="1:8" ht="15.5" x14ac:dyDescent="0.35">
      <c r="A700" s="625">
        <f>A697+30</f>
        <v>6945</v>
      </c>
      <c r="B700" s="626" t="s">
        <v>430</v>
      </c>
      <c r="C700" s="2101">
        <f>IF(A700="","",A700)</f>
        <v>6945</v>
      </c>
      <c r="D700" s="2102"/>
      <c r="E700" s="627">
        <f>E697+30</f>
        <v>6960</v>
      </c>
      <c r="F700" s="628" t="s">
        <v>431</v>
      </c>
      <c r="G700" s="2103">
        <f>IF(E700="","",E700)</f>
        <v>6960</v>
      </c>
      <c r="H700" s="2104"/>
    </row>
    <row r="701" spans="1:8" ht="15.5" x14ac:dyDescent="0.35">
      <c r="A701" s="625"/>
      <c r="B701" s="626" t="s">
        <v>430</v>
      </c>
      <c r="C701" s="2101">
        <f>IF(C700="","",C700+10)</f>
        <v>6955</v>
      </c>
      <c r="D701" s="2102"/>
      <c r="E701" s="627"/>
      <c r="F701" s="628" t="s">
        <v>431</v>
      </c>
      <c r="G701" s="2103">
        <f>IF(G700="","",G700+10)</f>
        <v>6970</v>
      </c>
      <c r="H701" s="2104"/>
    </row>
    <row r="702" spans="1:8" ht="15.5" x14ac:dyDescent="0.35">
      <c r="A702" s="625"/>
      <c r="B702" s="626" t="s">
        <v>430</v>
      </c>
      <c r="C702" s="2101">
        <f>IF(C701="","",C701+10)</f>
        <v>6965</v>
      </c>
      <c r="D702" s="2102"/>
      <c r="E702" s="627"/>
      <c r="F702" s="628" t="s">
        <v>431</v>
      </c>
      <c r="G702" s="2103">
        <f>IF(G701="","",G701+10)</f>
        <v>6980</v>
      </c>
      <c r="H702" s="2104"/>
    </row>
    <row r="703" spans="1:8" ht="15.5" x14ac:dyDescent="0.35">
      <c r="A703" s="625">
        <f>A700+30</f>
        <v>6975</v>
      </c>
      <c r="B703" s="626" t="s">
        <v>430</v>
      </c>
      <c r="C703" s="2101">
        <f>IF(A703="","",A703)</f>
        <v>6975</v>
      </c>
      <c r="D703" s="2102"/>
      <c r="E703" s="627">
        <f>E700+30</f>
        <v>6990</v>
      </c>
      <c r="F703" s="628" t="s">
        <v>431</v>
      </c>
      <c r="G703" s="2103">
        <f>IF(E703="","",E703)</f>
        <v>6990</v>
      </c>
      <c r="H703" s="2104"/>
    </row>
    <row r="704" spans="1:8" ht="15.5" x14ac:dyDescent="0.35">
      <c r="A704" s="625"/>
      <c r="B704" s="626" t="s">
        <v>430</v>
      </c>
      <c r="C704" s="2101">
        <f>IF(C703="","",C703+10)</f>
        <v>6985</v>
      </c>
      <c r="D704" s="2102"/>
      <c r="E704" s="627"/>
      <c r="F704" s="628" t="s">
        <v>431</v>
      </c>
      <c r="G704" s="2103">
        <f>IF(G703="","",G703+10)</f>
        <v>7000</v>
      </c>
      <c r="H704" s="2104"/>
    </row>
    <row r="705" spans="1:8" ht="15.5" x14ac:dyDescent="0.35">
      <c r="A705" s="625"/>
      <c r="B705" s="626" t="s">
        <v>430</v>
      </c>
      <c r="C705" s="2101">
        <f>IF(C704="","",C704+10)</f>
        <v>6995</v>
      </c>
      <c r="D705" s="2102"/>
      <c r="E705" s="627"/>
      <c r="F705" s="628" t="s">
        <v>431</v>
      </c>
      <c r="G705" s="2103">
        <f>IF(G704="","",G704+10)</f>
        <v>7010</v>
      </c>
      <c r="H705" s="2104"/>
    </row>
    <row r="706" spans="1:8" ht="15.5" x14ac:dyDescent="0.35">
      <c r="A706" s="625">
        <f>A703+30</f>
        <v>7005</v>
      </c>
      <c r="B706" s="626" t="s">
        <v>430</v>
      </c>
      <c r="C706" s="2101">
        <f>IF(A706="","",A706)</f>
        <v>7005</v>
      </c>
      <c r="D706" s="2102"/>
      <c r="E706" s="627">
        <f>E703+30</f>
        <v>7020</v>
      </c>
      <c r="F706" s="628" t="s">
        <v>431</v>
      </c>
      <c r="G706" s="2103">
        <f>IF(E706="","",E706)</f>
        <v>7020</v>
      </c>
      <c r="H706" s="2104"/>
    </row>
    <row r="707" spans="1:8" ht="15.5" x14ac:dyDescent="0.35">
      <c r="A707" s="625"/>
      <c r="B707" s="626" t="s">
        <v>430</v>
      </c>
      <c r="C707" s="2101">
        <f>IF(C706="","",C706+10)</f>
        <v>7015</v>
      </c>
      <c r="D707" s="2102"/>
      <c r="E707" s="627"/>
      <c r="F707" s="628" t="s">
        <v>431</v>
      </c>
      <c r="G707" s="2103">
        <f>IF(G706="","",G706+10)</f>
        <v>7030</v>
      </c>
      <c r="H707" s="2104"/>
    </row>
    <row r="708" spans="1:8" ht="15.5" x14ac:dyDescent="0.35">
      <c r="A708" s="625"/>
      <c r="B708" s="626" t="s">
        <v>430</v>
      </c>
      <c r="C708" s="2101">
        <f>IF(C707="","",C707+10)</f>
        <v>7025</v>
      </c>
      <c r="D708" s="2102"/>
      <c r="E708" s="627"/>
      <c r="F708" s="628" t="s">
        <v>431</v>
      </c>
      <c r="G708" s="2103">
        <f>IF(G707="","",G707+10)</f>
        <v>7040</v>
      </c>
      <c r="H708" s="2104"/>
    </row>
    <row r="709" spans="1:8" ht="15.5" x14ac:dyDescent="0.35">
      <c r="A709" s="625">
        <f>A706+30</f>
        <v>7035</v>
      </c>
      <c r="B709" s="626" t="s">
        <v>430</v>
      </c>
      <c r="C709" s="2101">
        <f>IF(A709="","",A709)</f>
        <v>7035</v>
      </c>
      <c r="D709" s="2102"/>
      <c r="E709" s="627">
        <f>E706+30</f>
        <v>7050</v>
      </c>
      <c r="F709" s="628" t="s">
        <v>431</v>
      </c>
      <c r="G709" s="2103">
        <f>IF(E709="","",E709)</f>
        <v>7050</v>
      </c>
      <c r="H709" s="2104"/>
    </row>
    <row r="710" spans="1:8" ht="15.5" x14ac:dyDescent="0.35">
      <c r="A710" s="625"/>
      <c r="B710" s="626" t="s">
        <v>430</v>
      </c>
      <c r="C710" s="2101">
        <f>IF(C709="","",C709+10)</f>
        <v>7045</v>
      </c>
      <c r="D710" s="2102"/>
      <c r="E710" s="627"/>
      <c r="F710" s="628" t="s">
        <v>431</v>
      </c>
      <c r="G710" s="2103">
        <f>IF(G709="","",G709+10)</f>
        <v>7060</v>
      </c>
      <c r="H710" s="2104"/>
    </row>
    <row r="711" spans="1:8" ht="15.5" x14ac:dyDescent="0.35">
      <c r="A711" s="625"/>
      <c r="B711" s="626" t="s">
        <v>430</v>
      </c>
      <c r="C711" s="2101">
        <f>IF(C710="","",C710+10)</f>
        <v>7055</v>
      </c>
      <c r="D711" s="2102"/>
      <c r="E711" s="627"/>
      <c r="F711" s="628" t="s">
        <v>431</v>
      </c>
      <c r="G711" s="2103">
        <f>IF(G710="","",G710+10)</f>
        <v>7070</v>
      </c>
      <c r="H711" s="2104"/>
    </row>
    <row r="712" spans="1:8" ht="15.5" x14ac:dyDescent="0.35">
      <c r="A712" s="625">
        <f>A709+30</f>
        <v>7065</v>
      </c>
      <c r="B712" s="626" t="s">
        <v>430</v>
      </c>
      <c r="C712" s="2101">
        <f>IF(A712="","",A712)</f>
        <v>7065</v>
      </c>
      <c r="D712" s="2102"/>
      <c r="E712" s="627">
        <f>E709+30</f>
        <v>7080</v>
      </c>
      <c r="F712" s="628" t="s">
        <v>431</v>
      </c>
      <c r="G712" s="2103">
        <f>IF(E712="","",E712)</f>
        <v>7080</v>
      </c>
      <c r="H712" s="2104"/>
    </row>
    <row r="713" spans="1:8" ht="15.5" x14ac:dyDescent="0.35">
      <c r="A713" s="625"/>
      <c r="B713" s="626" t="s">
        <v>430</v>
      </c>
      <c r="C713" s="2101">
        <f>IF(C712="","",C712+10)</f>
        <v>7075</v>
      </c>
      <c r="D713" s="2102"/>
      <c r="E713" s="627"/>
      <c r="F713" s="628" t="s">
        <v>431</v>
      </c>
      <c r="G713" s="2103">
        <f>IF(G712="","",G712+10)</f>
        <v>7090</v>
      </c>
      <c r="H713" s="2104"/>
    </row>
    <row r="714" spans="1:8" ht="15.5" x14ac:dyDescent="0.35">
      <c r="A714" s="625"/>
      <c r="B714" s="626" t="s">
        <v>430</v>
      </c>
      <c r="C714" s="2101">
        <f>IF(C713="","",C713+10)</f>
        <v>7085</v>
      </c>
      <c r="D714" s="2102"/>
      <c r="E714" s="627"/>
      <c r="F714" s="628" t="s">
        <v>431</v>
      </c>
      <c r="G714" s="2103">
        <f>IF(G713="","",G713+10)</f>
        <v>7100</v>
      </c>
      <c r="H714" s="2104"/>
    </row>
    <row r="715" spans="1:8" ht="15.5" x14ac:dyDescent="0.35">
      <c r="A715" s="625">
        <f>A712+30</f>
        <v>7095</v>
      </c>
      <c r="B715" s="626" t="s">
        <v>430</v>
      </c>
      <c r="C715" s="2101">
        <f>IF(A715="","",A715)</f>
        <v>7095</v>
      </c>
      <c r="D715" s="2102"/>
      <c r="E715" s="627">
        <f>E712+30</f>
        <v>7110</v>
      </c>
      <c r="F715" s="628" t="s">
        <v>431</v>
      </c>
      <c r="G715" s="2103">
        <f>IF(E715="","",E715)</f>
        <v>7110</v>
      </c>
      <c r="H715" s="2104"/>
    </row>
    <row r="716" spans="1:8" ht="15.5" x14ac:dyDescent="0.35">
      <c r="A716" s="625"/>
      <c r="B716" s="626" t="s">
        <v>430</v>
      </c>
      <c r="C716" s="2101">
        <f>IF(C715="","",C715+10)</f>
        <v>7105</v>
      </c>
      <c r="D716" s="2102"/>
      <c r="E716" s="627"/>
      <c r="F716" s="628" t="s">
        <v>431</v>
      </c>
      <c r="G716" s="2103">
        <f>IF(G715="","",G715+10)</f>
        <v>7120</v>
      </c>
      <c r="H716" s="2104"/>
    </row>
    <row r="717" spans="1:8" ht="15.5" x14ac:dyDescent="0.35">
      <c r="A717" s="625"/>
      <c r="B717" s="626" t="s">
        <v>430</v>
      </c>
      <c r="C717" s="2101">
        <f>IF(C716="","",C716+10)</f>
        <v>7115</v>
      </c>
      <c r="D717" s="2102"/>
      <c r="E717" s="627"/>
      <c r="F717" s="628" t="s">
        <v>431</v>
      </c>
      <c r="G717" s="2103">
        <f>IF(G716="","",G716+10)</f>
        <v>7130</v>
      </c>
      <c r="H717" s="2104"/>
    </row>
    <row r="718" spans="1:8" ht="15.5" x14ac:dyDescent="0.35">
      <c r="A718" s="625">
        <f>A715+30</f>
        <v>7125</v>
      </c>
      <c r="B718" s="626" t="s">
        <v>430</v>
      </c>
      <c r="C718" s="2101">
        <f>IF(A718="","",A718)</f>
        <v>7125</v>
      </c>
      <c r="D718" s="2102"/>
      <c r="E718" s="627">
        <f>E715+30</f>
        <v>7140</v>
      </c>
      <c r="F718" s="628" t="s">
        <v>431</v>
      </c>
      <c r="G718" s="2103">
        <f>IF(E718="","",E718)</f>
        <v>7140</v>
      </c>
      <c r="H718" s="2104"/>
    </row>
    <row r="719" spans="1:8" ht="15.5" x14ac:dyDescent="0.35">
      <c r="A719" s="625"/>
      <c r="B719" s="626" t="s">
        <v>430</v>
      </c>
      <c r="C719" s="2101">
        <f>IF(C718="","",C718+10)</f>
        <v>7135</v>
      </c>
      <c r="D719" s="2102"/>
      <c r="E719" s="627"/>
      <c r="F719" s="628" t="s">
        <v>431</v>
      </c>
      <c r="G719" s="2103">
        <f>IF(G718="","",G718+10)</f>
        <v>7150</v>
      </c>
      <c r="H719" s="2104"/>
    </row>
    <row r="720" spans="1:8" ht="15.5" x14ac:dyDescent="0.35">
      <c r="A720" s="625"/>
      <c r="B720" s="626" t="s">
        <v>430</v>
      </c>
      <c r="C720" s="2101">
        <f>IF(C719="","",C719+10)</f>
        <v>7145</v>
      </c>
      <c r="D720" s="2102"/>
      <c r="E720" s="627"/>
      <c r="F720" s="628" t="s">
        <v>431</v>
      </c>
      <c r="G720" s="2103">
        <f>IF(G719="","",G719+10)</f>
        <v>7160</v>
      </c>
      <c r="H720" s="2104"/>
    </row>
    <row r="721" spans="1:8" ht="15.5" x14ac:dyDescent="0.35">
      <c r="A721" s="625">
        <f>A718+30</f>
        <v>7155</v>
      </c>
      <c r="B721" s="626" t="s">
        <v>430</v>
      </c>
      <c r="C721" s="2101">
        <f>IF(A721="","",A721)</f>
        <v>7155</v>
      </c>
      <c r="D721" s="2102"/>
      <c r="E721" s="627">
        <f>E718+30</f>
        <v>7170</v>
      </c>
      <c r="F721" s="628" t="s">
        <v>431</v>
      </c>
      <c r="G721" s="2103">
        <f>IF(E721="","",E721)</f>
        <v>7170</v>
      </c>
      <c r="H721" s="2104"/>
    </row>
    <row r="722" spans="1:8" ht="15.5" x14ac:dyDescent="0.35">
      <c r="A722" s="625"/>
      <c r="B722" s="626" t="s">
        <v>430</v>
      </c>
      <c r="C722" s="2101">
        <f>IF(C721="","",C721+10)</f>
        <v>7165</v>
      </c>
      <c r="D722" s="2102"/>
      <c r="E722" s="627"/>
      <c r="F722" s="628" t="s">
        <v>431</v>
      </c>
      <c r="G722" s="2103">
        <f>IF(G721="","",G721+10)</f>
        <v>7180</v>
      </c>
      <c r="H722" s="2104"/>
    </row>
    <row r="723" spans="1:8" ht="15.5" x14ac:dyDescent="0.35">
      <c r="A723" s="625"/>
      <c r="B723" s="626" t="s">
        <v>430</v>
      </c>
      <c r="C723" s="2101">
        <f>IF(C722="","",C722+10)</f>
        <v>7175</v>
      </c>
      <c r="D723" s="2102"/>
      <c r="E723" s="627"/>
      <c r="F723" s="628" t="s">
        <v>431</v>
      </c>
      <c r="G723" s="2103">
        <f>IF(G722="","",G722+10)</f>
        <v>7190</v>
      </c>
      <c r="H723" s="2104"/>
    </row>
    <row r="724" spans="1:8" ht="15.5" x14ac:dyDescent="0.35">
      <c r="A724" s="625">
        <f>A721+30</f>
        <v>7185</v>
      </c>
      <c r="B724" s="626" t="s">
        <v>430</v>
      </c>
      <c r="C724" s="2101">
        <f>IF(A724="","",A724)</f>
        <v>7185</v>
      </c>
      <c r="D724" s="2102"/>
      <c r="E724" s="627">
        <f>E721+30</f>
        <v>7200</v>
      </c>
      <c r="F724" s="628" t="s">
        <v>431</v>
      </c>
      <c r="G724" s="2103">
        <f>IF(E724="","",E724)</f>
        <v>7200</v>
      </c>
      <c r="H724" s="2104"/>
    </row>
    <row r="725" spans="1:8" ht="15.5" x14ac:dyDescent="0.35">
      <c r="A725" s="625"/>
      <c r="B725" s="626" t="s">
        <v>430</v>
      </c>
      <c r="C725" s="2101">
        <f>IF(C724="","",C724+10)</f>
        <v>7195</v>
      </c>
      <c r="D725" s="2102"/>
      <c r="E725" s="627"/>
      <c r="F725" s="628" t="s">
        <v>431</v>
      </c>
      <c r="G725" s="2103">
        <f>IF(G724="","",G724+10)</f>
        <v>7210</v>
      </c>
      <c r="H725" s="2104"/>
    </row>
    <row r="726" spans="1:8" ht="15.5" x14ac:dyDescent="0.35">
      <c r="A726" s="625"/>
      <c r="B726" s="626" t="s">
        <v>430</v>
      </c>
      <c r="C726" s="2101">
        <f>IF(C725="","",C725+10)</f>
        <v>7205</v>
      </c>
      <c r="D726" s="2102"/>
      <c r="E726" s="627"/>
      <c r="F726" s="628" t="s">
        <v>431</v>
      </c>
      <c r="G726" s="2103">
        <f>IF(G725="","",G725+10)</f>
        <v>7220</v>
      </c>
      <c r="H726" s="2104"/>
    </row>
    <row r="727" spans="1:8" ht="15.5" x14ac:dyDescent="0.35">
      <c r="A727" s="625">
        <f>A724+30</f>
        <v>7215</v>
      </c>
      <c r="B727" s="626" t="s">
        <v>430</v>
      </c>
      <c r="C727" s="2101">
        <f>IF(A727="","",A727)</f>
        <v>7215</v>
      </c>
      <c r="D727" s="2102"/>
      <c r="E727" s="627">
        <f>E724+30</f>
        <v>7230</v>
      </c>
      <c r="F727" s="628" t="s">
        <v>431</v>
      </c>
      <c r="G727" s="2103">
        <f>IF(E727="","",E727)</f>
        <v>7230</v>
      </c>
      <c r="H727" s="2104"/>
    </row>
    <row r="728" spans="1:8" ht="15.5" x14ac:dyDescent="0.35">
      <c r="A728" s="625"/>
      <c r="B728" s="626" t="s">
        <v>430</v>
      </c>
      <c r="C728" s="2101">
        <f>IF(C727="","",C727+10)</f>
        <v>7225</v>
      </c>
      <c r="D728" s="2102"/>
      <c r="E728" s="627"/>
      <c r="F728" s="628" t="s">
        <v>431</v>
      </c>
      <c r="G728" s="2103">
        <f>IF(G727="","",G727+10)</f>
        <v>7240</v>
      </c>
      <c r="H728" s="2104"/>
    </row>
    <row r="729" spans="1:8" ht="15.5" x14ac:dyDescent="0.35">
      <c r="A729" s="625"/>
      <c r="B729" s="626" t="s">
        <v>430</v>
      </c>
      <c r="C729" s="2101">
        <f>IF(C728="","",C728+10)</f>
        <v>7235</v>
      </c>
      <c r="D729" s="2102"/>
      <c r="E729" s="627"/>
      <c r="F729" s="628" t="s">
        <v>431</v>
      </c>
      <c r="G729" s="2103">
        <f>IF(G728="","",G728+10)</f>
        <v>7250</v>
      </c>
      <c r="H729" s="2104"/>
    </row>
    <row r="730" spans="1:8" ht="15.5" x14ac:dyDescent="0.35">
      <c r="A730" s="625">
        <f>A727+30</f>
        <v>7245</v>
      </c>
      <c r="B730" s="626" t="s">
        <v>430</v>
      </c>
      <c r="C730" s="2101">
        <f>IF(A730="","",A730)</f>
        <v>7245</v>
      </c>
      <c r="D730" s="2102"/>
      <c r="E730" s="627">
        <f>E727+30</f>
        <v>7260</v>
      </c>
      <c r="F730" s="628" t="s">
        <v>431</v>
      </c>
      <c r="G730" s="2103">
        <f>IF(E730="","",E730)</f>
        <v>7260</v>
      </c>
      <c r="H730" s="2104"/>
    </row>
    <row r="731" spans="1:8" ht="15.5" x14ac:dyDescent="0.35">
      <c r="A731" s="625"/>
      <c r="B731" s="626" t="s">
        <v>430</v>
      </c>
      <c r="C731" s="2101">
        <f>IF(C730="","",C730+10)</f>
        <v>7255</v>
      </c>
      <c r="D731" s="2102"/>
      <c r="E731" s="627"/>
      <c r="F731" s="628" t="s">
        <v>431</v>
      </c>
      <c r="G731" s="2103">
        <f>IF(G730="","",G730+10)</f>
        <v>7270</v>
      </c>
      <c r="H731" s="2104"/>
    </row>
    <row r="732" spans="1:8" ht="15.5" x14ac:dyDescent="0.35">
      <c r="A732" s="625"/>
      <c r="B732" s="626" t="s">
        <v>430</v>
      </c>
      <c r="C732" s="2101">
        <f>IF(C731="","",C731+10)</f>
        <v>7265</v>
      </c>
      <c r="D732" s="2102"/>
      <c r="E732" s="627"/>
      <c r="F732" s="628" t="s">
        <v>431</v>
      </c>
      <c r="G732" s="2103">
        <f>IF(G731="","",G731+10)</f>
        <v>7280</v>
      </c>
      <c r="H732" s="2104"/>
    </row>
    <row r="733" spans="1:8" ht="15.5" x14ac:dyDescent="0.35">
      <c r="A733" s="625">
        <f>A730+30</f>
        <v>7275</v>
      </c>
      <c r="B733" s="626" t="s">
        <v>430</v>
      </c>
      <c r="C733" s="2101">
        <f>IF(A733="","",A733)</f>
        <v>7275</v>
      </c>
      <c r="D733" s="2102"/>
      <c r="E733" s="627">
        <f>E730+30</f>
        <v>7290</v>
      </c>
      <c r="F733" s="628" t="s">
        <v>431</v>
      </c>
      <c r="G733" s="2103">
        <f>IF(E733="","",E733)</f>
        <v>7290</v>
      </c>
      <c r="H733" s="2104"/>
    </row>
    <row r="734" spans="1:8" ht="15.5" x14ac:dyDescent="0.35">
      <c r="A734" s="625"/>
      <c r="B734" s="626" t="s">
        <v>430</v>
      </c>
      <c r="C734" s="2101">
        <f>IF(C733="","",C733+10)</f>
        <v>7285</v>
      </c>
      <c r="D734" s="2102"/>
      <c r="E734" s="627"/>
      <c r="F734" s="628" t="s">
        <v>431</v>
      </c>
      <c r="G734" s="2103">
        <f>IF(G733="","",G733+10)</f>
        <v>7300</v>
      </c>
      <c r="H734" s="2104"/>
    </row>
    <row r="735" spans="1:8" ht="15.5" x14ac:dyDescent="0.35">
      <c r="A735" s="625"/>
      <c r="B735" s="626" t="s">
        <v>430</v>
      </c>
      <c r="C735" s="2101">
        <f>IF(C734="","",C734+10)</f>
        <v>7295</v>
      </c>
      <c r="D735" s="2102"/>
      <c r="E735" s="627"/>
      <c r="F735" s="628" t="s">
        <v>431</v>
      </c>
      <c r="G735" s="2103">
        <f>IF(G734="","",G734+10)</f>
        <v>7310</v>
      </c>
      <c r="H735" s="2104"/>
    </row>
    <row r="736" spans="1:8" ht="15.5" x14ac:dyDescent="0.35">
      <c r="A736" s="625">
        <f>A733+30</f>
        <v>7305</v>
      </c>
      <c r="B736" s="626" t="s">
        <v>430</v>
      </c>
      <c r="C736" s="2101">
        <f>IF(A736="","",A736)</f>
        <v>7305</v>
      </c>
      <c r="D736" s="2102"/>
      <c r="E736" s="627">
        <f>E733+30</f>
        <v>7320</v>
      </c>
      <c r="F736" s="628" t="s">
        <v>431</v>
      </c>
      <c r="G736" s="2103">
        <f>IF(E736="","",E736)</f>
        <v>7320</v>
      </c>
      <c r="H736" s="2104"/>
    </row>
    <row r="737" spans="1:8" ht="15.5" x14ac:dyDescent="0.35">
      <c r="A737" s="625"/>
      <c r="B737" s="626" t="s">
        <v>430</v>
      </c>
      <c r="C737" s="2101">
        <f>IF(C736="","",C736+10)</f>
        <v>7315</v>
      </c>
      <c r="D737" s="2102"/>
      <c r="E737" s="627"/>
      <c r="F737" s="628" t="s">
        <v>431</v>
      </c>
      <c r="G737" s="2103">
        <f>IF(G736="","",G736+10)</f>
        <v>7330</v>
      </c>
      <c r="H737" s="2104"/>
    </row>
    <row r="738" spans="1:8" ht="15.5" x14ac:dyDescent="0.35">
      <c r="A738" s="625"/>
      <c r="B738" s="626" t="s">
        <v>430</v>
      </c>
      <c r="C738" s="2101">
        <f>IF(C737="","",C737+10)</f>
        <v>7325</v>
      </c>
      <c r="D738" s="2102"/>
      <c r="E738" s="627"/>
      <c r="F738" s="628" t="s">
        <v>431</v>
      </c>
      <c r="G738" s="2103">
        <f>IF(G737="","",G737+10)</f>
        <v>7340</v>
      </c>
      <c r="H738" s="2104"/>
    </row>
    <row r="739" spans="1:8" ht="15.5" x14ac:dyDescent="0.35">
      <c r="A739" s="625">
        <f>A736+30</f>
        <v>7335</v>
      </c>
      <c r="B739" s="626" t="s">
        <v>430</v>
      </c>
      <c r="C739" s="2101">
        <f>IF(A739="","",A739)</f>
        <v>7335</v>
      </c>
      <c r="D739" s="2102"/>
      <c r="E739" s="627">
        <f>E736+30</f>
        <v>7350</v>
      </c>
      <c r="F739" s="628" t="s">
        <v>431</v>
      </c>
      <c r="G739" s="2103">
        <f>IF(E739="","",E739)</f>
        <v>7350</v>
      </c>
      <c r="H739" s="2104"/>
    </row>
    <row r="740" spans="1:8" ht="15.5" x14ac:dyDescent="0.35">
      <c r="A740" s="625"/>
      <c r="B740" s="626" t="s">
        <v>430</v>
      </c>
      <c r="C740" s="2101">
        <f>IF(C739="","",C739+10)</f>
        <v>7345</v>
      </c>
      <c r="D740" s="2102"/>
      <c r="E740" s="627"/>
      <c r="F740" s="628" t="s">
        <v>431</v>
      </c>
      <c r="G740" s="2103">
        <f>IF(G739="","",G739+10)</f>
        <v>7360</v>
      </c>
      <c r="H740" s="2104"/>
    </row>
    <row r="741" spans="1:8" ht="15.5" x14ac:dyDescent="0.35">
      <c r="A741" s="625"/>
      <c r="B741" s="626" t="s">
        <v>430</v>
      </c>
      <c r="C741" s="2101">
        <f>IF(C740="","",C740+10)</f>
        <v>7355</v>
      </c>
      <c r="D741" s="2102"/>
      <c r="E741" s="627"/>
      <c r="F741" s="628" t="s">
        <v>431</v>
      </c>
      <c r="G741" s="2103">
        <f>IF(G740="","",G740+10)</f>
        <v>7370</v>
      </c>
      <c r="H741" s="2104"/>
    </row>
    <row r="742" spans="1:8" ht="15.5" x14ac:dyDescent="0.35">
      <c r="A742" s="625">
        <f>A739+30</f>
        <v>7365</v>
      </c>
      <c r="B742" s="626" t="s">
        <v>430</v>
      </c>
      <c r="C742" s="2101">
        <f>IF(A742="","",A742)</f>
        <v>7365</v>
      </c>
      <c r="D742" s="2102"/>
      <c r="E742" s="627">
        <f>E739+30</f>
        <v>7380</v>
      </c>
      <c r="F742" s="628" t="s">
        <v>431</v>
      </c>
      <c r="G742" s="2103">
        <f>IF(E742="","",E742)</f>
        <v>7380</v>
      </c>
      <c r="H742" s="2104"/>
    </row>
    <row r="743" spans="1:8" ht="15.5" x14ac:dyDescent="0.35">
      <c r="A743" s="625"/>
      <c r="B743" s="626" t="s">
        <v>430</v>
      </c>
      <c r="C743" s="2101">
        <f>IF(C742="","",C742+10)</f>
        <v>7375</v>
      </c>
      <c r="D743" s="2102"/>
      <c r="E743" s="627"/>
      <c r="F743" s="628" t="s">
        <v>431</v>
      </c>
      <c r="G743" s="2103">
        <f>IF(G742="","",G742+10)</f>
        <v>7390</v>
      </c>
      <c r="H743" s="2104"/>
    </row>
    <row r="744" spans="1:8" ht="15.5" x14ac:dyDescent="0.35">
      <c r="A744" s="625"/>
      <c r="B744" s="626" t="s">
        <v>430</v>
      </c>
      <c r="C744" s="2101">
        <f>IF(C743="","",C743+10)</f>
        <v>7385</v>
      </c>
      <c r="D744" s="2102"/>
      <c r="E744" s="627"/>
      <c r="F744" s="628" t="s">
        <v>431</v>
      </c>
      <c r="G744" s="2103">
        <f>IF(G743="","",G743+10)</f>
        <v>7400</v>
      </c>
      <c r="H744" s="2104"/>
    </row>
    <row r="745" spans="1:8" ht="15.5" x14ac:dyDescent="0.35">
      <c r="A745" s="625">
        <f>A742+30</f>
        <v>7395</v>
      </c>
      <c r="B745" s="626" t="s">
        <v>430</v>
      </c>
      <c r="C745" s="2101">
        <f>IF(A745="","",A745)</f>
        <v>7395</v>
      </c>
      <c r="D745" s="2102"/>
      <c r="E745" s="627">
        <f>E742+30</f>
        <v>7410</v>
      </c>
      <c r="F745" s="628" t="s">
        <v>431</v>
      </c>
      <c r="G745" s="2103">
        <f>IF(E745="","",E745)</f>
        <v>7410</v>
      </c>
      <c r="H745" s="2104"/>
    </row>
    <row r="746" spans="1:8" ht="15.5" x14ac:dyDescent="0.35">
      <c r="A746" s="625"/>
      <c r="B746" s="626" t="s">
        <v>430</v>
      </c>
      <c r="C746" s="2101">
        <f>IF(C745="","",C745+10)</f>
        <v>7405</v>
      </c>
      <c r="D746" s="2102"/>
      <c r="E746" s="627"/>
      <c r="F746" s="628" t="s">
        <v>431</v>
      </c>
      <c r="G746" s="2103">
        <f>IF(G745="","",G745+10)</f>
        <v>7420</v>
      </c>
      <c r="H746" s="2104"/>
    </row>
    <row r="747" spans="1:8" ht="15.5" x14ac:dyDescent="0.35">
      <c r="A747" s="625"/>
      <c r="B747" s="626" t="s">
        <v>430</v>
      </c>
      <c r="C747" s="2101">
        <f>IF(C746="","",C746+10)</f>
        <v>7415</v>
      </c>
      <c r="D747" s="2102"/>
      <c r="E747" s="627"/>
      <c r="F747" s="628" t="s">
        <v>431</v>
      </c>
      <c r="G747" s="2103">
        <f>IF(G746="","",G746+10)</f>
        <v>7430</v>
      </c>
      <c r="H747" s="2104"/>
    </row>
    <row r="748" spans="1:8" ht="15.5" x14ac:dyDescent="0.35">
      <c r="A748" s="625">
        <f>A745+30</f>
        <v>7425</v>
      </c>
      <c r="B748" s="626" t="s">
        <v>430</v>
      </c>
      <c r="C748" s="2101">
        <f>IF(A748="","",A748)</f>
        <v>7425</v>
      </c>
      <c r="D748" s="2102"/>
      <c r="E748" s="627">
        <f>E745+30</f>
        <v>7440</v>
      </c>
      <c r="F748" s="628" t="s">
        <v>431</v>
      </c>
      <c r="G748" s="2103">
        <f>IF(E748="","",E748)</f>
        <v>7440</v>
      </c>
      <c r="H748" s="2104"/>
    </row>
    <row r="749" spans="1:8" ht="15.5" x14ac:dyDescent="0.35">
      <c r="A749" s="625"/>
      <c r="B749" s="626" t="s">
        <v>430</v>
      </c>
      <c r="C749" s="2101">
        <f>IF(C748="","",C748+10)</f>
        <v>7435</v>
      </c>
      <c r="D749" s="2102"/>
      <c r="E749" s="627"/>
      <c r="F749" s="628" t="s">
        <v>431</v>
      </c>
      <c r="G749" s="2103">
        <f>IF(G748="","",G748+10)</f>
        <v>7450</v>
      </c>
      <c r="H749" s="2104"/>
    </row>
    <row r="750" spans="1:8" ht="15.5" x14ac:dyDescent="0.35">
      <c r="A750" s="625"/>
      <c r="B750" s="626" t="s">
        <v>430</v>
      </c>
      <c r="C750" s="2101">
        <f>IF(C749="","",C749+10)</f>
        <v>7445</v>
      </c>
      <c r="D750" s="2102"/>
      <c r="E750" s="627"/>
      <c r="F750" s="628" t="s">
        <v>431</v>
      </c>
      <c r="G750" s="2103">
        <f>IF(G749="","",G749+10)</f>
        <v>7460</v>
      </c>
      <c r="H750" s="2104"/>
    </row>
    <row r="751" spans="1:8" ht="15.5" x14ac:dyDescent="0.35">
      <c r="A751" s="625">
        <f>A748+30</f>
        <v>7455</v>
      </c>
      <c r="B751" s="626" t="s">
        <v>430</v>
      </c>
      <c r="C751" s="2101">
        <f>IF(A751="","",A751)</f>
        <v>7455</v>
      </c>
      <c r="D751" s="2102"/>
      <c r="E751" s="627">
        <f>E748+30</f>
        <v>7470</v>
      </c>
      <c r="F751" s="628" t="s">
        <v>431</v>
      </c>
      <c r="G751" s="2103">
        <f>IF(E751="","",E751)</f>
        <v>7470</v>
      </c>
      <c r="H751" s="2104"/>
    </row>
    <row r="752" spans="1:8" ht="15.5" x14ac:dyDescent="0.35">
      <c r="A752" s="625"/>
      <c r="B752" s="626" t="s">
        <v>430</v>
      </c>
      <c r="C752" s="2101">
        <f>IF(C751="","",C751+10)</f>
        <v>7465</v>
      </c>
      <c r="D752" s="2102"/>
      <c r="E752" s="627"/>
      <c r="F752" s="628" t="s">
        <v>431</v>
      </c>
      <c r="G752" s="2103">
        <f>IF(G751="","",G751+10)</f>
        <v>7480</v>
      </c>
      <c r="H752" s="2104"/>
    </row>
    <row r="753" spans="1:8" ht="15.5" x14ac:dyDescent="0.35">
      <c r="A753" s="625"/>
      <c r="B753" s="626" t="s">
        <v>430</v>
      </c>
      <c r="C753" s="2101">
        <f>IF(C752="","",C752+10)</f>
        <v>7475</v>
      </c>
      <c r="D753" s="2102"/>
      <c r="E753" s="627"/>
      <c r="F753" s="628" t="s">
        <v>431</v>
      </c>
      <c r="G753" s="2103">
        <f>IF(G752="","",G752+10)</f>
        <v>7490</v>
      </c>
      <c r="H753" s="2104"/>
    </row>
    <row r="754" spans="1:8" ht="15.5" x14ac:dyDescent="0.35">
      <c r="A754" s="625">
        <f>A751+30</f>
        <v>7485</v>
      </c>
      <c r="B754" s="626" t="s">
        <v>430</v>
      </c>
      <c r="C754" s="2101">
        <f>IF(A754="","",A754)</f>
        <v>7485</v>
      </c>
      <c r="D754" s="2102"/>
      <c r="E754" s="627">
        <f>E751+30</f>
        <v>7500</v>
      </c>
      <c r="F754" s="628" t="s">
        <v>431</v>
      </c>
      <c r="G754" s="2103">
        <f>IF(E754="","",E754)</f>
        <v>7500</v>
      </c>
      <c r="H754" s="2104"/>
    </row>
    <row r="755" spans="1:8" ht="15.5" x14ac:dyDescent="0.35">
      <c r="A755" s="625"/>
      <c r="B755" s="626" t="s">
        <v>430</v>
      </c>
      <c r="C755" s="2101">
        <f>IF(C754="","",C754+10)</f>
        <v>7495</v>
      </c>
      <c r="D755" s="2102"/>
      <c r="E755" s="627"/>
      <c r="F755" s="628" t="s">
        <v>431</v>
      </c>
      <c r="G755" s="2103">
        <f>IF(G754="","",G754+10)</f>
        <v>7510</v>
      </c>
      <c r="H755" s="2104"/>
    </row>
    <row r="756" spans="1:8" ht="15.5" x14ac:dyDescent="0.35">
      <c r="A756" s="625"/>
      <c r="B756" s="626" t="s">
        <v>430</v>
      </c>
      <c r="C756" s="2101">
        <f>IF(C755="","",C755+10)</f>
        <v>7505</v>
      </c>
      <c r="D756" s="2102"/>
      <c r="E756" s="627"/>
      <c r="F756" s="628" t="s">
        <v>431</v>
      </c>
      <c r="G756" s="2103">
        <f>IF(G755="","",G755+10)</f>
        <v>7520</v>
      </c>
      <c r="H756" s="2104"/>
    </row>
    <row r="757" spans="1:8" ht="15.5" x14ac:dyDescent="0.35">
      <c r="A757" s="625">
        <f>A754+30</f>
        <v>7515</v>
      </c>
      <c r="B757" s="626" t="s">
        <v>430</v>
      </c>
      <c r="C757" s="2101">
        <f>IF(A757="","",A757)</f>
        <v>7515</v>
      </c>
      <c r="D757" s="2102"/>
      <c r="E757" s="627">
        <f>E754+30</f>
        <v>7530</v>
      </c>
      <c r="F757" s="628" t="s">
        <v>431</v>
      </c>
      <c r="G757" s="2103">
        <f>IF(E757="","",E757)</f>
        <v>7530</v>
      </c>
      <c r="H757" s="2104"/>
    </row>
    <row r="758" spans="1:8" ht="15.5" x14ac:dyDescent="0.35">
      <c r="A758" s="625"/>
      <c r="B758" s="626" t="s">
        <v>430</v>
      </c>
      <c r="C758" s="2101">
        <f>IF(C757="","",C757+10)</f>
        <v>7525</v>
      </c>
      <c r="D758" s="2102"/>
      <c r="E758" s="627"/>
      <c r="F758" s="628" t="s">
        <v>431</v>
      </c>
      <c r="G758" s="2103">
        <f>IF(G757="","",G757+10)</f>
        <v>7540</v>
      </c>
      <c r="H758" s="2104"/>
    </row>
    <row r="759" spans="1:8" ht="15.5" x14ac:dyDescent="0.35">
      <c r="A759" s="625"/>
      <c r="B759" s="626" t="s">
        <v>430</v>
      </c>
      <c r="C759" s="2101">
        <f>IF(C758="","",C758+10)</f>
        <v>7535</v>
      </c>
      <c r="D759" s="2102"/>
      <c r="E759" s="627"/>
      <c r="F759" s="628" t="s">
        <v>431</v>
      </c>
      <c r="G759" s="2103">
        <f>IF(G758="","",G758+10)</f>
        <v>7550</v>
      </c>
      <c r="H759" s="2104"/>
    </row>
    <row r="760" spans="1:8" ht="15.5" x14ac:dyDescent="0.35">
      <c r="A760" s="625">
        <f>A757+30</f>
        <v>7545</v>
      </c>
      <c r="B760" s="626" t="s">
        <v>430</v>
      </c>
      <c r="C760" s="2101">
        <f>IF(A760="","",A760)</f>
        <v>7545</v>
      </c>
      <c r="D760" s="2102"/>
      <c r="E760" s="627">
        <f>E757+30</f>
        <v>7560</v>
      </c>
      <c r="F760" s="628" t="s">
        <v>431</v>
      </c>
      <c r="G760" s="2103">
        <f>IF(E760="","",E760)</f>
        <v>7560</v>
      </c>
      <c r="H760" s="2104"/>
    </row>
    <row r="761" spans="1:8" ht="15.5" x14ac:dyDescent="0.35">
      <c r="A761" s="625"/>
      <c r="B761" s="626" t="s">
        <v>430</v>
      </c>
      <c r="C761" s="2101">
        <f>IF(C760="","",C760+10)</f>
        <v>7555</v>
      </c>
      <c r="D761" s="2102"/>
      <c r="E761" s="627"/>
      <c r="F761" s="628" t="s">
        <v>431</v>
      </c>
      <c r="G761" s="2103">
        <f>IF(G760="","",G760+10)</f>
        <v>7570</v>
      </c>
      <c r="H761" s="2104"/>
    </row>
    <row r="762" spans="1:8" ht="15.5" x14ac:dyDescent="0.35">
      <c r="A762" s="625"/>
      <c r="B762" s="626" t="s">
        <v>430</v>
      </c>
      <c r="C762" s="2101">
        <f>IF(C761="","",C761+10)</f>
        <v>7565</v>
      </c>
      <c r="D762" s="2102"/>
      <c r="E762" s="627"/>
      <c r="F762" s="628" t="s">
        <v>431</v>
      </c>
      <c r="G762" s="2103">
        <f>IF(G761="","",G761+10)</f>
        <v>7580</v>
      </c>
      <c r="H762" s="2104"/>
    </row>
    <row r="763" spans="1:8" ht="15.5" x14ac:dyDescent="0.35">
      <c r="A763" s="625">
        <f>A760+30</f>
        <v>7575</v>
      </c>
      <c r="B763" s="626" t="s">
        <v>430</v>
      </c>
      <c r="C763" s="2101">
        <f>IF(A763="","",A763)</f>
        <v>7575</v>
      </c>
      <c r="D763" s="2102"/>
      <c r="E763" s="627">
        <f>E760+30</f>
        <v>7590</v>
      </c>
      <c r="F763" s="628" t="s">
        <v>431</v>
      </c>
      <c r="G763" s="2103">
        <f>IF(E763="","",E763)</f>
        <v>7590</v>
      </c>
      <c r="H763" s="2104"/>
    </row>
    <row r="764" spans="1:8" ht="15.5" x14ac:dyDescent="0.35">
      <c r="A764" s="625"/>
      <c r="B764" s="626" t="s">
        <v>430</v>
      </c>
      <c r="C764" s="2101">
        <f>IF(C763="","",C763+10)</f>
        <v>7585</v>
      </c>
      <c r="D764" s="2102"/>
      <c r="E764" s="627"/>
      <c r="F764" s="628" t="s">
        <v>431</v>
      </c>
      <c r="G764" s="2103">
        <f>IF(G763="","",G763+10)</f>
        <v>7600</v>
      </c>
      <c r="H764" s="2104"/>
    </row>
    <row r="765" spans="1:8" ht="15.5" x14ac:dyDescent="0.35">
      <c r="A765" s="625"/>
      <c r="B765" s="626" t="s">
        <v>430</v>
      </c>
      <c r="C765" s="2101">
        <f>IF(C764="","",C764+10)</f>
        <v>7595</v>
      </c>
      <c r="D765" s="2102"/>
      <c r="E765" s="627"/>
      <c r="F765" s="628" t="s">
        <v>431</v>
      </c>
      <c r="G765" s="2103">
        <f>IF(G764="","",G764+10)</f>
        <v>7610</v>
      </c>
      <c r="H765" s="2104"/>
    </row>
    <row r="766" spans="1:8" ht="15.5" x14ac:dyDescent="0.35">
      <c r="A766" s="625">
        <f>A763+30</f>
        <v>7605</v>
      </c>
      <c r="B766" s="626" t="s">
        <v>430</v>
      </c>
      <c r="C766" s="2101">
        <f>IF(A766="","",A766)</f>
        <v>7605</v>
      </c>
      <c r="D766" s="2102"/>
      <c r="E766" s="627">
        <f>E763+30</f>
        <v>7620</v>
      </c>
      <c r="F766" s="628" t="s">
        <v>431</v>
      </c>
      <c r="G766" s="2103">
        <f>IF(E766="","",E766)</f>
        <v>7620</v>
      </c>
      <c r="H766" s="2104"/>
    </row>
    <row r="767" spans="1:8" ht="15.5" x14ac:dyDescent="0.35">
      <c r="A767" s="625"/>
      <c r="B767" s="626" t="s">
        <v>430</v>
      </c>
      <c r="C767" s="2101">
        <f>IF(C766="","",C766+10)</f>
        <v>7615</v>
      </c>
      <c r="D767" s="2102"/>
      <c r="E767" s="627"/>
      <c r="F767" s="628" t="s">
        <v>431</v>
      </c>
      <c r="G767" s="2103">
        <f>IF(G766="","",G766+10)</f>
        <v>7630</v>
      </c>
      <c r="H767" s="2104"/>
    </row>
    <row r="768" spans="1:8" ht="15.5" x14ac:dyDescent="0.35">
      <c r="A768" s="625"/>
      <c r="B768" s="626" t="s">
        <v>430</v>
      </c>
      <c r="C768" s="2101">
        <f>IF(C767="","",C767+10)</f>
        <v>7625</v>
      </c>
      <c r="D768" s="2102"/>
      <c r="E768" s="627"/>
      <c r="F768" s="628" t="s">
        <v>431</v>
      </c>
      <c r="G768" s="2103">
        <f>IF(G767="","",G767+10)</f>
        <v>7640</v>
      </c>
      <c r="H768" s="2104"/>
    </row>
    <row r="769" spans="1:8" ht="15.5" x14ac:dyDescent="0.35">
      <c r="A769" s="625">
        <f>A766+30</f>
        <v>7635</v>
      </c>
      <c r="B769" s="626" t="s">
        <v>430</v>
      </c>
      <c r="C769" s="2101">
        <f>IF(A769="","",A769)</f>
        <v>7635</v>
      </c>
      <c r="D769" s="2102"/>
      <c r="E769" s="627">
        <f>E766+30</f>
        <v>7650</v>
      </c>
      <c r="F769" s="628" t="s">
        <v>431</v>
      </c>
      <c r="G769" s="2103">
        <f>IF(E769="","",E769)</f>
        <v>7650</v>
      </c>
      <c r="H769" s="2104"/>
    </row>
    <row r="770" spans="1:8" ht="15.5" x14ac:dyDescent="0.35">
      <c r="A770" s="625"/>
      <c r="B770" s="626" t="s">
        <v>430</v>
      </c>
      <c r="C770" s="2101">
        <f>IF(C769="","",C769+10)</f>
        <v>7645</v>
      </c>
      <c r="D770" s="2102"/>
      <c r="E770" s="627"/>
      <c r="F770" s="628" t="s">
        <v>431</v>
      </c>
      <c r="G770" s="2103">
        <f>IF(G769="","",G769+10)</f>
        <v>7660</v>
      </c>
      <c r="H770" s="2104"/>
    </row>
    <row r="771" spans="1:8" ht="15.5" x14ac:dyDescent="0.35">
      <c r="A771" s="625"/>
      <c r="B771" s="626" t="s">
        <v>430</v>
      </c>
      <c r="C771" s="2101">
        <f>IF(C770="","",C770+10)</f>
        <v>7655</v>
      </c>
      <c r="D771" s="2102"/>
      <c r="E771" s="627"/>
      <c r="F771" s="628" t="s">
        <v>431</v>
      </c>
      <c r="G771" s="2103">
        <f>IF(G770="","",G770+10)</f>
        <v>7670</v>
      </c>
      <c r="H771" s="2104"/>
    </row>
    <row r="772" spans="1:8" ht="15.5" x14ac:dyDescent="0.35">
      <c r="A772" s="625">
        <f>A769+30</f>
        <v>7665</v>
      </c>
      <c r="B772" s="626" t="s">
        <v>430</v>
      </c>
      <c r="C772" s="2101">
        <f>IF(A772="","",A772)</f>
        <v>7665</v>
      </c>
      <c r="D772" s="2102"/>
      <c r="E772" s="627">
        <f>E769+30</f>
        <v>7680</v>
      </c>
      <c r="F772" s="628" t="s">
        <v>431</v>
      </c>
      <c r="G772" s="2103">
        <f>IF(E772="","",E772)</f>
        <v>7680</v>
      </c>
      <c r="H772" s="2104"/>
    </row>
    <row r="773" spans="1:8" ht="15.5" x14ac:dyDescent="0.35">
      <c r="A773" s="625"/>
      <c r="B773" s="626" t="s">
        <v>430</v>
      </c>
      <c r="C773" s="2101">
        <f>IF(C772="","",C772+10)</f>
        <v>7675</v>
      </c>
      <c r="D773" s="2102"/>
      <c r="E773" s="627"/>
      <c r="F773" s="628" t="s">
        <v>431</v>
      </c>
      <c r="G773" s="2103">
        <f>IF(G772="","",G772+10)</f>
        <v>7690</v>
      </c>
      <c r="H773" s="2104"/>
    </row>
    <row r="774" spans="1:8" ht="15.5" x14ac:dyDescent="0.35">
      <c r="A774" s="625"/>
      <c r="B774" s="626" t="s">
        <v>430</v>
      </c>
      <c r="C774" s="2101">
        <f>IF(C773="","",C773+10)</f>
        <v>7685</v>
      </c>
      <c r="D774" s="2102"/>
      <c r="E774" s="627"/>
      <c r="F774" s="628" t="s">
        <v>431</v>
      </c>
      <c r="G774" s="2103">
        <f>IF(G773="","",G773+10)</f>
        <v>7700</v>
      </c>
      <c r="H774" s="2104"/>
    </row>
    <row r="775" spans="1:8" ht="15.5" x14ac:dyDescent="0.35">
      <c r="A775" s="625">
        <f>A772+30</f>
        <v>7695</v>
      </c>
      <c r="B775" s="626" t="s">
        <v>430</v>
      </c>
      <c r="C775" s="2101">
        <f>IF(A775="","",A775)</f>
        <v>7695</v>
      </c>
      <c r="D775" s="2102"/>
      <c r="E775" s="627">
        <f>E772+30</f>
        <v>7710</v>
      </c>
      <c r="F775" s="628" t="s">
        <v>431</v>
      </c>
      <c r="G775" s="2103">
        <f>IF(E775="","",E775)</f>
        <v>7710</v>
      </c>
      <c r="H775" s="2104"/>
    </row>
    <row r="776" spans="1:8" ht="15.5" x14ac:dyDescent="0.35">
      <c r="A776" s="625"/>
      <c r="B776" s="626" t="s">
        <v>430</v>
      </c>
      <c r="C776" s="2101">
        <f>IF(C775="","",C775+10)</f>
        <v>7705</v>
      </c>
      <c r="D776" s="2102"/>
      <c r="E776" s="627"/>
      <c r="F776" s="628" t="s">
        <v>431</v>
      </c>
      <c r="G776" s="2103">
        <f>IF(G775="","",G775+10)</f>
        <v>7720</v>
      </c>
      <c r="H776" s="2104"/>
    </row>
    <row r="777" spans="1:8" ht="15.5" x14ac:dyDescent="0.35">
      <c r="A777" s="625"/>
      <c r="B777" s="626" t="s">
        <v>430</v>
      </c>
      <c r="C777" s="2101">
        <f>IF(C776="","",C776+10)</f>
        <v>7715</v>
      </c>
      <c r="D777" s="2102"/>
      <c r="E777" s="627"/>
      <c r="F777" s="628" t="s">
        <v>431</v>
      </c>
      <c r="G777" s="2103">
        <f>IF(G776="","",G776+10)</f>
        <v>7730</v>
      </c>
      <c r="H777" s="2104"/>
    </row>
    <row r="778" spans="1:8" ht="15.5" x14ac:dyDescent="0.35">
      <c r="A778" s="625">
        <f>A775+30</f>
        <v>7725</v>
      </c>
      <c r="B778" s="626" t="s">
        <v>430</v>
      </c>
      <c r="C778" s="2101">
        <f>IF(A778="","",A778)</f>
        <v>7725</v>
      </c>
      <c r="D778" s="2102"/>
      <c r="E778" s="627">
        <f>E775+30</f>
        <v>7740</v>
      </c>
      <c r="F778" s="628" t="s">
        <v>431</v>
      </c>
      <c r="G778" s="2103">
        <f>IF(E778="","",E778)</f>
        <v>7740</v>
      </c>
      <c r="H778" s="2104"/>
    </row>
    <row r="779" spans="1:8" ht="15.5" x14ac:dyDescent="0.35">
      <c r="A779" s="625"/>
      <c r="B779" s="626" t="s">
        <v>430</v>
      </c>
      <c r="C779" s="2101">
        <f>IF(C778="","",C778+10)</f>
        <v>7735</v>
      </c>
      <c r="D779" s="2102"/>
      <c r="E779" s="627"/>
      <c r="F779" s="628" t="s">
        <v>431</v>
      </c>
      <c r="G779" s="2103">
        <f>IF(G778="","",G778+10)</f>
        <v>7750</v>
      </c>
      <c r="H779" s="2104"/>
    </row>
    <row r="780" spans="1:8" ht="15.5" x14ac:dyDescent="0.35">
      <c r="A780" s="625"/>
      <c r="B780" s="626" t="s">
        <v>430</v>
      </c>
      <c r="C780" s="2101">
        <f>IF(C779="","",C779+10)</f>
        <v>7745</v>
      </c>
      <c r="D780" s="2102"/>
      <c r="E780" s="627"/>
      <c r="F780" s="628" t="s">
        <v>431</v>
      </c>
      <c r="G780" s="2103">
        <f>IF(G779="","",G779+10)</f>
        <v>7760</v>
      </c>
      <c r="H780" s="2104"/>
    </row>
    <row r="781" spans="1:8" ht="15.5" x14ac:dyDescent="0.35">
      <c r="A781" s="625">
        <f>A778+30</f>
        <v>7755</v>
      </c>
      <c r="B781" s="626" t="s">
        <v>430</v>
      </c>
      <c r="C781" s="2101">
        <f>IF(A781="","",A781)</f>
        <v>7755</v>
      </c>
      <c r="D781" s="2102"/>
      <c r="E781" s="627">
        <f>E778+30</f>
        <v>7770</v>
      </c>
      <c r="F781" s="628" t="s">
        <v>431</v>
      </c>
      <c r="G781" s="2103">
        <f>IF(E781="","",E781)</f>
        <v>7770</v>
      </c>
      <c r="H781" s="2104"/>
    </row>
    <row r="782" spans="1:8" ht="15.5" x14ac:dyDescent="0.35">
      <c r="A782" s="625"/>
      <c r="B782" s="626" t="s">
        <v>430</v>
      </c>
      <c r="C782" s="2101">
        <f>IF(C781="","",C781+10)</f>
        <v>7765</v>
      </c>
      <c r="D782" s="2102"/>
      <c r="E782" s="627"/>
      <c r="F782" s="628" t="s">
        <v>431</v>
      </c>
      <c r="G782" s="2103">
        <f>IF(G781="","",G781+10)</f>
        <v>7780</v>
      </c>
      <c r="H782" s="2104"/>
    </row>
    <row r="783" spans="1:8" ht="15.5" x14ac:dyDescent="0.35">
      <c r="A783" s="625"/>
      <c r="B783" s="626" t="s">
        <v>430</v>
      </c>
      <c r="C783" s="2101">
        <f>IF(C782="","",C782+10)</f>
        <v>7775</v>
      </c>
      <c r="D783" s="2102"/>
      <c r="E783" s="627"/>
      <c r="F783" s="628" t="s">
        <v>431</v>
      </c>
      <c r="G783" s="2103">
        <f>IF(G782="","",G782+10)</f>
        <v>7790</v>
      </c>
      <c r="H783" s="2104"/>
    </row>
    <row r="784" spans="1:8" ht="15.5" x14ac:dyDescent="0.35">
      <c r="A784" s="625">
        <f>A781+30</f>
        <v>7785</v>
      </c>
      <c r="B784" s="626" t="s">
        <v>430</v>
      </c>
      <c r="C784" s="2101">
        <f>IF(A784="","",A784)</f>
        <v>7785</v>
      </c>
      <c r="D784" s="2102"/>
      <c r="E784" s="627">
        <f>E781+30</f>
        <v>7800</v>
      </c>
      <c r="F784" s="628" t="s">
        <v>431</v>
      </c>
      <c r="G784" s="2103">
        <f>IF(E784="","",E784)</f>
        <v>7800</v>
      </c>
      <c r="H784" s="2104"/>
    </row>
    <row r="785" spans="1:8" ht="15.5" x14ac:dyDescent="0.35">
      <c r="A785" s="625"/>
      <c r="B785" s="626" t="s">
        <v>430</v>
      </c>
      <c r="C785" s="2101">
        <f>IF(C784="","",C784+10)</f>
        <v>7795</v>
      </c>
      <c r="D785" s="2102"/>
      <c r="E785" s="627"/>
      <c r="F785" s="628" t="s">
        <v>431</v>
      </c>
      <c r="G785" s="2103">
        <f>IF(G784="","",G784+10)</f>
        <v>7810</v>
      </c>
      <c r="H785" s="2104"/>
    </row>
    <row r="786" spans="1:8" ht="15.5" x14ac:dyDescent="0.35">
      <c r="A786" s="625"/>
      <c r="B786" s="626" t="s">
        <v>430</v>
      </c>
      <c r="C786" s="2101">
        <f>IF(C785="","",C785+10)</f>
        <v>7805</v>
      </c>
      <c r="D786" s="2102"/>
      <c r="E786" s="627"/>
      <c r="F786" s="628" t="s">
        <v>431</v>
      </c>
      <c r="G786" s="2103">
        <f>IF(G785="","",G785+10)</f>
        <v>7820</v>
      </c>
      <c r="H786" s="2104"/>
    </row>
    <row r="787" spans="1:8" ht="15.5" x14ac:dyDescent="0.35">
      <c r="A787" s="625">
        <f>A784+30</f>
        <v>7815</v>
      </c>
      <c r="B787" s="626" t="s">
        <v>430</v>
      </c>
      <c r="C787" s="2101">
        <f>IF(A787="","",A787)</f>
        <v>7815</v>
      </c>
      <c r="D787" s="2102"/>
      <c r="E787" s="627">
        <f>E784+30</f>
        <v>7830</v>
      </c>
      <c r="F787" s="628" t="s">
        <v>431</v>
      </c>
      <c r="G787" s="2103">
        <f>IF(E787="","",E787)</f>
        <v>7830</v>
      </c>
      <c r="H787" s="2104"/>
    </row>
    <row r="788" spans="1:8" ht="15.5" x14ac:dyDescent="0.35">
      <c r="A788" s="625"/>
      <c r="B788" s="626" t="s">
        <v>430</v>
      </c>
      <c r="C788" s="2101">
        <f>IF(C787="","",C787+10)</f>
        <v>7825</v>
      </c>
      <c r="D788" s="2102"/>
      <c r="E788" s="627"/>
      <c r="F788" s="628" t="s">
        <v>431</v>
      </c>
      <c r="G788" s="2103">
        <f>IF(G787="","",G787+10)</f>
        <v>7840</v>
      </c>
      <c r="H788" s="2104"/>
    </row>
    <row r="789" spans="1:8" ht="15.5" x14ac:dyDescent="0.35">
      <c r="A789" s="625"/>
      <c r="B789" s="626" t="s">
        <v>430</v>
      </c>
      <c r="C789" s="2101">
        <f>IF(C788="","",C788+10)</f>
        <v>7835</v>
      </c>
      <c r="D789" s="2102"/>
      <c r="E789" s="627"/>
      <c r="F789" s="628" t="s">
        <v>431</v>
      </c>
      <c r="G789" s="2103">
        <f>IF(G788="","",G788+10)</f>
        <v>7850</v>
      </c>
      <c r="H789" s="2104"/>
    </row>
    <row r="790" spans="1:8" ht="15.5" x14ac:dyDescent="0.35">
      <c r="A790" s="625">
        <f>A787+30</f>
        <v>7845</v>
      </c>
      <c r="B790" s="626" t="s">
        <v>430</v>
      </c>
      <c r="C790" s="2101">
        <f>IF(A790="","",A790)</f>
        <v>7845</v>
      </c>
      <c r="D790" s="2102"/>
      <c r="E790" s="627">
        <f>E787+30</f>
        <v>7860</v>
      </c>
      <c r="F790" s="628" t="s">
        <v>431</v>
      </c>
      <c r="G790" s="2103">
        <f>IF(E790="","",E790)</f>
        <v>7860</v>
      </c>
      <c r="H790" s="2104"/>
    </row>
    <row r="791" spans="1:8" ht="15.5" x14ac:dyDescent="0.35">
      <c r="A791" s="625"/>
      <c r="B791" s="626" t="s">
        <v>430</v>
      </c>
      <c r="C791" s="2101">
        <f>IF(C790="","",C790+10)</f>
        <v>7855</v>
      </c>
      <c r="D791" s="2102"/>
      <c r="E791" s="627"/>
      <c r="F791" s="628" t="s">
        <v>431</v>
      </c>
      <c r="G791" s="2103">
        <f>IF(G790="","",G790+10)</f>
        <v>7870</v>
      </c>
      <c r="H791" s="2104"/>
    </row>
    <row r="792" spans="1:8" ht="15.5" x14ac:dyDescent="0.35">
      <c r="A792" s="625"/>
      <c r="B792" s="626" t="s">
        <v>430</v>
      </c>
      <c r="C792" s="2101">
        <f>IF(C791="","",C791+10)</f>
        <v>7865</v>
      </c>
      <c r="D792" s="2102"/>
      <c r="E792" s="627"/>
      <c r="F792" s="628" t="s">
        <v>431</v>
      </c>
      <c r="G792" s="2103">
        <f>IF(G791="","",G791+10)</f>
        <v>7880</v>
      </c>
      <c r="H792" s="2104"/>
    </row>
    <row r="793" spans="1:8" ht="15.5" x14ac:dyDescent="0.35">
      <c r="A793" s="625">
        <f>A790+30</f>
        <v>7875</v>
      </c>
      <c r="B793" s="626" t="s">
        <v>430</v>
      </c>
      <c r="C793" s="2101">
        <f>IF(A793="","",A793)</f>
        <v>7875</v>
      </c>
      <c r="D793" s="2102"/>
      <c r="E793" s="627">
        <f>E790+30</f>
        <v>7890</v>
      </c>
      <c r="F793" s="628" t="s">
        <v>431</v>
      </c>
      <c r="G793" s="2103">
        <f>IF(E793="","",E793)</f>
        <v>7890</v>
      </c>
      <c r="H793" s="2104"/>
    </row>
    <row r="794" spans="1:8" ht="15.5" x14ac:dyDescent="0.35">
      <c r="A794" s="625"/>
      <c r="B794" s="626" t="s">
        <v>430</v>
      </c>
      <c r="C794" s="2101">
        <f>IF(C793="","",C793+10)</f>
        <v>7885</v>
      </c>
      <c r="D794" s="2102"/>
      <c r="E794" s="627"/>
      <c r="F794" s="628" t="s">
        <v>431</v>
      </c>
      <c r="G794" s="2103">
        <f>IF(G793="","",G793+10)</f>
        <v>7900</v>
      </c>
      <c r="H794" s="2104"/>
    </row>
    <row r="795" spans="1:8" ht="15.5" x14ac:dyDescent="0.35">
      <c r="A795" s="625"/>
      <c r="B795" s="626" t="s">
        <v>430</v>
      </c>
      <c r="C795" s="2101">
        <f>IF(C794="","",C794+10)</f>
        <v>7895</v>
      </c>
      <c r="D795" s="2102"/>
      <c r="E795" s="627"/>
      <c r="F795" s="628" t="s">
        <v>431</v>
      </c>
      <c r="G795" s="2103">
        <f>IF(G794="","",G794+10)</f>
        <v>7910</v>
      </c>
      <c r="H795" s="2104"/>
    </row>
    <row r="796" spans="1:8" ht="15.5" x14ac:dyDescent="0.35">
      <c r="A796" s="625">
        <f>A793+30</f>
        <v>7905</v>
      </c>
      <c r="B796" s="626" t="s">
        <v>430</v>
      </c>
      <c r="C796" s="2101">
        <f>IF(A796="","",A796)</f>
        <v>7905</v>
      </c>
      <c r="D796" s="2102"/>
      <c r="E796" s="627">
        <f>E793+30</f>
        <v>7920</v>
      </c>
      <c r="F796" s="628" t="s">
        <v>431</v>
      </c>
      <c r="G796" s="2103">
        <f>IF(E796="","",E796)</f>
        <v>7920</v>
      </c>
      <c r="H796" s="2104"/>
    </row>
    <row r="797" spans="1:8" ht="15.5" x14ac:dyDescent="0.35">
      <c r="A797" s="625"/>
      <c r="B797" s="626" t="s">
        <v>430</v>
      </c>
      <c r="C797" s="2101">
        <f>IF(C796="","",C796+10)</f>
        <v>7915</v>
      </c>
      <c r="D797" s="2102"/>
      <c r="E797" s="627"/>
      <c r="F797" s="628" t="s">
        <v>431</v>
      </c>
      <c r="G797" s="2103">
        <f>IF(G796="","",G796+10)</f>
        <v>7930</v>
      </c>
      <c r="H797" s="2104"/>
    </row>
    <row r="798" spans="1:8" ht="15.5" x14ac:dyDescent="0.35">
      <c r="A798" s="625"/>
      <c r="B798" s="626" t="s">
        <v>430</v>
      </c>
      <c r="C798" s="2101">
        <f>IF(C797="","",C797+10)</f>
        <v>7925</v>
      </c>
      <c r="D798" s="2102"/>
      <c r="E798" s="627"/>
      <c r="F798" s="628" t="s">
        <v>431</v>
      </c>
      <c r="G798" s="2103">
        <f>IF(G797="","",G797+10)</f>
        <v>7940</v>
      </c>
      <c r="H798" s="2104"/>
    </row>
    <row r="799" spans="1:8" ht="15.5" x14ac:dyDescent="0.35">
      <c r="A799" s="625">
        <f>A796+30</f>
        <v>7935</v>
      </c>
      <c r="B799" s="626" t="s">
        <v>430</v>
      </c>
      <c r="C799" s="2101">
        <f>IF(A799="","",A799)</f>
        <v>7935</v>
      </c>
      <c r="D799" s="2102"/>
      <c r="E799" s="627">
        <f>E796+30</f>
        <v>7950</v>
      </c>
      <c r="F799" s="628" t="s">
        <v>431</v>
      </c>
      <c r="G799" s="2103">
        <f>IF(E799="","",E799)</f>
        <v>7950</v>
      </c>
      <c r="H799" s="2104"/>
    </row>
    <row r="800" spans="1:8" ht="15.5" x14ac:dyDescent="0.35">
      <c r="A800" s="625"/>
      <c r="B800" s="626" t="s">
        <v>430</v>
      </c>
      <c r="C800" s="2101">
        <f>IF(C799="","",C799+10)</f>
        <v>7945</v>
      </c>
      <c r="D800" s="2102"/>
      <c r="E800" s="627"/>
      <c r="F800" s="628" t="s">
        <v>431</v>
      </c>
      <c r="G800" s="2103">
        <f>IF(G799="","",G799+10)</f>
        <v>7960</v>
      </c>
      <c r="H800" s="2104"/>
    </row>
    <row r="801" spans="1:8" ht="15.5" x14ac:dyDescent="0.35">
      <c r="A801" s="625"/>
      <c r="B801" s="626" t="s">
        <v>430</v>
      </c>
      <c r="C801" s="2101">
        <f>IF(C800="","",C800+10)</f>
        <v>7955</v>
      </c>
      <c r="D801" s="2102"/>
      <c r="E801" s="627"/>
      <c r="F801" s="628" t="s">
        <v>431</v>
      </c>
      <c r="G801" s="2103">
        <f>IF(G800="","",G800+10)</f>
        <v>7970</v>
      </c>
      <c r="H801" s="2104"/>
    </row>
    <row r="802" spans="1:8" ht="15.5" x14ac:dyDescent="0.35">
      <c r="A802" s="625">
        <f>A799+30</f>
        <v>7965</v>
      </c>
      <c r="B802" s="626" t="s">
        <v>430</v>
      </c>
      <c r="C802" s="2101">
        <f>IF(A802="","",A802)</f>
        <v>7965</v>
      </c>
      <c r="D802" s="2102"/>
      <c r="E802" s="627">
        <f>E799+30</f>
        <v>7980</v>
      </c>
      <c r="F802" s="628" t="s">
        <v>431</v>
      </c>
      <c r="G802" s="2103">
        <f>IF(E802="","",E802)</f>
        <v>7980</v>
      </c>
      <c r="H802" s="2104"/>
    </row>
    <row r="803" spans="1:8" ht="15.5" x14ac:dyDescent="0.35">
      <c r="A803" s="625"/>
      <c r="B803" s="626" t="s">
        <v>430</v>
      </c>
      <c r="C803" s="2101">
        <f>IF(C802="","",C802+10)</f>
        <v>7975</v>
      </c>
      <c r="D803" s="2102"/>
      <c r="E803" s="627"/>
      <c r="F803" s="628" t="s">
        <v>431</v>
      </c>
      <c r="G803" s="2103">
        <f>IF(G802="","",G802+10)</f>
        <v>7990</v>
      </c>
      <c r="H803" s="2104"/>
    </row>
    <row r="804" spans="1:8" ht="15.5" x14ac:dyDescent="0.35">
      <c r="A804" s="625"/>
      <c r="B804" s="626" t="s">
        <v>430</v>
      </c>
      <c r="C804" s="2101">
        <f>IF(C803="","",C803+10)</f>
        <v>7985</v>
      </c>
      <c r="D804" s="2102"/>
      <c r="E804" s="627"/>
      <c r="F804" s="628" t="s">
        <v>431</v>
      </c>
      <c r="G804" s="2103">
        <f>IF(G803="","",G803+10)</f>
        <v>8000</v>
      </c>
      <c r="H804" s="2104"/>
    </row>
    <row r="805" spans="1:8" ht="15.5" x14ac:dyDescent="0.35">
      <c r="A805" s="625">
        <f>A802+30</f>
        <v>7995</v>
      </c>
      <c r="B805" s="626" t="s">
        <v>430</v>
      </c>
      <c r="C805" s="2101">
        <f>IF(A805="","",A805)</f>
        <v>7995</v>
      </c>
      <c r="D805" s="2102"/>
      <c r="E805" s="627">
        <f>E802+30</f>
        <v>8010</v>
      </c>
      <c r="F805" s="628" t="s">
        <v>431</v>
      </c>
      <c r="G805" s="2103">
        <f>IF(E805="","",E805)</f>
        <v>8010</v>
      </c>
      <c r="H805" s="2104"/>
    </row>
    <row r="806" spans="1:8" ht="15.5" x14ac:dyDescent="0.35">
      <c r="A806" s="625"/>
      <c r="B806" s="626" t="s">
        <v>430</v>
      </c>
      <c r="C806" s="2101">
        <f>IF(C805="","",C805+10)</f>
        <v>8005</v>
      </c>
      <c r="D806" s="2102"/>
      <c r="E806" s="627"/>
      <c r="F806" s="628" t="s">
        <v>431</v>
      </c>
      <c r="G806" s="2103">
        <f>IF(G805="","",G805+10)</f>
        <v>8020</v>
      </c>
      <c r="H806" s="2104"/>
    </row>
    <row r="807" spans="1:8" ht="15.5" x14ac:dyDescent="0.35">
      <c r="A807" s="625"/>
      <c r="B807" s="626" t="s">
        <v>430</v>
      </c>
      <c r="C807" s="2101">
        <f>IF(C806="","",C806+10)</f>
        <v>8015</v>
      </c>
      <c r="D807" s="2102"/>
      <c r="E807" s="627"/>
      <c r="F807" s="628" t="s">
        <v>431</v>
      </c>
      <c r="G807" s="2103">
        <f>IF(G806="","",G806+10)</f>
        <v>8030</v>
      </c>
      <c r="H807" s="2104"/>
    </row>
    <row r="808" spans="1:8" ht="15.5" x14ac:dyDescent="0.35">
      <c r="A808" s="625">
        <f>A805+30</f>
        <v>8025</v>
      </c>
      <c r="B808" s="626" t="s">
        <v>430</v>
      </c>
      <c r="C808" s="2101">
        <f>IF(A808="","",A808)</f>
        <v>8025</v>
      </c>
      <c r="D808" s="2102"/>
      <c r="E808" s="627">
        <f>E805+30</f>
        <v>8040</v>
      </c>
      <c r="F808" s="628" t="s">
        <v>431</v>
      </c>
      <c r="G808" s="2103">
        <f>IF(E808="","",E808)</f>
        <v>8040</v>
      </c>
      <c r="H808" s="2104"/>
    </row>
    <row r="809" spans="1:8" ht="15.5" x14ac:dyDescent="0.35">
      <c r="A809" s="625"/>
      <c r="B809" s="626" t="s">
        <v>430</v>
      </c>
      <c r="C809" s="2101">
        <f>IF(C808="","",C808+10)</f>
        <v>8035</v>
      </c>
      <c r="D809" s="2102"/>
      <c r="E809" s="627"/>
      <c r="F809" s="628" t="s">
        <v>431</v>
      </c>
      <c r="G809" s="2103">
        <f>IF(G808="","",G808+10)</f>
        <v>8050</v>
      </c>
      <c r="H809" s="2104"/>
    </row>
    <row r="810" spans="1:8" ht="15.5" x14ac:dyDescent="0.35">
      <c r="A810" s="625"/>
      <c r="B810" s="626" t="s">
        <v>430</v>
      </c>
      <c r="C810" s="2101">
        <f>IF(C809="","",C809+10)</f>
        <v>8045</v>
      </c>
      <c r="D810" s="2102"/>
      <c r="E810" s="627"/>
      <c r="F810" s="628" t="s">
        <v>431</v>
      </c>
      <c r="G810" s="2103">
        <f>IF(G809="","",G809+10)</f>
        <v>8060</v>
      </c>
      <c r="H810" s="2104"/>
    </row>
    <row r="811" spans="1:8" ht="15.5" x14ac:dyDescent="0.35">
      <c r="A811" s="625">
        <f>A808+30</f>
        <v>8055</v>
      </c>
      <c r="B811" s="626" t="s">
        <v>430</v>
      </c>
      <c r="C811" s="2101">
        <f>IF(A811="","",A811)</f>
        <v>8055</v>
      </c>
      <c r="D811" s="2102"/>
      <c r="E811" s="627">
        <f>E808+30</f>
        <v>8070</v>
      </c>
      <c r="F811" s="628" t="s">
        <v>431</v>
      </c>
      <c r="G811" s="2103">
        <f>IF(E811="","",E811)</f>
        <v>8070</v>
      </c>
      <c r="H811" s="2104"/>
    </row>
    <row r="812" spans="1:8" ht="15.5" x14ac:dyDescent="0.35">
      <c r="A812" s="625"/>
      <c r="B812" s="626" t="s">
        <v>430</v>
      </c>
      <c r="C812" s="2101">
        <f>IF(C811="","",C811+10)</f>
        <v>8065</v>
      </c>
      <c r="D812" s="2102"/>
      <c r="E812" s="627"/>
      <c r="F812" s="628" t="s">
        <v>431</v>
      </c>
      <c r="G812" s="2103">
        <f>IF(G811="","",G811+10)</f>
        <v>8080</v>
      </c>
      <c r="H812" s="2104"/>
    </row>
    <row r="813" spans="1:8" ht="15.5" x14ac:dyDescent="0.35">
      <c r="A813" s="625"/>
      <c r="B813" s="626" t="s">
        <v>430</v>
      </c>
      <c r="C813" s="2101">
        <f>IF(C812="","",C812+10)</f>
        <v>8075</v>
      </c>
      <c r="D813" s="2102"/>
      <c r="E813" s="627"/>
      <c r="F813" s="628" t="s">
        <v>431</v>
      </c>
      <c r="G813" s="2103">
        <f>IF(G812="","",G812+10)</f>
        <v>8090</v>
      </c>
      <c r="H813" s="2104"/>
    </row>
    <row r="814" spans="1:8" ht="15.5" x14ac:dyDescent="0.35">
      <c r="A814" s="625">
        <f>A811+30</f>
        <v>8085</v>
      </c>
      <c r="B814" s="626" t="s">
        <v>430</v>
      </c>
      <c r="C814" s="2101">
        <f>IF(A814="","",A814)</f>
        <v>8085</v>
      </c>
      <c r="D814" s="2102"/>
      <c r="E814" s="627">
        <f>E811+30</f>
        <v>8100</v>
      </c>
      <c r="F814" s="628" t="s">
        <v>431</v>
      </c>
      <c r="G814" s="2103">
        <f>IF(E814="","",E814)</f>
        <v>8100</v>
      </c>
      <c r="H814" s="2104"/>
    </row>
    <row r="815" spans="1:8" ht="15.5" x14ac:dyDescent="0.35">
      <c r="A815" s="625"/>
      <c r="B815" s="626" t="s">
        <v>430</v>
      </c>
      <c r="C815" s="2101">
        <f>IF(C814="","",C814+10)</f>
        <v>8095</v>
      </c>
      <c r="D815" s="2102"/>
      <c r="E815" s="627"/>
      <c r="F815" s="628" t="s">
        <v>431</v>
      </c>
      <c r="G815" s="2103">
        <f>IF(G814="","",G814+10)</f>
        <v>8110</v>
      </c>
      <c r="H815" s="2104"/>
    </row>
    <row r="816" spans="1:8" ht="15.5" x14ac:dyDescent="0.35">
      <c r="A816" s="625"/>
      <c r="B816" s="626" t="s">
        <v>430</v>
      </c>
      <c r="C816" s="2101">
        <f>IF(C815="","",C815+10)</f>
        <v>8105</v>
      </c>
      <c r="D816" s="2102"/>
      <c r="E816" s="627"/>
      <c r="F816" s="628" t="s">
        <v>431</v>
      </c>
      <c r="G816" s="2103">
        <f>IF(G815="","",G815+10)</f>
        <v>8120</v>
      </c>
      <c r="H816" s="2104"/>
    </row>
    <row r="817" spans="1:8" ht="15.5" x14ac:dyDescent="0.35">
      <c r="A817" s="625">
        <f>A814+30</f>
        <v>8115</v>
      </c>
      <c r="B817" s="626" t="s">
        <v>430</v>
      </c>
      <c r="C817" s="2101">
        <f>IF(A817="","",A817)</f>
        <v>8115</v>
      </c>
      <c r="D817" s="2102"/>
      <c r="E817" s="627">
        <f>E814+30</f>
        <v>8130</v>
      </c>
      <c r="F817" s="628" t="s">
        <v>431</v>
      </c>
      <c r="G817" s="2103">
        <f>IF(E817="","",E817)</f>
        <v>8130</v>
      </c>
      <c r="H817" s="2104"/>
    </row>
    <row r="818" spans="1:8" ht="15.5" x14ac:dyDescent="0.35">
      <c r="A818" s="625"/>
      <c r="B818" s="626" t="s">
        <v>430</v>
      </c>
      <c r="C818" s="2101">
        <f>IF(C817="","",C817+10)</f>
        <v>8125</v>
      </c>
      <c r="D818" s="2102"/>
      <c r="E818" s="627"/>
      <c r="F818" s="628" t="s">
        <v>431</v>
      </c>
      <c r="G818" s="2103">
        <f>IF(G817="","",G817+10)</f>
        <v>8140</v>
      </c>
      <c r="H818" s="2104"/>
    </row>
    <row r="819" spans="1:8" ht="15.5" x14ac:dyDescent="0.35">
      <c r="A819" s="625"/>
      <c r="B819" s="626" t="s">
        <v>430</v>
      </c>
      <c r="C819" s="2101">
        <f>IF(C818="","",C818+10)</f>
        <v>8135</v>
      </c>
      <c r="D819" s="2102"/>
      <c r="E819" s="627"/>
      <c r="F819" s="628" t="s">
        <v>431</v>
      </c>
      <c r="G819" s="2103">
        <f>IF(G818="","",G818+10)</f>
        <v>8150</v>
      </c>
      <c r="H819" s="2104"/>
    </row>
    <row r="820" spans="1:8" ht="15.5" x14ac:dyDescent="0.35">
      <c r="A820" s="625">
        <f>A817+30</f>
        <v>8145</v>
      </c>
      <c r="B820" s="626" t="s">
        <v>430</v>
      </c>
      <c r="C820" s="2101">
        <f>IF(A820="","",A820)</f>
        <v>8145</v>
      </c>
      <c r="D820" s="2102"/>
      <c r="E820" s="627">
        <f>E817+30</f>
        <v>8160</v>
      </c>
      <c r="F820" s="628" t="s">
        <v>431</v>
      </c>
      <c r="G820" s="2103">
        <f>IF(E820="","",E820)</f>
        <v>8160</v>
      </c>
      <c r="H820" s="2104"/>
    </row>
    <row r="821" spans="1:8" ht="15.5" x14ac:dyDescent="0.35">
      <c r="A821" s="625"/>
      <c r="B821" s="626" t="s">
        <v>430</v>
      </c>
      <c r="C821" s="2101">
        <f>IF(C820="","",C820+10)</f>
        <v>8155</v>
      </c>
      <c r="D821" s="2102"/>
      <c r="E821" s="627"/>
      <c r="F821" s="628" t="s">
        <v>431</v>
      </c>
      <c r="G821" s="2103">
        <f>IF(G820="","",G820+10)</f>
        <v>8170</v>
      </c>
      <c r="H821" s="2104"/>
    </row>
    <row r="822" spans="1:8" ht="15.5" x14ac:dyDescent="0.35">
      <c r="A822" s="625"/>
      <c r="B822" s="626" t="s">
        <v>430</v>
      </c>
      <c r="C822" s="2101">
        <f>IF(C821="","",C821+10)</f>
        <v>8165</v>
      </c>
      <c r="D822" s="2102"/>
      <c r="E822" s="627"/>
      <c r="F822" s="628" t="s">
        <v>431</v>
      </c>
      <c r="G822" s="2103">
        <f>IF(G821="","",G821+10)</f>
        <v>8180</v>
      </c>
      <c r="H822" s="2104"/>
    </row>
    <row r="823" spans="1:8" ht="15.5" x14ac:dyDescent="0.35">
      <c r="A823" s="625">
        <f>A820+30</f>
        <v>8175</v>
      </c>
      <c r="B823" s="626" t="s">
        <v>430</v>
      </c>
      <c r="C823" s="2101">
        <f>IF(A823="","",A823)</f>
        <v>8175</v>
      </c>
      <c r="D823" s="2102"/>
      <c r="E823" s="627">
        <f>E820+30</f>
        <v>8190</v>
      </c>
      <c r="F823" s="628" t="s">
        <v>431</v>
      </c>
      <c r="G823" s="2103">
        <f>IF(E823="","",E823)</f>
        <v>8190</v>
      </c>
      <c r="H823" s="2104"/>
    </row>
    <row r="824" spans="1:8" ht="15.5" x14ac:dyDescent="0.35">
      <c r="A824" s="625"/>
      <c r="B824" s="626" t="s">
        <v>430</v>
      </c>
      <c r="C824" s="2101">
        <f>IF(C823="","",C823+10)</f>
        <v>8185</v>
      </c>
      <c r="D824" s="2102"/>
      <c r="E824" s="627"/>
      <c r="F824" s="628" t="s">
        <v>431</v>
      </c>
      <c r="G824" s="2103">
        <f>IF(G823="","",G823+10)</f>
        <v>8200</v>
      </c>
      <c r="H824" s="2104"/>
    </row>
    <row r="825" spans="1:8" ht="15.5" x14ac:dyDescent="0.35">
      <c r="A825" s="625"/>
      <c r="B825" s="626" t="s">
        <v>430</v>
      </c>
      <c r="C825" s="2101">
        <f>IF(C824="","",C824+10)</f>
        <v>8195</v>
      </c>
      <c r="D825" s="2102"/>
      <c r="E825" s="627"/>
      <c r="F825" s="628" t="s">
        <v>431</v>
      </c>
      <c r="G825" s="2103">
        <f>IF(G824="","",G824+10)</f>
        <v>8210</v>
      </c>
      <c r="H825" s="2104"/>
    </row>
    <row r="826" spans="1:8" ht="15.5" x14ac:dyDescent="0.35">
      <c r="A826" s="625">
        <f>A823+30</f>
        <v>8205</v>
      </c>
      <c r="B826" s="626" t="s">
        <v>430</v>
      </c>
      <c r="C826" s="2101">
        <f>IF(A826="","",A826)</f>
        <v>8205</v>
      </c>
      <c r="D826" s="2102"/>
      <c r="E826" s="627">
        <f>E823+30</f>
        <v>8220</v>
      </c>
      <c r="F826" s="628" t="s">
        <v>431</v>
      </c>
      <c r="G826" s="2103">
        <f>IF(E826="","",E826)</f>
        <v>8220</v>
      </c>
      <c r="H826" s="2104"/>
    </row>
    <row r="827" spans="1:8" ht="15.5" x14ac:dyDescent="0.35">
      <c r="A827" s="625"/>
      <c r="B827" s="626" t="s">
        <v>430</v>
      </c>
      <c r="C827" s="2101">
        <f>IF(C826="","",C826+10)</f>
        <v>8215</v>
      </c>
      <c r="D827" s="2102"/>
      <c r="E827" s="627"/>
      <c r="F827" s="628" t="s">
        <v>431</v>
      </c>
      <c r="G827" s="2103">
        <f>IF(G826="","",G826+10)</f>
        <v>8230</v>
      </c>
      <c r="H827" s="2104"/>
    </row>
    <row r="828" spans="1:8" ht="15.5" x14ac:dyDescent="0.35">
      <c r="A828" s="625"/>
      <c r="B828" s="626" t="s">
        <v>430</v>
      </c>
      <c r="C828" s="2101">
        <f>IF(C827="","",C827+10)</f>
        <v>8225</v>
      </c>
      <c r="D828" s="2102"/>
      <c r="E828" s="627"/>
      <c r="F828" s="628" t="s">
        <v>431</v>
      </c>
      <c r="G828" s="2103">
        <f>IF(G827="","",G827+10)</f>
        <v>8240</v>
      </c>
      <c r="H828" s="2104"/>
    </row>
    <row r="829" spans="1:8" ht="15.5" x14ac:dyDescent="0.35">
      <c r="A829" s="625">
        <f>A826+30</f>
        <v>8235</v>
      </c>
      <c r="B829" s="626" t="s">
        <v>430</v>
      </c>
      <c r="C829" s="2101">
        <f>IF(A829="","",A829)</f>
        <v>8235</v>
      </c>
      <c r="D829" s="2102"/>
      <c r="E829" s="627">
        <f>E826+30</f>
        <v>8250</v>
      </c>
      <c r="F829" s="628" t="s">
        <v>431</v>
      </c>
      <c r="G829" s="2103">
        <f>IF(E829="","",E829)</f>
        <v>8250</v>
      </c>
      <c r="H829" s="2104"/>
    </row>
    <row r="830" spans="1:8" ht="15.5" x14ac:dyDescent="0.35">
      <c r="A830" s="625"/>
      <c r="B830" s="626" t="s">
        <v>430</v>
      </c>
      <c r="C830" s="2101">
        <f>IF(C829="","",C829+10)</f>
        <v>8245</v>
      </c>
      <c r="D830" s="2102"/>
      <c r="E830" s="627"/>
      <c r="F830" s="628" t="s">
        <v>431</v>
      </c>
      <c r="G830" s="2103">
        <f>IF(G829="","",G829+10)</f>
        <v>8260</v>
      </c>
      <c r="H830" s="2104"/>
    </row>
    <row r="831" spans="1:8" ht="15.5" x14ac:dyDescent="0.35">
      <c r="A831" s="625"/>
      <c r="B831" s="626" t="s">
        <v>430</v>
      </c>
      <c r="C831" s="2101">
        <f>IF(C830="","",C830+10)</f>
        <v>8255</v>
      </c>
      <c r="D831" s="2102"/>
      <c r="E831" s="627"/>
      <c r="F831" s="628" t="s">
        <v>431</v>
      </c>
      <c r="G831" s="2103">
        <f>IF(G830="","",G830+10)</f>
        <v>8270</v>
      </c>
      <c r="H831" s="2104"/>
    </row>
    <row r="832" spans="1:8" ht="15.5" x14ac:dyDescent="0.35">
      <c r="A832" s="625">
        <f>A829+30</f>
        <v>8265</v>
      </c>
      <c r="B832" s="626" t="s">
        <v>430</v>
      </c>
      <c r="C832" s="2101">
        <f>IF(A832="","",A832)</f>
        <v>8265</v>
      </c>
      <c r="D832" s="2102"/>
      <c r="E832" s="627">
        <f>E829+30</f>
        <v>8280</v>
      </c>
      <c r="F832" s="628" t="s">
        <v>431</v>
      </c>
      <c r="G832" s="2103">
        <f>IF(E832="","",E832)</f>
        <v>8280</v>
      </c>
      <c r="H832" s="2104"/>
    </row>
    <row r="833" spans="1:8" ht="15.5" x14ac:dyDescent="0.35">
      <c r="A833" s="625"/>
      <c r="B833" s="626" t="s">
        <v>430</v>
      </c>
      <c r="C833" s="2101">
        <f>IF(C832="","",C832+10)</f>
        <v>8275</v>
      </c>
      <c r="D833" s="2102"/>
      <c r="E833" s="627"/>
      <c r="F833" s="628" t="s">
        <v>431</v>
      </c>
      <c r="G833" s="2103">
        <f>IF(G832="","",G832+10)</f>
        <v>8290</v>
      </c>
      <c r="H833" s="2104"/>
    </row>
    <row r="834" spans="1:8" ht="15.5" x14ac:dyDescent="0.35">
      <c r="A834" s="625"/>
      <c r="B834" s="626" t="s">
        <v>430</v>
      </c>
      <c r="C834" s="2101">
        <f>IF(C833="","",C833+10)</f>
        <v>8285</v>
      </c>
      <c r="D834" s="2102"/>
      <c r="E834" s="627"/>
      <c r="F834" s="628" t="s">
        <v>431</v>
      </c>
      <c r="G834" s="2103">
        <f>IF(G833="","",G833+10)</f>
        <v>8300</v>
      </c>
      <c r="H834" s="2104"/>
    </row>
    <row r="835" spans="1:8" ht="15.5" x14ac:dyDescent="0.35">
      <c r="A835" s="625">
        <f>A832+30</f>
        <v>8295</v>
      </c>
      <c r="B835" s="626" t="s">
        <v>430</v>
      </c>
      <c r="C835" s="2101">
        <f>IF(A835="","",A835)</f>
        <v>8295</v>
      </c>
      <c r="D835" s="2102"/>
      <c r="E835" s="627">
        <f>E832+30</f>
        <v>8310</v>
      </c>
      <c r="F835" s="628" t="s">
        <v>431</v>
      </c>
      <c r="G835" s="2103">
        <f>IF(E835="","",E835)</f>
        <v>8310</v>
      </c>
      <c r="H835" s="2104"/>
    </row>
    <row r="836" spans="1:8" ht="15.5" x14ac:dyDescent="0.35">
      <c r="A836" s="625"/>
      <c r="B836" s="626" t="s">
        <v>430</v>
      </c>
      <c r="C836" s="2101">
        <f>IF(C835="","",C835+10)</f>
        <v>8305</v>
      </c>
      <c r="D836" s="2102"/>
      <c r="E836" s="627"/>
      <c r="F836" s="628" t="s">
        <v>431</v>
      </c>
      <c r="G836" s="2103">
        <f>IF(G835="","",G835+10)</f>
        <v>8320</v>
      </c>
      <c r="H836" s="2104"/>
    </row>
    <row r="837" spans="1:8" ht="15.5" x14ac:dyDescent="0.35">
      <c r="A837" s="625"/>
      <c r="B837" s="626" t="s">
        <v>430</v>
      </c>
      <c r="C837" s="2101">
        <f>IF(C836="","",C836+10)</f>
        <v>8315</v>
      </c>
      <c r="D837" s="2102"/>
      <c r="E837" s="627"/>
      <c r="F837" s="628" t="s">
        <v>431</v>
      </c>
      <c r="G837" s="2103">
        <f>IF(G836="","",G836+10)</f>
        <v>8330</v>
      </c>
      <c r="H837" s="2104"/>
    </row>
    <row r="838" spans="1:8" ht="15.5" x14ac:dyDescent="0.35">
      <c r="A838" s="625">
        <f>A835+30</f>
        <v>8325</v>
      </c>
      <c r="B838" s="626" t="s">
        <v>430</v>
      </c>
      <c r="C838" s="2101">
        <f>IF(A838="","",A838)</f>
        <v>8325</v>
      </c>
      <c r="D838" s="2102"/>
      <c r="E838" s="627">
        <f>E835+30</f>
        <v>8340</v>
      </c>
      <c r="F838" s="628" t="s">
        <v>431</v>
      </c>
      <c r="G838" s="2103">
        <f>IF(E838="","",E838)</f>
        <v>8340</v>
      </c>
      <c r="H838" s="2104"/>
    </row>
    <row r="839" spans="1:8" ht="15.5" x14ac:dyDescent="0.35">
      <c r="A839" s="625"/>
      <c r="B839" s="626" t="s">
        <v>430</v>
      </c>
      <c r="C839" s="2101">
        <f>IF(C838="","",C838+10)</f>
        <v>8335</v>
      </c>
      <c r="D839" s="2102"/>
      <c r="E839" s="627"/>
      <c r="F839" s="628" t="s">
        <v>431</v>
      </c>
      <c r="G839" s="2103">
        <f>IF(G838="","",G838+10)</f>
        <v>8350</v>
      </c>
      <c r="H839" s="2104"/>
    </row>
    <row r="840" spans="1:8" ht="15.5" x14ac:dyDescent="0.35">
      <c r="A840" s="625"/>
      <c r="B840" s="626" t="s">
        <v>430</v>
      </c>
      <c r="C840" s="2101">
        <f>IF(C839="","",C839+10)</f>
        <v>8345</v>
      </c>
      <c r="D840" s="2102"/>
      <c r="E840" s="627"/>
      <c r="F840" s="628" t="s">
        <v>431</v>
      </c>
      <c r="G840" s="2103">
        <f>IF(G839="","",G839+10)</f>
        <v>8360</v>
      </c>
      <c r="H840" s="2104"/>
    </row>
    <row r="841" spans="1:8" ht="15.5" x14ac:dyDescent="0.35">
      <c r="A841" s="625">
        <f>A838+30</f>
        <v>8355</v>
      </c>
      <c r="B841" s="626" t="s">
        <v>430</v>
      </c>
      <c r="C841" s="2101">
        <f>IF(A841="","",A841)</f>
        <v>8355</v>
      </c>
      <c r="D841" s="2102"/>
      <c r="E841" s="627">
        <f>E838+30</f>
        <v>8370</v>
      </c>
      <c r="F841" s="628" t="s">
        <v>431</v>
      </c>
      <c r="G841" s="2103">
        <f>IF(E841="","",E841)</f>
        <v>8370</v>
      </c>
      <c r="H841" s="2104"/>
    </row>
    <row r="842" spans="1:8" ht="15.5" x14ac:dyDescent="0.35">
      <c r="A842" s="625"/>
      <c r="B842" s="626" t="s">
        <v>430</v>
      </c>
      <c r="C842" s="2101">
        <f>IF(C841="","",C841+10)</f>
        <v>8365</v>
      </c>
      <c r="D842" s="2102"/>
      <c r="E842" s="627"/>
      <c r="F842" s="628" t="s">
        <v>431</v>
      </c>
      <c r="G842" s="2103">
        <f>IF(G841="","",G841+10)</f>
        <v>8380</v>
      </c>
      <c r="H842" s="2104"/>
    </row>
    <row r="843" spans="1:8" ht="15.5" x14ac:dyDescent="0.35">
      <c r="A843" s="625"/>
      <c r="B843" s="626" t="s">
        <v>430</v>
      </c>
      <c r="C843" s="2101">
        <f>IF(C842="","",C842+10)</f>
        <v>8375</v>
      </c>
      <c r="D843" s="2102"/>
      <c r="E843" s="627"/>
      <c r="F843" s="628" t="s">
        <v>431</v>
      </c>
      <c r="G843" s="2103">
        <f>IF(G842="","",G842+10)</f>
        <v>8390</v>
      </c>
      <c r="H843" s="2104"/>
    </row>
    <row r="844" spans="1:8" ht="15.5" x14ac:dyDescent="0.35">
      <c r="A844" s="625">
        <f>A841+30</f>
        <v>8385</v>
      </c>
      <c r="B844" s="626" t="s">
        <v>430</v>
      </c>
      <c r="C844" s="2101">
        <f>IF(A844="","",A844)</f>
        <v>8385</v>
      </c>
      <c r="D844" s="2102"/>
      <c r="E844" s="627">
        <f>E841+30</f>
        <v>8400</v>
      </c>
      <c r="F844" s="628" t="s">
        <v>431</v>
      </c>
      <c r="G844" s="2103">
        <f>IF(E844="","",E844)</f>
        <v>8400</v>
      </c>
      <c r="H844" s="2104"/>
    </row>
    <row r="845" spans="1:8" ht="15.5" x14ac:dyDescent="0.35">
      <c r="A845" s="625"/>
      <c r="B845" s="626" t="s">
        <v>430</v>
      </c>
      <c r="C845" s="2101">
        <f>IF(C844="","",C844+10)</f>
        <v>8395</v>
      </c>
      <c r="D845" s="2102"/>
      <c r="E845" s="627"/>
      <c r="F845" s="628" t="s">
        <v>431</v>
      </c>
      <c r="G845" s="2103">
        <f>IF(G844="","",G844+10)</f>
        <v>8410</v>
      </c>
      <c r="H845" s="2104"/>
    </row>
    <row r="846" spans="1:8" ht="15.5" x14ac:dyDescent="0.35">
      <c r="A846" s="625"/>
      <c r="B846" s="626" t="s">
        <v>430</v>
      </c>
      <c r="C846" s="2101">
        <f>IF(C845="","",C845+10)</f>
        <v>8405</v>
      </c>
      <c r="D846" s="2102"/>
      <c r="E846" s="627"/>
      <c r="F846" s="628" t="s">
        <v>431</v>
      </c>
      <c r="G846" s="2103">
        <f>IF(G845="","",G845+10)</f>
        <v>8420</v>
      </c>
      <c r="H846" s="2104"/>
    </row>
    <row r="847" spans="1:8" ht="15.5" x14ac:dyDescent="0.35">
      <c r="A847" s="625">
        <f>A844+30</f>
        <v>8415</v>
      </c>
      <c r="B847" s="626" t="s">
        <v>430</v>
      </c>
      <c r="C847" s="2101">
        <f>IF(A847="","",A847)</f>
        <v>8415</v>
      </c>
      <c r="D847" s="2102"/>
      <c r="E847" s="627">
        <f>E844+30</f>
        <v>8430</v>
      </c>
      <c r="F847" s="628" t="s">
        <v>431</v>
      </c>
      <c r="G847" s="2103">
        <f>IF(E847="","",E847)</f>
        <v>8430</v>
      </c>
      <c r="H847" s="2104"/>
    </row>
    <row r="848" spans="1:8" ht="15.5" x14ac:dyDescent="0.35">
      <c r="A848" s="625"/>
      <c r="B848" s="626" t="s">
        <v>430</v>
      </c>
      <c r="C848" s="2101">
        <f>IF(C847="","",C847+10)</f>
        <v>8425</v>
      </c>
      <c r="D848" s="2102"/>
      <c r="E848" s="627"/>
      <c r="F848" s="628" t="s">
        <v>431</v>
      </c>
      <c r="G848" s="2103">
        <f>IF(G847="","",G847+10)</f>
        <v>8440</v>
      </c>
      <c r="H848" s="2104"/>
    </row>
    <row r="849" spans="1:8" ht="15.5" x14ac:dyDescent="0.35">
      <c r="A849" s="625"/>
      <c r="B849" s="626" t="s">
        <v>430</v>
      </c>
      <c r="C849" s="2101">
        <f>IF(C848="","",C848+10)</f>
        <v>8435</v>
      </c>
      <c r="D849" s="2102"/>
      <c r="E849" s="627"/>
      <c r="F849" s="628" t="s">
        <v>431</v>
      </c>
      <c r="G849" s="2103">
        <f>IF(G848="","",G848+10)</f>
        <v>8450</v>
      </c>
      <c r="H849" s="2104"/>
    </row>
    <row r="850" spans="1:8" ht="15.5" x14ac:dyDescent="0.35">
      <c r="A850" s="625">
        <f>A847+30</f>
        <v>8445</v>
      </c>
      <c r="B850" s="626" t="s">
        <v>430</v>
      </c>
      <c r="C850" s="2101">
        <f>IF(A850="","",A850)</f>
        <v>8445</v>
      </c>
      <c r="D850" s="2102"/>
      <c r="E850" s="627">
        <f>E847+30</f>
        <v>8460</v>
      </c>
      <c r="F850" s="628" t="s">
        <v>431</v>
      </c>
      <c r="G850" s="2103">
        <f>IF(E850="","",E850)</f>
        <v>8460</v>
      </c>
      <c r="H850" s="2104"/>
    </row>
    <row r="851" spans="1:8" ht="15.5" x14ac:dyDescent="0.35">
      <c r="A851" s="625"/>
      <c r="B851" s="626" t="s">
        <v>430</v>
      </c>
      <c r="C851" s="2101">
        <f>IF(C850="","",C850+10)</f>
        <v>8455</v>
      </c>
      <c r="D851" s="2102"/>
      <c r="E851" s="627"/>
      <c r="F851" s="628" t="s">
        <v>431</v>
      </c>
      <c r="G851" s="2103">
        <f>IF(G850="","",G850+10)</f>
        <v>8470</v>
      </c>
      <c r="H851" s="2104"/>
    </row>
    <row r="852" spans="1:8" ht="15.5" x14ac:dyDescent="0.35">
      <c r="A852" s="625"/>
      <c r="B852" s="626" t="s">
        <v>430</v>
      </c>
      <c r="C852" s="2101">
        <f>IF(C851="","",C851+10)</f>
        <v>8465</v>
      </c>
      <c r="D852" s="2102"/>
      <c r="E852" s="627"/>
      <c r="F852" s="628" t="s">
        <v>431</v>
      </c>
      <c r="G852" s="2103">
        <f>IF(G851="","",G851+10)</f>
        <v>8480</v>
      </c>
      <c r="H852" s="2104"/>
    </row>
    <row r="853" spans="1:8" ht="15.5" x14ac:dyDescent="0.35">
      <c r="A853" s="625">
        <f>A850+30</f>
        <v>8475</v>
      </c>
      <c r="B853" s="626" t="s">
        <v>430</v>
      </c>
      <c r="C853" s="2101">
        <f>IF(A853="","",A853)</f>
        <v>8475</v>
      </c>
      <c r="D853" s="2102"/>
      <c r="E853" s="627">
        <f>E850+30</f>
        <v>8490</v>
      </c>
      <c r="F853" s="628" t="s">
        <v>431</v>
      </c>
      <c r="G853" s="2103">
        <f>IF(E853="","",E853)</f>
        <v>8490</v>
      </c>
      <c r="H853" s="2104"/>
    </row>
    <row r="854" spans="1:8" ht="15.5" x14ac:dyDescent="0.35">
      <c r="A854" s="625"/>
      <c r="B854" s="626" t="s">
        <v>430</v>
      </c>
      <c r="C854" s="2101">
        <f>IF(C853="","",C853+10)</f>
        <v>8485</v>
      </c>
      <c r="D854" s="2102"/>
      <c r="E854" s="627"/>
      <c r="F854" s="628" t="s">
        <v>431</v>
      </c>
      <c r="G854" s="2103">
        <f>IF(G853="","",G853+10)</f>
        <v>8500</v>
      </c>
      <c r="H854" s="2104"/>
    </row>
    <row r="855" spans="1:8" ht="15.5" x14ac:dyDescent="0.35">
      <c r="A855" s="625"/>
      <c r="B855" s="626" t="s">
        <v>430</v>
      </c>
      <c r="C855" s="2101">
        <f>IF(C854="","",C854+10)</f>
        <v>8495</v>
      </c>
      <c r="D855" s="2102"/>
      <c r="E855" s="627"/>
      <c r="F855" s="628" t="s">
        <v>431</v>
      </c>
      <c r="G855" s="2103">
        <f>IF(G854="","",G854+10)</f>
        <v>8510</v>
      </c>
      <c r="H855" s="2104"/>
    </row>
    <row r="856" spans="1:8" ht="15.5" x14ac:dyDescent="0.35">
      <c r="A856" s="625">
        <f>A853+30</f>
        <v>8505</v>
      </c>
      <c r="B856" s="626" t="s">
        <v>430</v>
      </c>
      <c r="C856" s="2101">
        <f>IF(A856="","",A856)</f>
        <v>8505</v>
      </c>
      <c r="D856" s="2102"/>
      <c r="E856" s="627">
        <f>E853+30</f>
        <v>8520</v>
      </c>
      <c r="F856" s="628" t="s">
        <v>431</v>
      </c>
      <c r="G856" s="2103">
        <f>IF(E856="","",E856)</f>
        <v>8520</v>
      </c>
      <c r="H856" s="2104"/>
    </row>
    <row r="857" spans="1:8" ht="15.5" x14ac:dyDescent="0.35">
      <c r="A857" s="625"/>
      <c r="B857" s="626" t="s">
        <v>430</v>
      </c>
      <c r="C857" s="2101">
        <f>IF(C856="","",C856+10)</f>
        <v>8515</v>
      </c>
      <c r="D857" s="2102"/>
      <c r="E857" s="627"/>
      <c r="F857" s="628" t="s">
        <v>431</v>
      </c>
      <c r="G857" s="2103">
        <f>IF(G856="","",G856+10)</f>
        <v>8530</v>
      </c>
      <c r="H857" s="2104"/>
    </row>
    <row r="858" spans="1:8" ht="15.5" x14ac:dyDescent="0.35">
      <c r="A858" s="625"/>
      <c r="B858" s="626" t="s">
        <v>430</v>
      </c>
      <c r="C858" s="2101">
        <f>IF(C857="","",C857+10)</f>
        <v>8525</v>
      </c>
      <c r="D858" s="2102"/>
      <c r="E858" s="627"/>
      <c r="F858" s="628" t="s">
        <v>431</v>
      </c>
      <c r="G858" s="2103">
        <f>IF(G857="","",G857+10)</f>
        <v>8540</v>
      </c>
      <c r="H858" s="2104"/>
    </row>
    <row r="859" spans="1:8" ht="15.5" x14ac:dyDescent="0.35">
      <c r="A859" s="625">
        <f>A856+30</f>
        <v>8535</v>
      </c>
      <c r="B859" s="626" t="s">
        <v>430</v>
      </c>
      <c r="C859" s="2101">
        <f>IF(A859="","",A859)</f>
        <v>8535</v>
      </c>
      <c r="D859" s="2102"/>
      <c r="E859" s="627">
        <f>E856+30</f>
        <v>8550</v>
      </c>
      <c r="F859" s="628" t="s">
        <v>431</v>
      </c>
      <c r="G859" s="2103">
        <f>IF(E859="","",E859)</f>
        <v>8550</v>
      </c>
      <c r="H859" s="2104"/>
    </row>
    <row r="860" spans="1:8" ht="15.5" x14ac:dyDescent="0.35">
      <c r="A860" s="625"/>
      <c r="B860" s="626" t="s">
        <v>430</v>
      </c>
      <c r="C860" s="2101">
        <f>IF(C859="","",C859+10)</f>
        <v>8545</v>
      </c>
      <c r="D860" s="2102"/>
      <c r="E860" s="627"/>
      <c r="F860" s="628" t="s">
        <v>431</v>
      </c>
      <c r="G860" s="2103">
        <f>IF(G859="","",G859+10)</f>
        <v>8560</v>
      </c>
      <c r="H860" s="2104"/>
    </row>
    <row r="861" spans="1:8" ht="15.5" x14ac:dyDescent="0.35">
      <c r="A861" s="625"/>
      <c r="B861" s="626" t="s">
        <v>430</v>
      </c>
      <c r="C861" s="2101">
        <f>IF(C860="","",C860+10)</f>
        <v>8555</v>
      </c>
      <c r="D861" s="2102"/>
      <c r="E861" s="627"/>
      <c r="F861" s="628" t="s">
        <v>431</v>
      </c>
      <c r="G861" s="2103">
        <f>IF(G860="","",G860+10)</f>
        <v>8570</v>
      </c>
      <c r="H861" s="2104"/>
    </row>
    <row r="862" spans="1:8" ht="15.5" x14ac:dyDescent="0.35">
      <c r="A862" s="625">
        <f>A859+30</f>
        <v>8565</v>
      </c>
      <c r="B862" s="626" t="s">
        <v>430</v>
      </c>
      <c r="C862" s="2101">
        <f>IF(A862="","",A862)</f>
        <v>8565</v>
      </c>
      <c r="D862" s="2102"/>
      <c r="E862" s="627">
        <f>E859+30</f>
        <v>8580</v>
      </c>
      <c r="F862" s="628" t="s">
        <v>431</v>
      </c>
      <c r="G862" s="2103">
        <f>IF(E862="","",E862)</f>
        <v>8580</v>
      </c>
      <c r="H862" s="2104"/>
    </row>
    <row r="863" spans="1:8" ht="15.5" x14ac:dyDescent="0.35">
      <c r="A863" s="625"/>
      <c r="B863" s="626" t="s">
        <v>430</v>
      </c>
      <c r="C863" s="2101">
        <f>IF(C862="","",C862+10)</f>
        <v>8575</v>
      </c>
      <c r="D863" s="2102"/>
      <c r="E863" s="627"/>
      <c r="F863" s="628" t="s">
        <v>431</v>
      </c>
      <c r="G863" s="2103">
        <f>IF(G862="","",G862+10)</f>
        <v>8590</v>
      </c>
      <c r="H863" s="2104"/>
    </row>
    <row r="864" spans="1:8" ht="15.5" x14ac:dyDescent="0.35">
      <c r="A864" s="625"/>
      <c r="B864" s="626" t="s">
        <v>430</v>
      </c>
      <c r="C864" s="2101">
        <f>IF(C863="","",C863+10)</f>
        <v>8585</v>
      </c>
      <c r="D864" s="2102"/>
      <c r="E864" s="627"/>
      <c r="F864" s="628" t="s">
        <v>431</v>
      </c>
      <c r="G864" s="2103">
        <f>IF(G863="","",G863+10)</f>
        <v>8600</v>
      </c>
      <c r="H864" s="2104"/>
    </row>
    <row r="865" spans="1:8" ht="15.5" x14ac:dyDescent="0.35">
      <c r="A865" s="625">
        <f>A862+30</f>
        <v>8595</v>
      </c>
      <c r="B865" s="626" t="s">
        <v>430</v>
      </c>
      <c r="C865" s="2101">
        <f>IF(A865="","",A865)</f>
        <v>8595</v>
      </c>
      <c r="D865" s="2102"/>
      <c r="E865" s="627">
        <f>E862+30</f>
        <v>8610</v>
      </c>
      <c r="F865" s="628" t="s">
        <v>431</v>
      </c>
      <c r="G865" s="2103">
        <f>IF(E865="","",E865)</f>
        <v>8610</v>
      </c>
      <c r="H865" s="2104"/>
    </row>
    <row r="866" spans="1:8" ht="15.5" x14ac:dyDescent="0.35">
      <c r="A866" s="625"/>
      <c r="B866" s="626" t="s">
        <v>430</v>
      </c>
      <c r="C866" s="2101">
        <f>IF(C865="","",C865+10)</f>
        <v>8605</v>
      </c>
      <c r="D866" s="2102"/>
      <c r="E866" s="627"/>
      <c r="F866" s="628" t="s">
        <v>431</v>
      </c>
      <c r="G866" s="2103">
        <f>IF(G865="","",G865+10)</f>
        <v>8620</v>
      </c>
      <c r="H866" s="2104"/>
    </row>
    <row r="867" spans="1:8" ht="15.5" x14ac:dyDescent="0.35">
      <c r="A867" s="625"/>
      <c r="B867" s="626" t="s">
        <v>430</v>
      </c>
      <c r="C867" s="2101">
        <f>IF(C866="","",C866+10)</f>
        <v>8615</v>
      </c>
      <c r="D867" s="2102"/>
      <c r="E867" s="627"/>
      <c r="F867" s="628" t="s">
        <v>431</v>
      </c>
      <c r="G867" s="2103">
        <f>IF(G866="","",G866+10)</f>
        <v>8630</v>
      </c>
      <c r="H867" s="2104"/>
    </row>
    <row r="868" spans="1:8" ht="15.5" x14ac:dyDescent="0.35">
      <c r="A868" s="625">
        <f>A865+30</f>
        <v>8625</v>
      </c>
      <c r="B868" s="626" t="s">
        <v>430</v>
      </c>
      <c r="C868" s="2101">
        <f>IF(A868="","",A868)</f>
        <v>8625</v>
      </c>
      <c r="D868" s="2102"/>
      <c r="E868" s="627">
        <f>E865+30</f>
        <v>8640</v>
      </c>
      <c r="F868" s="628" t="s">
        <v>431</v>
      </c>
      <c r="G868" s="2103">
        <f>IF(E868="","",E868)</f>
        <v>8640</v>
      </c>
      <c r="H868" s="2104"/>
    </row>
    <row r="869" spans="1:8" ht="15.5" x14ac:dyDescent="0.35">
      <c r="A869" s="625"/>
      <c r="B869" s="626" t="s">
        <v>430</v>
      </c>
      <c r="C869" s="2101">
        <f>IF(C868="","",C868+10)</f>
        <v>8635</v>
      </c>
      <c r="D869" s="2102"/>
      <c r="E869" s="627"/>
      <c r="F869" s="628" t="s">
        <v>431</v>
      </c>
      <c r="G869" s="2103">
        <f>IF(G868="","",G868+10)</f>
        <v>8650</v>
      </c>
      <c r="H869" s="2104"/>
    </row>
    <row r="870" spans="1:8" ht="15.5" x14ac:dyDescent="0.35">
      <c r="A870" s="625"/>
      <c r="B870" s="626" t="s">
        <v>430</v>
      </c>
      <c r="C870" s="2101">
        <f>IF(C869="","",C869+10)</f>
        <v>8645</v>
      </c>
      <c r="D870" s="2102"/>
      <c r="E870" s="627"/>
      <c r="F870" s="628" t="s">
        <v>431</v>
      </c>
      <c r="G870" s="2103">
        <f>IF(G869="","",G869+10)</f>
        <v>8660</v>
      </c>
      <c r="H870" s="2104"/>
    </row>
    <row r="871" spans="1:8" ht="15.5" x14ac:dyDescent="0.35">
      <c r="A871" s="625">
        <f>A868+30</f>
        <v>8655</v>
      </c>
      <c r="B871" s="626" t="s">
        <v>430</v>
      </c>
      <c r="C871" s="2101">
        <f>IF(A871="","",A871)</f>
        <v>8655</v>
      </c>
      <c r="D871" s="2102"/>
      <c r="E871" s="627">
        <f>E868+30</f>
        <v>8670</v>
      </c>
      <c r="F871" s="628" t="s">
        <v>431</v>
      </c>
      <c r="G871" s="2103">
        <f>IF(E871="","",E871)</f>
        <v>8670</v>
      </c>
      <c r="H871" s="2104"/>
    </row>
    <row r="872" spans="1:8" ht="15.5" x14ac:dyDescent="0.35">
      <c r="A872" s="625"/>
      <c r="B872" s="626" t="s">
        <v>430</v>
      </c>
      <c r="C872" s="2101">
        <f>IF(C871="","",C871+10)</f>
        <v>8665</v>
      </c>
      <c r="D872" s="2102"/>
      <c r="E872" s="627"/>
      <c r="F872" s="628" t="s">
        <v>431</v>
      </c>
      <c r="G872" s="2103">
        <f>IF(G871="","",G871+10)</f>
        <v>8680</v>
      </c>
      <c r="H872" s="2104"/>
    </row>
    <row r="873" spans="1:8" ht="15.5" x14ac:dyDescent="0.35">
      <c r="A873" s="625"/>
      <c r="B873" s="626" t="s">
        <v>430</v>
      </c>
      <c r="C873" s="2101">
        <f>IF(C872="","",C872+10)</f>
        <v>8675</v>
      </c>
      <c r="D873" s="2102"/>
      <c r="E873" s="627"/>
      <c r="F873" s="628" t="s">
        <v>431</v>
      </c>
      <c r="G873" s="2103">
        <f>IF(G872="","",G872+10)</f>
        <v>8690</v>
      </c>
      <c r="H873" s="2104"/>
    </row>
    <row r="874" spans="1:8" ht="15.5" x14ac:dyDescent="0.35">
      <c r="A874" s="625">
        <f>A871+30</f>
        <v>8685</v>
      </c>
      <c r="B874" s="626" t="s">
        <v>430</v>
      </c>
      <c r="C874" s="2101">
        <f>IF(A874="","",A874)</f>
        <v>8685</v>
      </c>
      <c r="D874" s="2102"/>
      <c r="E874" s="627">
        <f>E871+30</f>
        <v>8700</v>
      </c>
      <c r="F874" s="628" t="s">
        <v>431</v>
      </c>
      <c r="G874" s="2103">
        <f>IF(E874="","",E874)</f>
        <v>8700</v>
      </c>
      <c r="H874" s="2104"/>
    </row>
    <row r="875" spans="1:8" ht="15.5" x14ac:dyDescent="0.35">
      <c r="A875" s="625"/>
      <c r="B875" s="626" t="s">
        <v>430</v>
      </c>
      <c r="C875" s="2101">
        <f>IF(C874="","",C874+10)</f>
        <v>8695</v>
      </c>
      <c r="D875" s="2102"/>
      <c r="E875" s="627"/>
      <c r="F875" s="628" t="s">
        <v>431</v>
      </c>
      <c r="G875" s="2103">
        <f>IF(G874="","",G874+10)</f>
        <v>8710</v>
      </c>
      <c r="H875" s="2104"/>
    </row>
    <row r="876" spans="1:8" ht="15.5" x14ac:dyDescent="0.35">
      <c r="A876" s="625"/>
      <c r="B876" s="626" t="s">
        <v>430</v>
      </c>
      <c r="C876" s="2101">
        <f>IF(C875="","",C875+10)</f>
        <v>8705</v>
      </c>
      <c r="D876" s="2102"/>
      <c r="E876" s="627"/>
      <c r="F876" s="628" t="s">
        <v>431</v>
      </c>
      <c r="G876" s="2103">
        <f>IF(G875="","",G875+10)</f>
        <v>8720</v>
      </c>
      <c r="H876" s="2104"/>
    </row>
    <row r="877" spans="1:8" ht="15.5" x14ac:dyDescent="0.35">
      <c r="A877" s="625">
        <f>A874+30</f>
        <v>8715</v>
      </c>
      <c r="B877" s="626" t="s">
        <v>430</v>
      </c>
      <c r="C877" s="2101">
        <f>IF(A877="","",A877)</f>
        <v>8715</v>
      </c>
      <c r="D877" s="2102"/>
      <c r="E877" s="627">
        <f>E874+30</f>
        <v>8730</v>
      </c>
      <c r="F877" s="628" t="s">
        <v>431</v>
      </c>
      <c r="G877" s="2103">
        <f>IF(E877="","",E877)</f>
        <v>8730</v>
      </c>
      <c r="H877" s="2104"/>
    </row>
    <row r="878" spans="1:8" ht="15.5" x14ac:dyDescent="0.35">
      <c r="A878" s="625"/>
      <c r="B878" s="626" t="s">
        <v>430</v>
      </c>
      <c r="C878" s="2101">
        <f>IF(C877="","",C877+10)</f>
        <v>8725</v>
      </c>
      <c r="D878" s="2102"/>
      <c r="E878" s="627"/>
      <c r="F878" s="628" t="s">
        <v>431</v>
      </c>
      <c r="G878" s="2103">
        <f>IF(G877="","",G877+10)</f>
        <v>8740</v>
      </c>
      <c r="H878" s="2104"/>
    </row>
    <row r="879" spans="1:8" ht="15.5" x14ac:dyDescent="0.35">
      <c r="A879" s="625"/>
      <c r="B879" s="626" t="s">
        <v>430</v>
      </c>
      <c r="C879" s="2101">
        <f>IF(C878="","",C878+10)</f>
        <v>8735</v>
      </c>
      <c r="D879" s="2102"/>
      <c r="E879" s="627"/>
      <c r="F879" s="628" t="s">
        <v>431</v>
      </c>
      <c r="G879" s="2103">
        <f>IF(G878="","",G878+10)</f>
        <v>8750</v>
      </c>
      <c r="H879" s="2104"/>
    </row>
    <row r="880" spans="1:8" ht="15.5" x14ac:dyDescent="0.35">
      <c r="A880" s="625">
        <f>A877+30</f>
        <v>8745</v>
      </c>
      <c r="B880" s="626" t="s">
        <v>430</v>
      </c>
      <c r="C880" s="2101">
        <f>IF(A880="","",A880)</f>
        <v>8745</v>
      </c>
      <c r="D880" s="2102"/>
      <c r="E880" s="627">
        <f>E877+30</f>
        <v>8760</v>
      </c>
      <c r="F880" s="628" t="s">
        <v>431</v>
      </c>
      <c r="G880" s="2103">
        <f>IF(E880="","",E880)</f>
        <v>8760</v>
      </c>
      <c r="H880" s="2104"/>
    </row>
    <row r="881" spans="1:8" ht="15.5" x14ac:dyDescent="0.35">
      <c r="A881" s="625"/>
      <c r="B881" s="626" t="s">
        <v>430</v>
      </c>
      <c r="C881" s="2101">
        <f>IF(C880="","",C880+10)</f>
        <v>8755</v>
      </c>
      <c r="D881" s="2102"/>
      <c r="E881" s="627"/>
      <c r="F881" s="628" t="s">
        <v>431</v>
      </c>
      <c r="G881" s="2103">
        <f>IF(G880="","",G880+10)</f>
        <v>8770</v>
      </c>
      <c r="H881" s="2104"/>
    </row>
    <row r="882" spans="1:8" ht="15.5" x14ac:dyDescent="0.35">
      <c r="A882" s="625"/>
      <c r="B882" s="626" t="s">
        <v>430</v>
      </c>
      <c r="C882" s="2101">
        <f>IF(C881="","",C881+10)</f>
        <v>8765</v>
      </c>
      <c r="D882" s="2102"/>
      <c r="E882" s="627"/>
      <c r="F882" s="628" t="s">
        <v>431</v>
      </c>
      <c r="G882" s="2103">
        <f>IF(G881="","",G881+10)</f>
        <v>8780</v>
      </c>
      <c r="H882" s="2104"/>
    </row>
    <row r="883" spans="1:8" ht="15.5" x14ac:dyDescent="0.35">
      <c r="A883" s="625">
        <f>A880+30</f>
        <v>8775</v>
      </c>
      <c r="B883" s="626" t="s">
        <v>430</v>
      </c>
      <c r="C883" s="2101">
        <f>IF(A883="","",A883)</f>
        <v>8775</v>
      </c>
      <c r="D883" s="2102"/>
      <c r="E883" s="627">
        <f>E880+30</f>
        <v>8790</v>
      </c>
      <c r="F883" s="628" t="s">
        <v>431</v>
      </c>
      <c r="G883" s="2103">
        <f>IF(E883="","",E883)</f>
        <v>8790</v>
      </c>
      <c r="H883" s="2104"/>
    </row>
    <row r="884" spans="1:8" ht="15.5" x14ac:dyDescent="0.35">
      <c r="A884" s="625"/>
      <c r="B884" s="626" t="s">
        <v>430</v>
      </c>
      <c r="C884" s="2101">
        <f>IF(C883="","",C883+10)</f>
        <v>8785</v>
      </c>
      <c r="D884" s="2102"/>
      <c r="E884" s="627"/>
      <c r="F884" s="628" t="s">
        <v>431</v>
      </c>
      <c r="G884" s="2103">
        <f>IF(G883="","",G883+10)</f>
        <v>8800</v>
      </c>
      <c r="H884" s="2104"/>
    </row>
    <row r="885" spans="1:8" ht="15.5" x14ac:dyDescent="0.35">
      <c r="A885" s="625"/>
      <c r="B885" s="626" t="s">
        <v>430</v>
      </c>
      <c r="C885" s="2101">
        <f>IF(C884="","",C884+10)</f>
        <v>8795</v>
      </c>
      <c r="D885" s="2102"/>
      <c r="E885" s="627"/>
      <c r="F885" s="628" t="s">
        <v>431</v>
      </c>
      <c r="G885" s="2103">
        <f>IF(G884="","",G884+10)</f>
        <v>8810</v>
      </c>
      <c r="H885" s="2104"/>
    </row>
    <row r="886" spans="1:8" ht="15.5" x14ac:dyDescent="0.35">
      <c r="A886" s="625">
        <f>A883+30</f>
        <v>8805</v>
      </c>
      <c r="B886" s="626" t="s">
        <v>430</v>
      </c>
      <c r="C886" s="2101">
        <f>IF(A886="","",A886)</f>
        <v>8805</v>
      </c>
      <c r="D886" s="2102"/>
      <c r="E886" s="627">
        <f>E883+30</f>
        <v>8820</v>
      </c>
      <c r="F886" s="628" t="s">
        <v>431</v>
      </c>
      <c r="G886" s="2103">
        <f>IF(E886="","",E886)</f>
        <v>8820</v>
      </c>
      <c r="H886" s="2104"/>
    </row>
    <row r="887" spans="1:8" ht="15.5" x14ac:dyDescent="0.35">
      <c r="A887" s="625"/>
      <c r="B887" s="626" t="s">
        <v>430</v>
      </c>
      <c r="C887" s="2101">
        <f>IF(C886="","",C886+10)</f>
        <v>8815</v>
      </c>
      <c r="D887" s="2102"/>
      <c r="E887" s="627"/>
      <c r="F887" s="628" t="s">
        <v>431</v>
      </c>
      <c r="G887" s="2103">
        <f>IF(G886="","",G886+10)</f>
        <v>8830</v>
      </c>
      <c r="H887" s="2104"/>
    </row>
    <row r="888" spans="1:8" ht="15.5" x14ac:dyDescent="0.35">
      <c r="A888" s="625"/>
      <c r="B888" s="626" t="s">
        <v>430</v>
      </c>
      <c r="C888" s="2101">
        <f>IF(C887="","",C887+10)</f>
        <v>8825</v>
      </c>
      <c r="D888" s="2102"/>
      <c r="E888" s="627"/>
      <c r="F888" s="628" t="s">
        <v>431</v>
      </c>
      <c r="G888" s="2103">
        <f>IF(G887="","",G887+10)</f>
        <v>8840</v>
      </c>
      <c r="H888" s="2104"/>
    </row>
    <row r="889" spans="1:8" ht="15.5" x14ac:dyDescent="0.35">
      <c r="A889" s="625">
        <f>A886+30</f>
        <v>8835</v>
      </c>
      <c r="B889" s="626" t="s">
        <v>430</v>
      </c>
      <c r="C889" s="2101">
        <f>IF(A889="","",A889)</f>
        <v>8835</v>
      </c>
      <c r="D889" s="2102"/>
      <c r="E889" s="627">
        <f>E886+30</f>
        <v>8850</v>
      </c>
      <c r="F889" s="628" t="s">
        <v>431</v>
      </c>
      <c r="G889" s="2103">
        <f>IF(E889="","",E889)</f>
        <v>8850</v>
      </c>
      <c r="H889" s="2104"/>
    </row>
    <row r="890" spans="1:8" ht="15.5" x14ac:dyDescent="0.35">
      <c r="A890" s="625"/>
      <c r="B890" s="626" t="s">
        <v>430</v>
      </c>
      <c r="C890" s="2101">
        <f>IF(C889="","",C889+10)</f>
        <v>8845</v>
      </c>
      <c r="D890" s="2102"/>
      <c r="E890" s="627"/>
      <c r="F890" s="628" t="s">
        <v>431</v>
      </c>
      <c r="G890" s="2103">
        <f>IF(G889="","",G889+10)</f>
        <v>8860</v>
      </c>
      <c r="H890" s="2104"/>
    </row>
    <row r="891" spans="1:8" ht="15.5" x14ac:dyDescent="0.35">
      <c r="A891" s="625"/>
      <c r="B891" s="626" t="s">
        <v>430</v>
      </c>
      <c r="C891" s="2101">
        <f>IF(C890="","",C890+10)</f>
        <v>8855</v>
      </c>
      <c r="D891" s="2102"/>
      <c r="E891" s="627"/>
      <c r="F891" s="628" t="s">
        <v>431</v>
      </c>
      <c r="G891" s="2103">
        <f>IF(G890="","",G890+10)</f>
        <v>8870</v>
      </c>
      <c r="H891" s="2104"/>
    </row>
    <row r="892" spans="1:8" ht="15.5" x14ac:dyDescent="0.35">
      <c r="A892" s="625">
        <f>A889+30</f>
        <v>8865</v>
      </c>
      <c r="B892" s="626" t="s">
        <v>430</v>
      </c>
      <c r="C892" s="2101">
        <f>IF(A892="","",A892)</f>
        <v>8865</v>
      </c>
      <c r="D892" s="2102"/>
      <c r="E892" s="627">
        <f>E889+30</f>
        <v>8880</v>
      </c>
      <c r="F892" s="628" t="s">
        <v>431</v>
      </c>
      <c r="G892" s="2103">
        <f>IF(E892="","",E892)</f>
        <v>8880</v>
      </c>
      <c r="H892" s="2104"/>
    </row>
    <row r="893" spans="1:8" ht="15.5" x14ac:dyDescent="0.35">
      <c r="A893" s="625"/>
      <c r="B893" s="626" t="s">
        <v>430</v>
      </c>
      <c r="C893" s="2101">
        <f>IF(C892="","",C892+10)</f>
        <v>8875</v>
      </c>
      <c r="D893" s="2102"/>
      <c r="E893" s="627"/>
      <c r="F893" s="628" t="s">
        <v>431</v>
      </c>
      <c r="G893" s="2103">
        <f>IF(G892="","",G892+10)</f>
        <v>8890</v>
      </c>
      <c r="H893" s="2104"/>
    </row>
    <row r="894" spans="1:8" ht="15.5" x14ac:dyDescent="0.35">
      <c r="A894" s="625"/>
      <c r="B894" s="626" t="s">
        <v>430</v>
      </c>
      <c r="C894" s="2101">
        <f>IF(C893="","",C893+10)</f>
        <v>8885</v>
      </c>
      <c r="D894" s="2102"/>
      <c r="E894" s="627"/>
      <c r="F894" s="628" t="s">
        <v>431</v>
      </c>
      <c r="G894" s="2103">
        <f>IF(G893="","",G893+10)</f>
        <v>8900</v>
      </c>
      <c r="H894" s="2104"/>
    </row>
    <row r="895" spans="1:8" ht="15.5" x14ac:dyDescent="0.35">
      <c r="A895" s="625">
        <f>A892+30</f>
        <v>8895</v>
      </c>
      <c r="B895" s="626" t="s">
        <v>430</v>
      </c>
      <c r="C895" s="2101">
        <f>IF(A895="","",A895)</f>
        <v>8895</v>
      </c>
      <c r="D895" s="2102"/>
      <c r="E895" s="627">
        <f>E892+30</f>
        <v>8910</v>
      </c>
      <c r="F895" s="628" t="s">
        <v>431</v>
      </c>
      <c r="G895" s="2103">
        <f>IF(E895="","",E895)</f>
        <v>8910</v>
      </c>
      <c r="H895" s="2104"/>
    </row>
    <row r="896" spans="1:8" ht="15.5" x14ac:dyDescent="0.35">
      <c r="A896" s="625"/>
      <c r="B896" s="626" t="s">
        <v>430</v>
      </c>
      <c r="C896" s="2101">
        <f>IF(C895="","",C895+10)</f>
        <v>8905</v>
      </c>
      <c r="D896" s="2102"/>
      <c r="E896" s="627"/>
      <c r="F896" s="628" t="s">
        <v>431</v>
      </c>
      <c r="G896" s="2103">
        <f>IF(G895="","",G895+10)</f>
        <v>8920</v>
      </c>
      <c r="H896" s="2104"/>
    </row>
    <row r="897" spans="1:8" ht="15.5" x14ac:dyDescent="0.35">
      <c r="A897" s="625"/>
      <c r="B897" s="626" t="s">
        <v>430</v>
      </c>
      <c r="C897" s="2101">
        <f>IF(C896="","",C896+10)</f>
        <v>8915</v>
      </c>
      <c r="D897" s="2102"/>
      <c r="E897" s="627"/>
      <c r="F897" s="628" t="s">
        <v>431</v>
      </c>
      <c r="G897" s="2103">
        <f>IF(G896="","",G896+10)</f>
        <v>8930</v>
      </c>
      <c r="H897" s="2104"/>
    </row>
    <row r="898" spans="1:8" ht="15.5" x14ac:dyDescent="0.35">
      <c r="A898" s="625">
        <f>A895+30</f>
        <v>8925</v>
      </c>
      <c r="B898" s="626" t="s">
        <v>430</v>
      </c>
      <c r="C898" s="2101">
        <f>IF(A898="","",A898)</f>
        <v>8925</v>
      </c>
      <c r="D898" s="2102"/>
      <c r="E898" s="627">
        <f>E895+30</f>
        <v>8940</v>
      </c>
      <c r="F898" s="628" t="s">
        <v>431</v>
      </c>
      <c r="G898" s="2103">
        <f>IF(E898="","",E898)</f>
        <v>8940</v>
      </c>
      <c r="H898" s="2104"/>
    </row>
    <row r="899" spans="1:8" ht="15.5" x14ac:dyDescent="0.35">
      <c r="A899" s="625"/>
      <c r="B899" s="626" t="s">
        <v>430</v>
      </c>
      <c r="C899" s="2101">
        <f>IF(C898="","",C898+10)</f>
        <v>8935</v>
      </c>
      <c r="D899" s="2102"/>
      <c r="E899" s="627"/>
      <c r="F899" s="628" t="s">
        <v>431</v>
      </c>
      <c r="G899" s="2103">
        <f>IF(G898="","",G898+10)</f>
        <v>8950</v>
      </c>
      <c r="H899" s="2104"/>
    </row>
    <row r="900" spans="1:8" ht="15.5" x14ac:dyDescent="0.35">
      <c r="A900" s="625"/>
      <c r="B900" s="626" t="s">
        <v>430</v>
      </c>
      <c r="C900" s="2101">
        <f>IF(C899="","",C899+10)</f>
        <v>8945</v>
      </c>
      <c r="D900" s="2102"/>
      <c r="E900" s="627"/>
      <c r="F900" s="628" t="s">
        <v>431</v>
      </c>
      <c r="G900" s="2103">
        <f>IF(G899="","",G899+10)</f>
        <v>8960</v>
      </c>
      <c r="H900" s="2104"/>
    </row>
    <row r="901" spans="1:8" ht="15.5" x14ac:dyDescent="0.35">
      <c r="A901" s="625">
        <f>A898+30</f>
        <v>8955</v>
      </c>
      <c r="B901" s="626" t="s">
        <v>430</v>
      </c>
      <c r="C901" s="2101">
        <f>IF(A901="","",A901)</f>
        <v>8955</v>
      </c>
      <c r="D901" s="2102"/>
      <c r="E901" s="627">
        <f>E898+30</f>
        <v>8970</v>
      </c>
      <c r="F901" s="628" t="s">
        <v>431</v>
      </c>
      <c r="G901" s="2103">
        <f>IF(E901="","",E901)</f>
        <v>8970</v>
      </c>
      <c r="H901" s="2104"/>
    </row>
    <row r="902" spans="1:8" ht="15.5" x14ac:dyDescent="0.35">
      <c r="A902" s="625"/>
      <c r="B902" s="626" t="s">
        <v>430</v>
      </c>
      <c r="C902" s="2101">
        <f>IF(C901="","",C901+10)</f>
        <v>8965</v>
      </c>
      <c r="D902" s="2102"/>
      <c r="E902" s="627"/>
      <c r="F902" s="628" t="s">
        <v>431</v>
      </c>
      <c r="G902" s="2103">
        <f>IF(G901="","",G901+10)</f>
        <v>8980</v>
      </c>
      <c r="H902" s="2104"/>
    </row>
    <row r="903" spans="1:8" ht="15.5" x14ac:dyDescent="0.35">
      <c r="A903" s="625"/>
      <c r="B903" s="626" t="s">
        <v>430</v>
      </c>
      <c r="C903" s="2101">
        <f>IF(C902="","",C902+10)</f>
        <v>8975</v>
      </c>
      <c r="D903" s="2102"/>
      <c r="E903" s="627"/>
      <c r="F903" s="628" t="s">
        <v>431</v>
      </c>
      <c r="G903" s="2103">
        <f>IF(G902="","",G902+10)</f>
        <v>8990</v>
      </c>
      <c r="H903" s="2104"/>
    </row>
    <row r="904" spans="1:8" ht="15.5" x14ac:dyDescent="0.35">
      <c r="A904" s="625">
        <f>A901+30</f>
        <v>8985</v>
      </c>
      <c r="B904" s="626" t="s">
        <v>430</v>
      </c>
      <c r="C904" s="2101">
        <f>IF(A904="","",A904)</f>
        <v>8985</v>
      </c>
      <c r="D904" s="2102"/>
      <c r="E904" s="627">
        <f>E901+30</f>
        <v>9000</v>
      </c>
      <c r="F904" s="628" t="s">
        <v>431</v>
      </c>
      <c r="G904" s="2103">
        <f>IF(E904="","",E904)</f>
        <v>9000</v>
      </c>
      <c r="H904" s="2104"/>
    </row>
    <row r="905" spans="1:8" ht="15.5" x14ac:dyDescent="0.35">
      <c r="A905" s="625"/>
      <c r="B905" s="626" t="s">
        <v>430</v>
      </c>
      <c r="C905" s="2101">
        <f>IF(C904="","",C904+10)</f>
        <v>8995</v>
      </c>
      <c r="D905" s="2102"/>
      <c r="E905" s="627"/>
      <c r="F905" s="628" t="s">
        <v>431</v>
      </c>
      <c r="G905" s="2103">
        <f>IF(G904="","",G904+10)</f>
        <v>9010</v>
      </c>
      <c r="H905" s="2104"/>
    </row>
    <row r="906" spans="1:8" ht="15.5" x14ac:dyDescent="0.35">
      <c r="A906" s="625"/>
      <c r="B906" s="626" t="s">
        <v>430</v>
      </c>
      <c r="C906" s="2101">
        <f>IF(C905="","",C905+10)</f>
        <v>9005</v>
      </c>
      <c r="D906" s="2102"/>
      <c r="E906" s="627"/>
      <c r="F906" s="628" t="s">
        <v>431</v>
      </c>
      <c r="G906" s="2103">
        <f>IF(G905="","",G905+10)</f>
        <v>9020</v>
      </c>
      <c r="H906" s="2104"/>
    </row>
    <row r="907" spans="1:8" ht="15.5" x14ac:dyDescent="0.35">
      <c r="A907" s="625">
        <f>A904+30</f>
        <v>9015</v>
      </c>
      <c r="B907" s="626" t="s">
        <v>430</v>
      </c>
      <c r="C907" s="2101">
        <f>IF(A907="","",A907)</f>
        <v>9015</v>
      </c>
      <c r="D907" s="2102"/>
      <c r="E907" s="627">
        <f>E904+30</f>
        <v>9030</v>
      </c>
      <c r="F907" s="628" t="s">
        <v>431</v>
      </c>
      <c r="G907" s="2103">
        <f>IF(E907="","",E907)</f>
        <v>9030</v>
      </c>
      <c r="H907" s="2104"/>
    </row>
    <row r="908" spans="1:8" ht="15.5" x14ac:dyDescent="0.35">
      <c r="A908" s="625"/>
      <c r="B908" s="626" t="s">
        <v>430</v>
      </c>
      <c r="C908" s="2101">
        <f>IF(C907="","",C907+10)</f>
        <v>9025</v>
      </c>
      <c r="D908" s="2102"/>
      <c r="E908" s="627"/>
      <c r="F908" s="628" t="s">
        <v>431</v>
      </c>
      <c r="G908" s="2103">
        <f>IF(G907="","",G907+10)</f>
        <v>9040</v>
      </c>
      <c r="H908" s="2104"/>
    </row>
    <row r="909" spans="1:8" ht="15.5" x14ac:dyDescent="0.35">
      <c r="A909" s="625"/>
      <c r="B909" s="626" t="s">
        <v>430</v>
      </c>
      <c r="C909" s="2101">
        <f>IF(C908="","",C908+10)</f>
        <v>9035</v>
      </c>
      <c r="D909" s="2102"/>
      <c r="E909" s="627"/>
      <c r="F909" s="628" t="s">
        <v>431</v>
      </c>
      <c r="G909" s="2103">
        <f>IF(G908="","",G908+10)</f>
        <v>9050</v>
      </c>
      <c r="H909" s="2104"/>
    </row>
    <row r="910" spans="1:8" ht="15.5" x14ac:dyDescent="0.35">
      <c r="A910" s="625">
        <f>A907+30</f>
        <v>9045</v>
      </c>
      <c r="B910" s="626" t="s">
        <v>430</v>
      </c>
      <c r="C910" s="2101">
        <f>IF(A910="","",A910)</f>
        <v>9045</v>
      </c>
      <c r="D910" s="2102"/>
      <c r="E910" s="627">
        <f>E907+30</f>
        <v>9060</v>
      </c>
      <c r="F910" s="628" t="s">
        <v>431</v>
      </c>
      <c r="G910" s="2103">
        <f>IF(E910="","",E910)</f>
        <v>9060</v>
      </c>
      <c r="H910" s="2104"/>
    </row>
    <row r="911" spans="1:8" ht="15.5" x14ac:dyDescent="0.35">
      <c r="A911" s="625"/>
      <c r="B911" s="626" t="s">
        <v>430</v>
      </c>
      <c r="C911" s="2101">
        <f>IF(C910="","",C910+10)</f>
        <v>9055</v>
      </c>
      <c r="D911" s="2102"/>
      <c r="E911" s="627"/>
      <c r="F911" s="628" t="s">
        <v>431</v>
      </c>
      <c r="G911" s="2103">
        <f>IF(G910="","",G910+10)</f>
        <v>9070</v>
      </c>
      <c r="H911" s="2104"/>
    </row>
    <row r="912" spans="1:8" ht="15.5" x14ac:dyDescent="0.35">
      <c r="A912" s="625"/>
      <c r="B912" s="626" t="s">
        <v>430</v>
      </c>
      <c r="C912" s="2101">
        <f>IF(C911="","",C911+10)</f>
        <v>9065</v>
      </c>
      <c r="D912" s="2102"/>
      <c r="E912" s="627"/>
      <c r="F912" s="628" t="s">
        <v>431</v>
      </c>
      <c r="G912" s="2103">
        <f>IF(G911="","",G911+10)</f>
        <v>9080</v>
      </c>
      <c r="H912" s="2104"/>
    </row>
    <row r="913" spans="1:8" ht="15.5" x14ac:dyDescent="0.35">
      <c r="A913" s="625">
        <f>A910+30</f>
        <v>9075</v>
      </c>
      <c r="B913" s="626" t="s">
        <v>430</v>
      </c>
      <c r="C913" s="2101">
        <f>IF(A913="","",A913)</f>
        <v>9075</v>
      </c>
      <c r="D913" s="2102"/>
      <c r="E913" s="627">
        <f>E910+30</f>
        <v>9090</v>
      </c>
      <c r="F913" s="628" t="s">
        <v>431</v>
      </c>
      <c r="G913" s="2103">
        <f>IF(E913="","",E913)</f>
        <v>9090</v>
      </c>
      <c r="H913" s="2104"/>
    </row>
    <row r="914" spans="1:8" ht="15.5" x14ac:dyDescent="0.35">
      <c r="A914" s="625"/>
      <c r="B914" s="626" t="s">
        <v>430</v>
      </c>
      <c r="C914" s="2101">
        <f>IF(C913="","",C913+10)</f>
        <v>9085</v>
      </c>
      <c r="D914" s="2102"/>
      <c r="E914" s="627"/>
      <c r="F914" s="628" t="s">
        <v>431</v>
      </c>
      <c r="G914" s="2103">
        <f>IF(G913="","",G913+10)</f>
        <v>9100</v>
      </c>
      <c r="H914" s="2104"/>
    </row>
    <row r="915" spans="1:8" ht="15.5" x14ac:dyDescent="0.35">
      <c r="A915" s="625"/>
      <c r="B915" s="626" t="s">
        <v>430</v>
      </c>
      <c r="C915" s="2101">
        <f>IF(C914="","",C914+10)</f>
        <v>9095</v>
      </c>
      <c r="D915" s="2102"/>
      <c r="E915" s="627"/>
      <c r="F915" s="628" t="s">
        <v>431</v>
      </c>
      <c r="G915" s="2103">
        <f>IF(G914="","",G914+10)</f>
        <v>9110</v>
      </c>
      <c r="H915" s="2104"/>
    </row>
    <row r="916" spans="1:8" ht="15.5" x14ac:dyDescent="0.35">
      <c r="A916" s="625">
        <f>A913+30</f>
        <v>9105</v>
      </c>
      <c r="B916" s="626" t="s">
        <v>430</v>
      </c>
      <c r="C916" s="2101">
        <f>IF(A916="","",A916)</f>
        <v>9105</v>
      </c>
      <c r="D916" s="2102"/>
      <c r="E916" s="627">
        <f>E913+30</f>
        <v>9120</v>
      </c>
      <c r="F916" s="628" t="s">
        <v>431</v>
      </c>
      <c r="G916" s="2103">
        <f>IF(E916="","",E916)</f>
        <v>9120</v>
      </c>
      <c r="H916" s="2104"/>
    </row>
    <row r="917" spans="1:8" ht="15.5" x14ac:dyDescent="0.35">
      <c r="A917" s="625"/>
      <c r="B917" s="626" t="s">
        <v>430</v>
      </c>
      <c r="C917" s="2101">
        <f>IF(C916="","",C916+10)</f>
        <v>9115</v>
      </c>
      <c r="D917" s="2102"/>
      <c r="E917" s="627"/>
      <c r="F917" s="628" t="s">
        <v>431</v>
      </c>
      <c r="G917" s="2103">
        <f>IF(G916="","",G916+10)</f>
        <v>9130</v>
      </c>
      <c r="H917" s="2104"/>
    </row>
    <row r="918" spans="1:8" ht="15.5" x14ac:dyDescent="0.35">
      <c r="A918" s="625"/>
      <c r="B918" s="626" t="s">
        <v>430</v>
      </c>
      <c r="C918" s="2101">
        <f>IF(C917="","",C917+10)</f>
        <v>9125</v>
      </c>
      <c r="D918" s="2102"/>
      <c r="E918" s="627"/>
      <c r="F918" s="628" t="s">
        <v>431</v>
      </c>
      <c r="G918" s="2103">
        <f>IF(G917="","",G917+10)</f>
        <v>9140</v>
      </c>
      <c r="H918" s="2104"/>
    </row>
    <row r="919" spans="1:8" ht="15.5" x14ac:dyDescent="0.35">
      <c r="A919" s="625">
        <f>A916+30</f>
        <v>9135</v>
      </c>
      <c r="B919" s="626" t="s">
        <v>430</v>
      </c>
      <c r="C919" s="2101">
        <f>IF(A919="","",A919)</f>
        <v>9135</v>
      </c>
      <c r="D919" s="2102"/>
      <c r="E919" s="627">
        <f>E916+30</f>
        <v>9150</v>
      </c>
      <c r="F919" s="628" t="s">
        <v>431</v>
      </c>
      <c r="G919" s="2103">
        <f>IF(E919="","",E919)</f>
        <v>9150</v>
      </c>
      <c r="H919" s="2104"/>
    </row>
    <row r="920" spans="1:8" ht="15.5" x14ac:dyDescent="0.35">
      <c r="A920" s="625"/>
      <c r="B920" s="626" t="s">
        <v>430</v>
      </c>
      <c r="C920" s="2101">
        <f>IF(C919="","",C919+10)</f>
        <v>9145</v>
      </c>
      <c r="D920" s="2102"/>
      <c r="E920" s="627"/>
      <c r="F920" s="628" t="s">
        <v>431</v>
      </c>
      <c r="G920" s="2103">
        <f>IF(G919="","",G919+10)</f>
        <v>9160</v>
      </c>
      <c r="H920" s="2104"/>
    </row>
    <row r="921" spans="1:8" ht="15.5" x14ac:dyDescent="0.35">
      <c r="A921" s="625"/>
      <c r="B921" s="626" t="s">
        <v>430</v>
      </c>
      <c r="C921" s="2101">
        <f>IF(C920="","",C920+10)</f>
        <v>9155</v>
      </c>
      <c r="D921" s="2102"/>
      <c r="E921" s="627"/>
      <c r="F921" s="628" t="s">
        <v>431</v>
      </c>
      <c r="G921" s="2103">
        <f>IF(G920="","",G920+10)</f>
        <v>9170</v>
      </c>
      <c r="H921" s="2104"/>
    </row>
    <row r="922" spans="1:8" ht="15.5" x14ac:dyDescent="0.35">
      <c r="A922" s="625">
        <f>A919+30</f>
        <v>9165</v>
      </c>
      <c r="B922" s="626" t="s">
        <v>430</v>
      </c>
      <c r="C922" s="2101">
        <f>IF(A922="","",A922)</f>
        <v>9165</v>
      </c>
      <c r="D922" s="2102"/>
      <c r="E922" s="627">
        <f>E919+30</f>
        <v>9180</v>
      </c>
      <c r="F922" s="628" t="s">
        <v>431</v>
      </c>
      <c r="G922" s="2103">
        <f>IF(E922="","",E922)</f>
        <v>9180</v>
      </c>
      <c r="H922" s="2104"/>
    </row>
    <row r="923" spans="1:8" ht="15.5" x14ac:dyDescent="0.35">
      <c r="A923" s="625"/>
      <c r="B923" s="626" t="s">
        <v>430</v>
      </c>
      <c r="C923" s="2101">
        <f>IF(C922="","",C922+10)</f>
        <v>9175</v>
      </c>
      <c r="D923" s="2102"/>
      <c r="E923" s="627"/>
      <c r="F923" s="628" t="s">
        <v>431</v>
      </c>
      <c r="G923" s="2103">
        <f>IF(G922="","",G922+10)</f>
        <v>9190</v>
      </c>
      <c r="H923" s="2104"/>
    </row>
    <row r="924" spans="1:8" ht="15.5" x14ac:dyDescent="0.35">
      <c r="A924" s="625"/>
      <c r="B924" s="626" t="s">
        <v>430</v>
      </c>
      <c r="C924" s="2101">
        <f>IF(C923="","",C923+10)</f>
        <v>9185</v>
      </c>
      <c r="D924" s="2102"/>
      <c r="E924" s="627"/>
      <c r="F924" s="628" t="s">
        <v>431</v>
      </c>
      <c r="G924" s="2103">
        <f>IF(G923="","",G923+10)</f>
        <v>9200</v>
      </c>
      <c r="H924" s="2104"/>
    </row>
    <row r="925" spans="1:8" ht="15.5" x14ac:dyDescent="0.35">
      <c r="A925" s="625">
        <f>A922+30</f>
        <v>9195</v>
      </c>
      <c r="B925" s="626" t="s">
        <v>430</v>
      </c>
      <c r="C925" s="2101">
        <f>IF(A925="","",A925)</f>
        <v>9195</v>
      </c>
      <c r="D925" s="2102"/>
      <c r="E925" s="627">
        <f>E922+30</f>
        <v>9210</v>
      </c>
      <c r="F925" s="628" t="s">
        <v>431</v>
      </c>
      <c r="G925" s="2103">
        <f>IF(E925="","",E925)</f>
        <v>9210</v>
      </c>
      <c r="H925" s="2104"/>
    </row>
    <row r="926" spans="1:8" ht="15.5" x14ac:dyDescent="0.35">
      <c r="A926" s="625"/>
      <c r="B926" s="626" t="s">
        <v>430</v>
      </c>
      <c r="C926" s="2101">
        <f>IF(C925="","",C925+10)</f>
        <v>9205</v>
      </c>
      <c r="D926" s="2102"/>
      <c r="E926" s="627"/>
      <c r="F926" s="628" t="s">
        <v>431</v>
      </c>
      <c r="G926" s="2103">
        <f>IF(G925="","",G925+10)</f>
        <v>9220</v>
      </c>
      <c r="H926" s="2104"/>
    </row>
    <row r="927" spans="1:8" ht="15.5" x14ac:dyDescent="0.35">
      <c r="A927" s="625"/>
      <c r="B927" s="626" t="s">
        <v>430</v>
      </c>
      <c r="C927" s="2101">
        <f>IF(C926="","",C926+10)</f>
        <v>9215</v>
      </c>
      <c r="D927" s="2102"/>
      <c r="E927" s="627"/>
      <c r="F927" s="628" t="s">
        <v>431</v>
      </c>
      <c r="G927" s="2103">
        <f>IF(G926="","",G926+10)</f>
        <v>9230</v>
      </c>
      <c r="H927" s="2104"/>
    </row>
    <row r="928" spans="1:8" ht="15.5" x14ac:dyDescent="0.35">
      <c r="A928" s="625">
        <f>A925+30</f>
        <v>9225</v>
      </c>
      <c r="B928" s="626" t="s">
        <v>430</v>
      </c>
      <c r="C928" s="2101">
        <f>IF(A928="","",A928)</f>
        <v>9225</v>
      </c>
      <c r="D928" s="2102"/>
      <c r="E928" s="627">
        <f>E925+30</f>
        <v>9240</v>
      </c>
      <c r="F928" s="628" t="s">
        <v>431</v>
      </c>
      <c r="G928" s="2103">
        <f>IF(E928="","",E928)</f>
        <v>9240</v>
      </c>
      <c r="H928" s="2104"/>
    </row>
    <row r="929" spans="1:8" ht="15.5" x14ac:dyDescent="0.35">
      <c r="A929" s="625"/>
      <c r="B929" s="626" t="s">
        <v>430</v>
      </c>
      <c r="C929" s="2101">
        <f>IF(C928="","",C928+10)</f>
        <v>9235</v>
      </c>
      <c r="D929" s="2102"/>
      <c r="E929" s="627"/>
      <c r="F929" s="628" t="s">
        <v>431</v>
      </c>
      <c r="G929" s="2103">
        <f>IF(G928="","",G928+10)</f>
        <v>9250</v>
      </c>
      <c r="H929" s="2104"/>
    </row>
    <row r="930" spans="1:8" ht="15.5" x14ac:dyDescent="0.35">
      <c r="A930" s="625"/>
      <c r="B930" s="626" t="s">
        <v>430</v>
      </c>
      <c r="C930" s="2101">
        <f>IF(C929="","",C929+10)</f>
        <v>9245</v>
      </c>
      <c r="D930" s="2102"/>
      <c r="E930" s="627"/>
      <c r="F930" s="628" t="s">
        <v>431</v>
      </c>
      <c r="G930" s="2103">
        <f>IF(G929="","",G929+10)</f>
        <v>9260</v>
      </c>
      <c r="H930" s="2104"/>
    </row>
    <row r="931" spans="1:8" ht="15.5" x14ac:dyDescent="0.35">
      <c r="A931" s="625">
        <f>A928+30</f>
        <v>9255</v>
      </c>
      <c r="B931" s="626" t="s">
        <v>430</v>
      </c>
      <c r="C931" s="2101">
        <f>IF(A931="","",A931)</f>
        <v>9255</v>
      </c>
      <c r="D931" s="2102"/>
      <c r="E931" s="627">
        <f>E928+30</f>
        <v>9270</v>
      </c>
      <c r="F931" s="628" t="s">
        <v>431</v>
      </c>
      <c r="G931" s="2103">
        <f>IF(E931="","",E931)</f>
        <v>9270</v>
      </c>
      <c r="H931" s="2104"/>
    </row>
    <row r="932" spans="1:8" ht="15.5" x14ac:dyDescent="0.35">
      <c r="A932" s="625"/>
      <c r="B932" s="626" t="s">
        <v>430</v>
      </c>
      <c r="C932" s="2101">
        <f>IF(C931="","",C931+10)</f>
        <v>9265</v>
      </c>
      <c r="D932" s="2102"/>
      <c r="E932" s="627"/>
      <c r="F932" s="628" t="s">
        <v>431</v>
      </c>
      <c r="G932" s="2103">
        <f>IF(G931="","",G931+10)</f>
        <v>9280</v>
      </c>
      <c r="H932" s="2104"/>
    </row>
    <row r="933" spans="1:8" ht="15.5" x14ac:dyDescent="0.35">
      <c r="A933" s="625"/>
      <c r="B933" s="626" t="s">
        <v>430</v>
      </c>
      <c r="C933" s="2101">
        <f>IF(C932="","",C932+10)</f>
        <v>9275</v>
      </c>
      <c r="D933" s="2102"/>
      <c r="E933" s="627"/>
      <c r="F933" s="628" t="s">
        <v>431</v>
      </c>
      <c r="G933" s="2103">
        <f>IF(G932="","",G932+10)</f>
        <v>9290</v>
      </c>
      <c r="H933" s="2104"/>
    </row>
    <row r="934" spans="1:8" ht="15.5" x14ac:dyDescent="0.35">
      <c r="A934" s="625">
        <f>A931+30</f>
        <v>9285</v>
      </c>
      <c r="B934" s="626" t="s">
        <v>430</v>
      </c>
      <c r="C934" s="2101">
        <f>IF(A934="","",A934)</f>
        <v>9285</v>
      </c>
      <c r="D934" s="2102"/>
      <c r="E934" s="627">
        <f>E931+30</f>
        <v>9300</v>
      </c>
      <c r="F934" s="628" t="s">
        <v>431</v>
      </c>
      <c r="G934" s="2103">
        <f>IF(E934="","",E934)</f>
        <v>9300</v>
      </c>
      <c r="H934" s="2104"/>
    </row>
    <row r="935" spans="1:8" ht="15.5" x14ac:dyDescent="0.35">
      <c r="A935" s="625"/>
      <c r="B935" s="626" t="s">
        <v>430</v>
      </c>
      <c r="C935" s="2101">
        <f>IF(C934="","",C934+10)</f>
        <v>9295</v>
      </c>
      <c r="D935" s="2102"/>
      <c r="E935" s="627"/>
      <c r="F935" s="628" t="s">
        <v>431</v>
      </c>
      <c r="G935" s="2103">
        <f>IF(G934="","",G934+10)</f>
        <v>9310</v>
      </c>
      <c r="H935" s="2104"/>
    </row>
    <row r="936" spans="1:8" ht="15.5" x14ac:dyDescent="0.35">
      <c r="A936" s="625"/>
      <c r="B936" s="626" t="s">
        <v>430</v>
      </c>
      <c r="C936" s="2101">
        <f>IF(C935="","",C935+10)</f>
        <v>9305</v>
      </c>
      <c r="D936" s="2102"/>
      <c r="E936" s="627"/>
      <c r="F936" s="628" t="s">
        <v>431</v>
      </c>
      <c r="G936" s="2103">
        <f>IF(G935="","",G935+10)</f>
        <v>9320</v>
      </c>
      <c r="H936" s="2104"/>
    </row>
    <row r="937" spans="1:8" ht="15.5" x14ac:dyDescent="0.35">
      <c r="A937" s="625">
        <f>A934+30</f>
        <v>9315</v>
      </c>
      <c r="B937" s="626" t="s">
        <v>430</v>
      </c>
      <c r="C937" s="2101">
        <f>IF(A937="","",A937)</f>
        <v>9315</v>
      </c>
      <c r="D937" s="2102"/>
      <c r="E937" s="627">
        <f>E934+30</f>
        <v>9330</v>
      </c>
      <c r="F937" s="628" t="s">
        <v>431</v>
      </c>
      <c r="G937" s="2103">
        <f>IF(E937="","",E937)</f>
        <v>9330</v>
      </c>
      <c r="H937" s="2104"/>
    </row>
    <row r="938" spans="1:8" ht="15.5" x14ac:dyDescent="0.35">
      <c r="A938" s="625"/>
      <c r="B938" s="626" t="s">
        <v>430</v>
      </c>
      <c r="C938" s="2101">
        <f>IF(C937="","",C937+10)</f>
        <v>9325</v>
      </c>
      <c r="D938" s="2102"/>
      <c r="E938" s="627"/>
      <c r="F938" s="628" t="s">
        <v>431</v>
      </c>
      <c r="G938" s="2103">
        <f>IF(G937="","",G937+10)</f>
        <v>9340</v>
      </c>
      <c r="H938" s="2104"/>
    </row>
    <row r="939" spans="1:8" ht="15.5" x14ac:dyDescent="0.35">
      <c r="A939" s="625"/>
      <c r="B939" s="626" t="s">
        <v>430</v>
      </c>
      <c r="C939" s="2101">
        <f>IF(C938="","",C938+10)</f>
        <v>9335</v>
      </c>
      <c r="D939" s="2102"/>
      <c r="E939" s="627"/>
      <c r="F939" s="628" t="s">
        <v>431</v>
      </c>
      <c r="G939" s="2103">
        <f>IF(G938="","",G938+10)</f>
        <v>9350</v>
      </c>
      <c r="H939" s="2104"/>
    </row>
    <row r="940" spans="1:8" ht="15.5" x14ac:dyDescent="0.35">
      <c r="A940" s="625">
        <f>A937+30</f>
        <v>9345</v>
      </c>
      <c r="B940" s="626" t="s">
        <v>430</v>
      </c>
      <c r="C940" s="2101">
        <f>IF(A940="","",A940)</f>
        <v>9345</v>
      </c>
      <c r="D940" s="2102"/>
      <c r="E940" s="627">
        <f>E937+30</f>
        <v>9360</v>
      </c>
      <c r="F940" s="628" t="s">
        <v>431</v>
      </c>
      <c r="G940" s="2103">
        <f>IF(E940="","",E940)</f>
        <v>9360</v>
      </c>
      <c r="H940" s="2104"/>
    </row>
    <row r="941" spans="1:8" ht="15.5" x14ac:dyDescent="0.35">
      <c r="A941" s="625"/>
      <c r="B941" s="626" t="s">
        <v>430</v>
      </c>
      <c r="C941" s="2101">
        <f>IF(C940="","",C940+10)</f>
        <v>9355</v>
      </c>
      <c r="D941" s="2102"/>
      <c r="E941" s="627"/>
      <c r="F941" s="628" t="s">
        <v>431</v>
      </c>
      <c r="G941" s="2103">
        <f>IF(G940="","",G940+10)</f>
        <v>9370</v>
      </c>
      <c r="H941" s="2104"/>
    </row>
    <row r="942" spans="1:8" ht="15.5" x14ac:dyDescent="0.35">
      <c r="A942" s="625"/>
      <c r="B942" s="626" t="s">
        <v>430</v>
      </c>
      <c r="C942" s="2101">
        <f>IF(C941="","",C941+10)</f>
        <v>9365</v>
      </c>
      <c r="D942" s="2102"/>
      <c r="E942" s="627"/>
      <c r="F942" s="628" t="s">
        <v>431</v>
      </c>
      <c r="G942" s="2103">
        <f>IF(G941="","",G941+10)</f>
        <v>9380</v>
      </c>
      <c r="H942" s="2104"/>
    </row>
    <row r="943" spans="1:8" ht="15.5" x14ac:dyDescent="0.35">
      <c r="A943" s="625">
        <f>A940+30</f>
        <v>9375</v>
      </c>
      <c r="B943" s="626" t="s">
        <v>430</v>
      </c>
      <c r="C943" s="2101">
        <f>IF(A943="","",A943)</f>
        <v>9375</v>
      </c>
      <c r="D943" s="2102"/>
      <c r="E943" s="627">
        <f>E940+30</f>
        <v>9390</v>
      </c>
      <c r="F943" s="628" t="s">
        <v>431</v>
      </c>
      <c r="G943" s="2103">
        <f>IF(E943="","",E943)</f>
        <v>9390</v>
      </c>
      <c r="H943" s="2104"/>
    </row>
    <row r="944" spans="1:8" ht="15.5" x14ac:dyDescent="0.35">
      <c r="A944" s="625"/>
      <c r="B944" s="626" t="s">
        <v>430</v>
      </c>
      <c r="C944" s="2101">
        <f>IF(C943="","",C943+10)</f>
        <v>9385</v>
      </c>
      <c r="D944" s="2102"/>
      <c r="E944" s="627"/>
      <c r="F944" s="628" t="s">
        <v>431</v>
      </c>
      <c r="G944" s="2103">
        <f>IF(G943="","",G943+10)</f>
        <v>9400</v>
      </c>
      <c r="H944" s="2104"/>
    </row>
    <row r="945" spans="1:8" ht="15.5" x14ac:dyDescent="0.35">
      <c r="A945" s="625"/>
      <c r="B945" s="626" t="s">
        <v>430</v>
      </c>
      <c r="C945" s="2101">
        <f>IF(C944="","",C944+10)</f>
        <v>9395</v>
      </c>
      <c r="D945" s="2102"/>
      <c r="E945" s="627"/>
      <c r="F945" s="628" t="s">
        <v>431</v>
      </c>
      <c r="G945" s="2103">
        <f>IF(G944="","",G944+10)</f>
        <v>9410</v>
      </c>
      <c r="H945" s="2104"/>
    </row>
    <row r="946" spans="1:8" ht="15.5" x14ac:dyDescent="0.35">
      <c r="A946" s="625">
        <f>A943+30</f>
        <v>9405</v>
      </c>
      <c r="B946" s="626" t="s">
        <v>430</v>
      </c>
      <c r="C946" s="2101">
        <f>IF(A946="","",A946)</f>
        <v>9405</v>
      </c>
      <c r="D946" s="2102"/>
      <c r="E946" s="627">
        <f>E943+30</f>
        <v>9420</v>
      </c>
      <c r="F946" s="628" t="s">
        <v>431</v>
      </c>
      <c r="G946" s="2103">
        <f>IF(E946="","",E946)</f>
        <v>9420</v>
      </c>
      <c r="H946" s="2104"/>
    </row>
    <row r="947" spans="1:8" ht="15.5" x14ac:dyDescent="0.35">
      <c r="A947" s="625"/>
      <c r="B947" s="626" t="s">
        <v>430</v>
      </c>
      <c r="C947" s="2101">
        <f>IF(C946="","",C946+10)</f>
        <v>9415</v>
      </c>
      <c r="D947" s="2102"/>
      <c r="E947" s="627"/>
      <c r="F947" s="628" t="s">
        <v>431</v>
      </c>
      <c r="G947" s="2103">
        <f>IF(G946="","",G946+10)</f>
        <v>9430</v>
      </c>
      <c r="H947" s="2104"/>
    </row>
    <row r="948" spans="1:8" ht="15.5" x14ac:dyDescent="0.35">
      <c r="A948" s="625"/>
      <c r="B948" s="626" t="s">
        <v>430</v>
      </c>
      <c r="C948" s="2101">
        <f>IF(C947="","",C947+10)</f>
        <v>9425</v>
      </c>
      <c r="D948" s="2102"/>
      <c r="E948" s="627"/>
      <c r="F948" s="628" t="s">
        <v>431</v>
      </c>
      <c r="G948" s="2103">
        <f>IF(G947="","",G947+10)</f>
        <v>9440</v>
      </c>
      <c r="H948" s="2104"/>
    </row>
    <row r="949" spans="1:8" ht="15.5" x14ac:dyDescent="0.35">
      <c r="A949" s="625">
        <f>A946+30</f>
        <v>9435</v>
      </c>
      <c r="B949" s="626" t="s">
        <v>430</v>
      </c>
      <c r="C949" s="2101">
        <f>IF(A949="","",A949)</f>
        <v>9435</v>
      </c>
      <c r="D949" s="2102"/>
      <c r="E949" s="627">
        <f>E946+30</f>
        <v>9450</v>
      </c>
      <c r="F949" s="628" t="s">
        <v>431</v>
      </c>
      <c r="G949" s="2103">
        <f>IF(E949="","",E949)</f>
        <v>9450</v>
      </c>
      <c r="H949" s="2104"/>
    </row>
    <row r="950" spans="1:8" ht="15.5" x14ac:dyDescent="0.35">
      <c r="A950" s="625"/>
      <c r="B950" s="626" t="s">
        <v>430</v>
      </c>
      <c r="C950" s="2101">
        <f>IF(C949="","",C949+10)</f>
        <v>9445</v>
      </c>
      <c r="D950" s="2102"/>
      <c r="E950" s="627"/>
      <c r="F950" s="628" t="s">
        <v>431</v>
      </c>
      <c r="G950" s="2103">
        <f>IF(G949="","",G949+10)</f>
        <v>9460</v>
      </c>
      <c r="H950" s="2104"/>
    </row>
    <row r="951" spans="1:8" ht="15.5" x14ac:dyDescent="0.35">
      <c r="A951" s="625"/>
      <c r="B951" s="626" t="s">
        <v>430</v>
      </c>
      <c r="C951" s="2101">
        <f>IF(C950="","",C950+10)</f>
        <v>9455</v>
      </c>
      <c r="D951" s="2102"/>
      <c r="E951" s="627"/>
      <c r="F951" s="628" t="s">
        <v>431</v>
      </c>
      <c r="G951" s="2103">
        <f>IF(G950="","",G950+10)</f>
        <v>9470</v>
      </c>
      <c r="H951" s="2104"/>
    </row>
    <row r="952" spans="1:8" ht="15.5" x14ac:dyDescent="0.35">
      <c r="A952" s="625">
        <f>A949+30</f>
        <v>9465</v>
      </c>
      <c r="B952" s="626" t="s">
        <v>430</v>
      </c>
      <c r="C952" s="2101">
        <f>IF(A952="","",A952)</f>
        <v>9465</v>
      </c>
      <c r="D952" s="2102"/>
      <c r="E952" s="627">
        <f>E949+30</f>
        <v>9480</v>
      </c>
      <c r="F952" s="628" t="s">
        <v>431</v>
      </c>
      <c r="G952" s="2103">
        <f>IF(E952="","",E952)</f>
        <v>9480</v>
      </c>
      <c r="H952" s="2104"/>
    </row>
    <row r="953" spans="1:8" ht="15.5" x14ac:dyDescent="0.35">
      <c r="A953" s="625"/>
      <c r="B953" s="626" t="s">
        <v>430</v>
      </c>
      <c r="C953" s="2101">
        <f>IF(C952="","",C952+10)</f>
        <v>9475</v>
      </c>
      <c r="D953" s="2102"/>
      <c r="E953" s="627"/>
      <c r="F953" s="628" t="s">
        <v>431</v>
      </c>
      <c r="G953" s="2103">
        <f>IF(G952="","",G952+10)</f>
        <v>9490</v>
      </c>
      <c r="H953" s="2104"/>
    </row>
    <row r="954" spans="1:8" ht="15.5" x14ac:dyDescent="0.35">
      <c r="A954" s="625"/>
      <c r="B954" s="626" t="s">
        <v>430</v>
      </c>
      <c r="C954" s="2101">
        <f>IF(C953="","",C953+10)</f>
        <v>9485</v>
      </c>
      <c r="D954" s="2102"/>
      <c r="E954" s="627"/>
      <c r="F954" s="628" t="s">
        <v>431</v>
      </c>
      <c r="G954" s="2103">
        <f>IF(G953="","",G953+10)</f>
        <v>9500</v>
      </c>
      <c r="H954" s="2104"/>
    </row>
    <row r="955" spans="1:8" ht="15.5" x14ac:dyDescent="0.35">
      <c r="A955" s="625">
        <f>A952+30</f>
        <v>9495</v>
      </c>
      <c r="B955" s="626" t="s">
        <v>430</v>
      </c>
      <c r="C955" s="2101">
        <f>IF(A955="","",A955)</f>
        <v>9495</v>
      </c>
      <c r="D955" s="2102"/>
      <c r="E955" s="627">
        <f>E952+30</f>
        <v>9510</v>
      </c>
      <c r="F955" s="628" t="s">
        <v>431</v>
      </c>
      <c r="G955" s="2103">
        <f>IF(E955="","",E955)</f>
        <v>9510</v>
      </c>
      <c r="H955" s="2104"/>
    </row>
    <row r="956" spans="1:8" ht="15.5" x14ac:dyDescent="0.35">
      <c r="A956" s="625"/>
      <c r="B956" s="626" t="s">
        <v>430</v>
      </c>
      <c r="C956" s="2101">
        <f>IF(C955="","",C955+10)</f>
        <v>9505</v>
      </c>
      <c r="D956" s="2102"/>
      <c r="E956" s="627"/>
      <c r="F956" s="628" t="s">
        <v>431</v>
      </c>
      <c r="G956" s="2103">
        <f>IF(G955="","",G955+10)</f>
        <v>9520</v>
      </c>
      <c r="H956" s="2104"/>
    </row>
    <row r="957" spans="1:8" ht="15.5" x14ac:dyDescent="0.35">
      <c r="A957" s="625"/>
      <c r="B957" s="626" t="s">
        <v>430</v>
      </c>
      <c r="C957" s="2101">
        <f>IF(C956="","",C956+10)</f>
        <v>9515</v>
      </c>
      <c r="D957" s="2102"/>
      <c r="E957" s="627"/>
      <c r="F957" s="628" t="s">
        <v>431</v>
      </c>
      <c r="G957" s="2103">
        <f>IF(G956="","",G956+10)</f>
        <v>9530</v>
      </c>
      <c r="H957" s="2104"/>
    </row>
    <row r="958" spans="1:8" ht="15.5" x14ac:dyDescent="0.35">
      <c r="A958" s="625">
        <f>A955+30</f>
        <v>9525</v>
      </c>
      <c r="B958" s="626" t="s">
        <v>430</v>
      </c>
      <c r="C958" s="2101">
        <f>IF(A958="","",A958)</f>
        <v>9525</v>
      </c>
      <c r="D958" s="2102"/>
      <c r="E958" s="627">
        <f>E955+30</f>
        <v>9540</v>
      </c>
      <c r="F958" s="628" t="s">
        <v>431</v>
      </c>
      <c r="G958" s="2103">
        <f>IF(E958="","",E958)</f>
        <v>9540</v>
      </c>
      <c r="H958" s="2104"/>
    </row>
    <row r="959" spans="1:8" ht="15.5" x14ac:dyDescent="0.35">
      <c r="A959" s="625"/>
      <c r="B959" s="626" t="s">
        <v>430</v>
      </c>
      <c r="C959" s="2101">
        <f>IF(C958="","",C958+10)</f>
        <v>9535</v>
      </c>
      <c r="D959" s="2102"/>
      <c r="E959" s="627"/>
      <c r="F959" s="628" t="s">
        <v>431</v>
      </c>
      <c r="G959" s="2103">
        <f>IF(G958="","",G958+10)</f>
        <v>9550</v>
      </c>
      <c r="H959" s="2104"/>
    </row>
    <row r="960" spans="1:8" ht="15.5" x14ac:dyDescent="0.35">
      <c r="A960" s="625"/>
      <c r="B960" s="626" t="s">
        <v>430</v>
      </c>
      <c r="C960" s="2101">
        <f>IF(C959="","",C959+10)</f>
        <v>9545</v>
      </c>
      <c r="D960" s="2102"/>
      <c r="E960" s="627"/>
      <c r="F960" s="628" t="s">
        <v>431</v>
      </c>
      <c r="G960" s="2103">
        <f>IF(G959="","",G959+10)</f>
        <v>9560</v>
      </c>
      <c r="H960" s="2104"/>
    </row>
    <row r="961" spans="1:8" ht="15.5" x14ac:dyDescent="0.35">
      <c r="A961" s="625">
        <f>A958+30</f>
        <v>9555</v>
      </c>
      <c r="B961" s="626" t="s">
        <v>430</v>
      </c>
      <c r="C961" s="2101">
        <f>IF(A961="","",A961)</f>
        <v>9555</v>
      </c>
      <c r="D961" s="2102"/>
      <c r="E961" s="627">
        <f>E958+30</f>
        <v>9570</v>
      </c>
      <c r="F961" s="628" t="s">
        <v>431</v>
      </c>
      <c r="G961" s="2103">
        <f>IF(E961="","",E961)</f>
        <v>9570</v>
      </c>
      <c r="H961" s="2104"/>
    </row>
    <row r="962" spans="1:8" ht="15.5" x14ac:dyDescent="0.35">
      <c r="A962" s="625"/>
      <c r="B962" s="626" t="s">
        <v>430</v>
      </c>
      <c r="C962" s="2101">
        <f>IF(C961="","",C961+10)</f>
        <v>9565</v>
      </c>
      <c r="D962" s="2102"/>
      <c r="E962" s="627"/>
      <c r="F962" s="628" t="s">
        <v>431</v>
      </c>
      <c r="G962" s="2103">
        <f>IF(G961="","",G961+10)</f>
        <v>9580</v>
      </c>
      <c r="H962" s="2104"/>
    </row>
    <row r="963" spans="1:8" ht="15.5" x14ac:dyDescent="0.35">
      <c r="A963" s="625"/>
      <c r="B963" s="626" t="s">
        <v>430</v>
      </c>
      <c r="C963" s="2101">
        <f>IF(C962="","",C962+10)</f>
        <v>9575</v>
      </c>
      <c r="D963" s="2102"/>
      <c r="E963" s="627"/>
      <c r="F963" s="628" t="s">
        <v>431</v>
      </c>
      <c r="G963" s="2103">
        <f>IF(G962="","",G962+10)</f>
        <v>9590</v>
      </c>
      <c r="H963" s="2104"/>
    </row>
    <row r="964" spans="1:8" ht="15.5" x14ac:dyDescent="0.35">
      <c r="A964" s="625">
        <f>A961+30</f>
        <v>9585</v>
      </c>
      <c r="B964" s="626" t="s">
        <v>430</v>
      </c>
      <c r="C964" s="2101">
        <f>IF(A964="","",A964)</f>
        <v>9585</v>
      </c>
      <c r="D964" s="2102"/>
      <c r="E964" s="627">
        <f>E961+30</f>
        <v>9600</v>
      </c>
      <c r="F964" s="628" t="s">
        <v>431</v>
      </c>
      <c r="G964" s="2103">
        <f>IF(E964="","",E964)</f>
        <v>9600</v>
      </c>
      <c r="H964" s="2104"/>
    </row>
    <row r="965" spans="1:8" ht="15.5" x14ac:dyDescent="0.35">
      <c r="A965" s="625"/>
      <c r="B965" s="626" t="s">
        <v>430</v>
      </c>
      <c r="C965" s="2101">
        <f>IF(C964="","",C964+10)</f>
        <v>9595</v>
      </c>
      <c r="D965" s="2102"/>
      <c r="E965" s="627"/>
      <c r="F965" s="628" t="s">
        <v>431</v>
      </c>
      <c r="G965" s="2103">
        <f>IF(G964="","",G964+10)</f>
        <v>9610</v>
      </c>
      <c r="H965" s="2104"/>
    </row>
    <row r="966" spans="1:8" ht="15.5" x14ac:dyDescent="0.35">
      <c r="A966" s="625"/>
      <c r="B966" s="626" t="s">
        <v>430</v>
      </c>
      <c r="C966" s="2101">
        <f>IF(C965="","",C965+10)</f>
        <v>9605</v>
      </c>
      <c r="D966" s="2102"/>
      <c r="E966" s="627"/>
      <c r="F966" s="628" t="s">
        <v>431</v>
      </c>
      <c r="G966" s="2103">
        <f>IF(G965="","",G965+10)</f>
        <v>9620</v>
      </c>
      <c r="H966" s="2104"/>
    </row>
    <row r="967" spans="1:8" ht="15.5" x14ac:dyDescent="0.35">
      <c r="A967" s="625">
        <f>A964+30</f>
        <v>9615</v>
      </c>
      <c r="B967" s="626" t="s">
        <v>430</v>
      </c>
      <c r="C967" s="2101">
        <f>IF(A967="","",A967)</f>
        <v>9615</v>
      </c>
      <c r="D967" s="2102"/>
      <c r="E967" s="627">
        <f>E964+30</f>
        <v>9630</v>
      </c>
      <c r="F967" s="628" t="s">
        <v>431</v>
      </c>
      <c r="G967" s="2103">
        <f>IF(E967="","",E967)</f>
        <v>9630</v>
      </c>
      <c r="H967" s="2104"/>
    </row>
    <row r="968" spans="1:8" ht="15.5" x14ac:dyDescent="0.35">
      <c r="A968" s="625"/>
      <c r="B968" s="626" t="s">
        <v>430</v>
      </c>
      <c r="C968" s="2101">
        <f>IF(C967="","",C967+10)</f>
        <v>9625</v>
      </c>
      <c r="D968" s="2102"/>
      <c r="E968" s="627"/>
      <c r="F968" s="628" t="s">
        <v>431</v>
      </c>
      <c r="G968" s="2103">
        <f>IF(G967="","",G967+10)</f>
        <v>9640</v>
      </c>
      <c r="H968" s="2104"/>
    </row>
    <row r="969" spans="1:8" ht="15.5" x14ac:dyDescent="0.35">
      <c r="A969" s="625"/>
      <c r="B969" s="626" t="s">
        <v>430</v>
      </c>
      <c r="C969" s="2101">
        <f>IF(C968="","",C968+10)</f>
        <v>9635</v>
      </c>
      <c r="D969" s="2102"/>
      <c r="E969" s="627"/>
      <c r="F969" s="628" t="s">
        <v>431</v>
      </c>
      <c r="G969" s="2103">
        <f>IF(G968="","",G968+10)</f>
        <v>9650</v>
      </c>
      <c r="H969" s="2104"/>
    </row>
    <row r="970" spans="1:8" ht="15.5" x14ac:dyDescent="0.35">
      <c r="A970" s="625">
        <f>A967+30</f>
        <v>9645</v>
      </c>
      <c r="B970" s="626" t="s">
        <v>430</v>
      </c>
      <c r="C970" s="2101">
        <f>IF(A970="","",A970)</f>
        <v>9645</v>
      </c>
      <c r="D970" s="2102"/>
      <c r="E970" s="627">
        <f>E967+30</f>
        <v>9660</v>
      </c>
      <c r="F970" s="628" t="s">
        <v>431</v>
      </c>
      <c r="G970" s="2103">
        <f>IF(E970="","",E970)</f>
        <v>9660</v>
      </c>
      <c r="H970" s="2104"/>
    </row>
    <row r="971" spans="1:8" ht="15.5" x14ac:dyDescent="0.35">
      <c r="A971" s="625"/>
      <c r="B971" s="626" t="s">
        <v>430</v>
      </c>
      <c r="C971" s="2101">
        <f>IF(C970="","",C970+10)</f>
        <v>9655</v>
      </c>
      <c r="D971" s="2102"/>
      <c r="E971" s="627"/>
      <c r="F971" s="628" t="s">
        <v>431</v>
      </c>
      <c r="G971" s="2103">
        <f>IF(G970="","",G970+10)</f>
        <v>9670</v>
      </c>
      <c r="H971" s="2104"/>
    </row>
    <row r="972" spans="1:8" ht="15.5" x14ac:dyDescent="0.35">
      <c r="A972" s="625"/>
      <c r="B972" s="626" t="s">
        <v>430</v>
      </c>
      <c r="C972" s="2101">
        <f>IF(C971="","",C971+10)</f>
        <v>9665</v>
      </c>
      <c r="D972" s="2102"/>
      <c r="E972" s="627"/>
      <c r="F972" s="628" t="s">
        <v>431</v>
      </c>
      <c r="G972" s="2103">
        <f>IF(G971="","",G971+10)</f>
        <v>9680</v>
      </c>
      <c r="H972" s="2104"/>
    </row>
    <row r="973" spans="1:8" ht="15.5" x14ac:dyDescent="0.35">
      <c r="A973" s="625">
        <f>A970+30</f>
        <v>9675</v>
      </c>
      <c r="B973" s="626" t="s">
        <v>430</v>
      </c>
      <c r="C973" s="2101">
        <f>IF(A973="","",A973)</f>
        <v>9675</v>
      </c>
      <c r="D973" s="2102"/>
      <c r="E973" s="627">
        <f>E970+30</f>
        <v>9690</v>
      </c>
      <c r="F973" s="628" t="s">
        <v>431</v>
      </c>
      <c r="G973" s="2103">
        <f>IF(E973="","",E973)</f>
        <v>9690</v>
      </c>
      <c r="H973" s="2104"/>
    </row>
    <row r="974" spans="1:8" ht="15.5" x14ac:dyDescent="0.35">
      <c r="A974" s="625"/>
      <c r="B974" s="626" t="s">
        <v>430</v>
      </c>
      <c r="C974" s="2101">
        <f>IF(C973="","",C973+10)</f>
        <v>9685</v>
      </c>
      <c r="D974" s="2102"/>
      <c r="E974" s="627"/>
      <c r="F974" s="628" t="s">
        <v>431</v>
      </c>
      <c r="G974" s="2103">
        <f>IF(G973="","",G973+10)</f>
        <v>9700</v>
      </c>
      <c r="H974" s="2104"/>
    </row>
    <row r="975" spans="1:8" ht="15.5" x14ac:dyDescent="0.35">
      <c r="A975" s="625"/>
      <c r="B975" s="626" t="s">
        <v>430</v>
      </c>
      <c r="C975" s="2101">
        <f>IF(C974="","",C974+10)</f>
        <v>9695</v>
      </c>
      <c r="D975" s="2102"/>
      <c r="E975" s="627"/>
      <c r="F975" s="628" t="s">
        <v>431</v>
      </c>
      <c r="G975" s="2103">
        <f>IF(G974="","",G974+10)</f>
        <v>9710</v>
      </c>
      <c r="H975" s="2104"/>
    </row>
    <row r="976" spans="1:8" ht="15.5" x14ac:dyDescent="0.35">
      <c r="A976" s="625">
        <f>A973+30</f>
        <v>9705</v>
      </c>
      <c r="B976" s="626" t="s">
        <v>430</v>
      </c>
      <c r="C976" s="2101">
        <f>IF(A976="","",A976)</f>
        <v>9705</v>
      </c>
      <c r="D976" s="2102"/>
      <c r="E976" s="627">
        <f>E973+30</f>
        <v>9720</v>
      </c>
      <c r="F976" s="628" t="s">
        <v>431</v>
      </c>
      <c r="G976" s="2103">
        <f>IF(E976="","",E976)</f>
        <v>9720</v>
      </c>
      <c r="H976" s="2104"/>
    </row>
    <row r="977" spans="1:8" ht="15.5" x14ac:dyDescent="0.35">
      <c r="A977" s="625"/>
      <c r="B977" s="626" t="s">
        <v>430</v>
      </c>
      <c r="C977" s="2101">
        <f>IF(C976="","",C976+10)</f>
        <v>9715</v>
      </c>
      <c r="D977" s="2102"/>
      <c r="E977" s="627"/>
      <c r="F977" s="628" t="s">
        <v>431</v>
      </c>
      <c r="G977" s="2103">
        <f>IF(G976="","",G976+10)</f>
        <v>9730</v>
      </c>
      <c r="H977" s="2104"/>
    </row>
    <row r="978" spans="1:8" ht="15.5" x14ac:dyDescent="0.35">
      <c r="A978" s="625"/>
      <c r="B978" s="626" t="s">
        <v>430</v>
      </c>
      <c r="C978" s="2101">
        <f>IF(C977="","",C977+10)</f>
        <v>9725</v>
      </c>
      <c r="D978" s="2102"/>
      <c r="E978" s="627"/>
      <c r="F978" s="628" t="s">
        <v>431</v>
      </c>
      <c r="G978" s="2103">
        <f>IF(G977="","",G977+10)</f>
        <v>9740</v>
      </c>
      <c r="H978" s="2104"/>
    </row>
    <row r="979" spans="1:8" ht="15.5" x14ac:dyDescent="0.35">
      <c r="A979" s="625">
        <f>A976+30</f>
        <v>9735</v>
      </c>
      <c r="B979" s="626" t="s">
        <v>430</v>
      </c>
      <c r="C979" s="2101">
        <f>IF(A979="","",A979)</f>
        <v>9735</v>
      </c>
      <c r="D979" s="2102"/>
      <c r="E979" s="627">
        <f>E976+30</f>
        <v>9750</v>
      </c>
      <c r="F979" s="628" t="s">
        <v>431</v>
      </c>
      <c r="G979" s="2103">
        <f>IF(E979="","",E979)</f>
        <v>9750</v>
      </c>
      <c r="H979" s="2104"/>
    </row>
    <row r="980" spans="1:8" ht="15.5" x14ac:dyDescent="0.35">
      <c r="A980" s="625"/>
      <c r="B980" s="626" t="s">
        <v>430</v>
      </c>
      <c r="C980" s="2101">
        <f>IF(C979="","",C979+10)</f>
        <v>9745</v>
      </c>
      <c r="D980" s="2102"/>
      <c r="E980" s="627"/>
      <c r="F980" s="628" t="s">
        <v>431</v>
      </c>
      <c r="G980" s="2103">
        <f>IF(G979="","",G979+10)</f>
        <v>9760</v>
      </c>
      <c r="H980" s="2104"/>
    </row>
    <row r="981" spans="1:8" ht="15.5" x14ac:dyDescent="0.35">
      <c r="A981" s="625"/>
      <c r="B981" s="626" t="s">
        <v>430</v>
      </c>
      <c r="C981" s="2101">
        <f>IF(C980="","",C980+10)</f>
        <v>9755</v>
      </c>
      <c r="D981" s="2102"/>
      <c r="E981" s="627"/>
      <c r="F981" s="628" t="s">
        <v>431</v>
      </c>
      <c r="G981" s="2103">
        <f>IF(G980="","",G980+10)</f>
        <v>9770</v>
      </c>
      <c r="H981" s="2104"/>
    </row>
    <row r="982" spans="1:8" ht="15.5" x14ac:dyDescent="0.35">
      <c r="A982" s="625">
        <f>A979+30</f>
        <v>9765</v>
      </c>
      <c r="B982" s="626" t="s">
        <v>430</v>
      </c>
      <c r="C982" s="2101">
        <f>IF(A982="","",A982)</f>
        <v>9765</v>
      </c>
      <c r="D982" s="2102"/>
      <c r="E982" s="627">
        <f>E979+30</f>
        <v>9780</v>
      </c>
      <c r="F982" s="628" t="s">
        <v>431</v>
      </c>
      <c r="G982" s="2103">
        <f>IF(E982="","",E982)</f>
        <v>9780</v>
      </c>
      <c r="H982" s="2104"/>
    </row>
    <row r="983" spans="1:8" ht="15.5" x14ac:dyDescent="0.35">
      <c r="A983" s="625"/>
      <c r="B983" s="626" t="s">
        <v>430</v>
      </c>
      <c r="C983" s="2101">
        <f>IF(C982="","",C982+10)</f>
        <v>9775</v>
      </c>
      <c r="D983" s="2102"/>
      <c r="E983" s="627"/>
      <c r="F983" s="628" t="s">
        <v>431</v>
      </c>
      <c r="G983" s="2103">
        <f>IF(G982="","",G982+10)</f>
        <v>9790</v>
      </c>
      <c r="H983" s="2104"/>
    </row>
    <row r="984" spans="1:8" ht="15.5" x14ac:dyDescent="0.35">
      <c r="A984" s="625"/>
      <c r="B984" s="626" t="s">
        <v>430</v>
      </c>
      <c r="C984" s="2101">
        <f>IF(C983="","",C983+10)</f>
        <v>9785</v>
      </c>
      <c r="D984" s="2102"/>
      <c r="E984" s="627"/>
      <c r="F984" s="628" t="s">
        <v>431</v>
      </c>
      <c r="G984" s="2103">
        <f>IF(G983="","",G983+10)</f>
        <v>9800</v>
      </c>
      <c r="H984" s="2104"/>
    </row>
    <row r="985" spans="1:8" ht="15.5" x14ac:dyDescent="0.35">
      <c r="A985" s="625">
        <f>A982+30</f>
        <v>9795</v>
      </c>
      <c r="B985" s="626" t="s">
        <v>430</v>
      </c>
      <c r="C985" s="2101">
        <f>IF(A985="","",A985)</f>
        <v>9795</v>
      </c>
      <c r="D985" s="2102"/>
      <c r="E985" s="627">
        <f>E982+30</f>
        <v>9810</v>
      </c>
      <c r="F985" s="628" t="s">
        <v>431</v>
      </c>
      <c r="G985" s="2103">
        <f>IF(E985="","",E985)</f>
        <v>9810</v>
      </c>
      <c r="H985" s="2104"/>
    </row>
    <row r="986" spans="1:8" ht="15.5" x14ac:dyDescent="0.35">
      <c r="A986" s="625"/>
      <c r="B986" s="626" t="s">
        <v>430</v>
      </c>
      <c r="C986" s="2101">
        <f>IF(C985="","",C985+10)</f>
        <v>9805</v>
      </c>
      <c r="D986" s="2102"/>
      <c r="E986" s="627"/>
      <c r="F986" s="628" t="s">
        <v>431</v>
      </c>
      <c r="G986" s="2103">
        <f>IF(G985="","",G985+10)</f>
        <v>9820</v>
      </c>
      <c r="H986" s="2104"/>
    </row>
    <row r="987" spans="1:8" ht="15.5" x14ac:dyDescent="0.35">
      <c r="A987" s="625"/>
      <c r="B987" s="626" t="s">
        <v>430</v>
      </c>
      <c r="C987" s="2101">
        <f>IF(C986="","",C986+10)</f>
        <v>9815</v>
      </c>
      <c r="D987" s="2102"/>
      <c r="E987" s="627"/>
      <c r="F987" s="628" t="s">
        <v>431</v>
      </c>
      <c r="G987" s="2103">
        <f>IF(G986="","",G986+10)</f>
        <v>9830</v>
      </c>
      <c r="H987" s="2104"/>
    </row>
    <row r="988" spans="1:8" ht="15.5" x14ac:dyDescent="0.35">
      <c r="A988" s="625">
        <f>A985+30</f>
        <v>9825</v>
      </c>
      <c r="B988" s="626" t="s">
        <v>430</v>
      </c>
      <c r="C988" s="2101">
        <f>IF(A988="","",A988)</f>
        <v>9825</v>
      </c>
      <c r="D988" s="2102"/>
      <c r="E988" s="627">
        <f>E985+30</f>
        <v>9840</v>
      </c>
      <c r="F988" s="628" t="s">
        <v>431</v>
      </c>
      <c r="G988" s="2103">
        <f>IF(E988="","",E988)</f>
        <v>9840</v>
      </c>
      <c r="H988" s="2104"/>
    </row>
    <row r="989" spans="1:8" ht="15.5" x14ac:dyDescent="0.35">
      <c r="A989" s="625"/>
      <c r="B989" s="626" t="s">
        <v>430</v>
      </c>
      <c r="C989" s="2101">
        <f>IF(C988="","",C988+10)</f>
        <v>9835</v>
      </c>
      <c r="D989" s="2102"/>
      <c r="E989" s="627"/>
      <c r="F989" s="628" t="s">
        <v>431</v>
      </c>
      <c r="G989" s="2103">
        <f>IF(G988="","",G988+10)</f>
        <v>9850</v>
      </c>
      <c r="H989" s="2104"/>
    </row>
    <row r="990" spans="1:8" ht="15.5" x14ac:dyDescent="0.35">
      <c r="A990" s="625"/>
      <c r="B990" s="626" t="s">
        <v>430</v>
      </c>
      <c r="C990" s="2101">
        <f>IF(C989="","",C989+10)</f>
        <v>9845</v>
      </c>
      <c r="D990" s="2102"/>
      <c r="E990" s="627"/>
      <c r="F990" s="628" t="s">
        <v>431</v>
      </c>
      <c r="G990" s="2103">
        <f>IF(G989="","",G989+10)</f>
        <v>9860</v>
      </c>
      <c r="H990" s="2104"/>
    </row>
    <row r="991" spans="1:8" ht="15.5" x14ac:dyDescent="0.35">
      <c r="A991" s="625">
        <f>A988+30</f>
        <v>9855</v>
      </c>
      <c r="B991" s="626" t="s">
        <v>430</v>
      </c>
      <c r="C991" s="2101">
        <f>IF(A991="","",A991)</f>
        <v>9855</v>
      </c>
      <c r="D991" s="2102"/>
      <c r="E991" s="627">
        <f>E988+30</f>
        <v>9870</v>
      </c>
      <c r="F991" s="628" t="s">
        <v>431</v>
      </c>
      <c r="G991" s="2103">
        <f>IF(E991="","",E991)</f>
        <v>9870</v>
      </c>
      <c r="H991" s="2104"/>
    </row>
    <row r="992" spans="1:8" ht="15.5" x14ac:dyDescent="0.35">
      <c r="A992" s="625"/>
      <c r="B992" s="626" t="s">
        <v>430</v>
      </c>
      <c r="C992" s="2101">
        <f>IF(C991="","",C991+10)</f>
        <v>9865</v>
      </c>
      <c r="D992" s="2102"/>
      <c r="E992" s="627"/>
      <c r="F992" s="628" t="s">
        <v>431</v>
      </c>
      <c r="G992" s="2103">
        <f>IF(G991="","",G991+10)</f>
        <v>9880</v>
      </c>
      <c r="H992" s="2104"/>
    </row>
    <row r="993" spans="1:8" ht="15.5" x14ac:dyDescent="0.35">
      <c r="A993" s="625"/>
      <c r="B993" s="626" t="s">
        <v>430</v>
      </c>
      <c r="C993" s="2101">
        <f>IF(C992="","",C992+10)</f>
        <v>9875</v>
      </c>
      <c r="D993" s="2102"/>
      <c r="E993" s="627"/>
      <c r="F993" s="628" t="s">
        <v>431</v>
      </c>
      <c r="G993" s="2103">
        <f>IF(G992="","",G992+10)</f>
        <v>9890</v>
      </c>
      <c r="H993" s="2104"/>
    </row>
    <row r="994" spans="1:8" ht="15.5" x14ac:dyDescent="0.35">
      <c r="A994" s="625">
        <f>A991+30</f>
        <v>9885</v>
      </c>
      <c r="B994" s="626" t="s">
        <v>430</v>
      </c>
      <c r="C994" s="2101">
        <f>IF(A994="","",A994)</f>
        <v>9885</v>
      </c>
      <c r="D994" s="2102"/>
      <c r="E994" s="627">
        <f>E991+30</f>
        <v>9900</v>
      </c>
      <c r="F994" s="628" t="s">
        <v>431</v>
      </c>
      <c r="G994" s="2103">
        <f>IF(E994="","",E994)</f>
        <v>9900</v>
      </c>
      <c r="H994" s="2104"/>
    </row>
    <row r="995" spans="1:8" ht="15.5" x14ac:dyDescent="0.35">
      <c r="A995" s="625"/>
      <c r="B995" s="626" t="s">
        <v>430</v>
      </c>
      <c r="C995" s="2101">
        <f>IF(C994="","",C994+10)</f>
        <v>9895</v>
      </c>
      <c r="D995" s="2102"/>
      <c r="E995" s="627"/>
      <c r="F995" s="628" t="s">
        <v>431</v>
      </c>
      <c r="G995" s="2103">
        <f>IF(G994="","",G994+10)</f>
        <v>9910</v>
      </c>
      <c r="H995" s="2104"/>
    </row>
    <row r="996" spans="1:8" ht="15.5" x14ac:dyDescent="0.35">
      <c r="A996" s="625"/>
      <c r="B996" s="626" t="s">
        <v>430</v>
      </c>
      <c r="C996" s="2101">
        <f>IF(C995="","",C995+10)</f>
        <v>9905</v>
      </c>
      <c r="D996" s="2102"/>
      <c r="E996" s="627"/>
      <c r="F996" s="628" t="s">
        <v>431</v>
      </c>
      <c r="G996" s="2103">
        <f>IF(G995="","",G995+10)</f>
        <v>9920</v>
      </c>
      <c r="H996" s="2104"/>
    </row>
    <row r="997" spans="1:8" ht="15.5" x14ac:dyDescent="0.35">
      <c r="A997" s="625">
        <f>A994+30</f>
        <v>9915</v>
      </c>
      <c r="B997" s="626" t="s">
        <v>430</v>
      </c>
      <c r="C997" s="2101">
        <f>IF(A997="","",A997)</f>
        <v>9915</v>
      </c>
      <c r="D997" s="2102"/>
      <c r="E997" s="627">
        <f>E994+30</f>
        <v>9930</v>
      </c>
      <c r="F997" s="628" t="s">
        <v>431</v>
      </c>
      <c r="G997" s="2103">
        <f>IF(E997="","",E997)</f>
        <v>9930</v>
      </c>
      <c r="H997" s="2104"/>
    </row>
    <row r="998" spans="1:8" ht="15.5" x14ac:dyDescent="0.35">
      <c r="A998" s="625"/>
      <c r="B998" s="626" t="s">
        <v>430</v>
      </c>
      <c r="C998" s="2101">
        <f>IF(C997="","",C997+10)</f>
        <v>9925</v>
      </c>
      <c r="D998" s="2102"/>
      <c r="E998" s="627"/>
      <c r="F998" s="628" t="s">
        <v>431</v>
      </c>
      <c r="G998" s="2103">
        <f>IF(G997="","",G997+10)</f>
        <v>9940</v>
      </c>
      <c r="H998" s="2104"/>
    </row>
    <row r="999" spans="1:8" ht="15.5" x14ac:dyDescent="0.35">
      <c r="A999" s="625"/>
      <c r="B999" s="626" t="s">
        <v>430</v>
      </c>
      <c r="C999" s="2101">
        <f>IF(C998="","",C998+10)</f>
        <v>9935</v>
      </c>
      <c r="D999" s="2102"/>
      <c r="E999" s="627"/>
      <c r="F999" s="628" t="s">
        <v>431</v>
      </c>
      <c r="G999" s="2103">
        <f>IF(G998="","",G998+10)</f>
        <v>9950</v>
      </c>
      <c r="H999" s="2104"/>
    </row>
    <row r="1000" spans="1:8" ht="15.5" x14ac:dyDescent="0.35">
      <c r="A1000" s="625">
        <f>A997+30</f>
        <v>9945</v>
      </c>
      <c r="B1000" s="626" t="s">
        <v>430</v>
      </c>
      <c r="C1000" s="2101">
        <f>IF(A1000="","",A1000)</f>
        <v>9945</v>
      </c>
      <c r="D1000" s="2102"/>
      <c r="E1000" s="627">
        <f>E997+30</f>
        <v>9960</v>
      </c>
      <c r="F1000" s="628" t="s">
        <v>431</v>
      </c>
      <c r="G1000" s="2103">
        <f>IF(E1000="","",E1000)</f>
        <v>9960</v>
      </c>
      <c r="H1000" s="2104"/>
    </row>
    <row r="1001" spans="1:8" ht="15.5" x14ac:dyDescent="0.35">
      <c r="A1001" s="625"/>
      <c r="B1001" s="626" t="s">
        <v>430</v>
      </c>
      <c r="C1001" s="2101">
        <f>IF(C1000="","",C1000+10)</f>
        <v>9955</v>
      </c>
      <c r="D1001" s="2102"/>
      <c r="E1001" s="627"/>
      <c r="F1001" s="628" t="s">
        <v>431</v>
      </c>
      <c r="G1001" s="2103">
        <f>IF(G1000="","",G1000+10)</f>
        <v>9970</v>
      </c>
      <c r="H1001" s="2104"/>
    </row>
    <row r="1002" spans="1:8" ht="15.5" x14ac:dyDescent="0.35">
      <c r="A1002" s="625"/>
      <c r="B1002" s="626" t="s">
        <v>430</v>
      </c>
      <c r="C1002" s="2101">
        <f>IF(C1001="","",C1001+10)</f>
        <v>9965</v>
      </c>
      <c r="D1002" s="2102"/>
      <c r="E1002" s="627"/>
      <c r="F1002" s="628" t="s">
        <v>431</v>
      </c>
      <c r="G1002" s="2103">
        <f>IF(G1001="","",G1001+10)</f>
        <v>9980</v>
      </c>
      <c r="H1002" s="2104"/>
    </row>
    <row r="1003" spans="1:8" ht="15.5" x14ac:dyDescent="0.35">
      <c r="A1003" s="625">
        <f>A1000+30</f>
        <v>9975</v>
      </c>
      <c r="B1003" s="626" t="s">
        <v>430</v>
      </c>
      <c r="C1003" s="2101">
        <f>IF(A1003="","",A1003)</f>
        <v>9975</v>
      </c>
      <c r="D1003" s="2102"/>
      <c r="E1003" s="627">
        <f>E1000+30</f>
        <v>9990</v>
      </c>
      <c r="F1003" s="628" t="s">
        <v>431</v>
      </c>
      <c r="G1003" s="2103">
        <f>IF(E1003="","",E1003)</f>
        <v>9990</v>
      </c>
      <c r="H1003" s="2104"/>
    </row>
    <row r="1004" spans="1:8" ht="15.5" x14ac:dyDescent="0.35">
      <c r="A1004" s="625"/>
      <c r="B1004" s="626" t="s">
        <v>430</v>
      </c>
      <c r="C1004" s="2101">
        <f>IF(C1003="","",C1003+10)</f>
        <v>9985</v>
      </c>
      <c r="D1004" s="2102"/>
      <c r="E1004" s="627"/>
      <c r="F1004" s="628" t="s">
        <v>431</v>
      </c>
      <c r="G1004" s="2103">
        <f>IF(G1003="","",G1003+10)</f>
        <v>10000</v>
      </c>
      <c r="H1004" s="2104"/>
    </row>
    <row r="1005" spans="1:8" ht="15.5" x14ac:dyDescent="0.35">
      <c r="A1005" s="625"/>
      <c r="B1005" s="626" t="s">
        <v>430</v>
      </c>
      <c r="C1005" s="2101">
        <f>IF(C1004="","",C1004+10)</f>
        <v>9995</v>
      </c>
      <c r="D1005" s="2102"/>
      <c r="E1005" s="627"/>
      <c r="F1005" s="628" t="s">
        <v>431</v>
      </c>
      <c r="G1005" s="2103">
        <f>IF(G1004="","",G1004+10)</f>
        <v>10010</v>
      </c>
      <c r="H1005" s="2104"/>
    </row>
    <row r="1006" spans="1:8" ht="15.5" x14ac:dyDescent="0.35">
      <c r="A1006" s="625">
        <f>A1003+30</f>
        <v>10005</v>
      </c>
      <c r="B1006" s="626" t="s">
        <v>430</v>
      </c>
      <c r="C1006" s="2101">
        <f>IF(A1006="","",A1006)</f>
        <v>10005</v>
      </c>
      <c r="D1006" s="2102"/>
      <c r="E1006" s="627">
        <f>E1003+30</f>
        <v>10020</v>
      </c>
      <c r="F1006" s="628" t="s">
        <v>431</v>
      </c>
      <c r="G1006" s="2103">
        <f>IF(E1006="","",E1006)</f>
        <v>10020</v>
      </c>
      <c r="H1006" s="2104"/>
    </row>
    <row r="1007" spans="1:8" ht="15.5" x14ac:dyDescent="0.35">
      <c r="A1007" s="625"/>
      <c r="B1007" s="626" t="s">
        <v>430</v>
      </c>
      <c r="C1007" s="2101">
        <f>IF(C1006="","",C1006+10)</f>
        <v>10015</v>
      </c>
      <c r="D1007" s="2102"/>
      <c r="E1007" s="627"/>
      <c r="F1007" s="628" t="s">
        <v>431</v>
      </c>
      <c r="G1007" s="2103">
        <f>IF(G1006="","",G1006+10)</f>
        <v>10030</v>
      </c>
      <c r="H1007" s="2104"/>
    </row>
    <row r="1008" spans="1:8" ht="15.5" x14ac:dyDescent="0.35">
      <c r="A1008" s="625"/>
      <c r="B1008" s="626" t="s">
        <v>430</v>
      </c>
      <c r="C1008" s="2101">
        <f>IF(C1007="","",C1007+10)</f>
        <v>10025</v>
      </c>
      <c r="D1008" s="2102"/>
      <c r="E1008" s="627"/>
      <c r="F1008" s="628" t="s">
        <v>431</v>
      </c>
      <c r="G1008" s="2103">
        <f>IF(G1007="","",G1007+10)</f>
        <v>10040</v>
      </c>
      <c r="H1008" s="2104"/>
    </row>
    <row r="1009" spans="1:8" ht="15.5" x14ac:dyDescent="0.35">
      <c r="A1009" s="625">
        <f>A1006+30</f>
        <v>10035</v>
      </c>
      <c r="B1009" s="626" t="s">
        <v>430</v>
      </c>
      <c r="C1009" s="2101">
        <f>IF(A1009="","",A1009)</f>
        <v>10035</v>
      </c>
      <c r="D1009" s="2102"/>
      <c r="E1009" s="627">
        <f>E1006+30</f>
        <v>10050</v>
      </c>
      <c r="F1009" s="628" t="s">
        <v>431</v>
      </c>
      <c r="G1009" s="2103">
        <f>IF(E1009="","",E1009)</f>
        <v>10050</v>
      </c>
      <c r="H1009" s="2104"/>
    </row>
    <row r="1010" spans="1:8" ht="15.5" x14ac:dyDescent="0.35">
      <c r="A1010" s="625"/>
      <c r="B1010" s="626" t="s">
        <v>430</v>
      </c>
      <c r="C1010" s="2101">
        <f>IF(C1009="","",C1009+10)</f>
        <v>10045</v>
      </c>
      <c r="D1010" s="2102"/>
      <c r="E1010" s="627"/>
      <c r="F1010" s="628" t="s">
        <v>431</v>
      </c>
      <c r="G1010" s="2103">
        <f>IF(G1009="","",G1009+10)</f>
        <v>10060</v>
      </c>
      <c r="H1010" s="2104"/>
    </row>
    <row r="1011" spans="1:8" ht="15.5" x14ac:dyDescent="0.35">
      <c r="A1011" s="625"/>
      <c r="B1011" s="626" t="s">
        <v>430</v>
      </c>
      <c r="C1011" s="2101">
        <f>IF(C1010="","",C1010+10)</f>
        <v>10055</v>
      </c>
      <c r="D1011" s="2102"/>
      <c r="E1011" s="627"/>
      <c r="F1011" s="628" t="s">
        <v>431</v>
      </c>
      <c r="G1011" s="2103">
        <f>IF(G1010="","",G1010+10)</f>
        <v>10070</v>
      </c>
      <c r="H1011" s="2104"/>
    </row>
    <row r="1012" spans="1:8" ht="15.5" x14ac:dyDescent="0.35">
      <c r="A1012" s="625">
        <f>A1009+30</f>
        <v>10065</v>
      </c>
      <c r="B1012" s="626" t="s">
        <v>430</v>
      </c>
      <c r="C1012" s="2101">
        <f>IF(A1012="","",A1012)</f>
        <v>10065</v>
      </c>
      <c r="D1012" s="2102"/>
      <c r="E1012" s="627">
        <f>E1009+30</f>
        <v>10080</v>
      </c>
      <c r="F1012" s="628" t="s">
        <v>431</v>
      </c>
      <c r="G1012" s="2103">
        <f>IF(E1012="","",E1012)</f>
        <v>10080</v>
      </c>
      <c r="H1012" s="2104"/>
    </row>
    <row r="1013" spans="1:8" ht="15.5" x14ac:dyDescent="0.35">
      <c r="A1013" s="625"/>
      <c r="B1013" s="626" t="s">
        <v>430</v>
      </c>
      <c r="C1013" s="2101">
        <f>IF(C1012="","",C1012+10)</f>
        <v>10075</v>
      </c>
      <c r="D1013" s="2102"/>
      <c r="E1013" s="627"/>
      <c r="F1013" s="628" t="s">
        <v>431</v>
      </c>
      <c r="G1013" s="2103">
        <f>IF(G1012="","",G1012+10)</f>
        <v>10090</v>
      </c>
      <c r="H1013" s="2104"/>
    </row>
    <row r="1014" spans="1:8" ht="15.5" x14ac:dyDescent="0.35">
      <c r="A1014" s="625"/>
      <c r="B1014" s="626" t="s">
        <v>430</v>
      </c>
      <c r="C1014" s="2101">
        <f>IF(C1013="","",C1013+10)</f>
        <v>10085</v>
      </c>
      <c r="D1014" s="2102"/>
      <c r="E1014" s="627"/>
      <c r="F1014" s="628" t="s">
        <v>431</v>
      </c>
      <c r="G1014" s="2103">
        <f>IF(G1013="","",G1013+10)</f>
        <v>10100</v>
      </c>
      <c r="H1014" s="2104"/>
    </row>
    <row r="1015" spans="1:8" ht="15.5" x14ac:dyDescent="0.35">
      <c r="A1015" s="625">
        <f>A1012+30</f>
        <v>10095</v>
      </c>
      <c r="B1015" s="626" t="s">
        <v>430</v>
      </c>
      <c r="C1015" s="2101">
        <f>IF(A1015="","",A1015)</f>
        <v>10095</v>
      </c>
      <c r="D1015" s="2102"/>
      <c r="E1015" s="627">
        <f>E1012+30</f>
        <v>10110</v>
      </c>
      <c r="F1015" s="628" t="s">
        <v>431</v>
      </c>
      <c r="G1015" s="2103">
        <f>IF(E1015="","",E1015)</f>
        <v>10110</v>
      </c>
      <c r="H1015" s="2104"/>
    </row>
    <row r="1016" spans="1:8" ht="15.5" x14ac:dyDescent="0.35">
      <c r="A1016" s="625"/>
      <c r="B1016" s="626" t="s">
        <v>430</v>
      </c>
      <c r="C1016" s="2101">
        <f>IF(C1015="","",C1015+10)</f>
        <v>10105</v>
      </c>
      <c r="D1016" s="2102"/>
      <c r="E1016" s="627"/>
      <c r="F1016" s="628" t="s">
        <v>431</v>
      </c>
      <c r="G1016" s="2103">
        <f>IF(G1015="","",G1015+10)</f>
        <v>10120</v>
      </c>
      <c r="H1016" s="2104"/>
    </row>
    <row r="1017" spans="1:8" ht="15.5" x14ac:dyDescent="0.35">
      <c r="A1017" s="625"/>
      <c r="B1017" s="626" t="s">
        <v>430</v>
      </c>
      <c r="C1017" s="2101">
        <f>IF(C1016="","",C1016+10)</f>
        <v>10115</v>
      </c>
      <c r="D1017" s="2102"/>
      <c r="E1017" s="627"/>
      <c r="F1017" s="628" t="s">
        <v>431</v>
      </c>
      <c r="G1017" s="2103">
        <f>IF(G1016="","",G1016+10)</f>
        <v>10130</v>
      </c>
      <c r="H1017" s="2104"/>
    </row>
    <row r="1018" spans="1:8" ht="15.5" x14ac:dyDescent="0.35">
      <c r="A1018" s="625">
        <f>A1015+30</f>
        <v>10125</v>
      </c>
      <c r="B1018" s="626" t="s">
        <v>430</v>
      </c>
      <c r="C1018" s="2101">
        <f>IF(A1018="","",A1018)</f>
        <v>10125</v>
      </c>
      <c r="D1018" s="2102"/>
      <c r="E1018" s="627">
        <f>E1015+30</f>
        <v>10140</v>
      </c>
      <c r="F1018" s="628" t="s">
        <v>431</v>
      </c>
      <c r="G1018" s="2103">
        <f>IF(E1018="","",E1018)</f>
        <v>10140</v>
      </c>
      <c r="H1018" s="2104"/>
    </row>
    <row r="1019" spans="1:8" ht="15.5" x14ac:dyDescent="0.35">
      <c r="A1019" s="625"/>
      <c r="B1019" s="626" t="s">
        <v>430</v>
      </c>
      <c r="C1019" s="2101">
        <f>IF(C1018="","",C1018+10)</f>
        <v>10135</v>
      </c>
      <c r="D1019" s="2102"/>
      <c r="E1019" s="627"/>
      <c r="F1019" s="628" t="s">
        <v>431</v>
      </c>
      <c r="G1019" s="2103">
        <f>IF(G1018="","",G1018+10)</f>
        <v>10150</v>
      </c>
      <c r="H1019" s="2104"/>
    </row>
    <row r="1020" spans="1:8" ht="15.5" x14ac:dyDescent="0.35">
      <c r="A1020" s="625"/>
      <c r="B1020" s="626" t="s">
        <v>430</v>
      </c>
      <c r="C1020" s="2101">
        <f>IF(C1019="","",C1019+10)</f>
        <v>10145</v>
      </c>
      <c r="D1020" s="2102"/>
      <c r="E1020" s="627"/>
      <c r="F1020" s="628" t="s">
        <v>431</v>
      </c>
      <c r="G1020" s="2103">
        <f>IF(G1019="","",G1019+10)</f>
        <v>10160</v>
      </c>
      <c r="H1020" s="2104"/>
    </row>
    <row r="1021" spans="1:8" ht="15.5" x14ac:dyDescent="0.35">
      <c r="A1021" s="625">
        <f>A1018+30</f>
        <v>10155</v>
      </c>
      <c r="B1021" s="626" t="s">
        <v>430</v>
      </c>
      <c r="C1021" s="2101">
        <f>IF(A1021="","",A1021)</f>
        <v>10155</v>
      </c>
      <c r="D1021" s="2102"/>
      <c r="E1021" s="627">
        <f>E1018+30</f>
        <v>10170</v>
      </c>
      <c r="F1021" s="628" t="s">
        <v>431</v>
      </c>
      <c r="G1021" s="2103">
        <f>IF(E1021="","",E1021)</f>
        <v>10170</v>
      </c>
      <c r="H1021" s="2104"/>
    </row>
    <row r="1022" spans="1:8" ht="15.5" x14ac:dyDescent="0.35">
      <c r="A1022" s="625"/>
      <c r="B1022" s="626" t="s">
        <v>430</v>
      </c>
      <c r="C1022" s="2101">
        <f>IF(C1021="","",C1021+10)</f>
        <v>10165</v>
      </c>
      <c r="D1022" s="2102"/>
      <c r="E1022" s="627"/>
      <c r="F1022" s="628" t="s">
        <v>431</v>
      </c>
      <c r="G1022" s="2103">
        <f>IF(G1021="","",G1021+10)</f>
        <v>10180</v>
      </c>
      <c r="H1022" s="2104"/>
    </row>
    <row r="1023" spans="1:8" ht="15.5" x14ac:dyDescent="0.35">
      <c r="A1023" s="625"/>
      <c r="B1023" s="626" t="s">
        <v>430</v>
      </c>
      <c r="C1023" s="2101">
        <f>IF(C1022="","",C1022+10)</f>
        <v>10175</v>
      </c>
      <c r="D1023" s="2102"/>
      <c r="E1023" s="627"/>
      <c r="F1023" s="628" t="s">
        <v>431</v>
      </c>
      <c r="G1023" s="2103">
        <f>IF(G1022="","",G1022+10)</f>
        <v>10190</v>
      </c>
      <c r="H1023" s="2104"/>
    </row>
    <row r="1024" spans="1:8" ht="15.5" x14ac:dyDescent="0.35">
      <c r="A1024" s="625">
        <f>A1021+30</f>
        <v>10185</v>
      </c>
      <c r="B1024" s="626" t="s">
        <v>430</v>
      </c>
      <c r="C1024" s="2101">
        <f>IF(A1024="","",A1024)</f>
        <v>10185</v>
      </c>
      <c r="D1024" s="2102"/>
      <c r="E1024" s="627">
        <f>E1021+30</f>
        <v>10200</v>
      </c>
      <c r="F1024" s="628" t="s">
        <v>431</v>
      </c>
      <c r="G1024" s="2103">
        <f>IF(E1024="","",E1024)</f>
        <v>10200</v>
      </c>
      <c r="H1024" s="2104"/>
    </row>
    <row r="1025" spans="1:8" ht="15.5" x14ac:dyDescent="0.35">
      <c r="A1025" s="625"/>
      <c r="B1025" s="626" t="s">
        <v>430</v>
      </c>
      <c r="C1025" s="2101">
        <f>IF(C1024="","",C1024+10)</f>
        <v>10195</v>
      </c>
      <c r="D1025" s="2102"/>
      <c r="E1025" s="627"/>
      <c r="F1025" s="628" t="s">
        <v>431</v>
      </c>
      <c r="G1025" s="2103">
        <f>IF(G1024="","",G1024+10)</f>
        <v>10210</v>
      </c>
      <c r="H1025" s="2104"/>
    </row>
    <row r="1026" spans="1:8" ht="15.5" x14ac:dyDescent="0.35">
      <c r="A1026" s="625"/>
      <c r="B1026" s="626" t="s">
        <v>430</v>
      </c>
      <c r="C1026" s="2101">
        <f>IF(C1025="","",C1025+10)</f>
        <v>10205</v>
      </c>
      <c r="D1026" s="2102"/>
      <c r="E1026" s="627"/>
      <c r="F1026" s="628" t="s">
        <v>431</v>
      </c>
      <c r="G1026" s="2103">
        <f>IF(G1025="","",G1025+10)</f>
        <v>10220</v>
      </c>
      <c r="H1026" s="2104"/>
    </row>
    <row r="1027" spans="1:8" ht="15.5" x14ac:dyDescent="0.35">
      <c r="A1027" s="625">
        <f>A1024+30</f>
        <v>10215</v>
      </c>
      <c r="B1027" s="626" t="s">
        <v>430</v>
      </c>
      <c r="C1027" s="2101">
        <f>IF(A1027="","",A1027)</f>
        <v>10215</v>
      </c>
      <c r="D1027" s="2102"/>
      <c r="E1027" s="627">
        <f>E1024+30</f>
        <v>10230</v>
      </c>
      <c r="F1027" s="628" t="s">
        <v>431</v>
      </c>
      <c r="G1027" s="2103">
        <f>IF(E1027="","",E1027)</f>
        <v>10230</v>
      </c>
      <c r="H1027" s="2104"/>
    </row>
    <row r="1028" spans="1:8" ht="15.5" x14ac:dyDescent="0.35">
      <c r="A1028" s="625"/>
      <c r="B1028" s="626" t="s">
        <v>430</v>
      </c>
      <c r="C1028" s="2101">
        <f>IF(C1027="","",C1027+10)</f>
        <v>10225</v>
      </c>
      <c r="D1028" s="2102"/>
      <c r="E1028" s="627"/>
      <c r="F1028" s="628" t="s">
        <v>431</v>
      </c>
      <c r="G1028" s="2103">
        <f>IF(G1027="","",G1027+10)</f>
        <v>10240</v>
      </c>
      <c r="H1028" s="2104"/>
    </row>
    <row r="1029" spans="1:8" ht="15.5" x14ac:dyDescent="0.35">
      <c r="A1029" s="625"/>
      <c r="B1029" s="626" t="s">
        <v>430</v>
      </c>
      <c r="C1029" s="2101">
        <f>IF(C1028="","",C1028+10)</f>
        <v>10235</v>
      </c>
      <c r="D1029" s="2102"/>
      <c r="E1029" s="627"/>
      <c r="F1029" s="628" t="s">
        <v>431</v>
      </c>
      <c r="G1029" s="2103">
        <f>IF(G1028="","",G1028+10)</f>
        <v>10250</v>
      </c>
      <c r="H1029" s="2104"/>
    </row>
    <row r="1030" spans="1:8" ht="15.5" x14ac:dyDescent="0.35">
      <c r="A1030" s="625">
        <f>A1027+30</f>
        <v>10245</v>
      </c>
      <c r="B1030" s="626" t="s">
        <v>430</v>
      </c>
      <c r="C1030" s="2101">
        <f>IF(A1030="","",A1030)</f>
        <v>10245</v>
      </c>
      <c r="D1030" s="2102"/>
      <c r="E1030" s="627">
        <f>E1027+30</f>
        <v>10260</v>
      </c>
      <c r="F1030" s="628" t="s">
        <v>431</v>
      </c>
      <c r="G1030" s="2103">
        <f>IF(E1030="","",E1030)</f>
        <v>10260</v>
      </c>
      <c r="H1030" s="2104"/>
    </row>
    <row r="1031" spans="1:8" ht="15.5" x14ac:dyDescent="0.35">
      <c r="A1031" s="625"/>
      <c r="B1031" s="626" t="s">
        <v>430</v>
      </c>
      <c r="C1031" s="2101">
        <f>IF(C1030="","",C1030+10)</f>
        <v>10255</v>
      </c>
      <c r="D1031" s="2102"/>
      <c r="E1031" s="627"/>
      <c r="F1031" s="628" t="s">
        <v>431</v>
      </c>
      <c r="G1031" s="2103">
        <f>IF(G1030="","",G1030+10)</f>
        <v>10270</v>
      </c>
      <c r="H1031" s="2104"/>
    </row>
    <row r="1032" spans="1:8" ht="15.5" x14ac:dyDescent="0.35">
      <c r="A1032" s="625"/>
      <c r="B1032" s="626" t="s">
        <v>430</v>
      </c>
      <c r="C1032" s="2101">
        <f>IF(C1031="","",C1031+10)</f>
        <v>10265</v>
      </c>
      <c r="D1032" s="2102"/>
      <c r="E1032" s="627"/>
      <c r="F1032" s="628" t="s">
        <v>431</v>
      </c>
      <c r="G1032" s="2103">
        <f>IF(G1031="","",G1031+10)</f>
        <v>10280</v>
      </c>
      <c r="H1032" s="2104"/>
    </row>
    <row r="1033" spans="1:8" ht="15.5" x14ac:dyDescent="0.35">
      <c r="A1033" s="625">
        <f>A1030+30</f>
        <v>10275</v>
      </c>
      <c r="B1033" s="626" t="s">
        <v>430</v>
      </c>
      <c r="C1033" s="2101">
        <f>IF(A1033="","",A1033)</f>
        <v>10275</v>
      </c>
      <c r="D1033" s="2102"/>
      <c r="E1033" s="627">
        <f>E1030+30</f>
        <v>10290</v>
      </c>
      <c r="F1033" s="628" t="s">
        <v>431</v>
      </c>
      <c r="G1033" s="2103">
        <f>IF(E1033="","",E1033)</f>
        <v>10290</v>
      </c>
      <c r="H1033" s="2104"/>
    </row>
    <row r="1034" spans="1:8" ht="15.5" x14ac:dyDescent="0.35">
      <c r="A1034" s="625"/>
      <c r="B1034" s="626" t="s">
        <v>430</v>
      </c>
      <c r="C1034" s="2101">
        <f>IF(C1033="","",C1033+10)</f>
        <v>10285</v>
      </c>
      <c r="D1034" s="2102"/>
      <c r="E1034" s="627"/>
      <c r="F1034" s="628" t="s">
        <v>431</v>
      </c>
      <c r="G1034" s="2103">
        <f>IF(G1033="","",G1033+10)</f>
        <v>10300</v>
      </c>
      <c r="H1034" s="2104"/>
    </row>
    <row r="1035" spans="1:8" ht="15.5" x14ac:dyDescent="0.35">
      <c r="A1035" s="625"/>
      <c r="B1035" s="626" t="s">
        <v>430</v>
      </c>
      <c r="C1035" s="2101">
        <f>IF(C1034="","",C1034+10)</f>
        <v>10295</v>
      </c>
      <c r="D1035" s="2102"/>
      <c r="E1035" s="627"/>
      <c r="F1035" s="628" t="s">
        <v>431</v>
      </c>
      <c r="G1035" s="2103">
        <f>IF(G1034="","",G1034+10)</f>
        <v>10310</v>
      </c>
      <c r="H1035" s="2104"/>
    </row>
    <row r="1036" spans="1:8" ht="15.5" x14ac:dyDescent="0.35">
      <c r="A1036" s="625">
        <f>A1033+30</f>
        <v>10305</v>
      </c>
      <c r="B1036" s="626" t="s">
        <v>430</v>
      </c>
      <c r="C1036" s="2101">
        <f>IF(A1036="","",A1036)</f>
        <v>10305</v>
      </c>
      <c r="D1036" s="2102"/>
      <c r="E1036" s="627">
        <f>E1033+30</f>
        <v>10320</v>
      </c>
      <c r="F1036" s="628" t="s">
        <v>431</v>
      </c>
      <c r="G1036" s="2103">
        <f>IF(E1036="","",E1036)</f>
        <v>10320</v>
      </c>
      <c r="H1036" s="2104"/>
    </row>
    <row r="1037" spans="1:8" ht="15.5" x14ac:dyDescent="0.35">
      <c r="A1037" s="625"/>
      <c r="B1037" s="626" t="s">
        <v>430</v>
      </c>
      <c r="C1037" s="2101">
        <f>IF(C1036="","",C1036+10)</f>
        <v>10315</v>
      </c>
      <c r="D1037" s="2102"/>
      <c r="E1037" s="627"/>
      <c r="F1037" s="628" t="s">
        <v>431</v>
      </c>
      <c r="G1037" s="2103">
        <f>IF(G1036="","",G1036+10)</f>
        <v>10330</v>
      </c>
      <c r="H1037" s="2104"/>
    </row>
    <row r="1038" spans="1:8" ht="15.5" x14ac:dyDescent="0.35">
      <c r="A1038" s="625"/>
      <c r="B1038" s="626" t="s">
        <v>430</v>
      </c>
      <c r="C1038" s="2101">
        <f>IF(C1037="","",C1037+10)</f>
        <v>10325</v>
      </c>
      <c r="D1038" s="2102"/>
      <c r="E1038" s="627"/>
      <c r="F1038" s="628" t="s">
        <v>431</v>
      </c>
      <c r="G1038" s="2103">
        <f>IF(G1037="","",G1037+10)</f>
        <v>10340</v>
      </c>
      <c r="H1038" s="2104"/>
    </row>
    <row r="1039" spans="1:8" ht="15.5" x14ac:dyDescent="0.35">
      <c r="A1039" s="625">
        <f>A1036+30</f>
        <v>10335</v>
      </c>
      <c r="B1039" s="626" t="s">
        <v>430</v>
      </c>
      <c r="C1039" s="2101">
        <f>IF(A1039="","",A1039)</f>
        <v>10335</v>
      </c>
      <c r="D1039" s="2102"/>
      <c r="E1039" s="627">
        <f>E1036+30</f>
        <v>10350</v>
      </c>
      <c r="F1039" s="628" t="s">
        <v>431</v>
      </c>
      <c r="G1039" s="2103">
        <f>IF(E1039="","",E1039)</f>
        <v>10350</v>
      </c>
      <c r="H1039" s="2104"/>
    </row>
    <row r="1040" spans="1:8" ht="15.5" x14ac:dyDescent="0.35">
      <c r="A1040" s="625"/>
      <c r="B1040" s="626" t="s">
        <v>430</v>
      </c>
      <c r="C1040" s="2101">
        <f>IF(C1039="","",C1039+10)</f>
        <v>10345</v>
      </c>
      <c r="D1040" s="2102"/>
      <c r="E1040" s="627"/>
      <c r="F1040" s="628" t="s">
        <v>431</v>
      </c>
      <c r="G1040" s="2103">
        <f>IF(G1039="","",G1039+10)</f>
        <v>10360</v>
      </c>
      <c r="H1040" s="2104"/>
    </row>
    <row r="1041" spans="1:8" ht="15.5" x14ac:dyDescent="0.35">
      <c r="A1041" s="625"/>
      <c r="B1041" s="626" t="s">
        <v>430</v>
      </c>
      <c r="C1041" s="2101">
        <f>IF(C1040="","",C1040+10)</f>
        <v>10355</v>
      </c>
      <c r="D1041" s="2102"/>
      <c r="E1041" s="627"/>
      <c r="F1041" s="628" t="s">
        <v>431</v>
      </c>
      <c r="G1041" s="2103">
        <f>IF(G1040="","",G1040+10)</f>
        <v>10370</v>
      </c>
      <c r="H1041" s="2104"/>
    </row>
    <row r="1042" spans="1:8" ht="15.5" x14ac:dyDescent="0.35">
      <c r="A1042" s="625">
        <f>A1039+30</f>
        <v>10365</v>
      </c>
      <c r="B1042" s="626" t="s">
        <v>430</v>
      </c>
      <c r="C1042" s="2101">
        <f>IF(A1042="","",A1042)</f>
        <v>10365</v>
      </c>
      <c r="D1042" s="2102"/>
      <c r="E1042" s="627">
        <f>E1039+30</f>
        <v>10380</v>
      </c>
      <c r="F1042" s="628" t="s">
        <v>431</v>
      </c>
      <c r="G1042" s="2103">
        <f>IF(E1042="","",E1042)</f>
        <v>10380</v>
      </c>
      <c r="H1042" s="2104"/>
    </row>
    <row r="1043" spans="1:8" ht="15.5" x14ac:dyDescent="0.35">
      <c r="A1043" s="625"/>
      <c r="B1043" s="626" t="s">
        <v>430</v>
      </c>
      <c r="C1043" s="2101">
        <f>IF(C1042="","",C1042+10)</f>
        <v>10375</v>
      </c>
      <c r="D1043" s="2102"/>
      <c r="E1043" s="627"/>
      <c r="F1043" s="628" t="s">
        <v>431</v>
      </c>
      <c r="G1043" s="2103">
        <f>IF(G1042="","",G1042+10)</f>
        <v>10390</v>
      </c>
      <c r="H1043" s="2104"/>
    </row>
    <row r="1044" spans="1:8" ht="15.5" x14ac:dyDescent="0.35">
      <c r="A1044" s="625"/>
      <c r="B1044" s="626" t="s">
        <v>430</v>
      </c>
      <c r="C1044" s="2101">
        <f>IF(C1043="","",C1043+10)</f>
        <v>10385</v>
      </c>
      <c r="D1044" s="2102"/>
      <c r="E1044" s="627"/>
      <c r="F1044" s="628" t="s">
        <v>431</v>
      </c>
      <c r="G1044" s="2103">
        <f>IF(G1043="","",G1043+10)</f>
        <v>10400</v>
      </c>
      <c r="H1044" s="2104"/>
    </row>
    <row r="1045" spans="1:8" ht="15.5" x14ac:dyDescent="0.35">
      <c r="A1045" s="625">
        <f>A1042+30</f>
        <v>10395</v>
      </c>
      <c r="B1045" s="626" t="s">
        <v>430</v>
      </c>
      <c r="C1045" s="2101">
        <f>IF(A1045="","",A1045)</f>
        <v>10395</v>
      </c>
      <c r="D1045" s="2102"/>
      <c r="E1045" s="627">
        <f>E1042+30</f>
        <v>10410</v>
      </c>
      <c r="F1045" s="628" t="s">
        <v>431</v>
      </c>
      <c r="G1045" s="2103">
        <f>IF(E1045="","",E1045)</f>
        <v>10410</v>
      </c>
      <c r="H1045" s="2104"/>
    </row>
    <row r="1046" spans="1:8" ht="15.5" x14ac:dyDescent="0.35">
      <c r="A1046" s="625"/>
      <c r="B1046" s="626" t="s">
        <v>430</v>
      </c>
      <c r="C1046" s="2101">
        <f>IF(C1045="","",C1045+10)</f>
        <v>10405</v>
      </c>
      <c r="D1046" s="2102"/>
      <c r="E1046" s="627"/>
      <c r="F1046" s="628" t="s">
        <v>431</v>
      </c>
      <c r="G1046" s="2103">
        <f>IF(G1045="","",G1045+10)</f>
        <v>10420</v>
      </c>
      <c r="H1046" s="2104"/>
    </row>
    <row r="1047" spans="1:8" ht="15.5" x14ac:dyDescent="0.35">
      <c r="A1047" s="625"/>
      <c r="B1047" s="626" t="s">
        <v>430</v>
      </c>
      <c r="C1047" s="2101">
        <f>IF(C1046="","",C1046+10)</f>
        <v>10415</v>
      </c>
      <c r="D1047" s="2102"/>
      <c r="E1047" s="627"/>
      <c r="F1047" s="628" t="s">
        <v>431</v>
      </c>
      <c r="G1047" s="2103">
        <f>IF(G1046="","",G1046+10)</f>
        <v>10430</v>
      </c>
      <c r="H1047" s="2104"/>
    </row>
    <row r="1048" spans="1:8" ht="15.5" x14ac:dyDescent="0.35">
      <c r="A1048" s="625">
        <f>A1045+30</f>
        <v>10425</v>
      </c>
      <c r="B1048" s="626" t="s">
        <v>430</v>
      </c>
      <c r="C1048" s="2101">
        <f>IF(A1048="","",A1048)</f>
        <v>10425</v>
      </c>
      <c r="D1048" s="2102"/>
      <c r="E1048" s="627">
        <f>E1045+30</f>
        <v>10440</v>
      </c>
      <c r="F1048" s="628" t="s">
        <v>431</v>
      </c>
      <c r="G1048" s="2103">
        <f>IF(E1048="","",E1048)</f>
        <v>10440</v>
      </c>
      <c r="H1048" s="2104"/>
    </row>
    <row r="1049" spans="1:8" ht="15.5" x14ac:dyDescent="0.35">
      <c r="A1049" s="625"/>
      <c r="B1049" s="626" t="s">
        <v>430</v>
      </c>
      <c r="C1049" s="2101">
        <f>IF(C1048="","",C1048+10)</f>
        <v>10435</v>
      </c>
      <c r="D1049" s="2102"/>
      <c r="E1049" s="627"/>
      <c r="F1049" s="628" t="s">
        <v>431</v>
      </c>
      <c r="G1049" s="2103">
        <f>IF(G1048="","",G1048+10)</f>
        <v>10450</v>
      </c>
      <c r="H1049" s="2104"/>
    </row>
    <row r="1050" spans="1:8" ht="15.5" x14ac:dyDescent="0.35">
      <c r="A1050" s="625"/>
      <c r="B1050" s="626" t="s">
        <v>430</v>
      </c>
      <c r="C1050" s="2101">
        <f>IF(C1049="","",C1049+10)</f>
        <v>10445</v>
      </c>
      <c r="D1050" s="2102"/>
      <c r="E1050" s="627"/>
      <c r="F1050" s="628" t="s">
        <v>431</v>
      </c>
      <c r="G1050" s="2103">
        <f>IF(G1049="","",G1049+10)</f>
        <v>10460</v>
      </c>
      <c r="H1050" s="2104"/>
    </row>
    <row r="1051" spans="1:8" ht="15.5" x14ac:dyDescent="0.35">
      <c r="A1051" s="625">
        <f>A1048+30</f>
        <v>10455</v>
      </c>
      <c r="B1051" s="626" t="s">
        <v>430</v>
      </c>
      <c r="C1051" s="2101">
        <f>IF(A1051="","",A1051)</f>
        <v>10455</v>
      </c>
      <c r="D1051" s="2102"/>
      <c r="E1051" s="627">
        <f>E1048+30</f>
        <v>10470</v>
      </c>
      <c r="F1051" s="628" t="s">
        <v>431</v>
      </c>
      <c r="G1051" s="2103">
        <f>IF(E1051="","",E1051)</f>
        <v>10470</v>
      </c>
      <c r="H1051" s="2104"/>
    </row>
    <row r="1052" spans="1:8" ht="15.5" x14ac:dyDescent="0.35">
      <c r="A1052" s="625"/>
      <c r="B1052" s="626" t="s">
        <v>430</v>
      </c>
      <c r="C1052" s="2101">
        <f>IF(C1051="","",C1051+10)</f>
        <v>10465</v>
      </c>
      <c r="D1052" s="2102"/>
      <c r="E1052" s="627"/>
      <c r="F1052" s="628" t="s">
        <v>431</v>
      </c>
      <c r="G1052" s="2103">
        <f>IF(G1051="","",G1051+10)</f>
        <v>10480</v>
      </c>
      <c r="H1052" s="2104"/>
    </row>
    <row r="1053" spans="1:8" ht="15.5" x14ac:dyDescent="0.35">
      <c r="A1053" s="625"/>
      <c r="B1053" s="626" t="s">
        <v>430</v>
      </c>
      <c r="C1053" s="2101">
        <f>IF(C1052="","",C1052+10)</f>
        <v>10475</v>
      </c>
      <c r="D1053" s="2102"/>
      <c r="E1053" s="627"/>
      <c r="F1053" s="628" t="s">
        <v>431</v>
      </c>
      <c r="G1053" s="2103">
        <f>IF(G1052="","",G1052+10)</f>
        <v>10490</v>
      </c>
      <c r="H1053" s="2104"/>
    </row>
    <row r="1054" spans="1:8" ht="15.5" x14ac:dyDescent="0.35">
      <c r="A1054" s="625">
        <f>A1051+30</f>
        <v>10485</v>
      </c>
      <c r="B1054" s="626" t="s">
        <v>430</v>
      </c>
      <c r="C1054" s="2101">
        <f>IF(A1054="","",A1054)</f>
        <v>10485</v>
      </c>
      <c r="D1054" s="2102"/>
      <c r="E1054" s="627">
        <f>E1051+30</f>
        <v>10500</v>
      </c>
      <c r="F1054" s="628" t="s">
        <v>431</v>
      </c>
      <c r="G1054" s="2103">
        <f>IF(E1054="","",E1054)</f>
        <v>10500</v>
      </c>
      <c r="H1054" s="2104"/>
    </row>
    <row r="1055" spans="1:8" ht="15.5" x14ac:dyDescent="0.35">
      <c r="A1055" s="625"/>
      <c r="B1055" s="626" t="s">
        <v>430</v>
      </c>
      <c r="C1055" s="2101">
        <f>IF(C1054="","",C1054+10)</f>
        <v>10495</v>
      </c>
      <c r="D1055" s="2102"/>
      <c r="E1055" s="627"/>
      <c r="F1055" s="628" t="s">
        <v>431</v>
      </c>
      <c r="G1055" s="2103">
        <f>IF(G1054="","",G1054+10)</f>
        <v>10510</v>
      </c>
      <c r="H1055" s="2104"/>
    </row>
    <row r="1056" spans="1:8" ht="15.5" x14ac:dyDescent="0.35">
      <c r="A1056" s="625"/>
      <c r="B1056" s="626" t="s">
        <v>430</v>
      </c>
      <c r="C1056" s="2101">
        <f>IF(C1055="","",C1055+10)</f>
        <v>10505</v>
      </c>
      <c r="D1056" s="2102"/>
      <c r="E1056" s="627"/>
      <c r="F1056" s="628" t="s">
        <v>431</v>
      </c>
      <c r="G1056" s="2103">
        <f>IF(G1055="","",G1055+10)</f>
        <v>10520</v>
      </c>
      <c r="H1056" s="2104"/>
    </row>
    <row r="1057" spans="1:8" ht="15.5" x14ac:dyDescent="0.35">
      <c r="A1057" s="625">
        <f>A1054+30</f>
        <v>10515</v>
      </c>
      <c r="B1057" s="626" t="s">
        <v>430</v>
      </c>
      <c r="C1057" s="2101">
        <f>IF(A1057="","",A1057)</f>
        <v>10515</v>
      </c>
      <c r="D1057" s="2102"/>
      <c r="E1057" s="627">
        <f>E1054+30</f>
        <v>10530</v>
      </c>
      <c r="F1057" s="628" t="s">
        <v>431</v>
      </c>
      <c r="G1057" s="2103">
        <f>IF(E1057="","",E1057)</f>
        <v>10530</v>
      </c>
      <c r="H1057" s="2104"/>
    </row>
    <row r="1058" spans="1:8" ht="15.5" x14ac:dyDescent="0.35">
      <c r="A1058" s="625"/>
      <c r="B1058" s="626" t="s">
        <v>430</v>
      </c>
      <c r="C1058" s="2101">
        <f>IF(C1057="","",C1057+10)</f>
        <v>10525</v>
      </c>
      <c r="D1058" s="2102"/>
      <c r="E1058" s="627"/>
      <c r="F1058" s="628" t="s">
        <v>431</v>
      </c>
      <c r="G1058" s="2103">
        <f>IF(G1057="","",G1057+10)</f>
        <v>10540</v>
      </c>
      <c r="H1058" s="2104"/>
    </row>
    <row r="1059" spans="1:8" ht="15.5" x14ac:dyDescent="0.35">
      <c r="A1059" s="625"/>
      <c r="B1059" s="626" t="s">
        <v>430</v>
      </c>
      <c r="C1059" s="2101">
        <f>IF(C1058="","",C1058+10)</f>
        <v>10535</v>
      </c>
      <c r="D1059" s="2102"/>
      <c r="E1059" s="627"/>
      <c r="F1059" s="628" t="s">
        <v>431</v>
      </c>
      <c r="G1059" s="2103">
        <f>IF(G1058="","",G1058+10)</f>
        <v>10550</v>
      </c>
      <c r="H1059" s="2104"/>
    </row>
    <row r="1060" spans="1:8" ht="15.5" x14ac:dyDescent="0.35">
      <c r="A1060" s="625">
        <f>A1057+30</f>
        <v>10545</v>
      </c>
      <c r="B1060" s="626" t="s">
        <v>430</v>
      </c>
      <c r="C1060" s="2101">
        <f>IF(A1060="","",A1060)</f>
        <v>10545</v>
      </c>
      <c r="D1060" s="2102"/>
      <c r="E1060" s="627">
        <f>E1057+30</f>
        <v>10560</v>
      </c>
      <c r="F1060" s="628" t="s">
        <v>431</v>
      </c>
      <c r="G1060" s="2103">
        <f>IF(E1060="","",E1060)</f>
        <v>10560</v>
      </c>
      <c r="H1060" s="2104"/>
    </row>
    <row r="1061" spans="1:8" ht="15.5" x14ac:dyDescent="0.35">
      <c r="A1061" s="625"/>
      <c r="B1061" s="626" t="s">
        <v>430</v>
      </c>
      <c r="C1061" s="2101">
        <f>IF(C1060="","",C1060+10)</f>
        <v>10555</v>
      </c>
      <c r="D1061" s="2102"/>
      <c r="E1061" s="627"/>
      <c r="F1061" s="628" t="s">
        <v>431</v>
      </c>
      <c r="G1061" s="2103">
        <f>IF(G1060="","",G1060+10)</f>
        <v>10570</v>
      </c>
      <c r="H1061" s="2104"/>
    </row>
    <row r="1062" spans="1:8" ht="15.5" x14ac:dyDescent="0.35">
      <c r="A1062" s="625"/>
      <c r="B1062" s="626" t="s">
        <v>430</v>
      </c>
      <c r="C1062" s="2101">
        <f>IF(C1061="","",C1061+10)</f>
        <v>10565</v>
      </c>
      <c r="D1062" s="2102"/>
      <c r="E1062" s="627"/>
      <c r="F1062" s="628" t="s">
        <v>431</v>
      </c>
      <c r="G1062" s="2103">
        <f>IF(G1061="","",G1061+10)</f>
        <v>10580</v>
      </c>
      <c r="H1062" s="2104"/>
    </row>
    <row r="1063" spans="1:8" ht="15.5" x14ac:dyDescent="0.35">
      <c r="A1063" s="625">
        <f>A1060+30</f>
        <v>10575</v>
      </c>
      <c r="B1063" s="626" t="s">
        <v>430</v>
      </c>
      <c r="C1063" s="2101">
        <f>IF(A1063="","",A1063)</f>
        <v>10575</v>
      </c>
      <c r="D1063" s="2102"/>
      <c r="E1063" s="627">
        <f>E1060+30</f>
        <v>10590</v>
      </c>
      <c r="F1063" s="628" t="s">
        <v>431</v>
      </c>
      <c r="G1063" s="2103">
        <f>IF(E1063="","",E1063)</f>
        <v>10590</v>
      </c>
      <c r="H1063" s="2104"/>
    </row>
    <row r="1064" spans="1:8" ht="15.5" x14ac:dyDescent="0.35">
      <c r="A1064" s="625"/>
      <c r="B1064" s="626" t="s">
        <v>430</v>
      </c>
      <c r="C1064" s="2101">
        <f>IF(C1063="","",C1063+10)</f>
        <v>10585</v>
      </c>
      <c r="D1064" s="2102"/>
      <c r="E1064" s="627"/>
      <c r="F1064" s="628" t="s">
        <v>431</v>
      </c>
      <c r="G1064" s="2103">
        <f>IF(G1063="","",G1063+10)</f>
        <v>10600</v>
      </c>
      <c r="H1064" s="2104"/>
    </row>
    <row r="1065" spans="1:8" ht="15.5" x14ac:dyDescent="0.35">
      <c r="A1065" s="625"/>
      <c r="B1065" s="626" t="s">
        <v>430</v>
      </c>
      <c r="C1065" s="2101">
        <f>IF(C1064="","",C1064+10)</f>
        <v>10595</v>
      </c>
      <c r="D1065" s="2102"/>
      <c r="E1065" s="627"/>
      <c r="F1065" s="628" t="s">
        <v>431</v>
      </c>
      <c r="G1065" s="2103">
        <f>IF(G1064="","",G1064+10)</f>
        <v>10610</v>
      </c>
      <c r="H1065" s="2104"/>
    </row>
    <row r="1066" spans="1:8" ht="15.5" x14ac:dyDescent="0.35">
      <c r="A1066" s="625">
        <f>A1063+30</f>
        <v>10605</v>
      </c>
      <c r="B1066" s="626" t="s">
        <v>430</v>
      </c>
      <c r="C1066" s="2101">
        <f>IF(A1066="","",A1066)</f>
        <v>10605</v>
      </c>
      <c r="D1066" s="2102"/>
      <c r="E1066" s="627">
        <f>E1063+30</f>
        <v>10620</v>
      </c>
      <c r="F1066" s="628" t="s">
        <v>431</v>
      </c>
      <c r="G1066" s="2103">
        <f>IF(E1066="","",E1066)</f>
        <v>10620</v>
      </c>
      <c r="H1066" s="2104"/>
    </row>
    <row r="1067" spans="1:8" ht="15.5" x14ac:dyDescent="0.35">
      <c r="A1067" s="625"/>
      <c r="B1067" s="626" t="s">
        <v>430</v>
      </c>
      <c r="C1067" s="2101">
        <f>IF(C1066="","",C1066+10)</f>
        <v>10615</v>
      </c>
      <c r="D1067" s="2102"/>
      <c r="E1067" s="627"/>
      <c r="F1067" s="628" t="s">
        <v>431</v>
      </c>
      <c r="G1067" s="2103">
        <f>IF(G1066="","",G1066+10)</f>
        <v>10630</v>
      </c>
      <c r="H1067" s="2104"/>
    </row>
    <row r="1068" spans="1:8" ht="15.5" x14ac:dyDescent="0.35">
      <c r="A1068" s="625"/>
      <c r="B1068" s="626" t="s">
        <v>430</v>
      </c>
      <c r="C1068" s="2101">
        <f>IF(C1067="","",C1067+10)</f>
        <v>10625</v>
      </c>
      <c r="D1068" s="2102"/>
      <c r="E1068" s="627"/>
      <c r="F1068" s="628" t="s">
        <v>431</v>
      </c>
      <c r="G1068" s="2103">
        <f>IF(G1067="","",G1067+10)</f>
        <v>10640</v>
      </c>
      <c r="H1068" s="2104"/>
    </row>
    <row r="1069" spans="1:8" ht="15.5" x14ac:dyDescent="0.35">
      <c r="A1069" s="625">
        <f>A1066+30</f>
        <v>10635</v>
      </c>
      <c r="B1069" s="626" t="s">
        <v>430</v>
      </c>
      <c r="C1069" s="2101">
        <f>IF(A1069="","",A1069)</f>
        <v>10635</v>
      </c>
      <c r="D1069" s="2102"/>
      <c r="E1069" s="627">
        <f>E1066+30</f>
        <v>10650</v>
      </c>
      <c r="F1069" s="628" t="s">
        <v>431</v>
      </c>
      <c r="G1069" s="2103">
        <f>IF(E1069="","",E1069)</f>
        <v>10650</v>
      </c>
      <c r="H1069" s="2104"/>
    </row>
    <row r="1070" spans="1:8" ht="15.5" x14ac:dyDescent="0.35">
      <c r="A1070" s="625"/>
      <c r="B1070" s="626" t="s">
        <v>430</v>
      </c>
      <c r="C1070" s="2101">
        <f>IF(C1069="","",C1069+10)</f>
        <v>10645</v>
      </c>
      <c r="D1070" s="2102"/>
      <c r="E1070" s="627"/>
      <c r="F1070" s="628" t="s">
        <v>431</v>
      </c>
      <c r="G1070" s="2103">
        <f>IF(G1069="","",G1069+10)</f>
        <v>10660</v>
      </c>
      <c r="H1070" s="2104"/>
    </row>
    <row r="1071" spans="1:8" ht="15.5" x14ac:dyDescent="0.35">
      <c r="A1071" s="625"/>
      <c r="B1071" s="626" t="s">
        <v>430</v>
      </c>
      <c r="C1071" s="2101">
        <f>IF(C1070="","",C1070+10)</f>
        <v>10655</v>
      </c>
      <c r="D1071" s="2102"/>
      <c r="E1071" s="627"/>
      <c r="F1071" s="628" t="s">
        <v>431</v>
      </c>
      <c r="G1071" s="2103">
        <f>IF(G1070="","",G1070+10)</f>
        <v>10670</v>
      </c>
      <c r="H1071" s="2104"/>
    </row>
    <row r="1072" spans="1:8" ht="15.5" x14ac:dyDescent="0.35">
      <c r="A1072" s="625">
        <f>A1069+30</f>
        <v>10665</v>
      </c>
      <c r="B1072" s="626" t="s">
        <v>430</v>
      </c>
      <c r="C1072" s="2101">
        <f>IF(A1072="","",A1072)</f>
        <v>10665</v>
      </c>
      <c r="D1072" s="2102"/>
      <c r="E1072" s="627">
        <f>E1069+30</f>
        <v>10680</v>
      </c>
      <c r="F1072" s="628" t="s">
        <v>431</v>
      </c>
      <c r="G1072" s="2103">
        <f>IF(E1072="","",E1072)</f>
        <v>10680</v>
      </c>
      <c r="H1072" s="2104"/>
    </row>
    <row r="1073" spans="1:8" ht="15.5" x14ac:dyDescent="0.35">
      <c r="A1073" s="625"/>
      <c r="B1073" s="626" t="s">
        <v>430</v>
      </c>
      <c r="C1073" s="2101">
        <f>IF(C1072="","",C1072+10)</f>
        <v>10675</v>
      </c>
      <c r="D1073" s="2102"/>
      <c r="E1073" s="627"/>
      <c r="F1073" s="628" t="s">
        <v>431</v>
      </c>
      <c r="G1073" s="2103">
        <f>IF(G1072="","",G1072+10)</f>
        <v>10690</v>
      </c>
      <c r="H1073" s="2104"/>
    </row>
    <row r="1074" spans="1:8" ht="15.5" x14ac:dyDescent="0.35">
      <c r="A1074" s="625"/>
      <c r="B1074" s="626" t="s">
        <v>430</v>
      </c>
      <c r="C1074" s="2101">
        <f>IF(C1073="","",C1073+10)</f>
        <v>10685</v>
      </c>
      <c r="D1074" s="2102"/>
      <c r="E1074" s="627"/>
      <c r="F1074" s="628" t="s">
        <v>431</v>
      </c>
      <c r="G1074" s="2103">
        <f>IF(G1073="","",G1073+10)</f>
        <v>10700</v>
      </c>
      <c r="H1074" s="2104"/>
    </row>
    <row r="1075" spans="1:8" ht="15.5" x14ac:dyDescent="0.35">
      <c r="A1075" s="625">
        <f>A1072+30</f>
        <v>10695</v>
      </c>
      <c r="B1075" s="626" t="s">
        <v>430</v>
      </c>
      <c r="C1075" s="2101">
        <f>IF(A1075="","",A1075)</f>
        <v>10695</v>
      </c>
      <c r="D1075" s="2102"/>
      <c r="E1075" s="627">
        <f>E1072+30</f>
        <v>10710</v>
      </c>
      <c r="F1075" s="628" t="s">
        <v>431</v>
      </c>
      <c r="G1075" s="2103">
        <f>IF(E1075="","",E1075)</f>
        <v>10710</v>
      </c>
      <c r="H1075" s="2104"/>
    </row>
    <row r="1076" spans="1:8" ht="15.5" x14ac:dyDescent="0.35">
      <c r="A1076" s="625"/>
      <c r="B1076" s="626" t="s">
        <v>430</v>
      </c>
      <c r="C1076" s="2101">
        <f>IF(C1075="","",C1075+10)</f>
        <v>10705</v>
      </c>
      <c r="D1076" s="2102"/>
      <c r="E1076" s="627"/>
      <c r="F1076" s="628" t="s">
        <v>431</v>
      </c>
      <c r="G1076" s="2103">
        <f>IF(G1075="","",G1075+10)</f>
        <v>10720</v>
      </c>
      <c r="H1076" s="2104"/>
    </row>
    <row r="1077" spans="1:8" ht="15.5" x14ac:dyDescent="0.35">
      <c r="A1077" s="625"/>
      <c r="B1077" s="626" t="s">
        <v>430</v>
      </c>
      <c r="C1077" s="2101">
        <f>IF(C1076="","",C1076+10)</f>
        <v>10715</v>
      </c>
      <c r="D1077" s="2102"/>
      <c r="E1077" s="627"/>
      <c r="F1077" s="628" t="s">
        <v>431</v>
      </c>
      <c r="G1077" s="2103">
        <f>IF(G1076="","",G1076+10)</f>
        <v>10730</v>
      </c>
      <c r="H1077" s="2104"/>
    </row>
    <row r="1078" spans="1:8" ht="15.5" x14ac:dyDescent="0.35">
      <c r="A1078" s="625">
        <f>A1075+30</f>
        <v>10725</v>
      </c>
      <c r="B1078" s="626" t="s">
        <v>430</v>
      </c>
      <c r="C1078" s="2101">
        <f>IF(A1078="","",A1078)</f>
        <v>10725</v>
      </c>
      <c r="D1078" s="2102"/>
      <c r="E1078" s="627">
        <f>E1075+30</f>
        <v>10740</v>
      </c>
      <c r="F1078" s="628" t="s">
        <v>431</v>
      </c>
      <c r="G1078" s="2103">
        <f>IF(E1078="","",E1078)</f>
        <v>10740</v>
      </c>
      <c r="H1078" s="2104"/>
    </row>
    <row r="1079" spans="1:8" ht="15.5" x14ac:dyDescent="0.35">
      <c r="A1079" s="625"/>
      <c r="B1079" s="626" t="s">
        <v>430</v>
      </c>
      <c r="C1079" s="2101">
        <f>IF(C1078="","",C1078+10)</f>
        <v>10735</v>
      </c>
      <c r="D1079" s="2102"/>
      <c r="E1079" s="627"/>
      <c r="F1079" s="628" t="s">
        <v>431</v>
      </c>
      <c r="G1079" s="2103">
        <f>IF(G1078="","",G1078+10)</f>
        <v>10750</v>
      </c>
      <c r="H1079" s="2104"/>
    </row>
    <row r="1080" spans="1:8" ht="15.5" x14ac:dyDescent="0.35">
      <c r="A1080" s="625"/>
      <c r="B1080" s="626" t="s">
        <v>430</v>
      </c>
      <c r="C1080" s="2101">
        <f>IF(C1079="","",C1079+10)</f>
        <v>10745</v>
      </c>
      <c r="D1080" s="2102"/>
      <c r="E1080" s="627"/>
      <c r="F1080" s="628" t="s">
        <v>431</v>
      </c>
      <c r="G1080" s="2103">
        <f>IF(G1079="","",G1079+10)</f>
        <v>10760</v>
      </c>
      <c r="H1080" s="2104"/>
    </row>
    <row r="1081" spans="1:8" ht="15.5" x14ac:dyDescent="0.35">
      <c r="A1081" s="625">
        <f>A1078+30</f>
        <v>10755</v>
      </c>
      <c r="B1081" s="626" t="s">
        <v>430</v>
      </c>
      <c r="C1081" s="2101">
        <f>IF(A1081="","",A1081)</f>
        <v>10755</v>
      </c>
      <c r="D1081" s="2102"/>
      <c r="E1081" s="627">
        <f>E1078+30</f>
        <v>10770</v>
      </c>
      <c r="F1081" s="628" t="s">
        <v>431</v>
      </c>
      <c r="G1081" s="2103">
        <f>IF(E1081="","",E1081)</f>
        <v>10770</v>
      </c>
      <c r="H1081" s="2104"/>
    </row>
    <row r="1082" spans="1:8" ht="15.5" x14ac:dyDescent="0.35">
      <c r="A1082" s="625"/>
      <c r="B1082" s="626" t="s">
        <v>430</v>
      </c>
      <c r="C1082" s="2101">
        <f>IF(C1081="","",C1081+10)</f>
        <v>10765</v>
      </c>
      <c r="D1082" s="2102"/>
      <c r="E1082" s="627"/>
      <c r="F1082" s="628" t="s">
        <v>431</v>
      </c>
      <c r="G1082" s="2103">
        <f>IF(G1081="","",G1081+10)</f>
        <v>10780</v>
      </c>
      <c r="H1082" s="2104"/>
    </row>
    <row r="1083" spans="1:8" ht="15.5" x14ac:dyDescent="0.35">
      <c r="A1083" s="625"/>
      <c r="B1083" s="626" t="s">
        <v>430</v>
      </c>
      <c r="C1083" s="2101">
        <f>IF(C1082="","",C1082+10)</f>
        <v>10775</v>
      </c>
      <c r="D1083" s="2102"/>
      <c r="E1083" s="627"/>
      <c r="F1083" s="628" t="s">
        <v>431</v>
      </c>
      <c r="G1083" s="2103">
        <f>IF(G1082="","",G1082+10)</f>
        <v>10790</v>
      </c>
      <c r="H1083" s="2104"/>
    </row>
    <row r="1084" spans="1:8" ht="15.5" x14ac:dyDescent="0.35">
      <c r="A1084" s="625">
        <f>A1081+30</f>
        <v>10785</v>
      </c>
      <c r="B1084" s="626" t="s">
        <v>430</v>
      </c>
      <c r="C1084" s="2101">
        <f>IF(A1084="","",A1084)</f>
        <v>10785</v>
      </c>
      <c r="D1084" s="2102"/>
      <c r="E1084" s="627">
        <f>E1081+30</f>
        <v>10800</v>
      </c>
      <c r="F1084" s="628" t="s">
        <v>431</v>
      </c>
      <c r="G1084" s="2103">
        <f>IF(E1084="","",E1084)</f>
        <v>10800</v>
      </c>
      <c r="H1084" s="2104"/>
    </row>
    <row r="1085" spans="1:8" ht="15.5" x14ac:dyDescent="0.35">
      <c r="A1085" s="625"/>
      <c r="B1085" s="626" t="s">
        <v>430</v>
      </c>
      <c r="C1085" s="2101">
        <f>IF(C1084="","",C1084+10)</f>
        <v>10795</v>
      </c>
      <c r="D1085" s="2102"/>
      <c r="E1085" s="627"/>
      <c r="F1085" s="628" t="s">
        <v>431</v>
      </c>
      <c r="G1085" s="2103">
        <f>IF(G1084="","",G1084+10)</f>
        <v>10810</v>
      </c>
      <c r="H1085" s="2104"/>
    </row>
    <row r="1086" spans="1:8" ht="15.5" x14ac:dyDescent="0.35">
      <c r="A1086" s="625"/>
      <c r="B1086" s="626" t="s">
        <v>430</v>
      </c>
      <c r="C1086" s="2101">
        <f>IF(C1085="","",C1085+10)</f>
        <v>10805</v>
      </c>
      <c r="D1086" s="2102"/>
      <c r="E1086" s="627"/>
      <c r="F1086" s="628" t="s">
        <v>431</v>
      </c>
      <c r="G1086" s="2103">
        <f>IF(G1085="","",G1085+10)</f>
        <v>10820</v>
      </c>
      <c r="H1086" s="2104"/>
    </row>
    <row r="1087" spans="1:8" ht="15.5" x14ac:dyDescent="0.35">
      <c r="A1087" s="625">
        <f>A1084+30</f>
        <v>10815</v>
      </c>
      <c r="B1087" s="626" t="s">
        <v>430</v>
      </c>
      <c r="C1087" s="2101">
        <f>IF(A1087="","",A1087)</f>
        <v>10815</v>
      </c>
      <c r="D1087" s="2102"/>
      <c r="E1087" s="627">
        <f>E1084+30</f>
        <v>10830</v>
      </c>
      <c r="F1087" s="628" t="s">
        <v>431</v>
      </c>
      <c r="G1087" s="2103">
        <f>IF(E1087="","",E1087)</f>
        <v>10830</v>
      </c>
      <c r="H1087" s="2104"/>
    </row>
    <row r="1088" spans="1:8" ht="15.5" x14ac:dyDescent="0.35">
      <c r="A1088" s="625"/>
      <c r="B1088" s="626" t="s">
        <v>430</v>
      </c>
      <c r="C1088" s="2101">
        <f>IF(C1087="","",C1087+10)</f>
        <v>10825</v>
      </c>
      <c r="D1088" s="2102"/>
      <c r="E1088" s="627"/>
      <c r="F1088" s="628" t="s">
        <v>431</v>
      </c>
      <c r="G1088" s="2103">
        <f>IF(G1087="","",G1087+10)</f>
        <v>10840</v>
      </c>
      <c r="H1088" s="2104"/>
    </row>
    <row r="1089" spans="1:8" ht="15.5" x14ac:dyDescent="0.35">
      <c r="A1089" s="625"/>
      <c r="B1089" s="626" t="s">
        <v>430</v>
      </c>
      <c r="C1089" s="2101">
        <f>IF(C1088="","",C1088+10)</f>
        <v>10835</v>
      </c>
      <c r="D1089" s="2102"/>
      <c r="E1089" s="627"/>
      <c r="F1089" s="628" t="s">
        <v>431</v>
      </c>
      <c r="G1089" s="2103">
        <f>IF(G1088="","",G1088+10)</f>
        <v>10850</v>
      </c>
      <c r="H1089" s="2104"/>
    </row>
    <row r="1090" spans="1:8" ht="15.5" x14ac:dyDescent="0.35">
      <c r="A1090" s="625">
        <f>A1087+30</f>
        <v>10845</v>
      </c>
      <c r="B1090" s="626" t="s">
        <v>430</v>
      </c>
      <c r="C1090" s="2101">
        <f>IF(A1090="","",A1090)</f>
        <v>10845</v>
      </c>
      <c r="D1090" s="2102"/>
      <c r="E1090" s="627">
        <f>E1087+30</f>
        <v>10860</v>
      </c>
      <c r="F1090" s="628" t="s">
        <v>431</v>
      </c>
      <c r="G1090" s="2103">
        <f>IF(E1090="","",E1090)</f>
        <v>10860</v>
      </c>
      <c r="H1090" s="2104"/>
    </row>
    <row r="1091" spans="1:8" ht="15.5" x14ac:dyDescent="0.35">
      <c r="A1091" s="625"/>
      <c r="B1091" s="626" t="s">
        <v>430</v>
      </c>
      <c r="C1091" s="2101">
        <f>IF(C1090="","",C1090+10)</f>
        <v>10855</v>
      </c>
      <c r="D1091" s="2102"/>
      <c r="E1091" s="627"/>
      <c r="F1091" s="628" t="s">
        <v>431</v>
      </c>
      <c r="G1091" s="2103">
        <f>IF(G1090="","",G1090+10)</f>
        <v>10870</v>
      </c>
      <c r="H1091" s="2104"/>
    </row>
    <row r="1092" spans="1:8" ht="15.5" x14ac:dyDescent="0.35">
      <c r="A1092" s="625"/>
      <c r="B1092" s="626" t="s">
        <v>430</v>
      </c>
      <c r="C1092" s="2101">
        <f>IF(C1091="","",C1091+10)</f>
        <v>10865</v>
      </c>
      <c r="D1092" s="2102"/>
      <c r="E1092" s="627"/>
      <c r="F1092" s="628" t="s">
        <v>431</v>
      </c>
      <c r="G1092" s="2103">
        <f>IF(G1091="","",G1091+10)</f>
        <v>10880</v>
      </c>
      <c r="H1092" s="2104"/>
    </row>
    <row r="1093" spans="1:8" ht="15.5" x14ac:dyDescent="0.35">
      <c r="A1093" s="625">
        <f>A1090+30</f>
        <v>10875</v>
      </c>
      <c r="B1093" s="626" t="s">
        <v>430</v>
      </c>
      <c r="C1093" s="2101">
        <f>IF(A1093="","",A1093)</f>
        <v>10875</v>
      </c>
      <c r="D1093" s="2102"/>
      <c r="E1093" s="627">
        <f>E1090+30</f>
        <v>10890</v>
      </c>
      <c r="F1093" s="628" t="s">
        <v>431</v>
      </c>
      <c r="G1093" s="2103">
        <f>IF(E1093="","",E1093)</f>
        <v>10890</v>
      </c>
      <c r="H1093" s="2104"/>
    </row>
    <row r="1094" spans="1:8" ht="15.5" x14ac:dyDescent="0.35">
      <c r="A1094" s="625"/>
      <c r="B1094" s="626" t="s">
        <v>430</v>
      </c>
      <c r="C1094" s="2101">
        <f>IF(C1093="","",C1093+10)</f>
        <v>10885</v>
      </c>
      <c r="D1094" s="2102"/>
      <c r="E1094" s="627"/>
      <c r="F1094" s="628" t="s">
        <v>431</v>
      </c>
      <c r="G1094" s="2103">
        <f>IF(G1093="","",G1093+10)</f>
        <v>10900</v>
      </c>
      <c r="H1094" s="2104"/>
    </row>
    <row r="1095" spans="1:8" ht="15.5" x14ac:dyDescent="0.35">
      <c r="A1095" s="625"/>
      <c r="B1095" s="626" t="s">
        <v>430</v>
      </c>
      <c r="C1095" s="2101">
        <f>IF(C1094="","",C1094+10)</f>
        <v>10895</v>
      </c>
      <c r="D1095" s="2102"/>
      <c r="E1095" s="627"/>
      <c r="F1095" s="628" t="s">
        <v>431</v>
      </c>
      <c r="G1095" s="2103">
        <f>IF(G1094="","",G1094+10)</f>
        <v>10910</v>
      </c>
      <c r="H1095" s="2104"/>
    </row>
    <row r="1096" spans="1:8" ht="15.5" x14ac:dyDescent="0.35">
      <c r="A1096" s="625">
        <f>A1093+30</f>
        <v>10905</v>
      </c>
      <c r="B1096" s="626" t="s">
        <v>430</v>
      </c>
      <c r="C1096" s="2101">
        <f>IF(A1096="","",A1096)</f>
        <v>10905</v>
      </c>
      <c r="D1096" s="2102"/>
      <c r="E1096" s="627">
        <f>E1093+30</f>
        <v>10920</v>
      </c>
      <c r="F1096" s="628" t="s">
        <v>431</v>
      </c>
      <c r="G1096" s="2103">
        <f>IF(E1096="","",E1096)</f>
        <v>10920</v>
      </c>
      <c r="H1096" s="2104"/>
    </row>
    <row r="1097" spans="1:8" ht="15.5" x14ac:dyDescent="0.35">
      <c r="A1097" s="625"/>
      <c r="B1097" s="626" t="s">
        <v>430</v>
      </c>
      <c r="C1097" s="2101">
        <f>IF(C1096="","",C1096+10)</f>
        <v>10915</v>
      </c>
      <c r="D1097" s="2102"/>
      <c r="E1097" s="627"/>
      <c r="F1097" s="628" t="s">
        <v>431</v>
      </c>
      <c r="G1097" s="2103">
        <f>IF(G1096="","",G1096+10)</f>
        <v>10930</v>
      </c>
      <c r="H1097" s="2104"/>
    </row>
    <row r="1098" spans="1:8" ht="15.5" x14ac:dyDescent="0.35">
      <c r="A1098" s="625"/>
      <c r="B1098" s="626" t="s">
        <v>430</v>
      </c>
      <c r="C1098" s="2101">
        <f>IF(C1097="","",C1097+10)</f>
        <v>10925</v>
      </c>
      <c r="D1098" s="2102"/>
      <c r="E1098" s="627"/>
      <c r="F1098" s="628" t="s">
        <v>431</v>
      </c>
      <c r="G1098" s="2103">
        <f>IF(G1097="","",G1097+10)</f>
        <v>10940</v>
      </c>
      <c r="H1098" s="2104"/>
    </row>
    <row r="1099" spans="1:8" ht="15.5" x14ac:dyDescent="0.35">
      <c r="A1099" s="625">
        <f>A1096+30</f>
        <v>10935</v>
      </c>
      <c r="B1099" s="626" t="s">
        <v>430</v>
      </c>
      <c r="C1099" s="2101">
        <f>IF(A1099="","",A1099)</f>
        <v>10935</v>
      </c>
      <c r="D1099" s="2102"/>
      <c r="E1099" s="627">
        <f>E1096+30</f>
        <v>10950</v>
      </c>
      <c r="F1099" s="628" t="s">
        <v>431</v>
      </c>
      <c r="G1099" s="2103">
        <f>IF(E1099="","",E1099)</f>
        <v>10950</v>
      </c>
      <c r="H1099" s="2104"/>
    </row>
    <row r="1100" spans="1:8" ht="15.5" x14ac:dyDescent="0.35">
      <c r="A1100" s="625"/>
      <c r="B1100" s="626" t="s">
        <v>430</v>
      </c>
      <c r="C1100" s="2101">
        <f>IF(C1099="","",C1099+10)</f>
        <v>10945</v>
      </c>
      <c r="D1100" s="2102"/>
      <c r="E1100" s="627"/>
      <c r="F1100" s="628" t="s">
        <v>431</v>
      </c>
      <c r="G1100" s="2103">
        <f>IF(G1099="","",G1099+10)</f>
        <v>10960</v>
      </c>
      <c r="H1100" s="2104"/>
    </row>
    <row r="1101" spans="1:8" ht="15.5" x14ac:dyDescent="0.35">
      <c r="A1101" s="625"/>
      <c r="B1101" s="626" t="s">
        <v>430</v>
      </c>
      <c r="C1101" s="2101">
        <f>IF(C1100="","",C1100+10)</f>
        <v>10955</v>
      </c>
      <c r="D1101" s="2102"/>
      <c r="E1101" s="627"/>
      <c r="F1101" s="628" t="s">
        <v>431</v>
      </c>
      <c r="G1101" s="2103">
        <f>IF(G1100="","",G1100+10)</f>
        <v>10970</v>
      </c>
      <c r="H1101" s="2104"/>
    </row>
    <row r="1102" spans="1:8" ht="15.5" x14ac:dyDescent="0.35">
      <c r="A1102" s="625">
        <f>A1099+30</f>
        <v>10965</v>
      </c>
      <c r="B1102" s="626" t="s">
        <v>430</v>
      </c>
      <c r="C1102" s="2101">
        <f>IF(A1102="","",A1102)</f>
        <v>10965</v>
      </c>
      <c r="D1102" s="2102"/>
      <c r="E1102" s="627">
        <f>E1099+30</f>
        <v>10980</v>
      </c>
      <c r="F1102" s="628" t="s">
        <v>431</v>
      </c>
      <c r="G1102" s="2103">
        <f>IF(E1102="","",E1102)</f>
        <v>10980</v>
      </c>
      <c r="H1102" s="2104"/>
    </row>
    <row r="1103" spans="1:8" ht="15.5" x14ac:dyDescent="0.35">
      <c r="A1103" s="625"/>
      <c r="B1103" s="626" t="s">
        <v>430</v>
      </c>
      <c r="C1103" s="2101">
        <f>IF(C1102="","",C1102+10)</f>
        <v>10975</v>
      </c>
      <c r="D1103" s="2102"/>
      <c r="E1103" s="627"/>
      <c r="F1103" s="628" t="s">
        <v>431</v>
      </c>
      <c r="G1103" s="2103">
        <f>IF(G1102="","",G1102+10)</f>
        <v>10990</v>
      </c>
      <c r="H1103" s="2104"/>
    </row>
    <row r="1104" spans="1:8" ht="15.5" x14ac:dyDescent="0.35">
      <c r="A1104" s="625"/>
      <c r="B1104" s="626" t="s">
        <v>430</v>
      </c>
      <c r="C1104" s="2101">
        <f>IF(C1103="","",C1103+10)</f>
        <v>10985</v>
      </c>
      <c r="D1104" s="2102"/>
      <c r="E1104" s="627"/>
      <c r="F1104" s="628" t="s">
        <v>431</v>
      </c>
      <c r="G1104" s="2103">
        <f>IF(G1103="","",G1103+10)</f>
        <v>11000</v>
      </c>
      <c r="H1104" s="2104"/>
    </row>
    <row r="1105" spans="1:8" ht="15.5" x14ac:dyDescent="0.35">
      <c r="A1105" s="625">
        <f>A1102+30</f>
        <v>10995</v>
      </c>
      <c r="B1105" s="626" t="s">
        <v>430</v>
      </c>
      <c r="C1105" s="2101">
        <f>IF(A1105="","",A1105)</f>
        <v>10995</v>
      </c>
      <c r="D1105" s="2102"/>
      <c r="E1105" s="627">
        <f>E1102+30</f>
        <v>11010</v>
      </c>
      <c r="F1105" s="628" t="s">
        <v>431</v>
      </c>
      <c r="G1105" s="2103">
        <f>IF(E1105="","",E1105)</f>
        <v>11010</v>
      </c>
      <c r="H1105" s="2104"/>
    </row>
    <row r="1106" spans="1:8" ht="15.5" x14ac:dyDescent="0.35">
      <c r="A1106" s="625"/>
      <c r="B1106" s="626" t="s">
        <v>430</v>
      </c>
      <c r="C1106" s="2101">
        <f>IF(C1105="","",C1105+10)</f>
        <v>11005</v>
      </c>
      <c r="D1106" s="2102"/>
      <c r="E1106" s="627"/>
      <c r="F1106" s="628" t="s">
        <v>431</v>
      </c>
      <c r="G1106" s="2103">
        <f>IF(G1105="","",G1105+10)</f>
        <v>11020</v>
      </c>
      <c r="H1106" s="2104"/>
    </row>
    <row r="1107" spans="1:8" ht="15.5" x14ac:dyDescent="0.35">
      <c r="A1107" s="625"/>
      <c r="B1107" s="626" t="s">
        <v>430</v>
      </c>
      <c r="C1107" s="2101">
        <f>IF(C1106="","",C1106+10)</f>
        <v>11015</v>
      </c>
      <c r="D1107" s="2102"/>
      <c r="E1107" s="627"/>
      <c r="F1107" s="628" t="s">
        <v>431</v>
      </c>
      <c r="G1107" s="2103">
        <f>IF(G1106="","",G1106+10)</f>
        <v>11030</v>
      </c>
      <c r="H1107" s="2104"/>
    </row>
    <row r="1108" spans="1:8" ht="15.5" x14ac:dyDescent="0.35">
      <c r="A1108" s="625">
        <f>A1105+30</f>
        <v>11025</v>
      </c>
      <c r="B1108" s="626" t="s">
        <v>430</v>
      </c>
      <c r="C1108" s="2101">
        <f>IF(A1108="","",A1108)</f>
        <v>11025</v>
      </c>
      <c r="D1108" s="2102"/>
      <c r="E1108" s="627">
        <f>E1105+30</f>
        <v>11040</v>
      </c>
      <c r="F1108" s="628" t="s">
        <v>431</v>
      </c>
      <c r="G1108" s="2103">
        <f>IF(E1108="","",E1108)</f>
        <v>11040</v>
      </c>
      <c r="H1108" s="2104"/>
    </row>
    <row r="1109" spans="1:8" ht="15.5" x14ac:dyDescent="0.35">
      <c r="A1109" s="625"/>
      <c r="B1109" s="626" t="s">
        <v>430</v>
      </c>
      <c r="C1109" s="2101">
        <f>IF(C1108="","",C1108+10)</f>
        <v>11035</v>
      </c>
      <c r="D1109" s="2102"/>
      <c r="E1109" s="627"/>
      <c r="F1109" s="628" t="s">
        <v>431</v>
      </c>
      <c r="G1109" s="2103">
        <f>IF(G1108="","",G1108+10)</f>
        <v>11050</v>
      </c>
      <c r="H1109" s="2104"/>
    </row>
    <row r="1110" spans="1:8" ht="15.5" x14ac:dyDescent="0.35">
      <c r="A1110" s="625"/>
      <c r="B1110" s="626" t="s">
        <v>430</v>
      </c>
      <c r="C1110" s="2101">
        <f>IF(C1109="","",C1109+10)</f>
        <v>11045</v>
      </c>
      <c r="D1110" s="2102"/>
      <c r="E1110" s="627"/>
      <c r="F1110" s="628" t="s">
        <v>431</v>
      </c>
      <c r="G1110" s="2103">
        <f>IF(G1109="","",G1109+10)</f>
        <v>11060</v>
      </c>
      <c r="H1110" s="2104"/>
    </row>
    <row r="1111" spans="1:8" ht="15.5" x14ac:dyDescent="0.35">
      <c r="A1111" s="625">
        <f>A1108+30</f>
        <v>11055</v>
      </c>
      <c r="B1111" s="626" t="s">
        <v>430</v>
      </c>
      <c r="C1111" s="2101">
        <f>IF(A1111="","",A1111)</f>
        <v>11055</v>
      </c>
      <c r="D1111" s="2102"/>
      <c r="E1111" s="627">
        <f>E1108+30</f>
        <v>11070</v>
      </c>
      <c r="F1111" s="628" t="s">
        <v>431</v>
      </c>
      <c r="G1111" s="2103">
        <f>IF(E1111="","",E1111)</f>
        <v>11070</v>
      </c>
      <c r="H1111" s="2104"/>
    </row>
    <row r="1112" spans="1:8" ht="15.5" x14ac:dyDescent="0.35">
      <c r="A1112" s="625"/>
      <c r="B1112" s="626" t="s">
        <v>430</v>
      </c>
      <c r="C1112" s="2101">
        <f>IF(C1111="","",C1111+10)</f>
        <v>11065</v>
      </c>
      <c r="D1112" s="2102"/>
      <c r="E1112" s="627"/>
      <c r="F1112" s="628" t="s">
        <v>431</v>
      </c>
      <c r="G1112" s="2103">
        <f>IF(G1111="","",G1111+10)</f>
        <v>11080</v>
      </c>
      <c r="H1112" s="2104"/>
    </row>
    <row r="1113" spans="1:8" ht="15.5" x14ac:dyDescent="0.35">
      <c r="A1113" s="625"/>
      <c r="B1113" s="626" t="s">
        <v>430</v>
      </c>
      <c r="C1113" s="2101">
        <f>IF(C1112="","",C1112+10)</f>
        <v>11075</v>
      </c>
      <c r="D1113" s="2102"/>
      <c r="E1113" s="627"/>
      <c r="F1113" s="628" t="s">
        <v>431</v>
      </c>
      <c r="G1113" s="2103">
        <f>IF(G1112="","",G1112+10)</f>
        <v>11090</v>
      </c>
      <c r="H1113" s="2104"/>
    </row>
    <row r="1114" spans="1:8" ht="15.5" x14ac:dyDescent="0.35">
      <c r="A1114" s="625">
        <f>A1111+30</f>
        <v>11085</v>
      </c>
      <c r="B1114" s="626" t="s">
        <v>430</v>
      </c>
      <c r="C1114" s="2101">
        <f>IF(A1114="","",A1114)</f>
        <v>11085</v>
      </c>
      <c r="D1114" s="2102"/>
      <c r="E1114" s="627">
        <f>E1111+30</f>
        <v>11100</v>
      </c>
      <c r="F1114" s="628" t="s">
        <v>431</v>
      </c>
      <c r="G1114" s="2103">
        <f>IF(E1114="","",E1114)</f>
        <v>11100</v>
      </c>
      <c r="H1114" s="2104"/>
    </row>
    <row r="1115" spans="1:8" ht="15.5" x14ac:dyDescent="0.35">
      <c r="A1115" s="625"/>
      <c r="B1115" s="626" t="s">
        <v>430</v>
      </c>
      <c r="C1115" s="2101">
        <f>IF(C1114="","",C1114+10)</f>
        <v>11095</v>
      </c>
      <c r="D1115" s="2102"/>
      <c r="E1115" s="627"/>
      <c r="F1115" s="628" t="s">
        <v>431</v>
      </c>
      <c r="G1115" s="2103">
        <f>IF(G1114="","",G1114+10)</f>
        <v>11110</v>
      </c>
      <c r="H1115" s="2104"/>
    </row>
    <row r="1116" spans="1:8" ht="15.5" x14ac:dyDescent="0.35">
      <c r="A1116" s="625"/>
      <c r="B1116" s="626" t="s">
        <v>430</v>
      </c>
      <c r="C1116" s="2101">
        <f>IF(C1115="","",C1115+10)</f>
        <v>11105</v>
      </c>
      <c r="D1116" s="2102"/>
      <c r="E1116" s="627"/>
      <c r="F1116" s="628" t="s">
        <v>431</v>
      </c>
      <c r="G1116" s="2103">
        <f>IF(G1115="","",G1115+10)</f>
        <v>11120</v>
      </c>
      <c r="H1116" s="2104"/>
    </row>
    <row r="1117" spans="1:8" ht="15.5" x14ac:dyDescent="0.35">
      <c r="A1117" s="625">
        <f>A1114+30</f>
        <v>11115</v>
      </c>
      <c r="B1117" s="626" t="s">
        <v>430</v>
      </c>
      <c r="C1117" s="2101">
        <f>IF(A1117="","",A1117)</f>
        <v>11115</v>
      </c>
      <c r="D1117" s="2102"/>
      <c r="E1117" s="627">
        <f>E1114+30</f>
        <v>11130</v>
      </c>
      <c r="F1117" s="628" t="s">
        <v>431</v>
      </c>
      <c r="G1117" s="2103">
        <f>IF(E1117="","",E1117)</f>
        <v>11130</v>
      </c>
      <c r="H1117" s="2104"/>
    </row>
    <row r="1118" spans="1:8" ht="15.5" x14ac:dyDescent="0.35">
      <c r="A1118" s="625"/>
      <c r="B1118" s="626" t="s">
        <v>430</v>
      </c>
      <c r="C1118" s="2101">
        <f>IF(C1117="","",C1117+10)</f>
        <v>11125</v>
      </c>
      <c r="D1118" s="2102"/>
      <c r="E1118" s="627"/>
      <c r="F1118" s="628" t="s">
        <v>431</v>
      </c>
      <c r="G1118" s="2103">
        <f>IF(G1117="","",G1117+10)</f>
        <v>11140</v>
      </c>
      <c r="H1118" s="2104"/>
    </row>
    <row r="1119" spans="1:8" ht="15.5" x14ac:dyDescent="0.35">
      <c r="A1119" s="625"/>
      <c r="B1119" s="626" t="s">
        <v>430</v>
      </c>
      <c r="C1119" s="2101">
        <f>IF(C1118="","",C1118+10)</f>
        <v>11135</v>
      </c>
      <c r="D1119" s="2102"/>
      <c r="E1119" s="627"/>
      <c r="F1119" s="628" t="s">
        <v>431</v>
      </c>
      <c r="G1119" s="2103">
        <f>IF(G1118="","",G1118+10)</f>
        <v>11150</v>
      </c>
      <c r="H1119" s="2104"/>
    </row>
    <row r="1120" spans="1:8" ht="15.5" x14ac:dyDescent="0.35">
      <c r="A1120" s="625">
        <f>A1117+30</f>
        <v>11145</v>
      </c>
      <c r="B1120" s="626" t="s">
        <v>430</v>
      </c>
      <c r="C1120" s="2101">
        <f>IF(A1120="","",A1120)</f>
        <v>11145</v>
      </c>
      <c r="D1120" s="2102"/>
      <c r="E1120" s="627">
        <f>E1117+30</f>
        <v>11160</v>
      </c>
      <c r="F1120" s="628" t="s">
        <v>431</v>
      </c>
      <c r="G1120" s="2103">
        <f>IF(E1120="","",E1120)</f>
        <v>11160</v>
      </c>
      <c r="H1120" s="2104"/>
    </row>
    <row r="1121" spans="1:8" ht="15.5" x14ac:dyDescent="0.35">
      <c r="A1121" s="625"/>
      <c r="B1121" s="626" t="s">
        <v>430</v>
      </c>
      <c r="C1121" s="2101">
        <f>IF(C1120="","",C1120+10)</f>
        <v>11155</v>
      </c>
      <c r="D1121" s="2102"/>
      <c r="E1121" s="627"/>
      <c r="F1121" s="628" t="s">
        <v>431</v>
      </c>
      <c r="G1121" s="2103">
        <f>IF(G1120="","",G1120+10)</f>
        <v>11170</v>
      </c>
      <c r="H1121" s="2104"/>
    </row>
    <row r="1122" spans="1:8" ht="15.5" x14ac:dyDescent="0.35">
      <c r="A1122" s="625"/>
      <c r="B1122" s="626" t="s">
        <v>430</v>
      </c>
      <c r="C1122" s="2101">
        <f>IF(C1121="","",C1121+10)</f>
        <v>11165</v>
      </c>
      <c r="D1122" s="2102"/>
      <c r="E1122" s="627"/>
      <c r="F1122" s="628" t="s">
        <v>431</v>
      </c>
      <c r="G1122" s="2103">
        <f>IF(G1121="","",G1121+10)</f>
        <v>11180</v>
      </c>
      <c r="H1122" s="2104"/>
    </row>
    <row r="1123" spans="1:8" ht="15.5" x14ac:dyDescent="0.35">
      <c r="A1123" s="625">
        <f>A1120+30</f>
        <v>11175</v>
      </c>
      <c r="B1123" s="626" t="s">
        <v>430</v>
      </c>
      <c r="C1123" s="2101">
        <f>IF(A1123="","",A1123)</f>
        <v>11175</v>
      </c>
      <c r="D1123" s="2102"/>
      <c r="E1123" s="627">
        <f>E1120+30</f>
        <v>11190</v>
      </c>
      <c r="F1123" s="628" t="s">
        <v>431</v>
      </c>
      <c r="G1123" s="2103">
        <f>IF(E1123="","",E1123)</f>
        <v>11190</v>
      </c>
      <c r="H1123" s="2104"/>
    </row>
    <row r="1124" spans="1:8" ht="15.5" x14ac:dyDescent="0.35">
      <c r="A1124" s="625"/>
      <c r="B1124" s="626" t="s">
        <v>430</v>
      </c>
      <c r="C1124" s="2101">
        <f>IF(C1123="","",C1123+10)</f>
        <v>11185</v>
      </c>
      <c r="D1124" s="2102"/>
      <c r="E1124" s="627"/>
      <c r="F1124" s="628" t="s">
        <v>431</v>
      </c>
      <c r="G1124" s="2103">
        <f>IF(G1123="","",G1123+10)</f>
        <v>11200</v>
      </c>
      <c r="H1124" s="2104"/>
    </row>
    <row r="1125" spans="1:8" ht="15.5" x14ac:dyDescent="0.35">
      <c r="A1125" s="625"/>
      <c r="B1125" s="626" t="s">
        <v>430</v>
      </c>
      <c r="C1125" s="2101">
        <f>IF(C1124="","",C1124+10)</f>
        <v>11195</v>
      </c>
      <c r="D1125" s="2102"/>
      <c r="E1125" s="627"/>
      <c r="F1125" s="628" t="s">
        <v>431</v>
      </c>
      <c r="G1125" s="2103">
        <f>IF(G1124="","",G1124+10)</f>
        <v>11210</v>
      </c>
      <c r="H1125" s="2104"/>
    </row>
    <row r="1126" spans="1:8" ht="15.5" x14ac:dyDescent="0.35">
      <c r="A1126" s="625">
        <f>A1123+30</f>
        <v>11205</v>
      </c>
      <c r="B1126" s="626" t="s">
        <v>430</v>
      </c>
      <c r="C1126" s="2101">
        <f>IF(A1126="","",A1126)</f>
        <v>11205</v>
      </c>
      <c r="D1126" s="2102"/>
      <c r="E1126" s="627">
        <f>E1123+30</f>
        <v>11220</v>
      </c>
      <c r="F1126" s="628" t="s">
        <v>431</v>
      </c>
      <c r="G1126" s="2103">
        <f>IF(E1126="","",E1126)</f>
        <v>11220</v>
      </c>
      <c r="H1126" s="2104"/>
    </row>
    <row r="1127" spans="1:8" ht="15.5" x14ac:dyDescent="0.35">
      <c r="A1127" s="625"/>
      <c r="B1127" s="626" t="s">
        <v>430</v>
      </c>
      <c r="C1127" s="2101">
        <f>IF(C1126="","",C1126+10)</f>
        <v>11215</v>
      </c>
      <c r="D1127" s="2102"/>
      <c r="E1127" s="627"/>
      <c r="F1127" s="628" t="s">
        <v>431</v>
      </c>
      <c r="G1127" s="2103">
        <f>IF(G1126="","",G1126+10)</f>
        <v>11230</v>
      </c>
      <c r="H1127" s="2104"/>
    </row>
    <row r="1128" spans="1:8" ht="15.5" x14ac:dyDescent="0.35">
      <c r="A1128" s="625"/>
      <c r="B1128" s="626" t="s">
        <v>430</v>
      </c>
      <c r="C1128" s="2101">
        <f>IF(C1127="","",C1127+10)</f>
        <v>11225</v>
      </c>
      <c r="D1128" s="2102"/>
      <c r="E1128" s="627"/>
      <c r="F1128" s="628" t="s">
        <v>431</v>
      </c>
      <c r="G1128" s="2103">
        <f>IF(G1127="","",G1127+10)</f>
        <v>11240</v>
      </c>
      <c r="H1128" s="2104"/>
    </row>
    <row r="1129" spans="1:8" ht="15.5" x14ac:dyDescent="0.35">
      <c r="A1129" s="625">
        <f>A1126+30</f>
        <v>11235</v>
      </c>
      <c r="B1129" s="626" t="s">
        <v>430</v>
      </c>
      <c r="C1129" s="2101">
        <f>IF(A1129="","",A1129)</f>
        <v>11235</v>
      </c>
      <c r="D1129" s="2102"/>
      <c r="E1129" s="627">
        <f>E1126+30</f>
        <v>11250</v>
      </c>
      <c r="F1129" s="628" t="s">
        <v>431</v>
      </c>
      <c r="G1129" s="2103">
        <f>IF(E1129="","",E1129)</f>
        <v>11250</v>
      </c>
      <c r="H1129" s="2104"/>
    </row>
    <row r="1130" spans="1:8" ht="15.5" x14ac:dyDescent="0.35">
      <c r="A1130" s="625"/>
      <c r="B1130" s="626" t="s">
        <v>430</v>
      </c>
      <c r="C1130" s="2101">
        <f>IF(C1129="","",C1129+10)</f>
        <v>11245</v>
      </c>
      <c r="D1130" s="2102"/>
      <c r="E1130" s="627"/>
      <c r="F1130" s="628" t="s">
        <v>431</v>
      </c>
      <c r="G1130" s="2103">
        <f>IF(G1129="","",G1129+10)</f>
        <v>11260</v>
      </c>
      <c r="H1130" s="2104"/>
    </row>
    <row r="1131" spans="1:8" ht="15.5" x14ac:dyDescent="0.35">
      <c r="A1131" s="625"/>
      <c r="B1131" s="626" t="s">
        <v>430</v>
      </c>
      <c r="C1131" s="2101">
        <f>IF(C1130="","",C1130+10)</f>
        <v>11255</v>
      </c>
      <c r="D1131" s="2102"/>
      <c r="E1131" s="627"/>
      <c r="F1131" s="628" t="s">
        <v>431</v>
      </c>
      <c r="G1131" s="2103">
        <f>IF(G1130="","",G1130+10)</f>
        <v>11270</v>
      </c>
      <c r="H1131" s="2104"/>
    </row>
    <row r="1132" spans="1:8" ht="15.5" x14ac:dyDescent="0.35">
      <c r="A1132" s="625">
        <f>A1129+30</f>
        <v>11265</v>
      </c>
      <c r="B1132" s="626" t="s">
        <v>430</v>
      </c>
      <c r="C1132" s="2101">
        <f>IF(A1132="","",A1132)</f>
        <v>11265</v>
      </c>
      <c r="D1132" s="2102"/>
      <c r="E1132" s="627">
        <f>E1129+30</f>
        <v>11280</v>
      </c>
      <c r="F1132" s="628" t="s">
        <v>431</v>
      </c>
      <c r="G1132" s="2103">
        <f>IF(E1132="","",E1132)</f>
        <v>11280</v>
      </c>
      <c r="H1132" s="2104"/>
    </row>
    <row r="1133" spans="1:8" ht="15.5" x14ac:dyDescent="0.35">
      <c r="A1133" s="625"/>
      <c r="B1133" s="626" t="s">
        <v>430</v>
      </c>
      <c r="C1133" s="2101">
        <f>IF(C1132="","",C1132+10)</f>
        <v>11275</v>
      </c>
      <c r="D1133" s="2102"/>
      <c r="E1133" s="627"/>
      <c r="F1133" s="628" t="s">
        <v>431</v>
      </c>
      <c r="G1133" s="2103">
        <f>IF(G1132="","",G1132+10)</f>
        <v>11290</v>
      </c>
      <c r="H1133" s="2104"/>
    </row>
    <row r="1134" spans="1:8" ht="15.5" x14ac:dyDescent="0.35">
      <c r="A1134" s="625"/>
      <c r="B1134" s="626" t="s">
        <v>430</v>
      </c>
      <c r="C1134" s="2101">
        <f>IF(C1133="","",C1133+10)</f>
        <v>11285</v>
      </c>
      <c r="D1134" s="2102"/>
      <c r="E1134" s="627"/>
      <c r="F1134" s="628" t="s">
        <v>431</v>
      </c>
      <c r="G1134" s="2103">
        <f>IF(G1133="","",G1133+10)</f>
        <v>11300</v>
      </c>
      <c r="H1134" s="2104"/>
    </row>
    <row r="1135" spans="1:8" ht="15.5" x14ac:dyDescent="0.35">
      <c r="A1135" s="625">
        <f>A1132+30</f>
        <v>11295</v>
      </c>
      <c r="B1135" s="626" t="s">
        <v>430</v>
      </c>
      <c r="C1135" s="2101">
        <f>IF(A1135="","",A1135)</f>
        <v>11295</v>
      </c>
      <c r="D1135" s="2102"/>
      <c r="E1135" s="627">
        <f>E1132+30</f>
        <v>11310</v>
      </c>
      <c r="F1135" s="628" t="s">
        <v>431</v>
      </c>
      <c r="G1135" s="2103">
        <f>IF(E1135="","",E1135)</f>
        <v>11310</v>
      </c>
      <c r="H1135" s="2104"/>
    </row>
    <row r="1136" spans="1:8" ht="15.5" x14ac:dyDescent="0.35">
      <c r="A1136" s="625"/>
      <c r="B1136" s="626" t="s">
        <v>430</v>
      </c>
      <c r="C1136" s="2101">
        <f>IF(C1135="","",C1135+10)</f>
        <v>11305</v>
      </c>
      <c r="D1136" s="2102"/>
      <c r="E1136" s="627"/>
      <c r="F1136" s="628" t="s">
        <v>431</v>
      </c>
      <c r="G1136" s="2103">
        <f>IF(G1135="","",G1135+10)</f>
        <v>11320</v>
      </c>
      <c r="H1136" s="2104"/>
    </row>
    <row r="1137" spans="1:8" ht="15.5" x14ac:dyDescent="0.35">
      <c r="A1137" s="625"/>
      <c r="B1137" s="626" t="s">
        <v>430</v>
      </c>
      <c r="C1137" s="2101">
        <f>IF(C1136="","",C1136+10)</f>
        <v>11315</v>
      </c>
      <c r="D1137" s="2102"/>
      <c r="E1137" s="627"/>
      <c r="F1137" s="628" t="s">
        <v>431</v>
      </c>
      <c r="G1137" s="2103">
        <f>IF(G1136="","",G1136+10)</f>
        <v>11330</v>
      </c>
      <c r="H1137" s="2104"/>
    </row>
    <row r="1138" spans="1:8" ht="15.5" x14ac:dyDescent="0.35">
      <c r="A1138" s="625">
        <f>A1135+30</f>
        <v>11325</v>
      </c>
      <c r="B1138" s="626" t="s">
        <v>430</v>
      </c>
      <c r="C1138" s="2101">
        <f>IF(A1138="","",A1138)</f>
        <v>11325</v>
      </c>
      <c r="D1138" s="2102"/>
      <c r="E1138" s="627">
        <f>E1135+30</f>
        <v>11340</v>
      </c>
      <c r="F1138" s="628" t="s">
        <v>431</v>
      </c>
      <c r="G1138" s="2103">
        <f>IF(E1138="","",E1138)</f>
        <v>11340</v>
      </c>
      <c r="H1138" s="2104"/>
    </row>
    <row r="1139" spans="1:8" ht="15.5" x14ac:dyDescent="0.35">
      <c r="A1139" s="625"/>
      <c r="B1139" s="626" t="s">
        <v>430</v>
      </c>
      <c r="C1139" s="2101">
        <f>IF(C1138="","",C1138+10)</f>
        <v>11335</v>
      </c>
      <c r="D1139" s="2102"/>
      <c r="E1139" s="627"/>
      <c r="F1139" s="628" t="s">
        <v>431</v>
      </c>
      <c r="G1139" s="2103">
        <f>IF(G1138="","",G1138+10)</f>
        <v>11350</v>
      </c>
      <c r="H1139" s="2104"/>
    </row>
    <row r="1140" spans="1:8" ht="15.5" x14ac:dyDescent="0.35">
      <c r="A1140" s="625"/>
      <c r="B1140" s="626" t="s">
        <v>430</v>
      </c>
      <c r="C1140" s="2101">
        <f>IF(C1139="","",C1139+10)</f>
        <v>11345</v>
      </c>
      <c r="D1140" s="2102"/>
      <c r="E1140" s="627"/>
      <c r="F1140" s="628" t="s">
        <v>431</v>
      </c>
      <c r="G1140" s="2103">
        <f>IF(G1139="","",G1139+10)</f>
        <v>11360</v>
      </c>
      <c r="H1140" s="2104"/>
    </row>
    <row r="1141" spans="1:8" ht="15.5" x14ac:dyDescent="0.35">
      <c r="A1141" s="625">
        <f>A1138+30</f>
        <v>11355</v>
      </c>
      <c r="B1141" s="626" t="s">
        <v>430</v>
      </c>
      <c r="C1141" s="2101">
        <f>IF(A1141="","",A1141)</f>
        <v>11355</v>
      </c>
      <c r="D1141" s="2102"/>
      <c r="E1141" s="627">
        <f>E1138+30</f>
        <v>11370</v>
      </c>
      <c r="F1141" s="628" t="s">
        <v>431</v>
      </c>
      <c r="G1141" s="2103">
        <f>IF(E1141="","",E1141)</f>
        <v>11370</v>
      </c>
      <c r="H1141" s="2104"/>
    </row>
    <row r="1142" spans="1:8" ht="15.5" x14ac:dyDescent="0.35">
      <c r="A1142" s="625"/>
      <c r="B1142" s="626" t="s">
        <v>430</v>
      </c>
      <c r="C1142" s="2101">
        <f>IF(C1141="","",C1141+10)</f>
        <v>11365</v>
      </c>
      <c r="D1142" s="2102"/>
      <c r="E1142" s="627"/>
      <c r="F1142" s="628" t="s">
        <v>431</v>
      </c>
      <c r="G1142" s="2103">
        <f>IF(G1141="","",G1141+10)</f>
        <v>11380</v>
      </c>
      <c r="H1142" s="2104"/>
    </row>
    <row r="1143" spans="1:8" ht="15.5" x14ac:dyDescent="0.35">
      <c r="A1143" s="625"/>
      <c r="B1143" s="626" t="s">
        <v>430</v>
      </c>
      <c r="C1143" s="2101">
        <f>IF(C1142="","",C1142+10)</f>
        <v>11375</v>
      </c>
      <c r="D1143" s="2102"/>
      <c r="E1143" s="627"/>
      <c r="F1143" s="628" t="s">
        <v>431</v>
      </c>
      <c r="G1143" s="2103">
        <f>IF(G1142="","",G1142+10)</f>
        <v>11390</v>
      </c>
      <c r="H1143" s="2104"/>
    </row>
    <row r="1144" spans="1:8" ht="15.5" x14ac:dyDescent="0.35">
      <c r="A1144" s="625">
        <f>A1141+30</f>
        <v>11385</v>
      </c>
      <c r="B1144" s="626" t="s">
        <v>430</v>
      </c>
      <c r="C1144" s="2101">
        <f>IF(A1144="","",A1144)</f>
        <v>11385</v>
      </c>
      <c r="D1144" s="2102"/>
      <c r="E1144" s="627">
        <f>E1141+30</f>
        <v>11400</v>
      </c>
      <c r="F1144" s="628" t="s">
        <v>431</v>
      </c>
      <c r="G1144" s="2103">
        <f>IF(E1144="","",E1144)</f>
        <v>11400</v>
      </c>
      <c r="H1144" s="2104"/>
    </row>
    <row r="1145" spans="1:8" ht="15.5" x14ac:dyDescent="0.35">
      <c r="A1145" s="625"/>
      <c r="B1145" s="626" t="s">
        <v>430</v>
      </c>
      <c r="C1145" s="2101">
        <f>IF(C1144="","",C1144+10)</f>
        <v>11395</v>
      </c>
      <c r="D1145" s="2102"/>
      <c r="E1145" s="627"/>
      <c r="F1145" s="628" t="s">
        <v>431</v>
      </c>
      <c r="G1145" s="2103">
        <f>IF(G1144="","",G1144+10)</f>
        <v>11410</v>
      </c>
      <c r="H1145" s="2104"/>
    </row>
    <row r="1146" spans="1:8" ht="15.5" x14ac:dyDescent="0.35">
      <c r="A1146" s="625"/>
      <c r="B1146" s="626" t="s">
        <v>430</v>
      </c>
      <c r="C1146" s="2101">
        <f>IF(C1145="","",C1145+10)</f>
        <v>11405</v>
      </c>
      <c r="D1146" s="2102"/>
      <c r="E1146" s="627"/>
      <c r="F1146" s="628" t="s">
        <v>431</v>
      </c>
      <c r="G1146" s="2103">
        <f>IF(G1145="","",G1145+10)</f>
        <v>11420</v>
      </c>
      <c r="H1146" s="2104"/>
    </row>
    <row r="1147" spans="1:8" ht="15.5" x14ac:dyDescent="0.35">
      <c r="A1147" s="625">
        <f>A1144+30</f>
        <v>11415</v>
      </c>
      <c r="B1147" s="626" t="s">
        <v>430</v>
      </c>
      <c r="C1147" s="2101">
        <f>IF(A1147="","",A1147)</f>
        <v>11415</v>
      </c>
      <c r="D1147" s="2102"/>
      <c r="E1147" s="627">
        <f>E1144+30</f>
        <v>11430</v>
      </c>
      <c r="F1147" s="628" t="s">
        <v>431</v>
      </c>
      <c r="G1147" s="2103">
        <f>IF(E1147="","",E1147)</f>
        <v>11430</v>
      </c>
      <c r="H1147" s="2104"/>
    </row>
    <row r="1148" spans="1:8" ht="15.5" x14ac:dyDescent="0.35">
      <c r="A1148" s="625"/>
      <c r="B1148" s="626" t="s">
        <v>430</v>
      </c>
      <c r="C1148" s="2101">
        <f>IF(C1147="","",C1147+10)</f>
        <v>11425</v>
      </c>
      <c r="D1148" s="2102"/>
      <c r="E1148" s="627"/>
      <c r="F1148" s="628" t="s">
        <v>431</v>
      </c>
      <c r="G1148" s="2103">
        <f>IF(G1147="","",G1147+10)</f>
        <v>11440</v>
      </c>
      <c r="H1148" s="2104"/>
    </row>
    <row r="1149" spans="1:8" ht="15.5" x14ac:dyDescent="0.35">
      <c r="A1149" s="625"/>
      <c r="B1149" s="626" t="s">
        <v>430</v>
      </c>
      <c r="C1149" s="2101">
        <f>IF(C1148="","",C1148+10)</f>
        <v>11435</v>
      </c>
      <c r="D1149" s="2102"/>
      <c r="E1149" s="627"/>
      <c r="F1149" s="628" t="s">
        <v>431</v>
      </c>
      <c r="G1149" s="2103">
        <f>IF(G1148="","",G1148+10)</f>
        <v>11450</v>
      </c>
      <c r="H1149" s="2104"/>
    </row>
    <row r="1150" spans="1:8" ht="15.5" x14ac:dyDescent="0.35">
      <c r="A1150" s="625">
        <f>A1147+30</f>
        <v>11445</v>
      </c>
      <c r="B1150" s="626" t="s">
        <v>430</v>
      </c>
      <c r="C1150" s="2101">
        <f>IF(A1150="","",A1150)</f>
        <v>11445</v>
      </c>
      <c r="D1150" s="2102"/>
      <c r="E1150" s="627">
        <f>E1147+30</f>
        <v>11460</v>
      </c>
      <c r="F1150" s="628" t="s">
        <v>431</v>
      </c>
      <c r="G1150" s="2103">
        <f>IF(E1150="","",E1150)</f>
        <v>11460</v>
      </c>
      <c r="H1150" s="2104"/>
    </row>
    <row r="1151" spans="1:8" ht="15.5" x14ac:dyDescent="0.35">
      <c r="A1151" s="625"/>
      <c r="B1151" s="626" t="s">
        <v>430</v>
      </c>
      <c r="C1151" s="2101">
        <f>IF(C1150="","",C1150+10)</f>
        <v>11455</v>
      </c>
      <c r="D1151" s="2102"/>
      <c r="E1151" s="627"/>
      <c r="F1151" s="628" t="s">
        <v>431</v>
      </c>
      <c r="G1151" s="2103">
        <f>IF(G1150="","",G1150+10)</f>
        <v>11470</v>
      </c>
      <c r="H1151" s="2104"/>
    </row>
    <row r="1152" spans="1:8" ht="15.5" x14ac:dyDescent="0.35">
      <c r="A1152" s="625"/>
      <c r="B1152" s="626" t="s">
        <v>430</v>
      </c>
      <c r="C1152" s="2101">
        <f>IF(C1151="","",C1151+10)</f>
        <v>11465</v>
      </c>
      <c r="D1152" s="2102"/>
      <c r="E1152" s="627"/>
      <c r="F1152" s="628" t="s">
        <v>431</v>
      </c>
      <c r="G1152" s="2103">
        <f>IF(G1151="","",G1151+10)</f>
        <v>11480</v>
      </c>
      <c r="H1152" s="2104"/>
    </row>
    <row r="1153" spans="1:8" ht="15.5" x14ac:dyDescent="0.35">
      <c r="A1153" s="625">
        <f>A1150+30</f>
        <v>11475</v>
      </c>
      <c r="B1153" s="626" t="s">
        <v>430</v>
      </c>
      <c r="C1153" s="2101">
        <f>IF(A1153="","",A1153)</f>
        <v>11475</v>
      </c>
      <c r="D1153" s="2102"/>
      <c r="E1153" s="627">
        <f>E1150+30</f>
        <v>11490</v>
      </c>
      <c r="F1153" s="628" t="s">
        <v>431</v>
      </c>
      <c r="G1153" s="2103">
        <f>IF(E1153="","",E1153)</f>
        <v>11490</v>
      </c>
      <c r="H1153" s="2104"/>
    </row>
    <row r="1154" spans="1:8" ht="15.5" x14ac:dyDescent="0.35">
      <c r="A1154" s="625"/>
      <c r="B1154" s="626" t="s">
        <v>430</v>
      </c>
      <c r="C1154" s="2101">
        <f>IF(C1153="","",C1153+10)</f>
        <v>11485</v>
      </c>
      <c r="D1154" s="2102"/>
      <c r="E1154" s="627"/>
      <c r="F1154" s="628" t="s">
        <v>431</v>
      </c>
      <c r="G1154" s="2103">
        <f>IF(G1153="","",G1153+10)</f>
        <v>11500</v>
      </c>
      <c r="H1154" s="2104"/>
    </row>
    <row r="1155" spans="1:8" ht="15.5" x14ac:dyDescent="0.35">
      <c r="A1155" s="625"/>
      <c r="B1155" s="626" t="s">
        <v>430</v>
      </c>
      <c r="C1155" s="2101">
        <f>IF(C1154="","",C1154+10)</f>
        <v>11495</v>
      </c>
      <c r="D1155" s="2102"/>
      <c r="E1155" s="627"/>
      <c r="F1155" s="628" t="s">
        <v>431</v>
      </c>
      <c r="G1155" s="2103">
        <f>IF(G1154="","",G1154+10)</f>
        <v>11510</v>
      </c>
      <c r="H1155" s="2104"/>
    </row>
    <row r="1156" spans="1:8" ht="15.5" x14ac:dyDescent="0.35">
      <c r="A1156" s="625">
        <f>A1153+30</f>
        <v>11505</v>
      </c>
      <c r="B1156" s="626" t="s">
        <v>430</v>
      </c>
      <c r="C1156" s="2101">
        <f>IF(A1156="","",A1156)</f>
        <v>11505</v>
      </c>
      <c r="D1156" s="2102"/>
      <c r="E1156" s="627">
        <f>E1153+30</f>
        <v>11520</v>
      </c>
      <c r="F1156" s="628" t="s">
        <v>431</v>
      </c>
      <c r="G1156" s="2103">
        <f>IF(E1156="","",E1156)</f>
        <v>11520</v>
      </c>
      <c r="H1156" s="2104"/>
    </row>
    <row r="1157" spans="1:8" ht="15.5" x14ac:dyDescent="0.35">
      <c r="A1157" s="625"/>
      <c r="B1157" s="626" t="s">
        <v>430</v>
      </c>
      <c r="C1157" s="2101">
        <f>IF(C1156="","",C1156+10)</f>
        <v>11515</v>
      </c>
      <c r="D1157" s="2102"/>
      <c r="E1157" s="627"/>
      <c r="F1157" s="628" t="s">
        <v>431</v>
      </c>
      <c r="G1157" s="2103">
        <f>IF(G1156="","",G1156+10)</f>
        <v>11530</v>
      </c>
      <c r="H1157" s="2104"/>
    </row>
    <row r="1158" spans="1:8" ht="15.5" x14ac:dyDescent="0.35">
      <c r="A1158" s="625"/>
      <c r="B1158" s="626" t="s">
        <v>430</v>
      </c>
      <c r="C1158" s="2101">
        <f>IF(C1157="","",C1157+10)</f>
        <v>11525</v>
      </c>
      <c r="D1158" s="2102"/>
      <c r="E1158" s="627"/>
      <c r="F1158" s="628" t="s">
        <v>431</v>
      </c>
      <c r="G1158" s="2103">
        <f>IF(G1157="","",G1157+10)</f>
        <v>11540</v>
      </c>
      <c r="H1158" s="2104"/>
    </row>
    <row r="1159" spans="1:8" ht="15.5" x14ac:dyDescent="0.35">
      <c r="A1159" s="625">
        <f>A1156+30</f>
        <v>11535</v>
      </c>
      <c r="B1159" s="626" t="s">
        <v>430</v>
      </c>
      <c r="C1159" s="2101">
        <f>IF(A1159="","",A1159)</f>
        <v>11535</v>
      </c>
      <c r="D1159" s="2102"/>
      <c r="E1159" s="627">
        <f>E1156+30</f>
        <v>11550</v>
      </c>
      <c r="F1159" s="628" t="s">
        <v>431</v>
      </c>
      <c r="G1159" s="2103">
        <f>IF(E1159="","",E1159)</f>
        <v>11550</v>
      </c>
      <c r="H1159" s="2104"/>
    </row>
    <row r="1160" spans="1:8" ht="15.5" x14ac:dyDescent="0.35">
      <c r="A1160" s="625"/>
      <c r="B1160" s="626" t="s">
        <v>430</v>
      </c>
      <c r="C1160" s="2101">
        <f>IF(C1159="","",C1159+10)</f>
        <v>11545</v>
      </c>
      <c r="D1160" s="2102"/>
      <c r="E1160" s="627"/>
      <c r="F1160" s="628" t="s">
        <v>431</v>
      </c>
      <c r="G1160" s="2103">
        <f>IF(G1159="","",G1159+10)</f>
        <v>11560</v>
      </c>
      <c r="H1160" s="2104"/>
    </row>
    <row r="1161" spans="1:8" ht="15.5" x14ac:dyDescent="0.35">
      <c r="A1161" s="625"/>
      <c r="B1161" s="626" t="s">
        <v>430</v>
      </c>
      <c r="C1161" s="2101">
        <f>IF(C1160="","",C1160+10)</f>
        <v>11555</v>
      </c>
      <c r="D1161" s="2102"/>
      <c r="E1161" s="627"/>
      <c r="F1161" s="628" t="s">
        <v>431</v>
      </c>
      <c r="G1161" s="2103">
        <f>IF(G1160="","",G1160+10)</f>
        <v>11570</v>
      </c>
      <c r="H1161" s="2104"/>
    </row>
    <row r="1162" spans="1:8" ht="15.5" x14ac:dyDescent="0.35">
      <c r="A1162" s="625">
        <f>A1159+30</f>
        <v>11565</v>
      </c>
      <c r="B1162" s="626" t="s">
        <v>430</v>
      </c>
      <c r="C1162" s="2101">
        <f>IF(A1162="","",A1162)</f>
        <v>11565</v>
      </c>
      <c r="D1162" s="2102"/>
      <c r="E1162" s="627">
        <f>E1159+30</f>
        <v>11580</v>
      </c>
      <c r="F1162" s="628" t="s">
        <v>431</v>
      </c>
      <c r="G1162" s="2103">
        <f>IF(E1162="","",E1162)</f>
        <v>11580</v>
      </c>
      <c r="H1162" s="2104"/>
    </row>
    <row r="1163" spans="1:8" ht="15.5" x14ac:dyDescent="0.35">
      <c r="A1163" s="625"/>
      <c r="B1163" s="626" t="s">
        <v>430</v>
      </c>
      <c r="C1163" s="2101">
        <f>IF(C1162="","",C1162+10)</f>
        <v>11575</v>
      </c>
      <c r="D1163" s="2102"/>
      <c r="E1163" s="627"/>
      <c r="F1163" s="628" t="s">
        <v>431</v>
      </c>
      <c r="G1163" s="2103">
        <f>IF(G1162="","",G1162+10)</f>
        <v>11590</v>
      </c>
      <c r="H1163" s="2104"/>
    </row>
    <row r="1164" spans="1:8" ht="15.5" x14ac:dyDescent="0.35">
      <c r="A1164" s="625"/>
      <c r="B1164" s="626" t="s">
        <v>430</v>
      </c>
      <c r="C1164" s="2101">
        <f>IF(C1163="","",C1163+10)</f>
        <v>11585</v>
      </c>
      <c r="D1164" s="2102"/>
      <c r="E1164" s="627"/>
      <c r="F1164" s="628" t="s">
        <v>431</v>
      </c>
      <c r="G1164" s="2103">
        <f>IF(G1163="","",G1163+10)</f>
        <v>11600</v>
      </c>
      <c r="H1164" s="2104"/>
    </row>
    <row r="1165" spans="1:8" ht="15.5" x14ac:dyDescent="0.35">
      <c r="A1165" s="625">
        <f>A1162+30</f>
        <v>11595</v>
      </c>
      <c r="B1165" s="626" t="s">
        <v>430</v>
      </c>
      <c r="C1165" s="2101">
        <f>IF(A1165="","",A1165)</f>
        <v>11595</v>
      </c>
      <c r="D1165" s="2102"/>
      <c r="E1165" s="627">
        <f>E1162+30</f>
        <v>11610</v>
      </c>
      <c r="F1165" s="628" t="s">
        <v>431</v>
      </c>
      <c r="G1165" s="2103">
        <f>IF(E1165="","",E1165)</f>
        <v>11610</v>
      </c>
      <c r="H1165" s="2104"/>
    </row>
    <row r="1166" spans="1:8" ht="15.5" x14ac:dyDescent="0.35">
      <c r="A1166" s="625"/>
      <c r="B1166" s="626" t="s">
        <v>430</v>
      </c>
      <c r="C1166" s="2101">
        <f>IF(C1165="","",C1165+10)</f>
        <v>11605</v>
      </c>
      <c r="D1166" s="2102"/>
      <c r="E1166" s="627"/>
      <c r="F1166" s="628" t="s">
        <v>431</v>
      </c>
      <c r="G1166" s="2103">
        <f>IF(G1165="","",G1165+10)</f>
        <v>11620</v>
      </c>
      <c r="H1166" s="2104"/>
    </row>
    <row r="1167" spans="1:8" ht="15.5" x14ac:dyDescent="0.35">
      <c r="A1167" s="625"/>
      <c r="B1167" s="626" t="s">
        <v>430</v>
      </c>
      <c r="C1167" s="2101">
        <f>IF(C1166="","",C1166+10)</f>
        <v>11615</v>
      </c>
      <c r="D1167" s="2102"/>
      <c r="E1167" s="627"/>
      <c r="F1167" s="628" t="s">
        <v>431</v>
      </c>
      <c r="G1167" s="2103">
        <f>IF(G1166="","",G1166+10)</f>
        <v>11630</v>
      </c>
      <c r="H1167" s="2104"/>
    </row>
    <row r="1168" spans="1:8" ht="15.5" x14ac:dyDescent="0.35">
      <c r="A1168" s="625">
        <f>A1165+30</f>
        <v>11625</v>
      </c>
      <c r="B1168" s="626" t="s">
        <v>430</v>
      </c>
      <c r="C1168" s="2101">
        <f>IF(A1168="","",A1168)</f>
        <v>11625</v>
      </c>
      <c r="D1168" s="2102"/>
      <c r="E1168" s="627">
        <f>E1165+30</f>
        <v>11640</v>
      </c>
      <c r="F1168" s="628" t="s">
        <v>431</v>
      </c>
      <c r="G1168" s="2103">
        <f>IF(E1168="","",E1168)</f>
        <v>11640</v>
      </c>
      <c r="H1168" s="2104"/>
    </row>
    <row r="1169" spans="1:8" ht="15.5" x14ac:dyDescent="0.35">
      <c r="A1169" s="625"/>
      <c r="B1169" s="626" t="s">
        <v>430</v>
      </c>
      <c r="C1169" s="2101">
        <f>IF(C1168="","",C1168+10)</f>
        <v>11635</v>
      </c>
      <c r="D1169" s="2102"/>
      <c r="E1169" s="627"/>
      <c r="F1169" s="628" t="s">
        <v>431</v>
      </c>
      <c r="G1169" s="2103">
        <f>IF(G1168="","",G1168+10)</f>
        <v>11650</v>
      </c>
      <c r="H1169" s="2104"/>
    </row>
    <row r="1170" spans="1:8" ht="15.5" x14ac:dyDescent="0.35">
      <c r="A1170" s="625"/>
      <c r="B1170" s="626" t="s">
        <v>430</v>
      </c>
      <c r="C1170" s="2101">
        <f>IF(C1169="","",C1169+10)</f>
        <v>11645</v>
      </c>
      <c r="D1170" s="2102"/>
      <c r="E1170" s="627"/>
      <c r="F1170" s="628" t="s">
        <v>431</v>
      </c>
      <c r="G1170" s="2103">
        <f>IF(G1169="","",G1169+10)</f>
        <v>11660</v>
      </c>
      <c r="H1170" s="2104"/>
    </row>
    <row r="1171" spans="1:8" ht="15.5" x14ac:dyDescent="0.35">
      <c r="A1171" s="625">
        <f>A1168+30</f>
        <v>11655</v>
      </c>
      <c r="B1171" s="626" t="s">
        <v>430</v>
      </c>
      <c r="C1171" s="2101">
        <f>IF(A1171="","",A1171)</f>
        <v>11655</v>
      </c>
      <c r="D1171" s="2102"/>
      <c r="E1171" s="627">
        <f>E1168+30</f>
        <v>11670</v>
      </c>
      <c r="F1171" s="628" t="s">
        <v>431</v>
      </c>
      <c r="G1171" s="2103">
        <f>IF(E1171="","",E1171)</f>
        <v>11670</v>
      </c>
      <c r="H1171" s="2104"/>
    </row>
    <row r="1172" spans="1:8" ht="15.5" x14ac:dyDescent="0.35">
      <c r="A1172" s="625"/>
      <c r="B1172" s="626" t="s">
        <v>430</v>
      </c>
      <c r="C1172" s="2101">
        <f>IF(C1171="","",C1171+10)</f>
        <v>11665</v>
      </c>
      <c r="D1172" s="2102"/>
      <c r="E1172" s="627"/>
      <c r="F1172" s="628" t="s">
        <v>431</v>
      </c>
      <c r="G1172" s="2103">
        <f>IF(G1171="","",G1171+10)</f>
        <v>11680</v>
      </c>
      <c r="H1172" s="2104"/>
    </row>
    <row r="1173" spans="1:8" ht="15.5" x14ac:dyDescent="0.35">
      <c r="A1173" s="625"/>
      <c r="B1173" s="626" t="s">
        <v>430</v>
      </c>
      <c r="C1173" s="2101">
        <f>IF(C1172="","",C1172+10)</f>
        <v>11675</v>
      </c>
      <c r="D1173" s="2102"/>
      <c r="E1173" s="627"/>
      <c r="F1173" s="628" t="s">
        <v>431</v>
      </c>
      <c r="G1173" s="2103">
        <f>IF(G1172="","",G1172+10)</f>
        <v>11690</v>
      </c>
      <c r="H1173" s="2104"/>
    </row>
    <row r="1174" spans="1:8" ht="15.5" x14ac:dyDescent="0.35">
      <c r="A1174" s="625">
        <f>A1171+30</f>
        <v>11685</v>
      </c>
      <c r="B1174" s="626" t="s">
        <v>430</v>
      </c>
      <c r="C1174" s="2101">
        <f>IF(A1174="","",A1174)</f>
        <v>11685</v>
      </c>
      <c r="D1174" s="2102"/>
      <c r="E1174" s="627">
        <f>E1171+30</f>
        <v>11700</v>
      </c>
      <c r="F1174" s="628" t="s">
        <v>431</v>
      </c>
      <c r="G1174" s="2103">
        <f>IF(E1174="","",E1174)</f>
        <v>11700</v>
      </c>
      <c r="H1174" s="2104"/>
    </row>
    <row r="1175" spans="1:8" ht="15.5" x14ac:dyDescent="0.35">
      <c r="A1175" s="625"/>
      <c r="B1175" s="626" t="s">
        <v>430</v>
      </c>
      <c r="C1175" s="2101">
        <f>IF(C1174="","",C1174+10)</f>
        <v>11695</v>
      </c>
      <c r="D1175" s="2102"/>
      <c r="E1175" s="627"/>
      <c r="F1175" s="628" t="s">
        <v>431</v>
      </c>
      <c r="G1175" s="2103">
        <f>IF(G1174="","",G1174+10)</f>
        <v>11710</v>
      </c>
      <c r="H1175" s="2104"/>
    </row>
    <row r="1176" spans="1:8" ht="15.5" x14ac:dyDescent="0.35">
      <c r="A1176" s="625"/>
      <c r="B1176" s="626" t="s">
        <v>430</v>
      </c>
      <c r="C1176" s="2101">
        <f>IF(C1175="","",C1175+10)</f>
        <v>11705</v>
      </c>
      <c r="D1176" s="2102"/>
      <c r="E1176" s="627"/>
      <c r="F1176" s="628" t="s">
        <v>431</v>
      </c>
      <c r="G1176" s="2103">
        <f>IF(G1175="","",G1175+10)</f>
        <v>11720</v>
      </c>
      <c r="H1176" s="2104"/>
    </row>
    <row r="1177" spans="1:8" ht="15.5" x14ac:dyDescent="0.35">
      <c r="A1177" s="625">
        <f>A1174+30</f>
        <v>11715</v>
      </c>
      <c r="B1177" s="626" t="s">
        <v>430</v>
      </c>
      <c r="C1177" s="2101">
        <f>IF(A1177="","",A1177)</f>
        <v>11715</v>
      </c>
      <c r="D1177" s="2102"/>
      <c r="E1177" s="627">
        <f>E1174+30</f>
        <v>11730</v>
      </c>
      <c r="F1177" s="628" t="s">
        <v>431</v>
      </c>
      <c r="G1177" s="2103">
        <f>IF(E1177="","",E1177)</f>
        <v>11730</v>
      </c>
      <c r="H1177" s="2104"/>
    </row>
    <row r="1178" spans="1:8" ht="15.5" x14ac:dyDescent="0.35">
      <c r="A1178" s="625"/>
      <c r="B1178" s="626" t="s">
        <v>430</v>
      </c>
      <c r="C1178" s="2101">
        <f>IF(C1177="","",C1177+10)</f>
        <v>11725</v>
      </c>
      <c r="D1178" s="2102"/>
      <c r="E1178" s="627"/>
      <c r="F1178" s="628" t="s">
        <v>431</v>
      </c>
      <c r="G1178" s="2103">
        <f>IF(G1177="","",G1177+10)</f>
        <v>11740</v>
      </c>
      <c r="H1178" s="2104"/>
    </row>
    <row r="1179" spans="1:8" ht="15.5" x14ac:dyDescent="0.35">
      <c r="A1179" s="625"/>
      <c r="B1179" s="626" t="s">
        <v>430</v>
      </c>
      <c r="C1179" s="2101">
        <f>IF(C1178="","",C1178+10)</f>
        <v>11735</v>
      </c>
      <c r="D1179" s="2102"/>
      <c r="E1179" s="627"/>
      <c r="F1179" s="628" t="s">
        <v>431</v>
      </c>
      <c r="G1179" s="2103">
        <f>IF(G1178="","",G1178+10)</f>
        <v>11750</v>
      </c>
      <c r="H1179" s="2104"/>
    </row>
    <row r="1180" spans="1:8" ht="15.5" x14ac:dyDescent="0.35">
      <c r="A1180" s="625">
        <f>A1177+30</f>
        <v>11745</v>
      </c>
      <c r="B1180" s="626" t="s">
        <v>430</v>
      </c>
      <c r="C1180" s="2101">
        <f>IF(A1180="","",A1180)</f>
        <v>11745</v>
      </c>
      <c r="D1180" s="2102"/>
      <c r="E1180" s="627">
        <f>E1177+30</f>
        <v>11760</v>
      </c>
      <c r="F1180" s="628" t="s">
        <v>431</v>
      </c>
      <c r="G1180" s="2103">
        <f>IF(E1180="","",E1180)</f>
        <v>11760</v>
      </c>
      <c r="H1180" s="2104"/>
    </row>
    <row r="1181" spans="1:8" ht="15.5" x14ac:dyDescent="0.35">
      <c r="A1181" s="625"/>
      <c r="B1181" s="626" t="s">
        <v>430</v>
      </c>
      <c r="C1181" s="2101">
        <f>IF(C1180="","",C1180+10)</f>
        <v>11755</v>
      </c>
      <c r="D1181" s="2102"/>
      <c r="E1181" s="627"/>
      <c r="F1181" s="628" t="s">
        <v>431</v>
      </c>
      <c r="G1181" s="2103">
        <f>IF(G1180="","",G1180+10)</f>
        <v>11770</v>
      </c>
      <c r="H1181" s="2104"/>
    </row>
    <row r="1182" spans="1:8" ht="15.5" x14ac:dyDescent="0.35">
      <c r="A1182" s="625"/>
      <c r="B1182" s="626" t="s">
        <v>430</v>
      </c>
      <c r="C1182" s="2101">
        <f>IF(C1181="","",C1181+10)</f>
        <v>11765</v>
      </c>
      <c r="D1182" s="2102"/>
      <c r="E1182" s="627"/>
      <c r="F1182" s="628" t="s">
        <v>431</v>
      </c>
      <c r="G1182" s="2103">
        <f>IF(G1181="","",G1181+10)</f>
        <v>11780</v>
      </c>
      <c r="H1182" s="2104"/>
    </row>
    <row r="1183" spans="1:8" ht="15.5" x14ac:dyDescent="0.35">
      <c r="A1183" s="625">
        <f>A1180+30</f>
        <v>11775</v>
      </c>
      <c r="B1183" s="626" t="s">
        <v>430</v>
      </c>
      <c r="C1183" s="2101">
        <f>IF(A1183="","",A1183)</f>
        <v>11775</v>
      </c>
      <c r="D1183" s="2102"/>
      <c r="E1183" s="627">
        <f>E1180+30</f>
        <v>11790</v>
      </c>
      <c r="F1183" s="628" t="s">
        <v>431</v>
      </c>
      <c r="G1183" s="2103">
        <f>IF(E1183="","",E1183)</f>
        <v>11790</v>
      </c>
      <c r="H1183" s="2104"/>
    </row>
    <row r="1184" spans="1:8" ht="15.5" x14ac:dyDescent="0.35">
      <c r="A1184" s="625"/>
      <c r="B1184" s="626" t="s">
        <v>430</v>
      </c>
      <c r="C1184" s="2101">
        <f>IF(C1183="","",C1183+10)</f>
        <v>11785</v>
      </c>
      <c r="D1184" s="2102"/>
      <c r="E1184" s="627"/>
      <c r="F1184" s="628" t="s">
        <v>431</v>
      </c>
      <c r="G1184" s="2103">
        <f>IF(G1183="","",G1183+10)</f>
        <v>11800</v>
      </c>
      <c r="H1184" s="2104"/>
    </row>
    <row r="1185" spans="1:8" ht="15.5" x14ac:dyDescent="0.35">
      <c r="A1185" s="625"/>
      <c r="B1185" s="626" t="s">
        <v>430</v>
      </c>
      <c r="C1185" s="2101">
        <f>IF(C1184="","",C1184+10)</f>
        <v>11795</v>
      </c>
      <c r="D1185" s="2102"/>
      <c r="E1185" s="627"/>
      <c r="F1185" s="628" t="s">
        <v>431</v>
      </c>
      <c r="G1185" s="2103">
        <f>IF(G1184="","",G1184+10)</f>
        <v>11810</v>
      </c>
      <c r="H1185" s="2104"/>
    </row>
    <row r="1186" spans="1:8" ht="15.5" x14ac:dyDescent="0.35">
      <c r="A1186" s="625">
        <f>A1183+30</f>
        <v>11805</v>
      </c>
      <c r="B1186" s="626" t="s">
        <v>430</v>
      </c>
      <c r="C1186" s="2101">
        <f>IF(A1186="","",A1186)</f>
        <v>11805</v>
      </c>
      <c r="D1186" s="2102"/>
      <c r="E1186" s="627">
        <f>E1183+30</f>
        <v>11820</v>
      </c>
      <c r="F1186" s="628" t="s">
        <v>431</v>
      </c>
      <c r="G1186" s="2103">
        <f>IF(E1186="","",E1186)</f>
        <v>11820</v>
      </c>
      <c r="H1186" s="2104"/>
    </row>
    <row r="1187" spans="1:8" ht="15.5" x14ac:dyDescent="0.35">
      <c r="A1187" s="625"/>
      <c r="B1187" s="626" t="s">
        <v>430</v>
      </c>
      <c r="C1187" s="2101">
        <f>IF(C1186="","",C1186+10)</f>
        <v>11815</v>
      </c>
      <c r="D1187" s="2102"/>
      <c r="E1187" s="627"/>
      <c r="F1187" s="628" t="s">
        <v>431</v>
      </c>
      <c r="G1187" s="2103">
        <f>IF(G1186="","",G1186+10)</f>
        <v>11830</v>
      </c>
      <c r="H1187" s="2104"/>
    </row>
    <row r="1188" spans="1:8" ht="15.5" x14ac:dyDescent="0.35">
      <c r="A1188" s="625"/>
      <c r="B1188" s="626" t="s">
        <v>430</v>
      </c>
      <c r="C1188" s="2101">
        <f>IF(C1187="","",C1187+10)</f>
        <v>11825</v>
      </c>
      <c r="D1188" s="2102"/>
      <c r="E1188" s="627"/>
      <c r="F1188" s="628" t="s">
        <v>431</v>
      </c>
      <c r="G1188" s="2103">
        <f>IF(G1187="","",G1187+10)</f>
        <v>11840</v>
      </c>
      <c r="H1188" s="2104"/>
    </row>
    <row r="1189" spans="1:8" ht="15.5" x14ac:dyDescent="0.35">
      <c r="A1189" s="625">
        <f>A1186+30</f>
        <v>11835</v>
      </c>
      <c r="B1189" s="626" t="s">
        <v>430</v>
      </c>
      <c r="C1189" s="2101">
        <f>IF(A1189="","",A1189)</f>
        <v>11835</v>
      </c>
      <c r="D1189" s="2102"/>
      <c r="E1189" s="627">
        <f>E1186+30</f>
        <v>11850</v>
      </c>
      <c r="F1189" s="628" t="s">
        <v>431</v>
      </c>
      <c r="G1189" s="2103">
        <f>IF(E1189="","",E1189)</f>
        <v>11850</v>
      </c>
      <c r="H1189" s="2104"/>
    </row>
    <row r="1190" spans="1:8" ht="15.5" x14ac:dyDescent="0.35">
      <c r="A1190" s="625"/>
      <c r="B1190" s="626" t="s">
        <v>430</v>
      </c>
      <c r="C1190" s="2101">
        <f>IF(C1189="","",C1189+10)</f>
        <v>11845</v>
      </c>
      <c r="D1190" s="2102"/>
      <c r="E1190" s="627"/>
      <c r="F1190" s="628" t="s">
        <v>431</v>
      </c>
      <c r="G1190" s="2103">
        <f>IF(G1189="","",G1189+10)</f>
        <v>11860</v>
      </c>
      <c r="H1190" s="2104"/>
    </row>
    <row r="1191" spans="1:8" ht="15.5" x14ac:dyDescent="0.35">
      <c r="A1191" s="625"/>
      <c r="B1191" s="626" t="s">
        <v>430</v>
      </c>
      <c r="C1191" s="2101">
        <f>IF(C1190="","",C1190+10)</f>
        <v>11855</v>
      </c>
      <c r="D1191" s="2102"/>
      <c r="E1191" s="627"/>
      <c r="F1191" s="628" t="s">
        <v>431</v>
      </c>
      <c r="G1191" s="2103">
        <f>IF(G1190="","",G1190+10)</f>
        <v>11870</v>
      </c>
      <c r="H1191" s="2104"/>
    </row>
    <row r="1192" spans="1:8" ht="15.5" x14ac:dyDescent="0.35">
      <c r="A1192" s="625">
        <f>A1189+30</f>
        <v>11865</v>
      </c>
      <c r="B1192" s="626" t="s">
        <v>430</v>
      </c>
      <c r="C1192" s="2101">
        <f>IF(A1192="","",A1192)</f>
        <v>11865</v>
      </c>
      <c r="D1192" s="2102"/>
      <c r="E1192" s="627">
        <f>E1189+30</f>
        <v>11880</v>
      </c>
      <c r="F1192" s="628" t="s">
        <v>431</v>
      </c>
      <c r="G1192" s="2103">
        <f>IF(E1192="","",E1192)</f>
        <v>11880</v>
      </c>
      <c r="H1192" s="2104"/>
    </row>
    <row r="1193" spans="1:8" ht="15.5" x14ac:dyDescent="0.35">
      <c r="A1193" s="625"/>
      <c r="B1193" s="626" t="s">
        <v>430</v>
      </c>
      <c r="C1193" s="2101">
        <f>IF(C1192="","",C1192+10)</f>
        <v>11875</v>
      </c>
      <c r="D1193" s="2102"/>
      <c r="E1193" s="627"/>
      <c r="F1193" s="628" t="s">
        <v>431</v>
      </c>
      <c r="G1193" s="2103">
        <f>IF(G1192="","",G1192+10)</f>
        <v>11890</v>
      </c>
      <c r="H1193" s="2104"/>
    </row>
    <row r="1194" spans="1:8" ht="15.5" x14ac:dyDescent="0.35">
      <c r="A1194" s="625"/>
      <c r="B1194" s="626" t="s">
        <v>430</v>
      </c>
      <c r="C1194" s="2101">
        <f>IF(C1193="","",C1193+10)</f>
        <v>11885</v>
      </c>
      <c r="D1194" s="2102"/>
      <c r="E1194" s="627"/>
      <c r="F1194" s="628" t="s">
        <v>431</v>
      </c>
      <c r="G1194" s="2103">
        <f>IF(G1193="","",G1193+10)</f>
        <v>11900</v>
      </c>
      <c r="H1194" s="2104"/>
    </row>
    <row r="1195" spans="1:8" ht="15.5" x14ac:dyDescent="0.35">
      <c r="A1195" s="625">
        <f>A1192+30</f>
        <v>11895</v>
      </c>
      <c r="B1195" s="626" t="s">
        <v>430</v>
      </c>
      <c r="C1195" s="2101">
        <f>IF(A1195="","",A1195)</f>
        <v>11895</v>
      </c>
      <c r="D1195" s="2102"/>
      <c r="E1195" s="627">
        <f>E1192+30</f>
        <v>11910</v>
      </c>
      <c r="F1195" s="628" t="s">
        <v>431</v>
      </c>
      <c r="G1195" s="2103">
        <f>IF(E1195="","",E1195)</f>
        <v>11910</v>
      </c>
      <c r="H1195" s="2104"/>
    </row>
    <row r="1196" spans="1:8" ht="15.5" x14ac:dyDescent="0.35">
      <c r="A1196" s="625"/>
      <c r="B1196" s="626" t="s">
        <v>430</v>
      </c>
      <c r="C1196" s="2101">
        <f>IF(C1195="","",C1195+10)</f>
        <v>11905</v>
      </c>
      <c r="D1196" s="2102"/>
      <c r="E1196" s="627"/>
      <c r="F1196" s="628" t="s">
        <v>431</v>
      </c>
      <c r="G1196" s="2103">
        <f>IF(G1195="","",G1195+10)</f>
        <v>11920</v>
      </c>
      <c r="H1196" s="2104"/>
    </row>
    <row r="1197" spans="1:8" ht="15.5" x14ac:dyDescent="0.35">
      <c r="A1197" s="625"/>
      <c r="B1197" s="626" t="s">
        <v>430</v>
      </c>
      <c r="C1197" s="2101">
        <f>IF(C1196="","",C1196+10)</f>
        <v>11915</v>
      </c>
      <c r="D1197" s="2102"/>
      <c r="E1197" s="627"/>
      <c r="F1197" s="628" t="s">
        <v>431</v>
      </c>
      <c r="G1197" s="2103">
        <f>IF(G1196="","",G1196+10)</f>
        <v>11930</v>
      </c>
      <c r="H1197" s="2104"/>
    </row>
    <row r="1198" spans="1:8" ht="15.5" x14ac:dyDescent="0.35">
      <c r="A1198" s="625">
        <f>A1195+30</f>
        <v>11925</v>
      </c>
      <c r="B1198" s="626" t="s">
        <v>430</v>
      </c>
      <c r="C1198" s="2101">
        <f>IF(A1198="","",A1198)</f>
        <v>11925</v>
      </c>
      <c r="D1198" s="2102"/>
      <c r="E1198" s="627">
        <f>E1195+30</f>
        <v>11940</v>
      </c>
      <c r="F1198" s="628" t="s">
        <v>431</v>
      </c>
      <c r="G1198" s="2103">
        <f>IF(E1198="","",E1198)</f>
        <v>11940</v>
      </c>
      <c r="H1198" s="2104"/>
    </row>
    <row r="1199" spans="1:8" ht="15.5" x14ac:dyDescent="0.35">
      <c r="A1199" s="625"/>
      <c r="B1199" s="626" t="s">
        <v>430</v>
      </c>
      <c r="C1199" s="2101">
        <f>IF(C1198="","",C1198+10)</f>
        <v>11935</v>
      </c>
      <c r="D1199" s="2102"/>
      <c r="E1199" s="627"/>
      <c r="F1199" s="628" t="s">
        <v>431</v>
      </c>
      <c r="G1199" s="2103">
        <f>IF(G1198="","",G1198+10)</f>
        <v>11950</v>
      </c>
      <c r="H1199" s="2104"/>
    </row>
    <row r="1200" spans="1:8" ht="15.5" x14ac:dyDescent="0.35">
      <c r="A1200" s="625"/>
      <c r="B1200" s="626" t="s">
        <v>430</v>
      </c>
      <c r="C1200" s="2101">
        <f>IF(C1199="","",C1199+10)</f>
        <v>11945</v>
      </c>
      <c r="D1200" s="2102"/>
      <c r="E1200" s="627"/>
      <c r="F1200" s="628" t="s">
        <v>431</v>
      </c>
      <c r="G1200" s="2103">
        <f>IF(G1199="","",G1199+10)</f>
        <v>11960</v>
      </c>
      <c r="H1200" s="2104"/>
    </row>
    <row r="1201" spans="1:8" ht="15.5" x14ac:dyDescent="0.35">
      <c r="A1201" s="625">
        <f>A1198+30</f>
        <v>11955</v>
      </c>
      <c r="B1201" s="626" t="s">
        <v>430</v>
      </c>
      <c r="C1201" s="2101">
        <f>IF(A1201="","",A1201)</f>
        <v>11955</v>
      </c>
      <c r="D1201" s="2102"/>
      <c r="E1201" s="627">
        <f>E1198+30</f>
        <v>11970</v>
      </c>
      <c r="F1201" s="628" t="s">
        <v>431</v>
      </c>
      <c r="G1201" s="2103">
        <f>IF(E1201="","",E1201)</f>
        <v>11970</v>
      </c>
      <c r="H1201" s="2104"/>
    </row>
    <row r="1202" spans="1:8" ht="15.5" x14ac:dyDescent="0.35">
      <c r="A1202" s="625"/>
      <c r="B1202" s="626" t="s">
        <v>430</v>
      </c>
      <c r="C1202" s="2101">
        <f>IF(C1201="","",C1201+10)</f>
        <v>11965</v>
      </c>
      <c r="D1202" s="2102"/>
      <c r="E1202" s="627"/>
      <c r="F1202" s="628" t="s">
        <v>431</v>
      </c>
      <c r="G1202" s="2103">
        <f>IF(G1201="","",G1201+10)</f>
        <v>11980</v>
      </c>
      <c r="H1202" s="2104"/>
    </row>
    <row r="1203" spans="1:8" ht="15.5" x14ac:dyDescent="0.35">
      <c r="A1203" s="625"/>
      <c r="B1203" s="626" t="s">
        <v>430</v>
      </c>
      <c r="C1203" s="2101">
        <f>IF(C1202="","",C1202+10)</f>
        <v>11975</v>
      </c>
      <c r="D1203" s="2102"/>
      <c r="E1203" s="627"/>
      <c r="F1203" s="628" t="s">
        <v>431</v>
      </c>
      <c r="G1203" s="2103">
        <f>IF(G1202="","",G1202+10)</f>
        <v>11990</v>
      </c>
      <c r="H1203" s="2104"/>
    </row>
    <row r="1204" spans="1:8" ht="15.5" x14ac:dyDescent="0.35">
      <c r="A1204" s="625">
        <f>A1201+30</f>
        <v>11985</v>
      </c>
      <c r="B1204" s="626" t="s">
        <v>430</v>
      </c>
      <c r="C1204" s="2101">
        <f>IF(A1204="","",A1204)</f>
        <v>11985</v>
      </c>
      <c r="D1204" s="2102"/>
      <c r="E1204" s="627">
        <f>E1201+30</f>
        <v>12000</v>
      </c>
      <c r="F1204" s="628" t="s">
        <v>431</v>
      </c>
      <c r="G1204" s="2103">
        <f>IF(E1204="","",E1204)</f>
        <v>12000</v>
      </c>
      <c r="H1204" s="2104"/>
    </row>
    <row r="1205" spans="1:8" ht="15.5" x14ac:dyDescent="0.35">
      <c r="A1205" s="625"/>
      <c r="B1205" s="626" t="s">
        <v>430</v>
      </c>
      <c r="C1205" s="2101">
        <f>IF(C1204="","",C1204+10)</f>
        <v>11995</v>
      </c>
      <c r="D1205" s="2102"/>
      <c r="E1205" s="627"/>
      <c r="F1205" s="628" t="s">
        <v>431</v>
      </c>
      <c r="G1205" s="2103">
        <f>IF(G1204="","",G1204+10)</f>
        <v>12010</v>
      </c>
      <c r="H1205" s="2104"/>
    </row>
    <row r="1206" spans="1:8" ht="15.5" x14ac:dyDescent="0.35">
      <c r="A1206" s="625"/>
      <c r="B1206" s="626" t="s">
        <v>430</v>
      </c>
      <c r="C1206" s="2101">
        <f>IF(C1205="","",C1205+10)</f>
        <v>12005</v>
      </c>
      <c r="D1206" s="2102"/>
      <c r="E1206" s="627"/>
      <c r="F1206" s="628" t="s">
        <v>431</v>
      </c>
      <c r="G1206" s="2103">
        <f>IF(G1205="","",G1205+10)</f>
        <v>12020</v>
      </c>
      <c r="H1206" s="2104"/>
    </row>
    <row r="1207" spans="1:8" ht="15.5" x14ac:dyDescent="0.35">
      <c r="A1207" s="625">
        <f>A1204+30</f>
        <v>12015</v>
      </c>
      <c r="B1207" s="626" t="s">
        <v>430</v>
      </c>
      <c r="C1207" s="2101">
        <f>IF(A1207="","",A1207)</f>
        <v>12015</v>
      </c>
      <c r="D1207" s="2102"/>
      <c r="E1207" s="627">
        <f>E1204+30</f>
        <v>12030</v>
      </c>
      <c r="F1207" s="628" t="s">
        <v>431</v>
      </c>
      <c r="G1207" s="2103">
        <f>IF(E1207="","",E1207)</f>
        <v>12030</v>
      </c>
      <c r="H1207" s="2104"/>
    </row>
    <row r="1208" spans="1:8" ht="15.5" x14ac:dyDescent="0.35">
      <c r="A1208" s="625"/>
      <c r="B1208" s="626" t="s">
        <v>430</v>
      </c>
      <c r="C1208" s="2101">
        <f>IF(C1207="","",C1207+10)</f>
        <v>12025</v>
      </c>
      <c r="D1208" s="2102"/>
      <c r="E1208" s="627"/>
      <c r="F1208" s="628" t="s">
        <v>431</v>
      </c>
      <c r="G1208" s="2103">
        <f>IF(G1207="","",G1207+10)</f>
        <v>12040</v>
      </c>
      <c r="H1208" s="2104"/>
    </row>
    <row r="1209" spans="1:8" ht="15.5" x14ac:dyDescent="0.35">
      <c r="A1209" s="625"/>
      <c r="B1209" s="626" t="s">
        <v>430</v>
      </c>
      <c r="C1209" s="2101">
        <f>IF(C1208="","",C1208+10)</f>
        <v>12035</v>
      </c>
      <c r="D1209" s="2102"/>
      <c r="E1209" s="627"/>
      <c r="F1209" s="628" t="s">
        <v>431</v>
      </c>
      <c r="G1209" s="2103">
        <f>IF(G1208="","",G1208+10)</f>
        <v>12050</v>
      </c>
      <c r="H1209" s="2104"/>
    </row>
    <row r="1210" spans="1:8" ht="15.5" x14ac:dyDescent="0.35">
      <c r="A1210" s="625">
        <f>A1207+30</f>
        <v>12045</v>
      </c>
      <c r="B1210" s="626" t="s">
        <v>430</v>
      </c>
      <c r="C1210" s="2101">
        <f>IF(A1210="","",A1210)</f>
        <v>12045</v>
      </c>
      <c r="D1210" s="2102"/>
      <c r="E1210" s="627">
        <f>E1207+30</f>
        <v>12060</v>
      </c>
      <c r="F1210" s="628" t="s">
        <v>431</v>
      </c>
      <c r="G1210" s="2103">
        <f>IF(E1210="","",E1210)</f>
        <v>12060</v>
      </c>
      <c r="H1210" s="2104"/>
    </row>
    <row r="1211" spans="1:8" ht="15.5" x14ac:dyDescent="0.35">
      <c r="A1211" s="625"/>
      <c r="B1211" s="626" t="s">
        <v>430</v>
      </c>
      <c r="C1211" s="2101">
        <f>IF(C1210="","",C1210+10)</f>
        <v>12055</v>
      </c>
      <c r="D1211" s="2102"/>
      <c r="E1211" s="627"/>
      <c r="F1211" s="628" t="s">
        <v>431</v>
      </c>
      <c r="G1211" s="2103">
        <f>IF(G1210="","",G1210+10)</f>
        <v>12070</v>
      </c>
      <c r="H1211" s="2104"/>
    </row>
    <row r="1212" spans="1:8" ht="15.5" x14ac:dyDescent="0.35">
      <c r="A1212" s="625"/>
      <c r="B1212" s="626" t="s">
        <v>430</v>
      </c>
      <c r="C1212" s="2101">
        <f>IF(C1211="","",C1211+10)</f>
        <v>12065</v>
      </c>
      <c r="D1212" s="2102"/>
      <c r="E1212" s="627"/>
      <c r="F1212" s="628" t="s">
        <v>431</v>
      </c>
      <c r="G1212" s="2103">
        <f>IF(G1211="","",G1211+10)</f>
        <v>12080</v>
      </c>
      <c r="H1212" s="2104"/>
    </row>
    <row r="1213" spans="1:8" ht="15.5" x14ac:dyDescent="0.35">
      <c r="A1213" s="625">
        <f>A1210+30</f>
        <v>12075</v>
      </c>
      <c r="B1213" s="626" t="s">
        <v>430</v>
      </c>
      <c r="C1213" s="2101">
        <f>IF(A1213="","",A1213)</f>
        <v>12075</v>
      </c>
      <c r="D1213" s="2102"/>
      <c r="E1213" s="627">
        <f>E1210+30</f>
        <v>12090</v>
      </c>
      <c r="F1213" s="628" t="s">
        <v>431</v>
      </c>
      <c r="G1213" s="2103">
        <f>IF(E1213="","",E1213)</f>
        <v>12090</v>
      </c>
      <c r="H1213" s="2104"/>
    </row>
    <row r="1214" spans="1:8" ht="15.5" x14ac:dyDescent="0.35">
      <c r="A1214" s="625"/>
      <c r="B1214" s="626" t="s">
        <v>430</v>
      </c>
      <c r="C1214" s="2101">
        <f>IF(C1213="","",C1213+10)</f>
        <v>12085</v>
      </c>
      <c r="D1214" s="2102"/>
      <c r="E1214" s="627"/>
      <c r="F1214" s="628" t="s">
        <v>431</v>
      </c>
      <c r="G1214" s="2103">
        <f>IF(G1213="","",G1213+10)</f>
        <v>12100</v>
      </c>
      <c r="H1214" s="2104"/>
    </row>
    <row r="1215" spans="1:8" ht="15.5" x14ac:dyDescent="0.35">
      <c r="A1215" s="625"/>
      <c r="B1215" s="626" t="s">
        <v>430</v>
      </c>
      <c r="C1215" s="2101">
        <f>IF(C1214="","",C1214+10)</f>
        <v>12095</v>
      </c>
      <c r="D1215" s="2102"/>
      <c r="E1215" s="627"/>
      <c r="F1215" s="628" t="s">
        <v>431</v>
      </c>
      <c r="G1215" s="2103">
        <f>IF(G1214="","",G1214+10)</f>
        <v>12110</v>
      </c>
      <c r="H1215" s="2104"/>
    </row>
    <row r="1216" spans="1:8" ht="15.5" x14ac:dyDescent="0.35">
      <c r="A1216" s="625">
        <f>A1213+30</f>
        <v>12105</v>
      </c>
      <c r="B1216" s="626" t="s">
        <v>430</v>
      </c>
      <c r="C1216" s="2101">
        <f>IF(A1216="","",A1216)</f>
        <v>12105</v>
      </c>
      <c r="D1216" s="2102"/>
      <c r="E1216" s="627">
        <f>E1213+30</f>
        <v>12120</v>
      </c>
      <c r="F1216" s="628" t="s">
        <v>431</v>
      </c>
      <c r="G1216" s="2103">
        <f>IF(E1216="","",E1216)</f>
        <v>12120</v>
      </c>
      <c r="H1216" s="2104"/>
    </row>
    <row r="1217" spans="1:8" ht="15.5" x14ac:dyDescent="0.35">
      <c r="A1217" s="625"/>
      <c r="B1217" s="626" t="s">
        <v>430</v>
      </c>
      <c r="C1217" s="2101">
        <f>IF(C1216="","",C1216+10)</f>
        <v>12115</v>
      </c>
      <c r="D1217" s="2102"/>
      <c r="E1217" s="627"/>
      <c r="F1217" s="628" t="s">
        <v>431</v>
      </c>
      <c r="G1217" s="2103">
        <f>IF(G1216="","",G1216+10)</f>
        <v>12130</v>
      </c>
      <c r="H1217" s="2104"/>
    </row>
    <row r="1218" spans="1:8" ht="15.5" x14ac:dyDescent="0.35">
      <c r="A1218" s="625"/>
      <c r="B1218" s="626" t="s">
        <v>430</v>
      </c>
      <c r="C1218" s="2101">
        <f>IF(C1217="","",C1217+10)</f>
        <v>12125</v>
      </c>
      <c r="D1218" s="2102"/>
      <c r="E1218" s="627"/>
      <c r="F1218" s="628" t="s">
        <v>431</v>
      </c>
      <c r="G1218" s="2103">
        <f>IF(G1217="","",G1217+10)</f>
        <v>12140</v>
      </c>
      <c r="H1218" s="2104"/>
    </row>
    <row r="1219" spans="1:8" ht="15.5" x14ac:dyDescent="0.35">
      <c r="A1219" s="625">
        <f>A1216+30</f>
        <v>12135</v>
      </c>
      <c r="B1219" s="626" t="s">
        <v>430</v>
      </c>
      <c r="C1219" s="2101">
        <f>IF(A1219="","",A1219)</f>
        <v>12135</v>
      </c>
      <c r="D1219" s="2102"/>
      <c r="E1219" s="627">
        <f>E1216+30</f>
        <v>12150</v>
      </c>
      <c r="F1219" s="628" t="s">
        <v>431</v>
      </c>
      <c r="G1219" s="2103">
        <f>IF(E1219="","",E1219)</f>
        <v>12150</v>
      </c>
      <c r="H1219" s="2104"/>
    </row>
    <row r="1220" spans="1:8" ht="15.5" x14ac:dyDescent="0.35">
      <c r="A1220" s="625"/>
      <c r="B1220" s="626" t="s">
        <v>430</v>
      </c>
      <c r="C1220" s="2101">
        <f>IF(C1219="","",C1219+10)</f>
        <v>12145</v>
      </c>
      <c r="D1220" s="2102"/>
      <c r="E1220" s="627"/>
      <c r="F1220" s="628" t="s">
        <v>431</v>
      </c>
      <c r="G1220" s="2103">
        <f>IF(G1219="","",G1219+10)</f>
        <v>12160</v>
      </c>
      <c r="H1220" s="2104"/>
    </row>
    <row r="1221" spans="1:8" ht="15.5" x14ac:dyDescent="0.35">
      <c r="A1221" s="625"/>
      <c r="B1221" s="626" t="s">
        <v>430</v>
      </c>
      <c r="C1221" s="2101">
        <f>IF(C1220="","",C1220+10)</f>
        <v>12155</v>
      </c>
      <c r="D1221" s="2102"/>
      <c r="E1221" s="627"/>
      <c r="F1221" s="628" t="s">
        <v>431</v>
      </c>
      <c r="G1221" s="2103">
        <f>IF(G1220="","",G1220+10)</f>
        <v>12170</v>
      </c>
      <c r="H1221" s="2104"/>
    </row>
    <row r="1222" spans="1:8" ht="15.5" x14ac:dyDescent="0.35">
      <c r="A1222" s="625">
        <f>A1219+30</f>
        <v>12165</v>
      </c>
      <c r="B1222" s="626" t="s">
        <v>430</v>
      </c>
      <c r="C1222" s="2101">
        <f>IF(A1222="","",A1222)</f>
        <v>12165</v>
      </c>
      <c r="D1222" s="2102"/>
      <c r="E1222" s="627">
        <f>E1219+30</f>
        <v>12180</v>
      </c>
      <c r="F1222" s="628" t="s">
        <v>431</v>
      </c>
      <c r="G1222" s="2103">
        <f>IF(E1222="","",E1222)</f>
        <v>12180</v>
      </c>
      <c r="H1222" s="2104"/>
    </row>
    <row r="1223" spans="1:8" ht="15.5" x14ac:dyDescent="0.35">
      <c r="A1223" s="625"/>
      <c r="B1223" s="626" t="s">
        <v>430</v>
      </c>
      <c r="C1223" s="2101">
        <f>IF(C1222="","",C1222+10)</f>
        <v>12175</v>
      </c>
      <c r="D1223" s="2102"/>
      <c r="E1223" s="627"/>
      <c r="F1223" s="628" t="s">
        <v>431</v>
      </c>
      <c r="G1223" s="2103">
        <f>IF(G1222="","",G1222+10)</f>
        <v>12190</v>
      </c>
      <c r="H1223" s="2104"/>
    </row>
    <row r="1224" spans="1:8" ht="15.5" x14ac:dyDescent="0.35">
      <c r="A1224" s="625"/>
      <c r="B1224" s="626" t="s">
        <v>430</v>
      </c>
      <c r="C1224" s="2101">
        <f>IF(C1223="","",C1223+10)</f>
        <v>12185</v>
      </c>
      <c r="D1224" s="2102"/>
      <c r="E1224" s="627"/>
      <c r="F1224" s="628" t="s">
        <v>431</v>
      </c>
      <c r="G1224" s="2103">
        <f>IF(G1223="","",G1223+10)</f>
        <v>12200</v>
      </c>
      <c r="H1224" s="2104"/>
    </row>
    <row r="1225" spans="1:8" ht="15.5" x14ac:dyDescent="0.35">
      <c r="A1225" s="625">
        <f>A1222+30</f>
        <v>12195</v>
      </c>
      <c r="B1225" s="626" t="s">
        <v>430</v>
      </c>
      <c r="C1225" s="2101">
        <f>IF(A1225="","",A1225)</f>
        <v>12195</v>
      </c>
      <c r="D1225" s="2102"/>
      <c r="E1225" s="627">
        <f>E1222+30</f>
        <v>12210</v>
      </c>
      <c r="F1225" s="628" t="s">
        <v>431</v>
      </c>
      <c r="G1225" s="2103">
        <f>IF(E1225="","",E1225)</f>
        <v>12210</v>
      </c>
      <c r="H1225" s="2104"/>
    </row>
    <row r="1226" spans="1:8" ht="15.5" x14ac:dyDescent="0.35">
      <c r="A1226" s="625"/>
      <c r="B1226" s="626" t="s">
        <v>430</v>
      </c>
      <c r="C1226" s="2101">
        <f>IF(C1225="","",C1225+10)</f>
        <v>12205</v>
      </c>
      <c r="D1226" s="2102"/>
      <c r="E1226" s="627"/>
      <c r="F1226" s="628" t="s">
        <v>431</v>
      </c>
      <c r="G1226" s="2103">
        <f>IF(G1225="","",G1225+10)</f>
        <v>12220</v>
      </c>
      <c r="H1226" s="2104"/>
    </row>
    <row r="1227" spans="1:8" ht="15.5" x14ac:dyDescent="0.35">
      <c r="A1227" s="625"/>
      <c r="B1227" s="626" t="s">
        <v>430</v>
      </c>
      <c r="C1227" s="2101">
        <f>IF(C1226="","",C1226+10)</f>
        <v>12215</v>
      </c>
      <c r="D1227" s="2102"/>
      <c r="E1227" s="627"/>
      <c r="F1227" s="628" t="s">
        <v>431</v>
      </c>
      <c r="G1227" s="2103">
        <f>IF(G1226="","",G1226+10)</f>
        <v>12230</v>
      </c>
      <c r="H1227" s="2104"/>
    </row>
    <row r="1228" spans="1:8" ht="15.5" x14ac:dyDescent="0.35">
      <c r="A1228" s="625">
        <f>A1225+30</f>
        <v>12225</v>
      </c>
      <c r="B1228" s="626" t="s">
        <v>430</v>
      </c>
      <c r="C1228" s="2101">
        <f>IF(A1228="","",A1228)</f>
        <v>12225</v>
      </c>
      <c r="D1228" s="2102"/>
      <c r="E1228" s="627">
        <f>E1225+30</f>
        <v>12240</v>
      </c>
      <c r="F1228" s="628" t="s">
        <v>431</v>
      </c>
      <c r="G1228" s="2103">
        <f>IF(E1228="","",E1228)</f>
        <v>12240</v>
      </c>
      <c r="H1228" s="2104"/>
    </row>
    <row r="1229" spans="1:8" ht="15.5" x14ac:dyDescent="0.35">
      <c r="A1229" s="625"/>
      <c r="B1229" s="626" t="s">
        <v>430</v>
      </c>
      <c r="C1229" s="2101">
        <f>IF(C1228="","",C1228+10)</f>
        <v>12235</v>
      </c>
      <c r="D1229" s="2102"/>
      <c r="E1229" s="627"/>
      <c r="F1229" s="628" t="s">
        <v>431</v>
      </c>
      <c r="G1229" s="2103">
        <f>IF(G1228="","",G1228+10)</f>
        <v>12250</v>
      </c>
      <c r="H1229" s="2104"/>
    </row>
    <row r="1230" spans="1:8" ht="15.5" x14ac:dyDescent="0.35">
      <c r="A1230" s="625"/>
      <c r="B1230" s="626" t="s">
        <v>430</v>
      </c>
      <c r="C1230" s="2101">
        <f>IF(C1229="","",C1229+10)</f>
        <v>12245</v>
      </c>
      <c r="D1230" s="2102"/>
      <c r="E1230" s="627"/>
      <c r="F1230" s="628" t="s">
        <v>431</v>
      </c>
      <c r="G1230" s="2103">
        <f>IF(G1229="","",G1229+10)</f>
        <v>12260</v>
      </c>
      <c r="H1230" s="2104"/>
    </row>
    <row r="1231" spans="1:8" ht="15.5" x14ac:dyDescent="0.35">
      <c r="A1231" s="625">
        <f>A1228+30</f>
        <v>12255</v>
      </c>
      <c r="B1231" s="626" t="s">
        <v>430</v>
      </c>
      <c r="C1231" s="2101">
        <f>IF(A1231="","",A1231)</f>
        <v>12255</v>
      </c>
      <c r="D1231" s="2102"/>
      <c r="E1231" s="627">
        <f>E1228+30</f>
        <v>12270</v>
      </c>
      <c r="F1231" s="628" t="s">
        <v>431</v>
      </c>
      <c r="G1231" s="2103">
        <f>IF(E1231="","",E1231)</f>
        <v>12270</v>
      </c>
      <c r="H1231" s="2104"/>
    </row>
    <row r="1232" spans="1:8" ht="15.5" x14ac:dyDescent="0.35">
      <c r="A1232" s="625"/>
      <c r="B1232" s="626" t="s">
        <v>430</v>
      </c>
      <c r="C1232" s="2101">
        <f>IF(C1231="","",C1231+10)</f>
        <v>12265</v>
      </c>
      <c r="D1232" s="2102"/>
      <c r="E1232" s="627"/>
      <c r="F1232" s="628" t="s">
        <v>431</v>
      </c>
      <c r="G1232" s="2103">
        <f>IF(G1231="","",G1231+10)</f>
        <v>12280</v>
      </c>
      <c r="H1232" s="2104"/>
    </row>
    <row r="1233" spans="1:8" ht="15.5" x14ac:dyDescent="0.35">
      <c r="A1233" s="625"/>
      <c r="B1233" s="626" t="s">
        <v>430</v>
      </c>
      <c r="C1233" s="2101">
        <f>IF(C1232="","",C1232+10)</f>
        <v>12275</v>
      </c>
      <c r="D1233" s="2102"/>
      <c r="E1233" s="627"/>
      <c r="F1233" s="628" t="s">
        <v>431</v>
      </c>
      <c r="G1233" s="2103">
        <f>IF(G1232="","",G1232+10)</f>
        <v>12290</v>
      </c>
      <c r="H1233" s="2104"/>
    </row>
    <row r="1234" spans="1:8" ht="15.5" x14ac:dyDescent="0.35">
      <c r="A1234" s="625">
        <f>A1231+30</f>
        <v>12285</v>
      </c>
      <c r="B1234" s="626" t="s">
        <v>430</v>
      </c>
      <c r="C1234" s="2101">
        <f>IF(A1234="","",A1234)</f>
        <v>12285</v>
      </c>
      <c r="D1234" s="2102"/>
      <c r="E1234" s="627">
        <f>E1231+30</f>
        <v>12300</v>
      </c>
      <c r="F1234" s="628" t="s">
        <v>431</v>
      </c>
      <c r="G1234" s="2103">
        <f>IF(E1234="","",E1234)</f>
        <v>12300</v>
      </c>
      <c r="H1234" s="2104"/>
    </row>
    <row r="1235" spans="1:8" ht="15.5" x14ac:dyDescent="0.35">
      <c r="A1235" s="625"/>
      <c r="B1235" s="626" t="s">
        <v>430</v>
      </c>
      <c r="C1235" s="2101">
        <f>IF(C1234="","",C1234+10)</f>
        <v>12295</v>
      </c>
      <c r="D1235" s="2102"/>
      <c r="E1235" s="627"/>
      <c r="F1235" s="628" t="s">
        <v>431</v>
      </c>
      <c r="G1235" s="2103">
        <f>IF(G1234="","",G1234+10)</f>
        <v>12310</v>
      </c>
      <c r="H1235" s="2104"/>
    </row>
    <row r="1236" spans="1:8" ht="15.5" x14ac:dyDescent="0.35">
      <c r="A1236" s="625"/>
      <c r="B1236" s="626" t="s">
        <v>430</v>
      </c>
      <c r="C1236" s="2101">
        <f>IF(C1235="","",C1235+10)</f>
        <v>12305</v>
      </c>
      <c r="D1236" s="2102"/>
      <c r="E1236" s="627"/>
      <c r="F1236" s="628" t="s">
        <v>431</v>
      </c>
      <c r="G1236" s="2103">
        <f>IF(G1235="","",G1235+10)</f>
        <v>12320</v>
      </c>
      <c r="H1236" s="2104"/>
    </row>
    <row r="1237" spans="1:8" ht="15.5" x14ac:dyDescent="0.35">
      <c r="A1237" s="625">
        <f>A1234+30</f>
        <v>12315</v>
      </c>
      <c r="B1237" s="626" t="s">
        <v>430</v>
      </c>
      <c r="C1237" s="2101">
        <f>IF(A1237="","",A1237)</f>
        <v>12315</v>
      </c>
      <c r="D1237" s="2102"/>
      <c r="E1237" s="627">
        <f>E1234+30</f>
        <v>12330</v>
      </c>
      <c r="F1237" s="628" t="s">
        <v>431</v>
      </c>
      <c r="G1237" s="2103">
        <f>IF(E1237="","",E1237)</f>
        <v>12330</v>
      </c>
      <c r="H1237" s="2104"/>
    </row>
    <row r="1238" spans="1:8" ht="15.5" x14ac:dyDescent="0.35">
      <c r="A1238" s="625"/>
      <c r="B1238" s="626" t="s">
        <v>430</v>
      </c>
      <c r="C1238" s="2101">
        <f>IF(C1237="","",C1237+10)</f>
        <v>12325</v>
      </c>
      <c r="D1238" s="2102"/>
      <c r="E1238" s="627"/>
      <c r="F1238" s="628" t="s">
        <v>431</v>
      </c>
      <c r="G1238" s="2103">
        <f>IF(G1237="","",G1237+10)</f>
        <v>12340</v>
      </c>
      <c r="H1238" s="2104"/>
    </row>
    <row r="1239" spans="1:8" ht="15.5" x14ac:dyDescent="0.35">
      <c r="A1239" s="625"/>
      <c r="B1239" s="626" t="s">
        <v>430</v>
      </c>
      <c r="C1239" s="2101">
        <f>IF(C1238="","",C1238+10)</f>
        <v>12335</v>
      </c>
      <c r="D1239" s="2102"/>
      <c r="E1239" s="627"/>
      <c r="F1239" s="628" t="s">
        <v>431</v>
      </c>
      <c r="G1239" s="2103">
        <f>IF(G1238="","",G1238+10)</f>
        <v>12350</v>
      </c>
      <c r="H1239" s="2104"/>
    </row>
    <row r="1240" spans="1:8" ht="15.5" x14ac:dyDescent="0.35">
      <c r="A1240" s="625">
        <f>A1237+30</f>
        <v>12345</v>
      </c>
      <c r="B1240" s="626" t="s">
        <v>430</v>
      </c>
      <c r="C1240" s="2101">
        <f>IF(A1240="","",A1240)</f>
        <v>12345</v>
      </c>
      <c r="D1240" s="2102"/>
      <c r="E1240" s="627">
        <f>E1237+30</f>
        <v>12360</v>
      </c>
      <c r="F1240" s="628" t="s">
        <v>431</v>
      </c>
      <c r="G1240" s="2103">
        <f>IF(E1240="","",E1240)</f>
        <v>12360</v>
      </c>
      <c r="H1240" s="2104"/>
    </row>
    <row r="1241" spans="1:8" ht="15.5" x14ac:dyDescent="0.35">
      <c r="A1241" s="625"/>
      <c r="B1241" s="626" t="s">
        <v>430</v>
      </c>
      <c r="C1241" s="2101">
        <f>IF(C1240="","",C1240+10)</f>
        <v>12355</v>
      </c>
      <c r="D1241" s="2102"/>
      <c r="E1241" s="627"/>
      <c r="F1241" s="628" t="s">
        <v>431</v>
      </c>
      <c r="G1241" s="2103">
        <f>IF(G1240="","",G1240+10)</f>
        <v>12370</v>
      </c>
      <c r="H1241" s="2104"/>
    </row>
    <row r="1242" spans="1:8" ht="15.5" x14ac:dyDescent="0.35">
      <c r="A1242" s="625"/>
      <c r="B1242" s="626" t="s">
        <v>430</v>
      </c>
      <c r="C1242" s="2101">
        <f>IF(C1241="","",C1241+10)</f>
        <v>12365</v>
      </c>
      <c r="D1242" s="2102"/>
      <c r="E1242" s="627"/>
      <c r="F1242" s="628" t="s">
        <v>431</v>
      </c>
      <c r="G1242" s="2103">
        <f>IF(G1241="","",G1241+10)</f>
        <v>12380</v>
      </c>
      <c r="H1242" s="2104"/>
    </row>
    <row r="1243" spans="1:8" ht="15.5" x14ac:dyDescent="0.35">
      <c r="A1243" s="625">
        <f>A1240+30</f>
        <v>12375</v>
      </c>
      <c r="B1243" s="626" t="s">
        <v>430</v>
      </c>
      <c r="C1243" s="2101">
        <f>IF(A1243="","",A1243)</f>
        <v>12375</v>
      </c>
      <c r="D1243" s="2102"/>
      <c r="E1243" s="627">
        <f>E1240+30</f>
        <v>12390</v>
      </c>
      <c r="F1243" s="628" t="s">
        <v>431</v>
      </c>
      <c r="G1243" s="2103">
        <f>IF(E1243="","",E1243)</f>
        <v>12390</v>
      </c>
      <c r="H1243" s="2104"/>
    </row>
    <row r="1244" spans="1:8" ht="15.5" x14ac:dyDescent="0.35">
      <c r="A1244" s="625"/>
      <c r="B1244" s="626" t="s">
        <v>430</v>
      </c>
      <c r="C1244" s="2101">
        <f>IF(C1243="","",C1243+10)</f>
        <v>12385</v>
      </c>
      <c r="D1244" s="2102"/>
      <c r="E1244" s="627"/>
      <c r="F1244" s="628" t="s">
        <v>431</v>
      </c>
      <c r="G1244" s="2103">
        <f>IF(G1243="","",G1243+10)</f>
        <v>12400</v>
      </c>
      <c r="H1244" s="2104"/>
    </row>
    <row r="1245" spans="1:8" ht="15.5" x14ac:dyDescent="0.35">
      <c r="A1245" s="625"/>
      <c r="B1245" s="626" t="s">
        <v>430</v>
      </c>
      <c r="C1245" s="2101">
        <f>IF(C1244="","",C1244+10)</f>
        <v>12395</v>
      </c>
      <c r="D1245" s="2102"/>
      <c r="E1245" s="627"/>
      <c r="F1245" s="628" t="s">
        <v>431</v>
      </c>
      <c r="G1245" s="2103">
        <f>IF(G1244="","",G1244+10)</f>
        <v>12410</v>
      </c>
      <c r="H1245" s="2104"/>
    </row>
    <row r="1246" spans="1:8" ht="15.5" x14ac:dyDescent="0.35">
      <c r="A1246" s="625">
        <f>A1243+30</f>
        <v>12405</v>
      </c>
      <c r="B1246" s="626" t="s">
        <v>430</v>
      </c>
      <c r="C1246" s="2101">
        <f>IF(A1246="","",A1246)</f>
        <v>12405</v>
      </c>
      <c r="D1246" s="2102"/>
      <c r="E1246" s="627">
        <f>E1243+30</f>
        <v>12420</v>
      </c>
      <c r="F1246" s="628" t="s">
        <v>431</v>
      </c>
      <c r="G1246" s="2103">
        <f>IF(E1246="","",E1246)</f>
        <v>12420</v>
      </c>
      <c r="H1246" s="2104"/>
    </row>
    <row r="1247" spans="1:8" ht="15.5" x14ac:dyDescent="0.35">
      <c r="A1247" s="625"/>
      <c r="B1247" s="626" t="s">
        <v>430</v>
      </c>
      <c r="C1247" s="2101">
        <f>IF(C1246="","",C1246+10)</f>
        <v>12415</v>
      </c>
      <c r="D1247" s="2102"/>
      <c r="E1247" s="627"/>
      <c r="F1247" s="628" t="s">
        <v>431</v>
      </c>
      <c r="G1247" s="2103">
        <f>IF(G1246="","",G1246+10)</f>
        <v>12430</v>
      </c>
      <c r="H1247" s="2104"/>
    </row>
    <row r="1248" spans="1:8" ht="15.5" x14ac:dyDescent="0.35">
      <c r="A1248" s="625"/>
      <c r="B1248" s="626" t="s">
        <v>430</v>
      </c>
      <c r="C1248" s="2101">
        <f>IF(C1247="","",C1247+10)</f>
        <v>12425</v>
      </c>
      <c r="D1248" s="2102"/>
      <c r="E1248" s="627"/>
      <c r="F1248" s="628" t="s">
        <v>431</v>
      </c>
      <c r="G1248" s="2103">
        <f>IF(G1247="","",G1247+10)</f>
        <v>12440</v>
      </c>
      <c r="H1248" s="2104"/>
    </row>
    <row r="1249" spans="1:8" ht="15.5" x14ac:dyDescent="0.35">
      <c r="A1249" s="625">
        <f>A1246+30</f>
        <v>12435</v>
      </c>
      <c r="B1249" s="626" t="s">
        <v>430</v>
      </c>
      <c r="C1249" s="2101">
        <f>IF(A1249="","",A1249)</f>
        <v>12435</v>
      </c>
      <c r="D1249" s="2102"/>
      <c r="E1249" s="627">
        <f>E1246+30</f>
        <v>12450</v>
      </c>
      <c r="F1249" s="628" t="s">
        <v>431</v>
      </c>
      <c r="G1249" s="2103">
        <f>IF(E1249="","",E1249)</f>
        <v>12450</v>
      </c>
      <c r="H1249" s="2104"/>
    </row>
    <row r="1250" spans="1:8" ht="15.5" x14ac:dyDescent="0.35">
      <c r="A1250" s="625"/>
      <c r="B1250" s="626" t="s">
        <v>430</v>
      </c>
      <c r="C1250" s="2101">
        <f>IF(C1249="","",C1249+10)</f>
        <v>12445</v>
      </c>
      <c r="D1250" s="2102"/>
      <c r="E1250" s="627"/>
      <c r="F1250" s="628" t="s">
        <v>431</v>
      </c>
      <c r="G1250" s="2103">
        <f>IF(G1249="","",G1249+10)</f>
        <v>12460</v>
      </c>
      <c r="H1250" s="2104"/>
    </row>
    <row r="1251" spans="1:8" ht="15.5" x14ac:dyDescent="0.35">
      <c r="A1251" s="625"/>
      <c r="B1251" s="626" t="s">
        <v>430</v>
      </c>
      <c r="C1251" s="2101">
        <f>IF(C1250="","",C1250+10)</f>
        <v>12455</v>
      </c>
      <c r="D1251" s="2102"/>
      <c r="E1251" s="627"/>
      <c r="F1251" s="628" t="s">
        <v>431</v>
      </c>
      <c r="G1251" s="2103">
        <f>IF(G1250="","",G1250+10)</f>
        <v>12470</v>
      </c>
      <c r="H1251" s="2104"/>
    </row>
    <row r="1252" spans="1:8" ht="15.5" x14ac:dyDescent="0.35">
      <c r="A1252" s="625">
        <f>A1249+30</f>
        <v>12465</v>
      </c>
      <c r="B1252" s="626" t="s">
        <v>430</v>
      </c>
      <c r="C1252" s="2101">
        <f>IF(A1252="","",A1252)</f>
        <v>12465</v>
      </c>
      <c r="D1252" s="2102"/>
      <c r="E1252" s="627">
        <f>E1249+30</f>
        <v>12480</v>
      </c>
      <c r="F1252" s="628" t="s">
        <v>431</v>
      </c>
      <c r="G1252" s="2103">
        <f>IF(E1252="","",E1252)</f>
        <v>12480</v>
      </c>
      <c r="H1252" s="2104"/>
    </row>
    <row r="1253" spans="1:8" ht="15.5" x14ac:dyDescent="0.35">
      <c r="A1253" s="625"/>
      <c r="B1253" s="626" t="s">
        <v>430</v>
      </c>
      <c r="C1253" s="2101">
        <f>IF(C1252="","",C1252+10)</f>
        <v>12475</v>
      </c>
      <c r="D1253" s="2102"/>
      <c r="E1253" s="627"/>
      <c r="F1253" s="628" t="s">
        <v>431</v>
      </c>
      <c r="G1253" s="2103">
        <f>IF(G1252="","",G1252+10)</f>
        <v>12490</v>
      </c>
      <c r="H1253" s="2104"/>
    </row>
    <row r="1254" spans="1:8" ht="15.5" x14ac:dyDescent="0.35">
      <c r="A1254" s="625"/>
      <c r="B1254" s="626" t="s">
        <v>430</v>
      </c>
      <c r="C1254" s="2101">
        <f>IF(C1253="","",C1253+10)</f>
        <v>12485</v>
      </c>
      <c r="D1254" s="2102"/>
      <c r="E1254" s="627"/>
      <c r="F1254" s="628" t="s">
        <v>431</v>
      </c>
      <c r="G1254" s="2103">
        <f>IF(G1253="","",G1253+10)</f>
        <v>12500</v>
      </c>
      <c r="H1254" s="2104"/>
    </row>
    <row r="1255" spans="1:8" ht="15.5" x14ac:dyDescent="0.35">
      <c r="A1255" s="625">
        <f>A1252+30</f>
        <v>12495</v>
      </c>
      <c r="B1255" s="626" t="s">
        <v>430</v>
      </c>
      <c r="C1255" s="2101">
        <f>IF(A1255="","",A1255)</f>
        <v>12495</v>
      </c>
      <c r="D1255" s="2102"/>
      <c r="E1255" s="627">
        <f>E1252+30</f>
        <v>12510</v>
      </c>
      <c r="F1255" s="628" t="s">
        <v>431</v>
      </c>
      <c r="G1255" s="2103">
        <f>IF(E1255="","",E1255)</f>
        <v>12510</v>
      </c>
      <c r="H1255" s="2104"/>
    </row>
    <row r="1256" spans="1:8" ht="15.5" x14ac:dyDescent="0.35">
      <c r="A1256" s="625"/>
      <c r="B1256" s="626" t="s">
        <v>430</v>
      </c>
      <c r="C1256" s="2101">
        <f>IF(C1255="","",C1255+10)</f>
        <v>12505</v>
      </c>
      <c r="D1256" s="2102"/>
      <c r="E1256" s="627"/>
      <c r="F1256" s="628" t="s">
        <v>431</v>
      </c>
      <c r="G1256" s="2103">
        <f>IF(G1255="","",G1255+10)</f>
        <v>12520</v>
      </c>
      <c r="H1256" s="2104"/>
    </row>
    <row r="1257" spans="1:8" ht="15.5" x14ac:dyDescent="0.35">
      <c r="A1257" s="625"/>
      <c r="B1257" s="626" t="s">
        <v>430</v>
      </c>
      <c r="C1257" s="2101">
        <f>IF(C1256="","",C1256+10)</f>
        <v>12515</v>
      </c>
      <c r="D1257" s="2102"/>
      <c r="E1257" s="627"/>
      <c r="F1257" s="628" t="s">
        <v>431</v>
      </c>
      <c r="G1257" s="2103">
        <f>IF(G1256="","",G1256+10)</f>
        <v>12530</v>
      </c>
      <c r="H1257" s="2104"/>
    </row>
    <row r="1258" spans="1:8" ht="15.5" x14ac:dyDescent="0.35">
      <c r="A1258" s="625">
        <f>A1255+30</f>
        <v>12525</v>
      </c>
      <c r="B1258" s="626" t="s">
        <v>430</v>
      </c>
      <c r="C1258" s="2101">
        <f>IF(A1258="","",A1258)</f>
        <v>12525</v>
      </c>
      <c r="D1258" s="2102"/>
      <c r="E1258" s="627">
        <f>E1255+30</f>
        <v>12540</v>
      </c>
      <c r="F1258" s="628" t="s">
        <v>431</v>
      </c>
      <c r="G1258" s="2103">
        <f>IF(E1258="","",E1258)</f>
        <v>12540</v>
      </c>
      <c r="H1258" s="2104"/>
    </row>
    <row r="1259" spans="1:8" ht="15.5" x14ac:dyDescent="0.35">
      <c r="A1259" s="625"/>
      <c r="B1259" s="626" t="s">
        <v>430</v>
      </c>
      <c r="C1259" s="2101">
        <f>IF(C1258="","",C1258+10)</f>
        <v>12535</v>
      </c>
      <c r="D1259" s="2102"/>
      <c r="E1259" s="627"/>
      <c r="F1259" s="628" t="s">
        <v>431</v>
      </c>
      <c r="G1259" s="2103">
        <f>IF(G1258="","",G1258+10)</f>
        <v>12550</v>
      </c>
      <c r="H1259" s="2104"/>
    </row>
    <row r="1260" spans="1:8" ht="15.5" x14ac:dyDescent="0.35">
      <c r="A1260" s="625"/>
      <c r="B1260" s="626" t="s">
        <v>430</v>
      </c>
      <c r="C1260" s="2101">
        <f>IF(C1259="","",C1259+10)</f>
        <v>12545</v>
      </c>
      <c r="D1260" s="2102"/>
      <c r="E1260" s="627"/>
      <c r="F1260" s="628" t="s">
        <v>431</v>
      </c>
      <c r="G1260" s="2103">
        <f>IF(G1259="","",G1259+10)</f>
        <v>12560</v>
      </c>
      <c r="H1260" s="2104"/>
    </row>
    <row r="1261" spans="1:8" ht="15.5" x14ac:dyDescent="0.35">
      <c r="A1261" s="625">
        <f>A1258+30</f>
        <v>12555</v>
      </c>
      <c r="B1261" s="626" t="s">
        <v>430</v>
      </c>
      <c r="C1261" s="2101">
        <f>IF(A1261="","",A1261)</f>
        <v>12555</v>
      </c>
      <c r="D1261" s="2102"/>
      <c r="E1261" s="627">
        <f>E1258+30</f>
        <v>12570</v>
      </c>
      <c r="F1261" s="628" t="s">
        <v>431</v>
      </c>
      <c r="G1261" s="2103">
        <f>IF(E1261="","",E1261)</f>
        <v>12570</v>
      </c>
      <c r="H1261" s="2104"/>
    </row>
    <row r="1262" spans="1:8" ht="15.5" x14ac:dyDescent="0.35">
      <c r="A1262" s="625"/>
      <c r="B1262" s="626" t="s">
        <v>430</v>
      </c>
      <c r="C1262" s="2101">
        <f>IF(C1261="","",C1261+10)</f>
        <v>12565</v>
      </c>
      <c r="D1262" s="2102"/>
      <c r="E1262" s="627"/>
      <c r="F1262" s="628" t="s">
        <v>431</v>
      </c>
      <c r="G1262" s="2103">
        <f>IF(G1261="","",G1261+10)</f>
        <v>12580</v>
      </c>
      <c r="H1262" s="2104"/>
    </row>
    <row r="1263" spans="1:8" ht="15.5" x14ac:dyDescent="0.35">
      <c r="A1263" s="625"/>
      <c r="B1263" s="626" t="s">
        <v>430</v>
      </c>
      <c r="C1263" s="2101">
        <f>IF(C1262="","",C1262+10)</f>
        <v>12575</v>
      </c>
      <c r="D1263" s="2102"/>
      <c r="E1263" s="627"/>
      <c r="F1263" s="628" t="s">
        <v>431</v>
      </c>
      <c r="G1263" s="2103">
        <f>IF(G1262="","",G1262+10)</f>
        <v>12590</v>
      </c>
      <c r="H1263" s="2104"/>
    </row>
    <row r="1264" spans="1:8" ht="15.5" x14ac:dyDescent="0.35">
      <c r="A1264" s="625">
        <f>A1261+30</f>
        <v>12585</v>
      </c>
      <c r="B1264" s="626" t="s">
        <v>430</v>
      </c>
      <c r="C1264" s="2101">
        <f>IF(A1264="","",A1264)</f>
        <v>12585</v>
      </c>
      <c r="D1264" s="2102"/>
      <c r="E1264" s="627">
        <f>E1261+30</f>
        <v>12600</v>
      </c>
      <c r="F1264" s="628" t="s">
        <v>431</v>
      </c>
      <c r="G1264" s="2103">
        <f>IF(E1264="","",E1264)</f>
        <v>12600</v>
      </c>
      <c r="H1264" s="2104"/>
    </row>
    <row r="1265" spans="1:8" ht="15.5" x14ac:dyDescent="0.35">
      <c r="A1265" s="625"/>
      <c r="B1265" s="626" t="s">
        <v>430</v>
      </c>
      <c r="C1265" s="2101">
        <f>IF(C1264="","",C1264+10)</f>
        <v>12595</v>
      </c>
      <c r="D1265" s="2102"/>
      <c r="E1265" s="627"/>
      <c r="F1265" s="628" t="s">
        <v>431</v>
      </c>
      <c r="G1265" s="2103">
        <f>IF(G1264="","",G1264+10)</f>
        <v>12610</v>
      </c>
      <c r="H1265" s="2104"/>
    </row>
    <row r="1266" spans="1:8" ht="15.5" x14ac:dyDescent="0.35">
      <c r="A1266" s="625"/>
      <c r="B1266" s="626" t="s">
        <v>430</v>
      </c>
      <c r="C1266" s="2101">
        <f>IF(C1265="","",C1265+10)</f>
        <v>12605</v>
      </c>
      <c r="D1266" s="2102"/>
      <c r="E1266" s="627"/>
      <c r="F1266" s="628" t="s">
        <v>431</v>
      </c>
      <c r="G1266" s="2103">
        <f>IF(G1265="","",G1265+10)</f>
        <v>12620</v>
      </c>
      <c r="H1266" s="2104"/>
    </row>
    <row r="1267" spans="1:8" ht="15.5" x14ac:dyDescent="0.35">
      <c r="A1267" s="625">
        <f>A1264+30</f>
        <v>12615</v>
      </c>
      <c r="B1267" s="626" t="s">
        <v>430</v>
      </c>
      <c r="C1267" s="2101">
        <f>IF(A1267="","",A1267)</f>
        <v>12615</v>
      </c>
      <c r="D1267" s="2102"/>
      <c r="E1267" s="627">
        <f>E1264+30</f>
        <v>12630</v>
      </c>
      <c r="F1267" s="628" t="s">
        <v>431</v>
      </c>
      <c r="G1267" s="2103">
        <f>IF(E1267="","",E1267)</f>
        <v>12630</v>
      </c>
      <c r="H1267" s="2104"/>
    </row>
    <row r="1268" spans="1:8" ht="15.5" x14ac:dyDescent="0.35">
      <c r="A1268" s="625"/>
      <c r="B1268" s="626" t="s">
        <v>430</v>
      </c>
      <c r="C1268" s="2101">
        <f>IF(C1267="","",C1267+10)</f>
        <v>12625</v>
      </c>
      <c r="D1268" s="2102"/>
      <c r="E1268" s="627"/>
      <c r="F1268" s="628" t="s">
        <v>431</v>
      </c>
      <c r="G1268" s="2103">
        <f>IF(G1267="","",G1267+10)</f>
        <v>12640</v>
      </c>
      <c r="H1268" s="2104"/>
    </row>
    <row r="1269" spans="1:8" ht="15.5" x14ac:dyDescent="0.35">
      <c r="A1269" s="625"/>
      <c r="B1269" s="626" t="s">
        <v>430</v>
      </c>
      <c r="C1269" s="2101">
        <f>IF(C1268="","",C1268+10)</f>
        <v>12635</v>
      </c>
      <c r="D1269" s="2102"/>
      <c r="E1269" s="627"/>
      <c r="F1269" s="628" t="s">
        <v>431</v>
      </c>
      <c r="G1269" s="2103">
        <f>IF(G1268="","",G1268+10)</f>
        <v>12650</v>
      </c>
      <c r="H1269" s="2104"/>
    </row>
    <row r="1270" spans="1:8" ht="15.5" x14ac:dyDescent="0.35">
      <c r="A1270" s="625">
        <f>A1267+30</f>
        <v>12645</v>
      </c>
      <c r="B1270" s="626" t="s">
        <v>430</v>
      </c>
      <c r="C1270" s="2101">
        <f>IF(A1270="","",A1270)</f>
        <v>12645</v>
      </c>
      <c r="D1270" s="2102"/>
      <c r="E1270" s="627">
        <f>E1267+30</f>
        <v>12660</v>
      </c>
      <c r="F1270" s="628" t="s">
        <v>431</v>
      </c>
      <c r="G1270" s="2103">
        <f>IF(E1270="","",E1270)</f>
        <v>12660</v>
      </c>
      <c r="H1270" s="2104"/>
    </row>
    <row r="1271" spans="1:8" ht="15.5" x14ac:dyDescent="0.35">
      <c r="A1271" s="625"/>
      <c r="B1271" s="626" t="s">
        <v>430</v>
      </c>
      <c r="C1271" s="2101">
        <f>IF(C1270="","",C1270+10)</f>
        <v>12655</v>
      </c>
      <c r="D1271" s="2102"/>
      <c r="E1271" s="627"/>
      <c r="F1271" s="628" t="s">
        <v>431</v>
      </c>
      <c r="G1271" s="2103">
        <f>IF(G1270="","",G1270+10)</f>
        <v>12670</v>
      </c>
      <c r="H1271" s="2104"/>
    </row>
    <row r="1272" spans="1:8" ht="15.5" x14ac:dyDescent="0.35">
      <c r="A1272" s="625"/>
      <c r="B1272" s="626" t="s">
        <v>430</v>
      </c>
      <c r="C1272" s="2101">
        <f>IF(C1271="","",C1271+10)</f>
        <v>12665</v>
      </c>
      <c r="D1272" s="2102"/>
      <c r="E1272" s="627"/>
      <c r="F1272" s="628" t="s">
        <v>431</v>
      </c>
      <c r="G1272" s="2103">
        <f>IF(G1271="","",G1271+10)</f>
        <v>12680</v>
      </c>
      <c r="H1272" s="2104"/>
    </row>
    <row r="1273" spans="1:8" ht="15.5" x14ac:dyDescent="0.35">
      <c r="A1273" s="625">
        <f>A1270+30</f>
        <v>12675</v>
      </c>
      <c r="B1273" s="626" t="s">
        <v>430</v>
      </c>
      <c r="C1273" s="2101">
        <f>IF(A1273="","",A1273)</f>
        <v>12675</v>
      </c>
      <c r="D1273" s="2102"/>
      <c r="E1273" s="627">
        <f>E1270+30</f>
        <v>12690</v>
      </c>
      <c r="F1273" s="628" t="s">
        <v>431</v>
      </c>
      <c r="G1273" s="2103">
        <f>IF(E1273="","",E1273)</f>
        <v>12690</v>
      </c>
      <c r="H1273" s="2104"/>
    </row>
    <row r="1274" spans="1:8" ht="15.5" x14ac:dyDescent="0.35">
      <c r="A1274" s="625"/>
      <c r="B1274" s="626" t="s">
        <v>430</v>
      </c>
      <c r="C1274" s="2101">
        <f>IF(C1273="","",C1273+10)</f>
        <v>12685</v>
      </c>
      <c r="D1274" s="2102"/>
      <c r="E1274" s="627"/>
      <c r="F1274" s="628" t="s">
        <v>431</v>
      </c>
      <c r="G1274" s="2103">
        <f>IF(G1273="","",G1273+10)</f>
        <v>12700</v>
      </c>
      <c r="H1274" s="2104"/>
    </row>
    <row r="1275" spans="1:8" ht="15.5" x14ac:dyDescent="0.35">
      <c r="A1275" s="625"/>
      <c r="B1275" s="626" t="s">
        <v>430</v>
      </c>
      <c r="C1275" s="2101">
        <f>IF(C1274="","",C1274+10)</f>
        <v>12695</v>
      </c>
      <c r="D1275" s="2102"/>
      <c r="E1275" s="627"/>
      <c r="F1275" s="628" t="s">
        <v>431</v>
      </c>
      <c r="G1275" s="2103">
        <f>IF(G1274="","",G1274+10)</f>
        <v>12710</v>
      </c>
      <c r="H1275" s="2104"/>
    </row>
    <row r="1276" spans="1:8" ht="15.5" x14ac:dyDescent="0.35">
      <c r="A1276" s="625">
        <f>A1273+30</f>
        <v>12705</v>
      </c>
      <c r="B1276" s="626" t="s">
        <v>430</v>
      </c>
      <c r="C1276" s="2101">
        <f>IF(A1276="","",A1276)</f>
        <v>12705</v>
      </c>
      <c r="D1276" s="2102"/>
      <c r="E1276" s="627">
        <f>E1273+30</f>
        <v>12720</v>
      </c>
      <c r="F1276" s="628" t="s">
        <v>431</v>
      </c>
      <c r="G1276" s="2103">
        <f>IF(E1276="","",E1276)</f>
        <v>12720</v>
      </c>
      <c r="H1276" s="2104"/>
    </row>
    <row r="1277" spans="1:8" ht="15.5" x14ac:dyDescent="0.35">
      <c r="A1277" s="625"/>
      <c r="B1277" s="626" t="s">
        <v>430</v>
      </c>
      <c r="C1277" s="2101">
        <f>IF(C1276="","",C1276+10)</f>
        <v>12715</v>
      </c>
      <c r="D1277" s="2102"/>
      <c r="E1277" s="627"/>
      <c r="F1277" s="628" t="s">
        <v>431</v>
      </c>
      <c r="G1277" s="2103">
        <f>IF(G1276="","",G1276+10)</f>
        <v>12730</v>
      </c>
      <c r="H1277" s="2104"/>
    </row>
    <row r="1278" spans="1:8" ht="15.5" x14ac:dyDescent="0.35">
      <c r="A1278" s="625"/>
      <c r="B1278" s="626" t="s">
        <v>430</v>
      </c>
      <c r="C1278" s="2101">
        <f>IF(C1277="","",C1277+10)</f>
        <v>12725</v>
      </c>
      <c r="D1278" s="2102"/>
      <c r="E1278" s="627"/>
      <c r="F1278" s="628" t="s">
        <v>431</v>
      </c>
      <c r="G1278" s="2103">
        <f>IF(G1277="","",G1277+10)</f>
        <v>12740</v>
      </c>
      <c r="H1278" s="2104"/>
    </row>
    <row r="1279" spans="1:8" ht="15.5" x14ac:dyDescent="0.35">
      <c r="A1279" s="625">
        <f>A1276+30</f>
        <v>12735</v>
      </c>
      <c r="B1279" s="626" t="s">
        <v>430</v>
      </c>
      <c r="C1279" s="2101">
        <f>IF(A1279="","",A1279)</f>
        <v>12735</v>
      </c>
      <c r="D1279" s="2102"/>
      <c r="E1279" s="627">
        <f>E1276+30</f>
        <v>12750</v>
      </c>
      <c r="F1279" s="628" t="s">
        <v>431</v>
      </c>
      <c r="G1279" s="2103">
        <f>IF(E1279="","",E1279)</f>
        <v>12750</v>
      </c>
      <c r="H1279" s="2104"/>
    </row>
    <row r="1280" spans="1:8" ht="15.5" x14ac:dyDescent="0.35">
      <c r="A1280" s="625"/>
      <c r="B1280" s="626" t="s">
        <v>430</v>
      </c>
      <c r="C1280" s="2101">
        <f>IF(C1279="","",C1279+10)</f>
        <v>12745</v>
      </c>
      <c r="D1280" s="2102"/>
      <c r="E1280" s="627"/>
      <c r="F1280" s="628" t="s">
        <v>431</v>
      </c>
      <c r="G1280" s="2103">
        <f>IF(G1279="","",G1279+10)</f>
        <v>12760</v>
      </c>
      <c r="H1280" s="2104"/>
    </row>
    <row r="1281" spans="1:8" ht="15.5" x14ac:dyDescent="0.35">
      <c r="A1281" s="625"/>
      <c r="B1281" s="626" t="s">
        <v>430</v>
      </c>
      <c r="C1281" s="2101">
        <f>IF(C1280="","",C1280+10)</f>
        <v>12755</v>
      </c>
      <c r="D1281" s="2102"/>
      <c r="E1281" s="627"/>
      <c r="F1281" s="628" t="s">
        <v>431</v>
      </c>
      <c r="G1281" s="2103">
        <f>IF(G1280="","",G1280+10)</f>
        <v>12770</v>
      </c>
      <c r="H1281" s="2104"/>
    </row>
    <row r="1282" spans="1:8" ht="15.5" x14ac:dyDescent="0.35">
      <c r="A1282" s="625">
        <f>A1279+30</f>
        <v>12765</v>
      </c>
      <c r="B1282" s="626" t="s">
        <v>430</v>
      </c>
      <c r="C1282" s="2101">
        <f>IF(A1282="","",A1282)</f>
        <v>12765</v>
      </c>
      <c r="D1282" s="2102"/>
      <c r="E1282" s="627">
        <f>E1279+30</f>
        <v>12780</v>
      </c>
      <c r="F1282" s="628" t="s">
        <v>431</v>
      </c>
      <c r="G1282" s="2103">
        <f>IF(E1282="","",E1282)</f>
        <v>12780</v>
      </c>
      <c r="H1282" s="2104"/>
    </row>
    <row r="1283" spans="1:8" ht="15.5" x14ac:dyDescent="0.35">
      <c r="A1283" s="625"/>
      <c r="B1283" s="626" t="s">
        <v>430</v>
      </c>
      <c r="C1283" s="2101">
        <f>IF(C1282="","",C1282+10)</f>
        <v>12775</v>
      </c>
      <c r="D1283" s="2102"/>
      <c r="E1283" s="627"/>
      <c r="F1283" s="628" t="s">
        <v>431</v>
      </c>
      <c r="G1283" s="2103">
        <f>IF(G1282="","",G1282+10)</f>
        <v>12790</v>
      </c>
      <c r="H1283" s="2104"/>
    </row>
    <row r="1284" spans="1:8" ht="15.5" x14ac:dyDescent="0.35">
      <c r="A1284" s="625"/>
      <c r="B1284" s="626" t="s">
        <v>430</v>
      </c>
      <c r="C1284" s="2101">
        <f>IF(C1283="","",C1283+10)</f>
        <v>12785</v>
      </c>
      <c r="D1284" s="2102"/>
      <c r="E1284" s="627"/>
      <c r="F1284" s="628" t="s">
        <v>431</v>
      </c>
      <c r="G1284" s="2103">
        <f>IF(G1283="","",G1283+10)</f>
        <v>12800</v>
      </c>
      <c r="H1284" s="2104"/>
    </row>
    <row r="1285" spans="1:8" ht="15.5" x14ac:dyDescent="0.35">
      <c r="A1285" s="625">
        <f>A1282+30</f>
        <v>12795</v>
      </c>
      <c r="B1285" s="626" t="s">
        <v>430</v>
      </c>
      <c r="C1285" s="2101">
        <f>IF(A1285="","",A1285)</f>
        <v>12795</v>
      </c>
      <c r="D1285" s="2102"/>
      <c r="E1285" s="627">
        <f>E1282+30</f>
        <v>12810</v>
      </c>
      <c r="F1285" s="628" t="s">
        <v>431</v>
      </c>
      <c r="G1285" s="2103">
        <f>IF(E1285="","",E1285)</f>
        <v>12810</v>
      </c>
      <c r="H1285" s="2104"/>
    </row>
    <row r="1286" spans="1:8" ht="15.5" x14ac:dyDescent="0.35">
      <c r="A1286" s="625"/>
      <c r="B1286" s="626" t="s">
        <v>430</v>
      </c>
      <c r="C1286" s="2101">
        <f>IF(C1285="","",C1285+10)</f>
        <v>12805</v>
      </c>
      <c r="D1286" s="2102"/>
      <c r="E1286" s="627"/>
      <c r="F1286" s="628" t="s">
        <v>431</v>
      </c>
      <c r="G1286" s="2103">
        <f>IF(G1285="","",G1285+10)</f>
        <v>12820</v>
      </c>
      <c r="H1286" s="2104"/>
    </row>
    <row r="1287" spans="1:8" ht="15.5" x14ac:dyDescent="0.35">
      <c r="A1287" s="625"/>
      <c r="B1287" s="626" t="s">
        <v>430</v>
      </c>
      <c r="C1287" s="2101">
        <f>IF(C1286="","",C1286+10)</f>
        <v>12815</v>
      </c>
      <c r="D1287" s="2102"/>
      <c r="E1287" s="627"/>
      <c r="F1287" s="628" t="s">
        <v>431</v>
      </c>
      <c r="G1287" s="2103">
        <f>IF(G1286="","",G1286+10)</f>
        <v>12830</v>
      </c>
      <c r="H1287" s="2104"/>
    </row>
    <row r="1288" spans="1:8" ht="15.5" x14ac:dyDescent="0.35">
      <c r="A1288" s="625">
        <f>A1285+30</f>
        <v>12825</v>
      </c>
      <c r="B1288" s="626" t="s">
        <v>430</v>
      </c>
      <c r="C1288" s="2101">
        <f>IF(A1288="","",A1288)</f>
        <v>12825</v>
      </c>
      <c r="D1288" s="2102"/>
      <c r="E1288" s="627">
        <f>E1285+30</f>
        <v>12840</v>
      </c>
      <c r="F1288" s="628" t="s">
        <v>431</v>
      </c>
      <c r="G1288" s="2103">
        <f>IF(E1288="","",E1288)</f>
        <v>12840</v>
      </c>
      <c r="H1288" s="2104"/>
    </row>
    <row r="1289" spans="1:8" ht="15.5" x14ac:dyDescent="0.35">
      <c r="A1289" s="625"/>
      <c r="B1289" s="626" t="s">
        <v>430</v>
      </c>
      <c r="C1289" s="2101">
        <f>IF(C1288="","",C1288+10)</f>
        <v>12835</v>
      </c>
      <c r="D1289" s="2102"/>
      <c r="E1289" s="627"/>
      <c r="F1289" s="628" t="s">
        <v>431</v>
      </c>
      <c r="G1289" s="2103">
        <f>IF(G1288="","",G1288+10)</f>
        <v>12850</v>
      </c>
      <c r="H1289" s="2104"/>
    </row>
    <row r="1290" spans="1:8" ht="15.5" x14ac:dyDescent="0.35">
      <c r="A1290" s="625"/>
      <c r="B1290" s="626" t="s">
        <v>430</v>
      </c>
      <c r="C1290" s="2101">
        <f>IF(C1289="","",C1289+10)</f>
        <v>12845</v>
      </c>
      <c r="D1290" s="2102"/>
      <c r="E1290" s="627"/>
      <c r="F1290" s="628" t="s">
        <v>431</v>
      </c>
      <c r="G1290" s="2103">
        <f>IF(G1289="","",G1289+10)</f>
        <v>12860</v>
      </c>
      <c r="H1290" s="2104"/>
    </row>
    <row r="1291" spans="1:8" ht="15.5" x14ac:dyDescent="0.35">
      <c r="A1291" s="625">
        <f>A1288+30</f>
        <v>12855</v>
      </c>
      <c r="B1291" s="626" t="s">
        <v>430</v>
      </c>
      <c r="C1291" s="2101">
        <f>IF(A1291="","",A1291)</f>
        <v>12855</v>
      </c>
      <c r="D1291" s="2102"/>
      <c r="E1291" s="627">
        <f>E1288+30</f>
        <v>12870</v>
      </c>
      <c r="F1291" s="628" t="s">
        <v>431</v>
      </c>
      <c r="G1291" s="2103">
        <f>IF(E1291="","",E1291)</f>
        <v>12870</v>
      </c>
      <c r="H1291" s="2104"/>
    </row>
    <row r="1292" spans="1:8" ht="15.5" x14ac:dyDescent="0.35">
      <c r="A1292" s="625"/>
      <c r="B1292" s="626" t="s">
        <v>430</v>
      </c>
      <c r="C1292" s="2101">
        <f>IF(C1291="","",C1291+10)</f>
        <v>12865</v>
      </c>
      <c r="D1292" s="2102"/>
      <c r="E1292" s="627"/>
      <c r="F1292" s="628" t="s">
        <v>431</v>
      </c>
      <c r="G1292" s="2103">
        <f>IF(G1291="","",G1291+10)</f>
        <v>12880</v>
      </c>
      <c r="H1292" s="2104"/>
    </row>
    <row r="1293" spans="1:8" ht="15.5" x14ac:dyDescent="0.35">
      <c r="A1293" s="625"/>
      <c r="B1293" s="626" t="s">
        <v>430</v>
      </c>
      <c r="C1293" s="2101">
        <f>IF(C1292="","",C1292+10)</f>
        <v>12875</v>
      </c>
      <c r="D1293" s="2102"/>
      <c r="E1293" s="627"/>
      <c r="F1293" s="628" t="s">
        <v>431</v>
      </c>
      <c r="G1293" s="2103">
        <f>IF(G1292="","",G1292+10)</f>
        <v>12890</v>
      </c>
      <c r="H1293" s="2104"/>
    </row>
    <row r="1294" spans="1:8" ht="15.5" x14ac:dyDescent="0.35">
      <c r="A1294" s="625">
        <f>A1291+30</f>
        <v>12885</v>
      </c>
      <c r="B1294" s="626" t="s">
        <v>430</v>
      </c>
      <c r="C1294" s="2101">
        <f>IF(A1294="","",A1294)</f>
        <v>12885</v>
      </c>
      <c r="D1294" s="2102"/>
      <c r="E1294" s="627">
        <f>E1291+30</f>
        <v>12900</v>
      </c>
      <c r="F1294" s="628" t="s">
        <v>431</v>
      </c>
      <c r="G1294" s="2103">
        <f>IF(E1294="","",E1294)</f>
        <v>12900</v>
      </c>
      <c r="H1294" s="2104"/>
    </row>
    <row r="1295" spans="1:8" ht="15.5" x14ac:dyDescent="0.35">
      <c r="A1295" s="625"/>
      <c r="B1295" s="626" t="s">
        <v>430</v>
      </c>
      <c r="C1295" s="2101">
        <f>IF(C1294="","",C1294+10)</f>
        <v>12895</v>
      </c>
      <c r="D1295" s="2102"/>
      <c r="E1295" s="627"/>
      <c r="F1295" s="628" t="s">
        <v>431</v>
      </c>
      <c r="G1295" s="2103">
        <f>IF(G1294="","",G1294+10)</f>
        <v>12910</v>
      </c>
      <c r="H1295" s="2104"/>
    </row>
    <row r="1296" spans="1:8" ht="15.5" x14ac:dyDescent="0.35">
      <c r="A1296" s="625"/>
      <c r="B1296" s="626" t="s">
        <v>430</v>
      </c>
      <c r="C1296" s="2101">
        <f>IF(C1295="","",C1295+10)</f>
        <v>12905</v>
      </c>
      <c r="D1296" s="2102"/>
      <c r="E1296" s="627"/>
      <c r="F1296" s="628" t="s">
        <v>431</v>
      </c>
      <c r="G1296" s="2103">
        <f>IF(G1295="","",G1295+10)</f>
        <v>12920</v>
      </c>
      <c r="H1296" s="2104"/>
    </row>
    <row r="1297" spans="1:8" ht="15.5" x14ac:dyDescent="0.35">
      <c r="A1297" s="625">
        <f>A1294+30</f>
        <v>12915</v>
      </c>
      <c r="B1297" s="626" t="s">
        <v>430</v>
      </c>
      <c r="C1297" s="2101">
        <f>IF(A1297="","",A1297)</f>
        <v>12915</v>
      </c>
      <c r="D1297" s="2102"/>
      <c r="E1297" s="627">
        <f>E1294+30</f>
        <v>12930</v>
      </c>
      <c r="F1297" s="628" t="s">
        <v>431</v>
      </c>
      <c r="G1297" s="2103">
        <f>IF(E1297="","",E1297)</f>
        <v>12930</v>
      </c>
      <c r="H1297" s="2104"/>
    </row>
    <row r="1298" spans="1:8" ht="15.5" x14ac:dyDescent="0.35">
      <c r="A1298" s="625"/>
      <c r="B1298" s="626" t="s">
        <v>430</v>
      </c>
      <c r="C1298" s="2101">
        <f>IF(C1297="","",C1297+10)</f>
        <v>12925</v>
      </c>
      <c r="D1298" s="2102"/>
      <c r="E1298" s="627"/>
      <c r="F1298" s="628" t="s">
        <v>431</v>
      </c>
      <c r="G1298" s="2103">
        <f>IF(G1297="","",G1297+10)</f>
        <v>12940</v>
      </c>
      <c r="H1298" s="2104"/>
    </row>
    <row r="1299" spans="1:8" ht="15.5" x14ac:dyDescent="0.35">
      <c r="A1299" s="625"/>
      <c r="B1299" s="626" t="s">
        <v>430</v>
      </c>
      <c r="C1299" s="2101">
        <f>IF(C1298="","",C1298+10)</f>
        <v>12935</v>
      </c>
      <c r="D1299" s="2102"/>
      <c r="E1299" s="627"/>
      <c r="F1299" s="628" t="s">
        <v>431</v>
      </c>
      <c r="G1299" s="2103">
        <f>IF(G1298="","",G1298+10)</f>
        <v>12950</v>
      </c>
      <c r="H1299" s="2104"/>
    </row>
    <row r="1300" spans="1:8" ht="15.5" x14ac:dyDescent="0.35">
      <c r="A1300" s="625">
        <f>A1297+30</f>
        <v>12945</v>
      </c>
      <c r="B1300" s="626" t="s">
        <v>430</v>
      </c>
      <c r="C1300" s="2101">
        <f>IF(A1300="","",A1300)</f>
        <v>12945</v>
      </c>
      <c r="D1300" s="2102"/>
      <c r="E1300" s="627">
        <f>E1297+30</f>
        <v>12960</v>
      </c>
      <c r="F1300" s="628" t="s">
        <v>431</v>
      </c>
      <c r="G1300" s="2103">
        <f>IF(E1300="","",E1300)</f>
        <v>12960</v>
      </c>
      <c r="H1300" s="2104"/>
    </row>
    <row r="1301" spans="1:8" ht="15.5" x14ac:dyDescent="0.35">
      <c r="A1301" s="625"/>
      <c r="B1301" s="626" t="s">
        <v>430</v>
      </c>
      <c r="C1301" s="2101">
        <f>IF(C1300="","",C1300+10)</f>
        <v>12955</v>
      </c>
      <c r="D1301" s="2102"/>
      <c r="E1301" s="627"/>
      <c r="F1301" s="628" t="s">
        <v>431</v>
      </c>
      <c r="G1301" s="2103">
        <f>IF(G1300="","",G1300+10)</f>
        <v>12970</v>
      </c>
      <c r="H1301" s="2104"/>
    </row>
    <row r="1302" spans="1:8" ht="15.5" x14ac:dyDescent="0.35">
      <c r="A1302" s="625"/>
      <c r="B1302" s="626" t="s">
        <v>430</v>
      </c>
      <c r="C1302" s="2101">
        <f>IF(C1301="","",C1301+10)</f>
        <v>12965</v>
      </c>
      <c r="D1302" s="2102"/>
      <c r="E1302" s="627"/>
      <c r="F1302" s="628" t="s">
        <v>431</v>
      </c>
      <c r="G1302" s="2103">
        <f>IF(G1301="","",G1301+10)</f>
        <v>12980</v>
      </c>
      <c r="H1302" s="2104"/>
    </row>
    <row r="1303" spans="1:8" ht="15.5" x14ac:dyDescent="0.35">
      <c r="A1303" s="625">
        <f>A1300+30</f>
        <v>12975</v>
      </c>
      <c r="B1303" s="626" t="s">
        <v>430</v>
      </c>
      <c r="C1303" s="2101">
        <f>IF(A1303="","",A1303)</f>
        <v>12975</v>
      </c>
      <c r="D1303" s="2102"/>
      <c r="E1303" s="627">
        <f>E1300+30</f>
        <v>12990</v>
      </c>
      <c r="F1303" s="628" t="s">
        <v>431</v>
      </c>
      <c r="G1303" s="2103">
        <f>IF(E1303="","",E1303)</f>
        <v>12990</v>
      </c>
      <c r="H1303" s="2104"/>
    </row>
    <row r="1304" spans="1:8" ht="15.5" x14ac:dyDescent="0.35">
      <c r="A1304" s="625"/>
      <c r="B1304" s="626" t="s">
        <v>430</v>
      </c>
      <c r="C1304" s="2101">
        <f>IF(C1303="","",C1303+10)</f>
        <v>12985</v>
      </c>
      <c r="D1304" s="2102"/>
      <c r="E1304" s="627"/>
      <c r="F1304" s="628" t="s">
        <v>431</v>
      </c>
      <c r="G1304" s="2103">
        <f>IF(G1303="","",G1303+10)</f>
        <v>13000</v>
      </c>
      <c r="H1304" s="2104"/>
    </row>
    <row r="1305" spans="1:8" ht="15.5" x14ac:dyDescent="0.35">
      <c r="A1305" s="625"/>
      <c r="B1305" s="626" t="s">
        <v>430</v>
      </c>
      <c r="C1305" s="2101">
        <f>IF(C1304="","",C1304+10)</f>
        <v>12995</v>
      </c>
      <c r="D1305" s="2102"/>
      <c r="E1305" s="627"/>
      <c r="F1305" s="628" t="s">
        <v>431</v>
      </c>
      <c r="G1305" s="2103">
        <f>IF(G1304="","",G1304+10)</f>
        <v>13010</v>
      </c>
      <c r="H1305" s="2104"/>
    </row>
    <row r="1306" spans="1:8" ht="15.5" x14ac:dyDescent="0.35">
      <c r="A1306" s="625">
        <f>A1303+30</f>
        <v>13005</v>
      </c>
      <c r="B1306" s="626" t="s">
        <v>430</v>
      </c>
      <c r="C1306" s="2101">
        <f>IF(A1306="","",A1306)</f>
        <v>13005</v>
      </c>
      <c r="D1306" s="2102"/>
      <c r="E1306" s="627">
        <f>E1303+30</f>
        <v>13020</v>
      </c>
      <c r="F1306" s="628" t="s">
        <v>431</v>
      </c>
      <c r="G1306" s="2103">
        <f>IF(E1306="","",E1306)</f>
        <v>13020</v>
      </c>
      <c r="H1306" s="2104"/>
    </row>
    <row r="1307" spans="1:8" ht="15.5" x14ac:dyDescent="0.35">
      <c r="A1307" s="625"/>
      <c r="B1307" s="626" t="s">
        <v>430</v>
      </c>
      <c r="C1307" s="2101">
        <f>IF(C1306="","",C1306+10)</f>
        <v>13015</v>
      </c>
      <c r="D1307" s="2102"/>
      <c r="E1307" s="627"/>
      <c r="F1307" s="628" t="s">
        <v>431</v>
      </c>
      <c r="G1307" s="2103">
        <f>IF(G1306="","",G1306+10)</f>
        <v>13030</v>
      </c>
      <c r="H1307" s="2104"/>
    </row>
    <row r="1308" spans="1:8" ht="15.5" x14ac:dyDescent="0.35">
      <c r="A1308" s="625"/>
      <c r="B1308" s="626" t="s">
        <v>430</v>
      </c>
      <c r="C1308" s="2101">
        <f>IF(C1307="","",C1307+10)</f>
        <v>13025</v>
      </c>
      <c r="D1308" s="2102"/>
      <c r="E1308" s="627"/>
      <c r="F1308" s="628" t="s">
        <v>431</v>
      </c>
      <c r="G1308" s="2103">
        <f>IF(G1307="","",G1307+10)</f>
        <v>13040</v>
      </c>
      <c r="H1308" s="2104"/>
    </row>
    <row r="1309" spans="1:8" ht="15.5" x14ac:dyDescent="0.35">
      <c r="A1309" s="625">
        <f>A1306+30</f>
        <v>13035</v>
      </c>
      <c r="B1309" s="626" t="s">
        <v>430</v>
      </c>
      <c r="C1309" s="2101">
        <f>IF(A1309="","",A1309)</f>
        <v>13035</v>
      </c>
      <c r="D1309" s="2102"/>
      <c r="E1309" s="627">
        <f>E1306+30</f>
        <v>13050</v>
      </c>
      <c r="F1309" s="628" t="s">
        <v>431</v>
      </c>
      <c r="G1309" s="2103">
        <f>IF(E1309="","",E1309)</f>
        <v>13050</v>
      </c>
      <c r="H1309" s="2104"/>
    </row>
    <row r="1310" spans="1:8" ht="15.5" x14ac:dyDescent="0.35">
      <c r="A1310" s="625"/>
      <c r="B1310" s="626" t="s">
        <v>430</v>
      </c>
      <c r="C1310" s="2101">
        <f>IF(C1309="","",C1309+10)</f>
        <v>13045</v>
      </c>
      <c r="D1310" s="2102"/>
      <c r="E1310" s="627"/>
      <c r="F1310" s="628" t="s">
        <v>431</v>
      </c>
      <c r="G1310" s="2103">
        <f>IF(G1309="","",G1309+10)</f>
        <v>13060</v>
      </c>
      <c r="H1310" s="2104"/>
    </row>
    <row r="1311" spans="1:8" ht="15.5" x14ac:dyDescent="0.35">
      <c r="A1311" s="625"/>
      <c r="B1311" s="626" t="s">
        <v>430</v>
      </c>
      <c r="C1311" s="2101">
        <f>IF(C1310="","",C1310+10)</f>
        <v>13055</v>
      </c>
      <c r="D1311" s="2102"/>
      <c r="E1311" s="627"/>
      <c r="F1311" s="628" t="s">
        <v>431</v>
      </c>
      <c r="G1311" s="2103">
        <f>IF(G1310="","",G1310+10)</f>
        <v>13070</v>
      </c>
      <c r="H1311" s="2104"/>
    </row>
    <row r="1312" spans="1:8" ht="15.5" x14ac:dyDescent="0.35">
      <c r="A1312" s="625">
        <f>A1309+30</f>
        <v>13065</v>
      </c>
      <c r="B1312" s="626" t="s">
        <v>430</v>
      </c>
      <c r="C1312" s="2101">
        <f>IF(A1312="","",A1312)</f>
        <v>13065</v>
      </c>
      <c r="D1312" s="2102"/>
      <c r="E1312" s="627">
        <f>E1309+30</f>
        <v>13080</v>
      </c>
      <c r="F1312" s="628" t="s">
        <v>431</v>
      </c>
      <c r="G1312" s="2103">
        <f>IF(E1312="","",E1312)</f>
        <v>13080</v>
      </c>
      <c r="H1312" s="2104"/>
    </row>
    <row r="1313" spans="1:8" ht="15.5" x14ac:dyDescent="0.35">
      <c r="A1313" s="625"/>
      <c r="B1313" s="626" t="s">
        <v>430</v>
      </c>
      <c r="C1313" s="2101">
        <f>IF(C1312="","",C1312+10)</f>
        <v>13075</v>
      </c>
      <c r="D1313" s="2102"/>
      <c r="E1313" s="627"/>
      <c r="F1313" s="628" t="s">
        <v>431</v>
      </c>
      <c r="G1313" s="2103">
        <f>IF(G1312="","",G1312+10)</f>
        <v>13090</v>
      </c>
      <c r="H1313" s="2104"/>
    </row>
    <row r="1314" spans="1:8" ht="15.5" x14ac:dyDescent="0.35">
      <c r="A1314" s="625"/>
      <c r="B1314" s="626" t="s">
        <v>430</v>
      </c>
      <c r="C1314" s="2101">
        <f>IF(C1313="","",C1313+10)</f>
        <v>13085</v>
      </c>
      <c r="D1314" s="2102"/>
      <c r="E1314" s="627"/>
      <c r="F1314" s="628" t="s">
        <v>431</v>
      </c>
      <c r="G1314" s="2103">
        <f>IF(G1313="","",G1313+10)</f>
        <v>13100</v>
      </c>
      <c r="H1314" s="2104"/>
    </row>
    <row r="1315" spans="1:8" ht="15.5" x14ac:dyDescent="0.35">
      <c r="A1315" s="625">
        <f>A1312+30</f>
        <v>13095</v>
      </c>
      <c r="B1315" s="626" t="s">
        <v>430</v>
      </c>
      <c r="C1315" s="2101">
        <f>IF(A1315="","",A1315)</f>
        <v>13095</v>
      </c>
      <c r="D1315" s="2102"/>
      <c r="E1315" s="627">
        <f>E1312+30</f>
        <v>13110</v>
      </c>
      <c r="F1315" s="628" t="s">
        <v>431</v>
      </c>
      <c r="G1315" s="2103">
        <f>IF(E1315="","",E1315)</f>
        <v>13110</v>
      </c>
      <c r="H1315" s="2104"/>
    </row>
    <row r="1316" spans="1:8" ht="15.5" x14ac:dyDescent="0.35">
      <c r="A1316" s="625"/>
      <c r="B1316" s="626" t="s">
        <v>430</v>
      </c>
      <c r="C1316" s="2101">
        <f>IF(C1315="","",C1315+10)</f>
        <v>13105</v>
      </c>
      <c r="D1316" s="2102"/>
      <c r="E1316" s="627"/>
      <c r="F1316" s="628" t="s">
        <v>431</v>
      </c>
      <c r="G1316" s="2103">
        <f>IF(G1315="","",G1315+10)</f>
        <v>13120</v>
      </c>
      <c r="H1316" s="2104"/>
    </row>
    <row r="1317" spans="1:8" ht="15.5" x14ac:dyDescent="0.35">
      <c r="A1317" s="625"/>
      <c r="B1317" s="626" t="s">
        <v>430</v>
      </c>
      <c r="C1317" s="2101">
        <f>IF(C1316="","",C1316+10)</f>
        <v>13115</v>
      </c>
      <c r="D1317" s="2102"/>
      <c r="E1317" s="627"/>
      <c r="F1317" s="628" t="s">
        <v>431</v>
      </c>
      <c r="G1317" s="2103">
        <f>IF(G1316="","",G1316+10)</f>
        <v>13130</v>
      </c>
      <c r="H1317" s="2104"/>
    </row>
    <row r="1318" spans="1:8" ht="15.5" x14ac:dyDescent="0.35">
      <c r="A1318" s="625">
        <f>A1315+30</f>
        <v>13125</v>
      </c>
      <c r="B1318" s="626" t="s">
        <v>430</v>
      </c>
      <c r="C1318" s="2101">
        <f>IF(A1318="","",A1318)</f>
        <v>13125</v>
      </c>
      <c r="D1318" s="2102"/>
      <c r="E1318" s="627">
        <f>E1315+30</f>
        <v>13140</v>
      </c>
      <c r="F1318" s="628" t="s">
        <v>431</v>
      </c>
      <c r="G1318" s="2103">
        <f>IF(E1318="","",E1318)</f>
        <v>13140</v>
      </c>
      <c r="H1318" s="2104"/>
    </row>
    <row r="1319" spans="1:8" ht="15.5" x14ac:dyDescent="0.35">
      <c r="A1319" s="625"/>
      <c r="B1319" s="626" t="s">
        <v>430</v>
      </c>
      <c r="C1319" s="2101">
        <f>IF(C1318="","",C1318+10)</f>
        <v>13135</v>
      </c>
      <c r="D1319" s="2102"/>
      <c r="E1319" s="627"/>
      <c r="F1319" s="628" t="s">
        <v>431</v>
      </c>
      <c r="G1319" s="2103">
        <f>IF(G1318="","",G1318+10)</f>
        <v>13150</v>
      </c>
      <c r="H1319" s="2104"/>
    </row>
    <row r="1320" spans="1:8" ht="15.5" x14ac:dyDescent="0.35">
      <c r="A1320" s="625"/>
      <c r="B1320" s="626" t="s">
        <v>430</v>
      </c>
      <c r="C1320" s="2101">
        <f>IF(C1319="","",C1319+10)</f>
        <v>13145</v>
      </c>
      <c r="D1320" s="2102"/>
      <c r="E1320" s="627"/>
      <c r="F1320" s="628" t="s">
        <v>431</v>
      </c>
      <c r="G1320" s="2103">
        <f>IF(G1319="","",G1319+10)</f>
        <v>13160</v>
      </c>
      <c r="H1320" s="2104"/>
    </row>
    <row r="1321" spans="1:8" ht="15.5" x14ac:dyDescent="0.35">
      <c r="A1321" s="625">
        <f>A1318+30</f>
        <v>13155</v>
      </c>
      <c r="B1321" s="626" t="s">
        <v>430</v>
      </c>
      <c r="C1321" s="2101">
        <f>IF(A1321="","",A1321)</f>
        <v>13155</v>
      </c>
      <c r="D1321" s="2102"/>
      <c r="E1321" s="627">
        <f>E1318+30</f>
        <v>13170</v>
      </c>
      <c r="F1321" s="628" t="s">
        <v>431</v>
      </c>
      <c r="G1321" s="2103">
        <f>IF(E1321="","",E1321)</f>
        <v>13170</v>
      </c>
      <c r="H1321" s="2104"/>
    </row>
    <row r="1322" spans="1:8" ht="15.5" x14ac:dyDescent="0.35">
      <c r="A1322" s="625"/>
      <c r="B1322" s="626" t="s">
        <v>430</v>
      </c>
      <c r="C1322" s="2101">
        <f>IF(C1321="","",C1321+10)</f>
        <v>13165</v>
      </c>
      <c r="D1322" s="2102"/>
      <c r="E1322" s="627"/>
      <c r="F1322" s="628" t="s">
        <v>431</v>
      </c>
      <c r="G1322" s="2103">
        <f>IF(G1321="","",G1321+10)</f>
        <v>13180</v>
      </c>
      <c r="H1322" s="2104"/>
    </row>
    <row r="1323" spans="1:8" ht="15.5" x14ac:dyDescent="0.35">
      <c r="A1323" s="625"/>
      <c r="B1323" s="626" t="s">
        <v>430</v>
      </c>
      <c r="C1323" s="2101">
        <f>IF(C1322="","",C1322+10)</f>
        <v>13175</v>
      </c>
      <c r="D1323" s="2102"/>
      <c r="E1323" s="627"/>
      <c r="F1323" s="628" t="s">
        <v>431</v>
      </c>
      <c r="G1323" s="2103">
        <f>IF(G1322="","",G1322+10)</f>
        <v>13190</v>
      </c>
      <c r="H1323" s="2104"/>
    </row>
    <row r="1324" spans="1:8" ht="15.5" x14ac:dyDescent="0.35">
      <c r="A1324" s="625">
        <f>A1321+30</f>
        <v>13185</v>
      </c>
      <c r="B1324" s="626" t="s">
        <v>430</v>
      </c>
      <c r="C1324" s="2101">
        <f>IF(A1324="","",A1324)</f>
        <v>13185</v>
      </c>
      <c r="D1324" s="2102"/>
      <c r="E1324" s="627">
        <f>E1321+30</f>
        <v>13200</v>
      </c>
      <c r="F1324" s="628" t="s">
        <v>431</v>
      </c>
      <c r="G1324" s="2103">
        <f>IF(E1324="","",E1324)</f>
        <v>13200</v>
      </c>
      <c r="H1324" s="2104"/>
    </row>
    <row r="1325" spans="1:8" ht="15.5" x14ac:dyDescent="0.35">
      <c r="A1325" s="625"/>
      <c r="B1325" s="626" t="s">
        <v>430</v>
      </c>
      <c r="C1325" s="2101">
        <f>IF(C1324="","",C1324+10)</f>
        <v>13195</v>
      </c>
      <c r="D1325" s="2102"/>
      <c r="E1325" s="627"/>
      <c r="F1325" s="628" t="s">
        <v>431</v>
      </c>
      <c r="G1325" s="2103">
        <f>IF(G1324="","",G1324+10)</f>
        <v>13210</v>
      </c>
      <c r="H1325" s="2104"/>
    </row>
    <row r="1326" spans="1:8" ht="15.5" x14ac:dyDescent="0.35">
      <c r="A1326" s="625"/>
      <c r="B1326" s="626" t="s">
        <v>430</v>
      </c>
      <c r="C1326" s="2101">
        <f>IF(C1325="","",C1325+10)</f>
        <v>13205</v>
      </c>
      <c r="D1326" s="2102"/>
      <c r="E1326" s="627"/>
      <c r="F1326" s="628" t="s">
        <v>431</v>
      </c>
      <c r="G1326" s="2103">
        <f>IF(G1325="","",G1325+10)</f>
        <v>13220</v>
      </c>
      <c r="H1326" s="2104"/>
    </row>
    <row r="1327" spans="1:8" ht="15.5" x14ac:dyDescent="0.35">
      <c r="A1327" s="625">
        <f>A1324+30</f>
        <v>13215</v>
      </c>
      <c r="B1327" s="626" t="s">
        <v>430</v>
      </c>
      <c r="C1327" s="2101">
        <f>IF(A1327="","",A1327)</f>
        <v>13215</v>
      </c>
      <c r="D1327" s="2102"/>
      <c r="E1327" s="627">
        <f>E1324+30</f>
        <v>13230</v>
      </c>
      <c r="F1327" s="628" t="s">
        <v>431</v>
      </c>
      <c r="G1327" s="2103">
        <f>IF(E1327="","",E1327)</f>
        <v>13230</v>
      </c>
      <c r="H1327" s="2104"/>
    </row>
    <row r="1328" spans="1:8" ht="15.5" x14ac:dyDescent="0.35">
      <c r="A1328" s="625"/>
      <c r="B1328" s="626" t="s">
        <v>430</v>
      </c>
      <c r="C1328" s="2101">
        <f>IF(C1327="","",C1327+10)</f>
        <v>13225</v>
      </c>
      <c r="D1328" s="2102"/>
      <c r="E1328" s="627"/>
      <c r="F1328" s="628" t="s">
        <v>431</v>
      </c>
      <c r="G1328" s="2103">
        <f>IF(G1327="","",G1327+10)</f>
        <v>13240</v>
      </c>
      <c r="H1328" s="2104"/>
    </row>
    <row r="1329" spans="1:8" ht="15.5" x14ac:dyDescent="0.35">
      <c r="A1329" s="625"/>
      <c r="B1329" s="626" t="s">
        <v>430</v>
      </c>
      <c r="C1329" s="2101">
        <f>IF(C1328="","",C1328+10)</f>
        <v>13235</v>
      </c>
      <c r="D1329" s="2102"/>
      <c r="E1329" s="627"/>
      <c r="F1329" s="628" t="s">
        <v>431</v>
      </c>
      <c r="G1329" s="2103">
        <f>IF(G1328="","",G1328+10)</f>
        <v>13250</v>
      </c>
      <c r="H1329" s="2104"/>
    </row>
    <row r="1330" spans="1:8" ht="15.5" x14ac:dyDescent="0.35">
      <c r="A1330" s="625">
        <f>A1327+30</f>
        <v>13245</v>
      </c>
      <c r="B1330" s="626" t="s">
        <v>430</v>
      </c>
      <c r="C1330" s="2101">
        <f>IF(A1330="","",A1330)</f>
        <v>13245</v>
      </c>
      <c r="D1330" s="2102"/>
      <c r="E1330" s="627">
        <f>E1327+30</f>
        <v>13260</v>
      </c>
      <c r="F1330" s="628" t="s">
        <v>431</v>
      </c>
      <c r="G1330" s="2103">
        <f>IF(E1330="","",E1330)</f>
        <v>13260</v>
      </c>
      <c r="H1330" s="2104"/>
    </row>
    <row r="1331" spans="1:8" ht="15.5" x14ac:dyDescent="0.35">
      <c r="A1331" s="625"/>
      <c r="B1331" s="626" t="s">
        <v>430</v>
      </c>
      <c r="C1331" s="2101">
        <f>IF(C1330="","",C1330+10)</f>
        <v>13255</v>
      </c>
      <c r="D1331" s="2102"/>
      <c r="E1331" s="627"/>
      <c r="F1331" s="628" t="s">
        <v>431</v>
      </c>
      <c r="G1331" s="2103">
        <f>IF(G1330="","",G1330+10)</f>
        <v>13270</v>
      </c>
      <c r="H1331" s="2104"/>
    </row>
    <row r="1332" spans="1:8" ht="15.5" x14ac:dyDescent="0.35">
      <c r="A1332" s="625"/>
      <c r="B1332" s="626" t="s">
        <v>430</v>
      </c>
      <c r="C1332" s="2101">
        <f>IF(C1331="","",C1331+10)</f>
        <v>13265</v>
      </c>
      <c r="D1332" s="2102"/>
      <c r="E1332" s="627"/>
      <c r="F1332" s="628" t="s">
        <v>431</v>
      </c>
      <c r="G1332" s="2103">
        <f>IF(G1331="","",G1331+10)</f>
        <v>13280</v>
      </c>
      <c r="H1332" s="2104"/>
    </row>
    <row r="1333" spans="1:8" ht="15.5" x14ac:dyDescent="0.35">
      <c r="A1333" s="625">
        <f>A1330+30</f>
        <v>13275</v>
      </c>
      <c r="B1333" s="626" t="s">
        <v>430</v>
      </c>
      <c r="C1333" s="2101">
        <f>IF(A1333="","",A1333)</f>
        <v>13275</v>
      </c>
      <c r="D1333" s="2102"/>
      <c r="E1333" s="627">
        <f>E1330+30</f>
        <v>13290</v>
      </c>
      <c r="F1333" s="628" t="s">
        <v>431</v>
      </c>
      <c r="G1333" s="2103">
        <f>IF(E1333="","",E1333)</f>
        <v>13290</v>
      </c>
      <c r="H1333" s="2104"/>
    </row>
    <row r="1334" spans="1:8" ht="15.5" x14ac:dyDescent="0.35">
      <c r="A1334" s="625"/>
      <c r="B1334" s="626" t="s">
        <v>430</v>
      </c>
      <c r="C1334" s="2101">
        <f>IF(C1333="","",C1333+10)</f>
        <v>13285</v>
      </c>
      <c r="D1334" s="2102"/>
      <c r="E1334" s="627"/>
      <c r="F1334" s="628" t="s">
        <v>431</v>
      </c>
      <c r="G1334" s="2103">
        <f>IF(G1333="","",G1333+10)</f>
        <v>13300</v>
      </c>
      <c r="H1334" s="2104"/>
    </row>
    <row r="1335" spans="1:8" ht="15.5" x14ac:dyDescent="0.35">
      <c r="A1335" s="625"/>
      <c r="B1335" s="626" t="s">
        <v>430</v>
      </c>
      <c r="C1335" s="2101">
        <f>IF(C1334="","",C1334+10)</f>
        <v>13295</v>
      </c>
      <c r="D1335" s="2102"/>
      <c r="E1335" s="627"/>
      <c r="F1335" s="628" t="s">
        <v>431</v>
      </c>
      <c r="G1335" s="2103">
        <f>IF(G1334="","",G1334+10)</f>
        <v>13310</v>
      </c>
      <c r="H1335" s="2104"/>
    </row>
    <row r="1336" spans="1:8" ht="15.5" x14ac:dyDescent="0.35">
      <c r="A1336" s="625">
        <f>A1333+30</f>
        <v>13305</v>
      </c>
      <c r="B1336" s="626" t="s">
        <v>430</v>
      </c>
      <c r="C1336" s="2101">
        <f>IF(A1336="","",A1336)</f>
        <v>13305</v>
      </c>
      <c r="D1336" s="2102"/>
      <c r="E1336" s="627">
        <f>E1333+30</f>
        <v>13320</v>
      </c>
      <c r="F1336" s="628" t="s">
        <v>431</v>
      </c>
      <c r="G1336" s="2103">
        <f>IF(E1336="","",E1336)</f>
        <v>13320</v>
      </c>
      <c r="H1336" s="2104"/>
    </row>
    <row r="1337" spans="1:8" ht="15.5" x14ac:dyDescent="0.35">
      <c r="A1337" s="625"/>
      <c r="B1337" s="626" t="s">
        <v>430</v>
      </c>
      <c r="C1337" s="2101">
        <f>IF(C1336="","",C1336+10)</f>
        <v>13315</v>
      </c>
      <c r="D1337" s="2102"/>
      <c r="E1337" s="627"/>
      <c r="F1337" s="628" t="s">
        <v>431</v>
      </c>
      <c r="G1337" s="2103">
        <f>IF(G1336="","",G1336+10)</f>
        <v>13330</v>
      </c>
      <c r="H1337" s="2104"/>
    </row>
    <row r="1338" spans="1:8" ht="15.5" x14ac:dyDescent="0.35">
      <c r="A1338" s="625"/>
      <c r="B1338" s="626" t="s">
        <v>430</v>
      </c>
      <c r="C1338" s="2101">
        <f>IF(C1337="","",C1337+10)</f>
        <v>13325</v>
      </c>
      <c r="D1338" s="2102"/>
      <c r="E1338" s="627"/>
      <c r="F1338" s="628" t="s">
        <v>431</v>
      </c>
      <c r="G1338" s="2103">
        <f>IF(G1337="","",G1337+10)</f>
        <v>13340</v>
      </c>
      <c r="H1338" s="2104"/>
    </row>
    <row r="1339" spans="1:8" ht="15.5" x14ac:dyDescent="0.35">
      <c r="A1339" s="625">
        <f>A1336+30</f>
        <v>13335</v>
      </c>
      <c r="B1339" s="626" t="s">
        <v>430</v>
      </c>
      <c r="C1339" s="2101">
        <f>IF(A1339="","",A1339)</f>
        <v>13335</v>
      </c>
      <c r="D1339" s="2102"/>
      <c r="E1339" s="627">
        <f>E1336+30</f>
        <v>13350</v>
      </c>
      <c r="F1339" s="628" t="s">
        <v>431</v>
      </c>
      <c r="G1339" s="2103">
        <f>IF(E1339="","",E1339)</f>
        <v>13350</v>
      </c>
      <c r="H1339" s="2104"/>
    </row>
    <row r="1340" spans="1:8" ht="15.5" x14ac:dyDescent="0.35">
      <c r="A1340" s="625"/>
      <c r="B1340" s="626" t="s">
        <v>430</v>
      </c>
      <c r="C1340" s="2101">
        <f>IF(C1339="","",C1339+10)</f>
        <v>13345</v>
      </c>
      <c r="D1340" s="2102"/>
      <c r="E1340" s="627"/>
      <c r="F1340" s="628" t="s">
        <v>431</v>
      </c>
      <c r="G1340" s="2103">
        <f>IF(G1339="","",G1339+10)</f>
        <v>13360</v>
      </c>
      <c r="H1340" s="2104"/>
    </row>
    <row r="1341" spans="1:8" ht="15.5" x14ac:dyDescent="0.35">
      <c r="A1341" s="625"/>
      <c r="B1341" s="626" t="s">
        <v>430</v>
      </c>
      <c r="C1341" s="2101">
        <f>IF(C1340="","",C1340+10)</f>
        <v>13355</v>
      </c>
      <c r="D1341" s="2102"/>
      <c r="E1341" s="627"/>
      <c r="F1341" s="628" t="s">
        <v>431</v>
      </c>
      <c r="G1341" s="2103">
        <f>IF(G1340="","",G1340+10)</f>
        <v>13370</v>
      </c>
      <c r="H1341" s="2104"/>
    </row>
    <row r="1342" spans="1:8" ht="15.5" x14ac:dyDescent="0.35">
      <c r="A1342" s="625">
        <f>A1339+30</f>
        <v>13365</v>
      </c>
      <c r="B1342" s="626" t="s">
        <v>430</v>
      </c>
      <c r="C1342" s="2101">
        <f>IF(A1342="","",A1342)</f>
        <v>13365</v>
      </c>
      <c r="D1342" s="2102"/>
      <c r="E1342" s="627">
        <f>E1339+30</f>
        <v>13380</v>
      </c>
      <c r="F1342" s="628" t="s">
        <v>431</v>
      </c>
      <c r="G1342" s="2103">
        <f>IF(E1342="","",E1342)</f>
        <v>13380</v>
      </c>
      <c r="H1342" s="2104"/>
    </row>
    <row r="1343" spans="1:8" ht="15.5" x14ac:dyDescent="0.35">
      <c r="A1343" s="625"/>
      <c r="B1343" s="626" t="s">
        <v>430</v>
      </c>
      <c r="C1343" s="2101">
        <f>IF(C1342="","",C1342+10)</f>
        <v>13375</v>
      </c>
      <c r="D1343" s="2102"/>
      <c r="E1343" s="627"/>
      <c r="F1343" s="628" t="s">
        <v>431</v>
      </c>
      <c r="G1343" s="2103">
        <f>IF(G1342="","",G1342+10)</f>
        <v>13390</v>
      </c>
      <c r="H1343" s="2104"/>
    </row>
    <row r="1344" spans="1:8" ht="15.5" x14ac:dyDescent="0.35">
      <c r="A1344" s="625"/>
      <c r="B1344" s="626" t="s">
        <v>430</v>
      </c>
      <c r="C1344" s="2101">
        <f>IF(C1343="","",C1343+10)</f>
        <v>13385</v>
      </c>
      <c r="D1344" s="2102"/>
      <c r="E1344" s="627"/>
      <c r="F1344" s="628" t="s">
        <v>431</v>
      </c>
      <c r="G1344" s="2103">
        <f>IF(G1343="","",G1343+10)</f>
        <v>13400</v>
      </c>
      <c r="H1344" s="2104"/>
    </row>
    <row r="1345" spans="1:8" ht="15.5" x14ac:dyDescent="0.35">
      <c r="A1345" s="625">
        <f>A1342+30</f>
        <v>13395</v>
      </c>
      <c r="B1345" s="626" t="s">
        <v>430</v>
      </c>
      <c r="C1345" s="2101">
        <f>IF(A1345="","",A1345)</f>
        <v>13395</v>
      </c>
      <c r="D1345" s="2102"/>
      <c r="E1345" s="627">
        <f>E1342+30</f>
        <v>13410</v>
      </c>
      <c r="F1345" s="628" t="s">
        <v>431</v>
      </c>
      <c r="G1345" s="2103">
        <f>IF(E1345="","",E1345)</f>
        <v>13410</v>
      </c>
      <c r="H1345" s="2104"/>
    </row>
    <row r="1346" spans="1:8" ht="15.5" x14ac:dyDescent="0.35">
      <c r="A1346" s="625"/>
      <c r="B1346" s="626" t="s">
        <v>430</v>
      </c>
      <c r="C1346" s="2101">
        <f>IF(C1345="","",C1345+10)</f>
        <v>13405</v>
      </c>
      <c r="D1346" s="2102"/>
      <c r="E1346" s="627"/>
      <c r="F1346" s="628" t="s">
        <v>431</v>
      </c>
      <c r="G1346" s="2103">
        <f>IF(G1345="","",G1345+10)</f>
        <v>13420</v>
      </c>
      <c r="H1346" s="2104"/>
    </row>
    <row r="1347" spans="1:8" ht="15.5" x14ac:dyDescent="0.35">
      <c r="A1347" s="625"/>
      <c r="B1347" s="626" t="s">
        <v>430</v>
      </c>
      <c r="C1347" s="2101">
        <f>IF(C1346="","",C1346+10)</f>
        <v>13415</v>
      </c>
      <c r="D1347" s="2102"/>
      <c r="E1347" s="627"/>
      <c r="F1347" s="628" t="s">
        <v>431</v>
      </c>
      <c r="G1347" s="2103">
        <f>IF(G1346="","",G1346+10)</f>
        <v>13430</v>
      </c>
      <c r="H1347" s="2104"/>
    </row>
    <row r="1348" spans="1:8" ht="15.5" x14ac:dyDescent="0.35">
      <c r="A1348" s="625">
        <f>A1345+30</f>
        <v>13425</v>
      </c>
      <c r="B1348" s="626" t="s">
        <v>430</v>
      </c>
      <c r="C1348" s="2101">
        <f>IF(A1348="","",A1348)</f>
        <v>13425</v>
      </c>
      <c r="D1348" s="2102"/>
      <c r="E1348" s="627">
        <f>E1345+30</f>
        <v>13440</v>
      </c>
      <c r="F1348" s="628" t="s">
        <v>431</v>
      </c>
      <c r="G1348" s="2103">
        <f>IF(E1348="","",E1348)</f>
        <v>13440</v>
      </c>
      <c r="H1348" s="2104"/>
    </row>
    <row r="1349" spans="1:8" ht="15.5" x14ac:dyDescent="0.35">
      <c r="A1349" s="625"/>
      <c r="B1349" s="626" t="s">
        <v>430</v>
      </c>
      <c r="C1349" s="2101">
        <f>IF(C1348="","",C1348+10)</f>
        <v>13435</v>
      </c>
      <c r="D1349" s="2102"/>
      <c r="E1349" s="627"/>
      <c r="F1349" s="628" t="s">
        <v>431</v>
      </c>
      <c r="G1349" s="2103">
        <f>IF(G1348="","",G1348+10)</f>
        <v>13450</v>
      </c>
      <c r="H1349" s="2104"/>
    </row>
    <row r="1350" spans="1:8" ht="15.5" x14ac:dyDescent="0.35">
      <c r="A1350" s="625"/>
      <c r="B1350" s="626" t="s">
        <v>430</v>
      </c>
      <c r="C1350" s="2101">
        <f>IF(C1349="","",C1349+10)</f>
        <v>13445</v>
      </c>
      <c r="D1350" s="2102"/>
      <c r="E1350" s="627"/>
      <c r="F1350" s="628" t="s">
        <v>431</v>
      </c>
      <c r="G1350" s="2103">
        <f>IF(G1349="","",G1349+10)</f>
        <v>13460</v>
      </c>
      <c r="H1350" s="2104"/>
    </row>
    <row r="1351" spans="1:8" ht="15.5" x14ac:dyDescent="0.35">
      <c r="A1351" s="625">
        <f>A1348+30</f>
        <v>13455</v>
      </c>
      <c r="B1351" s="626" t="s">
        <v>430</v>
      </c>
      <c r="C1351" s="2101">
        <f>IF(A1351="","",A1351)</f>
        <v>13455</v>
      </c>
      <c r="D1351" s="2102"/>
      <c r="E1351" s="627">
        <f>E1348+30</f>
        <v>13470</v>
      </c>
      <c r="F1351" s="628" t="s">
        <v>431</v>
      </c>
      <c r="G1351" s="2103">
        <f>IF(E1351="","",E1351)</f>
        <v>13470</v>
      </c>
      <c r="H1351" s="2104"/>
    </row>
    <row r="1352" spans="1:8" ht="15.5" x14ac:dyDescent="0.35">
      <c r="A1352" s="625"/>
      <c r="B1352" s="626" t="s">
        <v>430</v>
      </c>
      <c r="C1352" s="2101">
        <f>IF(C1351="","",C1351+10)</f>
        <v>13465</v>
      </c>
      <c r="D1352" s="2102"/>
      <c r="E1352" s="627"/>
      <c r="F1352" s="628" t="s">
        <v>431</v>
      </c>
      <c r="G1352" s="2103">
        <f>IF(G1351="","",G1351+10)</f>
        <v>13480</v>
      </c>
      <c r="H1352" s="2104"/>
    </row>
    <row r="1353" spans="1:8" ht="15.5" x14ac:dyDescent="0.35">
      <c r="A1353" s="625"/>
      <c r="B1353" s="626" t="s">
        <v>430</v>
      </c>
      <c r="C1353" s="2101">
        <f>IF(C1352="","",C1352+10)</f>
        <v>13475</v>
      </c>
      <c r="D1353" s="2102"/>
      <c r="E1353" s="627"/>
      <c r="F1353" s="628" t="s">
        <v>431</v>
      </c>
      <c r="G1353" s="2103">
        <f>IF(G1352="","",G1352+10)</f>
        <v>13490</v>
      </c>
      <c r="H1353" s="2104"/>
    </row>
    <row r="1354" spans="1:8" ht="15.5" x14ac:dyDescent="0.35">
      <c r="A1354" s="625">
        <f>A1351+30</f>
        <v>13485</v>
      </c>
      <c r="B1354" s="626" t="s">
        <v>430</v>
      </c>
      <c r="C1354" s="2101">
        <f>IF(A1354="","",A1354)</f>
        <v>13485</v>
      </c>
      <c r="D1354" s="2102"/>
      <c r="E1354" s="627">
        <f>E1351+30</f>
        <v>13500</v>
      </c>
      <c r="F1354" s="628" t="s">
        <v>431</v>
      </c>
      <c r="G1354" s="2103">
        <f>IF(E1354="","",E1354)</f>
        <v>13500</v>
      </c>
      <c r="H1354" s="2104"/>
    </row>
    <row r="1355" spans="1:8" ht="15.5" x14ac:dyDescent="0.35">
      <c r="A1355" s="625"/>
      <c r="B1355" s="626" t="s">
        <v>430</v>
      </c>
      <c r="C1355" s="2101">
        <f>IF(C1354="","",C1354+10)</f>
        <v>13495</v>
      </c>
      <c r="D1355" s="2102"/>
      <c r="E1355" s="627"/>
      <c r="F1355" s="628" t="s">
        <v>431</v>
      </c>
      <c r="G1355" s="2103">
        <f>IF(G1354="","",G1354+10)</f>
        <v>13510</v>
      </c>
      <c r="H1355" s="2104"/>
    </row>
    <row r="1356" spans="1:8" ht="15.5" x14ac:dyDescent="0.35">
      <c r="A1356" s="625"/>
      <c r="B1356" s="626" t="s">
        <v>430</v>
      </c>
      <c r="C1356" s="2101">
        <f>IF(C1355="","",C1355+10)</f>
        <v>13505</v>
      </c>
      <c r="D1356" s="2102"/>
      <c r="E1356" s="627"/>
      <c r="F1356" s="628" t="s">
        <v>431</v>
      </c>
      <c r="G1356" s="2103">
        <f>IF(G1355="","",G1355+10)</f>
        <v>13520</v>
      </c>
      <c r="H1356" s="2104"/>
    </row>
    <row r="1357" spans="1:8" ht="15.5" x14ac:dyDescent="0.35">
      <c r="A1357" s="625">
        <f>A1354+30</f>
        <v>13515</v>
      </c>
      <c r="B1357" s="626" t="s">
        <v>430</v>
      </c>
      <c r="C1357" s="2101">
        <f>IF(A1357="","",A1357)</f>
        <v>13515</v>
      </c>
      <c r="D1357" s="2102"/>
      <c r="E1357" s="627">
        <f>E1354+30</f>
        <v>13530</v>
      </c>
      <c r="F1357" s="628" t="s">
        <v>431</v>
      </c>
      <c r="G1357" s="2103">
        <f>IF(E1357="","",E1357)</f>
        <v>13530</v>
      </c>
      <c r="H1357" s="2104"/>
    </row>
    <row r="1358" spans="1:8" ht="15.5" x14ac:dyDescent="0.35">
      <c r="A1358" s="625"/>
      <c r="B1358" s="626" t="s">
        <v>430</v>
      </c>
      <c r="C1358" s="2101">
        <f>IF(C1357="","",C1357+10)</f>
        <v>13525</v>
      </c>
      <c r="D1358" s="2102"/>
      <c r="E1358" s="627"/>
      <c r="F1358" s="628" t="s">
        <v>431</v>
      </c>
      <c r="G1358" s="2103">
        <f>IF(G1357="","",G1357+10)</f>
        <v>13540</v>
      </c>
      <c r="H1358" s="2104"/>
    </row>
    <row r="1359" spans="1:8" ht="15.5" x14ac:dyDescent="0.35">
      <c r="A1359" s="625"/>
      <c r="B1359" s="626" t="s">
        <v>430</v>
      </c>
      <c r="C1359" s="2101">
        <f>IF(C1358="","",C1358+10)</f>
        <v>13535</v>
      </c>
      <c r="D1359" s="2102"/>
      <c r="E1359" s="627"/>
      <c r="F1359" s="628" t="s">
        <v>431</v>
      </c>
      <c r="G1359" s="2103">
        <f>IF(G1358="","",G1358+10)</f>
        <v>13550</v>
      </c>
      <c r="H1359" s="2104"/>
    </row>
    <row r="1360" spans="1:8" ht="15.5" x14ac:dyDescent="0.35">
      <c r="A1360" s="625">
        <f>A1357+30</f>
        <v>13545</v>
      </c>
      <c r="B1360" s="626" t="s">
        <v>430</v>
      </c>
      <c r="C1360" s="2101">
        <f>IF(A1360="","",A1360)</f>
        <v>13545</v>
      </c>
      <c r="D1360" s="2102"/>
      <c r="E1360" s="627">
        <f>E1357+30</f>
        <v>13560</v>
      </c>
      <c r="F1360" s="628" t="s">
        <v>431</v>
      </c>
      <c r="G1360" s="2103">
        <f>IF(E1360="","",E1360)</f>
        <v>13560</v>
      </c>
      <c r="H1360" s="2104"/>
    </row>
    <row r="1361" spans="1:8" ht="15.5" x14ac:dyDescent="0.35">
      <c r="A1361" s="625"/>
      <c r="B1361" s="626" t="s">
        <v>430</v>
      </c>
      <c r="C1361" s="2101">
        <f>IF(C1360="","",C1360+10)</f>
        <v>13555</v>
      </c>
      <c r="D1361" s="2102"/>
      <c r="E1361" s="627"/>
      <c r="F1361" s="628" t="s">
        <v>431</v>
      </c>
      <c r="G1361" s="2103">
        <f>IF(G1360="","",G1360+10)</f>
        <v>13570</v>
      </c>
      <c r="H1361" s="2104"/>
    </row>
    <row r="1362" spans="1:8" ht="15.5" x14ac:dyDescent="0.35">
      <c r="A1362" s="625"/>
      <c r="B1362" s="626" t="s">
        <v>430</v>
      </c>
      <c r="C1362" s="2101">
        <f>IF(C1361="","",C1361+10)</f>
        <v>13565</v>
      </c>
      <c r="D1362" s="2102"/>
      <c r="E1362" s="627"/>
      <c r="F1362" s="628" t="s">
        <v>431</v>
      </c>
      <c r="G1362" s="2103">
        <f>IF(G1361="","",G1361+10)</f>
        <v>13580</v>
      </c>
      <c r="H1362" s="2104"/>
    </row>
    <row r="1363" spans="1:8" ht="15.5" x14ac:dyDescent="0.35">
      <c r="A1363" s="625">
        <f>A1360+30</f>
        <v>13575</v>
      </c>
      <c r="B1363" s="626" t="s">
        <v>430</v>
      </c>
      <c r="C1363" s="2101">
        <f>IF(A1363="","",A1363)</f>
        <v>13575</v>
      </c>
      <c r="D1363" s="2102"/>
      <c r="E1363" s="627">
        <f>E1360+30</f>
        <v>13590</v>
      </c>
      <c r="F1363" s="628" t="s">
        <v>431</v>
      </c>
      <c r="G1363" s="2103">
        <f>IF(E1363="","",E1363)</f>
        <v>13590</v>
      </c>
      <c r="H1363" s="2104"/>
    </row>
    <row r="1364" spans="1:8" ht="15.5" x14ac:dyDescent="0.35">
      <c r="A1364" s="625"/>
      <c r="B1364" s="626" t="s">
        <v>430</v>
      </c>
      <c r="C1364" s="2101">
        <f>IF(C1363="","",C1363+10)</f>
        <v>13585</v>
      </c>
      <c r="D1364" s="2102"/>
      <c r="E1364" s="627"/>
      <c r="F1364" s="628" t="s">
        <v>431</v>
      </c>
      <c r="G1364" s="2103">
        <f>IF(G1363="","",G1363+10)</f>
        <v>13600</v>
      </c>
      <c r="H1364" s="2104"/>
    </row>
    <row r="1365" spans="1:8" ht="15.5" x14ac:dyDescent="0.35">
      <c r="A1365" s="625"/>
      <c r="B1365" s="626" t="s">
        <v>430</v>
      </c>
      <c r="C1365" s="2101">
        <f>IF(C1364="","",C1364+10)</f>
        <v>13595</v>
      </c>
      <c r="D1365" s="2102"/>
      <c r="E1365" s="627"/>
      <c r="F1365" s="628" t="s">
        <v>431</v>
      </c>
      <c r="G1365" s="2103">
        <f>IF(G1364="","",G1364+10)</f>
        <v>13610</v>
      </c>
      <c r="H1365" s="2104"/>
    </row>
    <row r="1366" spans="1:8" ht="15.5" x14ac:dyDescent="0.35">
      <c r="A1366" s="625">
        <f>A1363+30</f>
        <v>13605</v>
      </c>
      <c r="B1366" s="626" t="s">
        <v>430</v>
      </c>
      <c r="C1366" s="2101">
        <f>IF(A1366="","",A1366)</f>
        <v>13605</v>
      </c>
      <c r="D1366" s="2102"/>
      <c r="E1366" s="627">
        <f>E1363+30</f>
        <v>13620</v>
      </c>
      <c r="F1366" s="628" t="s">
        <v>431</v>
      </c>
      <c r="G1366" s="2103">
        <f>IF(E1366="","",E1366)</f>
        <v>13620</v>
      </c>
      <c r="H1366" s="2104"/>
    </row>
    <row r="1367" spans="1:8" ht="15.5" x14ac:dyDescent="0.35">
      <c r="A1367" s="625"/>
      <c r="B1367" s="626" t="s">
        <v>430</v>
      </c>
      <c r="C1367" s="2101">
        <f>IF(C1366="","",C1366+10)</f>
        <v>13615</v>
      </c>
      <c r="D1367" s="2102"/>
      <c r="E1367" s="627"/>
      <c r="F1367" s="628" t="s">
        <v>431</v>
      </c>
      <c r="G1367" s="2103">
        <f>IF(G1366="","",G1366+10)</f>
        <v>13630</v>
      </c>
      <c r="H1367" s="2104"/>
    </row>
    <row r="1368" spans="1:8" ht="15.5" x14ac:dyDescent="0.35">
      <c r="A1368" s="625"/>
      <c r="B1368" s="626" t="s">
        <v>430</v>
      </c>
      <c r="C1368" s="2101">
        <f>IF(C1367="","",C1367+10)</f>
        <v>13625</v>
      </c>
      <c r="D1368" s="2102"/>
      <c r="E1368" s="627"/>
      <c r="F1368" s="628" t="s">
        <v>431</v>
      </c>
      <c r="G1368" s="2103">
        <f>IF(G1367="","",G1367+10)</f>
        <v>13640</v>
      </c>
      <c r="H1368" s="2104"/>
    </row>
    <row r="1369" spans="1:8" ht="15.5" x14ac:dyDescent="0.35">
      <c r="A1369" s="625">
        <f>A1366+30</f>
        <v>13635</v>
      </c>
      <c r="B1369" s="626" t="s">
        <v>430</v>
      </c>
      <c r="C1369" s="2101">
        <f>IF(A1369="","",A1369)</f>
        <v>13635</v>
      </c>
      <c r="D1369" s="2102"/>
      <c r="E1369" s="627">
        <f>E1366+30</f>
        <v>13650</v>
      </c>
      <c r="F1369" s="628" t="s">
        <v>431</v>
      </c>
      <c r="G1369" s="2103">
        <f>IF(E1369="","",E1369)</f>
        <v>13650</v>
      </c>
      <c r="H1369" s="2104"/>
    </row>
    <row r="1370" spans="1:8" ht="15.5" x14ac:dyDescent="0.35">
      <c r="A1370" s="625"/>
      <c r="B1370" s="626" t="s">
        <v>430</v>
      </c>
      <c r="C1370" s="2101">
        <f>IF(C1369="","",C1369+10)</f>
        <v>13645</v>
      </c>
      <c r="D1370" s="2102"/>
      <c r="E1370" s="627"/>
      <c r="F1370" s="628" t="s">
        <v>431</v>
      </c>
      <c r="G1370" s="2103">
        <f>IF(G1369="","",G1369+10)</f>
        <v>13660</v>
      </c>
      <c r="H1370" s="2104"/>
    </row>
    <row r="1371" spans="1:8" ht="15.5" x14ac:dyDescent="0.35">
      <c r="A1371" s="625"/>
      <c r="B1371" s="626" t="s">
        <v>430</v>
      </c>
      <c r="C1371" s="2101">
        <f>IF(C1370="","",C1370+10)</f>
        <v>13655</v>
      </c>
      <c r="D1371" s="2102"/>
      <c r="E1371" s="627"/>
      <c r="F1371" s="628" t="s">
        <v>431</v>
      </c>
      <c r="G1371" s="2103">
        <f>IF(G1370="","",G1370+10)</f>
        <v>13670</v>
      </c>
      <c r="H1371" s="2104"/>
    </row>
    <row r="1372" spans="1:8" ht="15.5" x14ac:dyDescent="0.35">
      <c r="A1372" s="625">
        <f>A1369+30</f>
        <v>13665</v>
      </c>
      <c r="B1372" s="626" t="s">
        <v>430</v>
      </c>
      <c r="C1372" s="2101">
        <f>IF(A1372="","",A1372)</f>
        <v>13665</v>
      </c>
      <c r="D1372" s="2102"/>
      <c r="E1372" s="627">
        <f>E1369+30</f>
        <v>13680</v>
      </c>
      <c r="F1372" s="628" t="s">
        <v>431</v>
      </c>
      <c r="G1372" s="2103">
        <f>IF(E1372="","",E1372)</f>
        <v>13680</v>
      </c>
      <c r="H1372" s="2104"/>
    </row>
    <row r="1373" spans="1:8" ht="15.5" x14ac:dyDescent="0.35">
      <c r="A1373" s="625"/>
      <c r="B1373" s="626" t="s">
        <v>430</v>
      </c>
      <c r="C1373" s="2101">
        <f>IF(C1372="","",C1372+10)</f>
        <v>13675</v>
      </c>
      <c r="D1373" s="2102"/>
      <c r="E1373" s="627"/>
      <c r="F1373" s="628" t="s">
        <v>431</v>
      </c>
      <c r="G1373" s="2103">
        <f>IF(G1372="","",G1372+10)</f>
        <v>13690</v>
      </c>
      <c r="H1373" s="2104"/>
    </row>
    <row r="1374" spans="1:8" ht="15.5" x14ac:dyDescent="0.35">
      <c r="A1374" s="625"/>
      <c r="B1374" s="626" t="s">
        <v>430</v>
      </c>
      <c r="C1374" s="2101">
        <f>IF(C1373="","",C1373+10)</f>
        <v>13685</v>
      </c>
      <c r="D1374" s="2102"/>
      <c r="E1374" s="627"/>
      <c r="F1374" s="628" t="s">
        <v>431</v>
      </c>
      <c r="G1374" s="2103">
        <f>IF(G1373="","",G1373+10)</f>
        <v>13700</v>
      </c>
      <c r="H1374" s="2104"/>
    </row>
    <row r="1375" spans="1:8" ht="15.5" x14ac:dyDescent="0.35">
      <c r="A1375" s="625">
        <f>A1372+30</f>
        <v>13695</v>
      </c>
      <c r="B1375" s="626" t="s">
        <v>430</v>
      </c>
      <c r="C1375" s="2101">
        <f>IF(A1375="","",A1375)</f>
        <v>13695</v>
      </c>
      <c r="D1375" s="2102"/>
      <c r="E1375" s="627">
        <f>E1372+30</f>
        <v>13710</v>
      </c>
      <c r="F1375" s="628" t="s">
        <v>431</v>
      </c>
      <c r="G1375" s="2103">
        <f>IF(E1375="","",E1375)</f>
        <v>13710</v>
      </c>
      <c r="H1375" s="2104"/>
    </row>
    <row r="1376" spans="1:8" ht="15.5" x14ac:dyDescent="0.35">
      <c r="A1376" s="625"/>
      <c r="B1376" s="626" t="s">
        <v>430</v>
      </c>
      <c r="C1376" s="2101">
        <f>IF(C1375="","",C1375+10)</f>
        <v>13705</v>
      </c>
      <c r="D1376" s="2102"/>
      <c r="E1376" s="627"/>
      <c r="F1376" s="628" t="s">
        <v>431</v>
      </c>
      <c r="G1376" s="2103">
        <f>IF(G1375="","",G1375+10)</f>
        <v>13720</v>
      </c>
      <c r="H1376" s="2104"/>
    </row>
    <row r="1377" spans="1:8" ht="15.5" x14ac:dyDescent="0.35">
      <c r="A1377" s="625"/>
      <c r="B1377" s="626" t="s">
        <v>430</v>
      </c>
      <c r="C1377" s="2101">
        <f>IF(C1376="","",C1376+10)</f>
        <v>13715</v>
      </c>
      <c r="D1377" s="2102"/>
      <c r="E1377" s="627"/>
      <c r="F1377" s="628" t="s">
        <v>431</v>
      </c>
      <c r="G1377" s="2103">
        <f>IF(G1376="","",G1376+10)</f>
        <v>13730</v>
      </c>
      <c r="H1377" s="2104"/>
    </row>
    <row r="1378" spans="1:8" ht="15.5" x14ac:dyDescent="0.35">
      <c r="A1378" s="625">
        <f>A1375+30</f>
        <v>13725</v>
      </c>
      <c r="B1378" s="626" t="s">
        <v>430</v>
      </c>
      <c r="C1378" s="2101">
        <f>IF(A1378="","",A1378)</f>
        <v>13725</v>
      </c>
      <c r="D1378" s="2102"/>
      <c r="E1378" s="627">
        <f>E1375+30</f>
        <v>13740</v>
      </c>
      <c r="F1378" s="628" t="s">
        <v>431</v>
      </c>
      <c r="G1378" s="2103">
        <f>IF(E1378="","",E1378)</f>
        <v>13740</v>
      </c>
      <c r="H1378" s="2104"/>
    </row>
    <row r="1379" spans="1:8" ht="15.5" x14ac:dyDescent="0.35">
      <c r="A1379" s="625"/>
      <c r="B1379" s="626" t="s">
        <v>430</v>
      </c>
      <c r="C1379" s="2101">
        <f>IF(C1378="","",C1378+10)</f>
        <v>13735</v>
      </c>
      <c r="D1379" s="2102"/>
      <c r="E1379" s="627"/>
      <c r="F1379" s="628" t="s">
        <v>431</v>
      </c>
      <c r="G1379" s="2103">
        <f>IF(G1378="","",G1378+10)</f>
        <v>13750</v>
      </c>
      <c r="H1379" s="2104"/>
    </row>
    <row r="1380" spans="1:8" ht="15.5" x14ac:dyDescent="0.35">
      <c r="A1380" s="625"/>
      <c r="B1380" s="626" t="s">
        <v>430</v>
      </c>
      <c r="C1380" s="2101">
        <f>IF(C1379="","",C1379+10)</f>
        <v>13745</v>
      </c>
      <c r="D1380" s="2102"/>
      <c r="E1380" s="627"/>
      <c r="F1380" s="628" t="s">
        <v>431</v>
      </c>
      <c r="G1380" s="2103">
        <f>IF(G1379="","",G1379+10)</f>
        <v>13760</v>
      </c>
      <c r="H1380" s="2104"/>
    </row>
    <row r="1381" spans="1:8" ht="15.5" x14ac:dyDescent="0.35">
      <c r="A1381" s="625">
        <f>A1378+30</f>
        <v>13755</v>
      </c>
      <c r="B1381" s="626" t="s">
        <v>430</v>
      </c>
      <c r="C1381" s="2101">
        <f>IF(A1381="","",A1381)</f>
        <v>13755</v>
      </c>
      <c r="D1381" s="2102"/>
      <c r="E1381" s="627">
        <f>E1378+30</f>
        <v>13770</v>
      </c>
      <c r="F1381" s="628" t="s">
        <v>431</v>
      </c>
      <c r="G1381" s="2103">
        <f>IF(E1381="","",E1381)</f>
        <v>13770</v>
      </c>
      <c r="H1381" s="2104"/>
    </row>
    <row r="1382" spans="1:8" ht="15.5" x14ac:dyDescent="0.35">
      <c r="A1382" s="625"/>
      <c r="B1382" s="626" t="s">
        <v>430</v>
      </c>
      <c r="C1382" s="2101">
        <f>IF(C1381="","",C1381+10)</f>
        <v>13765</v>
      </c>
      <c r="D1382" s="2102"/>
      <c r="E1382" s="627"/>
      <c r="F1382" s="628" t="s">
        <v>431</v>
      </c>
      <c r="G1382" s="2103">
        <f>IF(G1381="","",G1381+10)</f>
        <v>13780</v>
      </c>
      <c r="H1382" s="2104"/>
    </row>
    <row r="1383" spans="1:8" ht="15.5" x14ac:dyDescent="0.35">
      <c r="A1383" s="625"/>
      <c r="B1383" s="626" t="s">
        <v>430</v>
      </c>
      <c r="C1383" s="2101">
        <f>IF(C1382="","",C1382+10)</f>
        <v>13775</v>
      </c>
      <c r="D1383" s="2102"/>
      <c r="E1383" s="627"/>
      <c r="F1383" s="628" t="s">
        <v>431</v>
      </c>
      <c r="G1383" s="2103">
        <f>IF(G1382="","",G1382+10)</f>
        <v>13790</v>
      </c>
      <c r="H1383" s="2104"/>
    </row>
    <row r="1384" spans="1:8" ht="15.5" x14ac:dyDescent="0.35">
      <c r="A1384" s="625">
        <f>A1381+30</f>
        <v>13785</v>
      </c>
      <c r="B1384" s="626" t="s">
        <v>430</v>
      </c>
      <c r="C1384" s="2101">
        <f>IF(A1384="","",A1384)</f>
        <v>13785</v>
      </c>
      <c r="D1384" s="2102"/>
      <c r="E1384" s="627">
        <f>E1381+30</f>
        <v>13800</v>
      </c>
      <c r="F1384" s="628" t="s">
        <v>431</v>
      </c>
      <c r="G1384" s="2103">
        <f>IF(E1384="","",E1384)</f>
        <v>13800</v>
      </c>
      <c r="H1384" s="2104"/>
    </row>
    <row r="1385" spans="1:8" ht="15.5" x14ac:dyDescent="0.35">
      <c r="A1385" s="625"/>
      <c r="B1385" s="626" t="s">
        <v>430</v>
      </c>
      <c r="C1385" s="2101">
        <f>IF(C1384="","",C1384+10)</f>
        <v>13795</v>
      </c>
      <c r="D1385" s="2102"/>
      <c r="E1385" s="627"/>
      <c r="F1385" s="628" t="s">
        <v>431</v>
      </c>
      <c r="G1385" s="2103">
        <f>IF(G1384="","",G1384+10)</f>
        <v>13810</v>
      </c>
      <c r="H1385" s="2104"/>
    </row>
    <row r="1386" spans="1:8" ht="15.5" x14ac:dyDescent="0.35">
      <c r="A1386" s="625"/>
      <c r="B1386" s="626" t="s">
        <v>430</v>
      </c>
      <c r="C1386" s="2101">
        <f>IF(C1385="","",C1385+10)</f>
        <v>13805</v>
      </c>
      <c r="D1386" s="2102"/>
      <c r="E1386" s="627"/>
      <c r="F1386" s="628" t="s">
        <v>431</v>
      </c>
      <c r="G1386" s="2103">
        <f>IF(G1385="","",G1385+10)</f>
        <v>13820</v>
      </c>
      <c r="H1386" s="2104"/>
    </row>
    <row r="1387" spans="1:8" ht="15.5" x14ac:dyDescent="0.35">
      <c r="A1387" s="625">
        <f>A1384+30</f>
        <v>13815</v>
      </c>
      <c r="B1387" s="626" t="s">
        <v>430</v>
      </c>
      <c r="C1387" s="2101">
        <f>IF(A1387="","",A1387)</f>
        <v>13815</v>
      </c>
      <c r="D1387" s="2102"/>
      <c r="E1387" s="627">
        <f>E1384+30</f>
        <v>13830</v>
      </c>
      <c r="F1387" s="628" t="s">
        <v>431</v>
      </c>
      <c r="G1387" s="2103">
        <f>IF(E1387="","",E1387)</f>
        <v>13830</v>
      </c>
      <c r="H1387" s="2104"/>
    </row>
    <row r="1388" spans="1:8" ht="15.5" x14ac:dyDescent="0.35">
      <c r="A1388" s="625"/>
      <c r="B1388" s="626" t="s">
        <v>430</v>
      </c>
      <c r="C1388" s="2101">
        <f>IF(C1387="","",C1387+10)</f>
        <v>13825</v>
      </c>
      <c r="D1388" s="2102"/>
      <c r="E1388" s="627"/>
      <c r="F1388" s="628" t="s">
        <v>431</v>
      </c>
      <c r="G1388" s="2103">
        <f>IF(G1387="","",G1387+10)</f>
        <v>13840</v>
      </c>
      <c r="H1388" s="2104"/>
    </row>
    <row r="1389" spans="1:8" ht="15.5" x14ac:dyDescent="0.35">
      <c r="A1389" s="625"/>
      <c r="B1389" s="626" t="s">
        <v>430</v>
      </c>
      <c r="C1389" s="2101">
        <f>IF(C1388="","",C1388+10)</f>
        <v>13835</v>
      </c>
      <c r="D1389" s="2102"/>
      <c r="E1389" s="627"/>
      <c r="F1389" s="628" t="s">
        <v>431</v>
      </c>
      <c r="G1389" s="2103">
        <f>IF(G1388="","",G1388+10)</f>
        <v>13850</v>
      </c>
      <c r="H1389" s="2104"/>
    </row>
    <row r="1390" spans="1:8" ht="15.5" x14ac:dyDescent="0.35">
      <c r="A1390" s="625">
        <f>A1387+30</f>
        <v>13845</v>
      </c>
      <c r="B1390" s="626" t="s">
        <v>430</v>
      </c>
      <c r="C1390" s="2101">
        <f>IF(A1390="","",A1390)</f>
        <v>13845</v>
      </c>
      <c r="D1390" s="2102"/>
      <c r="E1390" s="627">
        <f>E1387+30</f>
        <v>13860</v>
      </c>
      <c r="F1390" s="628" t="s">
        <v>431</v>
      </c>
      <c r="G1390" s="2103">
        <f>IF(E1390="","",E1390)</f>
        <v>13860</v>
      </c>
      <c r="H1390" s="2104"/>
    </row>
    <row r="1391" spans="1:8" ht="15.5" x14ac:dyDescent="0.35">
      <c r="A1391" s="625"/>
      <c r="B1391" s="626" t="s">
        <v>430</v>
      </c>
      <c r="C1391" s="2101">
        <f>IF(C1390="","",C1390+10)</f>
        <v>13855</v>
      </c>
      <c r="D1391" s="2102"/>
      <c r="E1391" s="627"/>
      <c r="F1391" s="628" t="s">
        <v>431</v>
      </c>
      <c r="G1391" s="2103">
        <f>IF(G1390="","",G1390+10)</f>
        <v>13870</v>
      </c>
      <c r="H1391" s="2104"/>
    </row>
    <row r="1392" spans="1:8" ht="15.5" x14ac:dyDescent="0.35">
      <c r="A1392" s="625"/>
      <c r="B1392" s="626" t="s">
        <v>430</v>
      </c>
      <c r="C1392" s="2101">
        <f>IF(C1391="","",C1391+10)</f>
        <v>13865</v>
      </c>
      <c r="D1392" s="2102"/>
      <c r="E1392" s="627"/>
      <c r="F1392" s="628" t="s">
        <v>431</v>
      </c>
      <c r="G1392" s="2103">
        <f>IF(G1391="","",G1391+10)</f>
        <v>13880</v>
      </c>
      <c r="H1392" s="2104"/>
    </row>
    <row r="1393" spans="1:8" ht="15.5" x14ac:dyDescent="0.35">
      <c r="A1393" s="625">
        <f>A1390+30</f>
        <v>13875</v>
      </c>
      <c r="B1393" s="626" t="s">
        <v>430</v>
      </c>
      <c r="C1393" s="2101">
        <f>IF(A1393="","",A1393)</f>
        <v>13875</v>
      </c>
      <c r="D1393" s="2102"/>
      <c r="E1393" s="627">
        <f>E1390+30</f>
        <v>13890</v>
      </c>
      <c r="F1393" s="628" t="s">
        <v>431</v>
      </c>
      <c r="G1393" s="2103">
        <f>IF(E1393="","",E1393)</f>
        <v>13890</v>
      </c>
      <c r="H1393" s="2104"/>
    </row>
    <row r="1394" spans="1:8" ht="15.5" x14ac:dyDescent="0.35">
      <c r="A1394" s="625"/>
      <c r="B1394" s="626" t="s">
        <v>430</v>
      </c>
      <c r="C1394" s="2101">
        <f>IF(C1393="","",C1393+10)</f>
        <v>13885</v>
      </c>
      <c r="D1394" s="2102"/>
      <c r="E1394" s="627"/>
      <c r="F1394" s="628" t="s">
        <v>431</v>
      </c>
      <c r="G1394" s="2103">
        <f>IF(G1393="","",G1393+10)</f>
        <v>13900</v>
      </c>
      <c r="H1394" s="2104"/>
    </row>
    <row r="1395" spans="1:8" ht="15.5" x14ac:dyDescent="0.35">
      <c r="A1395" s="625"/>
      <c r="B1395" s="626" t="s">
        <v>430</v>
      </c>
      <c r="C1395" s="2101">
        <f>IF(C1394="","",C1394+10)</f>
        <v>13895</v>
      </c>
      <c r="D1395" s="2102"/>
      <c r="E1395" s="627"/>
      <c r="F1395" s="628" t="s">
        <v>431</v>
      </c>
      <c r="G1395" s="2103">
        <f>IF(G1394="","",G1394+10)</f>
        <v>13910</v>
      </c>
      <c r="H1395" s="2104"/>
    </row>
    <row r="1396" spans="1:8" ht="15.5" x14ac:dyDescent="0.35">
      <c r="A1396" s="625">
        <f>A1393+30</f>
        <v>13905</v>
      </c>
      <c r="B1396" s="626" t="s">
        <v>430</v>
      </c>
      <c r="C1396" s="2101">
        <f>IF(A1396="","",A1396)</f>
        <v>13905</v>
      </c>
      <c r="D1396" s="2102"/>
      <c r="E1396" s="627">
        <f>E1393+30</f>
        <v>13920</v>
      </c>
      <c r="F1396" s="628" t="s">
        <v>431</v>
      </c>
      <c r="G1396" s="2103">
        <f>IF(E1396="","",E1396)</f>
        <v>13920</v>
      </c>
      <c r="H1396" s="2104"/>
    </row>
    <row r="1397" spans="1:8" ht="15.5" x14ac:dyDescent="0.35">
      <c r="A1397" s="625"/>
      <c r="B1397" s="626" t="s">
        <v>430</v>
      </c>
      <c r="C1397" s="2101">
        <f>IF(C1396="","",C1396+10)</f>
        <v>13915</v>
      </c>
      <c r="D1397" s="2102"/>
      <c r="E1397" s="627"/>
      <c r="F1397" s="628" t="s">
        <v>431</v>
      </c>
      <c r="G1397" s="2103">
        <f>IF(G1396="","",G1396+10)</f>
        <v>13930</v>
      </c>
      <c r="H1397" s="2104"/>
    </row>
    <row r="1398" spans="1:8" ht="15.5" x14ac:dyDescent="0.35">
      <c r="A1398" s="625"/>
      <c r="B1398" s="626" t="s">
        <v>430</v>
      </c>
      <c r="C1398" s="2101">
        <f>IF(C1397="","",C1397+10)</f>
        <v>13925</v>
      </c>
      <c r="D1398" s="2102"/>
      <c r="E1398" s="627"/>
      <c r="F1398" s="628" t="s">
        <v>431</v>
      </c>
      <c r="G1398" s="2103">
        <f>IF(G1397="","",G1397+10)</f>
        <v>13940</v>
      </c>
      <c r="H1398" s="2104"/>
    </row>
    <row r="1399" spans="1:8" ht="15.5" x14ac:dyDescent="0.35">
      <c r="A1399" s="625">
        <f>A1396+30</f>
        <v>13935</v>
      </c>
      <c r="B1399" s="626" t="s">
        <v>430</v>
      </c>
      <c r="C1399" s="2101">
        <f>IF(A1399="","",A1399)</f>
        <v>13935</v>
      </c>
      <c r="D1399" s="2102"/>
      <c r="E1399" s="627">
        <f>E1396+30</f>
        <v>13950</v>
      </c>
      <c r="F1399" s="628" t="s">
        <v>431</v>
      </c>
      <c r="G1399" s="2103">
        <f>IF(E1399="","",E1399)</f>
        <v>13950</v>
      </c>
      <c r="H1399" s="2104"/>
    </row>
    <row r="1400" spans="1:8" ht="15.5" x14ac:dyDescent="0.35">
      <c r="A1400" s="625"/>
      <c r="B1400" s="626" t="s">
        <v>430</v>
      </c>
      <c r="C1400" s="2101">
        <f>IF(C1399="","",C1399+10)</f>
        <v>13945</v>
      </c>
      <c r="D1400" s="2102"/>
      <c r="E1400" s="627"/>
      <c r="F1400" s="628" t="s">
        <v>431</v>
      </c>
      <c r="G1400" s="2103">
        <f>IF(G1399="","",G1399+10)</f>
        <v>13960</v>
      </c>
      <c r="H1400" s="2104"/>
    </row>
    <row r="1401" spans="1:8" ht="15.5" x14ac:dyDescent="0.35">
      <c r="A1401" s="625"/>
      <c r="B1401" s="626" t="s">
        <v>430</v>
      </c>
      <c r="C1401" s="2101">
        <f>IF(C1400="","",C1400+10)</f>
        <v>13955</v>
      </c>
      <c r="D1401" s="2102"/>
      <c r="E1401" s="627"/>
      <c r="F1401" s="628" t="s">
        <v>431</v>
      </c>
      <c r="G1401" s="2103">
        <f>IF(G1400="","",G1400+10)</f>
        <v>13970</v>
      </c>
      <c r="H1401" s="2104"/>
    </row>
    <row r="1402" spans="1:8" ht="15.5" x14ac:dyDescent="0.35">
      <c r="A1402" s="625">
        <f>A1399+30</f>
        <v>13965</v>
      </c>
      <c r="B1402" s="626" t="s">
        <v>430</v>
      </c>
      <c r="C1402" s="2101">
        <f>IF(A1402="","",A1402)</f>
        <v>13965</v>
      </c>
      <c r="D1402" s="2102"/>
      <c r="E1402" s="627">
        <f>E1399+30</f>
        <v>13980</v>
      </c>
      <c r="F1402" s="628" t="s">
        <v>431</v>
      </c>
      <c r="G1402" s="2103">
        <f>IF(E1402="","",E1402)</f>
        <v>13980</v>
      </c>
      <c r="H1402" s="2104"/>
    </row>
    <row r="1403" spans="1:8" ht="15.5" x14ac:dyDescent="0.35">
      <c r="A1403" s="625"/>
      <c r="B1403" s="626" t="s">
        <v>430</v>
      </c>
      <c r="C1403" s="2101">
        <f>IF(C1402="","",C1402+10)</f>
        <v>13975</v>
      </c>
      <c r="D1403" s="2102"/>
      <c r="E1403" s="627"/>
      <c r="F1403" s="628" t="s">
        <v>431</v>
      </c>
      <c r="G1403" s="2103">
        <f>IF(G1402="","",G1402+10)</f>
        <v>13990</v>
      </c>
      <c r="H1403" s="2104"/>
    </row>
    <row r="1404" spans="1:8" ht="15.5" x14ac:dyDescent="0.35">
      <c r="A1404" s="625"/>
      <c r="B1404" s="626" t="s">
        <v>430</v>
      </c>
      <c r="C1404" s="2101">
        <f>IF(C1403="","",C1403+10)</f>
        <v>13985</v>
      </c>
      <c r="D1404" s="2102"/>
      <c r="E1404" s="627"/>
      <c r="F1404" s="628" t="s">
        <v>431</v>
      </c>
      <c r="G1404" s="2103">
        <f>IF(G1403="","",G1403+10)</f>
        <v>14000</v>
      </c>
      <c r="H1404" s="2104"/>
    </row>
    <row r="1405" spans="1:8" ht="15.5" x14ac:dyDescent="0.35">
      <c r="A1405" s="625">
        <f>A1402+30</f>
        <v>13995</v>
      </c>
      <c r="B1405" s="626" t="s">
        <v>430</v>
      </c>
      <c r="C1405" s="2101">
        <f>IF(A1405="","",A1405)</f>
        <v>13995</v>
      </c>
      <c r="D1405" s="2102"/>
      <c r="E1405" s="627">
        <f>E1402+30</f>
        <v>14010</v>
      </c>
      <c r="F1405" s="628" t="s">
        <v>431</v>
      </c>
      <c r="G1405" s="2103">
        <f>IF(E1405="","",E1405)</f>
        <v>14010</v>
      </c>
      <c r="H1405" s="2104"/>
    </row>
    <row r="1406" spans="1:8" ht="15.5" x14ac:dyDescent="0.35">
      <c r="A1406" s="625"/>
      <c r="B1406" s="626" t="s">
        <v>430</v>
      </c>
      <c r="C1406" s="2101">
        <f>IF(C1405="","",C1405+10)</f>
        <v>14005</v>
      </c>
      <c r="D1406" s="2102"/>
      <c r="E1406" s="627"/>
      <c r="F1406" s="628" t="s">
        <v>431</v>
      </c>
      <c r="G1406" s="2103">
        <f>IF(G1405="","",G1405+10)</f>
        <v>14020</v>
      </c>
      <c r="H1406" s="2104"/>
    </row>
    <row r="1407" spans="1:8" ht="15.5" x14ac:dyDescent="0.35">
      <c r="A1407" s="625"/>
      <c r="B1407" s="626" t="s">
        <v>430</v>
      </c>
      <c r="C1407" s="2101">
        <f>IF(C1406="","",C1406+10)</f>
        <v>14015</v>
      </c>
      <c r="D1407" s="2102"/>
      <c r="E1407" s="627"/>
      <c r="F1407" s="628" t="s">
        <v>431</v>
      </c>
      <c r="G1407" s="2103">
        <f>IF(G1406="","",G1406+10)</f>
        <v>14030</v>
      </c>
      <c r="H1407" s="2104"/>
    </row>
    <row r="1408" spans="1:8" ht="15.5" x14ac:dyDescent="0.35">
      <c r="A1408" s="625">
        <f>A1405+30</f>
        <v>14025</v>
      </c>
      <c r="B1408" s="626" t="s">
        <v>430</v>
      </c>
      <c r="C1408" s="2101">
        <f>IF(A1408="","",A1408)</f>
        <v>14025</v>
      </c>
      <c r="D1408" s="2102"/>
      <c r="E1408" s="627">
        <f>E1405+30</f>
        <v>14040</v>
      </c>
      <c r="F1408" s="628" t="s">
        <v>431</v>
      </c>
      <c r="G1408" s="2103">
        <f>IF(E1408="","",E1408)</f>
        <v>14040</v>
      </c>
      <c r="H1408" s="2104"/>
    </row>
    <row r="1409" spans="1:8" ht="15.5" x14ac:dyDescent="0.35">
      <c r="A1409" s="625"/>
      <c r="B1409" s="626" t="s">
        <v>430</v>
      </c>
      <c r="C1409" s="2101">
        <f>IF(C1408="","",C1408+10)</f>
        <v>14035</v>
      </c>
      <c r="D1409" s="2102"/>
      <c r="E1409" s="627"/>
      <c r="F1409" s="628" t="s">
        <v>431</v>
      </c>
      <c r="G1409" s="2103">
        <f>IF(G1408="","",G1408+10)</f>
        <v>14050</v>
      </c>
      <c r="H1409" s="2104"/>
    </row>
    <row r="1410" spans="1:8" ht="15.5" x14ac:dyDescent="0.35">
      <c r="A1410" s="625"/>
      <c r="B1410" s="626" t="s">
        <v>430</v>
      </c>
      <c r="C1410" s="2101">
        <f>IF(C1409="","",C1409+10)</f>
        <v>14045</v>
      </c>
      <c r="D1410" s="2102"/>
      <c r="E1410" s="627"/>
      <c r="F1410" s="628" t="s">
        <v>431</v>
      </c>
      <c r="G1410" s="2103">
        <f>IF(G1409="","",G1409+10)</f>
        <v>14060</v>
      </c>
      <c r="H1410" s="2104"/>
    </row>
    <row r="1411" spans="1:8" ht="15.5" x14ac:dyDescent="0.35">
      <c r="A1411" s="625">
        <f>A1408+30</f>
        <v>14055</v>
      </c>
      <c r="B1411" s="626" t="s">
        <v>430</v>
      </c>
      <c r="C1411" s="2101">
        <f>IF(A1411="","",A1411)</f>
        <v>14055</v>
      </c>
      <c r="D1411" s="2102"/>
      <c r="E1411" s="627">
        <f>E1408+30</f>
        <v>14070</v>
      </c>
      <c r="F1411" s="628" t="s">
        <v>431</v>
      </c>
      <c r="G1411" s="2103">
        <f>IF(E1411="","",E1411)</f>
        <v>14070</v>
      </c>
      <c r="H1411" s="2104"/>
    </row>
    <row r="1412" spans="1:8" ht="15.5" x14ac:dyDescent="0.35">
      <c r="A1412" s="625"/>
      <c r="B1412" s="626" t="s">
        <v>430</v>
      </c>
      <c r="C1412" s="2101">
        <f>IF(C1411="","",C1411+10)</f>
        <v>14065</v>
      </c>
      <c r="D1412" s="2102"/>
      <c r="E1412" s="627"/>
      <c r="F1412" s="628" t="s">
        <v>431</v>
      </c>
      <c r="G1412" s="2103">
        <f>IF(G1411="","",G1411+10)</f>
        <v>14080</v>
      </c>
      <c r="H1412" s="2104"/>
    </row>
    <row r="1413" spans="1:8" ht="15.5" x14ac:dyDescent="0.35">
      <c r="A1413" s="625"/>
      <c r="B1413" s="626" t="s">
        <v>430</v>
      </c>
      <c r="C1413" s="2101">
        <f>IF(C1412="","",C1412+10)</f>
        <v>14075</v>
      </c>
      <c r="D1413" s="2102"/>
      <c r="E1413" s="627"/>
      <c r="F1413" s="628" t="s">
        <v>431</v>
      </c>
      <c r="G1413" s="2103">
        <f>IF(G1412="","",G1412+10)</f>
        <v>14090</v>
      </c>
      <c r="H1413" s="2104"/>
    </row>
    <row r="1414" spans="1:8" ht="15.5" x14ac:dyDescent="0.35">
      <c r="A1414" s="625">
        <f>A1411+30</f>
        <v>14085</v>
      </c>
      <c r="B1414" s="626" t="s">
        <v>430</v>
      </c>
      <c r="C1414" s="2101">
        <f>IF(A1414="","",A1414)</f>
        <v>14085</v>
      </c>
      <c r="D1414" s="2102"/>
      <c r="E1414" s="627">
        <f>E1411+30</f>
        <v>14100</v>
      </c>
      <c r="F1414" s="628" t="s">
        <v>431</v>
      </c>
      <c r="G1414" s="2103">
        <f>IF(E1414="","",E1414)</f>
        <v>14100</v>
      </c>
      <c r="H1414" s="2104"/>
    </row>
    <row r="1415" spans="1:8" ht="15.5" x14ac:dyDescent="0.35">
      <c r="A1415" s="625"/>
      <c r="B1415" s="626" t="s">
        <v>430</v>
      </c>
      <c r="C1415" s="2101">
        <f>IF(C1414="","",C1414+10)</f>
        <v>14095</v>
      </c>
      <c r="D1415" s="2102"/>
      <c r="E1415" s="627"/>
      <c r="F1415" s="628" t="s">
        <v>431</v>
      </c>
      <c r="G1415" s="2103">
        <f>IF(G1414="","",G1414+10)</f>
        <v>14110</v>
      </c>
      <c r="H1415" s="2104"/>
    </row>
    <row r="1416" spans="1:8" ht="15.5" x14ac:dyDescent="0.35">
      <c r="A1416" s="625"/>
      <c r="B1416" s="626" t="s">
        <v>430</v>
      </c>
      <c r="C1416" s="2101">
        <f>IF(C1415="","",C1415+10)</f>
        <v>14105</v>
      </c>
      <c r="D1416" s="2102"/>
      <c r="E1416" s="627"/>
      <c r="F1416" s="628" t="s">
        <v>431</v>
      </c>
      <c r="G1416" s="2103">
        <f>IF(G1415="","",G1415+10)</f>
        <v>14120</v>
      </c>
      <c r="H1416" s="2104"/>
    </row>
    <row r="1417" spans="1:8" ht="15.5" x14ac:dyDescent="0.35">
      <c r="A1417" s="625">
        <f>A1414+30</f>
        <v>14115</v>
      </c>
      <c r="B1417" s="626" t="s">
        <v>430</v>
      </c>
      <c r="C1417" s="2101">
        <f>IF(A1417="","",A1417)</f>
        <v>14115</v>
      </c>
      <c r="D1417" s="2102"/>
      <c r="E1417" s="627">
        <f>E1414+30</f>
        <v>14130</v>
      </c>
      <c r="F1417" s="628" t="s">
        <v>431</v>
      </c>
      <c r="G1417" s="2103">
        <f>IF(E1417="","",E1417)</f>
        <v>14130</v>
      </c>
      <c r="H1417" s="2104"/>
    </row>
    <row r="1418" spans="1:8" ht="15.5" x14ac:dyDescent="0.35">
      <c r="A1418" s="625"/>
      <c r="B1418" s="626" t="s">
        <v>430</v>
      </c>
      <c r="C1418" s="2101">
        <f>IF(C1417="","",C1417+10)</f>
        <v>14125</v>
      </c>
      <c r="D1418" s="2102"/>
      <c r="E1418" s="627"/>
      <c r="F1418" s="628" t="s">
        <v>431</v>
      </c>
      <c r="G1418" s="2103">
        <f>IF(G1417="","",G1417+10)</f>
        <v>14140</v>
      </c>
      <c r="H1418" s="2104"/>
    </row>
    <row r="1419" spans="1:8" ht="15.5" x14ac:dyDescent="0.35">
      <c r="A1419" s="625"/>
      <c r="B1419" s="626" t="s">
        <v>430</v>
      </c>
      <c r="C1419" s="2101">
        <f>IF(C1418="","",C1418+10)</f>
        <v>14135</v>
      </c>
      <c r="D1419" s="2102"/>
      <c r="E1419" s="627"/>
      <c r="F1419" s="628" t="s">
        <v>431</v>
      </c>
      <c r="G1419" s="2103">
        <f>IF(G1418="","",G1418+10)</f>
        <v>14150</v>
      </c>
      <c r="H1419" s="2104"/>
    </row>
    <row r="1420" spans="1:8" ht="15.5" x14ac:dyDescent="0.35">
      <c r="A1420" s="625">
        <f>A1417+30</f>
        <v>14145</v>
      </c>
      <c r="B1420" s="626" t="s">
        <v>430</v>
      </c>
      <c r="C1420" s="2101">
        <f>IF(A1420="","",A1420)</f>
        <v>14145</v>
      </c>
      <c r="D1420" s="2102"/>
      <c r="E1420" s="627">
        <f>E1417+30</f>
        <v>14160</v>
      </c>
      <c r="F1420" s="628" t="s">
        <v>431</v>
      </c>
      <c r="G1420" s="2103">
        <f>IF(E1420="","",E1420)</f>
        <v>14160</v>
      </c>
      <c r="H1420" s="2104"/>
    </row>
    <row r="1421" spans="1:8" ht="15.5" x14ac:dyDescent="0.35">
      <c r="A1421" s="625"/>
      <c r="B1421" s="626" t="s">
        <v>430</v>
      </c>
      <c r="C1421" s="2101">
        <f>IF(C1420="","",C1420+10)</f>
        <v>14155</v>
      </c>
      <c r="D1421" s="2102"/>
      <c r="E1421" s="627"/>
      <c r="F1421" s="628" t="s">
        <v>431</v>
      </c>
      <c r="G1421" s="2103">
        <f>IF(G1420="","",G1420+10)</f>
        <v>14170</v>
      </c>
      <c r="H1421" s="2104"/>
    </row>
    <row r="1422" spans="1:8" ht="15.5" x14ac:dyDescent="0.35">
      <c r="A1422" s="625"/>
      <c r="B1422" s="626" t="s">
        <v>430</v>
      </c>
      <c r="C1422" s="2101">
        <f>IF(C1421="","",C1421+10)</f>
        <v>14165</v>
      </c>
      <c r="D1422" s="2102"/>
      <c r="E1422" s="627"/>
      <c r="F1422" s="628" t="s">
        <v>431</v>
      </c>
      <c r="G1422" s="2103">
        <f>IF(G1421="","",G1421+10)</f>
        <v>14180</v>
      </c>
      <c r="H1422" s="2104"/>
    </row>
    <row r="1423" spans="1:8" ht="15.5" x14ac:dyDescent="0.35">
      <c r="A1423" s="625">
        <f>A1420+30</f>
        <v>14175</v>
      </c>
      <c r="B1423" s="626" t="s">
        <v>430</v>
      </c>
      <c r="C1423" s="2101">
        <f>IF(A1423="","",A1423)</f>
        <v>14175</v>
      </c>
      <c r="D1423" s="2102"/>
      <c r="E1423" s="627">
        <f>E1420+30</f>
        <v>14190</v>
      </c>
      <c r="F1423" s="628" t="s">
        <v>431</v>
      </c>
      <c r="G1423" s="2103">
        <f>IF(E1423="","",E1423)</f>
        <v>14190</v>
      </c>
      <c r="H1423" s="2104"/>
    </row>
    <row r="1424" spans="1:8" ht="15.5" x14ac:dyDescent="0.35">
      <c r="A1424" s="625"/>
      <c r="B1424" s="626" t="s">
        <v>430</v>
      </c>
      <c r="C1424" s="2101">
        <f>IF(C1423="","",C1423+10)</f>
        <v>14185</v>
      </c>
      <c r="D1424" s="2102"/>
      <c r="E1424" s="627"/>
      <c r="F1424" s="628" t="s">
        <v>431</v>
      </c>
      <c r="G1424" s="2103">
        <f>IF(G1423="","",G1423+10)</f>
        <v>14200</v>
      </c>
      <c r="H1424" s="2104"/>
    </row>
    <row r="1425" spans="1:8" ht="15.5" x14ac:dyDescent="0.35">
      <c r="A1425" s="625"/>
      <c r="B1425" s="626" t="s">
        <v>430</v>
      </c>
      <c r="C1425" s="2101">
        <f>IF(C1424="","",C1424+10)</f>
        <v>14195</v>
      </c>
      <c r="D1425" s="2102"/>
      <c r="E1425" s="627"/>
      <c r="F1425" s="628" t="s">
        <v>431</v>
      </c>
      <c r="G1425" s="2103">
        <f>IF(G1424="","",G1424+10)</f>
        <v>14210</v>
      </c>
      <c r="H1425" s="2104"/>
    </row>
    <row r="1426" spans="1:8" ht="15.5" x14ac:dyDescent="0.35">
      <c r="A1426" s="625">
        <f>A1423+30</f>
        <v>14205</v>
      </c>
      <c r="B1426" s="626" t="s">
        <v>430</v>
      </c>
      <c r="C1426" s="2101">
        <f>IF(A1426="","",A1426)</f>
        <v>14205</v>
      </c>
      <c r="D1426" s="2102"/>
      <c r="E1426" s="627">
        <f>E1423+30</f>
        <v>14220</v>
      </c>
      <c r="F1426" s="628" t="s">
        <v>431</v>
      </c>
      <c r="G1426" s="2103">
        <f>IF(E1426="","",E1426)</f>
        <v>14220</v>
      </c>
      <c r="H1426" s="2104"/>
    </row>
    <row r="1427" spans="1:8" ht="15.5" x14ac:dyDescent="0.35">
      <c r="A1427" s="625"/>
      <c r="B1427" s="626" t="s">
        <v>430</v>
      </c>
      <c r="C1427" s="2101">
        <f>IF(C1426="","",C1426+10)</f>
        <v>14215</v>
      </c>
      <c r="D1427" s="2102"/>
      <c r="E1427" s="627"/>
      <c r="F1427" s="628" t="s">
        <v>431</v>
      </c>
      <c r="G1427" s="2103">
        <f>IF(G1426="","",G1426+10)</f>
        <v>14230</v>
      </c>
      <c r="H1427" s="2104"/>
    </row>
    <row r="1428" spans="1:8" ht="15.5" x14ac:dyDescent="0.35">
      <c r="A1428" s="625"/>
      <c r="B1428" s="626" t="s">
        <v>430</v>
      </c>
      <c r="C1428" s="2101">
        <f>IF(C1427="","",C1427+10)</f>
        <v>14225</v>
      </c>
      <c r="D1428" s="2102"/>
      <c r="E1428" s="627"/>
      <c r="F1428" s="628" t="s">
        <v>431</v>
      </c>
      <c r="G1428" s="2103">
        <f>IF(G1427="","",G1427+10)</f>
        <v>14240</v>
      </c>
      <c r="H1428" s="2104"/>
    </row>
    <row r="1429" spans="1:8" ht="15.5" x14ac:dyDescent="0.35">
      <c r="A1429" s="625">
        <f>A1426+30</f>
        <v>14235</v>
      </c>
      <c r="B1429" s="626" t="s">
        <v>430</v>
      </c>
      <c r="C1429" s="2101">
        <f>IF(A1429="","",A1429)</f>
        <v>14235</v>
      </c>
      <c r="D1429" s="2102"/>
      <c r="E1429" s="627">
        <f>E1426+30</f>
        <v>14250</v>
      </c>
      <c r="F1429" s="628" t="s">
        <v>431</v>
      </c>
      <c r="G1429" s="2103">
        <f>IF(E1429="","",E1429)</f>
        <v>14250</v>
      </c>
      <c r="H1429" s="2104"/>
    </row>
    <row r="1430" spans="1:8" ht="15.5" x14ac:dyDescent="0.35">
      <c r="A1430" s="625"/>
      <c r="B1430" s="626" t="s">
        <v>430</v>
      </c>
      <c r="C1430" s="2101">
        <f>IF(C1429="","",C1429+10)</f>
        <v>14245</v>
      </c>
      <c r="D1430" s="2102"/>
      <c r="E1430" s="627"/>
      <c r="F1430" s="628" t="s">
        <v>431</v>
      </c>
      <c r="G1430" s="2103">
        <f>IF(G1429="","",G1429+10)</f>
        <v>14260</v>
      </c>
      <c r="H1430" s="2104"/>
    </row>
    <row r="1431" spans="1:8" ht="15.5" x14ac:dyDescent="0.35">
      <c r="A1431" s="625"/>
      <c r="B1431" s="626" t="s">
        <v>430</v>
      </c>
      <c r="C1431" s="2101">
        <f>IF(C1430="","",C1430+10)</f>
        <v>14255</v>
      </c>
      <c r="D1431" s="2102"/>
      <c r="E1431" s="627"/>
      <c r="F1431" s="628" t="s">
        <v>431</v>
      </c>
      <c r="G1431" s="2103">
        <f>IF(G1430="","",G1430+10)</f>
        <v>14270</v>
      </c>
      <c r="H1431" s="2104"/>
    </row>
    <row r="1432" spans="1:8" ht="15.5" x14ac:dyDescent="0.35">
      <c r="A1432" s="625">
        <f>A1429+30</f>
        <v>14265</v>
      </c>
      <c r="B1432" s="626" t="s">
        <v>430</v>
      </c>
      <c r="C1432" s="2101">
        <f>IF(A1432="","",A1432)</f>
        <v>14265</v>
      </c>
      <c r="D1432" s="2102"/>
      <c r="E1432" s="627">
        <f>E1429+30</f>
        <v>14280</v>
      </c>
      <c r="F1432" s="628" t="s">
        <v>431</v>
      </c>
      <c r="G1432" s="2103">
        <f>IF(E1432="","",E1432)</f>
        <v>14280</v>
      </c>
      <c r="H1432" s="2104"/>
    </row>
    <row r="1433" spans="1:8" ht="15.5" x14ac:dyDescent="0.35">
      <c r="A1433" s="625"/>
      <c r="B1433" s="626" t="s">
        <v>430</v>
      </c>
      <c r="C1433" s="2101">
        <f>IF(C1432="","",C1432+10)</f>
        <v>14275</v>
      </c>
      <c r="D1433" s="2102"/>
      <c r="E1433" s="627"/>
      <c r="F1433" s="628" t="s">
        <v>431</v>
      </c>
      <c r="G1433" s="2103">
        <f>IF(G1432="","",G1432+10)</f>
        <v>14290</v>
      </c>
      <c r="H1433" s="2104"/>
    </row>
    <row r="1434" spans="1:8" ht="15.5" x14ac:dyDescent="0.35">
      <c r="A1434" s="625"/>
      <c r="B1434" s="626" t="s">
        <v>430</v>
      </c>
      <c r="C1434" s="2101">
        <f>IF(C1433="","",C1433+10)</f>
        <v>14285</v>
      </c>
      <c r="D1434" s="2102"/>
      <c r="E1434" s="627"/>
      <c r="F1434" s="628" t="s">
        <v>431</v>
      </c>
      <c r="G1434" s="2103">
        <f>IF(G1433="","",G1433+10)</f>
        <v>14300</v>
      </c>
      <c r="H1434" s="2104"/>
    </row>
    <row r="1435" spans="1:8" ht="15.5" x14ac:dyDescent="0.35">
      <c r="A1435" s="625">
        <f>A1432+30</f>
        <v>14295</v>
      </c>
      <c r="B1435" s="626" t="s">
        <v>430</v>
      </c>
      <c r="C1435" s="2101">
        <f>IF(A1435="","",A1435)</f>
        <v>14295</v>
      </c>
      <c r="D1435" s="2102"/>
      <c r="E1435" s="627">
        <f>E1432+30</f>
        <v>14310</v>
      </c>
      <c r="F1435" s="628" t="s">
        <v>431</v>
      </c>
      <c r="G1435" s="2103">
        <f>IF(E1435="","",E1435)</f>
        <v>14310</v>
      </c>
      <c r="H1435" s="2104"/>
    </row>
    <row r="1436" spans="1:8" ht="15.5" x14ac:dyDescent="0.35">
      <c r="A1436" s="625"/>
      <c r="B1436" s="626" t="s">
        <v>430</v>
      </c>
      <c r="C1436" s="2101">
        <f>IF(C1435="","",C1435+10)</f>
        <v>14305</v>
      </c>
      <c r="D1436" s="2102"/>
      <c r="E1436" s="627"/>
      <c r="F1436" s="628" t="s">
        <v>431</v>
      </c>
      <c r="G1436" s="2103">
        <f>IF(G1435="","",G1435+10)</f>
        <v>14320</v>
      </c>
      <c r="H1436" s="2104"/>
    </row>
    <row r="1437" spans="1:8" ht="15.5" x14ac:dyDescent="0.35">
      <c r="A1437" s="625"/>
      <c r="B1437" s="626" t="s">
        <v>430</v>
      </c>
      <c r="C1437" s="2101">
        <f>IF(C1436="","",C1436+10)</f>
        <v>14315</v>
      </c>
      <c r="D1437" s="2102"/>
      <c r="E1437" s="627"/>
      <c r="F1437" s="628" t="s">
        <v>431</v>
      </c>
      <c r="G1437" s="2103">
        <f>IF(G1436="","",G1436+10)</f>
        <v>14330</v>
      </c>
      <c r="H1437" s="2104"/>
    </row>
    <row r="1438" spans="1:8" ht="15.5" x14ac:dyDescent="0.35">
      <c r="A1438" s="625">
        <f>A1435+30</f>
        <v>14325</v>
      </c>
      <c r="B1438" s="626" t="s">
        <v>430</v>
      </c>
      <c r="C1438" s="2101">
        <f>IF(A1438="","",A1438)</f>
        <v>14325</v>
      </c>
      <c r="D1438" s="2102"/>
      <c r="E1438" s="627">
        <f>E1435+30</f>
        <v>14340</v>
      </c>
      <c r="F1438" s="628" t="s">
        <v>431</v>
      </c>
      <c r="G1438" s="2103">
        <f>IF(E1438="","",E1438)</f>
        <v>14340</v>
      </c>
      <c r="H1438" s="2104"/>
    </row>
    <row r="1439" spans="1:8" ht="15.5" x14ac:dyDescent="0.35">
      <c r="A1439" s="625"/>
      <c r="B1439" s="626" t="s">
        <v>430</v>
      </c>
      <c r="C1439" s="2101">
        <f>IF(C1438="","",C1438+10)</f>
        <v>14335</v>
      </c>
      <c r="D1439" s="2102"/>
      <c r="E1439" s="627"/>
      <c r="F1439" s="628" t="s">
        <v>431</v>
      </c>
      <c r="G1439" s="2103">
        <f>IF(G1438="","",G1438+10)</f>
        <v>14350</v>
      </c>
      <c r="H1439" s="2104"/>
    </row>
    <row r="1440" spans="1:8" ht="15.5" x14ac:dyDescent="0.35">
      <c r="A1440" s="625"/>
      <c r="B1440" s="626" t="s">
        <v>430</v>
      </c>
      <c r="C1440" s="2101">
        <f>IF(C1439="","",C1439+10)</f>
        <v>14345</v>
      </c>
      <c r="D1440" s="2102"/>
      <c r="E1440" s="627"/>
      <c r="F1440" s="628" t="s">
        <v>431</v>
      </c>
      <c r="G1440" s="2103">
        <f>IF(G1439="","",G1439+10)</f>
        <v>14360</v>
      </c>
      <c r="H1440" s="2104"/>
    </row>
    <row r="1441" spans="1:8" ht="15.5" x14ac:dyDescent="0.35">
      <c r="A1441" s="625">
        <f>A1438+30</f>
        <v>14355</v>
      </c>
      <c r="B1441" s="626" t="s">
        <v>430</v>
      </c>
      <c r="C1441" s="2101">
        <f>IF(A1441="","",A1441)</f>
        <v>14355</v>
      </c>
      <c r="D1441" s="2102"/>
      <c r="E1441" s="627">
        <f>E1438+30</f>
        <v>14370</v>
      </c>
      <c r="F1441" s="628" t="s">
        <v>431</v>
      </c>
      <c r="G1441" s="2103">
        <f>IF(E1441="","",E1441)</f>
        <v>14370</v>
      </c>
      <c r="H1441" s="2104"/>
    </row>
    <row r="1442" spans="1:8" ht="15.5" x14ac:dyDescent="0.35">
      <c r="A1442" s="625"/>
      <c r="B1442" s="626" t="s">
        <v>430</v>
      </c>
      <c r="C1442" s="2101">
        <f>IF(C1441="","",C1441+10)</f>
        <v>14365</v>
      </c>
      <c r="D1442" s="2102"/>
      <c r="E1442" s="627"/>
      <c r="F1442" s="628" t="s">
        <v>431</v>
      </c>
      <c r="G1442" s="2103">
        <f>IF(G1441="","",G1441+10)</f>
        <v>14380</v>
      </c>
      <c r="H1442" s="2104"/>
    </row>
    <row r="1443" spans="1:8" ht="15.5" x14ac:dyDescent="0.35">
      <c r="A1443" s="625"/>
      <c r="B1443" s="626" t="s">
        <v>430</v>
      </c>
      <c r="C1443" s="2101">
        <f>IF(C1442="","",C1442+10)</f>
        <v>14375</v>
      </c>
      <c r="D1443" s="2102"/>
      <c r="E1443" s="627"/>
      <c r="F1443" s="628" t="s">
        <v>431</v>
      </c>
      <c r="G1443" s="2103">
        <f>IF(G1442="","",G1442+10)</f>
        <v>14390</v>
      </c>
      <c r="H1443" s="2104"/>
    </row>
    <row r="1444" spans="1:8" ht="15.5" x14ac:dyDescent="0.35">
      <c r="A1444" s="625">
        <f>A1441+30</f>
        <v>14385</v>
      </c>
      <c r="B1444" s="626" t="s">
        <v>430</v>
      </c>
      <c r="C1444" s="2101">
        <f>IF(A1444="","",A1444)</f>
        <v>14385</v>
      </c>
      <c r="D1444" s="2102"/>
      <c r="E1444" s="627">
        <f>E1441+30</f>
        <v>14400</v>
      </c>
      <c r="F1444" s="628" t="s">
        <v>431</v>
      </c>
      <c r="G1444" s="2103">
        <f>IF(E1444="","",E1444)</f>
        <v>14400</v>
      </c>
      <c r="H1444" s="2104"/>
    </row>
    <row r="1445" spans="1:8" ht="15.5" x14ac:dyDescent="0.35">
      <c r="A1445" s="625"/>
      <c r="B1445" s="626" t="s">
        <v>430</v>
      </c>
      <c r="C1445" s="2101">
        <f>IF(C1444="","",C1444+10)</f>
        <v>14395</v>
      </c>
      <c r="D1445" s="2102"/>
      <c r="E1445" s="627"/>
      <c r="F1445" s="628" t="s">
        <v>431</v>
      </c>
      <c r="G1445" s="2103">
        <f>IF(G1444="","",G1444+10)</f>
        <v>14410</v>
      </c>
      <c r="H1445" s="2104"/>
    </row>
    <row r="1446" spans="1:8" ht="15.5" x14ac:dyDescent="0.35">
      <c r="A1446" s="625"/>
      <c r="B1446" s="626" t="s">
        <v>430</v>
      </c>
      <c r="C1446" s="2101">
        <f>IF(C1445="","",C1445+10)</f>
        <v>14405</v>
      </c>
      <c r="D1446" s="2102"/>
      <c r="E1446" s="627"/>
      <c r="F1446" s="628" t="s">
        <v>431</v>
      </c>
      <c r="G1446" s="2103">
        <f>IF(G1445="","",G1445+10)</f>
        <v>14420</v>
      </c>
      <c r="H1446" s="2104"/>
    </row>
    <row r="1447" spans="1:8" ht="15.5" x14ac:dyDescent="0.35">
      <c r="A1447" s="625">
        <f>A1444+30</f>
        <v>14415</v>
      </c>
      <c r="B1447" s="626" t="s">
        <v>430</v>
      </c>
      <c r="C1447" s="2101">
        <f>IF(A1447="","",A1447)</f>
        <v>14415</v>
      </c>
      <c r="D1447" s="2102"/>
      <c r="E1447" s="627">
        <f>E1444+30</f>
        <v>14430</v>
      </c>
      <c r="F1447" s="628" t="s">
        <v>431</v>
      </c>
      <c r="G1447" s="2103">
        <f>IF(E1447="","",E1447)</f>
        <v>14430</v>
      </c>
      <c r="H1447" s="2104"/>
    </row>
    <row r="1448" spans="1:8" ht="15.5" x14ac:dyDescent="0.35">
      <c r="A1448" s="625"/>
      <c r="B1448" s="626" t="s">
        <v>430</v>
      </c>
      <c r="C1448" s="2101">
        <f>IF(C1447="","",C1447+10)</f>
        <v>14425</v>
      </c>
      <c r="D1448" s="2102"/>
      <c r="E1448" s="627"/>
      <c r="F1448" s="628" t="s">
        <v>431</v>
      </c>
      <c r="G1448" s="2103">
        <f>IF(G1447="","",G1447+10)</f>
        <v>14440</v>
      </c>
      <c r="H1448" s="2104"/>
    </row>
    <row r="1449" spans="1:8" ht="15.5" x14ac:dyDescent="0.35">
      <c r="A1449" s="625"/>
      <c r="B1449" s="626" t="s">
        <v>430</v>
      </c>
      <c r="C1449" s="2101">
        <f>IF(C1448="","",C1448+10)</f>
        <v>14435</v>
      </c>
      <c r="D1449" s="2102"/>
      <c r="E1449" s="627"/>
      <c r="F1449" s="628" t="s">
        <v>431</v>
      </c>
      <c r="G1449" s="2103">
        <f>IF(G1448="","",G1448+10)</f>
        <v>14450</v>
      </c>
      <c r="H1449" s="2104"/>
    </row>
    <row r="1450" spans="1:8" ht="15.5" x14ac:dyDescent="0.35">
      <c r="A1450" s="625">
        <f>A1447+30</f>
        <v>14445</v>
      </c>
      <c r="B1450" s="626" t="s">
        <v>430</v>
      </c>
      <c r="C1450" s="2101">
        <f>IF(A1450="","",A1450)</f>
        <v>14445</v>
      </c>
      <c r="D1450" s="2102"/>
      <c r="E1450" s="627">
        <f>E1447+30</f>
        <v>14460</v>
      </c>
      <c r="F1450" s="628" t="s">
        <v>431</v>
      </c>
      <c r="G1450" s="2103">
        <f>IF(E1450="","",E1450)</f>
        <v>14460</v>
      </c>
      <c r="H1450" s="2104"/>
    </row>
    <row r="1451" spans="1:8" ht="15.5" x14ac:dyDescent="0.35">
      <c r="A1451" s="625"/>
      <c r="B1451" s="626" t="s">
        <v>430</v>
      </c>
      <c r="C1451" s="2101">
        <f>IF(C1450="","",C1450+10)</f>
        <v>14455</v>
      </c>
      <c r="D1451" s="2102"/>
      <c r="E1451" s="627"/>
      <c r="F1451" s="628" t="s">
        <v>431</v>
      </c>
      <c r="G1451" s="2103">
        <f>IF(G1450="","",G1450+10)</f>
        <v>14470</v>
      </c>
      <c r="H1451" s="2104"/>
    </row>
    <row r="1452" spans="1:8" ht="15.5" x14ac:dyDescent="0.35">
      <c r="A1452" s="625"/>
      <c r="B1452" s="626" t="s">
        <v>430</v>
      </c>
      <c r="C1452" s="2101">
        <f>IF(C1451="","",C1451+10)</f>
        <v>14465</v>
      </c>
      <c r="D1452" s="2102"/>
      <c r="E1452" s="627"/>
      <c r="F1452" s="628" t="s">
        <v>431</v>
      </c>
      <c r="G1452" s="2103">
        <f>IF(G1451="","",G1451+10)</f>
        <v>14480</v>
      </c>
      <c r="H1452" s="2104"/>
    </row>
    <row r="1453" spans="1:8" ht="15.5" x14ac:dyDescent="0.35">
      <c r="A1453" s="625">
        <f>A1450+30</f>
        <v>14475</v>
      </c>
      <c r="B1453" s="626" t="s">
        <v>430</v>
      </c>
      <c r="C1453" s="2101">
        <f>IF(A1453="","",A1453)</f>
        <v>14475</v>
      </c>
      <c r="D1453" s="2102"/>
      <c r="E1453" s="627">
        <f>E1450+30</f>
        <v>14490</v>
      </c>
      <c r="F1453" s="628" t="s">
        <v>431</v>
      </c>
      <c r="G1453" s="2103">
        <f>IF(E1453="","",E1453)</f>
        <v>14490</v>
      </c>
      <c r="H1453" s="2104"/>
    </row>
    <row r="1454" spans="1:8" ht="15.5" x14ac:dyDescent="0.35">
      <c r="A1454" s="625"/>
      <c r="B1454" s="626" t="s">
        <v>430</v>
      </c>
      <c r="C1454" s="2101">
        <f>IF(C1453="","",C1453+10)</f>
        <v>14485</v>
      </c>
      <c r="D1454" s="2102"/>
      <c r="E1454" s="627"/>
      <c r="F1454" s="628" t="s">
        <v>431</v>
      </c>
      <c r="G1454" s="2103">
        <f>IF(G1453="","",G1453+10)</f>
        <v>14500</v>
      </c>
      <c r="H1454" s="2104"/>
    </row>
    <row r="1455" spans="1:8" ht="15.5" x14ac:dyDescent="0.35">
      <c r="A1455" s="625"/>
      <c r="B1455" s="626" t="s">
        <v>430</v>
      </c>
      <c r="C1455" s="2101">
        <f>IF(C1454="","",C1454+10)</f>
        <v>14495</v>
      </c>
      <c r="D1455" s="2102"/>
      <c r="E1455" s="627"/>
      <c r="F1455" s="628" t="s">
        <v>431</v>
      </c>
      <c r="G1455" s="2103">
        <f>IF(G1454="","",G1454+10)</f>
        <v>14510</v>
      </c>
      <c r="H1455" s="2104"/>
    </row>
    <row r="1456" spans="1:8" ht="15.5" x14ac:dyDescent="0.35">
      <c r="A1456" s="625">
        <f>A1453+30</f>
        <v>14505</v>
      </c>
      <c r="B1456" s="626" t="s">
        <v>430</v>
      </c>
      <c r="C1456" s="2101">
        <f>IF(A1456="","",A1456)</f>
        <v>14505</v>
      </c>
      <c r="D1456" s="2102"/>
      <c r="E1456" s="627">
        <f>E1453+30</f>
        <v>14520</v>
      </c>
      <c r="F1456" s="628" t="s">
        <v>431</v>
      </c>
      <c r="G1456" s="2103">
        <f>IF(E1456="","",E1456)</f>
        <v>14520</v>
      </c>
      <c r="H1456" s="2104"/>
    </row>
    <row r="1457" spans="1:8" ht="15.5" x14ac:dyDescent="0.35">
      <c r="A1457" s="625"/>
      <c r="B1457" s="626" t="s">
        <v>430</v>
      </c>
      <c r="C1457" s="2101">
        <f>IF(C1456="","",C1456+10)</f>
        <v>14515</v>
      </c>
      <c r="D1457" s="2102"/>
      <c r="E1457" s="627"/>
      <c r="F1457" s="628" t="s">
        <v>431</v>
      </c>
      <c r="G1457" s="2103">
        <f>IF(G1456="","",G1456+10)</f>
        <v>14530</v>
      </c>
      <c r="H1457" s="2104"/>
    </row>
    <row r="1458" spans="1:8" ht="15.5" x14ac:dyDescent="0.35">
      <c r="A1458" s="625"/>
      <c r="B1458" s="626" t="s">
        <v>430</v>
      </c>
      <c r="C1458" s="2101">
        <f>IF(C1457="","",C1457+10)</f>
        <v>14525</v>
      </c>
      <c r="D1458" s="2102"/>
      <c r="E1458" s="627"/>
      <c r="F1458" s="628" t="s">
        <v>431</v>
      </c>
      <c r="G1458" s="2103">
        <f>IF(G1457="","",G1457+10)</f>
        <v>14540</v>
      </c>
      <c r="H1458" s="2104"/>
    </row>
    <row r="1459" spans="1:8" ht="15.5" x14ac:dyDescent="0.35">
      <c r="A1459" s="625">
        <f>A1456+30</f>
        <v>14535</v>
      </c>
      <c r="B1459" s="626" t="s">
        <v>430</v>
      </c>
      <c r="C1459" s="2101">
        <f>IF(A1459="","",A1459)</f>
        <v>14535</v>
      </c>
      <c r="D1459" s="2102"/>
      <c r="E1459" s="627">
        <f>E1456+30</f>
        <v>14550</v>
      </c>
      <c r="F1459" s="628" t="s">
        <v>431</v>
      </c>
      <c r="G1459" s="2103">
        <f>IF(E1459="","",E1459)</f>
        <v>14550</v>
      </c>
      <c r="H1459" s="2104"/>
    </row>
    <row r="1460" spans="1:8" ht="15.5" x14ac:dyDescent="0.35">
      <c r="A1460" s="625"/>
      <c r="B1460" s="626" t="s">
        <v>430</v>
      </c>
      <c r="C1460" s="2101">
        <f>IF(C1459="","",C1459+10)</f>
        <v>14545</v>
      </c>
      <c r="D1460" s="2102"/>
      <c r="E1460" s="627"/>
      <c r="F1460" s="628" t="s">
        <v>431</v>
      </c>
      <c r="G1460" s="2103">
        <f>IF(G1459="","",G1459+10)</f>
        <v>14560</v>
      </c>
      <c r="H1460" s="2104"/>
    </row>
    <row r="1461" spans="1:8" ht="15.5" x14ac:dyDescent="0.35">
      <c r="A1461" s="625"/>
      <c r="B1461" s="626" t="s">
        <v>430</v>
      </c>
      <c r="C1461" s="2101">
        <f>IF(C1460="","",C1460+10)</f>
        <v>14555</v>
      </c>
      <c r="D1461" s="2102"/>
      <c r="E1461" s="627"/>
      <c r="F1461" s="628" t="s">
        <v>431</v>
      </c>
      <c r="G1461" s="2103">
        <f>IF(G1460="","",G1460+10)</f>
        <v>14570</v>
      </c>
      <c r="H1461" s="2104"/>
    </row>
    <row r="1462" spans="1:8" ht="15.5" x14ac:dyDescent="0.35">
      <c r="A1462" s="625">
        <f>A1459+30</f>
        <v>14565</v>
      </c>
      <c r="B1462" s="626" t="s">
        <v>430</v>
      </c>
      <c r="C1462" s="2101">
        <f>IF(A1462="","",A1462)</f>
        <v>14565</v>
      </c>
      <c r="D1462" s="2102"/>
      <c r="E1462" s="627">
        <f>E1459+30</f>
        <v>14580</v>
      </c>
      <c r="F1462" s="628" t="s">
        <v>431</v>
      </c>
      <c r="G1462" s="2103">
        <f>IF(E1462="","",E1462)</f>
        <v>14580</v>
      </c>
      <c r="H1462" s="2104"/>
    </row>
    <row r="1463" spans="1:8" ht="15.5" x14ac:dyDescent="0.35">
      <c r="A1463" s="625"/>
      <c r="B1463" s="626" t="s">
        <v>430</v>
      </c>
      <c r="C1463" s="2101">
        <f>IF(C1462="","",C1462+10)</f>
        <v>14575</v>
      </c>
      <c r="D1463" s="2102"/>
      <c r="E1463" s="627"/>
      <c r="F1463" s="628" t="s">
        <v>431</v>
      </c>
      <c r="G1463" s="2103">
        <f>IF(G1462="","",G1462+10)</f>
        <v>14590</v>
      </c>
      <c r="H1463" s="2104"/>
    </row>
    <row r="1464" spans="1:8" ht="15.5" x14ac:dyDescent="0.35">
      <c r="A1464" s="625"/>
      <c r="B1464" s="626" t="s">
        <v>430</v>
      </c>
      <c r="C1464" s="2101">
        <f>IF(C1463="","",C1463+10)</f>
        <v>14585</v>
      </c>
      <c r="D1464" s="2102"/>
      <c r="E1464" s="627"/>
      <c r="F1464" s="628" t="s">
        <v>431</v>
      </c>
      <c r="G1464" s="2103">
        <f>IF(G1463="","",G1463+10)</f>
        <v>14600</v>
      </c>
      <c r="H1464" s="2104"/>
    </row>
    <row r="1465" spans="1:8" ht="15.5" x14ac:dyDescent="0.35">
      <c r="A1465" s="625">
        <f>A1462+30</f>
        <v>14595</v>
      </c>
      <c r="B1465" s="626" t="s">
        <v>430</v>
      </c>
      <c r="C1465" s="2101">
        <f>IF(A1465="","",A1465)</f>
        <v>14595</v>
      </c>
      <c r="D1465" s="2102"/>
      <c r="E1465" s="627">
        <f>E1462+30</f>
        <v>14610</v>
      </c>
      <c r="F1465" s="628" t="s">
        <v>431</v>
      </c>
      <c r="G1465" s="2103">
        <f>IF(E1465="","",E1465)</f>
        <v>14610</v>
      </c>
      <c r="H1465" s="2104"/>
    </row>
    <row r="1466" spans="1:8" ht="15.5" x14ac:dyDescent="0.35">
      <c r="A1466" s="625"/>
      <c r="B1466" s="626" t="s">
        <v>430</v>
      </c>
      <c r="C1466" s="2101">
        <f>IF(C1465="","",C1465+10)</f>
        <v>14605</v>
      </c>
      <c r="D1466" s="2102"/>
      <c r="E1466" s="627"/>
      <c r="F1466" s="628" t="s">
        <v>431</v>
      </c>
      <c r="G1466" s="2103">
        <f>IF(G1465="","",G1465+10)</f>
        <v>14620</v>
      </c>
      <c r="H1466" s="2104"/>
    </row>
    <row r="1467" spans="1:8" ht="15.5" x14ac:dyDescent="0.35">
      <c r="A1467" s="625"/>
      <c r="B1467" s="626" t="s">
        <v>430</v>
      </c>
      <c r="C1467" s="2101">
        <f>IF(C1466="","",C1466+10)</f>
        <v>14615</v>
      </c>
      <c r="D1467" s="2102"/>
      <c r="E1467" s="627"/>
      <c r="F1467" s="628" t="s">
        <v>431</v>
      </c>
      <c r="G1467" s="2103">
        <f>IF(G1466="","",G1466+10)</f>
        <v>14630</v>
      </c>
      <c r="H1467" s="2104"/>
    </row>
    <row r="1468" spans="1:8" ht="15.5" x14ac:dyDescent="0.35">
      <c r="A1468" s="625">
        <f>A1465+30</f>
        <v>14625</v>
      </c>
      <c r="B1468" s="626" t="s">
        <v>430</v>
      </c>
      <c r="C1468" s="2101">
        <f>IF(A1468="","",A1468)</f>
        <v>14625</v>
      </c>
      <c r="D1468" s="2102"/>
      <c r="E1468" s="627">
        <f>E1465+30</f>
        <v>14640</v>
      </c>
      <c r="F1468" s="628" t="s">
        <v>431</v>
      </c>
      <c r="G1468" s="2103">
        <f>IF(E1468="","",E1468)</f>
        <v>14640</v>
      </c>
      <c r="H1468" s="2104"/>
    </row>
    <row r="1469" spans="1:8" ht="15.5" x14ac:dyDescent="0.35">
      <c r="A1469" s="625"/>
      <c r="B1469" s="626" t="s">
        <v>430</v>
      </c>
      <c r="C1469" s="2101">
        <f>IF(C1468="","",C1468+10)</f>
        <v>14635</v>
      </c>
      <c r="D1469" s="2102"/>
      <c r="E1469" s="627"/>
      <c r="F1469" s="628" t="s">
        <v>431</v>
      </c>
      <c r="G1469" s="2103">
        <f>IF(G1468="","",G1468+10)</f>
        <v>14650</v>
      </c>
      <c r="H1469" s="2104"/>
    </row>
    <row r="1470" spans="1:8" ht="15.5" x14ac:dyDescent="0.35">
      <c r="A1470" s="625"/>
      <c r="B1470" s="626" t="s">
        <v>430</v>
      </c>
      <c r="C1470" s="2101">
        <f>IF(C1469="","",C1469+10)</f>
        <v>14645</v>
      </c>
      <c r="D1470" s="2102"/>
      <c r="E1470" s="627"/>
      <c r="F1470" s="628" t="s">
        <v>431</v>
      </c>
      <c r="G1470" s="2103">
        <f>IF(G1469="","",G1469+10)</f>
        <v>14660</v>
      </c>
      <c r="H1470" s="2104"/>
    </row>
    <row r="1471" spans="1:8" ht="15.5" x14ac:dyDescent="0.35">
      <c r="A1471" s="625">
        <f>A1468+30</f>
        <v>14655</v>
      </c>
      <c r="B1471" s="626" t="s">
        <v>430</v>
      </c>
      <c r="C1471" s="2101">
        <f>IF(A1471="","",A1471)</f>
        <v>14655</v>
      </c>
      <c r="D1471" s="2102"/>
      <c r="E1471" s="627">
        <f>E1468+30</f>
        <v>14670</v>
      </c>
      <c r="F1471" s="628" t="s">
        <v>431</v>
      </c>
      <c r="G1471" s="2103">
        <f>IF(E1471="","",E1471)</f>
        <v>14670</v>
      </c>
      <c r="H1471" s="2104"/>
    </row>
    <row r="1472" spans="1:8" ht="15.5" x14ac:dyDescent="0.35">
      <c r="A1472" s="625"/>
      <c r="B1472" s="626" t="s">
        <v>430</v>
      </c>
      <c r="C1472" s="2101">
        <f>IF(C1471="","",C1471+10)</f>
        <v>14665</v>
      </c>
      <c r="D1472" s="2102"/>
      <c r="E1472" s="627"/>
      <c r="F1472" s="628" t="s">
        <v>431</v>
      </c>
      <c r="G1472" s="2103">
        <f>IF(G1471="","",G1471+10)</f>
        <v>14680</v>
      </c>
      <c r="H1472" s="2104"/>
    </row>
    <row r="1473" spans="1:8" ht="15.5" x14ac:dyDescent="0.35">
      <c r="A1473" s="625"/>
      <c r="B1473" s="626" t="s">
        <v>430</v>
      </c>
      <c r="C1473" s="2101">
        <f>IF(C1472="","",C1472+10)</f>
        <v>14675</v>
      </c>
      <c r="D1473" s="2102"/>
      <c r="E1473" s="627"/>
      <c r="F1473" s="628" t="s">
        <v>431</v>
      </c>
      <c r="G1473" s="2103">
        <f>IF(G1472="","",G1472+10)</f>
        <v>14690</v>
      </c>
      <c r="H1473" s="2104"/>
    </row>
    <row r="1474" spans="1:8" ht="15.5" x14ac:dyDescent="0.35">
      <c r="A1474" s="625">
        <f>A1471+30</f>
        <v>14685</v>
      </c>
      <c r="B1474" s="626" t="s">
        <v>430</v>
      </c>
      <c r="C1474" s="2101">
        <f>IF(A1474="","",A1474)</f>
        <v>14685</v>
      </c>
      <c r="D1474" s="2102"/>
      <c r="E1474" s="627">
        <f>E1471+30</f>
        <v>14700</v>
      </c>
      <c r="F1474" s="628" t="s">
        <v>431</v>
      </c>
      <c r="G1474" s="2103">
        <f>IF(E1474="","",E1474)</f>
        <v>14700</v>
      </c>
      <c r="H1474" s="2104"/>
    </row>
    <row r="1475" spans="1:8" ht="15.5" x14ac:dyDescent="0.35">
      <c r="A1475" s="625"/>
      <c r="B1475" s="626" t="s">
        <v>430</v>
      </c>
      <c r="C1475" s="2101">
        <f>IF(C1474="","",C1474+10)</f>
        <v>14695</v>
      </c>
      <c r="D1475" s="2102"/>
      <c r="E1475" s="627"/>
      <c r="F1475" s="628" t="s">
        <v>431</v>
      </c>
      <c r="G1475" s="2103">
        <f>IF(G1474="","",G1474+10)</f>
        <v>14710</v>
      </c>
      <c r="H1475" s="2104"/>
    </row>
    <row r="1476" spans="1:8" ht="15.5" x14ac:dyDescent="0.35">
      <c r="A1476" s="625"/>
      <c r="B1476" s="626" t="s">
        <v>430</v>
      </c>
      <c r="C1476" s="2101">
        <f>IF(C1475="","",C1475+10)</f>
        <v>14705</v>
      </c>
      <c r="D1476" s="2102"/>
      <c r="E1476" s="627"/>
      <c r="F1476" s="628" t="s">
        <v>431</v>
      </c>
      <c r="G1476" s="2103">
        <f>IF(G1475="","",G1475+10)</f>
        <v>14720</v>
      </c>
      <c r="H1476" s="2104"/>
    </row>
    <row r="1477" spans="1:8" ht="15.5" x14ac:dyDescent="0.35">
      <c r="A1477" s="625">
        <f>A1474+30</f>
        <v>14715</v>
      </c>
      <c r="B1477" s="626" t="s">
        <v>430</v>
      </c>
      <c r="C1477" s="2101">
        <f>IF(A1477="","",A1477)</f>
        <v>14715</v>
      </c>
      <c r="D1477" s="2102"/>
      <c r="E1477" s="627">
        <f>E1474+30</f>
        <v>14730</v>
      </c>
      <c r="F1477" s="628" t="s">
        <v>431</v>
      </c>
      <c r="G1477" s="2103">
        <f>IF(E1477="","",E1477)</f>
        <v>14730</v>
      </c>
      <c r="H1477" s="2104"/>
    </row>
    <row r="1478" spans="1:8" ht="15.5" x14ac:dyDescent="0.35">
      <c r="A1478" s="625"/>
      <c r="B1478" s="626" t="s">
        <v>430</v>
      </c>
      <c r="C1478" s="2101">
        <f>IF(C1477="","",C1477+10)</f>
        <v>14725</v>
      </c>
      <c r="D1478" s="2102"/>
      <c r="E1478" s="627"/>
      <c r="F1478" s="628" t="s">
        <v>431</v>
      </c>
      <c r="G1478" s="2103">
        <f>IF(G1477="","",G1477+10)</f>
        <v>14740</v>
      </c>
      <c r="H1478" s="2104"/>
    </row>
    <row r="1479" spans="1:8" ht="15.5" x14ac:dyDescent="0.35">
      <c r="A1479" s="625"/>
      <c r="B1479" s="626" t="s">
        <v>430</v>
      </c>
      <c r="C1479" s="2101">
        <f>IF(C1478="","",C1478+10)</f>
        <v>14735</v>
      </c>
      <c r="D1479" s="2102"/>
      <c r="E1479" s="627"/>
      <c r="F1479" s="628" t="s">
        <v>431</v>
      </c>
      <c r="G1479" s="2103">
        <f>IF(G1478="","",G1478+10)</f>
        <v>14750</v>
      </c>
      <c r="H1479" s="2104"/>
    </row>
    <row r="1480" spans="1:8" ht="15.5" x14ac:dyDescent="0.35">
      <c r="A1480" s="625">
        <f>A1477+30</f>
        <v>14745</v>
      </c>
      <c r="B1480" s="626" t="s">
        <v>430</v>
      </c>
      <c r="C1480" s="2101">
        <f>IF(A1480="","",A1480)</f>
        <v>14745</v>
      </c>
      <c r="D1480" s="2102"/>
      <c r="E1480" s="627">
        <f>E1477+30</f>
        <v>14760</v>
      </c>
      <c r="F1480" s="628" t="s">
        <v>431</v>
      </c>
      <c r="G1480" s="2103">
        <f>IF(E1480="","",E1480)</f>
        <v>14760</v>
      </c>
      <c r="H1480" s="2104"/>
    </row>
    <row r="1481" spans="1:8" ht="15.5" x14ac:dyDescent="0.35">
      <c r="A1481" s="625"/>
      <c r="B1481" s="626" t="s">
        <v>430</v>
      </c>
      <c r="C1481" s="2101">
        <f>IF(C1480="","",C1480+10)</f>
        <v>14755</v>
      </c>
      <c r="D1481" s="2102"/>
      <c r="E1481" s="627"/>
      <c r="F1481" s="628" t="s">
        <v>431</v>
      </c>
      <c r="G1481" s="2103">
        <f>IF(G1480="","",G1480+10)</f>
        <v>14770</v>
      </c>
      <c r="H1481" s="2104"/>
    </row>
    <row r="1482" spans="1:8" ht="15.5" x14ac:dyDescent="0.35">
      <c r="A1482" s="625"/>
      <c r="B1482" s="626" t="s">
        <v>430</v>
      </c>
      <c r="C1482" s="2101">
        <f>IF(C1481="","",C1481+10)</f>
        <v>14765</v>
      </c>
      <c r="D1482" s="2102"/>
      <c r="E1482" s="627"/>
      <c r="F1482" s="628" t="s">
        <v>431</v>
      </c>
      <c r="G1482" s="2103">
        <f>IF(G1481="","",G1481+10)</f>
        <v>14780</v>
      </c>
      <c r="H1482" s="2104"/>
    </row>
    <row r="1483" spans="1:8" ht="15.5" x14ac:dyDescent="0.35">
      <c r="A1483" s="625">
        <f>A1480+30</f>
        <v>14775</v>
      </c>
      <c r="B1483" s="626" t="s">
        <v>430</v>
      </c>
      <c r="C1483" s="2101">
        <f>IF(A1483="","",A1483)</f>
        <v>14775</v>
      </c>
      <c r="D1483" s="2102"/>
      <c r="E1483" s="627">
        <f>E1480+30</f>
        <v>14790</v>
      </c>
      <c r="F1483" s="628" t="s">
        <v>431</v>
      </c>
      <c r="G1483" s="2103">
        <f>IF(E1483="","",E1483)</f>
        <v>14790</v>
      </c>
      <c r="H1483" s="2104"/>
    </row>
    <row r="1484" spans="1:8" ht="15.5" x14ac:dyDescent="0.35">
      <c r="A1484" s="625"/>
      <c r="B1484" s="626" t="s">
        <v>430</v>
      </c>
      <c r="C1484" s="2101">
        <f>IF(C1483="","",C1483+10)</f>
        <v>14785</v>
      </c>
      <c r="D1484" s="2102"/>
      <c r="E1484" s="627"/>
      <c r="F1484" s="628" t="s">
        <v>431</v>
      </c>
      <c r="G1484" s="2103">
        <f>IF(G1483="","",G1483+10)</f>
        <v>14800</v>
      </c>
      <c r="H1484" s="2104"/>
    </row>
    <row r="1485" spans="1:8" ht="15.5" x14ac:dyDescent="0.35">
      <c r="A1485" s="625"/>
      <c r="B1485" s="626" t="s">
        <v>430</v>
      </c>
      <c r="C1485" s="2101">
        <f>IF(C1484="","",C1484+10)</f>
        <v>14795</v>
      </c>
      <c r="D1485" s="2102"/>
      <c r="E1485" s="627"/>
      <c r="F1485" s="628" t="s">
        <v>431</v>
      </c>
      <c r="G1485" s="2103">
        <f>IF(G1484="","",G1484+10)</f>
        <v>14810</v>
      </c>
      <c r="H1485" s="2104"/>
    </row>
    <row r="1486" spans="1:8" ht="15.5" x14ac:dyDescent="0.35">
      <c r="A1486" s="625">
        <f>A1483+30</f>
        <v>14805</v>
      </c>
      <c r="B1486" s="626" t="s">
        <v>430</v>
      </c>
      <c r="C1486" s="2101">
        <f>IF(A1486="","",A1486)</f>
        <v>14805</v>
      </c>
      <c r="D1486" s="2102"/>
      <c r="E1486" s="627">
        <f>E1483+30</f>
        <v>14820</v>
      </c>
      <c r="F1486" s="628" t="s">
        <v>431</v>
      </c>
      <c r="G1486" s="2103">
        <f>IF(E1486="","",E1486)</f>
        <v>14820</v>
      </c>
      <c r="H1486" s="2104"/>
    </row>
    <row r="1487" spans="1:8" ht="15.5" x14ac:dyDescent="0.35">
      <c r="A1487" s="625"/>
      <c r="B1487" s="626" t="s">
        <v>430</v>
      </c>
      <c r="C1487" s="2101">
        <f>IF(C1486="","",C1486+10)</f>
        <v>14815</v>
      </c>
      <c r="D1487" s="2102"/>
      <c r="E1487" s="627"/>
      <c r="F1487" s="628" t="s">
        <v>431</v>
      </c>
      <c r="G1487" s="2103">
        <f>IF(G1486="","",G1486+10)</f>
        <v>14830</v>
      </c>
      <c r="H1487" s="2104"/>
    </row>
    <row r="1488" spans="1:8" ht="15.5" x14ac:dyDescent="0.35">
      <c r="A1488" s="625"/>
      <c r="B1488" s="626" t="s">
        <v>430</v>
      </c>
      <c r="C1488" s="2101">
        <f>IF(C1487="","",C1487+10)</f>
        <v>14825</v>
      </c>
      <c r="D1488" s="2102"/>
      <c r="E1488" s="627"/>
      <c r="F1488" s="628" t="s">
        <v>431</v>
      </c>
      <c r="G1488" s="2103">
        <f>IF(G1487="","",G1487+10)</f>
        <v>14840</v>
      </c>
      <c r="H1488" s="2104"/>
    </row>
    <row r="1489" spans="1:8" ht="15.5" x14ac:dyDescent="0.35">
      <c r="A1489" s="625">
        <f>A1486+30</f>
        <v>14835</v>
      </c>
      <c r="B1489" s="626" t="s">
        <v>430</v>
      </c>
      <c r="C1489" s="2101">
        <f>IF(A1489="","",A1489)</f>
        <v>14835</v>
      </c>
      <c r="D1489" s="2102"/>
      <c r="E1489" s="627">
        <f>E1486+30</f>
        <v>14850</v>
      </c>
      <c r="F1489" s="628" t="s">
        <v>431</v>
      </c>
      <c r="G1489" s="2103">
        <f>IF(E1489="","",E1489)</f>
        <v>14850</v>
      </c>
      <c r="H1489" s="2104"/>
    </row>
    <row r="1490" spans="1:8" ht="15.5" x14ac:dyDescent="0.35">
      <c r="A1490" s="625"/>
      <c r="B1490" s="626" t="s">
        <v>430</v>
      </c>
      <c r="C1490" s="2101">
        <f>IF(C1489="","",C1489+10)</f>
        <v>14845</v>
      </c>
      <c r="D1490" s="2102"/>
      <c r="E1490" s="627"/>
      <c r="F1490" s="628" t="s">
        <v>431</v>
      </c>
      <c r="G1490" s="2103">
        <f>IF(G1489="","",G1489+10)</f>
        <v>14860</v>
      </c>
      <c r="H1490" s="2104"/>
    </row>
    <row r="1491" spans="1:8" ht="15.5" x14ac:dyDescent="0.35">
      <c r="A1491" s="625"/>
      <c r="B1491" s="626" t="s">
        <v>430</v>
      </c>
      <c r="C1491" s="2101">
        <f>IF(C1490="","",C1490+10)</f>
        <v>14855</v>
      </c>
      <c r="D1491" s="2102"/>
      <c r="E1491" s="627"/>
      <c r="F1491" s="628" t="s">
        <v>431</v>
      </c>
      <c r="G1491" s="2103">
        <f>IF(G1490="","",G1490+10)</f>
        <v>14870</v>
      </c>
      <c r="H1491" s="2104"/>
    </row>
    <row r="1492" spans="1:8" ht="15.5" x14ac:dyDescent="0.35">
      <c r="A1492" s="625">
        <f>A1489+30</f>
        <v>14865</v>
      </c>
      <c r="B1492" s="626" t="s">
        <v>430</v>
      </c>
      <c r="C1492" s="2101">
        <f>IF(A1492="","",A1492)</f>
        <v>14865</v>
      </c>
      <c r="D1492" s="2102"/>
      <c r="E1492" s="627">
        <f>E1489+30</f>
        <v>14880</v>
      </c>
      <c r="F1492" s="628" t="s">
        <v>431</v>
      </c>
      <c r="G1492" s="2103">
        <f>IF(E1492="","",E1492)</f>
        <v>14880</v>
      </c>
      <c r="H1492" s="2104"/>
    </row>
    <row r="1493" spans="1:8" ht="15.5" x14ac:dyDescent="0.35">
      <c r="A1493" s="625"/>
      <c r="B1493" s="626" t="s">
        <v>430</v>
      </c>
      <c r="C1493" s="2101">
        <f>IF(C1492="","",C1492+10)</f>
        <v>14875</v>
      </c>
      <c r="D1493" s="2102"/>
      <c r="E1493" s="627"/>
      <c r="F1493" s="628" t="s">
        <v>431</v>
      </c>
      <c r="G1493" s="2103">
        <f>IF(G1492="","",G1492+10)</f>
        <v>14890</v>
      </c>
      <c r="H1493" s="2104"/>
    </row>
    <row r="1494" spans="1:8" ht="15.5" x14ac:dyDescent="0.35">
      <c r="A1494" s="625"/>
      <c r="B1494" s="626" t="s">
        <v>430</v>
      </c>
      <c r="C1494" s="2101">
        <f>IF(C1493="","",C1493+10)</f>
        <v>14885</v>
      </c>
      <c r="D1494" s="2102"/>
      <c r="E1494" s="627"/>
      <c r="F1494" s="628" t="s">
        <v>431</v>
      </c>
      <c r="G1494" s="2103">
        <f>IF(G1493="","",G1493+10)</f>
        <v>14900</v>
      </c>
      <c r="H1494" s="2104"/>
    </row>
    <row r="1495" spans="1:8" ht="15.5" x14ac:dyDescent="0.35">
      <c r="A1495" s="625">
        <f>A1492+30</f>
        <v>14895</v>
      </c>
      <c r="B1495" s="626" t="s">
        <v>430</v>
      </c>
      <c r="C1495" s="2101">
        <f>IF(A1495="","",A1495)</f>
        <v>14895</v>
      </c>
      <c r="D1495" s="2102"/>
      <c r="E1495" s="627">
        <f>E1492+30</f>
        <v>14910</v>
      </c>
      <c r="F1495" s="628" t="s">
        <v>431</v>
      </c>
      <c r="G1495" s="2103">
        <f>IF(E1495="","",E1495)</f>
        <v>14910</v>
      </c>
      <c r="H1495" s="2104"/>
    </row>
    <row r="1496" spans="1:8" ht="15.5" x14ac:dyDescent="0.35">
      <c r="A1496" s="625"/>
      <c r="B1496" s="626" t="s">
        <v>430</v>
      </c>
      <c r="C1496" s="2101">
        <f>IF(C1495="","",C1495+10)</f>
        <v>14905</v>
      </c>
      <c r="D1496" s="2102"/>
      <c r="E1496" s="627"/>
      <c r="F1496" s="628" t="s">
        <v>431</v>
      </c>
      <c r="G1496" s="2103">
        <f>IF(G1495="","",G1495+10)</f>
        <v>14920</v>
      </c>
      <c r="H1496" s="2104"/>
    </row>
    <row r="1497" spans="1:8" ht="15.5" x14ac:dyDescent="0.35">
      <c r="A1497" s="625"/>
      <c r="B1497" s="626" t="s">
        <v>430</v>
      </c>
      <c r="C1497" s="2101">
        <f>IF(C1496="","",C1496+10)</f>
        <v>14915</v>
      </c>
      <c r="D1497" s="2102"/>
      <c r="E1497" s="627"/>
      <c r="F1497" s="628" t="s">
        <v>431</v>
      </c>
      <c r="G1497" s="2103">
        <f>IF(G1496="","",G1496+10)</f>
        <v>14930</v>
      </c>
      <c r="H1497" s="2104"/>
    </row>
    <row r="1498" spans="1:8" ht="15.5" x14ac:dyDescent="0.35">
      <c r="A1498" s="625">
        <f>A1495+30</f>
        <v>14925</v>
      </c>
      <c r="B1498" s="626" t="s">
        <v>430</v>
      </c>
      <c r="C1498" s="2101">
        <f>IF(A1498="","",A1498)</f>
        <v>14925</v>
      </c>
      <c r="D1498" s="2102"/>
      <c r="E1498" s="627">
        <f>E1495+30</f>
        <v>14940</v>
      </c>
      <c r="F1498" s="628" t="s">
        <v>431</v>
      </c>
      <c r="G1498" s="2103">
        <f>IF(E1498="","",E1498)</f>
        <v>14940</v>
      </c>
      <c r="H1498" s="2104"/>
    </row>
    <row r="1499" spans="1:8" ht="15.5" x14ac:dyDescent="0.35">
      <c r="A1499" s="625"/>
      <c r="B1499" s="626" t="s">
        <v>430</v>
      </c>
      <c r="C1499" s="2101">
        <f>IF(C1498="","",C1498+10)</f>
        <v>14935</v>
      </c>
      <c r="D1499" s="2102"/>
      <c r="E1499" s="627"/>
      <c r="F1499" s="628" t="s">
        <v>431</v>
      </c>
      <c r="G1499" s="2103">
        <f>IF(G1498="","",G1498+10)</f>
        <v>14950</v>
      </c>
      <c r="H1499" s="2104"/>
    </row>
    <row r="1500" spans="1:8" ht="15.5" x14ac:dyDescent="0.35">
      <c r="A1500" s="625"/>
      <c r="B1500" s="626" t="s">
        <v>430</v>
      </c>
      <c r="C1500" s="2101">
        <f>IF(C1499="","",C1499+10)</f>
        <v>14945</v>
      </c>
      <c r="D1500" s="2102"/>
      <c r="E1500" s="627"/>
      <c r="F1500" s="628" t="s">
        <v>431</v>
      </c>
      <c r="G1500" s="2103">
        <f>IF(G1499="","",G1499+10)</f>
        <v>14960</v>
      </c>
      <c r="H1500" s="2104"/>
    </row>
    <row r="1501" spans="1:8" ht="15.5" x14ac:dyDescent="0.35">
      <c r="A1501" s="625">
        <f>A1498+30</f>
        <v>14955</v>
      </c>
      <c r="B1501" s="626" t="s">
        <v>430</v>
      </c>
      <c r="C1501" s="2101">
        <f>IF(A1501="","",A1501)</f>
        <v>14955</v>
      </c>
      <c r="D1501" s="2102"/>
      <c r="E1501" s="627">
        <f>E1498+30</f>
        <v>14970</v>
      </c>
      <c r="F1501" s="628" t="s">
        <v>431</v>
      </c>
      <c r="G1501" s="2103">
        <f>IF(E1501="","",E1501)</f>
        <v>14970</v>
      </c>
      <c r="H1501" s="2104"/>
    </row>
    <row r="1502" spans="1:8" ht="15.5" x14ac:dyDescent="0.35">
      <c r="A1502" s="625"/>
      <c r="B1502" s="626" t="s">
        <v>430</v>
      </c>
      <c r="C1502" s="2101">
        <f>IF(C1501="","",C1501+10)</f>
        <v>14965</v>
      </c>
      <c r="D1502" s="2102"/>
      <c r="E1502" s="627"/>
      <c r="F1502" s="628" t="s">
        <v>431</v>
      </c>
      <c r="G1502" s="2103">
        <f>IF(G1501="","",G1501+10)</f>
        <v>14980</v>
      </c>
      <c r="H1502" s="2104"/>
    </row>
    <row r="1503" spans="1:8" ht="15.5" x14ac:dyDescent="0.35">
      <c r="A1503" s="625"/>
      <c r="B1503" s="626" t="s">
        <v>430</v>
      </c>
      <c r="C1503" s="2101">
        <f>IF(C1502="","",C1502+10)</f>
        <v>14975</v>
      </c>
      <c r="D1503" s="2102"/>
      <c r="E1503" s="627"/>
      <c r="F1503" s="628" t="s">
        <v>431</v>
      </c>
      <c r="G1503" s="2103">
        <f>IF(G1502="","",G1502+10)</f>
        <v>14990</v>
      </c>
      <c r="H1503" s="2104"/>
    </row>
    <row r="1504" spans="1:8" ht="15.5" x14ac:dyDescent="0.35">
      <c r="A1504" s="625">
        <f>A1501+30</f>
        <v>14985</v>
      </c>
      <c r="B1504" s="626" t="s">
        <v>430</v>
      </c>
      <c r="C1504" s="2101">
        <f>IF(A1504="","",A1504)</f>
        <v>14985</v>
      </c>
      <c r="D1504" s="2102"/>
      <c r="E1504" s="627">
        <f>E1501+30</f>
        <v>15000</v>
      </c>
      <c r="F1504" s="628" t="s">
        <v>431</v>
      </c>
      <c r="G1504" s="2103">
        <f>IF(E1504="","",E1504)</f>
        <v>15000</v>
      </c>
      <c r="H1504" s="2104"/>
    </row>
    <row r="1505" spans="1:8" ht="15.5" x14ac:dyDescent="0.35">
      <c r="A1505" s="625"/>
      <c r="B1505" s="626" t="s">
        <v>430</v>
      </c>
      <c r="C1505" s="2101">
        <f>IF(C1504="","",C1504+10)</f>
        <v>14995</v>
      </c>
      <c r="D1505" s="2102"/>
      <c r="E1505" s="627"/>
      <c r="F1505" s="628" t="s">
        <v>431</v>
      </c>
      <c r="G1505" s="2103">
        <f>IF(G1504="","",G1504+10)</f>
        <v>15010</v>
      </c>
      <c r="H1505" s="2104"/>
    </row>
    <row r="1506" spans="1:8" ht="15.5" x14ac:dyDescent="0.35">
      <c r="A1506" s="625"/>
      <c r="B1506" s="626" t="s">
        <v>430</v>
      </c>
      <c r="C1506" s="2101">
        <f>IF(C1505="","",C1505+10)</f>
        <v>15005</v>
      </c>
      <c r="D1506" s="2102"/>
      <c r="E1506" s="627"/>
      <c r="F1506" s="628" t="s">
        <v>431</v>
      </c>
      <c r="G1506" s="2103">
        <f>IF(G1505="","",G1505+10)</f>
        <v>15020</v>
      </c>
      <c r="H1506" s="2104"/>
    </row>
    <row r="1507" spans="1:8" ht="15.5" x14ac:dyDescent="0.35">
      <c r="A1507" s="625">
        <f>A1504+30</f>
        <v>15015</v>
      </c>
      <c r="B1507" s="626" t="s">
        <v>430</v>
      </c>
      <c r="C1507" s="2101">
        <f>IF(A1507="","",A1507)</f>
        <v>15015</v>
      </c>
      <c r="D1507" s="2102"/>
      <c r="E1507" s="627">
        <f>E1504+30</f>
        <v>15030</v>
      </c>
      <c r="F1507" s="628" t="s">
        <v>431</v>
      </c>
      <c r="G1507" s="2103">
        <f>IF(E1507="","",E1507)</f>
        <v>15030</v>
      </c>
      <c r="H1507" s="2104"/>
    </row>
    <row r="1508" spans="1:8" ht="15.5" x14ac:dyDescent="0.35">
      <c r="A1508" s="625"/>
      <c r="B1508" s="626" t="s">
        <v>430</v>
      </c>
      <c r="C1508" s="2101">
        <f>IF(C1507="","",C1507+10)</f>
        <v>15025</v>
      </c>
      <c r="D1508" s="2102"/>
      <c r="E1508" s="627"/>
      <c r="F1508" s="628" t="s">
        <v>431</v>
      </c>
      <c r="G1508" s="2103">
        <f>IF(G1507="","",G1507+10)</f>
        <v>15040</v>
      </c>
      <c r="H1508" s="2104"/>
    </row>
    <row r="1509" spans="1:8" ht="15.5" x14ac:dyDescent="0.35">
      <c r="A1509" s="625"/>
      <c r="B1509" s="626" t="s">
        <v>430</v>
      </c>
      <c r="C1509" s="2101">
        <f>IF(C1508="","",C1508+10)</f>
        <v>15035</v>
      </c>
      <c r="D1509" s="2102"/>
      <c r="E1509" s="627"/>
      <c r="F1509" s="628" t="s">
        <v>431</v>
      </c>
      <c r="G1509" s="2103">
        <f>IF(G1508="","",G1508+10)</f>
        <v>15050</v>
      </c>
      <c r="H1509" s="2104"/>
    </row>
    <row r="1510" spans="1:8" ht="15.5" x14ac:dyDescent="0.35">
      <c r="A1510" s="625">
        <f>A1507+30</f>
        <v>15045</v>
      </c>
      <c r="B1510" s="626" t="s">
        <v>430</v>
      </c>
      <c r="C1510" s="2101">
        <f>IF(A1510="","",A1510)</f>
        <v>15045</v>
      </c>
      <c r="D1510" s="2102"/>
      <c r="E1510" s="627">
        <f>E1507+30</f>
        <v>15060</v>
      </c>
      <c r="F1510" s="628" t="s">
        <v>431</v>
      </c>
      <c r="G1510" s="2103">
        <f>IF(E1510="","",E1510)</f>
        <v>15060</v>
      </c>
      <c r="H1510" s="2104"/>
    </row>
    <row r="1511" spans="1:8" ht="15.5" x14ac:dyDescent="0.35">
      <c r="A1511" s="625"/>
      <c r="B1511" s="626" t="s">
        <v>430</v>
      </c>
      <c r="C1511" s="2101">
        <f>IF(C1510="","",C1510+10)</f>
        <v>15055</v>
      </c>
      <c r="D1511" s="2102"/>
      <c r="E1511" s="627"/>
      <c r="F1511" s="628" t="s">
        <v>431</v>
      </c>
      <c r="G1511" s="2103">
        <f>IF(G1510="","",G1510+10)</f>
        <v>15070</v>
      </c>
      <c r="H1511" s="2104"/>
    </row>
    <row r="1512" spans="1:8" ht="15.5" x14ac:dyDescent="0.35">
      <c r="A1512" s="625"/>
      <c r="B1512" s="626" t="s">
        <v>430</v>
      </c>
      <c r="C1512" s="2101">
        <f>IF(C1511="","",C1511+10)</f>
        <v>15065</v>
      </c>
      <c r="D1512" s="2102"/>
      <c r="E1512" s="627"/>
      <c r="F1512" s="628" t="s">
        <v>431</v>
      </c>
      <c r="G1512" s="2103">
        <f>IF(G1511="","",G1511+10)</f>
        <v>15080</v>
      </c>
      <c r="H1512" s="2104"/>
    </row>
    <row r="1513" spans="1:8" ht="15.5" x14ac:dyDescent="0.35">
      <c r="A1513" s="625">
        <f>A1510+30</f>
        <v>15075</v>
      </c>
      <c r="B1513" s="626" t="s">
        <v>430</v>
      </c>
      <c r="C1513" s="2101">
        <f>IF(A1513="","",A1513)</f>
        <v>15075</v>
      </c>
      <c r="D1513" s="2102"/>
      <c r="E1513" s="627">
        <f>E1510+30</f>
        <v>15090</v>
      </c>
      <c r="F1513" s="628" t="s">
        <v>431</v>
      </c>
      <c r="G1513" s="2103">
        <f>IF(E1513="","",E1513)</f>
        <v>15090</v>
      </c>
      <c r="H1513" s="2104"/>
    </row>
    <row r="1514" spans="1:8" ht="15.5" x14ac:dyDescent="0.35">
      <c r="A1514" s="625"/>
      <c r="B1514" s="626" t="s">
        <v>430</v>
      </c>
      <c r="C1514" s="2101">
        <f>IF(C1513="","",C1513+10)</f>
        <v>15085</v>
      </c>
      <c r="D1514" s="2102"/>
      <c r="E1514" s="627"/>
      <c r="F1514" s="628" t="s">
        <v>431</v>
      </c>
      <c r="G1514" s="2103">
        <f>IF(G1513="","",G1513+10)</f>
        <v>15100</v>
      </c>
      <c r="H1514" s="2104"/>
    </row>
    <row r="1515" spans="1:8" ht="15.5" x14ac:dyDescent="0.35">
      <c r="A1515" s="625"/>
      <c r="B1515" s="626" t="s">
        <v>430</v>
      </c>
      <c r="C1515" s="2101">
        <f>IF(C1514="","",C1514+10)</f>
        <v>15095</v>
      </c>
      <c r="D1515" s="2102"/>
      <c r="E1515" s="627"/>
      <c r="F1515" s="628" t="s">
        <v>431</v>
      </c>
      <c r="G1515" s="2103">
        <f>IF(G1514="","",G1514+10)</f>
        <v>15110</v>
      </c>
      <c r="H1515" s="2104"/>
    </row>
    <row r="1516" spans="1:8" ht="15.5" x14ac:dyDescent="0.35">
      <c r="A1516" s="625">
        <f>A1513+30</f>
        <v>15105</v>
      </c>
      <c r="B1516" s="626" t="s">
        <v>430</v>
      </c>
      <c r="C1516" s="2101">
        <f>IF(A1516="","",A1516)</f>
        <v>15105</v>
      </c>
      <c r="D1516" s="2102"/>
      <c r="E1516" s="627">
        <f>E1513+30</f>
        <v>15120</v>
      </c>
      <c r="F1516" s="628" t="s">
        <v>431</v>
      </c>
      <c r="G1516" s="2103">
        <f>IF(E1516="","",E1516)</f>
        <v>15120</v>
      </c>
      <c r="H1516" s="2104"/>
    </row>
    <row r="1517" spans="1:8" ht="15.5" x14ac:dyDescent="0.35">
      <c r="A1517" s="625"/>
      <c r="B1517" s="626" t="s">
        <v>430</v>
      </c>
      <c r="C1517" s="2101">
        <f>IF(C1516="","",C1516+10)</f>
        <v>15115</v>
      </c>
      <c r="D1517" s="2102"/>
      <c r="E1517" s="627"/>
      <c r="F1517" s="628" t="s">
        <v>431</v>
      </c>
      <c r="G1517" s="2103">
        <f>IF(G1516="","",G1516+10)</f>
        <v>15130</v>
      </c>
      <c r="H1517" s="2104"/>
    </row>
    <row r="1518" spans="1:8" ht="15.5" x14ac:dyDescent="0.35">
      <c r="A1518" s="625"/>
      <c r="B1518" s="626" t="s">
        <v>430</v>
      </c>
      <c r="C1518" s="2101">
        <f>IF(C1517="","",C1517+10)</f>
        <v>15125</v>
      </c>
      <c r="D1518" s="2102"/>
      <c r="E1518" s="627"/>
      <c r="F1518" s="628" t="s">
        <v>431</v>
      </c>
      <c r="G1518" s="2103">
        <f>IF(G1517="","",G1517+10)</f>
        <v>15140</v>
      </c>
      <c r="H1518" s="2104"/>
    </row>
    <row r="1519" spans="1:8" ht="15.5" x14ac:dyDescent="0.35">
      <c r="A1519" s="625">
        <f>A1516+30</f>
        <v>15135</v>
      </c>
      <c r="B1519" s="626" t="s">
        <v>430</v>
      </c>
      <c r="C1519" s="2101">
        <f>IF(A1519="","",A1519)</f>
        <v>15135</v>
      </c>
      <c r="D1519" s="2102"/>
      <c r="E1519" s="627">
        <f>E1516+30</f>
        <v>15150</v>
      </c>
      <c r="F1519" s="628" t="s">
        <v>431</v>
      </c>
      <c r="G1519" s="2103">
        <f>IF(E1519="","",E1519)</f>
        <v>15150</v>
      </c>
      <c r="H1519" s="2104"/>
    </row>
    <row r="1520" spans="1:8" ht="15.5" x14ac:dyDescent="0.35">
      <c r="A1520" s="625"/>
      <c r="B1520" s="626" t="s">
        <v>430</v>
      </c>
      <c r="C1520" s="2101">
        <f>IF(C1519="","",C1519+10)</f>
        <v>15145</v>
      </c>
      <c r="D1520" s="2102"/>
      <c r="E1520" s="627"/>
      <c r="F1520" s="628" t="s">
        <v>431</v>
      </c>
      <c r="G1520" s="2103">
        <f>IF(G1519="","",G1519+10)</f>
        <v>15160</v>
      </c>
      <c r="H1520" s="2104"/>
    </row>
    <row r="1521" spans="1:8" ht="15.5" x14ac:dyDescent="0.35">
      <c r="A1521" s="625"/>
      <c r="B1521" s="626" t="s">
        <v>430</v>
      </c>
      <c r="C1521" s="2101">
        <f>IF(C1520="","",C1520+10)</f>
        <v>15155</v>
      </c>
      <c r="D1521" s="2102"/>
      <c r="E1521" s="627"/>
      <c r="F1521" s="628" t="s">
        <v>431</v>
      </c>
      <c r="G1521" s="2103">
        <f>IF(G1520="","",G1520+10)</f>
        <v>15170</v>
      </c>
      <c r="H1521" s="2104"/>
    </row>
    <row r="1522" spans="1:8" ht="15.5" x14ac:dyDescent="0.35">
      <c r="A1522" s="625">
        <f>A1519+30</f>
        <v>15165</v>
      </c>
      <c r="B1522" s="626" t="s">
        <v>430</v>
      </c>
      <c r="C1522" s="2101">
        <f>IF(A1522="","",A1522)</f>
        <v>15165</v>
      </c>
      <c r="D1522" s="2102"/>
      <c r="E1522" s="627">
        <f>E1519+30</f>
        <v>15180</v>
      </c>
      <c r="F1522" s="628" t="s">
        <v>431</v>
      </c>
      <c r="G1522" s="2103">
        <f>IF(E1522="","",E1522)</f>
        <v>15180</v>
      </c>
      <c r="H1522" s="2104"/>
    </row>
    <row r="1523" spans="1:8" ht="15.5" x14ac:dyDescent="0.35">
      <c r="A1523" s="625"/>
      <c r="B1523" s="626" t="s">
        <v>430</v>
      </c>
      <c r="C1523" s="2101">
        <f>IF(C1522="","",C1522+10)</f>
        <v>15175</v>
      </c>
      <c r="D1523" s="2102"/>
      <c r="E1523" s="627"/>
      <c r="F1523" s="628" t="s">
        <v>431</v>
      </c>
      <c r="G1523" s="2103">
        <f>IF(G1522="","",G1522+10)</f>
        <v>15190</v>
      </c>
      <c r="H1523" s="2104"/>
    </row>
    <row r="1524" spans="1:8" ht="15.5" x14ac:dyDescent="0.35">
      <c r="A1524" s="625"/>
      <c r="B1524" s="626" t="s">
        <v>430</v>
      </c>
      <c r="C1524" s="2101">
        <f>IF(C1523="","",C1523+10)</f>
        <v>15185</v>
      </c>
      <c r="D1524" s="2102"/>
      <c r="E1524" s="627"/>
      <c r="F1524" s="628" t="s">
        <v>431</v>
      </c>
      <c r="G1524" s="2103">
        <f>IF(G1523="","",G1523+10)</f>
        <v>15200</v>
      </c>
      <c r="H1524" s="2104"/>
    </row>
    <row r="1525" spans="1:8" ht="15.5" x14ac:dyDescent="0.35">
      <c r="A1525" s="625">
        <f>A1522+30</f>
        <v>15195</v>
      </c>
      <c r="B1525" s="626" t="s">
        <v>430</v>
      </c>
      <c r="C1525" s="2101">
        <f>IF(A1525="","",A1525)</f>
        <v>15195</v>
      </c>
      <c r="D1525" s="2102"/>
      <c r="E1525" s="627">
        <f>E1522+30</f>
        <v>15210</v>
      </c>
      <c r="F1525" s="628" t="s">
        <v>431</v>
      </c>
      <c r="G1525" s="2103">
        <f>IF(E1525="","",E1525)</f>
        <v>15210</v>
      </c>
      <c r="H1525" s="2104"/>
    </row>
    <row r="1526" spans="1:8" ht="15.5" x14ac:dyDescent="0.35">
      <c r="A1526" s="625"/>
      <c r="B1526" s="626" t="s">
        <v>430</v>
      </c>
      <c r="C1526" s="2101">
        <f>IF(C1525="","",C1525+10)</f>
        <v>15205</v>
      </c>
      <c r="D1526" s="2102"/>
      <c r="E1526" s="627"/>
      <c r="F1526" s="628" t="s">
        <v>431</v>
      </c>
      <c r="G1526" s="2103">
        <f>IF(G1525="","",G1525+10)</f>
        <v>15220</v>
      </c>
      <c r="H1526" s="2104"/>
    </row>
    <row r="1527" spans="1:8" ht="15.5" x14ac:dyDescent="0.35">
      <c r="A1527" s="625"/>
      <c r="B1527" s="626" t="s">
        <v>430</v>
      </c>
      <c r="C1527" s="2101">
        <f>IF(C1526="","",C1526+10)</f>
        <v>15215</v>
      </c>
      <c r="D1527" s="2102"/>
      <c r="E1527" s="627"/>
      <c r="F1527" s="628" t="s">
        <v>431</v>
      </c>
      <c r="G1527" s="2103">
        <f>IF(G1526="","",G1526+10)</f>
        <v>15230</v>
      </c>
      <c r="H1527" s="2104"/>
    </row>
    <row r="1528" spans="1:8" ht="15.5" x14ac:dyDescent="0.35">
      <c r="A1528" s="625">
        <f>A1525+30</f>
        <v>15225</v>
      </c>
      <c r="B1528" s="626" t="s">
        <v>430</v>
      </c>
      <c r="C1528" s="2101">
        <f>IF(A1528="","",A1528)</f>
        <v>15225</v>
      </c>
      <c r="D1528" s="2102"/>
      <c r="E1528" s="627">
        <f>E1525+30</f>
        <v>15240</v>
      </c>
      <c r="F1528" s="628" t="s">
        <v>431</v>
      </c>
      <c r="G1528" s="2103">
        <f>IF(E1528="","",E1528)</f>
        <v>15240</v>
      </c>
      <c r="H1528" s="2104"/>
    </row>
    <row r="1529" spans="1:8" ht="15.5" x14ac:dyDescent="0.35">
      <c r="A1529" s="625"/>
      <c r="B1529" s="626" t="s">
        <v>430</v>
      </c>
      <c r="C1529" s="2101">
        <f>IF(C1528="","",C1528+10)</f>
        <v>15235</v>
      </c>
      <c r="D1529" s="2102"/>
      <c r="E1529" s="627"/>
      <c r="F1529" s="628" t="s">
        <v>431</v>
      </c>
      <c r="G1529" s="2103">
        <f>IF(G1528="","",G1528+10)</f>
        <v>15250</v>
      </c>
      <c r="H1529" s="2104"/>
    </row>
    <row r="1530" spans="1:8" ht="15.5" x14ac:dyDescent="0.35">
      <c r="A1530" s="625"/>
      <c r="B1530" s="626" t="s">
        <v>430</v>
      </c>
      <c r="C1530" s="2101">
        <f>IF(C1529="","",C1529+10)</f>
        <v>15245</v>
      </c>
      <c r="D1530" s="2102"/>
      <c r="E1530" s="627"/>
      <c r="F1530" s="628" t="s">
        <v>431</v>
      </c>
      <c r="G1530" s="2103">
        <f>IF(G1529="","",G1529+10)</f>
        <v>15260</v>
      </c>
      <c r="H1530" s="2104"/>
    </row>
    <row r="1531" spans="1:8" ht="15.5" x14ac:dyDescent="0.35">
      <c r="A1531" s="625">
        <f>A1528+30</f>
        <v>15255</v>
      </c>
      <c r="B1531" s="626" t="s">
        <v>430</v>
      </c>
      <c r="C1531" s="2101">
        <f>IF(A1531="","",A1531)</f>
        <v>15255</v>
      </c>
      <c r="D1531" s="2102"/>
      <c r="E1531" s="627">
        <f>E1528+30</f>
        <v>15270</v>
      </c>
      <c r="F1531" s="628" t="s">
        <v>431</v>
      </c>
      <c r="G1531" s="2103">
        <f>IF(E1531="","",E1531)</f>
        <v>15270</v>
      </c>
      <c r="H1531" s="2104"/>
    </row>
    <row r="1532" spans="1:8" ht="15.5" x14ac:dyDescent="0.35">
      <c r="A1532" s="625"/>
      <c r="B1532" s="626" t="s">
        <v>430</v>
      </c>
      <c r="C1532" s="2101">
        <f>IF(C1531="","",C1531+10)</f>
        <v>15265</v>
      </c>
      <c r="D1532" s="2102"/>
      <c r="E1532" s="627"/>
      <c r="F1532" s="628" t="s">
        <v>431</v>
      </c>
      <c r="G1532" s="2103">
        <f>IF(G1531="","",G1531+10)</f>
        <v>15280</v>
      </c>
      <c r="H1532" s="2104"/>
    </row>
    <row r="1533" spans="1:8" ht="15.5" x14ac:dyDescent="0.35">
      <c r="A1533" s="625"/>
      <c r="B1533" s="626" t="s">
        <v>430</v>
      </c>
      <c r="C1533" s="2101">
        <f>IF(C1532="","",C1532+10)</f>
        <v>15275</v>
      </c>
      <c r="D1533" s="2102"/>
      <c r="E1533" s="627"/>
      <c r="F1533" s="628" t="s">
        <v>431</v>
      </c>
      <c r="G1533" s="2103">
        <f>IF(G1532="","",G1532+10)</f>
        <v>15290</v>
      </c>
      <c r="H1533" s="2104"/>
    </row>
    <row r="1534" spans="1:8" ht="15.5" x14ac:dyDescent="0.35">
      <c r="A1534" s="625">
        <f>A1531+30</f>
        <v>15285</v>
      </c>
      <c r="B1534" s="626" t="s">
        <v>430</v>
      </c>
      <c r="C1534" s="2101">
        <f>IF(A1534="","",A1534)</f>
        <v>15285</v>
      </c>
      <c r="D1534" s="2102"/>
      <c r="E1534" s="627">
        <f>E1531+30</f>
        <v>15300</v>
      </c>
      <c r="F1534" s="628" t="s">
        <v>431</v>
      </c>
      <c r="G1534" s="2103">
        <f>IF(E1534="","",E1534)</f>
        <v>15300</v>
      </c>
      <c r="H1534" s="2104"/>
    </row>
    <row r="1535" spans="1:8" ht="15.5" x14ac:dyDescent="0.35">
      <c r="A1535" s="625"/>
      <c r="B1535" s="626" t="s">
        <v>430</v>
      </c>
      <c r="C1535" s="2101">
        <f>IF(C1534="","",C1534+10)</f>
        <v>15295</v>
      </c>
      <c r="D1535" s="2102"/>
      <c r="E1535" s="627"/>
      <c r="F1535" s="628" t="s">
        <v>431</v>
      </c>
      <c r="G1535" s="2103">
        <f>IF(G1534="","",G1534+10)</f>
        <v>15310</v>
      </c>
      <c r="H1535" s="2104"/>
    </row>
    <row r="1536" spans="1:8" ht="15.5" x14ac:dyDescent="0.35">
      <c r="A1536" s="625"/>
      <c r="B1536" s="626" t="s">
        <v>430</v>
      </c>
      <c r="C1536" s="2101">
        <f>IF(C1535="","",C1535+10)</f>
        <v>15305</v>
      </c>
      <c r="D1536" s="2102"/>
      <c r="E1536" s="627"/>
      <c r="F1536" s="628" t="s">
        <v>431</v>
      </c>
      <c r="G1536" s="2103">
        <f>IF(G1535="","",G1535+10)</f>
        <v>15320</v>
      </c>
      <c r="H1536" s="2104"/>
    </row>
    <row r="1537" spans="1:8" ht="15.5" x14ac:dyDescent="0.35">
      <c r="A1537" s="625">
        <f>A1534+30</f>
        <v>15315</v>
      </c>
      <c r="B1537" s="626" t="s">
        <v>430</v>
      </c>
      <c r="C1537" s="2101">
        <f>IF(A1537="","",A1537)</f>
        <v>15315</v>
      </c>
      <c r="D1537" s="2102"/>
      <c r="E1537" s="627">
        <f>E1534+30</f>
        <v>15330</v>
      </c>
      <c r="F1537" s="628" t="s">
        <v>431</v>
      </c>
      <c r="G1537" s="2103">
        <f>IF(E1537="","",E1537)</f>
        <v>15330</v>
      </c>
      <c r="H1537" s="2104"/>
    </row>
    <row r="1538" spans="1:8" ht="15.5" x14ac:dyDescent="0.35">
      <c r="A1538" s="625"/>
      <c r="B1538" s="626" t="s">
        <v>430</v>
      </c>
      <c r="C1538" s="2101">
        <f>IF(C1537="","",C1537+10)</f>
        <v>15325</v>
      </c>
      <c r="D1538" s="2102"/>
      <c r="E1538" s="627"/>
      <c r="F1538" s="628" t="s">
        <v>431</v>
      </c>
      <c r="G1538" s="2103">
        <f>IF(G1537="","",G1537+10)</f>
        <v>15340</v>
      </c>
      <c r="H1538" s="2104"/>
    </row>
    <row r="1539" spans="1:8" ht="15.5" x14ac:dyDescent="0.35">
      <c r="A1539" s="625"/>
      <c r="B1539" s="626" t="s">
        <v>430</v>
      </c>
      <c r="C1539" s="2101">
        <f>IF(C1538="","",C1538+10)</f>
        <v>15335</v>
      </c>
      <c r="D1539" s="2102"/>
      <c r="E1539" s="627"/>
      <c r="F1539" s="628" t="s">
        <v>431</v>
      </c>
      <c r="G1539" s="2103">
        <f>IF(G1538="","",G1538+10)</f>
        <v>15350</v>
      </c>
      <c r="H1539" s="2104"/>
    </row>
    <row r="1540" spans="1:8" ht="15.5" x14ac:dyDescent="0.35">
      <c r="A1540" s="625">
        <f>A1537+30</f>
        <v>15345</v>
      </c>
      <c r="B1540" s="626" t="s">
        <v>430</v>
      </c>
      <c r="C1540" s="2101">
        <f>IF(A1540="","",A1540)</f>
        <v>15345</v>
      </c>
      <c r="D1540" s="2102"/>
      <c r="E1540" s="627">
        <f>E1537+30</f>
        <v>15360</v>
      </c>
      <c r="F1540" s="628" t="s">
        <v>431</v>
      </c>
      <c r="G1540" s="2103">
        <f>IF(E1540="","",E1540)</f>
        <v>15360</v>
      </c>
      <c r="H1540" s="2104"/>
    </row>
    <row r="1541" spans="1:8" ht="15.5" x14ac:dyDescent="0.35">
      <c r="A1541" s="625"/>
      <c r="B1541" s="626" t="s">
        <v>430</v>
      </c>
      <c r="C1541" s="2101">
        <f>IF(C1540="","",C1540+10)</f>
        <v>15355</v>
      </c>
      <c r="D1541" s="2102"/>
      <c r="E1541" s="627"/>
      <c r="F1541" s="628" t="s">
        <v>431</v>
      </c>
      <c r="G1541" s="2103">
        <f>IF(G1540="","",G1540+10)</f>
        <v>15370</v>
      </c>
      <c r="H1541" s="2104"/>
    </row>
    <row r="1542" spans="1:8" ht="15.5" x14ac:dyDescent="0.35">
      <c r="A1542" s="625"/>
      <c r="B1542" s="626" t="s">
        <v>430</v>
      </c>
      <c r="C1542" s="2101">
        <f>IF(C1541="","",C1541+10)</f>
        <v>15365</v>
      </c>
      <c r="D1542" s="2102"/>
      <c r="E1542" s="627"/>
      <c r="F1542" s="628" t="s">
        <v>431</v>
      </c>
      <c r="G1542" s="2103">
        <f>IF(G1541="","",G1541+10)</f>
        <v>15380</v>
      </c>
      <c r="H1542" s="2104"/>
    </row>
    <row r="1543" spans="1:8" ht="15.5" x14ac:dyDescent="0.35">
      <c r="A1543" s="625">
        <f>A1540+30</f>
        <v>15375</v>
      </c>
      <c r="B1543" s="626" t="s">
        <v>430</v>
      </c>
      <c r="C1543" s="2101">
        <f>IF(A1543="","",A1543)</f>
        <v>15375</v>
      </c>
      <c r="D1543" s="2102"/>
      <c r="E1543" s="627">
        <f>E1540+30</f>
        <v>15390</v>
      </c>
      <c r="F1543" s="628" t="s">
        <v>431</v>
      </c>
      <c r="G1543" s="2103">
        <f>IF(E1543="","",E1543)</f>
        <v>15390</v>
      </c>
      <c r="H1543" s="2104"/>
    </row>
    <row r="1544" spans="1:8" ht="15.5" x14ac:dyDescent="0.35">
      <c r="A1544" s="625"/>
      <c r="B1544" s="626" t="s">
        <v>430</v>
      </c>
      <c r="C1544" s="2101">
        <f>IF(C1543="","",C1543+10)</f>
        <v>15385</v>
      </c>
      <c r="D1544" s="2102"/>
      <c r="E1544" s="627"/>
      <c r="F1544" s="628" t="s">
        <v>431</v>
      </c>
      <c r="G1544" s="2103">
        <f>IF(G1543="","",G1543+10)</f>
        <v>15400</v>
      </c>
      <c r="H1544" s="2104"/>
    </row>
    <row r="1545" spans="1:8" ht="15.5" x14ac:dyDescent="0.35">
      <c r="A1545" s="625"/>
      <c r="B1545" s="626" t="s">
        <v>430</v>
      </c>
      <c r="C1545" s="2101">
        <f>IF(C1544="","",C1544+10)</f>
        <v>15395</v>
      </c>
      <c r="D1545" s="2102"/>
      <c r="E1545" s="627"/>
      <c r="F1545" s="628" t="s">
        <v>431</v>
      </c>
      <c r="G1545" s="2103">
        <f>IF(G1544="","",G1544+10)</f>
        <v>15410</v>
      </c>
      <c r="H1545" s="2104"/>
    </row>
    <row r="1546" spans="1:8" ht="15.5" x14ac:dyDescent="0.35">
      <c r="A1546" s="625">
        <f>A1543+30</f>
        <v>15405</v>
      </c>
      <c r="B1546" s="626" t="s">
        <v>430</v>
      </c>
      <c r="C1546" s="2101">
        <f>IF(A1546="","",A1546)</f>
        <v>15405</v>
      </c>
      <c r="D1546" s="2102"/>
      <c r="E1546" s="627">
        <f>E1543+30</f>
        <v>15420</v>
      </c>
      <c r="F1546" s="628" t="s">
        <v>431</v>
      </c>
      <c r="G1546" s="2103">
        <f>IF(E1546="","",E1546)</f>
        <v>15420</v>
      </c>
      <c r="H1546" s="2104"/>
    </row>
    <row r="1547" spans="1:8" ht="15.5" x14ac:dyDescent="0.35">
      <c r="A1547" s="625"/>
      <c r="B1547" s="626" t="s">
        <v>430</v>
      </c>
      <c r="C1547" s="2101">
        <f>IF(C1546="","",C1546+10)</f>
        <v>15415</v>
      </c>
      <c r="D1547" s="2102"/>
      <c r="E1547" s="627"/>
      <c r="F1547" s="628" t="s">
        <v>431</v>
      </c>
      <c r="G1547" s="2103">
        <f>IF(G1546="","",G1546+10)</f>
        <v>15430</v>
      </c>
      <c r="H1547" s="2104"/>
    </row>
    <row r="1548" spans="1:8" ht="15.5" x14ac:dyDescent="0.35">
      <c r="A1548" s="625"/>
      <c r="B1548" s="626" t="s">
        <v>430</v>
      </c>
      <c r="C1548" s="2101">
        <f>IF(C1547="","",C1547+10)</f>
        <v>15425</v>
      </c>
      <c r="D1548" s="2102"/>
      <c r="E1548" s="627"/>
      <c r="F1548" s="628" t="s">
        <v>431</v>
      </c>
      <c r="G1548" s="2103">
        <f>IF(G1547="","",G1547+10)</f>
        <v>15440</v>
      </c>
      <c r="H1548" s="2104"/>
    </row>
    <row r="1549" spans="1:8" ht="15.5" x14ac:dyDescent="0.35">
      <c r="A1549" s="625">
        <f>A1546+30</f>
        <v>15435</v>
      </c>
      <c r="B1549" s="626" t="s">
        <v>430</v>
      </c>
      <c r="C1549" s="2101">
        <f>IF(A1549="","",A1549)</f>
        <v>15435</v>
      </c>
      <c r="D1549" s="2102"/>
      <c r="E1549" s="627">
        <f>E1546+30</f>
        <v>15450</v>
      </c>
      <c r="F1549" s="628" t="s">
        <v>431</v>
      </c>
      <c r="G1549" s="2103">
        <f>IF(E1549="","",E1549)</f>
        <v>15450</v>
      </c>
      <c r="H1549" s="2104"/>
    </row>
    <row r="1550" spans="1:8" ht="15.5" x14ac:dyDescent="0.35">
      <c r="A1550" s="625"/>
      <c r="B1550" s="626" t="s">
        <v>430</v>
      </c>
      <c r="C1550" s="2101">
        <f>IF(C1549="","",C1549+10)</f>
        <v>15445</v>
      </c>
      <c r="D1550" s="2102"/>
      <c r="E1550" s="627"/>
      <c r="F1550" s="628" t="s">
        <v>431</v>
      </c>
      <c r="G1550" s="2103">
        <f>IF(G1549="","",G1549+10)</f>
        <v>15460</v>
      </c>
      <c r="H1550" s="2104"/>
    </row>
    <row r="1551" spans="1:8" ht="15.5" x14ac:dyDescent="0.35">
      <c r="A1551" s="625"/>
      <c r="B1551" s="626" t="s">
        <v>430</v>
      </c>
      <c r="C1551" s="2101">
        <f>IF(C1550="","",C1550+10)</f>
        <v>15455</v>
      </c>
      <c r="D1551" s="2102"/>
      <c r="E1551" s="627"/>
      <c r="F1551" s="628" t="s">
        <v>431</v>
      </c>
      <c r="G1551" s="2103">
        <f>IF(G1550="","",G1550+10)</f>
        <v>15470</v>
      </c>
      <c r="H1551" s="2104"/>
    </row>
    <row r="1552" spans="1:8" ht="15.5" x14ac:dyDescent="0.35">
      <c r="A1552" s="625">
        <f>A1549+30</f>
        <v>15465</v>
      </c>
      <c r="B1552" s="626" t="s">
        <v>430</v>
      </c>
      <c r="C1552" s="2101">
        <f>IF(A1552="","",A1552)</f>
        <v>15465</v>
      </c>
      <c r="D1552" s="2102"/>
      <c r="E1552" s="627">
        <f>E1549+30</f>
        <v>15480</v>
      </c>
      <c r="F1552" s="628" t="s">
        <v>431</v>
      </c>
      <c r="G1552" s="2103">
        <f>IF(E1552="","",E1552)</f>
        <v>15480</v>
      </c>
      <c r="H1552" s="2104"/>
    </row>
    <row r="1553" spans="1:8" ht="15.5" x14ac:dyDescent="0.35">
      <c r="A1553" s="625"/>
      <c r="B1553" s="626" t="s">
        <v>430</v>
      </c>
      <c r="C1553" s="2101">
        <f>IF(C1552="","",C1552+10)</f>
        <v>15475</v>
      </c>
      <c r="D1553" s="2102"/>
      <c r="E1553" s="627"/>
      <c r="F1553" s="628" t="s">
        <v>431</v>
      </c>
      <c r="G1553" s="2103">
        <f>IF(G1552="","",G1552+10)</f>
        <v>15490</v>
      </c>
      <c r="H1553" s="2104"/>
    </row>
    <row r="1554" spans="1:8" ht="15.5" x14ac:dyDescent="0.35">
      <c r="A1554" s="625"/>
      <c r="B1554" s="626" t="s">
        <v>430</v>
      </c>
      <c r="C1554" s="2101">
        <f>IF(C1553="","",C1553+10)</f>
        <v>15485</v>
      </c>
      <c r="D1554" s="2102"/>
      <c r="E1554" s="627"/>
      <c r="F1554" s="628" t="s">
        <v>431</v>
      </c>
      <c r="G1554" s="2103">
        <f>IF(G1553="","",G1553+10)</f>
        <v>15500</v>
      </c>
      <c r="H1554" s="2104"/>
    </row>
    <row r="1555" spans="1:8" ht="15.5" x14ac:dyDescent="0.35">
      <c r="A1555" s="625">
        <f>A1552+30</f>
        <v>15495</v>
      </c>
      <c r="B1555" s="626" t="s">
        <v>430</v>
      </c>
      <c r="C1555" s="2101">
        <f>IF(A1555="","",A1555)</f>
        <v>15495</v>
      </c>
      <c r="D1555" s="2102"/>
      <c r="E1555" s="627">
        <f>E1552+30</f>
        <v>15510</v>
      </c>
      <c r="F1555" s="628" t="s">
        <v>431</v>
      </c>
      <c r="G1555" s="2103">
        <f>IF(E1555="","",E1555)</f>
        <v>15510</v>
      </c>
      <c r="H1555" s="2104"/>
    </row>
    <row r="1556" spans="1:8" ht="15.5" x14ac:dyDescent="0.35">
      <c r="A1556" s="625"/>
      <c r="B1556" s="626" t="s">
        <v>430</v>
      </c>
      <c r="C1556" s="2101">
        <f>IF(C1555="","",C1555+10)</f>
        <v>15505</v>
      </c>
      <c r="D1556" s="2102"/>
      <c r="E1556" s="627"/>
      <c r="F1556" s="628" t="s">
        <v>431</v>
      </c>
      <c r="G1556" s="2103">
        <f>IF(G1555="","",G1555+10)</f>
        <v>15520</v>
      </c>
      <c r="H1556" s="2104"/>
    </row>
    <row r="1557" spans="1:8" ht="15.5" x14ac:dyDescent="0.35">
      <c r="A1557" s="625"/>
      <c r="B1557" s="626" t="s">
        <v>430</v>
      </c>
      <c r="C1557" s="2101">
        <f>IF(C1556="","",C1556+10)</f>
        <v>15515</v>
      </c>
      <c r="D1557" s="2102"/>
      <c r="E1557" s="627"/>
      <c r="F1557" s="628" t="s">
        <v>431</v>
      </c>
      <c r="G1557" s="2103">
        <f>IF(G1556="","",G1556+10)</f>
        <v>15530</v>
      </c>
      <c r="H1557" s="2104"/>
    </row>
    <row r="1558" spans="1:8" ht="15.5" x14ac:dyDescent="0.35">
      <c r="A1558" s="625">
        <f>A1555+30</f>
        <v>15525</v>
      </c>
      <c r="B1558" s="626" t="s">
        <v>430</v>
      </c>
      <c r="C1558" s="2101">
        <f>IF(A1558="","",A1558)</f>
        <v>15525</v>
      </c>
      <c r="D1558" s="2102"/>
      <c r="E1558" s="627">
        <f>E1555+30</f>
        <v>15540</v>
      </c>
      <c r="F1558" s="628" t="s">
        <v>431</v>
      </c>
      <c r="G1558" s="2103">
        <f>IF(E1558="","",E1558)</f>
        <v>15540</v>
      </c>
      <c r="H1558" s="2104"/>
    </row>
    <row r="1559" spans="1:8" ht="15.5" x14ac:dyDescent="0.35">
      <c r="A1559" s="625"/>
      <c r="B1559" s="626" t="s">
        <v>430</v>
      </c>
      <c r="C1559" s="2101">
        <f>IF(C1558="","",C1558+10)</f>
        <v>15535</v>
      </c>
      <c r="D1559" s="2102"/>
      <c r="E1559" s="627"/>
      <c r="F1559" s="628" t="s">
        <v>431</v>
      </c>
      <c r="G1559" s="2103">
        <f>IF(G1558="","",G1558+10)</f>
        <v>15550</v>
      </c>
      <c r="H1559" s="2104"/>
    </row>
    <row r="1560" spans="1:8" ht="15.5" x14ac:dyDescent="0.35">
      <c r="A1560" s="625"/>
      <c r="B1560" s="626" t="s">
        <v>430</v>
      </c>
      <c r="C1560" s="2101">
        <f>IF(C1559="","",C1559+10)</f>
        <v>15545</v>
      </c>
      <c r="D1560" s="2102"/>
      <c r="E1560" s="627"/>
      <c r="F1560" s="628" t="s">
        <v>431</v>
      </c>
      <c r="G1560" s="2103">
        <f>IF(G1559="","",G1559+10)</f>
        <v>15560</v>
      </c>
      <c r="H1560" s="2104"/>
    </row>
    <row r="1561" spans="1:8" ht="15.5" x14ac:dyDescent="0.35">
      <c r="A1561" s="625">
        <f>A1558+30</f>
        <v>15555</v>
      </c>
      <c r="B1561" s="626" t="s">
        <v>430</v>
      </c>
      <c r="C1561" s="2101">
        <f>IF(A1561="","",A1561)</f>
        <v>15555</v>
      </c>
      <c r="D1561" s="2102"/>
      <c r="E1561" s="627">
        <f>E1558+30</f>
        <v>15570</v>
      </c>
      <c r="F1561" s="628" t="s">
        <v>431</v>
      </c>
      <c r="G1561" s="2103">
        <f>IF(E1561="","",E1561)</f>
        <v>15570</v>
      </c>
      <c r="H1561" s="2104"/>
    </row>
    <row r="1562" spans="1:8" ht="15.5" x14ac:dyDescent="0.35">
      <c r="A1562" s="625"/>
      <c r="B1562" s="626" t="s">
        <v>430</v>
      </c>
      <c r="C1562" s="2101">
        <f>IF(C1561="","",C1561+10)</f>
        <v>15565</v>
      </c>
      <c r="D1562" s="2102"/>
      <c r="E1562" s="627"/>
      <c r="F1562" s="628" t="s">
        <v>431</v>
      </c>
      <c r="G1562" s="2103">
        <f>IF(G1561="","",G1561+10)</f>
        <v>15580</v>
      </c>
      <c r="H1562" s="2104"/>
    </row>
    <row r="1563" spans="1:8" ht="15.5" x14ac:dyDescent="0.35">
      <c r="A1563" s="625"/>
      <c r="B1563" s="626" t="s">
        <v>430</v>
      </c>
      <c r="C1563" s="2101">
        <f>IF(C1562="","",C1562+10)</f>
        <v>15575</v>
      </c>
      <c r="D1563" s="2102"/>
      <c r="E1563" s="627"/>
      <c r="F1563" s="628" t="s">
        <v>431</v>
      </c>
      <c r="G1563" s="2103">
        <f>IF(G1562="","",G1562+10)</f>
        <v>15590</v>
      </c>
      <c r="H1563" s="2104"/>
    </row>
    <row r="1564" spans="1:8" ht="15.5" x14ac:dyDescent="0.35">
      <c r="A1564" s="625">
        <f>A1561+30</f>
        <v>15585</v>
      </c>
      <c r="B1564" s="626" t="s">
        <v>430</v>
      </c>
      <c r="C1564" s="2101">
        <f>IF(A1564="","",A1564)</f>
        <v>15585</v>
      </c>
      <c r="D1564" s="2102"/>
      <c r="E1564" s="627">
        <f>E1561+30</f>
        <v>15600</v>
      </c>
      <c r="F1564" s="628" t="s">
        <v>431</v>
      </c>
      <c r="G1564" s="2103">
        <f>IF(E1564="","",E1564)</f>
        <v>15600</v>
      </c>
      <c r="H1564" s="2104"/>
    </row>
    <row r="1565" spans="1:8" ht="15.5" x14ac:dyDescent="0.35">
      <c r="A1565" s="625"/>
      <c r="B1565" s="626" t="s">
        <v>430</v>
      </c>
      <c r="C1565" s="2101">
        <f>IF(C1564="","",C1564+10)</f>
        <v>15595</v>
      </c>
      <c r="D1565" s="2102"/>
      <c r="E1565" s="627"/>
      <c r="F1565" s="628" t="s">
        <v>431</v>
      </c>
      <c r="G1565" s="2103">
        <f>IF(G1564="","",G1564+10)</f>
        <v>15610</v>
      </c>
      <c r="H1565" s="2104"/>
    </row>
    <row r="1566" spans="1:8" ht="15.5" x14ac:dyDescent="0.35">
      <c r="A1566" s="625"/>
      <c r="B1566" s="626" t="s">
        <v>430</v>
      </c>
      <c r="C1566" s="2101">
        <f>IF(C1565="","",C1565+10)</f>
        <v>15605</v>
      </c>
      <c r="D1566" s="2102"/>
      <c r="E1566" s="627"/>
      <c r="F1566" s="628" t="s">
        <v>431</v>
      </c>
      <c r="G1566" s="2103">
        <f>IF(G1565="","",G1565+10)</f>
        <v>15620</v>
      </c>
      <c r="H1566" s="2104"/>
    </row>
    <row r="1567" spans="1:8" ht="15.5" x14ac:dyDescent="0.35">
      <c r="A1567" s="625">
        <f>A1564+30</f>
        <v>15615</v>
      </c>
      <c r="B1567" s="626" t="s">
        <v>430</v>
      </c>
      <c r="C1567" s="2101">
        <f>IF(A1567="","",A1567)</f>
        <v>15615</v>
      </c>
      <c r="D1567" s="2102"/>
      <c r="E1567" s="627">
        <f>E1564+30</f>
        <v>15630</v>
      </c>
      <c r="F1567" s="628" t="s">
        <v>431</v>
      </c>
      <c r="G1567" s="2103">
        <f>IF(E1567="","",E1567)</f>
        <v>15630</v>
      </c>
      <c r="H1567" s="2104"/>
    </row>
    <row r="1568" spans="1:8" ht="15.5" x14ac:dyDescent="0.35">
      <c r="A1568" s="625"/>
      <c r="B1568" s="626" t="s">
        <v>430</v>
      </c>
      <c r="C1568" s="2101">
        <f>IF(C1567="","",C1567+10)</f>
        <v>15625</v>
      </c>
      <c r="D1568" s="2102"/>
      <c r="E1568" s="627"/>
      <c r="F1568" s="628" t="s">
        <v>431</v>
      </c>
      <c r="G1568" s="2103">
        <f>IF(G1567="","",G1567+10)</f>
        <v>15640</v>
      </c>
      <c r="H1568" s="2104"/>
    </row>
    <row r="1569" spans="1:8" ht="15.5" x14ac:dyDescent="0.35">
      <c r="A1569" s="625"/>
      <c r="B1569" s="626" t="s">
        <v>430</v>
      </c>
      <c r="C1569" s="2101">
        <f>IF(C1568="","",C1568+10)</f>
        <v>15635</v>
      </c>
      <c r="D1569" s="2102"/>
      <c r="E1569" s="627"/>
      <c r="F1569" s="628" t="s">
        <v>431</v>
      </c>
      <c r="G1569" s="2103">
        <f>IF(G1568="","",G1568+10)</f>
        <v>15650</v>
      </c>
      <c r="H1569" s="2104"/>
    </row>
    <row r="1570" spans="1:8" ht="15.5" x14ac:dyDescent="0.35">
      <c r="A1570" s="625">
        <f>A1567+30</f>
        <v>15645</v>
      </c>
      <c r="B1570" s="626" t="s">
        <v>430</v>
      </c>
      <c r="C1570" s="2101">
        <f>IF(A1570="","",A1570)</f>
        <v>15645</v>
      </c>
      <c r="D1570" s="2102"/>
      <c r="E1570" s="627">
        <f>E1567+30</f>
        <v>15660</v>
      </c>
      <c r="F1570" s="628" t="s">
        <v>431</v>
      </c>
      <c r="G1570" s="2103">
        <f>IF(E1570="","",E1570)</f>
        <v>15660</v>
      </c>
      <c r="H1570" s="2104"/>
    </row>
    <row r="1571" spans="1:8" ht="15.5" x14ac:dyDescent="0.35">
      <c r="A1571" s="625"/>
      <c r="B1571" s="626" t="s">
        <v>430</v>
      </c>
      <c r="C1571" s="2101">
        <f>IF(C1570="","",C1570+10)</f>
        <v>15655</v>
      </c>
      <c r="D1571" s="2102"/>
      <c r="E1571" s="627"/>
      <c r="F1571" s="628" t="s">
        <v>431</v>
      </c>
      <c r="G1571" s="2103">
        <f>IF(G1570="","",G1570+10)</f>
        <v>15670</v>
      </c>
      <c r="H1571" s="2104"/>
    </row>
    <row r="1572" spans="1:8" ht="15.5" x14ac:dyDescent="0.35">
      <c r="A1572" s="625"/>
      <c r="B1572" s="626" t="s">
        <v>430</v>
      </c>
      <c r="C1572" s="2101">
        <f>IF(C1571="","",C1571+10)</f>
        <v>15665</v>
      </c>
      <c r="D1572" s="2102"/>
      <c r="E1572" s="627"/>
      <c r="F1572" s="628" t="s">
        <v>431</v>
      </c>
      <c r="G1572" s="2103">
        <f>IF(G1571="","",G1571+10)</f>
        <v>15680</v>
      </c>
      <c r="H1572" s="2104"/>
    </row>
    <row r="1573" spans="1:8" ht="15.5" x14ac:dyDescent="0.35">
      <c r="A1573" s="625">
        <f>A1570+30</f>
        <v>15675</v>
      </c>
      <c r="B1573" s="626" t="s">
        <v>430</v>
      </c>
      <c r="C1573" s="2101">
        <f>IF(A1573="","",A1573)</f>
        <v>15675</v>
      </c>
      <c r="D1573" s="2102"/>
      <c r="E1573" s="627">
        <f>E1570+30</f>
        <v>15690</v>
      </c>
      <c r="F1573" s="628" t="s">
        <v>431</v>
      </c>
      <c r="G1573" s="2103">
        <f>IF(E1573="","",E1573)</f>
        <v>15690</v>
      </c>
      <c r="H1573" s="2104"/>
    </row>
    <row r="1574" spans="1:8" ht="15.5" x14ac:dyDescent="0.35">
      <c r="A1574" s="625"/>
      <c r="B1574" s="626" t="s">
        <v>430</v>
      </c>
      <c r="C1574" s="2101">
        <f>IF(C1573="","",C1573+10)</f>
        <v>15685</v>
      </c>
      <c r="D1574" s="2102"/>
      <c r="E1574" s="627"/>
      <c r="F1574" s="628" t="s">
        <v>431</v>
      </c>
      <c r="G1574" s="2103">
        <f>IF(G1573="","",G1573+10)</f>
        <v>15700</v>
      </c>
      <c r="H1574" s="2104"/>
    </row>
    <row r="1575" spans="1:8" ht="15.5" x14ac:dyDescent="0.35">
      <c r="A1575" s="625"/>
      <c r="B1575" s="626" t="s">
        <v>430</v>
      </c>
      <c r="C1575" s="2101">
        <f>IF(C1574="","",C1574+10)</f>
        <v>15695</v>
      </c>
      <c r="D1575" s="2102"/>
      <c r="E1575" s="627"/>
      <c r="F1575" s="628" t="s">
        <v>431</v>
      </c>
      <c r="G1575" s="2103">
        <f>IF(G1574="","",G1574+10)</f>
        <v>15710</v>
      </c>
      <c r="H1575" s="2104"/>
    </row>
    <row r="1576" spans="1:8" ht="15.5" x14ac:dyDescent="0.35">
      <c r="A1576" s="625">
        <f>A1573+30</f>
        <v>15705</v>
      </c>
      <c r="B1576" s="626" t="s">
        <v>430</v>
      </c>
      <c r="C1576" s="2101">
        <f>IF(A1576="","",A1576)</f>
        <v>15705</v>
      </c>
      <c r="D1576" s="2102"/>
      <c r="E1576" s="627">
        <f>E1573+30</f>
        <v>15720</v>
      </c>
      <c r="F1576" s="628" t="s">
        <v>431</v>
      </c>
      <c r="G1576" s="2103">
        <f>IF(E1576="","",E1576)</f>
        <v>15720</v>
      </c>
      <c r="H1576" s="2104"/>
    </row>
    <row r="1577" spans="1:8" ht="15.5" x14ac:dyDescent="0.35">
      <c r="A1577" s="625"/>
      <c r="B1577" s="626" t="s">
        <v>430</v>
      </c>
      <c r="C1577" s="2101">
        <f>IF(C1576="","",C1576+10)</f>
        <v>15715</v>
      </c>
      <c r="D1577" s="2102"/>
      <c r="E1577" s="627"/>
      <c r="F1577" s="628" t="s">
        <v>431</v>
      </c>
      <c r="G1577" s="2103">
        <f>IF(G1576="","",G1576+10)</f>
        <v>15730</v>
      </c>
      <c r="H1577" s="2104"/>
    </row>
    <row r="1578" spans="1:8" ht="15.5" x14ac:dyDescent="0.35">
      <c r="A1578" s="625"/>
      <c r="B1578" s="626" t="s">
        <v>430</v>
      </c>
      <c r="C1578" s="2101">
        <f>IF(C1577="","",C1577+10)</f>
        <v>15725</v>
      </c>
      <c r="D1578" s="2102"/>
      <c r="E1578" s="627"/>
      <c r="F1578" s="628" t="s">
        <v>431</v>
      </c>
      <c r="G1578" s="2103">
        <f>IF(G1577="","",G1577+10)</f>
        <v>15740</v>
      </c>
      <c r="H1578" s="2104"/>
    </row>
    <row r="1579" spans="1:8" ht="15.5" x14ac:dyDescent="0.35">
      <c r="A1579" s="625">
        <f>A1576+30</f>
        <v>15735</v>
      </c>
      <c r="B1579" s="626" t="s">
        <v>430</v>
      </c>
      <c r="C1579" s="2101">
        <f>IF(A1579="","",A1579)</f>
        <v>15735</v>
      </c>
      <c r="D1579" s="2102"/>
      <c r="E1579" s="627">
        <f>E1576+30</f>
        <v>15750</v>
      </c>
      <c r="F1579" s="628" t="s">
        <v>431</v>
      </c>
      <c r="G1579" s="2103">
        <f>IF(E1579="","",E1579)</f>
        <v>15750</v>
      </c>
      <c r="H1579" s="2104"/>
    </row>
    <row r="1580" spans="1:8" ht="15.5" x14ac:dyDescent="0.35">
      <c r="A1580" s="625"/>
      <c r="B1580" s="626" t="s">
        <v>430</v>
      </c>
      <c r="C1580" s="2101">
        <f>IF(C1579="","",C1579+10)</f>
        <v>15745</v>
      </c>
      <c r="D1580" s="2102"/>
      <c r="E1580" s="627"/>
      <c r="F1580" s="628" t="s">
        <v>431</v>
      </c>
      <c r="G1580" s="2103">
        <f>IF(G1579="","",G1579+10)</f>
        <v>15760</v>
      </c>
      <c r="H1580" s="2104"/>
    </row>
    <row r="1581" spans="1:8" ht="15.5" x14ac:dyDescent="0.35">
      <c r="A1581" s="625"/>
      <c r="B1581" s="626" t="s">
        <v>430</v>
      </c>
      <c r="C1581" s="2101">
        <f>IF(C1580="","",C1580+10)</f>
        <v>15755</v>
      </c>
      <c r="D1581" s="2102"/>
      <c r="E1581" s="627"/>
      <c r="F1581" s="628" t="s">
        <v>431</v>
      </c>
      <c r="G1581" s="2103">
        <f>IF(G1580="","",G1580+10)</f>
        <v>15770</v>
      </c>
      <c r="H1581" s="2104"/>
    </row>
    <row r="1582" spans="1:8" ht="15.5" x14ac:dyDescent="0.35">
      <c r="A1582" s="625">
        <f>A1579+30</f>
        <v>15765</v>
      </c>
      <c r="B1582" s="626" t="s">
        <v>430</v>
      </c>
      <c r="C1582" s="2101">
        <f>IF(A1582="","",A1582)</f>
        <v>15765</v>
      </c>
      <c r="D1582" s="2102"/>
      <c r="E1582" s="627">
        <f>E1579+30</f>
        <v>15780</v>
      </c>
      <c r="F1582" s="628" t="s">
        <v>431</v>
      </c>
      <c r="G1582" s="2103">
        <f>IF(E1582="","",E1582)</f>
        <v>15780</v>
      </c>
      <c r="H1582" s="2104"/>
    </row>
    <row r="1583" spans="1:8" ht="15.5" x14ac:dyDescent="0.35">
      <c r="A1583" s="625"/>
      <c r="B1583" s="626" t="s">
        <v>430</v>
      </c>
      <c r="C1583" s="2101">
        <f>IF(C1582="","",C1582+10)</f>
        <v>15775</v>
      </c>
      <c r="D1583" s="2102"/>
      <c r="E1583" s="627"/>
      <c r="F1583" s="628" t="s">
        <v>431</v>
      </c>
      <c r="G1583" s="2103">
        <f>IF(G1582="","",G1582+10)</f>
        <v>15790</v>
      </c>
      <c r="H1583" s="2104"/>
    </row>
    <row r="1584" spans="1:8" ht="15.5" x14ac:dyDescent="0.35">
      <c r="A1584" s="625"/>
      <c r="B1584" s="626" t="s">
        <v>430</v>
      </c>
      <c r="C1584" s="2101">
        <f>IF(C1583="","",C1583+10)</f>
        <v>15785</v>
      </c>
      <c r="D1584" s="2102"/>
      <c r="E1584" s="627"/>
      <c r="F1584" s="628" t="s">
        <v>431</v>
      </c>
      <c r="G1584" s="2103">
        <f>IF(G1583="","",G1583+10)</f>
        <v>15800</v>
      </c>
      <c r="H1584" s="2104"/>
    </row>
    <row r="1585" spans="1:8" ht="15.5" x14ac:dyDescent="0.35">
      <c r="A1585" s="625">
        <f>A1582+30</f>
        <v>15795</v>
      </c>
      <c r="B1585" s="626" t="s">
        <v>430</v>
      </c>
      <c r="C1585" s="2101">
        <f>IF(A1585="","",A1585)</f>
        <v>15795</v>
      </c>
      <c r="D1585" s="2102"/>
      <c r="E1585" s="627">
        <f>E1582+30</f>
        <v>15810</v>
      </c>
      <c r="F1585" s="628" t="s">
        <v>431</v>
      </c>
      <c r="G1585" s="2103">
        <f>IF(E1585="","",E1585)</f>
        <v>15810</v>
      </c>
      <c r="H1585" s="2104"/>
    </row>
    <row r="1586" spans="1:8" ht="15.5" x14ac:dyDescent="0.35">
      <c r="A1586" s="625"/>
      <c r="B1586" s="626" t="s">
        <v>430</v>
      </c>
      <c r="C1586" s="2101">
        <f>IF(C1585="","",C1585+10)</f>
        <v>15805</v>
      </c>
      <c r="D1586" s="2102"/>
      <c r="E1586" s="627"/>
      <c r="F1586" s="628" t="s">
        <v>431</v>
      </c>
      <c r="G1586" s="2103">
        <f>IF(G1585="","",G1585+10)</f>
        <v>15820</v>
      </c>
      <c r="H1586" s="2104"/>
    </row>
    <row r="1587" spans="1:8" ht="15.5" x14ac:dyDescent="0.35">
      <c r="A1587" s="625"/>
      <c r="B1587" s="626" t="s">
        <v>430</v>
      </c>
      <c r="C1587" s="2101">
        <f>IF(C1586="","",C1586+10)</f>
        <v>15815</v>
      </c>
      <c r="D1587" s="2102"/>
      <c r="E1587" s="627"/>
      <c r="F1587" s="628" t="s">
        <v>431</v>
      </c>
      <c r="G1587" s="2103">
        <f>IF(G1586="","",G1586+10)</f>
        <v>15830</v>
      </c>
      <c r="H1587" s="2104"/>
    </row>
    <row r="1588" spans="1:8" ht="15.5" x14ac:dyDescent="0.35">
      <c r="A1588" s="625">
        <f>A1585+30</f>
        <v>15825</v>
      </c>
      <c r="B1588" s="626" t="s">
        <v>430</v>
      </c>
      <c r="C1588" s="2101">
        <f>IF(A1588="","",A1588)</f>
        <v>15825</v>
      </c>
      <c r="D1588" s="2102"/>
      <c r="E1588" s="627">
        <f>E1585+30</f>
        <v>15840</v>
      </c>
      <c r="F1588" s="628" t="s">
        <v>431</v>
      </c>
      <c r="G1588" s="2103">
        <f>IF(E1588="","",E1588)</f>
        <v>15840</v>
      </c>
      <c r="H1588" s="2104"/>
    </row>
    <row r="1589" spans="1:8" ht="15.5" x14ac:dyDescent="0.35">
      <c r="A1589" s="625"/>
      <c r="B1589" s="626" t="s">
        <v>430</v>
      </c>
      <c r="C1589" s="2101">
        <f>IF(C1588="","",C1588+10)</f>
        <v>15835</v>
      </c>
      <c r="D1589" s="2102"/>
      <c r="E1589" s="627"/>
      <c r="F1589" s="628" t="s">
        <v>431</v>
      </c>
      <c r="G1589" s="2103">
        <f>IF(G1588="","",G1588+10)</f>
        <v>15850</v>
      </c>
      <c r="H1589" s="2104"/>
    </row>
    <row r="1590" spans="1:8" ht="15.5" x14ac:dyDescent="0.35">
      <c r="A1590" s="625"/>
      <c r="B1590" s="626" t="s">
        <v>430</v>
      </c>
      <c r="C1590" s="2101">
        <f>IF(C1589="","",C1589+10)</f>
        <v>15845</v>
      </c>
      <c r="D1590" s="2102"/>
      <c r="E1590" s="627"/>
      <c r="F1590" s="628" t="s">
        <v>431</v>
      </c>
      <c r="G1590" s="2103">
        <f>IF(G1589="","",G1589+10)</f>
        <v>15860</v>
      </c>
      <c r="H1590" s="2104"/>
    </row>
    <row r="1591" spans="1:8" ht="15.5" x14ac:dyDescent="0.35">
      <c r="A1591" s="625">
        <f>A1588+30</f>
        <v>15855</v>
      </c>
      <c r="B1591" s="626" t="s">
        <v>430</v>
      </c>
      <c r="C1591" s="2101">
        <f>IF(A1591="","",A1591)</f>
        <v>15855</v>
      </c>
      <c r="D1591" s="2102"/>
      <c r="E1591" s="627">
        <f>E1588+30</f>
        <v>15870</v>
      </c>
      <c r="F1591" s="628" t="s">
        <v>431</v>
      </c>
      <c r="G1591" s="2103">
        <f>IF(E1591="","",E1591)</f>
        <v>15870</v>
      </c>
      <c r="H1591" s="2104"/>
    </row>
    <row r="1592" spans="1:8" ht="15.5" x14ac:dyDescent="0.35">
      <c r="A1592" s="625"/>
      <c r="B1592" s="626" t="s">
        <v>430</v>
      </c>
      <c r="C1592" s="2101">
        <f>IF(C1591="","",C1591+10)</f>
        <v>15865</v>
      </c>
      <c r="D1592" s="2102"/>
      <c r="E1592" s="627"/>
      <c r="F1592" s="628" t="s">
        <v>431</v>
      </c>
      <c r="G1592" s="2103">
        <f>IF(G1591="","",G1591+10)</f>
        <v>15880</v>
      </c>
      <c r="H1592" s="2104"/>
    </row>
    <row r="1593" spans="1:8" ht="15.5" x14ac:dyDescent="0.35">
      <c r="A1593" s="625"/>
      <c r="B1593" s="626" t="s">
        <v>430</v>
      </c>
      <c r="C1593" s="2101">
        <f>IF(C1592="","",C1592+10)</f>
        <v>15875</v>
      </c>
      <c r="D1593" s="2102"/>
      <c r="E1593" s="627"/>
      <c r="F1593" s="628" t="s">
        <v>431</v>
      </c>
      <c r="G1593" s="2103">
        <f>IF(G1592="","",G1592+10)</f>
        <v>15890</v>
      </c>
      <c r="H1593" s="2104"/>
    </row>
    <row r="1594" spans="1:8" ht="15.5" x14ac:dyDescent="0.35">
      <c r="A1594" s="625">
        <f>A1591+30</f>
        <v>15885</v>
      </c>
      <c r="B1594" s="626" t="s">
        <v>430</v>
      </c>
      <c r="C1594" s="2101">
        <f>IF(A1594="","",A1594)</f>
        <v>15885</v>
      </c>
      <c r="D1594" s="2102"/>
      <c r="E1594" s="627">
        <f>E1591+30</f>
        <v>15900</v>
      </c>
      <c r="F1594" s="628" t="s">
        <v>431</v>
      </c>
      <c r="G1594" s="2103">
        <f>IF(E1594="","",E1594)</f>
        <v>15900</v>
      </c>
      <c r="H1594" s="2104"/>
    </row>
    <row r="1595" spans="1:8" ht="15.5" x14ac:dyDescent="0.35">
      <c r="A1595" s="625"/>
      <c r="B1595" s="626" t="s">
        <v>430</v>
      </c>
      <c r="C1595" s="2101">
        <f>IF(C1594="","",C1594+10)</f>
        <v>15895</v>
      </c>
      <c r="D1595" s="2102"/>
      <c r="E1595" s="627"/>
      <c r="F1595" s="628" t="s">
        <v>431</v>
      </c>
      <c r="G1595" s="2103">
        <f>IF(G1594="","",G1594+10)</f>
        <v>15910</v>
      </c>
      <c r="H1595" s="2104"/>
    </row>
    <row r="1596" spans="1:8" ht="15.5" x14ac:dyDescent="0.35">
      <c r="A1596" s="625"/>
      <c r="B1596" s="626" t="s">
        <v>430</v>
      </c>
      <c r="C1596" s="2101">
        <f>IF(C1595="","",C1595+10)</f>
        <v>15905</v>
      </c>
      <c r="D1596" s="2102"/>
      <c r="E1596" s="627"/>
      <c r="F1596" s="628" t="s">
        <v>431</v>
      </c>
      <c r="G1596" s="2103">
        <f>IF(G1595="","",G1595+10)</f>
        <v>15920</v>
      </c>
      <c r="H1596" s="2104"/>
    </row>
    <row r="1597" spans="1:8" ht="15.5" x14ac:dyDescent="0.35">
      <c r="A1597" s="625">
        <f>A1594+30</f>
        <v>15915</v>
      </c>
      <c r="B1597" s="626" t="s">
        <v>430</v>
      </c>
      <c r="C1597" s="2101">
        <f>IF(A1597="","",A1597)</f>
        <v>15915</v>
      </c>
      <c r="D1597" s="2102"/>
      <c r="E1597" s="627">
        <f>E1594+30</f>
        <v>15930</v>
      </c>
      <c r="F1597" s="628" t="s">
        <v>431</v>
      </c>
      <c r="G1597" s="2103">
        <f>IF(E1597="","",E1597)</f>
        <v>15930</v>
      </c>
      <c r="H1597" s="2104"/>
    </row>
    <row r="1598" spans="1:8" ht="15.5" x14ac:dyDescent="0.35">
      <c r="A1598" s="625"/>
      <c r="B1598" s="626" t="s">
        <v>430</v>
      </c>
      <c r="C1598" s="2101">
        <f>IF(C1597="","",C1597+10)</f>
        <v>15925</v>
      </c>
      <c r="D1598" s="2102"/>
      <c r="E1598" s="627"/>
      <c r="F1598" s="628" t="s">
        <v>431</v>
      </c>
      <c r="G1598" s="2103">
        <f>IF(G1597="","",G1597+10)</f>
        <v>15940</v>
      </c>
      <c r="H1598" s="2104"/>
    </row>
    <row r="1599" spans="1:8" ht="15.5" x14ac:dyDescent="0.35">
      <c r="A1599" s="625"/>
      <c r="B1599" s="626" t="s">
        <v>430</v>
      </c>
      <c r="C1599" s="2101">
        <f>IF(C1598="","",C1598+10)</f>
        <v>15935</v>
      </c>
      <c r="D1599" s="2102"/>
      <c r="E1599" s="627"/>
      <c r="F1599" s="628" t="s">
        <v>431</v>
      </c>
      <c r="G1599" s="2103">
        <f>IF(G1598="","",G1598+10)</f>
        <v>15950</v>
      </c>
      <c r="H1599" s="2104"/>
    </row>
    <row r="1600" spans="1:8" ht="15.5" x14ac:dyDescent="0.35">
      <c r="A1600" s="625">
        <f>A1597+30</f>
        <v>15945</v>
      </c>
      <c r="B1600" s="626" t="s">
        <v>430</v>
      </c>
      <c r="C1600" s="2101">
        <f>IF(A1600="","",A1600)</f>
        <v>15945</v>
      </c>
      <c r="D1600" s="2102"/>
      <c r="E1600" s="627">
        <f>E1597+30</f>
        <v>15960</v>
      </c>
      <c r="F1600" s="628" t="s">
        <v>431</v>
      </c>
      <c r="G1600" s="2103">
        <f>IF(E1600="","",E1600)</f>
        <v>15960</v>
      </c>
      <c r="H1600" s="2104"/>
    </row>
    <row r="1601" spans="1:8" ht="15.5" x14ac:dyDescent="0.35">
      <c r="A1601" s="625"/>
      <c r="B1601" s="626" t="s">
        <v>430</v>
      </c>
      <c r="C1601" s="2101">
        <f>IF(C1600="","",C1600+10)</f>
        <v>15955</v>
      </c>
      <c r="D1601" s="2102"/>
      <c r="E1601" s="627"/>
      <c r="F1601" s="628" t="s">
        <v>431</v>
      </c>
      <c r="G1601" s="2103">
        <f>IF(G1600="","",G1600+10)</f>
        <v>15970</v>
      </c>
      <c r="H1601" s="2104"/>
    </row>
    <row r="1602" spans="1:8" ht="15.5" x14ac:dyDescent="0.35">
      <c r="A1602" s="625"/>
      <c r="B1602" s="626" t="s">
        <v>430</v>
      </c>
      <c r="C1602" s="2101">
        <f>IF(C1601="","",C1601+10)</f>
        <v>15965</v>
      </c>
      <c r="D1602" s="2102"/>
      <c r="E1602" s="627"/>
      <c r="F1602" s="628" t="s">
        <v>431</v>
      </c>
      <c r="G1602" s="2103">
        <f>IF(G1601="","",G1601+10)</f>
        <v>15980</v>
      </c>
      <c r="H1602" s="2104"/>
    </row>
    <row r="1603" spans="1:8" ht="15.5" x14ac:dyDescent="0.35">
      <c r="A1603" s="625">
        <f>A1600+30</f>
        <v>15975</v>
      </c>
      <c r="B1603" s="626" t="s">
        <v>430</v>
      </c>
      <c r="C1603" s="2101">
        <f>IF(A1603="","",A1603)</f>
        <v>15975</v>
      </c>
      <c r="D1603" s="2102"/>
      <c r="E1603" s="627">
        <f>E1600+30</f>
        <v>15990</v>
      </c>
      <c r="F1603" s="628" t="s">
        <v>431</v>
      </c>
      <c r="G1603" s="2103">
        <f>IF(E1603="","",E1603)</f>
        <v>15990</v>
      </c>
      <c r="H1603" s="2104"/>
    </row>
    <row r="1604" spans="1:8" ht="15.5" x14ac:dyDescent="0.35">
      <c r="A1604" s="625"/>
      <c r="B1604" s="626" t="s">
        <v>430</v>
      </c>
      <c r="C1604" s="2101">
        <f>IF(C1603="","",C1603+10)</f>
        <v>15985</v>
      </c>
      <c r="D1604" s="2102"/>
      <c r="E1604" s="627"/>
      <c r="F1604" s="628" t="s">
        <v>431</v>
      </c>
      <c r="G1604" s="2103">
        <f>IF(G1603="","",G1603+10)</f>
        <v>16000</v>
      </c>
      <c r="H1604" s="2104"/>
    </row>
    <row r="1605" spans="1:8" ht="15.5" x14ac:dyDescent="0.35">
      <c r="A1605" s="625"/>
      <c r="B1605" s="626" t="s">
        <v>430</v>
      </c>
      <c r="C1605" s="2101">
        <f>IF(C1604="","",C1604+10)</f>
        <v>15995</v>
      </c>
      <c r="D1605" s="2102"/>
      <c r="E1605" s="627"/>
      <c r="F1605" s="628" t="s">
        <v>431</v>
      </c>
      <c r="G1605" s="2103">
        <f>IF(G1604="","",G1604+10)</f>
        <v>16010</v>
      </c>
      <c r="H1605" s="2104"/>
    </row>
    <row r="1606" spans="1:8" ht="15.5" x14ac:dyDescent="0.35">
      <c r="A1606" s="625">
        <f>A1603+30</f>
        <v>16005</v>
      </c>
      <c r="B1606" s="626" t="s">
        <v>430</v>
      </c>
      <c r="C1606" s="2101">
        <f>IF(A1606="","",A1606)</f>
        <v>16005</v>
      </c>
      <c r="D1606" s="2102"/>
      <c r="E1606" s="627">
        <f>E1603+30</f>
        <v>16020</v>
      </c>
      <c r="F1606" s="628" t="s">
        <v>431</v>
      </c>
      <c r="G1606" s="2103">
        <f>IF(E1606="","",E1606)</f>
        <v>16020</v>
      </c>
      <c r="H1606" s="2104"/>
    </row>
    <row r="1607" spans="1:8" ht="15.5" x14ac:dyDescent="0.35">
      <c r="A1607" s="625"/>
      <c r="B1607" s="626" t="s">
        <v>430</v>
      </c>
      <c r="C1607" s="2101">
        <f>IF(C1606="","",C1606+10)</f>
        <v>16015</v>
      </c>
      <c r="D1607" s="2102"/>
      <c r="E1607" s="627"/>
      <c r="F1607" s="628" t="s">
        <v>431</v>
      </c>
      <c r="G1607" s="2103">
        <f>IF(G1606="","",G1606+10)</f>
        <v>16030</v>
      </c>
      <c r="H1607" s="2104"/>
    </row>
    <row r="1608" spans="1:8" ht="15.5" x14ac:dyDescent="0.35">
      <c r="A1608" s="625"/>
      <c r="B1608" s="626" t="s">
        <v>430</v>
      </c>
      <c r="C1608" s="2101">
        <f>IF(C1607="","",C1607+10)</f>
        <v>16025</v>
      </c>
      <c r="D1608" s="2102"/>
      <c r="E1608" s="627"/>
      <c r="F1608" s="628" t="s">
        <v>431</v>
      </c>
      <c r="G1608" s="2103">
        <f>IF(G1607="","",G1607+10)</f>
        <v>16040</v>
      </c>
      <c r="H1608" s="2104"/>
    </row>
    <row r="1609" spans="1:8" ht="15.5" x14ac:dyDescent="0.35">
      <c r="A1609" s="625">
        <f>A1606+30</f>
        <v>16035</v>
      </c>
      <c r="B1609" s="626" t="s">
        <v>430</v>
      </c>
      <c r="C1609" s="2101">
        <f>IF(A1609="","",A1609)</f>
        <v>16035</v>
      </c>
      <c r="D1609" s="2102"/>
      <c r="E1609" s="627">
        <f>E1606+30</f>
        <v>16050</v>
      </c>
      <c r="F1609" s="628" t="s">
        <v>431</v>
      </c>
      <c r="G1609" s="2103">
        <f>IF(E1609="","",E1609)</f>
        <v>16050</v>
      </c>
      <c r="H1609" s="2104"/>
    </row>
    <row r="1610" spans="1:8" ht="15.5" x14ac:dyDescent="0.35">
      <c r="A1610" s="625"/>
      <c r="B1610" s="626" t="s">
        <v>430</v>
      </c>
      <c r="C1610" s="2101">
        <f>IF(C1609="","",C1609+10)</f>
        <v>16045</v>
      </c>
      <c r="D1610" s="2102"/>
      <c r="E1610" s="627"/>
      <c r="F1610" s="628" t="s">
        <v>431</v>
      </c>
      <c r="G1610" s="2103">
        <f>IF(G1609="","",G1609+10)</f>
        <v>16060</v>
      </c>
      <c r="H1610" s="2104"/>
    </row>
    <row r="1611" spans="1:8" ht="15.5" x14ac:dyDescent="0.35">
      <c r="A1611" s="625"/>
      <c r="B1611" s="626" t="s">
        <v>430</v>
      </c>
      <c r="C1611" s="2101">
        <f>IF(C1610="","",C1610+10)</f>
        <v>16055</v>
      </c>
      <c r="D1611" s="2102"/>
      <c r="E1611" s="627"/>
      <c r="F1611" s="628" t="s">
        <v>431</v>
      </c>
      <c r="G1611" s="2103">
        <f>IF(G1610="","",G1610+10)</f>
        <v>16070</v>
      </c>
      <c r="H1611" s="2104"/>
    </row>
    <row r="1612" spans="1:8" ht="15.5" x14ac:dyDescent="0.35">
      <c r="A1612" s="625">
        <f>A1609+30</f>
        <v>16065</v>
      </c>
      <c r="B1612" s="626" t="s">
        <v>430</v>
      </c>
      <c r="C1612" s="2101">
        <f>IF(A1612="","",A1612)</f>
        <v>16065</v>
      </c>
      <c r="D1612" s="2102"/>
      <c r="E1612" s="627">
        <f>E1609+30</f>
        <v>16080</v>
      </c>
      <c r="F1612" s="628" t="s">
        <v>431</v>
      </c>
      <c r="G1612" s="2103">
        <f>IF(E1612="","",E1612)</f>
        <v>16080</v>
      </c>
      <c r="H1612" s="2104"/>
    </row>
    <row r="1613" spans="1:8" ht="15.5" x14ac:dyDescent="0.35">
      <c r="A1613" s="625"/>
      <c r="B1613" s="626" t="s">
        <v>430</v>
      </c>
      <c r="C1613" s="2101">
        <f>IF(C1612="","",C1612+10)</f>
        <v>16075</v>
      </c>
      <c r="D1613" s="2102"/>
      <c r="E1613" s="627"/>
      <c r="F1613" s="628" t="s">
        <v>431</v>
      </c>
      <c r="G1613" s="2103">
        <f>IF(G1612="","",G1612+10)</f>
        <v>16090</v>
      </c>
      <c r="H1613" s="2104"/>
    </row>
    <row r="1614" spans="1:8" ht="15.5" x14ac:dyDescent="0.35">
      <c r="A1614" s="625"/>
      <c r="B1614" s="626" t="s">
        <v>430</v>
      </c>
      <c r="C1614" s="2101">
        <f>IF(C1613="","",C1613+10)</f>
        <v>16085</v>
      </c>
      <c r="D1614" s="2102"/>
      <c r="E1614" s="627"/>
      <c r="F1614" s="628" t="s">
        <v>431</v>
      </c>
      <c r="G1614" s="2103">
        <f>IF(G1613="","",G1613+10)</f>
        <v>16100</v>
      </c>
      <c r="H1614" s="2104"/>
    </row>
    <row r="1615" spans="1:8" ht="15.5" x14ac:dyDescent="0.35">
      <c r="A1615" s="625">
        <f>A1612+30</f>
        <v>16095</v>
      </c>
      <c r="B1615" s="626" t="s">
        <v>430</v>
      </c>
      <c r="C1615" s="2101">
        <f>IF(A1615="","",A1615)</f>
        <v>16095</v>
      </c>
      <c r="D1615" s="2102"/>
      <c r="E1615" s="627">
        <f>E1612+30</f>
        <v>16110</v>
      </c>
      <c r="F1615" s="628" t="s">
        <v>431</v>
      </c>
      <c r="G1615" s="2103">
        <f>IF(E1615="","",E1615)</f>
        <v>16110</v>
      </c>
      <c r="H1615" s="2104"/>
    </row>
    <row r="1616" spans="1:8" ht="15.5" x14ac:dyDescent="0.35">
      <c r="A1616" s="625"/>
      <c r="B1616" s="626" t="s">
        <v>430</v>
      </c>
      <c r="C1616" s="2101">
        <f>IF(C1615="","",C1615+10)</f>
        <v>16105</v>
      </c>
      <c r="D1616" s="2102"/>
      <c r="E1616" s="627"/>
      <c r="F1616" s="628" t="s">
        <v>431</v>
      </c>
      <c r="G1616" s="2103">
        <f>IF(G1615="","",G1615+10)</f>
        <v>16120</v>
      </c>
      <c r="H1616" s="2104"/>
    </row>
    <row r="1617" spans="1:8" ht="15.5" x14ac:dyDescent="0.35">
      <c r="A1617" s="625"/>
      <c r="B1617" s="626" t="s">
        <v>430</v>
      </c>
      <c r="C1617" s="2101">
        <f>IF(C1616="","",C1616+10)</f>
        <v>16115</v>
      </c>
      <c r="D1617" s="2102"/>
      <c r="E1617" s="627"/>
      <c r="F1617" s="628" t="s">
        <v>431</v>
      </c>
      <c r="G1617" s="2103">
        <f>IF(G1616="","",G1616+10)</f>
        <v>16130</v>
      </c>
      <c r="H1617" s="2104"/>
    </row>
    <row r="1618" spans="1:8" ht="15.5" x14ac:dyDescent="0.35">
      <c r="A1618" s="625">
        <f>A1615+30</f>
        <v>16125</v>
      </c>
      <c r="B1618" s="626" t="s">
        <v>430</v>
      </c>
      <c r="C1618" s="2101">
        <f>IF(A1618="","",A1618)</f>
        <v>16125</v>
      </c>
      <c r="D1618" s="2102"/>
      <c r="E1618" s="627">
        <f>E1615+30</f>
        <v>16140</v>
      </c>
      <c r="F1618" s="628" t="s">
        <v>431</v>
      </c>
      <c r="G1618" s="2103">
        <f>IF(E1618="","",E1618)</f>
        <v>16140</v>
      </c>
      <c r="H1618" s="2104"/>
    </row>
    <row r="1619" spans="1:8" ht="15.5" x14ac:dyDescent="0.35">
      <c r="A1619" s="625"/>
      <c r="B1619" s="626" t="s">
        <v>430</v>
      </c>
      <c r="C1619" s="2101">
        <f>IF(C1618="","",C1618+10)</f>
        <v>16135</v>
      </c>
      <c r="D1619" s="2102"/>
      <c r="E1619" s="627"/>
      <c r="F1619" s="628" t="s">
        <v>431</v>
      </c>
      <c r="G1619" s="2103">
        <f>IF(G1618="","",G1618+10)</f>
        <v>16150</v>
      </c>
      <c r="H1619" s="2104"/>
    </row>
    <row r="1620" spans="1:8" ht="15.5" x14ac:dyDescent="0.35">
      <c r="A1620" s="625"/>
      <c r="B1620" s="626" t="s">
        <v>430</v>
      </c>
      <c r="C1620" s="2101">
        <f>IF(C1619="","",C1619+10)</f>
        <v>16145</v>
      </c>
      <c r="D1620" s="2102"/>
      <c r="E1620" s="627"/>
      <c r="F1620" s="628" t="s">
        <v>431</v>
      </c>
      <c r="G1620" s="2103">
        <f>IF(G1619="","",G1619+10)</f>
        <v>16160</v>
      </c>
      <c r="H1620" s="2104"/>
    </row>
    <row r="1621" spans="1:8" ht="15.5" x14ac:dyDescent="0.35">
      <c r="A1621" s="625">
        <f>A1618+30</f>
        <v>16155</v>
      </c>
      <c r="B1621" s="626" t="s">
        <v>430</v>
      </c>
      <c r="C1621" s="2101">
        <f>IF(A1621="","",A1621)</f>
        <v>16155</v>
      </c>
      <c r="D1621" s="2102"/>
      <c r="E1621" s="627">
        <f>E1618+30</f>
        <v>16170</v>
      </c>
      <c r="F1621" s="628" t="s">
        <v>431</v>
      </c>
      <c r="G1621" s="2103">
        <f>IF(E1621="","",E1621)</f>
        <v>16170</v>
      </c>
      <c r="H1621" s="2104"/>
    </row>
    <row r="1622" spans="1:8" ht="15.5" x14ac:dyDescent="0.35">
      <c r="A1622" s="625"/>
      <c r="B1622" s="626" t="s">
        <v>430</v>
      </c>
      <c r="C1622" s="2101">
        <f>IF(C1621="","",C1621+10)</f>
        <v>16165</v>
      </c>
      <c r="D1622" s="2102"/>
      <c r="E1622" s="627"/>
      <c r="F1622" s="628" t="s">
        <v>431</v>
      </c>
      <c r="G1622" s="2103">
        <f>IF(G1621="","",G1621+10)</f>
        <v>16180</v>
      </c>
      <c r="H1622" s="2104"/>
    </row>
    <row r="1623" spans="1:8" ht="15.5" x14ac:dyDescent="0.35">
      <c r="A1623" s="625"/>
      <c r="B1623" s="626" t="s">
        <v>430</v>
      </c>
      <c r="C1623" s="2101">
        <f>IF(C1622="","",C1622+10)</f>
        <v>16175</v>
      </c>
      <c r="D1623" s="2102"/>
      <c r="E1623" s="627"/>
      <c r="F1623" s="628" t="s">
        <v>431</v>
      </c>
      <c r="G1623" s="2103">
        <f>IF(G1622="","",G1622+10)</f>
        <v>16190</v>
      </c>
      <c r="H1623" s="2104"/>
    </row>
    <row r="1624" spans="1:8" ht="15.5" x14ac:dyDescent="0.35">
      <c r="A1624" s="625">
        <f>A1621+30</f>
        <v>16185</v>
      </c>
      <c r="B1624" s="626" t="s">
        <v>430</v>
      </c>
      <c r="C1624" s="2101">
        <f>IF(A1624="","",A1624)</f>
        <v>16185</v>
      </c>
      <c r="D1624" s="2102"/>
      <c r="E1624" s="627">
        <f>E1621+30</f>
        <v>16200</v>
      </c>
      <c r="F1624" s="628" t="s">
        <v>431</v>
      </c>
      <c r="G1624" s="2103">
        <f>IF(E1624="","",E1624)</f>
        <v>16200</v>
      </c>
      <c r="H1624" s="2104"/>
    </row>
    <row r="1625" spans="1:8" ht="15.5" x14ac:dyDescent="0.35">
      <c r="A1625" s="625"/>
      <c r="B1625" s="626" t="s">
        <v>430</v>
      </c>
      <c r="C1625" s="2101">
        <f>IF(C1624="","",C1624+10)</f>
        <v>16195</v>
      </c>
      <c r="D1625" s="2102"/>
      <c r="E1625" s="627"/>
      <c r="F1625" s="628" t="s">
        <v>431</v>
      </c>
      <c r="G1625" s="2103">
        <f>IF(G1624="","",G1624+10)</f>
        <v>16210</v>
      </c>
      <c r="H1625" s="2104"/>
    </row>
    <row r="1626" spans="1:8" ht="15.5" x14ac:dyDescent="0.35">
      <c r="A1626" s="625"/>
      <c r="B1626" s="626" t="s">
        <v>430</v>
      </c>
      <c r="C1626" s="2101">
        <f>IF(C1625="","",C1625+10)</f>
        <v>16205</v>
      </c>
      <c r="D1626" s="2102"/>
      <c r="E1626" s="627"/>
      <c r="F1626" s="628" t="s">
        <v>431</v>
      </c>
      <c r="G1626" s="2103">
        <f>IF(G1625="","",G1625+10)</f>
        <v>16220</v>
      </c>
      <c r="H1626" s="2104"/>
    </row>
    <row r="1627" spans="1:8" ht="15.5" x14ac:dyDescent="0.35">
      <c r="A1627" s="625">
        <f>A1624+30</f>
        <v>16215</v>
      </c>
      <c r="B1627" s="626" t="s">
        <v>430</v>
      </c>
      <c r="C1627" s="2101">
        <f>IF(A1627="","",A1627)</f>
        <v>16215</v>
      </c>
      <c r="D1627" s="2102"/>
      <c r="E1627" s="627">
        <f>E1624+30</f>
        <v>16230</v>
      </c>
      <c r="F1627" s="628" t="s">
        <v>431</v>
      </c>
      <c r="G1627" s="2103">
        <f>IF(E1627="","",E1627)</f>
        <v>16230</v>
      </c>
      <c r="H1627" s="2104"/>
    </row>
    <row r="1628" spans="1:8" ht="15.5" x14ac:dyDescent="0.35">
      <c r="A1628" s="625"/>
      <c r="B1628" s="626" t="s">
        <v>430</v>
      </c>
      <c r="C1628" s="2101">
        <f>IF(C1627="","",C1627+10)</f>
        <v>16225</v>
      </c>
      <c r="D1628" s="2102"/>
      <c r="E1628" s="627"/>
      <c r="F1628" s="628" t="s">
        <v>431</v>
      </c>
      <c r="G1628" s="2103">
        <f>IF(G1627="","",G1627+10)</f>
        <v>16240</v>
      </c>
      <c r="H1628" s="2104"/>
    </row>
    <row r="1629" spans="1:8" ht="15.5" x14ac:dyDescent="0.35">
      <c r="A1629" s="625"/>
      <c r="B1629" s="626" t="s">
        <v>430</v>
      </c>
      <c r="C1629" s="2101">
        <f>IF(C1628="","",C1628+10)</f>
        <v>16235</v>
      </c>
      <c r="D1629" s="2102"/>
      <c r="E1629" s="627"/>
      <c r="F1629" s="628" t="s">
        <v>431</v>
      </c>
      <c r="G1629" s="2103">
        <f>IF(G1628="","",G1628+10)</f>
        <v>16250</v>
      </c>
      <c r="H1629" s="2104"/>
    </row>
    <row r="1630" spans="1:8" ht="15.5" x14ac:dyDescent="0.35">
      <c r="A1630" s="625">
        <f>A1627+30</f>
        <v>16245</v>
      </c>
      <c r="B1630" s="626" t="s">
        <v>430</v>
      </c>
      <c r="C1630" s="2101">
        <f>IF(A1630="","",A1630)</f>
        <v>16245</v>
      </c>
      <c r="D1630" s="2102"/>
      <c r="E1630" s="627">
        <f>E1627+30</f>
        <v>16260</v>
      </c>
      <c r="F1630" s="628" t="s">
        <v>431</v>
      </c>
      <c r="G1630" s="2103">
        <f>IF(E1630="","",E1630)</f>
        <v>16260</v>
      </c>
      <c r="H1630" s="2104"/>
    </row>
    <row r="1631" spans="1:8" ht="15.5" x14ac:dyDescent="0.35">
      <c r="A1631" s="625"/>
      <c r="B1631" s="626" t="s">
        <v>430</v>
      </c>
      <c r="C1631" s="2101">
        <f>IF(C1630="","",C1630+10)</f>
        <v>16255</v>
      </c>
      <c r="D1631" s="2102"/>
      <c r="E1631" s="627"/>
      <c r="F1631" s="628" t="s">
        <v>431</v>
      </c>
      <c r="G1631" s="2103">
        <f>IF(G1630="","",G1630+10)</f>
        <v>16270</v>
      </c>
      <c r="H1631" s="2104"/>
    </row>
    <row r="1632" spans="1:8" ht="15.5" x14ac:dyDescent="0.35">
      <c r="A1632" s="625"/>
      <c r="B1632" s="626" t="s">
        <v>430</v>
      </c>
      <c r="C1632" s="2101">
        <f>IF(C1631="","",C1631+10)</f>
        <v>16265</v>
      </c>
      <c r="D1632" s="2102"/>
      <c r="E1632" s="627"/>
      <c r="F1632" s="628" t="s">
        <v>431</v>
      </c>
      <c r="G1632" s="2103">
        <f>IF(G1631="","",G1631+10)</f>
        <v>16280</v>
      </c>
      <c r="H1632" s="2104"/>
    </row>
    <row r="1633" spans="1:8" ht="15.5" x14ac:dyDescent="0.35">
      <c r="A1633" s="625">
        <f>A1630+30</f>
        <v>16275</v>
      </c>
      <c r="B1633" s="626" t="s">
        <v>430</v>
      </c>
      <c r="C1633" s="2101">
        <f>IF(A1633="","",A1633)</f>
        <v>16275</v>
      </c>
      <c r="D1633" s="2102"/>
      <c r="E1633" s="627">
        <f>E1630+30</f>
        <v>16290</v>
      </c>
      <c r="F1633" s="628" t="s">
        <v>431</v>
      </c>
      <c r="G1633" s="2103">
        <f>IF(E1633="","",E1633)</f>
        <v>16290</v>
      </c>
      <c r="H1633" s="2104"/>
    </row>
    <row r="1634" spans="1:8" ht="15.5" x14ac:dyDescent="0.35">
      <c r="A1634" s="625"/>
      <c r="B1634" s="626" t="s">
        <v>430</v>
      </c>
      <c r="C1634" s="2101">
        <f>IF(C1633="","",C1633+10)</f>
        <v>16285</v>
      </c>
      <c r="D1634" s="2102"/>
      <c r="E1634" s="627"/>
      <c r="F1634" s="628" t="s">
        <v>431</v>
      </c>
      <c r="G1634" s="2103">
        <f>IF(G1633="","",G1633+10)</f>
        <v>16300</v>
      </c>
      <c r="H1634" s="2104"/>
    </row>
    <row r="1635" spans="1:8" ht="15.5" x14ac:dyDescent="0.35">
      <c r="A1635" s="625"/>
      <c r="B1635" s="626" t="s">
        <v>430</v>
      </c>
      <c r="C1635" s="2101">
        <f>IF(C1634="","",C1634+10)</f>
        <v>16295</v>
      </c>
      <c r="D1635" s="2102"/>
      <c r="E1635" s="627"/>
      <c r="F1635" s="628" t="s">
        <v>431</v>
      </c>
      <c r="G1635" s="2103">
        <f>IF(G1634="","",G1634+10)</f>
        <v>16310</v>
      </c>
      <c r="H1635" s="2104"/>
    </row>
    <row r="1636" spans="1:8" ht="15.5" x14ac:dyDescent="0.35">
      <c r="A1636" s="625">
        <f>A1633+30</f>
        <v>16305</v>
      </c>
      <c r="B1636" s="626" t="s">
        <v>430</v>
      </c>
      <c r="C1636" s="2101">
        <f>IF(A1636="","",A1636)</f>
        <v>16305</v>
      </c>
      <c r="D1636" s="2102"/>
      <c r="E1636" s="627">
        <f>E1633+30</f>
        <v>16320</v>
      </c>
      <c r="F1636" s="628" t="s">
        <v>431</v>
      </c>
      <c r="G1636" s="2103">
        <f>IF(E1636="","",E1636)</f>
        <v>16320</v>
      </c>
      <c r="H1636" s="2104"/>
    </row>
    <row r="1637" spans="1:8" ht="15.5" x14ac:dyDescent="0.35">
      <c r="A1637" s="625"/>
      <c r="B1637" s="626" t="s">
        <v>430</v>
      </c>
      <c r="C1637" s="2101">
        <f>IF(C1636="","",C1636+10)</f>
        <v>16315</v>
      </c>
      <c r="D1637" s="2102"/>
      <c r="E1637" s="627"/>
      <c r="F1637" s="628" t="s">
        <v>431</v>
      </c>
      <c r="G1637" s="2103">
        <f>IF(G1636="","",G1636+10)</f>
        <v>16330</v>
      </c>
      <c r="H1637" s="2104"/>
    </row>
    <row r="1638" spans="1:8" ht="15.5" x14ac:dyDescent="0.35">
      <c r="A1638" s="625"/>
      <c r="B1638" s="626" t="s">
        <v>430</v>
      </c>
      <c r="C1638" s="2101">
        <f>IF(C1637="","",C1637+10)</f>
        <v>16325</v>
      </c>
      <c r="D1638" s="2102"/>
      <c r="E1638" s="627"/>
      <c r="F1638" s="628" t="s">
        <v>431</v>
      </c>
      <c r="G1638" s="2103">
        <f>IF(G1637="","",G1637+10)</f>
        <v>16340</v>
      </c>
      <c r="H1638" s="2104"/>
    </row>
    <row r="1639" spans="1:8" ht="15.5" x14ac:dyDescent="0.35">
      <c r="A1639" s="625">
        <f>A1636+30</f>
        <v>16335</v>
      </c>
      <c r="B1639" s="626" t="s">
        <v>430</v>
      </c>
      <c r="C1639" s="2101">
        <f>IF(A1639="","",A1639)</f>
        <v>16335</v>
      </c>
      <c r="D1639" s="2102"/>
      <c r="E1639" s="627">
        <f>E1636+30</f>
        <v>16350</v>
      </c>
      <c r="F1639" s="628" t="s">
        <v>431</v>
      </c>
      <c r="G1639" s="2103">
        <f>IF(E1639="","",E1639)</f>
        <v>16350</v>
      </c>
      <c r="H1639" s="2104"/>
    </row>
    <row r="1640" spans="1:8" ht="15.5" x14ac:dyDescent="0.35">
      <c r="A1640" s="625"/>
      <c r="B1640" s="626" t="s">
        <v>430</v>
      </c>
      <c r="C1640" s="2101">
        <f>IF(C1639="","",C1639+10)</f>
        <v>16345</v>
      </c>
      <c r="D1640" s="2102"/>
      <c r="E1640" s="627"/>
      <c r="F1640" s="628" t="s">
        <v>431</v>
      </c>
      <c r="G1640" s="2103">
        <f>IF(G1639="","",G1639+10)</f>
        <v>16360</v>
      </c>
      <c r="H1640" s="2104"/>
    </row>
    <row r="1641" spans="1:8" ht="15.5" x14ac:dyDescent="0.35">
      <c r="A1641" s="625"/>
      <c r="B1641" s="626" t="s">
        <v>430</v>
      </c>
      <c r="C1641" s="2101">
        <f>IF(C1640="","",C1640+10)</f>
        <v>16355</v>
      </c>
      <c r="D1641" s="2102"/>
      <c r="E1641" s="627"/>
      <c r="F1641" s="628" t="s">
        <v>431</v>
      </c>
      <c r="G1641" s="2103">
        <f>IF(G1640="","",G1640+10)</f>
        <v>16370</v>
      </c>
      <c r="H1641" s="2104"/>
    </row>
    <row r="1642" spans="1:8" ht="15.5" x14ac:dyDescent="0.35">
      <c r="A1642" s="625">
        <f>A1639+30</f>
        <v>16365</v>
      </c>
      <c r="B1642" s="626" t="s">
        <v>430</v>
      </c>
      <c r="C1642" s="2101">
        <f>IF(A1642="","",A1642)</f>
        <v>16365</v>
      </c>
      <c r="D1642" s="2102"/>
      <c r="E1642" s="627">
        <f>E1639+30</f>
        <v>16380</v>
      </c>
      <c r="F1642" s="628" t="s">
        <v>431</v>
      </c>
      <c r="G1642" s="2103">
        <f>IF(E1642="","",E1642)</f>
        <v>16380</v>
      </c>
      <c r="H1642" s="2104"/>
    </row>
    <row r="1643" spans="1:8" ht="15.5" x14ac:dyDescent="0.35">
      <c r="A1643" s="625"/>
      <c r="B1643" s="626" t="s">
        <v>430</v>
      </c>
      <c r="C1643" s="2101">
        <f>IF(C1642="","",C1642+10)</f>
        <v>16375</v>
      </c>
      <c r="D1643" s="2102"/>
      <c r="E1643" s="627"/>
      <c r="F1643" s="628" t="s">
        <v>431</v>
      </c>
      <c r="G1643" s="2103">
        <f>IF(G1642="","",G1642+10)</f>
        <v>16390</v>
      </c>
      <c r="H1643" s="2104"/>
    </row>
    <row r="1644" spans="1:8" ht="15.5" x14ac:dyDescent="0.35">
      <c r="A1644" s="625"/>
      <c r="B1644" s="626" t="s">
        <v>430</v>
      </c>
      <c r="C1644" s="2101">
        <f>IF(C1643="","",C1643+10)</f>
        <v>16385</v>
      </c>
      <c r="D1644" s="2102"/>
      <c r="E1644" s="627"/>
      <c r="F1644" s="628" t="s">
        <v>431</v>
      </c>
      <c r="G1644" s="2103">
        <f>IF(G1643="","",G1643+10)</f>
        <v>16400</v>
      </c>
      <c r="H1644" s="2104"/>
    </row>
    <row r="1645" spans="1:8" ht="15.5" x14ac:dyDescent="0.35">
      <c r="A1645" s="625">
        <f>A1642+30</f>
        <v>16395</v>
      </c>
      <c r="B1645" s="626" t="s">
        <v>430</v>
      </c>
      <c r="C1645" s="2101">
        <f>IF(A1645="","",A1645)</f>
        <v>16395</v>
      </c>
      <c r="D1645" s="2102"/>
      <c r="E1645" s="627">
        <f>E1642+30</f>
        <v>16410</v>
      </c>
      <c r="F1645" s="628" t="s">
        <v>431</v>
      </c>
      <c r="G1645" s="2103">
        <f>IF(E1645="","",E1645)</f>
        <v>16410</v>
      </c>
      <c r="H1645" s="2104"/>
    </row>
    <row r="1646" spans="1:8" ht="15.5" x14ac:dyDescent="0.35">
      <c r="A1646" s="625"/>
      <c r="B1646" s="626" t="s">
        <v>430</v>
      </c>
      <c r="C1646" s="2101">
        <f>IF(C1645="","",C1645+10)</f>
        <v>16405</v>
      </c>
      <c r="D1646" s="2102"/>
      <c r="E1646" s="627"/>
      <c r="F1646" s="628" t="s">
        <v>431</v>
      </c>
      <c r="G1646" s="2103">
        <f>IF(G1645="","",G1645+10)</f>
        <v>16420</v>
      </c>
      <c r="H1646" s="2104"/>
    </row>
    <row r="1647" spans="1:8" ht="15.5" x14ac:dyDescent="0.35">
      <c r="A1647" s="625"/>
      <c r="B1647" s="626" t="s">
        <v>430</v>
      </c>
      <c r="C1647" s="2101">
        <f>IF(C1646="","",C1646+10)</f>
        <v>16415</v>
      </c>
      <c r="D1647" s="2102"/>
      <c r="E1647" s="627"/>
      <c r="F1647" s="628" t="s">
        <v>431</v>
      </c>
      <c r="G1647" s="2103">
        <f>IF(G1646="","",G1646+10)</f>
        <v>16430</v>
      </c>
      <c r="H1647" s="2104"/>
    </row>
    <row r="1648" spans="1:8" ht="15.5" x14ac:dyDescent="0.35">
      <c r="A1648" s="625">
        <f>A1645+30</f>
        <v>16425</v>
      </c>
      <c r="B1648" s="626" t="s">
        <v>430</v>
      </c>
      <c r="C1648" s="2101">
        <f>IF(A1648="","",A1648)</f>
        <v>16425</v>
      </c>
      <c r="D1648" s="2102"/>
      <c r="E1648" s="627">
        <f>E1645+30</f>
        <v>16440</v>
      </c>
      <c r="F1648" s="628" t="s">
        <v>431</v>
      </c>
      <c r="G1648" s="2103">
        <f>IF(E1648="","",E1648)</f>
        <v>16440</v>
      </c>
      <c r="H1648" s="2104"/>
    </row>
    <row r="1649" spans="1:8" ht="15.5" x14ac:dyDescent="0.35">
      <c r="A1649" s="625"/>
      <c r="B1649" s="626" t="s">
        <v>430</v>
      </c>
      <c r="C1649" s="2101">
        <f>IF(C1648="","",C1648+10)</f>
        <v>16435</v>
      </c>
      <c r="D1649" s="2102"/>
      <c r="E1649" s="627"/>
      <c r="F1649" s="628" t="s">
        <v>431</v>
      </c>
      <c r="G1649" s="2103">
        <f>IF(G1648="","",G1648+10)</f>
        <v>16450</v>
      </c>
      <c r="H1649" s="2104"/>
    </row>
    <row r="1650" spans="1:8" ht="15.5" x14ac:dyDescent="0.35">
      <c r="A1650" s="625"/>
      <c r="B1650" s="626" t="s">
        <v>430</v>
      </c>
      <c r="C1650" s="2101">
        <f>IF(C1649="","",C1649+10)</f>
        <v>16445</v>
      </c>
      <c r="D1650" s="2102"/>
      <c r="E1650" s="627"/>
      <c r="F1650" s="628" t="s">
        <v>431</v>
      </c>
      <c r="G1650" s="2103">
        <f>IF(G1649="","",G1649+10)</f>
        <v>16460</v>
      </c>
      <c r="H1650" s="2104"/>
    </row>
    <row r="1651" spans="1:8" ht="15.5" x14ac:dyDescent="0.35">
      <c r="A1651" s="625">
        <f>A1648+30</f>
        <v>16455</v>
      </c>
      <c r="B1651" s="626" t="s">
        <v>430</v>
      </c>
      <c r="C1651" s="2101">
        <f>IF(A1651="","",A1651)</f>
        <v>16455</v>
      </c>
      <c r="D1651" s="2102"/>
      <c r="E1651" s="627">
        <f>E1648+30</f>
        <v>16470</v>
      </c>
      <c r="F1651" s="628" t="s">
        <v>431</v>
      </c>
      <c r="G1651" s="2103">
        <f>IF(E1651="","",E1651)</f>
        <v>16470</v>
      </c>
      <c r="H1651" s="2104"/>
    </row>
    <row r="1652" spans="1:8" ht="15.5" x14ac:dyDescent="0.35">
      <c r="A1652" s="625"/>
      <c r="B1652" s="626" t="s">
        <v>430</v>
      </c>
      <c r="C1652" s="2101">
        <f>IF(C1651="","",C1651+10)</f>
        <v>16465</v>
      </c>
      <c r="D1652" s="2102"/>
      <c r="E1652" s="627"/>
      <c r="F1652" s="628" t="s">
        <v>431</v>
      </c>
      <c r="G1652" s="2103">
        <f>IF(G1651="","",G1651+10)</f>
        <v>16480</v>
      </c>
      <c r="H1652" s="2104"/>
    </row>
    <row r="1653" spans="1:8" ht="15.5" x14ac:dyDescent="0.35">
      <c r="A1653" s="625"/>
      <c r="B1653" s="626" t="s">
        <v>430</v>
      </c>
      <c r="C1653" s="2101">
        <f>IF(C1652="","",C1652+10)</f>
        <v>16475</v>
      </c>
      <c r="D1653" s="2102"/>
      <c r="E1653" s="627"/>
      <c r="F1653" s="628" t="s">
        <v>431</v>
      </c>
      <c r="G1653" s="2103">
        <f>IF(G1652="","",G1652+10)</f>
        <v>16490</v>
      </c>
      <c r="H1653" s="2104"/>
    </row>
    <row r="1654" spans="1:8" ht="15.5" x14ac:dyDescent="0.35">
      <c r="A1654" s="625">
        <f>A1651+30</f>
        <v>16485</v>
      </c>
      <c r="B1654" s="626" t="s">
        <v>430</v>
      </c>
      <c r="C1654" s="2101">
        <f>IF(A1654="","",A1654)</f>
        <v>16485</v>
      </c>
      <c r="D1654" s="2102"/>
      <c r="E1654" s="627">
        <f>E1651+30</f>
        <v>16500</v>
      </c>
      <c r="F1654" s="628" t="s">
        <v>431</v>
      </c>
      <c r="G1654" s="2103">
        <f>IF(E1654="","",E1654)</f>
        <v>16500</v>
      </c>
      <c r="H1654" s="2104"/>
    </row>
    <row r="1655" spans="1:8" ht="15.5" x14ac:dyDescent="0.35">
      <c r="A1655" s="625"/>
      <c r="B1655" s="626" t="s">
        <v>430</v>
      </c>
      <c r="C1655" s="2101">
        <f>IF(C1654="","",C1654+10)</f>
        <v>16495</v>
      </c>
      <c r="D1655" s="2102"/>
      <c r="E1655" s="627"/>
      <c r="F1655" s="628" t="s">
        <v>431</v>
      </c>
      <c r="G1655" s="2103">
        <f>IF(G1654="","",G1654+10)</f>
        <v>16510</v>
      </c>
      <c r="H1655" s="2104"/>
    </row>
    <row r="1656" spans="1:8" ht="15.5" x14ac:dyDescent="0.35">
      <c r="A1656" s="625"/>
      <c r="B1656" s="626" t="s">
        <v>430</v>
      </c>
      <c r="C1656" s="2101">
        <f>IF(C1655="","",C1655+10)</f>
        <v>16505</v>
      </c>
      <c r="D1656" s="2102"/>
      <c r="E1656" s="627"/>
      <c r="F1656" s="628" t="s">
        <v>431</v>
      </c>
      <c r="G1656" s="2103">
        <f>IF(G1655="","",G1655+10)</f>
        <v>16520</v>
      </c>
      <c r="H1656" s="2104"/>
    </row>
    <row r="1657" spans="1:8" ht="15.5" x14ac:dyDescent="0.35">
      <c r="A1657" s="625">
        <f>A1654+30</f>
        <v>16515</v>
      </c>
      <c r="B1657" s="626" t="s">
        <v>430</v>
      </c>
      <c r="C1657" s="2101">
        <f>IF(A1657="","",A1657)</f>
        <v>16515</v>
      </c>
      <c r="D1657" s="2102"/>
      <c r="E1657" s="627">
        <f>E1654+30</f>
        <v>16530</v>
      </c>
      <c r="F1657" s="628" t="s">
        <v>431</v>
      </c>
      <c r="G1657" s="2103">
        <f>IF(E1657="","",E1657)</f>
        <v>16530</v>
      </c>
      <c r="H1657" s="2104"/>
    </row>
    <row r="1658" spans="1:8" ht="15.5" x14ac:dyDescent="0.35">
      <c r="A1658" s="625"/>
      <c r="B1658" s="626" t="s">
        <v>430</v>
      </c>
      <c r="C1658" s="2101">
        <f>IF(C1657="","",C1657+10)</f>
        <v>16525</v>
      </c>
      <c r="D1658" s="2102"/>
      <c r="E1658" s="627"/>
      <c r="F1658" s="628" t="s">
        <v>431</v>
      </c>
      <c r="G1658" s="2103">
        <f>IF(G1657="","",G1657+10)</f>
        <v>16540</v>
      </c>
      <c r="H1658" s="2104"/>
    </row>
    <row r="1659" spans="1:8" ht="15.5" x14ac:dyDescent="0.35">
      <c r="A1659" s="625"/>
      <c r="B1659" s="626" t="s">
        <v>430</v>
      </c>
      <c r="C1659" s="2101">
        <f>IF(C1658="","",C1658+10)</f>
        <v>16535</v>
      </c>
      <c r="D1659" s="2102"/>
      <c r="E1659" s="627"/>
      <c r="F1659" s="628" t="s">
        <v>431</v>
      </c>
      <c r="G1659" s="2103">
        <f>IF(G1658="","",G1658+10)</f>
        <v>16550</v>
      </c>
      <c r="H1659" s="2104"/>
    </row>
    <row r="1660" spans="1:8" ht="15.5" x14ac:dyDescent="0.35">
      <c r="A1660" s="625">
        <f>A1657+30</f>
        <v>16545</v>
      </c>
      <c r="B1660" s="626" t="s">
        <v>430</v>
      </c>
      <c r="C1660" s="2101">
        <f>IF(A1660="","",A1660)</f>
        <v>16545</v>
      </c>
      <c r="D1660" s="2102"/>
      <c r="E1660" s="627">
        <f>E1657+30</f>
        <v>16560</v>
      </c>
      <c r="F1660" s="628" t="s">
        <v>431</v>
      </c>
      <c r="G1660" s="2103">
        <f>IF(E1660="","",E1660)</f>
        <v>16560</v>
      </c>
      <c r="H1660" s="2104"/>
    </row>
    <row r="1661" spans="1:8" ht="15.5" x14ac:dyDescent="0.35">
      <c r="A1661" s="625"/>
      <c r="B1661" s="626" t="s">
        <v>430</v>
      </c>
      <c r="C1661" s="2101">
        <f>IF(C1660="","",C1660+10)</f>
        <v>16555</v>
      </c>
      <c r="D1661" s="2102"/>
      <c r="E1661" s="627"/>
      <c r="F1661" s="628" t="s">
        <v>431</v>
      </c>
      <c r="G1661" s="2103">
        <f>IF(G1660="","",G1660+10)</f>
        <v>16570</v>
      </c>
      <c r="H1661" s="2104"/>
    </row>
    <row r="1662" spans="1:8" ht="15.5" x14ac:dyDescent="0.35">
      <c r="A1662" s="625"/>
      <c r="B1662" s="626" t="s">
        <v>430</v>
      </c>
      <c r="C1662" s="2101">
        <f>IF(C1661="","",C1661+10)</f>
        <v>16565</v>
      </c>
      <c r="D1662" s="2102"/>
      <c r="E1662" s="627"/>
      <c r="F1662" s="628" t="s">
        <v>431</v>
      </c>
      <c r="G1662" s="2103">
        <f>IF(G1661="","",G1661+10)</f>
        <v>16580</v>
      </c>
      <c r="H1662" s="2104"/>
    </row>
    <row r="1663" spans="1:8" ht="15.5" x14ac:dyDescent="0.35">
      <c r="A1663" s="625">
        <f>A1660+30</f>
        <v>16575</v>
      </c>
      <c r="B1663" s="626" t="s">
        <v>430</v>
      </c>
      <c r="C1663" s="2101">
        <f>IF(A1663="","",A1663)</f>
        <v>16575</v>
      </c>
      <c r="D1663" s="2102"/>
      <c r="E1663" s="627">
        <f>E1660+30</f>
        <v>16590</v>
      </c>
      <c r="F1663" s="628" t="s">
        <v>431</v>
      </c>
      <c r="G1663" s="2103">
        <f>IF(E1663="","",E1663)</f>
        <v>16590</v>
      </c>
      <c r="H1663" s="2104"/>
    </row>
    <row r="1664" spans="1:8" ht="15.5" x14ac:dyDescent="0.35">
      <c r="A1664" s="625"/>
      <c r="B1664" s="626" t="s">
        <v>430</v>
      </c>
      <c r="C1664" s="2101">
        <f>IF(C1663="","",C1663+10)</f>
        <v>16585</v>
      </c>
      <c r="D1664" s="2102"/>
      <c r="E1664" s="627"/>
      <c r="F1664" s="628" t="s">
        <v>431</v>
      </c>
      <c r="G1664" s="2103">
        <f>IF(G1663="","",G1663+10)</f>
        <v>16600</v>
      </c>
      <c r="H1664" s="2104"/>
    </row>
    <row r="1665" spans="1:8" ht="15.5" x14ac:dyDescent="0.35">
      <c r="A1665" s="625"/>
      <c r="B1665" s="626" t="s">
        <v>430</v>
      </c>
      <c r="C1665" s="2101">
        <f>IF(C1664="","",C1664+10)</f>
        <v>16595</v>
      </c>
      <c r="D1665" s="2102"/>
      <c r="E1665" s="627"/>
      <c r="F1665" s="628" t="s">
        <v>431</v>
      </c>
      <c r="G1665" s="2103">
        <f>IF(G1664="","",G1664+10)</f>
        <v>16610</v>
      </c>
      <c r="H1665" s="2104"/>
    </row>
    <row r="1666" spans="1:8" ht="15.5" x14ac:dyDescent="0.35">
      <c r="A1666" s="625">
        <f>A1663+30</f>
        <v>16605</v>
      </c>
      <c r="B1666" s="626" t="s">
        <v>430</v>
      </c>
      <c r="C1666" s="2101">
        <f>IF(A1666="","",A1666)</f>
        <v>16605</v>
      </c>
      <c r="D1666" s="2102"/>
      <c r="E1666" s="627">
        <f>E1663+30</f>
        <v>16620</v>
      </c>
      <c r="F1666" s="628" t="s">
        <v>431</v>
      </c>
      <c r="G1666" s="2103">
        <f>IF(E1666="","",E1666)</f>
        <v>16620</v>
      </c>
      <c r="H1666" s="2104"/>
    </row>
    <row r="1667" spans="1:8" ht="15.5" x14ac:dyDescent="0.35">
      <c r="A1667" s="625"/>
      <c r="B1667" s="626" t="s">
        <v>430</v>
      </c>
      <c r="C1667" s="2101">
        <f>IF(C1666="","",C1666+10)</f>
        <v>16615</v>
      </c>
      <c r="D1667" s="2102"/>
      <c r="E1667" s="627"/>
      <c r="F1667" s="628" t="s">
        <v>431</v>
      </c>
      <c r="G1667" s="2103">
        <f>IF(G1666="","",G1666+10)</f>
        <v>16630</v>
      </c>
      <c r="H1667" s="2104"/>
    </row>
    <row r="1668" spans="1:8" ht="15.5" x14ac:dyDescent="0.35">
      <c r="A1668" s="625"/>
      <c r="B1668" s="626" t="s">
        <v>430</v>
      </c>
      <c r="C1668" s="2101">
        <f>IF(C1667="","",C1667+10)</f>
        <v>16625</v>
      </c>
      <c r="D1668" s="2102"/>
      <c r="E1668" s="627"/>
      <c r="F1668" s="628" t="s">
        <v>431</v>
      </c>
      <c r="G1668" s="2103">
        <f>IF(G1667="","",G1667+10)</f>
        <v>16640</v>
      </c>
      <c r="H1668" s="2104"/>
    </row>
    <row r="1669" spans="1:8" ht="15.5" x14ac:dyDescent="0.35">
      <c r="A1669" s="625">
        <f>A1666+30</f>
        <v>16635</v>
      </c>
      <c r="B1669" s="626" t="s">
        <v>430</v>
      </c>
      <c r="C1669" s="2101">
        <f>IF(A1669="","",A1669)</f>
        <v>16635</v>
      </c>
      <c r="D1669" s="2102"/>
      <c r="E1669" s="627">
        <f>E1666+30</f>
        <v>16650</v>
      </c>
      <c r="F1669" s="628" t="s">
        <v>431</v>
      </c>
      <c r="G1669" s="2103">
        <f>IF(E1669="","",E1669)</f>
        <v>16650</v>
      </c>
      <c r="H1669" s="2104"/>
    </row>
    <row r="1670" spans="1:8" ht="15.5" x14ac:dyDescent="0.35">
      <c r="A1670" s="625"/>
      <c r="B1670" s="626" t="s">
        <v>430</v>
      </c>
      <c r="C1670" s="2101">
        <f>IF(C1669="","",C1669+10)</f>
        <v>16645</v>
      </c>
      <c r="D1670" s="2102"/>
      <c r="E1670" s="627"/>
      <c r="F1670" s="628" t="s">
        <v>431</v>
      </c>
      <c r="G1670" s="2103">
        <f>IF(G1669="","",G1669+10)</f>
        <v>16660</v>
      </c>
      <c r="H1670" s="2104"/>
    </row>
    <row r="1671" spans="1:8" ht="15.5" x14ac:dyDescent="0.35">
      <c r="A1671" s="625"/>
      <c r="B1671" s="626" t="s">
        <v>430</v>
      </c>
      <c r="C1671" s="2101">
        <f>IF(C1670="","",C1670+10)</f>
        <v>16655</v>
      </c>
      <c r="D1671" s="2102"/>
      <c r="E1671" s="627"/>
      <c r="F1671" s="628" t="s">
        <v>431</v>
      </c>
      <c r="G1671" s="2103">
        <f>IF(G1670="","",G1670+10)</f>
        <v>16670</v>
      </c>
      <c r="H1671" s="2104"/>
    </row>
    <row r="1672" spans="1:8" ht="15.5" x14ac:dyDescent="0.35">
      <c r="A1672" s="625">
        <f>A1669+30</f>
        <v>16665</v>
      </c>
      <c r="B1672" s="626" t="s">
        <v>430</v>
      </c>
      <c r="C1672" s="2101">
        <f>IF(A1672="","",A1672)</f>
        <v>16665</v>
      </c>
      <c r="D1672" s="2102"/>
      <c r="E1672" s="627">
        <f>E1669+30</f>
        <v>16680</v>
      </c>
      <c r="F1672" s="628" t="s">
        <v>431</v>
      </c>
      <c r="G1672" s="2103">
        <f>IF(E1672="","",E1672)</f>
        <v>16680</v>
      </c>
      <c r="H1672" s="2104"/>
    </row>
    <row r="1673" spans="1:8" ht="15.5" x14ac:dyDescent="0.35">
      <c r="A1673" s="625"/>
      <c r="B1673" s="626" t="s">
        <v>430</v>
      </c>
      <c r="C1673" s="2101">
        <f>IF(C1672="","",C1672+10)</f>
        <v>16675</v>
      </c>
      <c r="D1673" s="2102"/>
      <c r="E1673" s="627"/>
      <c r="F1673" s="628" t="s">
        <v>431</v>
      </c>
      <c r="G1673" s="2103">
        <f>IF(G1672="","",G1672+10)</f>
        <v>16690</v>
      </c>
      <c r="H1673" s="2104"/>
    </row>
    <row r="1674" spans="1:8" ht="15.5" x14ac:dyDescent="0.35">
      <c r="A1674" s="625"/>
      <c r="B1674" s="626" t="s">
        <v>430</v>
      </c>
      <c r="C1674" s="2101">
        <f>IF(C1673="","",C1673+10)</f>
        <v>16685</v>
      </c>
      <c r="D1674" s="2102"/>
      <c r="E1674" s="627"/>
      <c r="F1674" s="628" t="s">
        <v>431</v>
      </c>
      <c r="G1674" s="2103">
        <f>IF(G1673="","",G1673+10)</f>
        <v>16700</v>
      </c>
      <c r="H1674" s="2104"/>
    </row>
    <row r="1675" spans="1:8" ht="15.5" x14ac:dyDescent="0.35">
      <c r="A1675" s="625">
        <f>A1672+30</f>
        <v>16695</v>
      </c>
      <c r="B1675" s="626" t="s">
        <v>430</v>
      </c>
      <c r="C1675" s="2101">
        <f>IF(A1675="","",A1675)</f>
        <v>16695</v>
      </c>
      <c r="D1675" s="2102"/>
      <c r="E1675" s="627">
        <f>E1672+30</f>
        <v>16710</v>
      </c>
      <c r="F1675" s="628" t="s">
        <v>431</v>
      </c>
      <c r="G1675" s="2103">
        <f>IF(E1675="","",E1675)</f>
        <v>16710</v>
      </c>
      <c r="H1675" s="2104"/>
    </row>
    <row r="1676" spans="1:8" ht="15.5" x14ac:dyDescent="0.35">
      <c r="A1676" s="625"/>
      <c r="B1676" s="626" t="s">
        <v>430</v>
      </c>
      <c r="C1676" s="2101">
        <f>IF(C1675="","",C1675+10)</f>
        <v>16705</v>
      </c>
      <c r="D1676" s="2102"/>
      <c r="E1676" s="627"/>
      <c r="F1676" s="628" t="s">
        <v>431</v>
      </c>
      <c r="G1676" s="2103">
        <f>IF(G1675="","",G1675+10)</f>
        <v>16720</v>
      </c>
      <c r="H1676" s="2104"/>
    </row>
    <row r="1677" spans="1:8" ht="15.5" x14ac:dyDescent="0.35">
      <c r="A1677" s="625"/>
      <c r="B1677" s="626" t="s">
        <v>430</v>
      </c>
      <c r="C1677" s="2101">
        <f>IF(C1676="","",C1676+10)</f>
        <v>16715</v>
      </c>
      <c r="D1677" s="2102"/>
      <c r="E1677" s="627"/>
      <c r="F1677" s="628" t="s">
        <v>431</v>
      </c>
      <c r="G1677" s="2103">
        <f>IF(G1676="","",G1676+10)</f>
        <v>16730</v>
      </c>
      <c r="H1677" s="2104"/>
    </row>
    <row r="1678" spans="1:8" ht="15.5" x14ac:dyDescent="0.35">
      <c r="A1678" s="625">
        <f>A1675+30</f>
        <v>16725</v>
      </c>
      <c r="B1678" s="626" t="s">
        <v>430</v>
      </c>
      <c r="C1678" s="2101">
        <f>IF(A1678="","",A1678)</f>
        <v>16725</v>
      </c>
      <c r="D1678" s="2102"/>
      <c r="E1678" s="627">
        <f>E1675+30</f>
        <v>16740</v>
      </c>
      <c r="F1678" s="628" t="s">
        <v>431</v>
      </c>
      <c r="G1678" s="2103">
        <f>IF(E1678="","",E1678)</f>
        <v>16740</v>
      </c>
      <c r="H1678" s="2104"/>
    </row>
    <row r="1679" spans="1:8" ht="15.5" x14ac:dyDescent="0.35">
      <c r="A1679" s="625"/>
      <c r="B1679" s="626" t="s">
        <v>430</v>
      </c>
      <c r="C1679" s="2101">
        <f>IF(C1678="","",C1678+10)</f>
        <v>16735</v>
      </c>
      <c r="D1679" s="2102"/>
      <c r="E1679" s="627"/>
      <c r="F1679" s="628" t="s">
        <v>431</v>
      </c>
      <c r="G1679" s="2103">
        <f>IF(G1678="","",G1678+10)</f>
        <v>16750</v>
      </c>
      <c r="H1679" s="2104"/>
    </row>
    <row r="1680" spans="1:8" ht="15.5" x14ac:dyDescent="0.35">
      <c r="A1680" s="625"/>
      <c r="B1680" s="626" t="s">
        <v>430</v>
      </c>
      <c r="C1680" s="2101">
        <f>IF(C1679="","",C1679+10)</f>
        <v>16745</v>
      </c>
      <c r="D1680" s="2102"/>
      <c r="E1680" s="627"/>
      <c r="F1680" s="628" t="s">
        <v>431</v>
      </c>
      <c r="G1680" s="2103">
        <f>IF(G1679="","",G1679+10)</f>
        <v>16760</v>
      </c>
      <c r="H1680" s="2104"/>
    </row>
    <row r="1681" spans="1:8" ht="15.5" x14ac:dyDescent="0.35">
      <c r="A1681" s="625">
        <f>A1678+30</f>
        <v>16755</v>
      </c>
      <c r="B1681" s="626" t="s">
        <v>430</v>
      </c>
      <c r="C1681" s="2101">
        <f>IF(A1681="","",A1681)</f>
        <v>16755</v>
      </c>
      <c r="D1681" s="2102"/>
      <c r="E1681" s="627">
        <f>E1678+30</f>
        <v>16770</v>
      </c>
      <c r="F1681" s="628" t="s">
        <v>431</v>
      </c>
      <c r="G1681" s="2103">
        <f>IF(E1681="","",E1681)</f>
        <v>16770</v>
      </c>
      <c r="H1681" s="2104"/>
    </row>
    <row r="1682" spans="1:8" ht="15.5" x14ac:dyDescent="0.35">
      <c r="A1682" s="625"/>
      <c r="B1682" s="626" t="s">
        <v>430</v>
      </c>
      <c r="C1682" s="2101">
        <f>IF(C1681="","",C1681+10)</f>
        <v>16765</v>
      </c>
      <c r="D1682" s="2102"/>
      <c r="E1682" s="627"/>
      <c r="F1682" s="628" t="s">
        <v>431</v>
      </c>
      <c r="G1682" s="2103">
        <f>IF(G1681="","",G1681+10)</f>
        <v>16780</v>
      </c>
      <c r="H1682" s="2104"/>
    </row>
    <row r="1683" spans="1:8" ht="15.5" x14ac:dyDescent="0.35">
      <c r="A1683" s="625"/>
      <c r="B1683" s="626" t="s">
        <v>430</v>
      </c>
      <c r="C1683" s="2101">
        <f>IF(C1682="","",C1682+10)</f>
        <v>16775</v>
      </c>
      <c r="D1683" s="2102"/>
      <c r="E1683" s="627"/>
      <c r="F1683" s="628" t="s">
        <v>431</v>
      </c>
      <c r="G1683" s="2103">
        <f>IF(G1682="","",G1682+10)</f>
        <v>16790</v>
      </c>
      <c r="H1683" s="2104"/>
    </row>
    <row r="1684" spans="1:8" ht="15.5" x14ac:dyDescent="0.35">
      <c r="A1684" s="625">
        <f>A1681+30</f>
        <v>16785</v>
      </c>
      <c r="B1684" s="626" t="s">
        <v>430</v>
      </c>
      <c r="C1684" s="2101">
        <f>IF(A1684="","",A1684)</f>
        <v>16785</v>
      </c>
      <c r="D1684" s="2102"/>
      <c r="E1684" s="627">
        <f>E1681+30</f>
        <v>16800</v>
      </c>
      <c r="F1684" s="628" t="s">
        <v>431</v>
      </c>
      <c r="G1684" s="2103">
        <f>IF(E1684="","",E1684)</f>
        <v>16800</v>
      </c>
      <c r="H1684" s="2104"/>
    </row>
    <row r="1685" spans="1:8" ht="15.5" x14ac:dyDescent="0.35">
      <c r="A1685" s="625"/>
      <c r="B1685" s="626" t="s">
        <v>430</v>
      </c>
      <c r="C1685" s="2101">
        <f>IF(C1684="","",C1684+10)</f>
        <v>16795</v>
      </c>
      <c r="D1685" s="2102"/>
      <c r="E1685" s="627"/>
      <c r="F1685" s="628" t="s">
        <v>431</v>
      </c>
      <c r="G1685" s="2103">
        <f>IF(G1684="","",G1684+10)</f>
        <v>16810</v>
      </c>
      <c r="H1685" s="2104"/>
    </row>
    <row r="1686" spans="1:8" ht="15.5" x14ac:dyDescent="0.35">
      <c r="A1686" s="625"/>
      <c r="B1686" s="626" t="s">
        <v>430</v>
      </c>
      <c r="C1686" s="2101">
        <f>IF(C1685="","",C1685+10)</f>
        <v>16805</v>
      </c>
      <c r="D1686" s="2102"/>
      <c r="E1686" s="627"/>
      <c r="F1686" s="628" t="s">
        <v>431</v>
      </c>
      <c r="G1686" s="2103">
        <f>IF(G1685="","",G1685+10)</f>
        <v>16820</v>
      </c>
      <c r="H1686" s="2104"/>
    </row>
    <row r="1687" spans="1:8" ht="15.5" x14ac:dyDescent="0.35">
      <c r="A1687" s="625">
        <f>A1684+30</f>
        <v>16815</v>
      </c>
      <c r="B1687" s="626" t="s">
        <v>430</v>
      </c>
      <c r="C1687" s="2101">
        <f>IF(A1687="","",A1687)</f>
        <v>16815</v>
      </c>
      <c r="D1687" s="2102"/>
      <c r="E1687" s="627">
        <f>E1684+30</f>
        <v>16830</v>
      </c>
      <c r="F1687" s="628" t="s">
        <v>431</v>
      </c>
      <c r="G1687" s="2103">
        <f>IF(E1687="","",E1687)</f>
        <v>16830</v>
      </c>
      <c r="H1687" s="2104"/>
    </row>
    <row r="1688" spans="1:8" ht="15.5" x14ac:dyDescent="0.35">
      <c r="A1688" s="625"/>
      <c r="B1688" s="626" t="s">
        <v>430</v>
      </c>
      <c r="C1688" s="2101">
        <f>IF(C1687="","",C1687+10)</f>
        <v>16825</v>
      </c>
      <c r="D1688" s="2102"/>
      <c r="E1688" s="627"/>
      <c r="F1688" s="628" t="s">
        <v>431</v>
      </c>
      <c r="G1688" s="2103">
        <f>IF(G1687="","",G1687+10)</f>
        <v>16840</v>
      </c>
      <c r="H1688" s="2104"/>
    </row>
    <row r="1689" spans="1:8" ht="15.5" x14ac:dyDescent="0.35">
      <c r="A1689" s="625"/>
      <c r="B1689" s="626" t="s">
        <v>430</v>
      </c>
      <c r="C1689" s="2101">
        <f>IF(C1688="","",C1688+10)</f>
        <v>16835</v>
      </c>
      <c r="D1689" s="2102"/>
      <c r="E1689" s="627"/>
      <c r="F1689" s="628" t="s">
        <v>431</v>
      </c>
      <c r="G1689" s="2103">
        <f>IF(G1688="","",G1688+10)</f>
        <v>16850</v>
      </c>
      <c r="H1689" s="2104"/>
    </row>
    <row r="1690" spans="1:8" ht="15.5" x14ac:dyDescent="0.35">
      <c r="A1690" s="625">
        <f>A1687+30</f>
        <v>16845</v>
      </c>
      <c r="B1690" s="626" t="s">
        <v>430</v>
      </c>
      <c r="C1690" s="2101">
        <f>IF(A1690="","",A1690)</f>
        <v>16845</v>
      </c>
      <c r="D1690" s="2102"/>
      <c r="E1690" s="627">
        <f>E1687+30</f>
        <v>16860</v>
      </c>
      <c r="F1690" s="628" t="s">
        <v>431</v>
      </c>
      <c r="G1690" s="2103">
        <f>IF(E1690="","",E1690)</f>
        <v>16860</v>
      </c>
      <c r="H1690" s="2104"/>
    </row>
    <row r="1691" spans="1:8" ht="15.5" x14ac:dyDescent="0.35">
      <c r="A1691" s="625"/>
      <c r="B1691" s="626" t="s">
        <v>430</v>
      </c>
      <c r="C1691" s="2101">
        <f>IF(C1690="","",C1690+10)</f>
        <v>16855</v>
      </c>
      <c r="D1691" s="2102"/>
      <c r="E1691" s="627"/>
      <c r="F1691" s="628" t="s">
        <v>431</v>
      </c>
      <c r="G1691" s="2103">
        <f>IF(G1690="","",G1690+10)</f>
        <v>16870</v>
      </c>
      <c r="H1691" s="2104"/>
    </row>
    <row r="1692" spans="1:8" ht="15.5" x14ac:dyDescent="0.35">
      <c r="A1692" s="625"/>
      <c r="B1692" s="626" t="s">
        <v>430</v>
      </c>
      <c r="C1692" s="2101">
        <f>IF(C1691="","",C1691+10)</f>
        <v>16865</v>
      </c>
      <c r="D1692" s="2102"/>
      <c r="E1692" s="627"/>
      <c r="F1692" s="628" t="s">
        <v>431</v>
      </c>
      <c r="G1692" s="2103">
        <f>IF(G1691="","",G1691+10)</f>
        <v>16880</v>
      </c>
      <c r="H1692" s="2104"/>
    </row>
    <row r="1693" spans="1:8" ht="15.5" x14ac:dyDescent="0.35">
      <c r="A1693" s="625">
        <f>A1690+30</f>
        <v>16875</v>
      </c>
      <c r="B1693" s="626" t="s">
        <v>430</v>
      </c>
      <c r="C1693" s="2101">
        <f>IF(A1693="","",A1693)</f>
        <v>16875</v>
      </c>
      <c r="D1693" s="2102"/>
      <c r="E1693" s="627">
        <f>E1690+30</f>
        <v>16890</v>
      </c>
      <c r="F1693" s="628" t="s">
        <v>431</v>
      </c>
      <c r="G1693" s="2103">
        <f>IF(E1693="","",E1693)</f>
        <v>16890</v>
      </c>
      <c r="H1693" s="2104"/>
    </row>
    <row r="1694" spans="1:8" ht="15.5" x14ac:dyDescent="0.35">
      <c r="A1694" s="625"/>
      <c r="B1694" s="626" t="s">
        <v>430</v>
      </c>
      <c r="C1694" s="2101">
        <f>IF(C1693="","",C1693+10)</f>
        <v>16885</v>
      </c>
      <c r="D1694" s="2102"/>
      <c r="E1694" s="627"/>
      <c r="F1694" s="628" t="s">
        <v>431</v>
      </c>
      <c r="G1694" s="2103">
        <f>IF(G1693="","",G1693+10)</f>
        <v>16900</v>
      </c>
      <c r="H1694" s="2104"/>
    </row>
    <row r="1695" spans="1:8" ht="15.5" x14ac:dyDescent="0.35">
      <c r="A1695" s="625"/>
      <c r="B1695" s="626" t="s">
        <v>430</v>
      </c>
      <c r="C1695" s="2101">
        <f>IF(C1694="","",C1694+10)</f>
        <v>16895</v>
      </c>
      <c r="D1695" s="2102"/>
      <c r="E1695" s="627"/>
      <c r="F1695" s="628" t="s">
        <v>431</v>
      </c>
      <c r="G1695" s="2103">
        <f>IF(G1694="","",G1694+10)</f>
        <v>16910</v>
      </c>
      <c r="H1695" s="2104"/>
    </row>
    <row r="1696" spans="1:8" ht="15.5" x14ac:dyDescent="0.35">
      <c r="A1696" s="625">
        <f>A1693+30</f>
        <v>16905</v>
      </c>
      <c r="B1696" s="626" t="s">
        <v>430</v>
      </c>
      <c r="C1696" s="2101">
        <f>IF(A1696="","",A1696)</f>
        <v>16905</v>
      </c>
      <c r="D1696" s="2102"/>
      <c r="E1696" s="627">
        <f>E1693+30</f>
        <v>16920</v>
      </c>
      <c r="F1696" s="628" t="s">
        <v>431</v>
      </c>
      <c r="G1696" s="2103">
        <f>IF(E1696="","",E1696)</f>
        <v>16920</v>
      </c>
      <c r="H1696" s="2104"/>
    </row>
    <row r="1697" spans="1:8" ht="15.5" x14ac:dyDescent="0.35">
      <c r="A1697" s="625"/>
      <c r="B1697" s="626" t="s">
        <v>430</v>
      </c>
      <c r="C1697" s="2101">
        <f>IF(C1696="","",C1696+10)</f>
        <v>16915</v>
      </c>
      <c r="D1697" s="2102"/>
      <c r="E1697" s="627"/>
      <c r="F1697" s="628" t="s">
        <v>431</v>
      </c>
      <c r="G1697" s="2103">
        <f>IF(G1696="","",G1696+10)</f>
        <v>16930</v>
      </c>
      <c r="H1697" s="2104"/>
    </row>
    <row r="1698" spans="1:8" ht="15.5" x14ac:dyDescent="0.35">
      <c r="A1698" s="625"/>
      <c r="B1698" s="626" t="s">
        <v>430</v>
      </c>
      <c r="C1698" s="2101">
        <f>IF(C1697="","",C1697+10)</f>
        <v>16925</v>
      </c>
      <c r="D1698" s="2102"/>
      <c r="E1698" s="627"/>
      <c r="F1698" s="628" t="s">
        <v>431</v>
      </c>
      <c r="G1698" s="2103">
        <f>IF(G1697="","",G1697+10)</f>
        <v>16940</v>
      </c>
      <c r="H1698" s="2104"/>
    </row>
    <row r="1699" spans="1:8" ht="15.5" x14ac:dyDescent="0.35">
      <c r="A1699" s="625">
        <f>A1696+30</f>
        <v>16935</v>
      </c>
      <c r="B1699" s="626" t="s">
        <v>430</v>
      </c>
      <c r="C1699" s="2101">
        <f>IF(A1699="","",A1699)</f>
        <v>16935</v>
      </c>
      <c r="D1699" s="2102"/>
      <c r="E1699" s="627">
        <f>E1696+30</f>
        <v>16950</v>
      </c>
      <c r="F1699" s="628" t="s">
        <v>431</v>
      </c>
      <c r="G1699" s="2103">
        <f>IF(E1699="","",E1699)</f>
        <v>16950</v>
      </c>
      <c r="H1699" s="2104"/>
    </row>
    <row r="1700" spans="1:8" ht="15.5" x14ac:dyDescent="0.35">
      <c r="A1700" s="625"/>
      <c r="B1700" s="626" t="s">
        <v>430</v>
      </c>
      <c r="C1700" s="2101">
        <f>IF(C1699="","",C1699+10)</f>
        <v>16945</v>
      </c>
      <c r="D1700" s="2102"/>
      <c r="E1700" s="627"/>
      <c r="F1700" s="628" t="s">
        <v>431</v>
      </c>
      <c r="G1700" s="2103">
        <f>IF(G1699="","",G1699+10)</f>
        <v>16960</v>
      </c>
      <c r="H1700" s="2104"/>
    </row>
    <row r="1701" spans="1:8" ht="15.5" x14ac:dyDescent="0.35">
      <c r="A1701" s="625"/>
      <c r="B1701" s="626" t="s">
        <v>430</v>
      </c>
      <c r="C1701" s="2101">
        <f>IF(C1700="","",C1700+10)</f>
        <v>16955</v>
      </c>
      <c r="D1701" s="2102"/>
      <c r="E1701" s="627"/>
      <c r="F1701" s="628" t="s">
        <v>431</v>
      </c>
      <c r="G1701" s="2103">
        <f>IF(G1700="","",G1700+10)</f>
        <v>16970</v>
      </c>
      <c r="H1701" s="2104"/>
    </row>
    <row r="1702" spans="1:8" ht="15.5" x14ac:dyDescent="0.35">
      <c r="A1702" s="625">
        <f>A1699+30</f>
        <v>16965</v>
      </c>
      <c r="B1702" s="626" t="s">
        <v>430</v>
      </c>
      <c r="C1702" s="2101">
        <f>IF(A1702="","",A1702)</f>
        <v>16965</v>
      </c>
      <c r="D1702" s="2102"/>
      <c r="E1702" s="627">
        <f>E1699+30</f>
        <v>16980</v>
      </c>
      <c r="F1702" s="628" t="s">
        <v>431</v>
      </c>
      <c r="G1702" s="2103">
        <f>IF(E1702="","",E1702)</f>
        <v>16980</v>
      </c>
      <c r="H1702" s="2104"/>
    </row>
    <row r="1703" spans="1:8" ht="15.5" x14ac:dyDescent="0.35">
      <c r="A1703" s="625"/>
      <c r="B1703" s="626" t="s">
        <v>430</v>
      </c>
      <c r="C1703" s="2101">
        <f>IF(C1702="","",C1702+10)</f>
        <v>16975</v>
      </c>
      <c r="D1703" s="2102"/>
      <c r="E1703" s="627"/>
      <c r="F1703" s="628" t="s">
        <v>431</v>
      </c>
      <c r="G1703" s="2103">
        <f>IF(G1702="","",G1702+10)</f>
        <v>16990</v>
      </c>
      <c r="H1703" s="2104"/>
    </row>
    <row r="1704" spans="1:8" ht="15.5" x14ac:dyDescent="0.35">
      <c r="A1704" s="625"/>
      <c r="B1704" s="626" t="s">
        <v>430</v>
      </c>
      <c r="C1704" s="2101">
        <f>IF(C1703="","",C1703+10)</f>
        <v>16985</v>
      </c>
      <c r="D1704" s="2102"/>
      <c r="E1704" s="627"/>
      <c r="F1704" s="628" t="s">
        <v>431</v>
      </c>
      <c r="G1704" s="2103">
        <f>IF(G1703="","",G1703+10)</f>
        <v>17000</v>
      </c>
      <c r="H1704" s="2104"/>
    </row>
    <row r="1705" spans="1:8" ht="15.5" x14ac:dyDescent="0.35">
      <c r="A1705" s="625">
        <f>A1702+30</f>
        <v>16995</v>
      </c>
      <c r="B1705" s="626" t="s">
        <v>430</v>
      </c>
      <c r="C1705" s="2101">
        <f>IF(A1705="","",A1705)</f>
        <v>16995</v>
      </c>
      <c r="D1705" s="2102"/>
      <c r="E1705" s="627">
        <f>E1702+30</f>
        <v>17010</v>
      </c>
      <c r="F1705" s="628" t="s">
        <v>431</v>
      </c>
      <c r="G1705" s="2103">
        <f>IF(E1705="","",E1705)</f>
        <v>17010</v>
      </c>
      <c r="H1705" s="2104"/>
    </row>
    <row r="1706" spans="1:8" ht="15.5" x14ac:dyDescent="0.35">
      <c r="A1706" s="625"/>
      <c r="B1706" s="626" t="s">
        <v>430</v>
      </c>
      <c r="C1706" s="2101">
        <f>IF(C1705="","",C1705+10)</f>
        <v>17005</v>
      </c>
      <c r="D1706" s="2102"/>
      <c r="E1706" s="627"/>
      <c r="F1706" s="628" t="s">
        <v>431</v>
      </c>
      <c r="G1706" s="2103">
        <f>IF(G1705="","",G1705+10)</f>
        <v>17020</v>
      </c>
      <c r="H1706" s="2104"/>
    </row>
    <row r="1707" spans="1:8" ht="15.5" x14ac:dyDescent="0.35">
      <c r="A1707" s="625"/>
      <c r="B1707" s="626" t="s">
        <v>430</v>
      </c>
      <c r="C1707" s="2101">
        <f>IF(C1706="","",C1706+10)</f>
        <v>17015</v>
      </c>
      <c r="D1707" s="2102"/>
      <c r="E1707" s="627"/>
      <c r="F1707" s="628" t="s">
        <v>431</v>
      </c>
      <c r="G1707" s="2103">
        <f>IF(G1706="","",G1706+10)</f>
        <v>17030</v>
      </c>
      <c r="H1707" s="2104"/>
    </row>
    <row r="1708" spans="1:8" ht="15.5" x14ac:dyDescent="0.35">
      <c r="A1708" s="625">
        <f>A1705+30</f>
        <v>17025</v>
      </c>
      <c r="B1708" s="626" t="s">
        <v>430</v>
      </c>
      <c r="C1708" s="2101">
        <f>IF(A1708="","",A1708)</f>
        <v>17025</v>
      </c>
      <c r="D1708" s="2102"/>
      <c r="E1708" s="627">
        <f>E1705+30</f>
        <v>17040</v>
      </c>
      <c r="F1708" s="628" t="s">
        <v>431</v>
      </c>
      <c r="G1708" s="2103">
        <f>IF(E1708="","",E1708)</f>
        <v>17040</v>
      </c>
      <c r="H1708" s="2104"/>
    </row>
    <row r="1709" spans="1:8" ht="15.5" x14ac:dyDescent="0.35">
      <c r="A1709" s="625"/>
      <c r="B1709" s="626" t="s">
        <v>430</v>
      </c>
      <c r="C1709" s="2101">
        <f>IF(C1708="","",C1708+10)</f>
        <v>17035</v>
      </c>
      <c r="D1709" s="2102"/>
      <c r="E1709" s="627"/>
      <c r="F1709" s="628" t="s">
        <v>431</v>
      </c>
      <c r="G1709" s="2103">
        <f>IF(G1708="","",G1708+10)</f>
        <v>17050</v>
      </c>
      <c r="H1709" s="2104"/>
    </row>
    <row r="1710" spans="1:8" ht="15.5" x14ac:dyDescent="0.35">
      <c r="A1710" s="625"/>
      <c r="B1710" s="626" t="s">
        <v>430</v>
      </c>
      <c r="C1710" s="2101">
        <f>IF(C1709="","",C1709+10)</f>
        <v>17045</v>
      </c>
      <c r="D1710" s="2102"/>
      <c r="E1710" s="627"/>
      <c r="F1710" s="628" t="s">
        <v>431</v>
      </c>
      <c r="G1710" s="2103">
        <f>IF(G1709="","",G1709+10)</f>
        <v>17060</v>
      </c>
      <c r="H1710" s="2104"/>
    </row>
    <row r="1711" spans="1:8" ht="15.5" x14ac:dyDescent="0.35">
      <c r="A1711" s="625">
        <f>A1708+30</f>
        <v>17055</v>
      </c>
      <c r="B1711" s="626" t="s">
        <v>430</v>
      </c>
      <c r="C1711" s="2101">
        <f>IF(A1711="","",A1711)</f>
        <v>17055</v>
      </c>
      <c r="D1711" s="2102"/>
      <c r="E1711" s="627">
        <f>E1708+30</f>
        <v>17070</v>
      </c>
      <c r="F1711" s="628" t="s">
        <v>431</v>
      </c>
      <c r="G1711" s="2103">
        <f>IF(E1711="","",E1711)</f>
        <v>17070</v>
      </c>
      <c r="H1711" s="2104"/>
    </row>
    <row r="1712" spans="1:8" ht="15.5" x14ac:dyDescent="0.35">
      <c r="A1712" s="625"/>
      <c r="B1712" s="626" t="s">
        <v>430</v>
      </c>
      <c r="C1712" s="2101">
        <f>IF(C1711="","",C1711+10)</f>
        <v>17065</v>
      </c>
      <c r="D1712" s="2102"/>
      <c r="E1712" s="627"/>
      <c r="F1712" s="628" t="s">
        <v>431</v>
      </c>
      <c r="G1712" s="2103">
        <f>IF(G1711="","",G1711+10)</f>
        <v>17080</v>
      </c>
      <c r="H1712" s="2104"/>
    </row>
    <row r="1713" spans="1:8" ht="15.5" x14ac:dyDescent="0.35">
      <c r="A1713" s="625"/>
      <c r="B1713" s="626" t="s">
        <v>430</v>
      </c>
      <c r="C1713" s="2101">
        <f>IF(C1712="","",C1712+10)</f>
        <v>17075</v>
      </c>
      <c r="D1713" s="2102"/>
      <c r="E1713" s="627"/>
      <c r="F1713" s="628" t="s">
        <v>431</v>
      </c>
      <c r="G1713" s="2103">
        <f>IF(G1712="","",G1712+10)</f>
        <v>17090</v>
      </c>
      <c r="H1713" s="2104"/>
    </row>
    <row r="1714" spans="1:8" ht="15.5" x14ac:dyDescent="0.35">
      <c r="A1714" s="625">
        <f>A1711+30</f>
        <v>17085</v>
      </c>
      <c r="B1714" s="626" t="s">
        <v>430</v>
      </c>
      <c r="C1714" s="2101">
        <f>IF(A1714="","",A1714)</f>
        <v>17085</v>
      </c>
      <c r="D1714" s="2102"/>
      <c r="E1714" s="627">
        <f>E1711+30</f>
        <v>17100</v>
      </c>
      <c r="F1714" s="628" t="s">
        <v>431</v>
      </c>
      <c r="G1714" s="2103">
        <f>IF(E1714="","",E1714)</f>
        <v>17100</v>
      </c>
      <c r="H1714" s="2104"/>
    </row>
    <row r="1715" spans="1:8" ht="15.5" x14ac:dyDescent="0.35">
      <c r="A1715" s="625"/>
      <c r="B1715" s="626" t="s">
        <v>430</v>
      </c>
      <c r="C1715" s="2101">
        <f>IF(C1714="","",C1714+10)</f>
        <v>17095</v>
      </c>
      <c r="D1715" s="2102"/>
      <c r="E1715" s="627"/>
      <c r="F1715" s="628" t="s">
        <v>431</v>
      </c>
      <c r="G1715" s="2103">
        <f>IF(G1714="","",G1714+10)</f>
        <v>17110</v>
      </c>
      <c r="H1715" s="2104"/>
    </row>
    <row r="1716" spans="1:8" ht="15.5" x14ac:dyDescent="0.35">
      <c r="A1716" s="625"/>
      <c r="B1716" s="626" t="s">
        <v>430</v>
      </c>
      <c r="C1716" s="2101">
        <f>IF(C1715="","",C1715+10)</f>
        <v>17105</v>
      </c>
      <c r="D1716" s="2102"/>
      <c r="E1716" s="627"/>
      <c r="F1716" s="628" t="s">
        <v>431</v>
      </c>
      <c r="G1716" s="2103">
        <f>IF(G1715="","",G1715+10)</f>
        <v>17120</v>
      </c>
      <c r="H1716" s="2104"/>
    </row>
    <row r="1717" spans="1:8" ht="15.5" x14ac:dyDescent="0.35">
      <c r="A1717" s="625">
        <f>A1714+30</f>
        <v>17115</v>
      </c>
      <c r="B1717" s="626" t="s">
        <v>430</v>
      </c>
      <c r="C1717" s="2101">
        <f>IF(A1717="","",A1717)</f>
        <v>17115</v>
      </c>
      <c r="D1717" s="2102"/>
      <c r="E1717" s="627">
        <f>E1714+30</f>
        <v>17130</v>
      </c>
      <c r="F1717" s="628" t="s">
        <v>431</v>
      </c>
      <c r="G1717" s="2103">
        <f>IF(E1717="","",E1717)</f>
        <v>17130</v>
      </c>
      <c r="H1717" s="2104"/>
    </row>
    <row r="1718" spans="1:8" ht="15.5" x14ac:dyDescent="0.35">
      <c r="A1718" s="625"/>
      <c r="B1718" s="626" t="s">
        <v>430</v>
      </c>
      <c r="C1718" s="2101">
        <f>IF(C1717="","",C1717+10)</f>
        <v>17125</v>
      </c>
      <c r="D1718" s="2102"/>
      <c r="E1718" s="627"/>
      <c r="F1718" s="628" t="s">
        <v>431</v>
      </c>
      <c r="G1718" s="2103">
        <f>IF(G1717="","",G1717+10)</f>
        <v>17140</v>
      </c>
      <c r="H1718" s="2104"/>
    </row>
    <row r="1719" spans="1:8" ht="15.5" x14ac:dyDescent="0.35">
      <c r="A1719" s="625"/>
      <c r="B1719" s="626" t="s">
        <v>430</v>
      </c>
      <c r="C1719" s="2101">
        <f>IF(C1718="","",C1718+10)</f>
        <v>17135</v>
      </c>
      <c r="D1719" s="2102"/>
      <c r="E1719" s="627"/>
      <c r="F1719" s="628" t="s">
        <v>431</v>
      </c>
      <c r="G1719" s="2103">
        <f>IF(G1718="","",G1718+10)</f>
        <v>17150</v>
      </c>
      <c r="H1719" s="2104"/>
    </row>
    <row r="1720" spans="1:8" ht="15.5" x14ac:dyDescent="0.35">
      <c r="A1720" s="625">
        <f>A1717+30</f>
        <v>17145</v>
      </c>
      <c r="B1720" s="626" t="s">
        <v>430</v>
      </c>
      <c r="C1720" s="2101">
        <f>IF(A1720="","",A1720)</f>
        <v>17145</v>
      </c>
      <c r="D1720" s="2102"/>
      <c r="E1720" s="627">
        <f>E1717+30</f>
        <v>17160</v>
      </c>
      <c r="F1720" s="628" t="s">
        <v>431</v>
      </c>
      <c r="G1720" s="2103">
        <f>IF(E1720="","",E1720)</f>
        <v>17160</v>
      </c>
      <c r="H1720" s="2104"/>
    </row>
    <row r="1721" spans="1:8" ht="15.5" x14ac:dyDescent="0.35">
      <c r="A1721" s="625"/>
      <c r="B1721" s="626" t="s">
        <v>430</v>
      </c>
      <c r="C1721" s="2101">
        <f>IF(C1720="","",C1720+10)</f>
        <v>17155</v>
      </c>
      <c r="D1721" s="2102"/>
      <c r="E1721" s="627"/>
      <c r="F1721" s="628" t="s">
        <v>431</v>
      </c>
      <c r="G1721" s="2103">
        <f>IF(G1720="","",G1720+10)</f>
        <v>17170</v>
      </c>
      <c r="H1721" s="2104"/>
    </row>
    <row r="1722" spans="1:8" ht="15.5" x14ac:dyDescent="0.35">
      <c r="A1722" s="625"/>
      <c r="B1722" s="626" t="s">
        <v>430</v>
      </c>
      <c r="C1722" s="2101">
        <f>IF(C1721="","",C1721+10)</f>
        <v>17165</v>
      </c>
      <c r="D1722" s="2102"/>
      <c r="E1722" s="627"/>
      <c r="F1722" s="628" t="s">
        <v>431</v>
      </c>
      <c r="G1722" s="2103">
        <f>IF(G1721="","",G1721+10)</f>
        <v>17180</v>
      </c>
      <c r="H1722" s="2104"/>
    </row>
    <row r="1723" spans="1:8" ht="15.5" x14ac:dyDescent="0.35">
      <c r="A1723" s="625">
        <f>A1720+30</f>
        <v>17175</v>
      </c>
      <c r="B1723" s="626" t="s">
        <v>430</v>
      </c>
      <c r="C1723" s="2101">
        <f>IF(A1723="","",A1723)</f>
        <v>17175</v>
      </c>
      <c r="D1723" s="2102"/>
      <c r="E1723" s="627">
        <f>E1720+30</f>
        <v>17190</v>
      </c>
      <c r="F1723" s="628" t="s">
        <v>431</v>
      </c>
      <c r="G1723" s="2103">
        <f>IF(E1723="","",E1723)</f>
        <v>17190</v>
      </c>
      <c r="H1723" s="2104"/>
    </row>
    <row r="1724" spans="1:8" ht="15.5" x14ac:dyDescent="0.35">
      <c r="A1724" s="625"/>
      <c r="B1724" s="626" t="s">
        <v>430</v>
      </c>
      <c r="C1724" s="2101">
        <f>IF(C1723="","",C1723+10)</f>
        <v>17185</v>
      </c>
      <c r="D1724" s="2102"/>
      <c r="E1724" s="627"/>
      <c r="F1724" s="628" t="s">
        <v>431</v>
      </c>
      <c r="G1724" s="2103">
        <f>IF(G1723="","",G1723+10)</f>
        <v>17200</v>
      </c>
      <c r="H1724" s="2104"/>
    </row>
    <row r="1725" spans="1:8" ht="15.5" x14ac:dyDescent="0.35">
      <c r="A1725" s="625"/>
      <c r="B1725" s="626" t="s">
        <v>430</v>
      </c>
      <c r="C1725" s="2101">
        <f>IF(C1724="","",C1724+10)</f>
        <v>17195</v>
      </c>
      <c r="D1725" s="2102"/>
      <c r="E1725" s="627"/>
      <c r="F1725" s="628" t="s">
        <v>431</v>
      </c>
      <c r="G1725" s="2103">
        <f>IF(G1724="","",G1724+10)</f>
        <v>17210</v>
      </c>
      <c r="H1725" s="2104"/>
    </row>
    <row r="1726" spans="1:8" ht="15.5" x14ac:dyDescent="0.35">
      <c r="A1726" s="625">
        <f>A1723+30</f>
        <v>17205</v>
      </c>
      <c r="B1726" s="626" t="s">
        <v>430</v>
      </c>
      <c r="C1726" s="2101">
        <f>IF(A1726="","",A1726)</f>
        <v>17205</v>
      </c>
      <c r="D1726" s="2102"/>
      <c r="E1726" s="627">
        <f>E1723+30</f>
        <v>17220</v>
      </c>
      <c r="F1726" s="628" t="s">
        <v>431</v>
      </c>
      <c r="G1726" s="2103">
        <f>IF(E1726="","",E1726)</f>
        <v>17220</v>
      </c>
      <c r="H1726" s="2104"/>
    </row>
    <row r="1727" spans="1:8" ht="15.5" x14ac:dyDescent="0.35">
      <c r="A1727" s="625"/>
      <c r="B1727" s="626" t="s">
        <v>430</v>
      </c>
      <c r="C1727" s="2101">
        <f>IF(C1726="","",C1726+10)</f>
        <v>17215</v>
      </c>
      <c r="D1727" s="2102"/>
      <c r="E1727" s="627"/>
      <c r="F1727" s="628" t="s">
        <v>431</v>
      </c>
      <c r="G1727" s="2103">
        <f>IF(G1726="","",G1726+10)</f>
        <v>17230</v>
      </c>
      <c r="H1727" s="2104"/>
    </row>
    <row r="1728" spans="1:8" ht="15.5" x14ac:dyDescent="0.35">
      <c r="A1728" s="625"/>
      <c r="B1728" s="626" t="s">
        <v>430</v>
      </c>
      <c r="C1728" s="2101">
        <f>IF(C1727="","",C1727+10)</f>
        <v>17225</v>
      </c>
      <c r="D1728" s="2102"/>
      <c r="E1728" s="627"/>
      <c r="F1728" s="628" t="s">
        <v>431</v>
      </c>
      <c r="G1728" s="2103">
        <f>IF(G1727="","",G1727+10)</f>
        <v>17240</v>
      </c>
      <c r="H1728" s="2104"/>
    </row>
    <row r="1729" spans="1:8" ht="15.5" x14ac:dyDescent="0.35">
      <c r="A1729" s="625">
        <f>A1726+30</f>
        <v>17235</v>
      </c>
      <c r="B1729" s="626" t="s">
        <v>430</v>
      </c>
      <c r="C1729" s="2101">
        <f>IF(A1729="","",A1729)</f>
        <v>17235</v>
      </c>
      <c r="D1729" s="2102"/>
      <c r="E1729" s="627">
        <f>E1726+30</f>
        <v>17250</v>
      </c>
      <c r="F1729" s="628" t="s">
        <v>431</v>
      </c>
      <c r="G1729" s="2103">
        <f>IF(E1729="","",E1729)</f>
        <v>17250</v>
      </c>
      <c r="H1729" s="2104"/>
    </row>
    <row r="1730" spans="1:8" ht="15.5" x14ac:dyDescent="0.35">
      <c r="A1730" s="625"/>
      <c r="B1730" s="626" t="s">
        <v>430</v>
      </c>
      <c r="C1730" s="2101">
        <f>IF(C1729="","",C1729+10)</f>
        <v>17245</v>
      </c>
      <c r="D1730" s="2102"/>
      <c r="E1730" s="627"/>
      <c r="F1730" s="628" t="s">
        <v>431</v>
      </c>
      <c r="G1730" s="2103">
        <f>IF(G1729="","",G1729+10)</f>
        <v>17260</v>
      </c>
      <c r="H1730" s="2104"/>
    </row>
    <row r="1731" spans="1:8" ht="15.5" x14ac:dyDescent="0.35">
      <c r="A1731" s="625"/>
      <c r="B1731" s="626" t="s">
        <v>430</v>
      </c>
      <c r="C1731" s="2101">
        <f>IF(C1730="","",C1730+10)</f>
        <v>17255</v>
      </c>
      <c r="D1731" s="2102"/>
      <c r="E1731" s="627"/>
      <c r="F1731" s="628" t="s">
        <v>431</v>
      </c>
      <c r="G1731" s="2103">
        <f>IF(G1730="","",G1730+10)</f>
        <v>17270</v>
      </c>
      <c r="H1731" s="2104"/>
    </row>
    <row r="1732" spans="1:8" ht="15.5" x14ac:dyDescent="0.35">
      <c r="A1732" s="625">
        <f>A1729+30</f>
        <v>17265</v>
      </c>
      <c r="B1732" s="626" t="s">
        <v>430</v>
      </c>
      <c r="C1732" s="2101">
        <f>IF(A1732="","",A1732)</f>
        <v>17265</v>
      </c>
      <c r="D1732" s="2102"/>
      <c r="E1732" s="627">
        <f>E1729+30</f>
        <v>17280</v>
      </c>
      <c r="F1732" s="628" t="s">
        <v>431</v>
      </c>
      <c r="G1732" s="2103">
        <f>IF(E1732="","",E1732)</f>
        <v>17280</v>
      </c>
      <c r="H1732" s="2104"/>
    </row>
    <row r="1733" spans="1:8" ht="15.5" x14ac:dyDescent="0.35">
      <c r="A1733" s="625"/>
      <c r="B1733" s="626" t="s">
        <v>430</v>
      </c>
      <c r="C1733" s="2101">
        <f>IF(C1732="","",C1732+10)</f>
        <v>17275</v>
      </c>
      <c r="D1733" s="2102"/>
      <c r="E1733" s="627"/>
      <c r="F1733" s="628" t="s">
        <v>431</v>
      </c>
      <c r="G1733" s="2103">
        <f>IF(G1732="","",G1732+10)</f>
        <v>17290</v>
      </c>
      <c r="H1733" s="2104"/>
    </row>
    <row r="1734" spans="1:8" ht="15.5" x14ac:dyDescent="0.35">
      <c r="A1734" s="625"/>
      <c r="B1734" s="626" t="s">
        <v>430</v>
      </c>
      <c r="C1734" s="2101">
        <f>IF(C1733="","",C1733+10)</f>
        <v>17285</v>
      </c>
      <c r="D1734" s="2102"/>
      <c r="E1734" s="627"/>
      <c r="F1734" s="628" t="s">
        <v>431</v>
      </c>
      <c r="G1734" s="2103">
        <f>IF(G1733="","",G1733+10)</f>
        <v>17300</v>
      </c>
      <c r="H1734" s="2104"/>
    </row>
    <row r="1735" spans="1:8" ht="15.5" x14ac:dyDescent="0.35">
      <c r="A1735" s="625">
        <f>A1732+30</f>
        <v>17295</v>
      </c>
      <c r="B1735" s="626" t="s">
        <v>430</v>
      </c>
      <c r="C1735" s="2101">
        <f>IF(A1735="","",A1735)</f>
        <v>17295</v>
      </c>
      <c r="D1735" s="2102"/>
      <c r="E1735" s="627">
        <f>E1732+30</f>
        <v>17310</v>
      </c>
      <c r="F1735" s="628" t="s">
        <v>431</v>
      </c>
      <c r="G1735" s="2103">
        <f>IF(E1735="","",E1735)</f>
        <v>17310</v>
      </c>
      <c r="H1735" s="2104"/>
    </row>
    <row r="1736" spans="1:8" ht="15.5" x14ac:dyDescent="0.35">
      <c r="A1736" s="625"/>
      <c r="B1736" s="626" t="s">
        <v>430</v>
      </c>
      <c r="C1736" s="2101">
        <f>IF(C1735="","",C1735+10)</f>
        <v>17305</v>
      </c>
      <c r="D1736" s="2102"/>
      <c r="E1736" s="627"/>
      <c r="F1736" s="628" t="s">
        <v>431</v>
      </c>
      <c r="G1736" s="2103">
        <f>IF(G1735="","",G1735+10)</f>
        <v>17320</v>
      </c>
      <c r="H1736" s="2104"/>
    </row>
    <row r="1737" spans="1:8" ht="15.5" x14ac:dyDescent="0.35">
      <c r="A1737" s="625"/>
      <c r="B1737" s="626" t="s">
        <v>430</v>
      </c>
      <c r="C1737" s="2101">
        <f>IF(C1736="","",C1736+10)</f>
        <v>17315</v>
      </c>
      <c r="D1737" s="2102"/>
      <c r="E1737" s="627"/>
      <c r="F1737" s="628" t="s">
        <v>431</v>
      </c>
      <c r="G1737" s="2103">
        <f>IF(G1736="","",G1736+10)</f>
        <v>17330</v>
      </c>
      <c r="H1737" s="2104"/>
    </row>
    <row r="1738" spans="1:8" ht="15.5" x14ac:dyDescent="0.35">
      <c r="A1738" s="625">
        <f>A1735+30</f>
        <v>17325</v>
      </c>
      <c r="B1738" s="626" t="s">
        <v>430</v>
      </c>
      <c r="C1738" s="2101">
        <f>IF(A1738="","",A1738)</f>
        <v>17325</v>
      </c>
      <c r="D1738" s="2102"/>
      <c r="E1738" s="627">
        <f>E1735+30</f>
        <v>17340</v>
      </c>
      <c r="F1738" s="628" t="s">
        <v>431</v>
      </c>
      <c r="G1738" s="2103">
        <f>IF(E1738="","",E1738)</f>
        <v>17340</v>
      </c>
      <c r="H1738" s="2104"/>
    </row>
    <row r="1739" spans="1:8" ht="15.5" x14ac:dyDescent="0.35">
      <c r="A1739" s="625"/>
      <c r="B1739" s="626" t="s">
        <v>430</v>
      </c>
      <c r="C1739" s="2101">
        <f>IF(C1738="","",C1738+10)</f>
        <v>17335</v>
      </c>
      <c r="D1739" s="2102"/>
      <c r="E1739" s="627"/>
      <c r="F1739" s="628" t="s">
        <v>431</v>
      </c>
      <c r="G1739" s="2103">
        <f>IF(G1738="","",G1738+10)</f>
        <v>17350</v>
      </c>
      <c r="H1739" s="2104"/>
    </row>
    <row r="1740" spans="1:8" ht="15.5" x14ac:dyDescent="0.35">
      <c r="A1740" s="625"/>
      <c r="B1740" s="626" t="s">
        <v>430</v>
      </c>
      <c r="C1740" s="2101">
        <f>IF(C1739="","",C1739+10)</f>
        <v>17345</v>
      </c>
      <c r="D1740" s="2102"/>
      <c r="E1740" s="627"/>
      <c r="F1740" s="628" t="s">
        <v>431</v>
      </c>
      <c r="G1740" s="2103">
        <f>IF(G1739="","",G1739+10)</f>
        <v>17360</v>
      </c>
      <c r="H1740" s="2104"/>
    </row>
    <row r="1741" spans="1:8" ht="15.5" x14ac:dyDescent="0.35">
      <c r="A1741" s="625">
        <f>A1738+30</f>
        <v>17355</v>
      </c>
      <c r="B1741" s="626" t="s">
        <v>430</v>
      </c>
      <c r="C1741" s="2101">
        <f>IF(A1741="","",A1741)</f>
        <v>17355</v>
      </c>
      <c r="D1741" s="2102"/>
      <c r="E1741" s="627">
        <f>E1738+30</f>
        <v>17370</v>
      </c>
      <c r="F1741" s="628" t="s">
        <v>431</v>
      </c>
      <c r="G1741" s="2103">
        <f>IF(E1741="","",E1741)</f>
        <v>17370</v>
      </c>
      <c r="H1741" s="2104"/>
    </row>
    <row r="1742" spans="1:8" ht="15.5" x14ac:dyDescent="0.35">
      <c r="A1742" s="625"/>
      <c r="B1742" s="626" t="s">
        <v>430</v>
      </c>
      <c r="C1742" s="2101">
        <f>IF(C1741="","",C1741+10)</f>
        <v>17365</v>
      </c>
      <c r="D1742" s="2102"/>
      <c r="E1742" s="627"/>
      <c r="F1742" s="628" t="s">
        <v>431</v>
      </c>
      <c r="G1742" s="2103">
        <f>IF(G1741="","",G1741+10)</f>
        <v>17380</v>
      </c>
      <c r="H1742" s="2104"/>
    </row>
    <row r="1743" spans="1:8" ht="15.5" x14ac:dyDescent="0.35">
      <c r="A1743" s="625"/>
      <c r="B1743" s="626" t="s">
        <v>430</v>
      </c>
      <c r="C1743" s="2101">
        <f>IF(C1742="","",C1742+10)</f>
        <v>17375</v>
      </c>
      <c r="D1743" s="2102"/>
      <c r="E1743" s="627"/>
      <c r="F1743" s="628" t="s">
        <v>431</v>
      </c>
      <c r="G1743" s="2103">
        <f>IF(G1742="","",G1742+10)</f>
        <v>17390</v>
      </c>
      <c r="H1743" s="2104"/>
    </row>
    <row r="1744" spans="1:8" ht="15.5" x14ac:dyDescent="0.35">
      <c r="A1744" s="625">
        <f>A1741+30</f>
        <v>17385</v>
      </c>
      <c r="B1744" s="626" t="s">
        <v>430</v>
      </c>
      <c r="C1744" s="2101">
        <f>IF(A1744="","",A1744)</f>
        <v>17385</v>
      </c>
      <c r="D1744" s="2102"/>
      <c r="E1744" s="627">
        <f>E1741+30</f>
        <v>17400</v>
      </c>
      <c r="F1744" s="628" t="s">
        <v>431</v>
      </c>
      <c r="G1744" s="2103">
        <f>IF(E1744="","",E1744)</f>
        <v>17400</v>
      </c>
      <c r="H1744" s="2104"/>
    </row>
    <row r="1745" spans="1:8" ht="15.5" x14ac:dyDescent="0.35">
      <c r="A1745" s="625"/>
      <c r="B1745" s="626" t="s">
        <v>430</v>
      </c>
      <c r="C1745" s="2101">
        <f>IF(C1744="","",C1744+10)</f>
        <v>17395</v>
      </c>
      <c r="D1745" s="2102"/>
      <c r="E1745" s="627"/>
      <c r="F1745" s="628" t="s">
        <v>431</v>
      </c>
      <c r="G1745" s="2103">
        <f>IF(G1744="","",G1744+10)</f>
        <v>17410</v>
      </c>
      <c r="H1745" s="2104"/>
    </row>
    <row r="1746" spans="1:8" ht="15.5" x14ac:dyDescent="0.35">
      <c r="A1746" s="625"/>
      <c r="B1746" s="626" t="s">
        <v>430</v>
      </c>
      <c r="C1746" s="2101">
        <f>IF(C1745="","",C1745+10)</f>
        <v>17405</v>
      </c>
      <c r="D1746" s="2102"/>
      <c r="E1746" s="627"/>
      <c r="F1746" s="628" t="s">
        <v>431</v>
      </c>
      <c r="G1746" s="2103">
        <f>IF(G1745="","",G1745+10)</f>
        <v>17420</v>
      </c>
      <c r="H1746" s="2104"/>
    </row>
    <row r="1747" spans="1:8" ht="15.5" x14ac:dyDescent="0.35">
      <c r="A1747" s="625">
        <f>A1744+30</f>
        <v>17415</v>
      </c>
      <c r="B1747" s="626" t="s">
        <v>430</v>
      </c>
      <c r="C1747" s="2101">
        <f>IF(A1747="","",A1747)</f>
        <v>17415</v>
      </c>
      <c r="D1747" s="2102"/>
      <c r="E1747" s="627">
        <f>E1744+30</f>
        <v>17430</v>
      </c>
      <c r="F1747" s="628" t="s">
        <v>431</v>
      </c>
      <c r="G1747" s="2103">
        <f>IF(E1747="","",E1747)</f>
        <v>17430</v>
      </c>
      <c r="H1747" s="2104"/>
    </row>
    <row r="1748" spans="1:8" ht="15.5" x14ac:dyDescent="0.35">
      <c r="A1748" s="625"/>
      <c r="B1748" s="626" t="s">
        <v>430</v>
      </c>
      <c r="C1748" s="2101">
        <f>IF(C1747="","",C1747+10)</f>
        <v>17425</v>
      </c>
      <c r="D1748" s="2102"/>
      <c r="E1748" s="627"/>
      <c r="F1748" s="628" t="s">
        <v>431</v>
      </c>
      <c r="G1748" s="2103">
        <f>IF(G1747="","",G1747+10)</f>
        <v>17440</v>
      </c>
      <c r="H1748" s="2104"/>
    </row>
    <row r="1749" spans="1:8" ht="15.5" x14ac:dyDescent="0.35">
      <c r="A1749" s="625"/>
      <c r="B1749" s="626" t="s">
        <v>430</v>
      </c>
      <c r="C1749" s="2101">
        <f>IF(C1748="","",C1748+10)</f>
        <v>17435</v>
      </c>
      <c r="D1749" s="2102"/>
      <c r="E1749" s="627"/>
      <c r="F1749" s="628" t="s">
        <v>431</v>
      </c>
      <c r="G1749" s="2103">
        <f>IF(G1748="","",G1748+10)</f>
        <v>17450</v>
      </c>
      <c r="H1749" s="2104"/>
    </row>
    <row r="1750" spans="1:8" ht="15.5" x14ac:dyDescent="0.35">
      <c r="A1750" s="625">
        <f>A1747+30</f>
        <v>17445</v>
      </c>
      <c r="B1750" s="626" t="s">
        <v>430</v>
      </c>
      <c r="C1750" s="2101">
        <f>IF(A1750="","",A1750)</f>
        <v>17445</v>
      </c>
      <c r="D1750" s="2102"/>
      <c r="E1750" s="627">
        <f>E1747+30</f>
        <v>17460</v>
      </c>
      <c r="F1750" s="628" t="s">
        <v>431</v>
      </c>
      <c r="G1750" s="2103">
        <f>IF(E1750="","",E1750)</f>
        <v>17460</v>
      </c>
      <c r="H1750" s="2104"/>
    </row>
    <row r="1751" spans="1:8" ht="15.5" x14ac:dyDescent="0.35">
      <c r="A1751" s="625"/>
      <c r="B1751" s="626" t="s">
        <v>430</v>
      </c>
      <c r="C1751" s="2101">
        <f>IF(C1750="","",C1750+10)</f>
        <v>17455</v>
      </c>
      <c r="D1751" s="2102"/>
      <c r="E1751" s="627"/>
      <c r="F1751" s="628" t="s">
        <v>431</v>
      </c>
      <c r="G1751" s="2103">
        <f>IF(G1750="","",G1750+10)</f>
        <v>17470</v>
      </c>
      <c r="H1751" s="2104"/>
    </row>
    <row r="1752" spans="1:8" ht="15.5" x14ac:dyDescent="0.35">
      <c r="A1752" s="625"/>
      <c r="B1752" s="626" t="s">
        <v>430</v>
      </c>
      <c r="C1752" s="2101">
        <f>IF(C1751="","",C1751+10)</f>
        <v>17465</v>
      </c>
      <c r="D1752" s="2102"/>
      <c r="E1752" s="627"/>
      <c r="F1752" s="628" t="s">
        <v>431</v>
      </c>
      <c r="G1752" s="2103">
        <f>IF(G1751="","",G1751+10)</f>
        <v>17480</v>
      </c>
      <c r="H1752" s="2104"/>
    </row>
    <row r="1753" spans="1:8" ht="15.5" x14ac:dyDescent="0.35">
      <c r="A1753" s="625">
        <f>A1750+30</f>
        <v>17475</v>
      </c>
      <c r="B1753" s="626" t="s">
        <v>430</v>
      </c>
      <c r="C1753" s="2101">
        <f>IF(A1753="","",A1753)</f>
        <v>17475</v>
      </c>
      <c r="D1753" s="2102"/>
      <c r="E1753" s="627">
        <f>E1750+30</f>
        <v>17490</v>
      </c>
      <c r="F1753" s="628" t="s">
        <v>431</v>
      </c>
      <c r="G1753" s="2103">
        <f>IF(E1753="","",E1753)</f>
        <v>17490</v>
      </c>
      <c r="H1753" s="2104"/>
    </row>
    <row r="1754" spans="1:8" ht="15.5" x14ac:dyDescent="0.35">
      <c r="A1754" s="625"/>
      <c r="B1754" s="626" t="s">
        <v>430</v>
      </c>
      <c r="C1754" s="2101">
        <f>IF(C1753="","",C1753+10)</f>
        <v>17485</v>
      </c>
      <c r="D1754" s="2102"/>
      <c r="E1754" s="627"/>
      <c r="F1754" s="628" t="s">
        <v>431</v>
      </c>
      <c r="G1754" s="2103">
        <f>IF(G1753="","",G1753+10)</f>
        <v>17500</v>
      </c>
      <c r="H1754" s="2104"/>
    </row>
    <row r="1755" spans="1:8" ht="15.5" x14ac:dyDescent="0.35">
      <c r="A1755" s="625"/>
      <c r="B1755" s="626" t="s">
        <v>430</v>
      </c>
      <c r="C1755" s="2101">
        <f>IF(C1754="","",C1754+10)</f>
        <v>17495</v>
      </c>
      <c r="D1755" s="2102"/>
      <c r="E1755" s="627"/>
      <c r="F1755" s="628" t="s">
        <v>431</v>
      </c>
      <c r="G1755" s="2103">
        <f>IF(G1754="","",G1754+10)</f>
        <v>17510</v>
      </c>
      <c r="H1755" s="2104"/>
    </row>
    <row r="1756" spans="1:8" ht="15.5" x14ac:dyDescent="0.35">
      <c r="A1756" s="625">
        <f>A1753+30</f>
        <v>17505</v>
      </c>
      <c r="B1756" s="626" t="s">
        <v>430</v>
      </c>
      <c r="C1756" s="2101">
        <f>IF(A1756="","",A1756)</f>
        <v>17505</v>
      </c>
      <c r="D1756" s="2102"/>
      <c r="E1756" s="627">
        <f>E1753+30</f>
        <v>17520</v>
      </c>
      <c r="F1756" s="628" t="s">
        <v>431</v>
      </c>
      <c r="G1756" s="2103">
        <f>IF(E1756="","",E1756)</f>
        <v>17520</v>
      </c>
      <c r="H1756" s="2104"/>
    </row>
    <row r="1757" spans="1:8" ht="15.5" x14ac:dyDescent="0.35">
      <c r="A1757" s="625"/>
      <c r="B1757" s="626" t="s">
        <v>430</v>
      </c>
      <c r="C1757" s="2101">
        <f>IF(C1756="","",C1756+10)</f>
        <v>17515</v>
      </c>
      <c r="D1757" s="2102"/>
      <c r="E1757" s="627"/>
      <c r="F1757" s="628" t="s">
        <v>431</v>
      </c>
      <c r="G1757" s="2103">
        <f>IF(G1756="","",G1756+10)</f>
        <v>17530</v>
      </c>
      <c r="H1757" s="2104"/>
    </row>
    <row r="1758" spans="1:8" ht="15.5" x14ac:dyDescent="0.35">
      <c r="A1758" s="625"/>
      <c r="B1758" s="626" t="s">
        <v>430</v>
      </c>
      <c r="C1758" s="2101">
        <f>IF(C1757="","",C1757+10)</f>
        <v>17525</v>
      </c>
      <c r="D1758" s="2102"/>
      <c r="E1758" s="627"/>
      <c r="F1758" s="628" t="s">
        <v>431</v>
      </c>
      <c r="G1758" s="2103">
        <f>IF(G1757="","",G1757+10)</f>
        <v>17540</v>
      </c>
      <c r="H1758" s="2104"/>
    </row>
    <row r="1759" spans="1:8" ht="15.5" x14ac:dyDescent="0.35">
      <c r="A1759" s="625">
        <f>A1756+30</f>
        <v>17535</v>
      </c>
      <c r="B1759" s="626" t="s">
        <v>430</v>
      </c>
      <c r="C1759" s="2101">
        <f>IF(A1759="","",A1759)</f>
        <v>17535</v>
      </c>
      <c r="D1759" s="2102"/>
      <c r="E1759" s="627">
        <f>E1756+30</f>
        <v>17550</v>
      </c>
      <c r="F1759" s="628" t="s">
        <v>431</v>
      </c>
      <c r="G1759" s="2103">
        <f>IF(E1759="","",E1759)</f>
        <v>17550</v>
      </c>
      <c r="H1759" s="2104"/>
    </row>
    <row r="1760" spans="1:8" ht="15.5" x14ac:dyDescent="0.35">
      <c r="A1760" s="625"/>
      <c r="B1760" s="626" t="s">
        <v>430</v>
      </c>
      <c r="C1760" s="2101">
        <f>IF(C1759="","",C1759+10)</f>
        <v>17545</v>
      </c>
      <c r="D1760" s="2102"/>
      <c r="E1760" s="627"/>
      <c r="F1760" s="628" t="s">
        <v>431</v>
      </c>
      <c r="G1760" s="2103">
        <f>IF(G1759="","",G1759+10)</f>
        <v>17560</v>
      </c>
      <c r="H1760" s="2104"/>
    </row>
    <row r="1761" spans="1:8" ht="15.5" x14ac:dyDescent="0.35">
      <c r="A1761" s="625"/>
      <c r="B1761" s="626" t="s">
        <v>430</v>
      </c>
      <c r="C1761" s="2101">
        <f>IF(C1760="","",C1760+10)</f>
        <v>17555</v>
      </c>
      <c r="D1761" s="2102"/>
      <c r="E1761" s="627"/>
      <c r="F1761" s="628" t="s">
        <v>431</v>
      </c>
      <c r="G1761" s="2103">
        <f>IF(G1760="","",G1760+10)</f>
        <v>17570</v>
      </c>
      <c r="H1761" s="2104"/>
    </row>
    <row r="1762" spans="1:8" ht="15.5" x14ac:dyDescent="0.35">
      <c r="A1762" s="625">
        <f>A1759+30</f>
        <v>17565</v>
      </c>
      <c r="B1762" s="626" t="s">
        <v>430</v>
      </c>
      <c r="C1762" s="2101">
        <f>IF(A1762="","",A1762)</f>
        <v>17565</v>
      </c>
      <c r="D1762" s="2102"/>
      <c r="E1762" s="627">
        <f>E1759+30</f>
        <v>17580</v>
      </c>
      <c r="F1762" s="628" t="s">
        <v>431</v>
      </c>
      <c r="G1762" s="2103">
        <f>IF(E1762="","",E1762)</f>
        <v>17580</v>
      </c>
      <c r="H1762" s="2104"/>
    </row>
    <row r="1763" spans="1:8" ht="15.5" x14ac:dyDescent="0.35">
      <c r="A1763" s="625"/>
      <c r="B1763" s="626" t="s">
        <v>430</v>
      </c>
      <c r="C1763" s="2101">
        <f>IF(C1762="","",C1762+10)</f>
        <v>17575</v>
      </c>
      <c r="D1763" s="2102"/>
      <c r="E1763" s="627"/>
      <c r="F1763" s="628" t="s">
        <v>431</v>
      </c>
      <c r="G1763" s="2103">
        <f>IF(G1762="","",G1762+10)</f>
        <v>17590</v>
      </c>
      <c r="H1763" s="2104"/>
    </row>
    <row r="1764" spans="1:8" ht="15.5" x14ac:dyDescent="0.35">
      <c r="A1764" s="625"/>
      <c r="B1764" s="626" t="s">
        <v>430</v>
      </c>
      <c r="C1764" s="2101">
        <f>IF(C1763="","",C1763+10)</f>
        <v>17585</v>
      </c>
      <c r="D1764" s="2102"/>
      <c r="E1764" s="627"/>
      <c r="F1764" s="628" t="s">
        <v>431</v>
      </c>
      <c r="G1764" s="2103">
        <f>IF(G1763="","",G1763+10)</f>
        <v>17600</v>
      </c>
      <c r="H1764" s="2104"/>
    </row>
    <row r="1765" spans="1:8" ht="15.5" x14ac:dyDescent="0.35">
      <c r="A1765" s="625">
        <f>A1762+30</f>
        <v>17595</v>
      </c>
      <c r="B1765" s="626" t="s">
        <v>430</v>
      </c>
      <c r="C1765" s="2101">
        <f>IF(A1765="","",A1765)</f>
        <v>17595</v>
      </c>
      <c r="D1765" s="2102"/>
      <c r="E1765" s="627">
        <f>E1762+30</f>
        <v>17610</v>
      </c>
      <c r="F1765" s="628" t="s">
        <v>431</v>
      </c>
      <c r="G1765" s="2103">
        <f>IF(E1765="","",E1765)</f>
        <v>17610</v>
      </c>
      <c r="H1765" s="2104"/>
    </row>
    <row r="1766" spans="1:8" ht="15.5" x14ac:dyDescent="0.35">
      <c r="A1766" s="625"/>
      <c r="B1766" s="626" t="s">
        <v>430</v>
      </c>
      <c r="C1766" s="2101">
        <f>IF(C1765="","",C1765+10)</f>
        <v>17605</v>
      </c>
      <c r="D1766" s="2102"/>
      <c r="E1766" s="627"/>
      <c r="F1766" s="628" t="s">
        <v>431</v>
      </c>
      <c r="G1766" s="2103">
        <f>IF(G1765="","",G1765+10)</f>
        <v>17620</v>
      </c>
      <c r="H1766" s="2104"/>
    </row>
    <row r="1767" spans="1:8" ht="15.5" x14ac:dyDescent="0.35">
      <c r="A1767" s="625"/>
      <c r="B1767" s="626" t="s">
        <v>430</v>
      </c>
      <c r="C1767" s="2101">
        <f>IF(C1766="","",C1766+10)</f>
        <v>17615</v>
      </c>
      <c r="D1767" s="2102"/>
      <c r="E1767" s="627"/>
      <c r="F1767" s="628" t="s">
        <v>431</v>
      </c>
      <c r="G1767" s="2103">
        <f>IF(G1766="","",G1766+10)</f>
        <v>17630</v>
      </c>
      <c r="H1767" s="2104"/>
    </row>
    <row r="1768" spans="1:8" ht="15.5" x14ac:dyDescent="0.35">
      <c r="A1768" s="625">
        <f>A1765+30</f>
        <v>17625</v>
      </c>
      <c r="B1768" s="626" t="s">
        <v>430</v>
      </c>
      <c r="C1768" s="2101">
        <f>IF(A1768="","",A1768)</f>
        <v>17625</v>
      </c>
      <c r="D1768" s="2102"/>
      <c r="E1768" s="627">
        <f>E1765+30</f>
        <v>17640</v>
      </c>
      <c r="F1768" s="628" t="s">
        <v>431</v>
      </c>
      <c r="G1768" s="2103">
        <f>IF(E1768="","",E1768)</f>
        <v>17640</v>
      </c>
      <c r="H1768" s="2104"/>
    </row>
    <row r="1769" spans="1:8" ht="15.5" x14ac:dyDescent="0.35">
      <c r="A1769" s="625"/>
      <c r="B1769" s="626" t="s">
        <v>430</v>
      </c>
      <c r="C1769" s="2101">
        <f>IF(C1768="","",C1768+10)</f>
        <v>17635</v>
      </c>
      <c r="D1769" s="2102"/>
      <c r="E1769" s="627"/>
      <c r="F1769" s="628" t="s">
        <v>431</v>
      </c>
      <c r="G1769" s="2103">
        <f>IF(G1768="","",G1768+10)</f>
        <v>17650</v>
      </c>
      <c r="H1769" s="2104"/>
    </row>
    <row r="1770" spans="1:8" ht="15.5" x14ac:dyDescent="0.35">
      <c r="A1770" s="625"/>
      <c r="B1770" s="626" t="s">
        <v>430</v>
      </c>
      <c r="C1770" s="2101">
        <f>IF(C1769="","",C1769+10)</f>
        <v>17645</v>
      </c>
      <c r="D1770" s="2102"/>
      <c r="E1770" s="627"/>
      <c r="F1770" s="628" t="s">
        <v>431</v>
      </c>
      <c r="G1770" s="2103">
        <f>IF(G1769="","",G1769+10)</f>
        <v>17660</v>
      </c>
      <c r="H1770" s="2104"/>
    </row>
    <row r="1771" spans="1:8" ht="15.5" x14ac:dyDescent="0.35">
      <c r="A1771" s="625">
        <f>A1768+30</f>
        <v>17655</v>
      </c>
      <c r="B1771" s="626" t="s">
        <v>430</v>
      </c>
      <c r="C1771" s="2101">
        <f>IF(A1771="","",A1771)</f>
        <v>17655</v>
      </c>
      <c r="D1771" s="2102"/>
      <c r="E1771" s="627">
        <f>E1768+30</f>
        <v>17670</v>
      </c>
      <c r="F1771" s="628" t="s">
        <v>431</v>
      </c>
      <c r="G1771" s="2103">
        <f>IF(E1771="","",E1771)</f>
        <v>17670</v>
      </c>
      <c r="H1771" s="2104"/>
    </row>
    <row r="1772" spans="1:8" ht="15.5" x14ac:dyDescent="0.35">
      <c r="A1772" s="625"/>
      <c r="B1772" s="626" t="s">
        <v>430</v>
      </c>
      <c r="C1772" s="2101">
        <f>IF(C1771="","",C1771+10)</f>
        <v>17665</v>
      </c>
      <c r="D1772" s="2102"/>
      <c r="E1772" s="627"/>
      <c r="F1772" s="628" t="s">
        <v>431</v>
      </c>
      <c r="G1772" s="2103">
        <f>IF(G1771="","",G1771+10)</f>
        <v>17680</v>
      </c>
      <c r="H1772" s="2104"/>
    </row>
    <row r="1773" spans="1:8" ht="15.5" x14ac:dyDescent="0.35">
      <c r="A1773" s="625"/>
      <c r="B1773" s="626" t="s">
        <v>430</v>
      </c>
      <c r="C1773" s="2101">
        <f>IF(C1772="","",C1772+10)</f>
        <v>17675</v>
      </c>
      <c r="D1773" s="2102"/>
      <c r="E1773" s="627"/>
      <c r="F1773" s="628" t="s">
        <v>431</v>
      </c>
      <c r="G1773" s="2103">
        <f>IF(G1772="","",G1772+10)</f>
        <v>17690</v>
      </c>
      <c r="H1773" s="2104"/>
    </row>
    <row r="1774" spans="1:8" ht="15.5" x14ac:dyDescent="0.35">
      <c r="A1774" s="625">
        <f>A1771+30</f>
        <v>17685</v>
      </c>
      <c r="B1774" s="626" t="s">
        <v>430</v>
      </c>
      <c r="C1774" s="2101">
        <f>IF(A1774="","",A1774)</f>
        <v>17685</v>
      </c>
      <c r="D1774" s="2102"/>
      <c r="E1774" s="627">
        <f>E1771+30</f>
        <v>17700</v>
      </c>
      <c r="F1774" s="628" t="s">
        <v>431</v>
      </c>
      <c r="G1774" s="2103">
        <f>IF(E1774="","",E1774)</f>
        <v>17700</v>
      </c>
      <c r="H1774" s="2104"/>
    </row>
    <row r="1775" spans="1:8" ht="15.5" x14ac:dyDescent="0.35">
      <c r="A1775" s="625"/>
      <c r="B1775" s="626" t="s">
        <v>430</v>
      </c>
      <c r="C1775" s="2101">
        <f>IF(C1774="","",C1774+10)</f>
        <v>17695</v>
      </c>
      <c r="D1775" s="2102"/>
      <c r="E1775" s="627"/>
      <c r="F1775" s="628" t="s">
        <v>431</v>
      </c>
      <c r="G1775" s="2103">
        <f>IF(G1774="","",G1774+10)</f>
        <v>17710</v>
      </c>
      <c r="H1775" s="2104"/>
    </row>
    <row r="1776" spans="1:8" ht="15.5" x14ac:dyDescent="0.35">
      <c r="A1776" s="625"/>
      <c r="B1776" s="626" t="s">
        <v>430</v>
      </c>
      <c r="C1776" s="2101">
        <f>IF(C1775="","",C1775+10)</f>
        <v>17705</v>
      </c>
      <c r="D1776" s="2102"/>
      <c r="E1776" s="627"/>
      <c r="F1776" s="628" t="s">
        <v>431</v>
      </c>
      <c r="G1776" s="2103">
        <f>IF(G1775="","",G1775+10)</f>
        <v>17720</v>
      </c>
      <c r="H1776" s="2104"/>
    </row>
    <row r="1777" spans="1:8" ht="15.5" x14ac:dyDescent="0.35">
      <c r="A1777" s="625">
        <f>A1774+30</f>
        <v>17715</v>
      </c>
      <c r="B1777" s="626" t="s">
        <v>430</v>
      </c>
      <c r="C1777" s="2101">
        <f>IF(A1777="","",A1777)</f>
        <v>17715</v>
      </c>
      <c r="D1777" s="2102"/>
      <c r="E1777" s="627">
        <f>E1774+30</f>
        <v>17730</v>
      </c>
      <c r="F1777" s="628" t="s">
        <v>431</v>
      </c>
      <c r="G1777" s="2103">
        <f>IF(E1777="","",E1777)</f>
        <v>17730</v>
      </c>
      <c r="H1777" s="2104"/>
    </row>
    <row r="1778" spans="1:8" ht="15.5" x14ac:dyDescent="0.35">
      <c r="A1778" s="625"/>
      <c r="B1778" s="626" t="s">
        <v>430</v>
      </c>
      <c r="C1778" s="2101">
        <f>IF(C1777="","",C1777+10)</f>
        <v>17725</v>
      </c>
      <c r="D1778" s="2102"/>
      <c r="E1778" s="627"/>
      <c r="F1778" s="628" t="s">
        <v>431</v>
      </c>
      <c r="G1778" s="2103">
        <f>IF(G1777="","",G1777+10)</f>
        <v>17740</v>
      </c>
      <c r="H1778" s="2104"/>
    </row>
    <row r="1779" spans="1:8" ht="15.5" x14ac:dyDescent="0.35">
      <c r="A1779" s="625"/>
      <c r="B1779" s="626" t="s">
        <v>430</v>
      </c>
      <c r="C1779" s="2101">
        <f>IF(C1778="","",C1778+10)</f>
        <v>17735</v>
      </c>
      <c r="D1779" s="2102"/>
      <c r="E1779" s="627"/>
      <c r="F1779" s="628" t="s">
        <v>431</v>
      </c>
      <c r="G1779" s="2103">
        <f>IF(G1778="","",G1778+10)</f>
        <v>17750</v>
      </c>
      <c r="H1779" s="2104"/>
    </row>
    <row r="1780" spans="1:8" ht="15.5" x14ac:dyDescent="0.35">
      <c r="A1780" s="625">
        <f>A1777+30</f>
        <v>17745</v>
      </c>
      <c r="B1780" s="626" t="s">
        <v>430</v>
      </c>
      <c r="C1780" s="2101">
        <f>IF(A1780="","",A1780)</f>
        <v>17745</v>
      </c>
      <c r="D1780" s="2102"/>
      <c r="E1780" s="627">
        <f>E1777+30</f>
        <v>17760</v>
      </c>
      <c r="F1780" s="628" t="s">
        <v>431</v>
      </c>
      <c r="G1780" s="2103">
        <f>IF(E1780="","",E1780)</f>
        <v>17760</v>
      </c>
      <c r="H1780" s="2104"/>
    </row>
    <row r="1781" spans="1:8" ht="15.5" x14ac:dyDescent="0.35">
      <c r="A1781" s="625"/>
      <c r="B1781" s="626" t="s">
        <v>430</v>
      </c>
      <c r="C1781" s="2101">
        <f>IF(C1780="","",C1780+10)</f>
        <v>17755</v>
      </c>
      <c r="D1781" s="2102"/>
      <c r="E1781" s="627"/>
      <c r="F1781" s="628" t="s">
        <v>431</v>
      </c>
      <c r="G1781" s="2103">
        <f>IF(G1780="","",G1780+10)</f>
        <v>17770</v>
      </c>
      <c r="H1781" s="2104"/>
    </row>
    <row r="1782" spans="1:8" ht="15.5" x14ac:dyDescent="0.35">
      <c r="A1782" s="625"/>
      <c r="B1782" s="626" t="s">
        <v>430</v>
      </c>
      <c r="C1782" s="2101">
        <f>IF(C1781="","",C1781+10)</f>
        <v>17765</v>
      </c>
      <c r="D1782" s="2102"/>
      <c r="E1782" s="627"/>
      <c r="F1782" s="628" t="s">
        <v>431</v>
      </c>
      <c r="G1782" s="2103">
        <f>IF(G1781="","",G1781+10)</f>
        <v>17780</v>
      </c>
      <c r="H1782" s="2104"/>
    </row>
    <row r="1783" spans="1:8" ht="15.5" x14ac:dyDescent="0.35">
      <c r="A1783" s="625">
        <f>A1780+30</f>
        <v>17775</v>
      </c>
      <c r="B1783" s="626" t="s">
        <v>430</v>
      </c>
      <c r="C1783" s="2101">
        <f>IF(A1783="","",A1783)</f>
        <v>17775</v>
      </c>
      <c r="D1783" s="2102"/>
      <c r="E1783" s="627">
        <f>E1780+30</f>
        <v>17790</v>
      </c>
      <c r="F1783" s="628" t="s">
        <v>431</v>
      </c>
      <c r="G1783" s="2103">
        <f>IF(E1783="","",E1783)</f>
        <v>17790</v>
      </c>
      <c r="H1783" s="2104"/>
    </row>
    <row r="1784" spans="1:8" ht="15.5" x14ac:dyDescent="0.35">
      <c r="A1784" s="625"/>
      <c r="B1784" s="626" t="s">
        <v>430</v>
      </c>
      <c r="C1784" s="2101">
        <f>IF(C1783="","",C1783+10)</f>
        <v>17785</v>
      </c>
      <c r="D1784" s="2102"/>
      <c r="E1784" s="627"/>
      <c r="F1784" s="628" t="s">
        <v>431</v>
      </c>
      <c r="G1784" s="2103">
        <f>IF(G1783="","",G1783+10)</f>
        <v>17800</v>
      </c>
      <c r="H1784" s="2104"/>
    </row>
    <row r="1785" spans="1:8" ht="15.5" x14ac:dyDescent="0.35">
      <c r="A1785" s="625"/>
      <c r="B1785" s="626" t="s">
        <v>430</v>
      </c>
      <c r="C1785" s="2101">
        <f>IF(C1784="","",C1784+10)</f>
        <v>17795</v>
      </c>
      <c r="D1785" s="2102"/>
      <c r="E1785" s="627"/>
      <c r="F1785" s="628" t="s">
        <v>431</v>
      </c>
      <c r="G1785" s="2103">
        <f>IF(G1784="","",G1784+10)</f>
        <v>17810</v>
      </c>
      <c r="H1785" s="2104"/>
    </row>
    <row r="1786" spans="1:8" ht="15.5" x14ac:dyDescent="0.35">
      <c r="A1786" s="625">
        <f>A1783+30</f>
        <v>17805</v>
      </c>
      <c r="B1786" s="626" t="s">
        <v>430</v>
      </c>
      <c r="C1786" s="2101">
        <f>IF(A1786="","",A1786)</f>
        <v>17805</v>
      </c>
      <c r="D1786" s="2102"/>
      <c r="E1786" s="627">
        <f>E1783+30</f>
        <v>17820</v>
      </c>
      <c r="F1786" s="628" t="s">
        <v>431</v>
      </c>
      <c r="G1786" s="2103">
        <f>IF(E1786="","",E1786)</f>
        <v>17820</v>
      </c>
      <c r="H1786" s="2104"/>
    </row>
    <row r="1787" spans="1:8" ht="15.5" x14ac:dyDescent="0.35">
      <c r="A1787" s="625"/>
      <c r="B1787" s="626" t="s">
        <v>430</v>
      </c>
      <c r="C1787" s="2101">
        <f>IF(C1786="","",C1786+10)</f>
        <v>17815</v>
      </c>
      <c r="D1787" s="2102"/>
      <c r="E1787" s="627"/>
      <c r="F1787" s="628" t="s">
        <v>431</v>
      </c>
      <c r="G1787" s="2103">
        <f>IF(G1786="","",G1786+10)</f>
        <v>17830</v>
      </c>
      <c r="H1787" s="2104"/>
    </row>
    <row r="1788" spans="1:8" ht="15.5" x14ac:dyDescent="0.35">
      <c r="A1788" s="625"/>
      <c r="B1788" s="626" t="s">
        <v>430</v>
      </c>
      <c r="C1788" s="2101">
        <f>IF(C1787="","",C1787+10)</f>
        <v>17825</v>
      </c>
      <c r="D1788" s="2102"/>
      <c r="E1788" s="627"/>
      <c r="F1788" s="628" t="s">
        <v>431</v>
      </c>
      <c r="G1788" s="2103">
        <f>IF(G1787="","",G1787+10)</f>
        <v>17840</v>
      </c>
      <c r="H1788" s="2104"/>
    </row>
    <row r="1789" spans="1:8" ht="15.5" x14ac:dyDescent="0.35">
      <c r="A1789" s="625">
        <f>A1786+30</f>
        <v>17835</v>
      </c>
      <c r="B1789" s="626" t="s">
        <v>430</v>
      </c>
      <c r="C1789" s="2101">
        <f>IF(A1789="","",A1789)</f>
        <v>17835</v>
      </c>
      <c r="D1789" s="2102"/>
      <c r="E1789" s="627">
        <f>E1786+30</f>
        <v>17850</v>
      </c>
      <c r="F1789" s="628" t="s">
        <v>431</v>
      </c>
      <c r="G1789" s="2103">
        <f>IF(E1789="","",E1789)</f>
        <v>17850</v>
      </c>
      <c r="H1789" s="2104"/>
    </row>
    <row r="1790" spans="1:8" ht="15.5" x14ac:dyDescent="0.35">
      <c r="A1790" s="625"/>
      <c r="B1790" s="626" t="s">
        <v>430</v>
      </c>
      <c r="C1790" s="2101">
        <f>IF(C1789="","",C1789+10)</f>
        <v>17845</v>
      </c>
      <c r="D1790" s="2102"/>
      <c r="E1790" s="627"/>
      <c r="F1790" s="628" t="s">
        <v>431</v>
      </c>
      <c r="G1790" s="2103">
        <f>IF(G1789="","",G1789+10)</f>
        <v>17860</v>
      </c>
      <c r="H1790" s="2104"/>
    </row>
    <row r="1791" spans="1:8" ht="15.5" x14ac:dyDescent="0.35">
      <c r="A1791" s="625"/>
      <c r="B1791" s="626" t="s">
        <v>430</v>
      </c>
      <c r="C1791" s="2101">
        <f>IF(C1790="","",C1790+10)</f>
        <v>17855</v>
      </c>
      <c r="D1791" s="2102"/>
      <c r="E1791" s="627"/>
      <c r="F1791" s="628" t="s">
        <v>431</v>
      </c>
      <c r="G1791" s="2103">
        <f>IF(G1790="","",G1790+10)</f>
        <v>17870</v>
      </c>
      <c r="H1791" s="2104"/>
    </row>
    <row r="1792" spans="1:8" ht="15.5" x14ac:dyDescent="0.35">
      <c r="A1792" s="625">
        <f>A1789+30</f>
        <v>17865</v>
      </c>
      <c r="B1792" s="626" t="s">
        <v>430</v>
      </c>
      <c r="C1792" s="2101">
        <f>IF(A1792="","",A1792)</f>
        <v>17865</v>
      </c>
      <c r="D1792" s="2102"/>
      <c r="E1792" s="627">
        <f>E1789+30</f>
        <v>17880</v>
      </c>
      <c r="F1792" s="628" t="s">
        <v>431</v>
      </c>
      <c r="G1792" s="2103">
        <f>IF(E1792="","",E1792)</f>
        <v>17880</v>
      </c>
      <c r="H1792" s="2104"/>
    </row>
    <row r="1793" spans="1:8" ht="15.5" x14ac:dyDescent="0.35">
      <c r="A1793" s="625"/>
      <c r="B1793" s="626" t="s">
        <v>430</v>
      </c>
      <c r="C1793" s="2101">
        <f>IF(C1792="","",C1792+10)</f>
        <v>17875</v>
      </c>
      <c r="D1793" s="2102"/>
      <c r="E1793" s="627"/>
      <c r="F1793" s="628" t="s">
        <v>431</v>
      </c>
      <c r="G1793" s="2103">
        <f>IF(G1792="","",G1792+10)</f>
        <v>17890</v>
      </c>
      <c r="H1793" s="2104"/>
    </row>
    <row r="1794" spans="1:8" ht="15.5" x14ac:dyDescent="0.35">
      <c r="A1794" s="625"/>
      <c r="B1794" s="626" t="s">
        <v>430</v>
      </c>
      <c r="C1794" s="2101">
        <f>IF(C1793="","",C1793+10)</f>
        <v>17885</v>
      </c>
      <c r="D1794" s="2102"/>
      <c r="E1794" s="627"/>
      <c r="F1794" s="628" t="s">
        <v>431</v>
      </c>
      <c r="G1794" s="2103">
        <f>IF(G1793="","",G1793+10)</f>
        <v>17900</v>
      </c>
      <c r="H1794" s="2104"/>
    </row>
    <row r="1795" spans="1:8" ht="15.5" x14ac:dyDescent="0.35">
      <c r="A1795" s="625">
        <f>A1792+30</f>
        <v>17895</v>
      </c>
      <c r="B1795" s="626" t="s">
        <v>430</v>
      </c>
      <c r="C1795" s="2101">
        <f>IF(A1795="","",A1795)</f>
        <v>17895</v>
      </c>
      <c r="D1795" s="2102"/>
      <c r="E1795" s="627">
        <f>E1792+30</f>
        <v>17910</v>
      </c>
      <c r="F1795" s="628" t="s">
        <v>431</v>
      </c>
      <c r="G1795" s="2103">
        <f>IF(E1795="","",E1795)</f>
        <v>17910</v>
      </c>
      <c r="H1795" s="2104"/>
    </row>
    <row r="1796" spans="1:8" ht="15.5" x14ac:dyDescent="0.35">
      <c r="A1796" s="625"/>
      <c r="B1796" s="626" t="s">
        <v>430</v>
      </c>
      <c r="C1796" s="2101">
        <f>IF(C1795="","",C1795+10)</f>
        <v>17905</v>
      </c>
      <c r="D1796" s="2102"/>
      <c r="E1796" s="627"/>
      <c r="F1796" s="628" t="s">
        <v>431</v>
      </c>
      <c r="G1796" s="2103">
        <f>IF(G1795="","",G1795+10)</f>
        <v>17920</v>
      </c>
      <c r="H1796" s="2104"/>
    </row>
    <row r="1797" spans="1:8" ht="15.5" x14ac:dyDescent="0.35">
      <c r="A1797" s="625"/>
      <c r="B1797" s="626" t="s">
        <v>430</v>
      </c>
      <c r="C1797" s="2101">
        <f>IF(C1796="","",C1796+10)</f>
        <v>17915</v>
      </c>
      <c r="D1797" s="2102"/>
      <c r="E1797" s="627"/>
      <c r="F1797" s="628" t="s">
        <v>431</v>
      </c>
      <c r="G1797" s="2103">
        <f>IF(G1796="","",G1796+10)</f>
        <v>17930</v>
      </c>
      <c r="H1797" s="2104"/>
    </row>
    <row r="1798" spans="1:8" ht="15.5" x14ac:dyDescent="0.35">
      <c r="A1798" s="625">
        <f>A1795+30</f>
        <v>17925</v>
      </c>
      <c r="B1798" s="626" t="s">
        <v>430</v>
      </c>
      <c r="C1798" s="2101">
        <f>IF(A1798="","",A1798)</f>
        <v>17925</v>
      </c>
      <c r="D1798" s="2102"/>
      <c r="E1798" s="627">
        <f>E1795+30</f>
        <v>17940</v>
      </c>
      <c r="F1798" s="628" t="s">
        <v>431</v>
      </c>
      <c r="G1798" s="2103">
        <f>IF(E1798="","",E1798)</f>
        <v>17940</v>
      </c>
      <c r="H1798" s="2104"/>
    </row>
    <row r="1799" spans="1:8" ht="15.5" x14ac:dyDescent="0.35">
      <c r="A1799" s="625"/>
      <c r="B1799" s="626" t="s">
        <v>430</v>
      </c>
      <c r="C1799" s="2101">
        <f>IF(C1798="","",C1798+10)</f>
        <v>17935</v>
      </c>
      <c r="D1799" s="2102"/>
      <c r="E1799" s="627"/>
      <c r="F1799" s="628" t="s">
        <v>431</v>
      </c>
      <c r="G1799" s="2103">
        <f>IF(G1798="","",G1798+10)</f>
        <v>17950</v>
      </c>
      <c r="H1799" s="2104"/>
    </row>
    <row r="1800" spans="1:8" ht="15.5" x14ac:dyDescent="0.35">
      <c r="A1800" s="625"/>
      <c r="B1800" s="626" t="s">
        <v>430</v>
      </c>
      <c r="C1800" s="2101">
        <f>IF(C1799="","",C1799+10)</f>
        <v>17945</v>
      </c>
      <c r="D1800" s="2102"/>
      <c r="E1800" s="627"/>
      <c r="F1800" s="628" t="s">
        <v>431</v>
      </c>
      <c r="G1800" s="2103">
        <f>IF(G1799="","",G1799+10)</f>
        <v>17960</v>
      </c>
      <c r="H1800" s="2104"/>
    </row>
    <row r="1801" spans="1:8" ht="15.5" x14ac:dyDescent="0.35">
      <c r="A1801" s="625">
        <f>A1798+30</f>
        <v>17955</v>
      </c>
      <c r="B1801" s="626" t="s">
        <v>430</v>
      </c>
      <c r="C1801" s="2101">
        <f>IF(A1801="","",A1801)</f>
        <v>17955</v>
      </c>
      <c r="D1801" s="2102"/>
      <c r="E1801" s="627">
        <f>E1798+30</f>
        <v>17970</v>
      </c>
      <c r="F1801" s="628" t="s">
        <v>431</v>
      </c>
      <c r="G1801" s="2103">
        <f>IF(E1801="","",E1801)</f>
        <v>17970</v>
      </c>
      <c r="H1801" s="2104"/>
    </row>
    <row r="1802" spans="1:8" ht="15.5" x14ac:dyDescent="0.35">
      <c r="A1802" s="625"/>
      <c r="B1802" s="626" t="s">
        <v>430</v>
      </c>
      <c r="C1802" s="2101">
        <f>IF(C1801="","",C1801+10)</f>
        <v>17965</v>
      </c>
      <c r="D1802" s="2102"/>
      <c r="E1802" s="627"/>
      <c r="F1802" s="628" t="s">
        <v>431</v>
      </c>
      <c r="G1802" s="2103">
        <f>IF(G1801="","",G1801+10)</f>
        <v>17980</v>
      </c>
      <c r="H1802" s="2104"/>
    </row>
    <row r="1803" spans="1:8" ht="15.5" x14ac:dyDescent="0.35">
      <c r="A1803" s="625"/>
      <c r="B1803" s="626" t="s">
        <v>430</v>
      </c>
      <c r="C1803" s="2101">
        <f>IF(C1802="","",C1802+10)</f>
        <v>17975</v>
      </c>
      <c r="D1803" s="2102"/>
      <c r="E1803" s="627"/>
      <c r="F1803" s="628" t="s">
        <v>431</v>
      </c>
      <c r="G1803" s="2103">
        <f>IF(G1802="","",G1802+10)</f>
        <v>17990</v>
      </c>
      <c r="H1803" s="2104"/>
    </row>
    <row r="1804" spans="1:8" ht="15.5" x14ac:dyDescent="0.35">
      <c r="A1804" s="625">
        <f>A1801+30</f>
        <v>17985</v>
      </c>
      <c r="B1804" s="626" t="s">
        <v>430</v>
      </c>
      <c r="C1804" s="2101">
        <f>IF(A1804="","",A1804)</f>
        <v>17985</v>
      </c>
      <c r="D1804" s="2102"/>
      <c r="E1804" s="627">
        <f>E1801+30</f>
        <v>18000</v>
      </c>
      <c r="F1804" s="628" t="s">
        <v>431</v>
      </c>
      <c r="G1804" s="2103">
        <f>IF(E1804="","",E1804)</f>
        <v>18000</v>
      </c>
      <c r="H1804" s="2104"/>
    </row>
    <row r="1805" spans="1:8" ht="15.5" x14ac:dyDescent="0.35">
      <c r="A1805" s="625"/>
      <c r="B1805" s="626" t="s">
        <v>430</v>
      </c>
      <c r="C1805" s="2101">
        <f>IF(C1804="","",C1804+10)</f>
        <v>17995</v>
      </c>
      <c r="D1805" s="2102"/>
      <c r="E1805" s="627"/>
      <c r="F1805" s="628" t="s">
        <v>431</v>
      </c>
      <c r="G1805" s="2103">
        <f>IF(G1804="","",G1804+10)</f>
        <v>18010</v>
      </c>
      <c r="H1805" s="2104"/>
    </row>
    <row r="1806" spans="1:8" ht="15.5" x14ac:dyDescent="0.35">
      <c r="A1806" s="625"/>
      <c r="B1806" s="626" t="s">
        <v>430</v>
      </c>
      <c r="C1806" s="2101">
        <f>IF(C1805="","",C1805+10)</f>
        <v>18005</v>
      </c>
      <c r="D1806" s="2102"/>
      <c r="E1806" s="627"/>
      <c r="F1806" s="628" t="s">
        <v>431</v>
      </c>
      <c r="G1806" s="2103">
        <f>IF(G1805="","",G1805+10)</f>
        <v>18020</v>
      </c>
      <c r="H1806" s="2104"/>
    </row>
    <row r="1807" spans="1:8" ht="15.5" x14ac:dyDescent="0.35">
      <c r="A1807" s="625">
        <f>A1804+30</f>
        <v>18015</v>
      </c>
      <c r="B1807" s="626" t="s">
        <v>430</v>
      </c>
      <c r="C1807" s="2101">
        <f>IF(A1807="","",A1807)</f>
        <v>18015</v>
      </c>
      <c r="D1807" s="2102"/>
      <c r="E1807" s="627">
        <f>E1804+30</f>
        <v>18030</v>
      </c>
      <c r="F1807" s="628" t="s">
        <v>431</v>
      </c>
      <c r="G1807" s="2103">
        <f>IF(E1807="","",E1807)</f>
        <v>18030</v>
      </c>
      <c r="H1807" s="2104"/>
    </row>
    <row r="1808" spans="1:8" ht="15.5" x14ac:dyDescent="0.35">
      <c r="A1808" s="625"/>
      <c r="B1808" s="626" t="s">
        <v>430</v>
      </c>
      <c r="C1808" s="2101">
        <f>IF(C1807="","",C1807+10)</f>
        <v>18025</v>
      </c>
      <c r="D1808" s="2102"/>
      <c r="E1808" s="627"/>
      <c r="F1808" s="628" t="s">
        <v>431</v>
      </c>
      <c r="G1808" s="2103">
        <f>IF(G1807="","",G1807+10)</f>
        <v>18040</v>
      </c>
      <c r="H1808" s="2104"/>
    </row>
    <row r="1809" spans="1:8" ht="15.5" x14ac:dyDescent="0.35">
      <c r="A1809" s="625"/>
      <c r="B1809" s="626" t="s">
        <v>430</v>
      </c>
      <c r="C1809" s="2101">
        <f>IF(C1808="","",C1808+10)</f>
        <v>18035</v>
      </c>
      <c r="D1809" s="2102"/>
      <c r="E1809" s="627"/>
      <c r="F1809" s="628" t="s">
        <v>431</v>
      </c>
      <c r="G1809" s="2103">
        <f>IF(G1808="","",G1808+10)</f>
        <v>18050</v>
      </c>
      <c r="H1809" s="2104"/>
    </row>
    <row r="1810" spans="1:8" ht="15.5" x14ac:dyDescent="0.35">
      <c r="A1810" s="625">
        <f>A1807+30</f>
        <v>18045</v>
      </c>
      <c r="B1810" s="626" t="s">
        <v>430</v>
      </c>
      <c r="C1810" s="2101">
        <f>IF(A1810="","",A1810)</f>
        <v>18045</v>
      </c>
      <c r="D1810" s="2102"/>
      <c r="E1810" s="627">
        <f>E1807+30</f>
        <v>18060</v>
      </c>
      <c r="F1810" s="628" t="s">
        <v>431</v>
      </c>
      <c r="G1810" s="2103">
        <f>IF(E1810="","",E1810)</f>
        <v>18060</v>
      </c>
      <c r="H1810" s="2104"/>
    </row>
    <row r="1811" spans="1:8" ht="15.5" x14ac:dyDescent="0.35">
      <c r="A1811" s="625"/>
      <c r="B1811" s="626" t="s">
        <v>430</v>
      </c>
      <c r="C1811" s="2101">
        <f>IF(C1810="","",C1810+10)</f>
        <v>18055</v>
      </c>
      <c r="D1811" s="2102"/>
      <c r="E1811" s="627"/>
      <c r="F1811" s="628" t="s">
        <v>431</v>
      </c>
      <c r="G1811" s="2103">
        <f>IF(G1810="","",G1810+10)</f>
        <v>18070</v>
      </c>
      <c r="H1811" s="2104"/>
    </row>
    <row r="1812" spans="1:8" ht="15.5" x14ac:dyDescent="0.35">
      <c r="A1812" s="625"/>
      <c r="B1812" s="626" t="s">
        <v>430</v>
      </c>
      <c r="C1812" s="2101">
        <f>IF(C1811="","",C1811+10)</f>
        <v>18065</v>
      </c>
      <c r="D1812" s="2102"/>
      <c r="E1812" s="627"/>
      <c r="F1812" s="628" t="s">
        <v>431</v>
      </c>
      <c r="G1812" s="2103">
        <f>IF(G1811="","",G1811+10)</f>
        <v>18080</v>
      </c>
      <c r="H1812" s="2104"/>
    </row>
    <row r="1813" spans="1:8" ht="15.5" x14ac:dyDescent="0.35">
      <c r="A1813" s="625">
        <f>A1810+30</f>
        <v>18075</v>
      </c>
      <c r="B1813" s="626" t="s">
        <v>430</v>
      </c>
      <c r="C1813" s="2101">
        <f>IF(A1813="","",A1813)</f>
        <v>18075</v>
      </c>
      <c r="D1813" s="2102"/>
      <c r="E1813" s="627">
        <f>E1810+30</f>
        <v>18090</v>
      </c>
      <c r="F1813" s="628" t="s">
        <v>431</v>
      </c>
      <c r="G1813" s="2103">
        <f>IF(E1813="","",E1813)</f>
        <v>18090</v>
      </c>
      <c r="H1813" s="2104"/>
    </row>
    <row r="1814" spans="1:8" ht="15.5" x14ac:dyDescent="0.35">
      <c r="A1814" s="625"/>
      <c r="B1814" s="626" t="s">
        <v>430</v>
      </c>
      <c r="C1814" s="2101">
        <f>IF(C1813="","",C1813+10)</f>
        <v>18085</v>
      </c>
      <c r="D1814" s="2102"/>
      <c r="E1814" s="627"/>
      <c r="F1814" s="628" t="s">
        <v>431</v>
      </c>
      <c r="G1814" s="2103">
        <f>IF(G1813="","",G1813+10)</f>
        <v>18100</v>
      </c>
      <c r="H1814" s="2104"/>
    </row>
    <row r="1815" spans="1:8" ht="15.5" x14ac:dyDescent="0.35">
      <c r="A1815" s="625"/>
      <c r="B1815" s="626" t="s">
        <v>430</v>
      </c>
      <c r="C1815" s="2101">
        <f>IF(C1814="","",C1814+10)</f>
        <v>18095</v>
      </c>
      <c r="D1815" s="2102"/>
      <c r="E1815" s="627"/>
      <c r="F1815" s="628" t="s">
        <v>431</v>
      </c>
      <c r="G1815" s="2103">
        <f>IF(G1814="","",G1814+10)</f>
        <v>18110</v>
      </c>
      <c r="H1815" s="2104"/>
    </row>
    <row r="1816" spans="1:8" ht="15.5" x14ac:dyDescent="0.35">
      <c r="A1816" s="625">
        <f>A1813+30</f>
        <v>18105</v>
      </c>
      <c r="B1816" s="626" t="s">
        <v>430</v>
      </c>
      <c r="C1816" s="2101">
        <f>IF(A1816="","",A1816)</f>
        <v>18105</v>
      </c>
      <c r="D1816" s="2102"/>
      <c r="E1816" s="627">
        <f>E1813+30</f>
        <v>18120</v>
      </c>
      <c r="F1816" s="628" t="s">
        <v>431</v>
      </c>
      <c r="G1816" s="2103">
        <f>IF(E1816="","",E1816)</f>
        <v>18120</v>
      </c>
      <c r="H1816" s="2104"/>
    </row>
    <row r="1817" spans="1:8" ht="15.5" x14ac:dyDescent="0.35">
      <c r="A1817" s="625"/>
      <c r="B1817" s="626" t="s">
        <v>430</v>
      </c>
      <c r="C1817" s="2101">
        <f>IF(C1816="","",C1816+10)</f>
        <v>18115</v>
      </c>
      <c r="D1817" s="2102"/>
      <c r="E1817" s="627"/>
      <c r="F1817" s="628" t="s">
        <v>431</v>
      </c>
      <c r="G1817" s="2103">
        <f>IF(G1816="","",G1816+10)</f>
        <v>18130</v>
      </c>
      <c r="H1817" s="2104"/>
    </row>
    <row r="1818" spans="1:8" ht="15.5" x14ac:dyDescent="0.35">
      <c r="A1818" s="625"/>
      <c r="B1818" s="626" t="s">
        <v>430</v>
      </c>
      <c r="C1818" s="2101">
        <f>IF(C1817="","",C1817+10)</f>
        <v>18125</v>
      </c>
      <c r="D1818" s="2102"/>
      <c r="E1818" s="627"/>
      <c r="F1818" s="628" t="s">
        <v>431</v>
      </c>
      <c r="G1818" s="2103">
        <f>IF(G1817="","",G1817+10)</f>
        <v>18140</v>
      </c>
      <c r="H1818" s="2104"/>
    </row>
    <row r="1819" spans="1:8" ht="15.5" x14ac:dyDescent="0.35">
      <c r="A1819" s="625">
        <f>A1816+30</f>
        <v>18135</v>
      </c>
      <c r="B1819" s="626" t="s">
        <v>430</v>
      </c>
      <c r="C1819" s="2101">
        <f>IF(A1819="","",A1819)</f>
        <v>18135</v>
      </c>
      <c r="D1819" s="2102"/>
      <c r="E1819" s="627">
        <f>E1816+30</f>
        <v>18150</v>
      </c>
      <c r="F1819" s="628" t="s">
        <v>431</v>
      </c>
      <c r="G1819" s="2103">
        <f>IF(E1819="","",E1819)</f>
        <v>18150</v>
      </c>
      <c r="H1819" s="2104"/>
    </row>
    <row r="1820" spans="1:8" ht="15.5" x14ac:dyDescent="0.35">
      <c r="A1820" s="625"/>
      <c r="B1820" s="626" t="s">
        <v>430</v>
      </c>
      <c r="C1820" s="2101">
        <f>IF(C1819="","",C1819+10)</f>
        <v>18145</v>
      </c>
      <c r="D1820" s="2102"/>
      <c r="E1820" s="627"/>
      <c r="F1820" s="628" t="s">
        <v>431</v>
      </c>
      <c r="G1820" s="2103">
        <f>IF(G1819="","",G1819+10)</f>
        <v>18160</v>
      </c>
      <c r="H1820" s="2104"/>
    </row>
    <row r="1821" spans="1:8" ht="15.5" x14ac:dyDescent="0.35">
      <c r="A1821" s="625"/>
      <c r="B1821" s="626" t="s">
        <v>430</v>
      </c>
      <c r="C1821" s="2101">
        <f>IF(C1820="","",C1820+10)</f>
        <v>18155</v>
      </c>
      <c r="D1821" s="2102"/>
      <c r="E1821" s="627"/>
      <c r="F1821" s="628" t="s">
        <v>431</v>
      </c>
      <c r="G1821" s="2103">
        <f>IF(G1820="","",G1820+10)</f>
        <v>18170</v>
      </c>
      <c r="H1821" s="2104"/>
    </row>
    <row r="1822" spans="1:8" ht="15.5" x14ac:dyDescent="0.35">
      <c r="A1822" s="625">
        <f>A1819+30</f>
        <v>18165</v>
      </c>
      <c r="B1822" s="626" t="s">
        <v>430</v>
      </c>
      <c r="C1822" s="2101">
        <f>IF(A1822="","",A1822)</f>
        <v>18165</v>
      </c>
      <c r="D1822" s="2102"/>
      <c r="E1822" s="627">
        <f>E1819+30</f>
        <v>18180</v>
      </c>
      <c r="F1822" s="628" t="s">
        <v>431</v>
      </c>
      <c r="G1822" s="2103">
        <f>IF(E1822="","",E1822)</f>
        <v>18180</v>
      </c>
      <c r="H1822" s="2104"/>
    </row>
    <row r="1823" spans="1:8" ht="15.5" x14ac:dyDescent="0.35">
      <c r="A1823" s="625"/>
      <c r="B1823" s="626" t="s">
        <v>430</v>
      </c>
      <c r="C1823" s="2101">
        <f>IF(C1822="","",C1822+10)</f>
        <v>18175</v>
      </c>
      <c r="D1823" s="2102"/>
      <c r="E1823" s="627"/>
      <c r="F1823" s="628" t="s">
        <v>431</v>
      </c>
      <c r="G1823" s="2103">
        <f>IF(G1822="","",G1822+10)</f>
        <v>18190</v>
      </c>
      <c r="H1823" s="2104"/>
    </row>
    <row r="1824" spans="1:8" ht="15.5" x14ac:dyDescent="0.35">
      <c r="A1824" s="625"/>
      <c r="B1824" s="626" t="s">
        <v>430</v>
      </c>
      <c r="C1824" s="2101">
        <f>IF(C1823="","",C1823+10)</f>
        <v>18185</v>
      </c>
      <c r="D1824" s="2102"/>
      <c r="E1824" s="627"/>
      <c r="F1824" s="628" t="s">
        <v>431</v>
      </c>
      <c r="G1824" s="2103">
        <f>IF(G1823="","",G1823+10)</f>
        <v>18200</v>
      </c>
      <c r="H1824" s="2104"/>
    </row>
    <row r="1825" spans="1:8" ht="15.5" x14ac:dyDescent="0.35">
      <c r="A1825" s="625">
        <f>A1822+30</f>
        <v>18195</v>
      </c>
      <c r="B1825" s="626" t="s">
        <v>430</v>
      </c>
      <c r="C1825" s="2101">
        <f>IF(A1825="","",A1825)</f>
        <v>18195</v>
      </c>
      <c r="D1825" s="2102"/>
      <c r="E1825" s="627">
        <f>E1822+30</f>
        <v>18210</v>
      </c>
      <c r="F1825" s="628" t="s">
        <v>431</v>
      </c>
      <c r="G1825" s="2103">
        <f>IF(E1825="","",E1825)</f>
        <v>18210</v>
      </c>
      <c r="H1825" s="2104"/>
    </row>
    <row r="1826" spans="1:8" ht="15.5" x14ac:dyDescent="0.35">
      <c r="A1826" s="625"/>
      <c r="B1826" s="626" t="s">
        <v>430</v>
      </c>
      <c r="C1826" s="2101">
        <f>IF(C1825="","",C1825+10)</f>
        <v>18205</v>
      </c>
      <c r="D1826" s="2102"/>
      <c r="E1826" s="627"/>
      <c r="F1826" s="628" t="s">
        <v>431</v>
      </c>
      <c r="G1826" s="2103">
        <f>IF(G1825="","",G1825+10)</f>
        <v>18220</v>
      </c>
      <c r="H1826" s="2104"/>
    </row>
    <row r="1827" spans="1:8" ht="15.5" x14ac:dyDescent="0.35">
      <c r="A1827" s="625"/>
      <c r="B1827" s="626" t="s">
        <v>430</v>
      </c>
      <c r="C1827" s="2101">
        <f>IF(C1826="","",C1826+10)</f>
        <v>18215</v>
      </c>
      <c r="D1827" s="2102"/>
      <c r="E1827" s="627"/>
      <c r="F1827" s="628" t="s">
        <v>431</v>
      </c>
      <c r="G1827" s="2103">
        <f>IF(G1826="","",G1826+10)</f>
        <v>18230</v>
      </c>
      <c r="H1827" s="2104"/>
    </row>
    <row r="1828" spans="1:8" ht="15.5" x14ac:dyDescent="0.35">
      <c r="A1828" s="625">
        <f>A1825+30</f>
        <v>18225</v>
      </c>
      <c r="B1828" s="626" t="s">
        <v>430</v>
      </c>
      <c r="C1828" s="2101">
        <f>IF(A1828="","",A1828)</f>
        <v>18225</v>
      </c>
      <c r="D1828" s="2102"/>
      <c r="E1828" s="627">
        <f>E1825+30</f>
        <v>18240</v>
      </c>
      <c r="F1828" s="628" t="s">
        <v>431</v>
      </c>
      <c r="G1828" s="2103">
        <f>IF(E1828="","",E1828)</f>
        <v>18240</v>
      </c>
      <c r="H1828" s="2104"/>
    </row>
    <row r="1829" spans="1:8" ht="15.5" x14ac:dyDescent="0.35">
      <c r="A1829" s="625"/>
      <c r="B1829" s="626" t="s">
        <v>430</v>
      </c>
      <c r="C1829" s="2101">
        <f>IF(C1828="","",C1828+10)</f>
        <v>18235</v>
      </c>
      <c r="D1829" s="2102"/>
      <c r="E1829" s="627"/>
      <c r="F1829" s="628" t="s">
        <v>431</v>
      </c>
      <c r="G1829" s="2103">
        <f>IF(G1828="","",G1828+10)</f>
        <v>18250</v>
      </c>
      <c r="H1829" s="2104"/>
    </row>
    <row r="1830" spans="1:8" ht="15.5" x14ac:dyDescent="0.35">
      <c r="A1830" s="625"/>
      <c r="B1830" s="626" t="s">
        <v>430</v>
      </c>
      <c r="C1830" s="2101">
        <f>IF(C1829="","",C1829+10)</f>
        <v>18245</v>
      </c>
      <c r="D1830" s="2102"/>
      <c r="E1830" s="627"/>
      <c r="F1830" s="628" t="s">
        <v>431</v>
      </c>
      <c r="G1830" s="2103">
        <f>IF(G1829="","",G1829+10)</f>
        <v>18260</v>
      </c>
      <c r="H1830" s="2104"/>
    </row>
    <row r="1831" spans="1:8" ht="15.5" x14ac:dyDescent="0.35">
      <c r="A1831" s="625">
        <f>A1828+30</f>
        <v>18255</v>
      </c>
      <c r="B1831" s="626" t="s">
        <v>430</v>
      </c>
      <c r="C1831" s="2101">
        <f>IF(A1831="","",A1831)</f>
        <v>18255</v>
      </c>
      <c r="D1831" s="2102"/>
      <c r="E1831" s="627">
        <f>E1828+30</f>
        <v>18270</v>
      </c>
      <c r="F1831" s="628" t="s">
        <v>431</v>
      </c>
      <c r="G1831" s="2103">
        <f>IF(E1831="","",E1831)</f>
        <v>18270</v>
      </c>
      <c r="H1831" s="2104"/>
    </row>
    <row r="1832" spans="1:8" ht="15.5" x14ac:dyDescent="0.35">
      <c r="A1832" s="625"/>
      <c r="B1832" s="626" t="s">
        <v>430</v>
      </c>
      <c r="C1832" s="2101">
        <f>IF(C1831="","",C1831+10)</f>
        <v>18265</v>
      </c>
      <c r="D1832" s="2102"/>
      <c r="E1832" s="627"/>
      <c r="F1832" s="628" t="s">
        <v>431</v>
      </c>
      <c r="G1832" s="2103">
        <f>IF(G1831="","",G1831+10)</f>
        <v>18280</v>
      </c>
      <c r="H1832" s="2104"/>
    </row>
    <row r="1833" spans="1:8" ht="15.5" x14ac:dyDescent="0.35">
      <c r="A1833" s="625"/>
      <c r="B1833" s="626" t="s">
        <v>430</v>
      </c>
      <c r="C1833" s="2101">
        <f>IF(C1832="","",C1832+10)</f>
        <v>18275</v>
      </c>
      <c r="D1833" s="2102"/>
      <c r="E1833" s="627"/>
      <c r="F1833" s="628" t="s">
        <v>431</v>
      </c>
      <c r="G1833" s="2103">
        <f>IF(G1832="","",G1832+10)</f>
        <v>18290</v>
      </c>
      <c r="H1833" s="2104"/>
    </row>
    <row r="1834" spans="1:8" ht="15.5" x14ac:dyDescent="0.35">
      <c r="A1834" s="625">
        <f>A1831+30</f>
        <v>18285</v>
      </c>
      <c r="B1834" s="626" t="s">
        <v>430</v>
      </c>
      <c r="C1834" s="2101">
        <f>IF(A1834="","",A1834)</f>
        <v>18285</v>
      </c>
      <c r="D1834" s="2102"/>
      <c r="E1834" s="627">
        <f>E1831+30</f>
        <v>18300</v>
      </c>
      <c r="F1834" s="628" t="s">
        <v>431</v>
      </c>
      <c r="G1834" s="2103">
        <f>IF(E1834="","",E1834)</f>
        <v>18300</v>
      </c>
      <c r="H1834" s="2104"/>
    </row>
    <row r="1835" spans="1:8" ht="15.5" x14ac:dyDescent="0.35">
      <c r="A1835" s="625"/>
      <c r="B1835" s="626" t="s">
        <v>430</v>
      </c>
      <c r="C1835" s="2101">
        <f>IF(C1834="","",C1834+10)</f>
        <v>18295</v>
      </c>
      <c r="D1835" s="2102"/>
      <c r="E1835" s="627"/>
      <c r="F1835" s="628" t="s">
        <v>431</v>
      </c>
      <c r="G1835" s="2103">
        <f>IF(G1834="","",G1834+10)</f>
        <v>18310</v>
      </c>
      <c r="H1835" s="2104"/>
    </row>
    <row r="1836" spans="1:8" ht="15.5" x14ac:dyDescent="0.35">
      <c r="A1836" s="625"/>
      <c r="B1836" s="626" t="s">
        <v>430</v>
      </c>
      <c r="C1836" s="2101">
        <f>IF(C1835="","",C1835+10)</f>
        <v>18305</v>
      </c>
      <c r="D1836" s="2102"/>
      <c r="E1836" s="627"/>
      <c r="F1836" s="628" t="s">
        <v>431</v>
      </c>
      <c r="G1836" s="2103">
        <f>IF(G1835="","",G1835+10)</f>
        <v>18320</v>
      </c>
      <c r="H1836" s="2104"/>
    </row>
    <row r="1837" spans="1:8" ht="15.5" x14ac:dyDescent="0.35">
      <c r="A1837" s="625">
        <f>A1834+30</f>
        <v>18315</v>
      </c>
      <c r="B1837" s="626" t="s">
        <v>430</v>
      </c>
      <c r="C1837" s="2101">
        <f>IF(A1837="","",A1837)</f>
        <v>18315</v>
      </c>
      <c r="D1837" s="2102"/>
      <c r="E1837" s="627">
        <f>E1834+30</f>
        <v>18330</v>
      </c>
      <c r="F1837" s="628" t="s">
        <v>431</v>
      </c>
      <c r="G1837" s="2103">
        <f>IF(E1837="","",E1837)</f>
        <v>18330</v>
      </c>
      <c r="H1837" s="2104"/>
    </row>
    <row r="1838" spans="1:8" ht="15.5" x14ac:dyDescent="0.35">
      <c r="A1838" s="625"/>
      <c r="B1838" s="626" t="s">
        <v>430</v>
      </c>
      <c r="C1838" s="2101">
        <f>IF(C1837="","",C1837+10)</f>
        <v>18325</v>
      </c>
      <c r="D1838" s="2102"/>
      <c r="E1838" s="627"/>
      <c r="F1838" s="628" t="s">
        <v>431</v>
      </c>
      <c r="G1838" s="2103">
        <f>IF(G1837="","",G1837+10)</f>
        <v>18340</v>
      </c>
      <c r="H1838" s="2104"/>
    </row>
    <row r="1839" spans="1:8" ht="15.5" x14ac:dyDescent="0.35">
      <c r="A1839" s="625"/>
      <c r="B1839" s="626" t="s">
        <v>430</v>
      </c>
      <c r="C1839" s="2101">
        <f>IF(C1838="","",C1838+10)</f>
        <v>18335</v>
      </c>
      <c r="D1839" s="2102"/>
      <c r="E1839" s="627"/>
      <c r="F1839" s="628" t="s">
        <v>431</v>
      </c>
      <c r="G1839" s="2103">
        <f>IF(G1838="","",G1838+10)</f>
        <v>18350</v>
      </c>
      <c r="H1839" s="2104"/>
    </row>
    <row r="1840" spans="1:8" ht="15.5" x14ac:dyDescent="0.35">
      <c r="A1840" s="625">
        <f>A1837+30</f>
        <v>18345</v>
      </c>
      <c r="B1840" s="626" t="s">
        <v>430</v>
      </c>
      <c r="C1840" s="2101">
        <f>IF(A1840="","",A1840)</f>
        <v>18345</v>
      </c>
      <c r="D1840" s="2102"/>
      <c r="E1840" s="627">
        <f>E1837+30</f>
        <v>18360</v>
      </c>
      <c r="F1840" s="628" t="s">
        <v>431</v>
      </c>
      <c r="G1840" s="2103">
        <f>IF(E1840="","",E1840)</f>
        <v>18360</v>
      </c>
      <c r="H1840" s="2104"/>
    </row>
    <row r="1841" spans="1:8" ht="15.5" x14ac:dyDescent="0.35">
      <c r="A1841" s="625"/>
      <c r="B1841" s="626" t="s">
        <v>430</v>
      </c>
      <c r="C1841" s="2101">
        <f>IF(C1840="","",C1840+10)</f>
        <v>18355</v>
      </c>
      <c r="D1841" s="2102"/>
      <c r="E1841" s="627"/>
      <c r="F1841" s="628" t="s">
        <v>431</v>
      </c>
      <c r="G1841" s="2103">
        <f>IF(G1840="","",G1840+10)</f>
        <v>18370</v>
      </c>
      <c r="H1841" s="2104"/>
    </row>
    <row r="1842" spans="1:8" ht="15.5" x14ac:dyDescent="0.35">
      <c r="A1842" s="625"/>
      <c r="B1842" s="626" t="s">
        <v>430</v>
      </c>
      <c r="C1842" s="2101">
        <f>IF(C1841="","",C1841+10)</f>
        <v>18365</v>
      </c>
      <c r="D1842" s="2102"/>
      <c r="E1842" s="627"/>
      <c r="F1842" s="628" t="s">
        <v>431</v>
      </c>
      <c r="G1842" s="2103">
        <f>IF(G1841="","",G1841+10)</f>
        <v>18380</v>
      </c>
      <c r="H1842" s="2104"/>
    </row>
    <row r="1843" spans="1:8" ht="15.5" x14ac:dyDescent="0.35">
      <c r="A1843" s="625">
        <f>A1840+30</f>
        <v>18375</v>
      </c>
      <c r="B1843" s="626" t="s">
        <v>430</v>
      </c>
      <c r="C1843" s="2101">
        <f>IF(A1843="","",A1843)</f>
        <v>18375</v>
      </c>
      <c r="D1843" s="2102"/>
      <c r="E1843" s="627">
        <f>E1840+30</f>
        <v>18390</v>
      </c>
      <c r="F1843" s="628" t="s">
        <v>431</v>
      </c>
      <c r="G1843" s="2103">
        <f>IF(E1843="","",E1843)</f>
        <v>18390</v>
      </c>
      <c r="H1843" s="2104"/>
    </row>
    <row r="1844" spans="1:8" ht="15.5" x14ac:dyDescent="0.35">
      <c r="A1844" s="625"/>
      <c r="B1844" s="626" t="s">
        <v>430</v>
      </c>
      <c r="C1844" s="2101">
        <f>IF(C1843="","",C1843+10)</f>
        <v>18385</v>
      </c>
      <c r="D1844" s="2102"/>
      <c r="E1844" s="627"/>
      <c r="F1844" s="628" t="s">
        <v>431</v>
      </c>
      <c r="G1844" s="2103">
        <f>IF(G1843="","",G1843+10)</f>
        <v>18400</v>
      </c>
      <c r="H1844" s="2104"/>
    </row>
    <row r="1845" spans="1:8" ht="15.5" x14ac:dyDescent="0.35">
      <c r="A1845" s="625"/>
      <c r="B1845" s="626" t="s">
        <v>430</v>
      </c>
      <c r="C1845" s="2101">
        <f>IF(C1844="","",C1844+10)</f>
        <v>18395</v>
      </c>
      <c r="D1845" s="2102"/>
      <c r="E1845" s="627"/>
      <c r="F1845" s="628" t="s">
        <v>431</v>
      </c>
      <c r="G1845" s="2103">
        <f>IF(G1844="","",G1844+10)</f>
        <v>18410</v>
      </c>
      <c r="H1845" s="2104"/>
    </row>
    <row r="1846" spans="1:8" ht="15.5" x14ac:dyDescent="0.35">
      <c r="A1846" s="625">
        <f>A1843+30</f>
        <v>18405</v>
      </c>
      <c r="B1846" s="626" t="s">
        <v>430</v>
      </c>
      <c r="C1846" s="2101">
        <f>IF(A1846="","",A1846)</f>
        <v>18405</v>
      </c>
      <c r="D1846" s="2102"/>
      <c r="E1846" s="627">
        <f>E1843+30</f>
        <v>18420</v>
      </c>
      <c r="F1846" s="628" t="s">
        <v>431</v>
      </c>
      <c r="G1846" s="2103">
        <f>IF(E1846="","",E1846)</f>
        <v>18420</v>
      </c>
      <c r="H1846" s="2104"/>
    </row>
    <row r="1847" spans="1:8" ht="15.5" x14ac:dyDescent="0.35">
      <c r="A1847" s="625"/>
      <c r="B1847" s="626" t="s">
        <v>430</v>
      </c>
      <c r="C1847" s="2101">
        <f>IF(C1846="","",C1846+10)</f>
        <v>18415</v>
      </c>
      <c r="D1847" s="2102"/>
      <c r="E1847" s="627"/>
      <c r="F1847" s="628" t="s">
        <v>431</v>
      </c>
      <c r="G1847" s="2103">
        <f>IF(G1846="","",G1846+10)</f>
        <v>18430</v>
      </c>
      <c r="H1847" s="2104"/>
    </row>
    <row r="1848" spans="1:8" ht="15.5" x14ac:dyDescent="0.35">
      <c r="A1848" s="625"/>
      <c r="B1848" s="626" t="s">
        <v>430</v>
      </c>
      <c r="C1848" s="2101">
        <f>IF(C1847="","",C1847+10)</f>
        <v>18425</v>
      </c>
      <c r="D1848" s="2102"/>
      <c r="E1848" s="627"/>
      <c r="F1848" s="628" t="s">
        <v>431</v>
      </c>
      <c r="G1848" s="2103">
        <f>IF(G1847="","",G1847+10)</f>
        <v>18440</v>
      </c>
      <c r="H1848" s="2104"/>
    </row>
    <row r="1849" spans="1:8" ht="15.5" x14ac:dyDescent="0.35">
      <c r="A1849" s="625">
        <f>A1846+30</f>
        <v>18435</v>
      </c>
      <c r="B1849" s="626" t="s">
        <v>430</v>
      </c>
      <c r="C1849" s="2101">
        <f>IF(A1849="","",A1849)</f>
        <v>18435</v>
      </c>
      <c r="D1849" s="2102"/>
      <c r="E1849" s="627">
        <f>E1846+30</f>
        <v>18450</v>
      </c>
      <c r="F1849" s="628" t="s">
        <v>431</v>
      </c>
      <c r="G1849" s="2103">
        <f>IF(E1849="","",E1849)</f>
        <v>18450</v>
      </c>
      <c r="H1849" s="2104"/>
    </row>
    <row r="1850" spans="1:8" ht="15.5" x14ac:dyDescent="0.35">
      <c r="A1850" s="625"/>
      <c r="B1850" s="626" t="s">
        <v>430</v>
      </c>
      <c r="C1850" s="2101">
        <f>IF(C1849="","",C1849+10)</f>
        <v>18445</v>
      </c>
      <c r="D1850" s="2102"/>
      <c r="E1850" s="627"/>
      <c r="F1850" s="628" t="s">
        <v>431</v>
      </c>
      <c r="G1850" s="2103">
        <f>IF(G1849="","",G1849+10)</f>
        <v>18460</v>
      </c>
      <c r="H1850" s="2104"/>
    </row>
    <row r="1851" spans="1:8" ht="15.5" x14ac:dyDescent="0.35">
      <c r="A1851" s="625"/>
      <c r="B1851" s="626" t="s">
        <v>430</v>
      </c>
      <c r="C1851" s="2101">
        <f>IF(C1850="","",C1850+10)</f>
        <v>18455</v>
      </c>
      <c r="D1851" s="2102"/>
      <c r="E1851" s="627"/>
      <c r="F1851" s="628" t="s">
        <v>431</v>
      </c>
      <c r="G1851" s="2103">
        <f>IF(G1850="","",G1850+10)</f>
        <v>18470</v>
      </c>
      <c r="H1851" s="2104"/>
    </row>
    <row r="1852" spans="1:8" ht="15.5" x14ac:dyDescent="0.35">
      <c r="A1852" s="625">
        <f>A1849+30</f>
        <v>18465</v>
      </c>
      <c r="B1852" s="626" t="s">
        <v>430</v>
      </c>
      <c r="C1852" s="2101">
        <f>IF(A1852="","",A1852)</f>
        <v>18465</v>
      </c>
      <c r="D1852" s="2102"/>
      <c r="E1852" s="627">
        <f>E1849+30</f>
        <v>18480</v>
      </c>
      <c r="F1852" s="628" t="s">
        <v>431</v>
      </c>
      <c r="G1852" s="2103">
        <f>IF(E1852="","",E1852)</f>
        <v>18480</v>
      </c>
      <c r="H1852" s="2104"/>
    </row>
    <row r="1853" spans="1:8" ht="15.5" x14ac:dyDescent="0.35">
      <c r="A1853" s="625"/>
      <c r="B1853" s="626" t="s">
        <v>430</v>
      </c>
      <c r="C1853" s="2101">
        <f>IF(C1852="","",C1852+10)</f>
        <v>18475</v>
      </c>
      <c r="D1853" s="2102"/>
      <c r="E1853" s="627"/>
      <c r="F1853" s="628" t="s">
        <v>431</v>
      </c>
      <c r="G1853" s="2103">
        <f>IF(G1852="","",G1852+10)</f>
        <v>18490</v>
      </c>
      <c r="H1853" s="2104"/>
    </row>
    <row r="1854" spans="1:8" ht="15.5" x14ac:dyDescent="0.35">
      <c r="A1854" s="625"/>
      <c r="B1854" s="626" t="s">
        <v>430</v>
      </c>
      <c r="C1854" s="2101">
        <f>IF(C1853="","",C1853+10)</f>
        <v>18485</v>
      </c>
      <c r="D1854" s="2102"/>
      <c r="E1854" s="627"/>
      <c r="F1854" s="628" t="s">
        <v>431</v>
      </c>
      <c r="G1854" s="2103">
        <f>IF(G1853="","",G1853+10)</f>
        <v>18500</v>
      </c>
      <c r="H1854" s="2104"/>
    </row>
    <row r="1855" spans="1:8" ht="15.5" x14ac:dyDescent="0.35">
      <c r="A1855" s="625">
        <f>A1852+30</f>
        <v>18495</v>
      </c>
      <c r="B1855" s="626" t="s">
        <v>430</v>
      </c>
      <c r="C1855" s="2101">
        <f>IF(A1855="","",A1855)</f>
        <v>18495</v>
      </c>
      <c r="D1855" s="2102"/>
      <c r="E1855" s="627">
        <f>E1852+30</f>
        <v>18510</v>
      </c>
      <c r="F1855" s="628" t="s">
        <v>431</v>
      </c>
      <c r="G1855" s="2103">
        <f>IF(E1855="","",E1855)</f>
        <v>18510</v>
      </c>
      <c r="H1855" s="2104"/>
    </row>
    <row r="1856" spans="1:8" ht="15.5" x14ac:dyDescent="0.35">
      <c r="A1856" s="625"/>
      <c r="B1856" s="626" t="s">
        <v>430</v>
      </c>
      <c r="C1856" s="2101">
        <f>IF(C1855="","",C1855+10)</f>
        <v>18505</v>
      </c>
      <c r="D1856" s="2102"/>
      <c r="E1856" s="627"/>
      <c r="F1856" s="628" t="s">
        <v>431</v>
      </c>
      <c r="G1856" s="2103">
        <f>IF(G1855="","",G1855+10)</f>
        <v>18520</v>
      </c>
      <c r="H1856" s="2104"/>
    </row>
    <row r="1857" spans="1:8" ht="15.5" x14ac:dyDescent="0.35">
      <c r="A1857" s="625"/>
      <c r="B1857" s="626" t="s">
        <v>430</v>
      </c>
      <c r="C1857" s="2101">
        <f>IF(C1856="","",C1856+10)</f>
        <v>18515</v>
      </c>
      <c r="D1857" s="2102"/>
      <c r="E1857" s="627"/>
      <c r="F1857" s="628" t="s">
        <v>431</v>
      </c>
      <c r="G1857" s="2103">
        <f>IF(G1856="","",G1856+10)</f>
        <v>18530</v>
      </c>
      <c r="H1857" s="2104"/>
    </row>
    <row r="1858" spans="1:8" ht="15.5" x14ac:dyDescent="0.35">
      <c r="A1858" s="625">
        <f>A1855+30</f>
        <v>18525</v>
      </c>
      <c r="B1858" s="626" t="s">
        <v>430</v>
      </c>
      <c r="C1858" s="2101">
        <f>IF(A1858="","",A1858)</f>
        <v>18525</v>
      </c>
      <c r="D1858" s="2102"/>
      <c r="E1858" s="627">
        <f>E1855+30</f>
        <v>18540</v>
      </c>
      <c r="F1858" s="628" t="s">
        <v>431</v>
      </c>
      <c r="G1858" s="2103">
        <f>IF(E1858="","",E1858)</f>
        <v>18540</v>
      </c>
      <c r="H1858" s="2104"/>
    </row>
    <row r="1859" spans="1:8" ht="15.5" x14ac:dyDescent="0.35">
      <c r="A1859" s="625"/>
      <c r="B1859" s="626" t="s">
        <v>430</v>
      </c>
      <c r="C1859" s="2101">
        <f>IF(C1858="","",C1858+10)</f>
        <v>18535</v>
      </c>
      <c r="D1859" s="2102"/>
      <c r="E1859" s="627"/>
      <c r="F1859" s="628" t="s">
        <v>431</v>
      </c>
      <c r="G1859" s="2103">
        <f>IF(G1858="","",G1858+10)</f>
        <v>18550</v>
      </c>
      <c r="H1859" s="2104"/>
    </row>
    <row r="1860" spans="1:8" ht="15.5" x14ac:dyDescent="0.35">
      <c r="A1860" s="625"/>
      <c r="B1860" s="626" t="s">
        <v>430</v>
      </c>
      <c r="C1860" s="2101">
        <f>IF(C1859="","",C1859+10)</f>
        <v>18545</v>
      </c>
      <c r="D1860" s="2102"/>
      <c r="E1860" s="627"/>
      <c r="F1860" s="628" t="s">
        <v>431</v>
      </c>
      <c r="G1860" s="2103">
        <f>IF(G1859="","",G1859+10)</f>
        <v>18560</v>
      </c>
      <c r="H1860" s="2104"/>
    </row>
    <row r="1861" spans="1:8" ht="15.5" x14ac:dyDescent="0.35">
      <c r="A1861" s="625">
        <f>A1858+30</f>
        <v>18555</v>
      </c>
      <c r="B1861" s="626" t="s">
        <v>430</v>
      </c>
      <c r="C1861" s="2101">
        <f>IF(A1861="","",A1861)</f>
        <v>18555</v>
      </c>
      <c r="D1861" s="2102"/>
      <c r="E1861" s="627">
        <f>E1858+30</f>
        <v>18570</v>
      </c>
      <c r="F1861" s="628" t="s">
        <v>431</v>
      </c>
      <c r="G1861" s="2103">
        <f>IF(E1861="","",E1861)</f>
        <v>18570</v>
      </c>
      <c r="H1861" s="2104"/>
    </row>
    <row r="1862" spans="1:8" ht="15.5" x14ac:dyDescent="0.35">
      <c r="A1862" s="625"/>
      <c r="B1862" s="626" t="s">
        <v>430</v>
      </c>
      <c r="C1862" s="2101">
        <f>IF(C1861="","",C1861+10)</f>
        <v>18565</v>
      </c>
      <c r="D1862" s="2102"/>
      <c r="E1862" s="627"/>
      <c r="F1862" s="628" t="s">
        <v>431</v>
      </c>
      <c r="G1862" s="2103">
        <f>IF(G1861="","",G1861+10)</f>
        <v>18580</v>
      </c>
      <c r="H1862" s="2104"/>
    </row>
    <row r="1863" spans="1:8" ht="15.5" x14ac:dyDescent="0.35">
      <c r="A1863" s="625"/>
      <c r="B1863" s="626" t="s">
        <v>430</v>
      </c>
      <c r="C1863" s="2101">
        <f>IF(C1862="","",C1862+10)</f>
        <v>18575</v>
      </c>
      <c r="D1863" s="2102"/>
      <c r="E1863" s="627"/>
      <c r="F1863" s="628" t="s">
        <v>431</v>
      </c>
      <c r="G1863" s="2103">
        <f>IF(G1862="","",G1862+10)</f>
        <v>18590</v>
      </c>
      <c r="H1863" s="2104"/>
    </row>
    <row r="1864" spans="1:8" ht="15.5" x14ac:dyDescent="0.35">
      <c r="A1864" s="625">
        <f>A1861+30</f>
        <v>18585</v>
      </c>
      <c r="B1864" s="626" t="s">
        <v>430</v>
      </c>
      <c r="C1864" s="2101">
        <f>IF(A1864="","",A1864)</f>
        <v>18585</v>
      </c>
      <c r="D1864" s="2102"/>
      <c r="E1864" s="627">
        <f>E1861+30</f>
        <v>18600</v>
      </c>
      <c r="F1864" s="628" t="s">
        <v>431</v>
      </c>
      <c r="G1864" s="2103">
        <f>IF(E1864="","",E1864)</f>
        <v>18600</v>
      </c>
      <c r="H1864" s="2104"/>
    </row>
    <row r="1865" spans="1:8" ht="15.5" x14ac:dyDescent="0.35">
      <c r="A1865" s="625"/>
      <c r="B1865" s="626" t="s">
        <v>430</v>
      </c>
      <c r="C1865" s="2101">
        <f>IF(C1864="","",C1864+10)</f>
        <v>18595</v>
      </c>
      <c r="D1865" s="2102"/>
      <c r="E1865" s="627"/>
      <c r="F1865" s="628" t="s">
        <v>431</v>
      </c>
      <c r="G1865" s="2103">
        <f>IF(G1864="","",G1864+10)</f>
        <v>18610</v>
      </c>
      <c r="H1865" s="2104"/>
    </row>
    <row r="1866" spans="1:8" ht="15.5" x14ac:dyDescent="0.35">
      <c r="A1866" s="625"/>
      <c r="B1866" s="626" t="s">
        <v>430</v>
      </c>
      <c r="C1866" s="2101">
        <f>IF(C1865="","",C1865+10)</f>
        <v>18605</v>
      </c>
      <c r="D1866" s="2102"/>
      <c r="E1866" s="627"/>
      <c r="F1866" s="628" t="s">
        <v>431</v>
      </c>
      <c r="G1866" s="2103">
        <f>IF(G1865="","",G1865+10)</f>
        <v>18620</v>
      </c>
      <c r="H1866" s="2104"/>
    </row>
    <row r="1867" spans="1:8" ht="15.5" x14ac:dyDescent="0.35">
      <c r="A1867" s="625">
        <f>A1864+30</f>
        <v>18615</v>
      </c>
      <c r="B1867" s="626" t="s">
        <v>430</v>
      </c>
      <c r="C1867" s="2101">
        <f>IF(A1867="","",A1867)</f>
        <v>18615</v>
      </c>
      <c r="D1867" s="2102"/>
      <c r="E1867" s="627">
        <f>E1864+30</f>
        <v>18630</v>
      </c>
      <c r="F1867" s="628" t="s">
        <v>431</v>
      </c>
      <c r="G1867" s="2103">
        <f>IF(E1867="","",E1867)</f>
        <v>18630</v>
      </c>
      <c r="H1867" s="2104"/>
    </row>
    <row r="1868" spans="1:8" ht="15.5" x14ac:dyDescent="0.35">
      <c r="A1868" s="625"/>
      <c r="B1868" s="626" t="s">
        <v>430</v>
      </c>
      <c r="C1868" s="2101">
        <f>IF(C1867="","",C1867+10)</f>
        <v>18625</v>
      </c>
      <c r="D1868" s="2102"/>
      <c r="E1868" s="627"/>
      <c r="F1868" s="628" t="s">
        <v>431</v>
      </c>
      <c r="G1868" s="2103">
        <f>IF(G1867="","",G1867+10)</f>
        <v>18640</v>
      </c>
      <c r="H1868" s="2104"/>
    </row>
    <row r="1869" spans="1:8" ht="15.5" x14ac:dyDescent="0.35">
      <c r="A1869" s="625"/>
      <c r="B1869" s="626" t="s">
        <v>430</v>
      </c>
      <c r="C1869" s="2101">
        <f>IF(C1868="","",C1868+10)</f>
        <v>18635</v>
      </c>
      <c r="D1869" s="2102"/>
      <c r="E1869" s="627"/>
      <c r="F1869" s="628" t="s">
        <v>431</v>
      </c>
      <c r="G1869" s="2103">
        <f>IF(G1868="","",G1868+10)</f>
        <v>18650</v>
      </c>
      <c r="H1869" s="2104"/>
    </row>
    <row r="1870" spans="1:8" ht="15.5" x14ac:dyDescent="0.35">
      <c r="A1870" s="625">
        <f>A1867+30</f>
        <v>18645</v>
      </c>
      <c r="B1870" s="626" t="s">
        <v>430</v>
      </c>
      <c r="C1870" s="2101">
        <f>IF(A1870="","",A1870)</f>
        <v>18645</v>
      </c>
      <c r="D1870" s="2102"/>
      <c r="E1870" s="627">
        <f>E1867+30</f>
        <v>18660</v>
      </c>
      <c r="F1870" s="628" t="s">
        <v>431</v>
      </c>
      <c r="G1870" s="2103">
        <f>IF(E1870="","",E1870)</f>
        <v>18660</v>
      </c>
      <c r="H1870" s="2104"/>
    </row>
    <row r="1871" spans="1:8" ht="15.5" x14ac:dyDescent="0.35">
      <c r="A1871" s="625"/>
      <c r="B1871" s="626" t="s">
        <v>430</v>
      </c>
      <c r="C1871" s="2101">
        <f>IF(C1870="","",C1870+10)</f>
        <v>18655</v>
      </c>
      <c r="D1871" s="2102"/>
      <c r="E1871" s="627"/>
      <c r="F1871" s="628" t="s">
        <v>431</v>
      </c>
      <c r="G1871" s="2103">
        <f>IF(G1870="","",G1870+10)</f>
        <v>18670</v>
      </c>
      <c r="H1871" s="2104"/>
    </row>
    <row r="1872" spans="1:8" ht="15.5" x14ac:dyDescent="0.35">
      <c r="A1872" s="625"/>
      <c r="B1872" s="626" t="s">
        <v>430</v>
      </c>
      <c r="C1872" s="2101">
        <f>IF(C1871="","",C1871+10)</f>
        <v>18665</v>
      </c>
      <c r="D1872" s="2102"/>
      <c r="E1872" s="627"/>
      <c r="F1872" s="628" t="s">
        <v>431</v>
      </c>
      <c r="G1872" s="2103">
        <f>IF(G1871="","",G1871+10)</f>
        <v>18680</v>
      </c>
      <c r="H1872" s="2104"/>
    </row>
    <row r="1873" spans="1:8" ht="15.5" x14ac:dyDescent="0.35">
      <c r="A1873" s="625">
        <f>A1870+30</f>
        <v>18675</v>
      </c>
      <c r="B1873" s="626" t="s">
        <v>430</v>
      </c>
      <c r="C1873" s="2101">
        <f>IF(A1873="","",A1873)</f>
        <v>18675</v>
      </c>
      <c r="D1873" s="2102"/>
      <c r="E1873" s="627">
        <f>E1870+30</f>
        <v>18690</v>
      </c>
      <c r="F1873" s="628" t="s">
        <v>431</v>
      </c>
      <c r="G1873" s="2103">
        <f>IF(E1873="","",E1873)</f>
        <v>18690</v>
      </c>
      <c r="H1873" s="2104"/>
    </row>
    <row r="1874" spans="1:8" ht="15.5" x14ac:dyDescent="0.35">
      <c r="A1874" s="625"/>
      <c r="B1874" s="626" t="s">
        <v>430</v>
      </c>
      <c r="C1874" s="2101">
        <f>IF(C1873="","",C1873+10)</f>
        <v>18685</v>
      </c>
      <c r="D1874" s="2102"/>
      <c r="E1874" s="627"/>
      <c r="F1874" s="628" t="s">
        <v>431</v>
      </c>
      <c r="G1874" s="2103">
        <f>IF(G1873="","",G1873+10)</f>
        <v>18700</v>
      </c>
      <c r="H1874" s="2104"/>
    </row>
    <row r="1875" spans="1:8" ht="15.5" x14ac:dyDescent="0.35">
      <c r="A1875" s="625"/>
      <c r="B1875" s="626" t="s">
        <v>430</v>
      </c>
      <c r="C1875" s="2101">
        <f>IF(C1874="","",C1874+10)</f>
        <v>18695</v>
      </c>
      <c r="D1875" s="2102"/>
      <c r="E1875" s="627"/>
      <c r="F1875" s="628" t="s">
        <v>431</v>
      </c>
      <c r="G1875" s="2103">
        <f>IF(G1874="","",G1874+10)</f>
        <v>18710</v>
      </c>
      <c r="H1875" s="2104"/>
    </row>
    <row r="1876" spans="1:8" ht="15.5" x14ac:dyDescent="0.35">
      <c r="A1876" s="625">
        <f>A1873+30</f>
        <v>18705</v>
      </c>
      <c r="B1876" s="626" t="s">
        <v>430</v>
      </c>
      <c r="C1876" s="2101">
        <f>IF(A1876="","",A1876)</f>
        <v>18705</v>
      </c>
      <c r="D1876" s="2102"/>
      <c r="E1876" s="627">
        <f>E1873+30</f>
        <v>18720</v>
      </c>
      <c r="F1876" s="628" t="s">
        <v>431</v>
      </c>
      <c r="G1876" s="2103">
        <f>IF(E1876="","",E1876)</f>
        <v>18720</v>
      </c>
      <c r="H1876" s="2104"/>
    </row>
    <row r="1877" spans="1:8" ht="15.5" x14ac:dyDescent="0.35">
      <c r="A1877" s="625"/>
      <c r="B1877" s="626" t="s">
        <v>430</v>
      </c>
      <c r="C1877" s="2101">
        <f>IF(C1876="","",C1876+10)</f>
        <v>18715</v>
      </c>
      <c r="D1877" s="2102"/>
      <c r="E1877" s="627"/>
      <c r="F1877" s="628" t="s">
        <v>431</v>
      </c>
      <c r="G1877" s="2103">
        <f>IF(G1876="","",G1876+10)</f>
        <v>18730</v>
      </c>
      <c r="H1877" s="2104"/>
    </row>
    <row r="1878" spans="1:8" ht="15.5" x14ac:dyDescent="0.35">
      <c r="A1878" s="625"/>
      <c r="B1878" s="626" t="s">
        <v>430</v>
      </c>
      <c r="C1878" s="2101">
        <f>IF(C1877="","",C1877+10)</f>
        <v>18725</v>
      </c>
      <c r="D1878" s="2102"/>
      <c r="E1878" s="627"/>
      <c r="F1878" s="628" t="s">
        <v>431</v>
      </c>
      <c r="G1878" s="2103">
        <f>IF(G1877="","",G1877+10)</f>
        <v>18740</v>
      </c>
      <c r="H1878" s="2104"/>
    </row>
    <row r="1879" spans="1:8" ht="15.5" x14ac:dyDescent="0.35">
      <c r="A1879" s="625">
        <f>A1876+30</f>
        <v>18735</v>
      </c>
      <c r="B1879" s="626" t="s">
        <v>430</v>
      </c>
      <c r="C1879" s="2101">
        <f>IF(A1879="","",A1879)</f>
        <v>18735</v>
      </c>
      <c r="D1879" s="2102"/>
      <c r="E1879" s="627">
        <f>E1876+30</f>
        <v>18750</v>
      </c>
      <c r="F1879" s="628" t="s">
        <v>431</v>
      </c>
      <c r="G1879" s="2103">
        <f>IF(E1879="","",E1879)</f>
        <v>18750</v>
      </c>
      <c r="H1879" s="2104"/>
    </row>
    <row r="1880" spans="1:8" ht="15.5" x14ac:dyDescent="0.35">
      <c r="A1880" s="625"/>
      <c r="B1880" s="626" t="s">
        <v>430</v>
      </c>
      <c r="C1880" s="2101">
        <f>IF(C1879="","",C1879+10)</f>
        <v>18745</v>
      </c>
      <c r="D1880" s="2102"/>
      <c r="E1880" s="627"/>
      <c r="F1880" s="628" t="s">
        <v>431</v>
      </c>
      <c r="G1880" s="2103">
        <f>IF(G1879="","",G1879+10)</f>
        <v>18760</v>
      </c>
      <c r="H1880" s="2104"/>
    </row>
    <row r="1881" spans="1:8" ht="15.5" x14ac:dyDescent="0.35">
      <c r="A1881" s="625"/>
      <c r="B1881" s="626" t="s">
        <v>430</v>
      </c>
      <c r="C1881" s="2101">
        <f>IF(C1880="","",C1880+10)</f>
        <v>18755</v>
      </c>
      <c r="D1881" s="2102"/>
      <c r="E1881" s="627"/>
      <c r="F1881" s="628" t="s">
        <v>431</v>
      </c>
      <c r="G1881" s="2103">
        <f>IF(G1880="","",G1880+10)</f>
        <v>18770</v>
      </c>
      <c r="H1881" s="2104"/>
    </row>
    <row r="1882" spans="1:8" ht="15.5" x14ac:dyDescent="0.35">
      <c r="A1882" s="625">
        <f>A1879+30</f>
        <v>18765</v>
      </c>
      <c r="B1882" s="626" t="s">
        <v>430</v>
      </c>
      <c r="C1882" s="2101">
        <f>IF(A1882="","",A1882)</f>
        <v>18765</v>
      </c>
      <c r="D1882" s="2102"/>
      <c r="E1882" s="627">
        <f>E1879+30</f>
        <v>18780</v>
      </c>
      <c r="F1882" s="628" t="s">
        <v>431</v>
      </c>
      <c r="G1882" s="2103">
        <f>IF(E1882="","",E1882)</f>
        <v>18780</v>
      </c>
      <c r="H1882" s="2104"/>
    </row>
    <row r="1883" spans="1:8" ht="15.5" x14ac:dyDescent="0.35">
      <c r="A1883" s="625"/>
      <c r="B1883" s="626" t="s">
        <v>430</v>
      </c>
      <c r="C1883" s="2101">
        <f>IF(C1882="","",C1882+10)</f>
        <v>18775</v>
      </c>
      <c r="D1883" s="2102"/>
      <c r="E1883" s="627"/>
      <c r="F1883" s="628" t="s">
        <v>431</v>
      </c>
      <c r="G1883" s="2103">
        <f>IF(G1882="","",G1882+10)</f>
        <v>18790</v>
      </c>
      <c r="H1883" s="2104"/>
    </row>
    <row r="1884" spans="1:8" ht="15.5" x14ac:dyDescent="0.35">
      <c r="A1884" s="625"/>
      <c r="B1884" s="626" t="s">
        <v>430</v>
      </c>
      <c r="C1884" s="2101">
        <f>IF(C1883="","",C1883+10)</f>
        <v>18785</v>
      </c>
      <c r="D1884" s="2102"/>
      <c r="E1884" s="627"/>
      <c r="F1884" s="628" t="s">
        <v>431</v>
      </c>
      <c r="G1884" s="2103">
        <f>IF(G1883="","",G1883+10)</f>
        <v>18800</v>
      </c>
      <c r="H1884" s="2104"/>
    </row>
    <row r="1885" spans="1:8" ht="15.5" x14ac:dyDescent="0.35">
      <c r="A1885" s="625">
        <f>A1882+30</f>
        <v>18795</v>
      </c>
      <c r="B1885" s="626" t="s">
        <v>430</v>
      </c>
      <c r="C1885" s="2101">
        <f>IF(A1885="","",A1885)</f>
        <v>18795</v>
      </c>
      <c r="D1885" s="2102"/>
      <c r="E1885" s="627">
        <f>E1882+30</f>
        <v>18810</v>
      </c>
      <c r="F1885" s="628" t="s">
        <v>431</v>
      </c>
      <c r="G1885" s="2103">
        <f>IF(E1885="","",E1885)</f>
        <v>18810</v>
      </c>
      <c r="H1885" s="2104"/>
    </row>
    <row r="1886" spans="1:8" ht="15.5" x14ac:dyDescent="0.35">
      <c r="A1886" s="625"/>
      <c r="B1886" s="626" t="s">
        <v>430</v>
      </c>
      <c r="C1886" s="2101">
        <f>IF(C1885="","",C1885+10)</f>
        <v>18805</v>
      </c>
      <c r="D1886" s="2102"/>
      <c r="E1886" s="627"/>
      <c r="F1886" s="628" t="s">
        <v>431</v>
      </c>
      <c r="G1886" s="2103">
        <f>IF(G1885="","",G1885+10)</f>
        <v>18820</v>
      </c>
      <c r="H1886" s="2104"/>
    </row>
    <row r="1887" spans="1:8" ht="15.5" x14ac:dyDescent="0.35">
      <c r="A1887" s="625"/>
      <c r="B1887" s="626" t="s">
        <v>430</v>
      </c>
      <c r="C1887" s="2101">
        <f>IF(C1886="","",C1886+10)</f>
        <v>18815</v>
      </c>
      <c r="D1887" s="2102"/>
      <c r="E1887" s="627"/>
      <c r="F1887" s="628" t="s">
        <v>431</v>
      </c>
      <c r="G1887" s="2103">
        <f>IF(G1886="","",G1886+10)</f>
        <v>18830</v>
      </c>
      <c r="H1887" s="2104"/>
    </row>
    <row r="1888" spans="1:8" ht="15.5" x14ac:dyDescent="0.35">
      <c r="A1888" s="625">
        <f>A1885+30</f>
        <v>18825</v>
      </c>
      <c r="B1888" s="626" t="s">
        <v>430</v>
      </c>
      <c r="C1888" s="2101">
        <f>IF(A1888="","",A1888)</f>
        <v>18825</v>
      </c>
      <c r="D1888" s="2102"/>
      <c r="E1888" s="627">
        <f>E1885+30</f>
        <v>18840</v>
      </c>
      <c r="F1888" s="628" t="s">
        <v>431</v>
      </c>
      <c r="G1888" s="2103">
        <f>IF(E1888="","",E1888)</f>
        <v>18840</v>
      </c>
      <c r="H1888" s="2104"/>
    </row>
    <row r="1889" spans="1:8" ht="15.5" x14ac:dyDescent="0.35">
      <c r="A1889" s="625"/>
      <c r="B1889" s="626" t="s">
        <v>430</v>
      </c>
      <c r="C1889" s="2101">
        <f>IF(C1888="","",C1888+10)</f>
        <v>18835</v>
      </c>
      <c r="D1889" s="2102"/>
      <c r="E1889" s="627"/>
      <c r="F1889" s="628" t="s">
        <v>431</v>
      </c>
      <c r="G1889" s="2103">
        <f>IF(G1888="","",G1888+10)</f>
        <v>18850</v>
      </c>
      <c r="H1889" s="2104"/>
    </row>
    <row r="1890" spans="1:8" ht="15.5" x14ac:dyDescent="0.35">
      <c r="A1890" s="625"/>
      <c r="B1890" s="626" t="s">
        <v>430</v>
      </c>
      <c r="C1890" s="2101">
        <f>IF(C1889="","",C1889+10)</f>
        <v>18845</v>
      </c>
      <c r="D1890" s="2102"/>
      <c r="E1890" s="627"/>
      <c r="F1890" s="628" t="s">
        <v>431</v>
      </c>
      <c r="G1890" s="2103">
        <f>IF(G1889="","",G1889+10)</f>
        <v>18860</v>
      </c>
      <c r="H1890" s="2104"/>
    </row>
    <row r="1891" spans="1:8" ht="15.5" x14ac:dyDescent="0.35">
      <c r="A1891" s="625">
        <f>A1888+30</f>
        <v>18855</v>
      </c>
      <c r="B1891" s="626" t="s">
        <v>430</v>
      </c>
      <c r="C1891" s="2101">
        <f>IF(A1891="","",A1891)</f>
        <v>18855</v>
      </c>
      <c r="D1891" s="2102"/>
      <c r="E1891" s="627">
        <f>E1888+30</f>
        <v>18870</v>
      </c>
      <c r="F1891" s="628" t="s">
        <v>431</v>
      </c>
      <c r="G1891" s="2103">
        <f>IF(E1891="","",E1891)</f>
        <v>18870</v>
      </c>
      <c r="H1891" s="2104"/>
    </row>
    <row r="1892" spans="1:8" ht="15.5" x14ac:dyDescent="0.35">
      <c r="A1892" s="625"/>
      <c r="B1892" s="626" t="s">
        <v>430</v>
      </c>
      <c r="C1892" s="2101">
        <f>IF(C1891="","",C1891+10)</f>
        <v>18865</v>
      </c>
      <c r="D1892" s="2102"/>
      <c r="E1892" s="627"/>
      <c r="F1892" s="628" t="s">
        <v>431</v>
      </c>
      <c r="G1892" s="2103">
        <f>IF(G1891="","",G1891+10)</f>
        <v>18880</v>
      </c>
      <c r="H1892" s="2104"/>
    </row>
    <row r="1893" spans="1:8" ht="15.5" x14ac:dyDescent="0.35">
      <c r="A1893" s="625"/>
      <c r="B1893" s="626" t="s">
        <v>430</v>
      </c>
      <c r="C1893" s="2101">
        <f>IF(C1892="","",C1892+10)</f>
        <v>18875</v>
      </c>
      <c r="D1893" s="2102"/>
      <c r="E1893" s="627"/>
      <c r="F1893" s="628" t="s">
        <v>431</v>
      </c>
      <c r="G1893" s="2103">
        <f>IF(G1892="","",G1892+10)</f>
        <v>18890</v>
      </c>
      <c r="H1893" s="2104"/>
    </row>
    <row r="1894" spans="1:8" ht="15.5" x14ac:dyDescent="0.35">
      <c r="A1894" s="625">
        <f>A1891+30</f>
        <v>18885</v>
      </c>
      <c r="B1894" s="626" t="s">
        <v>430</v>
      </c>
      <c r="C1894" s="2101">
        <f>IF(A1894="","",A1894)</f>
        <v>18885</v>
      </c>
      <c r="D1894" s="2102"/>
      <c r="E1894" s="627">
        <f>E1891+30</f>
        <v>18900</v>
      </c>
      <c r="F1894" s="628" t="s">
        <v>431</v>
      </c>
      <c r="G1894" s="2103">
        <f>IF(E1894="","",E1894)</f>
        <v>18900</v>
      </c>
      <c r="H1894" s="2104"/>
    </row>
    <row r="1895" spans="1:8" ht="15.5" x14ac:dyDescent="0.35">
      <c r="A1895" s="625"/>
      <c r="B1895" s="626" t="s">
        <v>430</v>
      </c>
      <c r="C1895" s="2101">
        <f>IF(C1894="","",C1894+10)</f>
        <v>18895</v>
      </c>
      <c r="D1895" s="2102"/>
      <c r="E1895" s="627"/>
      <c r="F1895" s="628" t="s">
        <v>431</v>
      </c>
      <c r="G1895" s="2103">
        <f>IF(G1894="","",G1894+10)</f>
        <v>18910</v>
      </c>
      <c r="H1895" s="2104"/>
    </row>
    <row r="1896" spans="1:8" ht="15.5" x14ac:dyDescent="0.35">
      <c r="A1896" s="625"/>
      <c r="B1896" s="626" t="s">
        <v>430</v>
      </c>
      <c r="C1896" s="2101">
        <f>IF(C1895="","",C1895+10)</f>
        <v>18905</v>
      </c>
      <c r="D1896" s="2102"/>
      <c r="E1896" s="627"/>
      <c r="F1896" s="628" t="s">
        <v>431</v>
      </c>
      <c r="G1896" s="2103">
        <f>IF(G1895="","",G1895+10)</f>
        <v>18920</v>
      </c>
      <c r="H1896" s="2104"/>
    </row>
    <row r="1897" spans="1:8" ht="15.5" x14ac:dyDescent="0.35">
      <c r="A1897" s="625">
        <f>A1894+30</f>
        <v>18915</v>
      </c>
      <c r="B1897" s="626" t="s">
        <v>430</v>
      </c>
      <c r="C1897" s="2101">
        <f>IF(A1897="","",A1897)</f>
        <v>18915</v>
      </c>
      <c r="D1897" s="2102"/>
      <c r="E1897" s="627">
        <f>E1894+30</f>
        <v>18930</v>
      </c>
      <c r="F1897" s="628" t="s">
        <v>431</v>
      </c>
      <c r="G1897" s="2103">
        <f>IF(E1897="","",E1897)</f>
        <v>18930</v>
      </c>
      <c r="H1897" s="2104"/>
    </row>
    <row r="1898" spans="1:8" ht="15.5" x14ac:dyDescent="0.35">
      <c r="A1898" s="625"/>
      <c r="B1898" s="626" t="s">
        <v>430</v>
      </c>
      <c r="C1898" s="2101">
        <f>IF(C1897="","",C1897+10)</f>
        <v>18925</v>
      </c>
      <c r="D1898" s="2102"/>
      <c r="E1898" s="627"/>
      <c r="F1898" s="628" t="s">
        <v>431</v>
      </c>
      <c r="G1898" s="2103">
        <f>IF(G1897="","",G1897+10)</f>
        <v>18940</v>
      </c>
      <c r="H1898" s="2104"/>
    </row>
    <row r="1899" spans="1:8" ht="15.5" x14ac:dyDescent="0.35">
      <c r="A1899" s="625"/>
      <c r="B1899" s="626" t="s">
        <v>430</v>
      </c>
      <c r="C1899" s="2101">
        <f>IF(C1898="","",C1898+10)</f>
        <v>18935</v>
      </c>
      <c r="D1899" s="2102"/>
      <c r="E1899" s="627"/>
      <c r="F1899" s="628" t="s">
        <v>431</v>
      </c>
      <c r="G1899" s="2103">
        <f>IF(G1898="","",G1898+10)</f>
        <v>18950</v>
      </c>
      <c r="H1899" s="2104"/>
    </row>
    <row r="1900" spans="1:8" ht="15.5" x14ac:dyDescent="0.35">
      <c r="A1900" s="625">
        <f>A1897+30</f>
        <v>18945</v>
      </c>
      <c r="B1900" s="626" t="s">
        <v>430</v>
      </c>
      <c r="C1900" s="2101">
        <f>IF(A1900="","",A1900)</f>
        <v>18945</v>
      </c>
      <c r="D1900" s="2102"/>
      <c r="E1900" s="627">
        <f>E1897+30</f>
        <v>18960</v>
      </c>
      <c r="F1900" s="628" t="s">
        <v>431</v>
      </c>
      <c r="G1900" s="2103">
        <f>IF(E1900="","",E1900)</f>
        <v>18960</v>
      </c>
      <c r="H1900" s="2104"/>
    </row>
    <row r="1901" spans="1:8" ht="15.5" x14ac:dyDescent="0.35">
      <c r="A1901" s="625"/>
      <c r="B1901" s="626" t="s">
        <v>430</v>
      </c>
      <c r="C1901" s="2101">
        <f>IF(C1900="","",C1900+10)</f>
        <v>18955</v>
      </c>
      <c r="D1901" s="2102"/>
      <c r="E1901" s="627"/>
      <c r="F1901" s="628" t="s">
        <v>431</v>
      </c>
      <c r="G1901" s="2103">
        <f>IF(G1900="","",G1900+10)</f>
        <v>18970</v>
      </c>
      <c r="H1901" s="2104"/>
    </row>
    <row r="1902" spans="1:8" ht="15.5" x14ac:dyDescent="0.35">
      <c r="A1902" s="625"/>
      <c r="B1902" s="626" t="s">
        <v>430</v>
      </c>
      <c r="C1902" s="2101">
        <f>IF(C1901="","",C1901+10)</f>
        <v>18965</v>
      </c>
      <c r="D1902" s="2102"/>
      <c r="E1902" s="627"/>
      <c r="F1902" s="628" t="s">
        <v>431</v>
      </c>
      <c r="G1902" s="2103">
        <f>IF(G1901="","",G1901+10)</f>
        <v>18980</v>
      </c>
      <c r="H1902" s="2104"/>
    </row>
    <row r="1903" spans="1:8" ht="15.5" x14ac:dyDescent="0.35">
      <c r="A1903" s="625">
        <f>A1900+30</f>
        <v>18975</v>
      </c>
      <c r="B1903" s="626" t="s">
        <v>430</v>
      </c>
      <c r="C1903" s="2101">
        <f>IF(A1903="","",A1903)</f>
        <v>18975</v>
      </c>
      <c r="D1903" s="2102"/>
      <c r="E1903" s="627">
        <f>E1900+30</f>
        <v>18990</v>
      </c>
      <c r="F1903" s="628" t="s">
        <v>431</v>
      </c>
      <c r="G1903" s="2103">
        <f>IF(E1903="","",E1903)</f>
        <v>18990</v>
      </c>
      <c r="H1903" s="2104"/>
    </row>
    <row r="1904" spans="1:8" ht="15.5" x14ac:dyDescent="0.35">
      <c r="A1904" s="625"/>
      <c r="B1904" s="626" t="s">
        <v>430</v>
      </c>
      <c r="C1904" s="2101">
        <f>IF(C1903="","",C1903+10)</f>
        <v>18985</v>
      </c>
      <c r="D1904" s="2102"/>
      <c r="E1904" s="627"/>
      <c r="F1904" s="628" t="s">
        <v>431</v>
      </c>
      <c r="G1904" s="2103">
        <f>IF(G1903="","",G1903+10)</f>
        <v>19000</v>
      </c>
      <c r="H1904" s="2104"/>
    </row>
    <row r="1905" spans="1:8" ht="15.5" x14ac:dyDescent="0.35">
      <c r="A1905" s="625"/>
      <c r="B1905" s="626" t="s">
        <v>430</v>
      </c>
      <c r="C1905" s="2101">
        <f>IF(C1904="","",C1904+10)</f>
        <v>18995</v>
      </c>
      <c r="D1905" s="2102"/>
      <c r="E1905" s="627"/>
      <c r="F1905" s="628" t="s">
        <v>431</v>
      </c>
      <c r="G1905" s="2103">
        <f>IF(G1904="","",G1904+10)</f>
        <v>19010</v>
      </c>
      <c r="H1905" s="2104"/>
    </row>
    <row r="1906" spans="1:8" ht="15.5" x14ac:dyDescent="0.35">
      <c r="A1906" s="625">
        <f>A1903+30</f>
        <v>19005</v>
      </c>
      <c r="B1906" s="626" t="s">
        <v>430</v>
      </c>
      <c r="C1906" s="2101">
        <f>IF(A1906="","",A1906)</f>
        <v>19005</v>
      </c>
      <c r="D1906" s="2102"/>
      <c r="E1906" s="627">
        <f>E1903+30</f>
        <v>19020</v>
      </c>
      <c r="F1906" s="628" t="s">
        <v>431</v>
      </c>
      <c r="G1906" s="2103">
        <f>IF(E1906="","",E1906)</f>
        <v>19020</v>
      </c>
      <c r="H1906" s="2104"/>
    </row>
    <row r="1907" spans="1:8" ht="15.5" x14ac:dyDescent="0.35">
      <c r="A1907" s="625"/>
      <c r="B1907" s="626" t="s">
        <v>430</v>
      </c>
      <c r="C1907" s="2101">
        <f>IF(C1906="","",C1906+10)</f>
        <v>19015</v>
      </c>
      <c r="D1907" s="2102"/>
      <c r="E1907" s="627"/>
      <c r="F1907" s="628" t="s">
        <v>431</v>
      </c>
      <c r="G1907" s="2103">
        <f>IF(G1906="","",G1906+10)</f>
        <v>19030</v>
      </c>
      <c r="H1907" s="2104"/>
    </row>
    <row r="1908" spans="1:8" ht="15.5" x14ac:dyDescent="0.35">
      <c r="A1908" s="625"/>
      <c r="B1908" s="626" t="s">
        <v>430</v>
      </c>
      <c r="C1908" s="2101">
        <f>IF(C1907="","",C1907+10)</f>
        <v>19025</v>
      </c>
      <c r="D1908" s="2102"/>
      <c r="E1908" s="627"/>
      <c r="F1908" s="628" t="s">
        <v>431</v>
      </c>
      <c r="G1908" s="2103">
        <f>IF(G1907="","",G1907+10)</f>
        <v>19040</v>
      </c>
      <c r="H1908" s="2104"/>
    </row>
    <row r="1909" spans="1:8" ht="15.5" x14ac:dyDescent="0.35">
      <c r="A1909" s="625">
        <f>A1906+30</f>
        <v>19035</v>
      </c>
      <c r="B1909" s="626" t="s">
        <v>430</v>
      </c>
      <c r="C1909" s="2101">
        <f>IF(A1909="","",A1909)</f>
        <v>19035</v>
      </c>
      <c r="D1909" s="2102"/>
      <c r="E1909" s="627">
        <f>E1906+30</f>
        <v>19050</v>
      </c>
      <c r="F1909" s="628" t="s">
        <v>431</v>
      </c>
      <c r="G1909" s="2103">
        <f>IF(E1909="","",E1909)</f>
        <v>19050</v>
      </c>
      <c r="H1909" s="2104"/>
    </row>
    <row r="1910" spans="1:8" ht="15.5" x14ac:dyDescent="0.35">
      <c r="A1910" s="625"/>
      <c r="B1910" s="626" t="s">
        <v>430</v>
      </c>
      <c r="C1910" s="2101">
        <f>IF(C1909="","",C1909+10)</f>
        <v>19045</v>
      </c>
      <c r="D1910" s="2102"/>
      <c r="E1910" s="627"/>
      <c r="F1910" s="628" t="s">
        <v>431</v>
      </c>
      <c r="G1910" s="2103">
        <f>IF(G1909="","",G1909+10)</f>
        <v>19060</v>
      </c>
      <c r="H1910" s="2104"/>
    </row>
    <row r="1911" spans="1:8" ht="15.5" x14ac:dyDescent="0.35">
      <c r="A1911" s="625"/>
      <c r="B1911" s="626" t="s">
        <v>430</v>
      </c>
      <c r="C1911" s="2101">
        <f>IF(C1910="","",C1910+10)</f>
        <v>19055</v>
      </c>
      <c r="D1911" s="2102"/>
      <c r="E1911" s="627"/>
      <c r="F1911" s="628" t="s">
        <v>431</v>
      </c>
      <c r="G1911" s="2103">
        <f>IF(G1910="","",G1910+10)</f>
        <v>19070</v>
      </c>
      <c r="H1911" s="2104"/>
    </row>
    <row r="1912" spans="1:8" ht="15.5" x14ac:dyDescent="0.35">
      <c r="A1912" s="625">
        <f>A1909+30</f>
        <v>19065</v>
      </c>
      <c r="B1912" s="626" t="s">
        <v>430</v>
      </c>
      <c r="C1912" s="2101">
        <f>IF(A1912="","",A1912)</f>
        <v>19065</v>
      </c>
      <c r="D1912" s="2102"/>
      <c r="E1912" s="627">
        <f>E1909+30</f>
        <v>19080</v>
      </c>
      <c r="F1912" s="628" t="s">
        <v>431</v>
      </c>
      <c r="G1912" s="2103">
        <f>IF(E1912="","",E1912)</f>
        <v>19080</v>
      </c>
      <c r="H1912" s="2104"/>
    </row>
    <row r="1913" spans="1:8" ht="15.5" x14ac:dyDescent="0.35">
      <c r="A1913" s="625"/>
      <c r="B1913" s="626" t="s">
        <v>430</v>
      </c>
      <c r="C1913" s="2101">
        <f>IF(C1912="","",C1912+10)</f>
        <v>19075</v>
      </c>
      <c r="D1913" s="2102"/>
      <c r="E1913" s="627"/>
      <c r="F1913" s="628" t="s">
        <v>431</v>
      </c>
      <c r="G1913" s="2103">
        <f>IF(G1912="","",G1912+10)</f>
        <v>19090</v>
      </c>
      <c r="H1913" s="2104"/>
    </row>
    <row r="1914" spans="1:8" ht="15.5" x14ac:dyDescent="0.35">
      <c r="A1914" s="625"/>
      <c r="B1914" s="626" t="s">
        <v>430</v>
      </c>
      <c r="C1914" s="2101">
        <f>IF(C1913="","",C1913+10)</f>
        <v>19085</v>
      </c>
      <c r="D1914" s="2102"/>
      <c r="E1914" s="627"/>
      <c r="F1914" s="628" t="s">
        <v>431</v>
      </c>
      <c r="G1914" s="2103">
        <f>IF(G1913="","",G1913+10)</f>
        <v>19100</v>
      </c>
      <c r="H1914" s="2104"/>
    </row>
    <row r="1915" spans="1:8" ht="15.5" x14ac:dyDescent="0.35">
      <c r="A1915" s="625">
        <f>A1912+30</f>
        <v>19095</v>
      </c>
      <c r="B1915" s="626" t="s">
        <v>430</v>
      </c>
      <c r="C1915" s="2101">
        <f>IF(A1915="","",A1915)</f>
        <v>19095</v>
      </c>
      <c r="D1915" s="2102"/>
      <c r="E1915" s="627">
        <f>E1912+30</f>
        <v>19110</v>
      </c>
      <c r="F1915" s="628" t="s">
        <v>431</v>
      </c>
      <c r="G1915" s="2103">
        <f>IF(E1915="","",E1915)</f>
        <v>19110</v>
      </c>
      <c r="H1915" s="2104"/>
    </row>
    <row r="1916" spans="1:8" ht="15.5" x14ac:dyDescent="0.35">
      <c r="A1916" s="625"/>
      <c r="B1916" s="626" t="s">
        <v>430</v>
      </c>
      <c r="C1916" s="2101">
        <f>IF(C1915="","",C1915+10)</f>
        <v>19105</v>
      </c>
      <c r="D1916" s="2102"/>
      <c r="E1916" s="627"/>
      <c r="F1916" s="628" t="s">
        <v>431</v>
      </c>
      <c r="G1916" s="2103">
        <f>IF(G1915="","",G1915+10)</f>
        <v>19120</v>
      </c>
      <c r="H1916" s="2104"/>
    </row>
    <row r="1917" spans="1:8" ht="15.5" x14ac:dyDescent="0.35">
      <c r="A1917" s="625"/>
      <c r="B1917" s="626" t="s">
        <v>430</v>
      </c>
      <c r="C1917" s="2101">
        <f>IF(C1916="","",C1916+10)</f>
        <v>19115</v>
      </c>
      <c r="D1917" s="2102"/>
      <c r="E1917" s="627"/>
      <c r="F1917" s="628" t="s">
        <v>431</v>
      </c>
      <c r="G1917" s="2103">
        <f>IF(G1916="","",G1916+10)</f>
        <v>19130</v>
      </c>
      <c r="H1917" s="2104"/>
    </row>
    <row r="1918" spans="1:8" ht="15.5" x14ac:dyDescent="0.35">
      <c r="A1918" s="625">
        <f>A1915+30</f>
        <v>19125</v>
      </c>
      <c r="B1918" s="626" t="s">
        <v>430</v>
      </c>
      <c r="C1918" s="2101">
        <f>IF(A1918="","",A1918)</f>
        <v>19125</v>
      </c>
      <c r="D1918" s="2102"/>
      <c r="E1918" s="627">
        <f>E1915+30</f>
        <v>19140</v>
      </c>
      <c r="F1918" s="628" t="s">
        <v>431</v>
      </c>
      <c r="G1918" s="2103">
        <f>IF(E1918="","",E1918)</f>
        <v>19140</v>
      </c>
      <c r="H1918" s="2104"/>
    </row>
    <row r="1919" spans="1:8" ht="15.5" x14ac:dyDescent="0.35">
      <c r="A1919" s="625"/>
      <c r="B1919" s="626" t="s">
        <v>430</v>
      </c>
      <c r="C1919" s="2101">
        <f>IF(C1918="","",C1918+10)</f>
        <v>19135</v>
      </c>
      <c r="D1919" s="2102"/>
      <c r="E1919" s="627"/>
      <c r="F1919" s="628" t="s">
        <v>431</v>
      </c>
      <c r="G1919" s="2103">
        <f>IF(G1918="","",G1918+10)</f>
        <v>19150</v>
      </c>
      <c r="H1919" s="2104"/>
    </row>
    <row r="1920" spans="1:8" ht="15.5" x14ac:dyDescent="0.35">
      <c r="A1920" s="625"/>
      <c r="B1920" s="626" t="s">
        <v>430</v>
      </c>
      <c r="C1920" s="2101">
        <f>IF(C1919="","",C1919+10)</f>
        <v>19145</v>
      </c>
      <c r="D1920" s="2102"/>
      <c r="E1920" s="627"/>
      <c r="F1920" s="628" t="s">
        <v>431</v>
      </c>
      <c r="G1920" s="2103">
        <f>IF(G1919="","",G1919+10)</f>
        <v>19160</v>
      </c>
      <c r="H1920" s="2104"/>
    </row>
    <row r="1921" spans="1:8" ht="15.5" x14ac:dyDescent="0.35">
      <c r="A1921" s="625">
        <f>A1918+30</f>
        <v>19155</v>
      </c>
      <c r="B1921" s="626" t="s">
        <v>430</v>
      </c>
      <c r="C1921" s="2101">
        <f>IF(A1921="","",A1921)</f>
        <v>19155</v>
      </c>
      <c r="D1921" s="2102"/>
      <c r="E1921" s="627">
        <f>E1918+30</f>
        <v>19170</v>
      </c>
      <c r="F1921" s="628" t="s">
        <v>431</v>
      </c>
      <c r="G1921" s="2103">
        <f>IF(E1921="","",E1921)</f>
        <v>19170</v>
      </c>
      <c r="H1921" s="2104"/>
    </row>
    <row r="1922" spans="1:8" ht="15.5" x14ac:dyDescent="0.35">
      <c r="A1922" s="625"/>
      <c r="B1922" s="626" t="s">
        <v>430</v>
      </c>
      <c r="C1922" s="2101">
        <f>IF(C1921="","",C1921+10)</f>
        <v>19165</v>
      </c>
      <c r="D1922" s="2102"/>
      <c r="E1922" s="627"/>
      <c r="F1922" s="628" t="s">
        <v>431</v>
      </c>
      <c r="G1922" s="2103">
        <f>IF(G1921="","",G1921+10)</f>
        <v>19180</v>
      </c>
      <c r="H1922" s="2104"/>
    </row>
    <row r="1923" spans="1:8" ht="15.5" x14ac:dyDescent="0.35">
      <c r="A1923" s="625"/>
      <c r="B1923" s="626" t="s">
        <v>430</v>
      </c>
      <c r="C1923" s="2101">
        <f>IF(C1922="","",C1922+10)</f>
        <v>19175</v>
      </c>
      <c r="D1923" s="2102"/>
      <c r="E1923" s="627"/>
      <c r="F1923" s="628" t="s">
        <v>431</v>
      </c>
      <c r="G1923" s="2103">
        <f>IF(G1922="","",G1922+10)</f>
        <v>19190</v>
      </c>
      <c r="H1923" s="2104"/>
    </row>
    <row r="1924" spans="1:8" ht="15.5" x14ac:dyDescent="0.35">
      <c r="A1924" s="625">
        <f>A1921+30</f>
        <v>19185</v>
      </c>
      <c r="B1924" s="626" t="s">
        <v>430</v>
      </c>
      <c r="C1924" s="2101">
        <f>IF(A1924="","",A1924)</f>
        <v>19185</v>
      </c>
      <c r="D1924" s="2102"/>
      <c r="E1924" s="627">
        <f>E1921+30</f>
        <v>19200</v>
      </c>
      <c r="F1924" s="628" t="s">
        <v>431</v>
      </c>
      <c r="G1924" s="2103">
        <f>IF(E1924="","",E1924)</f>
        <v>19200</v>
      </c>
      <c r="H1924" s="2104"/>
    </row>
    <row r="1925" spans="1:8" ht="15.5" x14ac:dyDescent="0.35">
      <c r="A1925" s="625"/>
      <c r="B1925" s="626" t="s">
        <v>430</v>
      </c>
      <c r="C1925" s="2101">
        <f>IF(C1924="","",C1924+10)</f>
        <v>19195</v>
      </c>
      <c r="D1925" s="2102"/>
      <c r="E1925" s="627"/>
      <c r="F1925" s="628" t="s">
        <v>431</v>
      </c>
      <c r="G1925" s="2103">
        <f>IF(G1924="","",G1924+10)</f>
        <v>19210</v>
      </c>
      <c r="H1925" s="2104"/>
    </row>
    <row r="1926" spans="1:8" ht="15.5" x14ac:dyDescent="0.35">
      <c r="A1926" s="625"/>
      <c r="B1926" s="626" t="s">
        <v>430</v>
      </c>
      <c r="C1926" s="2101">
        <f>IF(C1925="","",C1925+10)</f>
        <v>19205</v>
      </c>
      <c r="D1926" s="2102"/>
      <c r="E1926" s="627"/>
      <c r="F1926" s="628" t="s">
        <v>431</v>
      </c>
      <c r="G1926" s="2103">
        <f>IF(G1925="","",G1925+10)</f>
        <v>19220</v>
      </c>
      <c r="H1926" s="2104"/>
    </row>
    <row r="1927" spans="1:8" ht="15.5" x14ac:dyDescent="0.35">
      <c r="A1927" s="625">
        <f>A1924+30</f>
        <v>19215</v>
      </c>
      <c r="B1927" s="626" t="s">
        <v>430</v>
      </c>
      <c r="C1927" s="2101">
        <f>IF(A1927="","",A1927)</f>
        <v>19215</v>
      </c>
      <c r="D1927" s="2102"/>
      <c r="E1927" s="627">
        <f>E1924+30</f>
        <v>19230</v>
      </c>
      <c r="F1927" s="628" t="s">
        <v>431</v>
      </c>
      <c r="G1927" s="2103">
        <f>IF(E1927="","",E1927)</f>
        <v>19230</v>
      </c>
      <c r="H1927" s="2104"/>
    </row>
    <row r="1928" spans="1:8" ht="15.5" x14ac:dyDescent="0.35">
      <c r="A1928" s="625"/>
      <c r="B1928" s="626" t="s">
        <v>430</v>
      </c>
      <c r="C1928" s="2101">
        <f>IF(C1927="","",C1927+10)</f>
        <v>19225</v>
      </c>
      <c r="D1928" s="2102"/>
      <c r="E1928" s="627"/>
      <c r="F1928" s="628" t="s">
        <v>431</v>
      </c>
      <c r="G1928" s="2103">
        <f>IF(G1927="","",G1927+10)</f>
        <v>19240</v>
      </c>
      <c r="H1928" s="2104"/>
    </row>
    <row r="1929" spans="1:8" ht="15.5" x14ac:dyDescent="0.35">
      <c r="A1929" s="625"/>
      <c r="B1929" s="626" t="s">
        <v>430</v>
      </c>
      <c r="C1929" s="2101">
        <f>IF(C1928="","",C1928+10)</f>
        <v>19235</v>
      </c>
      <c r="D1929" s="2102"/>
      <c r="E1929" s="627"/>
      <c r="F1929" s="628" t="s">
        <v>431</v>
      </c>
      <c r="G1929" s="2103">
        <f>IF(G1928="","",G1928+10)</f>
        <v>19250</v>
      </c>
      <c r="H1929" s="2104"/>
    </row>
    <row r="1930" spans="1:8" ht="15.5" x14ac:dyDescent="0.35">
      <c r="A1930" s="625">
        <f>A1927+30</f>
        <v>19245</v>
      </c>
      <c r="B1930" s="626" t="s">
        <v>430</v>
      </c>
      <c r="C1930" s="2101">
        <f>IF(A1930="","",A1930)</f>
        <v>19245</v>
      </c>
      <c r="D1930" s="2102"/>
      <c r="E1930" s="627">
        <f>E1927+30</f>
        <v>19260</v>
      </c>
      <c r="F1930" s="628" t="s">
        <v>431</v>
      </c>
      <c r="G1930" s="2103">
        <f>IF(E1930="","",E1930)</f>
        <v>19260</v>
      </c>
      <c r="H1930" s="2104"/>
    </row>
    <row r="1931" spans="1:8" ht="15.5" x14ac:dyDescent="0.35">
      <c r="A1931" s="625"/>
      <c r="B1931" s="626" t="s">
        <v>430</v>
      </c>
      <c r="C1931" s="2101">
        <f>IF(C1930="","",C1930+10)</f>
        <v>19255</v>
      </c>
      <c r="D1931" s="2102"/>
      <c r="E1931" s="627"/>
      <c r="F1931" s="628" t="s">
        <v>431</v>
      </c>
      <c r="G1931" s="2103">
        <f>IF(G1930="","",G1930+10)</f>
        <v>19270</v>
      </c>
      <c r="H1931" s="2104"/>
    </row>
    <row r="1932" spans="1:8" ht="15.5" x14ac:dyDescent="0.35">
      <c r="A1932" s="625"/>
      <c r="B1932" s="626" t="s">
        <v>430</v>
      </c>
      <c r="C1932" s="2101">
        <f>IF(C1931="","",C1931+10)</f>
        <v>19265</v>
      </c>
      <c r="D1932" s="2102"/>
      <c r="E1932" s="627"/>
      <c r="F1932" s="628" t="s">
        <v>431</v>
      </c>
      <c r="G1932" s="2103">
        <f>IF(G1931="","",G1931+10)</f>
        <v>19280</v>
      </c>
      <c r="H1932" s="2104"/>
    </row>
    <row r="1933" spans="1:8" ht="15.5" x14ac:dyDescent="0.35">
      <c r="A1933" s="625">
        <f>A1930+30</f>
        <v>19275</v>
      </c>
      <c r="B1933" s="626" t="s">
        <v>430</v>
      </c>
      <c r="C1933" s="2101">
        <f>IF(A1933="","",A1933)</f>
        <v>19275</v>
      </c>
      <c r="D1933" s="2102"/>
      <c r="E1933" s="627">
        <f>E1930+30</f>
        <v>19290</v>
      </c>
      <c r="F1933" s="628" t="s">
        <v>431</v>
      </c>
      <c r="G1933" s="2103">
        <f>IF(E1933="","",E1933)</f>
        <v>19290</v>
      </c>
      <c r="H1933" s="2104"/>
    </row>
    <row r="1934" spans="1:8" ht="15.5" x14ac:dyDescent="0.35">
      <c r="A1934" s="625"/>
      <c r="B1934" s="626" t="s">
        <v>430</v>
      </c>
      <c r="C1934" s="2101">
        <f>IF(C1933="","",C1933+10)</f>
        <v>19285</v>
      </c>
      <c r="D1934" s="2102"/>
      <c r="E1934" s="627"/>
      <c r="F1934" s="628" t="s">
        <v>431</v>
      </c>
      <c r="G1934" s="2103">
        <f>IF(G1933="","",G1933+10)</f>
        <v>19300</v>
      </c>
      <c r="H1934" s="2104"/>
    </row>
    <row r="1935" spans="1:8" ht="15.5" x14ac:dyDescent="0.35">
      <c r="A1935" s="625"/>
      <c r="B1935" s="626" t="s">
        <v>430</v>
      </c>
      <c r="C1935" s="2101">
        <f>IF(C1934="","",C1934+10)</f>
        <v>19295</v>
      </c>
      <c r="D1935" s="2102"/>
      <c r="E1935" s="627"/>
      <c r="F1935" s="628" t="s">
        <v>431</v>
      </c>
      <c r="G1935" s="2103">
        <f>IF(G1934="","",G1934+10)</f>
        <v>19310</v>
      </c>
      <c r="H1935" s="2104"/>
    </row>
    <row r="1936" spans="1:8" ht="15.5" x14ac:dyDescent="0.35">
      <c r="A1936" s="625">
        <f>A1933+30</f>
        <v>19305</v>
      </c>
      <c r="B1936" s="626" t="s">
        <v>430</v>
      </c>
      <c r="C1936" s="2101">
        <f>IF(A1936="","",A1936)</f>
        <v>19305</v>
      </c>
      <c r="D1936" s="2102"/>
      <c r="E1936" s="627">
        <f>E1933+30</f>
        <v>19320</v>
      </c>
      <c r="F1936" s="628" t="s">
        <v>431</v>
      </c>
      <c r="G1936" s="2103">
        <f>IF(E1936="","",E1936)</f>
        <v>19320</v>
      </c>
      <c r="H1936" s="2104"/>
    </row>
    <row r="1937" spans="1:8" ht="15.5" x14ac:dyDescent="0.35">
      <c r="A1937" s="625"/>
      <c r="B1937" s="626" t="s">
        <v>430</v>
      </c>
      <c r="C1937" s="2101">
        <f>IF(C1936="","",C1936+10)</f>
        <v>19315</v>
      </c>
      <c r="D1937" s="2102"/>
      <c r="E1937" s="627"/>
      <c r="F1937" s="628" t="s">
        <v>431</v>
      </c>
      <c r="G1937" s="2103">
        <f>IF(G1936="","",G1936+10)</f>
        <v>19330</v>
      </c>
      <c r="H1937" s="2104"/>
    </row>
    <row r="1938" spans="1:8" ht="15.5" x14ac:dyDescent="0.35">
      <c r="A1938" s="625"/>
      <c r="B1938" s="626" t="s">
        <v>430</v>
      </c>
      <c r="C1938" s="2101">
        <f>IF(C1937="","",C1937+10)</f>
        <v>19325</v>
      </c>
      <c r="D1938" s="2102"/>
      <c r="E1938" s="627"/>
      <c r="F1938" s="628" t="s">
        <v>431</v>
      </c>
      <c r="G1938" s="2103">
        <f>IF(G1937="","",G1937+10)</f>
        <v>19340</v>
      </c>
      <c r="H1938" s="2104"/>
    </row>
    <row r="1939" spans="1:8" ht="15.5" x14ac:dyDescent="0.35">
      <c r="A1939" s="625">
        <f>A1936+30</f>
        <v>19335</v>
      </c>
      <c r="B1939" s="626" t="s">
        <v>430</v>
      </c>
      <c r="C1939" s="2101">
        <f>IF(A1939="","",A1939)</f>
        <v>19335</v>
      </c>
      <c r="D1939" s="2102"/>
      <c r="E1939" s="627">
        <f>E1936+30</f>
        <v>19350</v>
      </c>
      <c r="F1939" s="628" t="s">
        <v>431</v>
      </c>
      <c r="G1939" s="2103">
        <f>IF(E1939="","",E1939)</f>
        <v>19350</v>
      </c>
      <c r="H1939" s="2104"/>
    </row>
    <row r="1940" spans="1:8" ht="15.5" x14ac:dyDescent="0.35">
      <c r="A1940" s="625"/>
      <c r="B1940" s="626" t="s">
        <v>430</v>
      </c>
      <c r="C1940" s="2101">
        <f>IF(C1939="","",C1939+10)</f>
        <v>19345</v>
      </c>
      <c r="D1940" s="2102"/>
      <c r="E1940" s="627"/>
      <c r="F1940" s="628" t="s">
        <v>431</v>
      </c>
      <c r="G1940" s="2103">
        <f>IF(G1939="","",G1939+10)</f>
        <v>19360</v>
      </c>
      <c r="H1940" s="2104"/>
    </row>
    <row r="1941" spans="1:8" ht="15.5" x14ac:dyDescent="0.35">
      <c r="A1941" s="625"/>
      <c r="B1941" s="626" t="s">
        <v>430</v>
      </c>
      <c r="C1941" s="2101">
        <f>IF(C1940="","",C1940+10)</f>
        <v>19355</v>
      </c>
      <c r="D1941" s="2102"/>
      <c r="E1941" s="627"/>
      <c r="F1941" s="628" t="s">
        <v>431</v>
      </c>
      <c r="G1941" s="2103">
        <f>IF(G1940="","",G1940+10)</f>
        <v>19370</v>
      </c>
      <c r="H1941" s="2104"/>
    </row>
    <row r="1942" spans="1:8" ht="15.5" x14ac:dyDescent="0.35">
      <c r="A1942" s="625">
        <f>A1939+30</f>
        <v>19365</v>
      </c>
      <c r="B1942" s="626" t="s">
        <v>430</v>
      </c>
      <c r="C1942" s="2101">
        <f>IF(A1942="","",A1942)</f>
        <v>19365</v>
      </c>
      <c r="D1942" s="2102"/>
      <c r="E1942" s="627">
        <f>E1939+30</f>
        <v>19380</v>
      </c>
      <c r="F1942" s="628" t="s">
        <v>431</v>
      </c>
      <c r="G1942" s="2103">
        <f>IF(E1942="","",E1942)</f>
        <v>19380</v>
      </c>
      <c r="H1942" s="2104"/>
    </row>
    <row r="1943" spans="1:8" ht="15.5" x14ac:dyDescent="0.35">
      <c r="A1943" s="625"/>
      <c r="B1943" s="626" t="s">
        <v>430</v>
      </c>
      <c r="C1943" s="2101">
        <f>IF(C1942="","",C1942+10)</f>
        <v>19375</v>
      </c>
      <c r="D1943" s="2102"/>
      <c r="E1943" s="627"/>
      <c r="F1943" s="628" t="s">
        <v>431</v>
      </c>
      <c r="G1943" s="2103">
        <f>IF(G1942="","",G1942+10)</f>
        <v>19390</v>
      </c>
      <c r="H1943" s="2104"/>
    </row>
    <row r="1944" spans="1:8" ht="15.5" x14ac:dyDescent="0.35">
      <c r="A1944" s="625"/>
      <c r="B1944" s="626" t="s">
        <v>430</v>
      </c>
      <c r="C1944" s="2101">
        <f>IF(C1943="","",C1943+10)</f>
        <v>19385</v>
      </c>
      <c r="D1944" s="2102"/>
      <c r="E1944" s="627"/>
      <c r="F1944" s="628" t="s">
        <v>431</v>
      </c>
      <c r="G1944" s="2103">
        <f>IF(G1943="","",G1943+10)</f>
        <v>19400</v>
      </c>
      <c r="H1944" s="2104"/>
    </row>
    <row r="1945" spans="1:8" ht="15.5" x14ac:dyDescent="0.35">
      <c r="A1945" s="625">
        <f>A1942+30</f>
        <v>19395</v>
      </c>
      <c r="B1945" s="626" t="s">
        <v>430</v>
      </c>
      <c r="C1945" s="2101">
        <f>IF(A1945="","",A1945)</f>
        <v>19395</v>
      </c>
      <c r="D1945" s="2102"/>
      <c r="E1945" s="627">
        <f>E1942+30</f>
        <v>19410</v>
      </c>
      <c r="F1945" s="628" t="s">
        <v>431</v>
      </c>
      <c r="G1945" s="2103">
        <f>IF(E1945="","",E1945)</f>
        <v>19410</v>
      </c>
      <c r="H1945" s="2104"/>
    </row>
    <row r="1946" spans="1:8" ht="15.5" x14ac:dyDescent="0.35">
      <c r="A1946" s="625"/>
      <c r="B1946" s="626" t="s">
        <v>430</v>
      </c>
      <c r="C1946" s="2101">
        <f>IF(C1945="","",C1945+10)</f>
        <v>19405</v>
      </c>
      <c r="D1946" s="2102"/>
      <c r="E1946" s="627"/>
      <c r="F1946" s="628" t="s">
        <v>431</v>
      </c>
      <c r="G1946" s="2103">
        <f>IF(G1945="","",G1945+10)</f>
        <v>19420</v>
      </c>
      <c r="H1946" s="2104"/>
    </row>
    <row r="1947" spans="1:8" ht="15.5" x14ac:dyDescent="0.35">
      <c r="A1947" s="625"/>
      <c r="B1947" s="626" t="s">
        <v>430</v>
      </c>
      <c r="C1947" s="2101">
        <f>IF(C1946="","",C1946+10)</f>
        <v>19415</v>
      </c>
      <c r="D1947" s="2102"/>
      <c r="E1947" s="627"/>
      <c r="F1947" s="628" t="s">
        <v>431</v>
      </c>
      <c r="G1947" s="2103">
        <f>IF(G1946="","",G1946+10)</f>
        <v>19430</v>
      </c>
      <c r="H1947" s="2104"/>
    </row>
    <row r="1948" spans="1:8" ht="15.5" x14ac:dyDescent="0.35">
      <c r="A1948" s="625">
        <f>A1945+30</f>
        <v>19425</v>
      </c>
      <c r="B1948" s="626" t="s">
        <v>430</v>
      </c>
      <c r="C1948" s="2101">
        <f>IF(A1948="","",A1948)</f>
        <v>19425</v>
      </c>
      <c r="D1948" s="2102"/>
      <c r="E1948" s="627">
        <f>E1945+30</f>
        <v>19440</v>
      </c>
      <c r="F1948" s="628" t="s">
        <v>431</v>
      </c>
      <c r="G1948" s="2103">
        <f>IF(E1948="","",E1948)</f>
        <v>19440</v>
      </c>
      <c r="H1948" s="2104"/>
    </row>
    <row r="1949" spans="1:8" ht="15.5" x14ac:dyDescent="0.35">
      <c r="A1949" s="625"/>
      <c r="B1949" s="626" t="s">
        <v>430</v>
      </c>
      <c r="C1949" s="2101">
        <f>IF(C1948="","",C1948+10)</f>
        <v>19435</v>
      </c>
      <c r="D1949" s="2102"/>
      <c r="E1949" s="627"/>
      <c r="F1949" s="628" t="s">
        <v>431</v>
      </c>
      <c r="G1949" s="2103">
        <f>IF(G1948="","",G1948+10)</f>
        <v>19450</v>
      </c>
      <c r="H1949" s="2104"/>
    </row>
    <row r="1950" spans="1:8" ht="15.5" x14ac:dyDescent="0.35">
      <c r="A1950" s="625"/>
      <c r="B1950" s="626" t="s">
        <v>430</v>
      </c>
      <c r="C1950" s="2101">
        <f>IF(C1949="","",C1949+10)</f>
        <v>19445</v>
      </c>
      <c r="D1950" s="2102"/>
      <c r="E1950" s="627"/>
      <c r="F1950" s="628" t="s">
        <v>431</v>
      </c>
      <c r="G1950" s="2103">
        <f>IF(G1949="","",G1949+10)</f>
        <v>19460</v>
      </c>
      <c r="H1950" s="2104"/>
    </row>
    <row r="1951" spans="1:8" ht="15.5" x14ac:dyDescent="0.35">
      <c r="A1951" s="625">
        <f>A1948+30</f>
        <v>19455</v>
      </c>
      <c r="B1951" s="626" t="s">
        <v>430</v>
      </c>
      <c r="C1951" s="2101">
        <f>IF(A1951="","",A1951)</f>
        <v>19455</v>
      </c>
      <c r="D1951" s="2102"/>
      <c r="E1951" s="627">
        <f>E1948+30</f>
        <v>19470</v>
      </c>
      <c r="F1951" s="628" t="s">
        <v>431</v>
      </c>
      <c r="G1951" s="2103">
        <f>IF(E1951="","",E1951)</f>
        <v>19470</v>
      </c>
      <c r="H1951" s="2104"/>
    </row>
    <row r="1952" spans="1:8" ht="15.5" x14ac:dyDescent="0.35">
      <c r="A1952" s="625"/>
      <c r="B1952" s="626" t="s">
        <v>430</v>
      </c>
      <c r="C1952" s="2101">
        <f>IF(C1951="","",C1951+10)</f>
        <v>19465</v>
      </c>
      <c r="D1952" s="2102"/>
      <c r="E1952" s="627"/>
      <c r="F1952" s="628" t="s">
        <v>431</v>
      </c>
      <c r="G1952" s="2103">
        <f>IF(G1951="","",G1951+10)</f>
        <v>19480</v>
      </c>
      <c r="H1952" s="2104"/>
    </row>
    <row r="1953" spans="1:8" ht="15.5" x14ac:dyDescent="0.35">
      <c r="A1953" s="625"/>
      <c r="B1953" s="626" t="s">
        <v>430</v>
      </c>
      <c r="C1953" s="2101">
        <f>IF(C1952="","",C1952+10)</f>
        <v>19475</v>
      </c>
      <c r="D1953" s="2102"/>
      <c r="E1953" s="627"/>
      <c r="F1953" s="628" t="s">
        <v>431</v>
      </c>
      <c r="G1953" s="2103">
        <f>IF(G1952="","",G1952+10)</f>
        <v>19490</v>
      </c>
      <c r="H1953" s="2104"/>
    </row>
    <row r="1954" spans="1:8" ht="15.5" x14ac:dyDescent="0.35">
      <c r="A1954" s="625">
        <f>A1951+30</f>
        <v>19485</v>
      </c>
      <c r="B1954" s="626" t="s">
        <v>430</v>
      </c>
      <c r="C1954" s="2101">
        <f>IF(A1954="","",A1954)</f>
        <v>19485</v>
      </c>
      <c r="D1954" s="2102"/>
      <c r="E1954" s="627">
        <f>E1951+30</f>
        <v>19500</v>
      </c>
      <c r="F1954" s="628" t="s">
        <v>431</v>
      </c>
      <c r="G1954" s="2103">
        <f>IF(E1954="","",E1954)</f>
        <v>19500</v>
      </c>
      <c r="H1954" s="2104"/>
    </row>
    <row r="1955" spans="1:8" ht="15.5" x14ac:dyDescent="0.35">
      <c r="A1955" s="625"/>
      <c r="B1955" s="626" t="s">
        <v>430</v>
      </c>
      <c r="C1955" s="2101">
        <f>IF(C1954="","",C1954+10)</f>
        <v>19495</v>
      </c>
      <c r="D1955" s="2102"/>
      <c r="E1955" s="627"/>
      <c r="F1955" s="628" t="s">
        <v>431</v>
      </c>
      <c r="G1955" s="2103">
        <f>IF(G1954="","",G1954+10)</f>
        <v>19510</v>
      </c>
      <c r="H1955" s="2104"/>
    </row>
    <row r="1956" spans="1:8" ht="15.5" x14ac:dyDescent="0.35">
      <c r="A1956" s="625"/>
      <c r="B1956" s="626" t="s">
        <v>430</v>
      </c>
      <c r="C1956" s="2101">
        <f>IF(C1955="","",C1955+10)</f>
        <v>19505</v>
      </c>
      <c r="D1956" s="2102"/>
      <c r="E1956" s="627"/>
      <c r="F1956" s="628" t="s">
        <v>431</v>
      </c>
      <c r="G1956" s="2103">
        <f>IF(G1955="","",G1955+10)</f>
        <v>19520</v>
      </c>
      <c r="H1956" s="2104"/>
    </row>
    <row r="1957" spans="1:8" ht="15.5" x14ac:dyDescent="0.35">
      <c r="A1957" s="625">
        <f>A1954+30</f>
        <v>19515</v>
      </c>
      <c r="B1957" s="626" t="s">
        <v>430</v>
      </c>
      <c r="C1957" s="2101">
        <f>IF(A1957="","",A1957)</f>
        <v>19515</v>
      </c>
      <c r="D1957" s="2102"/>
      <c r="E1957" s="627">
        <f>E1954+30</f>
        <v>19530</v>
      </c>
      <c r="F1957" s="628" t="s">
        <v>431</v>
      </c>
      <c r="G1957" s="2103">
        <f>IF(E1957="","",E1957)</f>
        <v>19530</v>
      </c>
      <c r="H1957" s="2104"/>
    </row>
    <row r="1958" spans="1:8" ht="15.5" x14ac:dyDescent="0.35">
      <c r="A1958" s="625"/>
      <c r="B1958" s="626" t="s">
        <v>430</v>
      </c>
      <c r="C1958" s="2101">
        <f>IF(C1957="","",C1957+10)</f>
        <v>19525</v>
      </c>
      <c r="D1958" s="2102"/>
      <c r="E1958" s="627"/>
      <c r="F1958" s="628" t="s">
        <v>431</v>
      </c>
      <c r="G1958" s="2103">
        <f>IF(G1957="","",G1957+10)</f>
        <v>19540</v>
      </c>
      <c r="H1958" s="2104"/>
    </row>
    <row r="1959" spans="1:8" ht="15.5" x14ac:dyDescent="0.35">
      <c r="A1959" s="625"/>
      <c r="B1959" s="626" t="s">
        <v>430</v>
      </c>
      <c r="C1959" s="2101">
        <f>IF(C1958="","",C1958+10)</f>
        <v>19535</v>
      </c>
      <c r="D1959" s="2102"/>
      <c r="E1959" s="627"/>
      <c r="F1959" s="628" t="s">
        <v>431</v>
      </c>
      <c r="G1959" s="2103">
        <f>IF(G1958="","",G1958+10)</f>
        <v>19550</v>
      </c>
      <c r="H1959" s="2104"/>
    </row>
    <row r="1960" spans="1:8" ht="15.5" x14ac:dyDescent="0.35">
      <c r="A1960" s="625">
        <f>A1957+30</f>
        <v>19545</v>
      </c>
      <c r="B1960" s="626" t="s">
        <v>430</v>
      </c>
      <c r="C1960" s="2101">
        <f>IF(A1960="","",A1960)</f>
        <v>19545</v>
      </c>
      <c r="D1960" s="2102"/>
      <c r="E1960" s="627">
        <f>E1957+30</f>
        <v>19560</v>
      </c>
      <c r="F1960" s="628" t="s">
        <v>431</v>
      </c>
      <c r="G1960" s="2103">
        <f>IF(E1960="","",E1960)</f>
        <v>19560</v>
      </c>
      <c r="H1960" s="2104"/>
    </row>
    <row r="1961" spans="1:8" ht="15.5" x14ac:dyDescent="0.35">
      <c r="A1961" s="625"/>
      <c r="B1961" s="626" t="s">
        <v>430</v>
      </c>
      <c r="C1961" s="2101">
        <f>IF(C1960="","",C1960+10)</f>
        <v>19555</v>
      </c>
      <c r="D1961" s="2102"/>
      <c r="E1961" s="627"/>
      <c r="F1961" s="628" t="s">
        <v>431</v>
      </c>
      <c r="G1961" s="2103">
        <f>IF(G1960="","",G1960+10)</f>
        <v>19570</v>
      </c>
      <c r="H1961" s="2104"/>
    </row>
    <row r="1962" spans="1:8" ht="15.5" x14ac:dyDescent="0.35">
      <c r="A1962" s="625"/>
      <c r="B1962" s="626" t="s">
        <v>430</v>
      </c>
      <c r="C1962" s="2101">
        <f>IF(C1961="","",C1961+10)</f>
        <v>19565</v>
      </c>
      <c r="D1962" s="2102"/>
      <c r="E1962" s="627"/>
      <c r="F1962" s="628" t="s">
        <v>431</v>
      </c>
      <c r="G1962" s="2103">
        <f>IF(G1961="","",G1961+10)</f>
        <v>19580</v>
      </c>
      <c r="H1962" s="2104"/>
    </row>
    <row r="1963" spans="1:8" ht="15.5" x14ac:dyDescent="0.35">
      <c r="A1963" s="625">
        <f>A1960+30</f>
        <v>19575</v>
      </c>
      <c r="B1963" s="626" t="s">
        <v>430</v>
      </c>
      <c r="C1963" s="2101">
        <f>IF(A1963="","",A1963)</f>
        <v>19575</v>
      </c>
      <c r="D1963" s="2102"/>
      <c r="E1963" s="627">
        <f>E1960+30</f>
        <v>19590</v>
      </c>
      <c r="F1963" s="628" t="s">
        <v>431</v>
      </c>
      <c r="G1963" s="2103">
        <f>IF(E1963="","",E1963)</f>
        <v>19590</v>
      </c>
      <c r="H1963" s="2104"/>
    </row>
    <row r="1964" spans="1:8" ht="15.5" x14ac:dyDescent="0.35">
      <c r="A1964" s="625"/>
      <c r="B1964" s="626" t="s">
        <v>430</v>
      </c>
      <c r="C1964" s="2101">
        <f>IF(C1963="","",C1963+10)</f>
        <v>19585</v>
      </c>
      <c r="D1964" s="2102"/>
      <c r="E1964" s="627"/>
      <c r="F1964" s="628" t="s">
        <v>431</v>
      </c>
      <c r="G1964" s="2103">
        <f>IF(G1963="","",G1963+10)</f>
        <v>19600</v>
      </c>
      <c r="H1964" s="2104"/>
    </row>
    <row r="1965" spans="1:8" ht="15.5" x14ac:dyDescent="0.35">
      <c r="A1965" s="625"/>
      <c r="B1965" s="626" t="s">
        <v>430</v>
      </c>
      <c r="C1965" s="2101">
        <f>IF(C1964="","",C1964+10)</f>
        <v>19595</v>
      </c>
      <c r="D1965" s="2102"/>
      <c r="E1965" s="627"/>
      <c r="F1965" s="628" t="s">
        <v>431</v>
      </c>
      <c r="G1965" s="2103">
        <f>IF(G1964="","",G1964+10)</f>
        <v>19610</v>
      </c>
      <c r="H1965" s="2104"/>
    </row>
    <row r="1966" spans="1:8" ht="15.5" x14ac:dyDescent="0.35">
      <c r="A1966" s="625">
        <f>A1963+30</f>
        <v>19605</v>
      </c>
      <c r="B1966" s="626" t="s">
        <v>430</v>
      </c>
      <c r="C1966" s="2101">
        <f>IF(A1966="","",A1966)</f>
        <v>19605</v>
      </c>
      <c r="D1966" s="2102"/>
      <c r="E1966" s="627">
        <f>E1963+30</f>
        <v>19620</v>
      </c>
      <c r="F1966" s="628" t="s">
        <v>431</v>
      </c>
      <c r="G1966" s="2103">
        <f>IF(E1966="","",E1966)</f>
        <v>19620</v>
      </c>
      <c r="H1966" s="2104"/>
    </row>
    <row r="1967" spans="1:8" ht="15.5" x14ac:dyDescent="0.35">
      <c r="A1967" s="625"/>
      <c r="B1967" s="626" t="s">
        <v>430</v>
      </c>
      <c r="C1967" s="2101">
        <f>IF(C1966="","",C1966+10)</f>
        <v>19615</v>
      </c>
      <c r="D1967" s="2102"/>
      <c r="E1967" s="627"/>
      <c r="F1967" s="628" t="s">
        <v>431</v>
      </c>
      <c r="G1967" s="2103">
        <f>IF(G1966="","",G1966+10)</f>
        <v>19630</v>
      </c>
      <c r="H1967" s="2104"/>
    </row>
    <row r="1968" spans="1:8" ht="15.5" x14ac:dyDescent="0.35">
      <c r="A1968" s="625"/>
      <c r="B1968" s="626" t="s">
        <v>430</v>
      </c>
      <c r="C1968" s="2101">
        <f>IF(C1967="","",C1967+10)</f>
        <v>19625</v>
      </c>
      <c r="D1968" s="2102"/>
      <c r="E1968" s="627"/>
      <c r="F1968" s="628" t="s">
        <v>431</v>
      </c>
      <c r="G1968" s="2103">
        <f>IF(G1967="","",G1967+10)</f>
        <v>19640</v>
      </c>
      <c r="H1968" s="2104"/>
    </row>
    <row r="1969" spans="1:8" ht="15.5" x14ac:dyDescent="0.35">
      <c r="A1969" s="625">
        <f>A1966+30</f>
        <v>19635</v>
      </c>
      <c r="B1969" s="626" t="s">
        <v>430</v>
      </c>
      <c r="C1969" s="2101">
        <f>IF(A1969="","",A1969)</f>
        <v>19635</v>
      </c>
      <c r="D1969" s="2102"/>
      <c r="E1969" s="627">
        <f>E1966+30</f>
        <v>19650</v>
      </c>
      <c r="F1969" s="628" t="s">
        <v>431</v>
      </c>
      <c r="G1969" s="2103">
        <f>IF(E1969="","",E1969)</f>
        <v>19650</v>
      </c>
      <c r="H1969" s="2104"/>
    </row>
    <row r="1970" spans="1:8" ht="15.5" x14ac:dyDescent="0.35">
      <c r="A1970" s="625"/>
      <c r="B1970" s="626" t="s">
        <v>430</v>
      </c>
      <c r="C1970" s="2101">
        <f>IF(C1969="","",C1969+10)</f>
        <v>19645</v>
      </c>
      <c r="D1970" s="2102"/>
      <c r="E1970" s="627"/>
      <c r="F1970" s="628" t="s">
        <v>431</v>
      </c>
      <c r="G1970" s="2103">
        <f>IF(G1969="","",G1969+10)</f>
        <v>19660</v>
      </c>
      <c r="H1970" s="2104"/>
    </row>
    <row r="1971" spans="1:8" ht="15.5" x14ac:dyDescent="0.35">
      <c r="A1971" s="625"/>
      <c r="B1971" s="626" t="s">
        <v>430</v>
      </c>
      <c r="C1971" s="2101">
        <f>IF(C1970="","",C1970+10)</f>
        <v>19655</v>
      </c>
      <c r="D1971" s="2102"/>
      <c r="E1971" s="627"/>
      <c r="F1971" s="628" t="s">
        <v>431</v>
      </c>
      <c r="G1971" s="2103">
        <f>IF(G1970="","",G1970+10)</f>
        <v>19670</v>
      </c>
      <c r="H1971" s="2104"/>
    </row>
    <row r="1972" spans="1:8" ht="15.5" x14ac:dyDescent="0.35">
      <c r="A1972" s="625">
        <f>A1969+30</f>
        <v>19665</v>
      </c>
      <c r="B1972" s="626" t="s">
        <v>430</v>
      </c>
      <c r="C1972" s="2101">
        <f>IF(A1972="","",A1972)</f>
        <v>19665</v>
      </c>
      <c r="D1972" s="2102"/>
      <c r="E1972" s="627">
        <f>E1969+30</f>
        <v>19680</v>
      </c>
      <c r="F1972" s="628" t="s">
        <v>431</v>
      </c>
      <c r="G1972" s="2103">
        <f>IF(E1972="","",E1972)</f>
        <v>19680</v>
      </c>
      <c r="H1972" s="2104"/>
    </row>
    <row r="1973" spans="1:8" ht="15.5" x14ac:dyDescent="0.35">
      <c r="A1973" s="625"/>
      <c r="B1973" s="626" t="s">
        <v>430</v>
      </c>
      <c r="C1973" s="2101">
        <f>IF(C1972="","",C1972+10)</f>
        <v>19675</v>
      </c>
      <c r="D1973" s="2102"/>
      <c r="E1973" s="627"/>
      <c r="F1973" s="628" t="s">
        <v>431</v>
      </c>
      <c r="G1973" s="2103">
        <f>IF(G1972="","",G1972+10)</f>
        <v>19690</v>
      </c>
      <c r="H1973" s="2104"/>
    </row>
    <row r="1974" spans="1:8" ht="15.5" x14ac:dyDescent="0.35">
      <c r="A1974" s="625"/>
      <c r="B1974" s="626" t="s">
        <v>430</v>
      </c>
      <c r="C1974" s="2101">
        <f>IF(C1973="","",C1973+10)</f>
        <v>19685</v>
      </c>
      <c r="D1974" s="2102"/>
      <c r="E1974" s="627"/>
      <c r="F1974" s="628" t="s">
        <v>431</v>
      </c>
      <c r="G1974" s="2103">
        <f>IF(G1973="","",G1973+10)</f>
        <v>19700</v>
      </c>
      <c r="H1974" s="2104"/>
    </row>
    <row r="1975" spans="1:8" ht="15.5" x14ac:dyDescent="0.35">
      <c r="A1975" s="625">
        <f>A1972+30</f>
        <v>19695</v>
      </c>
      <c r="B1975" s="626" t="s">
        <v>430</v>
      </c>
      <c r="C1975" s="2101">
        <f>IF(A1975="","",A1975)</f>
        <v>19695</v>
      </c>
      <c r="D1975" s="2102"/>
      <c r="E1975" s="627">
        <f>E1972+30</f>
        <v>19710</v>
      </c>
      <c r="F1975" s="628" t="s">
        <v>431</v>
      </c>
      <c r="G1975" s="2103">
        <f>IF(E1975="","",E1975)</f>
        <v>19710</v>
      </c>
      <c r="H1975" s="2104"/>
    </row>
    <row r="1976" spans="1:8" ht="15.5" x14ac:dyDescent="0.35">
      <c r="A1976" s="625"/>
      <c r="B1976" s="626" t="s">
        <v>430</v>
      </c>
      <c r="C1976" s="2101">
        <f>IF(C1975="","",C1975+10)</f>
        <v>19705</v>
      </c>
      <c r="D1976" s="2102"/>
      <c r="E1976" s="627"/>
      <c r="F1976" s="628" t="s">
        <v>431</v>
      </c>
      <c r="G1976" s="2103">
        <f>IF(G1975="","",G1975+10)</f>
        <v>19720</v>
      </c>
      <c r="H1976" s="2104"/>
    </row>
    <row r="1977" spans="1:8" ht="15.5" x14ac:dyDescent="0.35">
      <c r="A1977" s="625"/>
      <c r="B1977" s="626" t="s">
        <v>430</v>
      </c>
      <c r="C1977" s="2101">
        <f>IF(C1976="","",C1976+10)</f>
        <v>19715</v>
      </c>
      <c r="D1977" s="2102"/>
      <c r="E1977" s="627"/>
      <c r="F1977" s="628" t="s">
        <v>431</v>
      </c>
      <c r="G1977" s="2103">
        <f>IF(G1976="","",G1976+10)</f>
        <v>19730</v>
      </c>
      <c r="H1977" s="2104"/>
    </row>
    <row r="1978" spans="1:8" ht="15.5" x14ac:dyDescent="0.35">
      <c r="A1978" s="625">
        <f>A1975+30</f>
        <v>19725</v>
      </c>
      <c r="B1978" s="626" t="s">
        <v>430</v>
      </c>
      <c r="C1978" s="2101">
        <f>IF(A1978="","",A1978)</f>
        <v>19725</v>
      </c>
      <c r="D1978" s="2102"/>
      <c r="E1978" s="627">
        <f>E1975+30</f>
        <v>19740</v>
      </c>
      <c r="F1978" s="628" t="s">
        <v>431</v>
      </c>
      <c r="G1978" s="2103">
        <f>IF(E1978="","",E1978)</f>
        <v>19740</v>
      </c>
      <c r="H1978" s="2104"/>
    </row>
    <row r="1979" spans="1:8" ht="15.5" x14ac:dyDescent="0.35">
      <c r="A1979" s="625"/>
      <c r="B1979" s="626" t="s">
        <v>430</v>
      </c>
      <c r="C1979" s="2101">
        <f>IF(C1978="","",C1978+10)</f>
        <v>19735</v>
      </c>
      <c r="D1979" s="2102"/>
      <c r="E1979" s="627"/>
      <c r="F1979" s="628" t="s">
        <v>431</v>
      </c>
      <c r="G1979" s="2103">
        <f>IF(G1978="","",G1978+10)</f>
        <v>19750</v>
      </c>
      <c r="H1979" s="2104"/>
    </row>
    <row r="1980" spans="1:8" ht="15.5" x14ac:dyDescent="0.35">
      <c r="A1980" s="625"/>
      <c r="B1980" s="626" t="s">
        <v>430</v>
      </c>
      <c r="C1980" s="2101">
        <f>IF(C1979="","",C1979+10)</f>
        <v>19745</v>
      </c>
      <c r="D1980" s="2102"/>
      <c r="E1980" s="627"/>
      <c r="F1980" s="628" t="s">
        <v>431</v>
      </c>
      <c r="G1980" s="2103">
        <f>IF(G1979="","",G1979+10)</f>
        <v>19760</v>
      </c>
      <c r="H1980" s="2104"/>
    </row>
    <row r="1981" spans="1:8" ht="15.5" x14ac:dyDescent="0.35">
      <c r="A1981" s="625">
        <f>A1978+30</f>
        <v>19755</v>
      </c>
      <c r="B1981" s="626" t="s">
        <v>430</v>
      </c>
      <c r="C1981" s="2101">
        <f>IF(A1981="","",A1981)</f>
        <v>19755</v>
      </c>
      <c r="D1981" s="2102"/>
      <c r="E1981" s="627">
        <f>E1978+30</f>
        <v>19770</v>
      </c>
      <c r="F1981" s="628" t="s">
        <v>431</v>
      </c>
      <c r="G1981" s="2103">
        <f>IF(E1981="","",E1981)</f>
        <v>19770</v>
      </c>
      <c r="H1981" s="2104"/>
    </row>
    <row r="1982" spans="1:8" ht="15.5" x14ac:dyDescent="0.35">
      <c r="A1982" s="625"/>
      <c r="B1982" s="626" t="s">
        <v>430</v>
      </c>
      <c r="C1982" s="2101">
        <f>IF(C1981="","",C1981+10)</f>
        <v>19765</v>
      </c>
      <c r="D1982" s="2102"/>
      <c r="E1982" s="627"/>
      <c r="F1982" s="628" t="s">
        <v>431</v>
      </c>
      <c r="G1982" s="2103">
        <f>IF(G1981="","",G1981+10)</f>
        <v>19780</v>
      </c>
      <c r="H1982" s="2104"/>
    </row>
    <row r="1983" spans="1:8" ht="15.5" x14ac:dyDescent="0.35">
      <c r="A1983" s="625"/>
      <c r="B1983" s="626" t="s">
        <v>430</v>
      </c>
      <c r="C1983" s="2101">
        <f>IF(C1982="","",C1982+10)</f>
        <v>19775</v>
      </c>
      <c r="D1983" s="2102"/>
      <c r="E1983" s="627"/>
      <c r="F1983" s="628" t="s">
        <v>431</v>
      </c>
      <c r="G1983" s="2103">
        <f>IF(G1982="","",G1982+10)</f>
        <v>19790</v>
      </c>
      <c r="H1983" s="2104"/>
    </row>
    <row r="1984" spans="1:8" ht="15.5" x14ac:dyDescent="0.35">
      <c r="A1984" s="625">
        <f>A1981+30</f>
        <v>19785</v>
      </c>
      <c r="B1984" s="626" t="s">
        <v>430</v>
      </c>
      <c r="C1984" s="2101">
        <f>IF(A1984="","",A1984)</f>
        <v>19785</v>
      </c>
      <c r="D1984" s="2102"/>
      <c r="E1984" s="627">
        <f>E1981+30</f>
        <v>19800</v>
      </c>
      <c r="F1984" s="628" t="s">
        <v>431</v>
      </c>
      <c r="G1984" s="2103">
        <f>IF(E1984="","",E1984)</f>
        <v>19800</v>
      </c>
      <c r="H1984" s="2104"/>
    </row>
    <row r="1985" spans="1:8" ht="15.5" x14ac:dyDescent="0.35">
      <c r="A1985" s="625"/>
      <c r="B1985" s="626" t="s">
        <v>430</v>
      </c>
      <c r="C1985" s="2101">
        <f>IF(C1984="","",C1984+10)</f>
        <v>19795</v>
      </c>
      <c r="D1985" s="2102"/>
      <c r="E1985" s="627"/>
      <c r="F1985" s="628" t="s">
        <v>431</v>
      </c>
      <c r="G1985" s="2103">
        <f>IF(G1984="","",G1984+10)</f>
        <v>19810</v>
      </c>
      <c r="H1985" s="2104"/>
    </row>
    <row r="1986" spans="1:8" ht="15.5" x14ac:dyDescent="0.35">
      <c r="A1986" s="625"/>
      <c r="B1986" s="626" t="s">
        <v>430</v>
      </c>
      <c r="C1986" s="2101">
        <f>IF(C1985="","",C1985+10)</f>
        <v>19805</v>
      </c>
      <c r="D1986" s="2102"/>
      <c r="E1986" s="627"/>
      <c r="F1986" s="628" t="s">
        <v>431</v>
      </c>
      <c r="G1986" s="2103">
        <f>IF(G1985="","",G1985+10)</f>
        <v>19820</v>
      </c>
      <c r="H1986" s="2104"/>
    </row>
    <row r="1987" spans="1:8" ht="15.5" x14ac:dyDescent="0.35">
      <c r="A1987" s="625">
        <f>A1984+30</f>
        <v>19815</v>
      </c>
      <c r="B1987" s="626" t="s">
        <v>430</v>
      </c>
      <c r="C1987" s="2101">
        <f>IF(A1987="","",A1987)</f>
        <v>19815</v>
      </c>
      <c r="D1987" s="2102"/>
      <c r="E1987" s="627">
        <f>E1984+30</f>
        <v>19830</v>
      </c>
      <c r="F1987" s="628" t="s">
        <v>431</v>
      </c>
      <c r="G1987" s="2103">
        <f>IF(E1987="","",E1987)</f>
        <v>19830</v>
      </c>
      <c r="H1987" s="2104"/>
    </row>
    <row r="1988" spans="1:8" ht="15.5" x14ac:dyDescent="0.35">
      <c r="A1988" s="625"/>
      <c r="B1988" s="626" t="s">
        <v>430</v>
      </c>
      <c r="C1988" s="2101">
        <f>IF(C1987="","",C1987+10)</f>
        <v>19825</v>
      </c>
      <c r="D1988" s="2102"/>
      <c r="E1988" s="627"/>
      <c r="F1988" s="628" t="s">
        <v>431</v>
      </c>
      <c r="G1988" s="2103">
        <f>IF(G1987="","",G1987+10)</f>
        <v>19840</v>
      </c>
      <c r="H1988" s="2104"/>
    </row>
    <row r="1989" spans="1:8" ht="15.5" x14ac:dyDescent="0.35">
      <c r="A1989" s="625"/>
      <c r="B1989" s="626" t="s">
        <v>430</v>
      </c>
      <c r="C1989" s="2101">
        <f>IF(C1988="","",C1988+10)</f>
        <v>19835</v>
      </c>
      <c r="D1989" s="2102"/>
      <c r="E1989" s="627"/>
      <c r="F1989" s="628" t="s">
        <v>431</v>
      </c>
      <c r="G1989" s="2103">
        <f>IF(G1988="","",G1988+10)</f>
        <v>19850</v>
      </c>
      <c r="H1989" s="2104"/>
    </row>
    <row r="1990" spans="1:8" ht="15.5" x14ac:dyDescent="0.35">
      <c r="A1990" s="625">
        <f>A1987+30</f>
        <v>19845</v>
      </c>
      <c r="B1990" s="626" t="s">
        <v>430</v>
      </c>
      <c r="C1990" s="2101">
        <f>IF(A1990="","",A1990)</f>
        <v>19845</v>
      </c>
      <c r="D1990" s="2102"/>
      <c r="E1990" s="627">
        <f>E1987+30</f>
        <v>19860</v>
      </c>
      <c r="F1990" s="628" t="s">
        <v>431</v>
      </c>
      <c r="G1990" s="2103">
        <f>IF(E1990="","",E1990)</f>
        <v>19860</v>
      </c>
      <c r="H1990" s="2104"/>
    </row>
    <row r="1991" spans="1:8" ht="15.5" x14ac:dyDescent="0.35">
      <c r="A1991" s="625"/>
      <c r="B1991" s="626" t="s">
        <v>430</v>
      </c>
      <c r="C1991" s="2101">
        <f>IF(C1990="","",C1990+10)</f>
        <v>19855</v>
      </c>
      <c r="D1991" s="2102"/>
      <c r="E1991" s="627"/>
      <c r="F1991" s="628" t="s">
        <v>431</v>
      </c>
      <c r="G1991" s="2103">
        <f>IF(G1990="","",G1990+10)</f>
        <v>19870</v>
      </c>
      <c r="H1991" s="2104"/>
    </row>
    <row r="1992" spans="1:8" ht="15.5" x14ac:dyDescent="0.35">
      <c r="A1992" s="625"/>
      <c r="B1992" s="626" t="s">
        <v>430</v>
      </c>
      <c r="C1992" s="2101">
        <f>IF(C1991="","",C1991+10)</f>
        <v>19865</v>
      </c>
      <c r="D1992" s="2102"/>
      <c r="E1992" s="627"/>
      <c r="F1992" s="628" t="s">
        <v>431</v>
      </c>
      <c r="G1992" s="2103">
        <f>IF(G1991="","",G1991+10)</f>
        <v>19880</v>
      </c>
      <c r="H1992" s="2104"/>
    </row>
    <row r="1993" spans="1:8" ht="15.5" x14ac:dyDescent="0.35">
      <c r="A1993" s="625">
        <f>A1990+30</f>
        <v>19875</v>
      </c>
      <c r="B1993" s="626" t="s">
        <v>430</v>
      </c>
      <c r="C1993" s="2101">
        <f>IF(A1993="","",A1993)</f>
        <v>19875</v>
      </c>
      <c r="D1993" s="2102"/>
      <c r="E1993" s="627">
        <f>E1990+30</f>
        <v>19890</v>
      </c>
      <c r="F1993" s="628" t="s">
        <v>431</v>
      </c>
      <c r="G1993" s="2103">
        <f>IF(E1993="","",E1993)</f>
        <v>19890</v>
      </c>
      <c r="H1993" s="2104"/>
    </row>
    <row r="1994" spans="1:8" ht="15.5" x14ac:dyDescent="0.35">
      <c r="A1994" s="625"/>
      <c r="B1994" s="626" t="s">
        <v>430</v>
      </c>
      <c r="C1994" s="2101">
        <f>IF(C1993="","",C1993+10)</f>
        <v>19885</v>
      </c>
      <c r="D1994" s="2102"/>
      <c r="E1994" s="627"/>
      <c r="F1994" s="628" t="s">
        <v>431</v>
      </c>
      <c r="G1994" s="2103">
        <f>IF(G1993="","",G1993+10)</f>
        <v>19900</v>
      </c>
      <c r="H1994" s="2104"/>
    </row>
    <row r="1995" spans="1:8" ht="15.5" x14ac:dyDescent="0.35">
      <c r="A1995" s="625"/>
      <c r="B1995" s="626" t="s">
        <v>430</v>
      </c>
      <c r="C1995" s="2101">
        <f>IF(C1994="","",C1994+10)</f>
        <v>19895</v>
      </c>
      <c r="D1995" s="2102"/>
      <c r="E1995" s="627"/>
      <c r="F1995" s="628" t="s">
        <v>431</v>
      </c>
      <c r="G1995" s="2103">
        <f>IF(G1994="","",G1994+10)</f>
        <v>19910</v>
      </c>
      <c r="H1995" s="2104"/>
    </row>
    <row r="1996" spans="1:8" ht="15.5" x14ac:dyDescent="0.35">
      <c r="A1996" s="625">
        <f>A1993+30</f>
        <v>19905</v>
      </c>
      <c r="B1996" s="626" t="s">
        <v>430</v>
      </c>
      <c r="C1996" s="2101">
        <f>IF(A1996="","",A1996)</f>
        <v>19905</v>
      </c>
      <c r="D1996" s="2102"/>
      <c r="E1996" s="627">
        <f>E1993+30</f>
        <v>19920</v>
      </c>
      <c r="F1996" s="628" t="s">
        <v>431</v>
      </c>
      <c r="G1996" s="2103">
        <f>IF(E1996="","",E1996)</f>
        <v>19920</v>
      </c>
      <c r="H1996" s="2104"/>
    </row>
    <row r="1997" spans="1:8" ht="15.5" x14ac:dyDescent="0.35">
      <c r="A1997" s="625"/>
      <c r="B1997" s="626" t="s">
        <v>430</v>
      </c>
      <c r="C1997" s="2101">
        <f>IF(C1996="","",C1996+10)</f>
        <v>19915</v>
      </c>
      <c r="D1997" s="2102"/>
      <c r="E1997" s="627"/>
      <c r="F1997" s="628" t="s">
        <v>431</v>
      </c>
      <c r="G1997" s="2103">
        <f>IF(G1996="","",G1996+10)</f>
        <v>19930</v>
      </c>
      <c r="H1997" s="2104"/>
    </row>
    <row r="1998" spans="1:8" ht="15.5" x14ac:dyDescent="0.35">
      <c r="A1998" s="625"/>
      <c r="B1998" s="626" t="s">
        <v>430</v>
      </c>
      <c r="C1998" s="2101">
        <f>IF(C1997="","",C1997+10)</f>
        <v>19925</v>
      </c>
      <c r="D1998" s="2102"/>
      <c r="E1998" s="627"/>
      <c r="F1998" s="628" t="s">
        <v>431</v>
      </c>
      <c r="G1998" s="2103">
        <f>IF(G1997="","",G1997+10)</f>
        <v>19940</v>
      </c>
      <c r="H1998" s="2104"/>
    </row>
    <row r="1999" spans="1:8" ht="15.5" x14ac:dyDescent="0.35">
      <c r="A1999" s="625">
        <f>A1996+30</f>
        <v>19935</v>
      </c>
      <c r="B1999" s="626" t="s">
        <v>430</v>
      </c>
      <c r="C1999" s="2101">
        <f>IF(A1999="","",A1999)</f>
        <v>19935</v>
      </c>
      <c r="D1999" s="2102"/>
      <c r="E1999" s="627">
        <f>E1996+30</f>
        <v>19950</v>
      </c>
      <c r="F1999" s="628" t="s">
        <v>431</v>
      </c>
      <c r="G1999" s="2103">
        <f>IF(E1999="","",E1999)</f>
        <v>19950</v>
      </c>
      <c r="H1999" s="2104"/>
    </row>
    <row r="2000" spans="1:8" ht="15.5" x14ac:dyDescent="0.35">
      <c r="A2000" s="625"/>
      <c r="B2000" s="626" t="s">
        <v>430</v>
      </c>
      <c r="C2000" s="2101">
        <f>IF(C1999="","",C1999+10)</f>
        <v>19945</v>
      </c>
      <c r="D2000" s="2102"/>
      <c r="E2000" s="627"/>
      <c r="F2000" s="628" t="s">
        <v>431</v>
      </c>
      <c r="G2000" s="2103">
        <f>IF(G1999="","",G1999+10)</f>
        <v>19960</v>
      </c>
      <c r="H2000" s="2104"/>
    </row>
    <row r="2001" spans="1:8" ht="15.5" x14ac:dyDescent="0.35">
      <c r="A2001" s="625"/>
      <c r="B2001" s="626" t="s">
        <v>430</v>
      </c>
      <c r="C2001" s="2101">
        <f>IF(C2000="","",C2000+10)</f>
        <v>19955</v>
      </c>
      <c r="D2001" s="2102"/>
      <c r="E2001" s="627"/>
      <c r="F2001" s="628" t="s">
        <v>431</v>
      </c>
      <c r="G2001" s="2103">
        <f>IF(G2000="","",G2000+10)</f>
        <v>19970</v>
      </c>
      <c r="H2001" s="2104"/>
    </row>
    <row r="2002" spans="1:8" ht="15.5" x14ac:dyDescent="0.35">
      <c r="A2002" s="625">
        <f>A1999+30</f>
        <v>19965</v>
      </c>
      <c r="B2002" s="626" t="s">
        <v>430</v>
      </c>
      <c r="C2002" s="2101">
        <f>IF(A2002="","",A2002)</f>
        <v>19965</v>
      </c>
      <c r="D2002" s="2102"/>
      <c r="E2002" s="627">
        <f>E1999+30</f>
        <v>19980</v>
      </c>
      <c r="F2002" s="628" t="s">
        <v>431</v>
      </c>
      <c r="G2002" s="2103">
        <f>IF(E2002="","",E2002)</f>
        <v>19980</v>
      </c>
      <c r="H2002" s="2104"/>
    </row>
    <row r="2003" spans="1:8" ht="15.5" x14ac:dyDescent="0.35">
      <c r="A2003" s="625"/>
      <c r="B2003" s="626" t="s">
        <v>430</v>
      </c>
      <c r="C2003" s="2101">
        <f>IF(C2002="","",C2002+10)</f>
        <v>19975</v>
      </c>
      <c r="D2003" s="2102"/>
      <c r="E2003" s="627"/>
      <c r="F2003" s="628" t="s">
        <v>431</v>
      </c>
      <c r="G2003" s="2103">
        <f>IF(G2002="","",G2002+10)</f>
        <v>19990</v>
      </c>
      <c r="H2003" s="2104"/>
    </row>
    <row r="2004" spans="1:8" ht="15.5" x14ac:dyDescent="0.35">
      <c r="A2004" s="625"/>
      <c r="B2004" s="626" t="s">
        <v>430</v>
      </c>
      <c r="C2004" s="2101">
        <f>IF(C2003="","",C2003+10)</f>
        <v>19985</v>
      </c>
      <c r="D2004" s="2102"/>
      <c r="E2004" s="627"/>
      <c r="F2004" s="628" t="s">
        <v>431</v>
      </c>
      <c r="G2004" s="2103">
        <f>IF(G2003="","",G2003+10)</f>
        <v>20000</v>
      </c>
      <c r="H2004" s="2104"/>
    </row>
    <row r="2005" spans="1:8" ht="15.5" x14ac:dyDescent="0.35">
      <c r="A2005" s="625">
        <f>A2002+30</f>
        <v>19995</v>
      </c>
      <c r="B2005" s="626" t="s">
        <v>430</v>
      </c>
      <c r="C2005" s="2101">
        <f>IF(A2005="","",A2005)</f>
        <v>19995</v>
      </c>
      <c r="D2005" s="2102"/>
      <c r="E2005" s="627">
        <f>E2002+30</f>
        <v>20010</v>
      </c>
      <c r="F2005" s="628" t="s">
        <v>431</v>
      </c>
      <c r="G2005" s="2103">
        <f>IF(E2005="","",E2005)</f>
        <v>20010</v>
      </c>
      <c r="H2005" s="2104"/>
    </row>
    <row r="2006" spans="1:8" ht="15.5" x14ac:dyDescent="0.35">
      <c r="A2006" s="625"/>
      <c r="B2006" s="626" t="s">
        <v>430</v>
      </c>
      <c r="C2006" s="2101">
        <f>IF(C2005="","",C2005+10)</f>
        <v>20005</v>
      </c>
      <c r="D2006" s="2102"/>
      <c r="E2006" s="627"/>
      <c r="F2006" s="628" t="s">
        <v>431</v>
      </c>
      <c r="G2006" s="2103">
        <f>IF(G2005="","",G2005+10)</f>
        <v>20020</v>
      </c>
      <c r="H2006" s="2104"/>
    </row>
    <row r="2007" spans="1:8" ht="15.5" x14ac:dyDescent="0.35">
      <c r="A2007" s="625"/>
      <c r="B2007" s="626" t="s">
        <v>430</v>
      </c>
      <c r="C2007" s="2101">
        <f>IF(C2006="","",C2006+10)</f>
        <v>20015</v>
      </c>
      <c r="D2007" s="2102"/>
      <c r="E2007" s="627"/>
      <c r="F2007" s="628" t="s">
        <v>431</v>
      </c>
      <c r="G2007" s="2103">
        <f>IF(G2006="","",G2006+10)</f>
        <v>20030</v>
      </c>
      <c r="H2007" s="2104"/>
    </row>
    <row r="2008" spans="1:8" ht="15.5" x14ac:dyDescent="0.35">
      <c r="A2008" s="625">
        <f>A2005+30</f>
        <v>20025</v>
      </c>
      <c r="B2008" s="626" t="s">
        <v>430</v>
      </c>
      <c r="C2008" s="2101">
        <f>IF(A2008="","",A2008)</f>
        <v>20025</v>
      </c>
      <c r="D2008" s="2102"/>
      <c r="E2008" s="627">
        <f>E2005+30</f>
        <v>20040</v>
      </c>
      <c r="F2008" s="628" t="s">
        <v>431</v>
      </c>
      <c r="G2008" s="2103">
        <f>IF(E2008="","",E2008)</f>
        <v>20040</v>
      </c>
      <c r="H2008" s="2104"/>
    </row>
    <row r="2009" spans="1:8" ht="15.5" x14ac:dyDescent="0.35">
      <c r="A2009" s="625"/>
      <c r="B2009" s="626" t="s">
        <v>430</v>
      </c>
      <c r="C2009" s="2101">
        <f>IF(C2008="","",C2008+10)</f>
        <v>20035</v>
      </c>
      <c r="D2009" s="2102"/>
      <c r="E2009" s="627"/>
      <c r="F2009" s="628" t="s">
        <v>431</v>
      </c>
      <c r="G2009" s="2103">
        <f>IF(G2008="","",G2008+10)</f>
        <v>20050</v>
      </c>
      <c r="H2009" s="2104"/>
    </row>
    <row r="2010" spans="1:8" ht="15.5" x14ac:dyDescent="0.35">
      <c r="A2010" s="625"/>
      <c r="B2010" s="626" t="s">
        <v>430</v>
      </c>
      <c r="C2010" s="2101">
        <f>IF(C2009="","",C2009+10)</f>
        <v>20045</v>
      </c>
      <c r="D2010" s="2102"/>
      <c r="E2010" s="627"/>
      <c r="F2010" s="628" t="s">
        <v>431</v>
      </c>
      <c r="G2010" s="2103">
        <f>IF(G2009="","",G2009+10)</f>
        <v>20060</v>
      </c>
      <c r="H2010" s="2104"/>
    </row>
    <row r="2011" spans="1:8" ht="15.5" x14ac:dyDescent="0.35">
      <c r="A2011" s="625">
        <f>A2008+30</f>
        <v>20055</v>
      </c>
      <c r="B2011" s="626" t="s">
        <v>430</v>
      </c>
      <c r="C2011" s="2101">
        <f>IF(A2011="","",A2011)</f>
        <v>20055</v>
      </c>
      <c r="D2011" s="2102"/>
      <c r="E2011" s="627">
        <f>E2008+30</f>
        <v>20070</v>
      </c>
      <c r="F2011" s="628" t="s">
        <v>431</v>
      </c>
      <c r="G2011" s="2103">
        <f>IF(E2011="","",E2011)</f>
        <v>20070</v>
      </c>
      <c r="H2011" s="2104"/>
    </row>
    <row r="2012" spans="1:8" ht="15.5" x14ac:dyDescent="0.35">
      <c r="A2012" s="625"/>
      <c r="B2012" s="626" t="s">
        <v>430</v>
      </c>
      <c r="C2012" s="2101">
        <f>IF(C2011="","",C2011+10)</f>
        <v>20065</v>
      </c>
      <c r="D2012" s="2102"/>
      <c r="E2012" s="627"/>
      <c r="F2012" s="628" t="s">
        <v>431</v>
      </c>
      <c r="G2012" s="2103">
        <f>IF(G2011="","",G2011+10)</f>
        <v>20080</v>
      </c>
      <c r="H2012" s="2104"/>
    </row>
    <row r="2013" spans="1:8" ht="15.5" x14ac:dyDescent="0.35">
      <c r="A2013" s="625"/>
      <c r="B2013" s="626" t="s">
        <v>430</v>
      </c>
      <c r="C2013" s="2101">
        <f>IF(C2012="","",C2012+10)</f>
        <v>20075</v>
      </c>
      <c r="D2013" s="2102"/>
      <c r="E2013" s="627"/>
      <c r="F2013" s="628" t="s">
        <v>431</v>
      </c>
      <c r="G2013" s="2103">
        <f>IF(G2012="","",G2012+10)</f>
        <v>20090</v>
      </c>
      <c r="H2013" s="2104"/>
    </row>
    <row r="2014" spans="1:8" ht="15.5" x14ac:dyDescent="0.35">
      <c r="A2014" s="625">
        <f>A2011+30</f>
        <v>20085</v>
      </c>
      <c r="B2014" s="626" t="s">
        <v>430</v>
      </c>
      <c r="C2014" s="2101">
        <f>IF(A2014="","",A2014)</f>
        <v>20085</v>
      </c>
      <c r="D2014" s="2102"/>
      <c r="E2014" s="627">
        <f>E2011+30</f>
        <v>20100</v>
      </c>
      <c r="F2014" s="628" t="s">
        <v>431</v>
      </c>
      <c r="G2014" s="2103">
        <f>IF(E2014="","",E2014)</f>
        <v>20100</v>
      </c>
      <c r="H2014" s="2104"/>
    </row>
    <row r="2015" spans="1:8" ht="15.5" x14ac:dyDescent="0.35">
      <c r="A2015" s="625"/>
      <c r="B2015" s="626" t="s">
        <v>430</v>
      </c>
      <c r="C2015" s="2101">
        <f>IF(C2014="","",C2014+10)</f>
        <v>20095</v>
      </c>
      <c r="D2015" s="2102"/>
      <c r="E2015" s="627"/>
      <c r="F2015" s="628" t="s">
        <v>431</v>
      </c>
      <c r="G2015" s="2103">
        <f>IF(G2014="","",G2014+10)</f>
        <v>20110</v>
      </c>
      <c r="H2015" s="2104"/>
    </row>
    <row r="2016" spans="1:8" ht="15.5" x14ac:dyDescent="0.35">
      <c r="A2016" s="625"/>
      <c r="B2016" s="626" t="s">
        <v>430</v>
      </c>
      <c r="C2016" s="2101">
        <f>IF(C2015="","",C2015+10)</f>
        <v>20105</v>
      </c>
      <c r="D2016" s="2102"/>
      <c r="E2016" s="627"/>
      <c r="F2016" s="628" t="s">
        <v>431</v>
      </c>
      <c r="G2016" s="2103">
        <f>IF(G2015="","",G2015+10)</f>
        <v>20120</v>
      </c>
      <c r="H2016" s="2104"/>
    </row>
    <row r="2017" spans="1:8" ht="15.5" x14ac:dyDescent="0.35">
      <c r="A2017" s="625">
        <f>A2014+30</f>
        <v>20115</v>
      </c>
      <c r="B2017" s="626" t="s">
        <v>430</v>
      </c>
      <c r="C2017" s="2101">
        <f>IF(A2017="","",A2017)</f>
        <v>20115</v>
      </c>
      <c r="D2017" s="2102"/>
      <c r="E2017" s="627">
        <f>E2014+30</f>
        <v>20130</v>
      </c>
      <c r="F2017" s="628" t="s">
        <v>431</v>
      </c>
      <c r="G2017" s="2103">
        <f>IF(E2017="","",E2017)</f>
        <v>20130</v>
      </c>
      <c r="H2017" s="2104"/>
    </row>
    <row r="2018" spans="1:8" ht="15.5" x14ac:dyDescent="0.35">
      <c r="A2018" s="625"/>
      <c r="B2018" s="626" t="s">
        <v>430</v>
      </c>
      <c r="C2018" s="2101">
        <f>IF(C2017="","",C2017+10)</f>
        <v>20125</v>
      </c>
      <c r="D2018" s="2102"/>
      <c r="E2018" s="627"/>
      <c r="F2018" s="628" t="s">
        <v>431</v>
      </c>
      <c r="G2018" s="2103">
        <f>IF(G2017="","",G2017+10)</f>
        <v>20140</v>
      </c>
      <c r="H2018" s="2104"/>
    </row>
  </sheetData>
  <mergeCells count="4034">
    <mergeCell ref="C2018:D2018"/>
    <mergeCell ref="G2018:H2018"/>
    <mergeCell ref="C2014:D2014"/>
    <mergeCell ref="G2014:H2014"/>
    <mergeCell ref="C2015:D2015"/>
    <mergeCell ref="G2015:H2015"/>
    <mergeCell ref="C2016:D2016"/>
    <mergeCell ref="G2016:H2016"/>
    <mergeCell ref="C2011:D2011"/>
    <mergeCell ref="G2011:H2011"/>
    <mergeCell ref="C2012:D2012"/>
    <mergeCell ref="G2012:H2012"/>
    <mergeCell ref="C2013:D2013"/>
    <mergeCell ref="G2013:H2013"/>
    <mergeCell ref="C2008:D2008"/>
    <mergeCell ref="G2008:H2008"/>
    <mergeCell ref="C2009:D2009"/>
    <mergeCell ref="G2009:H2009"/>
    <mergeCell ref="C2010:D2010"/>
    <mergeCell ref="G2010:H2010"/>
    <mergeCell ref="C2006:D2006"/>
    <mergeCell ref="G2006:H2006"/>
    <mergeCell ref="C2007:D2007"/>
    <mergeCell ref="G2007:H2007"/>
    <mergeCell ref="C2002:D2002"/>
    <mergeCell ref="G2002:H2002"/>
    <mergeCell ref="C2003:D2003"/>
    <mergeCell ref="G2003:H2003"/>
    <mergeCell ref="C2004:D2004"/>
    <mergeCell ref="G2004:H2004"/>
    <mergeCell ref="C1999:D1999"/>
    <mergeCell ref="G1999:H1999"/>
    <mergeCell ref="C2000:D2000"/>
    <mergeCell ref="G2000:H2000"/>
    <mergeCell ref="C2001:D2001"/>
    <mergeCell ref="G2001:H2001"/>
    <mergeCell ref="C2017:D2017"/>
    <mergeCell ref="G2017:H2017"/>
    <mergeCell ref="C1997:D1997"/>
    <mergeCell ref="G1997:H1997"/>
    <mergeCell ref="C1998:D1998"/>
    <mergeCell ref="G1998:H1998"/>
    <mergeCell ref="C1993:D1993"/>
    <mergeCell ref="G1993:H1993"/>
    <mergeCell ref="C1994:D1994"/>
    <mergeCell ref="G1994:H1994"/>
    <mergeCell ref="C1995:D1995"/>
    <mergeCell ref="G1995:H1995"/>
    <mergeCell ref="C1990:D1990"/>
    <mergeCell ref="G1990:H1990"/>
    <mergeCell ref="C1991:D1991"/>
    <mergeCell ref="G1991:H1991"/>
    <mergeCell ref="C1992:D1992"/>
    <mergeCell ref="G1992:H1992"/>
    <mergeCell ref="C2005:D2005"/>
    <mergeCell ref="G2005:H2005"/>
    <mergeCell ref="C1988:D1988"/>
    <mergeCell ref="G1988:H1988"/>
    <mergeCell ref="C1989:D1989"/>
    <mergeCell ref="G1989:H1989"/>
    <mergeCell ref="C1984:D1984"/>
    <mergeCell ref="G1984:H1984"/>
    <mergeCell ref="C1985:D1985"/>
    <mergeCell ref="G1985:H1985"/>
    <mergeCell ref="C1986:D1986"/>
    <mergeCell ref="G1986:H1986"/>
    <mergeCell ref="C1981:D1981"/>
    <mergeCell ref="G1981:H1981"/>
    <mergeCell ref="C1982:D1982"/>
    <mergeCell ref="G1982:H1982"/>
    <mergeCell ref="C1983:D1983"/>
    <mergeCell ref="G1983:H1983"/>
    <mergeCell ref="C1996:D1996"/>
    <mergeCell ref="G1996:H1996"/>
    <mergeCell ref="C1979:D1979"/>
    <mergeCell ref="G1979:H1979"/>
    <mergeCell ref="C1980:D1980"/>
    <mergeCell ref="G1980:H1980"/>
    <mergeCell ref="C1975:D1975"/>
    <mergeCell ref="G1975:H1975"/>
    <mergeCell ref="C1976:D1976"/>
    <mergeCell ref="G1976:H1976"/>
    <mergeCell ref="C1977:D1977"/>
    <mergeCell ref="G1977:H1977"/>
    <mergeCell ref="C1972:D1972"/>
    <mergeCell ref="G1972:H1972"/>
    <mergeCell ref="C1973:D1973"/>
    <mergeCell ref="G1973:H1973"/>
    <mergeCell ref="C1974:D1974"/>
    <mergeCell ref="G1974:H1974"/>
    <mergeCell ref="C1987:D1987"/>
    <mergeCell ref="G1987:H1987"/>
    <mergeCell ref="C1970:D1970"/>
    <mergeCell ref="G1970:H1970"/>
    <mergeCell ref="C1971:D1971"/>
    <mergeCell ref="G1971:H1971"/>
    <mergeCell ref="C1966:D1966"/>
    <mergeCell ref="G1966:H1966"/>
    <mergeCell ref="C1967:D1967"/>
    <mergeCell ref="G1967:H1967"/>
    <mergeCell ref="C1968:D1968"/>
    <mergeCell ref="G1968:H1968"/>
    <mergeCell ref="C1963:D1963"/>
    <mergeCell ref="G1963:H1963"/>
    <mergeCell ref="C1964:D1964"/>
    <mergeCell ref="G1964:H1964"/>
    <mergeCell ref="C1965:D1965"/>
    <mergeCell ref="G1965:H1965"/>
    <mergeCell ref="C1978:D1978"/>
    <mergeCell ref="G1978:H1978"/>
    <mergeCell ref="C1961:D1961"/>
    <mergeCell ref="G1961:H1961"/>
    <mergeCell ref="C1962:D1962"/>
    <mergeCell ref="G1962:H1962"/>
    <mergeCell ref="C1957:D1957"/>
    <mergeCell ref="G1957:H1957"/>
    <mergeCell ref="C1958:D1958"/>
    <mergeCell ref="G1958:H1958"/>
    <mergeCell ref="C1959:D1959"/>
    <mergeCell ref="G1959:H1959"/>
    <mergeCell ref="C1954:D1954"/>
    <mergeCell ref="G1954:H1954"/>
    <mergeCell ref="C1955:D1955"/>
    <mergeCell ref="G1955:H1955"/>
    <mergeCell ref="C1956:D1956"/>
    <mergeCell ref="G1956:H1956"/>
    <mergeCell ref="C1969:D1969"/>
    <mergeCell ref="G1969:H1969"/>
    <mergeCell ref="C1952:D1952"/>
    <mergeCell ref="G1952:H1952"/>
    <mergeCell ref="C1953:D1953"/>
    <mergeCell ref="G1953:H1953"/>
    <mergeCell ref="C1948:D1948"/>
    <mergeCell ref="G1948:H1948"/>
    <mergeCell ref="C1949:D1949"/>
    <mergeCell ref="G1949:H1949"/>
    <mergeCell ref="C1950:D1950"/>
    <mergeCell ref="G1950:H1950"/>
    <mergeCell ref="C1945:D1945"/>
    <mergeCell ref="G1945:H1945"/>
    <mergeCell ref="C1946:D1946"/>
    <mergeCell ref="G1946:H1946"/>
    <mergeCell ref="C1947:D1947"/>
    <mergeCell ref="G1947:H1947"/>
    <mergeCell ref="C1960:D1960"/>
    <mergeCell ref="G1960:H1960"/>
    <mergeCell ref="C1943:D1943"/>
    <mergeCell ref="G1943:H1943"/>
    <mergeCell ref="C1944:D1944"/>
    <mergeCell ref="G1944:H1944"/>
    <mergeCell ref="C1939:D1939"/>
    <mergeCell ref="G1939:H1939"/>
    <mergeCell ref="C1940:D1940"/>
    <mergeCell ref="G1940:H1940"/>
    <mergeCell ref="C1941:D1941"/>
    <mergeCell ref="G1941:H1941"/>
    <mergeCell ref="C1936:D1936"/>
    <mergeCell ref="G1936:H1936"/>
    <mergeCell ref="C1937:D1937"/>
    <mergeCell ref="G1937:H1937"/>
    <mergeCell ref="C1938:D1938"/>
    <mergeCell ref="G1938:H1938"/>
    <mergeCell ref="C1951:D1951"/>
    <mergeCell ref="G1951:H1951"/>
    <mergeCell ref="C1934:D1934"/>
    <mergeCell ref="G1934:H1934"/>
    <mergeCell ref="C1935:D1935"/>
    <mergeCell ref="G1935:H1935"/>
    <mergeCell ref="C1930:D1930"/>
    <mergeCell ref="G1930:H1930"/>
    <mergeCell ref="C1931:D1931"/>
    <mergeCell ref="G1931:H1931"/>
    <mergeCell ref="C1932:D1932"/>
    <mergeCell ref="G1932:H1932"/>
    <mergeCell ref="C1927:D1927"/>
    <mergeCell ref="G1927:H1927"/>
    <mergeCell ref="C1928:D1928"/>
    <mergeCell ref="G1928:H1928"/>
    <mergeCell ref="C1929:D1929"/>
    <mergeCell ref="G1929:H1929"/>
    <mergeCell ref="C1942:D1942"/>
    <mergeCell ref="G1942:H1942"/>
    <mergeCell ref="C1925:D1925"/>
    <mergeCell ref="G1925:H1925"/>
    <mergeCell ref="C1926:D1926"/>
    <mergeCell ref="G1926:H1926"/>
    <mergeCell ref="C1921:D1921"/>
    <mergeCell ref="G1921:H1921"/>
    <mergeCell ref="C1922:D1922"/>
    <mergeCell ref="G1922:H1922"/>
    <mergeCell ref="C1923:D1923"/>
    <mergeCell ref="G1923:H1923"/>
    <mergeCell ref="C1918:D1918"/>
    <mergeCell ref="G1918:H1918"/>
    <mergeCell ref="C1919:D1919"/>
    <mergeCell ref="G1919:H1919"/>
    <mergeCell ref="C1920:D1920"/>
    <mergeCell ref="G1920:H1920"/>
    <mergeCell ref="C1933:D1933"/>
    <mergeCell ref="G1933:H1933"/>
    <mergeCell ref="C1916:D1916"/>
    <mergeCell ref="G1916:H1916"/>
    <mergeCell ref="C1917:D1917"/>
    <mergeCell ref="G1917:H1917"/>
    <mergeCell ref="C1912:D1912"/>
    <mergeCell ref="G1912:H1912"/>
    <mergeCell ref="C1913:D1913"/>
    <mergeCell ref="G1913:H1913"/>
    <mergeCell ref="C1914:D1914"/>
    <mergeCell ref="G1914:H1914"/>
    <mergeCell ref="C1909:D1909"/>
    <mergeCell ref="G1909:H1909"/>
    <mergeCell ref="C1910:D1910"/>
    <mergeCell ref="G1910:H1910"/>
    <mergeCell ref="C1911:D1911"/>
    <mergeCell ref="G1911:H1911"/>
    <mergeCell ref="C1924:D1924"/>
    <mergeCell ref="G1924:H1924"/>
    <mergeCell ref="C1907:D1907"/>
    <mergeCell ref="G1907:H1907"/>
    <mergeCell ref="C1908:D1908"/>
    <mergeCell ref="G1908:H1908"/>
    <mergeCell ref="C1903:D1903"/>
    <mergeCell ref="G1903:H1903"/>
    <mergeCell ref="C1904:D1904"/>
    <mergeCell ref="G1904:H1904"/>
    <mergeCell ref="C1905:D1905"/>
    <mergeCell ref="G1905:H1905"/>
    <mergeCell ref="C1900:D1900"/>
    <mergeCell ref="G1900:H1900"/>
    <mergeCell ref="C1901:D1901"/>
    <mergeCell ref="G1901:H1901"/>
    <mergeCell ref="C1902:D1902"/>
    <mergeCell ref="G1902:H1902"/>
    <mergeCell ref="C1915:D1915"/>
    <mergeCell ref="G1915:H1915"/>
    <mergeCell ref="C1898:D1898"/>
    <mergeCell ref="G1898:H1898"/>
    <mergeCell ref="C1899:D1899"/>
    <mergeCell ref="G1899:H1899"/>
    <mergeCell ref="C1894:D1894"/>
    <mergeCell ref="G1894:H1894"/>
    <mergeCell ref="C1895:D1895"/>
    <mergeCell ref="G1895:H1895"/>
    <mergeCell ref="C1896:D1896"/>
    <mergeCell ref="G1896:H1896"/>
    <mergeCell ref="C1891:D1891"/>
    <mergeCell ref="G1891:H1891"/>
    <mergeCell ref="C1892:D1892"/>
    <mergeCell ref="G1892:H1892"/>
    <mergeCell ref="C1893:D1893"/>
    <mergeCell ref="G1893:H1893"/>
    <mergeCell ref="C1906:D1906"/>
    <mergeCell ref="G1906:H1906"/>
    <mergeCell ref="C1889:D1889"/>
    <mergeCell ref="G1889:H1889"/>
    <mergeCell ref="C1890:D1890"/>
    <mergeCell ref="G1890:H1890"/>
    <mergeCell ref="C1885:D1885"/>
    <mergeCell ref="G1885:H1885"/>
    <mergeCell ref="C1886:D1886"/>
    <mergeCell ref="G1886:H1886"/>
    <mergeCell ref="C1887:D1887"/>
    <mergeCell ref="G1887:H1887"/>
    <mergeCell ref="C1882:D1882"/>
    <mergeCell ref="G1882:H1882"/>
    <mergeCell ref="C1883:D1883"/>
    <mergeCell ref="G1883:H1883"/>
    <mergeCell ref="C1884:D1884"/>
    <mergeCell ref="G1884:H1884"/>
    <mergeCell ref="C1897:D1897"/>
    <mergeCell ref="G1897:H1897"/>
    <mergeCell ref="C1880:D1880"/>
    <mergeCell ref="G1880:H1880"/>
    <mergeCell ref="C1881:D1881"/>
    <mergeCell ref="G1881:H1881"/>
    <mergeCell ref="C1876:D1876"/>
    <mergeCell ref="G1876:H1876"/>
    <mergeCell ref="C1877:D1877"/>
    <mergeCell ref="G1877:H1877"/>
    <mergeCell ref="C1878:D1878"/>
    <mergeCell ref="G1878:H1878"/>
    <mergeCell ref="C1873:D1873"/>
    <mergeCell ref="G1873:H1873"/>
    <mergeCell ref="C1874:D1874"/>
    <mergeCell ref="G1874:H1874"/>
    <mergeCell ref="C1875:D1875"/>
    <mergeCell ref="G1875:H1875"/>
    <mergeCell ref="C1888:D1888"/>
    <mergeCell ref="G1888:H1888"/>
    <mergeCell ref="C1871:D1871"/>
    <mergeCell ref="G1871:H1871"/>
    <mergeCell ref="C1872:D1872"/>
    <mergeCell ref="G1872:H1872"/>
    <mergeCell ref="C1867:D1867"/>
    <mergeCell ref="G1867:H1867"/>
    <mergeCell ref="C1868:D1868"/>
    <mergeCell ref="G1868:H1868"/>
    <mergeCell ref="C1869:D1869"/>
    <mergeCell ref="G1869:H1869"/>
    <mergeCell ref="C1864:D1864"/>
    <mergeCell ref="G1864:H1864"/>
    <mergeCell ref="C1865:D1865"/>
    <mergeCell ref="G1865:H1865"/>
    <mergeCell ref="C1866:D1866"/>
    <mergeCell ref="G1866:H1866"/>
    <mergeCell ref="C1879:D1879"/>
    <mergeCell ref="G1879:H1879"/>
    <mergeCell ref="C1862:D1862"/>
    <mergeCell ref="G1862:H1862"/>
    <mergeCell ref="C1863:D1863"/>
    <mergeCell ref="G1863:H1863"/>
    <mergeCell ref="C1858:D1858"/>
    <mergeCell ref="G1858:H1858"/>
    <mergeCell ref="C1859:D1859"/>
    <mergeCell ref="G1859:H1859"/>
    <mergeCell ref="C1860:D1860"/>
    <mergeCell ref="G1860:H1860"/>
    <mergeCell ref="C1855:D1855"/>
    <mergeCell ref="G1855:H1855"/>
    <mergeCell ref="C1856:D1856"/>
    <mergeCell ref="G1856:H1856"/>
    <mergeCell ref="C1857:D1857"/>
    <mergeCell ref="G1857:H1857"/>
    <mergeCell ref="C1870:D1870"/>
    <mergeCell ref="G1870:H1870"/>
    <mergeCell ref="C1853:D1853"/>
    <mergeCell ref="G1853:H1853"/>
    <mergeCell ref="C1854:D1854"/>
    <mergeCell ref="G1854:H1854"/>
    <mergeCell ref="C1849:D1849"/>
    <mergeCell ref="G1849:H1849"/>
    <mergeCell ref="C1850:D1850"/>
    <mergeCell ref="G1850:H1850"/>
    <mergeCell ref="C1851:D1851"/>
    <mergeCell ref="G1851:H1851"/>
    <mergeCell ref="C1846:D1846"/>
    <mergeCell ref="G1846:H1846"/>
    <mergeCell ref="C1847:D1847"/>
    <mergeCell ref="G1847:H1847"/>
    <mergeCell ref="C1848:D1848"/>
    <mergeCell ref="G1848:H1848"/>
    <mergeCell ref="C1861:D1861"/>
    <mergeCell ref="G1861:H1861"/>
    <mergeCell ref="C1844:D1844"/>
    <mergeCell ref="G1844:H1844"/>
    <mergeCell ref="C1845:D1845"/>
    <mergeCell ref="G1845:H1845"/>
    <mergeCell ref="C1840:D1840"/>
    <mergeCell ref="G1840:H1840"/>
    <mergeCell ref="C1841:D1841"/>
    <mergeCell ref="G1841:H1841"/>
    <mergeCell ref="C1842:D1842"/>
    <mergeCell ref="G1842:H1842"/>
    <mergeCell ref="C1837:D1837"/>
    <mergeCell ref="G1837:H1837"/>
    <mergeCell ref="C1838:D1838"/>
    <mergeCell ref="G1838:H1838"/>
    <mergeCell ref="C1839:D1839"/>
    <mergeCell ref="G1839:H1839"/>
    <mergeCell ref="C1852:D1852"/>
    <mergeCell ref="G1852:H1852"/>
    <mergeCell ref="C1835:D1835"/>
    <mergeCell ref="G1835:H1835"/>
    <mergeCell ref="C1836:D1836"/>
    <mergeCell ref="G1836:H1836"/>
    <mergeCell ref="C1831:D1831"/>
    <mergeCell ref="G1831:H1831"/>
    <mergeCell ref="C1832:D1832"/>
    <mergeCell ref="G1832:H1832"/>
    <mergeCell ref="C1833:D1833"/>
    <mergeCell ref="G1833:H1833"/>
    <mergeCell ref="C1828:D1828"/>
    <mergeCell ref="G1828:H1828"/>
    <mergeCell ref="C1829:D1829"/>
    <mergeCell ref="G1829:H1829"/>
    <mergeCell ref="C1830:D1830"/>
    <mergeCell ref="G1830:H1830"/>
    <mergeCell ref="C1843:D1843"/>
    <mergeCell ref="G1843:H1843"/>
    <mergeCell ref="C1826:D1826"/>
    <mergeCell ref="G1826:H1826"/>
    <mergeCell ref="C1827:D1827"/>
    <mergeCell ref="G1827:H1827"/>
    <mergeCell ref="C1822:D1822"/>
    <mergeCell ref="G1822:H1822"/>
    <mergeCell ref="C1823:D1823"/>
    <mergeCell ref="G1823:H1823"/>
    <mergeCell ref="C1824:D1824"/>
    <mergeCell ref="G1824:H1824"/>
    <mergeCell ref="C1819:D1819"/>
    <mergeCell ref="G1819:H1819"/>
    <mergeCell ref="C1820:D1820"/>
    <mergeCell ref="G1820:H1820"/>
    <mergeCell ref="C1821:D1821"/>
    <mergeCell ref="G1821:H1821"/>
    <mergeCell ref="C1834:D1834"/>
    <mergeCell ref="G1834:H1834"/>
    <mergeCell ref="C1817:D1817"/>
    <mergeCell ref="G1817:H1817"/>
    <mergeCell ref="C1818:D1818"/>
    <mergeCell ref="G1818:H1818"/>
    <mergeCell ref="C1813:D1813"/>
    <mergeCell ref="G1813:H1813"/>
    <mergeCell ref="C1814:D1814"/>
    <mergeCell ref="G1814:H1814"/>
    <mergeCell ref="C1815:D1815"/>
    <mergeCell ref="G1815:H1815"/>
    <mergeCell ref="C1810:D1810"/>
    <mergeCell ref="G1810:H1810"/>
    <mergeCell ref="C1811:D1811"/>
    <mergeCell ref="G1811:H1811"/>
    <mergeCell ref="C1812:D1812"/>
    <mergeCell ref="G1812:H1812"/>
    <mergeCell ref="C1825:D1825"/>
    <mergeCell ref="G1825:H1825"/>
    <mergeCell ref="C1808:D1808"/>
    <mergeCell ref="G1808:H1808"/>
    <mergeCell ref="C1809:D1809"/>
    <mergeCell ref="G1809:H1809"/>
    <mergeCell ref="C1804:D1804"/>
    <mergeCell ref="G1804:H1804"/>
    <mergeCell ref="C1805:D1805"/>
    <mergeCell ref="G1805:H1805"/>
    <mergeCell ref="C1806:D1806"/>
    <mergeCell ref="G1806:H1806"/>
    <mergeCell ref="C1801:D1801"/>
    <mergeCell ref="G1801:H1801"/>
    <mergeCell ref="C1802:D1802"/>
    <mergeCell ref="G1802:H1802"/>
    <mergeCell ref="C1803:D1803"/>
    <mergeCell ref="G1803:H1803"/>
    <mergeCell ref="C1816:D1816"/>
    <mergeCell ref="G1816:H1816"/>
    <mergeCell ref="C1799:D1799"/>
    <mergeCell ref="G1799:H1799"/>
    <mergeCell ref="C1800:D1800"/>
    <mergeCell ref="G1800:H1800"/>
    <mergeCell ref="C1795:D1795"/>
    <mergeCell ref="G1795:H1795"/>
    <mergeCell ref="C1796:D1796"/>
    <mergeCell ref="G1796:H1796"/>
    <mergeCell ref="C1797:D1797"/>
    <mergeCell ref="G1797:H1797"/>
    <mergeCell ref="C1792:D1792"/>
    <mergeCell ref="G1792:H1792"/>
    <mergeCell ref="C1793:D1793"/>
    <mergeCell ref="G1793:H1793"/>
    <mergeCell ref="C1794:D1794"/>
    <mergeCell ref="G1794:H1794"/>
    <mergeCell ref="C1807:D1807"/>
    <mergeCell ref="G1807:H1807"/>
    <mergeCell ref="C1790:D1790"/>
    <mergeCell ref="G1790:H1790"/>
    <mergeCell ref="C1791:D1791"/>
    <mergeCell ref="G1791:H1791"/>
    <mergeCell ref="C1786:D1786"/>
    <mergeCell ref="G1786:H1786"/>
    <mergeCell ref="C1787:D1787"/>
    <mergeCell ref="G1787:H1787"/>
    <mergeCell ref="C1788:D1788"/>
    <mergeCell ref="G1788:H1788"/>
    <mergeCell ref="C1783:D1783"/>
    <mergeCell ref="G1783:H1783"/>
    <mergeCell ref="C1784:D1784"/>
    <mergeCell ref="G1784:H1784"/>
    <mergeCell ref="C1785:D1785"/>
    <mergeCell ref="G1785:H1785"/>
    <mergeCell ref="C1798:D1798"/>
    <mergeCell ref="G1798:H1798"/>
    <mergeCell ref="C1781:D1781"/>
    <mergeCell ref="G1781:H1781"/>
    <mergeCell ref="C1782:D1782"/>
    <mergeCell ref="G1782:H1782"/>
    <mergeCell ref="C1777:D1777"/>
    <mergeCell ref="G1777:H1777"/>
    <mergeCell ref="C1778:D1778"/>
    <mergeCell ref="G1778:H1778"/>
    <mergeCell ref="C1779:D1779"/>
    <mergeCell ref="G1779:H1779"/>
    <mergeCell ref="C1774:D1774"/>
    <mergeCell ref="G1774:H1774"/>
    <mergeCell ref="C1775:D1775"/>
    <mergeCell ref="G1775:H1775"/>
    <mergeCell ref="C1776:D1776"/>
    <mergeCell ref="G1776:H1776"/>
    <mergeCell ref="C1789:D1789"/>
    <mergeCell ref="G1789:H1789"/>
    <mergeCell ref="C1772:D1772"/>
    <mergeCell ref="G1772:H1772"/>
    <mergeCell ref="C1773:D1773"/>
    <mergeCell ref="G1773:H1773"/>
    <mergeCell ref="C1768:D1768"/>
    <mergeCell ref="G1768:H1768"/>
    <mergeCell ref="C1769:D1769"/>
    <mergeCell ref="G1769:H1769"/>
    <mergeCell ref="C1770:D1770"/>
    <mergeCell ref="G1770:H1770"/>
    <mergeCell ref="C1765:D1765"/>
    <mergeCell ref="G1765:H1765"/>
    <mergeCell ref="C1766:D1766"/>
    <mergeCell ref="G1766:H1766"/>
    <mergeCell ref="C1767:D1767"/>
    <mergeCell ref="G1767:H1767"/>
    <mergeCell ref="C1780:D1780"/>
    <mergeCell ref="G1780:H1780"/>
    <mergeCell ref="C1763:D1763"/>
    <mergeCell ref="G1763:H1763"/>
    <mergeCell ref="C1764:D1764"/>
    <mergeCell ref="G1764:H1764"/>
    <mergeCell ref="C1759:D1759"/>
    <mergeCell ref="G1759:H1759"/>
    <mergeCell ref="C1760:D1760"/>
    <mergeCell ref="G1760:H1760"/>
    <mergeCell ref="C1761:D1761"/>
    <mergeCell ref="G1761:H1761"/>
    <mergeCell ref="C1756:D1756"/>
    <mergeCell ref="G1756:H1756"/>
    <mergeCell ref="C1757:D1757"/>
    <mergeCell ref="G1757:H1757"/>
    <mergeCell ref="C1758:D1758"/>
    <mergeCell ref="G1758:H1758"/>
    <mergeCell ref="C1771:D1771"/>
    <mergeCell ref="G1771:H1771"/>
    <mergeCell ref="C1754:D1754"/>
    <mergeCell ref="G1754:H1754"/>
    <mergeCell ref="C1755:D1755"/>
    <mergeCell ref="G1755:H1755"/>
    <mergeCell ref="C1750:D1750"/>
    <mergeCell ref="G1750:H1750"/>
    <mergeCell ref="C1751:D1751"/>
    <mergeCell ref="G1751:H1751"/>
    <mergeCell ref="C1752:D1752"/>
    <mergeCell ref="G1752:H1752"/>
    <mergeCell ref="C1747:D1747"/>
    <mergeCell ref="G1747:H1747"/>
    <mergeCell ref="C1748:D1748"/>
    <mergeCell ref="G1748:H1748"/>
    <mergeCell ref="C1749:D1749"/>
    <mergeCell ref="G1749:H1749"/>
    <mergeCell ref="C1762:D1762"/>
    <mergeCell ref="G1762:H1762"/>
    <mergeCell ref="C1745:D1745"/>
    <mergeCell ref="G1745:H1745"/>
    <mergeCell ref="C1746:D1746"/>
    <mergeCell ref="G1746:H1746"/>
    <mergeCell ref="C1741:D1741"/>
    <mergeCell ref="G1741:H1741"/>
    <mergeCell ref="C1742:D1742"/>
    <mergeCell ref="G1742:H1742"/>
    <mergeCell ref="C1743:D1743"/>
    <mergeCell ref="G1743:H1743"/>
    <mergeCell ref="C1738:D1738"/>
    <mergeCell ref="G1738:H1738"/>
    <mergeCell ref="C1739:D1739"/>
    <mergeCell ref="G1739:H1739"/>
    <mergeCell ref="C1740:D1740"/>
    <mergeCell ref="G1740:H1740"/>
    <mergeCell ref="C1753:D1753"/>
    <mergeCell ref="G1753:H1753"/>
    <mergeCell ref="C1736:D1736"/>
    <mergeCell ref="G1736:H1736"/>
    <mergeCell ref="C1737:D1737"/>
    <mergeCell ref="G1737:H1737"/>
    <mergeCell ref="C1732:D1732"/>
    <mergeCell ref="G1732:H1732"/>
    <mergeCell ref="C1733:D1733"/>
    <mergeCell ref="G1733:H1733"/>
    <mergeCell ref="C1734:D1734"/>
    <mergeCell ref="G1734:H1734"/>
    <mergeCell ref="C1729:D1729"/>
    <mergeCell ref="G1729:H1729"/>
    <mergeCell ref="C1730:D1730"/>
    <mergeCell ref="G1730:H1730"/>
    <mergeCell ref="C1731:D1731"/>
    <mergeCell ref="G1731:H1731"/>
    <mergeCell ref="C1744:D1744"/>
    <mergeCell ref="G1744:H1744"/>
    <mergeCell ref="C1727:D1727"/>
    <mergeCell ref="G1727:H1727"/>
    <mergeCell ref="C1728:D1728"/>
    <mergeCell ref="G1728:H1728"/>
    <mergeCell ref="C1723:D1723"/>
    <mergeCell ref="G1723:H1723"/>
    <mergeCell ref="C1724:D1724"/>
    <mergeCell ref="G1724:H1724"/>
    <mergeCell ref="C1725:D1725"/>
    <mergeCell ref="G1725:H1725"/>
    <mergeCell ref="C1720:D1720"/>
    <mergeCell ref="G1720:H1720"/>
    <mergeCell ref="C1721:D1721"/>
    <mergeCell ref="G1721:H1721"/>
    <mergeCell ref="C1722:D1722"/>
    <mergeCell ref="G1722:H1722"/>
    <mergeCell ref="C1735:D1735"/>
    <mergeCell ref="G1735:H1735"/>
    <mergeCell ref="C1718:D1718"/>
    <mergeCell ref="G1718:H1718"/>
    <mergeCell ref="C1719:D1719"/>
    <mergeCell ref="G1719:H1719"/>
    <mergeCell ref="C1714:D1714"/>
    <mergeCell ref="G1714:H1714"/>
    <mergeCell ref="C1715:D1715"/>
    <mergeCell ref="G1715:H1715"/>
    <mergeCell ref="C1716:D1716"/>
    <mergeCell ref="G1716:H1716"/>
    <mergeCell ref="C1711:D1711"/>
    <mergeCell ref="G1711:H1711"/>
    <mergeCell ref="C1712:D1712"/>
    <mergeCell ref="G1712:H1712"/>
    <mergeCell ref="C1713:D1713"/>
    <mergeCell ref="G1713:H1713"/>
    <mergeCell ref="C1726:D1726"/>
    <mergeCell ref="G1726:H1726"/>
    <mergeCell ref="C1709:D1709"/>
    <mergeCell ref="G1709:H1709"/>
    <mergeCell ref="C1710:D1710"/>
    <mergeCell ref="G1710:H1710"/>
    <mergeCell ref="C1705:D1705"/>
    <mergeCell ref="G1705:H1705"/>
    <mergeCell ref="C1706:D1706"/>
    <mergeCell ref="G1706:H1706"/>
    <mergeCell ref="C1707:D1707"/>
    <mergeCell ref="G1707:H1707"/>
    <mergeCell ref="C1702:D1702"/>
    <mergeCell ref="G1702:H1702"/>
    <mergeCell ref="C1703:D1703"/>
    <mergeCell ref="G1703:H1703"/>
    <mergeCell ref="C1704:D1704"/>
    <mergeCell ref="G1704:H1704"/>
    <mergeCell ref="C1717:D1717"/>
    <mergeCell ref="G1717:H1717"/>
    <mergeCell ref="C1700:D1700"/>
    <mergeCell ref="G1700:H1700"/>
    <mergeCell ref="C1701:D1701"/>
    <mergeCell ref="G1701:H1701"/>
    <mergeCell ref="C1696:D1696"/>
    <mergeCell ref="G1696:H1696"/>
    <mergeCell ref="C1697:D1697"/>
    <mergeCell ref="G1697:H1697"/>
    <mergeCell ref="C1698:D1698"/>
    <mergeCell ref="G1698:H1698"/>
    <mergeCell ref="C1693:D1693"/>
    <mergeCell ref="G1693:H1693"/>
    <mergeCell ref="C1694:D1694"/>
    <mergeCell ref="G1694:H1694"/>
    <mergeCell ref="C1695:D1695"/>
    <mergeCell ref="G1695:H1695"/>
    <mergeCell ref="C1708:D1708"/>
    <mergeCell ref="G1708:H1708"/>
    <mergeCell ref="C1691:D1691"/>
    <mergeCell ref="G1691:H1691"/>
    <mergeCell ref="C1692:D1692"/>
    <mergeCell ref="G1692:H1692"/>
    <mergeCell ref="C1687:D1687"/>
    <mergeCell ref="G1687:H1687"/>
    <mergeCell ref="C1688:D1688"/>
    <mergeCell ref="G1688:H1688"/>
    <mergeCell ref="C1689:D1689"/>
    <mergeCell ref="G1689:H1689"/>
    <mergeCell ref="C1684:D1684"/>
    <mergeCell ref="G1684:H1684"/>
    <mergeCell ref="C1685:D1685"/>
    <mergeCell ref="G1685:H1685"/>
    <mergeCell ref="C1686:D1686"/>
    <mergeCell ref="G1686:H1686"/>
    <mergeCell ref="C1699:D1699"/>
    <mergeCell ref="G1699:H1699"/>
    <mergeCell ref="C1682:D1682"/>
    <mergeCell ref="G1682:H1682"/>
    <mergeCell ref="C1683:D1683"/>
    <mergeCell ref="G1683:H1683"/>
    <mergeCell ref="C1678:D1678"/>
    <mergeCell ref="G1678:H1678"/>
    <mergeCell ref="C1679:D1679"/>
    <mergeCell ref="G1679:H1679"/>
    <mergeCell ref="C1680:D1680"/>
    <mergeCell ref="G1680:H1680"/>
    <mergeCell ref="C1675:D1675"/>
    <mergeCell ref="G1675:H1675"/>
    <mergeCell ref="C1676:D1676"/>
    <mergeCell ref="G1676:H1676"/>
    <mergeCell ref="C1677:D1677"/>
    <mergeCell ref="G1677:H1677"/>
    <mergeCell ref="C1690:D1690"/>
    <mergeCell ref="G1690:H1690"/>
    <mergeCell ref="C1673:D1673"/>
    <mergeCell ref="G1673:H1673"/>
    <mergeCell ref="C1674:D1674"/>
    <mergeCell ref="G1674:H1674"/>
    <mergeCell ref="C1669:D1669"/>
    <mergeCell ref="G1669:H1669"/>
    <mergeCell ref="C1670:D1670"/>
    <mergeCell ref="G1670:H1670"/>
    <mergeCell ref="C1671:D1671"/>
    <mergeCell ref="G1671:H1671"/>
    <mergeCell ref="C1666:D1666"/>
    <mergeCell ref="G1666:H1666"/>
    <mergeCell ref="C1667:D1667"/>
    <mergeCell ref="G1667:H1667"/>
    <mergeCell ref="C1668:D1668"/>
    <mergeCell ref="G1668:H1668"/>
    <mergeCell ref="C1681:D1681"/>
    <mergeCell ref="G1681:H1681"/>
    <mergeCell ref="C1664:D1664"/>
    <mergeCell ref="G1664:H1664"/>
    <mergeCell ref="C1665:D1665"/>
    <mergeCell ref="G1665:H1665"/>
    <mergeCell ref="C1660:D1660"/>
    <mergeCell ref="G1660:H1660"/>
    <mergeCell ref="C1661:D1661"/>
    <mergeCell ref="G1661:H1661"/>
    <mergeCell ref="C1662:D1662"/>
    <mergeCell ref="G1662:H1662"/>
    <mergeCell ref="C1657:D1657"/>
    <mergeCell ref="G1657:H1657"/>
    <mergeCell ref="C1658:D1658"/>
    <mergeCell ref="G1658:H1658"/>
    <mergeCell ref="C1659:D1659"/>
    <mergeCell ref="G1659:H1659"/>
    <mergeCell ref="C1672:D1672"/>
    <mergeCell ref="G1672:H1672"/>
    <mergeCell ref="C1655:D1655"/>
    <mergeCell ref="G1655:H1655"/>
    <mergeCell ref="C1656:D1656"/>
    <mergeCell ref="G1656:H1656"/>
    <mergeCell ref="C1651:D1651"/>
    <mergeCell ref="G1651:H1651"/>
    <mergeCell ref="C1652:D1652"/>
    <mergeCell ref="G1652:H1652"/>
    <mergeCell ref="C1653:D1653"/>
    <mergeCell ref="G1653:H1653"/>
    <mergeCell ref="C1648:D1648"/>
    <mergeCell ref="G1648:H1648"/>
    <mergeCell ref="C1649:D1649"/>
    <mergeCell ref="G1649:H1649"/>
    <mergeCell ref="C1650:D1650"/>
    <mergeCell ref="G1650:H1650"/>
    <mergeCell ref="C1663:D1663"/>
    <mergeCell ref="G1663:H1663"/>
    <mergeCell ref="C1646:D1646"/>
    <mergeCell ref="G1646:H1646"/>
    <mergeCell ref="C1647:D1647"/>
    <mergeCell ref="G1647:H1647"/>
    <mergeCell ref="C1642:D1642"/>
    <mergeCell ref="G1642:H1642"/>
    <mergeCell ref="C1643:D1643"/>
    <mergeCell ref="G1643:H1643"/>
    <mergeCell ref="C1644:D1644"/>
    <mergeCell ref="G1644:H1644"/>
    <mergeCell ref="C1639:D1639"/>
    <mergeCell ref="G1639:H1639"/>
    <mergeCell ref="C1640:D1640"/>
    <mergeCell ref="G1640:H1640"/>
    <mergeCell ref="C1641:D1641"/>
    <mergeCell ref="G1641:H1641"/>
    <mergeCell ref="C1654:D1654"/>
    <mergeCell ref="G1654:H1654"/>
    <mergeCell ref="C1637:D1637"/>
    <mergeCell ref="G1637:H1637"/>
    <mergeCell ref="C1638:D1638"/>
    <mergeCell ref="G1638:H1638"/>
    <mergeCell ref="C1633:D1633"/>
    <mergeCell ref="G1633:H1633"/>
    <mergeCell ref="C1634:D1634"/>
    <mergeCell ref="G1634:H1634"/>
    <mergeCell ref="C1635:D1635"/>
    <mergeCell ref="G1635:H1635"/>
    <mergeCell ref="C1630:D1630"/>
    <mergeCell ref="G1630:H1630"/>
    <mergeCell ref="C1631:D1631"/>
    <mergeCell ref="G1631:H1631"/>
    <mergeCell ref="C1632:D1632"/>
    <mergeCell ref="G1632:H1632"/>
    <mergeCell ref="C1645:D1645"/>
    <mergeCell ref="G1645:H1645"/>
    <mergeCell ref="C1628:D1628"/>
    <mergeCell ref="G1628:H1628"/>
    <mergeCell ref="C1629:D1629"/>
    <mergeCell ref="G1629:H1629"/>
    <mergeCell ref="C1624:D1624"/>
    <mergeCell ref="G1624:H1624"/>
    <mergeCell ref="C1625:D1625"/>
    <mergeCell ref="G1625:H1625"/>
    <mergeCell ref="C1626:D1626"/>
    <mergeCell ref="G1626:H1626"/>
    <mergeCell ref="C1621:D1621"/>
    <mergeCell ref="G1621:H1621"/>
    <mergeCell ref="C1622:D1622"/>
    <mergeCell ref="G1622:H1622"/>
    <mergeCell ref="C1623:D1623"/>
    <mergeCell ref="G1623:H1623"/>
    <mergeCell ref="C1636:D1636"/>
    <mergeCell ref="G1636:H1636"/>
    <mergeCell ref="C1619:D1619"/>
    <mergeCell ref="G1619:H1619"/>
    <mergeCell ref="C1620:D1620"/>
    <mergeCell ref="G1620:H1620"/>
    <mergeCell ref="C1615:D1615"/>
    <mergeCell ref="G1615:H1615"/>
    <mergeCell ref="C1616:D1616"/>
    <mergeCell ref="G1616:H1616"/>
    <mergeCell ref="C1617:D1617"/>
    <mergeCell ref="G1617:H1617"/>
    <mergeCell ref="C1612:D1612"/>
    <mergeCell ref="G1612:H1612"/>
    <mergeCell ref="C1613:D1613"/>
    <mergeCell ref="G1613:H1613"/>
    <mergeCell ref="C1614:D1614"/>
    <mergeCell ref="G1614:H1614"/>
    <mergeCell ref="C1627:D1627"/>
    <mergeCell ref="G1627:H1627"/>
    <mergeCell ref="C1610:D1610"/>
    <mergeCell ref="G1610:H1610"/>
    <mergeCell ref="C1611:D1611"/>
    <mergeCell ref="G1611:H1611"/>
    <mergeCell ref="C1606:D1606"/>
    <mergeCell ref="G1606:H1606"/>
    <mergeCell ref="C1607:D1607"/>
    <mergeCell ref="G1607:H1607"/>
    <mergeCell ref="C1608:D1608"/>
    <mergeCell ref="G1608:H1608"/>
    <mergeCell ref="C1603:D1603"/>
    <mergeCell ref="G1603:H1603"/>
    <mergeCell ref="C1604:D1604"/>
    <mergeCell ref="G1604:H1604"/>
    <mergeCell ref="C1605:D1605"/>
    <mergeCell ref="G1605:H1605"/>
    <mergeCell ref="C1618:D1618"/>
    <mergeCell ref="G1618:H1618"/>
    <mergeCell ref="C1601:D1601"/>
    <mergeCell ref="G1601:H1601"/>
    <mergeCell ref="C1602:D1602"/>
    <mergeCell ref="G1602:H1602"/>
    <mergeCell ref="C1597:D1597"/>
    <mergeCell ref="G1597:H1597"/>
    <mergeCell ref="C1598:D1598"/>
    <mergeCell ref="G1598:H1598"/>
    <mergeCell ref="C1599:D1599"/>
    <mergeCell ref="G1599:H1599"/>
    <mergeCell ref="C1594:D1594"/>
    <mergeCell ref="G1594:H1594"/>
    <mergeCell ref="C1595:D1595"/>
    <mergeCell ref="G1595:H1595"/>
    <mergeCell ref="C1596:D1596"/>
    <mergeCell ref="G1596:H1596"/>
    <mergeCell ref="C1609:D1609"/>
    <mergeCell ref="G1609:H1609"/>
    <mergeCell ref="C1592:D1592"/>
    <mergeCell ref="G1592:H1592"/>
    <mergeCell ref="C1593:D1593"/>
    <mergeCell ref="G1593:H1593"/>
    <mergeCell ref="C1588:D1588"/>
    <mergeCell ref="G1588:H1588"/>
    <mergeCell ref="C1589:D1589"/>
    <mergeCell ref="G1589:H1589"/>
    <mergeCell ref="C1590:D1590"/>
    <mergeCell ref="G1590:H1590"/>
    <mergeCell ref="C1585:D1585"/>
    <mergeCell ref="G1585:H1585"/>
    <mergeCell ref="C1586:D1586"/>
    <mergeCell ref="G1586:H1586"/>
    <mergeCell ref="C1587:D1587"/>
    <mergeCell ref="G1587:H1587"/>
    <mergeCell ref="C1600:D1600"/>
    <mergeCell ref="G1600:H1600"/>
    <mergeCell ref="C1583:D1583"/>
    <mergeCell ref="G1583:H1583"/>
    <mergeCell ref="C1584:D1584"/>
    <mergeCell ref="G1584:H1584"/>
    <mergeCell ref="C1579:D1579"/>
    <mergeCell ref="G1579:H1579"/>
    <mergeCell ref="C1580:D1580"/>
    <mergeCell ref="G1580:H1580"/>
    <mergeCell ref="C1581:D1581"/>
    <mergeCell ref="G1581:H1581"/>
    <mergeCell ref="C1576:D1576"/>
    <mergeCell ref="G1576:H1576"/>
    <mergeCell ref="C1577:D1577"/>
    <mergeCell ref="G1577:H1577"/>
    <mergeCell ref="C1578:D1578"/>
    <mergeCell ref="G1578:H1578"/>
    <mergeCell ref="C1591:D1591"/>
    <mergeCell ref="G1591:H1591"/>
    <mergeCell ref="C1574:D1574"/>
    <mergeCell ref="G1574:H1574"/>
    <mergeCell ref="C1575:D1575"/>
    <mergeCell ref="G1575:H1575"/>
    <mergeCell ref="C1570:D1570"/>
    <mergeCell ref="G1570:H1570"/>
    <mergeCell ref="C1571:D1571"/>
    <mergeCell ref="G1571:H1571"/>
    <mergeCell ref="C1572:D1572"/>
    <mergeCell ref="G1572:H1572"/>
    <mergeCell ref="C1567:D1567"/>
    <mergeCell ref="G1567:H1567"/>
    <mergeCell ref="C1568:D1568"/>
    <mergeCell ref="G1568:H1568"/>
    <mergeCell ref="C1569:D1569"/>
    <mergeCell ref="G1569:H1569"/>
    <mergeCell ref="C1582:D1582"/>
    <mergeCell ref="G1582:H1582"/>
    <mergeCell ref="C1565:D1565"/>
    <mergeCell ref="G1565:H1565"/>
    <mergeCell ref="C1566:D1566"/>
    <mergeCell ref="G1566:H1566"/>
    <mergeCell ref="C1561:D1561"/>
    <mergeCell ref="G1561:H1561"/>
    <mergeCell ref="C1562:D1562"/>
    <mergeCell ref="G1562:H1562"/>
    <mergeCell ref="C1563:D1563"/>
    <mergeCell ref="G1563:H1563"/>
    <mergeCell ref="C1558:D1558"/>
    <mergeCell ref="G1558:H1558"/>
    <mergeCell ref="C1559:D1559"/>
    <mergeCell ref="G1559:H1559"/>
    <mergeCell ref="C1560:D1560"/>
    <mergeCell ref="G1560:H1560"/>
    <mergeCell ref="C1573:D1573"/>
    <mergeCell ref="G1573:H1573"/>
    <mergeCell ref="C1556:D1556"/>
    <mergeCell ref="G1556:H1556"/>
    <mergeCell ref="C1557:D1557"/>
    <mergeCell ref="G1557:H1557"/>
    <mergeCell ref="C1552:D1552"/>
    <mergeCell ref="G1552:H1552"/>
    <mergeCell ref="C1553:D1553"/>
    <mergeCell ref="G1553:H1553"/>
    <mergeCell ref="C1554:D1554"/>
    <mergeCell ref="G1554:H1554"/>
    <mergeCell ref="C1549:D1549"/>
    <mergeCell ref="G1549:H1549"/>
    <mergeCell ref="C1550:D1550"/>
    <mergeCell ref="G1550:H1550"/>
    <mergeCell ref="C1551:D1551"/>
    <mergeCell ref="G1551:H1551"/>
    <mergeCell ref="C1564:D1564"/>
    <mergeCell ref="G1564:H1564"/>
    <mergeCell ref="C1547:D1547"/>
    <mergeCell ref="G1547:H1547"/>
    <mergeCell ref="C1548:D1548"/>
    <mergeCell ref="G1548:H1548"/>
    <mergeCell ref="C1543:D1543"/>
    <mergeCell ref="G1543:H1543"/>
    <mergeCell ref="C1544:D1544"/>
    <mergeCell ref="G1544:H1544"/>
    <mergeCell ref="C1545:D1545"/>
    <mergeCell ref="G1545:H1545"/>
    <mergeCell ref="C1540:D1540"/>
    <mergeCell ref="G1540:H1540"/>
    <mergeCell ref="C1541:D1541"/>
    <mergeCell ref="G1541:H1541"/>
    <mergeCell ref="C1542:D1542"/>
    <mergeCell ref="G1542:H1542"/>
    <mergeCell ref="C1555:D1555"/>
    <mergeCell ref="G1555:H1555"/>
    <mergeCell ref="C1538:D1538"/>
    <mergeCell ref="G1538:H1538"/>
    <mergeCell ref="C1539:D1539"/>
    <mergeCell ref="G1539:H1539"/>
    <mergeCell ref="C1534:D1534"/>
    <mergeCell ref="G1534:H1534"/>
    <mergeCell ref="C1535:D1535"/>
    <mergeCell ref="G1535:H1535"/>
    <mergeCell ref="C1536:D1536"/>
    <mergeCell ref="G1536:H1536"/>
    <mergeCell ref="C1531:D1531"/>
    <mergeCell ref="G1531:H1531"/>
    <mergeCell ref="C1532:D1532"/>
    <mergeCell ref="G1532:H1532"/>
    <mergeCell ref="C1533:D1533"/>
    <mergeCell ref="G1533:H1533"/>
    <mergeCell ref="C1546:D1546"/>
    <mergeCell ref="G1546:H1546"/>
    <mergeCell ref="C1529:D1529"/>
    <mergeCell ref="G1529:H1529"/>
    <mergeCell ref="C1530:D1530"/>
    <mergeCell ref="G1530:H1530"/>
    <mergeCell ref="C1525:D1525"/>
    <mergeCell ref="G1525:H1525"/>
    <mergeCell ref="C1526:D1526"/>
    <mergeCell ref="G1526:H1526"/>
    <mergeCell ref="C1527:D1527"/>
    <mergeCell ref="G1527:H1527"/>
    <mergeCell ref="C1522:D1522"/>
    <mergeCell ref="G1522:H1522"/>
    <mergeCell ref="C1523:D1523"/>
    <mergeCell ref="G1523:H1523"/>
    <mergeCell ref="C1524:D1524"/>
    <mergeCell ref="G1524:H1524"/>
    <mergeCell ref="C1537:D1537"/>
    <mergeCell ref="G1537:H1537"/>
    <mergeCell ref="C1520:D1520"/>
    <mergeCell ref="G1520:H1520"/>
    <mergeCell ref="C1521:D1521"/>
    <mergeCell ref="G1521:H1521"/>
    <mergeCell ref="C1516:D1516"/>
    <mergeCell ref="G1516:H1516"/>
    <mergeCell ref="C1517:D1517"/>
    <mergeCell ref="G1517:H1517"/>
    <mergeCell ref="C1518:D1518"/>
    <mergeCell ref="G1518:H1518"/>
    <mergeCell ref="C1513:D1513"/>
    <mergeCell ref="G1513:H1513"/>
    <mergeCell ref="C1514:D1514"/>
    <mergeCell ref="G1514:H1514"/>
    <mergeCell ref="C1515:D1515"/>
    <mergeCell ref="G1515:H1515"/>
    <mergeCell ref="C1528:D1528"/>
    <mergeCell ref="G1528:H1528"/>
    <mergeCell ref="C1511:D1511"/>
    <mergeCell ref="G1511:H1511"/>
    <mergeCell ref="C1512:D1512"/>
    <mergeCell ref="G1512:H1512"/>
    <mergeCell ref="C1507:D1507"/>
    <mergeCell ref="G1507:H1507"/>
    <mergeCell ref="C1508:D1508"/>
    <mergeCell ref="G1508:H1508"/>
    <mergeCell ref="C1509:D1509"/>
    <mergeCell ref="G1509:H1509"/>
    <mergeCell ref="C1504:D1504"/>
    <mergeCell ref="G1504:H1504"/>
    <mergeCell ref="C1505:D1505"/>
    <mergeCell ref="G1505:H1505"/>
    <mergeCell ref="C1506:D1506"/>
    <mergeCell ref="G1506:H1506"/>
    <mergeCell ref="C1519:D1519"/>
    <mergeCell ref="G1519:H1519"/>
    <mergeCell ref="C1502:D1502"/>
    <mergeCell ref="G1502:H1502"/>
    <mergeCell ref="C1503:D1503"/>
    <mergeCell ref="G1503:H1503"/>
    <mergeCell ref="C1498:D1498"/>
    <mergeCell ref="G1498:H1498"/>
    <mergeCell ref="C1499:D1499"/>
    <mergeCell ref="G1499:H1499"/>
    <mergeCell ref="C1500:D1500"/>
    <mergeCell ref="G1500:H1500"/>
    <mergeCell ref="C1495:D1495"/>
    <mergeCell ref="G1495:H1495"/>
    <mergeCell ref="C1496:D1496"/>
    <mergeCell ref="G1496:H1496"/>
    <mergeCell ref="C1497:D1497"/>
    <mergeCell ref="G1497:H1497"/>
    <mergeCell ref="C1510:D1510"/>
    <mergeCell ref="G1510:H1510"/>
    <mergeCell ref="C1493:D1493"/>
    <mergeCell ref="G1493:H1493"/>
    <mergeCell ref="C1494:D1494"/>
    <mergeCell ref="G1494:H1494"/>
    <mergeCell ref="C1489:D1489"/>
    <mergeCell ref="G1489:H1489"/>
    <mergeCell ref="C1490:D1490"/>
    <mergeCell ref="G1490:H1490"/>
    <mergeCell ref="C1491:D1491"/>
    <mergeCell ref="G1491:H1491"/>
    <mergeCell ref="C1486:D1486"/>
    <mergeCell ref="G1486:H1486"/>
    <mergeCell ref="C1487:D1487"/>
    <mergeCell ref="G1487:H1487"/>
    <mergeCell ref="C1488:D1488"/>
    <mergeCell ref="G1488:H1488"/>
    <mergeCell ref="C1501:D1501"/>
    <mergeCell ref="G1501:H1501"/>
    <mergeCell ref="C1484:D1484"/>
    <mergeCell ref="G1484:H1484"/>
    <mergeCell ref="C1485:D1485"/>
    <mergeCell ref="G1485:H1485"/>
    <mergeCell ref="C1480:D1480"/>
    <mergeCell ref="G1480:H1480"/>
    <mergeCell ref="C1481:D1481"/>
    <mergeCell ref="G1481:H1481"/>
    <mergeCell ref="C1482:D1482"/>
    <mergeCell ref="G1482:H1482"/>
    <mergeCell ref="C1477:D1477"/>
    <mergeCell ref="G1477:H1477"/>
    <mergeCell ref="C1478:D1478"/>
    <mergeCell ref="G1478:H1478"/>
    <mergeCell ref="C1479:D1479"/>
    <mergeCell ref="G1479:H1479"/>
    <mergeCell ref="C1492:D1492"/>
    <mergeCell ref="G1492:H1492"/>
    <mergeCell ref="C1475:D1475"/>
    <mergeCell ref="G1475:H1475"/>
    <mergeCell ref="C1476:D1476"/>
    <mergeCell ref="G1476:H1476"/>
    <mergeCell ref="C1471:D1471"/>
    <mergeCell ref="G1471:H1471"/>
    <mergeCell ref="C1472:D1472"/>
    <mergeCell ref="G1472:H1472"/>
    <mergeCell ref="C1473:D1473"/>
    <mergeCell ref="G1473:H1473"/>
    <mergeCell ref="C1468:D1468"/>
    <mergeCell ref="G1468:H1468"/>
    <mergeCell ref="C1469:D1469"/>
    <mergeCell ref="G1469:H1469"/>
    <mergeCell ref="C1470:D1470"/>
    <mergeCell ref="G1470:H1470"/>
    <mergeCell ref="C1483:D1483"/>
    <mergeCell ref="G1483:H1483"/>
    <mergeCell ref="C1466:D1466"/>
    <mergeCell ref="G1466:H1466"/>
    <mergeCell ref="C1467:D1467"/>
    <mergeCell ref="G1467:H1467"/>
    <mergeCell ref="C1462:D1462"/>
    <mergeCell ref="G1462:H1462"/>
    <mergeCell ref="C1463:D1463"/>
    <mergeCell ref="G1463:H1463"/>
    <mergeCell ref="C1464:D1464"/>
    <mergeCell ref="G1464:H1464"/>
    <mergeCell ref="C1459:D1459"/>
    <mergeCell ref="G1459:H1459"/>
    <mergeCell ref="C1460:D1460"/>
    <mergeCell ref="G1460:H1460"/>
    <mergeCell ref="C1461:D1461"/>
    <mergeCell ref="G1461:H1461"/>
    <mergeCell ref="C1474:D1474"/>
    <mergeCell ref="G1474:H1474"/>
    <mergeCell ref="C1457:D1457"/>
    <mergeCell ref="G1457:H1457"/>
    <mergeCell ref="C1458:D1458"/>
    <mergeCell ref="G1458:H1458"/>
    <mergeCell ref="C1453:D1453"/>
    <mergeCell ref="G1453:H1453"/>
    <mergeCell ref="C1454:D1454"/>
    <mergeCell ref="G1454:H1454"/>
    <mergeCell ref="C1455:D1455"/>
    <mergeCell ref="G1455:H1455"/>
    <mergeCell ref="C1450:D1450"/>
    <mergeCell ref="G1450:H1450"/>
    <mergeCell ref="C1451:D1451"/>
    <mergeCell ref="G1451:H1451"/>
    <mergeCell ref="C1452:D1452"/>
    <mergeCell ref="G1452:H1452"/>
    <mergeCell ref="C1465:D1465"/>
    <mergeCell ref="G1465:H1465"/>
    <mergeCell ref="C1448:D1448"/>
    <mergeCell ref="G1448:H1448"/>
    <mergeCell ref="C1449:D1449"/>
    <mergeCell ref="G1449:H1449"/>
    <mergeCell ref="C1444:D1444"/>
    <mergeCell ref="G1444:H1444"/>
    <mergeCell ref="C1445:D1445"/>
    <mergeCell ref="G1445:H1445"/>
    <mergeCell ref="C1446:D1446"/>
    <mergeCell ref="G1446:H1446"/>
    <mergeCell ref="C1441:D1441"/>
    <mergeCell ref="G1441:H1441"/>
    <mergeCell ref="C1442:D1442"/>
    <mergeCell ref="G1442:H1442"/>
    <mergeCell ref="C1443:D1443"/>
    <mergeCell ref="G1443:H1443"/>
    <mergeCell ref="C1456:D1456"/>
    <mergeCell ref="G1456:H1456"/>
    <mergeCell ref="C1439:D1439"/>
    <mergeCell ref="G1439:H1439"/>
    <mergeCell ref="C1440:D1440"/>
    <mergeCell ref="G1440:H1440"/>
    <mergeCell ref="C1435:D1435"/>
    <mergeCell ref="G1435:H1435"/>
    <mergeCell ref="C1436:D1436"/>
    <mergeCell ref="G1436:H1436"/>
    <mergeCell ref="C1437:D1437"/>
    <mergeCell ref="G1437:H1437"/>
    <mergeCell ref="C1432:D1432"/>
    <mergeCell ref="G1432:H1432"/>
    <mergeCell ref="C1433:D1433"/>
    <mergeCell ref="G1433:H1433"/>
    <mergeCell ref="C1434:D1434"/>
    <mergeCell ref="G1434:H1434"/>
    <mergeCell ref="C1447:D1447"/>
    <mergeCell ref="G1447:H1447"/>
    <mergeCell ref="C1430:D1430"/>
    <mergeCell ref="G1430:H1430"/>
    <mergeCell ref="C1431:D1431"/>
    <mergeCell ref="G1431:H1431"/>
    <mergeCell ref="C1426:D1426"/>
    <mergeCell ref="G1426:H1426"/>
    <mergeCell ref="C1427:D1427"/>
    <mergeCell ref="G1427:H1427"/>
    <mergeCell ref="C1428:D1428"/>
    <mergeCell ref="G1428:H1428"/>
    <mergeCell ref="C1423:D1423"/>
    <mergeCell ref="G1423:H1423"/>
    <mergeCell ref="C1424:D1424"/>
    <mergeCell ref="G1424:H1424"/>
    <mergeCell ref="C1425:D1425"/>
    <mergeCell ref="G1425:H1425"/>
    <mergeCell ref="C1438:D1438"/>
    <mergeCell ref="G1438:H1438"/>
    <mergeCell ref="C1421:D1421"/>
    <mergeCell ref="G1421:H1421"/>
    <mergeCell ref="C1422:D1422"/>
    <mergeCell ref="G1422:H1422"/>
    <mergeCell ref="C1417:D1417"/>
    <mergeCell ref="G1417:H1417"/>
    <mergeCell ref="C1418:D1418"/>
    <mergeCell ref="G1418:H1418"/>
    <mergeCell ref="C1419:D1419"/>
    <mergeCell ref="G1419:H1419"/>
    <mergeCell ref="C1414:D1414"/>
    <mergeCell ref="G1414:H1414"/>
    <mergeCell ref="C1415:D1415"/>
    <mergeCell ref="G1415:H1415"/>
    <mergeCell ref="C1416:D1416"/>
    <mergeCell ref="G1416:H1416"/>
    <mergeCell ref="C1429:D1429"/>
    <mergeCell ref="G1429:H1429"/>
    <mergeCell ref="C1412:D1412"/>
    <mergeCell ref="G1412:H1412"/>
    <mergeCell ref="C1413:D1413"/>
    <mergeCell ref="G1413:H1413"/>
    <mergeCell ref="C1408:D1408"/>
    <mergeCell ref="G1408:H1408"/>
    <mergeCell ref="C1409:D1409"/>
    <mergeCell ref="G1409:H1409"/>
    <mergeCell ref="C1410:D1410"/>
    <mergeCell ref="G1410:H1410"/>
    <mergeCell ref="C1405:D1405"/>
    <mergeCell ref="G1405:H1405"/>
    <mergeCell ref="C1406:D1406"/>
    <mergeCell ref="G1406:H1406"/>
    <mergeCell ref="C1407:D1407"/>
    <mergeCell ref="G1407:H1407"/>
    <mergeCell ref="C1420:D1420"/>
    <mergeCell ref="G1420:H1420"/>
    <mergeCell ref="C1403:D1403"/>
    <mergeCell ref="G1403:H1403"/>
    <mergeCell ref="C1404:D1404"/>
    <mergeCell ref="G1404:H1404"/>
    <mergeCell ref="C1399:D1399"/>
    <mergeCell ref="G1399:H1399"/>
    <mergeCell ref="C1400:D1400"/>
    <mergeCell ref="G1400:H1400"/>
    <mergeCell ref="C1401:D1401"/>
    <mergeCell ref="G1401:H1401"/>
    <mergeCell ref="C1396:D1396"/>
    <mergeCell ref="G1396:H1396"/>
    <mergeCell ref="C1397:D1397"/>
    <mergeCell ref="G1397:H1397"/>
    <mergeCell ref="C1398:D1398"/>
    <mergeCell ref="G1398:H1398"/>
    <mergeCell ref="C1411:D1411"/>
    <mergeCell ref="G1411:H1411"/>
    <mergeCell ref="C1394:D1394"/>
    <mergeCell ref="G1394:H1394"/>
    <mergeCell ref="C1395:D1395"/>
    <mergeCell ref="G1395:H1395"/>
    <mergeCell ref="C1390:D1390"/>
    <mergeCell ref="G1390:H1390"/>
    <mergeCell ref="C1391:D1391"/>
    <mergeCell ref="G1391:H1391"/>
    <mergeCell ref="C1392:D1392"/>
    <mergeCell ref="G1392:H1392"/>
    <mergeCell ref="C1387:D1387"/>
    <mergeCell ref="G1387:H1387"/>
    <mergeCell ref="C1388:D1388"/>
    <mergeCell ref="G1388:H1388"/>
    <mergeCell ref="C1389:D1389"/>
    <mergeCell ref="G1389:H1389"/>
    <mergeCell ref="C1402:D1402"/>
    <mergeCell ref="G1402:H1402"/>
    <mergeCell ref="C1385:D1385"/>
    <mergeCell ref="G1385:H1385"/>
    <mergeCell ref="C1386:D1386"/>
    <mergeCell ref="G1386:H1386"/>
    <mergeCell ref="C1381:D1381"/>
    <mergeCell ref="G1381:H1381"/>
    <mergeCell ref="C1382:D1382"/>
    <mergeCell ref="G1382:H1382"/>
    <mergeCell ref="C1383:D1383"/>
    <mergeCell ref="G1383:H1383"/>
    <mergeCell ref="C1378:D1378"/>
    <mergeCell ref="G1378:H1378"/>
    <mergeCell ref="C1379:D1379"/>
    <mergeCell ref="G1379:H1379"/>
    <mergeCell ref="C1380:D1380"/>
    <mergeCell ref="G1380:H1380"/>
    <mergeCell ref="C1393:D1393"/>
    <mergeCell ref="G1393:H1393"/>
    <mergeCell ref="C1376:D1376"/>
    <mergeCell ref="G1376:H1376"/>
    <mergeCell ref="C1377:D1377"/>
    <mergeCell ref="G1377:H1377"/>
    <mergeCell ref="C1372:D1372"/>
    <mergeCell ref="G1372:H1372"/>
    <mergeCell ref="C1373:D1373"/>
    <mergeCell ref="G1373:H1373"/>
    <mergeCell ref="C1374:D1374"/>
    <mergeCell ref="G1374:H1374"/>
    <mergeCell ref="C1369:D1369"/>
    <mergeCell ref="G1369:H1369"/>
    <mergeCell ref="C1370:D1370"/>
    <mergeCell ref="G1370:H1370"/>
    <mergeCell ref="C1371:D1371"/>
    <mergeCell ref="G1371:H1371"/>
    <mergeCell ref="C1384:D1384"/>
    <mergeCell ref="G1384:H1384"/>
    <mergeCell ref="C1367:D1367"/>
    <mergeCell ref="G1367:H1367"/>
    <mergeCell ref="C1368:D1368"/>
    <mergeCell ref="G1368:H1368"/>
    <mergeCell ref="C1363:D1363"/>
    <mergeCell ref="G1363:H1363"/>
    <mergeCell ref="C1364:D1364"/>
    <mergeCell ref="G1364:H1364"/>
    <mergeCell ref="C1365:D1365"/>
    <mergeCell ref="G1365:H1365"/>
    <mergeCell ref="C1360:D1360"/>
    <mergeCell ref="G1360:H1360"/>
    <mergeCell ref="C1361:D1361"/>
    <mergeCell ref="G1361:H1361"/>
    <mergeCell ref="C1362:D1362"/>
    <mergeCell ref="G1362:H1362"/>
    <mergeCell ref="C1375:D1375"/>
    <mergeCell ref="G1375:H1375"/>
    <mergeCell ref="C1358:D1358"/>
    <mergeCell ref="G1358:H1358"/>
    <mergeCell ref="C1359:D1359"/>
    <mergeCell ref="G1359:H1359"/>
    <mergeCell ref="C1354:D1354"/>
    <mergeCell ref="G1354:H1354"/>
    <mergeCell ref="C1355:D1355"/>
    <mergeCell ref="G1355:H1355"/>
    <mergeCell ref="C1356:D1356"/>
    <mergeCell ref="G1356:H1356"/>
    <mergeCell ref="C1351:D1351"/>
    <mergeCell ref="G1351:H1351"/>
    <mergeCell ref="C1352:D1352"/>
    <mergeCell ref="G1352:H1352"/>
    <mergeCell ref="C1353:D1353"/>
    <mergeCell ref="G1353:H1353"/>
    <mergeCell ref="C1366:D1366"/>
    <mergeCell ref="G1366:H1366"/>
    <mergeCell ref="C1349:D1349"/>
    <mergeCell ref="G1349:H1349"/>
    <mergeCell ref="C1350:D1350"/>
    <mergeCell ref="G1350:H1350"/>
    <mergeCell ref="C1345:D1345"/>
    <mergeCell ref="G1345:H1345"/>
    <mergeCell ref="C1346:D1346"/>
    <mergeCell ref="G1346:H1346"/>
    <mergeCell ref="C1347:D1347"/>
    <mergeCell ref="G1347:H1347"/>
    <mergeCell ref="C1342:D1342"/>
    <mergeCell ref="G1342:H1342"/>
    <mergeCell ref="C1343:D1343"/>
    <mergeCell ref="G1343:H1343"/>
    <mergeCell ref="C1344:D1344"/>
    <mergeCell ref="G1344:H1344"/>
    <mergeCell ref="C1357:D1357"/>
    <mergeCell ref="G1357:H1357"/>
    <mergeCell ref="C1340:D1340"/>
    <mergeCell ref="G1340:H1340"/>
    <mergeCell ref="C1341:D1341"/>
    <mergeCell ref="G1341:H1341"/>
    <mergeCell ref="C1336:D1336"/>
    <mergeCell ref="G1336:H1336"/>
    <mergeCell ref="C1337:D1337"/>
    <mergeCell ref="G1337:H1337"/>
    <mergeCell ref="C1338:D1338"/>
    <mergeCell ref="G1338:H1338"/>
    <mergeCell ref="C1333:D1333"/>
    <mergeCell ref="G1333:H1333"/>
    <mergeCell ref="C1334:D1334"/>
    <mergeCell ref="G1334:H1334"/>
    <mergeCell ref="C1335:D1335"/>
    <mergeCell ref="G1335:H1335"/>
    <mergeCell ref="C1348:D1348"/>
    <mergeCell ref="G1348:H1348"/>
    <mergeCell ref="C1331:D1331"/>
    <mergeCell ref="G1331:H1331"/>
    <mergeCell ref="C1332:D1332"/>
    <mergeCell ref="G1332:H1332"/>
    <mergeCell ref="C1327:D1327"/>
    <mergeCell ref="G1327:H1327"/>
    <mergeCell ref="C1328:D1328"/>
    <mergeCell ref="G1328:H1328"/>
    <mergeCell ref="C1329:D1329"/>
    <mergeCell ref="G1329:H1329"/>
    <mergeCell ref="C1324:D1324"/>
    <mergeCell ref="G1324:H1324"/>
    <mergeCell ref="C1325:D1325"/>
    <mergeCell ref="G1325:H1325"/>
    <mergeCell ref="C1326:D1326"/>
    <mergeCell ref="G1326:H1326"/>
    <mergeCell ref="C1339:D1339"/>
    <mergeCell ref="G1339:H1339"/>
    <mergeCell ref="C1322:D1322"/>
    <mergeCell ref="G1322:H1322"/>
    <mergeCell ref="C1323:D1323"/>
    <mergeCell ref="G1323:H1323"/>
    <mergeCell ref="C1318:D1318"/>
    <mergeCell ref="G1318:H1318"/>
    <mergeCell ref="C1319:D1319"/>
    <mergeCell ref="G1319:H1319"/>
    <mergeCell ref="C1320:D1320"/>
    <mergeCell ref="G1320:H1320"/>
    <mergeCell ref="C1315:D1315"/>
    <mergeCell ref="G1315:H1315"/>
    <mergeCell ref="C1316:D1316"/>
    <mergeCell ref="G1316:H1316"/>
    <mergeCell ref="C1317:D1317"/>
    <mergeCell ref="G1317:H1317"/>
    <mergeCell ref="C1330:D1330"/>
    <mergeCell ref="G1330:H1330"/>
    <mergeCell ref="C1313:D1313"/>
    <mergeCell ref="G1313:H1313"/>
    <mergeCell ref="C1314:D1314"/>
    <mergeCell ref="G1314:H1314"/>
    <mergeCell ref="C1309:D1309"/>
    <mergeCell ref="G1309:H1309"/>
    <mergeCell ref="C1310:D1310"/>
    <mergeCell ref="G1310:H1310"/>
    <mergeCell ref="C1311:D1311"/>
    <mergeCell ref="G1311:H1311"/>
    <mergeCell ref="C1306:D1306"/>
    <mergeCell ref="G1306:H1306"/>
    <mergeCell ref="C1307:D1307"/>
    <mergeCell ref="G1307:H1307"/>
    <mergeCell ref="C1308:D1308"/>
    <mergeCell ref="G1308:H1308"/>
    <mergeCell ref="C1321:D1321"/>
    <mergeCell ref="G1321:H1321"/>
    <mergeCell ref="C1304:D1304"/>
    <mergeCell ref="G1304:H1304"/>
    <mergeCell ref="C1305:D1305"/>
    <mergeCell ref="G1305:H1305"/>
    <mergeCell ref="C1300:D1300"/>
    <mergeCell ref="G1300:H1300"/>
    <mergeCell ref="C1301:D1301"/>
    <mergeCell ref="G1301:H1301"/>
    <mergeCell ref="C1302:D1302"/>
    <mergeCell ref="G1302:H1302"/>
    <mergeCell ref="C1297:D1297"/>
    <mergeCell ref="G1297:H1297"/>
    <mergeCell ref="C1298:D1298"/>
    <mergeCell ref="G1298:H1298"/>
    <mergeCell ref="C1299:D1299"/>
    <mergeCell ref="G1299:H1299"/>
    <mergeCell ref="C1312:D1312"/>
    <mergeCell ref="G1312:H1312"/>
    <mergeCell ref="C1295:D1295"/>
    <mergeCell ref="G1295:H1295"/>
    <mergeCell ref="C1296:D1296"/>
    <mergeCell ref="G1296:H1296"/>
    <mergeCell ref="C1291:D1291"/>
    <mergeCell ref="G1291:H1291"/>
    <mergeCell ref="C1292:D1292"/>
    <mergeCell ref="G1292:H1292"/>
    <mergeCell ref="C1293:D1293"/>
    <mergeCell ref="G1293:H1293"/>
    <mergeCell ref="C1288:D1288"/>
    <mergeCell ref="G1288:H1288"/>
    <mergeCell ref="C1289:D1289"/>
    <mergeCell ref="G1289:H1289"/>
    <mergeCell ref="C1290:D1290"/>
    <mergeCell ref="G1290:H1290"/>
    <mergeCell ref="C1303:D1303"/>
    <mergeCell ref="G1303:H1303"/>
    <mergeCell ref="C1286:D1286"/>
    <mergeCell ref="G1286:H1286"/>
    <mergeCell ref="C1287:D1287"/>
    <mergeCell ref="G1287:H1287"/>
    <mergeCell ref="C1282:D1282"/>
    <mergeCell ref="G1282:H1282"/>
    <mergeCell ref="C1283:D1283"/>
    <mergeCell ref="G1283:H1283"/>
    <mergeCell ref="C1284:D1284"/>
    <mergeCell ref="G1284:H1284"/>
    <mergeCell ref="C1279:D1279"/>
    <mergeCell ref="G1279:H1279"/>
    <mergeCell ref="C1280:D1280"/>
    <mergeCell ref="G1280:H1280"/>
    <mergeCell ref="C1281:D1281"/>
    <mergeCell ref="G1281:H1281"/>
    <mergeCell ref="C1294:D1294"/>
    <mergeCell ref="G1294:H1294"/>
    <mergeCell ref="C1277:D1277"/>
    <mergeCell ref="G1277:H1277"/>
    <mergeCell ref="C1278:D1278"/>
    <mergeCell ref="G1278:H1278"/>
    <mergeCell ref="C1273:D1273"/>
    <mergeCell ref="G1273:H1273"/>
    <mergeCell ref="C1274:D1274"/>
    <mergeCell ref="G1274:H1274"/>
    <mergeCell ref="C1275:D1275"/>
    <mergeCell ref="G1275:H1275"/>
    <mergeCell ref="C1270:D1270"/>
    <mergeCell ref="G1270:H1270"/>
    <mergeCell ref="C1271:D1271"/>
    <mergeCell ref="G1271:H1271"/>
    <mergeCell ref="C1272:D1272"/>
    <mergeCell ref="G1272:H1272"/>
    <mergeCell ref="C1285:D1285"/>
    <mergeCell ref="G1285:H1285"/>
    <mergeCell ref="C1268:D1268"/>
    <mergeCell ref="G1268:H1268"/>
    <mergeCell ref="C1269:D1269"/>
    <mergeCell ref="G1269:H1269"/>
    <mergeCell ref="C1264:D1264"/>
    <mergeCell ref="G1264:H1264"/>
    <mergeCell ref="C1265:D1265"/>
    <mergeCell ref="G1265:H1265"/>
    <mergeCell ref="C1266:D1266"/>
    <mergeCell ref="G1266:H1266"/>
    <mergeCell ref="C1261:D1261"/>
    <mergeCell ref="G1261:H1261"/>
    <mergeCell ref="C1262:D1262"/>
    <mergeCell ref="G1262:H1262"/>
    <mergeCell ref="C1263:D1263"/>
    <mergeCell ref="G1263:H1263"/>
    <mergeCell ref="C1276:D1276"/>
    <mergeCell ref="G1276:H1276"/>
    <mergeCell ref="C1259:D1259"/>
    <mergeCell ref="G1259:H1259"/>
    <mergeCell ref="C1260:D1260"/>
    <mergeCell ref="G1260:H1260"/>
    <mergeCell ref="C1255:D1255"/>
    <mergeCell ref="G1255:H1255"/>
    <mergeCell ref="C1256:D1256"/>
    <mergeCell ref="G1256:H1256"/>
    <mergeCell ref="C1257:D1257"/>
    <mergeCell ref="G1257:H1257"/>
    <mergeCell ref="C1252:D1252"/>
    <mergeCell ref="G1252:H1252"/>
    <mergeCell ref="C1253:D1253"/>
    <mergeCell ref="G1253:H1253"/>
    <mergeCell ref="C1254:D1254"/>
    <mergeCell ref="G1254:H1254"/>
    <mergeCell ref="C1267:D1267"/>
    <mergeCell ref="G1267:H1267"/>
    <mergeCell ref="C1250:D1250"/>
    <mergeCell ref="G1250:H1250"/>
    <mergeCell ref="C1251:D1251"/>
    <mergeCell ref="G1251:H1251"/>
    <mergeCell ref="C1246:D1246"/>
    <mergeCell ref="G1246:H1246"/>
    <mergeCell ref="C1247:D1247"/>
    <mergeCell ref="G1247:H1247"/>
    <mergeCell ref="C1248:D1248"/>
    <mergeCell ref="G1248:H1248"/>
    <mergeCell ref="C1243:D1243"/>
    <mergeCell ref="G1243:H1243"/>
    <mergeCell ref="C1244:D1244"/>
    <mergeCell ref="G1244:H1244"/>
    <mergeCell ref="C1245:D1245"/>
    <mergeCell ref="G1245:H1245"/>
    <mergeCell ref="C1258:D1258"/>
    <mergeCell ref="G1258:H1258"/>
    <mergeCell ref="C1241:D1241"/>
    <mergeCell ref="G1241:H1241"/>
    <mergeCell ref="C1242:D1242"/>
    <mergeCell ref="G1242:H1242"/>
    <mergeCell ref="C1237:D1237"/>
    <mergeCell ref="G1237:H1237"/>
    <mergeCell ref="C1238:D1238"/>
    <mergeCell ref="G1238:H1238"/>
    <mergeCell ref="C1239:D1239"/>
    <mergeCell ref="G1239:H1239"/>
    <mergeCell ref="C1234:D1234"/>
    <mergeCell ref="G1234:H1234"/>
    <mergeCell ref="C1235:D1235"/>
    <mergeCell ref="G1235:H1235"/>
    <mergeCell ref="C1236:D1236"/>
    <mergeCell ref="G1236:H1236"/>
    <mergeCell ref="C1249:D1249"/>
    <mergeCell ref="G1249:H1249"/>
    <mergeCell ref="C1232:D1232"/>
    <mergeCell ref="G1232:H1232"/>
    <mergeCell ref="C1233:D1233"/>
    <mergeCell ref="G1233:H1233"/>
    <mergeCell ref="C1228:D1228"/>
    <mergeCell ref="G1228:H1228"/>
    <mergeCell ref="C1229:D1229"/>
    <mergeCell ref="G1229:H1229"/>
    <mergeCell ref="C1230:D1230"/>
    <mergeCell ref="G1230:H1230"/>
    <mergeCell ref="C1225:D1225"/>
    <mergeCell ref="G1225:H1225"/>
    <mergeCell ref="C1226:D1226"/>
    <mergeCell ref="G1226:H1226"/>
    <mergeCell ref="C1227:D1227"/>
    <mergeCell ref="G1227:H1227"/>
    <mergeCell ref="C1240:D1240"/>
    <mergeCell ref="G1240:H1240"/>
    <mergeCell ref="C1223:D1223"/>
    <mergeCell ref="G1223:H1223"/>
    <mergeCell ref="C1224:D1224"/>
    <mergeCell ref="G1224:H1224"/>
    <mergeCell ref="C1219:D1219"/>
    <mergeCell ref="G1219:H1219"/>
    <mergeCell ref="C1220:D1220"/>
    <mergeCell ref="G1220:H1220"/>
    <mergeCell ref="C1221:D1221"/>
    <mergeCell ref="G1221:H1221"/>
    <mergeCell ref="C1216:D1216"/>
    <mergeCell ref="G1216:H1216"/>
    <mergeCell ref="C1217:D1217"/>
    <mergeCell ref="G1217:H1217"/>
    <mergeCell ref="C1218:D1218"/>
    <mergeCell ref="G1218:H1218"/>
    <mergeCell ref="C1231:D1231"/>
    <mergeCell ref="G1231:H1231"/>
    <mergeCell ref="C1214:D1214"/>
    <mergeCell ref="G1214:H1214"/>
    <mergeCell ref="C1215:D1215"/>
    <mergeCell ref="G1215:H1215"/>
    <mergeCell ref="C1210:D1210"/>
    <mergeCell ref="G1210:H1210"/>
    <mergeCell ref="C1211:D1211"/>
    <mergeCell ref="G1211:H1211"/>
    <mergeCell ref="C1212:D1212"/>
    <mergeCell ref="G1212:H1212"/>
    <mergeCell ref="C1207:D1207"/>
    <mergeCell ref="G1207:H1207"/>
    <mergeCell ref="C1208:D1208"/>
    <mergeCell ref="G1208:H1208"/>
    <mergeCell ref="C1209:D1209"/>
    <mergeCell ref="G1209:H1209"/>
    <mergeCell ref="C1222:D1222"/>
    <mergeCell ref="G1222:H1222"/>
    <mergeCell ref="C1205:D1205"/>
    <mergeCell ref="G1205:H1205"/>
    <mergeCell ref="C1206:D1206"/>
    <mergeCell ref="G1206:H1206"/>
    <mergeCell ref="C1201:D1201"/>
    <mergeCell ref="G1201:H1201"/>
    <mergeCell ref="C1202:D1202"/>
    <mergeCell ref="G1202:H1202"/>
    <mergeCell ref="C1203:D1203"/>
    <mergeCell ref="G1203:H1203"/>
    <mergeCell ref="C1198:D1198"/>
    <mergeCell ref="G1198:H1198"/>
    <mergeCell ref="C1199:D1199"/>
    <mergeCell ref="G1199:H1199"/>
    <mergeCell ref="C1200:D1200"/>
    <mergeCell ref="G1200:H1200"/>
    <mergeCell ref="C1213:D1213"/>
    <mergeCell ref="G1213:H1213"/>
    <mergeCell ref="C1196:D1196"/>
    <mergeCell ref="G1196:H1196"/>
    <mergeCell ref="C1197:D1197"/>
    <mergeCell ref="G1197:H1197"/>
    <mergeCell ref="C1192:D1192"/>
    <mergeCell ref="G1192:H1192"/>
    <mergeCell ref="C1193:D1193"/>
    <mergeCell ref="G1193:H1193"/>
    <mergeCell ref="C1194:D1194"/>
    <mergeCell ref="G1194:H1194"/>
    <mergeCell ref="C1189:D1189"/>
    <mergeCell ref="G1189:H1189"/>
    <mergeCell ref="C1190:D1190"/>
    <mergeCell ref="G1190:H1190"/>
    <mergeCell ref="C1191:D1191"/>
    <mergeCell ref="G1191:H1191"/>
    <mergeCell ref="C1204:D1204"/>
    <mergeCell ref="G1204:H1204"/>
    <mergeCell ref="C1187:D1187"/>
    <mergeCell ref="G1187:H1187"/>
    <mergeCell ref="C1188:D1188"/>
    <mergeCell ref="G1188:H1188"/>
    <mergeCell ref="C1183:D1183"/>
    <mergeCell ref="G1183:H1183"/>
    <mergeCell ref="C1184:D1184"/>
    <mergeCell ref="G1184:H1184"/>
    <mergeCell ref="C1185:D1185"/>
    <mergeCell ref="G1185:H1185"/>
    <mergeCell ref="C1180:D1180"/>
    <mergeCell ref="G1180:H1180"/>
    <mergeCell ref="C1181:D1181"/>
    <mergeCell ref="G1181:H1181"/>
    <mergeCell ref="C1182:D1182"/>
    <mergeCell ref="G1182:H1182"/>
    <mergeCell ref="C1195:D1195"/>
    <mergeCell ref="G1195:H1195"/>
    <mergeCell ref="C1178:D1178"/>
    <mergeCell ref="G1178:H1178"/>
    <mergeCell ref="C1179:D1179"/>
    <mergeCell ref="G1179:H1179"/>
    <mergeCell ref="C1174:D1174"/>
    <mergeCell ref="G1174:H1174"/>
    <mergeCell ref="C1175:D1175"/>
    <mergeCell ref="G1175:H1175"/>
    <mergeCell ref="C1176:D1176"/>
    <mergeCell ref="G1176:H1176"/>
    <mergeCell ref="C1171:D1171"/>
    <mergeCell ref="G1171:H1171"/>
    <mergeCell ref="C1172:D1172"/>
    <mergeCell ref="G1172:H1172"/>
    <mergeCell ref="C1173:D1173"/>
    <mergeCell ref="G1173:H1173"/>
    <mergeCell ref="C1186:D1186"/>
    <mergeCell ref="G1186:H1186"/>
    <mergeCell ref="C1169:D1169"/>
    <mergeCell ref="G1169:H1169"/>
    <mergeCell ref="C1170:D1170"/>
    <mergeCell ref="G1170:H1170"/>
    <mergeCell ref="C1165:D1165"/>
    <mergeCell ref="G1165:H1165"/>
    <mergeCell ref="C1166:D1166"/>
    <mergeCell ref="G1166:H1166"/>
    <mergeCell ref="C1167:D1167"/>
    <mergeCell ref="G1167:H1167"/>
    <mergeCell ref="C1162:D1162"/>
    <mergeCell ref="G1162:H1162"/>
    <mergeCell ref="C1163:D1163"/>
    <mergeCell ref="G1163:H1163"/>
    <mergeCell ref="C1164:D1164"/>
    <mergeCell ref="G1164:H1164"/>
    <mergeCell ref="C1177:D1177"/>
    <mergeCell ref="G1177:H1177"/>
    <mergeCell ref="C1160:D1160"/>
    <mergeCell ref="G1160:H1160"/>
    <mergeCell ref="C1161:D1161"/>
    <mergeCell ref="G1161:H1161"/>
    <mergeCell ref="C1156:D1156"/>
    <mergeCell ref="G1156:H1156"/>
    <mergeCell ref="C1157:D1157"/>
    <mergeCell ref="G1157:H1157"/>
    <mergeCell ref="C1158:D1158"/>
    <mergeCell ref="G1158:H1158"/>
    <mergeCell ref="C1153:D1153"/>
    <mergeCell ref="G1153:H1153"/>
    <mergeCell ref="C1154:D1154"/>
    <mergeCell ref="G1154:H1154"/>
    <mergeCell ref="C1155:D1155"/>
    <mergeCell ref="G1155:H1155"/>
    <mergeCell ref="C1168:D1168"/>
    <mergeCell ref="G1168:H1168"/>
    <mergeCell ref="C1151:D1151"/>
    <mergeCell ref="G1151:H1151"/>
    <mergeCell ref="C1152:D1152"/>
    <mergeCell ref="G1152:H1152"/>
    <mergeCell ref="C1147:D1147"/>
    <mergeCell ref="G1147:H1147"/>
    <mergeCell ref="C1148:D1148"/>
    <mergeCell ref="G1148:H1148"/>
    <mergeCell ref="C1149:D1149"/>
    <mergeCell ref="G1149:H1149"/>
    <mergeCell ref="C1144:D1144"/>
    <mergeCell ref="G1144:H1144"/>
    <mergeCell ref="C1145:D1145"/>
    <mergeCell ref="G1145:H1145"/>
    <mergeCell ref="C1146:D1146"/>
    <mergeCell ref="G1146:H1146"/>
    <mergeCell ref="C1159:D1159"/>
    <mergeCell ref="G1159:H1159"/>
    <mergeCell ref="C1142:D1142"/>
    <mergeCell ref="G1142:H1142"/>
    <mergeCell ref="C1143:D1143"/>
    <mergeCell ref="G1143:H1143"/>
    <mergeCell ref="C1138:D1138"/>
    <mergeCell ref="G1138:H1138"/>
    <mergeCell ref="C1139:D1139"/>
    <mergeCell ref="G1139:H1139"/>
    <mergeCell ref="C1140:D1140"/>
    <mergeCell ref="G1140:H1140"/>
    <mergeCell ref="C1135:D1135"/>
    <mergeCell ref="G1135:H1135"/>
    <mergeCell ref="C1136:D1136"/>
    <mergeCell ref="G1136:H1136"/>
    <mergeCell ref="C1137:D1137"/>
    <mergeCell ref="G1137:H1137"/>
    <mergeCell ref="C1150:D1150"/>
    <mergeCell ref="G1150:H1150"/>
    <mergeCell ref="C1133:D1133"/>
    <mergeCell ref="G1133:H1133"/>
    <mergeCell ref="C1134:D1134"/>
    <mergeCell ref="G1134:H1134"/>
    <mergeCell ref="C1129:D1129"/>
    <mergeCell ref="G1129:H1129"/>
    <mergeCell ref="C1130:D1130"/>
    <mergeCell ref="G1130:H1130"/>
    <mergeCell ref="C1131:D1131"/>
    <mergeCell ref="G1131:H1131"/>
    <mergeCell ref="C1126:D1126"/>
    <mergeCell ref="G1126:H1126"/>
    <mergeCell ref="C1127:D1127"/>
    <mergeCell ref="G1127:H1127"/>
    <mergeCell ref="C1128:D1128"/>
    <mergeCell ref="G1128:H1128"/>
    <mergeCell ref="C1141:D1141"/>
    <mergeCell ref="G1141:H1141"/>
    <mergeCell ref="C1124:D1124"/>
    <mergeCell ref="G1124:H1124"/>
    <mergeCell ref="C1125:D1125"/>
    <mergeCell ref="G1125:H1125"/>
    <mergeCell ref="C1120:D1120"/>
    <mergeCell ref="G1120:H1120"/>
    <mergeCell ref="C1121:D1121"/>
    <mergeCell ref="G1121:H1121"/>
    <mergeCell ref="C1122:D1122"/>
    <mergeCell ref="G1122:H1122"/>
    <mergeCell ref="C1117:D1117"/>
    <mergeCell ref="G1117:H1117"/>
    <mergeCell ref="C1118:D1118"/>
    <mergeCell ref="G1118:H1118"/>
    <mergeCell ref="C1119:D1119"/>
    <mergeCell ref="G1119:H1119"/>
    <mergeCell ref="C1132:D1132"/>
    <mergeCell ref="G1132:H1132"/>
    <mergeCell ref="C1115:D1115"/>
    <mergeCell ref="G1115:H1115"/>
    <mergeCell ref="C1116:D1116"/>
    <mergeCell ref="G1116:H1116"/>
    <mergeCell ref="C1111:D1111"/>
    <mergeCell ref="G1111:H1111"/>
    <mergeCell ref="C1112:D1112"/>
    <mergeCell ref="G1112:H1112"/>
    <mergeCell ref="C1113:D1113"/>
    <mergeCell ref="G1113:H1113"/>
    <mergeCell ref="C1108:D1108"/>
    <mergeCell ref="G1108:H1108"/>
    <mergeCell ref="C1109:D1109"/>
    <mergeCell ref="G1109:H1109"/>
    <mergeCell ref="C1110:D1110"/>
    <mergeCell ref="G1110:H1110"/>
    <mergeCell ref="C1123:D1123"/>
    <mergeCell ref="G1123:H1123"/>
    <mergeCell ref="C1106:D1106"/>
    <mergeCell ref="G1106:H1106"/>
    <mergeCell ref="C1107:D1107"/>
    <mergeCell ref="G1107:H1107"/>
    <mergeCell ref="C1102:D1102"/>
    <mergeCell ref="G1102:H1102"/>
    <mergeCell ref="C1103:D1103"/>
    <mergeCell ref="G1103:H1103"/>
    <mergeCell ref="C1104:D1104"/>
    <mergeCell ref="G1104:H1104"/>
    <mergeCell ref="C1099:D1099"/>
    <mergeCell ref="G1099:H1099"/>
    <mergeCell ref="C1100:D1100"/>
    <mergeCell ref="G1100:H1100"/>
    <mergeCell ref="C1101:D1101"/>
    <mergeCell ref="G1101:H1101"/>
    <mergeCell ref="C1114:D1114"/>
    <mergeCell ref="G1114:H1114"/>
    <mergeCell ref="C1097:D1097"/>
    <mergeCell ref="G1097:H1097"/>
    <mergeCell ref="C1098:D1098"/>
    <mergeCell ref="G1098:H1098"/>
    <mergeCell ref="C1093:D1093"/>
    <mergeCell ref="G1093:H1093"/>
    <mergeCell ref="C1094:D1094"/>
    <mergeCell ref="G1094:H1094"/>
    <mergeCell ref="C1095:D1095"/>
    <mergeCell ref="G1095:H1095"/>
    <mergeCell ref="C1090:D1090"/>
    <mergeCell ref="G1090:H1090"/>
    <mergeCell ref="C1091:D1091"/>
    <mergeCell ref="G1091:H1091"/>
    <mergeCell ref="C1092:D1092"/>
    <mergeCell ref="G1092:H1092"/>
    <mergeCell ref="C1105:D1105"/>
    <mergeCell ref="G1105:H1105"/>
    <mergeCell ref="C1088:D1088"/>
    <mergeCell ref="G1088:H1088"/>
    <mergeCell ref="C1089:D1089"/>
    <mergeCell ref="G1089:H1089"/>
    <mergeCell ref="C1084:D1084"/>
    <mergeCell ref="G1084:H1084"/>
    <mergeCell ref="C1085:D1085"/>
    <mergeCell ref="G1085:H1085"/>
    <mergeCell ref="C1086:D1086"/>
    <mergeCell ref="G1086:H1086"/>
    <mergeCell ref="C1081:D1081"/>
    <mergeCell ref="G1081:H1081"/>
    <mergeCell ref="C1082:D1082"/>
    <mergeCell ref="G1082:H1082"/>
    <mergeCell ref="C1083:D1083"/>
    <mergeCell ref="G1083:H1083"/>
    <mergeCell ref="C1096:D1096"/>
    <mergeCell ref="G1096:H1096"/>
    <mergeCell ref="C1079:D1079"/>
    <mergeCell ref="G1079:H1079"/>
    <mergeCell ref="C1080:D1080"/>
    <mergeCell ref="G1080:H1080"/>
    <mergeCell ref="C1075:D1075"/>
    <mergeCell ref="G1075:H1075"/>
    <mergeCell ref="C1076:D1076"/>
    <mergeCell ref="G1076:H1076"/>
    <mergeCell ref="C1077:D1077"/>
    <mergeCell ref="G1077:H1077"/>
    <mergeCell ref="C1072:D1072"/>
    <mergeCell ref="G1072:H1072"/>
    <mergeCell ref="C1073:D1073"/>
    <mergeCell ref="G1073:H1073"/>
    <mergeCell ref="C1074:D1074"/>
    <mergeCell ref="G1074:H1074"/>
    <mergeCell ref="C1087:D1087"/>
    <mergeCell ref="G1087:H1087"/>
    <mergeCell ref="C1070:D1070"/>
    <mergeCell ref="G1070:H1070"/>
    <mergeCell ref="C1071:D1071"/>
    <mergeCell ref="G1071:H1071"/>
    <mergeCell ref="C1066:D1066"/>
    <mergeCell ref="G1066:H1066"/>
    <mergeCell ref="C1067:D1067"/>
    <mergeCell ref="G1067:H1067"/>
    <mergeCell ref="C1068:D1068"/>
    <mergeCell ref="G1068:H1068"/>
    <mergeCell ref="C1063:D1063"/>
    <mergeCell ref="G1063:H1063"/>
    <mergeCell ref="C1064:D1064"/>
    <mergeCell ref="G1064:H1064"/>
    <mergeCell ref="C1065:D1065"/>
    <mergeCell ref="G1065:H1065"/>
    <mergeCell ref="C1078:D1078"/>
    <mergeCell ref="G1078:H1078"/>
    <mergeCell ref="C1061:D1061"/>
    <mergeCell ref="G1061:H1061"/>
    <mergeCell ref="C1062:D1062"/>
    <mergeCell ref="G1062:H1062"/>
    <mergeCell ref="C1057:D1057"/>
    <mergeCell ref="G1057:H1057"/>
    <mergeCell ref="C1058:D1058"/>
    <mergeCell ref="G1058:H1058"/>
    <mergeCell ref="C1059:D1059"/>
    <mergeCell ref="G1059:H1059"/>
    <mergeCell ref="C1054:D1054"/>
    <mergeCell ref="G1054:H1054"/>
    <mergeCell ref="C1055:D1055"/>
    <mergeCell ref="G1055:H1055"/>
    <mergeCell ref="C1056:D1056"/>
    <mergeCell ref="G1056:H1056"/>
    <mergeCell ref="C1069:D1069"/>
    <mergeCell ref="G1069:H1069"/>
    <mergeCell ref="C1052:D1052"/>
    <mergeCell ref="G1052:H1052"/>
    <mergeCell ref="C1053:D1053"/>
    <mergeCell ref="G1053:H1053"/>
    <mergeCell ref="C1048:D1048"/>
    <mergeCell ref="G1048:H1048"/>
    <mergeCell ref="C1049:D1049"/>
    <mergeCell ref="G1049:H1049"/>
    <mergeCell ref="C1050:D1050"/>
    <mergeCell ref="G1050:H1050"/>
    <mergeCell ref="C1045:D1045"/>
    <mergeCell ref="G1045:H1045"/>
    <mergeCell ref="C1046:D1046"/>
    <mergeCell ref="G1046:H1046"/>
    <mergeCell ref="C1047:D1047"/>
    <mergeCell ref="G1047:H1047"/>
    <mergeCell ref="C1060:D1060"/>
    <mergeCell ref="G1060:H1060"/>
    <mergeCell ref="C1043:D1043"/>
    <mergeCell ref="G1043:H1043"/>
    <mergeCell ref="C1044:D1044"/>
    <mergeCell ref="G1044:H1044"/>
    <mergeCell ref="C1039:D1039"/>
    <mergeCell ref="G1039:H1039"/>
    <mergeCell ref="C1040:D1040"/>
    <mergeCell ref="G1040:H1040"/>
    <mergeCell ref="C1041:D1041"/>
    <mergeCell ref="G1041:H1041"/>
    <mergeCell ref="C1036:D1036"/>
    <mergeCell ref="G1036:H1036"/>
    <mergeCell ref="C1037:D1037"/>
    <mergeCell ref="G1037:H1037"/>
    <mergeCell ref="C1038:D1038"/>
    <mergeCell ref="G1038:H1038"/>
    <mergeCell ref="C1051:D1051"/>
    <mergeCell ref="G1051:H1051"/>
    <mergeCell ref="C1034:D1034"/>
    <mergeCell ref="G1034:H1034"/>
    <mergeCell ref="C1035:D1035"/>
    <mergeCell ref="G1035:H1035"/>
    <mergeCell ref="C1030:D1030"/>
    <mergeCell ref="G1030:H1030"/>
    <mergeCell ref="C1031:D1031"/>
    <mergeCell ref="G1031:H1031"/>
    <mergeCell ref="C1032:D1032"/>
    <mergeCell ref="G1032:H1032"/>
    <mergeCell ref="C1027:D1027"/>
    <mergeCell ref="G1027:H1027"/>
    <mergeCell ref="C1028:D1028"/>
    <mergeCell ref="G1028:H1028"/>
    <mergeCell ref="C1029:D1029"/>
    <mergeCell ref="G1029:H1029"/>
    <mergeCell ref="C1042:D1042"/>
    <mergeCell ref="G1042:H1042"/>
    <mergeCell ref="C1025:D1025"/>
    <mergeCell ref="G1025:H1025"/>
    <mergeCell ref="C1026:D1026"/>
    <mergeCell ref="G1026:H1026"/>
    <mergeCell ref="C1021:D1021"/>
    <mergeCell ref="G1021:H1021"/>
    <mergeCell ref="C1022:D1022"/>
    <mergeCell ref="G1022:H1022"/>
    <mergeCell ref="C1023:D1023"/>
    <mergeCell ref="G1023:H1023"/>
    <mergeCell ref="C1018:D1018"/>
    <mergeCell ref="G1018:H1018"/>
    <mergeCell ref="C1019:D1019"/>
    <mergeCell ref="G1019:H1019"/>
    <mergeCell ref="C1020:D1020"/>
    <mergeCell ref="G1020:H1020"/>
    <mergeCell ref="C1033:D1033"/>
    <mergeCell ref="G1033:H1033"/>
    <mergeCell ref="C1016:D1016"/>
    <mergeCell ref="G1016:H1016"/>
    <mergeCell ref="C1017:D1017"/>
    <mergeCell ref="G1017:H1017"/>
    <mergeCell ref="C1012:D1012"/>
    <mergeCell ref="G1012:H1012"/>
    <mergeCell ref="C1013:D1013"/>
    <mergeCell ref="G1013:H1013"/>
    <mergeCell ref="C1014:D1014"/>
    <mergeCell ref="G1014:H1014"/>
    <mergeCell ref="C1009:D1009"/>
    <mergeCell ref="G1009:H1009"/>
    <mergeCell ref="C1010:D1010"/>
    <mergeCell ref="G1010:H1010"/>
    <mergeCell ref="C1011:D1011"/>
    <mergeCell ref="G1011:H1011"/>
    <mergeCell ref="C1024:D1024"/>
    <mergeCell ref="G1024:H1024"/>
    <mergeCell ref="C1007:D1007"/>
    <mergeCell ref="G1007:H1007"/>
    <mergeCell ref="C1008:D1008"/>
    <mergeCell ref="G1008:H1008"/>
    <mergeCell ref="C1003:D1003"/>
    <mergeCell ref="G1003:H1003"/>
    <mergeCell ref="C1004:D1004"/>
    <mergeCell ref="G1004:H1004"/>
    <mergeCell ref="C1005:D1005"/>
    <mergeCell ref="G1005:H1005"/>
    <mergeCell ref="C1000:D1000"/>
    <mergeCell ref="G1000:H1000"/>
    <mergeCell ref="C1001:D1001"/>
    <mergeCell ref="G1001:H1001"/>
    <mergeCell ref="C1002:D1002"/>
    <mergeCell ref="G1002:H1002"/>
    <mergeCell ref="C1015:D1015"/>
    <mergeCell ref="G1015:H1015"/>
    <mergeCell ref="C998:D998"/>
    <mergeCell ref="G998:H998"/>
    <mergeCell ref="C999:D999"/>
    <mergeCell ref="G999:H999"/>
    <mergeCell ref="C994:D994"/>
    <mergeCell ref="G994:H994"/>
    <mergeCell ref="C995:D995"/>
    <mergeCell ref="G995:H995"/>
    <mergeCell ref="C996:D996"/>
    <mergeCell ref="G996:H996"/>
    <mergeCell ref="C991:D991"/>
    <mergeCell ref="G991:H991"/>
    <mergeCell ref="C992:D992"/>
    <mergeCell ref="G992:H992"/>
    <mergeCell ref="C993:D993"/>
    <mergeCell ref="G993:H993"/>
    <mergeCell ref="C1006:D1006"/>
    <mergeCell ref="G1006:H1006"/>
    <mergeCell ref="C989:D989"/>
    <mergeCell ref="G989:H989"/>
    <mergeCell ref="C990:D990"/>
    <mergeCell ref="G990:H990"/>
    <mergeCell ref="C985:D985"/>
    <mergeCell ref="G985:H985"/>
    <mergeCell ref="C986:D986"/>
    <mergeCell ref="G986:H986"/>
    <mergeCell ref="C987:D987"/>
    <mergeCell ref="G987:H987"/>
    <mergeCell ref="C982:D982"/>
    <mergeCell ref="G982:H982"/>
    <mergeCell ref="C983:D983"/>
    <mergeCell ref="G983:H983"/>
    <mergeCell ref="C984:D984"/>
    <mergeCell ref="G984:H984"/>
    <mergeCell ref="C997:D997"/>
    <mergeCell ref="G997:H997"/>
    <mergeCell ref="C980:D980"/>
    <mergeCell ref="G980:H980"/>
    <mergeCell ref="C981:D981"/>
    <mergeCell ref="G981:H981"/>
    <mergeCell ref="C976:D976"/>
    <mergeCell ref="G976:H976"/>
    <mergeCell ref="C977:D977"/>
    <mergeCell ref="G977:H977"/>
    <mergeCell ref="C978:D978"/>
    <mergeCell ref="G978:H978"/>
    <mergeCell ref="C973:D973"/>
    <mergeCell ref="G973:H973"/>
    <mergeCell ref="C974:D974"/>
    <mergeCell ref="G974:H974"/>
    <mergeCell ref="C975:D975"/>
    <mergeCell ref="G975:H975"/>
    <mergeCell ref="C988:D988"/>
    <mergeCell ref="G988:H988"/>
    <mergeCell ref="C971:D971"/>
    <mergeCell ref="G971:H971"/>
    <mergeCell ref="C972:D972"/>
    <mergeCell ref="G972:H972"/>
    <mergeCell ref="C967:D967"/>
    <mergeCell ref="G967:H967"/>
    <mergeCell ref="C968:D968"/>
    <mergeCell ref="G968:H968"/>
    <mergeCell ref="C969:D969"/>
    <mergeCell ref="G969:H969"/>
    <mergeCell ref="C964:D964"/>
    <mergeCell ref="G964:H964"/>
    <mergeCell ref="C965:D965"/>
    <mergeCell ref="G965:H965"/>
    <mergeCell ref="C966:D966"/>
    <mergeCell ref="G966:H966"/>
    <mergeCell ref="C979:D979"/>
    <mergeCell ref="G979:H979"/>
    <mergeCell ref="C962:D962"/>
    <mergeCell ref="G962:H962"/>
    <mergeCell ref="C963:D963"/>
    <mergeCell ref="G963:H963"/>
    <mergeCell ref="C958:D958"/>
    <mergeCell ref="G958:H958"/>
    <mergeCell ref="C959:D959"/>
    <mergeCell ref="G959:H959"/>
    <mergeCell ref="C960:D960"/>
    <mergeCell ref="G960:H960"/>
    <mergeCell ref="C955:D955"/>
    <mergeCell ref="G955:H955"/>
    <mergeCell ref="C956:D956"/>
    <mergeCell ref="G956:H956"/>
    <mergeCell ref="C957:D957"/>
    <mergeCell ref="G957:H957"/>
    <mergeCell ref="C970:D970"/>
    <mergeCell ref="G970:H970"/>
    <mergeCell ref="C953:D953"/>
    <mergeCell ref="G953:H953"/>
    <mergeCell ref="C954:D954"/>
    <mergeCell ref="G954:H954"/>
    <mergeCell ref="C949:D949"/>
    <mergeCell ref="G949:H949"/>
    <mergeCell ref="C950:D950"/>
    <mergeCell ref="G950:H950"/>
    <mergeCell ref="C951:D951"/>
    <mergeCell ref="G951:H951"/>
    <mergeCell ref="C946:D946"/>
    <mergeCell ref="G946:H946"/>
    <mergeCell ref="C947:D947"/>
    <mergeCell ref="G947:H947"/>
    <mergeCell ref="C948:D948"/>
    <mergeCell ref="G948:H948"/>
    <mergeCell ref="C961:D961"/>
    <mergeCell ref="G961:H961"/>
    <mergeCell ref="C944:D944"/>
    <mergeCell ref="G944:H944"/>
    <mergeCell ref="C945:D945"/>
    <mergeCell ref="G945:H945"/>
    <mergeCell ref="C940:D940"/>
    <mergeCell ref="G940:H940"/>
    <mergeCell ref="C941:D941"/>
    <mergeCell ref="G941:H941"/>
    <mergeCell ref="C942:D942"/>
    <mergeCell ref="G942:H942"/>
    <mergeCell ref="C937:D937"/>
    <mergeCell ref="G937:H937"/>
    <mergeCell ref="C938:D938"/>
    <mergeCell ref="G938:H938"/>
    <mergeCell ref="C939:D939"/>
    <mergeCell ref="G939:H939"/>
    <mergeCell ref="C952:D952"/>
    <mergeCell ref="G952:H952"/>
    <mergeCell ref="C935:D935"/>
    <mergeCell ref="G935:H935"/>
    <mergeCell ref="C936:D936"/>
    <mergeCell ref="G936:H936"/>
    <mergeCell ref="C931:D931"/>
    <mergeCell ref="G931:H931"/>
    <mergeCell ref="C932:D932"/>
    <mergeCell ref="G932:H932"/>
    <mergeCell ref="C933:D933"/>
    <mergeCell ref="G933:H933"/>
    <mergeCell ref="C928:D928"/>
    <mergeCell ref="G928:H928"/>
    <mergeCell ref="C929:D929"/>
    <mergeCell ref="G929:H929"/>
    <mergeCell ref="C930:D930"/>
    <mergeCell ref="G930:H930"/>
    <mergeCell ref="C943:D943"/>
    <mergeCell ref="G943:H943"/>
    <mergeCell ref="C926:D926"/>
    <mergeCell ref="G926:H926"/>
    <mergeCell ref="C927:D927"/>
    <mergeCell ref="G927:H927"/>
    <mergeCell ref="C922:D922"/>
    <mergeCell ref="G922:H922"/>
    <mergeCell ref="C923:D923"/>
    <mergeCell ref="G923:H923"/>
    <mergeCell ref="C924:D924"/>
    <mergeCell ref="G924:H924"/>
    <mergeCell ref="C919:D919"/>
    <mergeCell ref="G919:H919"/>
    <mergeCell ref="C920:D920"/>
    <mergeCell ref="G920:H920"/>
    <mergeCell ref="C921:D921"/>
    <mergeCell ref="G921:H921"/>
    <mergeCell ref="C934:D934"/>
    <mergeCell ref="G934:H934"/>
    <mergeCell ref="C917:D917"/>
    <mergeCell ref="G917:H917"/>
    <mergeCell ref="C918:D918"/>
    <mergeCell ref="G918:H918"/>
    <mergeCell ref="C913:D913"/>
    <mergeCell ref="G913:H913"/>
    <mergeCell ref="C914:D914"/>
    <mergeCell ref="G914:H914"/>
    <mergeCell ref="C915:D915"/>
    <mergeCell ref="G915:H915"/>
    <mergeCell ref="C910:D910"/>
    <mergeCell ref="G910:H910"/>
    <mergeCell ref="C911:D911"/>
    <mergeCell ref="G911:H911"/>
    <mergeCell ref="C912:D912"/>
    <mergeCell ref="G912:H912"/>
    <mergeCell ref="C925:D925"/>
    <mergeCell ref="G925:H925"/>
    <mergeCell ref="C908:D908"/>
    <mergeCell ref="G908:H908"/>
    <mergeCell ref="C909:D909"/>
    <mergeCell ref="G909:H909"/>
    <mergeCell ref="C904:D904"/>
    <mergeCell ref="G904:H904"/>
    <mergeCell ref="C905:D905"/>
    <mergeCell ref="G905:H905"/>
    <mergeCell ref="C906:D906"/>
    <mergeCell ref="G906:H906"/>
    <mergeCell ref="C901:D901"/>
    <mergeCell ref="G901:H901"/>
    <mergeCell ref="C902:D902"/>
    <mergeCell ref="G902:H902"/>
    <mergeCell ref="C903:D903"/>
    <mergeCell ref="G903:H903"/>
    <mergeCell ref="C916:D916"/>
    <mergeCell ref="G916:H916"/>
    <mergeCell ref="C899:D899"/>
    <mergeCell ref="G899:H899"/>
    <mergeCell ref="C900:D900"/>
    <mergeCell ref="G900:H900"/>
    <mergeCell ref="C895:D895"/>
    <mergeCell ref="G895:H895"/>
    <mergeCell ref="C896:D896"/>
    <mergeCell ref="G896:H896"/>
    <mergeCell ref="C897:D897"/>
    <mergeCell ref="G897:H897"/>
    <mergeCell ref="C892:D892"/>
    <mergeCell ref="G892:H892"/>
    <mergeCell ref="C893:D893"/>
    <mergeCell ref="G893:H893"/>
    <mergeCell ref="C894:D894"/>
    <mergeCell ref="G894:H894"/>
    <mergeCell ref="C907:D907"/>
    <mergeCell ref="G907:H907"/>
    <mergeCell ref="C890:D890"/>
    <mergeCell ref="G890:H890"/>
    <mergeCell ref="C891:D891"/>
    <mergeCell ref="G891:H891"/>
    <mergeCell ref="C886:D886"/>
    <mergeCell ref="G886:H886"/>
    <mergeCell ref="C887:D887"/>
    <mergeCell ref="G887:H887"/>
    <mergeCell ref="C888:D888"/>
    <mergeCell ref="G888:H888"/>
    <mergeCell ref="C883:D883"/>
    <mergeCell ref="G883:H883"/>
    <mergeCell ref="C884:D884"/>
    <mergeCell ref="G884:H884"/>
    <mergeCell ref="C885:D885"/>
    <mergeCell ref="G885:H885"/>
    <mergeCell ref="C898:D898"/>
    <mergeCell ref="G898:H898"/>
    <mergeCell ref="C881:D881"/>
    <mergeCell ref="G881:H881"/>
    <mergeCell ref="C882:D882"/>
    <mergeCell ref="G882:H882"/>
    <mergeCell ref="C877:D877"/>
    <mergeCell ref="G877:H877"/>
    <mergeCell ref="C878:D878"/>
    <mergeCell ref="G878:H878"/>
    <mergeCell ref="C879:D879"/>
    <mergeCell ref="G879:H879"/>
    <mergeCell ref="C874:D874"/>
    <mergeCell ref="G874:H874"/>
    <mergeCell ref="C875:D875"/>
    <mergeCell ref="G875:H875"/>
    <mergeCell ref="C876:D876"/>
    <mergeCell ref="G876:H876"/>
    <mergeCell ref="C889:D889"/>
    <mergeCell ref="G889:H889"/>
    <mergeCell ref="C872:D872"/>
    <mergeCell ref="G872:H872"/>
    <mergeCell ref="C873:D873"/>
    <mergeCell ref="G873:H873"/>
    <mergeCell ref="C868:D868"/>
    <mergeCell ref="G868:H868"/>
    <mergeCell ref="C869:D869"/>
    <mergeCell ref="G869:H869"/>
    <mergeCell ref="C870:D870"/>
    <mergeCell ref="G870:H870"/>
    <mergeCell ref="C865:D865"/>
    <mergeCell ref="G865:H865"/>
    <mergeCell ref="C866:D866"/>
    <mergeCell ref="G866:H866"/>
    <mergeCell ref="C867:D867"/>
    <mergeCell ref="G867:H867"/>
    <mergeCell ref="C880:D880"/>
    <mergeCell ref="G880:H880"/>
    <mergeCell ref="C863:D863"/>
    <mergeCell ref="G863:H863"/>
    <mergeCell ref="C864:D864"/>
    <mergeCell ref="G864:H864"/>
    <mergeCell ref="C859:D859"/>
    <mergeCell ref="G859:H859"/>
    <mergeCell ref="C860:D860"/>
    <mergeCell ref="G860:H860"/>
    <mergeCell ref="C861:D861"/>
    <mergeCell ref="G861:H861"/>
    <mergeCell ref="C856:D856"/>
    <mergeCell ref="G856:H856"/>
    <mergeCell ref="C857:D857"/>
    <mergeCell ref="G857:H857"/>
    <mergeCell ref="C858:D858"/>
    <mergeCell ref="G858:H858"/>
    <mergeCell ref="C871:D871"/>
    <mergeCell ref="G871:H871"/>
    <mergeCell ref="C854:D854"/>
    <mergeCell ref="G854:H854"/>
    <mergeCell ref="C855:D855"/>
    <mergeCell ref="G855:H855"/>
    <mergeCell ref="C850:D850"/>
    <mergeCell ref="G850:H850"/>
    <mergeCell ref="C851:D851"/>
    <mergeCell ref="G851:H851"/>
    <mergeCell ref="C852:D852"/>
    <mergeCell ref="G852:H852"/>
    <mergeCell ref="C847:D847"/>
    <mergeCell ref="G847:H847"/>
    <mergeCell ref="C848:D848"/>
    <mergeCell ref="G848:H848"/>
    <mergeCell ref="C849:D849"/>
    <mergeCell ref="G849:H849"/>
    <mergeCell ref="C862:D862"/>
    <mergeCell ref="G862:H862"/>
    <mergeCell ref="C845:D845"/>
    <mergeCell ref="G845:H845"/>
    <mergeCell ref="C846:D846"/>
    <mergeCell ref="G846:H846"/>
    <mergeCell ref="C841:D841"/>
    <mergeCell ref="G841:H841"/>
    <mergeCell ref="C842:D842"/>
    <mergeCell ref="G842:H842"/>
    <mergeCell ref="C843:D843"/>
    <mergeCell ref="G843:H843"/>
    <mergeCell ref="C838:D838"/>
    <mergeCell ref="G838:H838"/>
    <mergeCell ref="C839:D839"/>
    <mergeCell ref="G839:H839"/>
    <mergeCell ref="C840:D840"/>
    <mergeCell ref="G840:H840"/>
    <mergeCell ref="C853:D853"/>
    <mergeCell ref="G853:H853"/>
    <mergeCell ref="C836:D836"/>
    <mergeCell ref="G836:H836"/>
    <mergeCell ref="C837:D837"/>
    <mergeCell ref="G837:H837"/>
    <mergeCell ref="C832:D832"/>
    <mergeCell ref="G832:H832"/>
    <mergeCell ref="C833:D833"/>
    <mergeCell ref="G833:H833"/>
    <mergeCell ref="C834:D834"/>
    <mergeCell ref="G834:H834"/>
    <mergeCell ref="C829:D829"/>
    <mergeCell ref="G829:H829"/>
    <mergeCell ref="C830:D830"/>
    <mergeCell ref="G830:H830"/>
    <mergeCell ref="C831:D831"/>
    <mergeCell ref="G831:H831"/>
    <mergeCell ref="C844:D844"/>
    <mergeCell ref="G844:H844"/>
    <mergeCell ref="C827:D827"/>
    <mergeCell ref="G827:H827"/>
    <mergeCell ref="C828:D828"/>
    <mergeCell ref="G828:H828"/>
    <mergeCell ref="C823:D823"/>
    <mergeCell ref="G823:H823"/>
    <mergeCell ref="C824:D824"/>
    <mergeCell ref="G824:H824"/>
    <mergeCell ref="C825:D825"/>
    <mergeCell ref="G825:H825"/>
    <mergeCell ref="C820:D820"/>
    <mergeCell ref="G820:H820"/>
    <mergeCell ref="C821:D821"/>
    <mergeCell ref="G821:H821"/>
    <mergeCell ref="C822:D822"/>
    <mergeCell ref="G822:H822"/>
    <mergeCell ref="C835:D835"/>
    <mergeCell ref="G835:H835"/>
    <mergeCell ref="C818:D818"/>
    <mergeCell ref="G818:H818"/>
    <mergeCell ref="C819:D819"/>
    <mergeCell ref="G819:H819"/>
    <mergeCell ref="C814:D814"/>
    <mergeCell ref="G814:H814"/>
    <mergeCell ref="C815:D815"/>
    <mergeCell ref="G815:H815"/>
    <mergeCell ref="C816:D816"/>
    <mergeCell ref="G816:H816"/>
    <mergeCell ref="C811:D811"/>
    <mergeCell ref="G811:H811"/>
    <mergeCell ref="C812:D812"/>
    <mergeCell ref="G812:H812"/>
    <mergeCell ref="C813:D813"/>
    <mergeCell ref="G813:H813"/>
    <mergeCell ref="C826:D826"/>
    <mergeCell ref="G826:H826"/>
    <mergeCell ref="C809:D809"/>
    <mergeCell ref="G809:H809"/>
    <mergeCell ref="C810:D810"/>
    <mergeCell ref="G810:H810"/>
    <mergeCell ref="C805:D805"/>
    <mergeCell ref="G805:H805"/>
    <mergeCell ref="C806:D806"/>
    <mergeCell ref="G806:H806"/>
    <mergeCell ref="C807:D807"/>
    <mergeCell ref="G807:H807"/>
    <mergeCell ref="C802:D802"/>
    <mergeCell ref="G802:H802"/>
    <mergeCell ref="C803:D803"/>
    <mergeCell ref="G803:H803"/>
    <mergeCell ref="C804:D804"/>
    <mergeCell ref="G804:H804"/>
    <mergeCell ref="C817:D817"/>
    <mergeCell ref="G817:H817"/>
    <mergeCell ref="C800:D800"/>
    <mergeCell ref="G800:H800"/>
    <mergeCell ref="C801:D801"/>
    <mergeCell ref="G801:H801"/>
    <mergeCell ref="C796:D796"/>
    <mergeCell ref="G796:H796"/>
    <mergeCell ref="C797:D797"/>
    <mergeCell ref="G797:H797"/>
    <mergeCell ref="C798:D798"/>
    <mergeCell ref="G798:H798"/>
    <mergeCell ref="C793:D793"/>
    <mergeCell ref="G793:H793"/>
    <mergeCell ref="C794:D794"/>
    <mergeCell ref="G794:H794"/>
    <mergeCell ref="C795:D795"/>
    <mergeCell ref="G795:H795"/>
    <mergeCell ref="C808:D808"/>
    <mergeCell ref="G808:H808"/>
    <mergeCell ref="C791:D791"/>
    <mergeCell ref="G791:H791"/>
    <mergeCell ref="C792:D792"/>
    <mergeCell ref="G792:H792"/>
    <mergeCell ref="C787:D787"/>
    <mergeCell ref="G787:H787"/>
    <mergeCell ref="C788:D788"/>
    <mergeCell ref="G788:H788"/>
    <mergeCell ref="C789:D789"/>
    <mergeCell ref="G789:H789"/>
    <mergeCell ref="C784:D784"/>
    <mergeCell ref="G784:H784"/>
    <mergeCell ref="C785:D785"/>
    <mergeCell ref="G785:H785"/>
    <mergeCell ref="C786:D786"/>
    <mergeCell ref="G786:H786"/>
    <mergeCell ref="C799:D799"/>
    <mergeCell ref="G799:H799"/>
    <mergeCell ref="C782:D782"/>
    <mergeCell ref="G782:H782"/>
    <mergeCell ref="C783:D783"/>
    <mergeCell ref="G783:H783"/>
    <mergeCell ref="C778:D778"/>
    <mergeCell ref="G778:H778"/>
    <mergeCell ref="C779:D779"/>
    <mergeCell ref="G779:H779"/>
    <mergeCell ref="C780:D780"/>
    <mergeCell ref="G780:H780"/>
    <mergeCell ref="C775:D775"/>
    <mergeCell ref="G775:H775"/>
    <mergeCell ref="C776:D776"/>
    <mergeCell ref="G776:H776"/>
    <mergeCell ref="C777:D777"/>
    <mergeCell ref="G777:H777"/>
    <mergeCell ref="C790:D790"/>
    <mergeCell ref="G790:H790"/>
    <mergeCell ref="C773:D773"/>
    <mergeCell ref="G773:H773"/>
    <mergeCell ref="C774:D774"/>
    <mergeCell ref="G774:H774"/>
    <mergeCell ref="C769:D769"/>
    <mergeCell ref="G769:H769"/>
    <mergeCell ref="C770:D770"/>
    <mergeCell ref="G770:H770"/>
    <mergeCell ref="C771:D771"/>
    <mergeCell ref="G771:H771"/>
    <mergeCell ref="C766:D766"/>
    <mergeCell ref="G766:H766"/>
    <mergeCell ref="C767:D767"/>
    <mergeCell ref="G767:H767"/>
    <mergeCell ref="C768:D768"/>
    <mergeCell ref="G768:H768"/>
    <mergeCell ref="C781:D781"/>
    <mergeCell ref="G781:H781"/>
    <mergeCell ref="C764:D764"/>
    <mergeCell ref="G764:H764"/>
    <mergeCell ref="C765:D765"/>
    <mergeCell ref="G765:H765"/>
    <mergeCell ref="C760:D760"/>
    <mergeCell ref="G760:H760"/>
    <mergeCell ref="C761:D761"/>
    <mergeCell ref="G761:H761"/>
    <mergeCell ref="C762:D762"/>
    <mergeCell ref="G762:H762"/>
    <mergeCell ref="C757:D757"/>
    <mergeCell ref="G757:H757"/>
    <mergeCell ref="C758:D758"/>
    <mergeCell ref="G758:H758"/>
    <mergeCell ref="C759:D759"/>
    <mergeCell ref="G759:H759"/>
    <mergeCell ref="C772:D772"/>
    <mergeCell ref="G772:H772"/>
    <mergeCell ref="C755:D755"/>
    <mergeCell ref="G755:H755"/>
    <mergeCell ref="C756:D756"/>
    <mergeCell ref="G756:H756"/>
    <mergeCell ref="C751:D751"/>
    <mergeCell ref="G751:H751"/>
    <mergeCell ref="C752:D752"/>
    <mergeCell ref="G752:H752"/>
    <mergeCell ref="C753:D753"/>
    <mergeCell ref="G753:H753"/>
    <mergeCell ref="C748:D748"/>
    <mergeCell ref="G748:H748"/>
    <mergeCell ref="C749:D749"/>
    <mergeCell ref="G749:H749"/>
    <mergeCell ref="C750:D750"/>
    <mergeCell ref="G750:H750"/>
    <mergeCell ref="C763:D763"/>
    <mergeCell ref="G763:H763"/>
    <mergeCell ref="C746:D746"/>
    <mergeCell ref="G746:H746"/>
    <mergeCell ref="C747:D747"/>
    <mergeCell ref="G747:H747"/>
    <mergeCell ref="C742:D742"/>
    <mergeCell ref="G742:H742"/>
    <mergeCell ref="C743:D743"/>
    <mergeCell ref="G743:H743"/>
    <mergeCell ref="C744:D744"/>
    <mergeCell ref="G744:H744"/>
    <mergeCell ref="C739:D739"/>
    <mergeCell ref="G739:H739"/>
    <mergeCell ref="C740:D740"/>
    <mergeCell ref="G740:H740"/>
    <mergeCell ref="C741:D741"/>
    <mergeCell ref="G741:H741"/>
    <mergeCell ref="C754:D754"/>
    <mergeCell ref="G754:H754"/>
    <mergeCell ref="C737:D737"/>
    <mergeCell ref="G737:H737"/>
    <mergeCell ref="C738:D738"/>
    <mergeCell ref="G738:H738"/>
    <mergeCell ref="C733:D733"/>
    <mergeCell ref="G733:H733"/>
    <mergeCell ref="C734:D734"/>
    <mergeCell ref="G734:H734"/>
    <mergeCell ref="C735:D735"/>
    <mergeCell ref="G735:H735"/>
    <mergeCell ref="C730:D730"/>
    <mergeCell ref="G730:H730"/>
    <mergeCell ref="C731:D731"/>
    <mergeCell ref="G731:H731"/>
    <mergeCell ref="C732:D732"/>
    <mergeCell ref="G732:H732"/>
    <mergeCell ref="C745:D745"/>
    <mergeCell ref="G745:H745"/>
    <mergeCell ref="C728:D728"/>
    <mergeCell ref="G728:H728"/>
    <mergeCell ref="C729:D729"/>
    <mergeCell ref="G729:H729"/>
    <mergeCell ref="C724:D724"/>
    <mergeCell ref="G724:H724"/>
    <mergeCell ref="C725:D725"/>
    <mergeCell ref="G725:H725"/>
    <mergeCell ref="C726:D726"/>
    <mergeCell ref="G726:H726"/>
    <mergeCell ref="C721:D721"/>
    <mergeCell ref="G721:H721"/>
    <mergeCell ref="C722:D722"/>
    <mergeCell ref="G722:H722"/>
    <mergeCell ref="C723:D723"/>
    <mergeCell ref="G723:H723"/>
    <mergeCell ref="C736:D736"/>
    <mergeCell ref="G736:H736"/>
    <mergeCell ref="C719:D719"/>
    <mergeCell ref="G719:H719"/>
    <mergeCell ref="C720:D720"/>
    <mergeCell ref="G720:H720"/>
    <mergeCell ref="C715:D715"/>
    <mergeCell ref="G715:H715"/>
    <mergeCell ref="C716:D716"/>
    <mergeCell ref="G716:H716"/>
    <mergeCell ref="C717:D717"/>
    <mergeCell ref="G717:H717"/>
    <mergeCell ref="C712:D712"/>
    <mergeCell ref="G712:H712"/>
    <mergeCell ref="C713:D713"/>
    <mergeCell ref="G713:H713"/>
    <mergeCell ref="C714:D714"/>
    <mergeCell ref="G714:H714"/>
    <mergeCell ref="C727:D727"/>
    <mergeCell ref="G727:H727"/>
    <mergeCell ref="C710:D710"/>
    <mergeCell ref="G710:H710"/>
    <mergeCell ref="C711:D711"/>
    <mergeCell ref="G711:H711"/>
    <mergeCell ref="C706:D706"/>
    <mergeCell ref="G706:H706"/>
    <mergeCell ref="C707:D707"/>
    <mergeCell ref="G707:H707"/>
    <mergeCell ref="C708:D708"/>
    <mergeCell ref="G708:H708"/>
    <mergeCell ref="C703:D703"/>
    <mergeCell ref="G703:H703"/>
    <mergeCell ref="C704:D704"/>
    <mergeCell ref="G704:H704"/>
    <mergeCell ref="C705:D705"/>
    <mergeCell ref="G705:H705"/>
    <mergeCell ref="C718:D718"/>
    <mergeCell ref="G718:H718"/>
    <mergeCell ref="C701:D701"/>
    <mergeCell ref="G701:H701"/>
    <mergeCell ref="C702:D702"/>
    <mergeCell ref="G702:H702"/>
    <mergeCell ref="C697:D697"/>
    <mergeCell ref="G697:H697"/>
    <mergeCell ref="C698:D698"/>
    <mergeCell ref="G698:H698"/>
    <mergeCell ref="C699:D699"/>
    <mergeCell ref="G699:H699"/>
    <mergeCell ref="C694:D694"/>
    <mergeCell ref="G694:H694"/>
    <mergeCell ref="C695:D695"/>
    <mergeCell ref="G695:H695"/>
    <mergeCell ref="C696:D696"/>
    <mergeCell ref="G696:H696"/>
    <mergeCell ref="C709:D709"/>
    <mergeCell ref="G709:H709"/>
    <mergeCell ref="C692:D692"/>
    <mergeCell ref="G692:H692"/>
    <mergeCell ref="C693:D693"/>
    <mergeCell ref="G693:H693"/>
    <mergeCell ref="C688:D688"/>
    <mergeCell ref="G688:H688"/>
    <mergeCell ref="C689:D689"/>
    <mergeCell ref="G689:H689"/>
    <mergeCell ref="C690:D690"/>
    <mergeCell ref="G690:H690"/>
    <mergeCell ref="C685:D685"/>
    <mergeCell ref="G685:H685"/>
    <mergeCell ref="C686:D686"/>
    <mergeCell ref="G686:H686"/>
    <mergeCell ref="C687:D687"/>
    <mergeCell ref="G687:H687"/>
    <mergeCell ref="C700:D700"/>
    <mergeCell ref="G700:H700"/>
    <mergeCell ref="C683:D683"/>
    <mergeCell ref="G683:H683"/>
    <mergeCell ref="C684:D684"/>
    <mergeCell ref="G684:H684"/>
    <mergeCell ref="C679:D679"/>
    <mergeCell ref="G679:H679"/>
    <mergeCell ref="C680:D680"/>
    <mergeCell ref="G680:H680"/>
    <mergeCell ref="C681:D681"/>
    <mergeCell ref="G681:H681"/>
    <mergeCell ref="C676:D676"/>
    <mergeCell ref="G676:H676"/>
    <mergeCell ref="C677:D677"/>
    <mergeCell ref="G677:H677"/>
    <mergeCell ref="C678:D678"/>
    <mergeCell ref="G678:H678"/>
    <mergeCell ref="C691:D691"/>
    <mergeCell ref="G691:H691"/>
    <mergeCell ref="C674:D674"/>
    <mergeCell ref="G674:H674"/>
    <mergeCell ref="C675:D675"/>
    <mergeCell ref="G675:H675"/>
    <mergeCell ref="C670:D670"/>
    <mergeCell ref="G670:H670"/>
    <mergeCell ref="C671:D671"/>
    <mergeCell ref="G671:H671"/>
    <mergeCell ref="C672:D672"/>
    <mergeCell ref="G672:H672"/>
    <mergeCell ref="C667:D667"/>
    <mergeCell ref="G667:H667"/>
    <mergeCell ref="C668:D668"/>
    <mergeCell ref="G668:H668"/>
    <mergeCell ref="C669:D669"/>
    <mergeCell ref="G669:H669"/>
    <mergeCell ref="C682:D682"/>
    <mergeCell ref="G682:H682"/>
    <mergeCell ref="C665:D665"/>
    <mergeCell ref="G665:H665"/>
    <mergeCell ref="C666:D666"/>
    <mergeCell ref="G666:H666"/>
    <mergeCell ref="C661:D661"/>
    <mergeCell ref="G661:H661"/>
    <mergeCell ref="C662:D662"/>
    <mergeCell ref="G662:H662"/>
    <mergeCell ref="C663:D663"/>
    <mergeCell ref="G663:H663"/>
    <mergeCell ref="C658:D658"/>
    <mergeCell ref="G658:H658"/>
    <mergeCell ref="C659:D659"/>
    <mergeCell ref="G659:H659"/>
    <mergeCell ref="C660:D660"/>
    <mergeCell ref="G660:H660"/>
    <mergeCell ref="C673:D673"/>
    <mergeCell ref="G673:H673"/>
    <mergeCell ref="C656:D656"/>
    <mergeCell ref="G656:H656"/>
    <mergeCell ref="C657:D657"/>
    <mergeCell ref="G657:H657"/>
    <mergeCell ref="C652:D652"/>
    <mergeCell ref="G652:H652"/>
    <mergeCell ref="C653:D653"/>
    <mergeCell ref="G653:H653"/>
    <mergeCell ref="C654:D654"/>
    <mergeCell ref="G654:H654"/>
    <mergeCell ref="C649:D649"/>
    <mergeCell ref="G649:H649"/>
    <mergeCell ref="C650:D650"/>
    <mergeCell ref="G650:H650"/>
    <mergeCell ref="C651:D651"/>
    <mergeCell ref="G651:H651"/>
    <mergeCell ref="C664:D664"/>
    <mergeCell ref="G664:H664"/>
    <mergeCell ref="C647:D647"/>
    <mergeCell ref="G647:H647"/>
    <mergeCell ref="C648:D648"/>
    <mergeCell ref="G648:H648"/>
    <mergeCell ref="C643:D643"/>
    <mergeCell ref="G643:H643"/>
    <mergeCell ref="C644:D644"/>
    <mergeCell ref="G644:H644"/>
    <mergeCell ref="C645:D645"/>
    <mergeCell ref="G645:H645"/>
    <mergeCell ref="C640:D640"/>
    <mergeCell ref="G640:H640"/>
    <mergeCell ref="C641:D641"/>
    <mergeCell ref="G641:H641"/>
    <mergeCell ref="C642:D642"/>
    <mergeCell ref="G642:H642"/>
    <mergeCell ref="C655:D655"/>
    <mergeCell ref="G655:H655"/>
    <mergeCell ref="C638:D638"/>
    <mergeCell ref="G638:H638"/>
    <mergeCell ref="C639:D639"/>
    <mergeCell ref="G639:H639"/>
    <mergeCell ref="C634:D634"/>
    <mergeCell ref="G634:H634"/>
    <mergeCell ref="C635:D635"/>
    <mergeCell ref="G635:H635"/>
    <mergeCell ref="C636:D636"/>
    <mergeCell ref="G636:H636"/>
    <mergeCell ref="C631:D631"/>
    <mergeCell ref="G631:H631"/>
    <mergeCell ref="C632:D632"/>
    <mergeCell ref="G632:H632"/>
    <mergeCell ref="C633:D633"/>
    <mergeCell ref="G633:H633"/>
    <mergeCell ref="C646:D646"/>
    <mergeCell ref="G646:H646"/>
    <mergeCell ref="C629:D629"/>
    <mergeCell ref="G629:H629"/>
    <mergeCell ref="C630:D630"/>
    <mergeCell ref="G630:H630"/>
    <mergeCell ref="C625:D625"/>
    <mergeCell ref="G625:H625"/>
    <mergeCell ref="C626:D626"/>
    <mergeCell ref="G626:H626"/>
    <mergeCell ref="C627:D627"/>
    <mergeCell ref="G627:H627"/>
    <mergeCell ref="C622:D622"/>
    <mergeCell ref="G622:H622"/>
    <mergeCell ref="C623:D623"/>
    <mergeCell ref="G623:H623"/>
    <mergeCell ref="C624:D624"/>
    <mergeCell ref="G624:H624"/>
    <mergeCell ref="C637:D637"/>
    <mergeCell ref="G637:H637"/>
    <mergeCell ref="C620:D620"/>
    <mergeCell ref="G620:H620"/>
    <mergeCell ref="C621:D621"/>
    <mergeCell ref="G621:H621"/>
    <mergeCell ref="C616:D616"/>
    <mergeCell ref="G616:H616"/>
    <mergeCell ref="C617:D617"/>
    <mergeCell ref="G617:H617"/>
    <mergeCell ref="C618:D618"/>
    <mergeCell ref="G618:H618"/>
    <mergeCell ref="C613:D613"/>
    <mergeCell ref="G613:H613"/>
    <mergeCell ref="C614:D614"/>
    <mergeCell ref="G614:H614"/>
    <mergeCell ref="C615:D615"/>
    <mergeCell ref="G615:H615"/>
    <mergeCell ref="C628:D628"/>
    <mergeCell ref="G628:H628"/>
    <mergeCell ref="C611:D611"/>
    <mergeCell ref="G611:H611"/>
    <mergeCell ref="C612:D612"/>
    <mergeCell ref="G612:H612"/>
    <mergeCell ref="C607:D607"/>
    <mergeCell ref="G607:H607"/>
    <mergeCell ref="C608:D608"/>
    <mergeCell ref="G608:H608"/>
    <mergeCell ref="C609:D609"/>
    <mergeCell ref="G609:H609"/>
    <mergeCell ref="C604:D604"/>
    <mergeCell ref="G604:H604"/>
    <mergeCell ref="C605:D605"/>
    <mergeCell ref="G605:H605"/>
    <mergeCell ref="C606:D606"/>
    <mergeCell ref="G606:H606"/>
    <mergeCell ref="C619:D619"/>
    <mergeCell ref="G619:H619"/>
    <mergeCell ref="C602:D602"/>
    <mergeCell ref="G602:H602"/>
    <mergeCell ref="C603:D603"/>
    <mergeCell ref="G603:H603"/>
    <mergeCell ref="C598:D598"/>
    <mergeCell ref="G598:H598"/>
    <mergeCell ref="C599:D599"/>
    <mergeCell ref="G599:H599"/>
    <mergeCell ref="C600:D600"/>
    <mergeCell ref="G600:H600"/>
    <mergeCell ref="C595:D595"/>
    <mergeCell ref="G595:H595"/>
    <mergeCell ref="C596:D596"/>
    <mergeCell ref="G596:H596"/>
    <mergeCell ref="C597:D597"/>
    <mergeCell ref="G597:H597"/>
    <mergeCell ref="C610:D610"/>
    <mergeCell ref="G610:H610"/>
    <mergeCell ref="C593:D593"/>
    <mergeCell ref="G593:H593"/>
    <mergeCell ref="C594:D594"/>
    <mergeCell ref="G594:H594"/>
    <mergeCell ref="C589:D589"/>
    <mergeCell ref="G589:H589"/>
    <mergeCell ref="C590:D590"/>
    <mergeCell ref="G590:H590"/>
    <mergeCell ref="C591:D591"/>
    <mergeCell ref="G591:H591"/>
    <mergeCell ref="C586:D586"/>
    <mergeCell ref="G586:H586"/>
    <mergeCell ref="C587:D587"/>
    <mergeCell ref="G587:H587"/>
    <mergeCell ref="C588:D588"/>
    <mergeCell ref="G588:H588"/>
    <mergeCell ref="C601:D601"/>
    <mergeCell ref="G601:H601"/>
    <mergeCell ref="C584:D584"/>
    <mergeCell ref="G584:H584"/>
    <mergeCell ref="C585:D585"/>
    <mergeCell ref="G585:H585"/>
    <mergeCell ref="C580:D580"/>
    <mergeCell ref="G580:H580"/>
    <mergeCell ref="C581:D581"/>
    <mergeCell ref="G581:H581"/>
    <mergeCell ref="C582:D582"/>
    <mergeCell ref="G582:H582"/>
    <mergeCell ref="C577:D577"/>
    <mergeCell ref="G577:H577"/>
    <mergeCell ref="C578:D578"/>
    <mergeCell ref="G578:H578"/>
    <mergeCell ref="C579:D579"/>
    <mergeCell ref="G579:H579"/>
    <mergeCell ref="C592:D592"/>
    <mergeCell ref="G592:H592"/>
    <mergeCell ref="C575:D575"/>
    <mergeCell ref="G575:H575"/>
    <mergeCell ref="C576:D576"/>
    <mergeCell ref="G576:H576"/>
    <mergeCell ref="C571:D571"/>
    <mergeCell ref="G571:H571"/>
    <mergeCell ref="C572:D572"/>
    <mergeCell ref="G572:H572"/>
    <mergeCell ref="C573:D573"/>
    <mergeCell ref="G573:H573"/>
    <mergeCell ref="C568:D568"/>
    <mergeCell ref="G568:H568"/>
    <mergeCell ref="C569:D569"/>
    <mergeCell ref="G569:H569"/>
    <mergeCell ref="C570:D570"/>
    <mergeCell ref="G570:H570"/>
    <mergeCell ref="C583:D583"/>
    <mergeCell ref="G583:H583"/>
    <mergeCell ref="C566:D566"/>
    <mergeCell ref="G566:H566"/>
    <mergeCell ref="C567:D567"/>
    <mergeCell ref="G567:H567"/>
    <mergeCell ref="C562:D562"/>
    <mergeCell ref="G562:H562"/>
    <mergeCell ref="C563:D563"/>
    <mergeCell ref="G563:H563"/>
    <mergeCell ref="C564:D564"/>
    <mergeCell ref="G564:H564"/>
    <mergeCell ref="C559:D559"/>
    <mergeCell ref="G559:H559"/>
    <mergeCell ref="C560:D560"/>
    <mergeCell ref="G560:H560"/>
    <mergeCell ref="C561:D561"/>
    <mergeCell ref="G561:H561"/>
    <mergeCell ref="C574:D574"/>
    <mergeCell ref="G574:H574"/>
    <mergeCell ref="C557:D557"/>
    <mergeCell ref="G557:H557"/>
    <mergeCell ref="C558:D558"/>
    <mergeCell ref="G558:H558"/>
    <mergeCell ref="C553:D553"/>
    <mergeCell ref="G553:H553"/>
    <mergeCell ref="C554:D554"/>
    <mergeCell ref="G554:H554"/>
    <mergeCell ref="C555:D555"/>
    <mergeCell ref="G555:H555"/>
    <mergeCell ref="C550:D550"/>
    <mergeCell ref="G550:H550"/>
    <mergeCell ref="C551:D551"/>
    <mergeCell ref="G551:H551"/>
    <mergeCell ref="C552:D552"/>
    <mergeCell ref="G552:H552"/>
    <mergeCell ref="C565:D565"/>
    <mergeCell ref="G565:H565"/>
    <mergeCell ref="C548:D548"/>
    <mergeCell ref="G548:H548"/>
    <mergeCell ref="C549:D549"/>
    <mergeCell ref="G549:H549"/>
    <mergeCell ref="C544:D544"/>
    <mergeCell ref="G544:H544"/>
    <mergeCell ref="C545:D545"/>
    <mergeCell ref="G545:H545"/>
    <mergeCell ref="C546:D546"/>
    <mergeCell ref="G546:H546"/>
    <mergeCell ref="C541:D541"/>
    <mergeCell ref="G541:H541"/>
    <mergeCell ref="C542:D542"/>
    <mergeCell ref="G542:H542"/>
    <mergeCell ref="C543:D543"/>
    <mergeCell ref="G543:H543"/>
    <mergeCell ref="C556:D556"/>
    <mergeCell ref="G556:H556"/>
    <mergeCell ref="C539:D539"/>
    <mergeCell ref="G539:H539"/>
    <mergeCell ref="C540:D540"/>
    <mergeCell ref="G540:H540"/>
    <mergeCell ref="C535:D535"/>
    <mergeCell ref="G535:H535"/>
    <mergeCell ref="C536:D536"/>
    <mergeCell ref="G536:H536"/>
    <mergeCell ref="C537:D537"/>
    <mergeCell ref="G537:H537"/>
    <mergeCell ref="C532:D532"/>
    <mergeCell ref="G532:H532"/>
    <mergeCell ref="C533:D533"/>
    <mergeCell ref="G533:H533"/>
    <mergeCell ref="C534:D534"/>
    <mergeCell ref="G534:H534"/>
    <mergeCell ref="C547:D547"/>
    <mergeCell ref="G547:H547"/>
    <mergeCell ref="C530:D530"/>
    <mergeCell ref="G530:H530"/>
    <mergeCell ref="C531:D531"/>
    <mergeCell ref="G531:H531"/>
    <mergeCell ref="C526:D526"/>
    <mergeCell ref="G526:H526"/>
    <mergeCell ref="C527:D527"/>
    <mergeCell ref="G527:H527"/>
    <mergeCell ref="C528:D528"/>
    <mergeCell ref="G528:H528"/>
    <mergeCell ref="C523:D523"/>
    <mergeCell ref="G523:H523"/>
    <mergeCell ref="C524:D524"/>
    <mergeCell ref="G524:H524"/>
    <mergeCell ref="C525:D525"/>
    <mergeCell ref="G525:H525"/>
    <mergeCell ref="C538:D538"/>
    <mergeCell ref="G538:H538"/>
    <mergeCell ref="C521:D521"/>
    <mergeCell ref="G521:H521"/>
    <mergeCell ref="C522:D522"/>
    <mergeCell ref="G522:H522"/>
    <mergeCell ref="C517:D517"/>
    <mergeCell ref="G517:H517"/>
    <mergeCell ref="C518:D518"/>
    <mergeCell ref="G518:H518"/>
    <mergeCell ref="C519:D519"/>
    <mergeCell ref="G519:H519"/>
    <mergeCell ref="C514:D514"/>
    <mergeCell ref="G514:H514"/>
    <mergeCell ref="C515:D515"/>
    <mergeCell ref="G515:H515"/>
    <mergeCell ref="C516:D516"/>
    <mergeCell ref="G516:H516"/>
    <mergeCell ref="C529:D529"/>
    <mergeCell ref="G529:H529"/>
    <mergeCell ref="C512:D512"/>
    <mergeCell ref="G512:H512"/>
    <mergeCell ref="C513:D513"/>
    <mergeCell ref="G513:H513"/>
    <mergeCell ref="C508:D508"/>
    <mergeCell ref="G508:H508"/>
    <mergeCell ref="C509:D509"/>
    <mergeCell ref="G509:H509"/>
    <mergeCell ref="C510:D510"/>
    <mergeCell ref="G510:H510"/>
    <mergeCell ref="C505:D505"/>
    <mergeCell ref="G505:H505"/>
    <mergeCell ref="C506:D506"/>
    <mergeCell ref="G506:H506"/>
    <mergeCell ref="C507:D507"/>
    <mergeCell ref="G507:H507"/>
    <mergeCell ref="C520:D520"/>
    <mergeCell ref="G520:H520"/>
    <mergeCell ref="C503:D503"/>
    <mergeCell ref="G503:H503"/>
    <mergeCell ref="C504:D504"/>
    <mergeCell ref="G504:H504"/>
    <mergeCell ref="C499:D499"/>
    <mergeCell ref="G499:H499"/>
    <mergeCell ref="C500:D500"/>
    <mergeCell ref="G500:H500"/>
    <mergeCell ref="C501:D501"/>
    <mergeCell ref="G501:H501"/>
    <mergeCell ref="C496:D496"/>
    <mergeCell ref="G496:H496"/>
    <mergeCell ref="C497:D497"/>
    <mergeCell ref="G497:H497"/>
    <mergeCell ref="C498:D498"/>
    <mergeCell ref="G498:H498"/>
    <mergeCell ref="C511:D511"/>
    <mergeCell ref="G511:H511"/>
    <mergeCell ref="C494:D494"/>
    <mergeCell ref="G494:H494"/>
    <mergeCell ref="C495:D495"/>
    <mergeCell ref="G495:H495"/>
    <mergeCell ref="C490:D490"/>
    <mergeCell ref="G490:H490"/>
    <mergeCell ref="C491:D491"/>
    <mergeCell ref="G491:H491"/>
    <mergeCell ref="C492:D492"/>
    <mergeCell ref="G492:H492"/>
    <mergeCell ref="C487:D487"/>
    <mergeCell ref="G487:H487"/>
    <mergeCell ref="C488:D488"/>
    <mergeCell ref="G488:H488"/>
    <mergeCell ref="C489:D489"/>
    <mergeCell ref="G489:H489"/>
    <mergeCell ref="C502:D502"/>
    <mergeCell ref="G502:H502"/>
    <mergeCell ref="C485:D485"/>
    <mergeCell ref="G485:H485"/>
    <mergeCell ref="C486:D486"/>
    <mergeCell ref="G486:H486"/>
    <mergeCell ref="C481:D481"/>
    <mergeCell ref="G481:H481"/>
    <mergeCell ref="C482:D482"/>
    <mergeCell ref="G482:H482"/>
    <mergeCell ref="C483:D483"/>
    <mergeCell ref="G483:H483"/>
    <mergeCell ref="C478:D478"/>
    <mergeCell ref="G478:H478"/>
    <mergeCell ref="C479:D479"/>
    <mergeCell ref="G479:H479"/>
    <mergeCell ref="C480:D480"/>
    <mergeCell ref="G480:H480"/>
    <mergeCell ref="C493:D493"/>
    <mergeCell ref="G493:H493"/>
    <mergeCell ref="C476:D476"/>
    <mergeCell ref="G476:H476"/>
    <mergeCell ref="C477:D477"/>
    <mergeCell ref="G477:H477"/>
    <mergeCell ref="C472:D472"/>
    <mergeCell ref="G472:H472"/>
    <mergeCell ref="C473:D473"/>
    <mergeCell ref="G473:H473"/>
    <mergeCell ref="C474:D474"/>
    <mergeCell ref="G474:H474"/>
    <mergeCell ref="C469:D469"/>
    <mergeCell ref="G469:H469"/>
    <mergeCell ref="C470:D470"/>
    <mergeCell ref="G470:H470"/>
    <mergeCell ref="C471:D471"/>
    <mergeCell ref="G471:H471"/>
    <mergeCell ref="C484:D484"/>
    <mergeCell ref="G484:H484"/>
    <mergeCell ref="C467:D467"/>
    <mergeCell ref="G467:H467"/>
    <mergeCell ref="C468:D468"/>
    <mergeCell ref="G468:H468"/>
    <mergeCell ref="C463:D463"/>
    <mergeCell ref="G463:H463"/>
    <mergeCell ref="C464:D464"/>
    <mergeCell ref="G464:H464"/>
    <mergeCell ref="C465:D465"/>
    <mergeCell ref="G465:H465"/>
    <mergeCell ref="C460:D460"/>
    <mergeCell ref="G460:H460"/>
    <mergeCell ref="C461:D461"/>
    <mergeCell ref="G461:H461"/>
    <mergeCell ref="C462:D462"/>
    <mergeCell ref="G462:H462"/>
    <mergeCell ref="C475:D475"/>
    <mergeCell ref="G475:H475"/>
    <mergeCell ref="C458:D458"/>
    <mergeCell ref="G458:H458"/>
    <mergeCell ref="C459:D459"/>
    <mergeCell ref="G459:H459"/>
    <mergeCell ref="C454:D454"/>
    <mergeCell ref="G454:H454"/>
    <mergeCell ref="C455:D455"/>
    <mergeCell ref="G455:H455"/>
    <mergeCell ref="C456:D456"/>
    <mergeCell ref="G456:H456"/>
    <mergeCell ref="C451:D451"/>
    <mergeCell ref="G451:H451"/>
    <mergeCell ref="C452:D452"/>
    <mergeCell ref="G452:H452"/>
    <mergeCell ref="C453:D453"/>
    <mergeCell ref="G453:H453"/>
    <mergeCell ref="C466:D466"/>
    <mergeCell ref="G466:H466"/>
    <mergeCell ref="C449:D449"/>
    <mergeCell ref="G449:H449"/>
    <mergeCell ref="C450:D450"/>
    <mergeCell ref="G450:H450"/>
    <mergeCell ref="C445:D445"/>
    <mergeCell ref="G445:H445"/>
    <mergeCell ref="C446:D446"/>
    <mergeCell ref="G446:H446"/>
    <mergeCell ref="C447:D447"/>
    <mergeCell ref="G447:H447"/>
    <mergeCell ref="C442:D442"/>
    <mergeCell ref="G442:H442"/>
    <mergeCell ref="C443:D443"/>
    <mergeCell ref="G443:H443"/>
    <mergeCell ref="C444:D444"/>
    <mergeCell ref="G444:H444"/>
    <mergeCell ref="C457:D457"/>
    <mergeCell ref="G457:H457"/>
    <mergeCell ref="C440:D440"/>
    <mergeCell ref="G440:H440"/>
    <mergeCell ref="C441:D441"/>
    <mergeCell ref="G441:H441"/>
    <mergeCell ref="C436:D436"/>
    <mergeCell ref="G436:H436"/>
    <mergeCell ref="C437:D437"/>
    <mergeCell ref="G437:H437"/>
    <mergeCell ref="C438:D438"/>
    <mergeCell ref="G438:H438"/>
    <mergeCell ref="C433:D433"/>
    <mergeCell ref="G433:H433"/>
    <mergeCell ref="C434:D434"/>
    <mergeCell ref="G434:H434"/>
    <mergeCell ref="C435:D435"/>
    <mergeCell ref="G435:H435"/>
    <mergeCell ref="C448:D448"/>
    <mergeCell ref="G448:H448"/>
    <mergeCell ref="C431:D431"/>
    <mergeCell ref="G431:H431"/>
    <mergeCell ref="C432:D432"/>
    <mergeCell ref="G432:H432"/>
    <mergeCell ref="C427:D427"/>
    <mergeCell ref="G427:H427"/>
    <mergeCell ref="C428:D428"/>
    <mergeCell ref="G428:H428"/>
    <mergeCell ref="C429:D429"/>
    <mergeCell ref="G429:H429"/>
    <mergeCell ref="C424:D424"/>
    <mergeCell ref="G424:H424"/>
    <mergeCell ref="C425:D425"/>
    <mergeCell ref="G425:H425"/>
    <mergeCell ref="C426:D426"/>
    <mergeCell ref="G426:H426"/>
    <mergeCell ref="C439:D439"/>
    <mergeCell ref="G439:H439"/>
    <mergeCell ref="C422:D422"/>
    <mergeCell ref="G422:H422"/>
    <mergeCell ref="C423:D423"/>
    <mergeCell ref="G423:H423"/>
    <mergeCell ref="C418:D418"/>
    <mergeCell ref="G418:H418"/>
    <mergeCell ref="C419:D419"/>
    <mergeCell ref="G419:H419"/>
    <mergeCell ref="C420:D420"/>
    <mergeCell ref="G420:H420"/>
    <mergeCell ref="C415:D415"/>
    <mergeCell ref="G415:H415"/>
    <mergeCell ref="C416:D416"/>
    <mergeCell ref="G416:H416"/>
    <mergeCell ref="C417:D417"/>
    <mergeCell ref="G417:H417"/>
    <mergeCell ref="C430:D430"/>
    <mergeCell ref="G430:H430"/>
    <mergeCell ref="C413:D413"/>
    <mergeCell ref="G413:H413"/>
    <mergeCell ref="C414:D414"/>
    <mergeCell ref="G414:H414"/>
    <mergeCell ref="C409:D409"/>
    <mergeCell ref="G409:H409"/>
    <mergeCell ref="C410:D410"/>
    <mergeCell ref="G410:H410"/>
    <mergeCell ref="C411:D411"/>
    <mergeCell ref="G411:H411"/>
    <mergeCell ref="C406:D406"/>
    <mergeCell ref="G406:H406"/>
    <mergeCell ref="C407:D407"/>
    <mergeCell ref="G407:H407"/>
    <mergeCell ref="C408:D408"/>
    <mergeCell ref="G408:H408"/>
    <mergeCell ref="C421:D421"/>
    <mergeCell ref="G421:H421"/>
    <mergeCell ref="C404:D404"/>
    <mergeCell ref="G404:H404"/>
    <mergeCell ref="C405:D405"/>
    <mergeCell ref="G405:H405"/>
    <mergeCell ref="C400:D400"/>
    <mergeCell ref="G400:H400"/>
    <mergeCell ref="C401:D401"/>
    <mergeCell ref="G401:H401"/>
    <mergeCell ref="C402:D402"/>
    <mergeCell ref="G402:H402"/>
    <mergeCell ref="C397:D397"/>
    <mergeCell ref="G397:H397"/>
    <mergeCell ref="C398:D398"/>
    <mergeCell ref="G398:H398"/>
    <mergeCell ref="C399:D399"/>
    <mergeCell ref="G399:H399"/>
    <mergeCell ref="C412:D412"/>
    <mergeCell ref="G412:H412"/>
    <mergeCell ref="C395:D395"/>
    <mergeCell ref="G395:H395"/>
    <mergeCell ref="C396:D396"/>
    <mergeCell ref="G396:H396"/>
    <mergeCell ref="C391:D391"/>
    <mergeCell ref="G391:H391"/>
    <mergeCell ref="C392:D392"/>
    <mergeCell ref="G392:H392"/>
    <mergeCell ref="C393:D393"/>
    <mergeCell ref="G393:H393"/>
    <mergeCell ref="C388:D388"/>
    <mergeCell ref="G388:H388"/>
    <mergeCell ref="C389:D389"/>
    <mergeCell ref="G389:H389"/>
    <mergeCell ref="C390:D390"/>
    <mergeCell ref="G390:H390"/>
    <mergeCell ref="C403:D403"/>
    <mergeCell ref="G403:H403"/>
    <mergeCell ref="C386:D386"/>
    <mergeCell ref="G386:H386"/>
    <mergeCell ref="C387:D387"/>
    <mergeCell ref="G387:H387"/>
    <mergeCell ref="C382:D382"/>
    <mergeCell ref="G382:H382"/>
    <mergeCell ref="C383:D383"/>
    <mergeCell ref="G383:H383"/>
    <mergeCell ref="C384:D384"/>
    <mergeCell ref="G384:H384"/>
    <mergeCell ref="C379:D379"/>
    <mergeCell ref="G379:H379"/>
    <mergeCell ref="C380:D380"/>
    <mergeCell ref="G380:H380"/>
    <mergeCell ref="C381:D381"/>
    <mergeCell ref="G381:H381"/>
    <mergeCell ref="C394:D394"/>
    <mergeCell ref="G394:H394"/>
    <mergeCell ref="C377:D377"/>
    <mergeCell ref="G377:H377"/>
    <mergeCell ref="C378:D378"/>
    <mergeCell ref="G378:H378"/>
    <mergeCell ref="C373:D373"/>
    <mergeCell ref="G373:H373"/>
    <mergeCell ref="C374:D374"/>
    <mergeCell ref="G374:H374"/>
    <mergeCell ref="C375:D375"/>
    <mergeCell ref="G375:H375"/>
    <mergeCell ref="C370:D370"/>
    <mergeCell ref="G370:H370"/>
    <mergeCell ref="C371:D371"/>
    <mergeCell ref="G371:H371"/>
    <mergeCell ref="C372:D372"/>
    <mergeCell ref="G372:H372"/>
    <mergeCell ref="C385:D385"/>
    <mergeCell ref="G385:H385"/>
    <mergeCell ref="C368:D368"/>
    <mergeCell ref="G368:H368"/>
    <mergeCell ref="C369:D369"/>
    <mergeCell ref="G369:H369"/>
    <mergeCell ref="C364:D364"/>
    <mergeCell ref="G364:H364"/>
    <mergeCell ref="C365:D365"/>
    <mergeCell ref="G365:H365"/>
    <mergeCell ref="C366:D366"/>
    <mergeCell ref="G366:H366"/>
    <mergeCell ref="C361:D361"/>
    <mergeCell ref="G361:H361"/>
    <mergeCell ref="C362:D362"/>
    <mergeCell ref="G362:H362"/>
    <mergeCell ref="C363:D363"/>
    <mergeCell ref="G363:H363"/>
    <mergeCell ref="C376:D376"/>
    <mergeCell ref="G376:H376"/>
    <mergeCell ref="C359:D359"/>
    <mergeCell ref="G359:H359"/>
    <mergeCell ref="C360:D360"/>
    <mergeCell ref="G360:H360"/>
    <mergeCell ref="C355:D355"/>
    <mergeCell ref="G355:H355"/>
    <mergeCell ref="C356:D356"/>
    <mergeCell ref="G356:H356"/>
    <mergeCell ref="C357:D357"/>
    <mergeCell ref="G357:H357"/>
    <mergeCell ref="C352:D352"/>
    <mergeCell ref="G352:H352"/>
    <mergeCell ref="C353:D353"/>
    <mergeCell ref="G353:H353"/>
    <mergeCell ref="C354:D354"/>
    <mergeCell ref="G354:H354"/>
    <mergeCell ref="C367:D367"/>
    <mergeCell ref="G367:H367"/>
    <mergeCell ref="C350:D350"/>
    <mergeCell ref="G350:H350"/>
    <mergeCell ref="C351:D351"/>
    <mergeCell ref="G351:H351"/>
    <mergeCell ref="C346:D346"/>
    <mergeCell ref="G346:H346"/>
    <mergeCell ref="C347:D347"/>
    <mergeCell ref="G347:H347"/>
    <mergeCell ref="C348:D348"/>
    <mergeCell ref="G348:H348"/>
    <mergeCell ref="C343:D343"/>
    <mergeCell ref="G343:H343"/>
    <mergeCell ref="C344:D344"/>
    <mergeCell ref="G344:H344"/>
    <mergeCell ref="C345:D345"/>
    <mergeCell ref="G345:H345"/>
    <mergeCell ref="C358:D358"/>
    <mergeCell ref="G358:H358"/>
    <mergeCell ref="C341:D341"/>
    <mergeCell ref="G341:H341"/>
    <mergeCell ref="C342:D342"/>
    <mergeCell ref="G342:H342"/>
    <mergeCell ref="C337:D337"/>
    <mergeCell ref="G337:H337"/>
    <mergeCell ref="C338:D338"/>
    <mergeCell ref="G338:H338"/>
    <mergeCell ref="C339:D339"/>
    <mergeCell ref="G339:H339"/>
    <mergeCell ref="C334:D334"/>
    <mergeCell ref="G334:H334"/>
    <mergeCell ref="C335:D335"/>
    <mergeCell ref="G335:H335"/>
    <mergeCell ref="C336:D336"/>
    <mergeCell ref="G336:H336"/>
    <mergeCell ref="C349:D349"/>
    <mergeCell ref="G349:H349"/>
    <mergeCell ref="C332:D332"/>
    <mergeCell ref="G332:H332"/>
    <mergeCell ref="C333:D333"/>
    <mergeCell ref="G333:H333"/>
    <mergeCell ref="C328:D328"/>
    <mergeCell ref="G328:H328"/>
    <mergeCell ref="C329:D329"/>
    <mergeCell ref="G329:H329"/>
    <mergeCell ref="C330:D330"/>
    <mergeCell ref="G330:H330"/>
    <mergeCell ref="C325:D325"/>
    <mergeCell ref="G325:H325"/>
    <mergeCell ref="C326:D326"/>
    <mergeCell ref="G326:H326"/>
    <mergeCell ref="C327:D327"/>
    <mergeCell ref="G327:H327"/>
    <mergeCell ref="C340:D340"/>
    <mergeCell ref="G340:H340"/>
    <mergeCell ref="C323:D323"/>
    <mergeCell ref="G323:H323"/>
    <mergeCell ref="C324:D324"/>
    <mergeCell ref="G324:H324"/>
    <mergeCell ref="C319:D319"/>
    <mergeCell ref="G319:H319"/>
    <mergeCell ref="C320:D320"/>
    <mergeCell ref="G320:H320"/>
    <mergeCell ref="C321:D321"/>
    <mergeCell ref="G321:H321"/>
    <mergeCell ref="C316:D316"/>
    <mergeCell ref="G316:H316"/>
    <mergeCell ref="C317:D317"/>
    <mergeCell ref="G317:H317"/>
    <mergeCell ref="C318:D318"/>
    <mergeCell ref="G318:H318"/>
    <mergeCell ref="C331:D331"/>
    <mergeCell ref="G331:H331"/>
    <mergeCell ref="C314:D314"/>
    <mergeCell ref="G314:H314"/>
    <mergeCell ref="C315:D315"/>
    <mergeCell ref="G315:H315"/>
    <mergeCell ref="C310:D310"/>
    <mergeCell ref="G310:H310"/>
    <mergeCell ref="C311:D311"/>
    <mergeCell ref="G311:H311"/>
    <mergeCell ref="C312:D312"/>
    <mergeCell ref="G312:H312"/>
    <mergeCell ref="C307:D307"/>
    <mergeCell ref="G307:H307"/>
    <mergeCell ref="C308:D308"/>
    <mergeCell ref="G308:H308"/>
    <mergeCell ref="C309:D309"/>
    <mergeCell ref="G309:H309"/>
    <mergeCell ref="C322:D322"/>
    <mergeCell ref="G322:H322"/>
    <mergeCell ref="C305:D305"/>
    <mergeCell ref="G305:H305"/>
    <mergeCell ref="C306:D306"/>
    <mergeCell ref="G306:H306"/>
    <mergeCell ref="C301:D301"/>
    <mergeCell ref="G301:H301"/>
    <mergeCell ref="C302:D302"/>
    <mergeCell ref="G302:H302"/>
    <mergeCell ref="C303:D303"/>
    <mergeCell ref="G303:H303"/>
    <mergeCell ref="C298:D298"/>
    <mergeCell ref="G298:H298"/>
    <mergeCell ref="C299:D299"/>
    <mergeCell ref="G299:H299"/>
    <mergeCell ref="C300:D300"/>
    <mergeCell ref="G300:H300"/>
    <mergeCell ref="C313:D313"/>
    <mergeCell ref="G313:H313"/>
    <mergeCell ref="C296:D296"/>
    <mergeCell ref="G296:H296"/>
    <mergeCell ref="C297:D297"/>
    <mergeCell ref="G297:H297"/>
    <mergeCell ref="C292:D292"/>
    <mergeCell ref="G292:H292"/>
    <mergeCell ref="C293:D293"/>
    <mergeCell ref="G293:H293"/>
    <mergeCell ref="C294:D294"/>
    <mergeCell ref="G294:H294"/>
    <mergeCell ref="C289:D289"/>
    <mergeCell ref="G289:H289"/>
    <mergeCell ref="C290:D290"/>
    <mergeCell ref="G290:H290"/>
    <mergeCell ref="C291:D291"/>
    <mergeCell ref="G291:H291"/>
    <mergeCell ref="C304:D304"/>
    <mergeCell ref="G304:H304"/>
    <mergeCell ref="C287:D287"/>
    <mergeCell ref="G287:H287"/>
    <mergeCell ref="C288:D288"/>
    <mergeCell ref="G288:H288"/>
    <mergeCell ref="C283:D283"/>
    <mergeCell ref="G283:H283"/>
    <mergeCell ref="C284:D284"/>
    <mergeCell ref="G284:H284"/>
    <mergeCell ref="C285:D285"/>
    <mergeCell ref="G285:H285"/>
    <mergeCell ref="C280:D280"/>
    <mergeCell ref="G280:H280"/>
    <mergeCell ref="C281:D281"/>
    <mergeCell ref="G281:H281"/>
    <mergeCell ref="C282:D282"/>
    <mergeCell ref="G282:H282"/>
    <mergeCell ref="C295:D295"/>
    <mergeCell ref="G295:H295"/>
    <mergeCell ref="C278:D278"/>
    <mergeCell ref="G278:H278"/>
    <mergeCell ref="C279:D279"/>
    <mergeCell ref="G279:H279"/>
    <mergeCell ref="C274:D274"/>
    <mergeCell ref="G274:H274"/>
    <mergeCell ref="C275:D275"/>
    <mergeCell ref="G275:H275"/>
    <mergeCell ref="C276:D276"/>
    <mergeCell ref="G276:H276"/>
    <mergeCell ref="C271:D271"/>
    <mergeCell ref="G271:H271"/>
    <mergeCell ref="C272:D272"/>
    <mergeCell ref="G272:H272"/>
    <mergeCell ref="C273:D273"/>
    <mergeCell ref="G273:H273"/>
    <mergeCell ref="C286:D286"/>
    <mergeCell ref="G286:H286"/>
    <mergeCell ref="C269:D269"/>
    <mergeCell ref="G269:H269"/>
    <mergeCell ref="C270:D270"/>
    <mergeCell ref="G270:H270"/>
    <mergeCell ref="C265:D265"/>
    <mergeCell ref="G265:H265"/>
    <mergeCell ref="C266:D266"/>
    <mergeCell ref="G266:H266"/>
    <mergeCell ref="C267:D267"/>
    <mergeCell ref="G267:H267"/>
    <mergeCell ref="C262:D262"/>
    <mergeCell ref="G262:H262"/>
    <mergeCell ref="C263:D263"/>
    <mergeCell ref="G263:H263"/>
    <mergeCell ref="C264:D264"/>
    <mergeCell ref="G264:H264"/>
    <mergeCell ref="C277:D277"/>
    <mergeCell ref="G277:H277"/>
    <mergeCell ref="C260:D260"/>
    <mergeCell ref="G260:H260"/>
    <mergeCell ref="C261:D261"/>
    <mergeCell ref="G261:H261"/>
    <mergeCell ref="C256:D256"/>
    <mergeCell ref="G256:H256"/>
    <mergeCell ref="C257:D257"/>
    <mergeCell ref="G257:H257"/>
    <mergeCell ref="C258:D258"/>
    <mergeCell ref="G258:H258"/>
    <mergeCell ref="C253:D253"/>
    <mergeCell ref="G253:H253"/>
    <mergeCell ref="C254:D254"/>
    <mergeCell ref="G254:H254"/>
    <mergeCell ref="C255:D255"/>
    <mergeCell ref="G255:H255"/>
    <mergeCell ref="C268:D268"/>
    <mergeCell ref="G268:H268"/>
    <mergeCell ref="C251:D251"/>
    <mergeCell ref="G251:H251"/>
    <mergeCell ref="C252:D252"/>
    <mergeCell ref="G252:H252"/>
    <mergeCell ref="C247:D247"/>
    <mergeCell ref="G247:H247"/>
    <mergeCell ref="C248:D248"/>
    <mergeCell ref="G248:H248"/>
    <mergeCell ref="C249:D249"/>
    <mergeCell ref="G249:H249"/>
    <mergeCell ref="C244:D244"/>
    <mergeCell ref="G244:H244"/>
    <mergeCell ref="C245:D245"/>
    <mergeCell ref="G245:H245"/>
    <mergeCell ref="C246:D246"/>
    <mergeCell ref="G246:H246"/>
    <mergeCell ref="C259:D259"/>
    <mergeCell ref="G259:H259"/>
    <mergeCell ref="C242:D242"/>
    <mergeCell ref="G242:H242"/>
    <mergeCell ref="C243:D243"/>
    <mergeCell ref="G243:H243"/>
    <mergeCell ref="C238:D238"/>
    <mergeCell ref="G238:H238"/>
    <mergeCell ref="C239:D239"/>
    <mergeCell ref="G239:H239"/>
    <mergeCell ref="C240:D240"/>
    <mergeCell ref="G240:H240"/>
    <mergeCell ref="C235:D235"/>
    <mergeCell ref="G235:H235"/>
    <mergeCell ref="C236:D236"/>
    <mergeCell ref="G236:H236"/>
    <mergeCell ref="C237:D237"/>
    <mergeCell ref="G237:H237"/>
    <mergeCell ref="C250:D250"/>
    <mergeCell ref="G250:H250"/>
    <mergeCell ref="C233:D233"/>
    <mergeCell ref="G233:H233"/>
    <mergeCell ref="C234:D234"/>
    <mergeCell ref="G234:H234"/>
    <mergeCell ref="C229:D229"/>
    <mergeCell ref="G229:H229"/>
    <mergeCell ref="C230:D230"/>
    <mergeCell ref="G230:H230"/>
    <mergeCell ref="C231:D231"/>
    <mergeCell ref="G231:H231"/>
    <mergeCell ref="C226:D226"/>
    <mergeCell ref="G226:H226"/>
    <mergeCell ref="C227:D227"/>
    <mergeCell ref="G227:H227"/>
    <mergeCell ref="C228:D228"/>
    <mergeCell ref="G228:H228"/>
    <mergeCell ref="C241:D241"/>
    <mergeCell ref="G241:H241"/>
    <mergeCell ref="C224:D224"/>
    <mergeCell ref="G224:H224"/>
    <mergeCell ref="C225:D225"/>
    <mergeCell ref="G225:H225"/>
    <mergeCell ref="C220:D220"/>
    <mergeCell ref="G220:H220"/>
    <mergeCell ref="C221:D221"/>
    <mergeCell ref="G221:H221"/>
    <mergeCell ref="C222:D222"/>
    <mergeCell ref="G222:H222"/>
    <mergeCell ref="C217:D217"/>
    <mergeCell ref="G217:H217"/>
    <mergeCell ref="C218:D218"/>
    <mergeCell ref="G218:H218"/>
    <mergeCell ref="C219:D219"/>
    <mergeCell ref="G219:H219"/>
    <mergeCell ref="C232:D232"/>
    <mergeCell ref="G232:H232"/>
    <mergeCell ref="C215:D215"/>
    <mergeCell ref="G215:H215"/>
    <mergeCell ref="C216:D216"/>
    <mergeCell ref="G216:H216"/>
    <mergeCell ref="C211:D211"/>
    <mergeCell ref="G211:H211"/>
    <mergeCell ref="C212:D212"/>
    <mergeCell ref="G212:H212"/>
    <mergeCell ref="C213:D213"/>
    <mergeCell ref="G213:H213"/>
    <mergeCell ref="C208:D208"/>
    <mergeCell ref="G208:H208"/>
    <mergeCell ref="C209:D209"/>
    <mergeCell ref="G209:H209"/>
    <mergeCell ref="C210:D210"/>
    <mergeCell ref="G210:H210"/>
    <mergeCell ref="C223:D223"/>
    <mergeCell ref="G223:H223"/>
    <mergeCell ref="C206:D206"/>
    <mergeCell ref="G206:H206"/>
    <mergeCell ref="C207:D207"/>
    <mergeCell ref="G207:H207"/>
    <mergeCell ref="C202:D202"/>
    <mergeCell ref="G202:H202"/>
    <mergeCell ref="C203:D203"/>
    <mergeCell ref="G203:H203"/>
    <mergeCell ref="C204:D204"/>
    <mergeCell ref="G204:H204"/>
    <mergeCell ref="C199:D199"/>
    <mergeCell ref="G199:H199"/>
    <mergeCell ref="C200:D200"/>
    <mergeCell ref="G200:H200"/>
    <mergeCell ref="C201:D201"/>
    <mergeCell ref="G201:H201"/>
    <mergeCell ref="C214:D214"/>
    <mergeCell ref="G214:H214"/>
    <mergeCell ref="C197:D197"/>
    <mergeCell ref="G197:H197"/>
    <mergeCell ref="C198:D198"/>
    <mergeCell ref="G198:H198"/>
    <mergeCell ref="C193:D193"/>
    <mergeCell ref="G193:H193"/>
    <mergeCell ref="C194:D194"/>
    <mergeCell ref="G194:H194"/>
    <mergeCell ref="C195:D195"/>
    <mergeCell ref="G195:H195"/>
    <mergeCell ref="C190:D190"/>
    <mergeCell ref="G190:H190"/>
    <mergeCell ref="C191:D191"/>
    <mergeCell ref="G191:H191"/>
    <mergeCell ref="C192:D192"/>
    <mergeCell ref="G192:H192"/>
    <mergeCell ref="C205:D205"/>
    <mergeCell ref="G205:H205"/>
    <mergeCell ref="C188:D188"/>
    <mergeCell ref="G188:H188"/>
    <mergeCell ref="C189:D189"/>
    <mergeCell ref="G189:H189"/>
    <mergeCell ref="C184:D184"/>
    <mergeCell ref="G184:H184"/>
    <mergeCell ref="C185:D185"/>
    <mergeCell ref="G185:H185"/>
    <mergeCell ref="C186:D186"/>
    <mergeCell ref="G186:H186"/>
    <mergeCell ref="C181:D181"/>
    <mergeCell ref="G181:H181"/>
    <mergeCell ref="C182:D182"/>
    <mergeCell ref="G182:H182"/>
    <mergeCell ref="C183:D183"/>
    <mergeCell ref="G183:H183"/>
    <mergeCell ref="C196:D196"/>
    <mergeCell ref="G196:H196"/>
    <mergeCell ref="C179:D179"/>
    <mergeCell ref="G179:H179"/>
    <mergeCell ref="C180:D180"/>
    <mergeCell ref="G180:H180"/>
    <mergeCell ref="C175:D175"/>
    <mergeCell ref="G175:H175"/>
    <mergeCell ref="C176:D176"/>
    <mergeCell ref="G176:H176"/>
    <mergeCell ref="C177:D177"/>
    <mergeCell ref="G177:H177"/>
    <mergeCell ref="C172:D172"/>
    <mergeCell ref="G172:H172"/>
    <mergeCell ref="C173:D173"/>
    <mergeCell ref="G173:H173"/>
    <mergeCell ref="C174:D174"/>
    <mergeCell ref="G174:H174"/>
    <mergeCell ref="C187:D187"/>
    <mergeCell ref="G187:H187"/>
    <mergeCell ref="C170:D170"/>
    <mergeCell ref="G170:H170"/>
    <mergeCell ref="C171:D171"/>
    <mergeCell ref="G171:H171"/>
    <mergeCell ref="C166:D166"/>
    <mergeCell ref="G166:H166"/>
    <mergeCell ref="C167:D167"/>
    <mergeCell ref="G167:H167"/>
    <mergeCell ref="C168:D168"/>
    <mergeCell ref="G168:H168"/>
    <mergeCell ref="C163:D163"/>
    <mergeCell ref="G163:H163"/>
    <mergeCell ref="C164:D164"/>
    <mergeCell ref="G164:H164"/>
    <mergeCell ref="C165:D165"/>
    <mergeCell ref="G165:H165"/>
    <mergeCell ref="C178:D178"/>
    <mergeCell ref="G178:H178"/>
    <mergeCell ref="C161:D161"/>
    <mergeCell ref="G161:H161"/>
    <mergeCell ref="C162:D162"/>
    <mergeCell ref="G162:H162"/>
    <mergeCell ref="C157:D157"/>
    <mergeCell ref="G157:H157"/>
    <mergeCell ref="C158:D158"/>
    <mergeCell ref="G158:H158"/>
    <mergeCell ref="C159:D159"/>
    <mergeCell ref="G159:H159"/>
    <mergeCell ref="C154:D154"/>
    <mergeCell ref="G154:H154"/>
    <mergeCell ref="C155:D155"/>
    <mergeCell ref="G155:H155"/>
    <mergeCell ref="C156:D156"/>
    <mergeCell ref="G156:H156"/>
    <mergeCell ref="C169:D169"/>
    <mergeCell ref="G169:H169"/>
    <mergeCell ref="C152:D152"/>
    <mergeCell ref="G152:H152"/>
    <mergeCell ref="C153:D153"/>
    <mergeCell ref="G153:H153"/>
    <mergeCell ref="C148:D148"/>
    <mergeCell ref="G148:H148"/>
    <mergeCell ref="C149:D149"/>
    <mergeCell ref="G149:H149"/>
    <mergeCell ref="C150:D150"/>
    <mergeCell ref="G150:H150"/>
    <mergeCell ref="C145:D145"/>
    <mergeCell ref="G145:H145"/>
    <mergeCell ref="C146:D146"/>
    <mergeCell ref="G146:H146"/>
    <mergeCell ref="C147:D147"/>
    <mergeCell ref="G147:H147"/>
    <mergeCell ref="C160:D160"/>
    <mergeCell ref="G160:H160"/>
    <mergeCell ref="C143:D143"/>
    <mergeCell ref="G143:H143"/>
    <mergeCell ref="C144:D144"/>
    <mergeCell ref="G144:H144"/>
    <mergeCell ref="C139:D139"/>
    <mergeCell ref="G139:H139"/>
    <mergeCell ref="C140:D140"/>
    <mergeCell ref="G140:H140"/>
    <mergeCell ref="C141:D141"/>
    <mergeCell ref="G141:H141"/>
    <mergeCell ref="C136:D136"/>
    <mergeCell ref="G136:H136"/>
    <mergeCell ref="C137:D137"/>
    <mergeCell ref="G137:H137"/>
    <mergeCell ref="C138:D138"/>
    <mergeCell ref="G138:H138"/>
    <mergeCell ref="C151:D151"/>
    <mergeCell ref="G151:H151"/>
    <mergeCell ref="C134:D134"/>
    <mergeCell ref="G134:H134"/>
    <mergeCell ref="C135:D135"/>
    <mergeCell ref="G135:H135"/>
    <mergeCell ref="C130:D130"/>
    <mergeCell ref="G130:H130"/>
    <mergeCell ref="C131:D131"/>
    <mergeCell ref="G131:H131"/>
    <mergeCell ref="C132:D132"/>
    <mergeCell ref="G132:H132"/>
    <mergeCell ref="C127:D127"/>
    <mergeCell ref="G127:H127"/>
    <mergeCell ref="C128:D128"/>
    <mergeCell ref="G128:H128"/>
    <mergeCell ref="C129:D129"/>
    <mergeCell ref="G129:H129"/>
    <mergeCell ref="C142:D142"/>
    <mergeCell ref="G142:H142"/>
    <mergeCell ref="C125:D125"/>
    <mergeCell ref="G125:H125"/>
    <mergeCell ref="C126:D126"/>
    <mergeCell ref="G126:H126"/>
    <mergeCell ref="C121:D121"/>
    <mergeCell ref="G121:H121"/>
    <mergeCell ref="C122:D122"/>
    <mergeCell ref="G122:H122"/>
    <mergeCell ref="C123:D123"/>
    <mergeCell ref="G123:H123"/>
    <mergeCell ref="C118:D118"/>
    <mergeCell ref="G118:H118"/>
    <mergeCell ref="C119:D119"/>
    <mergeCell ref="G119:H119"/>
    <mergeCell ref="C120:D120"/>
    <mergeCell ref="G120:H120"/>
    <mergeCell ref="C133:D133"/>
    <mergeCell ref="G133:H133"/>
    <mergeCell ref="C116:D116"/>
    <mergeCell ref="G116:H116"/>
    <mergeCell ref="C117:D117"/>
    <mergeCell ref="G117:H117"/>
    <mergeCell ref="C112:D112"/>
    <mergeCell ref="G112:H112"/>
    <mergeCell ref="C113:D113"/>
    <mergeCell ref="G113:H113"/>
    <mergeCell ref="C114:D114"/>
    <mergeCell ref="G114:H114"/>
    <mergeCell ref="C109:D109"/>
    <mergeCell ref="G109:H109"/>
    <mergeCell ref="C110:D110"/>
    <mergeCell ref="G110:H110"/>
    <mergeCell ref="C111:D111"/>
    <mergeCell ref="G111:H111"/>
    <mergeCell ref="C124:D124"/>
    <mergeCell ref="G124:H124"/>
    <mergeCell ref="C107:D107"/>
    <mergeCell ref="G107:H107"/>
    <mergeCell ref="C108:D108"/>
    <mergeCell ref="G108:H108"/>
    <mergeCell ref="C103:D103"/>
    <mergeCell ref="G103:H103"/>
    <mergeCell ref="C104:D104"/>
    <mergeCell ref="G104:H104"/>
    <mergeCell ref="C105:D105"/>
    <mergeCell ref="G105:H105"/>
    <mergeCell ref="C100:D100"/>
    <mergeCell ref="G100:H100"/>
    <mergeCell ref="C101:D101"/>
    <mergeCell ref="G101:H101"/>
    <mergeCell ref="C102:D102"/>
    <mergeCell ref="G102:H102"/>
    <mergeCell ref="C115:D115"/>
    <mergeCell ref="G115:H115"/>
    <mergeCell ref="C98:D98"/>
    <mergeCell ref="G98:H98"/>
    <mergeCell ref="C99:D99"/>
    <mergeCell ref="G99:H99"/>
    <mergeCell ref="C94:D94"/>
    <mergeCell ref="G94:H94"/>
    <mergeCell ref="C95:D95"/>
    <mergeCell ref="G95:H95"/>
    <mergeCell ref="C96:D96"/>
    <mergeCell ref="G96:H96"/>
    <mergeCell ref="C91:D91"/>
    <mergeCell ref="G91:H91"/>
    <mergeCell ref="C92:D92"/>
    <mergeCell ref="G92:H92"/>
    <mergeCell ref="C93:D93"/>
    <mergeCell ref="G93:H93"/>
    <mergeCell ref="C106:D106"/>
    <mergeCell ref="G106:H106"/>
    <mergeCell ref="C89:D89"/>
    <mergeCell ref="G89:H89"/>
    <mergeCell ref="C90:D90"/>
    <mergeCell ref="G90:H90"/>
    <mergeCell ref="C85:D85"/>
    <mergeCell ref="G85:H85"/>
    <mergeCell ref="C86:D86"/>
    <mergeCell ref="G86:H86"/>
    <mergeCell ref="C87:D87"/>
    <mergeCell ref="G87:H87"/>
    <mergeCell ref="C82:D82"/>
    <mergeCell ref="G82:H82"/>
    <mergeCell ref="C83:D83"/>
    <mergeCell ref="G83:H83"/>
    <mergeCell ref="C84:D84"/>
    <mergeCell ref="G84:H84"/>
    <mergeCell ref="C97:D97"/>
    <mergeCell ref="G97:H97"/>
    <mergeCell ref="C80:D80"/>
    <mergeCell ref="G80:H80"/>
    <mergeCell ref="C81:D81"/>
    <mergeCell ref="G81:H81"/>
    <mergeCell ref="C76:D76"/>
    <mergeCell ref="G76:H76"/>
    <mergeCell ref="C77:D77"/>
    <mergeCell ref="G77:H77"/>
    <mergeCell ref="C78:D78"/>
    <mergeCell ref="G78:H78"/>
    <mergeCell ref="C73:D73"/>
    <mergeCell ref="G73:H73"/>
    <mergeCell ref="C74:D74"/>
    <mergeCell ref="G74:H74"/>
    <mergeCell ref="C75:D75"/>
    <mergeCell ref="G75:H75"/>
    <mergeCell ref="C88:D88"/>
    <mergeCell ref="G88:H88"/>
    <mergeCell ref="C71:D71"/>
    <mergeCell ref="G71:H71"/>
    <mergeCell ref="C72:D72"/>
    <mergeCell ref="G72:H72"/>
    <mergeCell ref="C67:D67"/>
    <mergeCell ref="G67:H67"/>
    <mergeCell ref="C68:D68"/>
    <mergeCell ref="G68:H68"/>
    <mergeCell ref="C69:D69"/>
    <mergeCell ref="G69:H69"/>
    <mergeCell ref="C64:D64"/>
    <mergeCell ref="G64:H64"/>
    <mergeCell ref="C65:D65"/>
    <mergeCell ref="G65:H65"/>
    <mergeCell ref="C66:D66"/>
    <mergeCell ref="G66:H66"/>
    <mergeCell ref="C79:D79"/>
    <mergeCell ref="G79:H79"/>
    <mergeCell ref="C62:D62"/>
    <mergeCell ref="G62:H62"/>
    <mergeCell ref="C63:D63"/>
    <mergeCell ref="G63:H63"/>
    <mergeCell ref="C58:D58"/>
    <mergeCell ref="G58:H58"/>
    <mergeCell ref="C59:D59"/>
    <mergeCell ref="G59:H59"/>
    <mergeCell ref="C60:D60"/>
    <mergeCell ref="G60:H60"/>
    <mergeCell ref="C55:D55"/>
    <mergeCell ref="G55:H55"/>
    <mergeCell ref="C56:D56"/>
    <mergeCell ref="G56:H56"/>
    <mergeCell ref="C57:D57"/>
    <mergeCell ref="G57:H57"/>
    <mergeCell ref="C70:D70"/>
    <mergeCell ref="G70:H70"/>
    <mergeCell ref="C53:D53"/>
    <mergeCell ref="G53:H53"/>
    <mergeCell ref="C54:D54"/>
    <mergeCell ref="G54:H54"/>
    <mergeCell ref="C49:D49"/>
    <mergeCell ref="G49:H49"/>
    <mergeCell ref="C50:D50"/>
    <mergeCell ref="G50:H50"/>
    <mergeCell ref="C51:D51"/>
    <mergeCell ref="G51:H51"/>
    <mergeCell ref="C46:D46"/>
    <mergeCell ref="G46:H46"/>
    <mergeCell ref="C47:D47"/>
    <mergeCell ref="G47:H47"/>
    <mergeCell ref="C48:D48"/>
    <mergeCell ref="G48:H48"/>
    <mergeCell ref="C61:D61"/>
    <mergeCell ref="G61:H61"/>
    <mergeCell ref="C44:D44"/>
    <mergeCell ref="G44:H44"/>
    <mergeCell ref="C45:D45"/>
    <mergeCell ref="G45:H45"/>
    <mergeCell ref="C40:D40"/>
    <mergeCell ref="G40:H40"/>
    <mergeCell ref="C41:D41"/>
    <mergeCell ref="G41:H41"/>
    <mergeCell ref="C42:D42"/>
    <mergeCell ref="G42:H42"/>
    <mergeCell ref="C37:D37"/>
    <mergeCell ref="G37:H37"/>
    <mergeCell ref="C38:D38"/>
    <mergeCell ref="G38:H38"/>
    <mergeCell ref="C39:D39"/>
    <mergeCell ref="G39:H39"/>
    <mergeCell ref="C52:D52"/>
    <mergeCell ref="G52:H52"/>
    <mergeCell ref="C35:D35"/>
    <mergeCell ref="G35:H35"/>
    <mergeCell ref="C36:D36"/>
    <mergeCell ref="G36:H36"/>
    <mergeCell ref="C31:D31"/>
    <mergeCell ref="G31:H31"/>
    <mergeCell ref="C32:D32"/>
    <mergeCell ref="G32:H32"/>
    <mergeCell ref="C33:D33"/>
    <mergeCell ref="G33:H33"/>
    <mergeCell ref="C28:D28"/>
    <mergeCell ref="G28:H28"/>
    <mergeCell ref="C29:D29"/>
    <mergeCell ref="G29:H29"/>
    <mergeCell ref="C30:D30"/>
    <mergeCell ref="G30:H30"/>
    <mergeCell ref="C43:D43"/>
    <mergeCell ref="G43:H43"/>
    <mergeCell ref="C26:D26"/>
    <mergeCell ref="G26:H26"/>
    <mergeCell ref="C27:D27"/>
    <mergeCell ref="G27:H27"/>
    <mergeCell ref="C22:D22"/>
    <mergeCell ref="G22:H22"/>
    <mergeCell ref="C23:D23"/>
    <mergeCell ref="G23:H23"/>
    <mergeCell ref="C24:D24"/>
    <mergeCell ref="G24:H24"/>
    <mergeCell ref="C19:D19"/>
    <mergeCell ref="G19:H19"/>
    <mergeCell ref="C20:D20"/>
    <mergeCell ref="G20:H20"/>
    <mergeCell ref="C21:D21"/>
    <mergeCell ref="G21:H21"/>
    <mergeCell ref="C34:D34"/>
    <mergeCell ref="G34:H34"/>
    <mergeCell ref="C17:D17"/>
    <mergeCell ref="G17:H17"/>
    <mergeCell ref="C18:D18"/>
    <mergeCell ref="G18:H18"/>
    <mergeCell ref="C13:D13"/>
    <mergeCell ref="G13:H13"/>
    <mergeCell ref="C14:D14"/>
    <mergeCell ref="G14:H14"/>
    <mergeCell ref="C15:D15"/>
    <mergeCell ref="G15:H15"/>
    <mergeCell ref="C10:D10"/>
    <mergeCell ref="G10:H10"/>
    <mergeCell ref="C11:D11"/>
    <mergeCell ref="G11:H11"/>
    <mergeCell ref="C12:D12"/>
    <mergeCell ref="G12:H12"/>
    <mergeCell ref="C25:D25"/>
    <mergeCell ref="G25:H25"/>
    <mergeCell ref="C7:D7"/>
    <mergeCell ref="G7:H7"/>
    <mergeCell ref="C8:D8"/>
    <mergeCell ref="G8:H8"/>
    <mergeCell ref="C9:D9"/>
    <mergeCell ref="G9:H9"/>
    <mergeCell ref="A1:B4"/>
    <mergeCell ref="C1:D4"/>
    <mergeCell ref="E1:F4"/>
    <mergeCell ref="G1:H4"/>
    <mergeCell ref="A5:A6"/>
    <mergeCell ref="B5:B6"/>
    <mergeCell ref="C5:D6"/>
    <mergeCell ref="E5:E6"/>
    <mergeCell ref="F5:F6"/>
    <mergeCell ref="G5:H6"/>
    <mergeCell ref="C16:D16"/>
    <mergeCell ref="G16:H16"/>
  </mergeCells>
  <printOptions horizontalCentered="1" verticalCentered="1"/>
  <pageMargins left="0.39370078740157483" right="0.39370078740157483" top="0.98425196850393704" bottom="0.98425196850393704" header="0.51181102362204722" footer="0.51181102362204722"/>
  <pageSetup paperSize="9" scale="56" orientation="portrait" r:id="rId1"/>
  <headerFooter alignWithMargins="0"/>
  <rowBreaks count="13" manualBreakCount="13">
    <brk id="248" max="5" man="1"/>
    <brk id="329" max="16383" man="1"/>
    <brk id="391" max="16383" man="1"/>
    <brk id="453" max="16383" man="1"/>
    <brk id="515" max="16383" man="1"/>
    <brk id="577" max="16383" man="1"/>
    <brk id="639" max="16383" man="1"/>
    <brk id="701" max="16383" man="1"/>
    <brk id="763" max="16383" man="1"/>
    <brk id="825" max="16383" man="1"/>
    <brk id="887" max="16383" man="1"/>
    <brk id="949" max="16383" man="1"/>
    <brk id="101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7</vt:i4>
      </vt:variant>
    </vt:vector>
  </HeadingPairs>
  <TitlesOfParts>
    <vt:vector size="17" baseType="lpstr">
      <vt:lpstr>FR-IMOB-55_Rev00</vt:lpstr>
      <vt:lpstr>Digitar Dados dos Ensaios</vt:lpstr>
      <vt:lpstr>Compactação Completo (3CBR)</vt:lpstr>
      <vt:lpstr>Digitar Dados de Dens. InSitu</vt:lpstr>
      <vt:lpstr>Ficha de Densidade InSitu</vt:lpstr>
      <vt:lpstr>Tara</vt:lpstr>
      <vt:lpstr>Resumo (Imprimir) (1)</vt:lpstr>
      <vt:lpstr>Resumo (Imprimir) (2)</vt:lpstr>
      <vt:lpstr>Plano de Coleta Base </vt:lpstr>
      <vt:lpstr>Plan2</vt:lpstr>
      <vt:lpstr>'Compactação Completo (3CBR)'!Area_de_impressao</vt:lpstr>
      <vt:lpstr>'Ficha de Densidade InSitu'!Area_de_impressao</vt:lpstr>
      <vt:lpstr>'FR-IMOB-55_Rev00'!Area_de_impressao</vt:lpstr>
      <vt:lpstr>'Resumo (Imprimir) (1)'!Area_de_impressao</vt:lpstr>
      <vt:lpstr>'Resumo (Imprimir) (2)'!Area_de_impressao</vt:lpstr>
      <vt:lpstr>'Compactação Completo (3CBR)'!Criterios</vt:lpstr>
      <vt:lpstr>'FR-IMOB-55_Rev00'!Criterios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Ensaio de Compactação Completo &amp; Densidade In Situ com Resumo</dc:title>
  <dc:subject>Planilhas de Cálculos de Ensaios</dc:subject>
  <dc:creator>Samuel;Samuel Rodrigues Pereira</dc:creator>
  <cp:keywords>Resumo e Estatistica</cp:keywords>
  <dc:description/>
  <cp:lastModifiedBy>Samara Rodrigues dos Santos Gomes</cp:lastModifiedBy>
  <cp:revision/>
  <dcterms:created xsi:type="dcterms:W3CDTF">2009-06-02T17:02:24Z</dcterms:created>
  <dcterms:modified xsi:type="dcterms:W3CDTF">2026-02-27T15:21:53Z</dcterms:modified>
  <cp:category>Laboratório</cp:category>
  <cp:contentStatus/>
</cp:coreProperties>
</file>