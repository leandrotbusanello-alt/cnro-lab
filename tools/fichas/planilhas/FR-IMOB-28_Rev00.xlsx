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E47757F1-4E45-41DF-BFD8-63A1F52C0D55}" xr6:coauthVersionLast="47" xr6:coauthVersionMax="47" xr10:uidLastSave="{00000000-0000-0000-0000-000000000000}"/>
  <bookViews>
    <workbookView xWindow="-28910" yWindow="-1730" windowWidth="29020" windowHeight="15820" xr2:uid="{00000000-000D-0000-FFFF-FFFF00000000}"/>
  </bookViews>
  <sheets>
    <sheet name="FR-IMOB-28_Rev00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5" l="1"/>
  <c r="G56" i="5" l="1"/>
  <c r="G57" i="5"/>
  <c r="G55" i="5"/>
  <c r="D55" i="5"/>
  <c r="C24" i="5"/>
  <c r="D58" i="5"/>
  <c r="D57" i="5"/>
  <c r="D56" i="5"/>
  <c r="G58" i="5" l="1"/>
  <c r="B24" i="5"/>
  <c r="B25" i="5" l="1"/>
  <c r="C25" i="5"/>
  <c r="B26" i="5"/>
</calcChain>
</file>

<file path=xl/sharedStrings.xml><?xml version="1.0" encoding="utf-8"?>
<sst xmlns="http://schemas.openxmlformats.org/spreadsheetml/2006/main" count="45" uniqueCount="40">
  <si>
    <t>1a medição</t>
  </si>
  <si>
    <t>VISCOSIDADE NO VISCOSÍMETRO BROOKFIELD</t>
  </si>
  <si>
    <t>Velocidade  (RPM)</t>
  </si>
  <si>
    <t>Temperatura (°C)</t>
  </si>
  <si>
    <t xml:space="preserve">Viscosidade </t>
  </si>
  <si>
    <t>VISCOSIDADE MÉDIA</t>
  </si>
  <si>
    <t>Temperatura de usinagem dos agregados (°C)</t>
  </si>
  <si>
    <t>Viscosidade (Poise)</t>
  </si>
  <si>
    <r>
      <t xml:space="preserve">Temperatura de usinagem do ligante - 1,7 </t>
    </r>
    <r>
      <rPr>
        <sz val="11"/>
        <rFont val="Calibri"/>
        <family val="2"/>
      </rPr>
      <t>±</t>
    </r>
    <r>
      <rPr>
        <sz val="11"/>
        <rFont val="Calibri"/>
        <family val="2"/>
        <scheme val="minor"/>
      </rPr>
      <t xml:space="preserve"> 0,2 P (°C)</t>
    </r>
  </si>
  <si>
    <t>Temperatura de compactação da mistura - 2,8 ± 0,3 P (°C)</t>
  </si>
  <si>
    <t>Faixa de usinagem</t>
  </si>
  <si>
    <t>Faixa de compactação</t>
  </si>
  <si>
    <t>X</t>
  </si>
  <si>
    <t>Y</t>
  </si>
  <si>
    <t>Tem.</t>
  </si>
  <si>
    <t>151 a 157</t>
  </si>
  <si>
    <t>165 a 171</t>
  </si>
  <si>
    <t>1ºMedição</t>
  </si>
  <si>
    <t>2ºMedição</t>
  </si>
  <si>
    <t>3ºMedição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</si>
  <si>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</si>
  <si>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</si>
  <si>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</si>
  <si>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</si>
  <si>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</si>
  <si>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</si>
  <si>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</si>
  <si>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</si>
  <si>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</si>
  <si>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</si>
  <si>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</si>
  <si>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</t>
    </r>
    <r>
      <rPr>
        <b/>
        <sz val="12"/>
        <color theme="1"/>
        <rFont val="Tahoma"/>
        <family val="2"/>
      </rPr>
      <t xml:space="preserve"> Curva Viscosidade x Temperatura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</si>
  <si>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FR-IMOB-28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</si>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</sst>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9"/>
      <color rgb="FFFF0000"/>
      <name val="Calibri"/>
      <family val="2"/>
      <scheme val="minor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4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9" fillId="2" borderId="0" xfId="1" applyFont="1" applyFill="1" applyAlignment="1" applyProtection="1">
      <alignment vertical="center" wrapText="1"/>
      <protection locked="0"/>
    </xf>
    <xf numFmtId="0" fontId="13" fillId="2" borderId="0" xfId="1" applyFont="1" applyFill="1" applyAlignment="1" applyProtection="1">
      <alignment vertical="center"/>
      <protection locked="0"/>
    </xf>
    <xf numFmtId="49" fontId="12" fillId="2" borderId="13" xfId="1" applyNumberFormat="1" applyFont="1" applyFill="1" applyBorder="1" applyAlignment="1" applyProtection="1">
      <alignment vertical="center"/>
      <protection locked="0" hidden="1"/>
    </xf>
    <xf numFmtId="0" fontId="12" fillId="2" borderId="16" xfId="1" applyFont="1" applyFill="1" applyBorder="1" applyAlignment="1" applyProtection="1">
      <alignment vertical="center"/>
      <protection locked="0" hidden="1"/>
    </xf>
    <xf numFmtId="2" fontId="10" fillId="2" borderId="0" xfId="1" applyNumberFormat="1" applyFont="1" applyFill="1" applyAlignment="1" applyProtection="1">
      <alignment vertical="center"/>
      <protection locked="0"/>
    </xf>
    <xf numFmtId="0" fontId="9" fillId="2" borderId="0" xfId="1" applyFont="1" applyFill="1" applyAlignment="1" applyProtection="1">
      <alignment vertical="center"/>
      <protection locked="0" hidden="1"/>
    </xf>
    <xf numFmtId="0" fontId="3" fillId="2" borderId="0" xfId="0" applyFont="1" applyFill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7" fillId="3" borderId="15" xfId="2" applyFont="1" applyFill="1" applyBorder="1" applyAlignment="1">
      <alignment horizontal="center" vertical="center"/>
    </xf>
    <xf numFmtId="0" fontId="17" fillId="3" borderId="16" xfId="2" applyFont="1" applyFill="1" applyBorder="1" applyAlignment="1">
      <alignment horizontal="center" vertical="center"/>
    </xf>
    <xf numFmtId="0" fontId="17" fillId="3" borderId="17" xfId="2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5" fillId="3" borderId="3" xfId="0" applyFont="1" applyFill="1" applyBorder="1" applyAlignment="1">
      <alignment horizontal="center" wrapText="1"/>
    </xf>
    <xf numFmtId="0" fontId="15" fillId="3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10" fillId="2" borderId="19" xfId="0" applyFont="1" applyFill="1" applyBorder="1" applyAlignment="1">
      <alignment horizontal="center" vertical="center" wrapText="1"/>
    </xf>
    <xf numFmtId="0" fontId="9" fillId="2" borderId="16" xfId="1" applyFont="1" applyFill="1" applyBorder="1" applyAlignment="1" applyProtection="1">
      <alignment horizontal="left" vertical="center" wrapText="1"/>
      <protection locked="0"/>
    </xf>
    <xf numFmtId="0" fontId="13" fillId="2" borderId="16" xfId="1" applyFont="1" applyFill="1" applyBorder="1" applyAlignment="1" applyProtection="1">
      <alignment horizontal="left" vertical="center"/>
      <protection locked="0"/>
    </xf>
    <xf numFmtId="2" fontId="10" fillId="2" borderId="16" xfId="1" applyNumberFormat="1" applyFont="1" applyFill="1" applyBorder="1" applyAlignment="1" applyProtection="1">
      <alignment horizontal="left" vertical="center"/>
      <protection locked="0"/>
    </xf>
    <xf numFmtId="0" fontId="9" fillId="2" borderId="16" xfId="1" applyFont="1" applyFill="1" applyBorder="1" applyAlignment="1" applyProtection="1">
      <alignment horizontal="left" vertical="center"/>
      <protection locked="0" hidden="1"/>
    </xf>
    <xf numFmtId="0" fontId="7" fillId="0" borderId="16" xfId="1" applyFont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top"/>
    </xf>
    <xf numFmtId="0" fontId="7" fillId="0" borderId="13" xfId="1" applyFont="1" applyBorder="1" applyAlignment="1">
      <alignment horizontal="left" vertical="top"/>
    </xf>
    <xf numFmtId="0" fontId="7" fillId="0" borderId="14" xfId="1" applyFont="1" applyBorder="1" applyAlignment="1">
      <alignment horizontal="left" vertical="top"/>
    </xf>
    <xf numFmtId="0" fontId="7" fillId="0" borderId="18" xfId="1" applyFont="1" applyBorder="1" applyAlignment="1">
      <alignment horizontal="left" vertical="top"/>
    </xf>
    <xf numFmtId="0" fontId="7" fillId="0" borderId="19" xfId="1" applyFont="1" applyBorder="1" applyAlignment="1">
      <alignment horizontal="left" vertical="top"/>
    </xf>
    <xf numFmtId="0" fontId="7" fillId="0" borderId="20" xfId="1" applyFont="1" applyBorder="1" applyAlignment="1">
      <alignment horizontal="left" vertical="top"/>
    </xf>
    <xf numFmtId="0" fontId="7" fillId="0" borderId="15" xfId="1" applyFont="1" applyBorder="1" applyAlignment="1">
      <alignment horizontal="left" vertical="center"/>
    </xf>
    <xf numFmtId="0" fontId="7" fillId="0" borderId="16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</cellXfs>
  <cellStyles count="3">
    <cellStyle name="Normal" xfId="0" builtinId="0"/>
    <cellStyle name="Normal 2 2" xfId="1" xr:uid="{78A59792-4458-4CFB-ACF7-D3AA66A80D26}"/>
    <cellStyle name="Normal 9 2" xfId="2" xr:uid="{7D590D14-C3ED-4140-A173-69C9FFDB1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viscosidade-temperatura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50367013683487"/>
          <c:y val="0.29279807984354278"/>
          <c:w val="0.82877086370157926"/>
          <c:h val="0.56740830734356129"/>
        </c:manualLayout>
      </c:layout>
      <c:scatterChart>
        <c:scatterStyle val="smoothMarker"/>
        <c:varyColors val="0"/>
        <c:ser>
          <c:idx val="0"/>
          <c:order val="0"/>
          <c:tx>
            <c:v>Ligante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8736785831410914"/>
                  <c:y val="-0.5200544595244439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'FR-IMOB-28_Rev00'!$C$24:$C$26</c:f>
              <c:numCache>
                <c:formatCode>General</c:formatCode>
                <c:ptCount val="3"/>
                <c:pt idx="0">
                  <c:v>135</c:v>
                </c:pt>
                <c:pt idx="1">
                  <c:v>150</c:v>
                </c:pt>
                <c:pt idx="2">
                  <c:v>177</c:v>
                </c:pt>
              </c:numCache>
            </c:numRef>
          </c:xVal>
          <c:yVal>
            <c:numRef>
              <c:f>'FR-IMOB-28_Rev00'!$D$24:$D$26</c:f>
              <c:numCache>
                <c:formatCode>0.00</c:formatCode>
                <c:ptCount val="3"/>
                <c:pt idx="0">
                  <c:v>6.8250000000000002</c:v>
                </c:pt>
                <c:pt idx="1">
                  <c:v>3.25</c:v>
                </c:pt>
                <c:pt idx="2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A9-4D54-9086-94D0828AED7E}"/>
            </c:ext>
          </c:extLst>
        </c:ser>
        <c:ser>
          <c:idx val="1"/>
          <c:order val="1"/>
          <c:tx>
            <c:strRef>
              <c:f>'FR-IMOB-28_Rev00'!$B$53</c:f>
              <c:strCache>
                <c:ptCount val="1"/>
                <c:pt idx="0">
                  <c:v>Faixa de usinagem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'FR-IMOB-28_Rev00'!$B$57:$B$58</c:f>
              <c:numCache>
                <c:formatCode>General</c:formatCode>
                <c:ptCount val="2"/>
                <c:pt idx="0">
                  <c:v>135</c:v>
                </c:pt>
                <c:pt idx="1">
                  <c:v>175</c:v>
                </c:pt>
              </c:numCache>
            </c:numRef>
          </c:xVal>
          <c:yVal>
            <c:numRef>
              <c:f>'FR-IMOB-28_Rev00'!$C$57:$C$58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A9-4D54-9086-94D0828AED7E}"/>
            </c:ext>
          </c:extLst>
        </c:ser>
        <c:ser>
          <c:idx val="2"/>
          <c:order val="2"/>
          <c:tx>
            <c:strRef>
              <c:f>'FR-IMOB-28_Rev00'!$B$53</c:f>
              <c:strCache>
                <c:ptCount val="1"/>
                <c:pt idx="0">
                  <c:v>Faixa de usinagem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'FR-IMOB-28_Rev00'!$B$55:$B$56</c:f>
              <c:numCache>
                <c:formatCode>General</c:formatCode>
                <c:ptCount val="2"/>
                <c:pt idx="0">
                  <c:v>135</c:v>
                </c:pt>
                <c:pt idx="1">
                  <c:v>175</c:v>
                </c:pt>
              </c:numCache>
            </c:numRef>
          </c:xVal>
          <c:yVal>
            <c:numRef>
              <c:f>'FR-IMOB-28_Rev00'!$C$55:$C$56</c:f>
              <c:numCache>
                <c:formatCode>General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A9-4D54-9086-94D0828AED7E}"/>
            </c:ext>
          </c:extLst>
        </c:ser>
        <c:ser>
          <c:idx val="3"/>
          <c:order val="3"/>
          <c:tx>
            <c:strRef>
              <c:f>'FR-IMOB-28_Rev00'!$E$53</c:f>
              <c:strCache>
                <c:ptCount val="1"/>
                <c:pt idx="0">
                  <c:v>Faixa de compactação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'FR-IMOB-28_Rev00'!$E$57:$E$58</c:f>
              <c:numCache>
                <c:formatCode>General</c:formatCode>
                <c:ptCount val="2"/>
                <c:pt idx="0">
                  <c:v>135</c:v>
                </c:pt>
                <c:pt idx="1">
                  <c:v>175</c:v>
                </c:pt>
              </c:numCache>
            </c:numRef>
          </c:xVal>
          <c:yVal>
            <c:numRef>
              <c:f>'FR-IMOB-28_Rev00'!$F$57:$F$58</c:f>
              <c:numCache>
                <c:formatCode>General</c:formatCode>
                <c:ptCount val="2"/>
                <c:pt idx="0">
                  <c:v>3.1</c:v>
                </c:pt>
                <c:pt idx="1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A9-4D54-9086-94D0828AED7E}"/>
            </c:ext>
          </c:extLst>
        </c:ser>
        <c:ser>
          <c:idx val="4"/>
          <c:order val="4"/>
          <c:tx>
            <c:strRef>
              <c:f>'FR-IMOB-28_Rev00'!$E$53</c:f>
              <c:strCache>
                <c:ptCount val="1"/>
                <c:pt idx="0">
                  <c:v>Faixa de compactação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'FR-IMOB-28_Rev00'!$E$55:$E$56</c:f>
              <c:numCache>
                <c:formatCode>General</c:formatCode>
                <c:ptCount val="2"/>
                <c:pt idx="0">
                  <c:v>135</c:v>
                </c:pt>
                <c:pt idx="1">
                  <c:v>175</c:v>
                </c:pt>
              </c:numCache>
            </c:numRef>
          </c:xVal>
          <c:yVal>
            <c:numRef>
              <c:f>'FR-IMOB-28_Rev00'!$F$55:$F$56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A9-4D54-9086-94D0828AE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5568"/>
        <c:axId val="175240272"/>
      </c:scatterChart>
      <c:valAx>
        <c:axId val="175235568"/>
        <c:scaling>
          <c:orientation val="minMax"/>
          <c:max val="177"/>
          <c:min val="1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Temperatura (°C)</a:t>
                </a:r>
                <a:endParaRPr lang="pt-BR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74812882660013957"/>
              <c:y val="0.93998118365200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40272"/>
        <c:crosses val="autoZero"/>
        <c:crossBetween val="midCat"/>
        <c:majorUnit val="5"/>
      </c:valAx>
      <c:valAx>
        <c:axId val="175240272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Viscosidade (Poise)</a:t>
                </a:r>
              </a:p>
            </c:rich>
          </c:tx>
          <c:layout>
            <c:manualLayout>
              <c:xMode val="edge"/>
              <c:yMode val="edge"/>
              <c:x val="2.0496366068718541E-3"/>
              <c:y val="0.28521583240115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3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61597714866382403"/>
          <c:y val="0.12619220825400587"/>
          <c:w val="0.32897500205805968"/>
          <c:h val="0.1495189139669416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61232</xdr:rowOff>
    </xdr:from>
    <xdr:to>
      <xdr:col>6</xdr:col>
      <xdr:colOff>0</xdr:colOff>
      <xdr:row>50</xdr:row>
      <xdr:rowOff>39756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55393</xdr:colOff>
      <xdr:row>43</xdr:row>
      <xdr:rowOff>25938</xdr:rowOff>
    </xdr:from>
    <xdr:to>
      <xdr:col>3</xdr:col>
      <xdr:colOff>61232</xdr:colOff>
      <xdr:row>48</xdr:row>
      <xdr:rowOff>6804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4179607" y="6312438"/>
          <a:ext cx="5839" cy="9333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546882</xdr:colOff>
      <xdr:row>43</xdr:row>
      <xdr:rowOff>167180</xdr:rowOff>
    </xdr:from>
    <xdr:to>
      <xdr:col>3</xdr:col>
      <xdr:colOff>551091</xdr:colOff>
      <xdr:row>48</xdr:row>
      <xdr:rowOff>13607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4671096" y="6453680"/>
          <a:ext cx="4209" cy="79892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475900</xdr:colOff>
      <xdr:row>44</xdr:row>
      <xdr:rowOff>149500</xdr:rowOff>
    </xdr:from>
    <xdr:to>
      <xdr:col>4</xdr:col>
      <xdr:colOff>483058</xdr:colOff>
      <xdr:row>48</xdr:row>
      <xdr:rowOff>6804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5430150" y="6626500"/>
          <a:ext cx="7158" cy="6193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143946</xdr:colOff>
      <xdr:row>45</xdr:row>
      <xdr:rowOff>59812</xdr:rowOff>
    </xdr:from>
    <xdr:to>
      <xdr:col>5</xdr:col>
      <xdr:colOff>149684</xdr:colOff>
      <xdr:row>48</xdr:row>
      <xdr:rowOff>13607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16003071" y="6727312"/>
          <a:ext cx="5738" cy="5252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310310</xdr:colOff>
      <xdr:row>0</xdr:row>
      <xdr:rowOff>26147</xdr:rowOff>
    </xdr:from>
    <xdr:to>
      <xdr:col>6</xdr:col>
      <xdr:colOff>957422</xdr:colOff>
      <xdr:row>0</xdr:row>
      <xdr:rowOff>778061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66E1CD-8755-4A87-A92F-0A7B9179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369" y="26147"/>
          <a:ext cx="1468877" cy="751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1"/>
  <sheetViews>
    <sheetView tabSelected="1" zoomScale="85" zoomScaleNormal="85" workbookViewId="0">
      <selection activeCell="J54" sqref="J54"/>
    </sheetView>
  </sheetViews>
  <sheetFormatPr defaultColWidth="9.1796875" defaultRowHeight="14.5" x14ac:dyDescent="0.35"/>
  <cols>
    <col min="1" max="1" width="2.81640625" style="1" customWidth="1"/>
    <col min="2" max="2" width="17.54296875" style="1" bestFit="1" customWidth="1"/>
    <col min="3" max="3" width="16.26953125" style="1" bestFit="1" customWidth="1"/>
    <col min="4" max="4" width="15.7265625" style="1" customWidth="1"/>
    <col min="5" max="5" width="21.7265625" style="1" bestFit="1" customWidth="1"/>
    <col min="6" max="6" width="11.7265625" style="1" customWidth="1"/>
    <col min="7" max="7" width="13.90625" style="1" customWidth="1"/>
    <col min="8" max="16384" width="9.1796875" style="1"/>
  </cols>
  <sheetData>
    <row r="1" spans="2:13" ht="66" customHeight="1" x14ac:dyDescent="0.35">
      <c r="B1" s="44" t="s">
        <v>31</v>
      </c>
      <c r="C1" s="44"/>
      <c r="D1" s="44"/>
      <c r="E1" s="44"/>
      <c r="F1" s="44"/>
      <c r="G1" s="44"/>
      <c r="H1" s="15"/>
      <c r="I1" s="15"/>
      <c r="J1" s="15"/>
      <c r="K1" s="15"/>
      <c r="L1" s="15"/>
      <c r="M1" s="15"/>
    </row>
    <row r="2" spans="2:13" ht="12.5" customHeight="1" x14ac:dyDescent="0.35">
      <c r="B2" s="45"/>
      <c r="C2" s="45"/>
      <c r="D2" s="45"/>
      <c r="E2" s="45"/>
      <c r="F2" s="45"/>
      <c r="G2" s="45"/>
      <c r="H2" s="16"/>
      <c r="I2" s="17"/>
      <c r="J2" s="17"/>
      <c r="K2" s="17"/>
      <c r="L2" s="17"/>
      <c r="M2" s="17"/>
    </row>
    <row r="3" spans="2:13" ht="30" customHeight="1" x14ac:dyDescent="0.35">
      <c r="B3" s="51" t="s">
        <v>34</v>
      </c>
      <c r="C3" s="51"/>
      <c r="D3" s="51"/>
      <c r="E3" s="46" t="s">
        <v>32</v>
      </c>
      <c r="F3" s="46"/>
      <c r="G3" s="46"/>
      <c r="H3" s="18"/>
      <c r="I3" s="18"/>
      <c r="J3" s="18"/>
      <c r="K3" s="18"/>
      <c r="L3" s="18"/>
      <c r="M3" s="18"/>
    </row>
    <row r="4" spans="2:13" ht="30" customHeight="1" x14ac:dyDescent="0.35">
      <c r="B4" s="46" t="s">
        <v>37</v>
      </c>
      <c r="C4" s="46"/>
      <c r="D4" s="46"/>
      <c r="E4" s="46" t="s">
        <v>33</v>
      </c>
      <c r="F4" s="46"/>
      <c r="G4" s="46"/>
      <c r="H4" s="18"/>
      <c r="I4" s="18"/>
      <c r="J4" s="18"/>
      <c r="K4" s="18"/>
      <c r="L4" s="18"/>
      <c r="M4" s="18"/>
    </row>
    <row r="5" spans="2:13" ht="31.5" customHeight="1" x14ac:dyDescent="0.35">
      <c r="B5" s="47" t="s">
        <v>35</v>
      </c>
      <c r="C5" s="47"/>
      <c r="D5" s="47"/>
      <c r="E5" s="47" t="s">
        <v>36</v>
      </c>
      <c r="F5" s="47"/>
      <c r="G5" s="47"/>
      <c r="H5" s="19"/>
      <c r="I5" s="19"/>
      <c r="J5" s="19"/>
      <c r="K5" s="19"/>
      <c r="L5" s="19"/>
      <c r="M5" s="19"/>
    </row>
    <row r="6" spans="2:13" ht="15" customHeight="1" x14ac:dyDescent="0.35">
      <c r="B6" s="50"/>
      <c r="C6" s="50"/>
      <c r="D6" s="50"/>
      <c r="E6" s="50"/>
      <c r="F6" s="50"/>
      <c r="G6" s="50"/>
    </row>
    <row r="7" spans="2:13" x14ac:dyDescent="0.35">
      <c r="B7" s="58" t="s">
        <v>20</v>
      </c>
      <c r="C7" s="59"/>
      <c r="D7" s="59"/>
      <c r="E7" s="61" t="s">
        <v>21</v>
      </c>
      <c r="F7" s="61"/>
      <c r="G7" s="62"/>
    </row>
    <row r="8" spans="2:13" x14ac:dyDescent="0.35">
      <c r="B8" s="58" t="s">
        <v>22</v>
      </c>
      <c r="C8" s="59"/>
      <c r="D8" s="59"/>
      <c r="E8" s="61" t="s">
        <v>23</v>
      </c>
      <c r="F8" s="61"/>
      <c r="G8" s="62"/>
    </row>
    <row r="9" spans="2:13" x14ac:dyDescent="0.35">
      <c r="B9" s="58" t="s">
        <v>24</v>
      </c>
      <c r="C9" s="59"/>
      <c r="D9" s="59"/>
      <c r="E9" s="59"/>
      <c r="F9" s="59"/>
      <c r="G9" s="60"/>
    </row>
    <row r="10" spans="2:13" x14ac:dyDescent="0.35">
      <c r="B10" s="52" t="s">
        <v>25</v>
      </c>
      <c r="C10" s="53"/>
      <c r="D10" s="53"/>
      <c r="E10" s="53"/>
      <c r="F10" s="53"/>
      <c r="G10" s="54"/>
    </row>
    <row r="11" spans="2:13" x14ac:dyDescent="0.35">
      <c r="B11" s="55"/>
      <c r="C11" s="56"/>
      <c r="D11" s="56"/>
      <c r="E11" s="56"/>
      <c r="F11" s="56"/>
      <c r="G11" s="57"/>
    </row>
    <row r="12" spans="2:13" x14ac:dyDescent="0.35">
      <c r="B12" s="31" t="s">
        <v>26</v>
      </c>
      <c r="C12" s="32"/>
      <c r="D12" s="32"/>
      <c r="E12" s="32"/>
      <c r="F12" s="32"/>
      <c r="G12" s="33"/>
    </row>
    <row r="13" spans="2:13" x14ac:dyDescent="0.35">
      <c r="B13" s="34" t="s">
        <v>1</v>
      </c>
      <c r="C13" s="35"/>
      <c r="D13" s="35"/>
      <c r="E13" s="35"/>
      <c r="F13" s="35"/>
      <c r="G13" s="36"/>
    </row>
    <row r="14" spans="2:13" ht="15" customHeight="1" x14ac:dyDescent="0.35">
      <c r="B14" s="37" t="s">
        <v>2</v>
      </c>
      <c r="C14" s="37" t="s">
        <v>3</v>
      </c>
      <c r="D14" s="30" t="s">
        <v>7</v>
      </c>
      <c r="E14" s="30"/>
      <c r="F14" s="30"/>
      <c r="G14" s="30"/>
    </row>
    <row r="15" spans="2:13" ht="15" customHeight="1" x14ac:dyDescent="0.35">
      <c r="B15" s="38"/>
      <c r="C15" s="38"/>
      <c r="D15" s="29" t="s">
        <v>17</v>
      </c>
      <c r="E15" s="29" t="s">
        <v>18</v>
      </c>
      <c r="F15" s="30" t="s">
        <v>19</v>
      </c>
      <c r="G15" s="30"/>
    </row>
    <row r="16" spans="2:13" x14ac:dyDescent="0.35">
      <c r="B16" s="14">
        <v>20</v>
      </c>
      <c r="C16" s="14">
        <v>135</v>
      </c>
      <c r="D16" s="14">
        <v>6.83</v>
      </c>
      <c r="E16" s="14">
        <v>6.83</v>
      </c>
      <c r="F16" s="39">
        <v>6.83</v>
      </c>
      <c r="G16" s="39"/>
    </row>
    <row r="17" spans="2:7" x14ac:dyDescent="0.35">
      <c r="B17" s="14">
        <v>20</v>
      </c>
      <c r="C17" s="14">
        <v>150</v>
      </c>
      <c r="D17" s="14">
        <v>3.25</v>
      </c>
      <c r="E17" s="14">
        <v>3.25</v>
      </c>
      <c r="F17" s="39">
        <v>3.25</v>
      </c>
      <c r="G17" s="39"/>
    </row>
    <row r="18" spans="2:7" ht="15" customHeight="1" x14ac:dyDescent="0.35">
      <c r="B18" s="14">
        <v>50</v>
      </c>
      <c r="C18" s="14">
        <v>177</v>
      </c>
      <c r="D18" s="14">
        <v>1.05</v>
      </c>
      <c r="E18" s="14">
        <v>1.05</v>
      </c>
      <c r="F18" s="39">
        <v>1.05</v>
      </c>
      <c r="G18" s="39"/>
    </row>
    <row r="20" spans="2:7" x14ac:dyDescent="0.35">
      <c r="B20" s="63" t="s">
        <v>5</v>
      </c>
      <c r="C20" s="63"/>
      <c r="D20" s="63"/>
      <c r="E20" s="24"/>
      <c r="F20" s="24"/>
    </row>
    <row r="22" spans="2:7" x14ac:dyDescent="0.35">
      <c r="B22" s="42" t="s">
        <v>2</v>
      </c>
      <c r="C22" s="42" t="s">
        <v>3</v>
      </c>
      <c r="D22" s="42" t="s">
        <v>4</v>
      </c>
    </row>
    <row r="23" spans="2:7" x14ac:dyDescent="0.35">
      <c r="B23" s="43"/>
      <c r="C23" s="43"/>
      <c r="D23" s="43" t="s">
        <v>0</v>
      </c>
    </row>
    <row r="24" spans="2:7" x14ac:dyDescent="0.35">
      <c r="B24" s="25">
        <f t="shared" ref="B24:C26" si="0">B16</f>
        <v>20</v>
      </c>
      <c r="C24" s="25">
        <f>C16</f>
        <v>135</v>
      </c>
      <c r="D24" s="26">
        <v>6.8250000000000002</v>
      </c>
    </row>
    <row r="25" spans="2:7" x14ac:dyDescent="0.35">
      <c r="B25" s="25">
        <f t="shared" si="0"/>
        <v>20</v>
      </c>
      <c r="C25" s="25">
        <f t="shared" si="0"/>
        <v>150</v>
      </c>
      <c r="D25" s="26">
        <v>3.25</v>
      </c>
    </row>
    <row r="26" spans="2:7" x14ac:dyDescent="0.35">
      <c r="B26" s="25">
        <f t="shared" si="0"/>
        <v>50</v>
      </c>
      <c r="C26" s="25">
        <f>C18</f>
        <v>177</v>
      </c>
      <c r="D26" s="26">
        <v>1.05</v>
      </c>
    </row>
    <row r="29" spans="2:7" x14ac:dyDescent="0.35">
      <c r="B29" s="40" t="s">
        <v>8</v>
      </c>
      <c r="C29" s="40"/>
      <c r="D29" s="40"/>
      <c r="E29" s="40"/>
      <c r="F29" s="27" t="s">
        <v>16</v>
      </c>
    </row>
    <row r="30" spans="2:7" x14ac:dyDescent="0.35">
      <c r="B30" s="40" t="s">
        <v>6</v>
      </c>
      <c r="C30" s="40"/>
      <c r="D30" s="40"/>
      <c r="E30" s="40"/>
      <c r="F30" s="28">
        <v>171</v>
      </c>
    </row>
    <row r="31" spans="2:7" x14ac:dyDescent="0.35">
      <c r="B31" s="41" t="s">
        <v>9</v>
      </c>
      <c r="C31" s="41"/>
      <c r="D31" s="41"/>
      <c r="E31" s="41"/>
      <c r="F31" s="27" t="s">
        <v>15</v>
      </c>
    </row>
    <row r="48" ht="15" customHeight="1" x14ac:dyDescent="0.35"/>
    <row r="52" spans="2:13" ht="15" customHeight="1" thickBot="1" x14ac:dyDescent="0.4"/>
    <row r="53" spans="2:13" x14ac:dyDescent="0.35">
      <c r="B53" s="4" t="s">
        <v>10</v>
      </c>
      <c r="C53" s="5"/>
      <c r="D53" s="5"/>
      <c r="E53" s="5" t="s">
        <v>11</v>
      </c>
      <c r="F53" s="5"/>
      <c r="G53" s="6"/>
    </row>
    <row r="54" spans="2:13" x14ac:dyDescent="0.35">
      <c r="B54" s="7" t="s">
        <v>12</v>
      </c>
      <c r="C54" s="2" t="s">
        <v>13</v>
      </c>
      <c r="D54" s="2" t="s">
        <v>14</v>
      </c>
      <c r="E54" s="2" t="s">
        <v>12</v>
      </c>
      <c r="F54" s="2" t="s">
        <v>13</v>
      </c>
      <c r="G54" s="8" t="s">
        <v>14</v>
      </c>
    </row>
    <row r="55" spans="2:13" x14ac:dyDescent="0.35">
      <c r="B55" s="7">
        <v>135</v>
      </c>
      <c r="C55" s="2">
        <v>1.9</v>
      </c>
      <c r="D55" s="3">
        <f>(11.795-C55)/0.0637</f>
        <v>155.33751962323387</v>
      </c>
      <c r="E55" s="2">
        <v>135</v>
      </c>
      <c r="F55" s="2">
        <v>2.5</v>
      </c>
      <c r="G55" s="9">
        <f>(11.795-F55)/0.0637</f>
        <v>145.91836734693877</v>
      </c>
    </row>
    <row r="56" spans="2:13" x14ac:dyDescent="0.35">
      <c r="B56" s="7">
        <v>175</v>
      </c>
      <c r="C56" s="2">
        <v>1.9</v>
      </c>
      <c r="D56" s="3">
        <f>(11.795-C56)/0.0637</f>
        <v>155.33751962323387</v>
      </c>
      <c r="E56" s="2">
        <v>175</v>
      </c>
      <c r="F56" s="2">
        <v>2.5</v>
      </c>
      <c r="G56" s="9">
        <f>(11.795-F56)/0.0637</f>
        <v>145.91836734693877</v>
      </c>
    </row>
    <row r="57" spans="2:13" x14ac:dyDescent="0.35">
      <c r="B57" s="7">
        <v>135</v>
      </c>
      <c r="C57" s="2">
        <v>1.5</v>
      </c>
      <c r="D57" s="3">
        <f>(11.795-C57)/0.0637</f>
        <v>161.61695447409733</v>
      </c>
      <c r="E57" s="2">
        <v>135</v>
      </c>
      <c r="F57" s="2">
        <v>3.1</v>
      </c>
      <c r="G57" s="9">
        <f>(11.795-F57)/0.0637</f>
        <v>136.49921507064363</v>
      </c>
    </row>
    <row r="58" spans="2:13" ht="15" thickBot="1" x14ac:dyDescent="0.4">
      <c r="B58" s="10">
        <v>175</v>
      </c>
      <c r="C58" s="11">
        <v>1.5</v>
      </c>
      <c r="D58" s="12">
        <f>(11.795-C58)/0.0637</f>
        <v>161.61695447409733</v>
      </c>
      <c r="E58" s="11">
        <v>175</v>
      </c>
      <c r="F58" s="11">
        <v>3.1</v>
      </c>
      <c r="G58" s="13">
        <f>(11.795-F58)/0.0637</f>
        <v>136.49921507064363</v>
      </c>
    </row>
    <row r="60" spans="2:13" ht="15" customHeight="1" x14ac:dyDescent="0.35"/>
    <row r="61" spans="2:13" ht="30" customHeight="1" x14ac:dyDescent="0.35">
      <c r="B61" s="20" t="s">
        <v>27</v>
      </c>
      <c r="C61" s="48" t="s">
        <v>38</v>
      </c>
      <c r="D61" s="48"/>
      <c r="E61" s="48"/>
      <c r="F61" s="48"/>
      <c r="G61" s="48"/>
      <c r="H61" s="22"/>
      <c r="I61" s="22"/>
      <c r="J61" s="22"/>
      <c r="K61" s="22"/>
      <c r="L61" s="22"/>
      <c r="M61" s="22"/>
    </row>
    <row r="62" spans="2:13" ht="30" customHeight="1" x14ac:dyDescent="0.35">
      <c r="B62" s="21" t="s">
        <v>28</v>
      </c>
      <c r="C62" s="49" t="s">
        <v>30</v>
      </c>
      <c r="D62" s="49"/>
      <c r="E62" s="49"/>
      <c r="F62" s="49"/>
      <c r="G62" s="49"/>
      <c r="H62" s="23"/>
      <c r="I62" s="23"/>
      <c r="J62" s="23"/>
      <c r="K62" s="23"/>
      <c r="L62" s="23"/>
      <c r="M62" s="23"/>
    </row>
    <row r="63" spans="2:13" ht="30" customHeight="1" x14ac:dyDescent="0.35">
      <c r="B63" s="21" t="s">
        <v>29</v>
      </c>
      <c r="C63" s="49" t="s">
        <v>39</v>
      </c>
      <c r="D63" s="49"/>
      <c r="E63" s="49"/>
      <c r="F63" s="49"/>
      <c r="G63" s="49"/>
      <c r="H63" s="23"/>
      <c r="I63" s="23"/>
      <c r="J63" s="23"/>
      <c r="K63" s="23"/>
      <c r="L63" s="23"/>
      <c r="M63" s="23"/>
    </row>
    <row r="64" spans="2:13" ht="30" customHeight="1" x14ac:dyDescent="0.35"/>
    <row r="100" ht="15" customHeight="1" x14ac:dyDescent="0.35"/>
    <row r="101" ht="15" customHeight="1" x14ac:dyDescent="0.35"/>
  </sheetData>
  <protectedRanges>
    <protectedRange sqref="C7:D8 F7:G8 D9:G11" name="Intervalo1"/>
  </protectedRanges>
  <mergeCells count="34">
    <mergeCell ref="C61:G61"/>
    <mergeCell ref="C62:G62"/>
    <mergeCell ref="C63:G63"/>
    <mergeCell ref="B6:G6"/>
    <mergeCell ref="B3:D3"/>
    <mergeCell ref="E3:G3"/>
    <mergeCell ref="B10:G11"/>
    <mergeCell ref="B9:G9"/>
    <mergeCell ref="B7:D7"/>
    <mergeCell ref="B8:D8"/>
    <mergeCell ref="E7:G7"/>
    <mergeCell ref="E8:G8"/>
    <mergeCell ref="B20:D20"/>
    <mergeCell ref="F15:G15"/>
    <mergeCell ref="F16:G16"/>
    <mergeCell ref="F17:G17"/>
    <mergeCell ref="B1:G1"/>
    <mergeCell ref="B2:G2"/>
    <mergeCell ref="B4:D4"/>
    <mergeCell ref="E4:G4"/>
    <mergeCell ref="B5:D5"/>
    <mergeCell ref="E5:G5"/>
    <mergeCell ref="F18:G18"/>
    <mergeCell ref="B29:E29"/>
    <mergeCell ref="B30:E30"/>
    <mergeCell ref="B31:E31"/>
    <mergeCell ref="B22:B23"/>
    <mergeCell ref="C22:C23"/>
    <mergeCell ref="D22:D23"/>
    <mergeCell ref="D14:G14"/>
    <mergeCell ref="B12:G12"/>
    <mergeCell ref="B13:G13"/>
    <mergeCell ref="B14:B15"/>
    <mergeCell ref="C14:C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FR-IMOB-28_Rev00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</dc:creator>
  <cp:lastModifiedBy>Samara Rodrigues Dos Santos</cp:lastModifiedBy>
  <dcterms:created xsi:type="dcterms:W3CDTF">2017-09-15T14:30:52Z</dcterms:created>
  <dcterms:modified xsi:type="dcterms:W3CDTF">2026-02-16T14:48:22Z</dcterms:modified>
</cp:coreProperties>
</file>