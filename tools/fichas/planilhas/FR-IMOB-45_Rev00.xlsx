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58C5FCE2-EE1C-4289-9B33-A2A00FB00D99}" xr6:coauthVersionLast="47" xr6:coauthVersionMax="47" xr10:uidLastSave="{00000000-0000-0000-0000-000000000000}"/>
  <bookViews>
    <workbookView xWindow="-28910" yWindow="-1730" windowWidth="29020" windowHeight="15820" xr2:uid="{A3D7CD27-5B83-4085-932C-0006E2F1CCDD}"/>
  </bookViews>
  <sheets>
    <sheet name="FR-IMOB-45_Rev00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 localSheetId="0">#REF!</definedName>
    <definedName name="_bri1">#REF!</definedName>
    <definedName name="_bri2" localSheetId="0">#REF!</definedName>
    <definedName name="_bri2">#REF!</definedName>
    <definedName name="_drb1" localSheetId="0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 localSheetId="0">#REF!</definedName>
    <definedName name="amostra">#REF!</definedName>
    <definedName name="_xlnm.Print_Area" localSheetId="0">'FR-IMOB-45_Rev00'!$A$1:$AE$60</definedName>
    <definedName name="arei" localSheetId="0">#REF!</definedName>
    <definedName name="arei">#REF!</definedName>
    <definedName name="BI">[3]Teor!$A$3:$G$7</definedName>
    <definedName name="bica" localSheetId="0">#REF!</definedName>
    <definedName name="bica">#REF!</definedName>
    <definedName name="btt">#REF!</definedName>
    <definedName name="button_area_1">#REF!</definedName>
    <definedName name="CAN">#N/A</definedName>
    <definedName name="cbr" localSheetId="0">#REF!</definedName>
    <definedName name="cbr">#REF!</definedName>
    <definedName name="celltips_area" localSheetId="0">#REF!</definedName>
    <definedName name="celltips_area">#REF!</definedName>
    <definedName name="cinco" localSheetId="0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 localSheetId="0">#REF!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 localSheetId="0">#REF!</definedName>
    <definedName name="h">#REF!</definedName>
    <definedName name="IP" localSheetId="0">[8]resumo!#REF!</definedName>
    <definedName name="IP">[8]resumo!#REF!</definedName>
    <definedName name="kp" localSheetId="0">#REF!</definedName>
    <definedName name="kp">#REF!</definedName>
    <definedName name="lab">#REF!</definedName>
    <definedName name="LL" localSheetId="0">[8]resumo!#REF!</definedName>
    <definedName name="LL">[8]resumo!#REF!</definedName>
    <definedName name="marshall" localSheetId="0">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 localSheetId="0">[8]resumo!#REF!</definedName>
    <definedName name="P">[8]resumo!#REF!</definedName>
    <definedName name="paraf" localSheetId="0">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 localSheetId="0">#REF!</definedName>
    <definedName name="pope">#REF!</definedName>
    <definedName name="PRE">#N/A</definedName>
    <definedName name="Print_Area_MI">[10]ESTUDO.TRAÇO!$F$18:$U$55</definedName>
    <definedName name="ptp" localSheetId="0">#REF!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 localSheetId="0">#REF!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 localSheetId="0">#REF!</definedName>
    <definedName name="total">#REF!</definedName>
    <definedName name="tres" localSheetId="0">#REF!</definedName>
    <definedName name="tres">#REF!</definedName>
    <definedName name="treze" localSheetId="0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 localSheetId="0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9" i="5" l="1"/>
  <c r="E22" i="5" l="1"/>
  <c r="E23" i="5" s="1"/>
  <c r="I22" i="5"/>
  <c r="I23" i="5" s="1"/>
  <c r="R22" i="5"/>
  <c r="Y22" i="5"/>
  <c r="H30" i="5" l="1"/>
  <c r="J22" i="5" s="1"/>
  <c r="K22" i="5" s="1"/>
  <c r="D30" i="5"/>
  <c r="F22" i="5" s="1"/>
  <c r="G22" i="5" s="1"/>
  <c r="L22" i="5" l="1"/>
  <c r="R23" i="5"/>
  <c r="R24" i="5"/>
  <c r="R25" i="5"/>
  <c r="R26" i="5"/>
  <c r="R27" i="5"/>
  <c r="R28" i="5"/>
  <c r="E24" i="5"/>
  <c r="E25" i="5" s="1"/>
  <c r="E26" i="5" s="1"/>
  <c r="E27" i="5" s="1"/>
  <c r="E28" i="5" s="1"/>
  <c r="E29" i="5" s="1"/>
  <c r="F29" i="5" s="1"/>
  <c r="I24" i="5"/>
  <c r="I25" i="5" s="1"/>
  <c r="I26" i="5" s="1"/>
  <c r="I27" i="5" s="1"/>
  <c r="I28" i="5" s="1"/>
  <c r="I29" i="5" s="1"/>
  <c r="J29" i="5" s="1"/>
  <c r="R18" i="5"/>
  <c r="M22" i="5" s="1"/>
  <c r="M28" i="5" l="1"/>
  <c r="M27" i="5"/>
  <c r="M26" i="5"/>
  <c r="M25" i="5"/>
  <c r="M24" i="5"/>
  <c r="M23" i="5"/>
  <c r="R19" i="5"/>
  <c r="J26" i="5"/>
  <c r="K26" i="5" s="1"/>
  <c r="J28" i="5"/>
  <c r="K28" i="5" s="1"/>
  <c r="J27" i="5"/>
  <c r="K27" i="5" s="1"/>
  <c r="J23" i="5"/>
  <c r="K23" i="5" s="1"/>
  <c r="J24" i="5"/>
  <c r="K24" i="5" s="1"/>
  <c r="J25" i="5"/>
  <c r="K25" i="5" s="1"/>
  <c r="F26" i="5"/>
  <c r="G26" i="5" s="1"/>
  <c r="F28" i="5"/>
  <c r="G28" i="5" s="1"/>
  <c r="F27" i="5"/>
  <c r="G27" i="5" s="1"/>
  <c r="F23" i="5"/>
  <c r="G23" i="5" s="1"/>
  <c r="F24" i="5"/>
  <c r="G24" i="5" s="1"/>
  <c r="F25" i="5"/>
  <c r="G25" i="5" s="1"/>
  <c r="W15" i="5"/>
  <c r="U15" i="5"/>
  <c r="S15" i="5"/>
  <c r="Y28" i="5"/>
  <c r="Y27" i="5"/>
  <c r="Y26" i="5"/>
  <c r="Y25" i="5"/>
  <c r="Y24" i="5"/>
  <c r="Y23" i="5"/>
  <c r="N23" i="5" l="1"/>
  <c r="N28" i="5"/>
  <c r="N27" i="5"/>
  <c r="N26" i="5"/>
  <c r="N25" i="5"/>
  <c r="N24" i="5"/>
  <c r="N22" i="5"/>
  <c r="L24" i="5"/>
  <c r="L23" i="5"/>
  <c r="L28" i="5"/>
  <c r="L25" i="5"/>
  <c r="L27" i="5"/>
  <c r="L26" i="5"/>
</calcChain>
</file>

<file path=xl/sharedStrings.xml><?xml version="1.0" encoding="utf-8"?>
<sst xmlns="http://schemas.openxmlformats.org/spreadsheetml/2006/main" count="91" uniqueCount="55">
  <si>
    <t>Nº O.S:</t>
  </si>
  <si>
    <t>Data do ensaio:</t>
  </si>
  <si>
    <t>Material:</t>
  </si>
  <si>
    <t>Registro da amostra:</t>
  </si>
  <si>
    <t>Informações complementar:</t>
  </si>
  <si>
    <t>TOLERANCIA FAIXA DE TRABALHO</t>
  </si>
  <si>
    <t>Peneiras</t>
  </si>
  <si>
    <t>massa</t>
  </si>
  <si>
    <t>%</t>
  </si>
  <si>
    <t>% passa</t>
  </si>
  <si>
    <t>retida</t>
  </si>
  <si>
    <t>passa</t>
  </si>
  <si>
    <t>acumul.</t>
  </si>
  <si>
    <t>nº</t>
  </si>
  <si>
    <t>mm</t>
  </si>
  <si>
    <t>(g)</t>
  </si>
  <si>
    <t>Lista Suspensa</t>
  </si>
  <si>
    <t>Fundo (g)</t>
  </si>
  <si>
    <t>-</t>
  </si>
  <si>
    <t>Massa total (g)</t>
  </si>
  <si>
    <t>Gráfico</t>
  </si>
  <si>
    <t>Massa inicial (g)</t>
  </si>
  <si>
    <t>3/8</t>
  </si>
  <si>
    <t>Nº4</t>
  </si>
  <si>
    <t>Nº200</t>
  </si>
  <si>
    <t>Amostra 01</t>
  </si>
  <si>
    <t>Amostra 02</t>
  </si>
  <si>
    <t>Nº40</t>
  </si>
  <si>
    <t>Nº10</t>
  </si>
  <si>
    <t>1</t>
  </si>
  <si>
    <t>Média</t>
  </si>
  <si>
    <t xml:space="preserve"> __________________________________
 Responsável executor</t>
  </si>
  <si>
    <t>____________________________________________
Responsável calculista</t>
  </si>
  <si>
    <t>Assinaturas</t>
  </si>
  <si>
    <t xml:space="preserve">DNIT 141- ES - Pavimentação - Base estabilizada granulometricamente                                                                                                                </t>
  </si>
  <si>
    <t>FAIXA A DNIT 141</t>
  </si>
  <si>
    <t>FAIXA B DNIT 141</t>
  </si>
  <si>
    <t>FAIXA C DNIT 141</t>
  </si>
  <si>
    <t>2</t>
  </si>
  <si>
    <t>Procedência material:</t>
  </si>
  <si>
    <t>Procedimentos do Ensaio - Calculos e Resultados</t>
  </si>
  <si>
    <t>Documento de Referência</t>
  </si>
  <si>
    <t>TOLERÂNCIA FAIXA DE TRABALHO MISTURA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</si>
  <si>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</si>
  <si>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</si>
  <si>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</si>
  <si>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</si>
  <si>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Pavimentação - Base Estabilizada Granulometricamente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</si>
  <si>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FR-IMOB-45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</si>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</sst>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8"/>
      <name val="Arial"/>
      <family val="2"/>
    </font>
    <font>
      <sz val="10"/>
      <color rgb="FFFF0000"/>
      <name val="Tahoma"/>
      <family val="2"/>
    </font>
    <font>
      <b/>
      <sz val="10"/>
      <color theme="0"/>
      <name val="Tahoma"/>
      <family val="2"/>
    </font>
    <font>
      <b/>
      <sz val="8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00">
    <xf numFmtId="0" fontId="0" fillId="0" borderId="0" xfId="0"/>
    <xf numFmtId="2" fontId="3" fillId="4" borderId="11" xfId="4" applyNumberFormat="1" applyFont="1" applyFill="1" applyBorder="1" applyAlignment="1" applyProtection="1">
      <alignment horizontal="center" vertical="center"/>
      <protection locked="0"/>
    </xf>
    <xf numFmtId="2" fontId="2" fillId="0" borderId="11" xfId="1" applyNumberFormat="1" applyFont="1" applyBorder="1" applyAlignment="1" applyProtection="1">
      <alignment horizontal="center" vertical="center"/>
    </xf>
    <xf numFmtId="2" fontId="2" fillId="0" borderId="11" xfId="5" applyNumberFormat="1" applyFont="1" applyBorder="1" applyAlignment="1" applyProtection="1">
      <alignment horizontal="center" vertical="center"/>
    </xf>
    <xf numFmtId="2" fontId="4" fillId="4" borderId="11" xfId="5" applyNumberFormat="1" applyFont="1" applyFill="1" applyBorder="1" applyAlignment="1" applyProtection="1">
      <alignment horizontal="center" vertical="center"/>
    </xf>
    <xf numFmtId="2" fontId="9" fillId="0" borderId="11" xfId="5" applyNumberFormat="1" applyFont="1" applyBorder="1" applyAlignment="1" applyProtection="1">
      <alignment horizontal="center" vertical="center"/>
    </xf>
    <xf numFmtId="0" fontId="2" fillId="0" borderId="0" xfId="4" applyFont="1" applyAlignment="1">
      <alignment vertical="center"/>
    </xf>
    <xf numFmtId="0" fontId="2" fillId="0" borderId="0" xfId="4" applyFont="1" applyAlignment="1">
      <alignment horizontal="left" vertical="center"/>
    </xf>
    <xf numFmtId="0" fontId="2" fillId="0" borderId="11" xfId="4" applyFont="1" applyBorder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1" fillId="2" borderId="4" xfId="4" applyFont="1" applyFill="1" applyBorder="1" applyAlignment="1">
      <alignment horizontal="left" vertical="center"/>
    </xf>
    <xf numFmtId="164" fontId="2" fillId="0" borderId="0" xfId="4" applyNumberFormat="1" applyFont="1" applyAlignment="1">
      <alignment vertical="center"/>
    </xf>
    <xf numFmtId="164" fontId="2" fillId="0" borderId="0" xfId="4" applyNumberFormat="1" applyFont="1" applyAlignment="1">
      <alignment horizontal="left" vertical="center"/>
    </xf>
    <xf numFmtId="2" fontId="2" fillId="0" borderId="0" xfId="4" applyNumberFormat="1" applyFont="1" applyAlignment="1">
      <alignment horizontal="left" vertical="center"/>
    </xf>
    <xf numFmtId="0" fontId="4" fillId="0" borderId="11" xfId="4" applyFont="1" applyBorder="1" applyAlignment="1">
      <alignment horizontal="center" vertical="center"/>
    </xf>
    <xf numFmtId="0" fontId="4" fillId="4" borderId="7" xfId="2" applyFont="1" applyFill="1" applyBorder="1" applyAlignment="1">
      <alignment horizontal="center" vertical="center"/>
    </xf>
    <xf numFmtId="0" fontId="4" fillId="0" borderId="7" xfId="4" applyFont="1" applyBorder="1" applyAlignment="1">
      <alignment horizontal="center" vertical="center"/>
    </xf>
    <xf numFmtId="0" fontId="4" fillId="4" borderId="14" xfId="4" applyFont="1" applyFill="1" applyBorder="1" applyAlignment="1">
      <alignment horizontal="center" vertical="center"/>
    </xf>
    <xf numFmtId="0" fontId="4" fillId="4" borderId="7" xfId="4" applyFont="1" applyFill="1" applyBorder="1" applyAlignment="1">
      <alignment horizontal="center" vertical="center"/>
    </xf>
    <xf numFmtId="0" fontId="4" fillId="0" borderId="13" xfId="4" applyFont="1" applyBorder="1" applyAlignment="1">
      <alignment horizontal="center" vertical="center"/>
    </xf>
    <xf numFmtId="0" fontId="4" fillId="0" borderId="4" xfId="4" applyFont="1" applyBorder="1" applyAlignment="1">
      <alignment horizontal="center" vertical="center"/>
    </xf>
    <xf numFmtId="0" fontId="4" fillId="4" borderId="11" xfId="4" applyFont="1" applyFill="1" applyBorder="1" applyAlignment="1">
      <alignment horizontal="center" vertical="center"/>
    </xf>
    <xf numFmtId="0" fontId="4" fillId="0" borderId="4" xfId="4" applyFont="1" applyBorder="1" applyAlignment="1">
      <alignment vertical="center"/>
    </xf>
    <xf numFmtId="0" fontId="4" fillId="0" borderId="5" xfId="4" applyFont="1" applyBorder="1" applyAlignment="1">
      <alignment vertical="center"/>
    </xf>
    <xf numFmtId="0" fontId="4" fillId="4" borderId="11" xfId="4" applyFont="1" applyFill="1" applyBorder="1" applyAlignment="1">
      <alignment vertical="center"/>
    </xf>
    <xf numFmtId="0" fontId="4" fillId="0" borderId="6" xfId="4" applyFont="1" applyBorder="1" applyAlignment="1">
      <alignment vertical="center"/>
    </xf>
    <xf numFmtId="49" fontId="4" fillId="0" borderId="11" xfId="4" applyNumberFormat="1" applyFont="1" applyBorder="1" applyAlignment="1">
      <alignment horizontal="center" vertical="center"/>
    </xf>
    <xf numFmtId="164" fontId="4" fillId="0" borderId="11" xfId="4" applyNumberFormat="1" applyFont="1" applyBorder="1" applyAlignment="1">
      <alignment horizontal="center" vertical="center"/>
    </xf>
    <xf numFmtId="2" fontId="2" fillId="0" borderId="11" xfId="4" applyNumberFormat="1" applyFont="1" applyBorder="1" applyAlignment="1">
      <alignment horizontal="center" vertical="center"/>
    </xf>
    <xf numFmtId="0" fontId="4" fillId="0" borderId="0" xfId="4" applyFont="1" applyAlignment="1">
      <alignment vertical="center"/>
    </xf>
    <xf numFmtId="164" fontId="2" fillId="0" borderId="11" xfId="4" applyNumberFormat="1" applyFont="1" applyBorder="1" applyAlignment="1">
      <alignment horizontal="center" vertical="center"/>
    </xf>
    <xf numFmtId="2" fontId="2" fillId="0" borderId="11" xfId="4" applyNumberFormat="1" applyFont="1" applyBorder="1" applyAlignment="1">
      <alignment vertical="center"/>
    </xf>
    <xf numFmtId="0" fontId="2" fillId="3" borderId="11" xfId="3" applyFont="1" applyFill="1" applyBorder="1" applyAlignment="1">
      <alignment horizontal="center" vertical="center"/>
    </xf>
    <xf numFmtId="164" fontId="4" fillId="0" borderId="0" xfId="4" applyNumberFormat="1" applyFont="1" applyAlignment="1">
      <alignment vertical="center"/>
    </xf>
    <xf numFmtId="0" fontId="2" fillId="0" borderId="11" xfId="3" applyFont="1" applyBorder="1" applyAlignment="1">
      <alignment vertical="center"/>
    </xf>
    <xf numFmtId="0" fontId="2" fillId="0" borderId="11" xfId="3" applyFont="1" applyBorder="1" applyAlignment="1">
      <alignment horizontal="center" vertical="center"/>
    </xf>
    <xf numFmtId="2" fontId="4" fillId="0" borderId="11" xfId="4" applyNumberFormat="1" applyFont="1" applyBorder="1" applyAlignment="1">
      <alignment horizontal="center" vertical="center"/>
    </xf>
    <xf numFmtId="0" fontId="2" fillId="0" borderId="11" xfId="4" applyFont="1" applyBorder="1" applyAlignment="1">
      <alignment vertical="center"/>
    </xf>
    <xf numFmtId="0" fontId="2" fillId="0" borderId="7" xfId="4" applyFont="1" applyBorder="1" applyAlignment="1">
      <alignment horizontal="left" vertical="center"/>
    </xf>
    <xf numFmtId="0" fontId="2" fillId="0" borderId="12" xfId="4" applyFont="1" applyBorder="1" applyAlignment="1">
      <alignment horizontal="left" vertical="center"/>
    </xf>
    <xf numFmtId="0" fontId="2" fillId="0" borderId="11" xfId="4" applyFont="1" applyBorder="1" applyAlignment="1">
      <alignment horizontal="left" vertical="center"/>
    </xf>
    <xf numFmtId="0" fontId="2" fillId="5" borderId="0" xfId="4" applyFont="1" applyFill="1" applyAlignment="1">
      <alignment vertical="center"/>
    </xf>
    <xf numFmtId="14" fontId="11" fillId="5" borderId="0" xfId="0" applyNumberFormat="1" applyFont="1" applyFill="1" applyAlignment="1">
      <alignment vertical="center" wrapText="1"/>
    </xf>
    <xf numFmtId="14" fontId="7" fillId="5" borderId="0" xfId="0" applyNumberFormat="1" applyFont="1" applyFill="1" applyAlignment="1">
      <alignment vertical="center" wrapText="1"/>
    </xf>
    <xf numFmtId="49" fontId="7" fillId="5" borderId="0" xfId="0" applyNumberFormat="1" applyFont="1" applyFill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0" fillId="5" borderId="2" xfId="0" applyFont="1" applyFill="1" applyBorder="1" applyAlignment="1">
      <alignment vertical="center" wrapText="1"/>
    </xf>
    <xf numFmtId="0" fontId="16" fillId="0" borderId="5" xfId="4" applyFont="1" applyBorder="1" applyAlignment="1" applyProtection="1">
      <alignment horizontal="left" vertical="center"/>
      <protection locked="0"/>
    </xf>
    <xf numFmtId="0" fontId="7" fillId="0" borderId="2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3" fillId="2" borderId="5" xfId="4" applyFont="1" applyFill="1" applyBorder="1" applyAlignment="1" applyProtection="1">
      <alignment horizontal="left" vertical="center"/>
      <protection locked="0"/>
    </xf>
    <xf numFmtId="0" fontId="3" fillId="2" borderId="6" xfId="4" applyFont="1" applyFill="1" applyBorder="1" applyAlignment="1" applyProtection="1">
      <alignment horizontal="left" vertical="center"/>
      <protection locked="0"/>
    </xf>
    <xf numFmtId="0" fontId="2" fillId="0" borderId="4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2" fillId="0" borderId="15" xfId="2" applyFont="1" applyBorder="1" applyAlignment="1">
      <alignment horizontal="left" vertical="center" wrapText="1"/>
    </xf>
    <xf numFmtId="0" fontId="10" fillId="6" borderId="11" xfId="2" applyFont="1" applyFill="1" applyBorder="1" applyAlignment="1">
      <alignment horizontal="center" vertical="center"/>
    </xf>
    <xf numFmtId="0" fontId="2" fillId="0" borderId="11" xfId="3" applyFont="1" applyBorder="1" applyAlignment="1">
      <alignment horizontal="center" vertical="center" wrapText="1"/>
    </xf>
    <xf numFmtId="0" fontId="1" fillId="2" borderId="4" xfId="4" applyFont="1" applyFill="1" applyBorder="1" applyAlignment="1">
      <alignment horizontal="left" vertical="center"/>
    </xf>
    <xf numFmtId="0" fontId="1" fillId="2" borderId="5" xfId="4" applyFont="1" applyFill="1" applyBorder="1" applyAlignment="1">
      <alignment horizontal="left" vertical="center"/>
    </xf>
    <xf numFmtId="0" fontId="3" fillId="0" borderId="5" xfId="4" applyFont="1" applyBorder="1" applyAlignment="1" applyProtection="1">
      <alignment horizontal="left" vertical="center" wrapText="1"/>
      <protection locked="0"/>
    </xf>
    <xf numFmtId="0" fontId="3" fillId="0" borderId="6" xfId="4" applyFont="1" applyBorder="1" applyAlignment="1" applyProtection="1">
      <alignment horizontal="left" vertical="center" wrapText="1"/>
      <protection locked="0"/>
    </xf>
    <xf numFmtId="0" fontId="1" fillId="2" borderId="7" xfId="4" applyFont="1" applyFill="1" applyBorder="1" applyAlignment="1">
      <alignment horizontal="left" vertical="center"/>
    </xf>
    <xf numFmtId="0" fontId="1" fillId="2" borderId="0" xfId="4" applyFont="1" applyFill="1" applyAlignment="1">
      <alignment horizontal="left" vertical="center"/>
    </xf>
    <xf numFmtId="0" fontId="4" fillId="0" borderId="11" xfId="4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4" xfId="4" applyFont="1" applyBorder="1" applyAlignment="1">
      <alignment horizontal="left" vertical="center"/>
    </xf>
    <xf numFmtId="0" fontId="4" fillId="0" borderId="5" xfId="4" applyFont="1" applyBorder="1" applyAlignment="1">
      <alignment horizontal="left" vertical="center"/>
    </xf>
    <xf numFmtId="49" fontId="4" fillId="0" borderId="4" xfId="4" applyNumberFormat="1" applyFont="1" applyBorder="1" applyAlignment="1">
      <alignment horizontal="center" vertical="center"/>
    </xf>
    <xf numFmtId="49" fontId="4" fillId="0" borderId="6" xfId="4" applyNumberFormat="1" applyFont="1" applyBorder="1" applyAlignment="1">
      <alignment horizontal="center" vertical="center"/>
    </xf>
    <xf numFmtId="0" fontId="6" fillId="3" borderId="7" xfId="3" applyFont="1" applyFill="1" applyBorder="1" applyAlignment="1" applyProtection="1">
      <alignment horizontal="center" vertical="center"/>
      <protection locked="0"/>
    </xf>
    <xf numFmtId="0" fontId="6" fillId="3" borderId="12" xfId="3" applyFont="1" applyFill="1" applyBorder="1" applyAlignment="1" applyProtection="1">
      <alignment horizontal="center" vertical="center"/>
      <protection locked="0"/>
    </xf>
    <xf numFmtId="0" fontId="6" fillId="3" borderId="8" xfId="3" applyFont="1" applyFill="1" applyBorder="1" applyAlignment="1" applyProtection="1">
      <alignment horizontal="center" vertical="center"/>
      <protection locked="0"/>
    </xf>
    <xf numFmtId="0" fontId="6" fillId="3" borderId="10" xfId="3" applyFont="1" applyFill="1" applyBorder="1" applyAlignment="1" applyProtection="1">
      <alignment horizontal="center" vertical="center"/>
      <protection locked="0"/>
    </xf>
    <xf numFmtId="0" fontId="4" fillId="0" borderId="7" xfId="3" applyFont="1" applyBorder="1" applyAlignment="1">
      <alignment horizontal="center" vertical="center" wrapText="1"/>
    </xf>
    <xf numFmtId="0" fontId="4" fillId="0" borderId="12" xfId="3" applyFont="1" applyBorder="1" applyAlignment="1">
      <alignment horizontal="center" vertical="center" wrapText="1"/>
    </xf>
    <xf numFmtId="0" fontId="4" fillId="0" borderId="8" xfId="3" applyFont="1" applyBorder="1" applyAlignment="1">
      <alignment horizontal="center" vertical="center" wrapText="1"/>
    </xf>
    <xf numFmtId="0" fontId="4" fillId="0" borderId="10" xfId="3" applyFont="1" applyBorder="1" applyAlignment="1">
      <alignment horizontal="center" vertical="center" wrapText="1"/>
    </xf>
    <xf numFmtId="0" fontId="4" fillId="0" borderId="4" xfId="4" applyFont="1" applyBorder="1" applyAlignment="1">
      <alignment horizontal="center" vertical="center"/>
    </xf>
    <xf numFmtId="0" fontId="4" fillId="0" borderId="6" xfId="4" applyFont="1" applyBorder="1" applyAlignment="1">
      <alignment horizontal="center" vertical="center"/>
    </xf>
    <xf numFmtId="0" fontId="6" fillId="4" borderId="4" xfId="4" applyFont="1" applyFill="1" applyBorder="1" applyAlignment="1" applyProtection="1">
      <alignment horizontal="center" vertical="center"/>
      <protection locked="0"/>
    </xf>
    <xf numFmtId="0" fontId="6" fillId="4" borderId="6" xfId="4" applyFont="1" applyFill="1" applyBorder="1" applyAlignment="1" applyProtection="1">
      <alignment horizontal="center" vertical="center"/>
      <protection locked="0"/>
    </xf>
    <xf numFmtId="0" fontId="12" fillId="0" borderId="5" xfId="0" applyFont="1" applyBorder="1" applyAlignment="1">
      <alignment horizontal="left" vertical="center" wrapText="1"/>
    </xf>
    <xf numFmtId="0" fontId="14" fillId="0" borderId="5" xfId="4" applyFont="1" applyBorder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left" wrapText="1"/>
    </xf>
    <xf numFmtId="0" fontId="15" fillId="5" borderId="5" xfId="4" applyFont="1" applyFill="1" applyBorder="1" applyAlignment="1" applyProtection="1">
      <alignment horizontal="center" vertical="center"/>
      <protection locked="0" hidden="1"/>
    </xf>
    <xf numFmtId="2" fontId="12" fillId="5" borderId="5" xfId="4" applyNumberFormat="1" applyFont="1" applyFill="1" applyBorder="1" applyAlignment="1" applyProtection="1">
      <alignment horizontal="left" vertical="center"/>
      <protection locked="0"/>
    </xf>
    <xf numFmtId="0" fontId="14" fillId="5" borderId="5" xfId="4" applyFont="1" applyFill="1" applyBorder="1" applyAlignment="1" applyProtection="1">
      <alignment horizontal="left" vertical="center"/>
      <protection locked="0" hidden="1"/>
    </xf>
    <xf numFmtId="49" fontId="15" fillId="5" borderId="5" xfId="4" applyNumberFormat="1" applyFont="1" applyFill="1" applyBorder="1" applyAlignment="1" applyProtection="1">
      <alignment horizontal="center" vertical="center"/>
      <protection locked="0" hidden="1"/>
    </xf>
    <xf numFmtId="49" fontId="4" fillId="0" borderId="11" xfId="4" applyNumberFormat="1" applyFont="1" applyBorder="1" applyAlignment="1">
      <alignment horizontal="center" vertical="center"/>
    </xf>
    <xf numFmtId="0" fontId="10" fillId="6" borderId="1" xfId="2" applyFont="1" applyFill="1" applyBorder="1" applyAlignment="1">
      <alignment horizontal="center" vertical="center"/>
    </xf>
    <xf numFmtId="0" fontId="10" fillId="6" borderId="2" xfId="2" applyFont="1" applyFill="1" applyBorder="1" applyAlignment="1">
      <alignment horizontal="center" vertical="center"/>
    </xf>
    <xf numFmtId="0" fontId="10" fillId="6" borderId="3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2" fillId="0" borderId="0" xfId="4" applyFont="1" applyAlignment="1">
      <alignment horizontal="center" vertical="center"/>
    </xf>
    <xf numFmtId="14" fontId="3" fillId="0" borderId="5" xfId="4" applyNumberFormat="1" applyFont="1" applyBorder="1" applyAlignment="1" applyProtection="1">
      <alignment horizontal="left" vertical="center"/>
      <protection locked="0"/>
    </xf>
    <xf numFmtId="0" fontId="3" fillId="0" borderId="5" xfId="4" applyFont="1" applyBorder="1" applyAlignment="1" applyProtection="1">
      <alignment horizontal="left" vertical="center"/>
      <protection locked="0"/>
    </xf>
    <xf numFmtId="0" fontId="3" fillId="0" borderId="6" xfId="4" applyFont="1" applyBorder="1" applyAlignment="1" applyProtection="1">
      <alignment horizontal="left" vertical="center"/>
      <protection locked="0"/>
    </xf>
  </cellXfs>
  <cellStyles count="6">
    <cellStyle name="Normal" xfId="0" builtinId="0"/>
    <cellStyle name="Normal 2 2" xfId="4" xr:uid="{D0BA3E9A-742E-4838-833F-2FF31E841156}"/>
    <cellStyle name="Normal 9 2" xfId="2" xr:uid="{9B6A65A3-8E5E-4026-8DB0-CBBCF5E2E5B4}"/>
    <cellStyle name="Normal_TENTATIVAS~1" xfId="3" xr:uid="{EE1B7734-70BF-4416-8649-4D97FA2C27EE}"/>
    <cellStyle name="Porcentagem" xfId="1" builtinId="5"/>
    <cellStyle name="Porcentagem 2 2" xfId="5" xr:uid="{BBDC5EA5-414F-476B-83B7-6A2BC629BE95}"/>
  </cellStyles>
  <dxfs count="1">
    <dxf>
      <font>
        <color theme="0"/>
      </font>
    </dxf>
  </dxfs>
  <tableStyles count="0" defaultTableStyle="TableStyleMedium2" defaultPivotStyle="PivotStyleLight16"/>
  <colors>
    <mruColors>
      <color rgb="FF0000FF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4090226787765"/>
          <c:y val="6.2045428282422155E-2"/>
          <c:w val="0.75734157650695522"/>
          <c:h val="0.74177611612467431"/>
        </c:manualLayout>
      </c:layout>
      <c:scatterChart>
        <c:scatterStyle val="lineMarker"/>
        <c:varyColors val="0"/>
        <c:ser>
          <c:idx val="6"/>
          <c:order val="0"/>
          <c:tx>
            <c:strRef>
              <c:f>'FR-IMOB-45_Rev00'!$L$16</c:f>
              <c:strCache>
                <c:ptCount val="1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'FR-IMOB-45_Rev00'!$C$22:$C$28</c:f>
              <c:numCache>
                <c:formatCode>0.0</c:formatCode>
                <c:ptCount val="7"/>
                <c:pt idx="0">
                  <c:v>50.8</c:v>
                </c:pt>
                <c:pt idx="1">
                  <c:v>25.4</c:v>
                </c:pt>
                <c:pt idx="2">
                  <c:v>9.5</c:v>
                </c:pt>
                <c:pt idx="3" formatCode="0.00">
                  <c:v>4.75</c:v>
                </c:pt>
                <c:pt idx="4" formatCode="0.00">
                  <c:v>2</c:v>
                </c:pt>
                <c:pt idx="5" formatCode="0.00">
                  <c:v>0.42</c:v>
                </c:pt>
                <c:pt idx="6" formatCode="General">
                  <c:v>7.4999999999999997E-2</c:v>
                </c:pt>
              </c:numCache>
            </c:numRef>
          </c:xVal>
          <c:yVal>
            <c:numRef>
              <c:f>'FR-IMOB-45_Rev00'!$L$22:$L$28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ED-4FE1-83C0-9839369BDFB4}"/>
            </c:ext>
          </c:extLst>
        </c:ser>
        <c:ser>
          <c:idx val="7"/>
          <c:order val="1"/>
          <c:tx>
            <c:strRef>
              <c:f>'FR-IMOB-45_Rev00'!$M$19</c:f>
              <c:strCache>
                <c:ptCount val="1"/>
                <c:pt idx="0">
                  <c:v>FAIXA A DNIT 141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'FR-IMOB-45_Rev00'!$C$22:$C$28</c:f>
              <c:numCache>
                <c:formatCode>0.0</c:formatCode>
                <c:ptCount val="7"/>
                <c:pt idx="0">
                  <c:v>50.8</c:v>
                </c:pt>
                <c:pt idx="1">
                  <c:v>25.4</c:v>
                </c:pt>
                <c:pt idx="2">
                  <c:v>9.5</c:v>
                </c:pt>
                <c:pt idx="3" formatCode="0.00">
                  <c:v>4.75</c:v>
                </c:pt>
                <c:pt idx="4" formatCode="0.00">
                  <c:v>2</c:v>
                </c:pt>
                <c:pt idx="5" formatCode="0.00">
                  <c:v>0.42</c:v>
                </c:pt>
                <c:pt idx="6" formatCode="General">
                  <c:v>7.4999999999999997E-2</c:v>
                </c:pt>
              </c:numCache>
            </c:numRef>
          </c:xVal>
          <c:yVal>
            <c:numRef>
              <c:f>'FR-IMOB-45_Rev00'!$M$22:$M$28</c:f>
              <c:numCache>
                <c:formatCode>0.00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30</c:v>
                </c:pt>
                <c:pt idx="3">
                  <c:v>25</c:v>
                </c:pt>
                <c:pt idx="4">
                  <c:v>15</c:v>
                </c:pt>
                <c:pt idx="5">
                  <c:v>8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ED-4FE1-83C0-9839369BDFB4}"/>
            </c:ext>
          </c:extLst>
        </c:ser>
        <c:ser>
          <c:idx val="8"/>
          <c:order val="2"/>
          <c:tx>
            <c:strRef>
              <c:f>'FR-IMOB-45_Rev00'!$M$19</c:f>
              <c:strCache>
                <c:ptCount val="1"/>
                <c:pt idx="0">
                  <c:v>FAIXA A DNIT 141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'FR-IMOB-45_Rev00'!$C$22:$C$28</c:f>
              <c:numCache>
                <c:formatCode>0.0</c:formatCode>
                <c:ptCount val="7"/>
                <c:pt idx="0">
                  <c:v>50.8</c:v>
                </c:pt>
                <c:pt idx="1">
                  <c:v>25.4</c:v>
                </c:pt>
                <c:pt idx="2">
                  <c:v>9.5</c:v>
                </c:pt>
                <c:pt idx="3" formatCode="0.00">
                  <c:v>4.75</c:v>
                </c:pt>
                <c:pt idx="4" formatCode="0.00">
                  <c:v>2</c:v>
                </c:pt>
                <c:pt idx="5" formatCode="0.00">
                  <c:v>0.42</c:v>
                </c:pt>
                <c:pt idx="6" formatCode="General">
                  <c:v>7.4999999999999997E-2</c:v>
                </c:pt>
              </c:numCache>
            </c:numRef>
          </c:xVal>
          <c:yVal>
            <c:numRef>
              <c:f>'FR-IMOB-45_Rev00'!$N$22:$N$28</c:f>
              <c:numCache>
                <c:formatCode>0.00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65</c:v>
                </c:pt>
                <c:pt idx="3">
                  <c:v>55</c:v>
                </c:pt>
                <c:pt idx="4">
                  <c:v>40</c:v>
                </c:pt>
                <c:pt idx="5">
                  <c:v>20</c:v>
                </c:pt>
                <c:pt idx="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ED-4FE1-83C0-9839369BDFB4}"/>
            </c:ext>
          </c:extLst>
        </c:ser>
        <c:ser>
          <c:idx val="0"/>
          <c:order val="3"/>
          <c:tx>
            <c:v>Faixa de tolerância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triangle"/>
            <c:size val="5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'FR-IMOB-45_Rev00'!$C$22:$C$28</c:f>
              <c:numCache>
                <c:formatCode>0.0</c:formatCode>
                <c:ptCount val="7"/>
                <c:pt idx="0">
                  <c:v>50.8</c:v>
                </c:pt>
                <c:pt idx="1">
                  <c:v>25.4</c:v>
                </c:pt>
                <c:pt idx="2">
                  <c:v>9.5</c:v>
                </c:pt>
                <c:pt idx="3" formatCode="0.00">
                  <c:v>4.75</c:v>
                </c:pt>
                <c:pt idx="4" formatCode="0.00">
                  <c:v>2</c:v>
                </c:pt>
                <c:pt idx="5" formatCode="0.00">
                  <c:v>0.42</c:v>
                </c:pt>
                <c:pt idx="6" formatCode="General">
                  <c:v>7.4999999999999997E-2</c:v>
                </c:pt>
              </c:numCache>
            </c:numRef>
          </c:xVal>
          <c:yVal>
            <c:numRef>
              <c:f>'FR-IMOB-45_Rev00'!$O$22:$O$28</c:f>
              <c:numCache>
                <c:formatCode>0.00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BA-4F4B-9FE1-B10386CA2F75}"/>
            </c:ext>
          </c:extLst>
        </c:ser>
        <c:ser>
          <c:idx val="1"/>
          <c:order val="4"/>
          <c:tx>
            <c:v>Faixa de Tolerância</c:v>
          </c:tx>
          <c:marker>
            <c:symbol val="triangle"/>
            <c:size val="5"/>
            <c:spPr>
              <a:ln>
                <a:noFill/>
              </a:ln>
            </c:spPr>
          </c:marker>
          <c:xVal>
            <c:numRef>
              <c:f>'FR-IMOB-45_Rev00'!$C$22:$C$28</c:f>
              <c:numCache>
                <c:formatCode>0.0</c:formatCode>
                <c:ptCount val="7"/>
                <c:pt idx="0">
                  <c:v>50.8</c:v>
                </c:pt>
                <c:pt idx="1">
                  <c:v>25.4</c:v>
                </c:pt>
                <c:pt idx="2">
                  <c:v>9.5</c:v>
                </c:pt>
                <c:pt idx="3" formatCode="0.00">
                  <c:v>4.75</c:v>
                </c:pt>
                <c:pt idx="4" formatCode="0.00">
                  <c:v>2</c:v>
                </c:pt>
                <c:pt idx="5" formatCode="0.00">
                  <c:v>0.42</c:v>
                </c:pt>
                <c:pt idx="6" formatCode="General">
                  <c:v>7.4999999999999997E-2</c:v>
                </c:pt>
              </c:numCache>
            </c:numRef>
          </c:xVal>
          <c:yVal>
            <c:numRef>
              <c:f>'FR-IMOB-45_Rev00'!$P$22:$P$28</c:f>
              <c:numCache>
                <c:formatCode>0.00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BA-4F4B-9FE1-B10386CA2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85775"/>
        <c:axId val="1"/>
      </c:scatterChart>
      <c:valAx>
        <c:axId val="1860285775"/>
        <c:scaling>
          <c:logBase val="10"/>
          <c:orientation val="minMax"/>
          <c:max val="6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" sourceLinked="1"/>
        <c:majorTickMark val="out"/>
        <c:minorTickMark val="none"/>
        <c:tickLblPos val="nextTo"/>
        <c:crossAx val="1"/>
        <c:crossesAt val="0"/>
        <c:crossBetween val="midCat"/>
        <c:majorUnit val="10"/>
      </c:valAx>
      <c:valAx>
        <c:axId val="1"/>
        <c:scaling>
          <c:orientation val="minMax"/>
          <c:max val="1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ysClr val="windowText" lastClr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pt-BR" sz="1000">
                    <a:solidFill>
                      <a:sysClr val="windowText" lastClr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% PASSANDO</a:t>
                </a:r>
              </a:p>
            </c:rich>
          </c:tx>
          <c:layout>
            <c:manualLayout>
              <c:xMode val="edge"/>
              <c:yMode val="edge"/>
              <c:x val="6.1823785788244358E-2"/>
              <c:y val="0.362369337979094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0285775"/>
        <c:crossesAt val="1.0000000000000002E-2"/>
        <c:crossBetween val="midCat"/>
        <c:majorUnit val="10"/>
        <c:minorUnit val="2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4459256907647214"/>
          <c:y val="0.87282496510449759"/>
          <c:w val="0.75281611152241878"/>
          <c:h val="4.6826687922487766E-2"/>
        </c:manualLayout>
      </c:layout>
      <c:overlay val="0"/>
      <c:txPr>
        <a:bodyPr/>
        <a:lstStyle/>
        <a:p>
          <a:pPr>
            <a:defRPr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74803149606299213" l="0.78740157480314965" r="0.78740157480314965" t="1.1417322834645669" header="0.51181102362204722" footer="0.51181102362204722"/>
    <c:pageSetup paperSize="9" orientation="landscape" horizontalDpi="180" verticalDpi="18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82827</xdr:colOff>
      <xdr:row>31</xdr:row>
      <xdr:rowOff>111815</xdr:rowOff>
    </xdr:from>
    <xdr:to>
      <xdr:col>15</xdr:col>
      <xdr:colOff>540027</xdr:colOff>
      <xdr:row>51</xdr:row>
      <xdr:rowOff>105189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497075</xdr:colOff>
      <xdr:row>0</xdr:row>
      <xdr:rowOff>48559</xdr:rowOff>
    </xdr:from>
    <xdr:to>
      <xdr:col>15</xdr:col>
      <xdr:colOff>629091</xdr:colOff>
      <xdr:row>0</xdr:row>
      <xdr:rowOff>800473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DA51BC-CE8C-41C0-83AC-B5A15E3F7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9546" y="48559"/>
          <a:ext cx="1461780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08FC-B5DF-456B-82CF-AB3425CF5DD4}">
  <sheetPr>
    <tabColor rgb="FF00B050"/>
    <pageSetUpPr fitToPage="1"/>
  </sheetPr>
  <dimension ref="A1:AQ59"/>
  <sheetViews>
    <sheetView showGridLines="0" tabSelected="1" view="pageBreakPreview" zoomScale="85" zoomScaleNormal="85" zoomScaleSheetLayoutView="85" workbookViewId="0">
      <selection activeCell="AG54" sqref="AG54"/>
    </sheetView>
  </sheetViews>
  <sheetFormatPr defaultColWidth="11.81640625" defaultRowHeight="12.5" x14ac:dyDescent="0.25"/>
  <cols>
    <col min="1" max="1" width="1.54296875" style="6" customWidth="1"/>
    <col min="2" max="7" width="9.54296875" style="6" customWidth="1"/>
    <col min="8" max="8" width="11.7265625" style="6" customWidth="1"/>
    <col min="9" max="9" width="9.54296875" style="6" customWidth="1"/>
    <col min="10" max="10" width="10.453125" style="6" customWidth="1"/>
    <col min="11" max="15" width="9.54296875" style="6" customWidth="1"/>
    <col min="16" max="16" width="9.7265625" style="6" customWidth="1"/>
    <col min="17" max="17" width="0.7265625" style="6" customWidth="1"/>
    <col min="18" max="18" width="6" style="6" hidden="1" customWidth="1"/>
    <col min="19" max="24" width="6.54296875" style="6" hidden="1" customWidth="1"/>
    <col min="25" max="25" width="2.7265625" style="6" hidden="1" customWidth="1"/>
    <col min="26" max="26" width="2" style="6" hidden="1" customWidth="1"/>
    <col min="27" max="27" width="10" style="6" hidden="1" customWidth="1"/>
    <col min="28" max="28" width="20.26953125" style="6" hidden="1" customWidth="1"/>
    <col min="29" max="29" width="9.26953125" style="6" hidden="1" customWidth="1"/>
    <col min="30" max="30" width="7.81640625" style="6" hidden="1" customWidth="1"/>
    <col min="31" max="31" width="1.54296875" style="6" customWidth="1"/>
    <col min="32" max="33" width="11.81640625" style="6"/>
    <col min="34" max="34" width="14.1796875" style="6" bestFit="1" customWidth="1"/>
    <col min="35" max="37" width="11.81640625" style="6"/>
    <col min="38" max="43" width="11.81640625" style="7"/>
    <col min="44" max="16384" width="11.81640625" style="6"/>
  </cols>
  <sheetData>
    <row r="1" spans="1:34" ht="66" customHeight="1" x14ac:dyDescent="0.3">
      <c r="B1" s="85" t="s">
        <v>47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2" spans="1:34" ht="12.5" customHeight="1" x14ac:dyDescent="0.25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34" ht="30" customHeight="1" x14ac:dyDescent="0.25">
      <c r="B3" s="83" t="s">
        <v>51</v>
      </c>
      <c r="C3" s="83"/>
      <c r="D3" s="83"/>
      <c r="E3" s="83"/>
      <c r="F3" s="83"/>
      <c r="G3" s="83"/>
      <c r="H3" s="83"/>
      <c r="I3" s="84" t="s">
        <v>48</v>
      </c>
      <c r="J3" s="84"/>
      <c r="K3" s="84"/>
      <c r="L3" s="84"/>
      <c r="M3" s="84"/>
      <c r="N3" s="84"/>
      <c r="O3" s="84"/>
      <c r="P3" s="84"/>
    </row>
    <row r="4" spans="1:34" ht="30" customHeight="1" x14ac:dyDescent="0.25">
      <c r="B4" s="84" t="s">
        <v>53</v>
      </c>
      <c r="C4" s="84"/>
      <c r="D4" s="84"/>
      <c r="E4" s="84"/>
      <c r="F4" s="84"/>
      <c r="G4" s="84"/>
      <c r="H4" s="84"/>
      <c r="I4" s="84" t="s">
        <v>49</v>
      </c>
      <c r="J4" s="84"/>
      <c r="K4" s="84"/>
      <c r="L4" s="84"/>
      <c r="M4" s="84"/>
      <c r="N4" s="84"/>
      <c r="O4" s="84"/>
      <c r="P4" s="84"/>
    </row>
    <row r="5" spans="1:34" ht="31.5" customHeight="1" x14ac:dyDescent="0.25">
      <c r="B5" s="47" t="s">
        <v>52</v>
      </c>
      <c r="C5" s="47"/>
      <c r="D5" s="47"/>
      <c r="E5" s="47"/>
      <c r="F5" s="47"/>
      <c r="G5" s="47"/>
      <c r="H5" s="47"/>
      <c r="I5" s="47" t="s">
        <v>50</v>
      </c>
      <c r="J5" s="47"/>
      <c r="K5" s="47"/>
      <c r="L5" s="47"/>
      <c r="M5" s="47"/>
      <c r="N5" s="47"/>
      <c r="O5" s="47"/>
      <c r="P5" s="47"/>
    </row>
    <row r="6" spans="1:34" ht="15" customHeight="1" x14ac:dyDescent="0.25">
      <c r="B6" s="41"/>
      <c r="C6" s="41"/>
      <c r="D6" s="41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</row>
    <row r="7" spans="1:34" ht="15" hidden="1" customHeight="1" x14ac:dyDescent="0.25">
      <c r="B7" s="41"/>
      <c r="C7" s="41"/>
      <c r="D7" s="41"/>
      <c r="E7" s="43"/>
      <c r="F7" s="43"/>
      <c r="G7" s="43"/>
      <c r="H7" s="43"/>
      <c r="I7" s="43"/>
      <c r="J7" s="43"/>
      <c r="K7" s="44"/>
      <c r="L7" s="44"/>
      <c r="M7" s="44"/>
      <c r="N7" s="43"/>
      <c r="O7" s="43"/>
      <c r="P7" s="43"/>
    </row>
    <row r="8" spans="1:34" ht="7.5" hidden="1" customHeight="1" x14ac:dyDescent="0.2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</row>
    <row r="9" spans="1:34" s="7" customFormat="1" ht="30" customHeight="1" x14ac:dyDescent="0.25">
      <c r="B9" s="10" t="s">
        <v>0</v>
      </c>
      <c r="C9" s="52"/>
      <c r="D9" s="52"/>
      <c r="E9" s="52"/>
      <c r="F9" s="53"/>
      <c r="G9" s="67" t="s">
        <v>1</v>
      </c>
      <c r="H9" s="68"/>
      <c r="I9" s="97"/>
      <c r="J9" s="98"/>
      <c r="K9" s="98"/>
      <c r="L9" s="98"/>
      <c r="M9" s="98"/>
      <c r="N9" s="98"/>
      <c r="O9" s="98"/>
      <c r="P9" s="99"/>
    </row>
    <row r="10" spans="1:34" s="7" customFormat="1" ht="30" customHeight="1" x14ac:dyDescent="0.25">
      <c r="B10" s="10" t="s">
        <v>2</v>
      </c>
      <c r="C10" s="52"/>
      <c r="D10" s="52"/>
      <c r="E10" s="52"/>
      <c r="F10" s="53"/>
      <c r="G10" s="67" t="s">
        <v>3</v>
      </c>
      <c r="H10" s="68"/>
      <c r="I10" s="98"/>
      <c r="J10" s="98"/>
      <c r="K10" s="98"/>
      <c r="L10" s="98"/>
      <c r="M10" s="98"/>
      <c r="N10" s="98"/>
      <c r="O10" s="98"/>
      <c r="P10" s="99"/>
    </row>
    <row r="11" spans="1:34" s="7" customFormat="1" ht="30" customHeight="1" x14ac:dyDescent="0.25">
      <c r="B11" s="59" t="s">
        <v>39</v>
      </c>
      <c r="C11" s="60"/>
      <c r="D11" s="60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2"/>
    </row>
    <row r="12" spans="1:34" s="7" customFormat="1" ht="30" customHeight="1" x14ac:dyDescent="0.25">
      <c r="B12" s="63" t="s">
        <v>4</v>
      </c>
      <c r="C12" s="64"/>
      <c r="D12" s="64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</row>
    <row r="13" spans="1:34" s="7" customFormat="1" ht="30" customHeight="1" x14ac:dyDescent="0.25">
      <c r="B13" s="57" t="s">
        <v>41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AE13" s="11"/>
      <c r="AF13" s="11"/>
      <c r="AG13" s="12"/>
      <c r="AH13" s="13"/>
    </row>
    <row r="14" spans="1:34" s="7" customFormat="1" ht="30" customHeight="1" x14ac:dyDescent="0.25">
      <c r="B14" s="56" t="s">
        <v>34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AE14" s="11"/>
      <c r="AF14" s="11"/>
      <c r="AG14" s="12"/>
      <c r="AH14" s="13"/>
    </row>
    <row r="15" spans="1:34" s="7" customFormat="1" ht="30" customHeight="1" x14ac:dyDescent="0.25">
      <c r="B15" s="57" t="s">
        <v>40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S15" s="58" t="str">
        <f>AB23</f>
        <v>FAIXA A DNIT 141</v>
      </c>
      <c r="T15" s="58"/>
      <c r="U15" s="58" t="str">
        <f>AB24</f>
        <v>FAIXA B DNIT 141</v>
      </c>
      <c r="V15" s="58"/>
      <c r="W15" s="58" t="str">
        <f>AB25</f>
        <v>FAIXA C DNIT 141</v>
      </c>
      <c r="X15" s="58"/>
      <c r="Y15" s="58" t="s">
        <v>5</v>
      </c>
      <c r="Z15" s="58"/>
      <c r="AE15" s="11"/>
      <c r="AF15" s="11"/>
      <c r="AG15" s="12"/>
      <c r="AH15" s="13"/>
    </row>
    <row r="16" spans="1:34" s="7" customFormat="1" ht="22.5" customHeight="1" x14ac:dyDescent="0.25">
      <c r="B16" s="65" t="s">
        <v>6</v>
      </c>
      <c r="C16" s="65"/>
      <c r="D16" s="66" t="s">
        <v>25</v>
      </c>
      <c r="E16" s="66"/>
      <c r="F16" s="66"/>
      <c r="G16" s="66"/>
      <c r="H16" s="66" t="s">
        <v>26</v>
      </c>
      <c r="I16" s="66"/>
      <c r="J16" s="66"/>
      <c r="K16" s="66"/>
      <c r="L16" s="15" t="s">
        <v>30</v>
      </c>
      <c r="M16" s="65" t="s">
        <v>9</v>
      </c>
      <c r="N16" s="65"/>
      <c r="O16" s="65"/>
      <c r="P16" s="65"/>
      <c r="S16" s="58"/>
      <c r="T16" s="58"/>
      <c r="U16" s="58"/>
      <c r="V16" s="58"/>
      <c r="W16" s="58"/>
      <c r="X16" s="58"/>
      <c r="Y16" s="58"/>
      <c r="Z16" s="58"/>
      <c r="AE16" s="11"/>
      <c r="AF16" s="11"/>
      <c r="AG16" s="12"/>
      <c r="AH16" s="13"/>
    </row>
    <row r="17" spans="2:43" ht="17.25" customHeight="1" x14ac:dyDescent="0.25">
      <c r="B17" s="65"/>
      <c r="C17" s="65"/>
      <c r="D17" s="16" t="s">
        <v>7</v>
      </c>
      <c r="E17" s="16" t="s">
        <v>7</v>
      </c>
      <c r="F17" s="16" t="s">
        <v>10</v>
      </c>
      <c r="G17" s="16"/>
      <c r="H17" s="16" t="s">
        <v>7</v>
      </c>
      <c r="I17" s="16" t="s">
        <v>7</v>
      </c>
      <c r="J17" s="16" t="s">
        <v>10</v>
      </c>
      <c r="K17" s="16"/>
      <c r="L17" s="17"/>
      <c r="M17" s="65"/>
      <c r="N17" s="65"/>
      <c r="O17" s="65"/>
      <c r="P17" s="65"/>
      <c r="S17" s="58"/>
      <c r="T17" s="58"/>
      <c r="U17" s="58"/>
      <c r="V17" s="58"/>
      <c r="W17" s="58"/>
      <c r="X17" s="58"/>
      <c r="Y17" s="58"/>
      <c r="Z17" s="58"/>
      <c r="AE17" s="11"/>
      <c r="AF17" s="11"/>
      <c r="AG17" s="12"/>
      <c r="AH17" s="13"/>
    </row>
    <row r="18" spans="2:43" ht="17.25" customHeight="1" x14ac:dyDescent="0.25">
      <c r="B18" s="65"/>
      <c r="C18" s="65"/>
      <c r="D18" s="16" t="s">
        <v>10</v>
      </c>
      <c r="E18" s="16" t="s">
        <v>10</v>
      </c>
      <c r="F18" s="16" t="s">
        <v>12</v>
      </c>
      <c r="G18" s="16" t="s">
        <v>11</v>
      </c>
      <c r="H18" s="16" t="s">
        <v>10</v>
      </c>
      <c r="I18" s="16" t="s">
        <v>10</v>
      </c>
      <c r="J18" s="16" t="s">
        <v>12</v>
      </c>
      <c r="K18" s="16" t="s">
        <v>11</v>
      </c>
      <c r="L18" s="18" t="s">
        <v>11</v>
      </c>
      <c r="M18" s="65"/>
      <c r="N18" s="65"/>
      <c r="O18" s="65"/>
      <c r="P18" s="65"/>
      <c r="R18" s="9">
        <f>VLOOKUP(M19,AB23:AC27,2,0)</f>
        <v>1</v>
      </c>
      <c r="S18" s="58"/>
      <c r="T18" s="58"/>
      <c r="U18" s="58"/>
      <c r="V18" s="58"/>
      <c r="W18" s="58"/>
      <c r="X18" s="58"/>
      <c r="Y18" s="58"/>
      <c r="Z18" s="58"/>
      <c r="AE18" s="11"/>
      <c r="AF18" s="11"/>
      <c r="AG18" s="12"/>
      <c r="AH18" s="13"/>
    </row>
    <row r="19" spans="2:43" ht="17.25" customHeight="1" x14ac:dyDescent="0.25">
      <c r="B19" s="65"/>
      <c r="C19" s="65"/>
      <c r="D19" s="16"/>
      <c r="E19" s="16" t="s">
        <v>12</v>
      </c>
      <c r="F19" s="16"/>
      <c r="G19" s="16"/>
      <c r="H19" s="16"/>
      <c r="I19" s="16" t="s">
        <v>12</v>
      </c>
      <c r="J19" s="16"/>
      <c r="K19" s="16"/>
      <c r="L19" s="18"/>
      <c r="M19" s="71" t="s">
        <v>35</v>
      </c>
      <c r="N19" s="72"/>
      <c r="O19" s="75" t="s">
        <v>42</v>
      </c>
      <c r="P19" s="76"/>
      <c r="R19" s="9">
        <f>R18+1</f>
        <v>2</v>
      </c>
      <c r="S19" s="58"/>
      <c r="T19" s="58"/>
      <c r="U19" s="58"/>
      <c r="V19" s="58"/>
      <c r="W19" s="58"/>
      <c r="X19" s="58"/>
      <c r="Y19" s="58"/>
      <c r="Z19" s="58"/>
      <c r="AE19" s="11"/>
      <c r="AF19" s="11"/>
      <c r="AG19" s="12"/>
      <c r="AH19" s="13"/>
    </row>
    <row r="20" spans="2:43" ht="21" customHeight="1" x14ac:dyDescent="0.25">
      <c r="B20" s="19" t="s">
        <v>13</v>
      </c>
      <c r="C20" s="19" t="s">
        <v>14</v>
      </c>
      <c r="D20" s="20" t="s">
        <v>15</v>
      </c>
      <c r="E20" s="20" t="s">
        <v>15</v>
      </c>
      <c r="F20" s="20" t="s">
        <v>8</v>
      </c>
      <c r="G20" s="20" t="s">
        <v>8</v>
      </c>
      <c r="H20" s="20" t="s">
        <v>15</v>
      </c>
      <c r="I20" s="20" t="s">
        <v>15</v>
      </c>
      <c r="J20" s="20" t="s">
        <v>8</v>
      </c>
      <c r="K20" s="20" t="s">
        <v>8</v>
      </c>
      <c r="L20" s="21" t="s">
        <v>8</v>
      </c>
      <c r="M20" s="73"/>
      <c r="N20" s="74"/>
      <c r="O20" s="77"/>
      <c r="P20" s="78"/>
      <c r="S20" s="9">
        <v>1</v>
      </c>
      <c r="T20" s="9">
        <v>2</v>
      </c>
      <c r="U20" s="9">
        <v>3</v>
      </c>
      <c r="V20" s="9">
        <v>4</v>
      </c>
      <c r="W20" s="9">
        <v>5</v>
      </c>
      <c r="X20" s="9">
        <v>6</v>
      </c>
      <c r="AE20" s="11"/>
      <c r="AF20" s="11"/>
      <c r="AG20" s="12"/>
      <c r="AH20" s="13"/>
    </row>
    <row r="21" spans="2:43" ht="17.25" customHeight="1" x14ac:dyDescent="0.25">
      <c r="B21" s="79" t="s">
        <v>21</v>
      </c>
      <c r="C21" s="80"/>
      <c r="D21" s="81"/>
      <c r="E21" s="82"/>
      <c r="F21" s="22"/>
      <c r="G21" s="23"/>
      <c r="H21" s="81"/>
      <c r="I21" s="82"/>
      <c r="J21" s="67"/>
      <c r="K21" s="68"/>
      <c r="L21" s="24"/>
      <c r="M21" s="23"/>
      <c r="N21" s="23"/>
      <c r="O21" s="23"/>
      <c r="P21" s="25"/>
      <c r="S21" s="9"/>
      <c r="T21" s="9"/>
      <c r="U21" s="9"/>
      <c r="V21" s="9"/>
      <c r="W21" s="9"/>
      <c r="X21" s="9"/>
      <c r="AE21" s="11"/>
      <c r="AF21" s="11"/>
      <c r="AG21" s="12"/>
      <c r="AH21" s="13"/>
    </row>
    <row r="22" spans="2:43" s="29" customFormat="1" ht="17.25" customHeight="1" x14ac:dyDescent="0.25">
      <c r="B22" s="26" t="s">
        <v>38</v>
      </c>
      <c r="C22" s="27">
        <v>50.8</v>
      </c>
      <c r="D22" s="1"/>
      <c r="E22" s="28" t="str">
        <f>IF(D22="","",D22+E21)</f>
        <v/>
      </c>
      <c r="F22" s="2" t="str">
        <f t="shared" ref="F22:F28" si="0">IF(D22="","",(E22/$D$30)*100)</f>
        <v/>
      </c>
      <c r="G22" s="3" t="str">
        <f>IF(D22="","",100-F22)</f>
        <v/>
      </c>
      <c r="H22" s="1"/>
      <c r="I22" s="28" t="str">
        <f>IF(H22="","",H22+I21)</f>
        <v/>
      </c>
      <c r="J22" s="2" t="str">
        <f t="shared" ref="J22:J28" si="1">IF(H22="","",(I22/$H$30)*100)</f>
        <v/>
      </c>
      <c r="K22" s="3" t="str">
        <f>IF(H22="","",100-J22)</f>
        <v/>
      </c>
      <c r="L22" s="4" t="str">
        <f>IFERROR(AVERAGE(G22,K22),"")</f>
        <v/>
      </c>
      <c r="M22" s="28">
        <f>IF($M$19="","",HLOOKUP($R$18,$S$20:$X$28,3))</f>
        <v>100</v>
      </c>
      <c r="N22" s="28">
        <f>IF($M$19="","",HLOOKUP($R$19,$S$20:$X$28,3))</f>
        <v>100</v>
      </c>
      <c r="O22" s="5"/>
      <c r="P22" s="5"/>
      <c r="R22" s="30">
        <f t="shared" ref="R22:R28" si="2">C22</f>
        <v>50.8</v>
      </c>
      <c r="S22" s="31">
        <v>100</v>
      </c>
      <c r="T22" s="31">
        <v>100</v>
      </c>
      <c r="U22" s="31">
        <v>100</v>
      </c>
      <c r="V22" s="31">
        <v>100</v>
      </c>
      <c r="W22" s="31">
        <v>100</v>
      </c>
      <c r="X22" s="31">
        <v>100</v>
      </c>
      <c r="Y22" s="32">
        <f t="shared" ref="Y22:Y28" si="3">Z22*-1</f>
        <v>-7</v>
      </c>
      <c r="Z22" s="32">
        <v>7</v>
      </c>
      <c r="AB22" s="54" t="s">
        <v>16</v>
      </c>
      <c r="AC22" s="55"/>
      <c r="AD22" s="6"/>
      <c r="AE22" s="33"/>
      <c r="AF22" s="33"/>
      <c r="AG22" s="12"/>
      <c r="AH22" s="13"/>
      <c r="AL22" s="7"/>
      <c r="AM22" s="7"/>
      <c r="AN22" s="7"/>
      <c r="AO22" s="7"/>
      <c r="AP22" s="7"/>
      <c r="AQ22" s="7"/>
    </row>
    <row r="23" spans="2:43" s="29" customFormat="1" ht="17.25" customHeight="1" x14ac:dyDescent="0.25">
      <c r="B23" s="26" t="s">
        <v>29</v>
      </c>
      <c r="C23" s="27">
        <v>25.4</v>
      </c>
      <c r="D23" s="1"/>
      <c r="E23" s="28" t="str">
        <f>IF(D23="","",D23+E22)</f>
        <v/>
      </c>
      <c r="F23" s="2" t="str">
        <f t="shared" si="0"/>
        <v/>
      </c>
      <c r="G23" s="3" t="str">
        <f t="shared" ref="G23:G28" si="4">IF(D23="","",100-F23)</f>
        <v/>
      </c>
      <c r="H23" s="1"/>
      <c r="I23" s="28" t="str">
        <f>IF(H23="","",H23+I22)</f>
        <v/>
      </c>
      <c r="J23" s="2" t="str">
        <f t="shared" si="1"/>
        <v/>
      </c>
      <c r="K23" s="3" t="str">
        <f t="shared" ref="K23:K28" si="5">IF(H23="","",100-J23)</f>
        <v/>
      </c>
      <c r="L23" s="4" t="str">
        <f t="shared" ref="L23:L28" si="6">IFERROR(AVERAGE(G23,K23),"")</f>
        <v/>
      </c>
      <c r="M23" s="28">
        <f>IF($M$19="","",HLOOKUP($R$18,$S$20:$X$28,4))</f>
        <v>100</v>
      </c>
      <c r="N23" s="28">
        <f>IF($M$19="","",HLOOKUP($R$19,$S$20:$X$28,4))</f>
        <v>100</v>
      </c>
      <c r="O23" s="5"/>
      <c r="P23" s="5"/>
      <c r="R23" s="30">
        <f t="shared" si="2"/>
        <v>25.4</v>
      </c>
      <c r="S23" s="31">
        <v>100</v>
      </c>
      <c r="T23" s="31">
        <v>100</v>
      </c>
      <c r="U23" s="31">
        <v>75</v>
      </c>
      <c r="V23" s="31">
        <v>90</v>
      </c>
      <c r="W23" s="31">
        <v>100</v>
      </c>
      <c r="X23" s="31">
        <v>100</v>
      </c>
      <c r="Y23" s="32">
        <f t="shared" si="3"/>
        <v>-7</v>
      </c>
      <c r="Z23" s="32">
        <v>7</v>
      </c>
      <c r="AB23" s="40" t="s">
        <v>35</v>
      </c>
      <c r="AC23" s="35">
        <v>1</v>
      </c>
      <c r="AD23" s="6"/>
      <c r="AK23" s="7"/>
      <c r="AL23" s="7"/>
      <c r="AM23" s="7"/>
      <c r="AN23" s="7"/>
      <c r="AO23" s="7"/>
      <c r="AP23" s="7"/>
    </row>
    <row r="24" spans="2:43" s="29" customFormat="1" ht="17.25" customHeight="1" x14ac:dyDescent="0.25">
      <c r="B24" s="26" t="s">
        <v>22</v>
      </c>
      <c r="C24" s="27">
        <v>9.5</v>
      </c>
      <c r="D24" s="1"/>
      <c r="E24" s="28" t="str">
        <f t="shared" ref="E24:E29" si="7">IF(D24="","",D24+E23)</f>
        <v/>
      </c>
      <c r="F24" s="2" t="str">
        <f t="shared" si="0"/>
        <v/>
      </c>
      <c r="G24" s="3" t="str">
        <f t="shared" si="4"/>
        <v/>
      </c>
      <c r="H24" s="1"/>
      <c r="I24" s="28" t="str">
        <f t="shared" ref="I24:I29" si="8">IF(H24="","",H24+I23)</f>
        <v/>
      </c>
      <c r="J24" s="2" t="str">
        <f t="shared" si="1"/>
        <v/>
      </c>
      <c r="K24" s="3" t="str">
        <f t="shared" si="5"/>
        <v/>
      </c>
      <c r="L24" s="4" t="str">
        <f t="shared" si="6"/>
        <v/>
      </c>
      <c r="M24" s="28">
        <f>IF($M$19="","",HLOOKUP($R$18,$S$20:$X$28,5))</f>
        <v>30</v>
      </c>
      <c r="N24" s="28">
        <f>IF($M$19="","",HLOOKUP($R$19,$S$20:$X$28,5))</f>
        <v>65</v>
      </c>
      <c r="O24" s="5"/>
      <c r="P24" s="5"/>
      <c r="R24" s="30">
        <f t="shared" si="2"/>
        <v>9.5</v>
      </c>
      <c r="S24" s="31">
        <v>30</v>
      </c>
      <c r="T24" s="31">
        <v>65</v>
      </c>
      <c r="U24" s="31">
        <v>40</v>
      </c>
      <c r="V24" s="31">
        <v>75</v>
      </c>
      <c r="W24" s="31">
        <v>50</v>
      </c>
      <c r="X24" s="31">
        <v>85</v>
      </c>
      <c r="Y24" s="32">
        <f t="shared" si="3"/>
        <v>-7</v>
      </c>
      <c r="Z24" s="32">
        <v>7</v>
      </c>
      <c r="AB24" s="40" t="s">
        <v>36</v>
      </c>
      <c r="AC24" s="35">
        <v>3</v>
      </c>
      <c r="AD24" s="6"/>
      <c r="AK24" s="7"/>
      <c r="AL24" s="7"/>
      <c r="AM24" s="7"/>
      <c r="AN24" s="7"/>
      <c r="AO24" s="7"/>
      <c r="AP24" s="7"/>
    </row>
    <row r="25" spans="2:43" s="29" customFormat="1" ht="17.25" customHeight="1" x14ac:dyDescent="0.25">
      <c r="B25" s="26" t="s">
        <v>23</v>
      </c>
      <c r="C25" s="36">
        <v>4.75</v>
      </c>
      <c r="D25" s="1"/>
      <c r="E25" s="28" t="str">
        <f t="shared" si="7"/>
        <v/>
      </c>
      <c r="F25" s="2" t="str">
        <f t="shared" si="0"/>
        <v/>
      </c>
      <c r="G25" s="3" t="str">
        <f t="shared" si="4"/>
        <v/>
      </c>
      <c r="H25" s="1"/>
      <c r="I25" s="28" t="str">
        <f t="shared" si="8"/>
        <v/>
      </c>
      <c r="J25" s="2" t="str">
        <f t="shared" si="1"/>
        <v/>
      </c>
      <c r="K25" s="3" t="str">
        <f t="shared" si="5"/>
        <v/>
      </c>
      <c r="L25" s="4" t="str">
        <f t="shared" si="6"/>
        <v/>
      </c>
      <c r="M25" s="28">
        <f>IF($M$19="","",HLOOKUP($R$18,$S$20:$X$28,6))</f>
        <v>25</v>
      </c>
      <c r="N25" s="28">
        <f>IF($M$19="","",HLOOKUP($R$19,$S$20:$X$28,6))</f>
        <v>55</v>
      </c>
      <c r="O25" s="5"/>
      <c r="P25" s="5"/>
      <c r="R25" s="28">
        <f t="shared" si="2"/>
        <v>4.75</v>
      </c>
      <c r="S25" s="31">
        <v>25</v>
      </c>
      <c r="T25" s="31">
        <v>55</v>
      </c>
      <c r="U25" s="31">
        <v>30</v>
      </c>
      <c r="V25" s="31">
        <v>60</v>
      </c>
      <c r="W25" s="31">
        <v>35</v>
      </c>
      <c r="X25" s="31">
        <v>65</v>
      </c>
      <c r="Y25" s="32">
        <f t="shared" si="3"/>
        <v>-5</v>
      </c>
      <c r="Z25" s="32">
        <v>5</v>
      </c>
      <c r="AB25" s="40" t="s">
        <v>37</v>
      </c>
      <c r="AC25" s="35">
        <v>5</v>
      </c>
      <c r="AD25" s="6"/>
      <c r="AK25" s="7"/>
      <c r="AL25" s="7"/>
      <c r="AM25" s="7"/>
      <c r="AN25" s="7"/>
      <c r="AO25" s="7"/>
      <c r="AP25" s="7"/>
    </row>
    <row r="26" spans="2:43" s="29" customFormat="1" ht="17.25" customHeight="1" x14ac:dyDescent="0.25">
      <c r="B26" s="26" t="s">
        <v>28</v>
      </c>
      <c r="C26" s="36">
        <v>2</v>
      </c>
      <c r="D26" s="1"/>
      <c r="E26" s="28" t="str">
        <f t="shared" si="7"/>
        <v/>
      </c>
      <c r="F26" s="2" t="str">
        <f t="shared" si="0"/>
        <v/>
      </c>
      <c r="G26" s="3" t="str">
        <f t="shared" si="4"/>
        <v/>
      </c>
      <c r="H26" s="1"/>
      <c r="I26" s="28" t="str">
        <f t="shared" si="8"/>
        <v/>
      </c>
      <c r="J26" s="2" t="str">
        <f t="shared" si="1"/>
        <v/>
      </c>
      <c r="K26" s="3" t="str">
        <f t="shared" si="5"/>
        <v/>
      </c>
      <c r="L26" s="4" t="str">
        <f t="shared" si="6"/>
        <v/>
      </c>
      <c r="M26" s="28">
        <f>IF($M$19="","",HLOOKUP($R$18,$S$20:$X$28,7))</f>
        <v>15</v>
      </c>
      <c r="N26" s="28">
        <f>IF($M$19="","",HLOOKUP($R$19,$S$20:$X$28,7))</f>
        <v>40</v>
      </c>
      <c r="O26" s="5"/>
      <c r="P26" s="5"/>
      <c r="R26" s="28">
        <f t="shared" si="2"/>
        <v>2</v>
      </c>
      <c r="S26" s="31">
        <v>15</v>
      </c>
      <c r="T26" s="31">
        <v>40</v>
      </c>
      <c r="U26" s="31">
        <v>20</v>
      </c>
      <c r="V26" s="31">
        <v>45</v>
      </c>
      <c r="W26" s="31">
        <v>25</v>
      </c>
      <c r="X26" s="31">
        <v>50</v>
      </c>
      <c r="Y26" s="32">
        <f>Z26*-1</f>
        <v>-5</v>
      </c>
      <c r="Z26" s="32">
        <v>5</v>
      </c>
      <c r="AA26" s="6"/>
      <c r="AB26" s="37"/>
      <c r="AC26" s="35"/>
      <c r="AD26" s="6"/>
      <c r="AK26" s="7"/>
      <c r="AL26" s="7"/>
      <c r="AM26" s="7"/>
      <c r="AN26" s="7"/>
      <c r="AO26" s="7"/>
      <c r="AP26" s="7"/>
    </row>
    <row r="27" spans="2:43" s="29" customFormat="1" ht="17.25" customHeight="1" x14ac:dyDescent="0.25">
      <c r="B27" s="26" t="s">
        <v>27</v>
      </c>
      <c r="C27" s="36">
        <v>0.42</v>
      </c>
      <c r="D27" s="1"/>
      <c r="E27" s="28" t="str">
        <f t="shared" si="7"/>
        <v/>
      </c>
      <c r="F27" s="2" t="str">
        <f t="shared" si="0"/>
        <v/>
      </c>
      <c r="G27" s="3" t="str">
        <f t="shared" si="4"/>
        <v/>
      </c>
      <c r="H27" s="1"/>
      <c r="I27" s="28" t="str">
        <f t="shared" si="8"/>
        <v/>
      </c>
      <c r="J27" s="2" t="str">
        <f t="shared" si="1"/>
        <v/>
      </c>
      <c r="K27" s="3" t="str">
        <f t="shared" si="5"/>
        <v/>
      </c>
      <c r="L27" s="4" t="str">
        <f t="shared" si="6"/>
        <v/>
      </c>
      <c r="M27" s="28">
        <f>IF($M$19="","",HLOOKUP($R$18,$S$20:$X$28,8))</f>
        <v>8</v>
      </c>
      <c r="N27" s="28">
        <f>IF($M$19="","",HLOOKUP($R$19,$S$20:$X$28,8))</f>
        <v>20</v>
      </c>
      <c r="O27" s="5"/>
      <c r="P27" s="5"/>
      <c r="R27" s="28">
        <f t="shared" si="2"/>
        <v>0.42</v>
      </c>
      <c r="S27" s="31">
        <v>8</v>
      </c>
      <c r="T27" s="31">
        <v>20</v>
      </c>
      <c r="U27" s="31">
        <v>15</v>
      </c>
      <c r="V27" s="31">
        <v>30</v>
      </c>
      <c r="W27" s="31">
        <v>15</v>
      </c>
      <c r="X27" s="31">
        <v>30</v>
      </c>
      <c r="Y27" s="32">
        <f t="shared" si="3"/>
        <v>-2</v>
      </c>
      <c r="Z27" s="32">
        <v>2</v>
      </c>
      <c r="AA27" s="6"/>
      <c r="AB27" s="34"/>
      <c r="AC27" s="35"/>
      <c r="AD27" s="6"/>
      <c r="AK27" s="7"/>
      <c r="AL27" s="7"/>
      <c r="AM27" s="7"/>
      <c r="AN27" s="7"/>
      <c r="AO27" s="7"/>
      <c r="AP27" s="7"/>
    </row>
    <row r="28" spans="2:43" s="29" customFormat="1" ht="17.25" customHeight="1" x14ac:dyDescent="0.25">
      <c r="B28" s="26" t="s">
        <v>24</v>
      </c>
      <c r="C28" s="14">
        <v>7.4999999999999997E-2</v>
      </c>
      <c r="D28" s="1"/>
      <c r="E28" s="28" t="str">
        <f>IF(D28="","",D28+E27)</f>
        <v/>
      </c>
      <c r="F28" s="2" t="str">
        <f t="shared" si="0"/>
        <v/>
      </c>
      <c r="G28" s="3" t="str">
        <f t="shared" si="4"/>
        <v/>
      </c>
      <c r="H28" s="1"/>
      <c r="I28" s="28" t="str">
        <f>IF(H28="","",H28+I27)</f>
        <v/>
      </c>
      <c r="J28" s="2" t="str">
        <f t="shared" si="1"/>
        <v/>
      </c>
      <c r="K28" s="3" t="str">
        <f t="shared" si="5"/>
        <v/>
      </c>
      <c r="L28" s="4" t="str">
        <f t="shared" si="6"/>
        <v/>
      </c>
      <c r="M28" s="28">
        <f>IF($M$19="","",HLOOKUP($R$18,$S$20:$X$28,9))</f>
        <v>2</v>
      </c>
      <c r="N28" s="28">
        <f>IF($M$19="","",HLOOKUP($R$19,$S$20:$X$28,9))</f>
        <v>8</v>
      </c>
      <c r="O28" s="5"/>
      <c r="P28" s="5"/>
      <c r="R28" s="8">
        <f t="shared" si="2"/>
        <v>7.4999999999999997E-2</v>
      </c>
      <c r="S28" s="31">
        <v>2</v>
      </c>
      <c r="T28" s="31">
        <v>8</v>
      </c>
      <c r="U28" s="31">
        <v>5</v>
      </c>
      <c r="V28" s="31">
        <v>15</v>
      </c>
      <c r="W28" s="31">
        <v>5</v>
      </c>
      <c r="X28" s="31">
        <v>15</v>
      </c>
      <c r="Y28" s="32">
        <f t="shared" si="3"/>
        <v>-2</v>
      </c>
      <c r="Z28" s="32">
        <v>2</v>
      </c>
      <c r="AA28" s="6"/>
      <c r="AB28" s="6"/>
      <c r="AC28" s="6"/>
      <c r="AD28" s="6"/>
      <c r="AK28" s="7"/>
      <c r="AL28" s="7"/>
      <c r="AM28" s="7"/>
      <c r="AN28" s="7"/>
      <c r="AO28" s="7"/>
      <c r="AP28" s="7"/>
    </row>
    <row r="29" spans="2:43" s="29" customFormat="1" ht="17.25" customHeight="1" x14ac:dyDescent="0.25">
      <c r="B29" s="69" t="s">
        <v>17</v>
      </c>
      <c r="C29" s="70"/>
      <c r="D29" s="1"/>
      <c r="E29" s="28" t="str">
        <f t="shared" si="7"/>
        <v/>
      </c>
      <c r="F29" s="2" t="str">
        <f t="shared" ref="F29" si="9">IF(D29="","",(E29/$D$30)*100)</f>
        <v/>
      </c>
      <c r="G29" s="3" t="s">
        <v>18</v>
      </c>
      <c r="H29" s="1"/>
      <c r="I29" s="28" t="str">
        <f t="shared" si="8"/>
        <v/>
      </c>
      <c r="J29" s="2" t="str">
        <f t="shared" ref="J29" si="10">IF(H29="","",(I29/$H$30)*100)</f>
        <v/>
      </c>
      <c r="K29" s="3" t="s">
        <v>18</v>
      </c>
      <c r="L29" s="4" t="str">
        <f>IFERROR(AVERAGE(G29,K29),"")</f>
        <v/>
      </c>
      <c r="M29" s="28" t="s">
        <v>18</v>
      </c>
      <c r="N29" s="28" t="s">
        <v>18</v>
      </c>
      <c r="O29" s="28" t="s">
        <v>18</v>
      </c>
      <c r="P29" s="28" t="s">
        <v>18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L29" s="7"/>
      <c r="AM29" s="7"/>
      <c r="AN29" s="7"/>
      <c r="AO29" s="7"/>
      <c r="AP29" s="7"/>
      <c r="AQ29" s="7"/>
    </row>
    <row r="30" spans="2:43" s="29" customFormat="1" ht="17.25" customHeight="1" x14ac:dyDescent="0.25">
      <c r="B30" s="90" t="s">
        <v>19</v>
      </c>
      <c r="C30" s="90"/>
      <c r="D30" s="28">
        <f>SUM(D22:D29)</f>
        <v>0</v>
      </c>
      <c r="E30" s="28" t="s">
        <v>18</v>
      </c>
      <c r="F30" s="28" t="s">
        <v>18</v>
      </c>
      <c r="G30" s="28" t="s">
        <v>18</v>
      </c>
      <c r="H30" s="28">
        <f>SUM(H22:H29)</f>
        <v>0</v>
      </c>
      <c r="I30" s="28"/>
      <c r="J30" s="28" t="s">
        <v>18</v>
      </c>
      <c r="K30" s="28" t="s">
        <v>18</v>
      </c>
      <c r="L30" s="36"/>
      <c r="M30" s="28" t="s">
        <v>18</v>
      </c>
      <c r="N30" s="28" t="s">
        <v>18</v>
      </c>
      <c r="O30" s="28" t="s">
        <v>18</v>
      </c>
      <c r="P30" s="28" t="s">
        <v>18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L30" s="7"/>
      <c r="AM30" s="7"/>
      <c r="AN30" s="7"/>
      <c r="AO30" s="7"/>
      <c r="AP30" s="7"/>
      <c r="AQ30" s="7"/>
    </row>
    <row r="31" spans="2:43" ht="30" customHeight="1" x14ac:dyDescent="0.25">
      <c r="B31" s="57" t="s">
        <v>20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</row>
    <row r="32" spans="2:43" ht="17.25" customHeight="1" x14ac:dyDescent="0.25">
      <c r="B32" s="3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39"/>
    </row>
    <row r="33" spans="2:16" ht="17.25" customHeight="1" x14ac:dyDescent="0.25">
      <c r="B33" s="3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39"/>
    </row>
    <row r="34" spans="2:16" ht="17.25" customHeight="1" x14ac:dyDescent="0.25">
      <c r="B34" s="3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39"/>
    </row>
    <row r="35" spans="2:16" ht="17.25" customHeight="1" x14ac:dyDescent="0.25">
      <c r="B35" s="3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39"/>
    </row>
    <row r="36" spans="2:16" ht="17.25" customHeight="1" x14ac:dyDescent="0.25">
      <c r="B36" s="3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39"/>
    </row>
    <row r="37" spans="2:16" ht="17.25" customHeight="1" x14ac:dyDescent="0.25">
      <c r="B37" s="3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39"/>
    </row>
    <row r="38" spans="2:16" ht="17.25" customHeight="1" x14ac:dyDescent="0.25">
      <c r="B38" s="3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39"/>
    </row>
    <row r="39" spans="2:16" ht="17.25" customHeight="1" x14ac:dyDescent="0.25">
      <c r="B39" s="3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39"/>
    </row>
    <row r="40" spans="2:16" ht="17.25" customHeight="1" x14ac:dyDescent="0.25">
      <c r="B40" s="3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39"/>
    </row>
    <row r="41" spans="2:16" ht="17.25" customHeight="1" x14ac:dyDescent="0.25">
      <c r="B41" s="3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39"/>
    </row>
    <row r="42" spans="2:16" ht="17.25" customHeight="1" x14ac:dyDescent="0.25">
      <c r="B42" s="3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39"/>
    </row>
    <row r="43" spans="2:16" ht="17.25" customHeight="1" x14ac:dyDescent="0.25">
      <c r="B43" s="3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39"/>
    </row>
    <row r="44" spans="2:16" ht="17.25" customHeight="1" x14ac:dyDescent="0.25">
      <c r="B44" s="3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39"/>
    </row>
    <row r="45" spans="2:16" ht="17.25" customHeight="1" x14ac:dyDescent="0.25">
      <c r="B45" s="3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39"/>
    </row>
    <row r="46" spans="2:16" ht="17.25" customHeight="1" x14ac:dyDescent="0.25">
      <c r="B46" s="3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39"/>
    </row>
    <row r="47" spans="2:16" ht="17.25" customHeight="1" x14ac:dyDescent="0.25">
      <c r="B47" s="3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39"/>
    </row>
    <row r="48" spans="2:16" ht="17.25" customHeight="1" x14ac:dyDescent="0.25">
      <c r="B48" s="3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39"/>
    </row>
    <row r="49" spans="2:16" ht="17.25" customHeight="1" x14ac:dyDescent="0.25">
      <c r="B49" s="3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39"/>
    </row>
    <row r="50" spans="2:16" ht="17.25" customHeight="1" x14ac:dyDescent="0.25">
      <c r="B50" s="3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39"/>
    </row>
    <row r="51" spans="2:16" ht="17.25" customHeight="1" x14ac:dyDescent="0.25">
      <c r="B51" s="3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39"/>
    </row>
    <row r="52" spans="2:16" ht="17.25" customHeight="1" x14ac:dyDescent="0.25">
      <c r="B52" s="3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39"/>
    </row>
    <row r="53" spans="2:16" ht="23.25" customHeight="1" x14ac:dyDescent="0.25">
      <c r="B53" s="91" t="s">
        <v>33</v>
      </c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3"/>
    </row>
    <row r="54" spans="2:16" ht="60.75" customHeight="1" x14ac:dyDescent="0.25">
      <c r="B54" s="94" t="s">
        <v>31</v>
      </c>
      <c r="C54" s="48"/>
      <c r="D54" s="48"/>
      <c r="E54" s="48"/>
      <c r="F54" s="48"/>
      <c r="G54" s="48"/>
      <c r="H54" s="48"/>
      <c r="I54" s="48"/>
      <c r="J54" s="48" t="s">
        <v>32</v>
      </c>
      <c r="K54" s="48"/>
      <c r="L54" s="48"/>
      <c r="M54" s="48"/>
      <c r="N54" s="48"/>
      <c r="O54" s="48"/>
      <c r="P54" s="49"/>
    </row>
    <row r="55" spans="2:16" x14ac:dyDescent="0.25">
      <c r="B55" s="95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1"/>
    </row>
    <row r="56" spans="2:16" ht="15" customHeight="1" x14ac:dyDescent="0.25"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</row>
    <row r="57" spans="2:16" ht="30" customHeight="1" x14ac:dyDescent="0.25">
      <c r="B57" s="89" t="s">
        <v>43</v>
      </c>
      <c r="C57" s="89"/>
      <c r="D57" s="87" t="s">
        <v>54</v>
      </c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</row>
    <row r="58" spans="2:16" ht="30" customHeight="1" x14ac:dyDescent="0.25">
      <c r="B58" s="86" t="s">
        <v>44</v>
      </c>
      <c r="C58" s="86"/>
      <c r="D58" s="88" t="s">
        <v>46</v>
      </c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</row>
    <row r="59" spans="2:16" ht="30" customHeight="1" x14ac:dyDescent="0.25">
      <c r="B59" s="86" t="s">
        <v>45</v>
      </c>
      <c r="C59" s="86"/>
      <c r="D59" s="88" t="s">
        <v>54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</row>
  </sheetData>
  <sheetProtection selectLockedCells="1"/>
  <protectedRanges>
    <protectedRange sqref="D9:F10 N9:P10 E11:P11" name="Intervalo1_2"/>
    <protectedRange sqref="D22:D29" name="Intervalo1"/>
    <protectedRange sqref="H22:H29" name="Intervalo1_1"/>
  </protectedRanges>
  <mergeCells count="48">
    <mergeCell ref="B59:C59"/>
    <mergeCell ref="D57:P57"/>
    <mergeCell ref="D58:P58"/>
    <mergeCell ref="D59:P59"/>
    <mergeCell ref="I5:P5"/>
    <mergeCell ref="B57:C57"/>
    <mergeCell ref="B58:C58"/>
    <mergeCell ref="B30:C30"/>
    <mergeCell ref="B31:P31"/>
    <mergeCell ref="B53:P53"/>
    <mergeCell ref="B54:I55"/>
    <mergeCell ref="A8:Q8"/>
    <mergeCell ref="G9:H9"/>
    <mergeCell ref="I9:P9"/>
    <mergeCell ref="G10:H10"/>
    <mergeCell ref="I10:P10"/>
    <mergeCell ref="B3:H3"/>
    <mergeCell ref="B4:H4"/>
    <mergeCell ref="B1:P1"/>
    <mergeCell ref="I3:P3"/>
    <mergeCell ref="I4:P4"/>
    <mergeCell ref="J21:K21"/>
    <mergeCell ref="W15:X19"/>
    <mergeCell ref="U15:V19"/>
    <mergeCell ref="S15:T19"/>
    <mergeCell ref="B29:C29"/>
    <mergeCell ref="M19:N20"/>
    <mergeCell ref="O19:P20"/>
    <mergeCell ref="B21:C21"/>
    <mergeCell ref="D21:E21"/>
    <mergeCell ref="M16:P18"/>
    <mergeCell ref="H21:I21"/>
    <mergeCell ref="B5:H5"/>
    <mergeCell ref="J54:P55"/>
    <mergeCell ref="C9:F9"/>
    <mergeCell ref="C10:F10"/>
    <mergeCell ref="AB22:AC22"/>
    <mergeCell ref="B14:P14"/>
    <mergeCell ref="B15:P15"/>
    <mergeCell ref="Y15:Z19"/>
    <mergeCell ref="B11:D11"/>
    <mergeCell ref="E11:P11"/>
    <mergeCell ref="B12:D12"/>
    <mergeCell ref="E12:P12"/>
    <mergeCell ref="B13:P13"/>
    <mergeCell ref="B16:C19"/>
    <mergeCell ref="D16:G16"/>
    <mergeCell ref="H16:K16"/>
  </mergeCells>
  <phoneticPr fontId="8" type="noConversion"/>
  <conditionalFormatting sqref="M22:N30">
    <cfRule type="containsErrors" dxfId="0" priority="1">
      <formula>ISERROR(M22)</formula>
    </cfRule>
  </conditionalFormatting>
  <dataValidations count="1">
    <dataValidation type="list" allowBlank="1" showInputMessage="1" showErrorMessage="1" sqref="M19:N20" xr:uid="{D4BCCAD4-5230-4225-A69E-1B955C9C6B2A}">
      <formula1>$AB$23:$AB$25</formula1>
    </dataValidation>
  </dataValidations>
  <printOptions horizontalCentered="1"/>
  <pageMargins left="0.59055118110236227" right="0.59055118110236227" top="0.78740157480314965" bottom="0.78740157480314965" header="0" footer="0"/>
  <pageSetup paperSize="9" scale="5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FR-IMOB-45_Rev00</vt:lpstr>
      <vt:lpstr>'FR-IMOB-45_Rev00'!Area_de_impressao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2023-05-04T19:52:49Z</cp:lastPrinted>
  <dcterms:created xsi:type="dcterms:W3CDTF">2021-11-09T19:14:46Z</dcterms:created>
  <dcterms:modified xsi:type="dcterms:W3CDTF">2026-02-16T15:46:07Z</dcterms:modified>
</cp:coreProperties>
</file>