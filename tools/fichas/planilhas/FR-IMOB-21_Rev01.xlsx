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onitoração\_ÁREA COMUM\04 Estudos\11 Laboratório de Pavimento Asfaltico\LABORATÓRIO 2026\02. FORMULÁRIOS\"/>
    </mc:Choice>
  </mc:AlternateContent>
  <xr:revisionPtr revIDLastSave="0" documentId="13_ncr:1_{AFF9042A-B68E-4C0A-A2E0-BC3A66095E22}" xr6:coauthVersionLast="47" xr6:coauthVersionMax="47" xr10:uidLastSave="{00000000-0000-0000-0000-000000000000}"/>
  <bookViews>
    <workbookView xWindow="57480" yWindow="1050" windowWidth="21840" windowHeight="13020" xr2:uid="{A3D7CD27-5B83-4085-932C-0006E2F1CCDD}"/>
  </bookViews>
  <sheets>
    <sheet name="FR-IMOB-21_Rev00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 localSheetId="0">#REF!</definedName>
    <definedName name="_bri1">#REF!</definedName>
    <definedName name="_bri2" localSheetId="0">#REF!</definedName>
    <definedName name="_bri2">#REF!</definedName>
    <definedName name="_drb1" localSheetId="0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 localSheetId="0">#REF!</definedName>
    <definedName name="amostra">#REF!</definedName>
    <definedName name="_xlnm.Print_Area" localSheetId="0">'FR-IMOB-21_Rev00'!$A$1:$P$61</definedName>
    <definedName name="arei" localSheetId="0">#REF!</definedName>
    <definedName name="arei">#REF!</definedName>
    <definedName name="BI">[3]Teor!$A$3:$G$7</definedName>
    <definedName name="bica" localSheetId="0">#REF!</definedName>
    <definedName name="bica">#REF!</definedName>
    <definedName name="btt">#REF!</definedName>
    <definedName name="button_area_1">#REF!</definedName>
    <definedName name="CAN">#N/A</definedName>
    <definedName name="cbr" localSheetId="0">#REF!</definedName>
    <definedName name="cbr">#REF!</definedName>
    <definedName name="celltips_area" localSheetId="0">#REF!</definedName>
    <definedName name="celltips_area">#REF!</definedName>
    <definedName name="cinco" localSheetId="0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 localSheetId="0">#REF!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 localSheetId="0">#REF!</definedName>
    <definedName name="h">#REF!</definedName>
    <definedName name="IP" localSheetId="0">[8]resumo!#REF!</definedName>
    <definedName name="IP">[8]resumo!#REF!</definedName>
    <definedName name="kp" localSheetId="0">#REF!</definedName>
    <definedName name="kp">#REF!</definedName>
    <definedName name="lab">#REF!</definedName>
    <definedName name="LL" localSheetId="0">[8]resumo!#REF!</definedName>
    <definedName name="LL">[8]resumo!#REF!</definedName>
    <definedName name="marshall" localSheetId="0">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 localSheetId="0">[8]resumo!#REF!</definedName>
    <definedName name="P">[8]resumo!#REF!</definedName>
    <definedName name="paraf" localSheetId="0">#REF!</definedName>
    <definedName name="paraf">#REF!</definedName>
    <definedName name="parcial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 localSheetId="0">#REF!</definedName>
    <definedName name="pope">#REF!</definedName>
    <definedName name="PRE">#N/A</definedName>
    <definedName name="Print_Area_MI">[10]ESTUDO.TRAÇO!$F$18:$U$55</definedName>
    <definedName name="ptp" localSheetId="0">#REF!</definedName>
    <definedName name="ptp">#REF!</definedName>
    <definedName name="ptt">#REF!</definedName>
    <definedName name="quatro">#REF!</definedName>
    <definedName name="RBV">[9]Teor!$D$11:$D$15</definedName>
    <definedName name="rodinei">[11]DOSAGEM!$D$11</definedName>
    <definedName name="s" localSheetId="0">#REF!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 localSheetId="0">#REF!</definedName>
    <definedName name="total">#REF!</definedName>
    <definedName name="tres" localSheetId="0">#REF!</definedName>
    <definedName name="tres">#REF!</definedName>
    <definedName name="treze" localSheetId="0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 localSheetId="0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B21" i="5" l="1"/>
  <c r="BB29" i="5"/>
  <c r="BA29" i="5"/>
  <c r="BB28" i="5"/>
  <c r="BA28" i="5"/>
  <c r="BB27" i="5"/>
  <c r="BA27" i="5"/>
  <c r="BB26" i="5"/>
  <c r="BA26" i="5"/>
  <c r="BB25" i="5"/>
  <c r="BA25" i="5"/>
  <c r="BB24" i="5"/>
  <c r="BA24" i="5"/>
  <c r="BE23" i="5"/>
  <c r="BB23" i="5"/>
  <c r="BA23" i="5"/>
  <c r="BE22" i="5"/>
  <c r="BD22" i="5"/>
  <c r="BD23" i="5" s="1"/>
  <c r="BB22" i="5"/>
  <c r="BA22" i="5"/>
  <c r="BE21" i="5"/>
  <c r="BD21" i="5"/>
  <c r="BA21" i="5"/>
  <c r="R36" i="5"/>
  <c r="R37" i="5" s="1"/>
  <c r="P21" i="5" s="1"/>
  <c r="AX44" i="5"/>
  <c r="AX43" i="5"/>
  <c r="AX42" i="5"/>
  <c r="AX41" i="5"/>
  <c r="AX49" i="5"/>
  <c r="AX48" i="5"/>
  <c r="AX47" i="5"/>
  <c r="AX46" i="5"/>
  <c r="AX45" i="5"/>
  <c r="AY42" i="5"/>
  <c r="AY43" i="5" s="1"/>
  <c r="AY44" i="5" s="1"/>
  <c r="AY45" i="5" s="1"/>
  <c r="AY46" i="5" s="1"/>
  <c r="AY47" i="5" s="1"/>
  <c r="AY48" i="5" s="1"/>
  <c r="AY49" i="5" s="1"/>
  <c r="AY50" i="5" s="1"/>
  <c r="AY51" i="5" s="1"/>
  <c r="AY52" i="5" s="1"/>
  <c r="AY53" i="5" s="1"/>
  <c r="AU48" i="5"/>
  <c r="AU47" i="5"/>
  <c r="AU46" i="5"/>
  <c r="AU45" i="5"/>
  <c r="AU44" i="5"/>
  <c r="AU43" i="5"/>
  <c r="AU42" i="5"/>
  <c r="AU41" i="5"/>
  <c r="AU40" i="5"/>
  <c r="T38" i="5"/>
  <c r="U38" i="5" s="1"/>
  <c r="V38" i="5" s="1"/>
  <c r="W38" i="5" s="1"/>
  <c r="X38" i="5" s="1"/>
  <c r="Y38" i="5" s="1"/>
  <c r="Z38" i="5" s="1"/>
  <c r="AA38" i="5" s="1"/>
  <c r="AB38" i="5" s="1"/>
  <c r="AC38" i="5" s="1"/>
  <c r="AD38" i="5" s="1"/>
  <c r="AE38" i="5" s="1"/>
  <c r="AF38" i="5" s="1"/>
  <c r="AG38" i="5" s="1"/>
  <c r="AH38" i="5" s="1"/>
  <c r="AI38" i="5" s="1"/>
  <c r="AJ38" i="5" s="1"/>
  <c r="AK38" i="5" s="1"/>
  <c r="AL38" i="5" s="1"/>
  <c r="AM38" i="5" s="1"/>
  <c r="AN38" i="5" s="1"/>
  <c r="AO38" i="5" s="1"/>
  <c r="AP38" i="5" s="1"/>
  <c r="AQ38" i="5" s="1"/>
  <c r="AR38" i="5" s="1"/>
  <c r="AS38" i="5" s="1"/>
  <c r="AT38" i="5" s="1"/>
  <c r="AS33" i="5"/>
  <c r="AY34" i="5"/>
  <c r="R17" i="5"/>
  <c r="AS14" i="5"/>
  <c r="AQ14" i="5"/>
  <c r="AO14" i="5"/>
  <c r="AM14" i="5"/>
  <c r="AK14" i="5"/>
  <c r="AI14" i="5"/>
  <c r="AG14" i="5"/>
  <c r="AE14" i="5"/>
  <c r="AC14" i="5"/>
  <c r="AA14" i="5"/>
  <c r="Y14" i="5"/>
  <c r="U14" i="5"/>
  <c r="S14" i="5"/>
  <c r="AY23" i="5"/>
  <c r="AY24" i="5" s="1"/>
  <c r="AY25" i="5" s="1"/>
  <c r="AY26" i="5" s="1"/>
  <c r="AY27" i="5" s="1"/>
  <c r="AY28" i="5" s="1"/>
  <c r="AY29" i="5" s="1"/>
  <c r="AY30" i="5" s="1"/>
  <c r="AY31" i="5" s="1"/>
  <c r="AY32" i="5" s="1"/>
  <c r="AY33" i="5" s="1"/>
  <c r="T19" i="5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M29" i="5" l="1"/>
  <c r="P24" i="5"/>
  <c r="P25" i="5"/>
  <c r="O25" i="5"/>
  <c r="P28" i="5"/>
  <c r="O28" i="5"/>
  <c r="O29" i="5"/>
  <c r="P22" i="5"/>
  <c r="O22" i="5"/>
  <c r="O24" i="5"/>
  <c r="O26" i="5"/>
  <c r="P29" i="5"/>
  <c r="O21" i="5"/>
  <c r="P23" i="5"/>
  <c r="O23" i="5"/>
  <c r="P26" i="5"/>
  <c r="P27" i="5"/>
  <c r="O27" i="5"/>
  <c r="M21" i="5"/>
  <c r="M22" i="5"/>
  <c r="M23" i="5"/>
  <c r="M27" i="5"/>
  <c r="M28" i="5"/>
  <c r="M24" i="5"/>
  <c r="M25" i="5"/>
  <c r="M26" i="5"/>
  <c r="AU21" i="5" l="1"/>
  <c r="AU22" i="5"/>
  <c r="R22" i="5"/>
  <c r="R21" i="5" l="1"/>
  <c r="R23" i="5"/>
  <c r="R24" i="5"/>
  <c r="R25" i="5"/>
  <c r="R26" i="5"/>
  <c r="R27" i="5"/>
  <c r="R28" i="5"/>
  <c r="R29" i="5"/>
  <c r="E21" i="5"/>
  <c r="E22" i="5" s="1"/>
  <c r="E23" i="5" s="1"/>
  <c r="E24" i="5" s="1"/>
  <c r="E25" i="5" s="1"/>
  <c r="E26" i="5" s="1"/>
  <c r="E27" i="5" s="1"/>
  <c r="E28" i="5" s="1"/>
  <c r="E29" i="5" s="1"/>
  <c r="E30" i="5" s="1"/>
  <c r="I21" i="5"/>
  <c r="I22" i="5" s="1"/>
  <c r="I23" i="5" s="1"/>
  <c r="I24" i="5" s="1"/>
  <c r="I25" i="5" s="1"/>
  <c r="I26" i="5" s="1"/>
  <c r="I27" i="5" s="1"/>
  <c r="I28" i="5" s="1"/>
  <c r="I29" i="5" s="1"/>
  <c r="I30" i="5" s="1"/>
  <c r="L30" i="5"/>
  <c r="F22" i="5" l="1"/>
  <c r="G22" i="5" s="1"/>
  <c r="J22" i="5"/>
  <c r="K22" i="5" s="1"/>
  <c r="R18" i="5"/>
  <c r="J26" i="5"/>
  <c r="K26" i="5" s="1"/>
  <c r="J29" i="5"/>
  <c r="K29" i="5" s="1"/>
  <c r="J27" i="5"/>
  <c r="K27" i="5" s="1"/>
  <c r="J28" i="5"/>
  <c r="K28" i="5" s="1"/>
  <c r="J23" i="5"/>
  <c r="K23" i="5" s="1"/>
  <c r="J24" i="5"/>
  <c r="K24" i="5" s="1"/>
  <c r="J25" i="5"/>
  <c r="K25" i="5" s="1"/>
  <c r="J30" i="5"/>
  <c r="F30" i="5"/>
  <c r="F26" i="5"/>
  <c r="G26" i="5" s="1"/>
  <c r="F29" i="5"/>
  <c r="G29" i="5" s="1"/>
  <c r="F27" i="5"/>
  <c r="G27" i="5" s="1"/>
  <c r="F23" i="5"/>
  <c r="G23" i="5" s="1"/>
  <c r="F24" i="5"/>
  <c r="G24" i="5" s="1"/>
  <c r="F25" i="5"/>
  <c r="G25" i="5" s="1"/>
  <c r="F28" i="5"/>
  <c r="G28" i="5" s="1"/>
  <c r="J21" i="5"/>
  <c r="K21" i="5" s="1"/>
  <c r="W14" i="5"/>
  <c r="AU29" i="5"/>
  <c r="AU28" i="5"/>
  <c r="AU27" i="5"/>
  <c r="AU26" i="5"/>
  <c r="AU25" i="5"/>
  <c r="AU24" i="5"/>
  <c r="AU23" i="5"/>
  <c r="N29" i="5" l="1"/>
  <c r="N26" i="5"/>
  <c r="N27" i="5"/>
  <c r="N25" i="5"/>
  <c r="N24" i="5"/>
  <c r="N22" i="5"/>
  <c r="N28" i="5"/>
  <c r="N23" i="5"/>
  <c r="N21" i="5"/>
  <c r="L22" i="5"/>
  <c r="L28" i="5"/>
  <c r="L24" i="5"/>
  <c r="L23" i="5"/>
  <c r="L29" i="5"/>
  <c r="L25" i="5"/>
  <c r="L27" i="5"/>
  <c r="L26" i="5"/>
  <c r="F21" i="5"/>
  <c r="G21" i="5" s="1"/>
  <c r="L21" i="5" s="1"/>
</calcChain>
</file>

<file path=xl/sharedStrings.xml><?xml version="1.0" encoding="utf-8"?>
<sst xmlns="http://schemas.openxmlformats.org/spreadsheetml/2006/main" count="121" uniqueCount="81">
  <si>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</si>
  <si>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</si>
  <si>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</si>
  <si>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</si>
  <si>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</si>
  <si>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</si>
  <si>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</si>
  <si>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 - Calculos e Resultados</t>
  </si>
  <si>
    <t>TOLERANCIA FAIXA DE TRABALHO</t>
  </si>
  <si>
    <t>Peneiras</t>
  </si>
  <si>
    <t>massa</t>
  </si>
  <si>
    <t>%</t>
  </si>
  <si>
    <t>% passa</t>
  </si>
  <si>
    <t>retida</t>
  </si>
  <si>
    <t>passa</t>
  </si>
  <si>
    <t>acumul.</t>
  </si>
  <si>
    <t>nº</t>
  </si>
  <si>
    <t>mm</t>
  </si>
  <si>
    <t>(g)</t>
  </si>
  <si>
    <t>Lista Suspensa</t>
  </si>
  <si>
    <t>Fundo (g)</t>
  </si>
  <si>
    <t>-</t>
  </si>
  <si>
    <t>Massa total (g)</t>
  </si>
  <si>
    <t>Gráfico</t>
  </si>
  <si>
    <t>Massa inicial (g)</t>
  </si>
  <si>
    <t>3/8</t>
  </si>
  <si>
    <t>Nº4</t>
  </si>
  <si>
    <t>Nº200</t>
  </si>
  <si>
    <t>TOLERANCIA FAIXA DE TRABALHO MISTURA</t>
  </si>
  <si>
    <t>Amostra 01</t>
  </si>
  <si>
    <t>Amostra 02</t>
  </si>
  <si>
    <t>Nº80</t>
  </si>
  <si>
    <t>Nº40</t>
  </si>
  <si>
    <t>Nº10</t>
  </si>
  <si>
    <t>1/2</t>
  </si>
  <si>
    <t>3/4</t>
  </si>
  <si>
    <t>1</t>
  </si>
  <si>
    <t>Média</t>
  </si>
  <si>
    <t xml:space="preserve"> __________________________________
 Responsável executor</t>
  </si>
  <si>
    <t>____________________________________________
Responsável calculista</t>
  </si>
  <si>
    <t xml:space="preserve">DNIT 031- ES - Pavimentos flexíveis - Concreto asfáltico.                                                                                                                                 </t>
  </si>
  <si>
    <t>DERSA ET-DE-P00/027 - Concreto asfáltico -  Pavimento asfáltico.</t>
  </si>
  <si>
    <t>Assinaturas</t>
  </si>
  <si>
    <t xml:space="preserve">Elaborado por: </t>
  </si>
  <si>
    <t xml:space="preserve">Revisado por: </t>
  </si>
  <si>
    <t>Aprovado por: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</si>
  <si>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 xml:space="preserve">CONCRETO ASFÁLTICO - ANÁLISE GRANULOMETRICA DA MISTURA 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</si>
  <si>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>: FR-IMOB-21</t>
    </r>
  </si>
  <si>
    <r>
      <rPr>
        <sz val="12"/>
        <rFont val="Tahoma"/>
        <family val="2"/>
      </rPr>
      <t xml:space="preserve">Versão: </t>
    </r>
    <r>
      <rPr>
        <b/>
        <sz val="12"/>
        <rFont val="Tahoma"/>
        <family val="2"/>
      </rPr>
      <t>00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</si>
  <si>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</si>
  <si>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</si>
  <si>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t>Samara Rodrigues</t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</si>
  <si>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</si>
  <si>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</si>
  <si>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</si>
  <si>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</si>
  <si>
    <t>FAIXA "C" DNIT 031/2006</t>
  </si>
  <si>
    <t>FAIXA III DERSA ET-P00/027</t>
  </si>
  <si>
    <t>FAIXA IV DERSA ET-P00/027</t>
  </si>
  <si>
    <t>FAIXA II DERSP CCR ES-E-002-R12</t>
  </si>
  <si>
    <t>FAIXA EGL BN CCR ES-E-002-R12</t>
  </si>
  <si>
    <t>FAIXA DNIT B CCR ES-E-002-R12</t>
  </si>
  <si>
    <t>FAIXA EGL 19 CCR ES-E-002-R12</t>
  </si>
  <si>
    <t>FAIXA EGL 12,5 CCR ES-E-002-R12</t>
  </si>
  <si>
    <t>FAIXA III DERSA CCR ES-E-002-R12</t>
  </si>
  <si>
    <t>FAIXA ELG 9,5 CCR ES-E-002-R12</t>
  </si>
  <si>
    <t>FAIXA IV DERSASP CCR ES-E-002-R12</t>
  </si>
  <si>
    <t>FAIXA III DER-SP CCR ES-E-002-R12</t>
  </si>
  <si>
    <t>FAIXA "B" DNIT 031/2006</t>
  </si>
  <si>
    <t>C. ROTA SUL
FAIXA C DNIT 031/2024 - CAP 60/85</t>
  </si>
  <si>
    <t>C. 163 - SANCHES TRIPOLONI
FAIXA B 031/2006 - CAP 60/85</t>
  </si>
  <si>
    <t>CONSÓRCIO C.C.C.O (ACP 06)
FAIXA III DERSA ET-P00/027</t>
  </si>
  <si>
    <t>CONSÓRCIO NOVA IMIGRANTES
FAIXA III DER-SP CCR ES-E-002-R12</t>
  </si>
  <si>
    <t>ZANETTI PAVIMENTAÇÕES
FAIXA C DNIT 031/2006</t>
  </si>
  <si>
    <t>PEDRISA S.C.F ADP
FAIXA 12,5 DERSA-ET-DE-P00-027-B</t>
  </si>
  <si>
    <t>TRIPOLONI LRV-SSR 2026
FAIXA III DERSA ET-P00/027</t>
  </si>
  <si>
    <t>AGRIMAT SORRISO CONSERVA 2026
FAIXA III DERSA ET-P00/027</t>
  </si>
  <si>
    <t>C. 163 - AGRIMAT
FAIXA III DERS-ET-P00/027</t>
  </si>
  <si>
    <t>PENEIRAS</t>
  </si>
  <si>
    <t>DIV. &lt;4%</t>
  </si>
  <si>
    <t>PERCA &lt;0,2% ASFALTO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</si>
</sst>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%"/>
  </numFmts>
  <fonts count="16" x14ac:knownFonts="1">
    <font>
      <sz val="10"/>
      <name val="Arial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8"/>
      <name val="Arial"/>
      <family val="2"/>
    </font>
    <font>
      <b/>
      <sz val="10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97">
    <xf numFmtId="0" fontId="0" fillId="0" borderId="0" xfId="0"/>
    <xf numFmtId="2" fontId="3" fillId="4" borderId="11" xfId="4" applyNumberFormat="1" applyFont="1" applyFill="1" applyBorder="1" applyAlignment="1" applyProtection="1">
      <alignment horizontal="center" vertical="center"/>
      <protection locked="0"/>
    </xf>
    <xf numFmtId="0" fontId="2" fillId="0" borderId="0" xfId="4" applyFont="1" applyAlignment="1">
      <alignment vertical="center"/>
    </xf>
    <xf numFmtId="0" fontId="2" fillId="0" borderId="0" xfId="4" applyFont="1" applyAlignment="1">
      <alignment horizontal="left" vertical="center"/>
    </xf>
    <xf numFmtId="0" fontId="2" fillId="0" borderId="11" xfId="4" applyFont="1" applyBorder="1" applyAlignment="1">
      <alignment horizontal="center" vertical="center"/>
    </xf>
    <xf numFmtId="0" fontId="2" fillId="0" borderId="0" xfId="4" applyFont="1" applyAlignment="1">
      <alignment horizontal="center" vertical="center"/>
    </xf>
    <xf numFmtId="0" fontId="4" fillId="0" borderId="5" xfId="4" applyFont="1" applyBorder="1" applyAlignment="1">
      <alignment vertical="center"/>
    </xf>
    <xf numFmtId="164" fontId="2" fillId="0" borderId="0" xfId="4" applyNumberFormat="1" applyFont="1" applyAlignment="1">
      <alignment vertical="center"/>
    </xf>
    <xf numFmtId="164" fontId="2" fillId="0" borderId="0" xfId="4" applyNumberFormat="1" applyFont="1" applyAlignment="1">
      <alignment horizontal="left" vertical="center"/>
    </xf>
    <xf numFmtId="2" fontId="2" fillId="0" borderId="0" xfId="4" applyNumberFormat="1" applyFont="1" applyAlignment="1">
      <alignment horizontal="left" vertical="center"/>
    </xf>
    <xf numFmtId="0" fontId="4" fillId="0" borderId="11" xfId="4" applyFont="1" applyBorder="1" applyAlignment="1">
      <alignment horizontal="center" vertical="center"/>
    </xf>
    <xf numFmtId="0" fontId="4" fillId="4" borderId="7" xfId="2" applyFont="1" applyFill="1" applyBorder="1" applyAlignment="1">
      <alignment horizontal="center" vertical="center"/>
    </xf>
    <xf numFmtId="0" fontId="4" fillId="0" borderId="7" xfId="4" applyFont="1" applyBorder="1" applyAlignment="1">
      <alignment horizontal="center" vertical="center"/>
    </xf>
    <xf numFmtId="0" fontId="4" fillId="4" borderId="7" xfId="4" applyFont="1" applyFill="1" applyBorder="1" applyAlignment="1">
      <alignment horizontal="center" vertical="center"/>
    </xf>
    <xf numFmtId="0" fontId="4" fillId="0" borderId="13" xfId="4" applyFont="1" applyBorder="1" applyAlignment="1">
      <alignment horizontal="center" vertical="center"/>
    </xf>
    <xf numFmtId="0" fontId="4" fillId="0" borderId="4" xfId="4" applyFont="1" applyBorder="1" applyAlignment="1">
      <alignment horizontal="center" vertical="center"/>
    </xf>
    <xf numFmtId="0" fontId="4" fillId="0" borderId="4" xfId="4" applyFont="1" applyBorder="1" applyAlignment="1">
      <alignment vertical="center"/>
    </xf>
    <xf numFmtId="49" fontId="4" fillId="0" borderId="11" xfId="4" applyNumberFormat="1" applyFont="1" applyBorder="1" applyAlignment="1">
      <alignment horizontal="center" vertical="center"/>
    </xf>
    <xf numFmtId="164" fontId="4" fillId="0" borderId="11" xfId="4" applyNumberFormat="1" applyFont="1" applyBorder="1" applyAlignment="1">
      <alignment horizontal="center" vertical="center"/>
    </xf>
    <xf numFmtId="2" fontId="2" fillId="0" borderId="11" xfId="4" applyNumberFormat="1" applyFont="1" applyBorder="1" applyAlignment="1">
      <alignment horizontal="center" vertical="center"/>
    </xf>
    <xf numFmtId="2" fontId="2" fillId="0" borderId="11" xfId="1" applyNumberFormat="1" applyFont="1" applyBorder="1" applyAlignment="1" applyProtection="1">
      <alignment horizontal="center" vertical="center"/>
    </xf>
    <xf numFmtId="2" fontId="2" fillId="0" borderId="11" xfId="5" applyNumberFormat="1" applyFont="1" applyBorder="1" applyAlignment="1" applyProtection="1">
      <alignment horizontal="center" vertical="center"/>
    </xf>
    <xf numFmtId="2" fontId="4" fillId="4" borderId="11" xfId="5" applyNumberFormat="1" applyFont="1" applyFill="1" applyBorder="1" applyAlignment="1" applyProtection="1">
      <alignment horizontal="center" vertical="center"/>
    </xf>
    <xf numFmtId="0" fontId="4" fillId="0" borderId="0" xfId="4" applyFont="1" applyAlignment="1">
      <alignment vertical="center"/>
    </xf>
    <xf numFmtId="164" fontId="2" fillId="0" borderId="11" xfId="4" applyNumberFormat="1" applyFont="1" applyBorder="1" applyAlignment="1">
      <alignment horizontal="center" vertical="center"/>
    </xf>
    <xf numFmtId="2" fontId="2" fillId="0" borderId="11" xfId="4" applyNumberFormat="1" applyFont="1" applyBorder="1" applyAlignment="1">
      <alignment vertical="center"/>
    </xf>
    <xf numFmtId="0" fontId="2" fillId="3" borderId="11" xfId="3" applyFont="1" applyFill="1" applyBorder="1" applyAlignment="1">
      <alignment horizontal="center" vertical="center"/>
    </xf>
    <xf numFmtId="164" fontId="4" fillId="0" borderId="0" xfId="4" applyNumberFormat="1" applyFont="1" applyAlignment="1">
      <alignment vertical="center"/>
    </xf>
    <xf numFmtId="0" fontId="2" fillId="0" borderId="11" xfId="3" applyFont="1" applyBorder="1" applyAlignment="1">
      <alignment vertical="center"/>
    </xf>
    <xf numFmtId="0" fontId="2" fillId="0" borderId="11" xfId="3" applyFont="1" applyBorder="1" applyAlignment="1">
      <alignment horizontal="center" vertical="center"/>
    </xf>
    <xf numFmtId="2" fontId="4" fillId="0" borderId="11" xfId="4" applyNumberFormat="1" applyFont="1" applyBorder="1" applyAlignment="1">
      <alignment horizontal="center" vertical="center"/>
    </xf>
    <xf numFmtId="0" fontId="2" fillId="0" borderId="11" xfId="4" applyFont="1" applyBorder="1" applyAlignment="1">
      <alignment vertical="center"/>
    </xf>
    <xf numFmtId="0" fontId="2" fillId="0" borderId="7" xfId="4" applyFont="1" applyBorder="1" applyAlignment="1">
      <alignment horizontal="left" vertical="center"/>
    </xf>
    <xf numFmtId="0" fontId="2" fillId="0" borderId="12" xfId="4" applyFont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2" fillId="0" borderId="11" xfId="4" applyFont="1" applyBorder="1" applyAlignment="1">
      <alignment horizontal="left" vertical="center"/>
    </xf>
    <xf numFmtId="0" fontId="4" fillId="4" borderId="1" xfId="4" applyFont="1" applyFill="1" applyBorder="1" applyAlignment="1">
      <alignment horizontal="center" vertical="center"/>
    </xf>
    <xf numFmtId="0" fontId="4" fillId="4" borderId="4" xfId="4" applyFont="1" applyFill="1" applyBorder="1" applyAlignment="1">
      <alignment horizontal="center" vertical="center"/>
    </xf>
    <xf numFmtId="0" fontId="4" fillId="4" borderId="4" xfId="4" applyFont="1" applyFill="1" applyBorder="1" applyAlignment="1">
      <alignment vertical="center"/>
    </xf>
    <xf numFmtId="0" fontId="13" fillId="5" borderId="5" xfId="4" applyFont="1" applyFill="1" applyBorder="1" applyAlignment="1" applyProtection="1">
      <alignment horizontal="center" vertical="center"/>
      <protection locked="0" hidden="1"/>
    </xf>
    <xf numFmtId="2" fontId="10" fillId="5" borderId="5" xfId="4" applyNumberFormat="1" applyFont="1" applyFill="1" applyBorder="1" applyAlignment="1" applyProtection="1">
      <alignment horizontal="left" vertical="center"/>
      <protection locked="0"/>
    </xf>
    <xf numFmtId="0" fontId="12" fillId="5" borderId="5" xfId="4" applyFont="1" applyFill="1" applyBorder="1" applyAlignment="1" applyProtection="1">
      <alignment horizontal="left" vertical="center"/>
      <protection locked="0" hidden="1"/>
    </xf>
    <xf numFmtId="0" fontId="14" fillId="0" borderId="5" xfId="4" applyFont="1" applyBorder="1" applyAlignment="1" applyProtection="1">
      <alignment horizontal="left" vertical="center"/>
      <protection locked="0"/>
    </xf>
    <xf numFmtId="49" fontId="13" fillId="5" borderId="5" xfId="4" applyNumberFormat="1" applyFont="1" applyFill="1" applyBorder="1" applyAlignment="1" applyProtection="1">
      <alignment horizontal="center" vertical="center"/>
      <protection locked="0" hidden="1"/>
    </xf>
    <xf numFmtId="0" fontId="7" fillId="0" borderId="1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4" fillId="0" borderId="4" xfId="4" applyFont="1" applyBorder="1" applyAlignment="1">
      <alignment horizontal="left" vertical="center"/>
    </xf>
    <xf numFmtId="0" fontId="4" fillId="0" borderId="5" xfId="4" applyFont="1" applyBorder="1" applyAlignment="1">
      <alignment horizontal="left" vertical="center"/>
    </xf>
    <xf numFmtId="0" fontId="1" fillId="2" borderId="4" xfId="4" applyFont="1" applyFill="1" applyBorder="1" applyAlignment="1">
      <alignment horizontal="left" vertical="center"/>
    </xf>
    <xf numFmtId="0" fontId="1" fillId="2" borderId="5" xfId="4" applyFont="1" applyFill="1" applyBorder="1" applyAlignment="1">
      <alignment horizontal="left" vertical="center"/>
    </xf>
    <xf numFmtId="49" fontId="4" fillId="0" borderId="11" xfId="4" applyNumberFormat="1" applyFont="1" applyBorder="1" applyAlignment="1">
      <alignment horizontal="center" vertical="center"/>
    </xf>
    <xf numFmtId="0" fontId="9" fillId="6" borderId="11" xfId="2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center" vertical="center"/>
    </xf>
    <xf numFmtId="0" fontId="9" fillId="6" borderId="2" xfId="2" applyFont="1" applyFill="1" applyBorder="1" applyAlignment="1">
      <alignment horizontal="center" vertical="center"/>
    </xf>
    <xf numFmtId="0" fontId="9" fillId="6" borderId="3" xfId="2" applyFont="1" applyFill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2" fillId="0" borderId="5" xfId="4" applyFont="1" applyBorder="1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left" wrapText="1"/>
    </xf>
    <xf numFmtId="0" fontId="2" fillId="0" borderId="14" xfId="2" applyFont="1" applyBorder="1" applyAlignment="1">
      <alignment horizontal="left" vertical="center" wrapText="1"/>
    </xf>
    <xf numFmtId="0" fontId="2" fillId="0" borderId="11" xfId="3" applyFont="1" applyBorder="1" applyAlignment="1">
      <alignment horizontal="center" vertical="center" wrapText="1"/>
    </xf>
    <xf numFmtId="0" fontId="4" fillId="0" borderId="11" xfId="4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2" fillId="0" borderId="13" xfId="2" applyFont="1" applyBorder="1" applyAlignment="1">
      <alignment horizontal="left" vertical="center" wrapText="1"/>
    </xf>
    <xf numFmtId="0" fontId="4" fillId="0" borderId="4" xfId="4" applyFont="1" applyBorder="1" applyAlignment="1">
      <alignment horizontal="center" vertical="center"/>
    </xf>
    <xf numFmtId="0" fontId="4" fillId="0" borderId="6" xfId="4" applyFont="1" applyBorder="1" applyAlignment="1">
      <alignment horizontal="center" vertical="center"/>
    </xf>
    <xf numFmtId="0" fontId="6" fillId="4" borderId="4" xfId="4" applyFont="1" applyFill="1" applyBorder="1" applyAlignment="1" applyProtection="1">
      <alignment horizontal="left" vertical="center"/>
      <protection locked="0"/>
    </xf>
    <xf numFmtId="0" fontId="6" fillId="4" borderId="6" xfId="4" applyFont="1" applyFill="1" applyBorder="1" applyAlignment="1" applyProtection="1">
      <alignment horizontal="left" vertical="center"/>
      <protection locked="0"/>
    </xf>
    <xf numFmtId="0" fontId="6" fillId="4" borderId="4" xfId="4" applyFont="1" applyFill="1" applyBorder="1" applyAlignment="1" applyProtection="1">
      <alignment horizontal="center" vertical="center"/>
      <protection locked="0"/>
    </xf>
    <xf numFmtId="0" fontId="6" fillId="4" borderId="6" xfId="4" applyFont="1" applyFill="1" applyBorder="1" applyAlignment="1" applyProtection="1">
      <alignment horizontal="center" vertical="center"/>
      <protection locked="0"/>
    </xf>
    <xf numFmtId="0" fontId="2" fillId="0" borderId="11" xfId="4" applyFont="1" applyBorder="1" applyAlignment="1">
      <alignment horizontal="center" vertical="center"/>
    </xf>
    <xf numFmtId="0" fontId="6" fillId="3" borderId="11" xfId="3" applyFont="1" applyFill="1" applyBorder="1" applyAlignment="1" applyProtection="1">
      <alignment horizontal="center" vertical="center" wrapText="1"/>
      <protection locked="0"/>
    </xf>
    <xf numFmtId="0" fontId="4" fillId="0" borderId="11" xfId="3" applyFont="1" applyBorder="1" applyAlignment="1">
      <alignment horizontal="center" vertical="center" wrapText="1"/>
    </xf>
    <xf numFmtId="0" fontId="4" fillId="0" borderId="11" xfId="4" applyFont="1" applyBorder="1" applyAlignment="1">
      <alignment horizontal="center" vertical="center" wrapText="1"/>
    </xf>
    <xf numFmtId="164" fontId="2" fillId="0" borderId="0" xfId="4" applyNumberFormat="1" applyFont="1" applyAlignment="1">
      <alignment horizontal="center" vertical="center"/>
    </xf>
    <xf numFmtId="2" fontId="2" fillId="0" borderId="0" xfId="4" applyNumberFormat="1" applyFont="1" applyAlignment="1">
      <alignment horizontal="center" vertical="center"/>
    </xf>
    <xf numFmtId="164" fontId="4" fillId="0" borderId="0" xfId="4" applyNumberFormat="1" applyFont="1" applyAlignment="1">
      <alignment horizontal="center" vertical="center"/>
    </xf>
    <xf numFmtId="2" fontId="4" fillId="0" borderId="0" xfId="4" applyNumberFormat="1" applyFont="1" applyAlignment="1">
      <alignment horizontal="center" vertical="center"/>
    </xf>
    <xf numFmtId="0" fontId="4" fillId="0" borderId="0" xfId="4" applyFont="1" applyAlignment="1">
      <alignment horizontal="center" vertical="center"/>
    </xf>
    <xf numFmtId="2" fontId="2" fillId="0" borderId="0" xfId="4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1" fillId="2" borderId="4" xfId="4" applyFont="1" applyFill="1" applyBorder="1" applyAlignment="1">
      <alignment vertical="center"/>
    </xf>
    <xf numFmtId="0" fontId="6" fillId="2" borderId="5" xfId="4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center" vertical="center"/>
    </xf>
    <xf numFmtId="14" fontId="6" fillId="0" borderId="5" xfId="4" applyNumberFormat="1" applyFont="1" applyBorder="1" applyAlignment="1">
      <alignment horizontal="center" vertical="center"/>
    </xf>
    <xf numFmtId="14" fontId="6" fillId="0" borderId="6" xfId="4" applyNumberFormat="1" applyFont="1" applyBorder="1" applyAlignment="1">
      <alignment horizontal="center" vertical="center"/>
    </xf>
    <xf numFmtId="0" fontId="6" fillId="2" borderId="5" xfId="4" applyFont="1" applyFill="1" applyBorder="1" applyAlignment="1">
      <alignment horizontal="center" vertical="center" wrapText="1"/>
    </xf>
    <xf numFmtId="0" fontId="6" fillId="2" borderId="6" xfId="4" applyFont="1" applyFill="1" applyBorder="1" applyAlignment="1">
      <alignment horizontal="center" vertical="center" wrapText="1"/>
    </xf>
    <xf numFmtId="0" fontId="6" fillId="0" borderId="5" xfId="4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/>
    </xf>
    <xf numFmtId="0" fontId="6" fillId="0" borderId="5" xfId="4" applyFont="1" applyBorder="1" applyAlignment="1" applyProtection="1">
      <alignment horizontal="center" vertical="center" wrapText="1"/>
      <protection locked="0"/>
    </xf>
    <xf numFmtId="0" fontId="6" fillId="0" borderId="6" xfId="4" applyFont="1" applyBorder="1" applyAlignment="1" applyProtection="1">
      <alignment horizontal="center" vertical="center" wrapText="1"/>
      <protection locked="0"/>
    </xf>
  </cellXfs>
  <cellStyles count="6">
    <cellStyle name="Normal" xfId="0" builtinId="0"/>
    <cellStyle name="Normal 2 2" xfId="4" xr:uid="{D0BA3E9A-742E-4838-833F-2FF31E841156}"/>
    <cellStyle name="Normal 9 2" xfId="2" xr:uid="{9B6A65A3-8E5E-4026-8DB0-CBBCF5E2E5B4}"/>
    <cellStyle name="Normal_TENTATIVAS~1" xfId="3" xr:uid="{EE1B7734-70BF-4416-8649-4D97FA2C27EE}"/>
    <cellStyle name="Porcentagem" xfId="1" builtinId="5"/>
    <cellStyle name="Porcentagem 2 2" xfId="5" xr:uid="{BBDC5EA5-414F-476B-83B7-6A2BC629BE95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00FF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4090226787765"/>
          <c:y val="6.2045428282422155E-2"/>
          <c:w val="0.75734157650695522"/>
          <c:h val="0.74177611612467431"/>
        </c:manualLayout>
      </c:layout>
      <c:scatterChart>
        <c:scatterStyle val="lineMarker"/>
        <c:varyColors val="0"/>
        <c:ser>
          <c:idx val="6"/>
          <c:order val="0"/>
          <c:tx>
            <c:strRef>
              <c:f>'FR-IMOB-21_Rev00'!$L$15</c:f>
              <c:strCache>
                <c:ptCount val="1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'FR-IMOB-21_Rev00'!$C$21:$C$29</c:f>
              <c:numCache>
                <c:formatCode>0.0</c:formatCode>
                <c:ptCount val="9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 formatCode="0.00">
                  <c:v>4.8</c:v>
                </c:pt>
                <c:pt idx="5" formatCode="0.00">
                  <c:v>2</c:v>
                </c:pt>
                <c:pt idx="6" formatCode="0.00">
                  <c:v>0.42</c:v>
                </c:pt>
                <c:pt idx="7" formatCode="General">
                  <c:v>0.18</c:v>
                </c:pt>
                <c:pt idx="8" formatCode="General">
                  <c:v>7.4999999999999997E-2</c:v>
                </c:pt>
              </c:numCache>
            </c:numRef>
          </c:xVal>
          <c:yVal>
            <c:numRef>
              <c:f>'FR-IMOB-21_Rev00'!$L$21:$L$29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ED-4FE1-83C0-9839369BDFB4}"/>
            </c:ext>
          </c:extLst>
        </c:ser>
        <c:ser>
          <c:idx val="7"/>
          <c:order val="1"/>
          <c:tx>
            <c:strRef>
              <c:f>'FR-IMOB-21_Rev00'!$M$19</c:f>
              <c:strCache>
                <c:ptCount val="1"/>
                <c:pt idx="0">
                  <c:v>FAIXA III DER-SP CCR ES-E-002-R12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'FR-IMOB-21_Rev00'!$C$21:$C$29</c:f>
              <c:numCache>
                <c:formatCode>0.0</c:formatCode>
                <c:ptCount val="9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 formatCode="0.00">
                  <c:v>4.8</c:v>
                </c:pt>
                <c:pt idx="5" formatCode="0.00">
                  <c:v>2</c:v>
                </c:pt>
                <c:pt idx="6" formatCode="0.00">
                  <c:v>0.42</c:v>
                </c:pt>
                <c:pt idx="7" formatCode="General">
                  <c:v>0.18</c:v>
                </c:pt>
                <c:pt idx="8" formatCode="General">
                  <c:v>7.4999999999999997E-2</c:v>
                </c:pt>
              </c:numCache>
            </c:numRef>
          </c:xVal>
          <c:yVal>
            <c:numRef>
              <c:f>'FR-IMOB-21_Rev00'!$M$21:$M$29</c:f>
              <c:numCache>
                <c:formatCode>0.00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80</c:v>
                </c:pt>
                <c:pt idx="3">
                  <c:v>70</c:v>
                </c:pt>
                <c:pt idx="4">
                  <c:v>44</c:v>
                </c:pt>
                <c:pt idx="5">
                  <c:v>22</c:v>
                </c:pt>
                <c:pt idx="6">
                  <c:v>8</c:v>
                </c:pt>
                <c:pt idx="7">
                  <c:v>4</c:v>
                </c:pt>
                <c:pt idx="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ED-4FE1-83C0-9839369BDFB4}"/>
            </c:ext>
          </c:extLst>
        </c:ser>
        <c:ser>
          <c:idx val="8"/>
          <c:order val="2"/>
          <c:tx>
            <c:strRef>
              <c:f>'FR-IMOB-21_Rev00'!$M$19</c:f>
              <c:strCache>
                <c:ptCount val="1"/>
                <c:pt idx="0">
                  <c:v>FAIXA III DER-SP CCR ES-E-002-R12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'FR-IMOB-21_Rev00'!$C$21:$C$29</c:f>
              <c:numCache>
                <c:formatCode>0.0</c:formatCode>
                <c:ptCount val="9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 formatCode="0.00">
                  <c:v>4.8</c:v>
                </c:pt>
                <c:pt idx="5" formatCode="0.00">
                  <c:v>2</c:v>
                </c:pt>
                <c:pt idx="6" formatCode="0.00">
                  <c:v>0.42</c:v>
                </c:pt>
                <c:pt idx="7" formatCode="General">
                  <c:v>0.18</c:v>
                </c:pt>
                <c:pt idx="8" formatCode="General">
                  <c:v>7.4999999999999997E-2</c:v>
                </c:pt>
              </c:numCache>
            </c:numRef>
          </c:xVal>
          <c:yVal>
            <c:numRef>
              <c:f>'FR-IMOB-21_Rev00'!$N$21:$N$29</c:f>
              <c:numCache>
                <c:formatCode>0.00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90</c:v>
                </c:pt>
                <c:pt idx="4">
                  <c:v>72</c:v>
                </c:pt>
                <c:pt idx="5">
                  <c:v>50</c:v>
                </c:pt>
                <c:pt idx="6">
                  <c:v>26</c:v>
                </c:pt>
                <c:pt idx="7">
                  <c:v>16</c:v>
                </c:pt>
                <c:pt idx="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ED-4FE1-83C0-9839369BDFB4}"/>
            </c:ext>
          </c:extLst>
        </c:ser>
        <c:ser>
          <c:idx val="0"/>
          <c:order val="3"/>
          <c:tx>
            <c:v>Faixa de tolerância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triangle"/>
            <c:size val="5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'FR-IMOB-21_Rev00'!$C$21:$C$29</c:f>
              <c:numCache>
                <c:formatCode>0.0</c:formatCode>
                <c:ptCount val="9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 formatCode="0.00">
                  <c:v>4.8</c:v>
                </c:pt>
                <c:pt idx="5" formatCode="0.00">
                  <c:v>2</c:v>
                </c:pt>
                <c:pt idx="6" formatCode="0.00">
                  <c:v>0.42</c:v>
                </c:pt>
                <c:pt idx="7" formatCode="General">
                  <c:v>0.18</c:v>
                </c:pt>
                <c:pt idx="8" formatCode="General">
                  <c:v>7.4999999999999997E-2</c:v>
                </c:pt>
              </c:numCache>
            </c:numRef>
          </c:xVal>
          <c:yVal>
            <c:numRef>
              <c:f>'FR-IMOB-21_Rev00'!$O$21:$O$29</c:f>
              <c:numCache>
                <c:formatCode>0.00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90</c:v>
                </c:pt>
                <c:pt idx="3">
                  <c:v>74</c:v>
                </c:pt>
                <c:pt idx="4">
                  <c:v>49.6</c:v>
                </c:pt>
                <c:pt idx="5">
                  <c:v>28.8</c:v>
                </c:pt>
                <c:pt idx="6">
                  <c:v>8.8000000000000007</c:v>
                </c:pt>
                <c:pt idx="7">
                  <c:v>7.2</c:v>
                </c:pt>
                <c:pt idx="8">
                  <c:v>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BA-4F4B-9FE1-B10386CA2F75}"/>
            </c:ext>
          </c:extLst>
        </c:ser>
        <c:ser>
          <c:idx val="1"/>
          <c:order val="4"/>
          <c:tx>
            <c:v>Faixa de Tolerância</c:v>
          </c:tx>
          <c:marker>
            <c:symbol val="triangle"/>
            <c:size val="5"/>
            <c:spPr>
              <a:ln>
                <a:noFill/>
              </a:ln>
            </c:spPr>
          </c:marker>
          <c:xVal>
            <c:numRef>
              <c:f>'FR-IMOB-21_Rev00'!$C$21:$C$29</c:f>
              <c:numCache>
                <c:formatCode>0.0</c:formatCode>
                <c:ptCount val="9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 formatCode="0.00">
                  <c:v>4.8</c:v>
                </c:pt>
                <c:pt idx="5" formatCode="0.00">
                  <c:v>2</c:v>
                </c:pt>
                <c:pt idx="6" formatCode="0.00">
                  <c:v>0.42</c:v>
                </c:pt>
                <c:pt idx="7" formatCode="General">
                  <c:v>0.18</c:v>
                </c:pt>
                <c:pt idx="8" formatCode="General">
                  <c:v>7.4999999999999997E-2</c:v>
                </c:pt>
              </c:numCache>
            </c:numRef>
          </c:xVal>
          <c:yVal>
            <c:numRef>
              <c:f>'FR-IMOB-21_Rev00'!$P$21:$P$29</c:f>
              <c:numCache>
                <c:formatCode>0.00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88</c:v>
                </c:pt>
                <c:pt idx="4">
                  <c:v>59.6</c:v>
                </c:pt>
                <c:pt idx="5">
                  <c:v>38.799999999999997</c:v>
                </c:pt>
                <c:pt idx="6">
                  <c:v>18.8</c:v>
                </c:pt>
                <c:pt idx="7">
                  <c:v>13.2</c:v>
                </c:pt>
                <c:pt idx="8">
                  <c:v>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BA-4F4B-9FE1-B10386CA2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285775"/>
        <c:axId val="1"/>
      </c:scatterChart>
      <c:valAx>
        <c:axId val="1860285775"/>
        <c:scaling>
          <c:logBase val="10"/>
          <c:orientation val="minMax"/>
          <c:max val="3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" sourceLinked="1"/>
        <c:majorTickMark val="out"/>
        <c:minorTickMark val="none"/>
        <c:tickLblPos val="nextTo"/>
        <c:crossAx val="1"/>
        <c:crossesAt val="0"/>
        <c:crossBetween val="midCat"/>
      </c:valAx>
      <c:valAx>
        <c:axId val="1"/>
        <c:scaling>
          <c:orientation val="minMax"/>
          <c:max val="1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>
                    <a:solidFill>
                      <a:sysClr val="windowText" lastClr="000000"/>
                    </a:solidFill>
                  </a:rPr>
                  <a:t>% PASSANDO</a:t>
                </a:r>
              </a:p>
            </c:rich>
          </c:tx>
          <c:layout>
            <c:manualLayout>
              <c:xMode val="edge"/>
              <c:yMode val="edge"/>
              <c:x val="6.1823785788244358E-2"/>
              <c:y val="0.362369337979094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0285775"/>
        <c:crossesAt val="0.01"/>
        <c:crossBetween val="midCat"/>
        <c:majorUnit val="10"/>
        <c:minorUnit val="2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4459256907647214"/>
          <c:y val="0.87282496510449759"/>
          <c:w val="0.75281611152241878"/>
          <c:h val="4.6826687922487766E-2"/>
        </c:manualLayout>
      </c:layout>
      <c:overlay val="0"/>
    </c:legend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74803149606299213" l="0.78740157480314965" r="0.78740157480314965" t="1.1417322834645669" header="0.51181102362204722" footer="0.51181102362204722"/>
    <c:pageSetup paperSize="9" orientation="landscape" horizontalDpi="180" verticalDpi="18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82827</xdr:colOff>
      <xdr:row>32</xdr:row>
      <xdr:rowOff>111815</xdr:rowOff>
    </xdr:from>
    <xdr:to>
      <xdr:col>15</xdr:col>
      <xdr:colOff>540027</xdr:colOff>
      <xdr:row>52</xdr:row>
      <xdr:rowOff>105189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534428</xdr:colOff>
      <xdr:row>0</xdr:row>
      <xdr:rowOff>183029</xdr:rowOff>
    </xdr:from>
    <xdr:to>
      <xdr:col>16</xdr:col>
      <xdr:colOff>0</xdr:colOff>
      <xdr:row>1</xdr:row>
      <xdr:rowOff>98237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D4EA56-21E4-4680-AAC8-DED7E76CA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22" y="183029"/>
          <a:ext cx="1461780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  <sheetName val="eq"/>
      <sheetName val="mo"/>
      <sheetName val="Mat Asf"/>
      <sheetName val="Desmat 0,15"/>
      <sheetName val="alteração"/>
      <sheetName val="curvas_tratamento"/>
      <sheetName val="Defensas_necessidades"/>
      <sheetName val="sin_vertical_necessidades"/>
      <sheetName val="tachas_necessidades"/>
      <sheetName val="pro-08"/>
      <sheetName val="OAC_NPAV"/>
      <sheetName val="#REF"/>
      <sheetName val="RESUMO-DVOP"/>
      <sheetName val="planilha"/>
      <sheetName val="Tabela mês"/>
      <sheetName val="REAJU"/>
      <sheetName val="planilha do plano"/>
      <sheetName val="CUSTO HORÁRIO"/>
      <sheetName val="Material"/>
      <sheetName val="Mão de obra"/>
      <sheetName val="relatório"/>
      <sheetName val="A"/>
      <sheetName val="Pontes"/>
      <sheetName val="PROJETO"/>
      <sheetName val="DADOS"/>
      <sheetName val="mat"/>
      <sheetName val="Quadro Geral"/>
      <sheetName val="RELATORIO MENSAL ACOMP SERV CON"/>
      <sheetName val="DER janeiro98"/>
      <sheetName val="61M-CBMI"/>
      <sheetName val="P reaj x P atual"/>
      <sheetName val="PRANCHA"/>
      <sheetName val="SNV (2)"/>
      <sheetName val="f. mediçao"/>
      <sheetName val="fresagem de pista ago-98"/>
      <sheetName val="TPU-MARÇO_2002"/>
      <sheetName val="RESUMO"/>
      <sheetName val="ORÇAMENTO"/>
      <sheetName val="COMP"/>
      <sheetName val="CRONOGRAMA (8 MESES)"/>
      <sheetName val="CURVA ABC"/>
      <sheetName val="Mapa de Cotação"/>
      <sheetName val="BDI 21,35 NÃO DESONERADO "/>
      <sheetName val="Mobilização"/>
      <sheetName val="Página 15"/>
      <sheetName val="INVENTÁRIO"/>
      <sheetName val="medi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2">
          <cell r="A12">
            <v>1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  <sheetData sheetId="102" refreshError="1"/>
      <sheetData sheetId="103"/>
      <sheetData sheetId="104"/>
      <sheetData sheetId="105">
        <row r="3">
          <cell r="A3" t="str">
            <v>LOCAL: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08FC-B5DF-456B-82CF-AB3425CF5DD4}">
  <sheetPr>
    <tabColor rgb="FF00B050"/>
    <pageSetUpPr fitToPage="1"/>
  </sheetPr>
  <dimension ref="B1:BM60"/>
  <sheetViews>
    <sheetView showGridLines="0" tabSelected="1" view="pageBreakPreview" zoomScale="85" zoomScaleNormal="85" zoomScaleSheetLayoutView="85" workbookViewId="0">
      <selection activeCell="BC10" sqref="BC10"/>
    </sheetView>
  </sheetViews>
  <sheetFormatPr defaultColWidth="11.77734375" defaultRowHeight="13.2" x14ac:dyDescent="0.25"/>
  <cols>
    <col min="1" max="1" width="3.33203125" style="2" customWidth="1"/>
    <col min="2" max="7" width="9.5546875" style="2" customWidth="1"/>
    <col min="8" max="8" width="11.77734375" style="2" customWidth="1"/>
    <col min="9" max="9" width="9.5546875" style="2" customWidth="1"/>
    <col min="10" max="10" width="10.44140625" style="2" customWidth="1"/>
    <col min="11" max="15" width="9.5546875" style="2" customWidth="1"/>
    <col min="16" max="16" width="9.77734375" style="2" customWidth="1"/>
    <col min="17" max="49" width="20.109375" style="2" hidden="1" customWidth="1"/>
    <col min="50" max="50" width="39.5546875" style="2" hidden="1" customWidth="1"/>
    <col min="51" max="52" width="20.109375" style="2" hidden="1" customWidth="1"/>
    <col min="53" max="53" width="20.109375" style="2" customWidth="1"/>
    <col min="54" max="54" width="11.6640625" style="2" customWidth="1"/>
    <col min="55" max="55" width="11.77734375" style="2"/>
    <col min="56" max="56" width="14.21875" style="2" bestFit="1" customWidth="1"/>
    <col min="57" max="59" width="11.77734375" style="2"/>
    <col min="60" max="65" width="11.77734375" style="3"/>
    <col min="66" max="16384" width="11.77734375" style="2"/>
  </cols>
  <sheetData>
    <row r="1" spans="2:56" ht="66" customHeight="1" x14ac:dyDescent="0.25">
      <c r="B1" s="63" t="s">
        <v>46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2:56" ht="12.45" customHeight="1" x14ac:dyDescent="0.25"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2:56" ht="30" customHeight="1" x14ac:dyDescent="0.25">
      <c r="B3" s="61" t="s">
        <v>50</v>
      </c>
      <c r="C3" s="61"/>
      <c r="D3" s="61"/>
      <c r="E3" s="61"/>
      <c r="F3" s="61"/>
      <c r="G3" s="61"/>
      <c r="H3" s="61"/>
      <c r="I3" s="62" t="s">
        <v>47</v>
      </c>
      <c r="J3" s="62"/>
      <c r="K3" s="62"/>
      <c r="L3" s="62"/>
      <c r="M3" s="62"/>
      <c r="N3" s="62"/>
      <c r="O3" s="62"/>
      <c r="P3" s="62"/>
    </row>
    <row r="4" spans="2:56" ht="30" customHeight="1" x14ac:dyDescent="0.25">
      <c r="B4" s="62" t="s">
        <v>53</v>
      </c>
      <c r="C4" s="62"/>
      <c r="D4" s="62"/>
      <c r="E4" s="62"/>
      <c r="F4" s="62"/>
      <c r="G4" s="62"/>
      <c r="H4" s="62"/>
      <c r="I4" s="62" t="s">
        <v>48</v>
      </c>
      <c r="J4" s="62"/>
      <c r="K4" s="62"/>
      <c r="L4" s="62"/>
      <c r="M4" s="62"/>
      <c r="N4" s="62"/>
      <c r="O4" s="62"/>
      <c r="P4" s="62"/>
    </row>
    <row r="5" spans="2:56" ht="31.5" customHeight="1" x14ac:dyDescent="0.25">
      <c r="B5" s="42" t="s">
        <v>49</v>
      </c>
      <c r="C5" s="42"/>
      <c r="D5" s="42"/>
      <c r="E5" s="42"/>
      <c r="F5" s="42"/>
      <c r="G5" s="42"/>
      <c r="H5" s="42"/>
      <c r="I5" s="42" t="s">
        <v>52</v>
      </c>
      <c r="J5" s="42"/>
      <c r="K5" s="42"/>
      <c r="L5" s="42"/>
      <c r="M5" s="42"/>
      <c r="N5" s="42"/>
      <c r="O5" s="42"/>
      <c r="P5" s="42"/>
    </row>
    <row r="6" spans="2:56" ht="15" customHeight="1" x14ac:dyDescent="0.25"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</row>
    <row r="7" spans="2:56" s="3" customFormat="1" ht="30" customHeight="1" x14ac:dyDescent="0.25">
      <c r="B7" s="86" t="s">
        <v>0</v>
      </c>
      <c r="C7" s="87"/>
      <c r="D7" s="87"/>
      <c r="E7" s="87"/>
      <c r="F7" s="88"/>
      <c r="G7" s="16" t="s">
        <v>1</v>
      </c>
      <c r="H7" s="6"/>
      <c r="I7" s="89"/>
      <c r="J7" s="89"/>
      <c r="K7" s="89"/>
      <c r="L7" s="89"/>
      <c r="M7" s="89"/>
      <c r="N7" s="89"/>
      <c r="O7" s="89"/>
      <c r="P7" s="90"/>
    </row>
    <row r="8" spans="2:56" s="3" customFormat="1" ht="30" customHeight="1" x14ac:dyDescent="0.25">
      <c r="B8" s="86" t="s">
        <v>2</v>
      </c>
      <c r="C8" s="91"/>
      <c r="D8" s="91"/>
      <c r="E8" s="91"/>
      <c r="F8" s="92"/>
      <c r="G8" s="16" t="s">
        <v>3</v>
      </c>
      <c r="H8" s="6"/>
      <c r="I8" s="93"/>
      <c r="J8" s="93"/>
      <c r="K8" s="93"/>
      <c r="L8" s="93"/>
      <c r="M8" s="93"/>
      <c r="N8" s="93"/>
      <c r="O8" s="93"/>
      <c r="P8" s="94"/>
    </row>
    <row r="9" spans="2:56" s="3" customFormat="1" ht="30" customHeight="1" x14ac:dyDescent="0.25">
      <c r="B9" s="53" t="s">
        <v>4</v>
      </c>
      <c r="C9" s="54"/>
      <c r="D9" s="54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6"/>
    </row>
    <row r="10" spans="2:56" s="3" customFormat="1" ht="30" customHeight="1" x14ac:dyDescent="0.25">
      <c r="B10" s="53" t="s">
        <v>5</v>
      </c>
      <c r="C10" s="54"/>
      <c r="D10" s="54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6"/>
    </row>
    <row r="11" spans="2:56" s="3" customFormat="1" ht="30" customHeight="1" x14ac:dyDescent="0.25">
      <c r="B11" s="56" t="s">
        <v>6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BA11" s="7"/>
      <c r="BB11" s="7"/>
      <c r="BC11" s="8"/>
      <c r="BD11" s="9"/>
    </row>
    <row r="12" spans="2:56" s="3" customFormat="1" ht="30" customHeight="1" x14ac:dyDescent="0.25">
      <c r="B12" s="64" t="s">
        <v>40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BA12" s="7"/>
      <c r="BB12" s="7"/>
      <c r="BC12" s="8"/>
      <c r="BD12" s="9"/>
    </row>
    <row r="13" spans="2:56" s="3" customFormat="1" ht="30" customHeight="1" x14ac:dyDescent="0.25">
      <c r="B13" s="68" t="s">
        <v>41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BA13" s="7"/>
      <c r="BB13" s="7"/>
      <c r="BC13" s="8"/>
      <c r="BD13" s="9"/>
    </row>
    <row r="14" spans="2:56" s="3" customFormat="1" ht="30" customHeight="1" x14ac:dyDescent="0.25">
      <c r="B14" s="56" t="s">
        <v>7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S14" s="65" t="str">
        <f>AX22</f>
        <v>FAIXA "B" DNIT 031/2006</v>
      </c>
      <c r="T14" s="65"/>
      <c r="U14" s="65" t="str">
        <f>AX23</f>
        <v>FAIXA "C" DNIT 031/2006</v>
      </c>
      <c r="V14" s="65"/>
      <c r="W14" s="65" t="str">
        <f>AX24</f>
        <v>FAIXA III DERSA ET-P00/027</v>
      </c>
      <c r="X14" s="65"/>
      <c r="Y14" s="65" t="str">
        <f>AX25</f>
        <v>FAIXA IV DERSA ET-P00/027</v>
      </c>
      <c r="Z14" s="65"/>
      <c r="AA14" s="65" t="str">
        <f>AX26</f>
        <v>FAIXA II DERSP CCR ES-E-002-R12</v>
      </c>
      <c r="AB14" s="65"/>
      <c r="AC14" s="65" t="str">
        <f>AX27</f>
        <v>FAIXA EGL BN CCR ES-E-002-R12</v>
      </c>
      <c r="AD14" s="65"/>
      <c r="AE14" s="65" t="str">
        <f>AX28</f>
        <v>FAIXA DNIT B CCR ES-E-002-R12</v>
      </c>
      <c r="AF14" s="65"/>
      <c r="AG14" s="65" t="str">
        <f>AX29</f>
        <v>FAIXA EGL 19 CCR ES-E-002-R12</v>
      </c>
      <c r="AH14" s="65"/>
      <c r="AI14" s="65" t="str">
        <f>AX30</f>
        <v>FAIXA EGL 12,5 CCR ES-E-002-R12</v>
      </c>
      <c r="AJ14" s="65"/>
      <c r="AK14" s="65" t="str">
        <f>AX31</f>
        <v>FAIXA III DER-SP CCR ES-E-002-R12</v>
      </c>
      <c r="AL14" s="65"/>
      <c r="AM14" s="65" t="str">
        <f>AX32</f>
        <v>FAIXA III DERSA CCR ES-E-002-R12</v>
      </c>
      <c r="AN14" s="65"/>
      <c r="AO14" s="65" t="str">
        <f>AX33</f>
        <v>FAIXA ELG 9,5 CCR ES-E-002-R12</v>
      </c>
      <c r="AP14" s="65"/>
      <c r="AQ14" s="65" t="str">
        <f>AX34</f>
        <v>FAIXA IV DERSASP CCR ES-E-002-R12</v>
      </c>
      <c r="AR14" s="65"/>
      <c r="AS14" s="65">
        <f>AX35</f>
        <v>0</v>
      </c>
      <c r="AT14" s="65"/>
      <c r="AU14" s="65" t="s">
        <v>8</v>
      </c>
      <c r="AV14" s="65"/>
      <c r="BA14" s="7"/>
      <c r="BB14" s="7"/>
      <c r="BC14" s="8"/>
      <c r="BD14" s="9"/>
    </row>
    <row r="15" spans="2:56" s="3" customFormat="1" ht="22.5" customHeight="1" x14ac:dyDescent="0.25">
      <c r="B15" s="66" t="s">
        <v>9</v>
      </c>
      <c r="C15" s="66"/>
      <c r="D15" s="67" t="s">
        <v>29</v>
      </c>
      <c r="E15" s="67"/>
      <c r="F15" s="67"/>
      <c r="G15" s="67"/>
      <c r="H15" s="67" t="s">
        <v>30</v>
      </c>
      <c r="I15" s="67"/>
      <c r="J15" s="67"/>
      <c r="K15" s="67"/>
      <c r="L15" s="11" t="s">
        <v>37</v>
      </c>
      <c r="M15" s="66" t="s">
        <v>12</v>
      </c>
      <c r="N15" s="66"/>
      <c r="O15" s="66"/>
      <c r="P15" s="66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BA15" s="7"/>
      <c r="BB15" s="7"/>
      <c r="BC15" s="8"/>
      <c r="BD15" s="9"/>
    </row>
    <row r="16" spans="2:56" ht="17.25" customHeight="1" x14ac:dyDescent="0.25">
      <c r="B16" s="66"/>
      <c r="C16" s="66"/>
      <c r="D16" s="12" t="s">
        <v>10</v>
      </c>
      <c r="E16" s="12" t="s">
        <v>10</v>
      </c>
      <c r="F16" s="12" t="s">
        <v>13</v>
      </c>
      <c r="G16" s="12"/>
      <c r="H16" s="12" t="s">
        <v>10</v>
      </c>
      <c r="I16" s="12" t="s">
        <v>10</v>
      </c>
      <c r="J16" s="12" t="s">
        <v>13</v>
      </c>
      <c r="K16" s="12"/>
      <c r="L16" s="36"/>
      <c r="M16" s="66"/>
      <c r="N16" s="66"/>
      <c r="O16" s="66"/>
      <c r="P16" s="66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BA16" s="7"/>
      <c r="BB16" s="7"/>
      <c r="BC16" s="8"/>
      <c r="BD16" s="9"/>
    </row>
    <row r="17" spans="2:65" ht="17.25" customHeight="1" x14ac:dyDescent="0.25">
      <c r="B17" s="66"/>
      <c r="C17" s="66"/>
      <c r="D17" s="12" t="s">
        <v>13</v>
      </c>
      <c r="E17" s="12" t="s">
        <v>13</v>
      </c>
      <c r="F17" s="12" t="s">
        <v>15</v>
      </c>
      <c r="G17" s="12" t="s">
        <v>14</v>
      </c>
      <c r="H17" s="12" t="s">
        <v>13</v>
      </c>
      <c r="I17" s="12" t="s">
        <v>13</v>
      </c>
      <c r="J17" s="12" t="s">
        <v>15</v>
      </c>
      <c r="K17" s="12" t="s">
        <v>14</v>
      </c>
      <c r="L17" s="13" t="s">
        <v>14</v>
      </c>
      <c r="M17" s="78" t="s">
        <v>77</v>
      </c>
      <c r="N17" s="78"/>
      <c r="O17" s="78"/>
      <c r="P17" s="78"/>
      <c r="R17" s="5">
        <f>VLOOKUP(M19,AX22:AY34,2,0)</f>
        <v>19</v>
      </c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BA17" s="7"/>
      <c r="BB17" s="7"/>
      <c r="BC17" s="8"/>
      <c r="BD17" s="9"/>
    </row>
    <row r="18" spans="2:65" ht="17.25" customHeight="1" x14ac:dyDescent="0.25">
      <c r="B18" s="66"/>
      <c r="C18" s="66"/>
      <c r="D18" s="12"/>
      <c r="E18" s="12" t="s">
        <v>15</v>
      </c>
      <c r="F18" s="12"/>
      <c r="G18" s="12"/>
      <c r="H18" s="12"/>
      <c r="I18" s="12" t="s">
        <v>15</v>
      </c>
      <c r="J18" s="12"/>
      <c r="K18" s="12"/>
      <c r="L18" s="13"/>
      <c r="M18" s="78"/>
      <c r="N18" s="78"/>
      <c r="O18" s="78"/>
      <c r="P18" s="78"/>
      <c r="R18" s="5">
        <f>R17+1</f>
        <v>20</v>
      </c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BA18" s="7"/>
      <c r="BB18" s="7"/>
      <c r="BC18" s="8"/>
      <c r="BD18" s="9"/>
    </row>
    <row r="19" spans="2:65" ht="21" customHeight="1" x14ac:dyDescent="0.25">
      <c r="B19" s="14" t="s">
        <v>16</v>
      </c>
      <c r="C19" s="14" t="s">
        <v>17</v>
      </c>
      <c r="D19" s="15" t="s">
        <v>18</v>
      </c>
      <c r="E19" s="15" t="s">
        <v>18</v>
      </c>
      <c r="F19" s="15" t="s">
        <v>11</v>
      </c>
      <c r="G19" s="15" t="s">
        <v>11</v>
      </c>
      <c r="H19" s="15" t="s">
        <v>18</v>
      </c>
      <c r="I19" s="15" t="s">
        <v>18</v>
      </c>
      <c r="J19" s="15" t="s">
        <v>11</v>
      </c>
      <c r="K19" s="15" t="s">
        <v>11</v>
      </c>
      <c r="L19" s="37" t="s">
        <v>11</v>
      </c>
      <c r="M19" s="76" t="s">
        <v>67</v>
      </c>
      <c r="N19" s="76"/>
      <c r="O19" s="77" t="s">
        <v>28</v>
      </c>
      <c r="P19" s="77"/>
      <c r="S19" s="5">
        <v>1</v>
      </c>
      <c r="T19" s="5">
        <f>S19+1</f>
        <v>2</v>
      </c>
      <c r="U19" s="5">
        <f t="shared" ref="U19:AT19" si="0">T19+1</f>
        <v>3</v>
      </c>
      <c r="V19" s="5">
        <f t="shared" si="0"/>
        <v>4</v>
      </c>
      <c r="W19" s="5">
        <f t="shared" si="0"/>
        <v>5</v>
      </c>
      <c r="X19" s="5">
        <f t="shared" si="0"/>
        <v>6</v>
      </c>
      <c r="Y19" s="5">
        <f t="shared" si="0"/>
        <v>7</v>
      </c>
      <c r="Z19" s="5">
        <f t="shared" si="0"/>
        <v>8</v>
      </c>
      <c r="AA19" s="5">
        <f t="shared" si="0"/>
        <v>9</v>
      </c>
      <c r="AB19" s="5">
        <f t="shared" si="0"/>
        <v>10</v>
      </c>
      <c r="AC19" s="5">
        <f t="shared" si="0"/>
        <v>11</v>
      </c>
      <c r="AD19" s="5">
        <f t="shared" si="0"/>
        <v>12</v>
      </c>
      <c r="AE19" s="5">
        <f t="shared" si="0"/>
        <v>13</v>
      </c>
      <c r="AF19" s="5">
        <f t="shared" si="0"/>
        <v>14</v>
      </c>
      <c r="AG19" s="5">
        <f t="shared" si="0"/>
        <v>15</v>
      </c>
      <c r="AH19" s="5">
        <f t="shared" si="0"/>
        <v>16</v>
      </c>
      <c r="AI19" s="5">
        <f t="shared" si="0"/>
        <v>17</v>
      </c>
      <c r="AJ19" s="5">
        <f t="shared" si="0"/>
        <v>18</v>
      </c>
      <c r="AK19" s="5">
        <f t="shared" si="0"/>
        <v>19</v>
      </c>
      <c r="AL19" s="5">
        <f t="shared" si="0"/>
        <v>20</v>
      </c>
      <c r="AM19" s="5">
        <f t="shared" si="0"/>
        <v>21</v>
      </c>
      <c r="AN19" s="5">
        <f t="shared" si="0"/>
        <v>22</v>
      </c>
      <c r="AO19" s="5">
        <f t="shared" si="0"/>
        <v>23</v>
      </c>
      <c r="AP19" s="5">
        <f t="shared" si="0"/>
        <v>24</v>
      </c>
      <c r="AQ19" s="5">
        <f t="shared" si="0"/>
        <v>25</v>
      </c>
      <c r="AR19" s="5">
        <f t="shared" si="0"/>
        <v>26</v>
      </c>
      <c r="AS19" s="5">
        <f t="shared" si="0"/>
        <v>27</v>
      </c>
      <c r="AT19" s="5">
        <f t="shared" si="0"/>
        <v>28</v>
      </c>
      <c r="BA19" s="7"/>
      <c r="BB19" s="7"/>
      <c r="BC19" s="8"/>
      <c r="BD19" s="9"/>
    </row>
    <row r="20" spans="2:65" ht="17.25" customHeight="1" x14ac:dyDescent="0.25">
      <c r="B20" s="69" t="s">
        <v>24</v>
      </c>
      <c r="C20" s="70"/>
      <c r="D20" s="71"/>
      <c r="E20" s="72"/>
      <c r="F20" s="16"/>
      <c r="G20" s="6"/>
      <c r="H20" s="73"/>
      <c r="I20" s="74"/>
      <c r="J20" s="51"/>
      <c r="K20" s="52"/>
      <c r="L20" s="38"/>
      <c r="M20" s="76"/>
      <c r="N20" s="76"/>
      <c r="O20" s="77"/>
      <c r="P20" s="77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BA20" s="79" t="s">
        <v>78</v>
      </c>
      <c r="BB20" s="79" t="s">
        <v>79</v>
      </c>
      <c r="BC20" s="8"/>
      <c r="BD20" s="80" t="s">
        <v>80</v>
      </c>
      <c r="BE20" s="80"/>
    </row>
    <row r="21" spans="2:65" s="23" customFormat="1" ht="17.25" customHeight="1" x14ac:dyDescent="0.25">
      <c r="B21" s="17" t="s">
        <v>36</v>
      </c>
      <c r="C21" s="18">
        <v>25.4</v>
      </c>
      <c r="D21" s="1"/>
      <c r="E21" s="19" t="str">
        <f>IF(D21="","",D21+E20)</f>
        <v/>
      </c>
      <c r="F21" s="20" t="str">
        <f>IF(D21="","",(E21/$D$31)*100)</f>
        <v/>
      </c>
      <c r="G21" s="21" t="str">
        <f>IF(D21="","",100-F21)</f>
        <v/>
      </c>
      <c r="H21" s="1"/>
      <c r="I21" s="19" t="str">
        <f>IF(H21="","",H21+I20)</f>
        <v/>
      </c>
      <c r="J21" s="20" t="str">
        <f>IF(H21="","",(I21/$H$31)*100)</f>
        <v/>
      </c>
      <c r="K21" s="21" t="str">
        <f>IF(H21="","",100-J21)</f>
        <v/>
      </c>
      <c r="L21" s="22" t="str">
        <f>IFERROR(AVERAGE(G21,K21),"")</f>
        <v/>
      </c>
      <c r="M21" s="19">
        <f>IF($M$19="","",HLOOKUP($R$17,$S$19:$AT$29,3))</f>
        <v>100</v>
      </c>
      <c r="N21" s="19">
        <f>IF($M$19="","",HLOOKUP($R$18,$S$19:$AT$29,3))</f>
        <v>100</v>
      </c>
      <c r="O21" s="19">
        <f>IF($M$19="","",HLOOKUP($R$36,$S$38:$AT$48,3))</f>
        <v>100</v>
      </c>
      <c r="P21" s="19">
        <f>IF($M$19="","",HLOOKUP($R$37,$S$38:$AT$48,3))</f>
        <v>100</v>
      </c>
      <c r="R21" s="24">
        <f t="shared" ref="R21:R29" si="1">C21</f>
        <v>25.4</v>
      </c>
      <c r="S21" s="25">
        <v>95</v>
      </c>
      <c r="T21" s="25">
        <v>100</v>
      </c>
      <c r="U21" s="25">
        <v>100</v>
      </c>
      <c r="V21" s="25">
        <v>100</v>
      </c>
      <c r="W21" s="25">
        <v>100</v>
      </c>
      <c r="X21" s="25">
        <v>100</v>
      </c>
      <c r="Y21" s="25">
        <v>100</v>
      </c>
      <c r="Z21" s="25">
        <v>100</v>
      </c>
      <c r="AA21" s="25">
        <v>90</v>
      </c>
      <c r="AB21" s="25">
        <v>100</v>
      </c>
      <c r="AC21" s="25">
        <v>70</v>
      </c>
      <c r="AD21" s="25">
        <v>90</v>
      </c>
      <c r="AE21" s="25">
        <v>95</v>
      </c>
      <c r="AF21" s="25">
        <v>100</v>
      </c>
      <c r="AG21" s="25">
        <v>100</v>
      </c>
      <c r="AH21" s="25">
        <v>100</v>
      </c>
      <c r="AI21" s="25">
        <v>100</v>
      </c>
      <c r="AJ21" s="25">
        <v>100</v>
      </c>
      <c r="AK21" s="25">
        <v>100</v>
      </c>
      <c r="AL21" s="25">
        <v>100</v>
      </c>
      <c r="AM21" s="25">
        <v>100</v>
      </c>
      <c r="AN21" s="25">
        <v>100</v>
      </c>
      <c r="AO21" s="25">
        <v>100</v>
      </c>
      <c r="AP21" s="25">
        <v>100</v>
      </c>
      <c r="AQ21" s="25">
        <v>100</v>
      </c>
      <c r="AR21" s="25">
        <v>100</v>
      </c>
      <c r="AS21" s="25"/>
      <c r="AT21" s="25"/>
      <c r="AU21" s="26">
        <f t="shared" ref="AU21:AU29" si="2">AV21*-1</f>
        <v>-7</v>
      </c>
      <c r="AV21" s="26">
        <v>7</v>
      </c>
      <c r="AX21" s="75" t="s">
        <v>19</v>
      </c>
      <c r="AY21" s="75"/>
      <c r="AZ21" s="2"/>
      <c r="BA21" s="81" t="str">
        <f>B21</f>
        <v>1</v>
      </c>
      <c r="BB21" s="27" t="e">
        <f t="shared" ref="BB21:BB29" si="3">G21-K21</f>
        <v>#VALUE!</v>
      </c>
      <c r="BC21" s="8"/>
      <c r="BD21" s="82" t="str">
        <f>D15</f>
        <v>Amostra 01</v>
      </c>
      <c r="BE21" s="83" t="str">
        <f>H15</f>
        <v>Amostra 02</v>
      </c>
      <c r="BH21" s="3"/>
      <c r="BI21" s="3"/>
      <c r="BJ21" s="3"/>
      <c r="BK21" s="3"/>
      <c r="BL21" s="3"/>
      <c r="BM21" s="3"/>
    </row>
    <row r="22" spans="2:65" s="23" customFormat="1" ht="17.25" customHeight="1" x14ac:dyDescent="0.25">
      <c r="B22" s="17" t="s">
        <v>35</v>
      </c>
      <c r="C22" s="18">
        <v>19.100000000000001</v>
      </c>
      <c r="D22" s="1"/>
      <c r="E22" s="19" t="str">
        <f t="shared" ref="E22:E30" si="4">IF(D22="","",D22+E21)</f>
        <v/>
      </c>
      <c r="F22" s="20" t="str">
        <f t="shared" ref="F22:F30" si="5">IF(D22="","",(E22/$D$31)*100)</f>
        <v/>
      </c>
      <c r="G22" s="21" t="str">
        <f t="shared" ref="G22:G29" si="6">IF(D22="","",100-F22)</f>
        <v/>
      </c>
      <c r="H22" s="1"/>
      <c r="I22" s="19" t="str">
        <f t="shared" ref="I22:I30" si="7">IF(H22="","",H22+I21)</f>
        <v/>
      </c>
      <c r="J22" s="20" t="str">
        <f t="shared" ref="J22:J30" si="8">IF(H22="","",(I22/$H$31)*100)</f>
        <v/>
      </c>
      <c r="K22" s="21" t="str">
        <f t="shared" ref="K22:K29" si="9">IF(H22="","",100-J22)</f>
        <v/>
      </c>
      <c r="L22" s="22" t="str">
        <f t="shared" ref="L22:L29" si="10">IFERROR(AVERAGE(G22,K22),"")</f>
        <v/>
      </c>
      <c r="M22" s="19">
        <f>IF($M$19="","",HLOOKUP($R$17,$S$19:$AT$29,4))</f>
        <v>100</v>
      </c>
      <c r="N22" s="19">
        <f>IF($M$19="","",HLOOKUP($R$18,$S$19:$AT$29,4))</f>
        <v>100</v>
      </c>
      <c r="O22" s="19">
        <f>IF($M$19="","",HLOOKUP($R$36,$S$38:$AT$48,4))</f>
        <v>100</v>
      </c>
      <c r="P22" s="19">
        <f>IF($M$19="","",HLOOKUP($R$37,$S$38:$AT$48,4))</f>
        <v>100</v>
      </c>
      <c r="R22" s="24">
        <f t="shared" si="1"/>
        <v>19.100000000000001</v>
      </c>
      <c r="S22" s="25">
        <v>80</v>
      </c>
      <c r="T22" s="25">
        <v>100</v>
      </c>
      <c r="U22" s="25">
        <v>100</v>
      </c>
      <c r="V22" s="25">
        <v>100</v>
      </c>
      <c r="W22" s="25">
        <v>100</v>
      </c>
      <c r="X22" s="25">
        <v>100</v>
      </c>
      <c r="Y22" s="25">
        <v>100</v>
      </c>
      <c r="Z22" s="25">
        <v>100</v>
      </c>
      <c r="AA22" s="25">
        <v>80</v>
      </c>
      <c r="AB22" s="25">
        <v>100</v>
      </c>
      <c r="AC22" s="25">
        <v>50</v>
      </c>
      <c r="AD22" s="25">
        <v>80</v>
      </c>
      <c r="AE22" s="25">
        <v>89</v>
      </c>
      <c r="AF22" s="25">
        <v>100</v>
      </c>
      <c r="AG22" s="25">
        <v>90</v>
      </c>
      <c r="AH22" s="25">
        <v>100</v>
      </c>
      <c r="AI22" s="25">
        <v>100</v>
      </c>
      <c r="AJ22" s="25">
        <v>100</v>
      </c>
      <c r="AK22" s="25">
        <v>100</v>
      </c>
      <c r="AL22" s="25">
        <v>100</v>
      </c>
      <c r="AM22" s="25">
        <v>100</v>
      </c>
      <c r="AN22" s="25">
        <v>100</v>
      </c>
      <c r="AO22" s="25">
        <v>100</v>
      </c>
      <c r="AP22" s="25">
        <v>100</v>
      </c>
      <c r="AQ22" s="25">
        <v>100</v>
      </c>
      <c r="AR22" s="25">
        <v>100</v>
      </c>
      <c r="AS22" s="25"/>
      <c r="AT22" s="25"/>
      <c r="AU22" s="26">
        <f t="shared" si="2"/>
        <v>-7</v>
      </c>
      <c r="AV22" s="26">
        <v>7</v>
      </c>
      <c r="AX22" s="35" t="s">
        <v>68</v>
      </c>
      <c r="AY22" s="4">
        <v>1</v>
      </c>
      <c r="AZ22" s="2"/>
      <c r="BA22" s="81" t="str">
        <f t="shared" ref="BA22:BA28" si="11">B22</f>
        <v>3/4</v>
      </c>
      <c r="BB22" s="27" t="e">
        <f t="shared" si="3"/>
        <v>#VALUE!</v>
      </c>
      <c r="BC22" s="8"/>
      <c r="BD22" s="84">
        <f>H20-H31</f>
        <v>0</v>
      </c>
      <c r="BE22" s="82">
        <f>D20-D31</f>
        <v>0</v>
      </c>
      <c r="BH22" s="3"/>
      <c r="BI22" s="3"/>
      <c r="BJ22" s="3"/>
      <c r="BK22" s="3"/>
      <c r="BL22" s="3"/>
      <c r="BM22" s="3"/>
    </row>
    <row r="23" spans="2:65" s="23" customFormat="1" ht="17.25" customHeight="1" x14ac:dyDescent="0.25">
      <c r="B23" s="17" t="s">
        <v>34</v>
      </c>
      <c r="C23" s="18">
        <v>12.7</v>
      </c>
      <c r="D23" s="1"/>
      <c r="E23" s="19" t="str">
        <f t="shared" si="4"/>
        <v/>
      </c>
      <c r="F23" s="20" t="str">
        <f t="shared" si="5"/>
        <v/>
      </c>
      <c r="G23" s="21" t="str">
        <f t="shared" si="6"/>
        <v/>
      </c>
      <c r="H23" s="1"/>
      <c r="I23" s="19" t="str">
        <f t="shared" si="7"/>
        <v/>
      </c>
      <c r="J23" s="20" t="str">
        <f t="shared" si="8"/>
        <v/>
      </c>
      <c r="K23" s="21" t="str">
        <f t="shared" si="9"/>
        <v/>
      </c>
      <c r="L23" s="22" t="str">
        <f t="shared" si="10"/>
        <v/>
      </c>
      <c r="M23" s="19">
        <f>IF($M$19="","",HLOOKUP($R$17,$S$19:$AT$29,5))</f>
        <v>80</v>
      </c>
      <c r="N23" s="19">
        <f>IF($M$19="","",HLOOKUP($R$18,$S$19:$AT$29,5))</f>
        <v>100</v>
      </c>
      <c r="O23" s="19">
        <f>IF($M$19="","",HLOOKUP($R$36,$S$38:$AT$48,5))</f>
        <v>90</v>
      </c>
      <c r="P23" s="19">
        <f>IF($M$19="","",HLOOKUP($R$37,$S$38:$AT$48,5))</f>
        <v>100</v>
      </c>
      <c r="R23" s="24">
        <f t="shared" si="1"/>
        <v>12.7</v>
      </c>
      <c r="S23" s="25"/>
      <c r="T23" s="25"/>
      <c r="U23" s="25">
        <v>80</v>
      </c>
      <c r="V23" s="25">
        <v>100</v>
      </c>
      <c r="W23" s="25">
        <v>90</v>
      </c>
      <c r="X23" s="25">
        <v>100</v>
      </c>
      <c r="Y23" s="25">
        <v>100</v>
      </c>
      <c r="Z23" s="25">
        <v>100</v>
      </c>
      <c r="AA23" s="25"/>
      <c r="AB23" s="25"/>
      <c r="AC23" s="25">
        <v>40</v>
      </c>
      <c r="AD23" s="25">
        <v>70</v>
      </c>
      <c r="AE23" s="25"/>
      <c r="AF23" s="25"/>
      <c r="AG23" s="25">
        <v>70</v>
      </c>
      <c r="AH23" s="25">
        <v>90</v>
      </c>
      <c r="AI23" s="25">
        <v>90</v>
      </c>
      <c r="AJ23" s="25">
        <v>100</v>
      </c>
      <c r="AK23" s="25">
        <v>80</v>
      </c>
      <c r="AL23" s="25">
        <v>100</v>
      </c>
      <c r="AM23" s="25">
        <v>80</v>
      </c>
      <c r="AN23" s="25">
        <v>100</v>
      </c>
      <c r="AO23" s="25">
        <v>100</v>
      </c>
      <c r="AP23" s="25">
        <v>100</v>
      </c>
      <c r="AQ23" s="25">
        <v>100</v>
      </c>
      <c r="AR23" s="25">
        <v>100</v>
      </c>
      <c r="AS23" s="25"/>
      <c r="AT23" s="25"/>
      <c r="AU23" s="26">
        <f t="shared" si="2"/>
        <v>-7</v>
      </c>
      <c r="AV23" s="26">
        <v>7</v>
      </c>
      <c r="AX23" s="35" t="s">
        <v>56</v>
      </c>
      <c r="AY23" s="29">
        <f>AY22+2</f>
        <v>3</v>
      </c>
      <c r="AZ23" s="2"/>
      <c r="BA23" s="81" t="str">
        <f t="shared" si="11"/>
        <v>1/2</v>
      </c>
      <c r="BB23" s="27" t="e">
        <f t="shared" si="3"/>
        <v>#VALUE!</v>
      </c>
      <c r="BD23" s="85" t="e">
        <f>(BD22/D20)</f>
        <v>#DIV/0!</v>
      </c>
      <c r="BE23" s="85" t="e">
        <f>BE22/H20</f>
        <v>#DIV/0!</v>
      </c>
      <c r="BG23" s="3"/>
      <c r="BH23" s="3"/>
      <c r="BI23" s="3"/>
      <c r="BJ23" s="3"/>
      <c r="BK23" s="3"/>
      <c r="BL23" s="3"/>
    </row>
    <row r="24" spans="2:65" s="23" customFormat="1" ht="17.25" customHeight="1" x14ac:dyDescent="0.25">
      <c r="B24" s="17" t="s">
        <v>25</v>
      </c>
      <c r="C24" s="18">
        <v>9.5</v>
      </c>
      <c r="D24" s="1"/>
      <c r="E24" s="19" t="str">
        <f t="shared" si="4"/>
        <v/>
      </c>
      <c r="F24" s="20" t="str">
        <f t="shared" si="5"/>
        <v/>
      </c>
      <c r="G24" s="21" t="str">
        <f t="shared" si="6"/>
        <v/>
      </c>
      <c r="H24" s="1"/>
      <c r="I24" s="19" t="str">
        <f t="shared" si="7"/>
        <v/>
      </c>
      <c r="J24" s="20" t="str">
        <f t="shared" si="8"/>
        <v/>
      </c>
      <c r="K24" s="21" t="str">
        <f t="shared" si="9"/>
        <v/>
      </c>
      <c r="L24" s="22" t="str">
        <f t="shared" si="10"/>
        <v/>
      </c>
      <c r="M24" s="19">
        <f>IF($M$19="","",HLOOKUP($R$17,$S$19:$AT$29,6))</f>
        <v>70</v>
      </c>
      <c r="N24" s="19">
        <f>IF($M$19="","",HLOOKUP($R$18,$S$19:$AT$29,6))</f>
        <v>90</v>
      </c>
      <c r="O24" s="19">
        <f>IF($M$19="","",HLOOKUP($R$36,$S$38:$AT$48,6))</f>
        <v>74</v>
      </c>
      <c r="P24" s="19">
        <f>IF($M$19="","",HLOOKUP($R$37,$S$38:$AT$48,6))</f>
        <v>88</v>
      </c>
      <c r="R24" s="24">
        <f t="shared" si="1"/>
        <v>9.5</v>
      </c>
      <c r="S24" s="25">
        <v>45</v>
      </c>
      <c r="T24" s="25">
        <v>80</v>
      </c>
      <c r="U24" s="25">
        <v>70</v>
      </c>
      <c r="V24" s="25">
        <v>90</v>
      </c>
      <c r="W24" s="25">
        <v>70</v>
      </c>
      <c r="X24" s="25">
        <v>90</v>
      </c>
      <c r="Y24" s="25">
        <v>100</v>
      </c>
      <c r="Z24" s="25">
        <v>100</v>
      </c>
      <c r="AA24" s="25">
        <v>45</v>
      </c>
      <c r="AB24" s="25">
        <v>80</v>
      </c>
      <c r="AC24" s="25">
        <v>35</v>
      </c>
      <c r="AD24" s="25">
        <v>60</v>
      </c>
      <c r="AE24" s="25">
        <v>45</v>
      </c>
      <c r="AF24" s="25">
        <v>80</v>
      </c>
      <c r="AG24" s="25">
        <v>60</v>
      </c>
      <c r="AH24" s="25">
        <v>80</v>
      </c>
      <c r="AI24" s="25">
        <v>80</v>
      </c>
      <c r="AJ24" s="25">
        <v>95</v>
      </c>
      <c r="AK24" s="25">
        <v>70</v>
      </c>
      <c r="AL24" s="25">
        <v>90</v>
      </c>
      <c r="AM24" s="25">
        <v>70</v>
      </c>
      <c r="AN24" s="25">
        <v>90</v>
      </c>
      <c r="AO24" s="25">
        <v>90</v>
      </c>
      <c r="AP24" s="25">
        <v>100</v>
      </c>
      <c r="AQ24" s="25">
        <v>100</v>
      </c>
      <c r="AR24" s="25">
        <v>100</v>
      </c>
      <c r="AS24" s="25"/>
      <c r="AT24" s="25"/>
      <c r="AU24" s="26">
        <f t="shared" si="2"/>
        <v>-7</v>
      </c>
      <c r="AV24" s="26">
        <v>7</v>
      </c>
      <c r="AX24" s="28" t="s">
        <v>57</v>
      </c>
      <c r="AY24" s="29">
        <f t="shared" ref="AY24:AY34" si="12">AY23+2</f>
        <v>5</v>
      </c>
      <c r="AZ24" s="2"/>
      <c r="BA24" s="81" t="str">
        <f t="shared" si="11"/>
        <v>3/8</v>
      </c>
      <c r="BB24" s="27" t="e">
        <f t="shared" si="3"/>
        <v>#VALUE!</v>
      </c>
      <c r="BG24" s="3"/>
      <c r="BH24" s="3"/>
      <c r="BI24" s="3"/>
      <c r="BJ24" s="3"/>
      <c r="BK24" s="3"/>
      <c r="BL24" s="3"/>
    </row>
    <row r="25" spans="2:65" s="23" customFormat="1" ht="17.25" customHeight="1" x14ac:dyDescent="0.25">
      <c r="B25" s="17" t="s">
        <v>26</v>
      </c>
      <c r="C25" s="30">
        <v>4.8</v>
      </c>
      <c r="D25" s="1"/>
      <c r="E25" s="19" t="str">
        <f t="shared" si="4"/>
        <v/>
      </c>
      <c r="F25" s="20" t="str">
        <f t="shared" si="5"/>
        <v/>
      </c>
      <c r="G25" s="21" t="str">
        <f t="shared" si="6"/>
        <v/>
      </c>
      <c r="H25" s="1"/>
      <c r="I25" s="19" t="str">
        <f t="shared" si="7"/>
        <v/>
      </c>
      <c r="J25" s="20" t="str">
        <f t="shared" si="8"/>
        <v/>
      </c>
      <c r="K25" s="21" t="str">
        <f t="shared" si="9"/>
        <v/>
      </c>
      <c r="L25" s="22" t="str">
        <f t="shared" si="10"/>
        <v/>
      </c>
      <c r="M25" s="19">
        <f>IF($M$19="","",HLOOKUP($R$17,$S$19:$AT$29,7))</f>
        <v>44</v>
      </c>
      <c r="N25" s="19">
        <f>IF($M$19="","",HLOOKUP($R$18,$S$19:$AT$29,7))</f>
        <v>72</v>
      </c>
      <c r="O25" s="19">
        <f>IF($M$19="","",HLOOKUP($R$36,$S$38:$AT$48,7))</f>
        <v>49.6</v>
      </c>
      <c r="P25" s="19">
        <f>IF($M$19="","",HLOOKUP($R$37,$S$38:$AT$48,7))</f>
        <v>59.6</v>
      </c>
      <c r="R25" s="19">
        <f t="shared" si="1"/>
        <v>4.8</v>
      </c>
      <c r="S25" s="25">
        <v>28</v>
      </c>
      <c r="T25" s="25">
        <v>60</v>
      </c>
      <c r="U25" s="25">
        <v>44</v>
      </c>
      <c r="V25" s="25">
        <v>72</v>
      </c>
      <c r="W25" s="25">
        <v>44</v>
      </c>
      <c r="X25" s="25">
        <v>72</v>
      </c>
      <c r="Y25" s="25">
        <v>80</v>
      </c>
      <c r="Z25" s="25">
        <v>100</v>
      </c>
      <c r="AA25" s="25">
        <v>28</v>
      </c>
      <c r="AB25" s="25">
        <v>60</v>
      </c>
      <c r="AC25" s="25">
        <v>25</v>
      </c>
      <c r="AD25" s="25">
        <v>50</v>
      </c>
      <c r="AE25" s="25">
        <v>28</v>
      </c>
      <c r="AF25" s="25">
        <v>60</v>
      </c>
      <c r="AG25" s="25">
        <v>35</v>
      </c>
      <c r="AH25" s="25">
        <v>55</v>
      </c>
      <c r="AI25" s="25">
        <v>40</v>
      </c>
      <c r="AJ25" s="25">
        <v>60</v>
      </c>
      <c r="AK25" s="25">
        <v>44</v>
      </c>
      <c r="AL25" s="25">
        <v>72</v>
      </c>
      <c r="AM25" s="25">
        <v>50</v>
      </c>
      <c r="AN25" s="25">
        <v>70</v>
      </c>
      <c r="AO25" s="25">
        <v>40</v>
      </c>
      <c r="AP25" s="25">
        <v>65</v>
      </c>
      <c r="AQ25" s="25">
        <v>80</v>
      </c>
      <c r="AR25" s="25">
        <v>100</v>
      </c>
      <c r="AS25" s="25"/>
      <c r="AT25" s="25"/>
      <c r="AU25" s="26">
        <f t="shared" si="2"/>
        <v>-5</v>
      </c>
      <c r="AV25" s="26">
        <v>5</v>
      </c>
      <c r="AX25" s="28" t="s">
        <v>58</v>
      </c>
      <c r="AY25" s="29">
        <f t="shared" si="12"/>
        <v>7</v>
      </c>
      <c r="AZ25" s="2"/>
      <c r="BA25" s="81" t="str">
        <f t="shared" si="11"/>
        <v>Nº4</v>
      </c>
      <c r="BB25" s="27" t="e">
        <f t="shared" si="3"/>
        <v>#VALUE!</v>
      </c>
      <c r="BG25" s="3"/>
      <c r="BH25" s="3"/>
      <c r="BI25" s="3"/>
      <c r="BJ25" s="3"/>
      <c r="BK25" s="3"/>
      <c r="BL25" s="3"/>
    </row>
    <row r="26" spans="2:65" s="23" customFormat="1" ht="17.25" customHeight="1" x14ac:dyDescent="0.25">
      <c r="B26" s="17" t="s">
        <v>33</v>
      </c>
      <c r="C26" s="30">
        <v>2</v>
      </c>
      <c r="D26" s="1"/>
      <c r="E26" s="19" t="str">
        <f t="shared" si="4"/>
        <v/>
      </c>
      <c r="F26" s="20" t="str">
        <f t="shared" si="5"/>
        <v/>
      </c>
      <c r="G26" s="21" t="str">
        <f t="shared" si="6"/>
        <v/>
      </c>
      <c r="H26" s="1"/>
      <c r="I26" s="19" t="str">
        <f t="shared" si="7"/>
        <v/>
      </c>
      <c r="J26" s="20" t="str">
        <f t="shared" si="8"/>
        <v/>
      </c>
      <c r="K26" s="21" t="str">
        <f t="shared" si="9"/>
        <v/>
      </c>
      <c r="L26" s="22" t="str">
        <f t="shared" si="10"/>
        <v/>
      </c>
      <c r="M26" s="19">
        <f>IF($M$19="","",HLOOKUP($R$17,$S$19:$AT$29,8))</f>
        <v>22</v>
      </c>
      <c r="N26" s="19">
        <f>IF($M$19="","",HLOOKUP($R$18,$S$19:$AT$29,8))</f>
        <v>50</v>
      </c>
      <c r="O26" s="19">
        <f>IF($M$19="","",HLOOKUP($R$36,$S$38:$AT$48,8))</f>
        <v>28.8</v>
      </c>
      <c r="P26" s="19">
        <f>IF($M$19="","",HLOOKUP($R$37,$S$38:$AT$48,8))</f>
        <v>38.799999999999997</v>
      </c>
      <c r="R26" s="19">
        <f t="shared" si="1"/>
        <v>2</v>
      </c>
      <c r="S26" s="25">
        <v>20</v>
      </c>
      <c r="T26" s="25">
        <v>45</v>
      </c>
      <c r="U26" s="25">
        <v>22</v>
      </c>
      <c r="V26" s="25">
        <v>50</v>
      </c>
      <c r="W26" s="25">
        <v>22</v>
      </c>
      <c r="X26" s="25">
        <v>50</v>
      </c>
      <c r="Y26" s="25">
        <v>50</v>
      </c>
      <c r="Z26" s="25">
        <v>90</v>
      </c>
      <c r="AA26" s="25">
        <v>20</v>
      </c>
      <c r="AB26" s="25">
        <v>45</v>
      </c>
      <c r="AC26" s="25">
        <v>15</v>
      </c>
      <c r="AD26" s="25">
        <v>40</v>
      </c>
      <c r="AE26" s="25">
        <v>20</v>
      </c>
      <c r="AF26" s="25">
        <v>45</v>
      </c>
      <c r="AG26" s="25">
        <v>20</v>
      </c>
      <c r="AH26" s="25">
        <v>35</v>
      </c>
      <c r="AI26" s="25">
        <v>25</v>
      </c>
      <c r="AJ26" s="25">
        <v>40</v>
      </c>
      <c r="AK26" s="25">
        <v>22</v>
      </c>
      <c r="AL26" s="25">
        <v>50</v>
      </c>
      <c r="AM26" s="25">
        <v>33</v>
      </c>
      <c r="AN26" s="25">
        <v>48</v>
      </c>
      <c r="AO26" s="25">
        <v>25</v>
      </c>
      <c r="AP26" s="25">
        <v>45</v>
      </c>
      <c r="AQ26" s="25">
        <v>50</v>
      </c>
      <c r="AR26" s="25">
        <v>90</v>
      </c>
      <c r="AS26" s="25"/>
      <c r="AT26" s="25"/>
      <c r="AU26" s="26">
        <f>AV26*-1</f>
        <v>-5</v>
      </c>
      <c r="AV26" s="26">
        <v>5</v>
      </c>
      <c r="AW26" s="2"/>
      <c r="AX26" s="28" t="s">
        <v>59</v>
      </c>
      <c r="AY26" s="29">
        <f t="shared" si="12"/>
        <v>9</v>
      </c>
      <c r="AZ26" s="2"/>
      <c r="BA26" s="81" t="str">
        <f t="shared" si="11"/>
        <v>Nº10</v>
      </c>
      <c r="BB26" s="27" t="e">
        <f t="shared" si="3"/>
        <v>#VALUE!</v>
      </c>
      <c r="BG26" s="3"/>
      <c r="BH26" s="3"/>
      <c r="BI26" s="3"/>
      <c r="BJ26" s="3"/>
      <c r="BK26" s="3"/>
      <c r="BL26" s="3"/>
    </row>
    <row r="27" spans="2:65" s="23" customFormat="1" ht="17.25" customHeight="1" x14ac:dyDescent="0.25">
      <c r="B27" s="17" t="s">
        <v>32</v>
      </c>
      <c r="C27" s="30">
        <v>0.42</v>
      </c>
      <c r="D27" s="1"/>
      <c r="E27" s="19" t="str">
        <f t="shared" si="4"/>
        <v/>
      </c>
      <c r="F27" s="20" t="str">
        <f t="shared" si="5"/>
        <v/>
      </c>
      <c r="G27" s="21" t="str">
        <f t="shared" si="6"/>
        <v/>
      </c>
      <c r="H27" s="1"/>
      <c r="I27" s="19" t="str">
        <f t="shared" si="7"/>
        <v/>
      </c>
      <c r="J27" s="20" t="str">
        <f t="shared" si="8"/>
        <v/>
      </c>
      <c r="K27" s="21" t="str">
        <f t="shared" si="9"/>
        <v/>
      </c>
      <c r="L27" s="22" t="str">
        <f t="shared" si="10"/>
        <v/>
      </c>
      <c r="M27" s="19">
        <f>IF($M$19="","",HLOOKUP($R$17,$S$19:$AT$29,9))</f>
        <v>8</v>
      </c>
      <c r="N27" s="19">
        <f>IF($M$19="","",HLOOKUP($R$18,$S$19:$AT$29,9))</f>
        <v>26</v>
      </c>
      <c r="O27" s="19">
        <f>IF($M$19="","",HLOOKUP($R$36,$S$38:$AT$48,9))</f>
        <v>8.8000000000000007</v>
      </c>
      <c r="P27" s="19">
        <f>IF($M$19="","",HLOOKUP($R$37,$S$38:$AT$48,9))</f>
        <v>18.8</v>
      </c>
      <c r="R27" s="19">
        <f t="shared" si="1"/>
        <v>0.42</v>
      </c>
      <c r="S27" s="25">
        <v>10</v>
      </c>
      <c r="T27" s="25">
        <v>32</v>
      </c>
      <c r="U27" s="25">
        <v>8</v>
      </c>
      <c r="V27" s="25">
        <v>26</v>
      </c>
      <c r="W27" s="25">
        <v>8</v>
      </c>
      <c r="X27" s="25">
        <v>26</v>
      </c>
      <c r="Y27" s="25">
        <v>20</v>
      </c>
      <c r="Z27" s="25">
        <v>50</v>
      </c>
      <c r="AA27" s="25">
        <v>10</v>
      </c>
      <c r="AB27" s="25">
        <v>32</v>
      </c>
      <c r="AC27" s="25">
        <v>7</v>
      </c>
      <c r="AD27" s="25">
        <v>20</v>
      </c>
      <c r="AE27" s="25">
        <v>10</v>
      </c>
      <c r="AF27" s="25">
        <v>32</v>
      </c>
      <c r="AG27" s="25">
        <v>10</v>
      </c>
      <c r="AH27" s="25">
        <v>18</v>
      </c>
      <c r="AI27" s="25">
        <v>10</v>
      </c>
      <c r="AJ27" s="25">
        <v>20</v>
      </c>
      <c r="AK27" s="25">
        <v>8</v>
      </c>
      <c r="AL27" s="25">
        <v>26</v>
      </c>
      <c r="AM27" s="25">
        <v>15</v>
      </c>
      <c r="AN27" s="25">
        <v>25</v>
      </c>
      <c r="AO27" s="25">
        <v>13</v>
      </c>
      <c r="AP27" s="25">
        <v>24</v>
      </c>
      <c r="AQ27" s="25">
        <v>20</v>
      </c>
      <c r="AR27" s="25">
        <v>50</v>
      </c>
      <c r="AS27" s="25"/>
      <c r="AT27" s="25"/>
      <c r="AU27" s="26">
        <f t="shared" si="2"/>
        <v>-3</v>
      </c>
      <c r="AV27" s="26">
        <v>3</v>
      </c>
      <c r="AW27" s="2"/>
      <c r="AX27" s="31" t="s">
        <v>60</v>
      </c>
      <c r="AY27" s="29">
        <f t="shared" si="12"/>
        <v>11</v>
      </c>
      <c r="AZ27" s="2"/>
      <c r="BA27" s="81" t="str">
        <f t="shared" si="11"/>
        <v>Nº40</v>
      </c>
      <c r="BB27" s="27" t="e">
        <f t="shared" si="3"/>
        <v>#VALUE!</v>
      </c>
      <c r="BG27" s="3"/>
      <c r="BH27" s="3"/>
      <c r="BI27" s="3"/>
      <c r="BJ27" s="3"/>
      <c r="BK27" s="3"/>
      <c r="BL27" s="3"/>
    </row>
    <row r="28" spans="2:65" s="23" customFormat="1" ht="17.25" customHeight="1" x14ac:dyDescent="0.25">
      <c r="B28" s="17" t="s">
        <v>31</v>
      </c>
      <c r="C28" s="10">
        <v>0.18</v>
      </c>
      <c r="D28" s="1"/>
      <c r="E28" s="19" t="str">
        <f t="shared" si="4"/>
        <v/>
      </c>
      <c r="F28" s="20" t="str">
        <f t="shared" si="5"/>
        <v/>
      </c>
      <c r="G28" s="21" t="str">
        <f t="shared" si="6"/>
        <v/>
      </c>
      <c r="H28" s="1"/>
      <c r="I28" s="19" t="str">
        <f t="shared" si="7"/>
        <v/>
      </c>
      <c r="J28" s="20" t="str">
        <f t="shared" si="8"/>
        <v/>
      </c>
      <c r="K28" s="21" t="str">
        <f t="shared" si="9"/>
        <v/>
      </c>
      <c r="L28" s="22" t="str">
        <f t="shared" si="10"/>
        <v/>
      </c>
      <c r="M28" s="19">
        <f>IF($M$19="","",HLOOKUP($R$17,$S$19:$AT$29,10))</f>
        <v>4</v>
      </c>
      <c r="N28" s="19">
        <f>IF($M$19="","",HLOOKUP($R$18,$S$19:$AT$29,10))</f>
        <v>16</v>
      </c>
      <c r="O28" s="19">
        <f>IF($M$19="","",HLOOKUP($R$36,$S$38:$AT$48,10))</f>
        <v>7.2</v>
      </c>
      <c r="P28" s="19">
        <f>IF($M$19="","",HLOOKUP($R$37,$S$38:$AT$48,10))</f>
        <v>13.2</v>
      </c>
      <c r="R28" s="19">
        <f t="shared" si="1"/>
        <v>0.18</v>
      </c>
      <c r="S28" s="25">
        <v>8</v>
      </c>
      <c r="T28" s="25">
        <v>20</v>
      </c>
      <c r="U28" s="25">
        <v>4</v>
      </c>
      <c r="V28" s="25">
        <v>16</v>
      </c>
      <c r="W28" s="25">
        <v>4</v>
      </c>
      <c r="X28" s="25">
        <v>16</v>
      </c>
      <c r="Y28" s="25">
        <v>7</v>
      </c>
      <c r="Z28" s="25">
        <v>28</v>
      </c>
      <c r="AA28" s="25">
        <v>8</v>
      </c>
      <c r="AB28" s="25">
        <v>20</v>
      </c>
      <c r="AC28" s="25">
        <v>5</v>
      </c>
      <c r="AD28" s="25">
        <v>15</v>
      </c>
      <c r="AE28" s="25">
        <v>8</v>
      </c>
      <c r="AF28" s="25">
        <v>20</v>
      </c>
      <c r="AG28" s="25">
        <v>5</v>
      </c>
      <c r="AH28" s="25">
        <v>12</v>
      </c>
      <c r="AI28" s="25">
        <v>5</v>
      </c>
      <c r="AJ28" s="25">
        <v>15</v>
      </c>
      <c r="AK28" s="25">
        <v>4</v>
      </c>
      <c r="AL28" s="25">
        <v>16</v>
      </c>
      <c r="AM28" s="25">
        <v>8</v>
      </c>
      <c r="AN28" s="25">
        <v>17</v>
      </c>
      <c r="AO28" s="25">
        <v>8</v>
      </c>
      <c r="AP28" s="25">
        <v>17</v>
      </c>
      <c r="AQ28" s="25">
        <v>7</v>
      </c>
      <c r="AR28" s="25">
        <v>28</v>
      </c>
      <c r="AS28" s="25"/>
      <c r="AT28" s="25"/>
      <c r="AU28" s="26">
        <f t="shared" si="2"/>
        <v>-3</v>
      </c>
      <c r="AV28" s="26">
        <v>3</v>
      </c>
      <c r="AW28" s="2"/>
      <c r="AX28" s="31" t="s">
        <v>61</v>
      </c>
      <c r="AY28" s="29">
        <f t="shared" si="12"/>
        <v>13</v>
      </c>
      <c r="AZ28" s="2"/>
      <c r="BA28" s="81" t="str">
        <f t="shared" si="11"/>
        <v>Nº80</v>
      </c>
      <c r="BB28" s="27" t="e">
        <f t="shared" si="3"/>
        <v>#VALUE!</v>
      </c>
      <c r="BG28" s="3"/>
      <c r="BH28" s="3"/>
      <c r="BI28" s="3"/>
      <c r="BJ28" s="3"/>
      <c r="BK28" s="3"/>
      <c r="BL28" s="3"/>
    </row>
    <row r="29" spans="2:65" s="23" customFormat="1" ht="17.25" customHeight="1" x14ac:dyDescent="0.25">
      <c r="B29" s="17" t="s">
        <v>27</v>
      </c>
      <c r="C29" s="10">
        <v>7.4999999999999997E-2</v>
      </c>
      <c r="D29" s="1"/>
      <c r="E29" s="19" t="str">
        <f t="shared" si="4"/>
        <v/>
      </c>
      <c r="F29" s="20" t="str">
        <f t="shared" si="5"/>
        <v/>
      </c>
      <c r="G29" s="21" t="str">
        <f t="shared" si="6"/>
        <v/>
      </c>
      <c r="H29" s="1"/>
      <c r="I29" s="19" t="str">
        <f t="shared" si="7"/>
        <v/>
      </c>
      <c r="J29" s="20" t="str">
        <f t="shared" si="8"/>
        <v/>
      </c>
      <c r="K29" s="21" t="str">
        <f t="shared" si="9"/>
        <v/>
      </c>
      <c r="L29" s="22" t="str">
        <f t="shared" si="10"/>
        <v/>
      </c>
      <c r="M29" s="19">
        <f>IF($M$19="","",HLOOKUP($R$17,$S$19:$AT$29,11))</f>
        <v>2</v>
      </c>
      <c r="N29" s="19">
        <f>IF($M$19="","",HLOOKUP($R$18,$S$19:$AT$29,11))</f>
        <v>10</v>
      </c>
      <c r="O29" s="19">
        <f>IF($M$19="","",HLOOKUP($R$36,$S$38:$AT$48,11))</f>
        <v>4.9000000000000004</v>
      </c>
      <c r="P29" s="19">
        <f>IF($M$19="","",HLOOKUP($R$37,$S$38:$AT$48,11))</f>
        <v>8.9</v>
      </c>
      <c r="R29" s="4">
        <f t="shared" si="1"/>
        <v>7.4999999999999997E-2</v>
      </c>
      <c r="S29" s="25">
        <v>3</v>
      </c>
      <c r="T29" s="25">
        <v>8</v>
      </c>
      <c r="U29" s="25">
        <v>2</v>
      </c>
      <c r="V29" s="25">
        <v>10</v>
      </c>
      <c r="W29" s="25">
        <v>2</v>
      </c>
      <c r="X29" s="25">
        <v>10</v>
      </c>
      <c r="Y29" s="25">
        <v>3</v>
      </c>
      <c r="Z29" s="25">
        <v>10</v>
      </c>
      <c r="AA29" s="25">
        <v>3</v>
      </c>
      <c r="AB29" s="25">
        <v>8</v>
      </c>
      <c r="AC29" s="25">
        <v>2</v>
      </c>
      <c r="AD29" s="25">
        <v>10</v>
      </c>
      <c r="AE29" s="25">
        <v>3</v>
      </c>
      <c r="AF29" s="25">
        <v>8</v>
      </c>
      <c r="AG29" s="25">
        <v>2</v>
      </c>
      <c r="AH29" s="25">
        <v>8</v>
      </c>
      <c r="AI29" s="25">
        <v>2</v>
      </c>
      <c r="AJ29" s="25">
        <v>10</v>
      </c>
      <c r="AK29" s="25">
        <v>2</v>
      </c>
      <c r="AL29" s="25">
        <v>10</v>
      </c>
      <c r="AM29" s="25">
        <v>4</v>
      </c>
      <c r="AN29" s="25">
        <v>10</v>
      </c>
      <c r="AO29" s="25">
        <v>4</v>
      </c>
      <c r="AP29" s="25">
        <v>10</v>
      </c>
      <c r="AQ29" s="25">
        <v>3</v>
      </c>
      <c r="AR29" s="25">
        <v>10</v>
      </c>
      <c r="AS29" s="25"/>
      <c r="AT29" s="25"/>
      <c r="AU29" s="26">
        <f t="shared" si="2"/>
        <v>-2</v>
      </c>
      <c r="AV29" s="26">
        <v>2</v>
      </c>
      <c r="AW29" s="2"/>
      <c r="AX29" s="31" t="s">
        <v>62</v>
      </c>
      <c r="AY29" s="29">
        <f t="shared" si="12"/>
        <v>15</v>
      </c>
      <c r="AZ29" s="2"/>
      <c r="BA29" s="81" t="str">
        <f>B29</f>
        <v>Nº200</v>
      </c>
      <c r="BB29" s="27" t="e">
        <f t="shared" si="3"/>
        <v>#VALUE!</v>
      </c>
      <c r="BG29" s="3"/>
      <c r="BH29" s="3"/>
      <c r="BI29" s="3"/>
      <c r="BJ29" s="3"/>
      <c r="BK29" s="3"/>
      <c r="BL29" s="3"/>
    </row>
    <row r="30" spans="2:65" s="23" customFormat="1" ht="17.25" customHeight="1" x14ac:dyDescent="0.25">
      <c r="B30" s="55" t="s">
        <v>20</v>
      </c>
      <c r="C30" s="55"/>
      <c r="D30" s="1"/>
      <c r="E30" s="19" t="str">
        <f t="shared" si="4"/>
        <v/>
      </c>
      <c r="F30" s="20" t="str">
        <f t="shared" si="5"/>
        <v/>
      </c>
      <c r="G30" s="21" t="s">
        <v>21</v>
      </c>
      <c r="H30" s="1"/>
      <c r="I30" s="19" t="str">
        <f t="shared" si="7"/>
        <v/>
      </c>
      <c r="J30" s="20" t="str">
        <f t="shared" si="8"/>
        <v/>
      </c>
      <c r="K30" s="21" t="s">
        <v>21</v>
      </c>
      <c r="L30" s="22" t="str">
        <f>IFERROR(AVERAGE(G30,K30),"")</f>
        <v/>
      </c>
      <c r="M30" s="19" t="s">
        <v>21</v>
      </c>
      <c r="N30" s="19" t="s">
        <v>21</v>
      </c>
      <c r="O30" s="19" t="s">
        <v>21</v>
      </c>
      <c r="P30" s="19" t="s">
        <v>21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31" t="s">
        <v>63</v>
      </c>
      <c r="AY30" s="29">
        <f t="shared" si="12"/>
        <v>17</v>
      </c>
      <c r="AZ30" s="2"/>
      <c r="BH30" s="3"/>
      <c r="BI30" s="3"/>
      <c r="BJ30" s="3"/>
      <c r="BK30" s="3"/>
      <c r="BL30" s="3"/>
      <c r="BM30" s="3"/>
    </row>
    <row r="31" spans="2:65" s="23" customFormat="1" ht="17.25" customHeight="1" x14ac:dyDescent="0.25">
      <c r="B31" s="55" t="s">
        <v>22</v>
      </c>
      <c r="C31" s="55"/>
      <c r="D31" s="19"/>
      <c r="E31" s="19" t="s">
        <v>21</v>
      </c>
      <c r="F31" s="19" t="s">
        <v>21</v>
      </c>
      <c r="G31" s="19" t="s">
        <v>21</v>
      </c>
      <c r="H31" s="19"/>
      <c r="I31" s="19"/>
      <c r="J31" s="19" t="s">
        <v>21</v>
      </c>
      <c r="K31" s="19" t="s">
        <v>21</v>
      </c>
      <c r="L31" s="30"/>
      <c r="M31" s="19" t="s">
        <v>21</v>
      </c>
      <c r="N31" s="19" t="s">
        <v>21</v>
      </c>
      <c r="O31" s="19" t="s">
        <v>21</v>
      </c>
      <c r="P31" s="19" t="s">
        <v>21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31" t="s">
        <v>67</v>
      </c>
      <c r="AY31" s="29">
        <f t="shared" si="12"/>
        <v>19</v>
      </c>
      <c r="AZ31" s="2"/>
      <c r="BH31" s="3"/>
      <c r="BI31" s="3"/>
      <c r="BJ31" s="3"/>
      <c r="BK31" s="3"/>
      <c r="BL31" s="3"/>
      <c r="BM31" s="3"/>
    </row>
    <row r="32" spans="2:65" ht="30" customHeight="1" x14ac:dyDescent="0.25">
      <c r="B32" s="56" t="s">
        <v>23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AX32" s="31" t="s">
        <v>64</v>
      </c>
      <c r="AY32" s="29">
        <f t="shared" si="12"/>
        <v>21</v>
      </c>
    </row>
    <row r="33" spans="2:65" ht="17.25" customHeight="1" x14ac:dyDescent="0.25">
      <c r="B33" s="3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3"/>
      <c r="R33" s="3"/>
      <c r="S33" s="65" t="s">
        <v>70</v>
      </c>
      <c r="T33" s="65"/>
      <c r="U33" s="65" t="s">
        <v>77</v>
      </c>
      <c r="V33" s="65"/>
      <c r="W33" s="65" t="s">
        <v>69</v>
      </c>
      <c r="X33" s="65"/>
      <c r="Y33" s="65" t="s">
        <v>71</v>
      </c>
      <c r="Z33" s="65"/>
      <c r="AA33" s="65" t="s">
        <v>72</v>
      </c>
      <c r="AB33" s="65"/>
      <c r="AC33" s="65" t="s">
        <v>73</v>
      </c>
      <c r="AD33" s="65"/>
      <c r="AE33" s="65" t="s">
        <v>74</v>
      </c>
      <c r="AF33" s="65"/>
      <c r="AG33" s="65" t="s">
        <v>75</v>
      </c>
      <c r="AH33" s="65"/>
      <c r="AI33" s="65" t="s">
        <v>76</v>
      </c>
      <c r="AJ33" s="65"/>
      <c r="AK33" s="65"/>
      <c r="AL33" s="65"/>
      <c r="AM33" s="65"/>
      <c r="AN33" s="65"/>
      <c r="AO33" s="65"/>
      <c r="AP33" s="65"/>
      <c r="AQ33" s="65"/>
      <c r="AR33" s="65"/>
      <c r="AS33" s="65">
        <f>AX54</f>
        <v>0</v>
      </c>
      <c r="AT33" s="65"/>
      <c r="AU33" s="65" t="s">
        <v>8</v>
      </c>
      <c r="AV33" s="65"/>
      <c r="AX33" s="31" t="s">
        <v>65</v>
      </c>
      <c r="AY33" s="29">
        <f t="shared" si="12"/>
        <v>23</v>
      </c>
    </row>
    <row r="34" spans="2:65" ht="17.25" customHeight="1" x14ac:dyDescent="0.25">
      <c r="B34" s="3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3"/>
      <c r="R34" s="3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X34" s="31" t="s">
        <v>66</v>
      </c>
      <c r="AY34" s="29">
        <f t="shared" si="12"/>
        <v>25</v>
      </c>
      <c r="BF34" s="3"/>
      <c r="BG34" s="3"/>
      <c r="BL34" s="2"/>
      <c r="BM34" s="2"/>
    </row>
    <row r="35" spans="2:65" ht="17.25" customHeight="1" x14ac:dyDescent="0.25">
      <c r="B35" s="3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3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BF35" s="3"/>
      <c r="BG35" s="3"/>
      <c r="BL35" s="2"/>
      <c r="BM35" s="2"/>
    </row>
    <row r="36" spans="2:65" ht="17.25" customHeight="1" x14ac:dyDescent="0.25">
      <c r="B36" s="3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3"/>
      <c r="R36" s="5">
        <f>VLOOKUP(M17,AX41:AY53,2,0)</f>
        <v>3</v>
      </c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BF36" s="3"/>
      <c r="BG36" s="3"/>
      <c r="BL36" s="2"/>
      <c r="BM36" s="2"/>
    </row>
    <row r="37" spans="2:65" ht="17.25" customHeight="1" x14ac:dyDescent="0.25">
      <c r="B37" s="3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3"/>
      <c r="R37" s="5">
        <f>R36+1</f>
        <v>4</v>
      </c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BF37" s="3"/>
      <c r="BG37" s="3"/>
      <c r="BL37" s="2"/>
      <c r="BM37" s="2"/>
    </row>
    <row r="38" spans="2:65" ht="17.25" customHeight="1" x14ac:dyDescent="0.25">
      <c r="B38" s="3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3"/>
      <c r="S38" s="5">
        <v>1</v>
      </c>
      <c r="T38" s="5">
        <f>S38+1</f>
        <v>2</v>
      </c>
      <c r="U38" s="5">
        <f t="shared" ref="U38:AT38" si="13">T38+1</f>
        <v>3</v>
      </c>
      <c r="V38" s="5">
        <f t="shared" si="13"/>
        <v>4</v>
      </c>
      <c r="W38" s="5">
        <f t="shared" si="13"/>
        <v>5</v>
      </c>
      <c r="X38" s="5">
        <f t="shared" si="13"/>
        <v>6</v>
      </c>
      <c r="Y38" s="5">
        <f t="shared" si="13"/>
        <v>7</v>
      </c>
      <c r="Z38" s="5">
        <f t="shared" si="13"/>
        <v>8</v>
      </c>
      <c r="AA38" s="5">
        <f t="shared" si="13"/>
        <v>9</v>
      </c>
      <c r="AB38" s="5">
        <f t="shared" si="13"/>
        <v>10</v>
      </c>
      <c r="AC38" s="5">
        <f t="shared" si="13"/>
        <v>11</v>
      </c>
      <c r="AD38" s="5">
        <f t="shared" si="13"/>
        <v>12</v>
      </c>
      <c r="AE38" s="5">
        <f t="shared" si="13"/>
        <v>13</v>
      </c>
      <c r="AF38" s="5">
        <f t="shared" si="13"/>
        <v>14</v>
      </c>
      <c r="AG38" s="5">
        <f t="shared" si="13"/>
        <v>15</v>
      </c>
      <c r="AH38" s="5">
        <f t="shared" si="13"/>
        <v>16</v>
      </c>
      <c r="AI38" s="5">
        <f t="shared" si="13"/>
        <v>17</v>
      </c>
      <c r="AJ38" s="5">
        <f t="shared" si="13"/>
        <v>18</v>
      </c>
      <c r="AK38" s="5">
        <f t="shared" si="13"/>
        <v>19</v>
      </c>
      <c r="AL38" s="5">
        <f t="shared" si="13"/>
        <v>20</v>
      </c>
      <c r="AM38" s="5">
        <f t="shared" si="13"/>
        <v>21</v>
      </c>
      <c r="AN38" s="5">
        <f t="shared" si="13"/>
        <v>22</v>
      </c>
      <c r="AO38" s="5">
        <f t="shared" si="13"/>
        <v>23</v>
      </c>
      <c r="AP38" s="5">
        <f t="shared" si="13"/>
        <v>24</v>
      </c>
      <c r="AQ38" s="5">
        <f t="shared" si="13"/>
        <v>25</v>
      </c>
      <c r="AR38" s="5">
        <f t="shared" si="13"/>
        <v>26</v>
      </c>
      <c r="AS38" s="5">
        <f t="shared" si="13"/>
        <v>27</v>
      </c>
      <c r="AT38" s="5">
        <f t="shared" si="13"/>
        <v>28</v>
      </c>
      <c r="BF38" s="3"/>
      <c r="BG38" s="3"/>
      <c r="BL38" s="2"/>
      <c r="BM38" s="2"/>
    </row>
    <row r="39" spans="2:65" ht="17.25" customHeight="1" x14ac:dyDescent="0.25"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3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BF39" s="3"/>
      <c r="BG39" s="3"/>
      <c r="BL39" s="2"/>
      <c r="BM39" s="2"/>
    </row>
    <row r="40" spans="2:65" ht="17.25" customHeight="1" x14ac:dyDescent="0.25">
      <c r="B40" s="3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3"/>
      <c r="R40" s="24">
        <v>25.4</v>
      </c>
      <c r="S40" s="25">
        <v>95</v>
      </c>
      <c r="T40" s="25">
        <v>100</v>
      </c>
      <c r="U40" s="25">
        <v>100</v>
      </c>
      <c r="V40" s="25">
        <v>100</v>
      </c>
      <c r="W40" s="25">
        <v>100</v>
      </c>
      <c r="X40" s="25">
        <v>100</v>
      </c>
      <c r="Y40" s="25">
        <v>100</v>
      </c>
      <c r="Z40" s="25">
        <v>100</v>
      </c>
      <c r="AA40" s="25">
        <v>100</v>
      </c>
      <c r="AB40" s="25">
        <v>100</v>
      </c>
      <c r="AC40" s="25">
        <v>100</v>
      </c>
      <c r="AD40" s="25">
        <v>100</v>
      </c>
      <c r="AE40" s="25">
        <v>100</v>
      </c>
      <c r="AF40" s="25">
        <v>100</v>
      </c>
      <c r="AG40" s="25">
        <v>100</v>
      </c>
      <c r="AH40" s="25">
        <v>100</v>
      </c>
      <c r="AI40" s="25">
        <v>100</v>
      </c>
      <c r="AJ40" s="25">
        <v>100</v>
      </c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6">
        <f t="shared" ref="AU40:AU44" si="14">AV40*-1</f>
        <v>-7</v>
      </c>
      <c r="AV40" s="26">
        <v>7</v>
      </c>
      <c r="AX40" s="75" t="s">
        <v>19</v>
      </c>
      <c r="AY40" s="75"/>
      <c r="BF40" s="3"/>
      <c r="BG40" s="3"/>
      <c r="BL40" s="2"/>
      <c r="BM40" s="2"/>
    </row>
    <row r="41" spans="2:65" ht="17.25" customHeight="1" x14ac:dyDescent="0.25">
      <c r="B41" s="3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3"/>
      <c r="R41" s="24">
        <v>19.100000000000001</v>
      </c>
      <c r="S41" s="25">
        <v>93</v>
      </c>
      <c r="T41" s="25">
        <v>100</v>
      </c>
      <c r="U41" s="25">
        <v>100</v>
      </c>
      <c r="V41" s="25">
        <v>100</v>
      </c>
      <c r="W41" s="25">
        <v>100</v>
      </c>
      <c r="X41" s="25">
        <v>100</v>
      </c>
      <c r="Y41" s="25">
        <v>100</v>
      </c>
      <c r="Z41" s="25">
        <v>100</v>
      </c>
      <c r="AA41" s="25">
        <v>100</v>
      </c>
      <c r="AB41" s="25">
        <v>100</v>
      </c>
      <c r="AC41" s="25">
        <v>100</v>
      </c>
      <c r="AD41" s="25">
        <v>100</v>
      </c>
      <c r="AE41" s="25">
        <v>100</v>
      </c>
      <c r="AF41" s="25">
        <v>100</v>
      </c>
      <c r="AG41" s="25">
        <v>100</v>
      </c>
      <c r="AH41" s="25">
        <v>100</v>
      </c>
      <c r="AI41" s="25">
        <v>100</v>
      </c>
      <c r="AJ41" s="25">
        <v>100</v>
      </c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6">
        <f t="shared" si="14"/>
        <v>-7</v>
      </c>
      <c r="AV41" s="26">
        <v>7</v>
      </c>
      <c r="AX41" s="35" t="str">
        <f>S33</f>
        <v>C. 163 - SANCHES TRIPOLONI
FAIXA B 031/2006 - CAP 60/85</v>
      </c>
      <c r="AY41" s="4">
        <v>1</v>
      </c>
    </row>
    <row r="42" spans="2:65" ht="17.25" customHeight="1" x14ac:dyDescent="0.25">
      <c r="B42" s="3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3"/>
      <c r="R42" s="24">
        <v>12.7</v>
      </c>
      <c r="S42" s="25" t="s">
        <v>21</v>
      </c>
      <c r="T42" s="25" t="s">
        <v>21</v>
      </c>
      <c r="U42" s="25">
        <v>90</v>
      </c>
      <c r="V42" s="25">
        <v>100</v>
      </c>
      <c r="W42" s="25">
        <v>80</v>
      </c>
      <c r="X42" s="25">
        <v>91.09</v>
      </c>
      <c r="Y42" s="25">
        <v>83</v>
      </c>
      <c r="Z42" s="25">
        <v>97</v>
      </c>
      <c r="AA42" s="25">
        <v>81.900000000000006</v>
      </c>
      <c r="AB42" s="25">
        <v>95.9</v>
      </c>
      <c r="AC42" s="25">
        <v>84.03</v>
      </c>
      <c r="AD42" s="25">
        <v>98.03</v>
      </c>
      <c r="AE42" s="25">
        <v>90</v>
      </c>
      <c r="AF42" s="25">
        <v>99</v>
      </c>
      <c r="AG42" s="25">
        <v>85</v>
      </c>
      <c r="AH42" s="25">
        <v>100</v>
      </c>
      <c r="AI42" s="25">
        <v>90</v>
      </c>
      <c r="AJ42" s="25">
        <v>100</v>
      </c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6">
        <f t="shared" si="14"/>
        <v>-7</v>
      </c>
      <c r="AV42" s="26">
        <v>7</v>
      </c>
      <c r="AX42" s="35" t="str">
        <f>U33</f>
        <v>C. 163 - AGRIMAT
FAIXA III DERS-ET-P00/027</v>
      </c>
      <c r="AY42" s="29">
        <f>AY41+2</f>
        <v>3</v>
      </c>
    </row>
    <row r="43" spans="2:65" ht="17.25" customHeight="1" x14ac:dyDescent="0.25">
      <c r="B43" s="3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3"/>
      <c r="R43" s="24">
        <v>9.5</v>
      </c>
      <c r="S43" s="25">
        <v>61.1</v>
      </c>
      <c r="T43" s="25">
        <v>75.099999999999994</v>
      </c>
      <c r="U43" s="25">
        <v>74</v>
      </c>
      <c r="V43" s="25">
        <v>88</v>
      </c>
      <c r="W43" s="25">
        <v>70</v>
      </c>
      <c r="X43" s="25">
        <v>79.97</v>
      </c>
      <c r="Y43" s="25">
        <v>72</v>
      </c>
      <c r="Z43" s="25">
        <v>86</v>
      </c>
      <c r="AA43" s="25">
        <v>70.2</v>
      </c>
      <c r="AB43" s="25">
        <v>84.2</v>
      </c>
      <c r="AC43" s="25">
        <v>79.290000000000006</v>
      </c>
      <c r="AD43" s="25">
        <v>89.29</v>
      </c>
      <c r="AE43" s="25">
        <v>79</v>
      </c>
      <c r="AF43" s="25">
        <v>90</v>
      </c>
      <c r="AG43" s="25">
        <v>70.599999999999994</v>
      </c>
      <c r="AH43" s="25">
        <v>84.6</v>
      </c>
      <c r="AI43" s="25">
        <v>73.900000000000006</v>
      </c>
      <c r="AJ43" s="25">
        <v>87.9</v>
      </c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6">
        <f t="shared" si="14"/>
        <v>-7</v>
      </c>
      <c r="AV43" s="26">
        <v>7</v>
      </c>
      <c r="AX43" s="28" t="str">
        <f>W33</f>
        <v>C. ROTA SUL
FAIXA C DNIT 031/2024 - CAP 60/85</v>
      </c>
      <c r="AY43" s="29">
        <f t="shared" ref="AY43:AY53" si="15">AY42+2</f>
        <v>5</v>
      </c>
    </row>
    <row r="44" spans="2:65" ht="17.25" customHeight="1" x14ac:dyDescent="0.25">
      <c r="B44" s="3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3"/>
      <c r="R44" s="19">
        <v>4.8</v>
      </c>
      <c r="S44" s="25">
        <v>39.770000000000003</v>
      </c>
      <c r="T44" s="25">
        <v>49.77</v>
      </c>
      <c r="U44" s="25">
        <v>49.6</v>
      </c>
      <c r="V44" s="25">
        <v>59.6</v>
      </c>
      <c r="W44" s="25">
        <v>44</v>
      </c>
      <c r="X44" s="25">
        <v>53.78</v>
      </c>
      <c r="Y44" s="25">
        <v>52</v>
      </c>
      <c r="Z44" s="25">
        <v>62</v>
      </c>
      <c r="AA44" s="25">
        <v>47.2</v>
      </c>
      <c r="AB44" s="25">
        <v>57.2</v>
      </c>
      <c r="AC44" s="25">
        <v>54.83</v>
      </c>
      <c r="AD44" s="25">
        <v>64.83</v>
      </c>
      <c r="AE44" s="25">
        <v>53</v>
      </c>
      <c r="AF44" s="25">
        <v>63</v>
      </c>
      <c r="AG44" s="25">
        <v>46.8</v>
      </c>
      <c r="AH44" s="25">
        <v>56.8</v>
      </c>
      <c r="AI44" s="25">
        <v>50.3</v>
      </c>
      <c r="AJ44" s="25">
        <v>60.3</v>
      </c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6">
        <f t="shared" si="14"/>
        <v>-5</v>
      </c>
      <c r="AV44" s="26">
        <v>5</v>
      </c>
      <c r="AX44" s="28" t="str">
        <f>Y33</f>
        <v>CONSÓRCIO C.C.C.O (ACP 06)
FAIXA III DERSA ET-P00/027</v>
      </c>
      <c r="AY44" s="29">
        <f t="shared" si="15"/>
        <v>7</v>
      </c>
    </row>
    <row r="45" spans="2:65" ht="17.25" customHeight="1" x14ac:dyDescent="0.25">
      <c r="B45" s="3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3"/>
      <c r="R45" s="19">
        <v>2</v>
      </c>
      <c r="S45" s="25">
        <v>21.83</v>
      </c>
      <c r="T45" s="25">
        <v>31.83</v>
      </c>
      <c r="U45" s="25">
        <v>28.8</v>
      </c>
      <c r="V45" s="25">
        <v>38.799999999999997</v>
      </c>
      <c r="W45" s="25">
        <v>27.9</v>
      </c>
      <c r="X45" s="25">
        <v>37.9</v>
      </c>
      <c r="Y45" s="25">
        <v>29</v>
      </c>
      <c r="Z45" s="25">
        <v>39</v>
      </c>
      <c r="AA45" s="25">
        <v>27.9</v>
      </c>
      <c r="AB45" s="25">
        <v>37.9</v>
      </c>
      <c r="AC45" s="25">
        <v>29.89</v>
      </c>
      <c r="AD45" s="25">
        <v>39.89</v>
      </c>
      <c r="AE45" s="25">
        <v>28</v>
      </c>
      <c r="AF45" s="25">
        <v>38</v>
      </c>
      <c r="AG45" s="25">
        <v>27.8</v>
      </c>
      <c r="AH45" s="25">
        <v>37.799999999999997</v>
      </c>
      <c r="AI45" s="25">
        <v>28.4</v>
      </c>
      <c r="AJ45" s="25">
        <v>38.4</v>
      </c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6">
        <f>AV45*-1</f>
        <v>-5</v>
      </c>
      <c r="AV45" s="26">
        <v>5</v>
      </c>
      <c r="AX45" s="28" t="str">
        <f>AA33</f>
        <v>CONSÓRCIO NOVA IMIGRANTES
FAIXA III DER-SP CCR ES-E-002-R12</v>
      </c>
      <c r="AY45" s="29">
        <f t="shared" si="15"/>
        <v>9</v>
      </c>
    </row>
    <row r="46" spans="2:65" ht="17.25" customHeight="1" x14ac:dyDescent="0.25">
      <c r="B46" s="3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3"/>
      <c r="R46" s="19">
        <v>0.42</v>
      </c>
      <c r="S46" s="25">
        <v>10</v>
      </c>
      <c r="T46" s="25">
        <v>16.010000000000002</v>
      </c>
      <c r="U46" s="25">
        <v>8.8000000000000007</v>
      </c>
      <c r="V46" s="25">
        <v>18.8</v>
      </c>
      <c r="W46" s="25">
        <v>8.3800000000000008</v>
      </c>
      <c r="X46" s="25">
        <v>18.38</v>
      </c>
      <c r="Y46" s="25">
        <v>10</v>
      </c>
      <c r="Z46" s="25">
        <v>18</v>
      </c>
      <c r="AA46" s="25">
        <v>11.3</v>
      </c>
      <c r="AB46" s="25">
        <v>21.3</v>
      </c>
      <c r="AC46" s="25">
        <v>8.57</v>
      </c>
      <c r="AD46" s="25">
        <v>18.57</v>
      </c>
      <c r="AE46" s="25">
        <v>10</v>
      </c>
      <c r="AF46" s="25">
        <v>19</v>
      </c>
      <c r="AG46" s="25">
        <v>8.1999999999999993</v>
      </c>
      <c r="AH46" s="25">
        <v>18.2</v>
      </c>
      <c r="AI46" s="25">
        <v>8.6</v>
      </c>
      <c r="AJ46" s="25">
        <v>18.600000000000001</v>
      </c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6">
        <f t="shared" ref="AU46:AU48" si="16">AV46*-1</f>
        <v>-3</v>
      </c>
      <c r="AV46" s="26">
        <v>3</v>
      </c>
      <c r="AX46" s="31" t="str">
        <f>AC33</f>
        <v>ZANETTI PAVIMENTAÇÕES
FAIXA C DNIT 031/2006</v>
      </c>
      <c r="AY46" s="29">
        <f t="shared" si="15"/>
        <v>11</v>
      </c>
    </row>
    <row r="47" spans="2:65" ht="17.25" customHeight="1" x14ac:dyDescent="0.25">
      <c r="B47" s="3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3"/>
      <c r="R47" s="19">
        <v>0.18</v>
      </c>
      <c r="S47" s="25">
        <v>8</v>
      </c>
      <c r="T47" s="25">
        <v>11</v>
      </c>
      <c r="U47" s="25">
        <v>7.2</v>
      </c>
      <c r="V47" s="25">
        <v>13.2</v>
      </c>
      <c r="W47" s="25">
        <v>4.24</v>
      </c>
      <c r="X47" s="25">
        <v>10.24</v>
      </c>
      <c r="Y47" s="25">
        <v>6</v>
      </c>
      <c r="Z47" s="25">
        <v>11</v>
      </c>
      <c r="AA47" s="25">
        <v>6.8</v>
      </c>
      <c r="AB47" s="25">
        <v>12.8</v>
      </c>
      <c r="AC47" s="25">
        <v>6.12</v>
      </c>
      <c r="AD47" s="25">
        <v>12.12</v>
      </c>
      <c r="AE47" s="25">
        <v>8</v>
      </c>
      <c r="AF47" s="25">
        <v>14</v>
      </c>
      <c r="AG47" s="25">
        <v>6.6</v>
      </c>
      <c r="AH47" s="25">
        <v>12.6</v>
      </c>
      <c r="AI47" s="25">
        <v>7</v>
      </c>
      <c r="AJ47" s="25">
        <v>13</v>
      </c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6">
        <f t="shared" si="16"/>
        <v>-3</v>
      </c>
      <c r="AV47" s="26">
        <v>3</v>
      </c>
      <c r="AX47" s="31" t="str">
        <f>AE33</f>
        <v>PEDRISA S.C.F ADP
FAIXA 12,5 DERSA-ET-DE-P00-027-B</v>
      </c>
      <c r="AY47" s="29">
        <f t="shared" si="15"/>
        <v>13</v>
      </c>
    </row>
    <row r="48" spans="2:65" ht="17.25" customHeight="1" x14ac:dyDescent="0.25">
      <c r="B48" s="3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3"/>
      <c r="R48" s="4">
        <v>7.4999999999999997E-2</v>
      </c>
      <c r="S48" s="25">
        <v>4.74</v>
      </c>
      <c r="T48" s="25">
        <v>8</v>
      </c>
      <c r="U48" s="25">
        <v>4.9000000000000004</v>
      </c>
      <c r="V48" s="25">
        <v>8.9</v>
      </c>
      <c r="W48" s="25">
        <v>2</v>
      </c>
      <c r="X48" s="25">
        <v>5.86</v>
      </c>
      <c r="Y48" s="25">
        <v>4</v>
      </c>
      <c r="Z48" s="25">
        <v>9</v>
      </c>
      <c r="AA48" s="25">
        <v>3.7</v>
      </c>
      <c r="AB48" s="25">
        <v>7.7</v>
      </c>
      <c r="AC48" s="25">
        <v>5.04</v>
      </c>
      <c r="AD48" s="25">
        <v>9.0399999999999991</v>
      </c>
      <c r="AE48" s="25">
        <v>6</v>
      </c>
      <c r="AF48" s="25">
        <v>10</v>
      </c>
      <c r="AG48" s="25">
        <v>3.1</v>
      </c>
      <c r="AH48" s="25">
        <v>7.1</v>
      </c>
      <c r="AI48" s="25">
        <v>4.5999999999999996</v>
      </c>
      <c r="AJ48" s="25">
        <v>8.6</v>
      </c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6">
        <f t="shared" si="16"/>
        <v>-2</v>
      </c>
      <c r="AV48" s="26">
        <v>2</v>
      </c>
      <c r="AX48" s="31" t="str">
        <f>AG33</f>
        <v>TRIPOLONI LRV-SSR 2026
FAIXA III DERSA ET-P00/027</v>
      </c>
      <c r="AY48" s="29">
        <f t="shared" si="15"/>
        <v>15</v>
      </c>
    </row>
    <row r="49" spans="2:51" ht="17.25" customHeight="1" x14ac:dyDescent="0.25">
      <c r="B49" s="3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3"/>
      <c r="AX49" s="31" t="str">
        <f>AI33</f>
        <v>AGRIMAT SORRISO CONSERVA 2026
FAIXA III DERSA ET-P00/027</v>
      </c>
      <c r="AY49" s="29">
        <f t="shared" si="15"/>
        <v>17</v>
      </c>
    </row>
    <row r="50" spans="2:51" ht="17.25" customHeight="1" x14ac:dyDescent="0.25">
      <c r="B50" s="3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3"/>
      <c r="AX50" s="31"/>
      <c r="AY50" s="29">
        <f t="shared" si="15"/>
        <v>19</v>
      </c>
    </row>
    <row r="51" spans="2:51" ht="17.25" customHeight="1" x14ac:dyDescent="0.25">
      <c r="B51" s="3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3"/>
      <c r="AX51" s="31"/>
      <c r="AY51" s="29">
        <f t="shared" si="15"/>
        <v>21</v>
      </c>
    </row>
    <row r="52" spans="2:51" ht="17.25" customHeight="1" x14ac:dyDescent="0.25">
      <c r="B52" s="3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3"/>
      <c r="AX52" s="31"/>
      <c r="AY52" s="29">
        <f t="shared" si="15"/>
        <v>23</v>
      </c>
    </row>
    <row r="53" spans="2:51" ht="17.25" customHeight="1" x14ac:dyDescent="0.25">
      <c r="B53" s="3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3"/>
      <c r="AX53" s="31"/>
      <c r="AY53" s="29">
        <f t="shared" si="15"/>
        <v>25</v>
      </c>
    </row>
    <row r="54" spans="2:51" ht="23.25" customHeight="1" x14ac:dyDescent="0.25">
      <c r="B54" s="57" t="s">
        <v>42</v>
      </c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9"/>
    </row>
    <row r="55" spans="2:51" ht="60.75" customHeight="1" x14ac:dyDescent="0.25">
      <c r="B55" s="44" t="s">
        <v>38</v>
      </c>
      <c r="C55" s="45"/>
      <c r="D55" s="45"/>
      <c r="E55" s="45"/>
      <c r="F55" s="45"/>
      <c r="G55" s="45"/>
      <c r="H55" s="45"/>
      <c r="I55" s="45"/>
      <c r="J55" s="45" t="s">
        <v>39</v>
      </c>
      <c r="K55" s="45"/>
      <c r="L55" s="45"/>
      <c r="M55" s="45"/>
      <c r="N55" s="45"/>
      <c r="O55" s="45"/>
      <c r="P55" s="48"/>
    </row>
    <row r="56" spans="2:51" x14ac:dyDescent="0.25">
      <c r="B56" s="46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9"/>
    </row>
    <row r="57" spans="2:51" ht="15" customHeight="1" x14ac:dyDescent="0.25"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</row>
    <row r="58" spans="2:51" ht="30" customHeight="1" x14ac:dyDescent="0.25">
      <c r="B58" s="43" t="s">
        <v>43</v>
      </c>
      <c r="C58" s="43"/>
      <c r="D58" s="40" t="s">
        <v>54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</row>
    <row r="59" spans="2:51" ht="30" customHeight="1" x14ac:dyDescent="0.25">
      <c r="B59" s="39" t="s">
        <v>44</v>
      </c>
      <c r="C59" s="39"/>
      <c r="D59" s="41" t="s">
        <v>51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</row>
    <row r="60" spans="2:51" ht="30" customHeight="1" x14ac:dyDescent="0.25">
      <c r="B60" s="39" t="s">
        <v>45</v>
      </c>
      <c r="C60" s="39"/>
      <c r="D60" s="41" t="s">
        <v>55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</row>
  </sheetData>
  <sheetProtection selectLockedCells="1"/>
  <protectedRanges>
    <protectedRange sqref="D7:F8 N7:P8 E9:P9" name="Intervalo1_2_1"/>
  </protectedRanges>
  <mergeCells count="77">
    <mergeCell ref="BD20:BE20"/>
    <mergeCell ref="C7:F7"/>
    <mergeCell ref="I7:P7"/>
    <mergeCell ref="C8:F8"/>
    <mergeCell ref="I8:P8"/>
    <mergeCell ref="AX40:AY40"/>
    <mergeCell ref="AM33:AN37"/>
    <mergeCell ref="AO33:AP37"/>
    <mergeCell ref="AQ33:AR37"/>
    <mergeCell ref="AS33:AT37"/>
    <mergeCell ref="AU33:AV37"/>
    <mergeCell ref="AC33:AD37"/>
    <mergeCell ref="AE33:AF37"/>
    <mergeCell ref="AG33:AH37"/>
    <mergeCell ref="AI33:AJ37"/>
    <mergeCell ref="AK33:AL37"/>
    <mergeCell ref="S33:T37"/>
    <mergeCell ref="U33:V37"/>
    <mergeCell ref="W33:X37"/>
    <mergeCell ref="Y33:Z37"/>
    <mergeCell ref="AA33:AB37"/>
    <mergeCell ref="AX21:AY21"/>
    <mergeCell ref="J20:K20"/>
    <mergeCell ref="AS14:AT18"/>
    <mergeCell ref="M19:N20"/>
    <mergeCell ref="O19:P20"/>
    <mergeCell ref="M15:P16"/>
    <mergeCell ref="M17:P18"/>
    <mergeCell ref="AI14:AJ18"/>
    <mergeCell ref="AK14:AL18"/>
    <mergeCell ref="AM14:AN18"/>
    <mergeCell ref="AO14:AP18"/>
    <mergeCell ref="AQ14:AR18"/>
    <mergeCell ref="Y14:Z18"/>
    <mergeCell ref="AA14:AB18"/>
    <mergeCell ref="AC14:AD18"/>
    <mergeCell ref="AE14:AF18"/>
    <mergeCell ref="AU14:AV18"/>
    <mergeCell ref="B9:D9"/>
    <mergeCell ref="E9:P9"/>
    <mergeCell ref="B10:D10"/>
    <mergeCell ref="E10:P10"/>
    <mergeCell ref="B11:P11"/>
    <mergeCell ref="B15:C18"/>
    <mergeCell ref="D15:G15"/>
    <mergeCell ref="H15:K15"/>
    <mergeCell ref="B13:P13"/>
    <mergeCell ref="W14:X18"/>
    <mergeCell ref="U14:V18"/>
    <mergeCell ref="AG14:AH18"/>
    <mergeCell ref="S14:T18"/>
    <mergeCell ref="B1:P1"/>
    <mergeCell ref="I3:P3"/>
    <mergeCell ref="I4:P4"/>
    <mergeCell ref="B12:P12"/>
    <mergeCell ref="B14:P14"/>
    <mergeCell ref="B32:P32"/>
    <mergeCell ref="B54:P54"/>
    <mergeCell ref="B6:P6"/>
    <mergeCell ref="B3:H3"/>
    <mergeCell ref="B4:H4"/>
    <mergeCell ref="B30:C30"/>
    <mergeCell ref="B20:C20"/>
    <mergeCell ref="D20:E20"/>
    <mergeCell ref="H20:I20"/>
    <mergeCell ref="B60:C60"/>
    <mergeCell ref="D58:P58"/>
    <mergeCell ref="D59:P59"/>
    <mergeCell ref="D60:P60"/>
    <mergeCell ref="I5:P5"/>
    <mergeCell ref="B58:C58"/>
    <mergeCell ref="B59:C59"/>
    <mergeCell ref="B55:I56"/>
    <mergeCell ref="J55:P56"/>
    <mergeCell ref="B57:P57"/>
    <mergeCell ref="B5:H5"/>
    <mergeCell ref="B31:C31"/>
  </mergeCells>
  <phoneticPr fontId="8" type="noConversion"/>
  <conditionalFormatting sqref="M21:N31">
    <cfRule type="containsErrors" dxfId="1" priority="3">
      <formula>ISERROR(M21)</formula>
    </cfRule>
  </conditionalFormatting>
  <conditionalFormatting sqref="O21:P29">
    <cfRule type="containsErrors" dxfId="0" priority="1">
      <formula>ISERROR(O21)</formula>
    </cfRule>
  </conditionalFormatting>
  <dataValidations count="2">
    <dataValidation type="list" allowBlank="1" showInputMessage="1" showErrorMessage="1" sqref="M19" xr:uid="{D4BCCAD4-5230-4225-A69E-1B955C9C6B2A}">
      <formula1>$AX$22:$AX$34</formula1>
    </dataValidation>
    <dataValidation type="list" allowBlank="1" showInputMessage="1" showErrorMessage="1" sqref="M17:P18" xr:uid="{B6B940C7-0CE7-4B18-9CE0-0AB7583BD77C}">
      <formula1>$AX$41:$AX$53</formula1>
    </dataValidation>
  </dataValidations>
  <printOptions horizontalCentered="1"/>
  <pageMargins left="0.59055118110236227" right="0.59055118110236227" top="0.78740157480314965" bottom="0.78740157480314965" header="0" footer="0"/>
  <pageSetup paperSize="9" scale="5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FR-IMOB-21_Rev00</vt:lpstr>
      <vt:lpstr>'FR-IMOB-21_Rev00'!Area_de_impressao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Maykol Mazer Dos Santos</cp:lastModifiedBy>
  <cp:lastPrinted>2023-05-04T19:52:49Z</cp:lastPrinted>
  <dcterms:created xsi:type="dcterms:W3CDTF">2021-11-09T19:14:46Z</dcterms:created>
  <dcterms:modified xsi:type="dcterms:W3CDTF">2026-08-19T17:40:07Z</dcterms:modified>
</cp:coreProperties>
</file>