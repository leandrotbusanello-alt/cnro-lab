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onitoração\_ÁREA COMUM\04 Estudos\11 Laboratório de Pavimento Asfaltico\LABORATÓRIO 2026\02. FORMULÁRIOS\"/>
    </mc:Choice>
  </mc:AlternateContent>
  <xr:revisionPtr revIDLastSave="0" documentId="13_ncr:1_{004BC792-6D52-4B00-9B89-D0353AAD0CCB}" xr6:coauthVersionLast="47" xr6:coauthVersionMax="47" xr10:uidLastSave="{00000000-0000-0000-0000-000000000000}"/>
  <bookViews>
    <workbookView xWindow="28680" yWindow="-120" windowWidth="29040" windowHeight="15720" xr2:uid="{CB44EF82-7851-40EB-9478-FE9C0EAA6069}"/>
  </bookViews>
  <sheets>
    <sheet name="FR-IMOB-46_Rev00" sheetId="9" r:id="rId1"/>
    <sheet name="VERSO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'FR-IMOB-46_Rev00'!$A$1:$X$52</definedName>
    <definedName name="_xlnm.Print_Area" localSheetId="1">VERSO!$A$1:$C$12</definedName>
    <definedName name="arei" localSheetId="1">#REF!</definedName>
    <definedName name="arei">#REF!</definedName>
    <definedName name="BI">[3]Teor!$A$3:$G$7</definedName>
    <definedName name="bica" localSheetId="1">#REF!</definedName>
    <definedName name="bica">#REF!</definedName>
    <definedName name="btt" localSheetId="1">#REF!</definedName>
    <definedName name="btt">#REF!</definedName>
    <definedName name="button_area_1" localSheetId="1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 localSheetId="1">#REF!</definedName>
    <definedName name="correção">#REF!</definedName>
    <definedName name="d" localSheetId="1">#REF!</definedName>
    <definedName name="d">#REF!</definedName>
    <definedName name="dez" localSheetId="1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 localSheetId="1">#REF!</definedName>
    <definedName name="h">#REF!</definedName>
    <definedName name="IP" localSheetId="1">[8]resumo!#REF!</definedName>
    <definedName name="IP">[8]resumo!#REF!</definedName>
    <definedName name="kp" localSheetId="1">#REF!</definedName>
    <definedName name="kp">#REF!</definedName>
    <definedName name="lab" localSheetId="1">#REF!</definedName>
    <definedName name="lab">#REF!</definedName>
    <definedName name="LL" localSheetId="1">[8]resumo!#REF!</definedName>
    <definedName name="LL">[8]resumo!#REF!</definedName>
    <definedName name="marshall" localSheetId="1">#REF!</definedName>
    <definedName name="marshall">#REF!</definedName>
    <definedName name="nove" localSheetId="1">#REF!</definedName>
    <definedName name="nove">#REF!</definedName>
    <definedName name="oito" localSheetId="1">#REF!</definedName>
    <definedName name="oito">#REF!</definedName>
    <definedName name="onze">#REF!</definedName>
    <definedName name="outr">#REF!</definedName>
    <definedName name="P">[8]resumo!#REF!</definedName>
    <definedName name="paraf" localSheetId="1">#REF!</definedName>
    <definedName name="paraf">#REF!</definedName>
    <definedName name="parcial" localSheetId="1">#REF!</definedName>
    <definedName name="parcial">#REF!</definedName>
    <definedName name="pedr" localSheetId="1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>#REF!</definedName>
    <definedName name="PRE">#N/A</definedName>
    <definedName name="Print_Area_MI">[10]ESTUDO.TRAÇO!$F$18:$U$55</definedName>
    <definedName name="ptp" localSheetId="1">#REF!</definedName>
    <definedName name="ptp">#REF!</definedName>
    <definedName name="ptt" localSheetId="1">#REF!</definedName>
    <definedName name="ptt">#REF!</definedName>
    <definedName name="quatro" localSheetId="1">#REF!</definedName>
    <definedName name="quatro">#REF!</definedName>
    <definedName name="RBV">[9]Teor!$D$11:$D$15</definedName>
    <definedName name="rodinei">[11]DOSAGEM!$D$11</definedName>
    <definedName name="s" localSheetId="1">#REF!</definedName>
    <definedName name="s">#REF!</definedName>
    <definedName name="seis" localSheetId="1">#REF!</definedName>
    <definedName name="seis">#REF!</definedName>
    <definedName name="sete" localSheetId="1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_xlnm.Print_Titles" localSheetId="0">'FR-IMOB-46_Rev00'!$5:$18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 localSheetId="1">#REF!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61" i="9" l="1"/>
  <c r="T62" i="9" s="1"/>
  <c r="T63" i="9" s="1"/>
  <c r="T64" i="9" s="1"/>
  <c r="T65" i="9" s="1"/>
  <c r="T66" i="9" s="1"/>
  <c r="T67" i="9" s="1"/>
  <c r="T68" i="9" s="1"/>
  <c r="T69" i="9" s="1"/>
  <c r="T70" i="9" s="1"/>
  <c r="T71" i="9" s="1"/>
  <c r="T72" i="9" s="1"/>
  <c r="T73" i="9" s="1"/>
  <c r="T74" i="9" s="1"/>
  <c r="T75" i="9" s="1"/>
  <c r="T76" i="9" s="1"/>
  <c r="M42" i="9" l="1"/>
  <c r="R41" i="9"/>
  <c r="P41" i="9"/>
  <c r="O41" i="9"/>
  <c r="N41" i="9"/>
  <c r="M41" i="9"/>
  <c r="Q20" i="9"/>
  <c r="U20" i="9" s="1"/>
  <c r="Q21" i="9"/>
  <c r="U21" i="9" s="1"/>
  <c r="Q22" i="9"/>
  <c r="U22" i="9" s="1"/>
  <c r="Q23" i="9"/>
  <c r="U23" i="9" s="1"/>
  <c r="Q24" i="9"/>
  <c r="U24" i="9" s="1"/>
  <c r="Q25" i="9"/>
  <c r="U25" i="9" s="1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19" i="9"/>
  <c r="U19" i="9" s="1"/>
  <c r="Z19" i="9"/>
  <c r="AA19" i="9" s="1"/>
  <c r="Z20" i="9"/>
  <c r="AA20" i="9" s="1"/>
  <c r="Z21" i="9"/>
  <c r="AA21" i="9" s="1"/>
  <c r="Z22" i="9"/>
  <c r="AA22" i="9" s="1"/>
  <c r="Z23" i="9"/>
  <c r="AA23" i="9" s="1"/>
  <c r="Z24" i="9"/>
  <c r="AA24" i="9" s="1"/>
  <c r="Z25" i="9"/>
  <c r="AA25" i="9" s="1"/>
  <c r="U33" i="9" l="1"/>
  <c r="V33" i="9"/>
  <c r="U36" i="9"/>
  <c r="V36" i="9"/>
  <c r="V32" i="9"/>
  <c r="U32" i="9"/>
  <c r="U31" i="9"/>
  <c r="V31" i="9"/>
  <c r="V30" i="9"/>
  <c r="U30" i="9"/>
  <c r="U28" i="9"/>
  <c r="V28" i="9"/>
  <c r="U35" i="9"/>
  <c r="V35" i="9"/>
  <c r="V34" i="9"/>
  <c r="U34" i="9"/>
  <c r="U29" i="9"/>
  <c r="V29" i="9"/>
  <c r="U39" i="9"/>
  <c r="V39" i="9"/>
  <c r="V27" i="9"/>
  <c r="U27" i="9"/>
  <c r="U37" i="9"/>
  <c r="V37" i="9"/>
  <c r="U38" i="9"/>
  <c r="V38" i="9"/>
  <c r="U26" i="9"/>
  <c r="V26" i="9"/>
  <c r="V25" i="9"/>
  <c r="V24" i="9"/>
  <c r="V23" i="9"/>
  <c r="V22" i="9"/>
  <c r="V21" i="9"/>
  <c r="V20" i="9"/>
  <c r="V19" i="9"/>
  <c r="Q41" i="9"/>
  <c r="W20" i="9"/>
  <c r="Z26" i="9"/>
  <c r="AA26" i="9" s="1"/>
  <c r="Z27" i="9"/>
  <c r="AA27" i="9" s="1"/>
  <c r="Z28" i="9"/>
  <c r="AA28" i="9" s="1"/>
  <c r="Z29" i="9"/>
  <c r="AA29" i="9" s="1"/>
  <c r="Z30" i="9"/>
  <c r="AA30" i="9" s="1"/>
  <c r="Z31" i="9"/>
  <c r="AA31" i="9" s="1"/>
  <c r="Z32" i="9"/>
  <c r="AA32" i="9" s="1"/>
  <c r="Z33" i="9"/>
  <c r="AA33" i="9" s="1"/>
  <c r="Z34" i="9"/>
  <c r="AA34" i="9" s="1"/>
  <c r="Z35" i="9"/>
  <c r="AA35" i="9" s="1"/>
  <c r="Z36" i="9"/>
  <c r="AA36" i="9" s="1"/>
  <c r="Z37" i="9"/>
  <c r="AA37" i="9" s="1"/>
  <c r="Z38" i="9"/>
  <c r="AA38" i="9" s="1"/>
  <c r="Z39" i="9"/>
  <c r="AA39" i="9" s="1"/>
  <c r="W21" i="9"/>
  <c r="W22" i="9"/>
  <c r="W23" i="9"/>
  <c r="W24" i="9"/>
  <c r="W25" i="9"/>
  <c r="W19" i="9"/>
  <c r="V42" i="9" l="1"/>
  <c r="V41" i="9"/>
  <c r="U42" i="9"/>
  <c r="U41" i="9"/>
  <c r="W39" i="9"/>
  <c r="T39" i="9"/>
  <c r="W38" i="9"/>
  <c r="T38" i="9"/>
  <c r="W37" i="9"/>
  <c r="T37" i="9"/>
  <c r="W36" i="9"/>
  <c r="T36" i="9"/>
  <c r="W35" i="9"/>
  <c r="T35" i="9"/>
  <c r="W34" i="9"/>
  <c r="T34" i="9"/>
  <c r="W33" i="9"/>
  <c r="T33" i="9"/>
  <c r="W32" i="9"/>
  <c r="T32" i="9"/>
  <c r="W31" i="9"/>
  <c r="T31" i="9"/>
  <c r="W30" i="9"/>
  <c r="T30" i="9"/>
  <c r="W29" i="9"/>
  <c r="T29" i="9"/>
  <c r="W28" i="9"/>
  <c r="T28" i="9"/>
  <c r="W27" i="9"/>
  <c r="T27" i="9"/>
  <c r="W26" i="9"/>
  <c r="T26" i="9"/>
  <c r="T25" i="9"/>
  <c r="T24" i="9"/>
  <c r="T23" i="9"/>
  <c r="T22" i="9"/>
  <c r="T21" i="9"/>
  <c r="T20" i="9"/>
  <c r="T19" i="9"/>
  <c r="F42" i="9" l="1"/>
  <c r="W41" i="9"/>
  <c r="P60" i="9"/>
  <c r="Q60" i="9" s="1"/>
  <c r="R60" i="9" s="1"/>
  <c r="U43" i="9" s="1"/>
  <c r="T41" i="9"/>
  <c r="W42" i="9"/>
  <c r="B20" i="9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A2" i="2"/>
  <c r="U44" i="9" l="1"/>
  <c r="W60" i="9"/>
  <c r="F44" i="9" s="1"/>
  <c r="V43" i="9"/>
  <c r="V44" i="9"/>
  <c r="M44" i="9"/>
  <c r="M43" i="9"/>
  <c r="F43" i="9"/>
  <c r="W44" i="9"/>
  <c r="W43" i="9"/>
  <c r="B32" i="9"/>
  <c r="B33" i="9" s="1"/>
  <c r="B34" i="9" s="1"/>
  <c r="B35" i="9" s="1"/>
  <c r="B36" i="9" s="1"/>
  <c r="B37" i="9" s="1"/>
  <c r="B38" i="9" s="1"/>
  <c r="B39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Maykol Mazer Dos Santos</author>
  </authors>
  <commentList>
    <comment ref="J17" authorId="0" shapeId="0" xr:uid="{12E34AEF-7483-4362-B081-D857C4D94BAE}">
      <text>
        <r>
          <rPr>
            <b/>
            <sz val="9"/>
            <color indexed="81"/>
            <rFont val="Segoe UI"/>
            <family val="2"/>
          </rPr>
          <t>Maykol Mazer Dos Santos:</t>
        </r>
        <r>
          <rPr>
            <sz val="9"/>
            <color indexed="81"/>
            <rFont val="Segoe UI"/>
            <family val="2"/>
          </rPr>
          <t xml:space="preserve">
MARQUE UM X (MAIUSCULO)</t>
        </r>
      </text>
    </comment>
  </commentList>
</comments>
</file>

<file path=xl/sharedStrings.xml><?xml version="1.0" encoding="utf-8"?>
<sst xmlns="http://schemas.openxmlformats.org/spreadsheetml/2006/main" count="122" uniqueCount="90">
  <si>
    <t>Nº O.S:</t>
  </si>
  <si>
    <t>Data do ensaio:</t>
  </si>
  <si>
    <t>Material:</t>
  </si>
  <si>
    <t>Registro da amostra:</t>
  </si>
  <si>
    <t>Procedencia material:</t>
  </si>
  <si>
    <t>Informações complementar:</t>
  </si>
  <si>
    <t>Equipamentos utilizados</t>
  </si>
  <si>
    <t>Equipamento</t>
  </si>
  <si>
    <r>
      <t xml:space="preserve">Identificação </t>
    </r>
    <r>
      <rPr>
        <sz val="10"/>
        <rFont val="Tahoma"/>
        <family val="2"/>
      </rPr>
      <t>(nº patrimonial e/ou série)</t>
    </r>
  </si>
  <si>
    <t>Balança</t>
  </si>
  <si>
    <t>Pontos de Verificação</t>
  </si>
  <si>
    <t>Verificar homogenidade da amostra</t>
  </si>
  <si>
    <t>Verificar se a balança está zerada, nivelada</t>
  </si>
  <si>
    <t xml:space="preserve">Termomêtro </t>
  </si>
  <si>
    <t>Estufa</t>
  </si>
  <si>
    <t>Verificar se a massa da amostra está de acordo com a norma</t>
  </si>
  <si>
    <t>%</t>
  </si>
  <si>
    <t>Documentos de referência</t>
  </si>
  <si>
    <t>Grau de Compactação</t>
  </si>
  <si>
    <t>Nº</t>
  </si>
  <si>
    <t>MÉDIA (X̅)  :</t>
  </si>
  <si>
    <t>DESVIO PADRÃO (S):</t>
  </si>
  <si>
    <t>N</t>
  </si>
  <si>
    <t>K</t>
  </si>
  <si>
    <t>Massa do CP seco ao ar</t>
  </si>
  <si>
    <t>Massa do CP imerso em água</t>
  </si>
  <si>
    <t>Absorção de água</t>
  </si>
  <si>
    <t>g</t>
  </si>
  <si>
    <t>X̅ - Ks:</t>
  </si>
  <si>
    <t>X̅ + Ks:</t>
  </si>
  <si>
    <t>CP</t>
  </si>
  <si>
    <t>Procedimentos do ensaio - Resumo dos Resultados</t>
  </si>
  <si>
    <t>mm</t>
  </si>
  <si>
    <t>Assinaturas</t>
  </si>
  <si>
    <t>Responsável executor:</t>
  </si>
  <si>
    <t xml:space="preserve"> Responsável calculista:</t>
  </si>
  <si>
    <t>DNIT 031 - ES - Pavimentos flexíveis - Concreto asfáltico.</t>
  </si>
  <si>
    <t>DNIT 428 - ME - Pavimentação - Misturas asfálticas – Determinação da densidade relativa aparente e da massa específica aparente de corpos de prova compactados.</t>
  </si>
  <si>
    <t>Pista</t>
  </si>
  <si>
    <t>BE</t>
  </si>
  <si>
    <t>EX</t>
  </si>
  <si>
    <t>BD</t>
  </si>
  <si>
    <t>DERSA ET-DE-P00/027 - Concreto asfáltico</t>
  </si>
  <si>
    <t>Massa do CP s.s.s.</t>
  </si>
  <si>
    <t>x</t>
  </si>
  <si>
    <t>Valores de K para análise estatística</t>
  </si>
  <si>
    <t>α</t>
  </si>
  <si>
    <t>k = coeficiente multiplicador:</t>
  </si>
  <si>
    <t>α = risco do Executante:</t>
  </si>
  <si>
    <t>número de amostras:</t>
  </si>
  <si>
    <t>Tração por compressão diametral</t>
  </si>
  <si>
    <t>MPa</t>
  </si>
  <si>
    <t>ABNT NBR 15087 - Misturas asfálticas — Determinação da resistência à tração por compressão diametral</t>
  </si>
  <si>
    <t>Espessura</t>
  </si>
  <si>
    <t xml:space="preserve">Elaborado por: </t>
  </si>
  <si>
    <t xml:space="preserve">Revisado por: </t>
  </si>
  <si>
    <t>Aprovado por:</t>
  </si>
  <si>
    <t xml:space="preserve">Samara Rodrigues 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</si>
  <si>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Concreto Asfáltico - Determinação da Densidade Aparente e Grau de Compactação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</si>
  <si>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>: FR-IMOB-46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</si>
  <si>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</si>
  <si>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>00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</si>
  <si>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</si>
  <si>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</si>
  <si>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</si>
  <si>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</si>
  <si>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</si>
  <si>
    <t>Densidade relativa aparente de projeto - Gmbl</t>
  </si>
  <si>
    <t>Densidade relativa medida máxima - Gmm</t>
  </si>
  <si>
    <t>Densidade aparente medida em campo - Gmbc</t>
  </si>
  <si>
    <t>Volume de Vazios</t>
  </si>
  <si>
    <t>RTD</t>
  </si>
  <si>
    <t>adimensional</t>
  </si>
  <si>
    <t>Rastreabilidade</t>
  </si>
  <si>
    <t>Faixa</t>
  </si>
  <si>
    <t>Lado</t>
  </si>
  <si>
    <t>Camada</t>
  </si>
  <si>
    <t>Km de Extração</t>
  </si>
  <si>
    <t>Norte</t>
  </si>
  <si>
    <t>Única</t>
  </si>
  <si>
    <t>2ª</t>
  </si>
  <si>
    <t>500+600</t>
  </si>
  <si>
    <t>01</t>
  </si>
  <si>
    <t>02</t>
  </si>
  <si>
    <t>500+620</t>
  </si>
  <si>
    <t>500+640</t>
  </si>
  <si>
    <t>500+680</t>
  </si>
  <si>
    <t>500+700</t>
  </si>
  <si>
    <t>500+800</t>
  </si>
  <si>
    <t>500+900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</si>
</sst>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#"/>
    <numFmt numFmtId="166" formatCode="0.0"/>
    <numFmt numFmtId="167" formatCode="0#.00"/>
  </numFmts>
  <fonts count="3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i/>
      <sz val="10"/>
      <color theme="1"/>
      <name val="Tahoma"/>
      <family val="2"/>
    </font>
    <font>
      <sz val="9"/>
      <name val="Tahoma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Tahoma"/>
      <family val="2"/>
    </font>
    <font>
      <sz val="8"/>
      <name val="Arial"/>
      <family val="2"/>
    </font>
    <font>
      <sz val="10"/>
      <color rgb="FF283272"/>
      <name val="Tahoma"/>
      <family val="2"/>
    </font>
    <font>
      <sz val="10"/>
      <name val="Aptos Narrow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3" fillId="0" borderId="0"/>
    <xf numFmtId="0" fontId="13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4" fillId="0" borderId="0" applyNumberFormat="0" applyFill="0" applyBorder="0" applyAlignment="0" applyProtection="0"/>
    <xf numFmtId="0" fontId="2" fillId="0" borderId="0"/>
    <xf numFmtId="0" fontId="15" fillId="0" borderId="0" applyNumberFormat="0" applyFill="0" applyBorder="0" applyAlignment="0" applyProtection="0"/>
    <xf numFmtId="0" fontId="9" fillId="0" borderId="0"/>
    <xf numFmtId="0" fontId="1" fillId="0" borderId="0"/>
    <xf numFmtId="0" fontId="1" fillId="0" borderId="0"/>
  </cellStyleXfs>
  <cellXfs count="136">
    <xf numFmtId="0" fontId="0" fillId="0" borderId="0" xfId="0"/>
    <xf numFmtId="2" fontId="7" fillId="3" borderId="10" xfId="1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4" xfId="0" applyFont="1" applyBorder="1" applyAlignment="1" applyProtection="1">
      <alignment vertical="center"/>
      <protection hidden="1"/>
    </xf>
    <xf numFmtId="0" fontId="6" fillId="0" borderId="7" xfId="0" applyFont="1" applyBorder="1" applyAlignment="1" applyProtection="1">
      <alignment vertical="center"/>
      <protection hidden="1"/>
    </xf>
    <xf numFmtId="2" fontId="7" fillId="3" borderId="6" xfId="1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 applyProtection="1">
      <alignment horizontal="left" vertical="center"/>
      <protection hidden="1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12" xfId="0" applyFont="1" applyBorder="1" applyAlignment="1" applyProtection="1">
      <alignment horizontal="center" vertical="center" wrapText="1"/>
      <protection hidden="1"/>
    </xf>
    <xf numFmtId="0" fontId="8" fillId="0" borderId="9" xfId="0" applyFont="1" applyBorder="1" applyAlignment="1">
      <alignment horizontal="center" vertical="center"/>
    </xf>
    <xf numFmtId="0" fontId="6" fillId="5" borderId="0" xfId="0" applyFont="1" applyFill="1"/>
    <xf numFmtId="0" fontId="6" fillId="0" borderId="0" xfId="2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2" fontId="8" fillId="5" borderId="13" xfId="0" applyNumberFormat="1" applyFont="1" applyFill="1" applyBorder="1" applyAlignment="1">
      <alignment horizontal="center"/>
    </xf>
    <xf numFmtId="164" fontId="8" fillId="5" borderId="13" xfId="0" applyNumberFormat="1" applyFont="1" applyFill="1" applyBorder="1" applyAlignment="1">
      <alignment horizontal="center"/>
    </xf>
    <xf numFmtId="2" fontId="6" fillId="5" borderId="14" xfId="0" applyNumberFormat="1" applyFont="1" applyFill="1" applyBorder="1" applyAlignment="1">
      <alignment horizontal="center"/>
    </xf>
    <xf numFmtId="2" fontId="8" fillId="5" borderId="14" xfId="0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10" fillId="5" borderId="0" xfId="1" applyFont="1" applyFill="1" applyAlignment="1">
      <alignment horizontal="center" vertical="top" wrapText="1"/>
    </xf>
    <xf numFmtId="0" fontId="9" fillId="5" borderId="0" xfId="1" applyFont="1" applyFill="1" applyAlignment="1">
      <alignment horizontal="left" vertical="center"/>
    </xf>
    <xf numFmtId="0" fontId="11" fillId="5" borderId="0" xfId="1" applyFont="1" applyFill="1" applyAlignment="1">
      <alignment horizontal="right" vertical="center"/>
    </xf>
    <xf numFmtId="0" fontId="6" fillId="5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6" fillId="2" borderId="16" xfId="0" applyFont="1" applyFill="1" applyBorder="1" applyAlignment="1">
      <alignment horizontal="center" vertical="center" wrapText="1"/>
    </xf>
    <xf numFmtId="0" fontId="10" fillId="5" borderId="8" xfId="1" applyFont="1" applyFill="1" applyBorder="1"/>
    <xf numFmtId="0" fontId="9" fillId="5" borderId="2" xfId="1" applyFont="1" applyFill="1" applyBorder="1"/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8" xfId="0" applyFont="1" applyBorder="1" applyAlignment="1">
      <alignment wrapText="1"/>
    </xf>
    <xf numFmtId="0" fontId="1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10" fillId="5" borderId="8" xfId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2" borderId="20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5" borderId="25" xfId="0" applyFont="1" applyFill="1" applyBorder="1"/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165" fontId="6" fillId="2" borderId="19" xfId="0" applyNumberFormat="1" applyFont="1" applyFill="1" applyBorder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2" fontId="6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8" fillId="5" borderId="0" xfId="0" applyFont="1" applyFill="1"/>
    <xf numFmtId="0" fontId="8" fillId="5" borderId="0" xfId="0" applyFont="1" applyFill="1" applyAlignment="1">
      <alignment horizontal="right"/>
    </xf>
    <xf numFmtId="0" fontId="6" fillId="0" borderId="0" xfId="0" applyFont="1" applyAlignment="1">
      <alignment wrapText="1"/>
    </xf>
    <xf numFmtId="0" fontId="6" fillId="0" borderId="8" xfId="0" applyFont="1" applyBorder="1" applyAlignment="1">
      <alignment horizontal="left" vertical="center"/>
    </xf>
    <xf numFmtId="0" fontId="10" fillId="5" borderId="0" xfId="1" applyFont="1" applyFill="1" applyAlignment="1">
      <alignment vertical="top"/>
    </xf>
    <xf numFmtId="0" fontId="6" fillId="5" borderId="0" xfId="0" applyFont="1" applyFill="1" applyAlignment="1">
      <alignment vertical="top"/>
    </xf>
    <xf numFmtId="0" fontId="10" fillId="5" borderId="27" xfId="1" applyFont="1" applyFill="1" applyBorder="1" applyAlignment="1">
      <alignment horizontal="center" vertical="top" wrapText="1"/>
    </xf>
    <xf numFmtId="166" fontId="8" fillId="5" borderId="13" xfId="0" applyNumberFormat="1" applyFont="1" applyFill="1" applyBorder="1" applyAlignment="1">
      <alignment horizontal="center"/>
    </xf>
    <xf numFmtId="167" fontId="20" fillId="0" borderId="8" xfId="0" applyNumberFormat="1" applyFont="1" applyBorder="1" applyAlignment="1">
      <alignment horizontal="left" wrapText="1"/>
    </xf>
    <xf numFmtId="0" fontId="6" fillId="5" borderId="8" xfId="0" applyFont="1" applyFill="1" applyBorder="1" applyAlignment="1">
      <alignment horizontal="right"/>
    </xf>
    <xf numFmtId="2" fontId="8" fillId="5" borderId="28" xfId="0" applyNumberFormat="1" applyFont="1" applyFill="1" applyBorder="1" applyAlignment="1">
      <alignment horizontal="center"/>
    </xf>
    <xf numFmtId="0" fontId="20" fillId="0" borderId="0" xfId="0" applyFont="1" applyAlignment="1">
      <alignment horizontal="left" wrapText="1"/>
    </xf>
    <xf numFmtId="0" fontId="6" fillId="6" borderId="19" xfId="0" applyFont="1" applyFill="1" applyBorder="1" applyAlignment="1" applyProtection="1">
      <alignment horizontal="center" vertical="center"/>
      <protection locked="0"/>
    </xf>
    <xf numFmtId="0" fontId="6" fillId="6" borderId="17" xfId="0" applyFont="1" applyFill="1" applyBorder="1" applyAlignment="1" applyProtection="1">
      <alignment horizontal="center" vertical="center"/>
      <protection locked="0"/>
    </xf>
    <xf numFmtId="0" fontId="6" fillId="6" borderId="15" xfId="0" applyFont="1" applyFill="1" applyBorder="1" applyAlignment="1" applyProtection="1">
      <alignment horizontal="center" vertical="center"/>
      <protection locked="0"/>
    </xf>
    <xf numFmtId="49" fontId="6" fillId="6" borderId="15" xfId="0" applyNumberFormat="1" applyFont="1" applyFill="1" applyBorder="1" applyAlignment="1" applyProtection="1">
      <alignment horizontal="center" vertical="center"/>
      <protection locked="0"/>
    </xf>
    <xf numFmtId="49" fontId="6" fillId="6" borderId="17" xfId="0" applyNumberFormat="1" applyFont="1" applyFill="1" applyBorder="1" applyAlignment="1" applyProtection="1">
      <alignment horizontal="center" vertical="center"/>
      <protection locked="0"/>
    </xf>
    <xf numFmtId="2" fontId="6" fillId="6" borderId="17" xfId="0" applyNumberFormat="1" applyFont="1" applyFill="1" applyBorder="1" applyAlignment="1" applyProtection="1">
      <alignment horizontal="center" vertical="center"/>
      <protection locked="0"/>
    </xf>
    <xf numFmtId="164" fontId="6" fillId="5" borderId="17" xfId="0" applyNumberFormat="1" applyFont="1" applyFill="1" applyBorder="1" applyAlignment="1" applyProtection="1">
      <alignment horizontal="center" vertical="center"/>
      <protection locked="0"/>
    </xf>
    <xf numFmtId="164" fontId="6" fillId="6" borderId="17" xfId="0" applyNumberFormat="1" applyFont="1" applyFill="1" applyBorder="1" applyAlignment="1" applyProtection="1">
      <alignment horizontal="center" vertical="center"/>
      <protection locked="0"/>
    </xf>
    <xf numFmtId="2" fontId="6" fillId="5" borderId="17" xfId="0" applyNumberFormat="1" applyFont="1" applyFill="1" applyBorder="1" applyAlignment="1">
      <alignment horizontal="center" vertical="center"/>
    </xf>
    <xf numFmtId="2" fontId="6" fillId="5" borderId="23" xfId="0" applyNumberFormat="1" applyFont="1" applyFill="1" applyBorder="1" applyAlignment="1">
      <alignment horizontal="center" vertical="center"/>
    </xf>
    <xf numFmtId="2" fontId="6" fillId="5" borderId="18" xfId="0" applyNumberFormat="1" applyFont="1" applyFill="1" applyBorder="1" applyAlignment="1">
      <alignment horizontal="center" vertical="center"/>
    </xf>
    <xf numFmtId="0" fontId="4" fillId="5" borderId="5" xfId="2" applyFont="1" applyFill="1" applyBorder="1" applyAlignment="1">
      <alignment vertical="center"/>
    </xf>
    <xf numFmtId="0" fontId="8" fillId="5" borderId="5" xfId="2" applyFont="1" applyFill="1" applyBorder="1" applyAlignment="1" applyProtection="1">
      <alignment vertical="center"/>
      <protection locked="0"/>
    </xf>
    <xf numFmtId="0" fontId="8" fillId="5" borderId="5" xfId="2" applyFont="1" applyFill="1" applyBorder="1" applyAlignment="1">
      <alignment vertical="center"/>
    </xf>
    <xf numFmtId="0" fontId="31" fillId="5" borderId="5" xfId="2" applyFont="1" applyFill="1" applyBorder="1" applyAlignment="1" applyProtection="1">
      <alignment horizontal="center" vertical="center"/>
      <protection locked="0"/>
    </xf>
    <xf numFmtId="0" fontId="31" fillId="5" borderId="5" xfId="2" applyFont="1" applyFill="1" applyBorder="1" applyAlignment="1">
      <alignment horizontal="center" vertical="center"/>
    </xf>
    <xf numFmtId="0" fontId="6" fillId="6" borderId="17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 applyProtection="1">
      <alignment horizontal="center" vertical="center"/>
      <protection locked="0"/>
    </xf>
    <xf numFmtId="0" fontId="18" fillId="0" borderId="2" xfId="0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2" borderId="20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26" fillId="0" borderId="5" xfId="3" applyFont="1" applyBorder="1" applyAlignment="1" applyProtection="1">
      <alignment vertical="center"/>
      <protection locked="0"/>
    </xf>
    <xf numFmtId="0" fontId="26" fillId="0" borderId="5" xfId="3" applyFont="1" applyBorder="1" applyAlignment="1" applyProtection="1">
      <alignment horizontal="left" vertical="center"/>
      <protection locked="0"/>
    </xf>
    <xf numFmtId="0" fontId="28" fillId="7" borderId="5" xfId="1" applyFont="1" applyFill="1" applyBorder="1" applyAlignment="1">
      <alignment horizontal="center" vertical="center"/>
    </xf>
    <xf numFmtId="0" fontId="6" fillId="0" borderId="14" xfId="1" applyFont="1" applyBorder="1" applyAlignment="1">
      <alignment horizontal="left" vertical="center" wrapText="1"/>
    </xf>
    <xf numFmtId="0" fontId="28" fillId="7" borderId="2" xfId="1" applyFont="1" applyFill="1" applyBorder="1" applyAlignment="1">
      <alignment horizontal="center" vertical="center"/>
    </xf>
    <xf numFmtId="0" fontId="6" fillId="0" borderId="13" xfId="1" applyFont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9" fillId="0" borderId="8" xfId="0" applyFont="1" applyBorder="1" applyAlignment="1">
      <alignment horizontal="right" wrapText="1"/>
    </xf>
    <xf numFmtId="0" fontId="28" fillId="7" borderId="22" xfId="1" applyFont="1" applyFill="1" applyBorder="1" applyAlignment="1">
      <alignment horizontal="center" vertical="center"/>
    </xf>
    <xf numFmtId="0" fontId="19" fillId="0" borderId="0" xfId="0" applyFont="1" applyAlignment="1">
      <alignment horizontal="right" wrapText="1"/>
    </xf>
    <xf numFmtId="0" fontId="6" fillId="5" borderId="8" xfId="0" applyFont="1" applyFill="1" applyBorder="1" applyAlignment="1">
      <alignment horizontal="right"/>
    </xf>
    <xf numFmtId="0" fontId="10" fillId="5" borderId="5" xfId="1" applyFont="1" applyFill="1" applyBorder="1" applyAlignment="1">
      <alignment horizontal="center"/>
    </xf>
    <xf numFmtId="0" fontId="8" fillId="5" borderId="0" xfId="0" applyFont="1" applyFill="1" applyAlignment="1">
      <alignment horizontal="right"/>
    </xf>
    <xf numFmtId="0" fontId="6" fillId="5" borderId="0" xfId="0" applyFont="1" applyFill="1" applyAlignment="1">
      <alignment horizontal="right"/>
    </xf>
    <xf numFmtId="0" fontId="22" fillId="0" borderId="25" xfId="0" applyFont="1" applyBorder="1" applyAlignment="1">
      <alignment horizontal="left" wrapText="1"/>
    </xf>
    <xf numFmtId="0" fontId="22" fillId="0" borderId="0" xfId="0" applyFont="1" applyAlignment="1">
      <alignment horizontal="center" vertical="center" wrapText="1"/>
    </xf>
    <xf numFmtId="0" fontId="22" fillId="0" borderId="5" xfId="0" applyFont="1" applyBorder="1" applyAlignment="1">
      <alignment vertical="center" wrapText="1"/>
    </xf>
    <xf numFmtId="0" fontId="24" fillId="0" borderId="5" xfId="3" applyFont="1" applyBorder="1" applyAlignment="1" applyProtection="1">
      <alignment horizontal="left" vertical="center" wrapText="1"/>
      <protection locked="0"/>
    </xf>
    <xf numFmtId="0" fontId="24" fillId="0" borderId="5" xfId="3" applyFont="1" applyBorder="1" applyAlignment="1" applyProtection="1">
      <alignment vertical="center" wrapText="1"/>
      <protection locked="0"/>
    </xf>
    <xf numFmtId="0" fontId="25" fillId="5" borderId="5" xfId="3" applyFont="1" applyFill="1" applyBorder="1" applyAlignment="1" applyProtection="1">
      <alignment horizontal="center" vertical="center"/>
      <protection locked="0" hidden="1"/>
    </xf>
    <xf numFmtId="2" fontId="22" fillId="5" borderId="5" xfId="3" applyNumberFormat="1" applyFont="1" applyFill="1" applyBorder="1" applyAlignment="1" applyProtection="1">
      <alignment horizontal="left" vertical="center"/>
      <protection locked="0"/>
    </xf>
    <xf numFmtId="0" fontId="24" fillId="5" borderId="5" xfId="3" applyFont="1" applyFill="1" applyBorder="1" applyAlignment="1" applyProtection="1">
      <alignment horizontal="left" vertical="center"/>
      <protection locked="0" hidden="1"/>
    </xf>
    <xf numFmtId="0" fontId="9" fillId="5" borderId="5" xfId="1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49" fontId="25" fillId="5" borderId="5" xfId="3" applyNumberFormat="1" applyFont="1" applyFill="1" applyBorder="1" applyAlignment="1" applyProtection="1">
      <alignment horizontal="center" vertical="center"/>
      <protection locked="0" hidden="1"/>
    </xf>
    <xf numFmtId="0" fontId="12" fillId="0" borderId="5" xfId="0" applyFont="1" applyBorder="1" applyAlignment="1" applyProtection="1">
      <alignment horizontal="left" vertical="center" wrapText="1"/>
      <protection hidden="1"/>
    </xf>
    <xf numFmtId="0" fontId="12" fillId="0" borderId="6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12" xfId="0" applyFont="1" applyBorder="1" applyAlignment="1" applyProtection="1">
      <alignment horizontal="center" vertical="center" wrapText="1"/>
      <protection hidden="1"/>
    </xf>
    <xf numFmtId="0" fontId="8" fillId="4" borderId="4" xfId="0" applyFont="1" applyFill="1" applyBorder="1" applyAlignment="1" applyProtection="1">
      <alignment horizontal="center" vertical="center"/>
      <protection hidden="1"/>
    </xf>
    <xf numFmtId="0" fontId="8" fillId="4" borderId="5" xfId="0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4" borderId="5" xfId="0" applyFont="1" applyFill="1" applyBorder="1" applyAlignment="1" applyProtection="1">
      <alignment horizontal="center" vertical="center"/>
      <protection hidden="1"/>
    </xf>
    <xf numFmtId="0" fontId="8" fillId="4" borderId="6" xfId="0" applyFont="1" applyFill="1" applyBorder="1" applyAlignment="1" applyProtection="1">
      <alignment horizontal="center" vertical="center"/>
      <protection hidden="1"/>
    </xf>
    <xf numFmtId="0" fontId="6" fillId="0" borderId="0" xfId="3" applyFont="1" applyAlignment="1">
      <alignment horizontal="center" vertical="center"/>
    </xf>
  </cellXfs>
  <cellStyles count="12">
    <cellStyle name="Hiperlink 2" xfId="6" xr:uid="{B758683D-B481-42C7-9C7B-E2A4DDFF6009}"/>
    <cellStyle name="Hiperlink 3" xfId="8" xr:uid="{20C28130-9197-4971-8ACD-48F7310DE944}"/>
    <cellStyle name="Normal" xfId="0" builtinId="0"/>
    <cellStyle name="Normal 2" xfId="2" xr:uid="{68E146CC-CA76-4635-8961-368D55CAA913}"/>
    <cellStyle name="Normal 2 2" xfId="3" xr:uid="{260887A5-E8DA-4971-80C3-EDC1250E58FD}"/>
    <cellStyle name="Normal 2 3" xfId="7" xr:uid="{C51E6589-9734-44F3-96DF-DA24FBDC4F0C}"/>
    <cellStyle name="Normal 3" xfId="5" xr:uid="{126FE8C3-71C1-4AEC-A658-380A7E3816AD}"/>
    <cellStyle name="Normal 4" xfId="9" xr:uid="{6224470F-46FA-44F7-86B7-504278B5D808}"/>
    <cellStyle name="Normal 5" xfId="10" xr:uid="{6ADC3640-6F24-42AC-A96F-3AEC636AF04A}"/>
    <cellStyle name="Normal 6" xfId="11" xr:uid="{D0D78E62-7437-420E-A3E6-7CCD0436FFBA}"/>
    <cellStyle name="Normal 9 2" xfId="1" xr:uid="{C5E01401-AE43-4C6F-899B-EDDF8F92AE25}"/>
    <cellStyle name="Porcentagem 2 2" xfId="4" xr:uid="{86488091-3023-4BFF-8618-020469D1C13B}"/>
  </cellStyles>
  <dxfs count="6"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00FF"/>
      <color rgb="FFD9D9D9"/>
      <color rgb="FFE6E6E6"/>
      <color rgb="FF2832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0</xdr:row>
      <xdr:rowOff>53041</xdr:rowOff>
    </xdr:from>
    <xdr:to>
      <xdr:col>22</xdr:col>
      <xdr:colOff>554290</xdr:colOff>
      <xdr:row>0</xdr:row>
      <xdr:rowOff>816385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EA65483-E3A2-4B85-AB09-26B3BA411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7828" y="53041"/>
          <a:ext cx="1465515" cy="751914"/>
        </a:xfrm>
        <a:prstGeom prst="rect">
          <a:avLst/>
        </a:prstGeom>
      </xdr:spPr>
    </xdr:pic>
    <xdr:clientData/>
  </xdr:twoCellAnchor>
  <xdr:twoCellAnchor editAs="oneCell">
    <xdr:from>
      <xdr:col>30</xdr:col>
      <xdr:colOff>7620</xdr:colOff>
      <xdr:row>23</xdr:row>
      <xdr:rowOff>20955</xdr:rowOff>
    </xdr:from>
    <xdr:to>
      <xdr:col>32</xdr:col>
      <xdr:colOff>11600</xdr:colOff>
      <xdr:row>25</xdr:row>
      <xdr:rowOff>40086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5E77892-2ED1-A335-B27E-55079999B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42870" y="8993505"/>
          <a:ext cx="1204130" cy="590631"/>
        </a:xfrm>
        <a:prstGeom prst="rect">
          <a:avLst/>
        </a:prstGeom>
      </xdr:spPr>
    </xdr:pic>
    <xdr:clientData/>
  </xdr:twoCellAnchor>
  <xdr:twoCellAnchor editAs="oneCell">
    <xdr:from>
      <xdr:col>32</xdr:col>
      <xdr:colOff>64769</xdr:colOff>
      <xdr:row>23</xdr:row>
      <xdr:rowOff>9525</xdr:rowOff>
    </xdr:from>
    <xdr:to>
      <xdr:col>34</xdr:col>
      <xdr:colOff>99059</xdr:colOff>
      <xdr:row>25</xdr:row>
      <xdr:rowOff>36276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28EE90D-5415-4CC5-5491-A629CC5C0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00169" y="8982075"/>
          <a:ext cx="1234440" cy="598251"/>
        </a:xfrm>
        <a:prstGeom prst="rect">
          <a:avLst/>
        </a:prstGeom>
      </xdr:spPr>
    </xdr:pic>
    <xdr:clientData/>
  </xdr:twoCellAnchor>
  <xdr:twoCellAnchor editAs="oneCell">
    <xdr:from>
      <xdr:col>27</xdr:col>
      <xdr:colOff>19050</xdr:colOff>
      <xdr:row>17</xdr:row>
      <xdr:rowOff>1905</xdr:rowOff>
    </xdr:from>
    <xdr:to>
      <xdr:col>37</xdr:col>
      <xdr:colOff>134204</xdr:colOff>
      <xdr:row>22</xdr:row>
      <xdr:rowOff>221226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846FBFD-9735-9993-6514-BCF849E3A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54075" y="7145655"/>
          <a:ext cx="6115904" cy="1762371"/>
        </a:xfrm>
        <a:prstGeom prst="rect">
          <a:avLst/>
        </a:prstGeom>
      </xdr:spPr>
    </xdr:pic>
    <xdr:clientData/>
  </xdr:twoCellAnchor>
  <xdr:twoCellAnchor editAs="oneCell">
    <xdr:from>
      <xdr:col>24</xdr:col>
      <xdr:colOff>316230</xdr:colOff>
      <xdr:row>16</xdr:row>
      <xdr:rowOff>270054</xdr:rowOff>
    </xdr:from>
    <xdr:to>
      <xdr:col>37</xdr:col>
      <xdr:colOff>332543</xdr:colOff>
      <xdr:row>16</xdr:row>
      <xdr:rowOff>1226977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4588553-870D-3FB3-6925-15464CADB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60705" y="6156504"/>
          <a:ext cx="6607613" cy="956923"/>
        </a:xfrm>
        <a:prstGeom prst="rect">
          <a:avLst/>
        </a:prstGeom>
      </xdr:spPr>
    </xdr:pic>
    <xdr:clientData/>
  </xdr:twoCellAnchor>
  <xdr:twoCellAnchor editAs="oneCell">
    <xdr:from>
      <xdr:col>27</xdr:col>
      <xdr:colOff>582930</xdr:colOff>
      <xdr:row>32</xdr:row>
      <xdr:rowOff>97155</xdr:rowOff>
    </xdr:from>
    <xdr:to>
      <xdr:col>30</xdr:col>
      <xdr:colOff>259286</xdr:colOff>
      <xdr:row>34</xdr:row>
      <xdr:rowOff>45793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0BE04CF-0DE9-1B4D-DDEA-696507AC4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117955" y="11641455"/>
          <a:ext cx="1476581" cy="520138"/>
        </a:xfrm>
        <a:prstGeom prst="rect">
          <a:avLst/>
        </a:prstGeom>
      </xdr:spPr>
    </xdr:pic>
    <xdr:clientData/>
  </xdr:twoCellAnchor>
  <xdr:twoCellAnchor editAs="oneCell">
    <xdr:from>
      <xdr:col>30</xdr:col>
      <xdr:colOff>333375</xdr:colOff>
      <xdr:row>30</xdr:row>
      <xdr:rowOff>247650</xdr:rowOff>
    </xdr:from>
    <xdr:to>
      <xdr:col>36</xdr:col>
      <xdr:colOff>82384</xdr:colOff>
      <xdr:row>35</xdr:row>
      <xdr:rowOff>179260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AA25F8F-8C8A-418B-07CD-C4998A2CF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668625" y="11220450"/>
          <a:ext cx="3349459" cy="1360360"/>
        </a:xfrm>
        <a:prstGeom prst="rect">
          <a:avLst/>
        </a:prstGeom>
      </xdr:spPr>
    </xdr:pic>
    <xdr:clientData/>
  </xdr:twoCellAnchor>
  <xdr:twoCellAnchor editAs="oneCell">
    <xdr:from>
      <xdr:col>27</xdr:col>
      <xdr:colOff>542925</xdr:colOff>
      <xdr:row>26</xdr:row>
      <xdr:rowOff>91440</xdr:rowOff>
    </xdr:from>
    <xdr:to>
      <xdr:col>36</xdr:col>
      <xdr:colOff>101658</xdr:colOff>
      <xdr:row>30</xdr:row>
      <xdr:rowOff>150663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B1DADD63-524C-2F88-45B3-52D2634D7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077950" y="9921240"/>
          <a:ext cx="4959408" cy="12022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396240</xdr:colOff>
          <xdr:row>9</xdr:row>
          <xdr:rowOff>30480</xdr:rowOff>
        </xdr:from>
        <xdr:to>
          <xdr:col>0</xdr:col>
          <xdr:colOff>647700</xdr:colOff>
          <xdr:row>9</xdr:row>
          <xdr:rowOff>251460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396240</xdr:colOff>
          <xdr:row>10</xdr:row>
          <xdr:rowOff>30480</xdr:rowOff>
        </xdr:from>
        <xdr:to>
          <xdr:col>0</xdr:col>
          <xdr:colOff>647700</xdr:colOff>
          <xdr:row>10</xdr:row>
          <xdr:rowOff>251460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396240</xdr:colOff>
          <xdr:row>11</xdr:row>
          <xdr:rowOff>30480</xdr:rowOff>
        </xdr:from>
        <xdr:to>
          <xdr:col>0</xdr:col>
          <xdr:colOff>647700</xdr:colOff>
          <xdr:row>11</xdr:row>
          <xdr:rowOff>251460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82827</xdr:colOff>
      <xdr:row>0</xdr:row>
      <xdr:rowOff>49696</xdr:rowOff>
    </xdr:from>
    <xdr:to>
      <xdr:col>1</xdr:col>
      <xdr:colOff>472109</xdr:colOff>
      <xdr:row>0</xdr:row>
      <xdr:rowOff>602146</xdr:rowOff>
    </xdr:to>
    <xdr:pic>
      <xdr:nvPicPr>
        <xdr:cNvPr id="8" name="Imagem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7" y="49696"/>
          <a:ext cx="1283804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  <sheetName val="eq"/>
      <sheetName val="mo"/>
      <sheetName val="Mat Asf"/>
      <sheetName val="Desmat 0,15"/>
      <sheetName val="alteração"/>
      <sheetName val="curvas_tratamento"/>
      <sheetName val="Defensas_necessidades"/>
      <sheetName val="sin_vertical_necessidades"/>
      <sheetName val="tachas_necessidades"/>
      <sheetName val="pro-08"/>
      <sheetName val="OAC_NPAV"/>
      <sheetName val="#REF"/>
      <sheetName val="RESUMO-DVOP"/>
      <sheetName val="planilha"/>
      <sheetName val="Tabela mês"/>
      <sheetName val="REAJU"/>
      <sheetName val="planilha do plano"/>
      <sheetName val="CUSTO HORÁRIO"/>
      <sheetName val="Material"/>
      <sheetName val="Mão de obra"/>
      <sheetName val="relatório"/>
      <sheetName val="A"/>
      <sheetName val="Pontes"/>
      <sheetName val="PROJETO"/>
      <sheetName val="DADOS"/>
      <sheetName val="mat"/>
      <sheetName val="Quadro Geral"/>
      <sheetName val="RELATORIO MENSAL ACOMP SERV CON"/>
      <sheetName val="DER janeiro98"/>
      <sheetName val="61M-CBMI"/>
      <sheetName val="P reaj x P atual"/>
      <sheetName val="PRANCHA"/>
      <sheetName val="SNV (2)"/>
      <sheetName val="f. mediçao"/>
      <sheetName val="fresagem de pista ago-98"/>
      <sheetName val="TPU-MARÇO_2002"/>
      <sheetName val="RESUMO"/>
      <sheetName val="ORÇAMENTO"/>
      <sheetName val="COMP"/>
      <sheetName val="CRONOGRAMA (8 MESES)"/>
      <sheetName val="CURVA ABC"/>
      <sheetName val="Mapa de Cotação"/>
      <sheetName val="BDI 21,35 NÃO DESONERADO "/>
      <sheetName val="Mobilização"/>
      <sheetName val="Página 15"/>
      <sheetName val="INVENTÁRIO"/>
      <sheetName val="medi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2">
          <cell r="A12">
            <v>1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 refreshError="1"/>
      <sheetData sheetId="102" refreshError="1"/>
      <sheetData sheetId="103"/>
      <sheetData sheetId="104"/>
      <sheetData sheetId="105">
        <row r="3">
          <cell r="A3" t="str">
            <v>LOCAL: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FD05-8740-471F-9B52-956A9EC4E162}">
  <sheetPr>
    <pageSetUpPr fitToPage="1"/>
  </sheetPr>
  <dimension ref="A1:AC76"/>
  <sheetViews>
    <sheetView showGridLines="0" tabSelected="1" view="pageBreakPreview" zoomScaleNormal="100" zoomScaleSheetLayoutView="100" workbookViewId="0">
      <selection activeCell="S27" sqref="S27"/>
    </sheetView>
  </sheetViews>
  <sheetFormatPr defaultColWidth="8.77734375" defaultRowHeight="13.2" x14ac:dyDescent="0.25"/>
  <cols>
    <col min="1" max="1" width="0.77734375" style="2" customWidth="1"/>
    <col min="2" max="2" width="7.77734375" style="11" customWidth="1"/>
    <col min="3" max="5" width="6.109375" style="11" customWidth="1"/>
    <col min="6" max="6" width="9.5546875" style="11" bestFit="1" customWidth="1"/>
    <col min="7" max="7" width="7.88671875" style="11" customWidth="1"/>
    <col min="8" max="9" width="4.77734375" style="11" customWidth="1"/>
    <col min="10" max="12" width="3.109375" style="11" customWidth="1"/>
    <col min="13" max="13" width="9" style="11" customWidth="1"/>
    <col min="14" max="14" width="8.44140625" style="11" bestFit="1" customWidth="1"/>
    <col min="15" max="15" width="10.21875" style="11" customWidth="1"/>
    <col min="16" max="16" width="9.77734375" style="11" customWidth="1"/>
    <col min="17" max="17" width="14.88671875" style="11" customWidth="1"/>
    <col min="18" max="18" width="14.21875" style="11" customWidth="1"/>
    <col min="19" max="19" width="14.44140625" style="11" customWidth="1"/>
    <col min="20" max="21" width="9.21875" style="11" customWidth="1"/>
    <col min="22" max="22" width="13" style="11" customWidth="1"/>
    <col min="23" max="23" width="11.77734375" style="11" customWidth="1"/>
    <col min="24" max="24" width="1.5546875" style="11" customWidth="1"/>
    <col min="25" max="25" width="8.5546875" style="2" customWidth="1"/>
    <col min="26" max="26" width="14" style="2" hidden="1" customWidth="1"/>
    <col min="27" max="27" width="12.77734375" style="2" hidden="1" customWidth="1"/>
    <col min="28" max="16384" width="8.77734375" style="2"/>
  </cols>
  <sheetData>
    <row r="1" spans="2:29" ht="66" customHeight="1" x14ac:dyDescent="0.25">
      <c r="B1" s="109" t="s">
        <v>58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45"/>
    </row>
    <row r="2" spans="2:29" ht="12.45" customHeight="1" x14ac:dyDescent="0.25"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</row>
    <row r="3" spans="2:29" ht="30" customHeight="1" x14ac:dyDescent="0.25">
      <c r="B3" s="111" t="s">
        <v>60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2" t="s">
        <v>59</v>
      </c>
      <c r="Q3" s="112"/>
      <c r="R3" s="112"/>
      <c r="S3" s="112"/>
      <c r="T3" s="112"/>
      <c r="U3" s="112"/>
      <c r="V3" s="112"/>
      <c r="W3" s="112"/>
    </row>
    <row r="4" spans="2:29" ht="30" customHeight="1" x14ac:dyDescent="0.25">
      <c r="B4" s="113" t="s">
        <v>64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2" t="s">
        <v>61</v>
      </c>
      <c r="Q4" s="112"/>
      <c r="R4" s="112"/>
      <c r="S4" s="112"/>
      <c r="T4" s="112"/>
      <c r="U4" s="112"/>
      <c r="V4" s="112"/>
      <c r="W4" s="112"/>
    </row>
    <row r="5" spans="2:29" s="12" customFormat="1" ht="31.5" customHeight="1" x14ac:dyDescent="0.25">
      <c r="B5" s="93" t="s">
        <v>62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4" t="s">
        <v>63</v>
      </c>
      <c r="Q5" s="94"/>
      <c r="R5" s="94"/>
      <c r="S5" s="94"/>
      <c r="T5" s="94"/>
      <c r="U5" s="94"/>
      <c r="V5" s="94"/>
      <c r="W5" s="94"/>
      <c r="X5" s="11"/>
    </row>
    <row r="6" spans="2:29" s="12" customFormat="1" ht="15" customHeight="1" x14ac:dyDescent="0.25">
      <c r="B6" s="46"/>
      <c r="C6" s="46"/>
      <c r="D6" s="46"/>
      <c r="E6" s="46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11"/>
    </row>
    <row r="7" spans="2:29" s="12" customFormat="1" ht="30" customHeight="1" x14ac:dyDescent="0.25">
      <c r="B7" s="78" t="s">
        <v>0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79" t="s">
        <v>1</v>
      </c>
      <c r="Q7" s="79"/>
      <c r="R7" s="81"/>
      <c r="S7" s="81"/>
      <c r="T7" s="81"/>
      <c r="U7" s="81"/>
      <c r="V7" s="81"/>
      <c r="W7" s="81"/>
      <c r="X7" s="11"/>
    </row>
    <row r="8" spans="2:29" s="12" customFormat="1" ht="30" customHeight="1" x14ac:dyDescent="0.25">
      <c r="B8" s="78" t="s">
        <v>2</v>
      </c>
      <c r="C8" s="78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0" t="s">
        <v>3</v>
      </c>
      <c r="Q8" s="80"/>
      <c r="R8" s="82"/>
      <c r="S8" s="82"/>
      <c r="T8" s="82"/>
      <c r="U8" s="82"/>
      <c r="V8" s="82"/>
      <c r="W8" s="82"/>
      <c r="X8" s="11"/>
    </row>
    <row r="9" spans="2:29" s="12" customFormat="1" ht="30" customHeight="1" x14ac:dyDescent="0.25">
      <c r="B9" s="78" t="s">
        <v>4</v>
      </c>
      <c r="C9" s="78"/>
      <c r="D9" s="78"/>
      <c r="E9" s="78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11"/>
    </row>
    <row r="10" spans="2:29" s="12" customFormat="1" ht="30" customHeight="1" x14ac:dyDescent="0.25">
      <c r="B10" s="78" t="s">
        <v>5</v>
      </c>
      <c r="C10" s="78"/>
      <c r="D10" s="78"/>
      <c r="E10" s="78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11"/>
    </row>
    <row r="11" spans="2:29" s="13" customFormat="1" ht="30" customHeight="1" x14ac:dyDescent="0.25">
      <c r="B11" s="97" t="s">
        <v>17</v>
      </c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11"/>
    </row>
    <row r="12" spans="2:29" s="13" customFormat="1" ht="24.6" customHeight="1" x14ac:dyDescent="0.25">
      <c r="B12" s="98" t="s">
        <v>36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11"/>
    </row>
    <row r="13" spans="2:29" s="13" customFormat="1" ht="24.6" customHeight="1" x14ac:dyDescent="0.25">
      <c r="B13" s="96" t="s">
        <v>42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11"/>
    </row>
    <row r="14" spans="2:29" s="13" customFormat="1" ht="24.6" customHeight="1" x14ac:dyDescent="0.25">
      <c r="B14" s="96" t="s">
        <v>52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11"/>
    </row>
    <row r="15" spans="2:29" s="13" customFormat="1" ht="24.6" customHeight="1" x14ac:dyDescent="0.25">
      <c r="B15" s="96" t="s">
        <v>37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11"/>
      <c r="Y15" s="135"/>
      <c r="Z15" s="135"/>
      <c r="AA15" s="135"/>
      <c r="AB15" s="135"/>
      <c r="AC15" s="135"/>
    </row>
    <row r="16" spans="2:29" ht="30" customHeight="1" x14ac:dyDescent="0.25">
      <c r="B16" s="95" t="s">
        <v>31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2:27" ht="99" customHeight="1" x14ac:dyDescent="0.25">
      <c r="B17" s="48" t="s">
        <v>30</v>
      </c>
      <c r="C17" s="90" t="s">
        <v>73</v>
      </c>
      <c r="D17" s="91"/>
      <c r="E17" s="91"/>
      <c r="F17" s="91"/>
      <c r="G17" s="91"/>
      <c r="H17" s="91"/>
      <c r="I17" s="92"/>
      <c r="J17" s="90" t="s">
        <v>38</v>
      </c>
      <c r="K17" s="91"/>
      <c r="L17" s="92"/>
      <c r="M17" s="14" t="s">
        <v>53</v>
      </c>
      <c r="N17" s="14" t="s">
        <v>24</v>
      </c>
      <c r="O17" s="14" t="s">
        <v>25</v>
      </c>
      <c r="P17" s="14" t="s">
        <v>43</v>
      </c>
      <c r="Q17" s="14" t="s">
        <v>69</v>
      </c>
      <c r="R17" s="14" t="s">
        <v>67</v>
      </c>
      <c r="S17" s="14" t="s">
        <v>68</v>
      </c>
      <c r="T17" s="14" t="s">
        <v>26</v>
      </c>
      <c r="U17" s="14" t="s">
        <v>70</v>
      </c>
      <c r="V17" s="14" t="s">
        <v>18</v>
      </c>
      <c r="W17" s="41" t="s">
        <v>50</v>
      </c>
    </row>
    <row r="18" spans="2:27" ht="31.8" customHeight="1" x14ac:dyDescent="0.25">
      <c r="B18" s="49" t="s">
        <v>19</v>
      </c>
      <c r="C18" s="84" t="s">
        <v>77</v>
      </c>
      <c r="D18" s="85"/>
      <c r="E18" s="86"/>
      <c r="F18" s="27" t="s">
        <v>74</v>
      </c>
      <c r="G18" s="27" t="s">
        <v>75</v>
      </c>
      <c r="H18" s="84" t="s">
        <v>76</v>
      </c>
      <c r="I18" s="86"/>
      <c r="J18" s="27" t="s">
        <v>39</v>
      </c>
      <c r="K18" s="27" t="s">
        <v>40</v>
      </c>
      <c r="L18" s="27" t="s">
        <v>41</v>
      </c>
      <c r="M18" s="15" t="s">
        <v>32</v>
      </c>
      <c r="N18" s="15" t="s">
        <v>27</v>
      </c>
      <c r="O18" s="15" t="s">
        <v>27</v>
      </c>
      <c r="P18" s="15" t="s">
        <v>27</v>
      </c>
      <c r="Q18" s="15" t="s">
        <v>72</v>
      </c>
      <c r="R18" s="15" t="s">
        <v>72</v>
      </c>
      <c r="S18" s="15" t="s">
        <v>72</v>
      </c>
      <c r="T18" s="15" t="s">
        <v>16</v>
      </c>
      <c r="U18" s="15" t="s">
        <v>16</v>
      </c>
      <c r="V18" s="15" t="s">
        <v>16</v>
      </c>
      <c r="W18" s="43" t="s">
        <v>51</v>
      </c>
      <c r="Y18" s="44" t="s">
        <v>71</v>
      </c>
      <c r="Z18" s="37"/>
      <c r="AA18" s="37"/>
    </row>
    <row r="19" spans="2:27" ht="22.8" customHeight="1" x14ac:dyDescent="0.25">
      <c r="B19" s="50">
        <v>1</v>
      </c>
      <c r="C19" s="87" t="s">
        <v>81</v>
      </c>
      <c r="D19" s="87"/>
      <c r="E19" s="87"/>
      <c r="F19" s="70" t="s">
        <v>82</v>
      </c>
      <c r="G19" s="69" t="s">
        <v>78</v>
      </c>
      <c r="H19" s="87" t="s">
        <v>80</v>
      </c>
      <c r="I19" s="87"/>
      <c r="J19" s="67" t="s">
        <v>44</v>
      </c>
      <c r="K19" s="67"/>
      <c r="L19" s="67"/>
      <c r="M19" s="72">
        <v>33.46</v>
      </c>
      <c r="N19" s="72">
        <v>638</v>
      </c>
      <c r="O19" s="72">
        <v>366</v>
      </c>
      <c r="P19" s="72">
        <v>641</v>
      </c>
      <c r="Q19" s="73">
        <f t="shared" ref="Q19:Q39" si="0">IF(C19="","",N19/(P19-O19))</f>
        <v>2.3199999999999998</v>
      </c>
      <c r="R19" s="74">
        <v>2.343</v>
      </c>
      <c r="S19" s="74">
        <v>2.41</v>
      </c>
      <c r="T19" s="75">
        <f t="shared" ref="T19:T39" si="1">IF(C19="","",100*(P19-N19)/(P19-O19))</f>
        <v>1.0909090909090908</v>
      </c>
      <c r="U19" s="76">
        <f>IF(Q19&lt;&gt;"",(1-(Q19/S19))*100,"")</f>
        <v>3.7344398340249052</v>
      </c>
      <c r="V19" s="76">
        <f>IF(Q19&lt;&gt;"",(Q19/R19)*100,"")</f>
        <v>99.018352539479295</v>
      </c>
      <c r="W19" s="77">
        <f t="shared" ref="W19:W25" si="2">IF(C19="","",AA19)</f>
        <v>0.9791326755033507</v>
      </c>
      <c r="Y19" s="44">
        <v>525</v>
      </c>
      <c r="Z19" s="38">
        <f>IF(Y19="","",((0.9905*Y19)+4.7547))</f>
        <v>524.7672</v>
      </c>
      <c r="AA19" s="35">
        <f t="shared" ref="AA19:AA39" si="3">IF(Z19="","",((2*(Z19*9.80665))/(PI()*100*M19)))</f>
        <v>0.9791326755033507</v>
      </c>
    </row>
    <row r="20" spans="2:27" ht="22.8" customHeight="1" x14ac:dyDescent="0.25">
      <c r="B20" s="50">
        <f>B19+1</f>
        <v>2</v>
      </c>
      <c r="C20" s="83" t="s">
        <v>84</v>
      </c>
      <c r="D20" s="83"/>
      <c r="E20" s="83"/>
      <c r="F20" s="71" t="s">
        <v>83</v>
      </c>
      <c r="G20" s="68" t="s">
        <v>78</v>
      </c>
      <c r="H20" s="83" t="s">
        <v>80</v>
      </c>
      <c r="I20" s="83"/>
      <c r="J20" s="67"/>
      <c r="K20" s="67" t="s">
        <v>44</v>
      </c>
      <c r="L20" s="67"/>
      <c r="M20" s="72">
        <v>35.46</v>
      </c>
      <c r="N20" s="72">
        <v>637</v>
      </c>
      <c r="O20" s="72">
        <v>365</v>
      </c>
      <c r="P20" s="72">
        <v>640</v>
      </c>
      <c r="Q20" s="73">
        <f t="shared" si="0"/>
        <v>2.3163636363636364</v>
      </c>
      <c r="R20" s="74">
        <v>2.343</v>
      </c>
      <c r="S20" s="74">
        <v>2.41</v>
      </c>
      <c r="T20" s="75">
        <f t="shared" si="1"/>
        <v>1.0909090909090908</v>
      </c>
      <c r="U20" s="76">
        <f t="shared" ref="U20:U39" si="4">IF(Q20&lt;&gt;"",(1-(Q20/S20))*100,"")</f>
        <v>3.8853262919652964</v>
      </c>
      <c r="V20" s="76">
        <f t="shared" ref="V20:V39" si="5">IF(Q20&lt;&gt;"",(Q20/R20)*100,"")</f>
        <v>98.863151359950336</v>
      </c>
      <c r="W20" s="77">
        <f t="shared" si="2"/>
        <v>0.70592307129324239</v>
      </c>
      <c r="Y20" s="44">
        <v>400</v>
      </c>
      <c r="Z20" s="38">
        <f t="shared" ref="Z20:Z25" si="6">IF(Y20="","",((0.9905*Y20)+4.7547))</f>
        <v>400.95470000000006</v>
      </c>
      <c r="AA20" s="35">
        <f t="shared" si="3"/>
        <v>0.70592307129324239</v>
      </c>
    </row>
    <row r="21" spans="2:27" ht="22.8" customHeight="1" x14ac:dyDescent="0.25">
      <c r="B21" s="50">
        <f>B20+1</f>
        <v>3</v>
      </c>
      <c r="C21" s="83" t="s">
        <v>85</v>
      </c>
      <c r="D21" s="83"/>
      <c r="E21" s="83"/>
      <c r="F21" s="71" t="s">
        <v>82</v>
      </c>
      <c r="G21" s="68" t="s">
        <v>78</v>
      </c>
      <c r="H21" s="83" t="s">
        <v>79</v>
      </c>
      <c r="I21" s="83"/>
      <c r="J21" s="67"/>
      <c r="K21" s="67"/>
      <c r="L21" s="67" t="s">
        <v>44</v>
      </c>
      <c r="M21" s="72">
        <v>37.409999999999997</v>
      </c>
      <c r="N21" s="72">
        <v>616</v>
      </c>
      <c r="O21" s="72">
        <v>348</v>
      </c>
      <c r="P21" s="72">
        <v>619</v>
      </c>
      <c r="Q21" s="73">
        <f t="shared" si="0"/>
        <v>2.2730627306273061</v>
      </c>
      <c r="R21" s="74">
        <v>2.343</v>
      </c>
      <c r="S21" s="74">
        <v>2.41</v>
      </c>
      <c r="T21" s="75">
        <f t="shared" si="1"/>
        <v>1.1070110701107012</v>
      </c>
      <c r="U21" s="76">
        <f t="shared" si="4"/>
        <v>5.6820443723109566</v>
      </c>
      <c r="V21" s="76">
        <f t="shared" si="5"/>
        <v>97.015054657588834</v>
      </c>
      <c r="W21" s="77">
        <f t="shared" si="2"/>
        <v>1.0922896124809274</v>
      </c>
      <c r="Y21" s="44">
        <v>656</v>
      </c>
      <c r="Z21" s="38">
        <f t="shared" si="6"/>
        <v>654.52269999999999</v>
      </c>
      <c r="AA21" s="35">
        <f t="shared" si="3"/>
        <v>1.0922896124809274</v>
      </c>
    </row>
    <row r="22" spans="2:27" ht="22.8" customHeight="1" x14ac:dyDescent="0.25">
      <c r="B22" s="50">
        <f>B21+1</f>
        <v>4</v>
      </c>
      <c r="C22" s="83" t="s">
        <v>86</v>
      </c>
      <c r="D22" s="83"/>
      <c r="E22" s="83"/>
      <c r="F22" s="71" t="s">
        <v>82</v>
      </c>
      <c r="G22" s="68" t="s">
        <v>78</v>
      </c>
      <c r="H22" s="83" t="s">
        <v>80</v>
      </c>
      <c r="I22" s="83"/>
      <c r="J22" s="67"/>
      <c r="K22" s="67" t="s">
        <v>44</v>
      </c>
      <c r="L22" s="67"/>
      <c r="M22" s="72">
        <v>39.36</v>
      </c>
      <c r="N22" s="72">
        <v>619</v>
      </c>
      <c r="O22" s="72">
        <v>355</v>
      </c>
      <c r="P22" s="72">
        <v>622</v>
      </c>
      <c r="Q22" s="73">
        <f t="shared" si="0"/>
        <v>2.3183520599250937</v>
      </c>
      <c r="R22" s="74">
        <v>2.343</v>
      </c>
      <c r="S22" s="74">
        <v>2.41</v>
      </c>
      <c r="T22" s="75">
        <f t="shared" si="1"/>
        <v>1.1235955056179776</v>
      </c>
      <c r="U22" s="76">
        <f t="shared" si="4"/>
        <v>3.8028190902450798</v>
      </c>
      <c r="V22" s="76">
        <f t="shared" si="5"/>
        <v>98.948017922539208</v>
      </c>
      <c r="W22" s="77">
        <f t="shared" si="2"/>
        <v>1.0381746545455155</v>
      </c>
      <c r="Y22" s="44">
        <v>656</v>
      </c>
      <c r="Z22" s="38">
        <f t="shared" si="6"/>
        <v>654.52269999999999</v>
      </c>
      <c r="AA22" s="35">
        <f t="shared" si="3"/>
        <v>1.0381746545455155</v>
      </c>
    </row>
    <row r="23" spans="2:27" ht="22.8" customHeight="1" x14ac:dyDescent="0.25">
      <c r="B23" s="50">
        <f>B22+1</f>
        <v>5</v>
      </c>
      <c r="C23" s="83" t="s">
        <v>87</v>
      </c>
      <c r="D23" s="83"/>
      <c r="E23" s="83"/>
      <c r="F23" s="71" t="s">
        <v>82</v>
      </c>
      <c r="G23" s="68" t="s">
        <v>78</v>
      </c>
      <c r="H23" s="83" t="s">
        <v>80</v>
      </c>
      <c r="I23" s="83"/>
      <c r="J23" s="67" t="s">
        <v>44</v>
      </c>
      <c r="K23" s="67"/>
      <c r="L23" s="67"/>
      <c r="M23" s="72">
        <v>37.4</v>
      </c>
      <c r="N23" s="72">
        <v>614</v>
      </c>
      <c r="O23" s="72">
        <v>347</v>
      </c>
      <c r="P23" s="72">
        <v>617</v>
      </c>
      <c r="Q23" s="73">
        <f t="shared" si="0"/>
        <v>2.2740740740740741</v>
      </c>
      <c r="R23" s="74">
        <v>2.343</v>
      </c>
      <c r="S23" s="74">
        <v>2.41</v>
      </c>
      <c r="T23" s="75">
        <f t="shared" si="1"/>
        <v>1.1111111111111112</v>
      </c>
      <c r="U23" s="76">
        <f t="shared" si="4"/>
        <v>5.640079913938834</v>
      </c>
      <c r="V23" s="76">
        <f t="shared" si="5"/>
        <v>97.058219123946827</v>
      </c>
      <c r="W23" s="77">
        <f t="shared" si="2"/>
        <v>1.4265728850586639</v>
      </c>
      <c r="Y23" s="44">
        <v>858</v>
      </c>
      <c r="Z23" s="38">
        <f t="shared" si="6"/>
        <v>854.6037</v>
      </c>
      <c r="AA23" s="35">
        <f t="shared" si="3"/>
        <v>1.4265728850586639</v>
      </c>
    </row>
    <row r="24" spans="2:27" ht="22.8" customHeight="1" x14ac:dyDescent="0.25">
      <c r="B24" s="50">
        <f t="shared" ref="B24:B38" si="7">B23+1</f>
        <v>6</v>
      </c>
      <c r="C24" s="83" t="s">
        <v>88</v>
      </c>
      <c r="D24" s="83"/>
      <c r="E24" s="83"/>
      <c r="F24" s="71" t="s">
        <v>82</v>
      </c>
      <c r="G24" s="68" t="s">
        <v>78</v>
      </c>
      <c r="H24" s="83" t="s">
        <v>80</v>
      </c>
      <c r="I24" s="83"/>
      <c r="J24" s="67"/>
      <c r="K24" s="67" t="s">
        <v>44</v>
      </c>
      <c r="L24" s="67"/>
      <c r="M24" s="72">
        <v>38.33</v>
      </c>
      <c r="N24" s="72">
        <v>615</v>
      </c>
      <c r="O24" s="72">
        <v>353</v>
      </c>
      <c r="P24" s="72">
        <v>618</v>
      </c>
      <c r="Q24" s="73">
        <f t="shared" si="0"/>
        <v>2.3207547169811322</v>
      </c>
      <c r="R24" s="74">
        <v>2.343</v>
      </c>
      <c r="S24" s="74">
        <v>2.41</v>
      </c>
      <c r="T24" s="75">
        <f t="shared" si="1"/>
        <v>1.1320754716981132</v>
      </c>
      <c r="U24" s="76">
        <f t="shared" si="4"/>
        <v>3.7031237767165104</v>
      </c>
      <c r="V24" s="76">
        <f t="shared" si="5"/>
        <v>99.050564105041929</v>
      </c>
      <c r="W24" s="77">
        <f t="shared" si="2"/>
        <v>0.85472943705562532</v>
      </c>
      <c r="Y24" s="44">
        <v>525</v>
      </c>
      <c r="Z24" s="38">
        <f t="shared" si="6"/>
        <v>524.7672</v>
      </c>
      <c r="AA24" s="35">
        <f t="shared" si="3"/>
        <v>0.85472943705562532</v>
      </c>
    </row>
    <row r="25" spans="2:27" ht="22.8" customHeight="1" x14ac:dyDescent="0.25">
      <c r="B25" s="50">
        <f t="shared" si="7"/>
        <v>7</v>
      </c>
      <c r="C25" s="83" t="s">
        <v>89</v>
      </c>
      <c r="D25" s="83"/>
      <c r="E25" s="83"/>
      <c r="F25" s="71" t="s">
        <v>82</v>
      </c>
      <c r="G25" s="68" t="s">
        <v>78</v>
      </c>
      <c r="H25" s="83" t="s">
        <v>80</v>
      </c>
      <c r="I25" s="83"/>
      <c r="J25" s="67"/>
      <c r="K25" s="67"/>
      <c r="L25" s="67" t="s">
        <v>44</v>
      </c>
      <c r="M25" s="72">
        <v>37.49</v>
      </c>
      <c r="N25" s="72">
        <v>626</v>
      </c>
      <c r="O25" s="72">
        <v>352</v>
      </c>
      <c r="P25" s="72">
        <v>629</v>
      </c>
      <c r="Q25" s="73">
        <f t="shared" si="0"/>
        <v>2.2599277978339352</v>
      </c>
      <c r="R25" s="74">
        <v>2.343</v>
      </c>
      <c r="S25" s="74">
        <v>2.41</v>
      </c>
      <c r="T25" s="75">
        <f t="shared" si="1"/>
        <v>1.0830324909747293</v>
      </c>
      <c r="U25" s="76">
        <f t="shared" si="4"/>
        <v>6.2270623305421102</v>
      </c>
      <c r="V25" s="76">
        <f t="shared" si="5"/>
        <v>96.454451465383499</v>
      </c>
      <c r="W25" s="77">
        <f t="shared" si="2"/>
        <v>0.99758942787176219</v>
      </c>
      <c r="Y25" s="44">
        <v>600</v>
      </c>
      <c r="Z25" s="38">
        <f t="shared" si="6"/>
        <v>599.05470000000003</v>
      </c>
      <c r="AA25" s="35">
        <f t="shared" si="3"/>
        <v>0.99758942787176219</v>
      </c>
    </row>
    <row r="26" spans="2:27" ht="22.8" customHeight="1" x14ac:dyDescent="0.25">
      <c r="B26" s="50">
        <f t="shared" si="7"/>
        <v>8</v>
      </c>
      <c r="C26" s="83"/>
      <c r="D26" s="83"/>
      <c r="E26" s="83"/>
      <c r="F26" s="71"/>
      <c r="G26" s="68"/>
      <c r="H26" s="83"/>
      <c r="I26" s="83"/>
      <c r="J26" s="67"/>
      <c r="K26" s="67"/>
      <c r="L26" s="67"/>
      <c r="M26" s="72"/>
      <c r="N26" s="72"/>
      <c r="O26" s="72"/>
      <c r="P26" s="72"/>
      <c r="Q26" s="73" t="str">
        <f t="shared" si="0"/>
        <v/>
      </c>
      <c r="R26" s="72"/>
      <c r="S26" s="72"/>
      <c r="T26" s="75" t="str">
        <f t="shared" si="1"/>
        <v/>
      </c>
      <c r="U26" s="76" t="str">
        <f t="shared" si="4"/>
        <v/>
      </c>
      <c r="V26" s="76" t="str">
        <f t="shared" si="5"/>
        <v/>
      </c>
      <c r="W26" s="77" t="str">
        <f t="shared" ref="W26:W39" si="8">IF(C26="","",Q26/R26%)</f>
        <v/>
      </c>
      <c r="Y26" s="44"/>
      <c r="Z26" s="2" t="str">
        <f>IF(Y26="","",((0.9905*Y26)+4.7547)*#REF!)</f>
        <v/>
      </c>
      <c r="AA26" s="2" t="str">
        <f t="shared" si="3"/>
        <v/>
      </c>
    </row>
    <row r="27" spans="2:27" ht="22.8" customHeight="1" x14ac:dyDescent="0.25">
      <c r="B27" s="50">
        <f t="shared" si="7"/>
        <v>9</v>
      </c>
      <c r="C27" s="83"/>
      <c r="D27" s="83"/>
      <c r="E27" s="83"/>
      <c r="F27" s="71"/>
      <c r="G27" s="68"/>
      <c r="H27" s="83"/>
      <c r="I27" s="83"/>
      <c r="J27" s="67"/>
      <c r="K27" s="67"/>
      <c r="L27" s="67"/>
      <c r="M27" s="72"/>
      <c r="N27" s="72"/>
      <c r="O27" s="72"/>
      <c r="P27" s="72"/>
      <c r="Q27" s="73" t="str">
        <f t="shared" si="0"/>
        <v/>
      </c>
      <c r="R27" s="72"/>
      <c r="S27" s="72"/>
      <c r="T27" s="75" t="str">
        <f t="shared" si="1"/>
        <v/>
      </c>
      <c r="U27" s="76" t="str">
        <f t="shared" si="4"/>
        <v/>
      </c>
      <c r="V27" s="76" t="str">
        <f t="shared" si="5"/>
        <v/>
      </c>
      <c r="W27" s="77" t="str">
        <f t="shared" si="8"/>
        <v/>
      </c>
      <c r="Y27" s="44"/>
      <c r="Z27" s="2" t="str">
        <f>IF(Y27="","",((0.9905*Y27)+4.7547)*#REF!)</f>
        <v/>
      </c>
      <c r="AA27" s="2" t="str">
        <f t="shared" si="3"/>
        <v/>
      </c>
    </row>
    <row r="28" spans="2:27" ht="22.8" customHeight="1" x14ac:dyDescent="0.25">
      <c r="B28" s="50">
        <f t="shared" si="7"/>
        <v>10</v>
      </c>
      <c r="C28" s="83"/>
      <c r="D28" s="83"/>
      <c r="E28" s="83"/>
      <c r="F28" s="71"/>
      <c r="G28" s="68"/>
      <c r="H28" s="83"/>
      <c r="I28" s="83"/>
      <c r="J28" s="67"/>
      <c r="K28" s="67"/>
      <c r="L28" s="67"/>
      <c r="M28" s="72"/>
      <c r="N28" s="72"/>
      <c r="O28" s="72"/>
      <c r="P28" s="72"/>
      <c r="Q28" s="73" t="str">
        <f t="shared" si="0"/>
        <v/>
      </c>
      <c r="R28" s="72"/>
      <c r="S28" s="72"/>
      <c r="T28" s="75" t="str">
        <f t="shared" si="1"/>
        <v/>
      </c>
      <c r="U28" s="76" t="str">
        <f t="shared" si="4"/>
        <v/>
      </c>
      <c r="V28" s="76" t="str">
        <f t="shared" si="5"/>
        <v/>
      </c>
      <c r="W28" s="77" t="str">
        <f t="shared" si="8"/>
        <v/>
      </c>
      <c r="Y28" s="44"/>
      <c r="Z28" s="2" t="str">
        <f>IF(Y28="","",((0.9905*Y28)+4.7547)*#REF!)</f>
        <v/>
      </c>
      <c r="AA28" s="2" t="str">
        <f t="shared" si="3"/>
        <v/>
      </c>
    </row>
    <row r="29" spans="2:27" ht="22.8" customHeight="1" x14ac:dyDescent="0.25">
      <c r="B29" s="50">
        <f t="shared" si="7"/>
        <v>11</v>
      </c>
      <c r="C29" s="83"/>
      <c r="D29" s="83"/>
      <c r="E29" s="83"/>
      <c r="F29" s="71"/>
      <c r="G29" s="68"/>
      <c r="H29" s="83"/>
      <c r="I29" s="83"/>
      <c r="J29" s="67"/>
      <c r="K29" s="67"/>
      <c r="L29" s="67"/>
      <c r="M29" s="72"/>
      <c r="N29" s="72"/>
      <c r="O29" s="72"/>
      <c r="P29" s="72"/>
      <c r="Q29" s="73" t="str">
        <f t="shared" si="0"/>
        <v/>
      </c>
      <c r="R29" s="72"/>
      <c r="S29" s="72"/>
      <c r="T29" s="75" t="str">
        <f t="shared" si="1"/>
        <v/>
      </c>
      <c r="U29" s="76" t="str">
        <f t="shared" si="4"/>
        <v/>
      </c>
      <c r="V29" s="76" t="str">
        <f t="shared" si="5"/>
        <v/>
      </c>
      <c r="W29" s="77" t="str">
        <f t="shared" si="8"/>
        <v/>
      </c>
      <c r="Y29" s="44"/>
      <c r="Z29" s="2" t="str">
        <f>IF(Y29="","",((0.9905*Y29)+4.7547)*#REF!)</f>
        <v/>
      </c>
      <c r="AA29" s="2" t="str">
        <f t="shared" si="3"/>
        <v/>
      </c>
    </row>
    <row r="30" spans="2:27" ht="22.8" customHeight="1" x14ac:dyDescent="0.25">
      <c r="B30" s="50">
        <f t="shared" si="7"/>
        <v>12</v>
      </c>
      <c r="C30" s="83"/>
      <c r="D30" s="83"/>
      <c r="E30" s="83"/>
      <c r="F30" s="71"/>
      <c r="G30" s="68"/>
      <c r="H30" s="83"/>
      <c r="I30" s="83"/>
      <c r="J30" s="67"/>
      <c r="K30" s="67"/>
      <c r="L30" s="67"/>
      <c r="M30" s="72"/>
      <c r="N30" s="72"/>
      <c r="O30" s="72"/>
      <c r="P30" s="72"/>
      <c r="Q30" s="73" t="str">
        <f t="shared" si="0"/>
        <v/>
      </c>
      <c r="R30" s="72"/>
      <c r="S30" s="72"/>
      <c r="T30" s="75" t="str">
        <f t="shared" si="1"/>
        <v/>
      </c>
      <c r="U30" s="76" t="str">
        <f t="shared" si="4"/>
        <v/>
      </c>
      <c r="V30" s="76" t="str">
        <f t="shared" si="5"/>
        <v/>
      </c>
      <c r="W30" s="77" t="str">
        <f t="shared" si="8"/>
        <v/>
      </c>
      <c r="Y30" s="44"/>
      <c r="Z30" s="2" t="str">
        <f>IF(Y30="","",((0.9905*Y30)+4.7547)*#REF!)</f>
        <v/>
      </c>
      <c r="AA30" s="2" t="str">
        <f t="shared" si="3"/>
        <v/>
      </c>
    </row>
    <row r="31" spans="2:27" ht="22.8" customHeight="1" x14ac:dyDescent="0.25">
      <c r="B31" s="50">
        <f t="shared" si="7"/>
        <v>13</v>
      </c>
      <c r="C31" s="83"/>
      <c r="D31" s="83"/>
      <c r="E31" s="83"/>
      <c r="F31" s="71"/>
      <c r="G31" s="68"/>
      <c r="H31" s="83"/>
      <c r="I31" s="83"/>
      <c r="J31" s="67"/>
      <c r="K31" s="67"/>
      <c r="L31" s="67"/>
      <c r="M31" s="72"/>
      <c r="N31" s="72"/>
      <c r="O31" s="72"/>
      <c r="P31" s="72"/>
      <c r="Q31" s="73" t="str">
        <f t="shared" si="0"/>
        <v/>
      </c>
      <c r="R31" s="72"/>
      <c r="S31" s="72"/>
      <c r="T31" s="75" t="str">
        <f t="shared" si="1"/>
        <v/>
      </c>
      <c r="U31" s="76" t="str">
        <f t="shared" si="4"/>
        <v/>
      </c>
      <c r="V31" s="76" t="str">
        <f t="shared" si="5"/>
        <v/>
      </c>
      <c r="W31" s="77" t="str">
        <f t="shared" si="8"/>
        <v/>
      </c>
      <c r="Y31" s="44"/>
      <c r="Z31" s="2" t="str">
        <f>IF(Y31="","",((0.9905*Y31)+4.7547)*#REF!)</f>
        <v/>
      </c>
      <c r="AA31" s="2" t="str">
        <f t="shared" si="3"/>
        <v/>
      </c>
    </row>
    <row r="32" spans="2:27" ht="22.8" customHeight="1" x14ac:dyDescent="0.25">
      <c r="B32" s="50">
        <f t="shared" si="7"/>
        <v>14</v>
      </c>
      <c r="C32" s="83"/>
      <c r="D32" s="83"/>
      <c r="E32" s="83"/>
      <c r="F32" s="71"/>
      <c r="G32" s="68"/>
      <c r="H32" s="83"/>
      <c r="I32" s="83"/>
      <c r="J32" s="67"/>
      <c r="K32" s="67"/>
      <c r="L32" s="67"/>
      <c r="M32" s="72"/>
      <c r="N32" s="72"/>
      <c r="O32" s="72"/>
      <c r="P32" s="72"/>
      <c r="Q32" s="73" t="str">
        <f t="shared" si="0"/>
        <v/>
      </c>
      <c r="R32" s="72"/>
      <c r="S32" s="72"/>
      <c r="T32" s="75" t="str">
        <f t="shared" si="1"/>
        <v/>
      </c>
      <c r="U32" s="76" t="str">
        <f t="shared" si="4"/>
        <v/>
      </c>
      <c r="V32" s="76" t="str">
        <f t="shared" si="5"/>
        <v/>
      </c>
      <c r="W32" s="77" t="str">
        <f t="shared" si="8"/>
        <v/>
      </c>
      <c r="Y32" s="44"/>
      <c r="Z32" s="2" t="str">
        <f>IF(Y32="","",((0.9905*Y32)+4.7547)*#REF!)</f>
        <v/>
      </c>
      <c r="AA32" s="2" t="str">
        <f t="shared" si="3"/>
        <v/>
      </c>
    </row>
    <row r="33" spans="1:27" ht="22.8" customHeight="1" x14ac:dyDescent="0.25">
      <c r="B33" s="50">
        <f t="shared" si="7"/>
        <v>15</v>
      </c>
      <c r="C33" s="83"/>
      <c r="D33" s="83"/>
      <c r="E33" s="83"/>
      <c r="F33" s="71"/>
      <c r="G33" s="68"/>
      <c r="H33" s="83"/>
      <c r="I33" s="83"/>
      <c r="J33" s="67"/>
      <c r="K33" s="67"/>
      <c r="L33" s="67"/>
      <c r="M33" s="72"/>
      <c r="N33" s="72"/>
      <c r="O33" s="72"/>
      <c r="P33" s="72"/>
      <c r="Q33" s="73" t="str">
        <f t="shared" si="0"/>
        <v/>
      </c>
      <c r="R33" s="72"/>
      <c r="S33" s="72"/>
      <c r="T33" s="75" t="str">
        <f t="shared" si="1"/>
        <v/>
      </c>
      <c r="U33" s="76" t="str">
        <f t="shared" si="4"/>
        <v/>
      </c>
      <c r="V33" s="76" t="str">
        <f t="shared" si="5"/>
        <v/>
      </c>
      <c r="W33" s="77" t="str">
        <f t="shared" si="8"/>
        <v/>
      </c>
      <c r="Y33" s="44"/>
      <c r="Z33" s="2" t="str">
        <f>IF(Y33="","",((0.9905*Y33)+4.7547)*#REF!)</f>
        <v/>
      </c>
      <c r="AA33" s="2" t="str">
        <f t="shared" si="3"/>
        <v/>
      </c>
    </row>
    <row r="34" spans="1:27" ht="22.8" customHeight="1" x14ac:dyDescent="0.25">
      <c r="B34" s="50">
        <f t="shared" si="7"/>
        <v>16</v>
      </c>
      <c r="C34" s="83"/>
      <c r="D34" s="83"/>
      <c r="E34" s="83"/>
      <c r="F34" s="71"/>
      <c r="G34" s="68"/>
      <c r="H34" s="83"/>
      <c r="I34" s="83"/>
      <c r="J34" s="68"/>
      <c r="K34" s="68"/>
      <c r="L34" s="68"/>
      <c r="M34" s="72"/>
      <c r="N34" s="72"/>
      <c r="O34" s="72"/>
      <c r="P34" s="72"/>
      <c r="Q34" s="73" t="str">
        <f t="shared" si="0"/>
        <v/>
      </c>
      <c r="R34" s="72"/>
      <c r="S34" s="72"/>
      <c r="T34" s="75" t="str">
        <f t="shared" si="1"/>
        <v/>
      </c>
      <c r="U34" s="76" t="str">
        <f t="shared" si="4"/>
        <v/>
      </c>
      <c r="V34" s="76" t="str">
        <f t="shared" si="5"/>
        <v/>
      </c>
      <c r="W34" s="77" t="str">
        <f t="shared" si="8"/>
        <v/>
      </c>
      <c r="Y34" s="44"/>
      <c r="Z34" s="2" t="str">
        <f>IF(Y34="","",((0.9905*Y34)+4.7547)*#REF!)</f>
        <v/>
      </c>
      <c r="AA34" s="2" t="str">
        <f t="shared" si="3"/>
        <v/>
      </c>
    </row>
    <row r="35" spans="1:27" ht="22.8" customHeight="1" x14ac:dyDescent="0.25">
      <c r="B35" s="50">
        <f>B34+1</f>
        <v>17</v>
      </c>
      <c r="C35" s="83"/>
      <c r="D35" s="83"/>
      <c r="E35" s="83"/>
      <c r="F35" s="71"/>
      <c r="G35" s="68"/>
      <c r="H35" s="83"/>
      <c r="I35" s="83"/>
      <c r="J35" s="67"/>
      <c r="K35" s="67"/>
      <c r="L35" s="67"/>
      <c r="M35" s="72"/>
      <c r="N35" s="72"/>
      <c r="O35" s="72"/>
      <c r="P35" s="72"/>
      <c r="Q35" s="73" t="str">
        <f t="shared" si="0"/>
        <v/>
      </c>
      <c r="R35" s="72"/>
      <c r="S35" s="72"/>
      <c r="T35" s="75" t="str">
        <f t="shared" si="1"/>
        <v/>
      </c>
      <c r="U35" s="76" t="str">
        <f t="shared" si="4"/>
        <v/>
      </c>
      <c r="V35" s="76" t="str">
        <f t="shared" si="5"/>
        <v/>
      </c>
      <c r="W35" s="77" t="str">
        <f t="shared" si="8"/>
        <v/>
      </c>
      <c r="Y35" s="44"/>
      <c r="Z35" s="2" t="str">
        <f>IF(Y35="","",((0.9905*Y35)+4.7547)*#REF!)</f>
        <v/>
      </c>
      <c r="AA35" s="2" t="str">
        <f t="shared" si="3"/>
        <v/>
      </c>
    </row>
    <row r="36" spans="1:27" ht="22.8" customHeight="1" x14ac:dyDescent="0.25">
      <c r="B36" s="50">
        <f t="shared" si="7"/>
        <v>18</v>
      </c>
      <c r="C36" s="83"/>
      <c r="D36" s="83"/>
      <c r="E36" s="83"/>
      <c r="F36" s="71"/>
      <c r="G36" s="68"/>
      <c r="H36" s="83"/>
      <c r="I36" s="83"/>
      <c r="J36" s="68"/>
      <c r="K36" s="68"/>
      <c r="L36" s="68"/>
      <c r="M36" s="72"/>
      <c r="N36" s="72"/>
      <c r="O36" s="72"/>
      <c r="P36" s="72"/>
      <c r="Q36" s="73" t="str">
        <f t="shared" si="0"/>
        <v/>
      </c>
      <c r="R36" s="72"/>
      <c r="S36" s="72"/>
      <c r="T36" s="75" t="str">
        <f t="shared" si="1"/>
        <v/>
      </c>
      <c r="U36" s="76" t="str">
        <f t="shared" si="4"/>
        <v/>
      </c>
      <c r="V36" s="76" t="str">
        <f t="shared" si="5"/>
        <v/>
      </c>
      <c r="W36" s="77" t="str">
        <f t="shared" si="8"/>
        <v/>
      </c>
      <c r="Y36" s="44"/>
      <c r="Z36" s="2" t="str">
        <f>IF(Y36="","",((0.9905*Y36)+4.7547)*#REF!)</f>
        <v/>
      </c>
      <c r="AA36" s="2" t="str">
        <f t="shared" si="3"/>
        <v/>
      </c>
    </row>
    <row r="37" spans="1:27" ht="22.8" customHeight="1" x14ac:dyDescent="0.25">
      <c r="B37" s="50">
        <f t="shared" si="7"/>
        <v>19</v>
      </c>
      <c r="C37" s="83"/>
      <c r="D37" s="83"/>
      <c r="E37" s="83"/>
      <c r="F37" s="71"/>
      <c r="G37" s="68"/>
      <c r="H37" s="83"/>
      <c r="I37" s="83"/>
      <c r="J37" s="67"/>
      <c r="K37" s="67"/>
      <c r="L37" s="67"/>
      <c r="M37" s="72"/>
      <c r="N37" s="72"/>
      <c r="O37" s="72"/>
      <c r="P37" s="72"/>
      <c r="Q37" s="73" t="str">
        <f t="shared" si="0"/>
        <v/>
      </c>
      <c r="R37" s="72"/>
      <c r="S37" s="72"/>
      <c r="T37" s="75" t="str">
        <f t="shared" si="1"/>
        <v/>
      </c>
      <c r="U37" s="76" t="str">
        <f t="shared" si="4"/>
        <v/>
      </c>
      <c r="V37" s="76" t="str">
        <f t="shared" si="5"/>
        <v/>
      </c>
      <c r="W37" s="77" t="str">
        <f t="shared" si="8"/>
        <v/>
      </c>
      <c r="Y37" s="44"/>
      <c r="Z37" s="2" t="str">
        <f>IF(Y37="","",((0.9905*Y37)+4.7547)*#REF!)</f>
        <v/>
      </c>
      <c r="AA37" s="2" t="str">
        <f t="shared" si="3"/>
        <v/>
      </c>
    </row>
    <row r="38" spans="1:27" ht="22.8" customHeight="1" x14ac:dyDescent="0.25">
      <c r="B38" s="50">
        <f t="shared" si="7"/>
        <v>20</v>
      </c>
      <c r="C38" s="83"/>
      <c r="D38" s="83"/>
      <c r="E38" s="83"/>
      <c r="F38" s="71"/>
      <c r="G38" s="68"/>
      <c r="H38" s="83"/>
      <c r="I38" s="83"/>
      <c r="J38" s="68"/>
      <c r="K38" s="68"/>
      <c r="L38" s="68"/>
      <c r="M38" s="72"/>
      <c r="N38" s="72"/>
      <c r="O38" s="72"/>
      <c r="P38" s="72"/>
      <c r="Q38" s="73" t="str">
        <f t="shared" si="0"/>
        <v/>
      </c>
      <c r="R38" s="72"/>
      <c r="S38" s="72"/>
      <c r="T38" s="75" t="str">
        <f t="shared" si="1"/>
        <v/>
      </c>
      <c r="U38" s="76" t="str">
        <f t="shared" si="4"/>
        <v/>
      </c>
      <c r="V38" s="76" t="str">
        <f t="shared" si="5"/>
        <v/>
      </c>
      <c r="W38" s="77" t="str">
        <f t="shared" si="8"/>
        <v/>
      </c>
      <c r="Y38" s="44"/>
      <c r="Z38" s="2" t="str">
        <f>IF(Y38="","",((0.9905*Y38)+4.7547)*#REF!)</f>
        <v/>
      </c>
      <c r="AA38" s="2" t="str">
        <f t="shared" si="3"/>
        <v/>
      </c>
    </row>
    <row r="39" spans="1:27" ht="22.8" customHeight="1" x14ac:dyDescent="0.25">
      <c r="B39" s="50">
        <f>B38+1</f>
        <v>21</v>
      </c>
      <c r="C39" s="83"/>
      <c r="D39" s="83"/>
      <c r="E39" s="83"/>
      <c r="F39" s="71"/>
      <c r="G39" s="68"/>
      <c r="H39" s="83"/>
      <c r="I39" s="83"/>
      <c r="J39" s="67"/>
      <c r="K39" s="67"/>
      <c r="L39" s="67"/>
      <c r="M39" s="72"/>
      <c r="N39" s="72"/>
      <c r="O39" s="72"/>
      <c r="P39" s="72"/>
      <c r="Q39" s="73" t="str">
        <f t="shared" si="0"/>
        <v/>
      </c>
      <c r="R39" s="72"/>
      <c r="S39" s="72"/>
      <c r="T39" s="75" t="str">
        <f t="shared" si="1"/>
        <v/>
      </c>
      <c r="U39" s="76" t="str">
        <f t="shared" si="4"/>
        <v/>
      </c>
      <c r="V39" s="76" t="str">
        <f t="shared" si="5"/>
        <v/>
      </c>
      <c r="W39" s="77" t="str">
        <f t="shared" si="8"/>
        <v/>
      </c>
      <c r="Y39" s="44"/>
      <c r="Z39" s="2" t="str">
        <f>IF(Y39="","",((0.9905*Y39)+4.7547)*#REF!)</f>
        <v/>
      </c>
      <c r="AA39" s="2" t="str">
        <f t="shared" si="3"/>
        <v/>
      </c>
    </row>
    <row r="40" spans="1:27" x14ac:dyDescent="0.25">
      <c r="B40" s="51"/>
      <c r="C40" s="52"/>
      <c r="D40" s="52"/>
      <c r="E40" s="52"/>
      <c r="F40" s="52"/>
      <c r="G40" s="52"/>
      <c r="H40" s="52"/>
      <c r="I40" s="2"/>
      <c r="J40" s="2"/>
      <c r="K40" s="2"/>
      <c r="L40" s="2"/>
      <c r="M40" s="53"/>
      <c r="N40" s="35"/>
      <c r="O40" s="53"/>
      <c r="P40" s="53"/>
      <c r="Q40" s="54"/>
      <c r="R40" s="54"/>
      <c r="S40" s="54"/>
      <c r="T40" s="53"/>
      <c r="U40" s="53"/>
      <c r="V40" s="53"/>
      <c r="W40" s="53"/>
    </row>
    <row r="41" spans="1:27" ht="22.8" customHeight="1" x14ac:dyDescent="0.25">
      <c r="B41" s="51"/>
      <c r="C41" s="2"/>
      <c r="D41" s="2"/>
      <c r="E41" s="2"/>
      <c r="F41" s="2"/>
      <c r="G41" s="55"/>
      <c r="H41" s="56"/>
      <c r="I41" s="107" t="s">
        <v>20</v>
      </c>
      <c r="J41" s="107"/>
      <c r="K41" s="107"/>
      <c r="L41" s="107"/>
      <c r="M41" s="16">
        <f t="shared" ref="M41:R41" si="9">IF(M19="","",AVERAGE(M19:M40))</f>
        <v>36.987142857142864</v>
      </c>
      <c r="N41" s="16">
        <f t="shared" si="9"/>
        <v>623.57142857142856</v>
      </c>
      <c r="O41" s="16">
        <f t="shared" si="9"/>
        <v>355.14285714285717</v>
      </c>
      <c r="P41" s="16">
        <f t="shared" si="9"/>
        <v>626.57142857142856</v>
      </c>
      <c r="Q41" s="17">
        <f t="shared" si="9"/>
        <v>2.2975050022578825</v>
      </c>
      <c r="R41" s="17">
        <f t="shared" si="9"/>
        <v>2.343</v>
      </c>
      <c r="S41" s="17"/>
      <c r="T41" s="16">
        <f>IF(T19="","",AVERAGE(T19:T40))</f>
        <v>1.1055205473329734</v>
      </c>
      <c r="U41" s="62">
        <f>IF(U19="","",AVERAGE(U19:U40))</f>
        <v>4.6678422299633846</v>
      </c>
      <c r="V41" s="62">
        <f>IF(V19="","",AVERAGE(V19:V40))</f>
        <v>98.058258739132853</v>
      </c>
      <c r="W41" s="62">
        <f>IF(W19="","",AVERAGE(W19:W40))</f>
        <v>1.0134873948298697</v>
      </c>
    </row>
    <row r="42" spans="1:27" ht="22.8" customHeight="1" x14ac:dyDescent="0.25">
      <c r="B42" s="104" t="s">
        <v>49</v>
      </c>
      <c r="C42" s="104"/>
      <c r="D42" s="104"/>
      <c r="E42" s="104"/>
      <c r="F42" s="66">
        <f>COUNT(W19:W40)</f>
        <v>7</v>
      </c>
      <c r="G42" s="57"/>
      <c r="H42" s="108" t="s">
        <v>21</v>
      </c>
      <c r="I42" s="108"/>
      <c r="J42" s="108"/>
      <c r="K42" s="108"/>
      <c r="L42" s="108"/>
      <c r="M42" s="18">
        <f>IF(M19="","",STDEV(M19:M40))</f>
        <v>1.9497325823961447</v>
      </c>
      <c r="N42" s="18"/>
      <c r="O42" s="18"/>
      <c r="P42" s="18"/>
      <c r="Q42" s="18"/>
      <c r="R42" s="18"/>
      <c r="S42" s="18"/>
      <c r="T42" s="18"/>
      <c r="U42" s="18">
        <f>IF(U19="","",STDEV(U19:U40))</f>
        <v>1.1230566454978252</v>
      </c>
      <c r="V42" s="18">
        <f>IF(V19="","",STDEV(V19:V40))</f>
        <v>1.1551713681817117</v>
      </c>
      <c r="W42" s="18">
        <f>IF(W19="","",STDEV(W19:W40))</f>
        <v>0.22311871537336053</v>
      </c>
    </row>
    <row r="43" spans="1:27" ht="22.8" customHeight="1" x14ac:dyDescent="0.25">
      <c r="B43" s="104" t="s">
        <v>47</v>
      </c>
      <c r="C43" s="104"/>
      <c r="D43" s="104"/>
      <c r="E43" s="104"/>
      <c r="F43" s="66">
        <f>R60</f>
        <v>1.36</v>
      </c>
      <c r="G43" s="57"/>
      <c r="H43" s="108" t="s">
        <v>28</v>
      </c>
      <c r="I43" s="108"/>
      <c r="J43" s="108"/>
      <c r="K43" s="108"/>
      <c r="L43" s="108"/>
      <c r="M43" s="19">
        <f>IF(M41="","",M41-$R$60*M42)</f>
        <v>34.335506545084108</v>
      </c>
      <c r="N43" s="19"/>
      <c r="O43" s="19"/>
      <c r="P43" s="19"/>
      <c r="Q43" s="19"/>
      <c r="R43" s="19"/>
      <c r="S43" s="19"/>
      <c r="T43" s="19"/>
      <c r="U43" s="19">
        <f>IF(U41="","",U41-$R$60*U42)</f>
        <v>3.1404851920863424</v>
      </c>
      <c r="V43" s="19">
        <f>IF(V41="","",V41-$R$60*V42)</f>
        <v>96.487225678405721</v>
      </c>
      <c r="W43" s="19">
        <f>IF(W41="","",W41-$R$60*W42)</f>
        <v>0.71004594192209936</v>
      </c>
    </row>
    <row r="44" spans="1:27" ht="22.8" customHeight="1" x14ac:dyDescent="0.25">
      <c r="B44" s="102" t="s">
        <v>48</v>
      </c>
      <c r="C44" s="102"/>
      <c r="D44" s="102"/>
      <c r="E44" s="102"/>
      <c r="F44" s="63">
        <f>W60</f>
        <v>0.3</v>
      </c>
      <c r="G44" s="32"/>
      <c r="H44" s="64"/>
      <c r="I44" s="105" t="s">
        <v>29</v>
      </c>
      <c r="J44" s="105"/>
      <c r="K44" s="105"/>
      <c r="L44" s="105"/>
      <c r="M44" s="65">
        <f>IF(M41="","",M41+($R$60*M42))</f>
        <v>39.638779169201619</v>
      </c>
      <c r="N44" s="65"/>
      <c r="O44" s="65"/>
      <c r="P44" s="65"/>
      <c r="Q44" s="65"/>
      <c r="R44" s="65"/>
      <c r="S44" s="65"/>
      <c r="T44" s="65"/>
      <c r="U44" s="65">
        <f>IF(U41="","",U41+($R$60*U42))</f>
        <v>6.1951992678404268</v>
      </c>
      <c r="V44" s="65">
        <f>IF(V41="","",V41+($R$60*V42))</f>
        <v>99.629291799859985</v>
      </c>
      <c r="W44" s="65">
        <f>IF(W41="","",W41+($R$60*W42))</f>
        <v>1.31692884773764</v>
      </c>
    </row>
    <row r="45" spans="1:27" s="11" customFormat="1" x14ac:dyDescent="0.25">
      <c r="A45" s="2"/>
      <c r="B45" s="95" t="s">
        <v>33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103"/>
      <c r="Y45" s="2"/>
    </row>
    <row r="46" spans="1:27" s="20" customFormat="1" ht="87.6" customHeight="1" x14ac:dyDescent="0.25">
      <c r="A46" s="2"/>
      <c r="B46" s="29"/>
      <c r="C46" s="117"/>
      <c r="D46" s="117"/>
      <c r="E46" s="117"/>
      <c r="F46" s="117"/>
      <c r="G46" s="117"/>
      <c r="H46" s="117"/>
      <c r="I46" s="117"/>
      <c r="J46" s="117"/>
      <c r="K46" s="29"/>
      <c r="L46" s="29"/>
      <c r="M46" s="29"/>
      <c r="N46" s="29"/>
      <c r="O46" s="29"/>
      <c r="P46" s="118"/>
      <c r="Q46" s="118"/>
      <c r="R46" s="118"/>
      <c r="S46" s="118"/>
      <c r="T46" s="118"/>
      <c r="U46" s="42"/>
      <c r="V46" s="30"/>
      <c r="W46" s="39"/>
      <c r="X46" s="11"/>
      <c r="Y46" s="2"/>
    </row>
    <row r="47" spans="1:27" s="20" customFormat="1" ht="28.8" customHeight="1" x14ac:dyDescent="0.25">
      <c r="A47" s="2"/>
      <c r="B47" s="58"/>
      <c r="C47" s="106" t="s">
        <v>34</v>
      </c>
      <c r="D47" s="106"/>
      <c r="E47" s="106"/>
      <c r="F47" s="106"/>
      <c r="G47" s="106"/>
      <c r="H47" s="106"/>
      <c r="I47" s="106"/>
      <c r="J47" s="106"/>
      <c r="K47" s="28"/>
      <c r="L47" s="28"/>
      <c r="M47" s="28"/>
      <c r="N47" s="28"/>
      <c r="O47" s="28"/>
      <c r="P47" s="106" t="s">
        <v>35</v>
      </c>
      <c r="Q47" s="106"/>
      <c r="R47" s="106"/>
      <c r="S47" s="106"/>
      <c r="T47" s="106"/>
      <c r="U47" s="36"/>
      <c r="V47" s="36"/>
      <c r="W47" s="40"/>
      <c r="X47" s="11"/>
      <c r="Y47" s="2"/>
    </row>
    <row r="48" spans="1:27" s="20" customFormat="1" ht="15" customHeight="1" x14ac:dyDescent="0.25">
      <c r="A48" s="2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60"/>
      <c r="R48" s="60"/>
      <c r="S48" s="60"/>
      <c r="T48" s="59"/>
      <c r="U48" s="59"/>
      <c r="V48" s="59"/>
      <c r="W48" s="59"/>
      <c r="X48" s="11"/>
      <c r="Y48" s="2"/>
    </row>
    <row r="49" spans="1:26" s="20" customFormat="1" ht="41.4" customHeight="1" x14ac:dyDescent="0.25">
      <c r="A49" s="2"/>
      <c r="B49" s="119" t="s">
        <v>54</v>
      </c>
      <c r="C49" s="119"/>
      <c r="D49" s="115" t="s">
        <v>65</v>
      </c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"/>
      <c r="Y49" s="2"/>
    </row>
    <row r="50" spans="1:26" s="20" customFormat="1" ht="41.4" customHeight="1" x14ac:dyDescent="0.25">
      <c r="A50" s="2"/>
      <c r="B50" s="114" t="s">
        <v>55</v>
      </c>
      <c r="C50" s="114"/>
      <c r="D50" s="116" t="s">
        <v>57</v>
      </c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"/>
      <c r="Y50" s="2"/>
    </row>
    <row r="51" spans="1:26" s="20" customFormat="1" ht="41.4" customHeight="1" x14ac:dyDescent="0.25">
      <c r="A51" s="2"/>
      <c r="B51" s="114" t="s">
        <v>56</v>
      </c>
      <c r="C51" s="114"/>
      <c r="D51" s="116" t="s">
        <v>66</v>
      </c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"/>
    </row>
    <row r="52" spans="1:26" s="20" customFormat="1" ht="6.75" customHeight="1" thickBot="1" x14ac:dyDescent="0.3"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</row>
    <row r="53" spans="1:26" s="20" customFormat="1" ht="6.75" hidden="1" customHeight="1" thickBot="1" x14ac:dyDescent="0.3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spans="1:26" s="20" customFormat="1" ht="6.75" customHeight="1" x14ac:dyDescent="0.25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6" s="20" customFormat="1" ht="9" customHeight="1" x14ac:dyDescent="0.25">
      <c r="B55" s="22"/>
      <c r="C55" s="22"/>
      <c r="D55" s="22"/>
      <c r="E55" s="22"/>
      <c r="F55" s="22"/>
      <c r="G55" s="22"/>
      <c r="H55" s="22"/>
      <c r="I55" s="23"/>
      <c r="J55" s="23"/>
      <c r="K55" s="23"/>
      <c r="L55" s="23"/>
      <c r="M55" s="23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8" spans="1:26" x14ac:dyDescent="0.25">
      <c r="P58" s="99" t="s">
        <v>45</v>
      </c>
      <c r="Q58" s="100"/>
      <c r="R58" s="100"/>
      <c r="S58" s="100"/>
      <c r="T58" s="100"/>
      <c r="U58" s="100"/>
      <c r="V58" s="100"/>
      <c r="W58" s="100"/>
      <c r="X58" s="100"/>
      <c r="Y58" s="100"/>
      <c r="Z58" s="101"/>
    </row>
    <row r="59" spans="1:26" ht="13.8" x14ac:dyDescent="0.3">
      <c r="P59" s="31" t="s">
        <v>22</v>
      </c>
      <c r="Q59" s="31" t="s">
        <v>22</v>
      </c>
      <c r="R59" s="31" t="s">
        <v>23</v>
      </c>
      <c r="S59" s="31"/>
      <c r="T59" s="31" t="s">
        <v>22</v>
      </c>
      <c r="U59" s="31" t="s">
        <v>23</v>
      </c>
      <c r="V59" s="33" t="s">
        <v>46</v>
      </c>
      <c r="W59" s="88" t="s">
        <v>46</v>
      </c>
      <c r="X59" s="88"/>
      <c r="Y59" s="88"/>
    </row>
    <row r="60" spans="1:26" x14ac:dyDescent="0.25">
      <c r="P60" s="25">
        <f>COUNT(W19:W39)</f>
        <v>7</v>
      </c>
      <c r="Q60" s="25">
        <f>IF(P60&lt;5,5,IF(P60&gt;21,21,P60))</f>
        <v>7</v>
      </c>
      <c r="R60" s="25">
        <f>VLOOKUP(Q60,T60:U76,2,FALSE)</f>
        <v>1.36</v>
      </c>
      <c r="S60" s="25"/>
      <c r="T60" s="25">
        <v>5</v>
      </c>
      <c r="U60" s="25">
        <v>1.55</v>
      </c>
      <c r="V60" s="34">
        <v>0.45</v>
      </c>
      <c r="W60" s="89">
        <f>VLOOKUP(R60,U60:V75,2,FALSE)</f>
        <v>0.3</v>
      </c>
      <c r="X60" s="89"/>
      <c r="Y60" s="89"/>
    </row>
    <row r="61" spans="1:26" x14ac:dyDescent="0.25">
      <c r="P61" s="25"/>
      <c r="Q61" s="25"/>
      <c r="R61" s="25"/>
      <c r="S61" s="25"/>
      <c r="T61" s="25">
        <f t="shared" ref="T61:T76" si="10">T60+1</f>
        <v>6</v>
      </c>
      <c r="U61" s="25">
        <v>1.41</v>
      </c>
      <c r="V61" s="34">
        <v>0.35</v>
      </c>
      <c r="W61" s="34"/>
      <c r="X61" s="34"/>
    </row>
    <row r="62" spans="1:26" x14ac:dyDescent="0.25">
      <c r="P62" s="25"/>
      <c r="Q62" s="25"/>
      <c r="R62" s="25"/>
      <c r="S62" s="25"/>
      <c r="T62" s="25">
        <f t="shared" si="10"/>
        <v>7</v>
      </c>
      <c r="U62" s="25">
        <v>1.36</v>
      </c>
      <c r="V62" s="34">
        <v>0.3</v>
      </c>
      <c r="W62" s="34"/>
      <c r="X62" s="34"/>
    </row>
    <row r="63" spans="1:26" x14ac:dyDescent="0.25">
      <c r="P63" s="25"/>
      <c r="Q63" s="25"/>
      <c r="R63" s="25"/>
      <c r="S63" s="25"/>
      <c r="T63" s="25">
        <f t="shared" si="10"/>
        <v>8</v>
      </c>
      <c r="U63" s="25">
        <v>1.31</v>
      </c>
      <c r="V63" s="34">
        <v>0.25</v>
      </c>
      <c r="W63" s="34"/>
      <c r="X63" s="34"/>
    </row>
    <row r="64" spans="1:26" x14ac:dyDescent="0.25">
      <c r="P64" s="25"/>
      <c r="Q64" s="25"/>
      <c r="R64" s="25"/>
      <c r="S64" s="25"/>
      <c r="T64" s="25">
        <f t="shared" si="10"/>
        <v>9</v>
      </c>
      <c r="U64" s="25">
        <v>1.25</v>
      </c>
      <c r="V64" s="34">
        <v>0.19</v>
      </c>
      <c r="W64" s="34"/>
      <c r="X64" s="34"/>
    </row>
    <row r="65" spans="16:24" x14ac:dyDescent="0.25">
      <c r="P65" s="25"/>
      <c r="Q65" s="25"/>
      <c r="R65" s="25"/>
      <c r="S65" s="25"/>
      <c r="T65" s="25">
        <f t="shared" si="10"/>
        <v>10</v>
      </c>
      <c r="U65" s="25">
        <v>1.21</v>
      </c>
      <c r="V65" s="34">
        <v>0.15</v>
      </c>
      <c r="W65" s="34"/>
      <c r="X65" s="34"/>
    </row>
    <row r="66" spans="16:24" x14ac:dyDescent="0.25">
      <c r="P66" s="25"/>
      <c r="Q66" s="25"/>
      <c r="R66" s="25"/>
      <c r="S66" s="25"/>
      <c r="T66" s="25">
        <f t="shared" si="10"/>
        <v>11</v>
      </c>
      <c r="U66" s="25">
        <v>1.19</v>
      </c>
      <c r="V66" s="34">
        <v>0.13</v>
      </c>
      <c r="W66" s="34"/>
      <c r="X66" s="34"/>
    </row>
    <row r="67" spans="16:24" x14ac:dyDescent="0.25">
      <c r="P67" s="25"/>
      <c r="Q67" s="25"/>
      <c r="R67" s="25"/>
      <c r="S67" s="25"/>
      <c r="T67" s="25">
        <f t="shared" si="10"/>
        <v>12</v>
      </c>
      <c r="U67" s="25">
        <v>1.1599999999999999</v>
      </c>
      <c r="V67" s="34">
        <v>0.1</v>
      </c>
      <c r="W67" s="34"/>
      <c r="X67" s="34"/>
    </row>
    <row r="68" spans="16:24" x14ac:dyDescent="0.25">
      <c r="P68" s="25"/>
      <c r="Q68" s="25"/>
      <c r="R68" s="25"/>
      <c r="S68" s="25"/>
      <c r="T68" s="25">
        <f t="shared" si="10"/>
        <v>13</v>
      </c>
      <c r="U68" s="25">
        <v>1.1299999999999999</v>
      </c>
      <c r="V68" s="34">
        <v>0.08</v>
      </c>
      <c r="W68" s="34"/>
      <c r="X68" s="34"/>
    </row>
    <row r="69" spans="16:24" x14ac:dyDescent="0.25">
      <c r="P69" s="25"/>
      <c r="Q69" s="25"/>
      <c r="R69" s="25"/>
      <c r="S69" s="25"/>
      <c r="T69" s="25">
        <f t="shared" si="10"/>
        <v>14</v>
      </c>
      <c r="U69" s="25">
        <v>1.1100000000000001</v>
      </c>
      <c r="V69" s="34">
        <v>0.06</v>
      </c>
      <c r="W69" s="34"/>
      <c r="X69" s="34"/>
    </row>
    <row r="70" spans="16:24" x14ac:dyDescent="0.25">
      <c r="P70" s="25"/>
      <c r="Q70" s="26"/>
      <c r="R70" s="25"/>
      <c r="S70" s="25"/>
      <c r="T70" s="25">
        <f t="shared" si="10"/>
        <v>15</v>
      </c>
      <c r="U70" s="25">
        <v>1.1000000000000001</v>
      </c>
      <c r="V70" s="34">
        <v>0.05</v>
      </c>
      <c r="W70" s="34"/>
      <c r="X70" s="34"/>
    </row>
    <row r="71" spans="16:24" x14ac:dyDescent="0.25">
      <c r="P71" s="25"/>
      <c r="Q71" s="26"/>
      <c r="R71" s="25"/>
      <c r="S71" s="25"/>
      <c r="T71" s="25">
        <f t="shared" si="10"/>
        <v>16</v>
      </c>
      <c r="U71" s="25">
        <v>1.08</v>
      </c>
      <c r="V71" s="34">
        <v>0.04</v>
      </c>
      <c r="W71" s="34"/>
      <c r="X71" s="34"/>
    </row>
    <row r="72" spans="16:24" x14ac:dyDescent="0.25">
      <c r="P72" s="25"/>
      <c r="Q72" s="25"/>
      <c r="R72" s="25"/>
      <c r="S72" s="25"/>
      <c r="T72" s="25">
        <f t="shared" si="10"/>
        <v>17</v>
      </c>
      <c r="U72" s="25">
        <v>1.06</v>
      </c>
      <c r="V72" s="34">
        <v>0.03</v>
      </c>
      <c r="W72" s="34"/>
      <c r="X72" s="34"/>
    </row>
    <row r="73" spans="16:24" x14ac:dyDescent="0.25">
      <c r="P73" s="25"/>
      <c r="Q73" s="25"/>
      <c r="R73" s="25"/>
      <c r="S73" s="25"/>
      <c r="T73" s="25">
        <f t="shared" si="10"/>
        <v>18</v>
      </c>
      <c r="U73" s="25">
        <v>1.05</v>
      </c>
      <c r="V73" s="34">
        <v>2.5000000000000001E-2</v>
      </c>
      <c r="W73" s="34"/>
      <c r="X73" s="34"/>
    </row>
    <row r="74" spans="16:24" x14ac:dyDescent="0.25">
      <c r="P74" s="25"/>
      <c r="Q74" s="25"/>
      <c r="R74" s="25"/>
      <c r="S74" s="25"/>
      <c r="T74" s="25">
        <f t="shared" si="10"/>
        <v>19</v>
      </c>
      <c r="U74" s="25">
        <v>1.04</v>
      </c>
      <c r="V74" s="34">
        <v>0.02</v>
      </c>
      <c r="W74" s="34"/>
      <c r="X74" s="34"/>
    </row>
    <row r="75" spans="16:24" x14ac:dyDescent="0.25">
      <c r="P75" s="25"/>
      <c r="Q75" s="25"/>
      <c r="R75" s="25"/>
      <c r="S75" s="25"/>
      <c r="T75" s="25">
        <f t="shared" si="10"/>
        <v>20</v>
      </c>
      <c r="U75" s="25">
        <v>1.0249999999999999</v>
      </c>
      <c r="V75" s="34">
        <v>1.4999999999999999E-2</v>
      </c>
      <c r="W75" s="34"/>
      <c r="X75" s="34"/>
    </row>
    <row r="76" spans="16:24" x14ac:dyDescent="0.25">
      <c r="P76" s="25"/>
      <c r="Q76" s="25"/>
      <c r="R76" s="25"/>
      <c r="S76" s="25"/>
      <c r="T76" s="25">
        <f t="shared" si="10"/>
        <v>21</v>
      </c>
      <c r="U76" s="25">
        <v>1.01</v>
      </c>
      <c r="V76" s="34">
        <v>0.01</v>
      </c>
      <c r="W76" s="34"/>
      <c r="X76" s="34"/>
    </row>
  </sheetData>
  <sheetProtection selectLockedCells="1"/>
  <protectedRanges>
    <protectedRange sqref="D7:H8 I9:M10 P9:W10" name="Intervalo1_4"/>
  </protectedRanges>
  <mergeCells count="88">
    <mergeCell ref="Y15:AC15"/>
    <mergeCell ref="B1:W1"/>
    <mergeCell ref="B2:W2"/>
    <mergeCell ref="B3:O3"/>
    <mergeCell ref="P3:W3"/>
    <mergeCell ref="B4:O4"/>
    <mergeCell ref="P4:W4"/>
    <mergeCell ref="I41:L41"/>
    <mergeCell ref="H42:L42"/>
    <mergeCell ref="H43:L43"/>
    <mergeCell ref="C31:E31"/>
    <mergeCell ref="C32:E32"/>
    <mergeCell ref="C33:E33"/>
    <mergeCell ref="C34:E34"/>
    <mergeCell ref="C35:E35"/>
    <mergeCell ref="C36:E36"/>
    <mergeCell ref="C37:E37"/>
    <mergeCell ref="P58:Z58"/>
    <mergeCell ref="B44:E44"/>
    <mergeCell ref="B45:W45"/>
    <mergeCell ref="B43:E43"/>
    <mergeCell ref="B42:E42"/>
    <mergeCell ref="I44:L44"/>
    <mergeCell ref="C47:J47"/>
    <mergeCell ref="P47:T47"/>
    <mergeCell ref="B51:C51"/>
    <mergeCell ref="D49:W49"/>
    <mergeCell ref="D50:W50"/>
    <mergeCell ref="D51:W51"/>
    <mergeCell ref="C46:J46"/>
    <mergeCell ref="P46:T46"/>
    <mergeCell ref="B49:C49"/>
    <mergeCell ref="B50:C50"/>
    <mergeCell ref="B5:O5"/>
    <mergeCell ref="P5:W5"/>
    <mergeCell ref="J17:L17"/>
    <mergeCell ref="B16:W16"/>
    <mergeCell ref="B15:W15"/>
    <mergeCell ref="B14:W14"/>
    <mergeCell ref="B11:W11"/>
    <mergeCell ref="B12:W12"/>
    <mergeCell ref="B13:W13"/>
    <mergeCell ref="W59:Y59"/>
    <mergeCell ref="W60:Y60"/>
    <mergeCell ref="C17:I17"/>
    <mergeCell ref="H18:I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H38:I38"/>
    <mergeCell ref="H39:I39"/>
    <mergeCell ref="C7:O7"/>
    <mergeCell ref="D8:O8"/>
    <mergeCell ref="H32:I32"/>
    <mergeCell ref="H33:I33"/>
    <mergeCell ref="H34:I34"/>
    <mergeCell ref="H35:I35"/>
    <mergeCell ref="H36:I36"/>
    <mergeCell ref="C38:E38"/>
    <mergeCell ref="C39:E39"/>
    <mergeCell ref="C18:E18"/>
    <mergeCell ref="H19:I19"/>
    <mergeCell ref="H20:I20"/>
    <mergeCell ref="H21:I21"/>
    <mergeCell ref="H22:I22"/>
    <mergeCell ref="R7:W7"/>
    <mergeCell ref="R8:W8"/>
    <mergeCell ref="F9:W9"/>
    <mergeCell ref="F10:W10"/>
    <mergeCell ref="H37:I37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</mergeCells>
  <phoneticPr fontId="16" type="noConversion"/>
  <conditionalFormatting sqref="U19:U3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{681CAB8F-FCB0-46C6-B456-3715ACB1126C}</x14:id>
        </ext>
      </extLst>
    </cfRule>
  </conditionalFormatting>
  <conditionalFormatting sqref="U43:U44">
    <cfRule type="cellIs" dxfId="5" priority="2" operator="lessThan">
      <formula>3.5</formula>
    </cfRule>
    <cfRule type="cellIs" dxfId="4" priority="3" operator="greaterThan">
      <formula>7.5</formula>
    </cfRule>
  </conditionalFormatting>
  <conditionalFormatting sqref="V43:V44">
    <cfRule type="cellIs" dxfId="3" priority="4" operator="lessThan">
      <formula>96.99</formula>
    </cfRule>
    <cfRule type="cellIs" dxfId="2" priority="5" operator="greaterThan">
      <formula>101</formula>
    </cfRule>
  </conditionalFormatting>
  <conditionalFormatting sqref="W43:W44">
    <cfRule type="cellIs" dxfId="1" priority="6" operator="lessThan">
      <formula>0.65</formula>
    </cfRule>
    <cfRule type="cellIs" dxfId="0" priority="7" operator="greaterThan">
      <formula>2</formula>
    </cfRule>
  </conditionalFormatting>
  <dataValidations count="5">
    <dataValidation type="list" allowBlank="1" showInputMessage="1" showErrorMessage="1" sqref="Y17" xr:uid="{2E1CE28C-1881-4670-8B02-6192E272CE12}">
      <formula1>"DNIT 031, DERSA 0027"</formula1>
    </dataValidation>
    <dataValidation type="list" allowBlank="1" showInputMessage="1" showErrorMessage="1" sqref="F19:F39" xr:uid="{21C787C0-97A7-4A0C-97FA-8E12DBDF9C56}">
      <formula1>"01,02,AC,ACELER,RETORNO,ACOST."</formula1>
    </dataValidation>
    <dataValidation type="list" allowBlank="1" showInputMessage="1" showErrorMessage="1" sqref="G19:G39" xr:uid="{01B68D39-3AE8-4947-B229-B90BF4625B9D}">
      <formula1>"Norte,Sul"</formula1>
    </dataValidation>
    <dataValidation type="list" allowBlank="1" showInputMessage="1" showErrorMessage="1" sqref="H19:I39" xr:uid="{7CA02903-069E-4935-8D8A-9C623C2EE857}">
      <formula1>"1ª, 2ª, Única"</formula1>
    </dataValidation>
    <dataValidation type="list" allowBlank="1" showDropDown="1" showInputMessage="1" showErrorMessage="1" sqref="J19:L39" xr:uid="{5E99150C-9A8E-4CDE-BBAB-B40DEA2B705C}">
      <formula1>"X,x"</formula1>
    </dataValidation>
  </dataValidations>
  <pageMargins left="0" right="0" top="0" bottom="0" header="0.31496062992125984" footer="0.31496062992125984"/>
  <pageSetup paperSize="9" scale="54" fitToHeight="0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1CAB8F-FCB0-46C6-B456-3715ACB112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U19:U39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CB43-43ED-4A48-A2A5-EF25E1D5D0DC}">
  <sheetPr>
    <pageSetUpPr fitToPage="1"/>
  </sheetPr>
  <dimension ref="A1:C12"/>
  <sheetViews>
    <sheetView view="pageBreakPreview" zoomScale="115" zoomScaleNormal="115" zoomScaleSheetLayoutView="115" workbookViewId="0">
      <selection activeCell="I14" sqref="I14"/>
    </sheetView>
  </sheetViews>
  <sheetFormatPr defaultColWidth="8.77734375" defaultRowHeight="13.2" x14ac:dyDescent="0.25"/>
  <cols>
    <col min="1" max="1" width="13.44140625" style="2" customWidth="1"/>
    <col min="2" max="2" width="33.21875" style="2" customWidth="1"/>
    <col min="3" max="3" width="53" style="2" customWidth="1"/>
    <col min="4" max="16384" width="8.77734375" style="2"/>
  </cols>
  <sheetData>
    <row r="1" spans="1:3" ht="52.5" customHeight="1" x14ac:dyDescent="0.25">
      <c r="A1" s="122"/>
      <c r="B1" s="123"/>
      <c r="C1" s="124"/>
    </row>
    <row r="2" spans="1:3" ht="39" customHeight="1" x14ac:dyDescent="0.25">
      <c r="A2" s="125" t="e">
        <f>#REF!</f>
        <v>#REF!</v>
      </c>
      <c r="B2" s="126"/>
      <c r="C2" s="127"/>
    </row>
    <row r="3" spans="1:3" ht="20.55" customHeight="1" x14ac:dyDescent="0.25">
      <c r="A3" s="7"/>
      <c r="B3" s="8"/>
      <c r="C3" s="9"/>
    </row>
    <row r="4" spans="1:3" ht="20.55" customHeight="1" x14ac:dyDescent="0.25">
      <c r="A4" s="128" t="s">
        <v>6</v>
      </c>
      <c r="B4" s="129"/>
      <c r="C4" s="130"/>
    </row>
    <row r="5" spans="1:3" ht="20.55" customHeight="1" x14ac:dyDescent="0.25">
      <c r="A5" s="131" t="s">
        <v>7</v>
      </c>
      <c r="B5" s="132"/>
      <c r="C5" s="10" t="s">
        <v>8</v>
      </c>
    </row>
    <row r="6" spans="1:3" ht="20.55" customHeight="1" x14ac:dyDescent="0.25">
      <c r="A6" s="3" t="s">
        <v>9</v>
      </c>
      <c r="B6" s="5"/>
      <c r="C6" s="1"/>
    </row>
    <row r="7" spans="1:3" ht="20.55" customHeight="1" x14ac:dyDescent="0.25">
      <c r="A7" s="4" t="s">
        <v>14</v>
      </c>
      <c r="B7" s="5"/>
      <c r="C7" s="1"/>
    </row>
    <row r="8" spans="1:3" ht="20.55" customHeight="1" x14ac:dyDescent="0.25">
      <c r="A8" s="4" t="s">
        <v>13</v>
      </c>
      <c r="B8" s="5"/>
      <c r="C8" s="1"/>
    </row>
    <row r="9" spans="1:3" ht="20.55" customHeight="1" x14ac:dyDescent="0.25">
      <c r="A9" s="128" t="s">
        <v>10</v>
      </c>
      <c r="B9" s="133"/>
      <c r="C9" s="134"/>
    </row>
    <row r="10" spans="1:3" ht="20.55" customHeight="1" x14ac:dyDescent="0.25">
      <c r="A10" s="6"/>
      <c r="B10" s="120" t="s">
        <v>11</v>
      </c>
      <c r="C10" s="121"/>
    </row>
    <row r="11" spans="1:3" ht="20.55" customHeight="1" x14ac:dyDescent="0.25">
      <c r="A11" s="6"/>
      <c r="B11" s="120" t="s">
        <v>12</v>
      </c>
      <c r="C11" s="121"/>
    </row>
    <row r="12" spans="1:3" ht="20.55" customHeight="1" x14ac:dyDescent="0.25">
      <c r="A12" s="6"/>
      <c r="B12" s="120" t="s">
        <v>15</v>
      </c>
      <c r="C12" s="121"/>
    </row>
  </sheetData>
  <protectedRanges>
    <protectedRange sqref="B6:C8 A10:A12" name="Intervalo1"/>
  </protectedRanges>
  <mergeCells count="8">
    <mergeCell ref="B12:C12"/>
    <mergeCell ref="A1:C1"/>
    <mergeCell ref="A2:C2"/>
    <mergeCell ref="A4:C4"/>
    <mergeCell ref="A5:B5"/>
    <mergeCell ref="A9:C9"/>
    <mergeCell ref="B10:C10"/>
    <mergeCell ref="B11:C11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9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0</xdr:col>
                    <xdr:colOff>396240</xdr:colOff>
                    <xdr:row>9</xdr:row>
                    <xdr:rowOff>30480</xdr:rowOff>
                  </from>
                  <to>
                    <xdr:col>0</xdr:col>
                    <xdr:colOff>647700</xdr:colOff>
                    <xdr:row>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0</xdr:col>
                    <xdr:colOff>396240</xdr:colOff>
                    <xdr:row>10</xdr:row>
                    <xdr:rowOff>30480</xdr:rowOff>
                  </from>
                  <to>
                    <xdr:col>0</xdr:col>
                    <xdr:colOff>647700</xdr:colOff>
                    <xdr:row>10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6" name="Check Box 5">
              <controlPr defaultSize="0" autoFill="0" autoLine="0" autoPict="0">
                <anchor moveWithCells="1" sizeWithCells="1">
                  <from>
                    <xdr:col>0</xdr:col>
                    <xdr:colOff>396240</xdr:colOff>
                    <xdr:row>11</xdr:row>
                    <xdr:rowOff>30480</xdr:rowOff>
                  </from>
                  <to>
                    <xdr:col>0</xdr:col>
                    <xdr:colOff>647700</xdr:colOff>
                    <xdr:row>11</xdr:row>
                    <xdr:rowOff>251460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FR-IMOB-46_Rev00</vt:lpstr>
      <vt:lpstr>VERSO</vt:lpstr>
      <vt:lpstr>'FR-IMOB-46_Rev00'!Area_de_impressao</vt:lpstr>
      <vt:lpstr>VERSO!Area_de_impressao</vt:lpstr>
      <vt:lpstr>'FR-IMOB-46_Rev00'!Titulos_de_impressao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Maykol Mazer Dos Santos</cp:lastModifiedBy>
  <cp:lastPrinted>2026-08-25T19:13:23Z</cp:lastPrinted>
  <dcterms:created xsi:type="dcterms:W3CDTF">2021-11-09T18:03:44Z</dcterms:created>
  <dcterms:modified xsi:type="dcterms:W3CDTF">2026-08-25T19:23:12Z</dcterms:modified>
</cp:coreProperties>
</file>