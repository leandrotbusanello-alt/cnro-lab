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147C0A60-E789-47D2-84CF-521405A5BD38}" xr6:coauthVersionLast="47" xr6:coauthVersionMax="47" xr10:uidLastSave="{00000000-0000-0000-0000-000000000000}"/>
  <bookViews>
    <workbookView xWindow="-28910" yWindow="-1730" windowWidth="29020" windowHeight="15820" xr2:uid="{BD3E2E72-983D-4635-B418-515DB4BCDA86}"/>
  </bookViews>
  <sheets>
    <sheet name="FR-IMOB-31 _Rev.00" sheetId="1" r:id="rId1"/>
    <sheet name="VERS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>#REF!</definedName>
    <definedName name="_bri2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'FR-IMOB-31 _Rev.00'!$A$1:$L$40</definedName>
    <definedName name="_xlnm.Print_Area" localSheetId="1">VERSO!$A$1:$E$18</definedName>
    <definedName name="arei" localSheetId="1">#REF!</definedName>
    <definedName name="arei">#REF!</definedName>
    <definedName name="BI">[3]Teor!$A$3:$G$7</definedName>
    <definedName name="bica" localSheetId="1">#REF!</definedName>
    <definedName name="bica">#REF!</definedName>
    <definedName name="btt" localSheetId="1">#REF!</definedName>
    <definedName name="btt">#REF!</definedName>
    <definedName name="button_area_1" localSheetId="1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IGÓ">#REF!</definedName>
    <definedName name="CÓDIGO">#N/A</definedName>
    <definedName name="comple">[4]Macro1!$B$1:$B$65536</definedName>
    <definedName name="correção" localSheetId="1">#REF!</definedName>
    <definedName name="correção">#REF!</definedName>
    <definedName name="d" localSheetId="1">#REF!</definedName>
    <definedName name="d">#REF!</definedName>
    <definedName name="dez" localSheetId="1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[5]TABLA!$N$10:$P$409</definedName>
    <definedName name="_xlnm.Recorder">[6]Macro1!$B$1:$B$65536</definedName>
    <definedName name="h" localSheetId="1">#REF!</definedName>
    <definedName name="h">#REF!</definedName>
    <definedName name="IP" localSheetId="1">[7]resumo!#REF!</definedName>
    <definedName name="IP">[7]resumo!#REF!</definedName>
    <definedName name="kp" localSheetId="1">#REF!</definedName>
    <definedName name="kp">#REF!</definedName>
    <definedName name="lab" localSheetId="1">#REF!</definedName>
    <definedName name="lab">#REF!</definedName>
    <definedName name="LL" localSheetId="1">[7]resumo!#REF!</definedName>
    <definedName name="LL">[7]resumo!#REF!</definedName>
    <definedName name="marshall" localSheetId="1">#REF!</definedName>
    <definedName name="marshall">#REF!</definedName>
    <definedName name="nove" localSheetId="1">#REF!</definedName>
    <definedName name="nove">#REF!</definedName>
    <definedName name="oito" localSheetId="1">#REF!</definedName>
    <definedName name="oito">#REF!</definedName>
    <definedName name="onze">#REF!</definedName>
    <definedName name="outr">#REF!</definedName>
    <definedName name="P">[7]resumo!#REF!</definedName>
    <definedName name="paraf" localSheetId="1">#REF!</definedName>
    <definedName name="paraf">#REF!</definedName>
    <definedName name="parcial" localSheetId="1">#REF!</definedName>
    <definedName name="parcial">#REF!</definedName>
    <definedName name="pedr" localSheetId="1">#REF!</definedName>
    <definedName name="pedr">#REF!</definedName>
    <definedName name="perc">#REF!</definedName>
    <definedName name="pesquisa">[8]Teor!$B$11:$H$15</definedName>
    <definedName name="pesquisa1">'[2]Página 16'!$A$3:$G$7</definedName>
    <definedName name="pope">#REF!</definedName>
    <definedName name="PRE">#N/A</definedName>
    <definedName name="Print_Area_MI">[9]ESTUDO.TRAÇO!$F$18:$U$55</definedName>
    <definedName name="ptp" localSheetId="1">#REF!</definedName>
    <definedName name="ptp">#REF!</definedName>
    <definedName name="ptt" localSheetId="1">#REF!</definedName>
    <definedName name="ptt">#REF!</definedName>
    <definedName name="quatro" localSheetId="1">#REF!</definedName>
    <definedName name="quatro">#REF!</definedName>
    <definedName name="RBV">[8]Teor!$D$11:$D$15</definedName>
    <definedName name="rodinei">[10]DOSAGEM!$D$11</definedName>
    <definedName name="s" localSheetId="1">#REF!</definedName>
    <definedName name="s">#REF!</definedName>
    <definedName name="seis" localSheetId="1">#REF!</definedName>
    <definedName name="seis">#REF!</definedName>
    <definedName name="sete" localSheetId="1">#REF!</definedName>
    <definedName name="sete">#REF!</definedName>
    <definedName name="siloquente">#REF!</definedName>
    <definedName name="sim">#REF!</definedName>
    <definedName name="Teor">[8]Teor!$B$11:$B$15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[8]Teor!$C$11:$C$15</definedName>
    <definedName name="visc" localSheetId="1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2" l="1"/>
  <c r="K29" i="1" l="1"/>
  <c r="H29" i="1"/>
  <c r="K28" i="1"/>
  <c r="H28" i="1"/>
  <c r="K20" i="1"/>
  <c r="H20" i="1"/>
  <c r="K19" i="1"/>
  <c r="H19" i="1"/>
  <c r="K18" i="1"/>
  <c r="H18" i="1"/>
  <c r="H30" i="1" l="1"/>
  <c r="K31" i="1" s="1"/>
  <c r="K30" i="1"/>
  <c r="H21" i="1"/>
  <c r="K22" i="1" s="1"/>
  <c r="K21" i="1"/>
</calcChain>
</file>

<file path=xl/sharedStrings.xml><?xml version="1.0" encoding="utf-8"?>
<sst xmlns="http://schemas.openxmlformats.org/spreadsheetml/2006/main" count="81" uniqueCount="58">
  <si>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</si>
  <si>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</si>
  <si>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</si>
  <si>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</si>
  <si>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</si>
  <si>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</si>
  <si>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</si>
  <si>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DNIT 424 - ME - Pavimentação- Agregados- Índice de forma com crivos - Método de ensaio</t>
  </si>
  <si>
    <t>Procedimentos do ensaio - Calculos e Resultados</t>
  </si>
  <si>
    <t>GRADUAÇÃO</t>
  </si>
  <si>
    <t>PESOS DAS
(g)</t>
  </si>
  <si>
    <t>CRIVO REDUTOR I</t>
  </si>
  <si>
    <t>CRIVO REDUTOR  II</t>
  </si>
  <si>
    <t>FAIXA</t>
  </si>
  <si>
    <t>ABERTURA CIRCULAR</t>
  </si>
  <si>
    <t>ABERTURA
(mm)</t>
  </si>
  <si>
    <t>PESO RETIDO</t>
  </si>
  <si>
    <t>RETIDO
%</t>
  </si>
  <si>
    <t>PASS.</t>
  </si>
  <si>
    <t>RETIDO</t>
  </si>
  <si>
    <t>C
Brita 1</t>
  </si>
  <si>
    <t>SOMA DAS PERCENTAGENS</t>
  </si>
  <si>
    <t>-</t>
  </si>
  <si>
    <t>IF =</t>
  </si>
  <si>
    <t>D
Pedrisco</t>
  </si>
  <si>
    <t>Assinaturas</t>
  </si>
  <si>
    <t>Equipamentos utilizados</t>
  </si>
  <si>
    <t>Equipamento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</si>
  <si>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</si>
  <si>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</si>
  <si>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Peneira</t>
  </si>
  <si>
    <t>Pontos de Verificação</t>
  </si>
  <si>
    <t>Verificar homogenidade da amostra</t>
  </si>
  <si>
    <t>Verificar se a balança está zerada, nivelada</t>
  </si>
  <si>
    <t>Verificar se as peneiras estão calibradas</t>
  </si>
  <si>
    <t>Verificar se o tempo de peneiramento foi suficiente</t>
  </si>
  <si>
    <t>Verificar se a massa da amostra está de acordo</t>
  </si>
  <si>
    <t>Conj Crivo Circular</t>
  </si>
  <si>
    <t>Conj Crivo Retangular</t>
  </si>
  <si>
    <t>3/4"</t>
  </si>
  <si>
    <t>1/2"</t>
  </si>
  <si>
    <t>3/8"</t>
  </si>
  <si>
    <t>1/4"</t>
  </si>
  <si>
    <t>Responsável executor:</t>
  </si>
  <si>
    <t>Responsável calculista: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</si>
  <si>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Índice de Forma com Crivos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</si>
  <si>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FR-IMOB-31 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</si>
  <si>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</si>
  <si>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</si>
  <si>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</si>
  <si>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 xml:space="preserve">Elaborado por: </t>
  </si>
  <si>
    <t xml:space="preserve">Revisado por: </t>
  </si>
  <si>
    <t>Aprovado por:</t>
  </si>
  <si>
    <t xml:space="preserve">Samara Rodrigues </t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</si>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</sst>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9" x14ac:knownFonts="1">
    <font>
      <sz val="10"/>
      <name val="Arial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i/>
      <sz val="10"/>
      <color theme="1"/>
      <name val="Tahoma"/>
      <family val="2"/>
    </font>
    <font>
      <sz val="9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b/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0" borderId="0"/>
    <xf numFmtId="0" fontId="2" fillId="0" borderId="0"/>
  </cellStyleXfs>
  <cellXfs count="117">
    <xf numFmtId="0" fontId="0" fillId="0" borderId="0" xfId="0"/>
    <xf numFmtId="0" fontId="5" fillId="0" borderId="0" xfId="0" applyFont="1" applyAlignment="1">
      <alignment horizontal="left" vertical="center"/>
    </xf>
    <xf numFmtId="0" fontId="7" fillId="0" borderId="0" xfId="4" applyFont="1" applyAlignment="1" applyProtection="1">
      <alignment vertical="center"/>
      <protection hidden="1"/>
    </xf>
    <xf numFmtId="0" fontId="7" fillId="0" borderId="0" xfId="4" applyFont="1" applyAlignment="1" applyProtection="1">
      <alignment horizontal="center" vertical="center"/>
      <protection hidden="1"/>
    </xf>
    <xf numFmtId="0" fontId="5" fillId="0" borderId="18" xfId="0" applyFont="1" applyBorder="1" applyAlignment="1">
      <alignment horizontal="center" vertical="center" wrapText="1"/>
    </xf>
    <xf numFmtId="164" fontId="5" fillId="0" borderId="18" xfId="2" applyNumberFormat="1" applyFont="1" applyFill="1" applyBorder="1" applyAlignment="1">
      <alignment horizontal="center" vertical="center" wrapText="1" shrinkToFit="1"/>
    </xf>
    <xf numFmtId="165" fontId="6" fillId="3" borderId="18" xfId="2" applyNumberFormat="1" applyFont="1" applyFill="1" applyBorder="1" applyAlignment="1">
      <alignment horizontal="center" vertical="center" wrapText="1" shrinkToFit="1"/>
    </xf>
    <xf numFmtId="164" fontId="6" fillId="3" borderId="18" xfId="2" applyNumberFormat="1" applyFont="1" applyFill="1" applyBorder="1" applyAlignment="1">
      <alignment horizontal="center" vertical="center" wrapText="1" shrinkToFit="1"/>
    </xf>
    <xf numFmtId="2" fontId="5" fillId="0" borderId="18" xfId="2" applyNumberFormat="1" applyFont="1" applyFill="1" applyBorder="1" applyAlignment="1">
      <alignment horizontal="center" vertical="center" wrapText="1" shrinkToFit="1"/>
    </xf>
    <xf numFmtId="2" fontId="5" fillId="0" borderId="25" xfId="2" applyNumberFormat="1" applyFont="1" applyFill="1" applyBorder="1" applyAlignment="1">
      <alignment horizontal="center" vertical="center" wrapText="1" shrinkToFit="1"/>
    </xf>
    <xf numFmtId="0" fontId="5" fillId="0" borderId="0" xfId="4" applyFont="1" applyAlignment="1" applyProtection="1">
      <alignment vertical="center"/>
      <protection hidden="1"/>
    </xf>
    <xf numFmtId="2" fontId="5" fillId="0" borderId="18" xfId="1" applyNumberFormat="1" applyFont="1" applyFill="1" applyBorder="1" applyAlignment="1">
      <alignment horizontal="center" vertical="center" wrapText="1" shrinkToFit="1"/>
    </xf>
    <xf numFmtId="2" fontId="5" fillId="0" borderId="25" xfId="1" applyNumberFormat="1" applyFont="1" applyFill="1" applyBorder="1" applyAlignment="1">
      <alignment horizontal="center" vertical="center" wrapText="1" shrinkToFit="1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8" fillId="0" borderId="30" xfId="3" applyFont="1" applyBorder="1" applyAlignment="1">
      <alignment vertical="center"/>
    </xf>
    <xf numFmtId="0" fontId="7" fillId="0" borderId="30" xfId="0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8" fillId="0" borderId="8" xfId="3" applyFont="1" applyBorder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164" fontId="5" fillId="0" borderId="18" xfId="0" applyNumberFormat="1" applyFont="1" applyBorder="1" applyAlignment="1">
      <alignment horizontal="center" vertical="center" wrapText="1" shrinkToFit="1"/>
    </xf>
    <xf numFmtId="3" fontId="6" fillId="3" borderId="18" xfId="0" applyNumberFormat="1" applyFont="1" applyFill="1" applyBorder="1" applyAlignment="1">
      <alignment horizontal="center" vertical="center" wrapText="1" shrinkToFit="1"/>
    </xf>
    <xf numFmtId="0" fontId="6" fillId="3" borderId="18" xfId="0" applyFont="1" applyFill="1" applyBorder="1" applyAlignment="1">
      <alignment horizontal="center" vertical="center" wrapText="1"/>
    </xf>
    <xf numFmtId="0" fontId="8" fillId="0" borderId="2" xfId="3" applyFont="1" applyBorder="1" applyAlignment="1">
      <alignment vertical="center"/>
    </xf>
    <xf numFmtId="0" fontId="5" fillId="0" borderId="2" xfId="4" applyFont="1" applyBorder="1" applyAlignment="1" applyProtection="1">
      <alignment vertical="center"/>
      <protection locked="0"/>
    </xf>
    <xf numFmtId="0" fontId="5" fillId="0" borderId="3" xfId="4" applyFont="1" applyBorder="1" applyAlignment="1" applyProtection="1">
      <alignment vertical="center"/>
      <protection locked="0"/>
    </xf>
    <xf numFmtId="0" fontId="5" fillId="0" borderId="0" xfId="0" applyFont="1"/>
    <xf numFmtId="49" fontId="5" fillId="0" borderId="5" xfId="4" applyNumberFormat="1" applyFont="1" applyBorder="1" applyAlignment="1" applyProtection="1">
      <alignment horizontal="center" vertical="center"/>
      <protection hidden="1"/>
    </xf>
    <xf numFmtId="164" fontId="5" fillId="0" borderId="5" xfId="4" applyNumberFormat="1" applyFont="1" applyBorder="1" applyAlignment="1" applyProtection="1">
      <alignment horizontal="center" vertical="center"/>
      <protection hidden="1"/>
    </xf>
    <xf numFmtId="2" fontId="5" fillId="0" borderId="5" xfId="4" applyNumberFormat="1" applyFont="1" applyBorder="1" applyAlignment="1" applyProtection="1">
      <alignment horizontal="center" vertical="center"/>
      <protection hidden="1"/>
    </xf>
    <xf numFmtId="2" fontId="6" fillId="3" borderId="6" xfId="3" applyNumberFormat="1" applyFont="1" applyFill="1" applyBorder="1" applyAlignment="1">
      <alignment horizontal="center" vertical="center"/>
    </xf>
    <xf numFmtId="2" fontId="6" fillId="3" borderId="10" xfId="3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 applyProtection="1">
      <alignment horizontal="left" vertical="center"/>
      <protection hidden="1"/>
    </xf>
    <xf numFmtId="0" fontId="7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4" fillId="0" borderId="0" xfId="4" applyFont="1" applyAlignment="1" applyProtection="1">
      <alignment vertical="center" wrapText="1"/>
      <protection locked="0"/>
    </xf>
    <xf numFmtId="0" fontId="16" fillId="0" borderId="0" xfId="4" applyFont="1" applyAlignment="1" applyProtection="1">
      <alignment vertical="center"/>
      <protection locked="0"/>
    </xf>
    <xf numFmtId="0" fontId="8" fillId="0" borderId="0" xfId="3" applyFont="1" applyAlignment="1">
      <alignment horizontal="left" vertical="center"/>
    </xf>
    <xf numFmtId="2" fontId="12" fillId="4" borderId="0" xfId="4" applyNumberFormat="1" applyFont="1" applyFill="1" applyAlignment="1" applyProtection="1">
      <alignment vertical="center"/>
      <protection locked="0"/>
    </xf>
    <xf numFmtId="0" fontId="14" fillId="4" borderId="0" xfId="4" applyFont="1" applyFill="1" applyAlignment="1" applyProtection="1">
      <alignment vertical="center"/>
      <protection locked="0" hidden="1"/>
    </xf>
    <xf numFmtId="0" fontId="18" fillId="5" borderId="10" xfId="3" applyFont="1" applyFill="1" applyBorder="1" applyAlignment="1">
      <alignment horizontal="center" vertical="center"/>
    </xf>
    <xf numFmtId="0" fontId="5" fillId="0" borderId="10" xfId="3" applyFont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7" xfId="2" applyFont="1" applyFill="1" applyBorder="1" applyAlignment="1">
      <alignment horizontal="center" vertical="center" wrapText="1"/>
    </xf>
    <xf numFmtId="0" fontId="5" fillId="0" borderId="26" xfId="2" applyFont="1" applyFill="1" applyBorder="1" applyAlignment="1">
      <alignment horizontal="center" vertical="center" wrapText="1"/>
    </xf>
    <xf numFmtId="0" fontId="5" fillId="0" borderId="22" xfId="2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/>
    </xf>
    <xf numFmtId="0" fontId="18" fillId="5" borderId="8" xfId="3" applyFont="1" applyFill="1" applyBorder="1" applyAlignment="1">
      <alignment horizontal="center" vertical="center"/>
    </xf>
    <xf numFmtId="0" fontId="18" fillId="5" borderId="9" xfId="3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2" fillId="0" borderId="5" xfId="0" applyFont="1" applyBorder="1" applyAlignment="1">
      <alignment horizontal="left" vertical="center" wrapText="1"/>
    </xf>
    <xf numFmtId="0" fontId="14" fillId="0" borderId="5" xfId="4" applyFont="1" applyBorder="1" applyAlignment="1" applyProtection="1">
      <alignment horizontal="left" vertical="center" wrapText="1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5" fillId="4" borderId="5" xfId="4" applyFont="1" applyFill="1" applyBorder="1" applyAlignment="1" applyProtection="1">
      <alignment horizontal="center" vertical="center"/>
      <protection locked="0" hidden="1"/>
    </xf>
    <xf numFmtId="2" fontId="12" fillId="4" borderId="5" xfId="4" applyNumberFormat="1" applyFont="1" applyFill="1" applyBorder="1" applyAlignment="1" applyProtection="1">
      <alignment horizontal="left" vertical="center"/>
      <protection locked="0"/>
    </xf>
    <xf numFmtId="0" fontId="14" fillId="4" borderId="5" xfId="4" applyFont="1" applyFill="1" applyBorder="1" applyAlignment="1" applyProtection="1">
      <alignment horizontal="left" vertical="center"/>
      <protection locked="0" hidden="1"/>
    </xf>
    <xf numFmtId="49" fontId="15" fillId="4" borderId="2" xfId="4" applyNumberFormat="1" applyFont="1" applyFill="1" applyBorder="1" applyAlignment="1" applyProtection="1">
      <alignment horizontal="center" vertical="center"/>
      <protection locked="0" hidden="1"/>
    </xf>
    <xf numFmtId="0" fontId="15" fillId="4" borderId="2" xfId="4" applyFont="1" applyFill="1" applyBorder="1" applyAlignment="1" applyProtection="1">
      <alignment horizontal="center" vertical="center"/>
      <protection locked="0" hidden="1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9" fillId="0" borderId="1" xfId="3" applyFont="1" applyBorder="1" applyAlignment="1">
      <alignment horizontal="center" vertical="top"/>
    </xf>
    <xf numFmtId="0" fontId="9" fillId="0" borderId="2" xfId="3" applyFont="1" applyBorder="1" applyAlignment="1">
      <alignment horizontal="center" vertical="top"/>
    </xf>
    <xf numFmtId="0" fontId="9" fillId="0" borderId="7" xfId="3" applyFont="1" applyBorder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10" fillId="0" borderId="0" xfId="3" applyFont="1" applyAlignment="1">
      <alignment horizontal="right" vertical="center"/>
    </xf>
    <xf numFmtId="0" fontId="11" fillId="0" borderId="5" xfId="0" applyFont="1" applyBorder="1" applyAlignment="1" applyProtection="1">
      <alignment horizontal="left" vertical="center" wrapText="1"/>
      <protection hidden="1"/>
    </xf>
    <xf numFmtId="0" fontId="11" fillId="0" borderId="6" xfId="0" applyFont="1" applyBorder="1" applyAlignment="1" applyProtection="1">
      <alignment horizontal="left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4" fillId="0" borderId="32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33" xfId="0" applyFont="1" applyBorder="1" applyAlignment="1" applyProtection="1">
      <alignment horizontal="center" vertical="center" wrapText="1"/>
      <protection hidden="1"/>
    </xf>
    <xf numFmtId="0" fontId="18" fillId="5" borderId="4" xfId="0" applyFont="1" applyFill="1" applyBorder="1" applyAlignment="1" applyProtection="1">
      <alignment horizontal="center" vertical="center"/>
      <protection hidden="1"/>
    </xf>
    <xf numFmtId="0" fontId="18" fillId="5" borderId="5" xfId="0" applyFont="1" applyFill="1" applyBorder="1" applyAlignment="1">
      <alignment vertical="center"/>
    </xf>
    <xf numFmtId="0" fontId="18" fillId="5" borderId="6" xfId="0" applyFont="1" applyFill="1" applyBorder="1" applyAlignment="1">
      <alignment vertical="center"/>
    </xf>
    <xf numFmtId="0" fontId="18" fillId="5" borderId="5" xfId="0" applyFont="1" applyFill="1" applyBorder="1" applyAlignment="1" applyProtection="1">
      <alignment horizontal="center" vertical="center"/>
      <protection hidden="1"/>
    </xf>
    <xf numFmtId="0" fontId="18" fillId="5" borderId="6" xfId="0" applyFont="1" applyFill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</cellXfs>
  <cellStyles count="5">
    <cellStyle name="Bom" xfId="2" builtinId="26"/>
    <cellStyle name="Normal" xfId="0" builtinId="0"/>
    <cellStyle name="Normal 2 2" xfId="4" xr:uid="{B4E67FEE-8647-4E51-AD01-850A81984B2D}"/>
    <cellStyle name="Normal 9 2" xfId="3" xr:uid="{B0211C4C-37A0-4DDE-8C58-1E0BBDEE329D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24</xdr:row>
      <xdr:rowOff>0</xdr:rowOff>
    </xdr:from>
    <xdr:ext cx="548875" cy="11798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943725" y="5867400"/>
          <a:ext cx="548875" cy="117980"/>
        </a:xfrm>
        <a:custGeom>
          <a:avLst/>
          <a:gdLst/>
          <a:ahLst/>
          <a:cxnLst/>
          <a:rect l="0" t="0" r="0" b="0"/>
          <a:pathLst>
            <a:path w="451484" h="125095">
              <a:moveTo>
                <a:pt x="0" y="124968"/>
              </a:moveTo>
              <a:lnTo>
                <a:pt x="451103" y="124968"/>
              </a:lnTo>
              <a:lnTo>
                <a:pt x="451103" y="0"/>
              </a:lnTo>
              <a:lnTo>
                <a:pt x="0" y="0"/>
              </a:lnTo>
              <a:lnTo>
                <a:pt x="0" y="124968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twoCellAnchor editAs="oneCell">
    <xdr:from>
      <xdr:col>9</xdr:col>
      <xdr:colOff>154175</xdr:colOff>
      <xdr:row>0</xdr:row>
      <xdr:rowOff>108323</xdr:rowOff>
    </xdr:from>
    <xdr:to>
      <xdr:col>11</xdr:col>
      <xdr:colOff>35926</xdr:colOff>
      <xdr:row>1</xdr:row>
      <xdr:rowOff>23531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CF9A7BC-CC61-4F7D-A175-A2AF8F973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8763" y="108323"/>
          <a:ext cx="1495398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13</xdr:row>
          <xdr:rowOff>31750</xdr:rowOff>
        </xdr:from>
        <xdr:to>
          <xdr:col>0</xdr:col>
          <xdr:colOff>647700</xdr:colOff>
          <xdr:row>13</xdr:row>
          <xdr:rowOff>247650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14</xdr:row>
          <xdr:rowOff>31750</xdr:rowOff>
        </xdr:from>
        <xdr:to>
          <xdr:col>0</xdr:col>
          <xdr:colOff>647700</xdr:colOff>
          <xdr:row>14</xdr:row>
          <xdr:rowOff>247650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15</xdr:row>
          <xdr:rowOff>31750</xdr:rowOff>
        </xdr:from>
        <xdr:to>
          <xdr:col>0</xdr:col>
          <xdr:colOff>647700</xdr:colOff>
          <xdr:row>15</xdr:row>
          <xdr:rowOff>247650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16</xdr:row>
          <xdr:rowOff>31750</xdr:rowOff>
        </xdr:from>
        <xdr:to>
          <xdr:col>0</xdr:col>
          <xdr:colOff>647700</xdr:colOff>
          <xdr:row>16</xdr:row>
          <xdr:rowOff>247650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393700</xdr:colOff>
          <xdr:row>17</xdr:row>
          <xdr:rowOff>31750</xdr:rowOff>
        </xdr:from>
        <xdr:to>
          <xdr:col>0</xdr:col>
          <xdr:colOff>647700</xdr:colOff>
          <xdr:row>17</xdr:row>
          <xdr:rowOff>247650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1A36-A441-46D8-9560-0C68FF32C96D}">
  <sheetPr>
    <pageSetUpPr fitToPage="1"/>
  </sheetPr>
  <dimension ref="B1:AJ39"/>
  <sheetViews>
    <sheetView showGridLines="0" tabSelected="1" view="pageBreakPreview" zoomScale="85" zoomScaleNormal="85" zoomScaleSheetLayoutView="85" workbookViewId="0">
      <selection activeCell="J56" sqref="J55:J56"/>
    </sheetView>
  </sheetViews>
  <sheetFormatPr defaultColWidth="2.7265625" defaultRowHeight="12.5" x14ac:dyDescent="0.25"/>
  <cols>
    <col min="1" max="1" width="2.7265625" style="10"/>
    <col min="2" max="11" width="11.54296875" style="10" customWidth="1"/>
    <col min="12" max="30" width="2.7265625" style="10"/>
    <col min="31" max="31" width="10.1796875" style="1" customWidth="1"/>
    <col min="32" max="33" width="26.81640625" style="1" customWidth="1"/>
    <col min="34" max="36" width="21.453125" style="1" customWidth="1"/>
    <col min="37" max="16384" width="2.7265625" style="10"/>
  </cols>
  <sheetData>
    <row r="1" spans="2:36" ht="66" customHeight="1" x14ac:dyDescent="0.3">
      <c r="B1" s="70" t="s">
        <v>45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2:36" ht="12.5" customHeight="1" x14ac:dyDescent="0.25"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2:36" ht="30" customHeight="1" x14ac:dyDescent="0.25">
      <c r="B3" s="71" t="s">
        <v>49</v>
      </c>
      <c r="C3" s="71"/>
      <c r="D3" s="71"/>
      <c r="E3" s="71"/>
      <c r="F3" s="71"/>
      <c r="G3" s="72" t="s">
        <v>46</v>
      </c>
      <c r="H3" s="72"/>
      <c r="I3" s="72"/>
      <c r="J3" s="72"/>
      <c r="K3" s="72"/>
      <c r="L3" s="38"/>
      <c r="M3" s="38"/>
    </row>
    <row r="4" spans="2:36" ht="30" customHeight="1" x14ac:dyDescent="0.25">
      <c r="B4" s="112" t="s">
        <v>55</v>
      </c>
      <c r="C4" s="71"/>
      <c r="D4" s="71"/>
      <c r="E4" s="71"/>
      <c r="F4" s="71"/>
      <c r="G4" s="72" t="s">
        <v>48</v>
      </c>
      <c r="H4" s="72"/>
      <c r="I4" s="72"/>
      <c r="J4" s="72"/>
      <c r="K4" s="72"/>
      <c r="L4" s="38"/>
      <c r="M4" s="38"/>
    </row>
    <row r="5" spans="2:36" ht="31.5" customHeight="1" x14ac:dyDescent="0.25">
      <c r="B5" s="71" t="s">
        <v>47</v>
      </c>
      <c r="C5" s="71"/>
      <c r="D5" s="71"/>
      <c r="E5" s="71"/>
      <c r="F5" s="71"/>
      <c r="G5" s="73" t="s">
        <v>54</v>
      </c>
      <c r="H5" s="73"/>
      <c r="I5" s="73"/>
      <c r="J5" s="73"/>
      <c r="K5" s="73"/>
      <c r="L5" s="39"/>
      <c r="M5" s="39"/>
    </row>
    <row r="6" spans="2:36" s="1" customFormat="1" ht="15" customHeight="1" x14ac:dyDescent="0.25"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2:36" s="1" customFormat="1" ht="26.25" customHeight="1" x14ac:dyDescent="0.25">
      <c r="B7" s="45" t="s">
        <v>0</v>
      </c>
      <c r="C7" s="45"/>
      <c r="D7" s="45"/>
      <c r="E7" s="45"/>
      <c r="F7" s="45"/>
      <c r="G7" s="46" t="s">
        <v>1</v>
      </c>
      <c r="H7" s="46"/>
      <c r="I7" s="46"/>
      <c r="J7" s="46"/>
      <c r="K7" s="46"/>
    </row>
    <row r="8" spans="2:36" s="1" customFormat="1" ht="26.25" customHeight="1" x14ac:dyDescent="0.25">
      <c r="B8" s="45" t="s">
        <v>2</v>
      </c>
      <c r="C8" s="45"/>
      <c r="D8" s="45"/>
      <c r="E8" s="45"/>
      <c r="F8" s="45"/>
      <c r="G8" s="46" t="s">
        <v>3</v>
      </c>
      <c r="H8" s="46"/>
      <c r="I8" s="46"/>
      <c r="J8" s="46"/>
      <c r="K8" s="46"/>
    </row>
    <row r="9" spans="2:36" s="1" customFormat="1" ht="26.25" customHeight="1" x14ac:dyDescent="0.25">
      <c r="B9" s="79" t="s">
        <v>4</v>
      </c>
      <c r="C9" s="80"/>
      <c r="D9" s="80"/>
      <c r="E9" s="80"/>
      <c r="F9" s="80"/>
      <c r="G9" s="80"/>
      <c r="H9" s="80"/>
      <c r="I9" s="80"/>
      <c r="J9" s="80"/>
      <c r="K9" s="81"/>
    </row>
    <row r="10" spans="2:36" s="1" customFormat="1" ht="26.25" customHeight="1" x14ac:dyDescent="0.25">
      <c r="B10" s="82" t="s">
        <v>5</v>
      </c>
      <c r="C10" s="83"/>
      <c r="D10" s="83"/>
      <c r="E10" s="83"/>
      <c r="F10" s="83"/>
      <c r="G10" s="83"/>
      <c r="H10" s="83"/>
      <c r="I10" s="83"/>
      <c r="J10" s="83"/>
      <c r="K10" s="84"/>
    </row>
    <row r="11" spans="2:36" s="1" customFormat="1" ht="26.25" customHeight="1" x14ac:dyDescent="0.25">
      <c r="B11" s="85"/>
      <c r="C11" s="86"/>
      <c r="D11" s="86"/>
      <c r="E11" s="86"/>
      <c r="F11" s="86"/>
      <c r="G11" s="86"/>
      <c r="H11" s="86"/>
      <c r="I11" s="86"/>
      <c r="J11" s="86"/>
      <c r="K11" s="87"/>
    </row>
    <row r="12" spans="2:36" s="1" customFormat="1" ht="20.25" customHeight="1" x14ac:dyDescent="0.25">
      <c r="B12" s="43" t="s">
        <v>6</v>
      </c>
      <c r="C12" s="43"/>
      <c r="D12" s="43"/>
      <c r="E12" s="43"/>
      <c r="F12" s="43"/>
      <c r="G12" s="43"/>
      <c r="H12" s="43"/>
      <c r="I12" s="43"/>
      <c r="J12" s="43"/>
      <c r="K12" s="43"/>
    </row>
    <row r="13" spans="2:36" s="1" customFormat="1" ht="42.75" customHeight="1" x14ac:dyDescent="0.25">
      <c r="B13" s="44" t="s">
        <v>7</v>
      </c>
      <c r="C13" s="44"/>
      <c r="D13" s="44"/>
      <c r="E13" s="44"/>
      <c r="F13" s="44"/>
      <c r="G13" s="44"/>
      <c r="H13" s="44"/>
      <c r="I13" s="44"/>
      <c r="J13" s="44"/>
      <c r="K13" s="44"/>
    </row>
    <row r="14" spans="2:36" s="1" customFormat="1" ht="20.25" customHeight="1" x14ac:dyDescent="0.25">
      <c r="B14" s="43" t="s">
        <v>8</v>
      </c>
      <c r="C14" s="43"/>
      <c r="D14" s="43"/>
      <c r="E14" s="43"/>
      <c r="F14" s="43"/>
      <c r="G14" s="43"/>
      <c r="H14" s="43"/>
      <c r="I14" s="43"/>
      <c r="J14" s="43"/>
      <c r="K14" s="43"/>
    </row>
    <row r="15" spans="2:36" s="2" customFormat="1" ht="17.25" customHeight="1" x14ac:dyDescent="0.25">
      <c r="B15" s="47" t="s">
        <v>9</v>
      </c>
      <c r="C15" s="48"/>
      <c r="D15" s="49"/>
      <c r="E15" s="50" t="s">
        <v>10</v>
      </c>
      <c r="F15" s="51" t="s">
        <v>11</v>
      </c>
      <c r="G15" s="48"/>
      <c r="H15" s="48"/>
      <c r="I15" s="51" t="s">
        <v>12</v>
      </c>
      <c r="J15" s="48"/>
      <c r="K15" s="52"/>
      <c r="V15" s="3"/>
      <c r="AE15" s="1"/>
      <c r="AF15" s="1"/>
      <c r="AG15" s="1"/>
      <c r="AH15" s="1"/>
      <c r="AI15" s="1"/>
      <c r="AJ15" s="1"/>
    </row>
    <row r="16" spans="2:36" s="2" customFormat="1" ht="17.25" customHeight="1" x14ac:dyDescent="0.25">
      <c r="B16" s="53" t="s">
        <v>13</v>
      </c>
      <c r="C16" s="55" t="s">
        <v>14</v>
      </c>
      <c r="D16" s="56"/>
      <c r="E16" s="50"/>
      <c r="F16" s="57" t="s">
        <v>15</v>
      </c>
      <c r="G16" s="57" t="s">
        <v>16</v>
      </c>
      <c r="H16" s="57" t="s">
        <v>17</v>
      </c>
      <c r="I16" s="57" t="s">
        <v>15</v>
      </c>
      <c r="J16" s="57" t="s">
        <v>16</v>
      </c>
      <c r="K16" s="59" t="s">
        <v>17</v>
      </c>
      <c r="V16" s="3"/>
      <c r="AE16" s="1"/>
      <c r="AF16" s="1"/>
      <c r="AG16" s="1"/>
      <c r="AH16" s="1"/>
      <c r="AI16" s="1"/>
      <c r="AJ16" s="1"/>
    </row>
    <row r="17" spans="2:36" s="2" customFormat="1" ht="17.25" customHeight="1" x14ac:dyDescent="0.25">
      <c r="B17" s="54"/>
      <c r="C17" s="4" t="s">
        <v>18</v>
      </c>
      <c r="D17" s="4" t="s">
        <v>19</v>
      </c>
      <c r="E17" s="51"/>
      <c r="F17" s="58"/>
      <c r="G17" s="58"/>
      <c r="H17" s="58"/>
      <c r="I17" s="58"/>
      <c r="J17" s="58"/>
      <c r="K17" s="60"/>
      <c r="AE17" s="1"/>
      <c r="AF17" s="1"/>
      <c r="AG17" s="1"/>
      <c r="AH17" s="1"/>
      <c r="AI17" s="1"/>
      <c r="AJ17" s="1"/>
    </row>
    <row r="18" spans="2:36" ht="17.25" customHeight="1" x14ac:dyDescent="0.25">
      <c r="B18" s="61" t="s">
        <v>20</v>
      </c>
      <c r="C18" s="5">
        <v>19</v>
      </c>
      <c r="D18" s="5">
        <v>16</v>
      </c>
      <c r="E18" s="6"/>
      <c r="F18" s="5">
        <v>9.5</v>
      </c>
      <c r="G18" s="7"/>
      <c r="H18" s="8" t="str">
        <f>IF(E18="","",IF(G18="","",G18/E18*100))</f>
        <v/>
      </c>
      <c r="I18" s="5">
        <v>6.3</v>
      </c>
      <c r="J18" s="7"/>
      <c r="K18" s="9" t="str">
        <f>IF(E18="","",IF(J18="","",J18/E18*100))</f>
        <v/>
      </c>
    </row>
    <row r="19" spans="2:36" ht="17.25" customHeight="1" x14ac:dyDescent="0.25">
      <c r="B19" s="62"/>
      <c r="C19" s="5">
        <v>16</v>
      </c>
      <c r="D19" s="5">
        <v>12.7</v>
      </c>
      <c r="E19" s="6"/>
      <c r="F19" s="5">
        <v>8</v>
      </c>
      <c r="G19" s="7"/>
      <c r="H19" s="8" t="str">
        <f t="shared" ref="H19:H20" si="0">IF(E19="","",IF(G19="","",G19/E19*100))</f>
        <v/>
      </c>
      <c r="I19" s="5">
        <v>5.3</v>
      </c>
      <c r="J19" s="7"/>
      <c r="K19" s="9" t="str">
        <f t="shared" ref="K19:K20" si="1">IF(E19="","",IF(J19="","",J19/E19*100))</f>
        <v/>
      </c>
    </row>
    <row r="20" spans="2:36" ht="17.25" customHeight="1" x14ac:dyDescent="0.25">
      <c r="B20" s="63"/>
      <c r="C20" s="5">
        <v>12.7</v>
      </c>
      <c r="D20" s="5">
        <v>9.5</v>
      </c>
      <c r="E20" s="6"/>
      <c r="F20" s="5">
        <v>6.3</v>
      </c>
      <c r="G20" s="7"/>
      <c r="H20" s="8" t="str">
        <f t="shared" si="0"/>
        <v/>
      </c>
      <c r="I20" s="5">
        <v>4.2</v>
      </c>
      <c r="J20" s="7"/>
      <c r="K20" s="9" t="str">
        <f t="shared" si="1"/>
        <v/>
      </c>
    </row>
    <row r="21" spans="2:36" ht="17.25" customHeight="1" x14ac:dyDescent="0.25">
      <c r="B21" s="64" t="s">
        <v>21</v>
      </c>
      <c r="C21" s="65"/>
      <c r="D21" s="65"/>
      <c r="E21" s="65"/>
      <c r="F21" s="55" t="s">
        <v>22</v>
      </c>
      <c r="G21" s="66"/>
      <c r="H21" s="11" t="str">
        <f>IF(SUM(H18:H20)=0,"",SUM(H18:H20))</f>
        <v/>
      </c>
      <c r="I21" s="55" t="s">
        <v>22</v>
      </c>
      <c r="J21" s="66"/>
      <c r="K21" s="12" t="str">
        <f>IF(SUM(K18:K20)=0,"",SUM(K18:K20))</f>
        <v/>
      </c>
    </row>
    <row r="22" spans="2:36" s="1" customFormat="1" ht="22.5" customHeight="1" x14ac:dyDescent="0.25">
      <c r="B22" s="13"/>
      <c r="C22" s="14"/>
      <c r="D22" s="15"/>
      <c r="E22" s="15"/>
      <c r="F22" s="14"/>
      <c r="G22" s="14"/>
      <c r="H22" s="14"/>
      <c r="I22" s="14"/>
      <c r="J22" s="16" t="s">
        <v>23</v>
      </c>
      <c r="K22" s="17" t="str">
        <f>IF(H21="","",IF(K21="","",(H21+(0.5*K21))/(100*COUNTA(K18:K20))))</f>
        <v/>
      </c>
    </row>
    <row r="23" spans="2:36" s="1" customFormat="1" ht="22.5" customHeight="1" x14ac:dyDescent="0.25">
      <c r="B23" s="18"/>
      <c r="C23" s="19"/>
      <c r="D23" s="20"/>
      <c r="E23" s="20"/>
      <c r="F23" s="19"/>
      <c r="G23" s="19"/>
      <c r="H23" s="19"/>
      <c r="I23" s="19"/>
      <c r="J23" s="21"/>
      <c r="K23" s="22"/>
    </row>
    <row r="24" spans="2:36" s="1" customFormat="1" ht="20.25" customHeight="1" x14ac:dyDescent="0.25">
      <c r="B24" s="43" t="s">
        <v>8</v>
      </c>
      <c r="C24" s="43"/>
      <c r="D24" s="43"/>
      <c r="E24" s="43"/>
      <c r="F24" s="43"/>
      <c r="G24" s="43"/>
      <c r="H24" s="43"/>
      <c r="I24" s="43"/>
      <c r="J24" s="43"/>
      <c r="K24" s="43"/>
    </row>
    <row r="25" spans="2:36" s="2" customFormat="1" ht="17.25" customHeight="1" x14ac:dyDescent="0.25">
      <c r="B25" s="47" t="s">
        <v>9</v>
      </c>
      <c r="C25" s="48"/>
      <c r="D25" s="49"/>
      <c r="E25" s="50" t="s">
        <v>10</v>
      </c>
      <c r="F25" s="51" t="s">
        <v>11</v>
      </c>
      <c r="G25" s="48"/>
      <c r="H25" s="48"/>
      <c r="I25" s="51" t="s">
        <v>12</v>
      </c>
      <c r="J25" s="48"/>
      <c r="K25" s="52"/>
      <c r="V25" s="3"/>
      <c r="AE25" s="1"/>
      <c r="AF25" s="1"/>
      <c r="AG25" s="1"/>
      <c r="AH25" s="1"/>
      <c r="AI25" s="1"/>
      <c r="AJ25" s="1"/>
    </row>
    <row r="26" spans="2:36" s="2" customFormat="1" ht="17.25" customHeight="1" x14ac:dyDescent="0.25">
      <c r="B26" s="53" t="s">
        <v>13</v>
      </c>
      <c r="C26" s="55" t="s">
        <v>14</v>
      </c>
      <c r="D26" s="56"/>
      <c r="E26" s="50"/>
      <c r="F26" s="57" t="s">
        <v>15</v>
      </c>
      <c r="G26" s="57" t="s">
        <v>16</v>
      </c>
      <c r="H26" s="57" t="s">
        <v>17</v>
      </c>
      <c r="I26" s="57" t="s">
        <v>15</v>
      </c>
      <c r="J26" s="57" t="s">
        <v>16</v>
      </c>
      <c r="K26" s="59" t="s">
        <v>17</v>
      </c>
      <c r="V26" s="3"/>
      <c r="AE26" s="1"/>
      <c r="AF26" s="1"/>
      <c r="AG26" s="1"/>
      <c r="AH26" s="1"/>
      <c r="AI26" s="1"/>
      <c r="AJ26" s="1"/>
    </row>
    <row r="27" spans="2:36" s="2" customFormat="1" ht="17.25" customHeight="1" x14ac:dyDescent="0.25">
      <c r="B27" s="54"/>
      <c r="C27" s="4" t="s">
        <v>18</v>
      </c>
      <c r="D27" s="4" t="s">
        <v>19</v>
      </c>
      <c r="E27" s="51"/>
      <c r="F27" s="58"/>
      <c r="G27" s="58"/>
      <c r="H27" s="58"/>
      <c r="I27" s="58"/>
      <c r="J27" s="58"/>
      <c r="K27" s="60"/>
      <c r="AE27" s="1"/>
      <c r="AF27" s="1"/>
      <c r="AG27" s="1"/>
      <c r="AH27" s="1"/>
      <c r="AI27" s="1"/>
      <c r="AJ27" s="1"/>
    </row>
    <row r="28" spans="2:36" ht="17.25" customHeight="1" x14ac:dyDescent="0.25">
      <c r="B28" s="53" t="s">
        <v>24</v>
      </c>
      <c r="C28" s="23">
        <v>12.7</v>
      </c>
      <c r="D28" s="23">
        <v>9.5</v>
      </c>
      <c r="E28" s="24"/>
      <c r="F28" s="23">
        <v>6.3</v>
      </c>
      <c r="G28" s="25"/>
      <c r="H28" s="8" t="str">
        <f t="shared" ref="H28:H29" si="2">IF(E28="","",IF(G28="","",G28/E28*100))</f>
        <v/>
      </c>
      <c r="I28" s="23">
        <v>4.2</v>
      </c>
      <c r="J28" s="25"/>
      <c r="K28" s="9" t="str">
        <f t="shared" ref="K28:K29" si="3">IF(E28="","",IF(J28="","",J28/E28*100))</f>
        <v/>
      </c>
    </row>
    <row r="29" spans="2:36" ht="17.25" customHeight="1" x14ac:dyDescent="0.25">
      <c r="B29" s="54"/>
      <c r="C29" s="23">
        <v>9.5</v>
      </c>
      <c r="D29" s="23">
        <v>6.3</v>
      </c>
      <c r="E29" s="24"/>
      <c r="F29" s="23">
        <v>4.8</v>
      </c>
      <c r="G29" s="25"/>
      <c r="H29" s="8" t="str">
        <f t="shared" si="2"/>
        <v/>
      </c>
      <c r="I29" s="23">
        <v>3.2</v>
      </c>
      <c r="J29" s="25"/>
      <c r="K29" s="9" t="str">
        <f t="shared" si="3"/>
        <v/>
      </c>
    </row>
    <row r="30" spans="2:36" ht="17.25" customHeight="1" x14ac:dyDescent="0.25">
      <c r="B30" s="64" t="s">
        <v>21</v>
      </c>
      <c r="C30" s="65"/>
      <c r="D30" s="65"/>
      <c r="E30" s="65"/>
      <c r="F30" s="55" t="s">
        <v>22</v>
      </c>
      <c r="G30" s="66"/>
      <c r="H30" s="11" t="str">
        <f>IF(SUM(H28:H29)=0,"",SUM(H28:H29))</f>
        <v/>
      </c>
      <c r="I30" s="55" t="s">
        <v>22</v>
      </c>
      <c r="J30" s="66"/>
      <c r="K30" s="12" t="str">
        <f>IF(SUM(K28:K29)=0,"",SUM(K28:K29))</f>
        <v/>
      </c>
    </row>
    <row r="31" spans="2:36" s="1" customFormat="1" ht="22.5" customHeight="1" x14ac:dyDescent="0.25">
      <c r="B31" s="13"/>
      <c r="C31" s="14"/>
      <c r="D31" s="15"/>
      <c r="E31" s="15"/>
      <c r="F31" s="14"/>
      <c r="G31" s="14"/>
      <c r="H31" s="14"/>
      <c r="I31" s="14"/>
      <c r="J31" s="16" t="s">
        <v>23</v>
      </c>
      <c r="K31" s="17" t="str">
        <f>IF(H30="","",IF(K30="","",(H30+(0.5*K30))/(100*COUNTA(K28:K29))))</f>
        <v/>
      </c>
    </row>
    <row r="32" spans="2:36" s="1" customFormat="1" ht="22.5" customHeight="1" x14ac:dyDescent="0.25">
      <c r="B32" s="18"/>
      <c r="C32" s="19"/>
      <c r="D32" s="20"/>
      <c r="E32" s="20"/>
      <c r="F32" s="19"/>
      <c r="G32" s="19"/>
      <c r="H32" s="19"/>
      <c r="I32" s="19"/>
      <c r="J32" s="21"/>
      <c r="K32" s="22"/>
    </row>
    <row r="33" spans="2:13" ht="20.25" customHeight="1" x14ac:dyDescent="0.25">
      <c r="B33" s="67" t="s">
        <v>25</v>
      </c>
      <c r="C33" s="68"/>
      <c r="D33" s="68"/>
      <c r="E33" s="68"/>
      <c r="F33" s="68"/>
      <c r="G33" s="68"/>
      <c r="H33" s="68"/>
      <c r="I33" s="68"/>
      <c r="J33" s="68"/>
      <c r="K33" s="69"/>
    </row>
    <row r="34" spans="2:13" ht="60.75" customHeight="1" x14ac:dyDescent="0.25">
      <c r="B34" s="88"/>
      <c r="C34" s="89"/>
      <c r="D34" s="89"/>
      <c r="E34" s="89"/>
      <c r="F34" s="89"/>
      <c r="G34" s="26"/>
      <c r="H34" s="26"/>
      <c r="I34" s="27"/>
      <c r="J34" s="27"/>
      <c r="K34" s="28"/>
    </row>
    <row r="35" spans="2:13" x14ac:dyDescent="0.25">
      <c r="B35" s="90" t="s">
        <v>43</v>
      </c>
      <c r="C35" s="91"/>
      <c r="D35" s="91"/>
      <c r="E35" s="91"/>
      <c r="F35" s="91"/>
      <c r="G35" s="91" t="s">
        <v>44</v>
      </c>
      <c r="H35" s="91"/>
      <c r="I35" s="91"/>
      <c r="J35" s="91"/>
      <c r="K35" s="92"/>
    </row>
    <row r="36" spans="2:13" ht="15" customHeight="1" x14ac:dyDescent="0.25">
      <c r="B36" s="40"/>
      <c r="C36" s="40"/>
      <c r="D36" s="40"/>
      <c r="E36" s="40"/>
      <c r="F36" s="40"/>
      <c r="I36" s="93"/>
      <c r="J36" s="93"/>
      <c r="K36" s="93"/>
    </row>
    <row r="37" spans="2:13" ht="30" customHeight="1" x14ac:dyDescent="0.25">
      <c r="B37" s="77" t="s">
        <v>50</v>
      </c>
      <c r="C37" s="77"/>
      <c r="D37" s="75" t="s">
        <v>56</v>
      </c>
      <c r="E37" s="75"/>
      <c r="F37" s="75"/>
      <c r="G37" s="75"/>
      <c r="H37" s="75"/>
      <c r="I37" s="75"/>
      <c r="J37" s="75"/>
      <c r="K37" s="75"/>
      <c r="L37" s="41"/>
      <c r="M37" s="41"/>
    </row>
    <row r="38" spans="2:13" ht="30" customHeight="1" x14ac:dyDescent="0.25">
      <c r="B38" s="78" t="s">
        <v>51</v>
      </c>
      <c r="C38" s="78"/>
      <c r="D38" s="76" t="s">
        <v>53</v>
      </c>
      <c r="E38" s="76"/>
      <c r="F38" s="76"/>
      <c r="G38" s="76"/>
      <c r="H38" s="76"/>
      <c r="I38" s="76"/>
      <c r="J38" s="76"/>
      <c r="K38" s="76"/>
      <c r="L38" s="42"/>
      <c r="M38" s="42"/>
    </row>
    <row r="39" spans="2:13" ht="30" customHeight="1" x14ac:dyDescent="0.25">
      <c r="B39" s="74" t="s">
        <v>52</v>
      </c>
      <c r="C39" s="74"/>
      <c r="D39" s="76" t="s">
        <v>57</v>
      </c>
      <c r="E39" s="76"/>
      <c r="F39" s="76"/>
      <c r="G39" s="76"/>
      <c r="H39" s="76"/>
      <c r="I39" s="76"/>
      <c r="J39" s="76"/>
      <c r="K39" s="76"/>
      <c r="L39" s="42"/>
      <c r="M39" s="42"/>
    </row>
  </sheetData>
  <protectedRanges>
    <protectedRange sqref="D7:F8 I7:K8 E9:K11 E18:E20 G18:G20 J18:J20 E28:E29 G28:G29 J28:J29" name="Intervalo1"/>
  </protectedRanges>
  <mergeCells count="61">
    <mergeCell ref="B6:K6"/>
    <mergeCell ref="B39:C39"/>
    <mergeCell ref="D37:K37"/>
    <mergeCell ref="D38:K38"/>
    <mergeCell ref="D39:K39"/>
    <mergeCell ref="G3:K3"/>
    <mergeCell ref="B37:C37"/>
    <mergeCell ref="B38:C38"/>
    <mergeCell ref="G8:K8"/>
    <mergeCell ref="B9:K9"/>
    <mergeCell ref="B10:K11"/>
    <mergeCell ref="B34:F34"/>
    <mergeCell ref="B35:F35"/>
    <mergeCell ref="G35:K35"/>
    <mergeCell ref="I36:K36"/>
    <mergeCell ref="B28:B29"/>
    <mergeCell ref="B30:E30"/>
    <mergeCell ref="B1:M1"/>
    <mergeCell ref="B3:F3"/>
    <mergeCell ref="B4:F4"/>
    <mergeCell ref="B5:F5"/>
    <mergeCell ref="G4:K4"/>
    <mergeCell ref="G5:K5"/>
    <mergeCell ref="F30:G30"/>
    <mergeCell ref="I30:J30"/>
    <mergeCell ref="B33:K33"/>
    <mergeCell ref="B25:D25"/>
    <mergeCell ref="E25:E27"/>
    <mergeCell ref="F25:H25"/>
    <mergeCell ref="I25:K25"/>
    <mergeCell ref="B26:B27"/>
    <mergeCell ref="C26:D26"/>
    <mergeCell ref="F26:F27"/>
    <mergeCell ref="G26:G27"/>
    <mergeCell ref="H26:H27"/>
    <mergeCell ref="I26:I27"/>
    <mergeCell ref="J26:J27"/>
    <mergeCell ref="K26:K27"/>
    <mergeCell ref="B18:B20"/>
    <mergeCell ref="B21:E21"/>
    <mergeCell ref="F21:G21"/>
    <mergeCell ref="I21:J21"/>
    <mergeCell ref="B24:K24"/>
    <mergeCell ref="B15:D15"/>
    <mergeCell ref="E15:E17"/>
    <mergeCell ref="F15:H15"/>
    <mergeCell ref="I15:K15"/>
    <mergeCell ref="B16:B17"/>
    <mergeCell ref="C16:D16"/>
    <mergeCell ref="F16:F17"/>
    <mergeCell ref="G16:G17"/>
    <mergeCell ref="H16:H17"/>
    <mergeCell ref="I16:I17"/>
    <mergeCell ref="J16:J17"/>
    <mergeCell ref="K16:K17"/>
    <mergeCell ref="B14:K14"/>
    <mergeCell ref="B12:K12"/>
    <mergeCell ref="B13:K13"/>
    <mergeCell ref="B8:F8"/>
    <mergeCell ref="B7:F7"/>
    <mergeCell ref="G7:K7"/>
  </mergeCells>
  <printOptions horizontalCentered="1"/>
  <pageMargins left="0.59055118110236227" right="0.59055118110236227" top="0.78740157480314965" bottom="0.78740157480314965" header="0" footer="0"/>
  <pageSetup paperSize="9"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965E-C810-488B-BFEF-A1AC05B29435}">
  <sheetPr>
    <pageSetUpPr fitToPage="1"/>
  </sheetPr>
  <dimension ref="A1:E18"/>
  <sheetViews>
    <sheetView view="pageBreakPreview" zoomScale="115" zoomScaleNormal="115" zoomScaleSheetLayoutView="115" workbookViewId="0">
      <selection activeCell="D6" sqref="D1:D1048576"/>
    </sheetView>
  </sheetViews>
  <sheetFormatPr defaultColWidth="8.81640625" defaultRowHeight="12.5" x14ac:dyDescent="0.25"/>
  <cols>
    <col min="1" max="1" width="12.7265625" style="29" customWidth="1"/>
    <col min="2" max="3" width="7.7265625" style="29" customWidth="1"/>
    <col min="4" max="4" width="33.1796875" style="29" customWidth="1"/>
    <col min="5" max="5" width="48.26953125" style="29" customWidth="1"/>
    <col min="6" max="16384" width="8.81640625" style="29"/>
  </cols>
  <sheetData>
    <row r="1" spans="1:5" ht="54" customHeight="1" x14ac:dyDescent="0.25">
      <c r="A1" s="96"/>
      <c r="B1" s="97"/>
      <c r="C1" s="97"/>
      <c r="D1" s="97"/>
      <c r="E1" s="98"/>
    </row>
    <row r="2" spans="1:5" ht="20.25" customHeight="1" x14ac:dyDescent="0.25">
      <c r="A2" s="99">
        <f>'FR-IMOB-31 _Rev.00'!D6</f>
        <v>0</v>
      </c>
      <c r="B2" s="100"/>
      <c r="C2" s="100"/>
      <c r="D2" s="100"/>
      <c r="E2" s="101"/>
    </row>
    <row r="3" spans="1:5" ht="20.25" customHeight="1" x14ac:dyDescent="0.25">
      <c r="A3" s="113"/>
      <c r="B3" s="114"/>
      <c r="C3" s="114"/>
      <c r="D3" s="114"/>
      <c r="E3" s="115"/>
    </row>
    <row r="4" spans="1:5" ht="20.5" customHeight="1" x14ac:dyDescent="0.25">
      <c r="A4" s="102" t="s">
        <v>26</v>
      </c>
      <c r="B4" s="103"/>
      <c r="C4" s="103"/>
      <c r="D4" s="103"/>
      <c r="E4" s="104"/>
    </row>
    <row r="5" spans="1:5" ht="20.5" customHeight="1" x14ac:dyDescent="0.25">
      <c r="A5" s="107" t="s">
        <v>27</v>
      </c>
      <c r="B5" s="108"/>
      <c r="C5" s="108"/>
      <c r="D5" s="108"/>
      <c r="E5" s="36" t="s">
        <v>28</v>
      </c>
    </row>
    <row r="6" spans="1:5" ht="20.5" customHeight="1" x14ac:dyDescent="0.25">
      <c r="A6" s="109" t="s">
        <v>29</v>
      </c>
      <c r="B6" s="110"/>
      <c r="C6" s="110"/>
      <c r="D6" s="33"/>
      <c r="E6" s="34"/>
    </row>
    <row r="7" spans="1:5" ht="20.5" customHeight="1" x14ac:dyDescent="0.25">
      <c r="A7" s="109" t="s">
        <v>37</v>
      </c>
      <c r="B7" s="110"/>
      <c r="C7" s="110"/>
      <c r="D7" s="33"/>
      <c r="E7" s="34"/>
    </row>
    <row r="8" spans="1:5" ht="20.5" customHeight="1" x14ac:dyDescent="0.25">
      <c r="A8" s="109" t="s">
        <v>38</v>
      </c>
      <c r="B8" s="110"/>
      <c r="C8" s="110"/>
      <c r="D8" s="33"/>
      <c r="E8" s="34"/>
    </row>
    <row r="9" spans="1:5" ht="20.5" customHeight="1" x14ac:dyDescent="0.25">
      <c r="A9" s="116" t="s">
        <v>30</v>
      </c>
      <c r="B9" s="30" t="s">
        <v>39</v>
      </c>
      <c r="C9" s="31">
        <v>19.100000000000001</v>
      </c>
      <c r="D9" s="33"/>
      <c r="E9" s="34"/>
    </row>
    <row r="10" spans="1:5" ht="20.5" customHeight="1" x14ac:dyDescent="0.25">
      <c r="A10" s="116"/>
      <c r="B10" s="30" t="s">
        <v>40</v>
      </c>
      <c r="C10" s="31">
        <v>12.7</v>
      </c>
      <c r="D10" s="33"/>
      <c r="E10" s="34"/>
    </row>
    <row r="11" spans="1:5" ht="20.5" customHeight="1" x14ac:dyDescent="0.25">
      <c r="A11" s="116"/>
      <c r="B11" s="30" t="s">
        <v>41</v>
      </c>
      <c r="C11" s="31">
        <v>9.5</v>
      </c>
      <c r="D11" s="33"/>
      <c r="E11" s="34"/>
    </row>
    <row r="12" spans="1:5" ht="20.5" customHeight="1" x14ac:dyDescent="0.25">
      <c r="A12" s="116"/>
      <c r="B12" s="30" t="s">
        <v>42</v>
      </c>
      <c r="C12" s="32">
        <v>6.3</v>
      </c>
      <c r="D12" s="33"/>
      <c r="E12" s="34"/>
    </row>
    <row r="13" spans="1:5" ht="20.5" customHeight="1" x14ac:dyDescent="0.25">
      <c r="A13" s="102" t="s">
        <v>31</v>
      </c>
      <c r="B13" s="105"/>
      <c r="C13" s="105"/>
      <c r="D13" s="105"/>
      <c r="E13" s="106"/>
    </row>
    <row r="14" spans="1:5" ht="20.5" customHeight="1" x14ac:dyDescent="0.25">
      <c r="A14" s="35"/>
      <c r="B14" s="94" t="s">
        <v>32</v>
      </c>
      <c r="C14" s="94"/>
      <c r="D14" s="94"/>
      <c r="E14" s="95"/>
    </row>
    <row r="15" spans="1:5" ht="20.5" customHeight="1" x14ac:dyDescent="0.25">
      <c r="A15" s="35"/>
      <c r="B15" s="94" t="s">
        <v>33</v>
      </c>
      <c r="C15" s="94"/>
      <c r="D15" s="94"/>
      <c r="E15" s="95"/>
    </row>
    <row r="16" spans="1:5" ht="20.5" customHeight="1" x14ac:dyDescent="0.25">
      <c r="A16" s="35"/>
      <c r="B16" s="94" t="s">
        <v>34</v>
      </c>
      <c r="C16" s="94"/>
      <c r="D16" s="94"/>
      <c r="E16" s="95"/>
    </row>
    <row r="17" spans="1:5" ht="20.5" customHeight="1" x14ac:dyDescent="0.25">
      <c r="A17" s="35"/>
      <c r="B17" s="94" t="s">
        <v>35</v>
      </c>
      <c r="C17" s="94"/>
      <c r="D17" s="94"/>
      <c r="E17" s="95"/>
    </row>
    <row r="18" spans="1:5" ht="20.5" customHeight="1" x14ac:dyDescent="0.25">
      <c r="A18" s="35"/>
      <c r="B18" s="94" t="s">
        <v>36</v>
      </c>
      <c r="C18" s="94"/>
      <c r="D18" s="94"/>
      <c r="E18" s="95"/>
    </row>
  </sheetData>
  <protectedRanges>
    <protectedRange sqref="D6:E12 A14:A18" name="Intervalo1"/>
  </protectedRanges>
  <mergeCells count="15">
    <mergeCell ref="B18:E18"/>
    <mergeCell ref="A1:E1"/>
    <mergeCell ref="A2:E2"/>
    <mergeCell ref="A4:E4"/>
    <mergeCell ref="A13:E13"/>
    <mergeCell ref="B14:E14"/>
    <mergeCell ref="B15:E15"/>
    <mergeCell ref="B16:E16"/>
    <mergeCell ref="B17:E17"/>
    <mergeCell ref="A5:D5"/>
    <mergeCell ref="A6:C6"/>
    <mergeCell ref="A7:C7"/>
    <mergeCell ref="A8:C8"/>
    <mergeCell ref="A9:A12"/>
    <mergeCell ref="A3:E3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8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13</xdr:row>
                    <xdr:rowOff>31750</xdr:rowOff>
                  </from>
                  <to>
                    <xdr:col>0</xdr:col>
                    <xdr:colOff>647700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14</xdr:row>
                    <xdr:rowOff>31750</xdr:rowOff>
                  </from>
                  <to>
                    <xdr:col>0</xdr:col>
                    <xdr:colOff>647700</xdr:colOff>
                    <xdr:row>14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15</xdr:row>
                    <xdr:rowOff>31750</xdr:rowOff>
                  </from>
                  <to>
                    <xdr:col>0</xdr:col>
                    <xdr:colOff>647700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16</xdr:row>
                    <xdr:rowOff>31750</xdr:rowOff>
                  </from>
                  <to>
                    <xdr:col>0</xdr:col>
                    <xdr:colOff>647700</xdr:colOff>
                    <xdr:row>16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 sizeWithCells="1">
                  <from>
                    <xdr:col>0</xdr:col>
                    <xdr:colOff>393700</xdr:colOff>
                    <xdr:row>17</xdr:row>
                    <xdr:rowOff>31750</xdr:rowOff>
                  </from>
                  <to>
                    <xdr:col>0</xdr:col>
                    <xdr:colOff>647700</xdr:colOff>
                    <xdr:row>17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FR-IMOB-31 _Rev.00</vt:lpstr>
      <vt:lpstr>VERSO</vt:lpstr>
      <vt:lpstr>'FR-IMOB-31 _Rev.00'!Area_de_impressao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Samara Rodrigues Dos Santos</cp:lastModifiedBy>
  <cp:lastPrinted>2022-01-07T18:10:35Z</cp:lastPrinted>
  <dcterms:created xsi:type="dcterms:W3CDTF">2021-11-09T18:01:31Z</dcterms:created>
  <dcterms:modified xsi:type="dcterms:W3CDTF">2026-02-16T15:01:08Z</dcterms:modified>
</cp:coreProperties>
</file>