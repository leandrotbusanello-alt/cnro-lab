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 QUALIDADE\_ÁREA COMUM\12 - Controle Tecnológico\01 - Laboratório de pavimentos CRO\09 - Formularios\02- Formulários de ensaios\"/>
    </mc:Choice>
  </mc:AlternateContent>
  <xr:revisionPtr revIDLastSave="0" documentId="13_ncr:1_{CE05AE7B-CD70-44D6-AB98-C83500F2DE97}" xr6:coauthVersionLast="46" xr6:coauthVersionMax="47" xr10:uidLastSave="{00000000-0000-0000-0000-000000000000}"/>
  <bookViews>
    <workbookView xWindow="-120" yWindow="-120" windowWidth="19440" windowHeight="15000" xr2:uid="{4C804A1F-4C6B-49E6-ACED-DF54D84A93EE}"/>
  </bookViews>
  <sheets>
    <sheet name="FR-LAB-01-rev03" sheetId="4" r:id="rId1"/>
    <sheet name="VERS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localSheetId="0" hidden="1">[1]MARSHALL1!#REF!</definedName>
    <definedName name="_1__123Graph_FCHART_1" hidden="1">[1]MARSHALL1!#REF!</definedName>
    <definedName name="_2__123Graph_XCHART_1" localSheetId="0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>#REF!</definedName>
    <definedName name="_xlnm.Print_Area" localSheetId="0">'FR-LAB-01-rev03'!$A$1:$F$37</definedName>
    <definedName name="_xlnm.Print_Area" localSheetId="1">VERSO!$A$1:$C$13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 localSheetId="0">#REF!</definedName>
    <definedName name="btt">#REF!</definedName>
    <definedName name="button_area_1" localSheetId="0">#REF!</definedName>
    <definedName name="button_area_1">#REF!</definedName>
    <definedName name="CAN">#N/A</definedName>
    <definedName name="cbr">#REF!</definedName>
    <definedName name="celltips_area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 localSheetId="0">#REF!</definedName>
    <definedName name="d">#REF!</definedName>
    <definedName name="dez" localSheetId="0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 localSheetId="0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 localSheetId="0">#REF!</definedName>
    <definedName name="nove">#REF!</definedName>
    <definedName name="oito" localSheetId="0">#REF!</definedName>
    <definedName name="oito">#REF!</definedName>
    <definedName name="onze">#REF!</definedName>
    <definedName name="outr">#REF!</definedName>
    <definedName name="P">[8]resumo!#REF!</definedName>
    <definedName name="paraf" localSheetId="0">#REF!</definedName>
    <definedName name="paraf">#REF!</definedName>
    <definedName name="parcial" localSheetId="0">#REF!</definedName>
    <definedName name="parcial">#REF!</definedName>
    <definedName name="pedr" localSheetId="0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 localSheetId="0">#REF!</definedName>
    <definedName name="ptt">#REF!</definedName>
    <definedName name="quatro" localSheetId="0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 localSheetId="0">#REF!</definedName>
    <definedName name="seis">#REF!</definedName>
    <definedName name="sete" localSheetId="0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>#REF!</definedName>
    <definedName name="tres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  <definedName name="Z_136B3143_28E4_4C45_A9BE_4FA02ED69EBB_.wvu.PrintArea" localSheetId="0" hidden="1">'FR-LAB-01-rev03'!$A$1:$F$37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4" l="1"/>
  <c r="F18" i="4"/>
  <c r="F25" i="4" s="1"/>
  <c r="F20" i="4"/>
  <c r="F21" i="4"/>
  <c r="F28" i="4" s="1"/>
  <c r="F22" i="4"/>
  <c r="F27" i="4"/>
  <c r="F31" i="4"/>
  <c r="F32" i="4"/>
  <c r="F33" i="4" l="1"/>
  <c r="F19" i="4"/>
  <c r="F29" i="4"/>
  <c r="F24" i="4"/>
  <c r="F26" i="4" s="1"/>
  <c r="A2" i="2" l="1"/>
</calcChain>
</file>

<file path=xl/sharedStrings.xml><?xml version="1.0" encoding="utf-8"?>
<sst xmlns="http://schemas.openxmlformats.org/spreadsheetml/2006/main" count="79" uniqueCount="61">
  <si>
    <t xml:space="preserve">Massa Específica, Densidade Relativa e Absorção de 
Agregado Graúdo para Misturas Asfálticas 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</si>
  <si>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</si>
  <si>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</si>
  <si>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</si>
  <si>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</si>
  <si>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</si>
  <si>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</si>
  <si>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 de referência</t>
  </si>
  <si>
    <t>Procedimentos do ensaio</t>
  </si>
  <si>
    <t>1 º  Ensaio</t>
  </si>
  <si>
    <t>2 º  Ensaio</t>
  </si>
  <si>
    <t>( A )</t>
  </si>
  <si>
    <t>Massa da cesta vazia (g)</t>
  </si>
  <si>
    <t>( B )</t>
  </si>
  <si>
    <t>Massa da cesta + Amostra seca (g)</t>
  </si>
  <si>
    <t>( C )</t>
  </si>
  <si>
    <t>Massa da cesta imersa (g)</t>
  </si>
  <si>
    <t>( D )</t>
  </si>
  <si>
    <t>Massa da cesta imersa + Amostra (g)</t>
  </si>
  <si>
    <t>( E )</t>
  </si>
  <si>
    <t>Massa da cesta + Amostra saturada (g)</t>
  </si>
  <si>
    <t>Calculos e Resultados</t>
  </si>
  <si>
    <t>1. Densidade relativa (g/cm³)</t>
  </si>
  <si>
    <t>1.1. Densidade relativa real do agregado graúdo</t>
  </si>
  <si>
    <t>1º Ensaio =</t>
  </si>
  <si>
    <r>
      <t xml:space="preserve">G </t>
    </r>
    <r>
      <rPr>
        <vertAlign val="subscript"/>
        <sz val="10"/>
        <rFont val="Tahoma"/>
        <family val="2"/>
      </rPr>
      <t xml:space="preserve">as  </t>
    </r>
    <r>
      <rPr>
        <sz val="10"/>
        <rFont val="Tahoma"/>
        <family val="2"/>
      </rPr>
      <t>=</t>
    </r>
  </si>
  <si>
    <t>( B - A )</t>
  </si>
  <si>
    <t>2º Ensaio =</t>
  </si>
  <si>
    <t>( B - A ) - ( D - C )</t>
  </si>
  <si>
    <t>Média =</t>
  </si>
  <si>
    <t>1.2. Densidade relativa aparente do agregado graúdo</t>
  </si>
  <si>
    <r>
      <t xml:space="preserve">G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</si>
  <si>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t>( E - A ) - ( D - C )</t>
  </si>
  <si>
    <t>2. Massa especifica  (g/cm³)</t>
  </si>
  <si>
    <t>2.1. Massa especifica real do agregado graúdo</t>
  </si>
  <si>
    <r>
      <t xml:space="preserve">ME </t>
    </r>
    <r>
      <rPr>
        <vertAlign val="subscript"/>
        <sz val="10"/>
        <rFont val="Tahoma"/>
        <family val="2"/>
      </rPr>
      <t>sa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</si>
  <si>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as</t>
    </r>
  </si>
  <si>
    <t>2.1. Massa específica aparente do agregado graúdo</t>
  </si>
  <si>
    <r>
      <t xml:space="preserve">ME </t>
    </r>
    <r>
      <rPr>
        <vertAlign val="subscript"/>
        <sz val="10"/>
        <rFont val="Tahoma"/>
        <family val="2"/>
      </rPr>
      <t>sb</t>
    </r>
    <r>
      <rPr>
        <sz val="10"/>
        <rFont val="Tahoma"/>
        <family val="2"/>
      </rPr>
      <t xml:space="preserve"> =</t>
    </r>
  </si>
  <si>
    <r>
      <t xml:space="preserve">0,9971 x G </t>
    </r>
    <r>
      <rPr>
        <vertAlign val="subscript"/>
        <sz val="10"/>
        <rFont val="Tahoma"/>
        <family val="2"/>
      </rPr>
      <t>sb</t>
    </r>
  </si>
  <si>
    <t>3. Porcentagem de absorção (%)</t>
  </si>
  <si>
    <t>Absorção (%). =</t>
  </si>
  <si>
    <t xml:space="preserve">   (E - A) - (B - A)</t>
  </si>
  <si>
    <t>x 100</t>
  </si>
  <si>
    <t>(B - A)</t>
  </si>
  <si>
    <t>Assinaturas</t>
  </si>
  <si>
    <t>Equipamentos utilizados</t>
  </si>
  <si>
    <t>Equipamento</t>
  </si>
  <si>
    <t>Pontos de Verificação</t>
  </si>
  <si>
    <t>Verificar se a balança está zerada, nivelada</t>
  </si>
  <si>
    <r>
      <t xml:space="preserve">Identificação </t>
    </r>
    <r>
      <rPr>
        <sz val="10"/>
        <rFont val="Tahoma"/>
        <family val="2"/>
      </rPr>
      <t>(nº patrimonial e/ou série)</t>
    </r>
  </si>
  <si>
    <t>Balança</t>
  </si>
  <si>
    <t>Verificar a homogeneidade da amostra</t>
  </si>
  <si>
    <t>Remover todo o ar retido antes de determinar a massa, agitando a cesta enquanto imersa.</t>
  </si>
  <si>
    <t>A cesta deve ser imersa a uma profundidade suficiente para cobrir toda ela e a amostra durante a determinação da massa específica real.</t>
  </si>
  <si>
    <t>Verificar se a massa mínima da amostra é suficiente para realizar o ensaio, e está de acordo com o tamanho nominal do grão</t>
  </si>
  <si>
    <t>Estufa</t>
  </si>
  <si>
    <t>DNIT ME 413 Pavimentação - Misturas asfálticas – Massa específica, densidade relativa e absorção de agregado graúdo para misturas asfálticas. ABNT NBR 16917 - Agregado graúdo - Determinação da densidade e da absorção de água.</t>
  </si>
  <si>
    <t xml:space="preserve"> Responsável calculista:</t>
  </si>
  <si>
    <t>Responsável executor:</t>
  </si>
  <si>
    <t>FR-LAB-01_Rev.03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</si>
</sst>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color indexed="8"/>
      <name val="Tahoma"/>
      <family val="2"/>
    </font>
    <font>
      <b/>
      <sz val="14"/>
      <name val="Tahoma"/>
      <family val="2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vertAlign val="subscript"/>
      <sz val="10"/>
      <name val="Tahoma"/>
      <family val="2"/>
    </font>
    <font>
      <b/>
      <i/>
      <sz val="10"/>
      <color theme="1"/>
      <name val="Tahoma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6" fillId="4" borderId="10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2" fontId="5" fillId="3" borderId="10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2" fontId="5" fillId="3" borderId="6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3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2" xfId="1" applyFont="1" applyBorder="1" applyAlignment="1">
      <alignment horizontal="left" vertical="center"/>
    </xf>
    <xf numFmtId="164" fontId="4" fillId="0" borderId="12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164" fontId="6" fillId="0" borderId="9" xfId="1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2" fontId="4" fillId="0" borderId="3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4" fillId="0" borderId="12" xfId="1" applyNumberFormat="1" applyFont="1" applyBorder="1" applyAlignment="1">
      <alignment horizontal="center" vertical="center"/>
    </xf>
    <xf numFmtId="2" fontId="6" fillId="0" borderId="9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>
      <alignment horizontal="center" vertical="center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2" fillId="2" borderId="4" xfId="2" applyFont="1" applyFill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10" fillId="0" borderId="5" xfId="1" applyFont="1" applyBorder="1" applyAlignment="1">
      <alignment horizontal="right" vertical="center"/>
    </xf>
    <xf numFmtId="0" fontId="10" fillId="0" borderId="6" xfId="1" applyFont="1" applyBorder="1" applyAlignment="1">
      <alignment horizontal="right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 vertical="top"/>
    </xf>
    <xf numFmtId="0" fontId="8" fillId="0" borderId="2" xfId="1" applyFont="1" applyBorder="1" applyAlignment="1">
      <alignment horizontal="left" vertical="top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2" fillId="2" borderId="4" xfId="2" applyFont="1" applyFill="1" applyBorder="1" applyAlignment="1">
      <alignment horizontal="left" vertical="center"/>
    </xf>
    <xf numFmtId="0" fontId="2" fillId="2" borderId="5" xfId="2" applyFont="1" applyFill="1" applyBorder="1" applyAlignment="1">
      <alignment horizontal="left" vertical="center"/>
    </xf>
    <xf numFmtId="0" fontId="5" fillId="3" borderId="5" xfId="2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14" fontId="5" fillId="3" borderId="5" xfId="2" applyNumberFormat="1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horizontal="left" vertical="center"/>
    </xf>
    <xf numFmtId="0" fontId="5" fillId="3" borderId="2" xfId="2" applyFont="1" applyFill="1" applyBorder="1" applyAlignment="1">
      <alignment horizontal="left" vertical="center"/>
    </xf>
    <xf numFmtId="0" fontId="5" fillId="3" borderId="3" xfId="2" applyFont="1" applyFill="1" applyBorder="1" applyAlignment="1">
      <alignment horizontal="left" vertical="center"/>
    </xf>
    <xf numFmtId="0" fontId="2" fillId="2" borderId="7" xfId="2" applyFont="1" applyFill="1" applyBorder="1" applyAlignment="1">
      <alignment horizontal="left" vertical="center"/>
    </xf>
    <xf numFmtId="0" fontId="2" fillId="2" borderId="8" xfId="2" applyFont="1" applyFill="1" applyBorder="1" applyAlignment="1">
      <alignment horizontal="left" vertical="center"/>
    </xf>
    <xf numFmtId="0" fontId="5" fillId="3" borderId="8" xfId="2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left" vertical="center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11" fillId="0" borderId="5" xfId="0" applyFont="1" applyBorder="1" applyAlignment="1" applyProtection="1">
      <alignment horizontal="left" vertical="center" wrapText="1"/>
      <protection hidden="1"/>
    </xf>
    <xf numFmtId="0" fontId="11" fillId="0" borderId="6" xfId="0" applyFont="1" applyBorder="1" applyAlignment="1" applyProtection="1">
      <alignment horizontal="left" vertical="center" wrapText="1"/>
      <protection hidden="1"/>
    </xf>
    <xf numFmtId="0" fontId="6" fillId="5" borderId="4" xfId="0" applyFont="1" applyFill="1" applyBorder="1" applyAlignment="1" applyProtection="1">
      <alignment horizontal="center" vertical="center"/>
      <protection hidden="1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2" xfId="0" applyFont="1" applyBorder="1" applyAlignment="1" applyProtection="1">
      <alignment horizontal="left" vertical="center" wrapText="1"/>
      <protection hidden="1"/>
    </xf>
    <xf numFmtId="0" fontId="11" fillId="0" borderId="3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6" fillId="5" borderId="5" xfId="0" applyFont="1" applyFill="1" applyBorder="1" applyAlignment="1" applyProtection="1">
      <alignment horizontal="center" vertical="center"/>
      <protection hidden="1"/>
    </xf>
    <xf numFmtId="0" fontId="6" fillId="5" borderId="6" xfId="0" applyFont="1" applyFill="1" applyBorder="1" applyAlignment="1" applyProtection="1">
      <alignment horizontal="center" vertical="center"/>
      <protection hidden="1"/>
    </xf>
    <xf numFmtId="0" fontId="11" fillId="0" borderId="2" xfId="0" quotePrefix="1" applyFont="1" applyBorder="1" applyAlignment="1" applyProtection="1">
      <alignment horizontal="left" vertical="center" wrapText="1"/>
      <protection hidden="1"/>
    </xf>
  </cellXfs>
  <cellStyles count="3">
    <cellStyle name="Normal" xfId="0" builtinId="0"/>
    <cellStyle name="Normal 2 2" xfId="2" xr:uid="{16A5E309-241D-468A-99A8-1C4EBC45669C}"/>
    <cellStyle name="Normal 9 2" xfId="1" xr:uid="{CBCAD959-355F-4EED-B31D-64D08D9DD2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57150</xdr:rowOff>
    </xdr:from>
    <xdr:ext cx="1552575" cy="552450"/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7150"/>
          <a:ext cx="15525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8</xdr:row>
          <xdr:rowOff>28575</xdr:rowOff>
        </xdr:from>
        <xdr:to>
          <xdr:col>0</xdr:col>
          <xdr:colOff>647700</xdr:colOff>
          <xdr:row>8</xdr:row>
          <xdr:rowOff>247650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9</xdr:row>
          <xdr:rowOff>28575</xdr:rowOff>
        </xdr:from>
        <xdr:to>
          <xdr:col>0</xdr:col>
          <xdr:colOff>647700</xdr:colOff>
          <xdr:row>9</xdr:row>
          <xdr:rowOff>247650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12</xdr:row>
          <xdr:rowOff>28575</xdr:rowOff>
        </xdr:from>
        <xdr:to>
          <xdr:col>0</xdr:col>
          <xdr:colOff>647700</xdr:colOff>
          <xdr:row>12</xdr:row>
          <xdr:rowOff>247650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10</xdr:row>
          <xdr:rowOff>28575</xdr:rowOff>
        </xdr:from>
        <xdr:to>
          <xdr:col>0</xdr:col>
          <xdr:colOff>647700</xdr:colOff>
          <xdr:row>10</xdr:row>
          <xdr:rowOff>247650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390525</xdr:colOff>
          <xdr:row>11</xdr:row>
          <xdr:rowOff>28575</xdr:rowOff>
        </xdr:from>
        <xdr:to>
          <xdr:col>0</xdr:col>
          <xdr:colOff>647700</xdr:colOff>
          <xdr:row>11</xdr:row>
          <xdr:rowOff>247650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149088</xdr:colOff>
      <xdr:row>0</xdr:row>
      <xdr:rowOff>124239</xdr:rowOff>
    </xdr:from>
    <xdr:to>
      <xdr:col>1</xdr:col>
      <xdr:colOff>807141</xdr:colOff>
      <xdr:row>0</xdr:row>
      <xdr:rowOff>676689</xdr:rowOff>
    </xdr:to>
    <xdr:pic>
      <xdr:nvPicPr>
        <xdr:cNvPr id="11" name="Imagem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8" y="124239"/>
          <a:ext cx="15525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9E56-2E11-4910-8C32-F782F558C4E4}">
  <sheetPr>
    <pageSetUpPr fitToPage="1"/>
  </sheetPr>
  <dimension ref="A1:F37"/>
  <sheetViews>
    <sheetView showGridLines="0" tabSelected="1" view="pageBreakPreview" zoomScaleNormal="100" zoomScaleSheetLayoutView="100" workbookViewId="0">
      <selection activeCell="H5" sqref="H5"/>
    </sheetView>
  </sheetViews>
  <sheetFormatPr defaultColWidth="11.42578125" defaultRowHeight="12.75" x14ac:dyDescent="0.2"/>
  <cols>
    <col min="1" max="1" width="19.85546875" style="36" customWidth="1"/>
    <col min="2" max="2" width="15.7109375" style="36" customWidth="1"/>
    <col min="3" max="3" width="18.7109375" style="36" customWidth="1"/>
    <col min="4" max="4" width="24.140625" style="36" customWidth="1"/>
    <col min="5" max="6" width="18.7109375" style="36" customWidth="1"/>
    <col min="7" max="16384" width="11.42578125" style="36"/>
  </cols>
  <sheetData>
    <row r="1" spans="1:6" ht="61.5" customHeight="1" x14ac:dyDescent="0.2">
      <c r="A1" s="40"/>
      <c r="B1" s="39"/>
      <c r="C1" s="79" t="s">
        <v>0</v>
      </c>
      <c r="D1" s="79"/>
      <c r="E1" s="79"/>
      <c r="F1" s="80"/>
    </row>
    <row r="2" spans="1:6" ht="26.25" customHeight="1" x14ac:dyDescent="0.2">
      <c r="A2" s="38" t="s">
        <v>1</v>
      </c>
      <c r="B2" s="77"/>
      <c r="C2" s="77"/>
      <c r="D2" s="37" t="s">
        <v>2</v>
      </c>
      <c r="E2" s="81"/>
      <c r="F2" s="78"/>
    </row>
    <row r="3" spans="1:6" ht="26.25" customHeight="1" x14ac:dyDescent="0.2">
      <c r="A3" s="38" t="s">
        <v>3</v>
      </c>
      <c r="B3" s="77"/>
      <c r="C3" s="77"/>
      <c r="D3" s="37" t="s">
        <v>4</v>
      </c>
      <c r="E3" s="77"/>
      <c r="F3" s="78"/>
    </row>
    <row r="4" spans="1:6" ht="26.25" customHeight="1" x14ac:dyDescent="0.2">
      <c r="A4" s="75" t="s">
        <v>5</v>
      </c>
      <c r="B4" s="76"/>
      <c r="C4" s="77"/>
      <c r="D4" s="77"/>
      <c r="E4" s="77"/>
      <c r="F4" s="78"/>
    </row>
    <row r="5" spans="1:6" ht="26.25" customHeight="1" x14ac:dyDescent="0.2">
      <c r="A5" s="82" t="s">
        <v>6</v>
      </c>
      <c r="B5" s="83"/>
      <c r="C5" s="84"/>
      <c r="D5" s="84"/>
      <c r="E5" s="84"/>
      <c r="F5" s="85"/>
    </row>
    <row r="6" spans="1:6" ht="26.25" customHeight="1" x14ac:dyDescent="0.2">
      <c r="A6" s="86"/>
      <c r="B6" s="87"/>
      <c r="C6" s="88"/>
      <c r="D6" s="88"/>
      <c r="E6" s="88"/>
      <c r="F6" s="89"/>
    </row>
    <row r="7" spans="1:6" ht="22.5" customHeight="1" x14ac:dyDescent="0.2">
      <c r="A7" s="55" t="s">
        <v>7</v>
      </c>
      <c r="B7" s="56"/>
      <c r="C7" s="56"/>
      <c r="D7" s="56"/>
      <c r="E7" s="56"/>
      <c r="F7" s="57"/>
    </row>
    <row r="8" spans="1:6" ht="42.75" customHeight="1" x14ac:dyDescent="0.2">
      <c r="A8" s="90" t="s">
        <v>57</v>
      </c>
      <c r="B8" s="91"/>
      <c r="C8" s="91"/>
      <c r="D8" s="91"/>
      <c r="E8" s="91"/>
      <c r="F8" s="92"/>
    </row>
    <row r="9" spans="1:6" ht="22.5" customHeight="1" x14ac:dyDescent="0.2">
      <c r="A9" s="55" t="s">
        <v>8</v>
      </c>
      <c r="B9" s="56"/>
      <c r="C9" s="56"/>
      <c r="D9" s="57"/>
      <c r="E9" s="1" t="s">
        <v>9</v>
      </c>
      <c r="F9" s="1" t="s">
        <v>10</v>
      </c>
    </row>
    <row r="10" spans="1:6" ht="22.5" customHeight="1" x14ac:dyDescent="0.2">
      <c r="A10" s="2" t="s">
        <v>11</v>
      </c>
      <c r="B10" s="58" t="s">
        <v>12</v>
      </c>
      <c r="C10" s="58"/>
      <c r="D10" s="59"/>
      <c r="E10" s="3"/>
      <c r="F10" s="3"/>
    </row>
    <row r="11" spans="1:6" ht="22.5" customHeight="1" x14ac:dyDescent="0.2">
      <c r="A11" s="4" t="s">
        <v>13</v>
      </c>
      <c r="B11" s="58" t="s">
        <v>14</v>
      </c>
      <c r="C11" s="58"/>
      <c r="D11" s="59"/>
      <c r="E11" s="3"/>
      <c r="F11" s="3"/>
    </row>
    <row r="12" spans="1:6" ht="22.5" customHeight="1" x14ac:dyDescent="0.2">
      <c r="A12" s="4" t="s">
        <v>15</v>
      </c>
      <c r="B12" s="58" t="s">
        <v>16</v>
      </c>
      <c r="C12" s="58"/>
      <c r="D12" s="59"/>
      <c r="E12" s="3"/>
      <c r="F12" s="3"/>
    </row>
    <row r="13" spans="1:6" ht="22.5" customHeight="1" x14ac:dyDescent="0.2">
      <c r="A13" s="4" t="s">
        <v>17</v>
      </c>
      <c r="B13" s="58" t="s">
        <v>18</v>
      </c>
      <c r="C13" s="58"/>
      <c r="D13" s="59"/>
      <c r="E13" s="3"/>
      <c r="F13" s="3"/>
    </row>
    <row r="14" spans="1:6" ht="22.5" customHeight="1" x14ac:dyDescent="0.2">
      <c r="A14" s="4" t="s">
        <v>19</v>
      </c>
      <c r="B14" s="58" t="s">
        <v>20</v>
      </c>
      <c r="C14" s="58"/>
      <c r="D14" s="59"/>
      <c r="E14" s="3"/>
      <c r="F14" s="5"/>
    </row>
    <row r="15" spans="1:6" ht="22.5" customHeight="1" x14ac:dyDescent="0.2">
      <c r="A15" s="45" t="s">
        <v>21</v>
      </c>
      <c r="B15" s="46"/>
      <c r="C15" s="46"/>
      <c r="D15" s="46"/>
      <c r="E15" s="46"/>
      <c r="F15" s="47"/>
    </row>
    <row r="16" spans="1:6" ht="22.5" customHeight="1" x14ac:dyDescent="0.2">
      <c r="A16" s="63" t="s">
        <v>22</v>
      </c>
      <c r="B16" s="64"/>
      <c r="C16" s="64"/>
      <c r="D16" s="64"/>
      <c r="E16" s="64"/>
      <c r="F16" s="65"/>
    </row>
    <row r="17" spans="1:6" ht="22.5" customHeight="1" x14ac:dyDescent="0.2">
      <c r="A17" s="66" t="s">
        <v>23</v>
      </c>
      <c r="B17" s="67"/>
      <c r="C17" s="67"/>
      <c r="D17" s="68"/>
      <c r="E17" s="6" t="s">
        <v>24</v>
      </c>
      <c r="F17" s="7" t="str">
        <f>IF(E10="","",IF(E11="","",IF(E12="","",IF(E13="","",(E11-E10)/((E11-E10)-(E13-E12))))))</f>
        <v/>
      </c>
    </row>
    <row r="18" spans="1:6" ht="22.5" customHeight="1" x14ac:dyDescent="0.2">
      <c r="A18" s="43" t="s">
        <v>25</v>
      </c>
      <c r="B18" s="44"/>
      <c r="C18" s="8" t="s">
        <v>26</v>
      </c>
      <c r="D18" s="9"/>
      <c r="E18" s="33" t="s">
        <v>27</v>
      </c>
      <c r="F18" s="10" t="str">
        <f>IF(F10="","",IF(F11="","",IF(F12="","",IF(F13="","",(F11-F10)/((F11-F10)-(F13-F12))))))</f>
        <v/>
      </c>
    </row>
    <row r="19" spans="1:6" ht="22.5" customHeight="1" x14ac:dyDescent="0.2">
      <c r="A19" s="11"/>
      <c r="B19" s="12"/>
      <c r="C19" s="8" t="s">
        <v>28</v>
      </c>
      <c r="D19" s="13"/>
      <c r="E19" s="14" t="s">
        <v>29</v>
      </c>
      <c r="F19" s="15" t="str">
        <f>IF(SUM(F17:F18)=0,"",AVERAGE(F17:F18))</f>
        <v/>
      </c>
    </row>
    <row r="20" spans="1:6" ht="22.5" customHeight="1" x14ac:dyDescent="0.2">
      <c r="A20" s="66" t="s">
        <v>30</v>
      </c>
      <c r="B20" s="67"/>
      <c r="C20" s="67"/>
      <c r="D20" s="68"/>
      <c r="E20" s="6" t="s">
        <v>24</v>
      </c>
      <c r="F20" s="7" t="str">
        <f>IF(E10="","",IF(E11="","",IF(E12="","",IF(E13="","",IF(E14="","",(E11-E10)/((E14-E10)-(E13-E12)))))))</f>
        <v/>
      </c>
    </row>
    <row r="21" spans="1:6" ht="22.5" customHeight="1" x14ac:dyDescent="0.2">
      <c r="A21" s="43" t="s">
        <v>31</v>
      </c>
      <c r="B21" s="44"/>
      <c r="C21" s="8" t="s">
        <v>26</v>
      </c>
      <c r="D21" s="16"/>
      <c r="E21" s="33" t="s">
        <v>27</v>
      </c>
      <c r="F21" s="10" t="str">
        <f>IF(F10="","",IF(F11="","",IF(F12="","",IF(F13="","",IF(F14="","",(F11-F10)/((F14-F10)-(F13-F12)))))))</f>
        <v/>
      </c>
    </row>
    <row r="22" spans="1:6" ht="22.5" customHeight="1" x14ac:dyDescent="0.2">
      <c r="A22" s="17"/>
      <c r="B22" s="18"/>
      <c r="C22" s="8" t="s">
        <v>32</v>
      </c>
      <c r="D22" s="19"/>
      <c r="E22" s="14" t="s">
        <v>29</v>
      </c>
      <c r="F22" s="15" t="str">
        <f>IF(SUM(F20:F21)=0,"",AVERAGE(F20:F21))</f>
        <v/>
      </c>
    </row>
    <row r="23" spans="1:6" ht="22.5" customHeight="1" x14ac:dyDescent="0.2">
      <c r="A23" s="69" t="s">
        <v>33</v>
      </c>
      <c r="B23" s="70"/>
      <c r="C23" s="70"/>
      <c r="D23" s="70"/>
      <c r="E23" s="70"/>
      <c r="F23" s="71"/>
    </row>
    <row r="24" spans="1:6" ht="22.5" customHeight="1" x14ac:dyDescent="0.2">
      <c r="A24" s="72" t="s">
        <v>34</v>
      </c>
      <c r="B24" s="73"/>
      <c r="C24" s="73"/>
      <c r="D24" s="74"/>
      <c r="E24" s="6" t="s">
        <v>24</v>
      </c>
      <c r="F24" s="7" t="str">
        <f>IF(F17="","",0.9971*F17)</f>
        <v/>
      </c>
    </row>
    <row r="25" spans="1:6" ht="22.5" customHeight="1" x14ac:dyDescent="0.2">
      <c r="A25" s="43" t="s">
        <v>35</v>
      </c>
      <c r="B25" s="44"/>
      <c r="C25" s="34" t="s">
        <v>36</v>
      </c>
      <c r="D25" s="9"/>
      <c r="E25" s="33" t="s">
        <v>27</v>
      </c>
      <c r="F25" s="10" t="str">
        <f>IF(F18="","",0.9971*F18)</f>
        <v/>
      </c>
    </row>
    <row r="26" spans="1:6" ht="22.5" customHeight="1" x14ac:dyDescent="0.2">
      <c r="A26" s="11"/>
      <c r="B26" s="12"/>
      <c r="C26" s="8"/>
      <c r="D26" s="13"/>
      <c r="E26" s="14" t="s">
        <v>29</v>
      </c>
      <c r="F26" s="15" t="str">
        <f>IF(SUM(F24:F25)=0,"",AVERAGE(F24:F25))</f>
        <v/>
      </c>
    </row>
    <row r="27" spans="1:6" ht="22.5" customHeight="1" x14ac:dyDescent="0.2">
      <c r="A27" s="72" t="s">
        <v>37</v>
      </c>
      <c r="B27" s="73"/>
      <c r="C27" s="73"/>
      <c r="D27" s="74"/>
      <c r="E27" s="6" t="s">
        <v>24</v>
      </c>
      <c r="F27" s="7" t="str">
        <f>IF(F20="","",0.9971*F20)</f>
        <v/>
      </c>
    </row>
    <row r="28" spans="1:6" ht="22.5" customHeight="1" x14ac:dyDescent="0.2">
      <c r="A28" s="43" t="s">
        <v>38</v>
      </c>
      <c r="B28" s="44"/>
      <c r="C28" s="34" t="s">
        <v>39</v>
      </c>
      <c r="D28" s="9"/>
      <c r="E28" s="33" t="s">
        <v>27</v>
      </c>
      <c r="F28" s="10" t="str">
        <f>IF(F21="","",0.9971*F21)</f>
        <v/>
      </c>
    </row>
    <row r="29" spans="1:6" ht="22.5" customHeight="1" x14ac:dyDescent="0.2">
      <c r="A29" s="11"/>
      <c r="B29" s="12"/>
      <c r="C29" s="8"/>
      <c r="D29" s="13"/>
      <c r="E29" s="14" t="s">
        <v>29</v>
      </c>
      <c r="F29" s="15" t="str">
        <f>IF(SUM(F27:F28)=0,"",AVERAGE(F27:F28))</f>
        <v/>
      </c>
    </row>
    <row r="30" spans="1:6" ht="22.5" customHeight="1" x14ac:dyDescent="0.2">
      <c r="A30" s="60" t="s">
        <v>40</v>
      </c>
      <c r="B30" s="61"/>
      <c r="C30" s="61"/>
      <c r="D30" s="61"/>
      <c r="E30" s="61"/>
      <c r="F30" s="62"/>
    </row>
    <row r="31" spans="1:6" ht="22.5" customHeight="1" x14ac:dyDescent="0.2">
      <c r="A31" s="20"/>
      <c r="B31" s="21"/>
      <c r="C31" s="35"/>
      <c r="D31" s="35"/>
      <c r="E31" s="6" t="s">
        <v>24</v>
      </c>
      <c r="F31" s="22" t="str">
        <f>IF(E10="","",IF(E11="","",IF(E14="","",100*((E14-E10)-(E11-E10))/(E11-E10))))</f>
        <v/>
      </c>
    </row>
    <row r="32" spans="1:6" ht="22.5" customHeight="1" x14ac:dyDescent="0.2">
      <c r="A32" s="43" t="s">
        <v>41</v>
      </c>
      <c r="B32" s="44"/>
      <c r="C32" s="8" t="s">
        <v>42</v>
      </c>
      <c r="D32" s="23" t="s">
        <v>43</v>
      </c>
      <c r="E32" s="33" t="s">
        <v>27</v>
      </c>
      <c r="F32" s="24" t="str">
        <f>IF(F10="","",IF(F11="","",IF(F14="","",100*((F14-F10)-(F11-F10))/(F11-F10))))</f>
        <v/>
      </c>
    </row>
    <row r="33" spans="1:6" ht="22.5" customHeight="1" x14ac:dyDescent="0.2">
      <c r="A33" s="11"/>
      <c r="B33" s="12"/>
      <c r="C33" s="8" t="s">
        <v>44</v>
      </c>
      <c r="D33" s="12"/>
      <c r="E33" s="14" t="s">
        <v>29</v>
      </c>
      <c r="F33" s="25" t="str">
        <f>IF(SUM(F31:F32)=0,"",AVERAGE(F31:F32))</f>
        <v/>
      </c>
    </row>
    <row r="34" spans="1:6" ht="22.5" customHeight="1" x14ac:dyDescent="0.2">
      <c r="A34" s="45" t="s">
        <v>45</v>
      </c>
      <c r="B34" s="46"/>
      <c r="C34" s="46"/>
      <c r="D34" s="46"/>
      <c r="E34" s="46"/>
      <c r="F34" s="47"/>
    </row>
    <row r="35" spans="1:6" ht="51.75" customHeight="1" x14ac:dyDescent="0.2">
      <c r="A35" s="48"/>
      <c r="B35" s="49"/>
      <c r="C35" s="49"/>
      <c r="D35" s="50"/>
      <c r="E35" s="50"/>
      <c r="F35" s="51"/>
    </row>
    <row r="36" spans="1:6" ht="24.75" customHeight="1" x14ac:dyDescent="0.2">
      <c r="A36" s="52" t="s">
        <v>59</v>
      </c>
      <c r="B36" s="53"/>
      <c r="C36" s="53"/>
      <c r="D36" s="53" t="s">
        <v>58</v>
      </c>
      <c r="E36" s="53"/>
      <c r="F36" s="54"/>
    </row>
    <row r="37" spans="1:6" ht="22.5" customHeight="1" x14ac:dyDescent="0.2">
      <c r="A37" s="17"/>
      <c r="B37" s="18"/>
      <c r="C37" s="18"/>
      <c r="D37" s="18"/>
      <c r="E37" s="41" t="s">
        <v>60</v>
      </c>
      <c r="F37" s="42"/>
    </row>
  </sheetData>
  <sheetProtection algorithmName="SHA-512" hashValue="6gVHUdDouKdUQ/+4FO6CGf9WyocEvfRnyZi/BIPjciB2u3OgS6XD1NjMvsTcosjEBspIcnMa398eQ0iH/JM8WA==" saltValue="g16DaT6zWNPLCvH29s+aSw==" spinCount="100000" sheet="1" objects="1" scenarios="1"/>
  <protectedRanges>
    <protectedRange sqref="B2:C3 E2:F3 C4:F6 E10:F14" name="Intervalo1"/>
  </protectedRanges>
  <mergeCells count="38">
    <mergeCell ref="A4:B4"/>
    <mergeCell ref="C4:F4"/>
    <mergeCell ref="A27:D27"/>
    <mergeCell ref="C1:F1"/>
    <mergeCell ref="B2:C2"/>
    <mergeCell ref="E2:F2"/>
    <mergeCell ref="B3:C3"/>
    <mergeCell ref="E3:F3"/>
    <mergeCell ref="B10:D10"/>
    <mergeCell ref="B14:D14"/>
    <mergeCell ref="A5:B5"/>
    <mergeCell ref="C5:F5"/>
    <mergeCell ref="A6:B6"/>
    <mergeCell ref="C6:F6"/>
    <mergeCell ref="A7:F7"/>
    <mergeCell ref="A8:F8"/>
    <mergeCell ref="A9:D9"/>
    <mergeCell ref="B11:D11"/>
    <mergeCell ref="B12:D12"/>
    <mergeCell ref="B13:D13"/>
    <mergeCell ref="A30:F30"/>
    <mergeCell ref="A15:F15"/>
    <mergeCell ref="A16:F16"/>
    <mergeCell ref="A17:D17"/>
    <mergeCell ref="A18:B18"/>
    <mergeCell ref="A20:D20"/>
    <mergeCell ref="A21:B21"/>
    <mergeCell ref="A23:F23"/>
    <mergeCell ref="A24:D24"/>
    <mergeCell ref="A25:B25"/>
    <mergeCell ref="A28:B28"/>
    <mergeCell ref="E37:F37"/>
    <mergeCell ref="A32:B32"/>
    <mergeCell ref="A34:F34"/>
    <mergeCell ref="A35:C35"/>
    <mergeCell ref="D35:F35"/>
    <mergeCell ref="A36:C36"/>
    <mergeCell ref="D36:F36"/>
  </mergeCells>
  <printOptions horizontalCentered="1"/>
  <pageMargins left="0.59055118110236227" right="0.59055118110236227" top="0.78740157480314965" bottom="0.78740157480314965" header="0.51181102362204722" footer="0.55118110236220474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F837-EED7-4B58-85C6-E51BE80D6590}">
  <sheetPr>
    <pageSetUpPr fitToPage="1"/>
  </sheetPr>
  <dimension ref="A1:C13"/>
  <sheetViews>
    <sheetView view="pageBreakPreview" zoomScale="115" zoomScaleNormal="115" zoomScaleSheetLayoutView="115" workbookViewId="0">
      <selection activeCell="E13" sqref="E13"/>
    </sheetView>
  </sheetViews>
  <sheetFormatPr defaultColWidth="8.85546875" defaultRowHeight="12.75" x14ac:dyDescent="0.2"/>
  <cols>
    <col min="1" max="1" width="13.42578125" style="26" customWidth="1"/>
    <col min="2" max="2" width="33.140625" style="26" customWidth="1"/>
    <col min="3" max="3" width="53" style="26" customWidth="1"/>
    <col min="4" max="16384" width="8.85546875" style="26"/>
  </cols>
  <sheetData>
    <row r="1" spans="1:3" ht="63.75" customHeight="1" x14ac:dyDescent="0.2">
      <c r="A1" s="102"/>
      <c r="B1" s="103"/>
      <c r="C1" s="104"/>
    </row>
    <row r="2" spans="1:3" ht="48.75" customHeight="1" x14ac:dyDescent="0.2">
      <c r="A2" s="105" t="str">
        <f>'FR-LAB-01-rev03'!C1</f>
        <v xml:space="preserve">Massa Específica, Densidade Relativa e Absorção de 
Agregado Graúdo para Misturas Asfálticas </v>
      </c>
      <c r="B2" s="106"/>
      <c r="C2" s="107"/>
    </row>
    <row r="3" spans="1:3" ht="11.25" customHeight="1" x14ac:dyDescent="0.2">
      <c r="A3" s="28"/>
      <c r="B3" s="29"/>
      <c r="C3" s="30"/>
    </row>
    <row r="4" spans="1:3" ht="20.45" customHeight="1" x14ac:dyDescent="0.2">
      <c r="A4" s="95" t="s">
        <v>46</v>
      </c>
      <c r="B4" s="96"/>
      <c r="C4" s="97"/>
    </row>
    <row r="5" spans="1:3" ht="20.45" customHeight="1" x14ac:dyDescent="0.2">
      <c r="A5" s="98" t="s">
        <v>47</v>
      </c>
      <c r="B5" s="99"/>
      <c r="C5" s="31" t="s">
        <v>50</v>
      </c>
    </row>
    <row r="6" spans="1:3" ht="20.45" customHeight="1" x14ac:dyDescent="0.2">
      <c r="A6" s="27" t="s">
        <v>51</v>
      </c>
      <c r="B6" s="5"/>
      <c r="C6" s="3"/>
    </row>
    <row r="7" spans="1:3" ht="20.45" customHeight="1" x14ac:dyDescent="0.2">
      <c r="A7" s="27" t="s">
        <v>56</v>
      </c>
      <c r="B7" s="5"/>
      <c r="C7" s="3"/>
    </row>
    <row r="8" spans="1:3" ht="20.45" customHeight="1" x14ac:dyDescent="0.2">
      <c r="A8" s="95" t="s">
        <v>48</v>
      </c>
      <c r="B8" s="108"/>
      <c r="C8" s="109"/>
    </row>
    <row r="9" spans="1:3" ht="26.45" customHeight="1" x14ac:dyDescent="0.2">
      <c r="A9" s="32"/>
      <c r="B9" s="110" t="s">
        <v>52</v>
      </c>
      <c r="C9" s="101" t="s">
        <v>52</v>
      </c>
    </row>
    <row r="10" spans="1:3" ht="26.45" customHeight="1" x14ac:dyDescent="0.2">
      <c r="A10" s="32"/>
      <c r="B10" s="100" t="s">
        <v>55</v>
      </c>
      <c r="C10" s="101" t="s">
        <v>55</v>
      </c>
    </row>
    <row r="11" spans="1:3" ht="26.45" customHeight="1" x14ac:dyDescent="0.2">
      <c r="A11" s="32"/>
      <c r="B11" s="100" t="s">
        <v>49</v>
      </c>
      <c r="C11" s="101" t="s">
        <v>49</v>
      </c>
    </row>
    <row r="12" spans="1:3" ht="26.45" customHeight="1" x14ac:dyDescent="0.2">
      <c r="A12" s="32"/>
      <c r="B12" s="100" t="s">
        <v>53</v>
      </c>
      <c r="C12" s="101" t="s">
        <v>53</v>
      </c>
    </row>
    <row r="13" spans="1:3" ht="26.45" customHeight="1" x14ac:dyDescent="0.2">
      <c r="A13" s="32"/>
      <c r="B13" s="93" t="s">
        <v>54</v>
      </c>
      <c r="C13" s="94" t="s">
        <v>54</v>
      </c>
    </row>
  </sheetData>
  <protectedRanges>
    <protectedRange sqref="B6:C7 A9:A13" name="Intervalo2"/>
    <protectedRange sqref="B6:C7" name="Intervalo1"/>
  </protectedRanges>
  <mergeCells count="10">
    <mergeCell ref="A1:C1"/>
    <mergeCell ref="A2:C2"/>
    <mergeCell ref="A8:C8"/>
    <mergeCell ref="B9:C9"/>
    <mergeCell ref="B10:C10"/>
    <mergeCell ref="B13:C13"/>
    <mergeCell ref="A4:C4"/>
    <mergeCell ref="A5:B5"/>
    <mergeCell ref="B11:C11"/>
    <mergeCell ref="B12:C12"/>
  </mergeCells>
  <printOptions horizontalCentered="1"/>
  <pageMargins left="0.59055118110236227" right="0.59055118110236227" top="0.78740157480314965" bottom="0.78740157480314965" header="0.31496062992125984" footer="0.31496062992125984"/>
  <pageSetup paperSize="9" scale="9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 sizeWithCells="1">
                  <from>
                    <xdr:col>0</xdr:col>
                    <xdr:colOff>390525</xdr:colOff>
                    <xdr:row>8</xdr:row>
                    <xdr:rowOff>28575</xdr:rowOff>
                  </from>
                  <to>
                    <xdr:col>0</xdr:col>
                    <xdr:colOff>647700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 sizeWithCells="1">
                  <from>
                    <xdr:col>0</xdr:col>
                    <xdr:colOff>390525</xdr:colOff>
                    <xdr:row>9</xdr:row>
                    <xdr:rowOff>28575</xdr:rowOff>
                  </from>
                  <to>
                    <xdr:col>0</xdr:col>
                    <xdr:colOff>647700</xdr:colOff>
                    <xdr:row>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 sizeWithCells="1">
                  <from>
                    <xdr:col>0</xdr:col>
                    <xdr:colOff>390525</xdr:colOff>
                    <xdr:row>12</xdr:row>
                    <xdr:rowOff>28575</xdr:rowOff>
                  </from>
                  <to>
                    <xdr:col>0</xdr:col>
                    <xdr:colOff>647700</xdr:colOff>
                    <xdr:row>12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7" name="Check Box 11">
              <controlPr defaultSize="0" autoFill="0" autoLine="0" autoPict="0">
                <anchor moveWithCells="1" sizeWithCells="1">
                  <from>
                    <xdr:col>0</xdr:col>
                    <xdr:colOff>390525</xdr:colOff>
                    <xdr:row>10</xdr:row>
                    <xdr:rowOff>28575</xdr:rowOff>
                  </from>
                  <to>
                    <xdr:col>0</xdr:col>
                    <xdr:colOff>647700</xdr:colOff>
                    <xdr:row>10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8" name="Check Box 12">
              <controlPr defaultSize="0" autoFill="0" autoLine="0" autoPict="0">
                <anchor moveWithCells="1" sizeWithCells="1">
                  <from>
                    <xdr:col>0</xdr:col>
                    <xdr:colOff>390525</xdr:colOff>
                    <xdr:row>11</xdr:row>
                    <xdr:rowOff>28575</xdr:rowOff>
                  </from>
                  <to>
                    <xdr:col>0</xdr:col>
                    <xdr:colOff>647700</xdr:colOff>
                    <xdr:row>11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FR-LAB-01-rev03</vt:lpstr>
      <vt:lpstr>VERSO</vt:lpstr>
      <vt:lpstr>'FR-LAB-01-rev03'!Area_de_impressao</vt:lpstr>
      <vt:lpstr>VERSO!Area_de_impressao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Ellen Jane Guilherme Cardoso</cp:lastModifiedBy>
  <cp:lastPrinted>2022-08-04T17:43:16Z</cp:lastPrinted>
  <dcterms:created xsi:type="dcterms:W3CDTF">2021-11-09T17:39:52Z</dcterms:created>
  <dcterms:modified xsi:type="dcterms:W3CDTF">2022-08-04T17:54:45Z</dcterms:modified>
</cp:coreProperties>
</file>