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6BAD1C77-6966-4CA0-B251-9066B443D963}" xr6:coauthVersionLast="47" xr6:coauthVersionMax="47" xr10:uidLastSave="{00000000-0000-0000-0000-000000000000}"/>
  <bookViews>
    <workbookView xWindow="-28910" yWindow="-1730" windowWidth="29020" windowHeight="15820" xr2:uid="{33CA59E6-367F-4D24-AB97-7F18232018D2}"/>
  </bookViews>
  <sheets>
    <sheet name="FR-IMOB-17_Rev00" sheetId="1" r:id="rId1"/>
    <sheet name="VERSO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'FR-IMOB-17_Rev00'!$A$1:$K$54</definedName>
    <definedName name="_xlnm.Print_Area" localSheetId="1">VERSO!$A$1:$C$16</definedName>
    <definedName name="arei" localSheetId="1">#REF!</definedName>
    <definedName name="arei">#REF!</definedName>
    <definedName name="BI">[3]Teor!$A$3:$G$7</definedName>
    <definedName name="bica" localSheetId="1">#REF!</definedName>
    <definedName name="bica">#REF!</definedName>
    <definedName name="btt" localSheetId="1">#REF!</definedName>
    <definedName name="btt">#REF!</definedName>
    <definedName name="button_area_1" localSheetId="1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 localSheetId="1">#REF!</definedName>
    <definedName name="correção">#REF!</definedName>
    <definedName name="d" localSheetId="1">#REF!</definedName>
    <definedName name="d">#REF!</definedName>
    <definedName name="dez" localSheetId="1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 localSheetId="1">#REF!</definedName>
    <definedName name="h">#REF!</definedName>
    <definedName name="IP" localSheetId="1">[7]resumo!#REF!</definedName>
    <definedName name="IP">[7]resumo!#REF!</definedName>
    <definedName name="kp" localSheetId="1">#REF!</definedName>
    <definedName name="kp">#REF!</definedName>
    <definedName name="lab" localSheetId="1">#REF!</definedName>
    <definedName name="lab">#REF!</definedName>
    <definedName name="LL" localSheetId="1">[7]resumo!#REF!</definedName>
    <definedName name="LL">[7]resumo!#REF!</definedName>
    <definedName name="marshall" localSheetId="1">#REF!</definedName>
    <definedName name="marshall">#REF!</definedName>
    <definedName name="nove" localSheetId="1">#REF!</definedName>
    <definedName name="nove">#REF!</definedName>
    <definedName name="oito" localSheetId="1">#REF!</definedName>
    <definedName name="oito">#REF!</definedName>
    <definedName name="onze">#REF!</definedName>
    <definedName name="outr">#REF!</definedName>
    <definedName name="P">[7]resumo!#REF!</definedName>
    <definedName name="paraf" localSheetId="1">#REF!</definedName>
    <definedName name="paraf">#REF!</definedName>
    <definedName name="parcial" localSheetId="1">#REF!</definedName>
    <definedName name="parcial">#REF!</definedName>
    <definedName name="pedr" localSheetId="1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 localSheetId="1">#REF!</definedName>
    <definedName name="ptp">#REF!</definedName>
    <definedName name="ptt" localSheetId="1">#REF!</definedName>
    <definedName name="ptt">#REF!</definedName>
    <definedName name="quatro" localSheetId="1">#REF!</definedName>
    <definedName name="quatro">#REF!</definedName>
    <definedName name="RBV">[8]Teor!$D$11:$D$15</definedName>
    <definedName name="rodinei">[10]DOSAGEM!$D$11</definedName>
    <definedName name="s" localSheetId="1">#REF!</definedName>
    <definedName name="s">#REF!</definedName>
    <definedName name="seis" localSheetId="1">#REF!</definedName>
    <definedName name="seis">#REF!</definedName>
    <definedName name="sete" localSheetId="1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 localSheetId="1">#REF!</definedName>
    <definedName name="visc">#REF!</definedName>
    <definedName name="Z_136B3143_28E4_4C45_A9BE_4FA02ED69EBB_.wvu.PrintArea" localSheetId="0" hidden="1">'FR-IMOB-17_Rev00'!$B$6:$J$44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3" l="1"/>
  <c r="I43" i="1" l="1"/>
  <c r="H43" i="1"/>
  <c r="G43" i="1"/>
  <c r="F43" i="1"/>
  <c r="E43" i="1"/>
  <c r="D43" i="1"/>
  <c r="I29" i="1"/>
  <c r="H29" i="1"/>
  <c r="G29" i="1"/>
  <c r="F29" i="1"/>
  <c r="E29" i="1"/>
  <c r="D29" i="1"/>
  <c r="I24" i="1"/>
  <c r="I30" i="1" s="1"/>
  <c r="I34" i="1" s="1"/>
  <c r="I33" i="1" s="1"/>
  <c r="I37" i="1" s="1"/>
  <c r="I38" i="1" s="1"/>
  <c r="I41" i="1" s="1"/>
  <c r="H24" i="1"/>
  <c r="H31" i="1" s="1"/>
  <c r="G24" i="1"/>
  <c r="G31" i="1" s="1"/>
  <c r="F24" i="1"/>
  <c r="F30" i="1" s="1"/>
  <c r="F34" i="1" s="1"/>
  <c r="F33" i="1" s="1"/>
  <c r="F37" i="1" s="1"/>
  <c r="E24" i="1"/>
  <c r="E30" i="1" s="1"/>
  <c r="E34" i="1" s="1"/>
  <c r="E33" i="1" s="1"/>
  <c r="E37" i="1" s="1"/>
  <c r="D24" i="1"/>
  <c r="D31" i="1" s="1"/>
  <c r="E31" i="1" l="1"/>
  <c r="E44" i="1"/>
  <c r="I31" i="1"/>
  <c r="I44" i="1" s="1"/>
  <c r="G44" i="1"/>
  <c r="D44" i="1"/>
  <c r="H44" i="1"/>
  <c r="G30" i="1"/>
  <c r="G34" i="1" s="1"/>
  <c r="G33" i="1" s="1"/>
  <c r="G37" i="1" s="1"/>
  <c r="G38" i="1" s="1"/>
  <c r="G41" i="1" s="1"/>
  <c r="D30" i="1"/>
  <c r="D34" i="1" s="1"/>
  <c r="D33" i="1" s="1"/>
  <c r="D37" i="1" s="1"/>
  <c r="H30" i="1"/>
  <c r="H34" i="1" s="1"/>
  <c r="H33" i="1" s="1"/>
  <c r="H37" i="1" s="1"/>
  <c r="H38" i="1" s="1"/>
  <c r="H41" i="1" s="1"/>
  <c r="F31" i="1"/>
  <c r="F44" i="1" s="1"/>
  <c r="G45" i="1" l="1"/>
  <c r="J37" i="1"/>
  <c r="D45" i="1"/>
  <c r="J45" i="1" s="1"/>
</calcChain>
</file>

<file path=xl/sharedStrings.xml><?xml version="1.0" encoding="utf-8"?>
<sst xmlns="http://schemas.openxmlformats.org/spreadsheetml/2006/main" count="115" uniqueCount="72">
  <si>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</si>
  <si>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</si>
  <si>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</si>
  <si>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</si>
  <si>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</si>
  <si>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</si>
  <si>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</si>
  <si>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DNER-ME 043 - Misturas betuminosas a quente - Ensaio Marshall</t>
  </si>
  <si>
    <t>DNIT 428 - ME - Pavimentação – Misturas asfálticas – Determinação da densidade relativa aparente e da massa específica aparente de corpos de prova compactados – Método de ensaio</t>
  </si>
  <si>
    <t>DNIT 178 - PRO - Pavimentação asfáltica - Preparação de corpos de prova para ensaios mecânicos usando o compactador giratório Superpave ou o Marshall – Procedimento</t>
  </si>
  <si>
    <t>DNIT 180 - ME - Pavimentação - Misturas asfálticas - Determinação do dano por umidade induzida – Método de ensaio</t>
  </si>
  <si>
    <t>Procedimentos do ensaio</t>
  </si>
  <si>
    <t>Condição dos CP's</t>
  </si>
  <si>
    <t>Sem condicionamento</t>
  </si>
  <si>
    <t>Com condicionamento</t>
  </si>
  <si>
    <t>Média</t>
  </si>
  <si>
    <t>Nº CP</t>
  </si>
  <si>
    <t>-</t>
  </si>
  <si>
    <t>Espessura (mm)</t>
  </si>
  <si>
    <t>I</t>
  </si>
  <si>
    <t>II</t>
  </si>
  <si>
    <t>III</t>
  </si>
  <si>
    <t>IV</t>
  </si>
  <si>
    <t>Diametro (mm)</t>
  </si>
  <si>
    <t>Volume CP (cm³)</t>
  </si>
  <si>
    <t>Fator de correção</t>
  </si>
  <si>
    <t>Massa do CP seco ao ar (g)</t>
  </si>
  <si>
    <r>
      <t xml:space="preserve">Densidade aparente - G </t>
    </r>
    <r>
      <rPr>
        <vertAlign val="subscript"/>
        <sz val="10"/>
        <rFont val="Tahoma"/>
        <family val="2"/>
      </rPr>
      <t>mb</t>
    </r>
    <r>
      <rPr>
        <sz val="10"/>
        <rFont val="Tahoma"/>
        <family val="2"/>
      </rPr>
      <t xml:space="preserve"> (g/cm³)</t>
    </r>
  </si>
  <si>
    <r>
      <t xml:space="preserve">Massa especifica aparente - ME </t>
    </r>
    <r>
      <rPr>
        <vertAlign val="subscript"/>
        <sz val="10"/>
        <rFont val="Tahoma"/>
        <family val="2"/>
      </rPr>
      <t>a</t>
    </r>
  </si>
  <si>
    <r>
      <t xml:space="preserve">Densidade máxima medida - G </t>
    </r>
    <r>
      <rPr>
        <vertAlign val="subscript"/>
        <sz val="10"/>
        <rFont val="Tahoma"/>
        <family val="2"/>
      </rPr>
      <t>mm</t>
    </r>
    <r>
      <rPr>
        <sz val="10"/>
        <rFont val="Tahoma"/>
        <family val="2"/>
      </rPr>
      <t xml:space="preserve"> (g/cm³)</t>
    </r>
  </si>
  <si>
    <t>Filer (material passante #200) (%)</t>
  </si>
  <si>
    <r>
      <t xml:space="preserve">V </t>
    </r>
    <r>
      <rPr>
        <vertAlign val="subscript"/>
        <sz val="10"/>
        <rFont val="Tahoma"/>
        <family val="2"/>
      </rPr>
      <t>ar</t>
    </r>
    <r>
      <rPr>
        <sz val="10"/>
        <rFont val="Tahoma"/>
        <family val="2"/>
      </rPr>
      <t xml:space="preserve"> - Vazios (%)</t>
    </r>
  </si>
  <si>
    <r>
      <t xml:space="preserve">V </t>
    </r>
    <r>
      <rPr>
        <vertAlign val="subscript"/>
        <sz val="10"/>
        <rFont val="Tahoma"/>
        <family val="2"/>
      </rPr>
      <t>a</t>
    </r>
    <r>
      <rPr>
        <sz val="10"/>
        <rFont val="Tahoma"/>
        <family val="2"/>
      </rPr>
      <t xml:space="preserve"> - Vazios (cm³)</t>
    </r>
  </si>
  <si>
    <t>Peso do CP s.s.s. (g)</t>
  </si>
  <si>
    <t>J - Água absorvida pelo CP (%)</t>
  </si>
  <si>
    <t>S - Grau de saturação (%)</t>
  </si>
  <si>
    <t>Tração Diametral - Leitura prensa (kgf)</t>
  </si>
  <si>
    <t>Tração Diametral econtrada (kgf)</t>
  </si>
  <si>
    <t>Tração Diametral corrigida (kgf)</t>
  </si>
  <si>
    <t>Média Tração Diametral corrigida (kgf)</t>
  </si>
  <si>
    <t>Fator de correção da prensa</t>
  </si>
  <si>
    <t>Conforme ultima calibração: y = 0,9905x + 4,7547</t>
  </si>
  <si>
    <t>Assinaturas</t>
  </si>
  <si>
    <t>Equipamentos utilizados</t>
  </si>
  <si>
    <t>Equipamento</t>
  </si>
  <si>
    <r>
      <t xml:space="preserve">Identificação </t>
    </r>
    <r>
      <rPr>
        <sz val="10"/>
        <rFont val="Tahoma"/>
        <family val="2"/>
      </rPr>
      <t>(nº patrimonial e/ou série)</t>
    </r>
  </si>
  <si>
    <t>Balança</t>
  </si>
  <si>
    <t>Pontos de Verificação</t>
  </si>
  <si>
    <t>Verificar se a balança está zerada, nivelada</t>
  </si>
  <si>
    <t>Paquímetro</t>
  </si>
  <si>
    <t>Banho maria</t>
  </si>
  <si>
    <t>Prensa marshall</t>
  </si>
  <si>
    <t>Estufa</t>
  </si>
  <si>
    <t>Soquete</t>
  </si>
  <si>
    <t>Verificar limpeza Cp´s extraídos</t>
  </si>
  <si>
    <t>Verificar se temperatura da água, para determinar tempo de submersão dos Cp´s</t>
  </si>
  <si>
    <t>Verificar características do Cp`s – (Absorção e Vazios).</t>
  </si>
  <si>
    <t>Responsável executor:</t>
  </si>
  <si>
    <t>Responsável calculista:</t>
  </si>
  <si>
    <t xml:space="preserve">Elaborado por: </t>
  </si>
  <si>
    <t xml:space="preserve">Revisado por: </t>
  </si>
  <si>
    <t>Aprovado por:</t>
  </si>
  <si>
    <t>Samara Rodrigues</t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</si>
  <si>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FR-IMOB-17 </t>
    </r>
  </si>
  <si>
    <r>
      <t xml:space="preserve"> Título:</t>
    </r>
    <r>
      <rPr>
        <b/>
        <sz val="12"/>
        <color theme="1"/>
        <rFont val="Tahoma"/>
        <family val="2"/>
      </rPr>
      <t xml:space="preserve"> Ensaio Marshall - VV &gt; 10% Dano por Umidade Induzida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</si>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</sst>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0"/>
      <name val="Arial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vertAlign val="subscript"/>
      <sz val="1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Calibri"/>
      <family val="2"/>
      <scheme val="minor"/>
    </font>
    <font>
      <sz val="9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110">
    <xf numFmtId="0" fontId="0" fillId="0" borderId="0" xfId="0"/>
    <xf numFmtId="0" fontId="4" fillId="0" borderId="0" xfId="0" applyFont="1" applyAlignment="1">
      <alignment horizontal="left" vertical="center"/>
    </xf>
    <xf numFmtId="49" fontId="6" fillId="0" borderId="10" xfId="3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2" xfId="2" applyFont="1" applyBorder="1" applyAlignment="1">
      <alignment horizontal="left" vertical="top"/>
    </xf>
    <xf numFmtId="0" fontId="8" fillId="0" borderId="8" xfId="2" applyFont="1" applyBorder="1" applyAlignment="1">
      <alignment horizontal="center" vertical="center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0" xfId="4" applyFont="1" applyAlignment="1" applyProtection="1">
      <alignment horizontal="center" vertical="center"/>
      <protection hidden="1"/>
    </xf>
    <xf numFmtId="0" fontId="4" fillId="0" borderId="0" xfId="5" applyFont="1"/>
    <xf numFmtId="0" fontId="4" fillId="0" borderId="4" xfId="5" applyFont="1" applyBorder="1" applyAlignment="1" applyProtection="1">
      <alignment vertical="center"/>
      <protection hidden="1"/>
    </xf>
    <xf numFmtId="0" fontId="4" fillId="0" borderId="7" xfId="5" applyFont="1" applyBorder="1" applyAlignment="1" applyProtection="1">
      <alignment vertical="center"/>
      <protection hidden="1"/>
    </xf>
    <xf numFmtId="0" fontId="3" fillId="0" borderId="11" xfId="5" applyFont="1" applyBorder="1" applyAlignment="1" applyProtection="1">
      <alignment horizontal="center" vertical="center" wrapText="1"/>
      <protection hidden="1"/>
    </xf>
    <xf numFmtId="0" fontId="3" fillId="0" borderId="0" xfId="5" applyFont="1" applyAlignment="1" applyProtection="1">
      <alignment horizontal="center" vertical="center" wrapText="1"/>
      <protection hidden="1"/>
    </xf>
    <xf numFmtId="0" fontId="3" fillId="0" borderId="12" xfId="5" applyFont="1" applyBorder="1" applyAlignment="1" applyProtection="1">
      <alignment horizontal="center" vertical="center" wrapText="1"/>
      <protection hidden="1"/>
    </xf>
    <xf numFmtId="0" fontId="6" fillId="0" borderId="9" xfId="5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wrapText="1"/>
    </xf>
    <xf numFmtId="0" fontId="14" fillId="0" borderId="0" xfId="5" applyFont="1" applyAlignment="1" applyProtection="1">
      <alignment vertical="center" wrapText="1"/>
      <protection locked="0"/>
    </xf>
    <xf numFmtId="0" fontId="16" fillId="0" borderId="0" xfId="5" applyFont="1" applyAlignment="1" applyProtection="1">
      <alignment vertical="center"/>
      <protection locked="0"/>
    </xf>
    <xf numFmtId="49" fontId="15" fillId="2" borderId="2" xfId="5" applyNumberFormat="1" applyFont="1" applyFill="1" applyBorder="1" applyAlignment="1" applyProtection="1">
      <alignment vertical="center"/>
      <protection locked="0" hidden="1"/>
    </xf>
    <xf numFmtId="0" fontId="15" fillId="2" borderId="2" xfId="5" applyFont="1" applyFill="1" applyBorder="1" applyAlignment="1" applyProtection="1">
      <alignment vertical="center"/>
      <protection locked="0" hidden="1"/>
    </xf>
    <xf numFmtId="0" fontId="15" fillId="2" borderId="5" xfId="5" applyFont="1" applyFill="1" applyBorder="1" applyAlignment="1" applyProtection="1">
      <alignment vertical="center"/>
      <protection locked="0" hidden="1"/>
    </xf>
    <xf numFmtId="2" fontId="12" fillId="2" borderId="0" xfId="5" applyNumberFormat="1" applyFont="1" applyFill="1" applyAlignment="1" applyProtection="1">
      <alignment vertical="center"/>
      <protection locked="0"/>
    </xf>
    <xf numFmtId="0" fontId="14" fillId="2" borderId="0" xfId="5" applyFont="1" applyFill="1" applyAlignment="1" applyProtection="1">
      <alignment vertical="center"/>
      <protection locked="0" hidden="1"/>
    </xf>
    <xf numFmtId="2" fontId="5" fillId="0" borderId="6" xfId="2" applyNumberFormat="1" applyFont="1" applyBorder="1" applyAlignment="1">
      <alignment horizontal="center" vertical="center"/>
    </xf>
    <xf numFmtId="2" fontId="5" fillId="0" borderId="10" xfId="2" applyNumberFormat="1" applyFont="1" applyBorder="1" applyAlignment="1">
      <alignment horizontal="center" vertical="center"/>
    </xf>
    <xf numFmtId="0" fontId="4" fillId="0" borderId="4" xfId="0" applyFont="1" applyBorder="1" applyAlignment="1" applyProtection="1">
      <alignment horizontal="left" vertical="center"/>
      <protection hidden="1"/>
    </xf>
    <xf numFmtId="49" fontId="5" fillId="0" borderId="10" xfId="3" applyNumberFormat="1" applyFont="1" applyBorder="1" applyAlignment="1">
      <alignment horizontal="center" vertical="center"/>
    </xf>
    <xf numFmtId="0" fontId="4" fillId="0" borderId="6" xfId="3" applyFont="1" applyBorder="1" applyAlignment="1">
      <alignment horizontal="center" vertical="center"/>
    </xf>
    <xf numFmtId="2" fontId="5" fillId="0" borderId="10" xfId="3" applyNumberFormat="1" applyFont="1" applyBorder="1" applyAlignment="1">
      <alignment horizontal="center" vertical="center"/>
    </xf>
    <xf numFmtId="2" fontId="4" fillId="0" borderId="10" xfId="3" applyNumberFormat="1" applyFont="1" applyBorder="1" applyAlignment="1">
      <alignment horizontal="center" vertical="center"/>
    </xf>
    <xf numFmtId="0" fontId="4" fillId="0" borderId="10" xfId="3" applyFont="1" applyBorder="1" applyAlignment="1">
      <alignment horizontal="center" vertical="center"/>
    </xf>
    <xf numFmtId="2" fontId="4" fillId="0" borderId="10" xfId="3" applyNumberFormat="1" applyFont="1" applyBorder="1" applyAlignment="1" applyProtection="1">
      <alignment horizontal="center" vertical="center"/>
      <protection locked="0"/>
    </xf>
    <xf numFmtId="2" fontId="6" fillId="0" borderId="10" xfId="3" applyNumberFormat="1" applyFont="1" applyBorder="1" applyAlignment="1" applyProtection="1">
      <alignment horizontal="center" vertical="center"/>
      <protection locked="0"/>
    </xf>
    <xf numFmtId="2" fontId="5" fillId="0" borderId="10" xfId="3" applyNumberFormat="1" applyFont="1" applyBorder="1" applyAlignment="1" applyProtection="1">
      <alignment horizontal="center" vertical="center"/>
      <protection locked="0"/>
    </xf>
    <xf numFmtId="164" fontId="4" fillId="0" borderId="10" xfId="3" applyNumberFormat="1" applyFont="1" applyBorder="1" applyAlignment="1">
      <alignment horizontal="center" vertical="center"/>
    </xf>
    <xf numFmtId="164" fontId="5" fillId="0" borderId="10" xfId="3" applyNumberFormat="1" applyFont="1" applyBorder="1" applyAlignment="1">
      <alignment horizontal="center" vertical="center"/>
    </xf>
    <xf numFmtId="2" fontId="6" fillId="0" borderId="10" xfId="3" applyNumberFormat="1" applyFont="1" applyBorder="1" applyAlignment="1">
      <alignment horizontal="center" vertical="center"/>
    </xf>
    <xf numFmtId="1" fontId="5" fillId="0" borderId="10" xfId="3" applyNumberFormat="1" applyFont="1" applyBorder="1" applyAlignment="1" applyProtection="1">
      <alignment horizontal="center" vertical="center"/>
      <protection locked="0"/>
    </xf>
    <xf numFmtId="164" fontId="6" fillId="0" borderId="10" xfId="3" applyNumberFormat="1" applyFont="1" applyBorder="1" applyAlignment="1">
      <alignment horizontal="center" vertical="center"/>
    </xf>
    <xf numFmtId="1" fontId="4" fillId="0" borderId="10" xfId="3" applyNumberFormat="1" applyFont="1" applyBorder="1" applyAlignment="1" applyProtection="1">
      <alignment horizontal="center" vertical="center"/>
      <protection locked="0"/>
    </xf>
    <xf numFmtId="9" fontId="6" fillId="0" borderId="10" xfId="1" applyFont="1" applyFill="1" applyBorder="1" applyAlignment="1">
      <alignment horizontal="center" vertical="center"/>
    </xf>
    <xf numFmtId="0" fontId="13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5" xfId="0" applyFont="1" applyBorder="1" applyAlignment="1">
      <alignment horizontal="left" vertical="center" wrapText="1"/>
    </xf>
    <xf numFmtId="0" fontId="18" fillId="3" borderId="4" xfId="2" applyFont="1" applyFill="1" applyBorder="1" applyAlignment="1">
      <alignment horizontal="center" vertical="center"/>
    </xf>
    <xf numFmtId="0" fontId="18" fillId="3" borderId="5" xfId="2" applyFont="1" applyFill="1" applyBorder="1" applyAlignment="1">
      <alignment horizontal="center" vertical="center"/>
    </xf>
    <xf numFmtId="0" fontId="18" fillId="3" borderId="6" xfId="2" applyFont="1" applyFill="1" applyBorder="1" applyAlignment="1">
      <alignment horizontal="center" vertical="center"/>
    </xf>
    <xf numFmtId="0" fontId="4" fillId="0" borderId="7" xfId="2" applyFont="1" applyBorder="1" applyAlignment="1">
      <alignment vertical="center" wrapText="1"/>
    </xf>
    <xf numFmtId="0" fontId="4" fillId="0" borderId="8" xfId="2" applyFont="1" applyBorder="1" applyAlignment="1">
      <alignment vertical="center" wrapText="1"/>
    </xf>
    <xf numFmtId="0" fontId="4" fillId="0" borderId="9" xfId="2" applyFont="1" applyBorder="1" applyAlignment="1">
      <alignment vertical="center" wrapText="1"/>
    </xf>
    <xf numFmtId="0" fontId="4" fillId="0" borderId="4" xfId="2" applyFont="1" applyBorder="1" applyAlignment="1">
      <alignment vertical="center" wrapText="1"/>
    </xf>
    <xf numFmtId="0" fontId="4" fillId="0" borderId="5" xfId="2" applyFont="1" applyBorder="1" applyAlignment="1">
      <alignment vertical="center" wrapText="1"/>
    </xf>
    <xf numFmtId="0" fontId="4" fillId="0" borderId="6" xfId="2" applyFont="1" applyBorder="1" applyAlignment="1">
      <alignment vertical="center" wrapText="1"/>
    </xf>
    <xf numFmtId="49" fontId="4" fillId="0" borderId="10" xfId="3" applyNumberFormat="1" applyFont="1" applyBorder="1" applyAlignment="1">
      <alignment horizontal="center" vertical="center"/>
    </xf>
    <xf numFmtId="0" fontId="4" fillId="0" borderId="4" xfId="3" applyFont="1" applyBorder="1" applyAlignment="1">
      <alignment horizontal="left" vertical="center"/>
    </xf>
    <xf numFmtId="0" fontId="4" fillId="0" borderId="6" xfId="3" applyFont="1" applyBorder="1" applyAlignment="1">
      <alignment horizontal="left" vertical="center"/>
    </xf>
    <xf numFmtId="0" fontId="4" fillId="0" borderId="13" xfId="3" applyFont="1" applyBorder="1" applyAlignment="1">
      <alignment horizontal="center" vertical="center"/>
    </xf>
    <xf numFmtId="0" fontId="4" fillId="0" borderId="14" xfId="3" applyFont="1" applyBorder="1" applyAlignment="1">
      <alignment horizontal="center" vertical="center"/>
    </xf>
    <xf numFmtId="0" fontId="4" fillId="0" borderId="15" xfId="3" applyFont="1" applyBorder="1" applyAlignment="1">
      <alignment horizontal="center" vertical="center"/>
    </xf>
    <xf numFmtId="0" fontId="4" fillId="0" borderId="10" xfId="3" applyFont="1" applyBorder="1" applyAlignment="1">
      <alignment horizontal="left" vertical="center"/>
    </xf>
    <xf numFmtId="1" fontId="6" fillId="0" borderId="4" xfId="3" applyNumberFormat="1" applyFont="1" applyBorder="1" applyAlignment="1" applyProtection="1">
      <alignment horizontal="center" vertical="center"/>
      <protection locked="0"/>
    </xf>
    <xf numFmtId="1" fontId="6" fillId="0" borderId="5" xfId="3" applyNumberFormat="1" applyFont="1" applyBorder="1" applyAlignment="1" applyProtection="1">
      <alignment horizontal="center" vertical="center"/>
      <protection locked="0"/>
    </xf>
    <xf numFmtId="0" fontId="14" fillId="0" borderId="5" xfId="5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8" fillId="3" borderId="1" xfId="2" applyFont="1" applyFill="1" applyBorder="1" applyAlignment="1">
      <alignment horizontal="center" vertical="center"/>
    </xf>
    <xf numFmtId="0" fontId="18" fillId="3" borderId="2" xfId="2" applyFont="1" applyFill="1" applyBorder="1" applyAlignment="1">
      <alignment horizontal="center" vertical="center"/>
    </xf>
    <xf numFmtId="0" fontId="18" fillId="3" borderId="3" xfId="2" applyFont="1" applyFill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top"/>
    </xf>
    <xf numFmtId="0" fontId="8" fillId="0" borderId="5" xfId="2" applyFont="1" applyBorder="1" applyAlignment="1">
      <alignment horizontal="center" vertical="top"/>
    </xf>
    <xf numFmtId="0" fontId="8" fillId="0" borderId="7" xfId="2" applyFont="1" applyBorder="1" applyAlignment="1">
      <alignment horizontal="center" vertical="center"/>
    </xf>
    <xf numFmtId="2" fontId="12" fillId="2" borderId="5" xfId="5" applyNumberFormat="1" applyFont="1" applyFill="1" applyBorder="1" applyAlignment="1" applyProtection="1">
      <alignment horizontal="left" vertical="center"/>
      <protection locked="0"/>
    </xf>
    <xf numFmtId="0" fontId="14" fillId="2" borderId="5" xfId="5" applyFont="1" applyFill="1" applyBorder="1" applyAlignment="1" applyProtection="1">
      <alignment horizontal="left" vertical="center"/>
      <protection locked="0" hidden="1"/>
    </xf>
    <xf numFmtId="0" fontId="16" fillId="0" borderId="5" xfId="5" applyFont="1" applyBorder="1" applyAlignment="1" applyProtection="1">
      <alignment horizontal="left" vertical="center"/>
      <protection locked="0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4" fillId="0" borderId="4" xfId="5" applyFont="1" applyBorder="1" applyAlignment="1" applyProtection="1">
      <alignment horizontal="center" vertical="center"/>
      <protection hidden="1"/>
    </xf>
    <xf numFmtId="0" fontId="4" fillId="0" borderId="5" xfId="5" applyFont="1" applyBorder="1" applyAlignment="1" applyProtection="1">
      <alignment horizontal="center" vertical="center"/>
      <protection hidden="1"/>
    </xf>
    <xf numFmtId="0" fontId="4" fillId="0" borderId="6" xfId="5" applyFont="1" applyBorder="1" applyAlignment="1" applyProtection="1">
      <alignment horizontal="center" vertical="center"/>
      <protection hidden="1"/>
    </xf>
    <xf numFmtId="0" fontId="3" fillId="0" borderId="11" xfId="5" applyFont="1" applyBorder="1" applyAlignment="1" applyProtection="1">
      <alignment horizontal="center" vertical="center" wrapText="1"/>
      <protection hidden="1"/>
    </xf>
    <xf numFmtId="0" fontId="3" fillId="0" borderId="0" xfId="5" applyFont="1" applyAlignment="1" applyProtection="1">
      <alignment horizontal="center" vertical="center" wrapText="1"/>
      <protection hidden="1"/>
    </xf>
    <xf numFmtId="0" fontId="3" fillId="0" borderId="12" xfId="5" applyFont="1" applyBorder="1" applyAlignment="1" applyProtection="1">
      <alignment horizontal="center" vertical="center" wrapText="1"/>
      <protection hidden="1"/>
    </xf>
    <xf numFmtId="0" fontId="11" fillId="0" borderId="5" xfId="5" applyFont="1" applyBorder="1" applyAlignment="1" applyProtection="1">
      <alignment horizontal="left" vertical="center" wrapText="1"/>
      <protection hidden="1"/>
    </xf>
    <xf numFmtId="0" fontId="11" fillId="0" borderId="6" xfId="5" applyFont="1" applyBorder="1" applyAlignment="1" applyProtection="1">
      <alignment horizontal="left" vertical="center" wrapText="1"/>
      <protection hidden="1"/>
    </xf>
    <xf numFmtId="0" fontId="18" fillId="3" borderId="4" xfId="5" applyFont="1" applyFill="1" applyBorder="1" applyAlignment="1" applyProtection="1">
      <alignment horizontal="center" vertical="center"/>
      <protection hidden="1"/>
    </xf>
    <xf numFmtId="0" fontId="18" fillId="3" borderId="5" xfId="5" applyFont="1" applyFill="1" applyBorder="1" applyAlignment="1">
      <alignment vertical="center"/>
    </xf>
    <xf numFmtId="0" fontId="18" fillId="3" borderId="6" xfId="5" applyFont="1" applyFill="1" applyBorder="1" applyAlignment="1">
      <alignment vertical="center"/>
    </xf>
    <xf numFmtId="0" fontId="6" fillId="0" borderId="7" xfId="5" applyFont="1" applyBorder="1" applyAlignment="1">
      <alignment horizontal="center" vertical="center"/>
    </xf>
    <xf numFmtId="0" fontId="6" fillId="0" borderId="8" xfId="5" applyFont="1" applyBorder="1" applyAlignment="1">
      <alignment horizontal="center" vertical="center"/>
    </xf>
    <xf numFmtId="0" fontId="18" fillId="3" borderId="5" xfId="5" applyFont="1" applyFill="1" applyBorder="1" applyAlignment="1" applyProtection="1">
      <alignment horizontal="center" vertical="center"/>
      <protection hidden="1"/>
    </xf>
    <xf numFmtId="0" fontId="18" fillId="3" borderId="6" xfId="5" applyFont="1" applyFill="1" applyBorder="1" applyAlignment="1" applyProtection="1">
      <alignment horizontal="center" vertical="center"/>
      <protection hidden="1"/>
    </xf>
    <xf numFmtId="0" fontId="12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6">
    <cellStyle name="Normal" xfId="0" builtinId="0"/>
    <cellStyle name="Normal 2 2" xfId="5" xr:uid="{A698BBD7-7767-499B-A945-74CD7FDE8877}"/>
    <cellStyle name="Normal 9 2" xfId="2" xr:uid="{3FBFE66A-A567-4675-AE2F-37EFACC2A1C3}"/>
    <cellStyle name="Normal_contrle clientes e copazeiro2" xfId="3" xr:uid="{95F43B2C-25F6-44A2-A52F-CF36ABF9A560}"/>
    <cellStyle name="Normal_PREPARAÇÃO DE AMOSTRA" xfId="4" xr:uid="{4C7CF69E-F7F0-433A-A917-958D25731B9C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483628</xdr:colOff>
      <xdr:row>0</xdr:row>
      <xdr:rowOff>110191</xdr:rowOff>
    </xdr:from>
    <xdr:to>
      <xdr:col>9</xdr:col>
      <xdr:colOff>1091893</xdr:colOff>
      <xdr:row>1</xdr:row>
      <xdr:rowOff>23905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EFADCC0-FF57-4FDD-96D6-ED5D061E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2278" y="110191"/>
          <a:ext cx="1465515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12</xdr:row>
          <xdr:rowOff>31750</xdr:rowOff>
        </xdr:from>
        <xdr:to>
          <xdr:col>0</xdr:col>
          <xdr:colOff>647700</xdr:colOff>
          <xdr:row>12</xdr:row>
          <xdr:rowOff>247650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13</xdr:row>
          <xdr:rowOff>31750</xdr:rowOff>
        </xdr:from>
        <xdr:to>
          <xdr:col>0</xdr:col>
          <xdr:colOff>647700</xdr:colOff>
          <xdr:row>13</xdr:row>
          <xdr:rowOff>247650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14</xdr:row>
          <xdr:rowOff>31750</xdr:rowOff>
        </xdr:from>
        <xdr:to>
          <xdr:col>0</xdr:col>
          <xdr:colOff>647700</xdr:colOff>
          <xdr:row>14</xdr:row>
          <xdr:rowOff>247650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15</xdr:row>
          <xdr:rowOff>31750</xdr:rowOff>
        </xdr:from>
        <xdr:to>
          <xdr:col>0</xdr:col>
          <xdr:colOff>647700</xdr:colOff>
          <xdr:row>15</xdr:row>
          <xdr:rowOff>247650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64DB-4563-4246-8E4D-40207E5CC209}">
  <sheetPr>
    <pageSetUpPr fitToPage="1"/>
  </sheetPr>
  <dimension ref="A1:S60"/>
  <sheetViews>
    <sheetView showGridLines="0" tabSelected="1" view="pageBreakPreview" zoomScaleNormal="100" zoomScaleSheetLayoutView="100" workbookViewId="0">
      <selection activeCell="B1" sqref="B1:J1"/>
    </sheetView>
  </sheetViews>
  <sheetFormatPr defaultColWidth="11.453125" defaultRowHeight="12.5" x14ac:dyDescent="0.25"/>
  <cols>
    <col min="1" max="1" width="1.90625" style="1" customWidth="1"/>
    <col min="2" max="2" width="19.81640625" style="1" customWidth="1"/>
    <col min="3" max="3" width="18.7265625" style="1" customWidth="1"/>
    <col min="4" max="9" width="12.26953125" style="1" customWidth="1"/>
    <col min="10" max="10" width="15.7265625" style="1" customWidth="1"/>
    <col min="11" max="11" width="1.81640625" style="1" customWidth="1"/>
    <col min="12" max="18" width="11.453125" style="1"/>
    <col min="19" max="19" width="32.1796875" style="1" customWidth="1"/>
    <col min="20" max="16384" width="11.453125" style="1"/>
  </cols>
  <sheetData>
    <row r="1" spans="2:19" ht="66" customHeight="1" x14ac:dyDescent="0.3">
      <c r="B1" s="43" t="s">
        <v>64</v>
      </c>
      <c r="C1" s="44"/>
      <c r="D1" s="44"/>
      <c r="E1" s="44"/>
      <c r="F1" s="44"/>
      <c r="G1" s="44"/>
      <c r="H1" s="44"/>
      <c r="I1" s="44"/>
      <c r="J1" s="44"/>
      <c r="K1" s="17"/>
      <c r="L1" s="17"/>
      <c r="M1" s="17"/>
    </row>
    <row r="2" spans="2:19" ht="12.5" customHeight="1" x14ac:dyDescent="0.25">
      <c r="B2" s="108"/>
      <c r="C2" s="108"/>
      <c r="D2" s="108"/>
      <c r="E2" s="108"/>
      <c r="F2" s="108"/>
      <c r="G2" s="108"/>
      <c r="H2" s="108"/>
      <c r="I2" s="108"/>
      <c r="J2" s="108"/>
      <c r="K2" s="16"/>
      <c r="L2" s="16"/>
      <c r="M2" s="16"/>
    </row>
    <row r="3" spans="2:19" ht="30" customHeight="1" x14ac:dyDescent="0.25">
      <c r="B3" s="45" t="s">
        <v>67</v>
      </c>
      <c r="C3" s="45"/>
      <c r="D3" s="45"/>
      <c r="E3" s="45"/>
      <c r="F3" s="64" t="s">
        <v>63</v>
      </c>
      <c r="G3" s="64"/>
      <c r="H3" s="64"/>
      <c r="I3" s="64"/>
      <c r="J3" s="64"/>
      <c r="K3" s="18"/>
      <c r="L3" s="18"/>
      <c r="M3" s="18"/>
    </row>
    <row r="4" spans="2:19" ht="30" customHeight="1" x14ac:dyDescent="0.25">
      <c r="B4" s="64" t="s">
        <v>69</v>
      </c>
      <c r="C4" s="64"/>
      <c r="D4" s="64"/>
      <c r="E4" s="64"/>
      <c r="F4" s="64" t="s">
        <v>66</v>
      </c>
      <c r="G4" s="64"/>
      <c r="H4" s="64"/>
      <c r="I4" s="64"/>
      <c r="J4" s="64"/>
      <c r="K4" s="18"/>
      <c r="L4" s="18"/>
      <c r="M4" s="18"/>
    </row>
    <row r="5" spans="2:19" ht="31.5" customHeight="1" x14ac:dyDescent="0.25">
      <c r="B5" s="80" t="s">
        <v>65</v>
      </c>
      <c r="C5" s="80"/>
      <c r="D5" s="80"/>
      <c r="E5" s="80"/>
      <c r="F5" s="80" t="s">
        <v>68</v>
      </c>
      <c r="G5" s="80"/>
      <c r="H5" s="80"/>
      <c r="I5" s="80"/>
      <c r="J5" s="80"/>
      <c r="K5" s="19"/>
      <c r="L5" s="19"/>
      <c r="M5" s="19"/>
    </row>
    <row r="6" spans="2:19" ht="15" customHeight="1" x14ac:dyDescent="0.25">
      <c r="B6" s="81"/>
      <c r="C6" s="81"/>
      <c r="D6" s="81"/>
      <c r="E6" s="81"/>
      <c r="F6" s="81"/>
      <c r="G6" s="81"/>
      <c r="H6" s="81"/>
      <c r="I6" s="81"/>
      <c r="J6" s="81"/>
    </row>
    <row r="7" spans="2:19" ht="26.25" customHeight="1" x14ac:dyDescent="0.25">
      <c r="B7" s="88" t="s">
        <v>0</v>
      </c>
      <c r="C7" s="89"/>
      <c r="D7" s="89"/>
      <c r="E7" s="89"/>
      <c r="F7" s="91" t="s">
        <v>1</v>
      </c>
      <c r="G7" s="91"/>
      <c r="H7" s="91"/>
      <c r="I7" s="91"/>
      <c r="J7" s="92"/>
      <c r="S7" s="15"/>
    </row>
    <row r="8" spans="2:19" ht="26.25" customHeight="1" x14ac:dyDescent="0.25">
      <c r="B8" s="88" t="s">
        <v>2</v>
      </c>
      <c r="C8" s="89"/>
      <c r="D8" s="89"/>
      <c r="E8" s="89"/>
      <c r="F8" s="91" t="s">
        <v>3</v>
      </c>
      <c r="G8" s="91"/>
      <c r="H8" s="91"/>
      <c r="I8" s="91"/>
      <c r="J8" s="92"/>
    </row>
    <row r="9" spans="2:19" ht="26.25" customHeight="1" x14ac:dyDescent="0.25">
      <c r="B9" s="88" t="s">
        <v>4</v>
      </c>
      <c r="C9" s="89"/>
      <c r="D9" s="89"/>
      <c r="E9" s="89"/>
      <c r="F9" s="89"/>
      <c r="G9" s="89"/>
      <c r="H9" s="89"/>
      <c r="I9" s="89"/>
      <c r="J9" s="90"/>
    </row>
    <row r="10" spans="2:19" ht="26.25" customHeight="1" x14ac:dyDescent="0.25">
      <c r="B10" s="82" t="s">
        <v>5</v>
      </c>
      <c r="C10" s="83"/>
      <c r="D10" s="83"/>
      <c r="E10" s="83"/>
      <c r="F10" s="83"/>
      <c r="G10" s="83"/>
      <c r="H10" s="83"/>
      <c r="I10" s="83"/>
      <c r="J10" s="84"/>
    </row>
    <row r="11" spans="2:19" ht="26.25" customHeight="1" x14ac:dyDescent="0.25">
      <c r="B11" s="85"/>
      <c r="C11" s="86"/>
      <c r="D11" s="86"/>
      <c r="E11" s="86"/>
      <c r="F11" s="86"/>
      <c r="G11" s="86"/>
      <c r="H11" s="86"/>
      <c r="I11" s="86"/>
      <c r="J11" s="87"/>
    </row>
    <row r="12" spans="2:19" ht="22.5" customHeight="1" x14ac:dyDescent="0.25">
      <c r="B12" s="46" t="s">
        <v>6</v>
      </c>
      <c r="C12" s="47"/>
      <c r="D12" s="47"/>
      <c r="E12" s="47"/>
      <c r="F12" s="47"/>
      <c r="G12" s="47"/>
      <c r="H12" s="47"/>
      <c r="I12" s="47"/>
      <c r="J12" s="48"/>
    </row>
    <row r="13" spans="2:19" ht="30" customHeight="1" x14ac:dyDescent="0.25">
      <c r="B13" s="49" t="s">
        <v>7</v>
      </c>
      <c r="C13" s="50"/>
      <c r="D13" s="50"/>
      <c r="E13" s="50"/>
      <c r="F13" s="50"/>
      <c r="G13" s="50"/>
      <c r="H13" s="50"/>
      <c r="I13" s="50"/>
      <c r="J13" s="51"/>
    </row>
    <row r="14" spans="2:19" ht="30" customHeight="1" x14ac:dyDescent="0.25">
      <c r="B14" s="49" t="s">
        <v>8</v>
      </c>
      <c r="C14" s="50"/>
      <c r="D14" s="50"/>
      <c r="E14" s="50"/>
      <c r="F14" s="50"/>
      <c r="G14" s="50"/>
      <c r="H14" s="50"/>
      <c r="I14" s="50"/>
      <c r="J14" s="51"/>
    </row>
    <row r="15" spans="2:19" ht="30" customHeight="1" x14ac:dyDescent="0.25">
      <c r="B15" s="49" t="s">
        <v>9</v>
      </c>
      <c r="C15" s="50"/>
      <c r="D15" s="50"/>
      <c r="E15" s="50"/>
      <c r="F15" s="50"/>
      <c r="G15" s="50"/>
      <c r="H15" s="50"/>
      <c r="I15" s="50"/>
      <c r="J15" s="51"/>
    </row>
    <row r="16" spans="2:19" ht="30" customHeight="1" x14ac:dyDescent="0.25">
      <c r="B16" s="52" t="s">
        <v>10</v>
      </c>
      <c r="C16" s="53"/>
      <c r="D16" s="53"/>
      <c r="E16" s="53"/>
      <c r="F16" s="53"/>
      <c r="G16" s="53"/>
      <c r="H16" s="53"/>
      <c r="I16" s="53"/>
      <c r="J16" s="54"/>
    </row>
    <row r="17" spans="2:10" ht="17.5" customHeight="1" x14ac:dyDescent="0.25">
      <c r="B17" s="46" t="s">
        <v>11</v>
      </c>
      <c r="C17" s="47"/>
      <c r="D17" s="47"/>
      <c r="E17" s="47"/>
      <c r="F17" s="47"/>
      <c r="G17" s="47"/>
      <c r="H17" s="47"/>
      <c r="I17" s="47"/>
      <c r="J17" s="48"/>
    </row>
    <row r="18" spans="2:10" s="3" customFormat="1" ht="17.5" customHeight="1" x14ac:dyDescent="0.25">
      <c r="B18" s="61" t="s">
        <v>12</v>
      </c>
      <c r="C18" s="61"/>
      <c r="D18" s="55" t="s">
        <v>13</v>
      </c>
      <c r="E18" s="55"/>
      <c r="F18" s="55"/>
      <c r="G18" s="55" t="s">
        <v>14</v>
      </c>
      <c r="H18" s="55"/>
      <c r="I18" s="55"/>
      <c r="J18" s="2" t="s">
        <v>15</v>
      </c>
    </row>
    <row r="19" spans="2:10" s="3" customFormat="1" ht="17.5" customHeight="1" x14ac:dyDescent="0.25">
      <c r="B19" s="56" t="s">
        <v>16</v>
      </c>
      <c r="C19" s="57"/>
      <c r="D19" s="28"/>
      <c r="E19" s="28"/>
      <c r="F19" s="28"/>
      <c r="G19" s="28"/>
      <c r="H19" s="28"/>
      <c r="I19" s="28"/>
      <c r="J19" s="2" t="s">
        <v>17</v>
      </c>
    </row>
    <row r="20" spans="2:10" s="3" customFormat="1" ht="17.5" customHeight="1" x14ac:dyDescent="0.25">
      <c r="B20" s="58" t="s">
        <v>18</v>
      </c>
      <c r="C20" s="29" t="s">
        <v>19</v>
      </c>
      <c r="D20" s="30"/>
      <c r="E20" s="30"/>
      <c r="F20" s="30"/>
      <c r="G20" s="30"/>
      <c r="H20" s="30"/>
      <c r="I20" s="30"/>
      <c r="J20" s="2" t="s">
        <v>17</v>
      </c>
    </row>
    <row r="21" spans="2:10" s="3" customFormat="1" ht="17.5" customHeight="1" x14ac:dyDescent="0.25">
      <c r="B21" s="59"/>
      <c r="C21" s="29" t="s">
        <v>20</v>
      </c>
      <c r="D21" s="30"/>
      <c r="E21" s="30"/>
      <c r="F21" s="30"/>
      <c r="G21" s="30"/>
      <c r="H21" s="30"/>
      <c r="I21" s="30"/>
      <c r="J21" s="2" t="s">
        <v>17</v>
      </c>
    </row>
    <row r="22" spans="2:10" s="3" customFormat="1" ht="17.5" customHeight="1" x14ac:dyDescent="0.25">
      <c r="B22" s="59"/>
      <c r="C22" s="29" t="s">
        <v>21</v>
      </c>
      <c r="D22" s="30"/>
      <c r="E22" s="30"/>
      <c r="F22" s="30"/>
      <c r="G22" s="30"/>
      <c r="H22" s="30"/>
      <c r="I22" s="30"/>
      <c r="J22" s="2" t="s">
        <v>17</v>
      </c>
    </row>
    <row r="23" spans="2:10" s="3" customFormat="1" ht="17.5" customHeight="1" x14ac:dyDescent="0.25">
      <c r="B23" s="59"/>
      <c r="C23" s="29" t="s">
        <v>22</v>
      </c>
      <c r="D23" s="30"/>
      <c r="E23" s="30"/>
      <c r="F23" s="30"/>
      <c r="G23" s="30"/>
      <c r="H23" s="30"/>
      <c r="I23" s="30"/>
      <c r="J23" s="2" t="s">
        <v>17</v>
      </c>
    </row>
    <row r="24" spans="2:10" s="3" customFormat="1" ht="17.5" customHeight="1" x14ac:dyDescent="0.25">
      <c r="B24" s="60"/>
      <c r="C24" s="29" t="s">
        <v>15</v>
      </c>
      <c r="D24" s="31" t="str">
        <f>IF(D20="","",AVERAGE(D20:D23))</f>
        <v/>
      </c>
      <c r="E24" s="31" t="str">
        <f t="shared" ref="E24:I24" si="0">IF(E20="","",AVERAGE(E20:E23))</f>
        <v/>
      </c>
      <c r="F24" s="31" t="str">
        <f t="shared" si="0"/>
        <v/>
      </c>
      <c r="G24" s="31" t="str">
        <f t="shared" si="0"/>
        <v/>
      </c>
      <c r="H24" s="31" t="str">
        <f t="shared" si="0"/>
        <v/>
      </c>
      <c r="I24" s="31" t="str">
        <f t="shared" si="0"/>
        <v/>
      </c>
      <c r="J24" s="2" t="s">
        <v>17</v>
      </c>
    </row>
    <row r="25" spans="2:10" s="3" customFormat="1" ht="17.5" customHeight="1" x14ac:dyDescent="0.25">
      <c r="B25" s="58" t="s">
        <v>23</v>
      </c>
      <c r="C25" s="29" t="s">
        <v>19</v>
      </c>
      <c r="D25" s="30"/>
      <c r="E25" s="30"/>
      <c r="F25" s="30"/>
      <c r="G25" s="30"/>
      <c r="H25" s="30"/>
      <c r="I25" s="30"/>
      <c r="J25" s="2" t="s">
        <v>17</v>
      </c>
    </row>
    <row r="26" spans="2:10" s="3" customFormat="1" ht="17.5" customHeight="1" x14ac:dyDescent="0.25">
      <c r="B26" s="59"/>
      <c r="C26" s="29" t="s">
        <v>20</v>
      </c>
      <c r="D26" s="30"/>
      <c r="E26" s="30"/>
      <c r="F26" s="30"/>
      <c r="G26" s="30"/>
      <c r="H26" s="30"/>
      <c r="I26" s="30"/>
      <c r="J26" s="2" t="s">
        <v>17</v>
      </c>
    </row>
    <row r="27" spans="2:10" s="3" customFormat="1" ht="17.5" customHeight="1" x14ac:dyDescent="0.25">
      <c r="B27" s="59"/>
      <c r="C27" s="29" t="s">
        <v>21</v>
      </c>
      <c r="D27" s="30"/>
      <c r="E27" s="30"/>
      <c r="F27" s="30"/>
      <c r="G27" s="30"/>
      <c r="H27" s="30"/>
      <c r="I27" s="30"/>
      <c r="J27" s="2" t="s">
        <v>17</v>
      </c>
    </row>
    <row r="28" spans="2:10" s="3" customFormat="1" ht="17.5" customHeight="1" x14ac:dyDescent="0.25">
      <c r="B28" s="59"/>
      <c r="C28" s="29" t="s">
        <v>22</v>
      </c>
      <c r="D28" s="30"/>
      <c r="E28" s="30"/>
      <c r="F28" s="30"/>
      <c r="G28" s="30"/>
      <c r="H28" s="30"/>
      <c r="I28" s="30"/>
      <c r="J28" s="2" t="s">
        <v>17</v>
      </c>
    </row>
    <row r="29" spans="2:10" s="3" customFormat="1" ht="17.5" customHeight="1" x14ac:dyDescent="0.25">
      <c r="B29" s="60"/>
      <c r="C29" s="29" t="s">
        <v>15</v>
      </c>
      <c r="D29" s="32" t="str">
        <f t="shared" ref="D29:I29" si="1">IF(D25="","",AVERAGE(D25:D28))</f>
        <v/>
      </c>
      <c r="E29" s="32" t="str">
        <f t="shared" si="1"/>
        <v/>
      </c>
      <c r="F29" s="32" t="str">
        <f t="shared" si="1"/>
        <v/>
      </c>
      <c r="G29" s="32" t="str">
        <f t="shared" si="1"/>
        <v/>
      </c>
      <c r="H29" s="32" t="str">
        <f t="shared" si="1"/>
        <v/>
      </c>
      <c r="I29" s="32" t="str">
        <f t="shared" si="1"/>
        <v/>
      </c>
      <c r="J29" s="2" t="s">
        <v>17</v>
      </c>
    </row>
    <row r="30" spans="2:10" s="3" customFormat="1" ht="17.5" customHeight="1" x14ac:dyDescent="0.25">
      <c r="B30" s="61" t="s">
        <v>24</v>
      </c>
      <c r="C30" s="61"/>
      <c r="D30" s="33" t="str">
        <f>IF(D24="","",IF(D29="","",(D24/10)*3.1416*((D29/10)^2)/4))</f>
        <v/>
      </c>
      <c r="E30" s="33" t="str">
        <f t="shared" ref="E30:I30" si="2">IF(E24="","",IF(E29="","",(E24/10)*3.1416*((E29/10)^2)/4))</f>
        <v/>
      </c>
      <c r="F30" s="33" t="str">
        <f t="shared" si="2"/>
        <v/>
      </c>
      <c r="G30" s="33" t="str">
        <f t="shared" si="2"/>
        <v/>
      </c>
      <c r="H30" s="33" t="str">
        <f t="shared" si="2"/>
        <v/>
      </c>
      <c r="I30" s="33" t="str">
        <f t="shared" si="2"/>
        <v/>
      </c>
      <c r="J30" s="34" t="s">
        <v>17</v>
      </c>
    </row>
    <row r="31" spans="2:10" s="3" customFormat="1" ht="17.5" customHeight="1" x14ac:dyDescent="0.25">
      <c r="B31" s="56" t="s">
        <v>25</v>
      </c>
      <c r="C31" s="57"/>
      <c r="D31" s="33" t="str">
        <f>IF(D24="","",(927.23*(D24^-1.644)))</f>
        <v/>
      </c>
      <c r="E31" s="33" t="str">
        <f t="shared" ref="E31:I31" si="3">IF(E24="","",(927.23*(E24^-1.644)))</f>
        <v/>
      </c>
      <c r="F31" s="33" t="str">
        <f t="shared" si="3"/>
        <v/>
      </c>
      <c r="G31" s="33" t="str">
        <f t="shared" si="3"/>
        <v/>
      </c>
      <c r="H31" s="33" t="str">
        <f t="shared" si="3"/>
        <v/>
      </c>
      <c r="I31" s="33" t="str">
        <f t="shared" si="3"/>
        <v/>
      </c>
      <c r="J31" s="34" t="s">
        <v>17</v>
      </c>
    </row>
    <row r="32" spans="2:10" s="3" customFormat="1" ht="17.5" customHeight="1" x14ac:dyDescent="0.25">
      <c r="B32" s="56" t="s">
        <v>26</v>
      </c>
      <c r="C32" s="57"/>
      <c r="D32" s="35"/>
      <c r="E32" s="35"/>
      <c r="F32" s="35"/>
      <c r="G32" s="35"/>
      <c r="H32" s="35"/>
      <c r="I32" s="35"/>
      <c r="J32" s="34" t="s">
        <v>17</v>
      </c>
    </row>
    <row r="33" spans="2:12" s="3" customFormat="1" ht="17.5" customHeight="1" x14ac:dyDescent="0.25">
      <c r="B33" s="56" t="s">
        <v>27</v>
      </c>
      <c r="C33" s="57"/>
      <c r="D33" s="36" t="str">
        <f>IF(D34="","",D34/0.9971)</f>
        <v/>
      </c>
      <c r="E33" s="36" t="str">
        <f t="shared" ref="E33:I33" si="4">IF(E34="","",E34/0.9971)</f>
        <v/>
      </c>
      <c r="F33" s="36" t="str">
        <f t="shared" si="4"/>
        <v/>
      </c>
      <c r="G33" s="36" t="str">
        <f t="shared" si="4"/>
        <v/>
      </c>
      <c r="H33" s="36" t="str">
        <f t="shared" si="4"/>
        <v/>
      </c>
      <c r="I33" s="36" t="str">
        <f t="shared" si="4"/>
        <v/>
      </c>
      <c r="J33" s="34" t="s">
        <v>17</v>
      </c>
    </row>
    <row r="34" spans="2:12" s="3" customFormat="1" ht="17.5" customHeight="1" x14ac:dyDescent="0.25">
      <c r="B34" s="56" t="s">
        <v>28</v>
      </c>
      <c r="C34" s="57"/>
      <c r="D34" s="36" t="str">
        <f>IF(D32="","",IF(D30="","",D32/D30))</f>
        <v/>
      </c>
      <c r="E34" s="36" t="str">
        <f t="shared" ref="E34:I34" si="5">IF(E32="","",IF(E30="","",E32/E30))</f>
        <v/>
      </c>
      <c r="F34" s="36" t="str">
        <f t="shared" si="5"/>
        <v/>
      </c>
      <c r="G34" s="36" t="str">
        <f t="shared" si="5"/>
        <v/>
      </c>
      <c r="H34" s="36" t="str">
        <f t="shared" si="5"/>
        <v/>
      </c>
      <c r="I34" s="36" t="str">
        <f t="shared" si="5"/>
        <v/>
      </c>
      <c r="J34" s="34" t="s">
        <v>17</v>
      </c>
    </row>
    <row r="35" spans="2:12" s="3" customFormat="1" ht="17.5" customHeight="1" x14ac:dyDescent="0.25">
      <c r="B35" s="56" t="s">
        <v>29</v>
      </c>
      <c r="C35" s="57"/>
      <c r="D35" s="37"/>
      <c r="E35" s="37"/>
      <c r="F35" s="37"/>
      <c r="G35" s="37"/>
      <c r="H35" s="37"/>
      <c r="I35" s="37"/>
      <c r="J35" s="34" t="s">
        <v>17</v>
      </c>
    </row>
    <row r="36" spans="2:12" s="3" customFormat="1" ht="17.5" customHeight="1" x14ac:dyDescent="0.25">
      <c r="B36" s="56" t="s">
        <v>30</v>
      </c>
      <c r="C36" s="57"/>
      <c r="D36" s="30"/>
      <c r="E36" s="30"/>
      <c r="F36" s="30"/>
      <c r="G36" s="30"/>
      <c r="H36" s="30"/>
      <c r="I36" s="30"/>
      <c r="J36" s="34" t="s">
        <v>17</v>
      </c>
    </row>
    <row r="37" spans="2:12" s="3" customFormat="1" ht="17.5" customHeight="1" x14ac:dyDescent="0.25">
      <c r="B37" s="56" t="s">
        <v>31</v>
      </c>
      <c r="C37" s="57"/>
      <c r="D37" s="31" t="str">
        <f t="shared" ref="D37:I37" si="6">IF(D35="","",IF(D33="","",(1-D33/D35)*100))</f>
        <v/>
      </c>
      <c r="E37" s="31" t="str">
        <f t="shared" si="6"/>
        <v/>
      </c>
      <c r="F37" s="31" t="str">
        <f t="shared" si="6"/>
        <v/>
      </c>
      <c r="G37" s="31" t="str">
        <f t="shared" si="6"/>
        <v/>
      </c>
      <c r="H37" s="31" t="str">
        <f t="shared" si="6"/>
        <v/>
      </c>
      <c r="I37" s="31" t="str">
        <f t="shared" si="6"/>
        <v/>
      </c>
      <c r="J37" s="38" t="str">
        <f>IF(SUM(D37:I37)=0,"",AVERAGE(D37:I37))</f>
        <v/>
      </c>
    </row>
    <row r="38" spans="2:12" s="3" customFormat="1" ht="17.5" customHeight="1" x14ac:dyDescent="0.25">
      <c r="B38" s="56" t="s">
        <v>32</v>
      </c>
      <c r="C38" s="57"/>
      <c r="D38" s="31" t="s">
        <v>17</v>
      </c>
      <c r="E38" s="31" t="s">
        <v>17</v>
      </c>
      <c r="F38" s="31" t="s">
        <v>17</v>
      </c>
      <c r="G38" s="31" t="str">
        <f>IF(G37="","",IF(G30="","",(G37*G30)/100))</f>
        <v/>
      </c>
      <c r="H38" s="31" t="str">
        <f>IF(H37="","",IF(H30="","",(H37*H30)/100))</f>
        <v/>
      </c>
      <c r="I38" s="31" t="str">
        <f>IF(I37="","",IF(I30="","",(I37*I30)/100))</f>
        <v/>
      </c>
      <c r="J38" s="34" t="s">
        <v>17</v>
      </c>
    </row>
    <row r="39" spans="2:12" s="3" customFormat="1" ht="17.5" customHeight="1" x14ac:dyDescent="0.25">
      <c r="B39" s="56" t="s">
        <v>33</v>
      </c>
      <c r="C39" s="57"/>
      <c r="D39" s="31" t="s">
        <v>17</v>
      </c>
      <c r="E39" s="31" t="s">
        <v>17</v>
      </c>
      <c r="F39" s="31" t="s">
        <v>17</v>
      </c>
      <c r="G39" s="35"/>
      <c r="H39" s="35"/>
      <c r="I39" s="35"/>
      <c r="J39" s="34" t="s">
        <v>17</v>
      </c>
    </row>
    <row r="40" spans="2:12" s="3" customFormat="1" ht="17.5" customHeight="1" x14ac:dyDescent="0.25">
      <c r="B40" s="56" t="s">
        <v>34</v>
      </c>
      <c r="C40" s="57"/>
      <c r="D40" s="31" t="s">
        <v>17</v>
      </c>
      <c r="E40" s="31" t="s">
        <v>17</v>
      </c>
      <c r="F40" s="31" t="s">
        <v>17</v>
      </c>
      <c r="G40" s="33"/>
      <c r="H40" s="33"/>
      <c r="I40" s="33"/>
      <c r="J40" s="34" t="s">
        <v>17</v>
      </c>
    </row>
    <row r="41" spans="2:12" s="3" customFormat="1" ht="17.5" customHeight="1" x14ac:dyDescent="0.25">
      <c r="B41" s="56" t="s">
        <v>35</v>
      </c>
      <c r="C41" s="57"/>
      <c r="D41" s="31" t="s">
        <v>17</v>
      </c>
      <c r="E41" s="31" t="s">
        <v>17</v>
      </c>
      <c r="F41" s="31" t="s">
        <v>17</v>
      </c>
      <c r="G41" s="33" t="str">
        <f>IF(G40="","",IF(G38="","",(100*G40)/G38))</f>
        <v/>
      </c>
      <c r="H41" s="33" t="str">
        <f t="shared" ref="H41:I41" si="7">IF(H40="","",IF(H38="","",(100*H40)/H38))</f>
        <v/>
      </c>
      <c r="I41" s="33" t="str">
        <f t="shared" si="7"/>
        <v/>
      </c>
      <c r="J41" s="34" t="s">
        <v>17</v>
      </c>
    </row>
    <row r="42" spans="2:12" s="3" customFormat="1" ht="17.5" customHeight="1" x14ac:dyDescent="0.25">
      <c r="B42" s="56" t="s">
        <v>36</v>
      </c>
      <c r="C42" s="57"/>
      <c r="D42" s="39"/>
      <c r="E42" s="39"/>
      <c r="F42" s="39"/>
      <c r="G42" s="39"/>
      <c r="H42" s="39"/>
      <c r="I42" s="39"/>
      <c r="J42" s="40" t="s">
        <v>17</v>
      </c>
    </row>
    <row r="43" spans="2:12" s="3" customFormat="1" ht="17.5" customHeight="1" x14ac:dyDescent="0.25">
      <c r="B43" s="56" t="s">
        <v>37</v>
      </c>
      <c r="C43" s="57"/>
      <c r="D43" s="41" t="str">
        <f>IF(D42="","",(0.9905*D42)+4.7547)</f>
        <v/>
      </c>
      <c r="E43" s="41" t="str">
        <f t="shared" ref="E43:I43" si="8">IF(E42="","",(0.9905*E42)+4.7547)</f>
        <v/>
      </c>
      <c r="F43" s="41" t="str">
        <f t="shared" si="8"/>
        <v/>
      </c>
      <c r="G43" s="41" t="str">
        <f t="shared" si="8"/>
        <v/>
      </c>
      <c r="H43" s="41" t="str">
        <f t="shared" si="8"/>
        <v/>
      </c>
      <c r="I43" s="41" t="str">
        <f t="shared" si="8"/>
        <v/>
      </c>
      <c r="J43" s="40" t="s">
        <v>17</v>
      </c>
    </row>
    <row r="44" spans="2:12" s="3" customFormat="1" ht="17.5" customHeight="1" x14ac:dyDescent="0.25">
      <c r="B44" s="56" t="s">
        <v>38</v>
      </c>
      <c r="C44" s="57"/>
      <c r="D44" s="41" t="str">
        <f t="shared" ref="D44:I44" si="9">IF(D43="","",IF(D31="","",D43*D31))</f>
        <v/>
      </c>
      <c r="E44" s="41" t="str">
        <f t="shared" si="9"/>
        <v/>
      </c>
      <c r="F44" s="41" t="str">
        <f t="shared" si="9"/>
        <v/>
      </c>
      <c r="G44" s="41" t="str">
        <f t="shared" si="9"/>
        <v/>
      </c>
      <c r="H44" s="41" t="str">
        <f t="shared" si="9"/>
        <v/>
      </c>
      <c r="I44" s="41" t="str">
        <f t="shared" si="9"/>
        <v/>
      </c>
      <c r="J44" s="40" t="s">
        <v>17</v>
      </c>
    </row>
    <row r="45" spans="2:12" s="3" customFormat="1" ht="17.5" customHeight="1" x14ac:dyDescent="0.25">
      <c r="B45" s="56" t="s">
        <v>39</v>
      </c>
      <c r="C45" s="57"/>
      <c r="D45" s="62" t="str">
        <f>IF(SUM(D44:F44)=0,"",AVERAGE(D44:F44))</f>
        <v/>
      </c>
      <c r="E45" s="63"/>
      <c r="F45" s="63"/>
      <c r="G45" s="62" t="str">
        <f>IF(SUM(G44:I44)=0,"",AVERAGE(G44:I44))</f>
        <v/>
      </c>
      <c r="H45" s="63"/>
      <c r="I45" s="63"/>
      <c r="J45" s="42" t="str">
        <f>IF(D45="","",IF(G45="","",G45/D45))</f>
        <v/>
      </c>
    </row>
    <row r="46" spans="2:12" s="3" customFormat="1" ht="17.5" customHeight="1" x14ac:dyDescent="0.25">
      <c r="B46" s="56" t="s">
        <v>40</v>
      </c>
      <c r="C46" s="57"/>
      <c r="D46" s="65" t="s">
        <v>41</v>
      </c>
      <c r="E46" s="66"/>
      <c r="F46" s="66"/>
      <c r="G46" s="66"/>
      <c r="H46" s="66"/>
      <c r="I46" s="67"/>
      <c r="J46" s="40" t="s">
        <v>17</v>
      </c>
    </row>
    <row r="47" spans="2:12" ht="17.5" customHeight="1" x14ac:dyDescent="0.25">
      <c r="B47" s="68" t="s">
        <v>42</v>
      </c>
      <c r="C47" s="69"/>
      <c r="D47" s="69"/>
      <c r="E47" s="69"/>
      <c r="F47" s="69"/>
      <c r="G47" s="69"/>
      <c r="H47" s="69"/>
      <c r="I47" s="69"/>
      <c r="J47" s="70"/>
      <c r="L47" s="3"/>
    </row>
    <row r="48" spans="2:12" ht="51" customHeight="1" x14ac:dyDescent="0.25">
      <c r="B48" s="75"/>
      <c r="C48" s="76"/>
      <c r="D48" s="76"/>
      <c r="E48" s="76"/>
      <c r="F48" s="4"/>
      <c r="G48" s="71"/>
      <c r="H48" s="71"/>
      <c r="I48" s="71"/>
      <c r="J48" s="72"/>
      <c r="L48" s="3"/>
    </row>
    <row r="49" spans="1:13" ht="22.5" customHeight="1" x14ac:dyDescent="0.25">
      <c r="B49" s="77" t="s">
        <v>57</v>
      </c>
      <c r="C49" s="73"/>
      <c r="D49" s="73"/>
      <c r="E49" s="73"/>
      <c r="F49" s="5"/>
      <c r="G49" s="73" t="s">
        <v>58</v>
      </c>
      <c r="H49" s="73"/>
      <c r="I49" s="73"/>
      <c r="J49" s="74"/>
    </row>
    <row r="50" spans="1:13" ht="15" customHeight="1" x14ac:dyDescent="0.25">
      <c r="B50" s="71"/>
      <c r="C50" s="71"/>
      <c r="D50" s="71"/>
      <c r="E50" s="71"/>
      <c r="F50" s="71"/>
      <c r="G50" s="71"/>
      <c r="H50" s="71"/>
      <c r="I50" s="71"/>
      <c r="J50" s="71"/>
    </row>
    <row r="51" spans="1:13" ht="30" customHeight="1" x14ac:dyDescent="0.25">
      <c r="B51" s="20" t="s">
        <v>59</v>
      </c>
      <c r="C51" s="78" t="s">
        <v>70</v>
      </c>
      <c r="D51" s="78"/>
      <c r="E51" s="78"/>
      <c r="F51" s="78"/>
      <c r="G51" s="78"/>
      <c r="H51" s="78"/>
      <c r="I51" s="78"/>
      <c r="J51" s="78"/>
      <c r="K51" s="23"/>
      <c r="L51" s="23"/>
      <c r="M51" s="23"/>
    </row>
    <row r="52" spans="1:13" ht="30" customHeight="1" x14ac:dyDescent="0.25">
      <c r="B52" s="21" t="s">
        <v>60</v>
      </c>
      <c r="C52" s="79" t="s">
        <v>62</v>
      </c>
      <c r="D52" s="79"/>
      <c r="E52" s="79"/>
      <c r="F52" s="79"/>
      <c r="G52" s="79"/>
      <c r="H52" s="79"/>
      <c r="I52" s="79"/>
      <c r="J52" s="79"/>
      <c r="K52" s="24"/>
      <c r="L52" s="24"/>
      <c r="M52" s="24"/>
    </row>
    <row r="53" spans="1:13" ht="30" customHeight="1" x14ac:dyDescent="0.25">
      <c r="B53" s="22" t="s">
        <v>61</v>
      </c>
      <c r="C53" s="79" t="s">
        <v>71</v>
      </c>
      <c r="D53" s="79"/>
      <c r="E53" s="79"/>
      <c r="F53" s="79"/>
      <c r="G53" s="79"/>
      <c r="H53" s="79"/>
      <c r="I53" s="79"/>
      <c r="J53" s="79"/>
      <c r="K53" s="24"/>
      <c r="L53" s="24"/>
      <c r="M53" s="24"/>
    </row>
    <row r="54" spans="1:13" ht="8.5" customHeight="1" x14ac:dyDescent="0.25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</row>
    <row r="55" spans="1:13" ht="22.5" customHeight="1" x14ac:dyDescent="0.25"/>
    <row r="56" spans="1:13" ht="22.5" customHeight="1" x14ac:dyDescent="0.25"/>
    <row r="57" spans="1:13" ht="51.75" customHeight="1" x14ac:dyDescent="0.25"/>
    <row r="58" spans="1:13" ht="24.75" customHeight="1" x14ac:dyDescent="0.25"/>
    <row r="59" spans="1:13" ht="22.5" customHeight="1" x14ac:dyDescent="0.25"/>
    <row r="60" spans="1:13" ht="13" x14ac:dyDescent="0.25">
      <c r="C60" s="6"/>
      <c r="D60" s="6"/>
      <c r="E60" s="6"/>
      <c r="F60" s="6"/>
      <c r="G60" s="6"/>
      <c r="H60" s="6"/>
      <c r="I60" s="6"/>
      <c r="J60" s="6"/>
      <c r="K60" s="6"/>
      <c r="L60" s="6"/>
      <c r="M60" s="7"/>
    </row>
  </sheetData>
  <protectedRanges>
    <protectedRange sqref="C7:D8 I7:J8 D9:J11 D19:I23 D25:I28 D32:I32 D35:I36 G39:I39 D42:I42" name="Intervalo1"/>
  </protectedRanges>
  <mergeCells count="57">
    <mergeCell ref="A54:K54"/>
    <mergeCell ref="B50:J50"/>
    <mergeCell ref="C51:J51"/>
    <mergeCell ref="C52:J52"/>
    <mergeCell ref="C53:J53"/>
    <mergeCell ref="B5:E5"/>
    <mergeCell ref="F5:J5"/>
    <mergeCell ref="B6:J6"/>
    <mergeCell ref="B10:J11"/>
    <mergeCell ref="B9:J9"/>
    <mergeCell ref="B8:E8"/>
    <mergeCell ref="F8:J8"/>
    <mergeCell ref="B7:E7"/>
    <mergeCell ref="F7:J7"/>
    <mergeCell ref="B40:C40"/>
    <mergeCell ref="B41:C41"/>
    <mergeCell ref="B42:C42"/>
    <mergeCell ref="B43:C43"/>
    <mergeCell ref="G45:I45"/>
    <mergeCell ref="B36:C36"/>
    <mergeCell ref="B37:C37"/>
    <mergeCell ref="B38:C38"/>
    <mergeCell ref="B39:C39"/>
    <mergeCell ref="B46:C46"/>
    <mergeCell ref="D46:I46"/>
    <mergeCell ref="B47:J47"/>
    <mergeCell ref="G48:J48"/>
    <mergeCell ref="G49:J49"/>
    <mergeCell ref="B48:E48"/>
    <mergeCell ref="B49:E49"/>
    <mergeCell ref="B44:C44"/>
    <mergeCell ref="B45:C45"/>
    <mergeCell ref="D45:F45"/>
    <mergeCell ref="B35:C35"/>
    <mergeCell ref="B18:C18"/>
    <mergeCell ref="D18:F18"/>
    <mergeCell ref="B31:C31"/>
    <mergeCell ref="B32:C32"/>
    <mergeCell ref="B33:C33"/>
    <mergeCell ref="B34:C34"/>
    <mergeCell ref="G18:I18"/>
    <mergeCell ref="B19:C19"/>
    <mergeCell ref="B20:B24"/>
    <mergeCell ref="B25:B29"/>
    <mergeCell ref="B30:C30"/>
    <mergeCell ref="B1:J1"/>
    <mergeCell ref="B3:E3"/>
    <mergeCell ref="B17:J17"/>
    <mergeCell ref="B12:J12"/>
    <mergeCell ref="B13:J13"/>
    <mergeCell ref="B14:J14"/>
    <mergeCell ref="B15:J15"/>
    <mergeCell ref="B16:J16"/>
    <mergeCell ref="F3:J3"/>
    <mergeCell ref="B4:E4"/>
    <mergeCell ref="F4:J4"/>
    <mergeCell ref="B2:J2"/>
  </mergeCells>
  <printOptions horizontalCentered="1"/>
  <pageMargins left="0.59055118110236227" right="0.59055118110236227" top="0.78740157480314965" bottom="0.78740157480314965" header="0.51181102362204722" footer="0.55118110236220474"/>
  <pageSetup paperSize="9" scale="6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CEA70-31F3-4AFB-8CD6-E8A61B41DB7E}">
  <sheetPr>
    <pageSetUpPr fitToPage="1"/>
  </sheetPr>
  <dimension ref="A1:C16"/>
  <sheetViews>
    <sheetView view="pageBreakPreview" zoomScale="115" zoomScaleNormal="115" zoomScaleSheetLayoutView="115" workbookViewId="0">
      <selection activeCell="H7" sqref="H7"/>
    </sheetView>
  </sheetViews>
  <sheetFormatPr defaultColWidth="8.81640625" defaultRowHeight="12.5" x14ac:dyDescent="0.25"/>
  <cols>
    <col min="1" max="1" width="13.453125" style="8" customWidth="1"/>
    <col min="2" max="2" width="33.1796875" style="8" customWidth="1"/>
    <col min="3" max="3" width="53" style="8" customWidth="1"/>
    <col min="4" max="16384" width="8.81640625" style="8"/>
  </cols>
  <sheetData>
    <row r="1" spans="1:3" ht="54.75" customHeight="1" x14ac:dyDescent="0.25">
      <c r="A1" s="93"/>
      <c r="B1" s="94"/>
      <c r="C1" s="95"/>
    </row>
    <row r="2" spans="1:3" ht="39" customHeight="1" x14ac:dyDescent="0.25">
      <c r="A2" s="96">
        <f>'FR-IMOB-17_Rev00'!D6</f>
        <v>0</v>
      </c>
      <c r="B2" s="97"/>
      <c r="C2" s="98"/>
    </row>
    <row r="3" spans="1:3" ht="10.5" customHeight="1" x14ac:dyDescent="0.25">
      <c r="A3" s="11"/>
      <c r="B3" s="12"/>
      <c r="C3" s="13"/>
    </row>
    <row r="4" spans="1:3" ht="20.5" customHeight="1" x14ac:dyDescent="0.25">
      <c r="A4" s="101" t="s">
        <v>43</v>
      </c>
      <c r="B4" s="102"/>
      <c r="C4" s="103"/>
    </row>
    <row r="5" spans="1:3" ht="20.5" customHeight="1" x14ac:dyDescent="0.25">
      <c r="A5" s="104" t="s">
        <v>44</v>
      </c>
      <c r="B5" s="105"/>
      <c r="C5" s="14" t="s">
        <v>45</v>
      </c>
    </row>
    <row r="6" spans="1:3" ht="20.5" customHeight="1" x14ac:dyDescent="0.25">
      <c r="A6" s="9" t="s">
        <v>46</v>
      </c>
      <c r="B6" s="25"/>
      <c r="C6" s="26"/>
    </row>
    <row r="7" spans="1:3" ht="20.5" customHeight="1" x14ac:dyDescent="0.25">
      <c r="A7" s="10" t="s">
        <v>49</v>
      </c>
      <c r="B7" s="25"/>
      <c r="C7" s="26"/>
    </row>
    <row r="8" spans="1:3" ht="20.5" customHeight="1" x14ac:dyDescent="0.25">
      <c r="A8" s="10" t="s">
        <v>50</v>
      </c>
      <c r="B8" s="25"/>
      <c r="C8" s="26"/>
    </row>
    <row r="9" spans="1:3" ht="20.5" customHeight="1" x14ac:dyDescent="0.25">
      <c r="A9" s="10" t="s">
        <v>51</v>
      </c>
      <c r="B9" s="25"/>
      <c r="C9" s="26"/>
    </row>
    <row r="10" spans="1:3" ht="20.5" customHeight="1" x14ac:dyDescent="0.25">
      <c r="A10" s="10" t="s">
        <v>52</v>
      </c>
      <c r="B10" s="25"/>
      <c r="C10" s="26"/>
    </row>
    <row r="11" spans="1:3" ht="20.5" customHeight="1" x14ac:dyDescent="0.25">
      <c r="A11" s="10" t="s">
        <v>53</v>
      </c>
      <c r="B11" s="25"/>
      <c r="C11" s="26"/>
    </row>
    <row r="12" spans="1:3" ht="20.5" customHeight="1" x14ac:dyDescent="0.25">
      <c r="A12" s="101" t="s">
        <v>47</v>
      </c>
      <c r="B12" s="106"/>
      <c r="C12" s="107"/>
    </row>
    <row r="13" spans="1:3" ht="20.5" customHeight="1" x14ac:dyDescent="0.25">
      <c r="A13" s="27"/>
      <c r="B13" s="99" t="s">
        <v>54</v>
      </c>
      <c r="C13" s="100"/>
    </row>
    <row r="14" spans="1:3" ht="20.5" customHeight="1" x14ac:dyDescent="0.25">
      <c r="A14" s="27"/>
      <c r="B14" s="99" t="s">
        <v>48</v>
      </c>
      <c r="C14" s="100"/>
    </row>
    <row r="15" spans="1:3" ht="20.5" customHeight="1" x14ac:dyDescent="0.25">
      <c r="A15" s="27"/>
      <c r="B15" s="99" t="s">
        <v>55</v>
      </c>
      <c r="C15" s="100"/>
    </row>
    <row r="16" spans="1:3" ht="20.5" customHeight="1" x14ac:dyDescent="0.25">
      <c r="A16" s="27"/>
      <c r="B16" s="99" t="s">
        <v>56</v>
      </c>
      <c r="C16" s="100"/>
    </row>
  </sheetData>
  <protectedRanges>
    <protectedRange sqref="B6:C11 A13:A16" name="Intervalo1"/>
  </protectedRanges>
  <mergeCells count="9">
    <mergeCell ref="A1:C1"/>
    <mergeCell ref="A2:C2"/>
    <mergeCell ref="B15:C15"/>
    <mergeCell ref="B16:C16"/>
    <mergeCell ref="A4:C4"/>
    <mergeCell ref="A5:B5"/>
    <mergeCell ref="A12:C12"/>
    <mergeCell ref="B13:C13"/>
    <mergeCell ref="B14:C14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9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12</xdr:row>
                    <xdr:rowOff>31750</xdr:rowOff>
                  </from>
                  <to>
                    <xdr:col>0</xdr:col>
                    <xdr:colOff>647700</xdr:colOff>
                    <xdr:row>12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13</xdr:row>
                    <xdr:rowOff>31750</xdr:rowOff>
                  </from>
                  <to>
                    <xdr:col>0</xdr:col>
                    <xdr:colOff>647700</xdr:colOff>
                    <xdr:row>13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14</xdr:row>
                    <xdr:rowOff>31750</xdr:rowOff>
                  </from>
                  <to>
                    <xdr:col>0</xdr:col>
                    <xdr:colOff>647700</xdr:colOff>
                    <xdr:row>14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15</xdr:row>
                    <xdr:rowOff>31750</xdr:rowOff>
                  </from>
                  <to>
                    <xdr:col>0</xdr:col>
                    <xdr:colOff>647700</xdr:colOff>
                    <xdr:row>15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FR-IMOB-17_Rev00</vt:lpstr>
      <vt:lpstr>VERSO</vt:lpstr>
      <vt:lpstr>'FR-IMOB-17_Rev00'!Area_de_impressao</vt:lpstr>
      <vt:lpstr>VERSO!Area_de_impressao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2022-01-07T15:04:53Z</cp:lastPrinted>
  <dcterms:created xsi:type="dcterms:W3CDTF">2021-11-09T18:32:34Z</dcterms:created>
  <dcterms:modified xsi:type="dcterms:W3CDTF">2026-02-16T14:07:19Z</dcterms:modified>
</cp:coreProperties>
</file>