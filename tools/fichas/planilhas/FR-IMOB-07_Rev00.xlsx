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02. Formulários\Formulários - Em revisão\Revisão mel\"/>
    </mc:Choice>
  </mc:AlternateContent>
  <xr:revisionPtr revIDLastSave="0" documentId="13_ncr:1_{39967731-06E8-4A79-812F-70E31C09E77C}" xr6:coauthVersionLast="47" xr6:coauthVersionMax="47" xr10:uidLastSave="{00000000-0000-0000-0000-000000000000}"/>
  <bookViews>
    <workbookView xWindow="-28920" yWindow="-120" windowWidth="29040" windowHeight="16440" xr2:uid="{D60032FE-E832-4170-BF9F-152AB5AE690D}"/>
  </bookViews>
  <sheets>
    <sheet name="FR-LAB-31_REV.0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'FR-LAB-31_REV.03'!$A$1:$I$42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'FR-LAB-31_REV.03'!$B$5:$G$36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1" l="1"/>
  <c r="G34" i="1"/>
  <c r="G24" i="1"/>
  <c r="G31" i="1" s="1"/>
  <c r="G23" i="1"/>
  <c r="G21" i="1"/>
  <c r="G28" i="1" s="1"/>
  <c r="G20" i="1"/>
  <c r="G27" i="1" s="1"/>
  <c r="G36" i="1" l="1"/>
  <c r="G25" i="1"/>
  <c r="G29" i="1"/>
  <c r="G30" i="1"/>
  <c r="G32" i="1" s="1"/>
  <c r="G22" i="1"/>
</calcChain>
</file>

<file path=xl/sharedStrings.xml><?xml version="1.0" encoding="utf-8"?>
<sst xmlns="http://schemas.openxmlformats.org/spreadsheetml/2006/main" count="66" uniqueCount="53">
  <si>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</si>
  <si>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</si>
  <si>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</si>
  <si>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</si>
  <si>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</si>
  <si>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</si>
  <si>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</si>
  <si>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</si>
  <si>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1 º  Ensaio</t>
  </si>
  <si>
    <t>2 º  Ensaio</t>
  </si>
  <si>
    <t>( A )</t>
  </si>
  <si>
    <t>Massa do picnômetro (g)</t>
  </si>
  <si>
    <t>( B )</t>
  </si>
  <si>
    <t>Massa do picnômetro + Amostra seca (g)</t>
  </si>
  <si>
    <t>( C )</t>
  </si>
  <si>
    <t>Massa do picnômetro + Amostra + Água (g)</t>
  </si>
  <si>
    <t>( D )</t>
  </si>
  <si>
    <t>Massa do picnômetro + Água (g)</t>
  </si>
  <si>
    <t>( E )</t>
  </si>
  <si>
    <t>Massa do picnômetro + Massa saturada (g)</t>
  </si>
  <si>
    <t>Calculos e Resultados</t>
  </si>
  <si>
    <t>1. Densidade relativa (g/cm³)</t>
  </si>
  <si>
    <t>1.1. Densidade relativa real do agregado miudo</t>
  </si>
  <si>
    <t>1º Ensaio =</t>
  </si>
  <si>
    <r>
      <t xml:space="preserve">G </t>
    </r>
    <r>
      <rPr>
        <vertAlign val="subscript"/>
        <sz val="10"/>
        <rFont val="Tahoma"/>
        <family val="2"/>
      </rPr>
      <t xml:space="preserve">as  </t>
    </r>
    <r>
      <rPr>
        <sz val="10"/>
        <rFont val="Tahoma"/>
        <family val="2"/>
      </rPr>
      <t>=</t>
    </r>
  </si>
  <si>
    <t>( B - A )</t>
  </si>
  <si>
    <t>2º Ensaio =</t>
  </si>
  <si>
    <t>( B - A ) + ( D - C )</t>
  </si>
  <si>
    <t>Média =</t>
  </si>
  <si>
    <t>1.2. Densidade relativa aparente do agregado miudo</t>
  </si>
  <si>
    <r>
      <t xml:space="preserve">G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</si>
  <si>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t>( E - A ) + ( D - C )</t>
  </si>
  <si>
    <t>2. Massa especifica  (g/cm³)</t>
  </si>
  <si>
    <t>2.1. Massa especifica real do agregado miudo</t>
  </si>
  <si>
    <r>
      <t xml:space="preserve">ME </t>
    </r>
    <r>
      <rPr>
        <vertAlign val="subscript"/>
        <sz val="10"/>
        <rFont val="Tahoma"/>
        <family val="2"/>
      </rPr>
      <t>sa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</si>
  <si>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as</t>
    </r>
  </si>
  <si>
    <t>2.1. Massa específica aparente do agregado miudo</t>
  </si>
  <si>
    <r>
      <t xml:space="preserve">ME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</si>
  <si>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sb</t>
    </r>
  </si>
  <si>
    <t>3. Porcentagem de absorção (%)</t>
  </si>
  <si>
    <t>Absorção (%). =</t>
  </si>
  <si>
    <t xml:space="preserve">( E - A ) - ( B - A ) </t>
  </si>
  <si>
    <t>x 100</t>
  </si>
  <si>
    <t xml:space="preserve">           ( B - A ) </t>
  </si>
  <si>
    <t>DNIT - 411 ME Pavimentação – Massa específica, densidade relativa e absorção de agregado miúdo para misturas asfálticas. ABNT NBR 16916 - Agregado miúdo - Determinação da densidade e da absorção de água.</t>
  </si>
  <si>
    <t xml:space="preserve">Aprovado por: </t>
  </si>
  <si>
    <r>
      <rPr>
        <sz val="12"/>
        <color theme="1"/>
        <rFont val="Tahoma"/>
        <family val="2"/>
      </rPr>
      <t xml:space="preserve">Codificação: </t>
    </r>
    <r>
      <rPr>
        <b/>
        <sz val="12"/>
        <color theme="1"/>
        <rFont val="Tahoma"/>
        <family val="2"/>
      </rPr>
      <t xml:space="preserve"> FR-IMOB-07 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</si>
  <si>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</t>
    </r>
  </si>
  <si>
    <t>Rheno Batista Tormin Filho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</si>
  <si>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MASSA ESPECÍFICA, DENSIDADE RELATIVA E ABSORÇÃO DE AGREGADO MIÚDO PARA MISTURAS ASFÁLTICAS</t>
    </r>
  </si>
  <si>
    <t>Assinaturas</t>
  </si>
  <si>
    <t>Responsável executor:</t>
  </si>
  <si>
    <t xml:space="preserve"> Responsável calculista: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</si>
</sst>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3" fillId="0" borderId="0" xfId="0" applyFont="1" applyAlignment="1">
      <alignment horizontal="left" vertical="center"/>
    </xf>
    <xf numFmtId="0" fontId="5" fillId="4" borderId="10" xfId="1" applyFont="1" applyFill="1" applyBorder="1" applyAlignment="1">
      <alignment horizontal="center" vertical="center"/>
    </xf>
    <xf numFmtId="2" fontId="4" fillId="3" borderId="10" xfId="1" applyNumberFormat="1" applyFont="1" applyFill="1" applyBorder="1" applyAlignment="1">
      <alignment horizontal="center" vertical="center"/>
    </xf>
    <xf numFmtId="2" fontId="4" fillId="3" borderId="6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2" applyFont="1" applyAlignment="1" applyProtection="1">
      <alignment vertical="center"/>
      <protection locked="0" hidden="1"/>
    </xf>
    <xf numFmtId="0" fontId="3" fillId="0" borderId="0" xfId="2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vertical="center"/>
      <protection locked="0" hidden="1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left" wrapText="1"/>
    </xf>
    <xf numFmtId="0" fontId="9" fillId="0" borderId="0" xfId="0" applyFont="1" applyAlignment="1" applyProtection="1">
      <alignment horizontal="left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vertical="center" wrapText="1"/>
    </xf>
    <xf numFmtId="0" fontId="11" fillId="0" borderId="5" xfId="2" applyFont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2" fillId="2" borderId="4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5" fillId="4" borderId="4" xfId="1" applyFont="1" applyFill="1" applyBorder="1" applyAlignment="1" applyProtection="1">
      <alignment horizontal="center" vertical="center"/>
    </xf>
    <xf numFmtId="0" fontId="5" fillId="4" borderId="5" xfId="1" applyFont="1" applyFill="1" applyBorder="1" applyAlignment="1" applyProtection="1">
      <alignment horizontal="center" vertical="center"/>
    </xf>
    <xf numFmtId="0" fontId="5" fillId="4" borderId="6" xfId="1" applyFont="1" applyFill="1" applyBorder="1" applyAlignment="1" applyProtection="1">
      <alignment horizontal="center" vertical="center"/>
    </xf>
    <xf numFmtId="0" fontId="3" fillId="0" borderId="7" xfId="1" applyFont="1" applyBorder="1" applyAlignment="1" applyProtection="1">
      <alignment horizontal="left" vertical="center" wrapText="1"/>
    </xf>
    <xf numFmtId="0" fontId="3" fillId="0" borderId="8" xfId="1" applyFont="1" applyBorder="1" applyAlignment="1" applyProtection="1">
      <alignment horizontal="left" vertical="center" wrapText="1"/>
    </xf>
    <xf numFmtId="0" fontId="3" fillId="0" borderId="9" xfId="1" applyFont="1" applyBorder="1" applyAlignment="1" applyProtection="1">
      <alignment horizontal="left" vertical="center" wrapText="1"/>
    </xf>
    <xf numFmtId="0" fontId="6" fillId="0" borderId="4" xfId="1" applyFont="1" applyBorder="1" applyAlignment="1" applyProtection="1">
      <alignment horizontal="center" vertical="center"/>
    </xf>
    <xf numFmtId="0" fontId="6" fillId="0" borderId="5" xfId="1" applyFont="1" applyBorder="1" applyAlignment="1" applyProtection="1">
      <alignment horizontal="left" vertical="center"/>
    </xf>
    <xf numFmtId="0" fontId="6" fillId="0" borderId="6" xfId="1" applyFont="1" applyBorder="1" applyAlignment="1" applyProtection="1">
      <alignment horizontal="left" vertical="center"/>
    </xf>
    <xf numFmtId="0" fontId="6" fillId="0" borderId="7" xfId="1" applyFont="1" applyBorder="1" applyAlignment="1" applyProtection="1">
      <alignment horizontal="center" vertical="center"/>
    </xf>
    <xf numFmtId="0" fontId="7" fillId="4" borderId="4" xfId="1" applyFont="1" applyFill="1" applyBorder="1" applyAlignment="1" applyProtection="1">
      <alignment horizontal="center" vertical="center"/>
    </xf>
    <xf numFmtId="0" fontId="7" fillId="4" borderId="5" xfId="1" applyFont="1" applyFill="1" applyBorder="1" applyAlignment="1" applyProtection="1">
      <alignment horizontal="center" vertical="center"/>
    </xf>
    <xf numFmtId="0" fontId="7" fillId="4" borderId="6" xfId="1" applyFont="1" applyFill="1" applyBorder="1" applyAlignment="1" applyProtection="1">
      <alignment horizontal="center" vertical="center"/>
    </xf>
    <xf numFmtId="0" fontId="7" fillId="0" borderId="1" xfId="1" applyFont="1" applyBorder="1" applyAlignment="1" applyProtection="1">
      <alignment horizontal="left" vertical="center"/>
    </xf>
    <xf numFmtId="0" fontId="7" fillId="0" borderId="2" xfId="1" applyFont="1" applyBorder="1" applyAlignment="1" applyProtection="1">
      <alignment horizontal="left" vertical="center"/>
    </xf>
    <xf numFmtId="0" fontId="7" fillId="0" borderId="3" xfId="1" applyFont="1" applyBorder="1" applyAlignment="1" applyProtection="1">
      <alignment horizontal="left" vertical="center"/>
    </xf>
    <xf numFmtId="0" fontId="3" fillId="0" borderId="1" xfId="1" applyFont="1" applyBorder="1" applyAlignment="1" applyProtection="1">
      <alignment horizontal="left" vertical="center"/>
    </xf>
    <xf numFmtId="0" fontId="3" fillId="0" borderId="2" xfId="1" applyFont="1" applyBorder="1" applyAlignment="1" applyProtection="1">
      <alignment horizontal="left" vertical="center"/>
    </xf>
    <xf numFmtId="0" fontId="3" fillId="0" borderId="3" xfId="1" applyFont="1" applyBorder="1" applyAlignment="1" applyProtection="1">
      <alignment horizontal="left" vertical="center"/>
    </xf>
    <xf numFmtId="0" fontId="3" fillId="0" borderId="1" xfId="1" applyFont="1" applyBorder="1" applyAlignment="1" applyProtection="1">
      <alignment horizontal="center" vertical="center"/>
    </xf>
    <xf numFmtId="164" fontId="3" fillId="0" borderId="3" xfId="1" applyNumberFormat="1" applyFont="1" applyBorder="1" applyAlignment="1" applyProtection="1">
      <alignment horizontal="center" vertical="center"/>
    </xf>
    <xf numFmtId="0" fontId="3" fillId="0" borderId="11" xfId="1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center" vertical="center"/>
    </xf>
    <xf numFmtId="0" fontId="1" fillId="0" borderId="8" xfId="1" applyBorder="1" applyAlignment="1" applyProtection="1">
      <alignment horizontal="center" vertical="center"/>
    </xf>
    <xf numFmtId="0" fontId="3" fillId="0" borderId="12" xfId="1" applyFont="1" applyBorder="1" applyAlignment="1" applyProtection="1">
      <alignment horizontal="left" vertical="center"/>
    </xf>
    <xf numFmtId="0" fontId="3" fillId="0" borderId="11" xfId="1" applyFont="1" applyBorder="1" applyAlignment="1" applyProtection="1">
      <alignment horizontal="center" vertical="center"/>
    </xf>
    <xf numFmtId="164" fontId="3" fillId="0" borderId="12" xfId="1" applyNumberFormat="1" applyFont="1" applyBorder="1" applyAlignment="1" applyProtection="1">
      <alignment horizontal="center" vertical="center"/>
    </xf>
    <xf numFmtId="0" fontId="3" fillId="0" borderId="7" xfId="1" applyFont="1" applyBorder="1" applyAlignment="1" applyProtection="1">
      <alignment horizontal="left" vertical="center"/>
    </xf>
    <xf numFmtId="0" fontId="3" fillId="0" borderId="8" xfId="1" applyFont="1" applyBorder="1" applyAlignment="1" applyProtection="1">
      <alignment horizontal="left" vertical="center"/>
    </xf>
    <xf numFmtId="0" fontId="1" fillId="0" borderId="5" xfId="1" applyBorder="1" applyAlignment="1" applyProtection="1">
      <alignment horizontal="center" vertical="center"/>
    </xf>
    <xf numFmtId="0" fontId="3" fillId="0" borderId="9" xfId="1" applyFont="1" applyBorder="1" applyAlignment="1" applyProtection="1">
      <alignment horizontal="left" vertical="center"/>
    </xf>
    <xf numFmtId="0" fontId="5" fillId="0" borderId="7" xfId="1" applyFont="1" applyBorder="1" applyAlignment="1" applyProtection="1">
      <alignment horizontal="center" vertical="center"/>
    </xf>
    <xf numFmtId="164" fontId="5" fillId="0" borderId="9" xfId="1" applyNumberFormat="1" applyFont="1" applyBorder="1" applyAlignment="1" applyProtection="1">
      <alignment horizontal="center" vertical="center"/>
    </xf>
    <xf numFmtId="0" fontId="5" fillId="0" borderId="11" xfId="1" applyFont="1" applyBorder="1" applyAlignment="1" applyProtection="1">
      <alignment horizontal="left" vertical="center"/>
    </xf>
    <xf numFmtId="0" fontId="5" fillId="0" borderId="0" xfId="1" applyFont="1" applyAlignment="1" applyProtection="1">
      <alignment horizontal="left" vertical="center"/>
    </xf>
    <xf numFmtId="0" fontId="5" fillId="0" borderId="12" xfId="1" applyFont="1" applyBorder="1" applyAlignment="1" applyProtection="1">
      <alignment horizontal="left" vertical="center"/>
    </xf>
    <xf numFmtId="0" fontId="3" fillId="0" borderId="0" xfId="1" applyFont="1" applyAlignment="1" applyProtection="1">
      <alignment horizontal="center" vertical="center"/>
    </xf>
    <xf numFmtId="0" fontId="3" fillId="0" borderId="8" xfId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5" fillId="0" borderId="1" xfId="1" applyFont="1" applyBorder="1" applyAlignment="1" applyProtection="1">
      <alignment horizontal="left" vertical="center"/>
    </xf>
    <xf numFmtId="0" fontId="5" fillId="0" borderId="2" xfId="1" applyFont="1" applyBorder="1" applyAlignment="1" applyProtection="1">
      <alignment horizontal="left" vertical="center"/>
    </xf>
    <xf numFmtId="0" fontId="3" fillId="0" borderId="2" xfId="1" applyFont="1" applyBorder="1" applyAlignment="1" applyProtection="1">
      <alignment horizontal="left" vertical="center"/>
    </xf>
    <xf numFmtId="2" fontId="3" fillId="0" borderId="3" xfId="1" applyNumberFormat="1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/>
    </xf>
    <xf numFmtId="2" fontId="3" fillId="0" borderId="12" xfId="1" applyNumberFormat="1" applyFont="1" applyBorder="1" applyAlignment="1" applyProtection="1">
      <alignment horizontal="center" vertical="center"/>
    </xf>
    <xf numFmtId="0" fontId="1" fillId="0" borderId="5" xfId="1" applyBorder="1" applyAlignment="1" applyProtection="1">
      <alignment vertical="center"/>
    </xf>
    <xf numFmtId="2" fontId="5" fillId="0" borderId="9" xfId="1" applyNumberFormat="1" applyFont="1" applyBorder="1" applyAlignment="1" applyProtection="1">
      <alignment horizontal="center" vertical="center"/>
    </xf>
    <xf numFmtId="49" fontId="12" fillId="5" borderId="5" xfId="2" applyNumberFormat="1" applyFont="1" applyFill="1" applyBorder="1" applyAlignment="1" applyProtection="1">
      <alignment horizontal="center" vertical="center"/>
      <protection hidden="1"/>
    </xf>
    <xf numFmtId="2" fontId="9" fillId="5" borderId="5" xfId="2" applyNumberFormat="1" applyFont="1" applyFill="1" applyBorder="1" applyAlignment="1" applyProtection="1">
      <alignment horizontal="left" vertical="center" wrapText="1"/>
    </xf>
    <xf numFmtId="0" fontId="3" fillId="0" borderId="11" xfId="0" applyFont="1" applyBorder="1" applyAlignment="1" applyProtection="1">
      <alignment horizontal="left" vertical="center"/>
    </xf>
    <xf numFmtId="0" fontId="5" fillId="0" borderId="0" xfId="2" applyFont="1" applyAlignment="1" applyProtection="1">
      <alignment vertical="center"/>
      <protection hidden="1"/>
    </xf>
    <xf numFmtId="0" fontId="3" fillId="0" borderId="0" xfId="2" applyFont="1" applyAlignment="1" applyProtection="1">
      <alignment horizontal="left" vertical="center"/>
    </xf>
    <xf numFmtId="0" fontId="7" fillId="0" borderId="1" xfId="1" applyFont="1" applyBorder="1" applyAlignment="1">
      <alignment horizontal="left" vertical="top"/>
    </xf>
    <xf numFmtId="0" fontId="7" fillId="0" borderId="2" xfId="1" applyFont="1" applyBorder="1" applyAlignment="1">
      <alignment horizontal="left" vertical="top"/>
    </xf>
    <xf numFmtId="0" fontId="7" fillId="0" borderId="2" xfId="1" applyFont="1" applyBorder="1" applyAlignment="1">
      <alignment horizontal="left" vertical="top"/>
    </xf>
    <xf numFmtId="0" fontId="7" fillId="0" borderId="8" xfId="1" applyFont="1" applyBorder="1" applyAlignment="1">
      <alignment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2" fontId="4" fillId="0" borderId="8" xfId="1" applyNumberFormat="1" applyFont="1" applyBorder="1" applyAlignment="1" applyProtection="1">
      <alignment vertical="center"/>
      <protection locked="0"/>
    </xf>
    <xf numFmtId="0" fontId="6" fillId="0" borderId="3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9" fillId="0" borderId="0" xfId="0" applyFont="1" applyBorder="1" applyAlignment="1" applyProtection="1">
      <alignment vertical="center" wrapText="1"/>
    </xf>
  </cellXfs>
  <cellStyles count="3">
    <cellStyle name="Normal" xfId="0" builtinId="0"/>
    <cellStyle name="Normal 2 2" xfId="2" xr:uid="{5526BB38-23D1-4C00-8876-C63A278B3ED1}"/>
    <cellStyle name="Normal 9 2" xfId="1" xr:uid="{0BD04EAA-49F5-4F16-B9B7-75351CAA2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407449</xdr:colOff>
      <xdr:row>0</xdr:row>
      <xdr:rowOff>73025</xdr:rowOff>
    </xdr:from>
    <xdr:to>
      <xdr:col>8</xdr:col>
      <xdr:colOff>57150</xdr:colOff>
      <xdr:row>0</xdr:row>
      <xdr:rowOff>781051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3D8222-336E-4415-B538-F9493DD5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9274" y="73025"/>
          <a:ext cx="1011776" cy="7080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51E6-2F2F-4EA3-BCAF-3BDFA7E3420F}">
  <sheetPr>
    <pageSetUpPr fitToPage="1"/>
  </sheetPr>
  <dimension ref="A1:V44"/>
  <sheetViews>
    <sheetView showGridLines="0" tabSelected="1" view="pageBreakPreview" zoomScaleNormal="100" zoomScaleSheetLayoutView="100" workbookViewId="0">
      <selection activeCell="C6" sqref="C6:D6"/>
    </sheetView>
  </sheetViews>
  <sheetFormatPr defaultColWidth="11.453125" defaultRowHeight="12.5" x14ac:dyDescent="0.25"/>
  <cols>
    <col min="1" max="1" width="3.6328125" style="1" customWidth="1"/>
    <col min="2" max="2" width="19.81640625" style="1" customWidth="1"/>
    <col min="3" max="3" width="15.7265625" style="1" customWidth="1"/>
    <col min="4" max="4" width="18.7265625" style="1" customWidth="1"/>
    <col min="5" max="5" width="24.1796875" style="1" customWidth="1"/>
    <col min="6" max="7" width="18.7265625" style="1" customWidth="1"/>
    <col min="8" max="8" width="0.81640625" style="1" customWidth="1"/>
    <col min="9" max="9" width="3.6328125" style="1" customWidth="1"/>
    <col min="10" max="16384" width="11.453125" style="1"/>
  </cols>
  <sheetData>
    <row r="1" spans="1:8" s="7" customFormat="1" ht="93" customHeight="1" x14ac:dyDescent="0.3">
      <c r="A1" s="82"/>
      <c r="B1" s="20" t="s">
        <v>49</v>
      </c>
      <c r="C1" s="20"/>
      <c r="D1" s="20"/>
      <c r="E1" s="20"/>
      <c r="F1" s="20"/>
      <c r="G1" s="20"/>
      <c r="H1" s="20"/>
    </row>
    <row r="2" spans="1:8" s="7" customFormat="1" ht="3.5" customHeight="1" x14ac:dyDescent="0.25">
      <c r="A2" s="82"/>
      <c r="B2" s="21"/>
      <c r="C2" s="21"/>
      <c r="D2" s="21"/>
      <c r="E2" s="21"/>
      <c r="F2" s="21"/>
      <c r="G2" s="21"/>
      <c r="H2" s="21"/>
    </row>
    <row r="3" spans="1:8" s="7" customFormat="1" ht="24" customHeight="1" x14ac:dyDescent="0.25">
      <c r="A3" s="82"/>
      <c r="B3" s="22" t="s">
        <v>46</v>
      </c>
      <c r="C3" s="22"/>
      <c r="D3" s="22"/>
      <c r="E3" s="23"/>
      <c r="F3" s="24" t="s">
        <v>47</v>
      </c>
      <c r="G3" s="24"/>
      <c r="H3" s="92"/>
    </row>
    <row r="4" spans="1:8" ht="5.15" customHeight="1" x14ac:dyDescent="0.25">
      <c r="A4" s="80"/>
      <c r="C4" s="5"/>
      <c r="D4" s="5"/>
      <c r="E4" s="5"/>
      <c r="F4" s="5"/>
      <c r="G4" s="5"/>
      <c r="H4" s="5"/>
    </row>
    <row r="5" spans="1:8" ht="26.25" customHeight="1" x14ac:dyDescent="0.25">
      <c r="A5" s="80"/>
      <c r="B5" s="25" t="s">
        <v>0</v>
      </c>
      <c r="C5" s="9"/>
      <c r="D5" s="9"/>
      <c r="E5" s="26" t="s">
        <v>1</v>
      </c>
      <c r="F5" s="9"/>
      <c r="G5" s="10"/>
      <c r="H5" s="69"/>
    </row>
    <row r="6" spans="1:8" ht="26.25" customHeight="1" x14ac:dyDescent="0.25">
      <c r="A6" s="80"/>
      <c r="B6" s="25" t="s">
        <v>2</v>
      </c>
      <c r="C6" s="9"/>
      <c r="D6" s="9"/>
      <c r="E6" s="26" t="s">
        <v>3</v>
      </c>
      <c r="F6" s="9"/>
      <c r="G6" s="10"/>
      <c r="H6" s="69"/>
    </row>
    <row r="7" spans="1:8" ht="26.25" customHeight="1" x14ac:dyDescent="0.25">
      <c r="A7" s="80"/>
      <c r="B7" s="27" t="s">
        <v>4</v>
      </c>
      <c r="C7" s="28"/>
      <c r="D7" s="9"/>
      <c r="E7" s="9"/>
      <c r="F7" s="9"/>
      <c r="G7" s="10"/>
      <c r="H7" s="69"/>
    </row>
    <row r="8" spans="1:8" ht="26.25" customHeight="1" x14ac:dyDescent="0.25">
      <c r="A8" s="80"/>
      <c r="B8" s="29" t="s">
        <v>5</v>
      </c>
      <c r="C8" s="30"/>
      <c r="D8" s="11"/>
      <c r="E8" s="11"/>
      <c r="F8" s="11"/>
      <c r="G8" s="12"/>
      <c r="H8" s="69"/>
    </row>
    <row r="9" spans="1:8" ht="21.5" customHeight="1" x14ac:dyDescent="0.25">
      <c r="A9" s="80"/>
      <c r="B9" s="13"/>
      <c r="C9" s="14"/>
      <c r="D9" s="15"/>
      <c r="E9" s="15"/>
      <c r="F9" s="15"/>
      <c r="G9" s="16"/>
      <c r="H9" s="69"/>
    </row>
    <row r="10" spans="1:8" ht="22.5" customHeight="1" x14ac:dyDescent="0.25">
      <c r="A10" s="80"/>
      <c r="B10" s="31" t="s">
        <v>6</v>
      </c>
      <c r="C10" s="32"/>
      <c r="D10" s="32"/>
      <c r="E10" s="32"/>
      <c r="F10" s="32"/>
      <c r="G10" s="33"/>
      <c r="H10" s="69"/>
    </row>
    <row r="11" spans="1:8" ht="42.75" customHeight="1" x14ac:dyDescent="0.25">
      <c r="A11" s="80"/>
      <c r="B11" s="34" t="s">
        <v>44</v>
      </c>
      <c r="C11" s="35"/>
      <c r="D11" s="35"/>
      <c r="E11" s="35"/>
      <c r="F11" s="35"/>
      <c r="G11" s="36"/>
      <c r="H11" s="69"/>
    </row>
    <row r="12" spans="1:8" ht="22.5" customHeight="1" x14ac:dyDescent="0.25">
      <c r="A12" s="80"/>
      <c r="B12" s="31" t="s">
        <v>7</v>
      </c>
      <c r="C12" s="32"/>
      <c r="D12" s="32"/>
      <c r="E12" s="33"/>
      <c r="F12" s="2" t="s">
        <v>8</v>
      </c>
      <c r="G12" s="2" t="s">
        <v>9</v>
      </c>
      <c r="H12" s="69"/>
    </row>
    <row r="13" spans="1:8" ht="22.5" customHeight="1" x14ac:dyDescent="0.25">
      <c r="A13" s="80"/>
      <c r="B13" s="37" t="s">
        <v>10</v>
      </c>
      <c r="C13" s="38" t="s">
        <v>11</v>
      </c>
      <c r="D13" s="38"/>
      <c r="E13" s="39"/>
      <c r="F13" s="3"/>
      <c r="G13" s="3"/>
      <c r="H13" s="69"/>
    </row>
    <row r="14" spans="1:8" ht="22.5" customHeight="1" x14ac:dyDescent="0.25">
      <c r="A14" s="80"/>
      <c r="B14" s="40" t="s">
        <v>12</v>
      </c>
      <c r="C14" s="38" t="s">
        <v>13</v>
      </c>
      <c r="D14" s="38"/>
      <c r="E14" s="39"/>
      <c r="F14" s="3"/>
      <c r="G14" s="3"/>
      <c r="H14" s="69"/>
    </row>
    <row r="15" spans="1:8" ht="22.5" customHeight="1" x14ac:dyDescent="0.25">
      <c r="A15" s="80"/>
      <c r="B15" s="40" t="s">
        <v>14</v>
      </c>
      <c r="C15" s="38" t="s">
        <v>15</v>
      </c>
      <c r="D15" s="38"/>
      <c r="E15" s="39"/>
      <c r="F15" s="3"/>
      <c r="G15" s="3"/>
      <c r="H15" s="69"/>
    </row>
    <row r="16" spans="1:8" ht="22.5" customHeight="1" x14ac:dyDescent="0.25">
      <c r="A16" s="80"/>
      <c r="B16" s="40" t="s">
        <v>16</v>
      </c>
      <c r="C16" s="38" t="s">
        <v>17</v>
      </c>
      <c r="D16" s="38"/>
      <c r="E16" s="39"/>
      <c r="F16" s="3"/>
      <c r="G16" s="3"/>
      <c r="H16" s="69"/>
    </row>
    <row r="17" spans="1:8" ht="22.5" customHeight="1" x14ac:dyDescent="0.25">
      <c r="A17" s="80"/>
      <c r="B17" s="40" t="s">
        <v>18</v>
      </c>
      <c r="C17" s="38" t="s">
        <v>19</v>
      </c>
      <c r="D17" s="38"/>
      <c r="E17" s="39"/>
      <c r="F17" s="3"/>
      <c r="G17" s="4"/>
      <c r="H17" s="69"/>
    </row>
    <row r="18" spans="1:8" ht="22.5" customHeight="1" x14ac:dyDescent="0.25">
      <c r="A18" s="80"/>
      <c r="B18" s="41" t="s">
        <v>20</v>
      </c>
      <c r="C18" s="42"/>
      <c r="D18" s="42"/>
      <c r="E18" s="42"/>
      <c r="F18" s="42"/>
      <c r="G18" s="43"/>
      <c r="H18" s="69"/>
    </row>
    <row r="19" spans="1:8" ht="22.5" customHeight="1" x14ac:dyDescent="0.25">
      <c r="A19" s="80"/>
      <c r="B19" s="44" t="s">
        <v>21</v>
      </c>
      <c r="C19" s="45"/>
      <c r="D19" s="45"/>
      <c r="E19" s="45"/>
      <c r="F19" s="45"/>
      <c r="G19" s="46"/>
      <c r="H19" s="69"/>
    </row>
    <row r="20" spans="1:8" ht="22.5" customHeight="1" x14ac:dyDescent="0.25">
      <c r="A20" s="80"/>
      <c r="B20" s="47" t="s">
        <v>22</v>
      </c>
      <c r="C20" s="48"/>
      <c r="D20" s="48"/>
      <c r="E20" s="49"/>
      <c r="F20" s="50" t="s">
        <v>23</v>
      </c>
      <c r="G20" s="51" t="str">
        <f>IF(F13="","",IF(F14="","",IF(F15="","",IF(F16="","",(F14-F13)/((F14-F13)+(F16-F15))))))</f>
        <v/>
      </c>
      <c r="H20" s="69"/>
    </row>
    <row r="21" spans="1:8" ht="22.5" customHeight="1" x14ac:dyDescent="0.25">
      <c r="A21" s="80"/>
      <c r="B21" s="52" t="s">
        <v>24</v>
      </c>
      <c r="C21" s="53"/>
      <c r="D21" s="54" t="s">
        <v>25</v>
      </c>
      <c r="E21" s="55"/>
      <c r="F21" s="56" t="s">
        <v>26</v>
      </c>
      <c r="G21" s="57" t="str">
        <f>IF(G13="","",IF(G14="","",IF(G15="","",IF(G16="","",(G14-G13)/((G14-G13)+(G16-G15))))))</f>
        <v/>
      </c>
      <c r="H21" s="69"/>
    </row>
    <row r="22" spans="1:8" ht="22.5" customHeight="1" x14ac:dyDescent="0.25">
      <c r="A22" s="80"/>
      <c r="B22" s="58"/>
      <c r="C22" s="59"/>
      <c r="D22" s="60" t="s">
        <v>27</v>
      </c>
      <c r="E22" s="61"/>
      <c r="F22" s="62" t="s">
        <v>28</v>
      </c>
      <c r="G22" s="63" t="str">
        <f>IF(SUM(G20:G21)=0,"",AVERAGE(G20:G21))</f>
        <v/>
      </c>
      <c r="H22" s="69"/>
    </row>
    <row r="23" spans="1:8" ht="22.5" customHeight="1" x14ac:dyDescent="0.25">
      <c r="A23" s="80"/>
      <c r="B23" s="47" t="s">
        <v>29</v>
      </c>
      <c r="C23" s="48"/>
      <c r="D23" s="48"/>
      <c r="E23" s="49"/>
      <c r="F23" s="50" t="s">
        <v>23</v>
      </c>
      <c r="G23" s="51" t="str">
        <f>IF(F13="","",IF(F14="","",IF(F15="","",IF(F16="","",IF(F17="","",(F14-F13)/((F17-F13)+(F16-F15)))))))</f>
        <v/>
      </c>
      <c r="H23" s="69"/>
    </row>
    <row r="24" spans="1:8" ht="22.5" customHeight="1" x14ac:dyDescent="0.25">
      <c r="A24" s="80"/>
      <c r="B24" s="52" t="s">
        <v>30</v>
      </c>
      <c r="C24" s="53"/>
      <c r="D24" s="54" t="s">
        <v>25</v>
      </c>
      <c r="E24" s="55"/>
      <c r="F24" s="56" t="s">
        <v>26</v>
      </c>
      <c r="G24" s="57" t="str">
        <f>IF(G13="","",IF(G14="","",IF(G15="","",IF(G16="","",IF(G17="","",(G14-G13)/((G17-G13)+(G16-G15)))))))</f>
        <v/>
      </c>
      <c r="H24" s="69"/>
    </row>
    <row r="25" spans="1:8" ht="22.5" customHeight="1" x14ac:dyDescent="0.25">
      <c r="A25" s="80"/>
      <c r="B25" s="58"/>
      <c r="C25" s="59"/>
      <c r="D25" s="60" t="s">
        <v>31</v>
      </c>
      <c r="E25" s="61"/>
      <c r="F25" s="62" t="s">
        <v>28</v>
      </c>
      <c r="G25" s="63" t="str">
        <f>IF(SUM(G23:G24)=0,"",AVERAGE(G23:G24))</f>
        <v/>
      </c>
      <c r="H25" s="69"/>
    </row>
    <row r="26" spans="1:8" ht="22.5" customHeight="1" x14ac:dyDescent="0.25">
      <c r="A26" s="80"/>
      <c r="B26" s="64" t="s">
        <v>32</v>
      </c>
      <c r="C26" s="65"/>
      <c r="D26" s="65"/>
      <c r="E26" s="65"/>
      <c r="F26" s="65"/>
      <c r="G26" s="66"/>
      <c r="H26" s="69"/>
    </row>
    <row r="27" spans="1:8" ht="22.5" customHeight="1" x14ac:dyDescent="0.25">
      <c r="A27" s="80"/>
      <c r="B27" s="47" t="s">
        <v>33</v>
      </c>
      <c r="C27" s="48"/>
      <c r="D27" s="48"/>
      <c r="E27" s="49"/>
      <c r="F27" s="50" t="s">
        <v>23</v>
      </c>
      <c r="G27" s="51" t="str">
        <f>IF(G20="","",0.9971*G20)</f>
        <v/>
      </c>
      <c r="H27" s="69"/>
    </row>
    <row r="28" spans="1:8" ht="22.5" customHeight="1" x14ac:dyDescent="0.25">
      <c r="A28" s="80"/>
      <c r="B28" s="52" t="s">
        <v>34</v>
      </c>
      <c r="C28" s="53"/>
      <c r="D28" s="67" t="s">
        <v>35</v>
      </c>
      <c r="E28" s="55"/>
      <c r="F28" s="56" t="s">
        <v>26</v>
      </c>
      <c r="G28" s="57" t="str">
        <f>IF(G21="","",0.9971*G21)</f>
        <v/>
      </c>
      <c r="H28" s="69"/>
    </row>
    <row r="29" spans="1:8" ht="22.5" customHeight="1" x14ac:dyDescent="0.25">
      <c r="A29" s="80"/>
      <c r="B29" s="58"/>
      <c r="C29" s="59"/>
      <c r="D29" s="68"/>
      <c r="E29" s="61"/>
      <c r="F29" s="62" t="s">
        <v>28</v>
      </c>
      <c r="G29" s="63" t="str">
        <f>IF(SUM(G27:G28)=0,"",AVERAGE(G27:G28))</f>
        <v/>
      </c>
      <c r="H29" s="69"/>
    </row>
    <row r="30" spans="1:8" ht="22.5" customHeight="1" x14ac:dyDescent="0.25">
      <c r="A30" s="80"/>
      <c r="B30" s="47" t="s">
        <v>36</v>
      </c>
      <c r="C30" s="48"/>
      <c r="D30" s="48"/>
      <c r="E30" s="49"/>
      <c r="F30" s="50" t="s">
        <v>23</v>
      </c>
      <c r="G30" s="51" t="str">
        <f>IF(G23="","",0.9971*G23)</f>
        <v/>
      </c>
      <c r="H30" s="69"/>
    </row>
    <row r="31" spans="1:8" ht="22.5" customHeight="1" x14ac:dyDescent="0.25">
      <c r="A31" s="80"/>
      <c r="B31" s="52" t="s">
        <v>37</v>
      </c>
      <c r="C31" s="53"/>
      <c r="D31" s="67" t="s">
        <v>38</v>
      </c>
      <c r="E31" s="55"/>
      <c r="F31" s="56" t="s">
        <v>26</v>
      </c>
      <c r="G31" s="57" t="str">
        <f>IF(G24="","",0.9971*G24)</f>
        <v/>
      </c>
      <c r="H31" s="69"/>
    </row>
    <row r="32" spans="1:8" ht="22.5" customHeight="1" x14ac:dyDescent="0.25">
      <c r="A32" s="80"/>
      <c r="B32" s="58"/>
      <c r="C32" s="59"/>
      <c r="D32" s="68"/>
      <c r="E32" s="61"/>
      <c r="F32" s="62" t="s">
        <v>28</v>
      </c>
      <c r="G32" s="63" t="str">
        <f>IF(SUM(G30:G31)=0,"",AVERAGE(G30:G31))</f>
        <v/>
      </c>
      <c r="H32" s="69"/>
    </row>
    <row r="33" spans="1:22" ht="22.5" customHeight="1" x14ac:dyDescent="0.25">
      <c r="A33" s="80"/>
      <c r="B33" s="64" t="s">
        <v>39</v>
      </c>
      <c r="C33" s="65"/>
      <c r="D33" s="65"/>
      <c r="E33" s="65"/>
      <c r="F33" s="65"/>
      <c r="G33" s="66"/>
      <c r="H33" s="69"/>
    </row>
    <row r="34" spans="1:22" ht="22.5" customHeight="1" x14ac:dyDescent="0.25">
      <c r="A34" s="80"/>
      <c r="B34" s="70"/>
      <c r="C34" s="71"/>
      <c r="D34" s="72"/>
      <c r="E34" s="72"/>
      <c r="F34" s="50" t="s">
        <v>23</v>
      </c>
      <c r="G34" s="73" t="str">
        <f>IF(F13="","",IF(F14="","",IF(F17="","",100*((F17-F13)-(F14-F13))/(F14-F13))))</f>
        <v/>
      </c>
      <c r="H34" s="69"/>
    </row>
    <row r="35" spans="1:22" ht="22.5" customHeight="1" x14ac:dyDescent="0.25">
      <c r="A35" s="80"/>
      <c r="B35" s="52" t="s">
        <v>40</v>
      </c>
      <c r="C35" s="53"/>
      <c r="D35" s="54" t="s">
        <v>41</v>
      </c>
      <c r="E35" s="74" t="s">
        <v>42</v>
      </c>
      <c r="F35" s="56" t="s">
        <v>26</v>
      </c>
      <c r="G35" s="75" t="str">
        <f>IF(G13="","",IF(G14="","",IF(G17="","",100*((G17-G13)-(G14-G13))/(G14-G13))))</f>
        <v/>
      </c>
      <c r="H35" s="69"/>
    </row>
    <row r="36" spans="1:22" ht="22.5" customHeight="1" x14ac:dyDescent="0.25">
      <c r="A36" s="80"/>
      <c r="B36" s="58"/>
      <c r="C36" s="59"/>
      <c r="D36" s="76" t="s">
        <v>43</v>
      </c>
      <c r="E36" s="59"/>
      <c r="F36" s="62" t="s">
        <v>28</v>
      </c>
      <c r="G36" s="77" t="str">
        <f>IF(SUM(G34:G35)=0,"",AVERAGE(G34:G35))</f>
        <v/>
      </c>
      <c r="H36"/>
    </row>
    <row r="37" spans="1:22" s="7" customFormat="1" ht="20" customHeight="1" x14ac:dyDescent="0.25">
      <c r="B37" s="17" t="s">
        <v>50</v>
      </c>
      <c r="C37" s="18"/>
      <c r="D37" s="18"/>
      <c r="E37" s="18"/>
      <c r="F37" s="18"/>
      <c r="G37" s="19"/>
      <c r="H37"/>
    </row>
    <row r="38" spans="1:22" s="7" customFormat="1" ht="20" customHeight="1" x14ac:dyDescent="0.25">
      <c r="B38" s="83"/>
      <c r="C38" s="84"/>
      <c r="D38" s="84"/>
      <c r="E38" s="85"/>
      <c r="F38" s="85"/>
      <c r="G38" s="90"/>
      <c r="H38"/>
    </row>
    <row r="39" spans="1:22" s="7" customFormat="1" ht="20" customHeight="1" x14ac:dyDescent="0.25">
      <c r="B39" s="87" t="s">
        <v>51</v>
      </c>
      <c r="C39" s="88"/>
      <c r="D39" s="89"/>
      <c r="E39" s="86" t="s">
        <v>52</v>
      </c>
      <c r="F39" s="89"/>
      <c r="G39" s="91"/>
      <c r="H39"/>
    </row>
    <row r="40" spans="1:22" ht="18" customHeight="1" x14ac:dyDescent="0.25">
      <c r="A40" s="80"/>
      <c r="B40" s="69"/>
      <c r="C40" s="69"/>
      <c r="D40" s="69"/>
      <c r="E40" s="69"/>
      <c r="F40" s="69"/>
      <c r="G40" s="69"/>
      <c r="H40"/>
    </row>
    <row r="41" spans="1:22" s="8" customFormat="1" ht="27" customHeight="1" x14ac:dyDescent="0.25">
      <c r="A41" s="81"/>
      <c r="B41" s="78" t="s">
        <v>45</v>
      </c>
      <c r="C41" s="78"/>
      <c r="D41" s="79" t="s">
        <v>48</v>
      </c>
      <c r="E41" s="79"/>
      <c r="F41" s="79"/>
      <c r="G41" s="79"/>
      <c r="H41" s="79"/>
      <c r="I41" s="6"/>
      <c r="Q41" s="7"/>
      <c r="R41" s="7"/>
      <c r="S41" s="7"/>
      <c r="T41" s="7"/>
      <c r="U41" s="7"/>
      <c r="V41" s="7"/>
    </row>
    <row r="42" spans="1:22" ht="17" customHeight="1" x14ac:dyDescent="0.25">
      <c r="A42" s="69"/>
      <c r="B42" s="69"/>
      <c r="C42" s="69"/>
      <c r="D42" s="69"/>
      <c r="E42" s="69"/>
      <c r="F42" s="69"/>
      <c r="G42" s="69"/>
      <c r="H42" s="69"/>
    </row>
    <row r="43" spans="1:22" ht="24.75" customHeight="1" x14ac:dyDescent="0.25"/>
    <row r="44" spans="1:22" ht="22.5" customHeight="1" x14ac:dyDescent="0.25"/>
  </sheetData>
  <sheetProtection algorithmName="SHA-512" hashValue="ZKK+k98ZFu65kG+ctnnVxZjNnSoPO6z1/TbLlodLKrZqi8v7DaGt1Kehr3j8zajijtXHTboLETtu/doES2WP9g==" saltValue="eXl63c243rh0HVvJOCEFGg==" spinCount="100000" sheet="1" objects="1" scenarios="1"/>
  <protectedRanges>
    <protectedRange sqref="C5:D6 F5:G6 D7:G9 F13:G17" name="Intervalo1"/>
  </protectedRanges>
  <mergeCells count="39">
    <mergeCell ref="B38:D38"/>
    <mergeCell ref="B39:C39"/>
    <mergeCell ref="B37:G37"/>
    <mergeCell ref="B35:C35"/>
    <mergeCell ref="C13:E13"/>
    <mergeCell ref="C14:E14"/>
    <mergeCell ref="C15:E15"/>
    <mergeCell ref="C16:E16"/>
    <mergeCell ref="B33:G33"/>
    <mergeCell ref="B18:G18"/>
    <mergeCell ref="B19:G19"/>
    <mergeCell ref="B20:E20"/>
    <mergeCell ref="B21:C21"/>
    <mergeCell ref="B23:E23"/>
    <mergeCell ref="B24:C24"/>
    <mergeCell ref="B26:G26"/>
    <mergeCell ref="B30:E30"/>
    <mergeCell ref="B31:C31"/>
    <mergeCell ref="B9:C9"/>
    <mergeCell ref="D9:G9"/>
    <mergeCell ref="B10:G10"/>
    <mergeCell ref="B11:G11"/>
    <mergeCell ref="B12:E12"/>
    <mergeCell ref="B1:H1"/>
    <mergeCell ref="B41:C41"/>
    <mergeCell ref="D41:H41"/>
    <mergeCell ref="B3:D3"/>
    <mergeCell ref="F3:G3"/>
    <mergeCell ref="B7:C7"/>
    <mergeCell ref="D7:G7"/>
    <mergeCell ref="C5:D5"/>
    <mergeCell ref="F5:G5"/>
    <mergeCell ref="C6:D6"/>
    <mergeCell ref="F6:G6"/>
    <mergeCell ref="C17:E17"/>
    <mergeCell ref="B8:C8"/>
    <mergeCell ref="D8:G8"/>
    <mergeCell ref="B27:E27"/>
    <mergeCell ref="B28:C28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FR-LAB-31_REV.03</vt:lpstr>
      <vt:lpstr>'FR-LAB-31_REV.03'!Area_de_impressao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Melyssa Luiza Silva Afonso</cp:lastModifiedBy>
  <cp:lastPrinted>2026-07-16T19:16:41Z</cp:lastPrinted>
  <dcterms:created xsi:type="dcterms:W3CDTF">2021-11-09T17:43:21Z</dcterms:created>
  <dcterms:modified xsi:type="dcterms:W3CDTF">2026-07-16T19:17:51Z</dcterms:modified>
</cp:coreProperties>
</file>