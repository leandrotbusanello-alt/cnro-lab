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onitoração\_ÁREA COMUM\04 Estudos\11 Laboratório de Pavimento Asfaltico\LABORATÓRIO 2026\10.0 LANÇAMENTOS A SEREM REVISADOS\094 - 2026.03.06.02.094 - FALTA REVISAR\"/>
    </mc:Choice>
  </mc:AlternateContent>
  <xr:revisionPtr revIDLastSave="0" documentId="13_ncr:1_{EDA60FB8-8002-4FD5-8568-E53EACA05EC4}" xr6:coauthVersionLast="47" xr6:coauthVersionMax="47" xr10:uidLastSave="{00000000-0000-0000-0000-000000000000}"/>
  <bookViews>
    <workbookView xWindow="-120" yWindow="-120" windowWidth="29040" windowHeight="15840" xr2:uid="{CB44EF82-7851-40EB-9478-FE9C0EAA6069}"/>
  </bookViews>
  <sheets>
    <sheet name="FR-IMOB-13_Rev0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'FR-IMOB-13_Rev00'!$A$1:$W$62</definedName>
    <definedName name="arei">#REF!</definedName>
    <definedName name="BI">[3]Teor!$A$3:$G$7</definedName>
    <definedName name="bica">#REF!</definedName>
    <definedName name="btt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>#REF!</definedName>
    <definedName name="IP">[7]resumo!#REF!</definedName>
    <definedName name="kp">#REF!</definedName>
    <definedName name="lab">#REF!</definedName>
    <definedName name="LL">[7]resumo!#REF!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>[7]resumo!#REF!</definedName>
    <definedName name="paraf">#REF!</definedName>
    <definedName name="parcial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>#REF!</definedName>
    <definedName name="ptt">#REF!</definedName>
    <definedName name="quatro">#REF!</definedName>
    <definedName name="RBV">[8]Teor!$D$11:$D$15</definedName>
    <definedName name="rodinei">[10]DOSAGEM!$D$11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>#REF!</definedName>
    <definedName name="Z_136B3143_28E4_4C45_A9BE_4FA02ED69EBB_.wvu.PrintArea" localSheetId="0" hidden="1">'FR-IMOB-13_Rev00'!$B$7:$U$61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2" i="1" l="1"/>
  <c r="H22" i="1"/>
  <c r="J22" i="1"/>
  <c r="L22" i="1"/>
  <c r="N22" i="1"/>
  <c r="D22" i="1"/>
  <c r="P35" i="1"/>
  <c r="P36" i="1"/>
  <c r="P37" i="1"/>
  <c r="P43" i="1"/>
  <c r="P44" i="1"/>
  <c r="P47" i="1"/>
  <c r="P29" i="1"/>
  <c r="P30" i="1"/>
  <c r="P31" i="1"/>
  <c r="P33" i="1"/>
  <c r="P19" i="1"/>
  <c r="P20" i="1"/>
  <c r="P21" i="1"/>
  <c r="P23" i="1"/>
  <c r="P24" i="1"/>
  <c r="P25" i="1"/>
  <c r="P26" i="1"/>
  <c r="P18" i="1"/>
  <c r="P22" i="1" l="1"/>
  <c r="N28" i="1"/>
  <c r="L28" i="1"/>
  <c r="F28" i="1" l="1"/>
  <c r="H28" i="1"/>
  <c r="D27" i="1"/>
  <c r="F27" i="1"/>
  <c r="H27" i="1"/>
  <c r="J27" i="1"/>
  <c r="L27" i="1"/>
  <c r="N27" i="1"/>
  <c r="D32" i="1"/>
  <c r="F32" i="1"/>
  <c r="F40" i="1" s="1"/>
  <c r="H32" i="1"/>
  <c r="H40" i="1" s="1"/>
  <c r="J32" i="1"/>
  <c r="J40" i="1" s="1"/>
  <c r="L32" i="1"/>
  <c r="L40" i="1" s="1"/>
  <c r="N32" i="1"/>
  <c r="N40" i="1" s="1"/>
  <c r="D34" i="1"/>
  <c r="F34" i="1"/>
  <c r="H34" i="1"/>
  <c r="J34" i="1"/>
  <c r="L34" i="1"/>
  <c r="N34" i="1"/>
  <c r="D38" i="1"/>
  <c r="F38" i="1"/>
  <c r="H38" i="1"/>
  <c r="J38" i="1"/>
  <c r="L38" i="1"/>
  <c r="N38" i="1"/>
  <c r="N39" i="1"/>
  <c r="N41" i="1" s="1"/>
  <c r="D45" i="1"/>
  <c r="F45" i="1"/>
  <c r="F46" i="1" s="1"/>
  <c r="H45" i="1"/>
  <c r="J45" i="1"/>
  <c r="L45" i="1"/>
  <c r="L46" i="1" s="1"/>
  <c r="N45" i="1"/>
  <c r="D46" i="1"/>
  <c r="N46" i="1"/>
  <c r="F48" i="1"/>
  <c r="F49" i="1" s="1"/>
  <c r="H48" i="1"/>
  <c r="H49" i="1" s="1"/>
  <c r="J48" i="1"/>
  <c r="J49" i="1" s="1"/>
  <c r="L48" i="1"/>
  <c r="L49" i="1" s="1"/>
  <c r="N48" i="1"/>
  <c r="N49" i="1" s="1"/>
  <c r="F39" i="1" l="1"/>
  <c r="F41" i="1" s="1"/>
  <c r="F42" i="1" s="1"/>
  <c r="H46" i="1"/>
  <c r="P45" i="1"/>
  <c r="P38" i="1"/>
  <c r="D40" i="1"/>
  <c r="P40" i="1" s="1"/>
  <c r="P32" i="1"/>
  <c r="P27" i="1"/>
  <c r="J39" i="1"/>
  <c r="J41" i="1" s="1"/>
  <c r="J42" i="1" s="1"/>
  <c r="L39" i="1"/>
  <c r="L41" i="1" s="1"/>
  <c r="N42" i="1"/>
  <c r="L42" i="1"/>
  <c r="P34" i="1"/>
  <c r="J28" i="1"/>
  <c r="H39" i="1"/>
  <c r="H41" i="1" s="1"/>
  <c r="H42" i="1" s="1"/>
  <c r="D39" i="1"/>
  <c r="D28" i="1"/>
  <c r="P39" i="1" l="1"/>
  <c r="P28" i="1"/>
  <c r="J46" i="1"/>
  <c r="P46" i="1" s="1"/>
  <c r="D41" i="1"/>
  <c r="P41" i="1" s="1"/>
  <c r="D48" i="1"/>
  <c r="D49" i="1" l="1"/>
  <c r="P49" i="1" s="1"/>
  <c r="P48" i="1"/>
  <c r="D42" i="1"/>
  <c r="P42" i="1" s="1"/>
</calcChain>
</file>

<file path=xl/sharedStrings.xml><?xml version="1.0" encoding="utf-8"?>
<sst xmlns="http://schemas.openxmlformats.org/spreadsheetml/2006/main" count="96" uniqueCount="80">
  <si>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</si>
  <si>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</si>
  <si>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</si>
  <si>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</si>
  <si>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</si>
  <si>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</si>
  <si>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</si>
  <si>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Procedimentos do ensaio</t>
  </si>
  <si>
    <t>ELABORAÇÃO/REVISÃO</t>
  </si>
  <si>
    <t xml:space="preserve">ANÁLISE CRÍTICA </t>
  </si>
  <si>
    <t>APROVAÇÃO</t>
  </si>
  <si>
    <t>Parâmetros</t>
  </si>
  <si>
    <t>Média</t>
  </si>
  <si>
    <t>Nº CP</t>
  </si>
  <si>
    <t>Fator de correção</t>
  </si>
  <si>
    <t>Massa do CP seco ao ar (g)</t>
  </si>
  <si>
    <t>Massa do CP imerso (g)</t>
  </si>
  <si>
    <t>Peso do CP s.s.s. (g)</t>
  </si>
  <si>
    <r>
      <t xml:space="preserve">Densidade aparente - G </t>
    </r>
    <r>
      <rPr>
        <vertAlign val="subscript"/>
        <sz val="10"/>
        <rFont val="Tahoma"/>
        <family val="2"/>
      </rPr>
      <t>mb</t>
    </r>
    <r>
      <rPr>
        <sz val="10"/>
        <rFont val="Tahoma"/>
        <family val="2"/>
      </rPr>
      <t xml:space="preserve"> (g/cm³)</t>
    </r>
  </si>
  <si>
    <r>
      <t xml:space="preserve">Densidade máxima medida - G </t>
    </r>
    <r>
      <rPr>
        <vertAlign val="subscript"/>
        <sz val="10"/>
        <rFont val="Tahoma"/>
        <family val="2"/>
      </rPr>
      <t>mm</t>
    </r>
    <r>
      <rPr>
        <sz val="10"/>
        <rFont val="Tahoma"/>
        <family val="2"/>
      </rPr>
      <t xml:space="preserve"> (g/cm³)</t>
    </r>
  </si>
  <si>
    <t>Água absorvida pelo CP</t>
  </si>
  <si>
    <t>Teor de CAP</t>
  </si>
  <si>
    <t>Densidade do CAP</t>
  </si>
  <si>
    <t>Filer (material passante #200) (%)</t>
  </si>
  <si>
    <t>Relação Filer / Betume</t>
  </si>
  <si>
    <t>Vazios (%)</t>
  </si>
  <si>
    <t>VCB (%)</t>
  </si>
  <si>
    <t>VAM (%)</t>
  </si>
  <si>
    <t>RBV (%)</t>
  </si>
  <si>
    <t>Deslocamento - Fluencia (mm)</t>
  </si>
  <si>
    <t>Estabilidade - Leitura prensa (kgf)</t>
  </si>
  <si>
    <t>Estabilidade encontrada (kgf)</t>
  </si>
  <si>
    <t>Etabilidade corrigida (kgf)</t>
  </si>
  <si>
    <t>Tração Diametral - Leitura prensa (kgf)</t>
  </si>
  <si>
    <t>Tração Diametral - Leitura corrigida (kgf)</t>
  </si>
  <si>
    <t>Tração Diametral (MPa)</t>
  </si>
  <si>
    <t>Fator de correção da prensa</t>
  </si>
  <si>
    <t>Ensaios especiais</t>
  </si>
  <si>
    <t>Assinaturas</t>
  </si>
  <si>
    <t>Módulo de resiliência</t>
  </si>
  <si>
    <t>Vida a Fadiga</t>
  </si>
  <si>
    <t>Deformação Permanente</t>
  </si>
  <si>
    <t>Sim</t>
  </si>
  <si>
    <t>Não</t>
  </si>
  <si>
    <t>Conforme ultima calibração: y = 0,9905x + 4,7547</t>
  </si>
  <si>
    <t>I</t>
  </si>
  <si>
    <t>II</t>
  </si>
  <si>
    <t>III</t>
  </si>
  <si>
    <t>IV</t>
  </si>
  <si>
    <t>≤ 2%</t>
  </si>
  <si>
    <t>a</t>
  </si>
  <si>
    <t>mín.</t>
  </si>
  <si>
    <t>Espessura (mm)</t>
  </si>
  <si>
    <t>Diametro (mm)</t>
  </si>
  <si>
    <t>Tharlla Brito</t>
  </si>
  <si>
    <t>_________________________________
 Responsável executor:</t>
  </si>
  <si>
    <t xml:space="preserve"> ___________________________________
Responsável calculista:</t>
  </si>
  <si>
    <t>DNIT 178 - PRO - Pavimentação asfáltica - Preparação de corpos de prova para ensaios mecânicos usando o compactador giratório Superpave ou o Marshall.</t>
  </si>
  <si>
    <t>DNIT 428 - ME - Pavimentação – Misturas asfálticas – Determinação da densidade relativa aparente e da massa específica aparente de corpos de prova compactados.</t>
  </si>
  <si>
    <t>ABNT NBR 15573 - Misturas Asfálticas —  Determinação da densidade aparente e da massa especifica aparente de corpos de prova compactados.</t>
  </si>
  <si>
    <t>ABNT NBR 15087 - Misturas asfálticas — Determinação da resistência à tração por compressão diametral.</t>
  </si>
  <si>
    <t>Thyago Ferreira</t>
  </si>
  <si>
    <t>Leandro Silva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</si>
  <si>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CONCRETO ASFÁLTICO - ENSAIO MARSHALL - VV &lt; 10% E ABS ≤ 2%</t>
    </r>
  </si>
  <si>
    <t xml:space="preserve">Elaborado por: </t>
  </si>
  <si>
    <t xml:space="preserve">Revisado por: </t>
  </si>
  <si>
    <t>Aprovado por:</t>
  </si>
  <si>
    <r>
      <rPr>
        <sz val="12"/>
        <rFont val="Tahoma"/>
        <family val="2"/>
      </rPr>
      <t xml:space="preserve">Codificação: </t>
    </r>
    <r>
      <rPr>
        <b/>
        <sz val="12"/>
        <rFont val="Tahoma"/>
        <family val="2"/>
      </rPr>
      <t>FR-IMOB-13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</si>
  <si>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</si>
  <si>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</si>
  <si>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</si>
  <si>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t>Samara Rodrigues</t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</si>
  <si>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</si>
  <si>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</si>
  <si>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</si>
  <si>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</si>
  <si>
    <t>C.A.U.Q. FX-III DER-SP</t>
  </si>
  <si>
    <t>CONSÓRCIO BR-163 (108) - VÁRZEA GRANDE A JANGADA</t>
  </si>
  <si>
    <t>094/2026</t>
  </si>
  <si>
    <t>2026.03.06.02.094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</si>
</sst>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9" x14ac:knownFonts="1">
    <font>
      <sz val="10"/>
      <name val="Arial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i/>
      <sz val="10"/>
      <color theme="1"/>
      <name val="Tahoma"/>
      <family val="2"/>
    </font>
    <font>
      <b/>
      <sz val="10"/>
      <color theme="0"/>
      <name val="Tahoma"/>
      <family val="2"/>
    </font>
    <font>
      <vertAlign val="subscript"/>
      <sz val="10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rgb="FF0000FF"/>
      <name val="Tahoma"/>
      <family val="2"/>
    </font>
    <font>
      <sz val="10"/>
      <color rgb="FF3333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17">
    <xf numFmtId="0" fontId="0" fillId="0" borderId="0" xfId="0"/>
    <xf numFmtId="0" fontId="3" fillId="0" borderId="0" xfId="0" applyFont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6" fillId="0" borderId="5" xfId="1" applyFont="1" applyBorder="1" applyAlignment="1">
      <alignment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1" fontId="3" fillId="0" borderId="5" xfId="2" applyNumberFormat="1" applyFont="1" applyBorder="1" applyAlignment="1" applyProtection="1">
      <alignment vertical="center"/>
      <protection locked="0"/>
    </xf>
    <xf numFmtId="1" fontId="3" fillId="0" borderId="6" xfId="2" applyNumberFormat="1" applyFont="1" applyBorder="1" applyAlignment="1" applyProtection="1">
      <alignment vertical="center"/>
      <protection locked="0"/>
    </xf>
    <xf numFmtId="0" fontId="5" fillId="0" borderId="5" xfId="0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7" fillId="0" borderId="8" xfId="1" applyFont="1" applyBorder="1" applyAlignment="1">
      <alignment horizontal="center" wrapText="1"/>
    </xf>
    <xf numFmtId="0" fontId="7" fillId="0" borderId="9" xfId="1" applyFont="1" applyBorder="1" applyAlignment="1">
      <alignment horizontal="center" wrapText="1"/>
    </xf>
    <xf numFmtId="0" fontId="7" fillId="0" borderId="7" xfId="1" applyFont="1" applyBorder="1" applyAlignment="1">
      <alignment horizontal="center" wrapText="1"/>
    </xf>
    <xf numFmtId="0" fontId="9" fillId="0" borderId="2" xfId="0" applyFont="1" applyBorder="1" applyAlignment="1">
      <alignment vertical="center" wrapText="1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" fontId="5" fillId="4" borderId="4" xfId="1" applyNumberFormat="1" applyFont="1" applyFill="1" applyBorder="1" applyAlignment="1">
      <alignment horizontal="center" vertical="center"/>
    </xf>
    <xf numFmtId="1" fontId="5" fillId="4" borderId="5" xfId="1" applyNumberFormat="1" applyFont="1" applyFill="1" applyBorder="1" applyAlignment="1">
      <alignment horizontal="center" vertical="center"/>
    </xf>
    <xf numFmtId="1" fontId="5" fillId="4" borderId="6" xfId="1" applyNumberFormat="1" applyFont="1" applyFill="1" applyBorder="1" applyAlignment="1">
      <alignment horizontal="center" vertical="center"/>
    </xf>
    <xf numFmtId="2" fontId="5" fillId="4" borderId="4" xfId="1" applyNumberFormat="1" applyFont="1" applyFill="1" applyBorder="1" applyAlignment="1">
      <alignment horizontal="center" vertical="center"/>
    </xf>
    <xf numFmtId="2" fontId="5" fillId="4" borderId="5" xfId="1" applyNumberFormat="1" applyFont="1" applyFill="1" applyBorder="1" applyAlignment="1">
      <alignment horizontal="center" vertical="center"/>
    </xf>
    <xf numFmtId="2" fontId="5" fillId="4" borderId="6" xfId="1" applyNumberFormat="1" applyFont="1" applyFill="1" applyBorder="1" applyAlignment="1">
      <alignment horizontal="center" vertical="center"/>
    </xf>
    <xf numFmtId="2" fontId="5" fillId="0" borderId="4" xfId="1" applyNumberFormat="1" applyFont="1" applyBorder="1" applyAlignment="1">
      <alignment horizontal="center" vertical="center"/>
    </xf>
    <xf numFmtId="2" fontId="5" fillId="0" borderId="5" xfId="1" applyNumberFormat="1" applyFont="1" applyBorder="1" applyAlignment="1">
      <alignment horizontal="center" vertical="center"/>
    </xf>
    <xf numFmtId="2" fontId="5" fillId="0" borderId="6" xfId="1" applyNumberFormat="1" applyFont="1" applyBorder="1" applyAlignment="1">
      <alignment horizontal="center" vertical="center"/>
    </xf>
    <xf numFmtId="2" fontId="6" fillId="4" borderId="4" xfId="1" applyNumberFormat="1" applyFont="1" applyFill="1" applyBorder="1" applyAlignment="1">
      <alignment horizontal="center" vertical="center"/>
    </xf>
    <xf numFmtId="2" fontId="6" fillId="4" borderId="6" xfId="1" applyNumberFormat="1" applyFont="1" applyFill="1" applyBorder="1" applyAlignment="1">
      <alignment horizontal="center" vertical="center"/>
    </xf>
    <xf numFmtId="2" fontId="18" fillId="0" borderId="4" xfId="1" applyNumberFormat="1" applyFont="1" applyBorder="1" applyAlignment="1">
      <alignment horizontal="center" vertical="center"/>
    </xf>
    <xf numFmtId="2" fontId="18" fillId="0" borderId="6" xfId="1" applyNumberFormat="1" applyFont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2" fontId="3" fillId="0" borderId="4" xfId="1" applyNumberFormat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0" fontId="18" fillId="4" borderId="4" xfId="1" applyFont="1" applyFill="1" applyBorder="1" applyAlignment="1">
      <alignment horizontal="center" vertical="center"/>
    </xf>
    <xf numFmtId="0" fontId="18" fillId="4" borderId="6" xfId="1" applyFont="1" applyFill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2" fontId="6" fillId="0" borderId="6" xfId="1" applyNumberFormat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65" fontId="6" fillId="0" borderId="4" xfId="1" applyNumberFormat="1" applyFont="1" applyBorder="1" applyAlignment="1">
      <alignment horizontal="center" vertical="center"/>
    </xf>
    <xf numFmtId="165" fontId="6" fillId="0" borderId="6" xfId="1" applyNumberFormat="1" applyFont="1" applyBorder="1" applyAlignment="1">
      <alignment horizontal="center" vertical="center"/>
    </xf>
    <xf numFmtId="164" fontId="18" fillId="4" borderId="4" xfId="1" applyNumberFormat="1" applyFont="1" applyFill="1" applyBorder="1" applyAlignment="1">
      <alignment horizontal="center" vertical="center"/>
    </xf>
    <xf numFmtId="164" fontId="18" fillId="4" borderId="6" xfId="1" applyNumberFormat="1" applyFont="1" applyFill="1" applyBorder="1" applyAlignment="1">
      <alignment horizontal="center" vertical="center"/>
    </xf>
    <xf numFmtId="164" fontId="3" fillId="4" borderId="4" xfId="1" applyNumberFormat="1" applyFont="1" applyFill="1" applyBorder="1" applyAlignment="1">
      <alignment horizontal="center" vertical="center"/>
    </xf>
    <xf numFmtId="164" fontId="3" fillId="4" borderId="6" xfId="1" applyNumberFormat="1" applyFont="1" applyFill="1" applyBorder="1" applyAlignment="1">
      <alignment horizontal="center" vertical="center"/>
    </xf>
    <xf numFmtId="1" fontId="3" fillId="0" borderId="4" xfId="1" applyNumberFormat="1" applyFont="1" applyBorder="1" applyAlignment="1">
      <alignment horizontal="center" vertical="center"/>
    </xf>
    <xf numFmtId="1" fontId="3" fillId="0" borderId="6" xfId="1" applyNumberFormat="1" applyFont="1" applyBorder="1" applyAlignment="1">
      <alignment horizontal="center" vertical="center"/>
    </xf>
    <xf numFmtId="2" fontId="18" fillId="4" borderId="4" xfId="1" applyNumberFormat="1" applyFont="1" applyFill="1" applyBorder="1" applyAlignment="1">
      <alignment horizontal="center" vertical="center"/>
    </xf>
    <xf numFmtId="2" fontId="18" fillId="4" borderId="6" xfId="1" applyNumberFormat="1" applyFont="1" applyFill="1" applyBorder="1" applyAlignment="1">
      <alignment horizontal="center" vertical="center"/>
    </xf>
    <xf numFmtId="2" fontId="3" fillId="4" borderId="4" xfId="1" applyNumberFormat="1" applyFont="1" applyFill="1" applyBorder="1" applyAlignment="1">
      <alignment horizontal="center" vertical="center"/>
    </xf>
    <xf numFmtId="2" fontId="3" fillId="4" borderId="6" xfId="1" applyNumberFormat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3" fillId="0" borderId="17" xfId="2" applyFont="1" applyBorder="1" applyAlignment="1">
      <alignment horizontal="center" vertical="center"/>
    </xf>
    <xf numFmtId="0" fontId="3" fillId="0" borderId="18" xfId="2" applyFont="1" applyBorder="1" applyAlignment="1">
      <alignment horizontal="center" vertical="center"/>
    </xf>
    <xf numFmtId="0" fontId="3" fillId="0" borderId="19" xfId="2" applyFont="1" applyBorder="1" applyAlignment="1">
      <alignment horizontal="center" vertical="center"/>
    </xf>
    <xf numFmtId="0" fontId="3" fillId="0" borderId="4" xfId="2" applyFont="1" applyBorder="1" applyAlignment="1">
      <alignment vertical="center"/>
    </xf>
    <xf numFmtId="0" fontId="3" fillId="0" borderId="5" xfId="2" applyFont="1" applyBorder="1" applyAlignment="1">
      <alignment vertical="center"/>
    </xf>
    <xf numFmtId="1" fontId="3" fillId="3" borderId="4" xfId="2" applyNumberFormat="1" applyFont="1" applyFill="1" applyBorder="1" applyAlignment="1" applyProtection="1">
      <alignment horizontal="center" vertical="center"/>
      <protection locked="0"/>
    </xf>
    <xf numFmtId="1" fontId="3" fillId="3" borderId="6" xfId="2" applyNumberFormat="1" applyFont="1" applyFill="1" applyBorder="1" applyAlignment="1" applyProtection="1">
      <alignment horizontal="center" vertical="center"/>
      <protection locked="0"/>
    </xf>
    <xf numFmtId="164" fontId="3" fillId="3" borderId="4" xfId="2" applyNumberFormat="1" applyFont="1" applyFill="1" applyBorder="1" applyAlignment="1">
      <alignment horizontal="center" vertical="center"/>
    </xf>
    <xf numFmtId="164" fontId="3" fillId="3" borderId="6" xfId="2" applyNumberFormat="1" applyFont="1" applyFill="1" applyBorder="1" applyAlignment="1">
      <alignment horizontal="center" vertical="center"/>
    </xf>
    <xf numFmtId="0" fontId="3" fillId="0" borderId="4" xfId="2" applyFont="1" applyBorder="1" applyAlignment="1">
      <alignment horizontal="left" vertical="center"/>
    </xf>
    <xf numFmtId="0" fontId="3" fillId="0" borderId="5" xfId="2" applyFont="1" applyBorder="1" applyAlignment="1">
      <alignment horizontal="left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5" xfId="1" applyFont="1" applyFill="1" applyBorder="1" applyAlignment="1">
      <alignment horizontal="center" vertical="center"/>
    </xf>
    <xf numFmtId="0" fontId="9" fillId="5" borderId="6" xfId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wrapText="1"/>
    </xf>
    <xf numFmtId="0" fontId="3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  <xf numFmtId="0" fontId="13" fillId="0" borderId="5" xfId="3" applyFont="1" applyBorder="1" applyAlignment="1" applyProtection="1">
      <alignment horizontal="left" vertical="center" wrapText="1"/>
      <protection locked="0"/>
    </xf>
    <xf numFmtId="0" fontId="15" fillId="0" borderId="5" xfId="3" applyFont="1" applyBorder="1" applyAlignment="1" applyProtection="1">
      <alignment horizontal="left" vertical="center"/>
      <protection locked="0"/>
    </xf>
    <xf numFmtId="0" fontId="5" fillId="0" borderId="4" xfId="2" applyFont="1" applyBorder="1" applyAlignment="1">
      <alignment horizontal="left" vertical="center"/>
    </xf>
    <xf numFmtId="0" fontId="5" fillId="0" borderId="5" xfId="2" applyFont="1" applyBorder="1" applyAlignment="1">
      <alignment horizontal="left" vertical="center"/>
    </xf>
    <xf numFmtId="0" fontId="5" fillId="0" borderId="6" xfId="2" applyFont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3" fillId="0" borderId="4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 wrapText="1"/>
    </xf>
    <xf numFmtId="0" fontId="3" fillId="0" borderId="8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9" fillId="5" borderId="20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/>
    </xf>
    <xf numFmtId="0" fontId="7" fillId="2" borderId="11" xfId="1" applyFont="1" applyFill="1" applyBorder="1" applyAlignment="1">
      <alignment horizontal="center"/>
    </xf>
    <xf numFmtId="0" fontId="7" fillId="2" borderId="12" xfId="1" applyFont="1" applyFill="1" applyBorder="1" applyAlignment="1">
      <alignment horizontal="center"/>
    </xf>
    <xf numFmtId="0" fontId="7" fillId="2" borderId="13" xfId="1" applyFont="1" applyFill="1" applyBorder="1" applyAlignment="1">
      <alignment horizontal="center"/>
    </xf>
    <xf numFmtId="0" fontId="7" fillId="2" borderId="14" xfId="1" applyFont="1" applyFill="1" applyBorder="1" applyAlignment="1">
      <alignment horizontal="center"/>
    </xf>
    <xf numFmtId="0" fontId="8" fillId="2" borderId="7" xfId="1" applyFont="1" applyFill="1" applyBorder="1" applyAlignment="1">
      <alignment horizontal="center" vertical="top"/>
    </xf>
    <xf numFmtId="0" fontId="8" fillId="2" borderId="8" xfId="1" applyFont="1" applyFill="1" applyBorder="1" applyAlignment="1">
      <alignment horizontal="center" vertical="top"/>
    </xf>
    <xf numFmtId="0" fontId="8" fillId="2" borderId="15" xfId="1" applyFont="1" applyFill="1" applyBorder="1" applyAlignment="1">
      <alignment horizontal="center" vertical="top"/>
    </xf>
    <xf numFmtId="0" fontId="8" fillId="2" borderId="8" xfId="1" applyFont="1" applyFill="1" applyBorder="1" applyAlignment="1">
      <alignment horizontal="center"/>
    </xf>
    <xf numFmtId="0" fontId="8" fillId="2" borderId="9" xfId="1" applyFont="1" applyFill="1" applyBorder="1" applyAlignment="1">
      <alignment horizontal="center"/>
    </xf>
    <xf numFmtId="49" fontId="14" fillId="4" borderId="5" xfId="3" applyNumberFormat="1" applyFont="1" applyFill="1" applyBorder="1" applyAlignment="1" applyProtection="1">
      <alignment horizontal="center" vertical="center"/>
      <protection locked="0" hidden="1"/>
    </xf>
    <xf numFmtId="0" fontId="14" fillId="4" borderId="5" xfId="3" applyFont="1" applyFill="1" applyBorder="1" applyAlignment="1" applyProtection="1">
      <alignment horizontal="center" vertical="center"/>
      <protection locked="0" hidden="1"/>
    </xf>
    <xf numFmtId="2" fontId="11" fillId="4" borderId="5" xfId="3" applyNumberFormat="1" applyFont="1" applyFill="1" applyBorder="1" applyAlignment="1" applyProtection="1">
      <alignment horizontal="left" vertical="center"/>
      <protection locked="0"/>
    </xf>
    <xf numFmtId="0" fontId="13" fillId="4" borderId="5" xfId="3" applyFont="1" applyFill="1" applyBorder="1" applyAlignment="1" applyProtection="1">
      <alignment horizontal="left" vertical="center"/>
      <protection locked="0" hidden="1"/>
    </xf>
    <xf numFmtId="0" fontId="7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 vertical="top"/>
    </xf>
    <xf numFmtId="0" fontId="8" fillId="2" borderId="0" xfId="1" applyFont="1" applyFill="1" applyAlignment="1">
      <alignment horizontal="center"/>
    </xf>
    <xf numFmtId="0" fontId="7" fillId="0" borderId="0" xfId="1" applyFont="1" applyAlignment="1">
      <alignment horizontal="center" wrapText="1"/>
    </xf>
    <xf numFmtId="0" fontId="7" fillId="0" borderId="10" xfId="1" applyFont="1" applyBorder="1" applyAlignment="1">
      <alignment horizontal="center" wrapText="1"/>
    </xf>
    <xf numFmtId="0" fontId="7" fillId="0" borderId="21" xfId="1" applyFont="1" applyBorder="1" applyAlignment="1">
      <alignment horizontal="center" wrapText="1"/>
    </xf>
  </cellXfs>
  <cellStyles count="4">
    <cellStyle name="Normal" xfId="0" builtinId="0"/>
    <cellStyle name="Normal 2 2" xfId="3" xr:uid="{3EE9743E-F61D-4BB2-8C9B-91A3B1EFA5C1}"/>
    <cellStyle name="Normal 9 2" xfId="1" xr:uid="{C5E01401-AE43-4C6F-899B-EDDF8F92AE25}"/>
    <cellStyle name="Normal_contrle clientes e copazeiro2" xfId="2" xr:uid="{2DB86B20-1976-4DB4-90E2-19E59A483737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51</xdr:row>
          <xdr:rowOff>0</xdr:rowOff>
        </xdr:from>
        <xdr:to>
          <xdr:col>3</xdr:col>
          <xdr:colOff>333375</xdr:colOff>
          <xdr:row>51</xdr:row>
          <xdr:rowOff>209550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52</xdr:row>
          <xdr:rowOff>0</xdr:rowOff>
        </xdr:from>
        <xdr:to>
          <xdr:col>3</xdr:col>
          <xdr:colOff>333375</xdr:colOff>
          <xdr:row>52</xdr:row>
          <xdr:rowOff>209550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53</xdr:row>
          <xdr:rowOff>0</xdr:rowOff>
        </xdr:from>
        <xdr:to>
          <xdr:col>3</xdr:col>
          <xdr:colOff>333375</xdr:colOff>
          <xdr:row>53</xdr:row>
          <xdr:rowOff>209550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51</xdr:row>
          <xdr:rowOff>0</xdr:rowOff>
        </xdr:from>
        <xdr:to>
          <xdr:col>5</xdr:col>
          <xdr:colOff>304800</xdr:colOff>
          <xdr:row>51</xdr:row>
          <xdr:rowOff>209550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52</xdr:row>
          <xdr:rowOff>0</xdr:rowOff>
        </xdr:from>
        <xdr:to>
          <xdr:col>5</xdr:col>
          <xdr:colOff>304800</xdr:colOff>
          <xdr:row>52</xdr:row>
          <xdr:rowOff>209550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53</xdr:row>
          <xdr:rowOff>0</xdr:rowOff>
        </xdr:from>
        <xdr:to>
          <xdr:col>5</xdr:col>
          <xdr:colOff>304800</xdr:colOff>
          <xdr:row>53</xdr:row>
          <xdr:rowOff>209550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18</xdr:col>
      <xdr:colOff>197878</xdr:colOff>
      <xdr:row>0</xdr:row>
      <xdr:rowOff>21291</xdr:rowOff>
    </xdr:from>
    <xdr:to>
      <xdr:col>20</xdr:col>
      <xdr:colOff>469593</xdr:colOff>
      <xdr:row>0</xdr:row>
      <xdr:rowOff>773205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238C44-67A6-46E6-B6C7-A7852AF63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0528" y="21291"/>
          <a:ext cx="1465515" cy="751914"/>
        </a:xfrm>
        <a:prstGeom prst="rect">
          <a:avLst/>
        </a:prstGeom>
      </xdr:spPr>
    </xdr:pic>
    <xdr:clientData/>
  </xdr:twoCellAnchor>
  <xdr:twoCellAnchor editAs="oneCell">
    <xdr:from>
      <xdr:col>2</xdr:col>
      <xdr:colOff>619125</xdr:colOff>
      <xdr:row>55</xdr:row>
      <xdr:rowOff>647700</xdr:rowOff>
    </xdr:from>
    <xdr:to>
      <xdr:col>6</xdr:col>
      <xdr:colOff>222085</xdr:colOff>
      <xdr:row>55</xdr:row>
      <xdr:rowOff>1104900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2561DBE-C4B0-11E5-A442-32C80E4CA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16859250"/>
          <a:ext cx="2422360" cy="45720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55</xdr:row>
      <xdr:rowOff>279837</xdr:rowOff>
    </xdr:from>
    <xdr:to>
      <xdr:col>18</xdr:col>
      <xdr:colOff>304800</xdr:colOff>
      <xdr:row>59</xdr:row>
      <xdr:rowOff>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8C3C53C-B99A-63C1-E262-F29D07FF9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16491387"/>
          <a:ext cx="2790825" cy="16632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  <sheetName val="eq"/>
      <sheetName val="mo"/>
      <sheetName val="Mat Asf"/>
      <sheetName val="Desmat 0,15"/>
      <sheetName val="alteração"/>
      <sheetName val="curvas_tratamento"/>
      <sheetName val="Defensas_necessidades"/>
      <sheetName val="sin_vertical_necessidades"/>
      <sheetName val="tachas_necessidades"/>
      <sheetName val="pro-08"/>
      <sheetName val="OAC_NPAV"/>
      <sheetName val="#REF"/>
      <sheetName val="RESUMO-DVOP"/>
      <sheetName val="planilha"/>
      <sheetName val="Tabela mês"/>
      <sheetName val="REAJU"/>
      <sheetName val="planilha do plano"/>
      <sheetName val="CUSTO HORÁRIO"/>
      <sheetName val="Material"/>
      <sheetName val="Mão de obra"/>
      <sheetName val="relatório"/>
      <sheetName val="A"/>
      <sheetName val="Pontes"/>
      <sheetName val="PROJETO"/>
      <sheetName val="DADOS"/>
      <sheetName val="mat"/>
      <sheetName val="Quadro Geral"/>
      <sheetName val="RELATORIO MENSAL ACOMP SERV CON"/>
      <sheetName val="DER janeiro98"/>
      <sheetName val="61M-CBMI"/>
      <sheetName val="P reaj x P atual"/>
      <sheetName val="PRANCHA"/>
      <sheetName val="SNV (2)"/>
      <sheetName val="f. mediçao"/>
      <sheetName val="fresagem de pista ago-98"/>
      <sheetName val="TPU-MARÇO_2002"/>
      <sheetName val="RESUMO"/>
      <sheetName val="ORÇAMENTO"/>
      <sheetName val="COMP"/>
      <sheetName val="CRONOGRAMA (8 MESES)"/>
      <sheetName val="CURVA ABC"/>
      <sheetName val="Mapa de Cotação"/>
      <sheetName val="BDI 21,35 NÃO DESONERADO "/>
      <sheetName val="Mobilização"/>
      <sheetName val="Página 15"/>
      <sheetName val="INVENTÁRIO"/>
      <sheetName val="medi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2">
          <cell r="A12">
            <v>1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 refreshError="1"/>
      <sheetData sheetId="102" refreshError="1"/>
      <sheetData sheetId="103"/>
      <sheetData sheetId="104"/>
      <sheetData sheetId="105">
        <row r="3">
          <cell r="A3" t="str">
            <v>LOCAL:</v>
          </cell>
        </row>
      </sheetData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2707-4660-4D08-A721-614B49E7C927}">
  <sheetPr>
    <pageSetUpPr fitToPage="1"/>
  </sheetPr>
  <dimension ref="B1:Z117"/>
  <sheetViews>
    <sheetView showGridLines="0" tabSelected="1" view="pageBreakPreview" topLeftCell="B42" zoomScaleNormal="100" zoomScaleSheetLayoutView="100" workbookViewId="0">
      <selection activeCell="K56" sqref="K56:U56"/>
    </sheetView>
  </sheetViews>
  <sheetFormatPr defaultColWidth="11.42578125" defaultRowHeight="12.75" x14ac:dyDescent="0.2"/>
  <cols>
    <col min="1" max="1" width="2.140625" style="1" customWidth="1"/>
    <col min="2" max="2" width="14.5703125" style="1" customWidth="1"/>
    <col min="3" max="3" width="22.140625" style="1" customWidth="1"/>
    <col min="4" max="12" width="6.7109375" style="1" customWidth="1"/>
    <col min="13" max="13" width="7.42578125" style="1" customWidth="1"/>
    <col min="14" max="15" width="6.7109375" style="1" customWidth="1"/>
    <col min="16" max="16" width="6.140625" style="1" customWidth="1"/>
    <col min="17" max="17" width="6.28515625" style="1" customWidth="1"/>
    <col min="18" max="21" width="8.5703125" style="1" customWidth="1"/>
    <col min="22" max="22" width="2.42578125" style="1" customWidth="1"/>
    <col min="23" max="23" width="0" style="1" hidden="1" customWidth="1"/>
    <col min="24" max="16384" width="11.42578125" style="1"/>
  </cols>
  <sheetData>
    <row r="1" spans="2:21" ht="66" customHeight="1" x14ac:dyDescent="0.2">
      <c r="B1" s="73" t="s">
        <v>63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</row>
    <row r="2" spans="2:21" ht="12.6" customHeight="1" x14ac:dyDescent="0.2"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</row>
    <row r="3" spans="2:21" ht="30" customHeight="1" x14ac:dyDescent="0.2">
      <c r="B3" s="75" t="s">
        <v>70</v>
      </c>
      <c r="C3" s="75"/>
      <c r="D3" s="75"/>
      <c r="E3" s="75"/>
      <c r="F3" s="75"/>
      <c r="G3" s="75"/>
      <c r="H3" s="75"/>
      <c r="I3" s="75"/>
      <c r="J3" s="75"/>
      <c r="K3" s="76" t="s">
        <v>67</v>
      </c>
      <c r="L3" s="76"/>
      <c r="M3" s="76"/>
      <c r="N3" s="76"/>
      <c r="O3" s="76"/>
      <c r="P3" s="76"/>
      <c r="Q3" s="76"/>
      <c r="R3" s="76"/>
      <c r="S3" s="76"/>
      <c r="T3" s="76"/>
      <c r="U3" s="76"/>
    </row>
    <row r="4" spans="2:21" ht="30" customHeight="1" x14ac:dyDescent="0.2">
      <c r="B4" s="76" t="s">
        <v>73</v>
      </c>
      <c r="C4" s="76"/>
      <c r="D4" s="76"/>
      <c r="E4" s="76"/>
      <c r="F4" s="76"/>
      <c r="G4" s="76"/>
      <c r="H4" s="76"/>
      <c r="I4" s="76"/>
      <c r="J4" s="76"/>
      <c r="K4" s="76" t="s">
        <v>68</v>
      </c>
      <c r="L4" s="76"/>
      <c r="M4" s="76"/>
      <c r="N4" s="76"/>
      <c r="O4" s="76"/>
      <c r="P4" s="76"/>
      <c r="Q4" s="76"/>
      <c r="R4" s="76"/>
      <c r="S4" s="76"/>
      <c r="T4" s="76"/>
      <c r="U4" s="76"/>
    </row>
    <row r="5" spans="2:21" ht="31.5" customHeight="1" x14ac:dyDescent="0.2">
      <c r="B5" s="77" t="s">
        <v>69</v>
      </c>
      <c r="C5" s="77"/>
      <c r="D5" s="77"/>
      <c r="E5" s="77"/>
      <c r="F5" s="77"/>
      <c r="G5" s="77"/>
      <c r="H5" s="77"/>
      <c r="I5" s="77"/>
      <c r="J5" s="77"/>
      <c r="K5" s="77" t="s">
        <v>72</v>
      </c>
      <c r="L5" s="77"/>
      <c r="M5" s="77"/>
      <c r="N5" s="77"/>
      <c r="O5" s="77"/>
      <c r="P5" s="77"/>
      <c r="Q5" s="77"/>
      <c r="R5" s="77"/>
      <c r="S5" s="77"/>
      <c r="T5" s="77"/>
      <c r="U5" s="77"/>
    </row>
    <row r="6" spans="2:21" ht="15" customHeight="1" x14ac:dyDescent="0.2"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</row>
    <row r="7" spans="2:21" ht="30" customHeight="1" x14ac:dyDescent="0.2">
      <c r="B7" s="3" t="s">
        <v>0</v>
      </c>
      <c r="C7" s="18" t="s">
        <v>79</v>
      </c>
      <c r="D7" s="18"/>
      <c r="E7" s="18"/>
      <c r="F7" s="18"/>
      <c r="G7" s="18"/>
      <c r="H7" s="18"/>
      <c r="I7" s="18"/>
      <c r="J7" s="18"/>
      <c r="K7" s="19"/>
      <c r="L7" s="21" t="s">
        <v>1</v>
      </c>
      <c r="M7" s="22"/>
      <c r="N7" s="22"/>
      <c r="O7" s="20">
        <v>46094</v>
      </c>
      <c r="P7" s="18"/>
      <c r="Q7" s="18"/>
      <c r="R7" s="18"/>
      <c r="S7" s="18"/>
      <c r="T7" s="18"/>
      <c r="U7" s="19"/>
    </row>
    <row r="8" spans="2:21" ht="30" customHeight="1" x14ac:dyDescent="0.2">
      <c r="B8" s="3" t="s">
        <v>2</v>
      </c>
      <c r="C8" s="18" t="s">
        <v>76</v>
      </c>
      <c r="D8" s="18"/>
      <c r="E8" s="18"/>
      <c r="F8" s="18"/>
      <c r="G8" s="18"/>
      <c r="H8" s="18"/>
      <c r="I8" s="18"/>
      <c r="J8" s="18"/>
      <c r="K8" s="18"/>
      <c r="L8" s="13" t="s">
        <v>3</v>
      </c>
      <c r="M8" s="11"/>
      <c r="N8" s="4"/>
      <c r="O8" s="18" t="s">
        <v>78</v>
      </c>
      <c r="P8" s="18"/>
      <c r="Q8" s="18"/>
      <c r="R8" s="18"/>
      <c r="S8" s="18"/>
      <c r="T8" s="18"/>
      <c r="U8" s="19"/>
    </row>
    <row r="9" spans="2:21" ht="30" customHeight="1" x14ac:dyDescent="0.2">
      <c r="B9" s="90" t="s">
        <v>4</v>
      </c>
      <c r="C9" s="91"/>
      <c r="D9" s="91"/>
      <c r="E9" s="91"/>
      <c r="F9" s="18" t="s">
        <v>77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9"/>
    </row>
    <row r="10" spans="2:21" ht="30" customHeight="1" x14ac:dyDescent="0.2">
      <c r="B10" s="90" t="s">
        <v>5</v>
      </c>
      <c r="C10" s="91"/>
      <c r="D10" s="91"/>
      <c r="E10" s="91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9"/>
    </row>
    <row r="11" spans="2:21" ht="30" customHeight="1" x14ac:dyDescent="0.2">
      <c r="B11" s="70" t="s">
        <v>6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2"/>
    </row>
    <row r="12" spans="2:21" ht="30" customHeight="1" x14ac:dyDescent="0.2">
      <c r="B12" s="92" t="s">
        <v>57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4"/>
    </row>
    <row r="13" spans="2:21" ht="30" customHeight="1" x14ac:dyDescent="0.2">
      <c r="B13" s="87" t="s">
        <v>58</v>
      </c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9"/>
    </row>
    <row r="14" spans="2:21" ht="30" customHeight="1" x14ac:dyDescent="0.2">
      <c r="B14" s="87" t="s">
        <v>59</v>
      </c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9"/>
    </row>
    <row r="15" spans="2:21" ht="30" customHeight="1" x14ac:dyDescent="0.2">
      <c r="B15" s="87" t="s">
        <v>60</v>
      </c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9"/>
    </row>
    <row r="16" spans="2:21" ht="30" customHeight="1" x14ac:dyDescent="0.2">
      <c r="B16" s="70" t="s">
        <v>7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2"/>
    </row>
    <row r="17" spans="2:21" ht="30" customHeight="1" x14ac:dyDescent="0.2">
      <c r="B17" s="78" t="s">
        <v>13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80"/>
      <c r="P17" s="84" t="s">
        <v>12</v>
      </c>
      <c r="Q17" s="85"/>
      <c r="R17" s="86"/>
      <c r="S17" s="81" t="s">
        <v>11</v>
      </c>
      <c r="T17" s="82"/>
      <c r="U17" s="83"/>
    </row>
    <row r="18" spans="2:21" ht="20.100000000000001" customHeight="1" x14ac:dyDescent="0.2">
      <c r="B18" s="59" t="s">
        <v>52</v>
      </c>
      <c r="C18" s="8" t="s">
        <v>45</v>
      </c>
      <c r="D18" s="36">
        <v>65.13</v>
      </c>
      <c r="E18" s="37"/>
      <c r="F18" s="36">
        <v>65.599999999999994</v>
      </c>
      <c r="G18" s="37"/>
      <c r="H18" s="36">
        <v>65.44</v>
      </c>
      <c r="I18" s="37"/>
      <c r="J18" s="36">
        <v>66.05</v>
      </c>
      <c r="K18" s="37"/>
      <c r="L18" s="36"/>
      <c r="M18" s="37"/>
      <c r="N18" s="36"/>
      <c r="O18" s="37"/>
      <c r="P18" s="29">
        <f>IF(SUM(D18:O18)=0,"",AVERAGE(D18:O18))</f>
        <v>65.554999999999993</v>
      </c>
      <c r="Q18" s="30"/>
      <c r="R18" s="31"/>
      <c r="S18" s="2"/>
      <c r="T18" s="6"/>
      <c r="U18" s="7"/>
    </row>
    <row r="19" spans="2:21" ht="20.100000000000001" customHeight="1" x14ac:dyDescent="0.2">
      <c r="B19" s="60"/>
      <c r="C19" s="8" t="s">
        <v>46</v>
      </c>
      <c r="D19" s="36">
        <v>65.349999999999994</v>
      </c>
      <c r="E19" s="37"/>
      <c r="F19" s="36">
        <v>65.63</v>
      </c>
      <c r="G19" s="37"/>
      <c r="H19" s="36">
        <v>64.77</v>
      </c>
      <c r="I19" s="37"/>
      <c r="J19" s="36">
        <v>65.709999999999994</v>
      </c>
      <c r="K19" s="37"/>
      <c r="L19" s="36"/>
      <c r="M19" s="37"/>
      <c r="N19" s="36"/>
      <c r="O19" s="37"/>
      <c r="P19" s="29">
        <f t="shared" ref="P19:P27" si="0">IF(SUM(D19:O19)=0,"",AVERAGE(D19:O19))</f>
        <v>65.364999999999995</v>
      </c>
      <c r="Q19" s="30"/>
      <c r="R19" s="31"/>
      <c r="S19" s="2"/>
      <c r="T19" s="6"/>
      <c r="U19" s="7"/>
    </row>
    <row r="20" spans="2:21" ht="20.100000000000001" customHeight="1" x14ac:dyDescent="0.2">
      <c r="B20" s="60"/>
      <c r="C20" s="8" t="s">
        <v>47</v>
      </c>
      <c r="D20" s="36">
        <v>64.400000000000006</v>
      </c>
      <c r="E20" s="37"/>
      <c r="F20" s="36">
        <v>65.930000000000007</v>
      </c>
      <c r="G20" s="37"/>
      <c r="H20" s="36">
        <v>64.81</v>
      </c>
      <c r="I20" s="37"/>
      <c r="J20" s="36">
        <v>65.569999999999993</v>
      </c>
      <c r="K20" s="37"/>
      <c r="L20" s="36"/>
      <c r="M20" s="37"/>
      <c r="N20" s="36"/>
      <c r="O20" s="37"/>
      <c r="P20" s="29">
        <f t="shared" si="0"/>
        <v>65.177500000000009</v>
      </c>
      <c r="Q20" s="30"/>
      <c r="R20" s="31"/>
      <c r="S20" s="2"/>
      <c r="T20" s="6"/>
      <c r="U20" s="7"/>
    </row>
    <row r="21" spans="2:21" ht="20.100000000000001" customHeight="1" x14ac:dyDescent="0.2">
      <c r="B21" s="60"/>
      <c r="C21" s="8" t="s">
        <v>48</v>
      </c>
      <c r="D21" s="36">
        <v>64.739999999999995</v>
      </c>
      <c r="E21" s="37"/>
      <c r="F21" s="36">
        <v>66.13</v>
      </c>
      <c r="G21" s="37"/>
      <c r="H21" s="36">
        <v>65.3</v>
      </c>
      <c r="I21" s="37"/>
      <c r="J21" s="36">
        <v>65.510000000000005</v>
      </c>
      <c r="K21" s="37"/>
      <c r="L21" s="36"/>
      <c r="M21" s="37"/>
      <c r="N21" s="36"/>
      <c r="O21" s="37"/>
      <c r="P21" s="29">
        <f t="shared" si="0"/>
        <v>65.42</v>
      </c>
      <c r="Q21" s="30"/>
      <c r="R21" s="31"/>
      <c r="S21" s="2"/>
      <c r="T21" s="6"/>
      <c r="U21" s="7"/>
    </row>
    <row r="22" spans="2:21" ht="20.100000000000001" customHeight="1" x14ac:dyDescent="0.2">
      <c r="B22" s="61"/>
      <c r="C22" s="8" t="s">
        <v>12</v>
      </c>
      <c r="D22" s="38">
        <f>IFERROR(AVERAGE(D18:E21),"")</f>
        <v>64.905000000000001</v>
      </c>
      <c r="E22" s="39"/>
      <c r="F22" s="38">
        <f t="shared" ref="F22" si="1">IFERROR(AVERAGE(F18:G21),"")</f>
        <v>65.822499999999991</v>
      </c>
      <c r="G22" s="39"/>
      <c r="H22" s="38">
        <f t="shared" ref="H22" si="2">IFERROR(AVERAGE(H18:I21),"")</f>
        <v>65.08</v>
      </c>
      <c r="I22" s="39"/>
      <c r="J22" s="38">
        <f t="shared" ref="J22" si="3">IFERROR(AVERAGE(J18:K21),"")</f>
        <v>65.709999999999994</v>
      </c>
      <c r="K22" s="39"/>
      <c r="L22" s="38" t="str">
        <f t="shared" ref="L22" si="4">IFERROR(AVERAGE(L18:M21),"")</f>
        <v/>
      </c>
      <c r="M22" s="39"/>
      <c r="N22" s="38" t="str">
        <f t="shared" ref="N22" si="5">IFERROR(AVERAGE(N18:O21),"")</f>
        <v/>
      </c>
      <c r="O22" s="39"/>
      <c r="P22" s="29">
        <f t="shared" si="0"/>
        <v>65.379374999999996</v>
      </c>
      <c r="Q22" s="30"/>
      <c r="R22" s="31"/>
      <c r="S22" s="2"/>
      <c r="T22" s="6"/>
      <c r="U22" s="7"/>
    </row>
    <row r="23" spans="2:21" ht="20.100000000000001" customHeight="1" x14ac:dyDescent="0.2">
      <c r="B23" s="59" t="s">
        <v>53</v>
      </c>
      <c r="C23" s="8" t="s">
        <v>45</v>
      </c>
      <c r="D23" s="36">
        <v>101.33</v>
      </c>
      <c r="E23" s="37"/>
      <c r="F23" s="36">
        <v>101.44</v>
      </c>
      <c r="G23" s="37"/>
      <c r="H23" s="36">
        <v>101.38</v>
      </c>
      <c r="I23" s="37"/>
      <c r="J23" s="36">
        <v>101.43</v>
      </c>
      <c r="K23" s="37"/>
      <c r="L23" s="36"/>
      <c r="M23" s="37"/>
      <c r="N23" s="36"/>
      <c r="O23" s="37"/>
      <c r="P23" s="29">
        <f t="shared" si="0"/>
        <v>101.395</v>
      </c>
      <c r="Q23" s="30"/>
      <c r="R23" s="31"/>
      <c r="S23" s="2"/>
      <c r="T23" s="6"/>
      <c r="U23" s="7"/>
    </row>
    <row r="24" spans="2:21" ht="20.100000000000001" customHeight="1" x14ac:dyDescent="0.2">
      <c r="B24" s="60"/>
      <c r="C24" s="8" t="s">
        <v>46</v>
      </c>
      <c r="D24" s="36">
        <v>101.38</v>
      </c>
      <c r="E24" s="37"/>
      <c r="F24" s="36">
        <v>101.65</v>
      </c>
      <c r="G24" s="37"/>
      <c r="H24" s="36">
        <v>101.41</v>
      </c>
      <c r="I24" s="37"/>
      <c r="J24" s="36">
        <v>101.66</v>
      </c>
      <c r="K24" s="37"/>
      <c r="L24" s="36"/>
      <c r="M24" s="37"/>
      <c r="N24" s="36"/>
      <c r="O24" s="37"/>
      <c r="P24" s="29">
        <f t="shared" si="0"/>
        <v>101.52500000000001</v>
      </c>
      <c r="Q24" s="30"/>
      <c r="R24" s="31"/>
      <c r="S24" s="2"/>
      <c r="T24" s="6"/>
      <c r="U24" s="7"/>
    </row>
    <row r="25" spans="2:21" ht="20.100000000000001" customHeight="1" x14ac:dyDescent="0.2">
      <c r="B25" s="60"/>
      <c r="C25" s="8" t="s">
        <v>47</v>
      </c>
      <c r="D25" s="36">
        <v>101.35</v>
      </c>
      <c r="E25" s="37"/>
      <c r="F25" s="36">
        <v>101.38</v>
      </c>
      <c r="G25" s="37"/>
      <c r="H25" s="36">
        <v>101.65</v>
      </c>
      <c r="I25" s="37"/>
      <c r="J25" s="36">
        <v>101.38</v>
      </c>
      <c r="K25" s="37"/>
      <c r="L25" s="36"/>
      <c r="M25" s="37"/>
      <c r="N25" s="34"/>
      <c r="O25" s="35"/>
      <c r="P25" s="29">
        <f t="shared" si="0"/>
        <v>101.44</v>
      </c>
      <c r="Q25" s="30"/>
      <c r="R25" s="31"/>
      <c r="S25" s="2"/>
      <c r="T25" s="6"/>
      <c r="U25" s="7"/>
    </row>
    <row r="26" spans="2:21" ht="20.100000000000001" customHeight="1" x14ac:dyDescent="0.2">
      <c r="B26" s="60"/>
      <c r="C26" s="8" t="s">
        <v>48</v>
      </c>
      <c r="D26" s="36">
        <v>101.61</v>
      </c>
      <c r="E26" s="37"/>
      <c r="F26" s="36">
        <v>101.53</v>
      </c>
      <c r="G26" s="37"/>
      <c r="H26" s="36">
        <v>101.43</v>
      </c>
      <c r="I26" s="37"/>
      <c r="J26" s="36">
        <v>101.32</v>
      </c>
      <c r="K26" s="37"/>
      <c r="L26" s="36"/>
      <c r="M26" s="37"/>
      <c r="N26" s="36"/>
      <c r="O26" s="37"/>
      <c r="P26" s="29">
        <f t="shared" si="0"/>
        <v>101.4725</v>
      </c>
      <c r="Q26" s="30"/>
      <c r="R26" s="31"/>
      <c r="S26" s="2"/>
      <c r="T26" s="6"/>
      <c r="U26" s="7"/>
    </row>
    <row r="27" spans="2:21" ht="20.100000000000001" customHeight="1" x14ac:dyDescent="0.2">
      <c r="B27" s="61"/>
      <c r="C27" s="8" t="s">
        <v>12</v>
      </c>
      <c r="D27" s="38">
        <f>IF(D23="","",AVERAGE(D23:E26))</f>
        <v>101.41749999999999</v>
      </c>
      <c r="E27" s="39"/>
      <c r="F27" s="38">
        <f t="shared" ref="F27" si="6">IF(F23="","",AVERAGE(F23:G26))</f>
        <v>101.5</v>
      </c>
      <c r="G27" s="39"/>
      <c r="H27" s="38">
        <f t="shared" ref="H27" si="7">IF(H23="","",AVERAGE(H23:I26))</f>
        <v>101.4675</v>
      </c>
      <c r="I27" s="39"/>
      <c r="J27" s="38">
        <f t="shared" ref="J27" si="8">IF(J23="","",AVERAGE(J23:K26))</f>
        <v>101.44750000000001</v>
      </c>
      <c r="K27" s="39"/>
      <c r="L27" s="38" t="str">
        <f t="shared" ref="L27" si="9">IF(L23="","",AVERAGE(L23:M26))</f>
        <v/>
      </c>
      <c r="M27" s="39"/>
      <c r="N27" s="38" t="str">
        <f t="shared" ref="N27" si="10">IF(N23="","",AVERAGE(N23:O26))</f>
        <v/>
      </c>
      <c r="O27" s="39"/>
      <c r="P27" s="29">
        <f t="shared" si="0"/>
        <v>101.458125</v>
      </c>
      <c r="Q27" s="30"/>
      <c r="R27" s="31"/>
      <c r="S27" s="2"/>
      <c r="T27" s="6"/>
      <c r="U27" s="7"/>
    </row>
    <row r="28" spans="2:21" ht="20.100000000000001" customHeight="1" x14ac:dyDescent="0.2">
      <c r="B28" s="62" t="s">
        <v>14</v>
      </c>
      <c r="C28" s="63"/>
      <c r="D28" s="32">
        <f>IF(D22="","",(927.23*(D22^-1.644)))</f>
        <v>0.97230426087333655</v>
      </c>
      <c r="E28" s="33"/>
      <c r="F28" s="32">
        <f>IF(F22="","",(927.23*(F22^-1.644)))</f>
        <v>0.95012337994070828</v>
      </c>
      <c r="G28" s="33"/>
      <c r="H28" s="32">
        <f t="shared" ref="H28" si="11">IF(H22="","",(927.23*(H22^-1.644)))</f>
        <v>0.96800970570236089</v>
      </c>
      <c r="I28" s="33"/>
      <c r="J28" s="32">
        <f t="shared" ref="J28:N28" si="12">IF(J22="","",(927.23*(J22^-1.644)))</f>
        <v>0.95279910927185896</v>
      </c>
      <c r="K28" s="33"/>
      <c r="L28" s="32" t="str">
        <f t="shared" si="12"/>
        <v/>
      </c>
      <c r="M28" s="33"/>
      <c r="N28" s="32" t="str">
        <f t="shared" si="12"/>
        <v/>
      </c>
      <c r="O28" s="33"/>
      <c r="P28" s="29">
        <f t="shared" ref="P28:P33" si="13">IF(SUM(D28:O28)=0,"",AVERAGE(D28:O28))</f>
        <v>0.96080911394706614</v>
      </c>
      <c r="Q28" s="30"/>
      <c r="R28" s="31"/>
      <c r="S28" s="2"/>
      <c r="T28" s="6"/>
      <c r="U28" s="7"/>
    </row>
    <row r="29" spans="2:21" ht="20.100000000000001" customHeight="1" x14ac:dyDescent="0.2">
      <c r="B29" s="62" t="s">
        <v>15</v>
      </c>
      <c r="C29" s="63"/>
      <c r="D29" s="40">
        <v>1198.01</v>
      </c>
      <c r="E29" s="41"/>
      <c r="F29" s="40">
        <v>1195.9100000000001</v>
      </c>
      <c r="G29" s="41"/>
      <c r="H29" s="40">
        <v>1198.19</v>
      </c>
      <c r="I29" s="41"/>
      <c r="J29" s="40">
        <v>1194.94</v>
      </c>
      <c r="K29" s="41"/>
      <c r="L29" s="40"/>
      <c r="M29" s="41"/>
      <c r="N29" s="40"/>
      <c r="O29" s="41"/>
      <c r="P29" s="29">
        <f t="shared" si="13"/>
        <v>1196.7625</v>
      </c>
      <c r="Q29" s="30"/>
      <c r="R29" s="31"/>
      <c r="S29" s="2"/>
      <c r="T29" s="6"/>
      <c r="U29" s="7"/>
    </row>
    <row r="30" spans="2:21" ht="20.100000000000001" customHeight="1" x14ac:dyDescent="0.2">
      <c r="B30" s="62" t="s">
        <v>16</v>
      </c>
      <c r="C30" s="63"/>
      <c r="D30" s="40">
        <v>692.77</v>
      </c>
      <c r="E30" s="41"/>
      <c r="F30" s="40">
        <v>692.53</v>
      </c>
      <c r="G30" s="41"/>
      <c r="H30" s="40">
        <v>692.47</v>
      </c>
      <c r="I30" s="41"/>
      <c r="J30" s="40">
        <v>693.32</v>
      </c>
      <c r="K30" s="41"/>
      <c r="L30" s="54"/>
      <c r="M30" s="55"/>
      <c r="N30" s="40"/>
      <c r="O30" s="41"/>
      <c r="P30" s="29">
        <f t="shared" si="13"/>
        <v>692.77250000000004</v>
      </c>
      <c r="Q30" s="30"/>
      <c r="R30" s="31"/>
      <c r="S30" s="2"/>
      <c r="T30" s="6"/>
      <c r="U30" s="7"/>
    </row>
    <row r="31" spans="2:21" ht="20.100000000000001" customHeight="1" x14ac:dyDescent="0.2">
      <c r="B31" s="62" t="s">
        <v>17</v>
      </c>
      <c r="C31" s="63"/>
      <c r="D31" s="40">
        <v>1200.67</v>
      </c>
      <c r="E31" s="41"/>
      <c r="F31" s="40">
        <v>1199.69</v>
      </c>
      <c r="G31" s="41"/>
      <c r="H31" s="40">
        <v>1199.94</v>
      </c>
      <c r="I31" s="41"/>
      <c r="J31" s="40">
        <v>1199.95</v>
      </c>
      <c r="K31" s="41"/>
      <c r="L31" s="40"/>
      <c r="M31" s="41"/>
      <c r="N31" s="40"/>
      <c r="O31" s="41"/>
      <c r="P31" s="29">
        <f t="shared" si="13"/>
        <v>1200.0625</v>
      </c>
      <c r="Q31" s="30"/>
      <c r="R31" s="31"/>
      <c r="S31" s="2"/>
      <c r="T31" s="6"/>
      <c r="U31" s="7"/>
    </row>
    <row r="32" spans="2:21" ht="20.100000000000001" customHeight="1" x14ac:dyDescent="0.2">
      <c r="B32" s="62" t="s">
        <v>18</v>
      </c>
      <c r="C32" s="63"/>
      <c r="D32" s="50">
        <f>IF(D29="","",IF(D30="","",IF(D31="","",D29/(D31-D30))))</f>
        <v>2.3587517227800743</v>
      </c>
      <c r="E32" s="51"/>
      <c r="F32" s="50">
        <f t="shared" ref="F32" si="14">IF(F29="","",IF(F30="","",IF(F31="","",F29/(F31-F30))))</f>
        <v>2.3580526855430235</v>
      </c>
      <c r="G32" s="51"/>
      <c r="H32" s="50">
        <f t="shared" ref="H32" si="15">IF(H29="","",IF(H30="","",IF(H31="","",H29/(H31-H30))))</f>
        <v>2.3611050899560566</v>
      </c>
      <c r="I32" s="51"/>
      <c r="J32" s="50">
        <f t="shared" ref="J32" si="16">IF(J29="","",IF(J30="","",IF(J31="","",J29/(J31-J30))))</f>
        <v>2.3586048990387463</v>
      </c>
      <c r="K32" s="51"/>
      <c r="L32" s="50" t="str">
        <f t="shared" ref="L32" si="17">IF(L29="","",IF(L30="","",IF(L31="","",L29/(L31-L30))))</f>
        <v/>
      </c>
      <c r="M32" s="51"/>
      <c r="N32" s="50" t="str">
        <f t="shared" ref="N32" si="18">IF(N29="","",IF(N30="","",IF(N31="","",N29/(N31-N30))))</f>
        <v/>
      </c>
      <c r="O32" s="51"/>
      <c r="P32" s="29">
        <f t="shared" si="13"/>
        <v>2.3591285993294751</v>
      </c>
      <c r="Q32" s="30"/>
      <c r="R32" s="31"/>
      <c r="S32" s="2"/>
      <c r="T32" s="6"/>
      <c r="U32" s="7"/>
    </row>
    <row r="33" spans="2:21" ht="20.100000000000001" customHeight="1" x14ac:dyDescent="0.2">
      <c r="B33" s="62" t="s">
        <v>19</v>
      </c>
      <c r="C33" s="63"/>
      <c r="D33" s="40">
        <v>2.4780000000000002</v>
      </c>
      <c r="E33" s="41"/>
      <c r="F33" s="40">
        <v>2.4780000000000002</v>
      </c>
      <c r="G33" s="41"/>
      <c r="H33" s="40">
        <v>2.4780000000000002</v>
      </c>
      <c r="I33" s="41"/>
      <c r="J33" s="40">
        <v>2.4780000000000002</v>
      </c>
      <c r="K33" s="41"/>
      <c r="L33" s="40"/>
      <c r="M33" s="41"/>
      <c r="N33" s="40"/>
      <c r="O33" s="41"/>
      <c r="P33" s="29">
        <f t="shared" si="13"/>
        <v>2.4780000000000002</v>
      </c>
      <c r="Q33" s="30"/>
      <c r="R33" s="31"/>
      <c r="S33" s="2"/>
      <c r="T33" s="6"/>
      <c r="U33" s="7"/>
    </row>
    <row r="34" spans="2:21" ht="20.100000000000001" customHeight="1" x14ac:dyDescent="0.2">
      <c r="B34" s="62" t="s">
        <v>20</v>
      </c>
      <c r="C34" s="63"/>
      <c r="D34" s="32">
        <f>IF(D29="","",IF(D30="","",IF(D31="","",100*(D31-D29)/(D31-D30))))</f>
        <v>0.52372514274465076</v>
      </c>
      <c r="E34" s="33"/>
      <c r="F34" s="32">
        <f t="shared" ref="F34" si="19">IF(F29="","",IF(F30="","",IF(F31="","",100*(F31-F29)/(F31-F30))))</f>
        <v>0.74532691852669219</v>
      </c>
      <c r="G34" s="33"/>
      <c r="H34" s="32">
        <f t="shared" ref="H34" si="20">IF(H29="","",IF(H30="","",IF(H31="","",100*(H31-H29)/(H31-H30))))</f>
        <v>0.34484797130864875</v>
      </c>
      <c r="I34" s="33"/>
      <c r="J34" s="32">
        <f t="shared" ref="J34" si="21">IF(J29="","",IF(J30="","",IF(J31="","",100*(J31-J29)/(J31-J30))))</f>
        <v>0.98888735369006786</v>
      </c>
      <c r="K34" s="33"/>
      <c r="L34" s="32" t="str">
        <f t="shared" ref="L34" si="22">IF(L29="","",IF(L30="","",IF(L31="","",100*(L31-L29)/(L31-L30))))</f>
        <v/>
      </c>
      <c r="M34" s="33"/>
      <c r="N34" s="32" t="str">
        <f t="shared" ref="N34" si="23">IF(N29="","",IF(N30="","",IF(N31="","",100*(N31-N29)/(N31-N30))))</f>
        <v/>
      </c>
      <c r="O34" s="33"/>
      <c r="P34" s="26">
        <f>IF(SUM(D34:O34)=0,"",AVERAGE(D34:O34))</f>
        <v>0.65069684656751492</v>
      </c>
      <c r="Q34" s="27"/>
      <c r="R34" s="28"/>
      <c r="S34" s="2" t="s">
        <v>49</v>
      </c>
      <c r="T34" s="6"/>
      <c r="U34" s="7"/>
    </row>
    <row r="35" spans="2:21" ht="20.100000000000001" customHeight="1" x14ac:dyDescent="0.2">
      <c r="B35" s="62" t="s">
        <v>21</v>
      </c>
      <c r="C35" s="63"/>
      <c r="D35" s="40">
        <v>4.55</v>
      </c>
      <c r="E35" s="41"/>
      <c r="F35" s="40">
        <v>4.55</v>
      </c>
      <c r="G35" s="41"/>
      <c r="H35" s="40">
        <v>4.55</v>
      </c>
      <c r="I35" s="41"/>
      <c r="J35" s="40">
        <v>4.55</v>
      </c>
      <c r="K35" s="41"/>
      <c r="L35" s="40"/>
      <c r="M35" s="41"/>
      <c r="N35" s="40"/>
      <c r="O35" s="41"/>
      <c r="P35" s="26">
        <f t="shared" ref="P35:P49" si="24">IF(SUM(D35:O35)=0,"",AVERAGE(D35:O35))</f>
        <v>4.55</v>
      </c>
      <c r="Q35" s="27"/>
      <c r="R35" s="28"/>
      <c r="S35" s="2"/>
      <c r="T35" s="6" t="s">
        <v>50</v>
      </c>
      <c r="U35" s="7"/>
    </row>
    <row r="36" spans="2:21" ht="20.100000000000001" customHeight="1" x14ac:dyDescent="0.2">
      <c r="B36" s="62" t="s">
        <v>22</v>
      </c>
      <c r="C36" s="63"/>
      <c r="D36" s="48">
        <v>1.002</v>
      </c>
      <c r="E36" s="49"/>
      <c r="F36" s="48">
        <v>1.002</v>
      </c>
      <c r="G36" s="49"/>
      <c r="H36" s="48">
        <v>1.002</v>
      </c>
      <c r="I36" s="49"/>
      <c r="J36" s="48">
        <v>1.002</v>
      </c>
      <c r="K36" s="49"/>
      <c r="L36" s="48"/>
      <c r="M36" s="49"/>
      <c r="N36" s="48"/>
      <c r="O36" s="49"/>
      <c r="P36" s="26">
        <f t="shared" si="24"/>
        <v>1.002</v>
      </c>
      <c r="Q36" s="27"/>
      <c r="R36" s="28"/>
      <c r="S36" s="2"/>
      <c r="T36" s="6"/>
      <c r="U36" s="7"/>
    </row>
    <row r="37" spans="2:21" ht="20.100000000000001" customHeight="1" x14ac:dyDescent="0.2">
      <c r="B37" s="62" t="s">
        <v>23</v>
      </c>
      <c r="C37" s="63"/>
      <c r="D37" s="34">
        <v>5.3</v>
      </c>
      <c r="E37" s="35"/>
      <c r="F37" s="34">
        <v>5.3</v>
      </c>
      <c r="G37" s="35"/>
      <c r="H37" s="34">
        <v>5.3</v>
      </c>
      <c r="I37" s="35"/>
      <c r="J37" s="34">
        <v>5.3</v>
      </c>
      <c r="K37" s="35"/>
      <c r="L37" s="36"/>
      <c r="M37" s="37"/>
      <c r="N37" s="36"/>
      <c r="O37" s="37"/>
      <c r="P37" s="26">
        <f t="shared" si="24"/>
        <v>5.3</v>
      </c>
      <c r="Q37" s="27"/>
      <c r="R37" s="28"/>
      <c r="S37" s="2"/>
      <c r="T37" s="6"/>
      <c r="U37" s="7"/>
    </row>
    <row r="38" spans="2:21" ht="20.100000000000001" customHeight="1" x14ac:dyDescent="0.2">
      <c r="B38" s="62" t="s">
        <v>24</v>
      </c>
      <c r="C38" s="63"/>
      <c r="D38" s="42">
        <f t="shared" ref="D38:F38" si="25">IF(D37="","",IF(D35="","",D37/D35))</f>
        <v>1.1648351648351649</v>
      </c>
      <c r="E38" s="43"/>
      <c r="F38" s="42">
        <f t="shared" si="25"/>
        <v>1.1648351648351649</v>
      </c>
      <c r="G38" s="43"/>
      <c r="H38" s="42">
        <f t="shared" ref="H38" si="26">IF(H37="","",IF(H35="","",H37/H35))</f>
        <v>1.1648351648351649</v>
      </c>
      <c r="I38" s="43"/>
      <c r="J38" s="42">
        <f t="shared" ref="J38" si="27">IF(J37="","",IF(J35="","",J37/J35))</f>
        <v>1.1648351648351649</v>
      </c>
      <c r="K38" s="43"/>
      <c r="L38" s="42" t="str">
        <f t="shared" ref="L38" si="28">IF(L37="","",IF(L35="","",L37/L35))</f>
        <v/>
      </c>
      <c r="M38" s="43"/>
      <c r="N38" s="42" t="str">
        <f t="shared" ref="N38" si="29">IF(N37="","",IF(N35="","",N37/N35))</f>
        <v/>
      </c>
      <c r="O38" s="43"/>
      <c r="P38" s="26">
        <f t="shared" si="24"/>
        <v>1.1648351648351649</v>
      </c>
      <c r="Q38" s="27"/>
      <c r="R38" s="28"/>
      <c r="S38" s="2"/>
      <c r="T38" s="6" t="s">
        <v>50</v>
      </c>
      <c r="U38" s="7"/>
    </row>
    <row r="39" spans="2:21" ht="20.100000000000001" customHeight="1" x14ac:dyDescent="0.2">
      <c r="B39" s="62" t="s">
        <v>25</v>
      </c>
      <c r="C39" s="63"/>
      <c r="D39" s="42">
        <f>IF(D33="","",IF(D32="","",(1-D32/D33)*100))</f>
        <v>4.8122791452754559</v>
      </c>
      <c r="E39" s="43"/>
      <c r="F39" s="42">
        <f t="shared" ref="F39" si="30">IF(F33="","",IF(F32="","",(1-F32/F33)*100))</f>
        <v>4.8404888804268182</v>
      </c>
      <c r="G39" s="43"/>
      <c r="H39" s="42">
        <f t="shared" ref="H39" si="31">IF(H33="","",IF(H32="","",(1-H32/H33)*100))</f>
        <v>4.717308718480373</v>
      </c>
      <c r="I39" s="43"/>
      <c r="J39" s="42">
        <f t="shared" ref="J39" si="32">IF(J33="","",IF(J32="","",(1-J32/J33)*100))</f>
        <v>4.8182042357245329</v>
      </c>
      <c r="K39" s="43"/>
      <c r="L39" s="42" t="str">
        <f t="shared" ref="L39" si="33">IF(L33="","",IF(L32="","",(1-L32/L33)*100))</f>
        <v/>
      </c>
      <c r="M39" s="43"/>
      <c r="N39" s="42" t="str">
        <f t="shared" ref="N39" si="34">IF(N33="","",IF(N32="","",(1-N32/N33)*100))</f>
        <v/>
      </c>
      <c r="O39" s="43"/>
      <c r="P39" s="26">
        <f t="shared" si="24"/>
        <v>4.797070244976795</v>
      </c>
      <c r="Q39" s="27"/>
      <c r="R39" s="28"/>
      <c r="S39" s="2"/>
      <c r="T39" s="6" t="s">
        <v>50</v>
      </c>
      <c r="U39" s="7"/>
    </row>
    <row r="40" spans="2:21" ht="20.100000000000001" customHeight="1" x14ac:dyDescent="0.2">
      <c r="B40" s="62" t="s">
        <v>26</v>
      </c>
      <c r="C40" s="63"/>
      <c r="D40" s="46">
        <f>IF(D32="","",IF(D35="","",IF(D36="","",D35*D32/D36)))</f>
        <v>10.710898541566205</v>
      </c>
      <c r="E40" s="47"/>
      <c r="F40" s="46">
        <f t="shared" ref="F40" si="35">IF(F32="","",IF(F35="","",IF(F36="","",F35*F32/F36)))</f>
        <v>10.707724270679398</v>
      </c>
      <c r="G40" s="47"/>
      <c r="H40" s="46">
        <f t="shared" ref="H40" si="36">IF(H32="","",IF(H35="","",IF(H36="","",H35*H32/H36)))</f>
        <v>10.721584989321414</v>
      </c>
      <c r="I40" s="47"/>
      <c r="J40" s="46">
        <f t="shared" ref="J40" si="37">IF(J32="","",IF(J35="","",IF(J36="","",J35*J32/J36)))</f>
        <v>10.71023182697235</v>
      </c>
      <c r="K40" s="47"/>
      <c r="L40" s="46" t="str">
        <f t="shared" ref="L40" si="38">IF(L32="","",IF(L35="","",IF(L36="","",L35*L32/L36)))</f>
        <v/>
      </c>
      <c r="M40" s="47"/>
      <c r="N40" s="46" t="str">
        <f t="shared" ref="N40" si="39">IF(N32="","",IF(N35="","",IF(N36="","",N35*N32/N36)))</f>
        <v/>
      </c>
      <c r="O40" s="47"/>
      <c r="P40" s="26">
        <f t="shared" si="24"/>
        <v>10.712609907134841</v>
      </c>
      <c r="Q40" s="27"/>
      <c r="R40" s="28"/>
      <c r="T40" s="6"/>
      <c r="U40" s="7"/>
    </row>
    <row r="41" spans="2:21" ht="20.100000000000001" customHeight="1" x14ac:dyDescent="0.2">
      <c r="B41" s="62" t="s">
        <v>27</v>
      </c>
      <c r="C41" s="63"/>
      <c r="D41" s="42">
        <f>IF(D39="","",IF(D40="","",D39+D40))</f>
        <v>15.523177686841661</v>
      </c>
      <c r="E41" s="43"/>
      <c r="F41" s="42">
        <f t="shared" ref="F41" si="40">IF(F39="","",IF(F40="","",F39+F40))</f>
        <v>15.548213151106216</v>
      </c>
      <c r="G41" s="43"/>
      <c r="H41" s="42">
        <f t="shared" ref="H41" si="41">IF(H39="","",IF(H40="","",H39+H40))</f>
        <v>15.438893707801787</v>
      </c>
      <c r="I41" s="43"/>
      <c r="J41" s="42">
        <f t="shared" ref="J41" si="42">IF(J39="","",IF(J40="","",J39+J40))</f>
        <v>15.528436062696883</v>
      </c>
      <c r="K41" s="43"/>
      <c r="L41" s="42" t="str">
        <f t="shared" ref="L41" si="43">IF(L39="","",IF(L40="","",L39+L40))</f>
        <v/>
      </c>
      <c r="M41" s="43"/>
      <c r="N41" s="42" t="str">
        <f t="shared" ref="N41" si="44">IF(N39="","",IF(N40="","",N39+N40))</f>
        <v/>
      </c>
      <c r="O41" s="43"/>
      <c r="P41" s="26">
        <f t="shared" si="24"/>
        <v>15.509680152111637</v>
      </c>
      <c r="Q41" s="27"/>
      <c r="R41" s="28"/>
      <c r="S41" s="2" t="s">
        <v>51</v>
      </c>
      <c r="T41" s="6"/>
      <c r="U41" s="7"/>
    </row>
    <row r="42" spans="2:21" ht="20.100000000000001" customHeight="1" x14ac:dyDescent="0.2">
      <c r="B42" s="62" t="s">
        <v>28</v>
      </c>
      <c r="C42" s="63"/>
      <c r="D42" s="42">
        <f>IF(D40="","",IF(D41="","",(D41-D39)/D41*100))</f>
        <v>68.999394052194475</v>
      </c>
      <c r="E42" s="43"/>
      <c r="F42" s="42">
        <f>IF(F40="","",IF(F41="","",(F41-F39)/F41*100))</f>
        <v>68.867876756098951</v>
      </c>
      <c r="G42" s="43"/>
      <c r="H42" s="42">
        <f t="shared" ref="H42" si="45">IF(H40="","",IF(H41="","",(H41-H39)/H41*100))</f>
        <v>69.445293116458473</v>
      </c>
      <c r="I42" s="43"/>
      <c r="J42" s="42">
        <f t="shared" ref="J42" si="46">IF(J40="","",IF(J41="","",(J41-J39)/J41*100))</f>
        <v>68.971735361688857</v>
      </c>
      <c r="K42" s="43"/>
      <c r="L42" s="42" t="str">
        <f t="shared" ref="L42" si="47">IF(L40="","",IF(L41="","",L40/L41*100))</f>
        <v/>
      </c>
      <c r="M42" s="43"/>
      <c r="N42" s="42" t="str">
        <f t="shared" ref="N42" si="48">IF(N40="","",IF(N41="","",N40/N41*100))</f>
        <v/>
      </c>
      <c r="O42" s="43"/>
      <c r="P42" s="26">
        <f t="shared" si="24"/>
        <v>69.071074821610182</v>
      </c>
      <c r="Q42" s="27"/>
      <c r="R42" s="28"/>
      <c r="S42" s="2"/>
      <c r="T42" s="6" t="s">
        <v>50</v>
      </c>
      <c r="U42" s="7"/>
    </row>
    <row r="43" spans="2:21" ht="20.100000000000001" customHeight="1" x14ac:dyDescent="0.2">
      <c r="B43" s="62" t="s">
        <v>29</v>
      </c>
      <c r="C43" s="63"/>
      <c r="D43" s="44"/>
      <c r="E43" s="45"/>
      <c r="F43" s="44"/>
      <c r="G43" s="45"/>
      <c r="H43" s="36">
        <v>3.17</v>
      </c>
      <c r="I43" s="37"/>
      <c r="J43" s="34">
        <v>2.46</v>
      </c>
      <c r="K43" s="35"/>
      <c r="L43" s="34"/>
      <c r="M43" s="35"/>
      <c r="N43" s="44"/>
      <c r="O43" s="45"/>
      <c r="P43" s="26">
        <f t="shared" si="24"/>
        <v>2.8149999999999999</v>
      </c>
      <c r="Q43" s="27"/>
      <c r="R43" s="28"/>
      <c r="S43" s="2"/>
      <c r="T43" s="6" t="s">
        <v>50</v>
      </c>
      <c r="U43" s="7"/>
    </row>
    <row r="44" spans="2:21" ht="20.100000000000001" customHeight="1" x14ac:dyDescent="0.2">
      <c r="B44" s="62" t="s">
        <v>30</v>
      </c>
      <c r="C44" s="63"/>
      <c r="D44" s="44"/>
      <c r="E44" s="45"/>
      <c r="F44" s="44"/>
      <c r="G44" s="45"/>
      <c r="H44" s="36">
        <v>1644</v>
      </c>
      <c r="I44" s="37"/>
      <c r="J44" s="36">
        <v>1944</v>
      </c>
      <c r="K44" s="37"/>
      <c r="L44" s="36"/>
      <c r="M44" s="37"/>
      <c r="N44" s="44"/>
      <c r="O44" s="45"/>
      <c r="P44" s="23">
        <f t="shared" si="24"/>
        <v>1794</v>
      </c>
      <c r="Q44" s="24"/>
      <c r="R44" s="25"/>
      <c r="S44" s="2"/>
      <c r="T44" s="6"/>
      <c r="U44" s="7"/>
    </row>
    <row r="45" spans="2:21" ht="20.100000000000001" customHeight="1" x14ac:dyDescent="0.2">
      <c r="B45" s="62" t="s">
        <v>31</v>
      </c>
      <c r="C45" s="63"/>
      <c r="D45" s="36" t="str">
        <f t="shared" ref="D45" si="49">IF(D44="","",(0.9905*D44)+4.7547)</f>
        <v/>
      </c>
      <c r="E45" s="37"/>
      <c r="F45" s="36" t="str">
        <f t="shared" ref="F45" si="50">IF(F44="","",(0.9905*F44)+4.7547)</f>
        <v/>
      </c>
      <c r="G45" s="37"/>
      <c r="H45" s="52">
        <f>IF(H44="","",(0.9905*H44)+4.7547)</f>
        <v>1633.1367</v>
      </c>
      <c r="I45" s="53"/>
      <c r="J45" s="52">
        <f>IF(J44="","",(0.9905*J44)+4.7547)</f>
        <v>1930.2867000000001</v>
      </c>
      <c r="K45" s="53"/>
      <c r="L45" s="52" t="str">
        <f t="shared" ref="L45" si="51">IF(L44="","",(0.9905*L44)+4.7547)</f>
        <v/>
      </c>
      <c r="M45" s="53"/>
      <c r="N45" s="42" t="str">
        <f t="shared" ref="N45" si="52">IF(N44="","",(0.9905*N44)+4.7547)</f>
        <v/>
      </c>
      <c r="O45" s="43"/>
      <c r="P45" s="23">
        <f t="shared" si="24"/>
        <v>1781.7117000000001</v>
      </c>
      <c r="Q45" s="24"/>
      <c r="R45" s="25"/>
      <c r="S45" s="2"/>
      <c r="T45" s="6"/>
      <c r="U45" s="7"/>
    </row>
    <row r="46" spans="2:21" ht="20.100000000000001" customHeight="1" x14ac:dyDescent="0.2">
      <c r="B46" s="62" t="s">
        <v>32</v>
      </c>
      <c r="C46" s="63"/>
      <c r="D46" s="36" t="str">
        <f t="shared" ref="D46" si="53">IF(D45="","",IF(D28="","",D45*D28))</f>
        <v/>
      </c>
      <c r="E46" s="37"/>
      <c r="F46" s="36" t="str">
        <f t="shared" ref="F46" si="54">IF(F45="","",IF(F28="","",F45*F28))</f>
        <v/>
      </c>
      <c r="G46" s="37"/>
      <c r="H46" s="52">
        <f>IF(H45="","",IF(H28="","",H45*H28))</f>
        <v>1580.8921763387248</v>
      </c>
      <c r="I46" s="53"/>
      <c r="J46" s="52">
        <f>IF(J45="","",IF(J28="","",J45*J28))</f>
        <v>1839.1754483993161</v>
      </c>
      <c r="K46" s="53"/>
      <c r="L46" s="52" t="str">
        <f t="shared" ref="L46" si="55">IF(L45="","",IF(L28="","",L45*L28))</f>
        <v/>
      </c>
      <c r="M46" s="53"/>
      <c r="N46" s="42" t="str">
        <f t="shared" ref="N46" si="56">IF(N45="","",IF(N28="","",N45*N28))</f>
        <v/>
      </c>
      <c r="O46" s="43"/>
      <c r="P46" s="23">
        <f t="shared" si="24"/>
        <v>1710.0338123690203</v>
      </c>
      <c r="Q46" s="24"/>
      <c r="R46" s="25"/>
      <c r="S46" s="2" t="s">
        <v>51</v>
      </c>
      <c r="T46" s="6"/>
      <c r="U46" s="7"/>
    </row>
    <row r="47" spans="2:21" ht="20.100000000000001" customHeight="1" x14ac:dyDescent="0.2">
      <c r="B47" s="62" t="s">
        <v>33</v>
      </c>
      <c r="C47" s="63"/>
      <c r="D47" s="36">
        <v>1768</v>
      </c>
      <c r="E47" s="37"/>
      <c r="F47" s="36">
        <v>1653</v>
      </c>
      <c r="G47" s="37"/>
      <c r="H47" s="36"/>
      <c r="I47" s="37"/>
      <c r="J47" s="44"/>
      <c r="K47" s="45"/>
      <c r="L47" s="44"/>
      <c r="M47" s="45"/>
      <c r="N47" s="44"/>
      <c r="O47" s="45"/>
      <c r="P47" s="23">
        <f t="shared" si="24"/>
        <v>1710.5</v>
      </c>
      <c r="Q47" s="24"/>
      <c r="R47" s="25"/>
      <c r="S47" s="2"/>
      <c r="T47" s="6"/>
      <c r="U47" s="7"/>
    </row>
    <row r="48" spans="2:21" ht="20.100000000000001" customHeight="1" x14ac:dyDescent="0.2">
      <c r="B48" s="62" t="s">
        <v>34</v>
      </c>
      <c r="C48" s="63"/>
      <c r="D48" s="52">
        <f>IF(D47="","",((0.9905*D47)+4.7547)*D28)</f>
        <v>1707.3261259276051</v>
      </c>
      <c r="E48" s="53"/>
      <c r="F48" s="52">
        <f>IF(F47="","",((0.9905*F47)+4.7547)*F28)</f>
        <v>1560.1512361796961</v>
      </c>
      <c r="G48" s="53"/>
      <c r="H48" s="52" t="str">
        <f t="shared" ref="H48" si="57">IF(H47="","",((0.9905*H47)+4.7547)*H28)</f>
        <v/>
      </c>
      <c r="I48" s="53"/>
      <c r="J48" s="36" t="str">
        <f t="shared" ref="J48" si="58">IF(J47="","",((0.9905*J47)+4.7547)*J28)</f>
        <v/>
      </c>
      <c r="K48" s="37"/>
      <c r="L48" s="36" t="str">
        <f t="shared" ref="L48" si="59">IF(L47="","",((0.9905*L47)+4.7547)*L28)</f>
        <v/>
      </c>
      <c r="M48" s="37"/>
      <c r="N48" s="36" t="str">
        <f t="shared" ref="N48" si="60">IF(N47="","",((0.9905*N47)+4.7547)*N28)</f>
        <v/>
      </c>
      <c r="O48" s="37"/>
      <c r="P48" s="23">
        <f t="shared" si="24"/>
        <v>1633.7386810536505</v>
      </c>
      <c r="Q48" s="24"/>
      <c r="R48" s="25"/>
      <c r="S48" s="2"/>
      <c r="T48" s="6"/>
      <c r="U48" s="7"/>
    </row>
    <row r="49" spans="2:22" ht="20.100000000000001" customHeight="1" x14ac:dyDescent="0.2">
      <c r="B49" s="62" t="s">
        <v>35</v>
      </c>
      <c r="C49" s="63"/>
      <c r="D49" s="56">
        <f>IF(D48="","",((2*(D48*9.80665))/(PI()*D27*D22)))</f>
        <v>1.6192959498077324</v>
      </c>
      <c r="E49" s="57"/>
      <c r="F49" s="56">
        <f>IF(F48="","",((2*(F48*9.80665))/(PI()*F27*F22)))</f>
        <v>1.457897806916564</v>
      </c>
      <c r="G49" s="57"/>
      <c r="H49" s="56" t="str">
        <f t="shared" ref="H49" si="61">IF(H48="","",((2*(H48*9.80665))/(PI()*H27*H22)))</f>
        <v/>
      </c>
      <c r="I49" s="57"/>
      <c r="J49" s="40" t="str">
        <f t="shared" ref="J49" si="62">IF(J48="","",((2*(J48*9.80665))/(PI()*J27*J22)))</f>
        <v/>
      </c>
      <c r="K49" s="41"/>
      <c r="L49" s="40" t="str">
        <f t="shared" ref="L49" si="63">IF(L48="","",((2*(L48*9.80665))/(PI()*L27*L22)))</f>
        <v/>
      </c>
      <c r="M49" s="41"/>
      <c r="N49" s="40" t="str">
        <f t="shared" ref="N49" si="64">IF(N48="","",((2*(N48*9.80665))/(PI()*N27*N22)))</f>
        <v/>
      </c>
      <c r="O49" s="41"/>
      <c r="P49" s="26">
        <f t="shared" si="24"/>
        <v>1.5385968783621482</v>
      </c>
      <c r="Q49" s="27"/>
      <c r="R49" s="28"/>
      <c r="S49" s="2" t="s">
        <v>51</v>
      </c>
      <c r="T49" s="6"/>
      <c r="U49" s="7"/>
    </row>
    <row r="50" spans="2:22" ht="20.100000000000001" customHeight="1" x14ac:dyDescent="0.2">
      <c r="B50" s="62" t="s">
        <v>36</v>
      </c>
      <c r="C50" s="63"/>
      <c r="D50" s="44" t="s">
        <v>44</v>
      </c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12"/>
      <c r="P50" s="5"/>
      <c r="Q50" s="5"/>
      <c r="R50" s="5"/>
      <c r="S50" s="2"/>
      <c r="T50" s="6"/>
      <c r="U50" s="7"/>
    </row>
    <row r="51" spans="2:22" ht="30" customHeight="1" x14ac:dyDescent="0.2">
      <c r="B51" s="70" t="s">
        <v>37</v>
      </c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/>
    </row>
    <row r="52" spans="2:22" ht="20.100000000000001" customHeight="1" x14ac:dyDescent="0.2">
      <c r="B52" s="68" t="s">
        <v>39</v>
      </c>
      <c r="C52" s="69"/>
      <c r="D52" s="64" t="s">
        <v>42</v>
      </c>
      <c r="E52" s="65"/>
      <c r="F52" s="66" t="s">
        <v>43</v>
      </c>
      <c r="G52" s="67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10"/>
    </row>
    <row r="53" spans="2:22" ht="20.100000000000001" customHeight="1" x14ac:dyDescent="0.2">
      <c r="B53" s="68" t="s">
        <v>40</v>
      </c>
      <c r="C53" s="69"/>
      <c r="D53" s="64" t="s">
        <v>42</v>
      </c>
      <c r="E53" s="65"/>
      <c r="F53" s="66" t="s">
        <v>43</v>
      </c>
      <c r="G53" s="67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10"/>
    </row>
    <row r="54" spans="2:22" ht="20.100000000000001" customHeight="1" x14ac:dyDescent="0.2">
      <c r="B54" s="68" t="s">
        <v>41</v>
      </c>
      <c r="C54" s="69"/>
      <c r="D54" s="64" t="s">
        <v>42</v>
      </c>
      <c r="E54" s="65"/>
      <c r="F54" s="66" t="s">
        <v>43</v>
      </c>
      <c r="G54" s="67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10"/>
    </row>
    <row r="55" spans="2:22" ht="30" customHeight="1" x14ac:dyDescent="0.2">
      <c r="B55" s="96" t="s">
        <v>38</v>
      </c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</row>
    <row r="56" spans="2:22" ht="96.75" customHeight="1" x14ac:dyDescent="0.2">
      <c r="B56" s="116" t="s">
        <v>55</v>
      </c>
      <c r="C56" s="114"/>
      <c r="D56" s="114"/>
      <c r="E56" s="114"/>
      <c r="F56" s="114"/>
      <c r="G56" s="114"/>
      <c r="H56" s="114"/>
      <c r="I56" s="114"/>
      <c r="J56" s="114"/>
      <c r="K56" s="114" t="s">
        <v>56</v>
      </c>
      <c r="L56" s="114"/>
      <c r="M56" s="114"/>
      <c r="N56" s="114"/>
      <c r="O56" s="114"/>
      <c r="P56" s="114"/>
      <c r="Q56" s="114"/>
      <c r="R56" s="114"/>
      <c r="S56" s="114"/>
      <c r="T56" s="114"/>
      <c r="U56" s="115"/>
    </row>
    <row r="57" spans="2:22" ht="11.25" customHeight="1" x14ac:dyDescent="0.2">
      <c r="B57" s="16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5"/>
    </row>
    <row r="58" spans="2:22" ht="1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 spans="2:22" ht="30" customHeight="1" x14ac:dyDescent="0.2">
      <c r="B59" s="107" t="s">
        <v>64</v>
      </c>
      <c r="C59" s="107"/>
      <c r="D59" s="109" t="s">
        <v>74</v>
      </c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</row>
    <row r="60" spans="2:22" ht="30" customHeight="1" x14ac:dyDescent="0.2">
      <c r="B60" s="108" t="s">
        <v>65</v>
      </c>
      <c r="C60" s="108"/>
      <c r="D60" s="110" t="s">
        <v>71</v>
      </c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</row>
    <row r="61" spans="2:22" ht="30" customHeight="1" x14ac:dyDescent="0.2">
      <c r="B61" s="108" t="s">
        <v>66</v>
      </c>
      <c r="C61" s="108"/>
      <c r="D61" s="110" t="s">
        <v>75</v>
      </c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</row>
    <row r="62" spans="2:22" ht="9" customHeight="1" x14ac:dyDescent="0.2"/>
    <row r="63" spans="2:22" ht="22.5" customHeight="1" x14ac:dyDescent="0.2"/>
    <row r="64" spans="2:22" ht="22.5" customHeight="1" x14ac:dyDescent="0.2"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</row>
    <row r="65" spans="3:22" ht="22.5" customHeight="1" x14ac:dyDescent="0.2"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3"/>
      <c r="R65" s="113"/>
      <c r="S65" s="113"/>
      <c r="T65" s="113"/>
      <c r="U65" s="113"/>
      <c r="V65" s="113"/>
    </row>
    <row r="66" spans="3:22" ht="22.5" customHeight="1" x14ac:dyDescent="0.2"/>
    <row r="67" spans="3:22" ht="22.5" customHeight="1" x14ac:dyDescent="0.2"/>
    <row r="68" spans="3:22" ht="22.5" customHeight="1" x14ac:dyDescent="0.2"/>
    <row r="69" spans="3:22" ht="22.5" customHeight="1" x14ac:dyDescent="0.2"/>
    <row r="70" spans="3:22" ht="22.5" customHeight="1" x14ac:dyDescent="0.2"/>
    <row r="71" spans="3:22" ht="22.5" customHeight="1" x14ac:dyDescent="0.2"/>
    <row r="72" spans="3:22" ht="22.5" customHeight="1" x14ac:dyDescent="0.2"/>
    <row r="73" spans="3:22" ht="51.75" customHeight="1" x14ac:dyDescent="0.2"/>
    <row r="74" spans="3:22" ht="24.75" customHeight="1" x14ac:dyDescent="0.2"/>
    <row r="75" spans="3:22" ht="22.5" customHeight="1" x14ac:dyDescent="0.2"/>
    <row r="116" spans="7:26" x14ac:dyDescent="0.2">
      <c r="G116" s="97" t="s">
        <v>54</v>
      </c>
      <c r="H116" s="98"/>
      <c r="I116" s="98"/>
      <c r="J116" s="98"/>
      <c r="K116" s="99"/>
      <c r="L116" s="98" t="s">
        <v>61</v>
      </c>
      <c r="M116" s="98"/>
      <c r="N116" s="98"/>
      <c r="O116" s="98"/>
      <c r="P116" s="98"/>
      <c r="Q116" s="98"/>
      <c r="R116" s="98"/>
      <c r="S116" s="98"/>
      <c r="T116" s="99"/>
      <c r="U116" s="100" t="s">
        <v>62</v>
      </c>
      <c r="V116" s="98"/>
      <c r="W116" s="98"/>
      <c r="X116" s="98"/>
      <c r="Y116" s="98"/>
      <c r="Z116" s="101"/>
    </row>
    <row r="117" spans="7:26" x14ac:dyDescent="0.2">
      <c r="G117" s="102" t="s">
        <v>8</v>
      </c>
      <c r="H117" s="103"/>
      <c r="I117" s="103"/>
      <c r="J117" s="103"/>
      <c r="K117" s="104"/>
      <c r="L117" s="103" t="s">
        <v>9</v>
      </c>
      <c r="M117" s="103"/>
      <c r="N117" s="103"/>
      <c r="O117" s="103"/>
      <c r="P117" s="103"/>
      <c r="Q117" s="103"/>
      <c r="R117" s="103"/>
      <c r="S117" s="103"/>
      <c r="T117" s="104"/>
      <c r="U117" s="105" t="s">
        <v>10</v>
      </c>
      <c r="V117" s="105"/>
      <c r="W117" s="105"/>
      <c r="X117" s="105"/>
      <c r="Y117" s="105"/>
      <c r="Z117" s="106"/>
    </row>
  </sheetData>
  <protectedRanges>
    <protectedRange sqref="O8 E9:U10 U35 M33:O33 U38:U39 U42:U43 U46 M50:U51 U49 C7:K8 M17:O21 S17:U33 M23:O26 M29:O31 S38:S39 M35:O49 T40:U40 M7:N8 Q7:U8 O7:P7 S36:U37 S35 S44:U45 S42:S43 S47:U48 P17:R49" name="Intervalo1"/>
    <protectedRange sqref="D52:F54" name="Intervalo1_1"/>
  </protectedRanges>
  <mergeCells count="308">
    <mergeCell ref="P31:R31"/>
    <mergeCell ref="B55:U55"/>
    <mergeCell ref="G116:K116"/>
    <mergeCell ref="L116:T116"/>
    <mergeCell ref="U116:Z116"/>
    <mergeCell ref="G117:K117"/>
    <mergeCell ref="L117:T117"/>
    <mergeCell ref="U117:Z117"/>
    <mergeCell ref="B59:C59"/>
    <mergeCell ref="B60:C60"/>
    <mergeCell ref="B61:C61"/>
    <mergeCell ref="D59:U59"/>
    <mergeCell ref="D60:U60"/>
    <mergeCell ref="D61:U61"/>
    <mergeCell ref="C64:G64"/>
    <mergeCell ref="H64:P64"/>
    <mergeCell ref="Q64:V64"/>
    <mergeCell ref="C65:G65"/>
    <mergeCell ref="H65:P65"/>
    <mergeCell ref="Q65:V65"/>
    <mergeCell ref="K56:U56"/>
    <mergeCell ref="B56:J56"/>
    <mergeCell ref="D52:E52"/>
    <mergeCell ref="D53:E53"/>
    <mergeCell ref="B1:U1"/>
    <mergeCell ref="B6:U6"/>
    <mergeCell ref="B3:J3"/>
    <mergeCell ref="B4:J4"/>
    <mergeCell ref="B5:J5"/>
    <mergeCell ref="K3:U3"/>
    <mergeCell ref="K4:U4"/>
    <mergeCell ref="K5:U5"/>
    <mergeCell ref="B17:O17"/>
    <mergeCell ref="B16:U16"/>
    <mergeCell ref="S17:U17"/>
    <mergeCell ref="P17:R17"/>
    <mergeCell ref="B13:U13"/>
    <mergeCell ref="B14:U14"/>
    <mergeCell ref="B15:U15"/>
    <mergeCell ref="C8:K8"/>
    <mergeCell ref="B9:E9"/>
    <mergeCell ref="B10:E10"/>
    <mergeCell ref="F10:U10"/>
    <mergeCell ref="B12:U12"/>
    <mergeCell ref="B11:U11"/>
    <mergeCell ref="F9:U9"/>
    <mergeCell ref="B2:U2"/>
    <mergeCell ref="O8:U8"/>
    <mergeCell ref="D54:E54"/>
    <mergeCell ref="F52:G52"/>
    <mergeCell ref="F53:G53"/>
    <mergeCell ref="F54:G54"/>
    <mergeCell ref="B41:C41"/>
    <mergeCell ref="B42:C42"/>
    <mergeCell ref="B43:C43"/>
    <mergeCell ref="B44:C44"/>
    <mergeCell ref="B50:C50"/>
    <mergeCell ref="B45:C45"/>
    <mergeCell ref="B46:C46"/>
    <mergeCell ref="B47:C47"/>
    <mergeCell ref="B48:C48"/>
    <mergeCell ref="B49:C49"/>
    <mergeCell ref="B52:C52"/>
    <mergeCell ref="B53:C53"/>
    <mergeCell ref="B54:C54"/>
    <mergeCell ref="B51:U51"/>
    <mergeCell ref="F45:G45"/>
    <mergeCell ref="F44:G44"/>
    <mergeCell ref="F43:G43"/>
    <mergeCell ref="F42:G42"/>
    <mergeCell ref="F41:G41"/>
    <mergeCell ref="D49:E49"/>
    <mergeCell ref="L19:M19"/>
    <mergeCell ref="N19:O19"/>
    <mergeCell ref="P18:R18"/>
    <mergeCell ref="P19:R19"/>
    <mergeCell ref="B18:B22"/>
    <mergeCell ref="D19:E19"/>
    <mergeCell ref="D20:E20"/>
    <mergeCell ref="D21:E21"/>
    <mergeCell ref="D22:E22"/>
    <mergeCell ref="N18:O18"/>
    <mergeCell ref="L18:M18"/>
    <mergeCell ref="J18:K18"/>
    <mergeCell ref="H18:I18"/>
    <mergeCell ref="F18:G18"/>
    <mergeCell ref="D18:E18"/>
    <mergeCell ref="J19:K19"/>
    <mergeCell ref="H19:I19"/>
    <mergeCell ref="H20:I20"/>
    <mergeCell ref="H21:I21"/>
    <mergeCell ref="H22:I22"/>
    <mergeCell ref="J20:K20"/>
    <mergeCell ref="J21:K21"/>
    <mergeCell ref="J22:K22"/>
    <mergeCell ref="F19:G19"/>
    <mergeCell ref="B23:B27"/>
    <mergeCell ref="B33:C33"/>
    <mergeCell ref="B34:C34"/>
    <mergeCell ref="B35:C35"/>
    <mergeCell ref="B36:C36"/>
    <mergeCell ref="B37:C37"/>
    <mergeCell ref="B38:C38"/>
    <mergeCell ref="B39:C39"/>
    <mergeCell ref="B40:C40"/>
    <mergeCell ref="B28:C28"/>
    <mergeCell ref="B29:C29"/>
    <mergeCell ref="B30:C30"/>
    <mergeCell ref="B31:C31"/>
    <mergeCell ref="B32:C32"/>
    <mergeCell ref="F49:G49"/>
    <mergeCell ref="D27:E27"/>
    <mergeCell ref="D28:E28"/>
    <mergeCell ref="F48:G48"/>
    <mergeCell ref="F47:G47"/>
    <mergeCell ref="F46:G46"/>
    <mergeCell ref="D44:E44"/>
    <mergeCell ref="D45:E45"/>
    <mergeCell ref="D23:E23"/>
    <mergeCell ref="F37:G37"/>
    <mergeCell ref="F30:G30"/>
    <mergeCell ref="F29:G29"/>
    <mergeCell ref="F28:G28"/>
    <mergeCell ref="F27:G27"/>
    <mergeCell ref="F26:G26"/>
    <mergeCell ref="D50:N50"/>
    <mergeCell ref="D30:E30"/>
    <mergeCell ref="D31:E31"/>
    <mergeCell ref="D32:E32"/>
    <mergeCell ref="D33:E33"/>
    <mergeCell ref="D39:E39"/>
    <mergeCell ref="D40:E40"/>
    <mergeCell ref="D41:E41"/>
    <mergeCell ref="D42:E42"/>
    <mergeCell ref="D43:E43"/>
    <mergeCell ref="D34:E34"/>
    <mergeCell ref="D35:E35"/>
    <mergeCell ref="D46:E46"/>
    <mergeCell ref="D47:E47"/>
    <mergeCell ref="D48:E48"/>
    <mergeCell ref="F35:G35"/>
    <mergeCell ref="D36:E36"/>
    <mergeCell ref="D37:E37"/>
    <mergeCell ref="D38:E38"/>
    <mergeCell ref="H37:I37"/>
    <mergeCell ref="H38:I38"/>
    <mergeCell ref="F40:G40"/>
    <mergeCell ref="F39:G39"/>
    <mergeCell ref="F38:G38"/>
    <mergeCell ref="H23:I23"/>
    <mergeCell ref="H24:I24"/>
    <mergeCell ref="H25:I25"/>
    <mergeCell ref="D29:E29"/>
    <mergeCell ref="F20:G20"/>
    <mergeCell ref="F21:G21"/>
    <mergeCell ref="F22:G22"/>
    <mergeCell ref="F23:G23"/>
    <mergeCell ref="H36:I36"/>
    <mergeCell ref="H31:I31"/>
    <mergeCell ref="H32:I32"/>
    <mergeCell ref="H33:I33"/>
    <mergeCell ref="H34:I34"/>
    <mergeCell ref="F32:G32"/>
    <mergeCell ref="F33:G33"/>
    <mergeCell ref="D24:E24"/>
    <mergeCell ref="D25:E25"/>
    <mergeCell ref="D26:E26"/>
    <mergeCell ref="H26:I26"/>
    <mergeCell ref="F31:G31"/>
    <mergeCell ref="F36:G36"/>
    <mergeCell ref="H30:I30"/>
    <mergeCell ref="F24:G24"/>
    <mergeCell ref="F25:G25"/>
    <mergeCell ref="H35:I35"/>
    <mergeCell ref="H39:I39"/>
    <mergeCell ref="H27:I27"/>
    <mergeCell ref="H28:I28"/>
    <mergeCell ref="H29:I29"/>
    <mergeCell ref="F34:G34"/>
    <mergeCell ref="H46:I46"/>
    <mergeCell ref="H47:I47"/>
    <mergeCell ref="H48:I48"/>
    <mergeCell ref="H49:I49"/>
    <mergeCell ref="H40:I40"/>
    <mergeCell ref="H41:I41"/>
    <mergeCell ref="H42:I42"/>
    <mergeCell ref="H43:I43"/>
    <mergeCell ref="H44:I44"/>
    <mergeCell ref="H45:I45"/>
    <mergeCell ref="J23:K23"/>
    <mergeCell ref="J35:K35"/>
    <mergeCell ref="J36:K36"/>
    <mergeCell ref="J37:K37"/>
    <mergeCell ref="J38:K38"/>
    <mergeCell ref="J39:K39"/>
    <mergeCell ref="J29:K29"/>
    <mergeCell ref="J30:K30"/>
    <mergeCell ref="J31:K31"/>
    <mergeCell ref="J32:K32"/>
    <mergeCell ref="J33:K33"/>
    <mergeCell ref="J34:K34"/>
    <mergeCell ref="J24:K24"/>
    <mergeCell ref="J25:K25"/>
    <mergeCell ref="J26:K26"/>
    <mergeCell ref="J27:K27"/>
    <mergeCell ref="J28:K28"/>
    <mergeCell ref="J45:K45"/>
    <mergeCell ref="J46:K46"/>
    <mergeCell ref="J47:K47"/>
    <mergeCell ref="J48:K48"/>
    <mergeCell ref="J49:K49"/>
    <mergeCell ref="J40:K40"/>
    <mergeCell ref="J41:K41"/>
    <mergeCell ref="J42:K42"/>
    <mergeCell ref="J43:K43"/>
    <mergeCell ref="J44:K44"/>
    <mergeCell ref="L49:M49"/>
    <mergeCell ref="L40:M40"/>
    <mergeCell ref="L41:M41"/>
    <mergeCell ref="L42:M42"/>
    <mergeCell ref="L43:M43"/>
    <mergeCell ref="L44:M44"/>
    <mergeCell ref="L35:M35"/>
    <mergeCell ref="L36:M36"/>
    <mergeCell ref="L37:M37"/>
    <mergeCell ref="L38:M38"/>
    <mergeCell ref="L39:M39"/>
    <mergeCell ref="N20:O20"/>
    <mergeCell ref="N21:O21"/>
    <mergeCell ref="N22:O22"/>
    <mergeCell ref="N23:O23"/>
    <mergeCell ref="N24:O24"/>
    <mergeCell ref="L45:M45"/>
    <mergeCell ref="L46:M46"/>
    <mergeCell ref="L47:M47"/>
    <mergeCell ref="L48:M48"/>
    <mergeCell ref="L30:M30"/>
    <mergeCell ref="L31:M31"/>
    <mergeCell ref="L32:M32"/>
    <mergeCell ref="L33:M33"/>
    <mergeCell ref="L34:M34"/>
    <mergeCell ref="L25:M25"/>
    <mergeCell ref="L26:M26"/>
    <mergeCell ref="L27:M27"/>
    <mergeCell ref="L28:M28"/>
    <mergeCell ref="L29:M29"/>
    <mergeCell ref="L20:M20"/>
    <mergeCell ref="L21:M21"/>
    <mergeCell ref="L22:M22"/>
    <mergeCell ref="L23:M23"/>
    <mergeCell ref="L24:M24"/>
    <mergeCell ref="N25:O25"/>
    <mergeCell ref="N26:O26"/>
    <mergeCell ref="N27:O27"/>
    <mergeCell ref="N28:O28"/>
    <mergeCell ref="N29:O29"/>
    <mergeCell ref="N46:O46"/>
    <mergeCell ref="N47:O47"/>
    <mergeCell ref="N48:O48"/>
    <mergeCell ref="N49:O49"/>
    <mergeCell ref="N40:O40"/>
    <mergeCell ref="N41:O41"/>
    <mergeCell ref="N42:O42"/>
    <mergeCell ref="N43:O43"/>
    <mergeCell ref="N44:O44"/>
    <mergeCell ref="N45:O45"/>
    <mergeCell ref="N35:O35"/>
    <mergeCell ref="N36:O36"/>
    <mergeCell ref="N37:O37"/>
    <mergeCell ref="N38:O38"/>
    <mergeCell ref="N39:O39"/>
    <mergeCell ref="N30:O30"/>
    <mergeCell ref="N31:O31"/>
    <mergeCell ref="N32:O32"/>
    <mergeCell ref="N33:O33"/>
    <mergeCell ref="P26:R26"/>
    <mergeCell ref="P27:R27"/>
    <mergeCell ref="P28:R28"/>
    <mergeCell ref="P29:R29"/>
    <mergeCell ref="P20:R20"/>
    <mergeCell ref="P21:R21"/>
    <mergeCell ref="P22:R22"/>
    <mergeCell ref="P23:R23"/>
    <mergeCell ref="P24:R24"/>
    <mergeCell ref="C7:K7"/>
    <mergeCell ref="O7:U7"/>
    <mergeCell ref="L7:N7"/>
    <mergeCell ref="P45:R45"/>
    <mergeCell ref="P46:R46"/>
    <mergeCell ref="P47:R47"/>
    <mergeCell ref="P48:R48"/>
    <mergeCell ref="P49:R49"/>
    <mergeCell ref="P40:R40"/>
    <mergeCell ref="P41:R41"/>
    <mergeCell ref="P42:R42"/>
    <mergeCell ref="P43:R43"/>
    <mergeCell ref="P44:R44"/>
    <mergeCell ref="P35:R35"/>
    <mergeCell ref="P36:R36"/>
    <mergeCell ref="P37:R37"/>
    <mergeCell ref="P38:R38"/>
    <mergeCell ref="P39:R39"/>
    <mergeCell ref="P30:R30"/>
    <mergeCell ref="P32:R32"/>
    <mergeCell ref="P33:R33"/>
    <mergeCell ref="P34:R34"/>
    <mergeCell ref="P25:R25"/>
    <mergeCell ref="N34:O34"/>
  </mergeCells>
  <printOptions horizontalCentered="1"/>
  <pageMargins left="0.59055118110236227" right="0.59055118110236227" top="0.78740157480314965" bottom="0.78740157480314965" header="0.51181102362204722" footer="0.55118110236220474"/>
  <pageSetup paperSize="9" scale="49" orientation="portrait" r:id="rId1"/>
  <headerFooter alignWithMargins="0"/>
  <rowBreaks count="1" manualBreakCount="1">
    <brk id="5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76200</xdr:colOff>
                    <xdr:row>51</xdr:row>
                    <xdr:rowOff>0</xdr:rowOff>
                  </from>
                  <to>
                    <xdr:col>3</xdr:col>
                    <xdr:colOff>333375</xdr:colOff>
                    <xdr:row>51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3</xdr:col>
                    <xdr:colOff>76200</xdr:colOff>
                    <xdr:row>52</xdr:row>
                    <xdr:rowOff>0</xdr:rowOff>
                  </from>
                  <to>
                    <xdr:col>3</xdr:col>
                    <xdr:colOff>333375</xdr:colOff>
                    <xdr:row>52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3</xdr:col>
                    <xdr:colOff>76200</xdr:colOff>
                    <xdr:row>53</xdr:row>
                    <xdr:rowOff>0</xdr:rowOff>
                  </from>
                  <to>
                    <xdr:col>3</xdr:col>
                    <xdr:colOff>333375</xdr:colOff>
                    <xdr:row>53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5</xdr:col>
                    <xdr:colOff>47625</xdr:colOff>
                    <xdr:row>51</xdr:row>
                    <xdr:rowOff>0</xdr:rowOff>
                  </from>
                  <to>
                    <xdr:col>5</xdr:col>
                    <xdr:colOff>304800</xdr:colOff>
                    <xdr:row>51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5</xdr:col>
                    <xdr:colOff>47625</xdr:colOff>
                    <xdr:row>52</xdr:row>
                    <xdr:rowOff>0</xdr:rowOff>
                  </from>
                  <to>
                    <xdr:col>5</xdr:col>
                    <xdr:colOff>304800</xdr:colOff>
                    <xdr:row>52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5</xdr:col>
                    <xdr:colOff>47625</xdr:colOff>
                    <xdr:row>53</xdr:row>
                    <xdr:rowOff>0</xdr:rowOff>
                  </from>
                  <to>
                    <xdr:col>5</xdr:col>
                    <xdr:colOff>304800</xdr:colOff>
                    <xdr:row>53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FR-IMOB-13_Rev00</vt:lpstr>
      <vt:lpstr>'FR-IMOB-13_Rev00'!Area_de_impressao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Adriano de Jesus Viana</cp:lastModifiedBy>
  <cp:lastPrinted>2026-04-16T20:00:00Z</cp:lastPrinted>
  <dcterms:created xsi:type="dcterms:W3CDTF">2021-11-09T18:03:44Z</dcterms:created>
  <dcterms:modified xsi:type="dcterms:W3CDTF">2026-04-16T20:00:04Z</dcterms:modified>
</cp:coreProperties>
</file>