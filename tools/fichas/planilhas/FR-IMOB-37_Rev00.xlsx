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-S&amp;Q\_Área Comum\1. Documentos\Implantação de Obras\MO-IMOB-02 Laboratório de Controle Tecnólogico\Formulários - Em revisão\"/>
    </mc:Choice>
  </mc:AlternateContent>
  <xr:revisionPtr revIDLastSave="0" documentId="13_ncr:1_{C13750E2-105F-4712-8F24-888B0378540A}" xr6:coauthVersionLast="47" xr6:coauthVersionMax="47" xr10:uidLastSave="{00000000-0000-0000-0000-000000000000}"/>
  <bookViews>
    <workbookView xWindow="-28910" yWindow="-1730" windowWidth="29020" windowHeight="15820" xr2:uid="{BD3E2E72-983D-4635-B418-515DB4BCDA86}"/>
  </bookViews>
  <sheets>
    <sheet name="FR-IMOB-37_Rev00" sheetId="1" r:id="rId1"/>
    <sheet name="VERSO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123Graph_A" hidden="1">#N/A</definedName>
    <definedName name="__123Graph_X" hidden="1">#N/A</definedName>
    <definedName name="__IntlFixup" hidden="1">TRUE</definedName>
    <definedName name="_1__123Graph_FCHART_1" hidden="1">[1]MARSHALL1!#REF!</definedName>
    <definedName name="_2__123Graph_XCHART_1" hidden="1">[1]MARSHALL1!#REF!</definedName>
    <definedName name="_bri1">#REF!</definedName>
    <definedName name="_bri2">#REF!</definedName>
    <definedName name="_drb1">#REF!</definedName>
    <definedName name="_drb2">#REF!</definedName>
    <definedName name="_j100000">#REF!</definedName>
    <definedName name="_Rbv1">'[2]Página 16'!$C$3:$C$7</definedName>
    <definedName name="_Regression_Out" hidden="1">#N/A</definedName>
    <definedName name="_Regression_X" hidden="1">#N/A</definedName>
    <definedName name="_Regression_Y" hidden="1">#N/A</definedName>
    <definedName name="A_impresión_IM">#N/A</definedName>
    <definedName name="amostra">#REF!</definedName>
    <definedName name="_xlnm.Print_Area" localSheetId="0">'FR-IMOB-37_Rev00'!$A$1:$M$124</definedName>
    <definedName name="_xlnm.Print_Area" localSheetId="1">VERSO!$A$1:$E$18</definedName>
    <definedName name="arei" localSheetId="1">#REF!</definedName>
    <definedName name="arei">#REF!</definedName>
    <definedName name="BI">[3]Teor!$A$3:$G$7</definedName>
    <definedName name="bica" localSheetId="1">#REF!</definedName>
    <definedName name="bica">#REF!</definedName>
    <definedName name="btt" localSheetId="1">#REF!</definedName>
    <definedName name="btt">#REF!</definedName>
    <definedName name="button_area_1" localSheetId="1">#REF!</definedName>
    <definedName name="button_area_1">#REF!</definedName>
    <definedName name="CAN">#N/A</definedName>
    <definedName name="cbr">#REF!</definedName>
    <definedName name="celltips_area">#REF!</definedName>
    <definedName name="cinco">#REF!</definedName>
    <definedName name="CODIGÓ">#REF!</definedName>
    <definedName name="CÓDIGO">#N/A</definedName>
    <definedName name="comple">[4]Macro1!$B$1:$B$65536</definedName>
    <definedName name="correção" localSheetId="1">#REF!</definedName>
    <definedName name="correção">#REF!</definedName>
    <definedName name="d" localSheetId="1">#REF!</definedName>
    <definedName name="d">#REF!</definedName>
    <definedName name="dez" localSheetId="1">#REF!</definedName>
    <definedName name="dez">#REF!</definedName>
    <definedName name="dois">#REF!</definedName>
    <definedName name="doze">#REF!</definedName>
    <definedName name="drar">#REF!</definedName>
    <definedName name="drfi">#REF!</definedName>
    <definedName name="drpe">#REF!</definedName>
    <definedName name="eng">#REF!</definedName>
    <definedName name="f">#REF!</definedName>
    <definedName name="fill">#REF!</definedName>
    <definedName name="gac">#REF!</definedName>
    <definedName name="gag">#REF!</definedName>
    <definedName name="GAUS">[5]TABLA!$N$10:$P$409</definedName>
    <definedName name="_xlnm.Recorder">[6]Macro1!$B$1:$B$65536</definedName>
    <definedName name="h" localSheetId="1">#REF!</definedName>
    <definedName name="h">#REF!</definedName>
    <definedName name="IP" localSheetId="1">[7]resumo!#REF!</definedName>
    <definedName name="IP">[7]resumo!#REF!</definedName>
    <definedName name="kp" localSheetId="1">#REF!</definedName>
    <definedName name="kp">#REF!</definedName>
    <definedName name="lab" localSheetId="1">#REF!</definedName>
    <definedName name="lab">#REF!</definedName>
    <definedName name="LL" localSheetId="1">[7]resumo!#REF!</definedName>
    <definedName name="LL">[7]resumo!#REF!</definedName>
    <definedName name="marshall" localSheetId="1">#REF!</definedName>
    <definedName name="marshall">#REF!</definedName>
    <definedName name="nove" localSheetId="1">#REF!</definedName>
    <definedName name="nove">#REF!</definedName>
    <definedName name="oito" localSheetId="1">#REF!</definedName>
    <definedName name="oito">#REF!</definedName>
    <definedName name="onze">#REF!</definedName>
    <definedName name="outr">#REF!</definedName>
    <definedName name="P">[7]resumo!#REF!</definedName>
    <definedName name="paraf" localSheetId="1">#REF!</definedName>
    <definedName name="paraf">#REF!</definedName>
    <definedName name="parcial" localSheetId="1">#REF!</definedName>
    <definedName name="parcial">#REF!</definedName>
    <definedName name="pedr" localSheetId="1">#REF!</definedName>
    <definedName name="pedr">#REF!</definedName>
    <definedName name="perc">#REF!</definedName>
    <definedName name="pesquisa">[8]Teor!$B$11:$H$15</definedName>
    <definedName name="pesquisa1">'[2]Página 16'!$A$3:$G$7</definedName>
    <definedName name="pope">#REF!</definedName>
    <definedName name="PRE">#N/A</definedName>
    <definedName name="Print_Area_MI">[9]ESTUDO.TRAÇO!$F$18:$U$55</definedName>
    <definedName name="ptp" localSheetId="1">#REF!</definedName>
    <definedName name="ptp">#REF!</definedName>
    <definedName name="ptt" localSheetId="1">#REF!</definedName>
    <definedName name="ptt">#REF!</definedName>
    <definedName name="quatro" localSheetId="1">#REF!</definedName>
    <definedName name="quatro">#REF!</definedName>
    <definedName name="RBV">[8]Teor!$D$11:$D$15</definedName>
    <definedName name="rodinei">[10]DOSAGEM!$D$11</definedName>
    <definedName name="s" localSheetId="1">#REF!</definedName>
    <definedName name="s">#REF!</definedName>
    <definedName name="seis" localSheetId="1">#REF!</definedName>
    <definedName name="seis">#REF!</definedName>
    <definedName name="sete" localSheetId="1">#REF!</definedName>
    <definedName name="sete">#REF!</definedName>
    <definedName name="siloquente">#REF!</definedName>
    <definedName name="sim">#REF!</definedName>
    <definedName name="Teor">[8]Teor!$B$11:$B$15</definedName>
    <definedName name="Teor1">'[2]Página 16'!$A$3:$A$7</definedName>
    <definedName name="total">#REF!</definedName>
    <definedName name="tres">#REF!</definedName>
    <definedName name="treze">#REF!</definedName>
    <definedName name="ttt">#REF!</definedName>
    <definedName name="um">#REF!</definedName>
    <definedName name="Vazio1">'[2]Página 16'!$B$3:$B$7</definedName>
    <definedName name="Vazios">[8]Teor!$C$11:$C$15</definedName>
    <definedName name="visc" localSheetId="1">#REF!</definedName>
    <definedName name="vis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19" i="1" l="1"/>
  <c r="L18" i="1"/>
  <c r="L17" i="1"/>
  <c r="L16" i="1"/>
  <c r="L20" i="1" s="1"/>
  <c r="A2" i="2" l="1"/>
</calcChain>
</file>

<file path=xl/sharedStrings.xml><?xml version="1.0" encoding="utf-8"?>
<sst xmlns="http://schemas.openxmlformats.org/spreadsheetml/2006/main" count="55" uniqueCount="50">
  <si>
    <t>Nº O.S:</t>
  </si>
  <si>
    <t>Data do ensaio:</t>
  </si>
  <si>
    <t>Material:</t>
  </si>
  <si>
    <t>Registro da amostra:</t>
  </si>
  <si>
    <t>Procedencia material:</t>
  </si>
  <si>
    <t>Informações complementar:</t>
  </si>
  <si>
    <t>Documento de referência</t>
  </si>
  <si>
    <t>Procedimentos do ensaio - Calculos e Resultados</t>
  </si>
  <si>
    <t>Assinaturas</t>
  </si>
  <si>
    <t>Equipamentos utilizados</t>
  </si>
  <si>
    <t>Equipamento</t>
  </si>
  <si>
    <r>
      <t xml:space="preserve">Identificação </t>
    </r>
    <r>
      <rPr>
        <sz val="10"/>
        <rFont val="Tahoma"/>
        <family val="2"/>
      </rPr>
      <t>(nº patrimonial e/ou série)</t>
    </r>
  </si>
  <si>
    <t>Balança</t>
  </si>
  <si>
    <t>Peneira</t>
  </si>
  <si>
    <t>Pontos de Verificação</t>
  </si>
  <si>
    <t>Verificar homogenidade da amostra</t>
  </si>
  <si>
    <t>Verificar se a balança está zerada, nivelada</t>
  </si>
  <si>
    <t>Verificar se as peneiras estão calibradas</t>
  </si>
  <si>
    <t>Verificar se o tempo de peneiramento foi suficiente</t>
  </si>
  <si>
    <t>Verificar se a massa da amostra está de acordo</t>
  </si>
  <si>
    <t>Conj Crivo Circular</t>
  </si>
  <si>
    <t>Conj Crivo Retangular</t>
  </si>
  <si>
    <t>3/4"</t>
  </si>
  <si>
    <t>1/2"</t>
  </si>
  <si>
    <t>3/8"</t>
  </si>
  <si>
    <t>1/4"</t>
  </si>
  <si>
    <t>Responsável executor:</t>
  </si>
  <si>
    <t>Responsável calculista:</t>
  </si>
  <si>
    <t xml:space="preserve">ABNT NBR 7809 - Agregado graúdo - Determinação do índice de forma pelo método do paquímetro </t>
  </si>
  <si>
    <t>Nº</t>
  </si>
  <si>
    <t>Comprimeto (mm)</t>
  </si>
  <si>
    <t>Espessura (mm)</t>
  </si>
  <si>
    <t>C/E</t>
  </si>
  <si>
    <t>Graduação (mm)</t>
  </si>
  <si>
    <t>Médio retido individual (%)</t>
  </si>
  <si>
    <t>Peso (g)</t>
  </si>
  <si>
    <t>Médio</t>
  </si>
  <si>
    <r>
      <rPr>
        <sz val="12"/>
        <color theme="1"/>
        <rFont val="Tahoma"/>
        <family val="2"/>
      </rPr>
      <t xml:space="preserve"> Título: </t>
    </r>
    <r>
      <rPr>
        <b/>
        <sz val="12"/>
        <color theme="1"/>
        <rFont val="Tahoma"/>
        <family val="2"/>
      </rPr>
      <t xml:space="preserve">Índice de Forma pelo método paquímetro </t>
    </r>
  </si>
  <si>
    <r>
      <rPr>
        <sz val="12"/>
        <rFont val="Tahoma"/>
        <family val="2"/>
      </rPr>
      <t>Codificação</t>
    </r>
    <r>
      <rPr>
        <b/>
        <sz val="12"/>
        <rFont val="Tahoma"/>
        <family val="2"/>
      </rPr>
      <t xml:space="preserve">: FR-IMOB-37 </t>
    </r>
  </si>
  <si>
    <r>
      <rPr>
        <sz val="12"/>
        <color rgb="FF000000"/>
        <rFont val="Tahoma"/>
        <family val="2"/>
      </rPr>
      <t xml:space="preserve">Fase: </t>
    </r>
    <r>
      <rPr>
        <b/>
        <sz val="12"/>
        <color indexed="8"/>
        <rFont val="Tahoma"/>
        <family val="2"/>
      </rPr>
      <t>Vigente</t>
    </r>
  </si>
  <si>
    <r>
      <rPr>
        <sz val="12"/>
        <rFont val="Tahoma"/>
        <family val="2"/>
      </rPr>
      <t>Versão:</t>
    </r>
    <r>
      <rPr>
        <b/>
        <sz val="12"/>
        <rFont val="Tahoma"/>
        <family val="2"/>
      </rPr>
      <t xml:space="preserve"> 00</t>
    </r>
  </si>
  <si>
    <r>
      <rPr>
        <sz val="12"/>
        <color rgb="FF000000"/>
        <rFont val="Tahoma"/>
        <family val="2"/>
      </rPr>
      <t xml:space="preserve">Nível: </t>
    </r>
    <r>
      <rPr>
        <b/>
        <sz val="12"/>
        <color indexed="8"/>
        <rFont val="Tahoma"/>
        <family val="2"/>
      </rPr>
      <t>Operacional</t>
    </r>
  </si>
  <si>
    <t xml:space="preserve">Elaborado por: </t>
  </si>
  <si>
    <t xml:space="preserve">Revisado por: </t>
  </si>
  <si>
    <t>Aprovado por:</t>
  </si>
  <si>
    <t>Samara Rodrigues</t>
  </si>
  <si>
    <r>
      <rPr>
        <sz val="12"/>
        <color theme="1"/>
        <rFont val="Tahoma"/>
        <family val="2"/>
      </rPr>
      <t>Tipo de Documento:</t>
    </r>
    <r>
      <rPr>
        <b/>
        <sz val="12"/>
        <color theme="1"/>
        <rFont val="Tahoma"/>
        <family val="2"/>
      </rPr>
      <t xml:space="preserve"> Formulário</t>
    </r>
  </si>
  <si>
    <t xml:space="preserve">Thyago Biasin </t>
  </si>
  <si>
    <t>Rheno Tormin</t>
  </si>
  <si>
    <r>
      <rPr>
        <sz val="12"/>
        <rFont val="Tahoma"/>
        <family val="2"/>
      </rPr>
      <t>Data de Vigência:</t>
    </r>
    <r>
      <rPr>
        <b/>
        <sz val="12"/>
        <rFont val="Tahoma"/>
        <family val="2"/>
      </rPr>
      <t xml:space="preserve"> 16/02/2026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</si>
</sst>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0"/>
      <name val="Arial"/>
      <family val="2"/>
    </font>
    <font>
      <sz val="11"/>
      <color rgb="FF006100"/>
      <name val="Calibri"/>
      <family val="2"/>
      <scheme val="minor"/>
    </font>
    <font>
      <sz val="10"/>
      <name val="Arial"/>
      <family val="2"/>
    </font>
    <font>
      <b/>
      <sz val="10"/>
      <color indexed="8"/>
      <name val="Tahoma"/>
      <family val="2"/>
    </font>
    <font>
      <b/>
      <sz val="14"/>
      <name val="Tahoma"/>
      <family val="2"/>
    </font>
    <font>
      <sz val="10"/>
      <name val="Tahoma"/>
      <family val="2"/>
    </font>
    <font>
      <sz val="10"/>
      <color rgb="FF0000FF"/>
      <name val="Tahoma"/>
      <family val="2"/>
    </font>
    <font>
      <b/>
      <sz val="1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i/>
      <sz val="10"/>
      <color theme="1"/>
      <name val="Tahoma"/>
      <family val="2"/>
    </font>
    <font>
      <sz val="9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2"/>
      <color indexed="8"/>
      <name val="Tahoma"/>
      <family val="2"/>
    </font>
    <font>
      <sz val="12"/>
      <color rgb="FF000000"/>
      <name val="Tahoma"/>
      <family val="2"/>
    </font>
    <font>
      <b/>
      <sz val="10"/>
      <color theme="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0" fontId="1" fillId="2" borderId="0" applyNumberFormat="0" applyBorder="0" applyAlignment="0" applyProtection="0"/>
    <xf numFmtId="0" fontId="2" fillId="0" borderId="0"/>
    <xf numFmtId="0" fontId="2" fillId="0" borderId="0"/>
  </cellStyleXfs>
  <cellXfs count="98">
    <xf numFmtId="0" fontId="0" fillId="0" borderId="0" xfId="0"/>
    <xf numFmtId="0" fontId="5" fillId="0" borderId="0" xfId="0" applyFont="1" applyAlignment="1">
      <alignment horizontal="left" vertical="center"/>
    </xf>
    <xf numFmtId="0" fontId="7" fillId="0" borderId="0" xfId="4" applyFont="1" applyAlignment="1" applyProtection="1">
      <alignment vertical="center"/>
      <protection hidden="1"/>
    </xf>
    <xf numFmtId="0" fontId="7" fillId="0" borderId="0" xfId="4" applyFont="1" applyAlignment="1" applyProtection="1">
      <alignment horizontal="center" vertical="center"/>
      <protection hidden="1"/>
    </xf>
    <xf numFmtId="2" fontId="5" fillId="0" borderId="13" xfId="2" applyNumberFormat="1" applyFont="1" applyFill="1" applyBorder="1" applyAlignment="1">
      <alignment horizontal="center" vertical="center" wrapText="1" shrinkToFit="1"/>
    </xf>
    <xf numFmtId="0" fontId="5" fillId="0" borderId="0" xfId="4" applyFont="1" applyAlignment="1" applyProtection="1">
      <alignment vertical="center"/>
      <protection hidden="1"/>
    </xf>
    <xf numFmtId="0" fontId="5" fillId="0" borderId="0" xfId="0" applyFont="1"/>
    <xf numFmtId="0" fontId="4" fillId="0" borderId="16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4" fillId="0" borderId="17" xfId="0" applyFont="1" applyBorder="1" applyAlignment="1" applyProtection="1">
      <alignment horizontal="center" vertical="center" wrapText="1"/>
      <protection hidden="1"/>
    </xf>
    <xf numFmtId="0" fontId="5" fillId="0" borderId="10" xfId="0" applyFont="1" applyBorder="1" applyAlignment="1">
      <alignment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4" fontId="5" fillId="0" borderId="10" xfId="2" applyNumberFormat="1" applyFont="1" applyFill="1" applyBorder="1" applyAlignment="1">
      <alignment horizontal="center" vertical="center" wrapText="1" shrinkToFit="1"/>
    </xf>
    <xf numFmtId="164" fontId="6" fillId="0" borderId="13" xfId="2" applyNumberFormat="1" applyFont="1" applyFill="1" applyBorder="1" applyAlignment="1">
      <alignment horizontal="center" vertical="center" wrapText="1" shrinkToFit="1"/>
    </xf>
    <xf numFmtId="164" fontId="6" fillId="0" borderId="12" xfId="2" applyNumberFormat="1" applyFont="1" applyFill="1" applyBorder="1" applyAlignment="1">
      <alignment horizontal="center" vertical="center" wrapText="1" shrinkToFit="1"/>
    </xf>
    <xf numFmtId="0" fontId="5" fillId="0" borderId="19" xfId="0" applyFont="1" applyBorder="1" applyAlignment="1">
      <alignment vertical="center" wrapText="1"/>
    </xf>
    <xf numFmtId="2" fontId="5" fillId="0" borderId="12" xfId="2" applyNumberFormat="1" applyFont="1" applyFill="1" applyBorder="1" applyAlignment="1">
      <alignment horizontal="center" vertical="center" wrapText="1" shrinkToFit="1"/>
    </xf>
    <xf numFmtId="164" fontId="5" fillId="0" borderId="10" xfId="0" applyNumberFormat="1" applyFont="1" applyBorder="1" applyAlignment="1">
      <alignment horizontal="center" vertical="center" wrapText="1"/>
    </xf>
    <xf numFmtId="2" fontId="5" fillId="0" borderId="20" xfId="1" applyNumberFormat="1" applyFont="1" applyFill="1" applyBorder="1" applyAlignment="1">
      <alignment horizontal="center" vertical="center" wrapText="1" shrinkToFit="1"/>
    </xf>
    <xf numFmtId="0" fontId="5" fillId="0" borderId="10" xfId="0" applyFont="1" applyBorder="1" applyAlignment="1">
      <alignment horizontal="left" vertical="center"/>
    </xf>
    <xf numFmtId="0" fontId="8" fillId="0" borderId="10" xfId="3" applyFont="1" applyBorder="1" applyAlignment="1">
      <alignment vertical="center"/>
    </xf>
    <xf numFmtId="0" fontId="7" fillId="0" borderId="10" xfId="0" applyFont="1" applyBorder="1" applyAlignment="1">
      <alignment horizontal="center" vertical="center" wrapText="1"/>
    </xf>
    <xf numFmtId="2" fontId="7" fillId="0" borderId="10" xfId="0" applyNumberFormat="1" applyFont="1" applyBorder="1" applyAlignment="1">
      <alignment horizontal="center" vertical="center" wrapText="1"/>
    </xf>
    <xf numFmtId="164" fontId="5" fillId="0" borderId="18" xfId="2" applyNumberFormat="1" applyFont="1" applyFill="1" applyBorder="1" applyAlignment="1">
      <alignment horizontal="center" vertical="center" wrapText="1" shrinkToFit="1"/>
    </xf>
    <xf numFmtId="0" fontId="5" fillId="0" borderId="10" xfId="0" applyFont="1" applyBorder="1" applyAlignment="1">
      <alignment horizontal="center" vertical="center"/>
    </xf>
    <xf numFmtId="164" fontId="5" fillId="0" borderId="11" xfId="2" applyNumberFormat="1" applyFont="1" applyFill="1" applyBorder="1" applyAlignment="1">
      <alignment horizontal="center" vertical="center" wrapText="1" shrinkToFit="1"/>
    </xf>
    <xf numFmtId="164" fontId="5" fillId="0" borderId="14" xfId="2" applyNumberFormat="1" applyFont="1" applyFill="1" applyBorder="1" applyAlignment="1">
      <alignment horizontal="center" vertical="center" wrapText="1" shrinkToFit="1"/>
    </xf>
    <xf numFmtId="164" fontId="5" fillId="0" borderId="15" xfId="2" applyNumberFormat="1" applyFont="1" applyFill="1" applyBorder="1" applyAlignment="1">
      <alignment horizontal="center" vertical="center" wrapText="1" shrinkToFi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center"/>
    </xf>
    <xf numFmtId="2" fontId="5" fillId="0" borderId="10" xfId="1" applyNumberFormat="1" applyFont="1" applyFill="1" applyBorder="1" applyAlignment="1">
      <alignment horizontal="center" vertical="center" wrapText="1" shrinkToFit="1"/>
    </xf>
    <xf numFmtId="164" fontId="5" fillId="0" borderId="21" xfId="2" applyNumberFormat="1" applyFont="1" applyFill="1" applyBorder="1" applyAlignment="1">
      <alignment horizontal="center" vertical="center" wrapText="1" shrinkToFit="1"/>
    </xf>
    <xf numFmtId="9" fontId="6" fillId="0" borderId="21" xfId="1" applyFont="1" applyFill="1" applyBorder="1" applyAlignment="1">
      <alignment horizontal="center" vertical="center" wrapText="1" shrinkToFit="1"/>
    </xf>
    <xf numFmtId="1" fontId="7" fillId="0" borderId="21" xfId="2" applyNumberFormat="1" applyFont="1" applyFill="1" applyBorder="1" applyAlignment="1">
      <alignment horizontal="center" vertical="center" wrapText="1" shrinkToFit="1"/>
    </xf>
    <xf numFmtId="9" fontId="5" fillId="3" borderId="10" xfId="1" applyFont="1" applyFill="1" applyBorder="1" applyAlignment="1" applyProtection="1">
      <alignment horizontal="center" vertical="center"/>
      <protection hidden="1"/>
    </xf>
    <xf numFmtId="1" fontId="5" fillId="0" borderId="10" xfId="0" applyNumberFormat="1" applyFont="1" applyBorder="1" applyAlignment="1">
      <alignment horizontal="center" vertical="center" wrapText="1"/>
    </xf>
    <xf numFmtId="2" fontId="6" fillId="4" borderId="6" xfId="3" applyNumberFormat="1" applyFont="1" applyFill="1" applyBorder="1" applyAlignment="1">
      <alignment horizontal="center" vertical="center"/>
    </xf>
    <xf numFmtId="2" fontId="6" fillId="4" borderId="10" xfId="3" applyNumberFormat="1" applyFont="1" applyFill="1" applyBorder="1" applyAlignment="1">
      <alignment horizontal="center" vertical="center"/>
    </xf>
    <xf numFmtId="49" fontId="5" fillId="4" borderId="10" xfId="4" applyNumberFormat="1" applyFont="1" applyFill="1" applyBorder="1" applyAlignment="1" applyProtection="1">
      <alignment horizontal="center" vertical="center"/>
      <protection hidden="1"/>
    </xf>
    <xf numFmtId="164" fontId="5" fillId="4" borderId="10" xfId="4" applyNumberFormat="1" applyFont="1" applyFill="1" applyBorder="1" applyAlignment="1" applyProtection="1">
      <alignment horizontal="center" vertical="center"/>
      <protection hidden="1"/>
    </xf>
    <xf numFmtId="2" fontId="5" fillId="4" borderId="10" xfId="4" applyNumberFormat="1" applyFont="1" applyFill="1" applyBorder="1" applyAlignment="1" applyProtection="1">
      <alignment horizontal="center" vertical="center"/>
      <protection hidden="1"/>
    </xf>
    <xf numFmtId="0" fontId="7" fillId="0" borderId="10" xfId="0" applyFont="1" applyBorder="1" applyAlignment="1">
      <alignment horizontal="center" vertical="center"/>
    </xf>
    <xf numFmtId="0" fontId="5" fillId="4" borderId="4" xfId="0" applyFont="1" applyFill="1" applyBorder="1" applyAlignment="1" applyProtection="1">
      <alignment horizontal="left" vertical="center"/>
      <protection hidden="1"/>
    </xf>
    <xf numFmtId="0" fontId="12" fillId="0" borderId="0" xfId="0" applyFont="1" applyAlignment="1">
      <alignment horizontal="left" vertical="center" wrapText="1"/>
    </xf>
    <xf numFmtId="0" fontId="8" fillId="0" borderId="0" xfId="3" applyFont="1" applyAlignment="1">
      <alignment horizontal="left" vertical="center"/>
    </xf>
    <xf numFmtId="2" fontId="12" fillId="4" borderId="0" xfId="4" applyNumberFormat="1" applyFont="1" applyFill="1" applyAlignment="1" applyProtection="1">
      <alignment vertical="center"/>
      <protection locked="0"/>
    </xf>
    <xf numFmtId="0" fontId="14" fillId="4" borderId="0" xfId="4" applyFont="1" applyFill="1" applyAlignment="1" applyProtection="1">
      <alignment vertical="center"/>
      <protection locked="0" hidden="1"/>
    </xf>
    <xf numFmtId="0" fontId="9" fillId="0" borderId="2" xfId="3" applyFont="1" applyBorder="1" applyAlignment="1">
      <alignment vertical="top"/>
    </xf>
    <xf numFmtId="0" fontId="9" fillId="0" borderId="8" xfId="3" applyFont="1" applyBorder="1" applyAlignment="1">
      <alignment vertical="center"/>
    </xf>
    <xf numFmtId="0" fontId="9" fillId="0" borderId="8" xfId="3" applyFont="1" applyBorder="1" applyAlignment="1">
      <alignment horizontal="center" vertical="center"/>
    </xf>
    <xf numFmtId="0" fontId="9" fillId="0" borderId="9" xfId="3" applyFont="1" applyBorder="1" applyAlignment="1">
      <alignment horizontal="center" vertical="center"/>
    </xf>
    <xf numFmtId="0" fontId="10" fillId="0" borderId="2" xfId="3" applyFont="1" applyBorder="1" applyAlignment="1">
      <alignment horizontal="right" vertical="center"/>
    </xf>
    <xf numFmtId="0" fontId="18" fillId="5" borderId="7" xfId="3" applyFont="1" applyFill="1" applyBorder="1" applyAlignment="1">
      <alignment horizontal="center" vertical="center"/>
    </xf>
    <xf numFmtId="0" fontId="18" fillId="5" borderId="8" xfId="3" applyFont="1" applyFill="1" applyBorder="1" applyAlignment="1">
      <alignment horizontal="center" vertical="center"/>
    </xf>
    <xf numFmtId="0" fontId="18" fillId="5" borderId="9" xfId="3" applyFont="1" applyFill="1" applyBorder="1" applyAlignment="1">
      <alignment horizontal="center" vertical="center"/>
    </xf>
    <xf numFmtId="0" fontId="18" fillId="5" borderId="10" xfId="3" applyFont="1" applyFill="1" applyBorder="1" applyAlignment="1">
      <alignment horizontal="center" vertical="center"/>
    </xf>
    <xf numFmtId="0" fontId="18" fillId="5" borderId="18" xfId="3" applyFont="1" applyFill="1" applyBorder="1" applyAlignment="1">
      <alignment horizontal="center" vertical="center"/>
    </xf>
    <xf numFmtId="0" fontId="5" fillId="0" borderId="10" xfId="3" applyFont="1" applyBorder="1" applyAlignment="1">
      <alignment horizontal="left" vertical="center" wrapText="1"/>
    </xf>
    <xf numFmtId="0" fontId="3" fillId="4" borderId="10" xfId="0" applyFont="1" applyFill="1" applyBorder="1" applyAlignment="1">
      <alignment horizontal="left" vertical="center"/>
    </xf>
    <xf numFmtId="0" fontId="3" fillId="4" borderId="10" xfId="0" applyFont="1" applyFill="1" applyBorder="1" applyAlignment="1">
      <alignment horizontal="left" vertical="top"/>
    </xf>
    <xf numFmtId="0" fontId="12" fillId="0" borderId="0" xfId="0" applyFont="1" applyAlignment="1">
      <alignment horizontal="left" wrapText="1"/>
    </xf>
    <xf numFmtId="0" fontId="12" fillId="0" borderId="5" xfId="0" applyFont="1" applyBorder="1" applyAlignment="1">
      <alignment horizontal="left" vertical="center" wrapText="1"/>
    </xf>
    <xf numFmtId="0" fontId="14" fillId="0" borderId="5" xfId="4" applyFont="1" applyBorder="1" applyAlignment="1" applyProtection="1">
      <alignment horizontal="left" vertical="center" wrapText="1"/>
      <protection locked="0"/>
    </xf>
    <xf numFmtId="0" fontId="7" fillId="4" borderId="10" xfId="0" applyFont="1" applyFill="1" applyBorder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15" fillId="4" borderId="5" xfId="4" applyFont="1" applyFill="1" applyBorder="1" applyAlignment="1" applyProtection="1">
      <alignment horizontal="center" vertical="center"/>
      <protection locked="0" hidden="1"/>
    </xf>
    <xf numFmtId="2" fontId="12" fillId="4" borderId="5" xfId="4" applyNumberFormat="1" applyFont="1" applyFill="1" applyBorder="1" applyAlignment="1" applyProtection="1">
      <alignment horizontal="left" vertical="center"/>
      <protection locked="0"/>
    </xf>
    <xf numFmtId="0" fontId="14" fillId="4" borderId="5" xfId="4" applyFont="1" applyFill="1" applyBorder="1" applyAlignment="1" applyProtection="1">
      <alignment horizontal="left" vertical="center"/>
      <protection locked="0" hidden="1"/>
    </xf>
    <xf numFmtId="0" fontId="3" fillId="0" borderId="5" xfId="0" applyFont="1" applyBorder="1" applyAlignment="1">
      <alignment horizontal="center" vertical="center"/>
    </xf>
    <xf numFmtId="49" fontId="15" fillId="4" borderId="2" xfId="4" applyNumberFormat="1" applyFont="1" applyFill="1" applyBorder="1" applyAlignment="1" applyProtection="1">
      <alignment horizontal="center" vertical="center"/>
      <protection locked="0" hidden="1"/>
    </xf>
    <xf numFmtId="0" fontId="8" fillId="0" borderId="5" xfId="3" applyFont="1" applyBorder="1" applyAlignment="1">
      <alignment horizontal="center" vertical="center"/>
    </xf>
    <xf numFmtId="0" fontId="8" fillId="0" borderId="6" xfId="3" applyFont="1" applyBorder="1" applyAlignment="1">
      <alignment horizontal="center" vertical="center"/>
    </xf>
    <xf numFmtId="0" fontId="9" fillId="0" borderId="4" xfId="3" applyFont="1" applyBorder="1" applyAlignment="1">
      <alignment horizontal="center" vertical="top"/>
    </xf>
    <xf numFmtId="0" fontId="9" fillId="0" borderId="5" xfId="3" applyFont="1" applyBorder="1" applyAlignment="1">
      <alignment horizontal="center" vertical="top"/>
    </xf>
    <xf numFmtId="0" fontId="9" fillId="0" borderId="4" xfId="3" applyFont="1" applyBorder="1" applyAlignment="1">
      <alignment horizontal="center" vertical="center"/>
    </xf>
    <xf numFmtId="0" fontId="9" fillId="0" borderId="5" xfId="3" applyFont="1" applyBorder="1" applyAlignment="1">
      <alignment horizontal="center" vertical="center"/>
    </xf>
    <xf numFmtId="0" fontId="16" fillId="0" borderId="5" xfId="4" applyFont="1" applyBorder="1" applyAlignment="1" applyProtection="1">
      <alignment horizontal="left" vertical="center"/>
      <protection locked="0"/>
    </xf>
    <xf numFmtId="0" fontId="11" fillId="0" borderId="5" xfId="0" applyFont="1" applyBorder="1" applyAlignment="1" applyProtection="1">
      <alignment horizontal="left" vertical="center" wrapText="1"/>
      <protection hidden="1"/>
    </xf>
    <xf numFmtId="0" fontId="11" fillId="0" borderId="6" xfId="0" applyFont="1" applyBorder="1" applyAlignment="1" applyProtection="1">
      <alignment horizontal="left" vertical="center" wrapText="1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4" fillId="0" borderId="16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4" fillId="0" borderId="17" xfId="0" applyFont="1" applyBorder="1" applyAlignment="1" applyProtection="1">
      <alignment horizontal="center" vertical="center" wrapText="1"/>
      <protection hidden="1"/>
    </xf>
    <xf numFmtId="0" fontId="18" fillId="5" borderId="4" xfId="0" applyFont="1" applyFill="1" applyBorder="1" applyAlignment="1" applyProtection="1">
      <alignment horizontal="center" vertical="center"/>
      <protection hidden="1"/>
    </xf>
    <xf numFmtId="0" fontId="18" fillId="5" borderId="5" xfId="0" applyFont="1" applyFill="1" applyBorder="1" applyAlignment="1">
      <alignment vertical="center"/>
    </xf>
    <xf numFmtId="0" fontId="18" fillId="5" borderId="6" xfId="0" applyFont="1" applyFill="1" applyBorder="1" applyAlignment="1">
      <alignment vertical="center"/>
    </xf>
    <xf numFmtId="0" fontId="18" fillId="5" borderId="1" xfId="0" applyFont="1" applyFill="1" applyBorder="1" applyAlignment="1" applyProtection="1">
      <alignment horizontal="center" vertical="center"/>
      <protection hidden="1"/>
    </xf>
    <xf numFmtId="0" fontId="18" fillId="5" borderId="2" xfId="0" applyFont="1" applyFill="1" applyBorder="1" applyAlignment="1" applyProtection="1">
      <alignment horizontal="center" vertical="center"/>
      <protection hidden="1"/>
    </xf>
    <xf numFmtId="0" fontId="18" fillId="5" borderId="3" xfId="0" applyFont="1" applyFill="1" applyBorder="1" applyAlignment="1" applyProtection="1">
      <alignment horizontal="center" vertical="center"/>
      <protection hidden="1"/>
    </xf>
    <xf numFmtId="0" fontId="7" fillId="0" borderId="10" xfId="0" applyFont="1" applyBorder="1" applyAlignment="1">
      <alignment horizontal="center" vertical="center"/>
    </xf>
    <xf numFmtId="0" fontId="5" fillId="4" borderId="10" xfId="0" applyFont="1" applyFill="1" applyBorder="1" applyAlignment="1" applyProtection="1">
      <alignment horizontal="center" vertical="center"/>
      <protection hidden="1"/>
    </xf>
  </cellXfs>
  <cellStyles count="5">
    <cellStyle name="Bom" xfId="2" builtinId="26"/>
    <cellStyle name="Normal" xfId="0" builtinId="0"/>
    <cellStyle name="Normal 2 2" xfId="4" xr:uid="{B4E67FEE-8647-4E51-AD01-850A81984B2D}"/>
    <cellStyle name="Normal 9 2" xfId="3" xr:uid="{B0211C4C-37A0-4DDE-8C58-1E0BBDEE329D}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4017</xdr:colOff>
      <xdr:row>0</xdr:row>
      <xdr:rowOff>26147</xdr:rowOff>
    </xdr:from>
    <xdr:to>
      <xdr:col>11</xdr:col>
      <xdr:colOff>685494</xdr:colOff>
      <xdr:row>0</xdr:row>
      <xdr:rowOff>778061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1FB3E5D-C57E-42C2-8DBE-FBDF7176D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6899" y="26147"/>
          <a:ext cx="1488300" cy="7519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393700</xdr:colOff>
          <xdr:row>13</xdr:row>
          <xdr:rowOff>31750</xdr:rowOff>
        </xdr:from>
        <xdr:to>
          <xdr:col>0</xdr:col>
          <xdr:colOff>647700</xdr:colOff>
          <xdr:row>13</xdr:row>
          <xdr:rowOff>247650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393700</xdr:colOff>
          <xdr:row>14</xdr:row>
          <xdr:rowOff>31750</xdr:rowOff>
        </xdr:from>
        <xdr:to>
          <xdr:col>0</xdr:col>
          <xdr:colOff>647700</xdr:colOff>
          <xdr:row>14</xdr:row>
          <xdr:rowOff>247650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393700</xdr:colOff>
          <xdr:row>15</xdr:row>
          <xdr:rowOff>31750</xdr:rowOff>
        </xdr:from>
        <xdr:to>
          <xdr:col>0</xdr:col>
          <xdr:colOff>647700</xdr:colOff>
          <xdr:row>15</xdr:row>
          <xdr:rowOff>247650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393700</xdr:colOff>
          <xdr:row>16</xdr:row>
          <xdr:rowOff>31750</xdr:rowOff>
        </xdr:from>
        <xdr:to>
          <xdr:col>0</xdr:col>
          <xdr:colOff>647700</xdr:colOff>
          <xdr:row>16</xdr:row>
          <xdr:rowOff>247650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393700</xdr:colOff>
          <xdr:row>17</xdr:row>
          <xdr:rowOff>31750</xdr:rowOff>
        </xdr:from>
        <xdr:to>
          <xdr:col>0</xdr:col>
          <xdr:colOff>647700</xdr:colOff>
          <xdr:row>17</xdr:row>
          <xdr:rowOff>247650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C&#243;pia%20de%20C&#243;pia%20de%20C&#243;pia%20de%20TAR&#199;O%20DE%20CAUQ%20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ra&#231;o%20cbuq%20faixa%20c%20Carpizza%20CONT.%20LES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.CBUQ%20F-B-116060220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WINDOWS\Desktop\Estudo%20Binder\Camadas%20Finais\Pano%2020%20(570-58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arquivos\EDSON%20=%20DIVERSOS\ESTUDIO%20MAC%2001%20Materiales%20Totale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CB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Nova%20lcd\ensaios\Documents%20and%20Settings\sotepa\Configura&#231;&#245;es%20locais\Temp\CBUQ-B(1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Proj.%20P.M.F_Israel_2017%20(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Pojetos%202008\Ensaios%20da%20Cavalca%202006\Edson\Modelo%20Proctor%2090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Pojetos%202008\C&#243;pia%20de%2012%20-%20BGS-%20granulom.%20da%20mistur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mendações"/>
      <sheetName val="CAPA"/>
      <sheetName val="DIGITAÇÃO"/>
      <sheetName val="Granul"/>
      <sheetName val="DIGITAÇÃO 2"/>
      <sheetName val="MARSHALL1"/>
      <sheetName val="MARSHALL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Dados de Entrada 4"/>
      <sheetName val="Capa"/>
      <sheetName val="Página 1"/>
      <sheetName val="Página 2"/>
      <sheetName val="Página 3"/>
      <sheetName val="Página 4"/>
      <sheetName val="Página 5"/>
      <sheetName val="Página 6"/>
      <sheetName val="Página 7"/>
      <sheetName val="Página 8"/>
      <sheetName val="Página 9"/>
      <sheetName val="Página 10"/>
      <sheetName val="Página 11"/>
      <sheetName val="Página 12"/>
      <sheetName val="Página 13"/>
      <sheetName val="Página 14"/>
      <sheetName val="RESULFINAL"/>
      <sheetName val="Página 16"/>
      <sheetName val="DENAGREGRAUDO"/>
      <sheetName val="DENSAGRMIUDO"/>
      <sheetName val="MASESPFINPULV"/>
      <sheetName val="Traço da Mist.+Filler."/>
      <sheetName val="Traço da Mist. Bet."/>
      <sheetName val="E. Areia"/>
      <sheetName val="E. Areia (2)"/>
      <sheetName val="Pes Agr Silos Frio 3.4&quot;"/>
      <sheetName val="Pes Agr Silos Frio Areia méd"/>
      <sheetName val="Pes Agr Silos Frio 3.8&quot;+pó"/>
      <sheetName val="Até Aqui"/>
      <sheetName val="DETDENSCAP20"/>
      <sheetName val="DENSCORPROVA"/>
      <sheetName val="GRAFTEMPVISC1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Filler"/>
      <sheetName val="Analise SF 4"/>
      <sheetName val="Analise SF 3"/>
      <sheetName val="Analise SF 2"/>
      <sheetName val="Analise SF 1"/>
      <sheetName val="Analise SF Filler"/>
      <sheetName val="Analise SQ 3"/>
      <sheetName val="Analise SQ 2"/>
      <sheetName val="Analise SQ 1"/>
      <sheetName val="DURABILIDADE"/>
      <sheetName val="INDICE FORMA"/>
      <sheetName val="ABRASÃO"/>
      <sheetName val="ADESIVIDADE"/>
      <sheetName val="P A T O 99 B"/>
      <sheetName val="Teor"/>
      <sheetName val="RESUMO_AUT1"/>
      <sheetName val="BSTC 0,60"/>
      <sheetName val="BOCA BSTC 0,60"/>
      <sheetName val="traço cbuq faixa c Carpizza CON"/>
      <sheetName val="Resumo Financeiro"/>
      <sheetName val="rmle157"/>
      <sheetName val="Vínculo (2)"/>
      <sheetName val="Transportes -IN3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4.5</v>
          </cell>
          <cell r="B3">
            <v>6.6202348981163466</v>
          </cell>
          <cell r="C3">
            <v>60.964134991383446</v>
          </cell>
          <cell r="D3">
            <v>1025.855</v>
          </cell>
          <cell r="E3">
            <v>8.6999999999999993</v>
          </cell>
          <cell r="F3">
            <v>2.3529999999999998</v>
          </cell>
          <cell r="G3">
            <v>16.963493472502915</v>
          </cell>
        </row>
        <row r="4">
          <cell r="A4">
            <v>5</v>
          </cell>
          <cell r="B4">
            <v>5.5001923970155246</v>
          </cell>
          <cell r="C4">
            <v>67.747806208191548</v>
          </cell>
          <cell r="D4">
            <v>1094.5825</v>
          </cell>
          <cell r="E4">
            <v>9.5749999999999993</v>
          </cell>
          <cell r="F4">
            <v>2.3630000000000004</v>
          </cell>
          <cell r="G4">
            <v>17.047556761540491</v>
          </cell>
        </row>
        <row r="5">
          <cell r="A5">
            <v>5.5</v>
          </cell>
          <cell r="B5">
            <v>4.4232587303692874</v>
          </cell>
          <cell r="C5">
            <v>74.264023326736492</v>
          </cell>
          <cell r="D5">
            <v>879.57749999999999</v>
          </cell>
          <cell r="E5">
            <v>10.725000000000001</v>
          </cell>
          <cell r="F5">
            <v>2.37175</v>
          </cell>
          <cell r="G5">
            <v>17.178598970077541</v>
          </cell>
        </row>
        <row r="6">
          <cell r="A6">
            <v>6</v>
          </cell>
          <cell r="B6">
            <v>4.0007841277410066</v>
          </cell>
          <cell r="C6">
            <v>77.635106010695324</v>
          </cell>
          <cell r="D6">
            <v>567.98</v>
          </cell>
          <cell r="E6">
            <v>13.6</v>
          </cell>
          <cell r="F6">
            <v>2.3642500000000002</v>
          </cell>
          <cell r="G6">
            <v>17.877321384085253</v>
          </cell>
        </row>
        <row r="7">
          <cell r="A7">
            <v>6.5</v>
          </cell>
          <cell r="B7">
            <v>4.0533844045161054</v>
          </cell>
          <cell r="C7">
            <v>78.676681324823704</v>
          </cell>
          <cell r="D7">
            <v>529.86500000000001</v>
          </cell>
          <cell r="E7">
            <v>19.450000000000003</v>
          </cell>
          <cell r="F7">
            <v>2.3452500000000001</v>
          </cell>
          <cell r="G7">
            <v>18.970602326582025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Capa"/>
      <sheetName val="Página 1"/>
      <sheetName val="Dados de Entrada 4"/>
      <sheetName val="Página 2"/>
      <sheetName val="Página 3"/>
      <sheetName val="Página 4"/>
      <sheetName val="Página 6"/>
      <sheetName val="Página 5"/>
      <sheetName val="Página 7"/>
      <sheetName val="Página 8"/>
      <sheetName val="Dens. médias"/>
      <sheetName val="Dens. teórica"/>
      <sheetName val="Página 9"/>
      <sheetName val="Página 10"/>
      <sheetName val="Página 11"/>
      <sheetName val="Página 12"/>
      <sheetName val="Página 13"/>
      <sheetName val="Teor"/>
      <sheetName val="DENAGREGRAUDO"/>
      <sheetName val="DENSAGRMIUDO"/>
      <sheetName val="MASESPFINPULV"/>
      <sheetName val="DETDENSCAP20"/>
      <sheetName val="DENSCORPROVA"/>
      <sheetName val="GRAFTEMPVISC1"/>
      <sheetName val="GRAFTEMPVISC2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RESULFINAL"/>
      <sheetName val="DURABILIDADE"/>
      <sheetName val="INDICE FORMA"/>
      <sheetName val="ABRASÃO"/>
      <sheetName val="ADESIVIDA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</v>
          </cell>
          <cell r="B3">
            <v>7.8929999999999998</v>
          </cell>
          <cell r="C3">
            <v>53.947000000000003</v>
          </cell>
          <cell r="D3">
            <v>776</v>
          </cell>
          <cell r="E3">
            <v>10.7</v>
          </cell>
          <cell r="F3">
            <v>2.3340000000000001</v>
          </cell>
          <cell r="G3">
            <v>17.135999999999999</v>
          </cell>
        </row>
        <row r="4">
          <cell r="A4">
            <v>4.5</v>
          </cell>
          <cell r="B4">
            <v>6.391</v>
          </cell>
          <cell r="C4">
            <v>62.156999999999996</v>
          </cell>
          <cell r="D4">
            <v>990</v>
          </cell>
          <cell r="E4">
            <v>11.5</v>
          </cell>
          <cell r="F4">
            <v>2.3530000000000002</v>
          </cell>
          <cell r="G4">
            <v>16.885000000000002</v>
          </cell>
        </row>
        <row r="5">
          <cell r="A5">
            <v>5</v>
          </cell>
          <cell r="B5">
            <v>5.2510000000000003</v>
          </cell>
          <cell r="C5">
            <v>69.018000000000001</v>
          </cell>
          <cell r="D5">
            <v>1016</v>
          </cell>
          <cell r="E5">
            <v>13.1</v>
          </cell>
          <cell r="F5">
            <v>2.3639999999999999</v>
          </cell>
          <cell r="G5">
            <v>16.945</v>
          </cell>
        </row>
        <row r="6">
          <cell r="A6">
            <v>5.5</v>
          </cell>
          <cell r="B6">
            <v>4.4960000000000004</v>
          </cell>
          <cell r="C6">
            <v>74.105000000000004</v>
          </cell>
          <cell r="D6">
            <v>908</v>
          </cell>
          <cell r="E6">
            <v>14.2</v>
          </cell>
          <cell r="F6">
            <v>2.3650000000000002</v>
          </cell>
          <cell r="G6">
            <v>17.359000000000002</v>
          </cell>
        </row>
        <row r="7">
          <cell r="A7">
            <v>6</v>
          </cell>
          <cell r="B7">
            <v>3.9609999999999999</v>
          </cell>
          <cell r="C7">
            <v>77.971999999999994</v>
          </cell>
          <cell r="D7">
            <v>766</v>
          </cell>
          <cell r="E7">
            <v>15.6</v>
          </cell>
          <cell r="F7">
            <v>2.36</v>
          </cell>
          <cell r="G7">
            <v>17.97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leto"/>
      <sheetName val="Cilindros"/>
      <sheetName val="Capsulas"/>
      <sheetName val="Volume"/>
      <sheetName val="compactação"/>
      <sheetName val="Macro1"/>
      <sheetName val="Pano 20(570-580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B1" t="str">
            <v>Macro2</v>
          </cell>
        </row>
        <row r="2">
          <cell r="B2" t="e">
            <v>#VALUE!</v>
          </cell>
        </row>
        <row r="3">
          <cell r="B3" t="b">
            <v>1</v>
          </cell>
        </row>
      </sheetData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va chancada (3-4)"/>
      <sheetName val="Arena chancada 1-4"/>
      <sheetName val=" ARENA ZARANDEADA"/>
      <sheetName val="Filler"/>
      <sheetName val="Composición"/>
      <sheetName val="Curva Granulom.(LOG)"/>
      <sheetName val="GRAFICO "/>
      <sheetName val="TAB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0">
          <cell r="N10">
            <v>0</v>
          </cell>
          <cell r="O10">
            <v>0</v>
          </cell>
          <cell r="P10">
            <v>0</v>
          </cell>
        </row>
        <row r="11">
          <cell r="N11">
            <v>1</v>
          </cell>
          <cell r="O11">
            <v>0.01</v>
          </cell>
          <cell r="P11">
            <v>4.0000000000000001E-3</v>
          </cell>
        </row>
        <row r="12">
          <cell r="N12">
            <v>2</v>
          </cell>
          <cell r="O12">
            <v>0.02</v>
          </cell>
          <cell r="P12">
            <v>8.0000000000000002E-3</v>
          </cell>
        </row>
        <row r="13">
          <cell r="N13">
            <v>3</v>
          </cell>
          <cell r="O13">
            <v>0.03</v>
          </cell>
          <cell r="P13">
            <v>1.2E-2</v>
          </cell>
        </row>
        <row r="14">
          <cell r="N14">
            <v>4</v>
          </cell>
          <cell r="O14">
            <v>0.04</v>
          </cell>
          <cell r="P14">
            <v>1.6E-2</v>
          </cell>
        </row>
        <row r="15">
          <cell r="N15">
            <v>5</v>
          </cell>
          <cell r="O15">
            <v>0.05</v>
          </cell>
          <cell r="P15">
            <v>1.9900000000000001E-2</v>
          </cell>
        </row>
        <row r="16">
          <cell r="N16">
            <v>6</v>
          </cell>
          <cell r="O16">
            <v>0.06</v>
          </cell>
          <cell r="P16">
            <v>2.3900000000000001E-2</v>
          </cell>
        </row>
        <row r="17">
          <cell r="N17">
            <v>7</v>
          </cell>
          <cell r="O17">
            <v>7.0000000000000007E-2</v>
          </cell>
          <cell r="P17">
            <v>2.7900000000000001E-2</v>
          </cell>
        </row>
        <row r="18">
          <cell r="N18">
            <v>8</v>
          </cell>
          <cell r="O18">
            <v>0.08</v>
          </cell>
          <cell r="P18">
            <v>3.1899999999999998E-2</v>
          </cell>
        </row>
        <row r="19">
          <cell r="N19">
            <v>9</v>
          </cell>
          <cell r="O19">
            <v>0.09</v>
          </cell>
          <cell r="P19">
            <v>3.5900000000000001E-2</v>
          </cell>
        </row>
        <row r="20">
          <cell r="N20">
            <v>10</v>
          </cell>
          <cell r="O20">
            <v>0.1</v>
          </cell>
          <cell r="P20">
            <v>3.9800000000000002E-2</v>
          </cell>
        </row>
        <row r="21">
          <cell r="N21">
            <v>11</v>
          </cell>
          <cell r="O21">
            <v>0.11</v>
          </cell>
          <cell r="P21">
            <v>4.3799999999999999E-2</v>
          </cell>
        </row>
        <row r="22">
          <cell r="N22">
            <v>12</v>
          </cell>
          <cell r="O22">
            <v>0.12</v>
          </cell>
          <cell r="P22">
            <v>4.7800000000000002E-2</v>
          </cell>
        </row>
        <row r="23">
          <cell r="N23">
            <v>13</v>
          </cell>
          <cell r="O23">
            <v>0.13</v>
          </cell>
          <cell r="P23">
            <v>5.1700000000000003E-2</v>
          </cell>
        </row>
        <row r="24">
          <cell r="N24">
            <v>14</v>
          </cell>
          <cell r="O24">
            <v>0.14000000000000001</v>
          </cell>
          <cell r="P24">
            <v>5.57E-2</v>
          </cell>
        </row>
        <row r="25">
          <cell r="N25">
            <v>15</v>
          </cell>
          <cell r="O25">
            <v>0.15</v>
          </cell>
          <cell r="P25">
            <v>5.96E-2</v>
          </cell>
        </row>
        <row r="26">
          <cell r="N26">
            <v>16</v>
          </cell>
          <cell r="O26">
            <v>0.16</v>
          </cell>
          <cell r="P26">
            <v>6.3600000000000004E-2</v>
          </cell>
        </row>
        <row r="27">
          <cell r="N27">
            <v>17</v>
          </cell>
          <cell r="O27">
            <v>0.17</v>
          </cell>
          <cell r="P27">
            <v>6.7500000000000004E-2</v>
          </cell>
        </row>
        <row r="28">
          <cell r="N28">
            <v>18</v>
          </cell>
          <cell r="O28">
            <v>0.18</v>
          </cell>
          <cell r="P28">
            <v>7.1400000000000005E-2</v>
          </cell>
        </row>
        <row r="29">
          <cell r="N29">
            <v>19</v>
          </cell>
          <cell r="O29">
            <v>0.19</v>
          </cell>
          <cell r="P29">
            <v>7.5399999999999995E-2</v>
          </cell>
        </row>
        <row r="30">
          <cell r="N30">
            <v>20</v>
          </cell>
          <cell r="O30">
            <v>0.2</v>
          </cell>
          <cell r="P30">
            <v>7.9299999999999995E-2</v>
          </cell>
        </row>
        <row r="31">
          <cell r="N31">
            <v>21</v>
          </cell>
          <cell r="O31">
            <v>0.21</v>
          </cell>
          <cell r="P31">
            <v>8.3199999999999996E-2</v>
          </cell>
        </row>
        <row r="32">
          <cell r="N32">
            <v>22</v>
          </cell>
          <cell r="O32">
            <v>0.22</v>
          </cell>
          <cell r="P32">
            <v>9.7100000000000006E-2</v>
          </cell>
        </row>
        <row r="33">
          <cell r="N33">
            <v>23</v>
          </cell>
          <cell r="O33">
            <v>0.23</v>
          </cell>
          <cell r="P33">
            <v>9.0999999999999998E-2</v>
          </cell>
        </row>
        <row r="34">
          <cell r="N34">
            <v>24</v>
          </cell>
          <cell r="O34">
            <v>0.24</v>
          </cell>
          <cell r="P34">
            <v>9.4799999999999995E-2</v>
          </cell>
        </row>
        <row r="35">
          <cell r="N35">
            <v>25</v>
          </cell>
          <cell r="O35">
            <v>0.25</v>
          </cell>
          <cell r="P35">
            <v>8.9700000000000002E-2</v>
          </cell>
        </row>
        <row r="36">
          <cell r="N36">
            <v>26</v>
          </cell>
          <cell r="O36">
            <v>0.26</v>
          </cell>
          <cell r="P36">
            <v>0.1026</v>
          </cell>
        </row>
        <row r="37">
          <cell r="N37">
            <v>27</v>
          </cell>
          <cell r="O37">
            <v>0.27</v>
          </cell>
          <cell r="P37">
            <v>0.10639999999999999</v>
          </cell>
        </row>
        <row r="38">
          <cell r="N38">
            <v>28</v>
          </cell>
          <cell r="O38">
            <v>0.28000000000000003</v>
          </cell>
          <cell r="P38">
            <v>0.1103</v>
          </cell>
        </row>
        <row r="39">
          <cell r="N39">
            <v>29</v>
          </cell>
          <cell r="O39">
            <v>0.28999999999999998</v>
          </cell>
          <cell r="P39">
            <v>0.11409999999999999</v>
          </cell>
        </row>
        <row r="40">
          <cell r="N40">
            <v>30</v>
          </cell>
          <cell r="O40">
            <v>0.3</v>
          </cell>
          <cell r="P40">
            <v>0.1179</v>
          </cell>
        </row>
        <row r="41">
          <cell r="N41">
            <v>31</v>
          </cell>
          <cell r="O41">
            <v>0.31</v>
          </cell>
          <cell r="P41">
            <v>0.1217</v>
          </cell>
        </row>
        <row r="42">
          <cell r="N42">
            <v>32</v>
          </cell>
          <cell r="O42">
            <v>0.32</v>
          </cell>
          <cell r="P42">
            <v>0.1255</v>
          </cell>
        </row>
        <row r="43">
          <cell r="N43">
            <v>33</v>
          </cell>
          <cell r="O43">
            <v>0.33</v>
          </cell>
          <cell r="P43">
            <v>0.1293</v>
          </cell>
        </row>
        <row r="44">
          <cell r="N44">
            <v>34</v>
          </cell>
          <cell r="O44">
            <v>0.34</v>
          </cell>
          <cell r="P44">
            <v>0.1331</v>
          </cell>
        </row>
        <row r="45">
          <cell r="N45">
            <v>35</v>
          </cell>
          <cell r="O45">
            <v>0.35</v>
          </cell>
          <cell r="P45">
            <v>0.1368</v>
          </cell>
        </row>
        <row r="46">
          <cell r="N46">
            <v>36</v>
          </cell>
          <cell r="O46">
            <v>0.36</v>
          </cell>
          <cell r="P46">
            <v>0.1406</v>
          </cell>
        </row>
        <row r="47">
          <cell r="N47">
            <v>37</v>
          </cell>
          <cell r="O47">
            <v>0.37</v>
          </cell>
          <cell r="P47">
            <v>0.14430000000000001</v>
          </cell>
        </row>
        <row r="48">
          <cell r="N48">
            <v>38</v>
          </cell>
          <cell r="O48">
            <v>0.38</v>
          </cell>
          <cell r="P48">
            <v>0.14799999999999999</v>
          </cell>
        </row>
        <row r="49">
          <cell r="N49">
            <v>39</v>
          </cell>
          <cell r="O49">
            <v>0.39</v>
          </cell>
          <cell r="P49">
            <v>0.1517</v>
          </cell>
        </row>
        <row r="50">
          <cell r="N50">
            <v>40</v>
          </cell>
          <cell r="O50">
            <v>0.4</v>
          </cell>
          <cell r="P50">
            <v>0.15540000000000001</v>
          </cell>
        </row>
        <row r="51">
          <cell r="N51">
            <v>41</v>
          </cell>
          <cell r="O51">
            <v>0.41</v>
          </cell>
          <cell r="P51">
            <v>0.15909999999999999</v>
          </cell>
        </row>
        <row r="52">
          <cell r="N52">
            <v>42</v>
          </cell>
          <cell r="O52">
            <v>0.42</v>
          </cell>
          <cell r="P52">
            <v>0.1628</v>
          </cell>
        </row>
        <row r="53">
          <cell r="N53">
            <v>43</v>
          </cell>
          <cell r="O53">
            <v>0.43</v>
          </cell>
          <cell r="P53">
            <v>0.16639999999999999</v>
          </cell>
        </row>
        <row r="54">
          <cell r="N54">
            <v>44</v>
          </cell>
          <cell r="O54">
            <v>0.44</v>
          </cell>
          <cell r="P54">
            <v>0.17</v>
          </cell>
        </row>
        <row r="55">
          <cell r="N55">
            <v>45</v>
          </cell>
          <cell r="O55">
            <v>0.45</v>
          </cell>
          <cell r="P55">
            <v>0.1736</v>
          </cell>
        </row>
        <row r="56">
          <cell r="N56">
            <v>46</v>
          </cell>
          <cell r="O56">
            <v>0.46</v>
          </cell>
          <cell r="P56">
            <v>0.1772</v>
          </cell>
        </row>
        <row r="57">
          <cell r="N57">
            <v>47</v>
          </cell>
          <cell r="O57">
            <v>0.47</v>
          </cell>
          <cell r="P57">
            <v>0.18079999999999999</v>
          </cell>
        </row>
        <row r="58">
          <cell r="N58">
            <v>48</v>
          </cell>
          <cell r="O58">
            <v>0.48</v>
          </cell>
          <cell r="P58">
            <v>0.18440000000000001</v>
          </cell>
        </row>
        <row r="59">
          <cell r="N59">
            <v>49</v>
          </cell>
          <cell r="O59">
            <v>0.49</v>
          </cell>
          <cell r="P59">
            <v>0.18790000000000001</v>
          </cell>
        </row>
        <row r="60">
          <cell r="N60">
            <v>50</v>
          </cell>
          <cell r="O60">
            <v>0.5</v>
          </cell>
          <cell r="P60">
            <v>0.1915</v>
          </cell>
        </row>
        <row r="61">
          <cell r="N61">
            <v>51</v>
          </cell>
          <cell r="O61">
            <v>0.51</v>
          </cell>
          <cell r="P61">
            <v>0.19500000000000001</v>
          </cell>
        </row>
        <row r="62">
          <cell r="N62">
            <v>52</v>
          </cell>
          <cell r="O62">
            <v>0.52</v>
          </cell>
          <cell r="P62">
            <v>0.19650000000000001</v>
          </cell>
        </row>
        <row r="63">
          <cell r="N63">
            <v>53</v>
          </cell>
          <cell r="O63">
            <v>0.53</v>
          </cell>
          <cell r="P63">
            <v>0.2019</v>
          </cell>
        </row>
        <row r="64">
          <cell r="N64">
            <v>54</v>
          </cell>
          <cell r="O64">
            <v>0.54</v>
          </cell>
          <cell r="P64">
            <v>0.2054</v>
          </cell>
        </row>
        <row r="65">
          <cell r="N65">
            <v>55</v>
          </cell>
          <cell r="O65">
            <v>0.55000000000000004</v>
          </cell>
          <cell r="P65">
            <v>0.20880000000000001</v>
          </cell>
        </row>
        <row r="66">
          <cell r="N66">
            <v>56</v>
          </cell>
          <cell r="O66">
            <v>0.56000000000000005</v>
          </cell>
          <cell r="P66">
            <v>0.21229999999999999</v>
          </cell>
        </row>
        <row r="67">
          <cell r="N67">
            <v>57</v>
          </cell>
          <cell r="O67">
            <v>0.56999999999999995</v>
          </cell>
          <cell r="P67">
            <v>0.2157</v>
          </cell>
        </row>
        <row r="68">
          <cell r="N68">
            <v>58</v>
          </cell>
          <cell r="O68">
            <v>0.57999999999999996</v>
          </cell>
          <cell r="P68">
            <v>0.219</v>
          </cell>
        </row>
        <row r="69">
          <cell r="N69">
            <v>59</v>
          </cell>
          <cell r="O69">
            <v>0.59</v>
          </cell>
          <cell r="P69">
            <v>0.22239999999999999</v>
          </cell>
        </row>
        <row r="70">
          <cell r="N70">
            <v>60</v>
          </cell>
          <cell r="O70">
            <v>0.6</v>
          </cell>
          <cell r="P70">
            <v>0.2258</v>
          </cell>
        </row>
        <row r="71">
          <cell r="N71">
            <v>61</v>
          </cell>
          <cell r="O71">
            <v>0.61</v>
          </cell>
          <cell r="P71">
            <v>0.2291</v>
          </cell>
        </row>
        <row r="72">
          <cell r="N72">
            <v>62</v>
          </cell>
          <cell r="O72">
            <v>0.62</v>
          </cell>
          <cell r="P72">
            <v>0.2324</v>
          </cell>
        </row>
        <row r="73">
          <cell r="N73">
            <v>63</v>
          </cell>
          <cell r="O73">
            <v>0.63</v>
          </cell>
          <cell r="P73">
            <v>0.23569999999999999</v>
          </cell>
        </row>
        <row r="74">
          <cell r="N74">
            <v>64</v>
          </cell>
          <cell r="O74">
            <v>0.64</v>
          </cell>
          <cell r="P74">
            <v>0.2389</v>
          </cell>
        </row>
        <row r="75">
          <cell r="N75">
            <v>65</v>
          </cell>
          <cell r="O75">
            <v>0.65</v>
          </cell>
          <cell r="P75">
            <v>0.2422</v>
          </cell>
        </row>
        <row r="76">
          <cell r="N76">
            <v>66</v>
          </cell>
          <cell r="O76">
            <v>0.66</v>
          </cell>
          <cell r="P76">
            <v>0.24540000000000001</v>
          </cell>
        </row>
        <row r="77">
          <cell r="N77">
            <v>67</v>
          </cell>
          <cell r="O77">
            <v>0.67</v>
          </cell>
          <cell r="P77">
            <v>0.24859999999999999</v>
          </cell>
        </row>
        <row r="78">
          <cell r="N78">
            <v>68</v>
          </cell>
          <cell r="O78">
            <v>0.68</v>
          </cell>
          <cell r="P78">
            <v>0.25180000000000002</v>
          </cell>
        </row>
        <row r="79">
          <cell r="N79">
            <v>69</v>
          </cell>
          <cell r="O79">
            <v>0.69</v>
          </cell>
          <cell r="P79">
            <v>0.25490000000000002</v>
          </cell>
        </row>
        <row r="80">
          <cell r="N80">
            <v>70</v>
          </cell>
          <cell r="O80">
            <v>0.7</v>
          </cell>
          <cell r="P80">
            <v>0.25800000000000001</v>
          </cell>
        </row>
        <row r="81">
          <cell r="N81">
            <v>71</v>
          </cell>
          <cell r="O81">
            <v>0.71</v>
          </cell>
          <cell r="P81">
            <v>0.26119999999999999</v>
          </cell>
        </row>
        <row r="82">
          <cell r="N82">
            <v>72</v>
          </cell>
          <cell r="O82">
            <v>0.72</v>
          </cell>
          <cell r="P82">
            <v>0.26419999999999999</v>
          </cell>
        </row>
        <row r="83">
          <cell r="N83">
            <v>73</v>
          </cell>
          <cell r="O83">
            <v>0.73</v>
          </cell>
          <cell r="P83">
            <v>0.26729999999999998</v>
          </cell>
        </row>
        <row r="84">
          <cell r="N84">
            <v>74</v>
          </cell>
          <cell r="O84">
            <v>0.74</v>
          </cell>
          <cell r="P84">
            <v>0.27039999999999997</v>
          </cell>
        </row>
        <row r="85">
          <cell r="N85">
            <v>75</v>
          </cell>
          <cell r="O85">
            <v>0.75</v>
          </cell>
          <cell r="P85">
            <v>0.27339999999999998</v>
          </cell>
        </row>
        <row r="86">
          <cell r="N86">
            <v>76</v>
          </cell>
          <cell r="O86">
            <v>0.76</v>
          </cell>
          <cell r="P86">
            <v>0.27639999999999998</v>
          </cell>
        </row>
        <row r="87">
          <cell r="N87">
            <v>77</v>
          </cell>
          <cell r="O87">
            <v>0.77</v>
          </cell>
          <cell r="P87">
            <v>0.27939999999999998</v>
          </cell>
        </row>
        <row r="88">
          <cell r="N88">
            <v>78</v>
          </cell>
          <cell r="O88">
            <v>0.78</v>
          </cell>
          <cell r="P88">
            <v>0.2823</v>
          </cell>
        </row>
        <row r="89">
          <cell r="N89">
            <v>79</v>
          </cell>
          <cell r="O89">
            <v>0.79</v>
          </cell>
          <cell r="P89">
            <v>0.28520000000000001</v>
          </cell>
        </row>
        <row r="90">
          <cell r="N90">
            <v>80</v>
          </cell>
          <cell r="O90">
            <v>0.8</v>
          </cell>
          <cell r="P90">
            <v>0.28810000000000002</v>
          </cell>
        </row>
        <row r="91">
          <cell r="N91">
            <v>81</v>
          </cell>
          <cell r="O91">
            <v>0.81</v>
          </cell>
          <cell r="P91">
            <v>0.29099999999999998</v>
          </cell>
        </row>
        <row r="92">
          <cell r="N92">
            <v>82</v>
          </cell>
          <cell r="O92">
            <v>0.82</v>
          </cell>
          <cell r="P92">
            <v>0.29389999999999999</v>
          </cell>
        </row>
        <row r="93">
          <cell r="N93">
            <v>83</v>
          </cell>
          <cell r="O93">
            <v>0.83</v>
          </cell>
          <cell r="P93">
            <v>0.29670000000000002</v>
          </cell>
        </row>
        <row r="94">
          <cell r="N94">
            <v>84</v>
          </cell>
          <cell r="O94">
            <v>0.84</v>
          </cell>
          <cell r="P94">
            <v>0.29959999999999998</v>
          </cell>
        </row>
        <row r="95">
          <cell r="N95">
            <v>85</v>
          </cell>
          <cell r="O95">
            <v>0.85</v>
          </cell>
          <cell r="P95">
            <v>0.30230000000000001</v>
          </cell>
        </row>
        <row r="96">
          <cell r="N96">
            <v>86</v>
          </cell>
          <cell r="O96">
            <v>0.86</v>
          </cell>
          <cell r="P96">
            <v>0.30509999999999998</v>
          </cell>
        </row>
        <row r="97">
          <cell r="N97">
            <v>87</v>
          </cell>
          <cell r="O97">
            <v>0.87</v>
          </cell>
          <cell r="P97">
            <v>0.30780000000000002</v>
          </cell>
        </row>
        <row r="98">
          <cell r="N98">
            <v>88</v>
          </cell>
          <cell r="O98">
            <v>0.88</v>
          </cell>
          <cell r="P98">
            <v>0.31059999999999999</v>
          </cell>
        </row>
        <row r="99">
          <cell r="N99">
            <v>89</v>
          </cell>
          <cell r="O99">
            <v>0.89</v>
          </cell>
          <cell r="P99">
            <v>0.31330000000000002</v>
          </cell>
        </row>
        <row r="100">
          <cell r="N100">
            <v>90</v>
          </cell>
          <cell r="O100">
            <v>0.9</v>
          </cell>
          <cell r="P100">
            <v>0.31590000000000001</v>
          </cell>
        </row>
        <row r="101">
          <cell r="N101">
            <v>91</v>
          </cell>
          <cell r="O101">
            <v>0.91</v>
          </cell>
          <cell r="P101">
            <v>0.31859999999999999</v>
          </cell>
        </row>
        <row r="102">
          <cell r="N102">
            <v>92</v>
          </cell>
          <cell r="O102">
            <v>0.92</v>
          </cell>
          <cell r="P102">
            <v>0.32119999999999999</v>
          </cell>
        </row>
        <row r="103">
          <cell r="N103">
            <v>93</v>
          </cell>
          <cell r="O103">
            <v>0.93</v>
          </cell>
          <cell r="P103">
            <v>0.32379999999999998</v>
          </cell>
        </row>
        <row r="104">
          <cell r="N104">
            <v>94</v>
          </cell>
          <cell r="O104">
            <v>0.94</v>
          </cell>
          <cell r="P104">
            <v>0.32640000000000002</v>
          </cell>
        </row>
        <row r="105">
          <cell r="N105">
            <v>95</v>
          </cell>
          <cell r="O105">
            <v>0.95</v>
          </cell>
          <cell r="P105">
            <v>0.32890000000000003</v>
          </cell>
        </row>
        <row r="106">
          <cell r="N106">
            <v>96</v>
          </cell>
          <cell r="O106">
            <v>0.96</v>
          </cell>
          <cell r="P106">
            <v>0.33150000000000002</v>
          </cell>
        </row>
        <row r="107">
          <cell r="N107">
            <v>97</v>
          </cell>
          <cell r="O107">
            <v>0.97</v>
          </cell>
          <cell r="P107">
            <v>0.33400000000000002</v>
          </cell>
        </row>
        <row r="108">
          <cell r="N108">
            <v>98</v>
          </cell>
          <cell r="O108">
            <v>0.98</v>
          </cell>
          <cell r="P108">
            <v>0.33650000000000002</v>
          </cell>
        </row>
        <row r="109">
          <cell r="N109">
            <v>99</v>
          </cell>
          <cell r="O109">
            <v>0.99</v>
          </cell>
          <cell r="P109">
            <v>0.33889999999999998</v>
          </cell>
        </row>
        <row r="110">
          <cell r="N110">
            <v>100</v>
          </cell>
          <cell r="O110">
            <v>1</v>
          </cell>
          <cell r="P110">
            <v>0.34129999999999999</v>
          </cell>
        </row>
        <row r="111">
          <cell r="N111">
            <v>101</v>
          </cell>
          <cell r="O111">
            <v>1.01</v>
          </cell>
          <cell r="P111">
            <v>0.34379999999999999</v>
          </cell>
        </row>
        <row r="112">
          <cell r="N112">
            <v>102</v>
          </cell>
          <cell r="O112">
            <v>1.02</v>
          </cell>
          <cell r="P112">
            <v>0.34610000000000002</v>
          </cell>
        </row>
        <row r="113">
          <cell r="N113">
            <v>103</v>
          </cell>
          <cell r="O113">
            <v>1.03</v>
          </cell>
          <cell r="P113">
            <v>0.34849999999999998</v>
          </cell>
        </row>
        <row r="114">
          <cell r="N114">
            <v>104</v>
          </cell>
          <cell r="O114">
            <v>1.04</v>
          </cell>
          <cell r="P114">
            <v>0.3508</v>
          </cell>
        </row>
        <row r="115">
          <cell r="N115">
            <v>105</v>
          </cell>
          <cell r="O115">
            <v>1.05</v>
          </cell>
          <cell r="P115">
            <v>0.35310000000000002</v>
          </cell>
        </row>
        <row r="116">
          <cell r="N116">
            <v>106</v>
          </cell>
          <cell r="O116">
            <v>1.06</v>
          </cell>
          <cell r="P116">
            <v>0.35539999999999999</v>
          </cell>
        </row>
        <row r="117">
          <cell r="N117">
            <v>107</v>
          </cell>
          <cell r="O117">
            <v>1.07</v>
          </cell>
          <cell r="P117">
            <v>0.35770000000000002</v>
          </cell>
        </row>
        <row r="118">
          <cell r="N118">
            <v>108</v>
          </cell>
          <cell r="O118">
            <v>1.08</v>
          </cell>
          <cell r="P118">
            <v>0.3599</v>
          </cell>
        </row>
        <row r="119">
          <cell r="N119">
            <v>109</v>
          </cell>
          <cell r="O119">
            <v>1.0900000000000001</v>
          </cell>
          <cell r="P119">
            <v>0.36209999999999998</v>
          </cell>
        </row>
        <row r="120">
          <cell r="N120">
            <v>110</v>
          </cell>
          <cell r="O120">
            <v>1.1000000000000001</v>
          </cell>
          <cell r="P120">
            <v>0.36430000000000001</v>
          </cell>
        </row>
        <row r="121">
          <cell r="N121">
            <v>111</v>
          </cell>
          <cell r="O121">
            <v>1.1100000000000001</v>
          </cell>
          <cell r="P121">
            <v>0.36649999999999999</v>
          </cell>
        </row>
        <row r="122">
          <cell r="N122">
            <v>112</v>
          </cell>
          <cell r="O122">
            <v>1.1200000000000001</v>
          </cell>
          <cell r="P122">
            <v>0.36859999999999998</v>
          </cell>
        </row>
        <row r="123">
          <cell r="N123">
            <v>113</v>
          </cell>
          <cell r="O123">
            <v>1.1299999999999999</v>
          </cell>
          <cell r="P123">
            <v>0.37080000000000002</v>
          </cell>
        </row>
        <row r="124">
          <cell r="N124">
            <v>114</v>
          </cell>
          <cell r="O124">
            <v>1.1399999999999999</v>
          </cell>
          <cell r="P124">
            <v>0.37290000000000001</v>
          </cell>
        </row>
        <row r="125">
          <cell r="N125">
            <v>115</v>
          </cell>
          <cell r="O125">
            <v>1.1499999999999999</v>
          </cell>
          <cell r="P125">
            <v>0.37490000000000001</v>
          </cell>
        </row>
        <row r="126">
          <cell r="N126">
            <v>116</v>
          </cell>
          <cell r="O126">
            <v>1.1599999999999999</v>
          </cell>
          <cell r="P126">
            <v>0.377</v>
          </cell>
        </row>
        <row r="127">
          <cell r="N127">
            <v>117</v>
          </cell>
          <cell r="O127">
            <v>1.17</v>
          </cell>
          <cell r="P127">
            <v>0.379</v>
          </cell>
        </row>
        <row r="128">
          <cell r="N128">
            <v>118</v>
          </cell>
          <cell r="O128">
            <v>1.18</v>
          </cell>
          <cell r="P128">
            <v>0.38100000000000001</v>
          </cell>
        </row>
        <row r="129">
          <cell r="N129">
            <v>119</v>
          </cell>
          <cell r="O129">
            <v>1.19</v>
          </cell>
          <cell r="P129">
            <v>0.38300000000000001</v>
          </cell>
        </row>
        <row r="130">
          <cell r="N130">
            <v>120</v>
          </cell>
          <cell r="O130">
            <v>1.2</v>
          </cell>
          <cell r="P130">
            <v>0.38490000000000002</v>
          </cell>
        </row>
        <row r="131">
          <cell r="N131">
            <v>121</v>
          </cell>
          <cell r="O131">
            <v>1.21</v>
          </cell>
          <cell r="P131">
            <v>0.38690000000000002</v>
          </cell>
        </row>
        <row r="132">
          <cell r="N132">
            <v>122</v>
          </cell>
          <cell r="O132">
            <v>1.22</v>
          </cell>
          <cell r="P132">
            <v>0.38879999999999998</v>
          </cell>
        </row>
        <row r="133">
          <cell r="N133">
            <v>123</v>
          </cell>
          <cell r="O133">
            <v>1.23</v>
          </cell>
          <cell r="P133">
            <v>0.39069999999999999</v>
          </cell>
        </row>
        <row r="134">
          <cell r="N134">
            <v>124</v>
          </cell>
          <cell r="O134">
            <v>1.24</v>
          </cell>
          <cell r="P134">
            <v>0.39250000000000002</v>
          </cell>
        </row>
        <row r="135">
          <cell r="N135">
            <v>125</v>
          </cell>
          <cell r="O135">
            <v>1.25</v>
          </cell>
          <cell r="P135">
            <v>0.39439999999999997</v>
          </cell>
        </row>
        <row r="136">
          <cell r="N136">
            <v>126</v>
          </cell>
          <cell r="O136">
            <v>1.26</v>
          </cell>
          <cell r="P136">
            <v>0.3962</v>
          </cell>
        </row>
        <row r="137">
          <cell r="N137">
            <v>127</v>
          </cell>
          <cell r="O137">
            <v>1.27</v>
          </cell>
          <cell r="P137">
            <v>0.39800000000000002</v>
          </cell>
        </row>
        <row r="138">
          <cell r="N138">
            <v>128</v>
          </cell>
          <cell r="O138">
            <v>1.28</v>
          </cell>
          <cell r="P138">
            <v>0.3997</v>
          </cell>
        </row>
        <row r="139">
          <cell r="N139">
            <v>129</v>
          </cell>
          <cell r="O139">
            <v>1.29</v>
          </cell>
          <cell r="P139">
            <v>0.40150000000000002</v>
          </cell>
        </row>
        <row r="140">
          <cell r="N140">
            <v>130</v>
          </cell>
          <cell r="O140">
            <v>1.3</v>
          </cell>
          <cell r="P140">
            <v>0.4032</v>
          </cell>
        </row>
        <row r="141">
          <cell r="N141">
            <v>131</v>
          </cell>
          <cell r="O141">
            <v>1.31</v>
          </cell>
          <cell r="P141">
            <v>0.40489999999999998</v>
          </cell>
        </row>
        <row r="142">
          <cell r="N142">
            <v>132</v>
          </cell>
          <cell r="O142">
            <v>1.32</v>
          </cell>
          <cell r="P142">
            <v>0.40660000000000002</v>
          </cell>
        </row>
        <row r="143">
          <cell r="N143">
            <v>133</v>
          </cell>
          <cell r="O143">
            <v>1.33</v>
          </cell>
          <cell r="P143">
            <v>0.40820000000000001</v>
          </cell>
        </row>
        <row r="144">
          <cell r="N144">
            <v>134</v>
          </cell>
          <cell r="O144">
            <v>1.34</v>
          </cell>
          <cell r="P144">
            <v>0.40989999999999999</v>
          </cell>
        </row>
        <row r="145">
          <cell r="N145">
            <v>135</v>
          </cell>
          <cell r="O145">
            <v>1.35</v>
          </cell>
          <cell r="P145">
            <v>0.41149999999999998</v>
          </cell>
        </row>
        <row r="146">
          <cell r="N146">
            <v>136</v>
          </cell>
          <cell r="O146">
            <v>1.36</v>
          </cell>
          <cell r="P146">
            <v>0.41310000000000002</v>
          </cell>
        </row>
        <row r="147">
          <cell r="N147">
            <v>137</v>
          </cell>
          <cell r="O147">
            <v>1.37</v>
          </cell>
          <cell r="P147">
            <v>0.41470000000000001</v>
          </cell>
        </row>
        <row r="148">
          <cell r="N148">
            <v>138</v>
          </cell>
          <cell r="O148">
            <v>1.38</v>
          </cell>
          <cell r="P148">
            <v>0.41620000000000001</v>
          </cell>
        </row>
        <row r="149">
          <cell r="N149">
            <v>139</v>
          </cell>
          <cell r="O149">
            <v>1.39</v>
          </cell>
          <cell r="P149">
            <v>0.41770000000000002</v>
          </cell>
        </row>
        <row r="150">
          <cell r="N150">
            <v>140</v>
          </cell>
          <cell r="O150">
            <v>1.4</v>
          </cell>
          <cell r="P150">
            <v>0.41920000000000002</v>
          </cell>
        </row>
        <row r="151">
          <cell r="N151">
            <v>141</v>
          </cell>
          <cell r="O151">
            <v>1.41</v>
          </cell>
          <cell r="P151">
            <v>0.42070000000000002</v>
          </cell>
        </row>
        <row r="152">
          <cell r="N152">
            <v>142</v>
          </cell>
          <cell r="O152">
            <v>1.42</v>
          </cell>
          <cell r="P152">
            <v>0.42220000000000002</v>
          </cell>
        </row>
        <row r="153">
          <cell r="N153">
            <v>143</v>
          </cell>
          <cell r="O153">
            <v>1.43</v>
          </cell>
          <cell r="P153">
            <v>0.42359999999999998</v>
          </cell>
        </row>
        <row r="154">
          <cell r="N154">
            <v>144</v>
          </cell>
          <cell r="O154">
            <v>1.44</v>
          </cell>
          <cell r="P154">
            <v>0.42509999999999998</v>
          </cell>
        </row>
        <row r="155">
          <cell r="N155">
            <v>145</v>
          </cell>
          <cell r="O155">
            <v>1.45</v>
          </cell>
          <cell r="P155">
            <v>0.42649999999999999</v>
          </cell>
        </row>
        <row r="156">
          <cell r="N156">
            <v>146</v>
          </cell>
          <cell r="O156">
            <v>1.46</v>
          </cell>
          <cell r="P156">
            <v>0.4279</v>
          </cell>
        </row>
        <row r="157">
          <cell r="N157">
            <v>147</v>
          </cell>
          <cell r="O157">
            <v>1.47</v>
          </cell>
          <cell r="P157">
            <v>0.4289</v>
          </cell>
        </row>
        <row r="158">
          <cell r="N158">
            <v>148</v>
          </cell>
          <cell r="O158">
            <v>1.48</v>
          </cell>
          <cell r="P158">
            <v>0.43059999999999998</v>
          </cell>
        </row>
        <row r="159">
          <cell r="N159">
            <v>149</v>
          </cell>
          <cell r="O159">
            <v>1.49</v>
          </cell>
          <cell r="P159">
            <v>0.43190000000000001</v>
          </cell>
        </row>
        <row r="160">
          <cell r="N160">
            <v>150</v>
          </cell>
          <cell r="O160">
            <v>1.5</v>
          </cell>
          <cell r="P160">
            <v>0.43319999999999997</v>
          </cell>
        </row>
        <row r="161">
          <cell r="N161">
            <v>151</v>
          </cell>
          <cell r="O161">
            <v>1.51</v>
          </cell>
          <cell r="P161">
            <v>0.4345</v>
          </cell>
        </row>
        <row r="162">
          <cell r="N162">
            <v>152</v>
          </cell>
          <cell r="O162">
            <v>1.52</v>
          </cell>
          <cell r="P162">
            <v>0.43569999999999998</v>
          </cell>
        </row>
        <row r="163">
          <cell r="N163">
            <v>153</v>
          </cell>
          <cell r="O163">
            <v>1.53</v>
          </cell>
          <cell r="P163">
            <v>0.437</v>
          </cell>
        </row>
        <row r="164">
          <cell r="N164">
            <v>154</v>
          </cell>
          <cell r="O164">
            <v>1.54</v>
          </cell>
          <cell r="P164">
            <v>0.43819999999999998</v>
          </cell>
        </row>
        <row r="165">
          <cell r="N165">
            <v>155</v>
          </cell>
          <cell r="O165">
            <v>1.55</v>
          </cell>
          <cell r="P165">
            <v>0.43940000000000001</v>
          </cell>
        </row>
        <row r="166">
          <cell r="N166">
            <v>156</v>
          </cell>
          <cell r="O166">
            <v>1.56</v>
          </cell>
          <cell r="P166">
            <v>0.44059999999999999</v>
          </cell>
        </row>
        <row r="167">
          <cell r="N167">
            <v>157</v>
          </cell>
          <cell r="O167">
            <v>1.57</v>
          </cell>
          <cell r="P167">
            <v>0.44180000000000003</v>
          </cell>
        </row>
        <row r="168">
          <cell r="N168">
            <v>158</v>
          </cell>
          <cell r="O168">
            <v>1.58</v>
          </cell>
          <cell r="P168">
            <v>0.44290000000000002</v>
          </cell>
        </row>
        <row r="169">
          <cell r="N169">
            <v>159</v>
          </cell>
          <cell r="O169">
            <v>1.59</v>
          </cell>
          <cell r="P169">
            <v>0.44429999999999997</v>
          </cell>
        </row>
        <row r="170">
          <cell r="N170">
            <v>160</v>
          </cell>
          <cell r="O170">
            <v>1.6</v>
          </cell>
          <cell r="P170">
            <v>0.44519999999999998</v>
          </cell>
        </row>
        <row r="171">
          <cell r="N171">
            <v>161</v>
          </cell>
          <cell r="O171">
            <v>1.61</v>
          </cell>
          <cell r="P171">
            <v>0.44629999999999997</v>
          </cell>
        </row>
        <row r="172">
          <cell r="N172">
            <v>162</v>
          </cell>
          <cell r="O172">
            <v>1.62</v>
          </cell>
          <cell r="P172">
            <v>0.44740000000000002</v>
          </cell>
        </row>
        <row r="173">
          <cell r="N173">
            <v>163</v>
          </cell>
          <cell r="O173">
            <v>1.63</v>
          </cell>
          <cell r="P173">
            <v>0.44840000000000002</v>
          </cell>
        </row>
        <row r="174">
          <cell r="N174">
            <v>164</v>
          </cell>
          <cell r="O174">
            <v>1.64</v>
          </cell>
          <cell r="P174">
            <v>0.44950000000000001</v>
          </cell>
        </row>
        <row r="175">
          <cell r="N175">
            <v>165</v>
          </cell>
          <cell r="O175">
            <v>1.65</v>
          </cell>
          <cell r="P175">
            <v>0.45050000000000001</v>
          </cell>
        </row>
        <row r="176">
          <cell r="N176">
            <v>166</v>
          </cell>
          <cell r="O176">
            <v>1.66</v>
          </cell>
          <cell r="P176">
            <v>0.45150000000000001</v>
          </cell>
        </row>
        <row r="177">
          <cell r="N177">
            <v>167</v>
          </cell>
          <cell r="O177">
            <v>1.67</v>
          </cell>
          <cell r="P177">
            <v>0.45250000000000001</v>
          </cell>
        </row>
        <row r="178">
          <cell r="N178">
            <v>168</v>
          </cell>
          <cell r="O178">
            <v>1.68</v>
          </cell>
          <cell r="P178">
            <v>0.45350000000000001</v>
          </cell>
        </row>
        <row r="179">
          <cell r="N179">
            <v>169</v>
          </cell>
          <cell r="O179">
            <v>1.69</v>
          </cell>
          <cell r="P179">
            <v>0.45450000000000002</v>
          </cell>
        </row>
        <row r="180">
          <cell r="N180">
            <v>170</v>
          </cell>
          <cell r="O180">
            <v>1.7</v>
          </cell>
          <cell r="P180">
            <v>0.45540000000000003</v>
          </cell>
        </row>
        <row r="181">
          <cell r="N181">
            <v>171</v>
          </cell>
          <cell r="O181">
            <v>1.71</v>
          </cell>
          <cell r="P181">
            <v>0.45639999999999997</v>
          </cell>
        </row>
        <row r="182">
          <cell r="N182">
            <v>172</v>
          </cell>
          <cell r="O182">
            <v>1.72</v>
          </cell>
          <cell r="P182">
            <v>0.45729999999999998</v>
          </cell>
        </row>
        <row r="183">
          <cell r="N183">
            <v>173</v>
          </cell>
          <cell r="O183">
            <v>1.73</v>
          </cell>
          <cell r="P183">
            <v>0.4582</v>
          </cell>
        </row>
        <row r="184">
          <cell r="N184">
            <v>174</v>
          </cell>
          <cell r="O184">
            <v>1.74</v>
          </cell>
          <cell r="P184">
            <v>0.45910000000000001</v>
          </cell>
        </row>
        <row r="185">
          <cell r="N185">
            <v>175</v>
          </cell>
          <cell r="O185">
            <v>1.75</v>
          </cell>
          <cell r="P185">
            <v>0.45989999999999998</v>
          </cell>
        </row>
        <row r="186">
          <cell r="N186">
            <v>176</v>
          </cell>
          <cell r="O186">
            <v>1.76</v>
          </cell>
          <cell r="P186">
            <v>0.46079999999999999</v>
          </cell>
        </row>
        <row r="187">
          <cell r="N187">
            <v>177</v>
          </cell>
          <cell r="O187">
            <v>1.77</v>
          </cell>
          <cell r="P187">
            <v>0.46160000000000001</v>
          </cell>
        </row>
        <row r="188">
          <cell r="N188">
            <v>178</v>
          </cell>
          <cell r="O188">
            <v>1.78</v>
          </cell>
          <cell r="P188">
            <v>0.46250000000000002</v>
          </cell>
        </row>
        <row r="189">
          <cell r="N189">
            <v>179</v>
          </cell>
          <cell r="O189">
            <v>1.79</v>
          </cell>
          <cell r="P189">
            <v>0.46329999999999999</v>
          </cell>
        </row>
        <row r="190">
          <cell r="N190">
            <v>180</v>
          </cell>
          <cell r="O190">
            <v>1.8</v>
          </cell>
          <cell r="P190">
            <v>0.46410000000000001</v>
          </cell>
        </row>
        <row r="191">
          <cell r="N191">
            <v>181</v>
          </cell>
          <cell r="O191">
            <v>1.81</v>
          </cell>
          <cell r="P191">
            <v>0.46489999999999998</v>
          </cell>
        </row>
        <row r="192">
          <cell r="N192">
            <v>182</v>
          </cell>
          <cell r="O192">
            <v>1.82</v>
          </cell>
          <cell r="P192">
            <v>0.46560000000000001</v>
          </cell>
        </row>
        <row r="193">
          <cell r="N193">
            <v>183</v>
          </cell>
          <cell r="O193">
            <v>1.83</v>
          </cell>
          <cell r="P193">
            <v>0.46639999999999998</v>
          </cell>
        </row>
        <row r="194">
          <cell r="N194">
            <v>184</v>
          </cell>
          <cell r="O194">
            <v>1.84</v>
          </cell>
          <cell r="P194">
            <v>0.46710000000000002</v>
          </cell>
        </row>
        <row r="195">
          <cell r="N195">
            <v>185</v>
          </cell>
          <cell r="O195">
            <v>1.85</v>
          </cell>
          <cell r="P195">
            <v>0.46779999999999999</v>
          </cell>
        </row>
        <row r="196">
          <cell r="N196">
            <v>186</v>
          </cell>
          <cell r="O196">
            <v>1.86</v>
          </cell>
          <cell r="P196">
            <v>0.46860000000000002</v>
          </cell>
        </row>
        <row r="197">
          <cell r="N197">
            <v>187</v>
          </cell>
          <cell r="O197">
            <v>1.87</v>
          </cell>
          <cell r="P197">
            <v>0.46929999999999999</v>
          </cell>
        </row>
        <row r="198">
          <cell r="N198">
            <v>188</v>
          </cell>
          <cell r="O198">
            <v>1.88</v>
          </cell>
          <cell r="P198">
            <v>0.46989999999999998</v>
          </cell>
        </row>
        <row r="199">
          <cell r="N199">
            <v>189</v>
          </cell>
          <cell r="O199">
            <v>1.89</v>
          </cell>
          <cell r="P199">
            <v>0.47060000000000002</v>
          </cell>
        </row>
        <row r="200">
          <cell r="N200">
            <v>190</v>
          </cell>
          <cell r="O200">
            <v>1.9</v>
          </cell>
          <cell r="P200">
            <v>0.4713</v>
          </cell>
        </row>
        <row r="201">
          <cell r="N201">
            <v>191</v>
          </cell>
          <cell r="O201">
            <v>1.91</v>
          </cell>
          <cell r="P201">
            <v>0.47189999999999999</v>
          </cell>
        </row>
        <row r="202">
          <cell r="N202">
            <v>192</v>
          </cell>
          <cell r="O202">
            <v>1.92</v>
          </cell>
          <cell r="P202">
            <v>0.47260000000000002</v>
          </cell>
        </row>
        <row r="203">
          <cell r="N203">
            <v>193</v>
          </cell>
          <cell r="O203">
            <v>1.93</v>
          </cell>
          <cell r="P203">
            <v>0.47320000000000001</v>
          </cell>
        </row>
        <row r="204">
          <cell r="N204">
            <v>194</v>
          </cell>
          <cell r="O204">
            <v>1.94</v>
          </cell>
          <cell r="P204">
            <v>0.4738</v>
          </cell>
        </row>
        <row r="205">
          <cell r="N205">
            <v>195</v>
          </cell>
          <cell r="O205">
            <v>1.95</v>
          </cell>
          <cell r="P205">
            <v>0.47439999999999999</v>
          </cell>
        </row>
        <row r="206">
          <cell r="N206">
            <v>196</v>
          </cell>
          <cell r="O206">
            <v>1.96</v>
          </cell>
          <cell r="P206">
            <v>0.47499999999999998</v>
          </cell>
        </row>
        <row r="207">
          <cell r="N207">
            <v>197</v>
          </cell>
          <cell r="O207">
            <v>1.97</v>
          </cell>
          <cell r="P207">
            <v>0.47560000000000002</v>
          </cell>
        </row>
        <row r="208">
          <cell r="N208">
            <v>198</v>
          </cell>
          <cell r="O208">
            <v>1.98</v>
          </cell>
          <cell r="P208">
            <v>0.47610000000000002</v>
          </cell>
        </row>
        <row r="209">
          <cell r="N209">
            <v>199</v>
          </cell>
          <cell r="O209">
            <v>1.99</v>
          </cell>
          <cell r="P209">
            <v>0.47670000000000001</v>
          </cell>
        </row>
        <row r="210">
          <cell r="N210">
            <v>200</v>
          </cell>
          <cell r="O210">
            <v>2</v>
          </cell>
          <cell r="P210">
            <v>0.47720000000000001</v>
          </cell>
        </row>
        <row r="211">
          <cell r="N211">
            <v>201</v>
          </cell>
          <cell r="O211">
            <v>2.0099999999999998</v>
          </cell>
          <cell r="P211">
            <v>0.4778</v>
          </cell>
        </row>
        <row r="212">
          <cell r="N212">
            <v>202</v>
          </cell>
          <cell r="O212">
            <v>2.02</v>
          </cell>
          <cell r="P212">
            <v>0.4783</v>
          </cell>
        </row>
        <row r="213">
          <cell r="N213">
            <v>203</v>
          </cell>
          <cell r="O213">
            <v>2.0299999999999998</v>
          </cell>
          <cell r="P213">
            <v>0.4788</v>
          </cell>
        </row>
        <row r="214">
          <cell r="N214">
            <v>204</v>
          </cell>
          <cell r="O214">
            <v>2.04</v>
          </cell>
          <cell r="P214">
            <v>0.4793</v>
          </cell>
        </row>
        <row r="215">
          <cell r="N215">
            <v>205</v>
          </cell>
          <cell r="O215">
            <v>2.0499999999999998</v>
          </cell>
          <cell r="P215">
            <v>0.4798</v>
          </cell>
        </row>
        <row r="216">
          <cell r="N216">
            <v>206</v>
          </cell>
          <cell r="O216">
            <v>2.06</v>
          </cell>
          <cell r="P216">
            <v>0.4803</v>
          </cell>
        </row>
        <row r="217">
          <cell r="N217">
            <v>207</v>
          </cell>
          <cell r="O217">
            <v>2.0699999999999998</v>
          </cell>
          <cell r="P217">
            <v>0.48080000000000001</v>
          </cell>
        </row>
        <row r="218">
          <cell r="N218">
            <v>208</v>
          </cell>
          <cell r="O218">
            <v>2.08</v>
          </cell>
          <cell r="P218">
            <v>0.48120000000000002</v>
          </cell>
        </row>
        <row r="219">
          <cell r="N219">
            <v>209</v>
          </cell>
          <cell r="O219">
            <v>2.09</v>
          </cell>
          <cell r="P219">
            <v>0.48170000000000002</v>
          </cell>
        </row>
        <row r="220">
          <cell r="N220">
            <v>210</v>
          </cell>
          <cell r="O220">
            <v>2.1</v>
          </cell>
          <cell r="P220">
            <v>0.48209999999999997</v>
          </cell>
        </row>
        <row r="221">
          <cell r="N221">
            <v>211</v>
          </cell>
          <cell r="O221">
            <v>2.11</v>
          </cell>
          <cell r="P221">
            <v>0.48259999999999997</v>
          </cell>
        </row>
        <row r="222">
          <cell r="N222">
            <v>212</v>
          </cell>
          <cell r="O222">
            <v>2.12</v>
          </cell>
          <cell r="P222">
            <v>0.48299999999999998</v>
          </cell>
        </row>
        <row r="223">
          <cell r="N223">
            <v>213</v>
          </cell>
          <cell r="O223">
            <v>2.13</v>
          </cell>
          <cell r="P223">
            <v>0.4834</v>
          </cell>
        </row>
        <row r="224">
          <cell r="N224">
            <v>214</v>
          </cell>
          <cell r="O224">
            <v>2.14</v>
          </cell>
          <cell r="P224">
            <v>0.48380000000000001</v>
          </cell>
        </row>
        <row r="225">
          <cell r="N225">
            <v>215</v>
          </cell>
          <cell r="O225">
            <v>2.15</v>
          </cell>
          <cell r="P225">
            <v>0.48420000000000002</v>
          </cell>
        </row>
        <row r="226">
          <cell r="N226">
            <v>216</v>
          </cell>
          <cell r="O226">
            <v>2.16</v>
          </cell>
          <cell r="P226">
            <v>0.48459999999999998</v>
          </cell>
        </row>
        <row r="227">
          <cell r="N227">
            <v>217</v>
          </cell>
          <cell r="O227">
            <v>2.17</v>
          </cell>
          <cell r="P227">
            <v>0.48499999999999999</v>
          </cell>
        </row>
        <row r="228">
          <cell r="N228">
            <v>218</v>
          </cell>
          <cell r="O228">
            <v>2.1800000000000002</v>
          </cell>
          <cell r="P228">
            <v>0.4854</v>
          </cell>
        </row>
        <row r="229">
          <cell r="N229">
            <v>219</v>
          </cell>
          <cell r="O229">
            <v>2.19</v>
          </cell>
          <cell r="P229">
            <v>0.48570000000000002</v>
          </cell>
        </row>
        <row r="230">
          <cell r="N230">
            <v>220</v>
          </cell>
          <cell r="O230">
            <v>2.2000000000000002</v>
          </cell>
          <cell r="P230">
            <v>0.48609999999999998</v>
          </cell>
        </row>
        <row r="231">
          <cell r="N231">
            <v>221</v>
          </cell>
          <cell r="O231">
            <v>2.21</v>
          </cell>
          <cell r="P231">
            <v>0.4864</v>
          </cell>
        </row>
        <row r="232">
          <cell r="N232">
            <v>222</v>
          </cell>
          <cell r="O232">
            <v>2.2200000000000002</v>
          </cell>
          <cell r="P232">
            <v>0.48680000000000001</v>
          </cell>
        </row>
        <row r="233">
          <cell r="N233">
            <v>223</v>
          </cell>
          <cell r="O233">
            <v>2.23</v>
          </cell>
          <cell r="P233">
            <v>0.48709999999999998</v>
          </cell>
        </row>
        <row r="234">
          <cell r="N234">
            <v>224</v>
          </cell>
          <cell r="O234">
            <v>2.2400000000000002</v>
          </cell>
          <cell r="P234">
            <v>0.48749999999999999</v>
          </cell>
        </row>
        <row r="235">
          <cell r="N235">
            <v>225</v>
          </cell>
          <cell r="O235">
            <v>2.25</v>
          </cell>
          <cell r="P235">
            <v>0.48780000000000001</v>
          </cell>
        </row>
        <row r="236">
          <cell r="N236">
            <v>226</v>
          </cell>
          <cell r="O236">
            <v>2.2599999999999998</v>
          </cell>
          <cell r="P236">
            <v>0.48809999999999998</v>
          </cell>
        </row>
        <row r="237">
          <cell r="N237">
            <v>227</v>
          </cell>
          <cell r="O237">
            <v>2.27</v>
          </cell>
          <cell r="P237">
            <v>0.4884</v>
          </cell>
        </row>
        <row r="238">
          <cell r="N238">
            <v>228</v>
          </cell>
          <cell r="O238">
            <v>2.2799999999999998</v>
          </cell>
          <cell r="P238">
            <v>0.48870000000000002</v>
          </cell>
        </row>
        <row r="239">
          <cell r="N239">
            <v>229</v>
          </cell>
          <cell r="O239">
            <v>2.29</v>
          </cell>
          <cell r="P239">
            <v>0.48899999999999999</v>
          </cell>
        </row>
        <row r="240">
          <cell r="N240">
            <v>230</v>
          </cell>
          <cell r="O240">
            <v>2.2999999999999998</v>
          </cell>
          <cell r="P240">
            <v>0.48930000000000001</v>
          </cell>
        </row>
        <row r="241">
          <cell r="N241">
            <v>231</v>
          </cell>
          <cell r="O241">
            <v>2.31</v>
          </cell>
          <cell r="P241">
            <v>0.48959999999999998</v>
          </cell>
        </row>
        <row r="242">
          <cell r="N242">
            <v>232</v>
          </cell>
          <cell r="O242">
            <v>2.3199999999999998</v>
          </cell>
          <cell r="P242">
            <v>0.48980000000000001</v>
          </cell>
        </row>
        <row r="243">
          <cell r="N243">
            <v>233</v>
          </cell>
          <cell r="O243">
            <v>2.33</v>
          </cell>
          <cell r="P243">
            <v>0.49009999999999998</v>
          </cell>
        </row>
        <row r="244">
          <cell r="N244">
            <v>234</v>
          </cell>
          <cell r="O244">
            <v>2.34</v>
          </cell>
          <cell r="P244">
            <v>0.4904</v>
          </cell>
        </row>
        <row r="245">
          <cell r="N245">
            <v>235</v>
          </cell>
          <cell r="O245">
            <v>2.35</v>
          </cell>
          <cell r="P245">
            <v>0.49059999999999998</v>
          </cell>
        </row>
        <row r="246">
          <cell r="N246">
            <v>236</v>
          </cell>
          <cell r="O246">
            <v>2.36</v>
          </cell>
          <cell r="P246">
            <v>0.4909</v>
          </cell>
        </row>
        <row r="247">
          <cell r="N247">
            <v>237</v>
          </cell>
          <cell r="O247">
            <v>2.37</v>
          </cell>
          <cell r="P247">
            <v>0.49109999999999998</v>
          </cell>
        </row>
        <row r="248">
          <cell r="N248">
            <v>238</v>
          </cell>
          <cell r="O248">
            <v>2.38</v>
          </cell>
          <cell r="P248">
            <v>0.49130000000000001</v>
          </cell>
        </row>
        <row r="249">
          <cell r="N249">
            <v>239</v>
          </cell>
          <cell r="O249">
            <v>2.39</v>
          </cell>
          <cell r="P249">
            <v>0.49159999999999998</v>
          </cell>
        </row>
        <row r="250">
          <cell r="N250">
            <v>240</v>
          </cell>
          <cell r="O250">
            <v>2.4</v>
          </cell>
          <cell r="P250">
            <v>0.49180000000000001</v>
          </cell>
        </row>
        <row r="251">
          <cell r="N251">
            <v>241</v>
          </cell>
          <cell r="O251">
            <v>2.41</v>
          </cell>
          <cell r="P251">
            <v>0.49199999999999999</v>
          </cell>
        </row>
        <row r="252">
          <cell r="N252">
            <v>242</v>
          </cell>
          <cell r="O252">
            <v>2.42</v>
          </cell>
          <cell r="P252">
            <v>0.49220000000000003</v>
          </cell>
        </row>
        <row r="253">
          <cell r="N253">
            <v>243</v>
          </cell>
          <cell r="O253">
            <v>2.4300000000000002</v>
          </cell>
          <cell r="P253">
            <v>0.49249999999999999</v>
          </cell>
        </row>
        <row r="254">
          <cell r="N254">
            <v>244</v>
          </cell>
          <cell r="O254">
            <v>2.44</v>
          </cell>
          <cell r="P254">
            <v>0.49270000000000003</v>
          </cell>
        </row>
        <row r="255">
          <cell r="N255">
            <v>245</v>
          </cell>
          <cell r="O255">
            <v>2.4500000000000002</v>
          </cell>
          <cell r="P255">
            <v>0.4929</v>
          </cell>
        </row>
        <row r="256">
          <cell r="N256">
            <v>246</v>
          </cell>
          <cell r="O256">
            <v>2.46</v>
          </cell>
          <cell r="P256">
            <v>0.49309999999999998</v>
          </cell>
        </row>
        <row r="257">
          <cell r="N257">
            <v>247</v>
          </cell>
          <cell r="O257">
            <v>2.4700000000000002</v>
          </cell>
          <cell r="P257">
            <v>0.49320000000000003</v>
          </cell>
        </row>
        <row r="258">
          <cell r="N258">
            <v>248</v>
          </cell>
          <cell r="O258">
            <v>2.48</v>
          </cell>
          <cell r="P258">
            <v>0.49340000000000001</v>
          </cell>
        </row>
        <row r="259">
          <cell r="N259">
            <v>249</v>
          </cell>
          <cell r="O259">
            <v>2.4900000000000002</v>
          </cell>
          <cell r="P259">
            <v>0.49359999999999998</v>
          </cell>
        </row>
        <row r="260">
          <cell r="N260">
            <v>250</v>
          </cell>
          <cell r="O260">
            <v>2.5</v>
          </cell>
          <cell r="P260">
            <v>0.49380000000000002</v>
          </cell>
        </row>
        <row r="261">
          <cell r="N261">
            <v>251</v>
          </cell>
          <cell r="O261">
            <v>2.5099999999999998</v>
          </cell>
          <cell r="P261">
            <v>0.49399999999999999</v>
          </cell>
        </row>
        <row r="262">
          <cell r="N262">
            <v>252</v>
          </cell>
          <cell r="O262">
            <v>2.52</v>
          </cell>
          <cell r="P262">
            <v>0.49409999999999998</v>
          </cell>
        </row>
        <row r="263">
          <cell r="N263">
            <v>253</v>
          </cell>
          <cell r="O263">
            <v>2.5299999999999998</v>
          </cell>
          <cell r="P263">
            <v>0.49430000000000002</v>
          </cell>
        </row>
        <row r="264">
          <cell r="N264">
            <v>254</v>
          </cell>
          <cell r="O264">
            <v>2.54</v>
          </cell>
          <cell r="P264">
            <v>0.4945</v>
          </cell>
        </row>
        <row r="265">
          <cell r="N265">
            <v>255</v>
          </cell>
          <cell r="O265">
            <v>2.5499999999999998</v>
          </cell>
          <cell r="P265">
            <v>0.49459999999999998</v>
          </cell>
        </row>
        <row r="266">
          <cell r="N266">
            <v>256</v>
          </cell>
          <cell r="O266">
            <v>2.56</v>
          </cell>
          <cell r="P266">
            <v>0.49480000000000002</v>
          </cell>
        </row>
        <row r="267">
          <cell r="N267">
            <v>257</v>
          </cell>
          <cell r="O267">
            <v>2.57</v>
          </cell>
          <cell r="P267">
            <v>0.49490000000000001</v>
          </cell>
        </row>
        <row r="268">
          <cell r="N268">
            <v>258</v>
          </cell>
          <cell r="O268">
            <v>2.58</v>
          </cell>
          <cell r="P268">
            <v>0.49509999999999998</v>
          </cell>
        </row>
        <row r="269">
          <cell r="N269">
            <v>259</v>
          </cell>
          <cell r="O269">
            <v>2.59</v>
          </cell>
          <cell r="P269">
            <v>0.49519999999999997</v>
          </cell>
        </row>
        <row r="270">
          <cell r="N270">
            <v>260</v>
          </cell>
          <cell r="O270">
            <v>2.6</v>
          </cell>
          <cell r="P270">
            <v>0.49530000000000002</v>
          </cell>
        </row>
        <row r="271">
          <cell r="N271">
            <v>261</v>
          </cell>
          <cell r="O271">
            <v>2.61</v>
          </cell>
          <cell r="P271">
            <v>0.4955</v>
          </cell>
        </row>
        <row r="272">
          <cell r="N272">
            <v>262</v>
          </cell>
          <cell r="O272">
            <v>2.62</v>
          </cell>
          <cell r="P272">
            <v>0.49559999999999998</v>
          </cell>
        </row>
        <row r="273">
          <cell r="N273">
            <v>263</v>
          </cell>
          <cell r="O273">
            <v>2.63</v>
          </cell>
          <cell r="P273">
            <v>0.49569999999999997</v>
          </cell>
        </row>
        <row r="274">
          <cell r="N274">
            <v>264</v>
          </cell>
          <cell r="O274">
            <v>2.64</v>
          </cell>
          <cell r="P274">
            <v>0.49590000000000001</v>
          </cell>
        </row>
        <row r="275">
          <cell r="N275">
            <v>265</v>
          </cell>
          <cell r="O275">
            <v>2.65</v>
          </cell>
          <cell r="P275">
            <v>0.496</v>
          </cell>
        </row>
        <row r="276">
          <cell r="N276">
            <v>266</v>
          </cell>
          <cell r="O276">
            <v>2.66</v>
          </cell>
          <cell r="P276">
            <v>0.49609999999999999</v>
          </cell>
        </row>
        <row r="277">
          <cell r="N277">
            <v>267</v>
          </cell>
          <cell r="O277">
            <v>2.67</v>
          </cell>
          <cell r="P277">
            <v>0.49619999999999997</v>
          </cell>
        </row>
        <row r="278">
          <cell r="N278">
            <v>268</v>
          </cell>
          <cell r="O278">
            <v>2.68</v>
          </cell>
          <cell r="P278">
            <v>0.49630000000000002</v>
          </cell>
        </row>
        <row r="279">
          <cell r="N279">
            <v>269</v>
          </cell>
          <cell r="O279">
            <v>2.69</v>
          </cell>
          <cell r="P279">
            <v>0.49640000000000001</v>
          </cell>
        </row>
        <row r="280">
          <cell r="N280">
            <v>270</v>
          </cell>
          <cell r="O280">
            <v>2.7</v>
          </cell>
          <cell r="P280">
            <v>0.4965</v>
          </cell>
        </row>
        <row r="281">
          <cell r="N281">
            <v>271</v>
          </cell>
          <cell r="O281">
            <v>2.71</v>
          </cell>
          <cell r="P281">
            <v>0.49659999999999999</v>
          </cell>
        </row>
        <row r="282">
          <cell r="N282">
            <v>272</v>
          </cell>
          <cell r="O282">
            <v>2.72</v>
          </cell>
          <cell r="P282">
            <v>0.49669999999999997</v>
          </cell>
        </row>
        <row r="283">
          <cell r="N283">
            <v>273</v>
          </cell>
          <cell r="O283">
            <v>2.73</v>
          </cell>
          <cell r="P283">
            <v>0.49680000000000002</v>
          </cell>
        </row>
        <row r="284">
          <cell r="N284">
            <v>274</v>
          </cell>
          <cell r="O284">
            <v>2.74</v>
          </cell>
          <cell r="P284">
            <v>0.49690000000000001</v>
          </cell>
        </row>
        <row r="285">
          <cell r="N285">
            <v>275</v>
          </cell>
          <cell r="O285">
            <v>2.75</v>
          </cell>
          <cell r="P285">
            <v>0.497</v>
          </cell>
        </row>
        <row r="286">
          <cell r="N286">
            <v>276</v>
          </cell>
          <cell r="O286">
            <v>2.76</v>
          </cell>
          <cell r="P286">
            <v>0.49709999999999999</v>
          </cell>
        </row>
        <row r="287">
          <cell r="N287">
            <v>277</v>
          </cell>
          <cell r="O287">
            <v>2.77</v>
          </cell>
          <cell r="P287">
            <v>0.49719999999999998</v>
          </cell>
        </row>
        <row r="288">
          <cell r="N288">
            <v>278</v>
          </cell>
          <cell r="O288">
            <v>2.78</v>
          </cell>
          <cell r="P288">
            <v>0.49730000000000002</v>
          </cell>
        </row>
        <row r="289">
          <cell r="N289">
            <v>279</v>
          </cell>
          <cell r="O289">
            <v>2.79</v>
          </cell>
          <cell r="P289">
            <v>0.49740000000000001</v>
          </cell>
        </row>
        <row r="290">
          <cell r="N290">
            <v>280</v>
          </cell>
          <cell r="O290">
            <v>2.8</v>
          </cell>
          <cell r="P290">
            <v>0.49740000000000001</v>
          </cell>
        </row>
        <row r="291">
          <cell r="N291">
            <v>281</v>
          </cell>
          <cell r="O291">
            <v>2.81</v>
          </cell>
          <cell r="P291">
            <v>0.4975</v>
          </cell>
        </row>
        <row r="292">
          <cell r="N292">
            <v>282</v>
          </cell>
          <cell r="O292">
            <v>2.82</v>
          </cell>
          <cell r="P292">
            <v>0.49759999999999999</v>
          </cell>
        </row>
        <row r="293">
          <cell r="N293">
            <v>283</v>
          </cell>
          <cell r="O293">
            <v>2.83</v>
          </cell>
          <cell r="P293">
            <v>0.49769999999999998</v>
          </cell>
        </row>
        <row r="294">
          <cell r="N294">
            <v>284</v>
          </cell>
          <cell r="O294">
            <v>2.84</v>
          </cell>
          <cell r="P294">
            <v>0.49769999999999998</v>
          </cell>
        </row>
        <row r="295">
          <cell r="N295">
            <v>285</v>
          </cell>
          <cell r="O295">
            <v>2.85</v>
          </cell>
          <cell r="P295">
            <v>0.49780000000000002</v>
          </cell>
        </row>
        <row r="296">
          <cell r="N296">
            <v>286</v>
          </cell>
          <cell r="O296">
            <v>2.86</v>
          </cell>
          <cell r="P296">
            <v>0.49780000000000002</v>
          </cell>
        </row>
        <row r="297">
          <cell r="N297">
            <v>287</v>
          </cell>
          <cell r="O297">
            <v>2.87</v>
          </cell>
          <cell r="P297">
            <v>0.49790000000000001</v>
          </cell>
        </row>
        <row r="298">
          <cell r="N298">
            <v>288</v>
          </cell>
          <cell r="O298">
            <v>2.88</v>
          </cell>
          <cell r="P298">
            <v>0.498</v>
          </cell>
        </row>
        <row r="299">
          <cell r="N299">
            <v>289</v>
          </cell>
          <cell r="O299">
            <v>2.89</v>
          </cell>
          <cell r="P299">
            <v>0.49809999999999999</v>
          </cell>
        </row>
        <row r="300">
          <cell r="N300">
            <v>290</v>
          </cell>
          <cell r="O300">
            <v>2.9</v>
          </cell>
          <cell r="P300">
            <v>0.49809999999999999</v>
          </cell>
        </row>
        <row r="301">
          <cell r="N301">
            <v>291</v>
          </cell>
          <cell r="O301">
            <v>2.91</v>
          </cell>
          <cell r="P301">
            <v>0.49819999999999998</v>
          </cell>
        </row>
        <row r="302">
          <cell r="N302">
            <v>292</v>
          </cell>
          <cell r="O302">
            <v>2.92</v>
          </cell>
          <cell r="P302">
            <v>0.49819999999999998</v>
          </cell>
        </row>
        <row r="303">
          <cell r="N303">
            <v>293</v>
          </cell>
          <cell r="O303">
            <v>2.93</v>
          </cell>
          <cell r="P303">
            <v>0.49830000000000002</v>
          </cell>
        </row>
        <row r="304">
          <cell r="N304">
            <v>294</v>
          </cell>
          <cell r="O304">
            <v>2.94</v>
          </cell>
          <cell r="P304">
            <v>0.49840000000000001</v>
          </cell>
        </row>
        <row r="305">
          <cell r="N305">
            <v>295</v>
          </cell>
          <cell r="O305">
            <v>2.95</v>
          </cell>
          <cell r="P305">
            <v>0.49840000000000001</v>
          </cell>
        </row>
        <row r="306">
          <cell r="N306">
            <v>296</v>
          </cell>
          <cell r="O306">
            <v>2.96</v>
          </cell>
          <cell r="P306">
            <v>0.4985</v>
          </cell>
        </row>
        <row r="307">
          <cell r="N307">
            <v>297</v>
          </cell>
          <cell r="O307">
            <v>2.97</v>
          </cell>
          <cell r="P307">
            <v>0.4985</v>
          </cell>
        </row>
        <row r="308">
          <cell r="N308">
            <v>298</v>
          </cell>
          <cell r="O308">
            <v>2.98</v>
          </cell>
          <cell r="P308">
            <v>0.49859999999999999</v>
          </cell>
        </row>
        <row r="309">
          <cell r="N309">
            <v>299</v>
          </cell>
          <cell r="O309">
            <v>2.99</v>
          </cell>
          <cell r="P309">
            <v>0.49859999999999999</v>
          </cell>
        </row>
        <row r="310">
          <cell r="N310">
            <v>300</v>
          </cell>
          <cell r="O310">
            <v>3</v>
          </cell>
          <cell r="P310">
            <v>0.49869999999999998</v>
          </cell>
        </row>
        <row r="311">
          <cell r="N311">
            <v>301</v>
          </cell>
          <cell r="O311">
            <v>3.01</v>
          </cell>
          <cell r="P311">
            <v>0.49869999999999998</v>
          </cell>
        </row>
        <row r="312">
          <cell r="N312">
            <v>302</v>
          </cell>
          <cell r="O312">
            <v>3.02</v>
          </cell>
          <cell r="P312">
            <v>0.49869999999999998</v>
          </cell>
        </row>
        <row r="313">
          <cell r="N313">
            <v>303</v>
          </cell>
          <cell r="O313">
            <v>3.03</v>
          </cell>
          <cell r="P313">
            <v>0.49880000000000002</v>
          </cell>
        </row>
        <row r="314">
          <cell r="N314">
            <v>304</v>
          </cell>
          <cell r="O314">
            <v>3.04</v>
          </cell>
          <cell r="P314">
            <v>0.49880000000000002</v>
          </cell>
        </row>
        <row r="315">
          <cell r="N315">
            <v>305</v>
          </cell>
          <cell r="O315">
            <v>3.05</v>
          </cell>
          <cell r="P315">
            <v>0.49890000000000001</v>
          </cell>
        </row>
        <row r="316">
          <cell r="N316">
            <v>306</v>
          </cell>
          <cell r="O316">
            <v>3.06</v>
          </cell>
          <cell r="P316">
            <v>0.49890000000000001</v>
          </cell>
        </row>
        <row r="317">
          <cell r="N317">
            <v>307</v>
          </cell>
          <cell r="O317">
            <v>3.07</v>
          </cell>
          <cell r="P317">
            <v>0.49890000000000001</v>
          </cell>
        </row>
        <row r="318">
          <cell r="N318">
            <v>308</v>
          </cell>
          <cell r="O318">
            <v>3.08</v>
          </cell>
          <cell r="P318">
            <v>0.499</v>
          </cell>
        </row>
        <row r="319">
          <cell r="N319">
            <v>309</v>
          </cell>
          <cell r="O319">
            <v>3.09</v>
          </cell>
          <cell r="P319">
            <v>0.499</v>
          </cell>
        </row>
        <row r="320">
          <cell r="N320">
            <v>310</v>
          </cell>
          <cell r="O320">
            <v>3.1</v>
          </cell>
          <cell r="P320">
            <v>0.499</v>
          </cell>
        </row>
        <row r="321">
          <cell r="N321">
            <v>311</v>
          </cell>
          <cell r="O321">
            <v>3.11</v>
          </cell>
          <cell r="P321">
            <v>0.49909999999999999</v>
          </cell>
        </row>
        <row r="322">
          <cell r="N322">
            <v>312</v>
          </cell>
          <cell r="O322">
            <v>3.12</v>
          </cell>
          <cell r="P322">
            <v>0.49909999999999999</v>
          </cell>
        </row>
        <row r="323">
          <cell r="N323">
            <v>313</v>
          </cell>
          <cell r="O323">
            <v>3.13</v>
          </cell>
          <cell r="P323">
            <v>0.49909999999999999</v>
          </cell>
        </row>
        <row r="324">
          <cell r="N324">
            <v>314</v>
          </cell>
          <cell r="O324">
            <v>3.14</v>
          </cell>
          <cell r="P324">
            <v>0.49919999999999998</v>
          </cell>
        </row>
        <row r="325">
          <cell r="N325">
            <v>315</v>
          </cell>
          <cell r="O325">
            <v>3.15</v>
          </cell>
          <cell r="P325">
            <v>0.49919999999999998</v>
          </cell>
        </row>
        <row r="326">
          <cell r="N326">
            <v>316</v>
          </cell>
          <cell r="O326">
            <v>3.16</v>
          </cell>
          <cell r="P326">
            <v>0.49919999999999998</v>
          </cell>
        </row>
        <row r="327">
          <cell r="N327">
            <v>317</v>
          </cell>
          <cell r="O327">
            <v>3.17</v>
          </cell>
          <cell r="P327">
            <v>0.49919999999999998</v>
          </cell>
        </row>
        <row r="328">
          <cell r="N328">
            <v>318</v>
          </cell>
          <cell r="O328">
            <v>3.18</v>
          </cell>
          <cell r="P328">
            <v>0.49930000000000002</v>
          </cell>
        </row>
        <row r="329">
          <cell r="N329">
            <v>319</v>
          </cell>
          <cell r="O329">
            <v>3.19</v>
          </cell>
          <cell r="P329">
            <v>0.49930000000000002</v>
          </cell>
        </row>
        <row r="330">
          <cell r="N330">
            <v>320</v>
          </cell>
          <cell r="O330">
            <v>3.2</v>
          </cell>
          <cell r="P330">
            <v>0.49930000000000002</v>
          </cell>
        </row>
        <row r="331">
          <cell r="N331">
            <v>321</v>
          </cell>
          <cell r="O331">
            <v>3.21</v>
          </cell>
          <cell r="P331">
            <v>0.49930000000000002</v>
          </cell>
        </row>
        <row r="332">
          <cell r="N332">
            <v>322</v>
          </cell>
          <cell r="O332">
            <v>3.22</v>
          </cell>
          <cell r="P332">
            <v>0.49940000000000001</v>
          </cell>
        </row>
        <row r="333">
          <cell r="N333">
            <v>323</v>
          </cell>
          <cell r="O333">
            <v>3.23</v>
          </cell>
          <cell r="P333">
            <v>0.49940000000000001</v>
          </cell>
        </row>
        <row r="334">
          <cell r="N334">
            <v>324</v>
          </cell>
          <cell r="O334">
            <v>3.24</v>
          </cell>
          <cell r="P334">
            <v>0.49940000000000001</v>
          </cell>
        </row>
        <row r="335">
          <cell r="N335">
            <v>325</v>
          </cell>
          <cell r="O335">
            <v>3.25</v>
          </cell>
          <cell r="P335">
            <v>0.49940000000000001</v>
          </cell>
        </row>
        <row r="336">
          <cell r="N336">
            <v>326</v>
          </cell>
          <cell r="O336">
            <v>3.26</v>
          </cell>
          <cell r="P336">
            <v>0.49940000000000001</v>
          </cell>
        </row>
        <row r="337">
          <cell r="N337">
            <v>327</v>
          </cell>
          <cell r="O337">
            <v>3.27</v>
          </cell>
          <cell r="P337">
            <v>0.4995</v>
          </cell>
        </row>
        <row r="338">
          <cell r="N338">
            <v>328</v>
          </cell>
          <cell r="O338">
            <v>3.28</v>
          </cell>
          <cell r="P338">
            <v>0.4995</v>
          </cell>
        </row>
        <row r="339">
          <cell r="N339">
            <v>329</v>
          </cell>
          <cell r="O339">
            <v>3.29</v>
          </cell>
          <cell r="P339">
            <v>0.4995</v>
          </cell>
        </row>
        <row r="340">
          <cell r="N340">
            <v>330</v>
          </cell>
          <cell r="O340">
            <v>3.3</v>
          </cell>
          <cell r="P340">
            <v>0.4995</v>
          </cell>
        </row>
        <row r="341">
          <cell r="N341">
            <v>331</v>
          </cell>
          <cell r="O341">
            <v>3.31</v>
          </cell>
          <cell r="P341">
            <v>0.4995</v>
          </cell>
        </row>
        <row r="342">
          <cell r="N342">
            <v>332</v>
          </cell>
          <cell r="O342">
            <v>3.32</v>
          </cell>
          <cell r="P342">
            <v>0.4995</v>
          </cell>
        </row>
        <row r="343">
          <cell r="N343">
            <v>333</v>
          </cell>
          <cell r="O343">
            <v>3.33</v>
          </cell>
          <cell r="P343">
            <v>0.49959999999999999</v>
          </cell>
        </row>
        <row r="344">
          <cell r="N344">
            <v>334</v>
          </cell>
          <cell r="O344">
            <v>3.34</v>
          </cell>
          <cell r="P344">
            <v>0.49959999999999999</v>
          </cell>
        </row>
        <row r="345">
          <cell r="N345">
            <v>335</v>
          </cell>
          <cell r="O345">
            <v>3.35</v>
          </cell>
          <cell r="P345">
            <v>0.49959999999999999</v>
          </cell>
        </row>
        <row r="346">
          <cell r="N346">
            <v>336</v>
          </cell>
          <cell r="O346">
            <v>3.36</v>
          </cell>
          <cell r="P346">
            <v>0.49959999999999999</v>
          </cell>
        </row>
        <row r="347">
          <cell r="N347">
            <v>337</v>
          </cell>
          <cell r="O347">
            <v>3.37</v>
          </cell>
          <cell r="P347">
            <v>0.49959999999999999</v>
          </cell>
        </row>
        <row r="348">
          <cell r="N348">
            <v>338</v>
          </cell>
          <cell r="O348">
            <v>3.38</v>
          </cell>
          <cell r="P348">
            <v>0.49959999999999999</v>
          </cell>
        </row>
        <row r="349">
          <cell r="N349">
            <v>339</v>
          </cell>
          <cell r="O349">
            <v>3.39</v>
          </cell>
          <cell r="P349">
            <v>0.49969999999999998</v>
          </cell>
        </row>
        <row r="350">
          <cell r="N350">
            <v>340</v>
          </cell>
          <cell r="O350">
            <v>3.4</v>
          </cell>
          <cell r="P350">
            <v>0.49969999999999998</v>
          </cell>
        </row>
        <row r="351">
          <cell r="N351">
            <v>341</v>
          </cell>
          <cell r="O351">
            <v>3.41</v>
          </cell>
          <cell r="P351">
            <v>0.49969999999999998</v>
          </cell>
        </row>
        <row r="352">
          <cell r="N352">
            <v>342</v>
          </cell>
          <cell r="O352">
            <v>3.42</v>
          </cell>
          <cell r="P352">
            <v>0.49969999999999998</v>
          </cell>
        </row>
        <row r="353">
          <cell r="N353">
            <v>343</v>
          </cell>
          <cell r="O353">
            <v>3.43</v>
          </cell>
          <cell r="P353">
            <v>0.49969999999999998</v>
          </cell>
        </row>
        <row r="354">
          <cell r="N354">
            <v>344</v>
          </cell>
          <cell r="O354">
            <v>3.44</v>
          </cell>
          <cell r="P354">
            <v>0.49969999999999998</v>
          </cell>
        </row>
        <row r="355">
          <cell r="N355">
            <v>345</v>
          </cell>
          <cell r="O355">
            <v>3.45</v>
          </cell>
          <cell r="P355">
            <v>0.49969999999999998</v>
          </cell>
        </row>
        <row r="356">
          <cell r="N356">
            <v>346</v>
          </cell>
          <cell r="O356">
            <v>3.46</v>
          </cell>
          <cell r="P356">
            <v>0.49969999999999998</v>
          </cell>
        </row>
        <row r="357">
          <cell r="N357">
            <v>347</v>
          </cell>
          <cell r="O357">
            <v>3.47</v>
          </cell>
          <cell r="P357">
            <v>0.49969999999999998</v>
          </cell>
        </row>
        <row r="358">
          <cell r="N358">
            <v>348</v>
          </cell>
          <cell r="O358">
            <v>3.48</v>
          </cell>
          <cell r="P358">
            <v>0.49969999999999998</v>
          </cell>
        </row>
        <row r="359">
          <cell r="N359">
            <v>349</v>
          </cell>
          <cell r="O359">
            <v>3.49</v>
          </cell>
          <cell r="P359">
            <v>0.49980000000000002</v>
          </cell>
        </row>
        <row r="360">
          <cell r="N360">
            <v>350</v>
          </cell>
          <cell r="O360">
            <v>3.5</v>
          </cell>
          <cell r="P360">
            <v>0.49980000000000002</v>
          </cell>
        </row>
        <row r="361">
          <cell r="N361">
            <v>351</v>
          </cell>
          <cell r="O361">
            <v>3.51</v>
          </cell>
          <cell r="P361">
            <v>0.49980000000000002</v>
          </cell>
        </row>
        <row r="362">
          <cell r="N362">
            <v>352</v>
          </cell>
          <cell r="O362">
            <v>3.52</v>
          </cell>
          <cell r="P362">
            <v>0.49980000000000002</v>
          </cell>
        </row>
        <row r="363">
          <cell r="N363">
            <v>353</v>
          </cell>
          <cell r="O363">
            <v>3.53</v>
          </cell>
          <cell r="P363">
            <v>0.49980000000000002</v>
          </cell>
        </row>
        <row r="364">
          <cell r="N364">
            <v>354</v>
          </cell>
          <cell r="O364">
            <v>3.54</v>
          </cell>
          <cell r="P364">
            <v>0.49980000000000002</v>
          </cell>
        </row>
        <row r="365">
          <cell r="N365">
            <v>355</v>
          </cell>
          <cell r="O365">
            <v>3.55</v>
          </cell>
          <cell r="P365">
            <v>0.49980000000000002</v>
          </cell>
        </row>
        <row r="366">
          <cell r="N366">
            <v>356</v>
          </cell>
          <cell r="O366">
            <v>3.56</v>
          </cell>
          <cell r="P366">
            <v>0.49980000000000002</v>
          </cell>
        </row>
        <row r="367">
          <cell r="N367">
            <v>357</v>
          </cell>
          <cell r="O367">
            <v>3.57</v>
          </cell>
          <cell r="P367">
            <v>0.49980000000000002</v>
          </cell>
        </row>
        <row r="368">
          <cell r="N368">
            <v>358</v>
          </cell>
          <cell r="O368">
            <v>3.58</v>
          </cell>
          <cell r="P368">
            <v>0.49980000000000002</v>
          </cell>
        </row>
        <row r="369">
          <cell r="N369">
            <v>359</v>
          </cell>
          <cell r="O369">
            <v>3.59</v>
          </cell>
          <cell r="P369">
            <v>0.49980000000000002</v>
          </cell>
        </row>
        <row r="370">
          <cell r="N370">
            <v>360</v>
          </cell>
          <cell r="O370">
            <v>3.6</v>
          </cell>
          <cell r="P370">
            <v>0.49980000000000002</v>
          </cell>
        </row>
        <row r="371">
          <cell r="N371">
            <v>361</v>
          </cell>
          <cell r="O371">
            <v>3.61</v>
          </cell>
          <cell r="P371">
            <v>0.49980000000000002</v>
          </cell>
        </row>
        <row r="372">
          <cell r="N372">
            <v>362</v>
          </cell>
          <cell r="O372">
            <v>3.62</v>
          </cell>
          <cell r="P372">
            <v>0.49990000000000001</v>
          </cell>
        </row>
        <row r="373">
          <cell r="N373">
            <v>363</v>
          </cell>
          <cell r="O373">
            <v>3.63</v>
          </cell>
          <cell r="P373">
            <v>0.49990000000000001</v>
          </cell>
        </row>
        <row r="374">
          <cell r="N374">
            <v>364</v>
          </cell>
          <cell r="O374">
            <v>3.64</v>
          </cell>
          <cell r="P374">
            <v>0.49990000000000001</v>
          </cell>
        </row>
        <row r="375">
          <cell r="N375">
            <v>365</v>
          </cell>
          <cell r="O375">
            <v>3.65</v>
          </cell>
          <cell r="P375">
            <v>0.49990000000000001</v>
          </cell>
        </row>
        <row r="376">
          <cell r="N376">
            <v>366</v>
          </cell>
          <cell r="O376">
            <v>3.66</v>
          </cell>
          <cell r="P376">
            <v>0.49990000000000001</v>
          </cell>
        </row>
        <row r="377">
          <cell r="N377">
            <v>367</v>
          </cell>
          <cell r="O377">
            <v>3.67</v>
          </cell>
          <cell r="P377">
            <v>0.49990000000000001</v>
          </cell>
        </row>
        <row r="378">
          <cell r="N378">
            <v>368</v>
          </cell>
          <cell r="O378">
            <v>3.68</v>
          </cell>
          <cell r="P378">
            <v>0.49990000000000001</v>
          </cell>
        </row>
        <row r="379">
          <cell r="N379">
            <v>369</v>
          </cell>
          <cell r="O379">
            <v>3.69</v>
          </cell>
          <cell r="P379">
            <v>0.49990000000000001</v>
          </cell>
        </row>
        <row r="380">
          <cell r="N380">
            <v>370</v>
          </cell>
          <cell r="O380">
            <v>3.7</v>
          </cell>
          <cell r="P380">
            <v>0.49990000000000001</v>
          </cell>
        </row>
        <row r="381">
          <cell r="N381">
            <v>371</v>
          </cell>
          <cell r="O381">
            <v>3.71</v>
          </cell>
          <cell r="P381">
            <v>0.49990000000000001</v>
          </cell>
        </row>
        <row r="382">
          <cell r="N382">
            <v>372</v>
          </cell>
          <cell r="O382">
            <v>3.72</v>
          </cell>
          <cell r="P382">
            <v>0.49990000000000001</v>
          </cell>
        </row>
        <row r="383">
          <cell r="N383">
            <v>373</v>
          </cell>
          <cell r="O383">
            <v>3.73</v>
          </cell>
          <cell r="P383">
            <v>0.49990000000000001</v>
          </cell>
        </row>
        <row r="384">
          <cell r="N384">
            <v>374</v>
          </cell>
          <cell r="O384">
            <v>3.74</v>
          </cell>
          <cell r="P384">
            <v>0.49990000000000001</v>
          </cell>
        </row>
        <row r="385">
          <cell r="N385">
            <v>375</v>
          </cell>
          <cell r="O385">
            <v>3.75</v>
          </cell>
          <cell r="P385">
            <v>0.49990000000000001</v>
          </cell>
        </row>
        <row r="386">
          <cell r="N386">
            <v>376</v>
          </cell>
          <cell r="O386">
            <v>3.76</v>
          </cell>
          <cell r="P386">
            <v>0.49990000000000001</v>
          </cell>
        </row>
        <row r="387">
          <cell r="N387">
            <v>377</v>
          </cell>
          <cell r="O387">
            <v>3.77</v>
          </cell>
          <cell r="P387">
            <v>0.49990000000000001</v>
          </cell>
        </row>
        <row r="388">
          <cell r="N388">
            <v>378</v>
          </cell>
          <cell r="O388">
            <v>3.78</v>
          </cell>
          <cell r="P388">
            <v>0.49990000000000001</v>
          </cell>
        </row>
        <row r="389">
          <cell r="N389">
            <v>379</v>
          </cell>
          <cell r="O389">
            <v>3.79</v>
          </cell>
          <cell r="P389">
            <v>0.49990000000000001</v>
          </cell>
        </row>
        <row r="390">
          <cell r="N390">
            <v>380</v>
          </cell>
          <cell r="O390">
            <v>3.8</v>
          </cell>
          <cell r="P390">
            <v>0.49990000000000001</v>
          </cell>
        </row>
        <row r="391">
          <cell r="N391">
            <v>381</v>
          </cell>
          <cell r="O391">
            <v>3.81</v>
          </cell>
          <cell r="P391">
            <v>0.49990000000000001</v>
          </cell>
        </row>
        <row r="392">
          <cell r="N392">
            <v>382</v>
          </cell>
          <cell r="O392">
            <v>3.82</v>
          </cell>
          <cell r="P392">
            <v>0.49990000000000001</v>
          </cell>
        </row>
        <row r="393">
          <cell r="N393">
            <v>383</v>
          </cell>
          <cell r="O393">
            <v>3.83</v>
          </cell>
          <cell r="P393">
            <v>0.49990000000000001</v>
          </cell>
        </row>
        <row r="394">
          <cell r="N394">
            <v>384</v>
          </cell>
          <cell r="O394">
            <v>3.84</v>
          </cell>
          <cell r="P394">
            <v>0.49990000000000001</v>
          </cell>
        </row>
        <row r="395">
          <cell r="N395">
            <v>385</v>
          </cell>
          <cell r="O395">
            <v>3.85</v>
          </cell>
          <cell r="P395">
            <v>0.49990000000000001</v>
          </cell>
        </row>
        <row r="396">
          <cell r="N396">
            <v>386</v>
          </cell>
          <cell r="O396">
            <v>3.86</v>
          </cell>
          <cell r="P396">
            <v>0.49990000000000001</v>
          </cell>
        </row>
        <row r="397">
          <cell r="N397">
            <v>387</v>
          </cell>
          <cell r="O397">
            <v>3.87</v>
          </cell>
          <cell r="P397">
            <v>0.49990000000000001</v>
          </cell>
        </row>
        <row r="398">
          <cell r="N398">
            <v>388</v>
          </cell>
          <cell r="O398">
            <v>3.88</v>
          </cell>
          <cell r="P398">
            <v>0.49990000000000001</v>
          </cell>
        </row>
        <row r="399">
          <cell r="N399">
            <v>389</v>
          </cell>
          <cell r="O399">
            <v>3.89</v>
          </cell>
          <cell r="P399">
            <v>0.49990000000000001</v>
          </cell>
        </row>
        <row r="400">
          <cell r="N400">
            <v>390</v>
          </cell>
          <cell r="O400">
            <v>3.9</v>
          </cell>
          <cell r="P400">
            <v>0.5</v>
          </cell>
        </row>
        <row r="401">
          <cell r="N401">
            <v>391</v>
          </cell>
          <cell r="O401">
            <v>3.91</v>
          </cell>
          <cell r="P401">
            <v>0.5</v>
          </cell>
        </row>
        <row r="402">
          <cell r="N402">
            <v>392</v>
          </cell>
          <cell r="O402">
            <v>3.92</v>
          </cell>
          <cell r="P402">
            <v>0.5</v>
          </cell>
        </row>
        <row r="403">
          <cell r="N403">
            <v>393</v>
          </cell>
          <cell r="O403">
            <v>3.93</v>
          </cell>
          <cell r="P403">
            <v>0.5</v>
          </cell>
        </row>
        <row r="404">
          <cell r="N404">
            <v>394</v>
          </cell>
          <cell r="O404">
            <v>3.94</v>
          </cell>
          <cell r="P404">
            <v>0.5</v>
          </cell>
        </row>
        <row r="405">
          <cell r="N405">
            <v>395</v>
          </cell>
          <cell r="O405">
            <v>3.95</v>
          </cell>
          <cell r="P405">
            <v>0.5</v>
          </cell>
        </row>
        <row r="406">
          <cell r="N406">
            <v>396</v>
          </cell>
          <cell r="O406">
            <v>3.96</v>
          </cell>
          <cell r="P406">
            <v>0.5</v>
          </cell>
        </row>
        <row r="407">
          <cell r="N407">
            <v>397</v>
          </cell>
          <cell r="O407">
            <v>3.97</v>
          </cell>
          <cell r="P407">
            <v>0.5</v>
          </cell>
        </row>
        <row r="408">
          <cell r="N408">
            <v>398</v>
          </cell>
          <cell r="O408">
            <v>3.98</v>
          </cell>
          <cell r="P408">
            <v>0.5</v>
          </cell>
        </row>
        <row r="409">
          <cell r="N409">
            <v>399</v>
          </cell>
          <cell r="O409">
            <v>3.99</v>
          </cell>
          <cell r="P409">
            <v>0.5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ctação"/>
      <sheetName val="ENSAIOS DO I.S.C."/>
      <sheetName val="GRANULOMETRIA"/>
      <sheetName val="CÓDIGO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Macro1</v>
          </cell>
          <cell r="B1" t="str">
            <v>Macro2</v>
          </cell>
        </row>
        <row r="2">
          <cell r="B2" t="b">
            <v>1</v>
          </cell>
        </row>
        <row r="3">
          <cell r="B3" t="b">
            <v>1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shall"/>
      <sheetName val="parafina"/>
      <sheetName val="resumo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dade"/>
      <sheetName val="Recepção Emulsão"/>
      <sheetName val="Granl Ind"/>
      <sheetName val="Composição"/>
      <sheetName val="Fracion."/>
      <sheetName val="Dens Real Agreg "/>
      <sheetName val="Rice Test"/>
      <sheetName val="Marshall"/>
      <sheetName val="Gráficos "/>
      <sheetName val="Teor"/>
      <sheetName val="Duriez"/>
      <sheetName val="Resultado Final"/>
      <sheetName val="Plan1 (8)"/>
      <sheetName val="Plan1 (9)"/>
      <sheetName val="Plan1 (10)"/>
      <sheetName val="Plan1 (11)"/>
      <sheetName val="Plan1 (12)"/>
      <sheetName val="Granul Mist"/>
      <sheetName val="Cert. Ensaio"/>
      <sheetName val="Plan1 (13)"/>
      <sheetName val="Plan1 (1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">
          <cell r="B11">
            <v>3.5</v>
          </cell>
          <cell r="C11">
            <v>14.634435869810858</v>
          </cell>
          <cell r="D11">
            <v>33.820701490235422</v>
          </cell>
          <cell r="E11">
            <v>606.56287685387053</v>
          </cell>
          <cell r="F11">
            <v>2.6041666666666665</v>
          </cell>
          <cell r="G11">
            <v>2.1399118622249631</v>
          </cell>
          <cell r="H11">
            <v>22.109177903530792</v>
          </cell>
        </row>
        <row r="12">
          <cell r="B12">
            <v>4</v>
          </cell>
          <cell r="C12">
            <v>13.042502824733754</v>
          </cell>
          <cell r="D12">
            <v>39.847831382734931</v>
          </cell>
          <cell r="E12">
            <v>686.29343697542151</v>
          </cell>
          <cell r="F12">
            <v>2.8645833333333335</v>
          </cell>
          <cell r="G12">
            <v>2.1631261814129541</v>
          </cell>
          <cell r="H12">
            <v>21.6777370818713</v>
          </cell>
        </row>
        <row r="13">
          <cell r="B13">
            <v>4.5</v>
          </cell>
          <cell r="C13">
            <v>10.542144613962305</v>
          </cell>
          <cell r="D13">
            <v>48.483809952911002</v>
          </cell>
          <cell r="E13">
            <v>759.2352897898503</v>
          </cell>
          <cell r="F13">
            <v>3.3854166666666665</v>
          </cell>
          <cell r="G13">
            <v>2.2088214227380361</v>
          </cell>
          <cell r="H13">
            <v>20.462001302905581</v>
          </cell>
        </row>
        <row r="14">
          <cell r="B14">
            <v>5</v>
          </cell>
          <cell r="C14">
            <v>9.7826912792827851</v>
          </cell>
          <cell r="D14">
            <v>53.012871406881402</v>
          </cell>
          <cell r="E14">
            <v>712.39315987485827</v>
          </cell>
          <cell r="F14">
            <v>3.90625</v>
          </cell>
          <cell r="G14">
            <v>2.2115151718157957</v>
          </cell>
          <cell r="H14">
            <v>20.818196128663001</v>
          </cell>
        </row>
        <row r="15">
          <cell r="B15">
            <v>5.5</v>
          </cell>
          <cell r="C15">
            <v>9.4091413629180654</v>
          </cell>
          <cell r="D15">
            <v>56.26153344110736</v>
          </cell>
          <cell r="E15">
            <v>638.82932370375295</v>
          </cell>
          <cell r="F15">
            <v>4.6875</v>
          </cell>
          <cell r="G15">
            <v>2.2041511673176131</v>
          </cell>
          <cell r="H15">
            <v>21.507775514861052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tor"/>
      <sheetName val="cbr"/>
      <sheetName val="ISC(363 - LE) (2)"/>
      <sheetName val="Plan1"/>
      <sheetName val="compc."/>
      <sheetName val=" LL e LP"/>
      <sheetName val=" COMPACT."/>
      <sheetName val=" I S C"/>
      <sheetName val=" LL e LP (2)"/>
      <sheetName val="ISC(363 - LE) (3)"/>
      <sheetName val="Sedim"/>
      <sheetName val="Sedim (2)"/>
      <sheetName val="PROCTOR (2)"/>
      <sheetName val="Proctor est SAIBRO SERGIO"/>
      <sheetName val="Calculo"/>
      <sheetName val="Tabela"/>
      <sheetName val="Tolerancia"/>
      <sheetName val="Planilha"/>
      <sheetName val="resumo dos ensaios"/>
      <sheetName val="limite est.795"/>
      <sheetName val="Ensaio de Hilf"/>
      <sheetName val="MCV"/>
      <sheetName val="DEFLEXÕES"/>
      <sheetName val="Plan1 (2)"/>
      <sheetName val="Viga"/>
      <sheetName val="Plan1 (3)"/>
      <sheetName val="GRÁFICO 854-894"/>
      <sheetName val="ENTRADA"/>
      <sheetName val="RELATÓRIO"/>
      <sheetName val="GRANUL"/>
      <sheetName val="CURVA.ABRAMS"/>
      <sheetName val="GRÁFICO.SLUMP"/>
      <sheetName val="ESTUDO.TRAÇO"/>
      <sheetName val="Plan1 (4)"/>
      <sheetName val="Plan1 (5)"/>
      <sheetName val="Plan1 (6)"/>
      <sheetName val="CBR est.1171 sub-leito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G"/>
      <sheetName val="DOSAGEM"/>
      <sheetName val="Mist. 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71A36-A441-46D8-9560-0C68FF32C96D}">
  <sheetPr>
    <pageSetUpPr fitToPage="1"/>
  </sheetPr>
  <dimension ref="B1:AK123"/>
  <sheetViews>
    <sheetView showGridLines="0" tabSelected="1" view="pageBreakPreview" zoomScale="85" zoomScaleNormal="85" zoomScaleSheetLayoutView="85" workbookViewId="0">
      <selection activeCell="B10" sqref="B10:L11"/>
    </sheetView>
  </sheetViews>
  <sheetFormatPr defaultColWidth="2.7265625" defaultRowHeight="12.5" x14ac:dyDescent="0.25"/>
  <cols>
    <col min="1" max="1" width="2.7265625" style="5"/>
    <col min="2" max="7" width="11.54296875" style="5" customWidth="1"/>
    <col min="8" max="8" width="15.26953125" style="5" customWidth="1"/>
    <col min="9" max="12" width="11.54296875" style="5" customWidth="1"/>
    <col min="13" max="31" width="2.7265625" style="5"/>
    <col min="32" max="32" width="10.1796875" style="1" customWidth="1"/>
    <col min="33" max="34" width="26.81640625" style="1" customWidth="1"/>
    <col min="35" max="37" width="21.453125" style="1" customWidth="1"/>
    <col min="38" max="16384" width="2.7265625" style="5"/>
  </cols>
  <sheetData>
    <row r="1" spans="2:37" ht="66" customHeight="1" x14ac:dyDescent="0.3">
      <c r="B1" s="64" t="s">
        <v>37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</row>
    <row r="2" spans="2:37" ht="12.5" customHeight="1" x14ac:dyDescent="0.25"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68"/>
    </row>
    <row r="3" spans="2:37" ht="30" customHeight="1" x14ac:dyDescent="0.25">
      <c r="B3" s="65" t="s">
        <v>46</v>
      </c>
      <c r="C3" s="65"/>
      <c r="D3" s="65"/>
      <c r="E3" s="65"/>
      <c r="F3" s="65"/>
      <c r="G3" s="66" t="s">
        <v>38</v>
      </c>
      <c r="H3" s="66"/>
      <c r="I3" s="66"/>
      <c r="J3" s="66"/>
      <c r="K3" s="66"/>
      <c r="L3" s="66"/>
      <c r="M3" s="68"/>
    </row>
    <row r="4" spans="2:37" ht="30" customHeight="1" x14ac:dyDescent="0.25">
      <c r="B4" s="66" t="s">
        <v>49</v>
      </c>
      <c r="C4" s="66"/>
      <c r="D4" s="66"/>
      <c r="E4" s="66"/>
      <c r="F4" s="66"/>
      <c r="G4" s="66" t="s">
        <v>40</v>
      </c>
      <c r="H4" s="66"/>
      <c r="I4" s="66"/>
      <c r="J4" s="66"/>
      <c r="K4" s="66"/>
      <c r="L4" s="66"/>
      <c r="M4" s="68"/>
    </row>
    <row r="5" spans="2:37" ht="31.5" customHeight="1" x14ac:dyDescent="0.25">
      <c r="B5" s="81" t="s">
        <v>39</v>
      </c>
      <c r="C5" s="81"/>
      <c r="D5" s="81"/>
      <c r="E5" s="81"/>
      <c r="F5" s="81"/>
      <c r="G5" s="81" t="s">
        <v>41</v>
      </c>
      <c r="H5" s="81"/>
      <c r="I5" s="81"/>
      <c r="J5" s="81"/>
      <c r="K5" s="81"/>
      <c r="L5" s="81"/>
      <c r="M5" s="68"/>
    </row>
    <row r="6" spans="2:37" s="1" customFormat="1" ht="15" customHeight="1" x14ac:dyDescent="0.25"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68"/>
    </row>
    <row r="7" spans="2:37" s="1" customFormat="1" ht="26.25" customHeight="1" x14ac:dyDescent="0.25">
      <c r="B7" s="62" t="s">
        <v>0</v>
      </c>
      <c r="C7" s="62"/>
      <c r="D7" s="62"/>
      <c r="E7" s="62"/>
      <c r="F7" s="62"/>
      <c r="G7" s="62"/>
      <c r="H7" s="67" t="s">
        <v>1</v>
      </c>
      <c r="I7" s="67"/>
      <c r="J7" s="67"/>
      <c r="K7" s="67"/>
      <c r="L7" s="67"/>
      <c r="M7" s="68"/>
    </row>
    <row r="8" spans="2:37" s="1" customFormat="1" ht="26.25" customHeight="1" x14ac:dyDescent="0.25">
      <c r="B8" s="62" t="s">
        <v>2</v>
      </c>
      <c r="C8" s="62"/>
      <c r="D8" s="62"/>
      <c r="E8" s="62"/>
      <c r="F8" s="62"/>
      <c r="G8" s="62"/>
      <c r="H8" s="67" t="s">
        <v>3</v>
      </c>
      <c r="I8" s="67"/>
      <c r="J8" s="67"/>
      <c r="K8" s="67"/>
      <c r="L8" s="67"/>
      <c r="M8" s="68"/>
    </row>
    <row r="9" spans="2:37" s="1" customFormat="1" ht="26.25" customHeight="1" x14ac:dyDescent="0.25">
      <c r="B9" s="62" t="s">
        <v>4</v>
      </c>
      <c r="C9" s="62"/>
      <c r="D9" s="62"/>
      <c r="E9" s="62"/>
      <c r="F9" s="62"/>
      <c r="G9" s="62"/>
      <c r="H9" s="62"/>
      <c r="I9" s="62"/>
      <c r="J9" s="62"/>
      <c r="K9" s="62"/>
      <c r="L9" s="62"/>
      <c r="M9" s="68"/>
    </row>
    <row r="10" spans="2:37" s="1" customFormat="1" ht="26.25" customHeight="1" x14ac:dyDescent="0.25">
      <c r="B10" s="63" t="s">
        <v>5</v>
      </c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8"/>
    </row>
    <row r="11" spans="2:37" s="1" customFormat="1" ht="26.25" customHeight="1" x14ac:dyDescent="0.25"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8"/>
    </row>
    <row r="12" spans="2:37" s="1" customFormat="1" ht="20.25" customHeight="1" x14ac:dyDescent="0.25">
      <c r="B12" s="59" t="s">
        <v>6</v>
      </c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68"/>
    </row>
    <row r="13" spans="2:37" s="1" customFormat="1" ht="42.75" customHeight="1" x14ac:dyDescent="0.25">
      <c r="B13" s="61" t="s">
        <v>28</v>
      </c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8"/>
    </row>
    <row r="14" spans="2:37" s="1" customFormat="1" ht="20.25" customHeight="1" x14ac:dyDescent="0.25">
      <c r="B14" s="59" t="s">
        <v>7</v>
      </c>
      <c r="C14" s="59"/>
      <c r="D14" s="59"/>
      <c r="E14" s="59"/>
      <c r="F14" s="59"/>
      <c r="G14" s="59"/>
      <c r="H14" s="59"/>
      <c r="I14" s="59"/>
      <c r="J14" s="60"/>
      <c r="K14" s="60"/>
      <c r="L14" s="60"/>
      <c r="M14" s="69"/>
    </row>
    <row r="15" spans="2:37" s="2" customFormat="1" ht="42" customHeight="1" x14ac:dyDescent="0.25">
      <c r="B15" s="12" t="s">
        <v>29</v>
      </c>
      <c r="C15" s="11" t="s">
        <v>30</v>
      </c>
      <c r="D15" s="13" t="s">
        <v>31</v>
      </c>
      <c r="E15" s="11" t="s">
        <v>32</v>
      </c>
      <c r="F15" s="12" t="s">
        <v>29</v>
      </c>
      <c r="G15" s="13" t="s">
        <v>30</v>
      </c>
      <c r="H15" s="11" t="s">
        <v>31</v>
      </c>
      <c r="I15" s="31" t="s">
        <v>32</v>
      </c>
      <c r="J15" s="11" t="s">
        <v>33</v>
      </c>
      <c r="K15" s="11" t="s">
        <v>34</v>
      </c>
      <c r="L15" s="11" t="s">
        <v>35</v>
      </c>
      <c r="M15" s="69"/>
      <c r="W15" s="3"/>
      <c r="AF15" s="1"/>
      <c r="AG15" s="1"/>
      <c r="AH15" s="1"/>
      <c r="AI15" s="1"/>
      <c r="AJ15" s="1"/>
      <c r="AK15" s="1"/>
    </row>
    <row r="16" spans="2:37" s="2" customFormat="1" ht="17.25" customHeight="1" x14ac:dyDescent="0.25">
      <c r="B16" s="11">
        <v>1</v>
      </c>
      <c r="C16" s="10"/>
      <c r="D16" s="10"/>
      <c r="E16" s="10"/>
      <c r="F16" s="11">
        <v>1</v>
      </c>
      <c r="G16" s="19"/>
      <c r="H16" s="10"/>
      <c r="I16" s="32"/>
      <c r="J16" s="19">
        <v>25</v>
      </c>
      <c r="K16" s="38">
        <v>0</v>
      </c>
      <c r="L16" s="11">
        <f>((200)/(K16+K17+K18+K19)*K16)</f>
        <v>0</v>
      </c>
      <c r="M16" s="69"/>
      <c r="W16" s="3"/>
      <c r="AF16" s="1"/>
      <c r="AG16" s="1"/>
      <c r="AH16" s="1"/>
      <c r="AI16" s="1"/>
      <c r="AJ16" s="1"/>
      <c r="AK16" s="1"/>
    </row>
    <row r="17" spans="2:37" s="2" customFormat="1" ht="17.25" customHeight="1" x14ac:dyDescent="0.25">
      <c r="B17" s="11">
        <v>2</v>
      </c>
      <c r="C17" s="11"/>
      <c r="D17" s="11"/>
      <c r="E17" s="11"/>
      <c r="F17" s="11">
        <v>2</v>
      </c>
      <c r="G17" s="19"/>
      <c r="H17" s="10"/>
      <c r="I17" s="32"/>
      <c r="J17" s="19">
        <v>19</v>
      </c>
      <c r="K17" s="38">
        <v>5.0648136402290924E-3</v>
      </c>
      <c r="L17" s="39">
        <f>((200)/(K16+K17+K18+K19)*K17)</f>
        <v>1.1007300760708634</v>
      </c>
      <c r="M17" s="69"/>
      <c r="AF17" s="1"/>
      <c r="AG17" s="1"/>
      <c r="AH17" s="1"/>
      <c r="AI17" s="1"/>
      <c r="AJ17" s="1"/>
      <c r="AK17" s="1"/>
    </row>
    <row r="18" spans="2:37" ht="17.25" customHeight="1" x14ac:dyDescent="0.25">
      <c r="B18" s="11">
        <v>3</v>
      </c>
      <c r="C18" s="14"/>
      <c r="D18" s="14"/>
      <c r="E18" s="14"/>
      <c r="F18" s="11">
        <v>3</v>
      </c>
      <c r="G18" s="27"/>
      <c r="H18" s="16"/>
      <c r="I18" s="18"/>
      <c r="J18" s="14">
        <v>12.5</v>
      </c>
      <c r="K18" s="38">
        <v>0.60212553032545435</v>
      </c>
      <c r="L18" s="39">
        <f>((200)/(K16+K17+K18+K19)*K18)</f>
        <v>130.85924337570839</v>
      </c>
      <c r="M18" s="69"/>
    </row>
    <row r="19" spans="2:37" ht="17.25" customHeight="1" x14ac:dyDescent="0.25">
      <c r="B19" s="11">
        <v>4</v>
      </c>
      <c r="C19" s="14"/>
      <c r="D19" s="14"/>
      <c r="E19" s="14"/>
      <c r="F19" s="11">
        <v>4</v>
      </c>
      <c r="G19" s="28"/>
      <c r="H19" s="15"/>
      <c r="I19" s="4"/>
      <c r="J19" s="14">
        <v>9.5</v>
      </c>
      <c r="K19" s="38">
        <v>0.31307407877241705</v>
      </c>
      <c r="L19" s="39">
        <f>((200)/(K16+K17+K18+K19)*K19)</f>
        <v>68.040026548220766</v>
      </c>
      <c r="M19" s="69"/>
    </row>
    <row r="20" spans="2:37" ht="17.25" customHeight="1" x14ac:dyDescent="0.25">
      <c r="B20" s="11">
        <v>5</v>
      </c>
      <c r="C20" s="25"/>
      <c r="D20" s="14"/>
      <c r="E20" s="14"/>
      <c r="F20" s="11">
        <v>5</v>
      </c>
      <c r="G20" s="29"/>
      <c r="H20" s="15"/>
      <c r="I20" s="4"/>
      <c r="J20" s="35"/>
      <c r="K20" s="36"/>
      <c r="L20" s="37">
        <f>SUM(L16:L19)</f>
        <v>200.00000000000003</v>
      </c>
      <c r="M20" s="69"/>
    </row>
    <row r="21" spans="2:37" ht="17.25" customHeight="1" x14ac:dyDescent="0.25">
      <c r="B21" s="11">
        <v>6</v>
      </c>
      <c r="C21" s="10"/>
      <c r="D21" s="10"/>
      <c r="E21" s="10"/>
      <c r="F21" s="11">
        <v>6</v>
      </c>
      <c r="G21" s="30"/>
      <c r="H21" s="17"/>
      <c r="I21" s="20"/>
      <c r="J21" s="11"/>
      <c r="K21" s="10"/>
      <c r="L21" s="34"/>
      <c r="M21" s="69"/>
    </row>
    <row r="22" spans="2:37" s="1" customFormat="1" ht="22.5" customHeight="1" x14ac:dyDescent="0.25">
      <c r="B22" s="11">
        <v>7</v>
      </c>
      <c r="C22" s="21"/>
      <c r="D22" s="22"/>
      <c r="E22" s="22"/>
      <c r="F22" s="11">
        <v>7</v>
      </c>
      <c r="G22" s="26"/>
      <c r="H22" s="21"/>
      <c r="I22" s="33"/>
      <c r="J22" s="26"/>
      <c r="K22" s="21"/>
      <c r="L22" s="21"/>
      <c r="M22" s="69"/>
    </row>
    <row r="23" spans="2:37" s="1" customFormat="1" ht="22.5" customHeight="1" x14ac:dyDescent="0.25">
      <c r="B23" s="11">
        <v>8</v>
      </c>
      <c r="C23" s="21"/>
      <c r="D23" s="22"/>
      <c r="E23" s="22"/>
      <c r="F23" s="11">
        <v>8</v>
      </c>
      <c r="G23" s="26"/>
      <c r="H23" s="21"/>
      <c r="I23" s="33"/>
      <c r="J23" s="26"/>
      <c r="K23" s="21"/>
      <c r="L23" s="21"/>
      <c r="M23" s="69"/>
    </row>
    <row r="24" spans="2:37" s="1" customFormat="1" ht="22.5" customHeight="1" x14ac:dyDescent="0.25">
      <c r="B24" s="11">
        <v>9</v>
      </c>
      <c r="C24" s="21"/>
      <c r="D24" s="22"/>
      <c r="E24" s="22"/>
      <c r="F24" s="11">
        <v>9</v>
      </c>
      <c r="G24" s="26"/>
      <c r="H24" s="21"/>
      <c r="I24" s="21"/>
      <c r="J24" s="21"/>
      <c r="K24" s="23"/>
      <c r="L24" s="24"/>
      <c r="M24" s="69"/>
    </row>
    <row r="25" spans="2:37" s="1" customFormat="1" ht="22.5" customHeight="1" x14ac:dyDescent="0.25">
      <c r="B25" s="11">
        <v>10</v>
      </c>
      <c r="C25" s="21"/>
      <c r="D25" s="22"/>
      <c r="E25" s="22"/>
      <c r="F25" s="11">
        <v>10</v>
      </c>
      <c r="G25" s="26"/>
      <c r="H25" s="21"/>
      <c r="I25" s="21"/>
      <c r="J25" s="21"/>
      <c r="K25" s="23"/>
      <c r="L25" s="24"/>
      <c r="M25" s="69"/>
    </row>
    <row r="26" spans="2:37" s="1" customFormat="1" ht="22.5" customHeight="1" x14ac:dyDescent="0.25">
      <c r="B26" s="11">
        <v>11</v>
      </c>
      <c r="C26" s="21"/>
      <c r="D26" s="22"/>
      <c r="E26" s="22"/>
      <c r="F26" s="11">
        <v>11</v>
      </c>
      <c r="G26" s="26"/>
      <c r="H26" s="21"/>
      <c r="I26" s="21"/>
      <c r="J26" s="21"/>
      <c r="K26" s="23"/>
      <c r="L26" s="24"/>
      <c r="M26" s="69"/>
    </row>
    <row r="27" spans="2:37" s="1" customFormat="1" ht="22.5" customHeight="1" x14ac:dyDescent="0.25">
      <c r="B27" s="11">
        <v>12</v>
      </c>
      <c r="C27" s="21"/>
      <c r="D27" s="22"/>
      <c r="E27" s="22"/>
      <c r="F27" s="11">
        <v>12</v>
      </c>
      <c r="G27" s="26"/>
      <c r="H27" s="21"/>
      <c r="I27" s="21"/>
      <c r="J27" s="21"/>
      <c r="K27" s="23"/>
      <c r="L27" s="24"/>
      <c r="M27" s="69"/>
    </row>
    <row r="28" spans="2:37" s="1" customFormat="1" ht="22.5" customHeight="1" x14ac:dyDescent="0.25">
      <c r="B28" s="11">
        <v>13</v>
      </c>
      <c r="C28" s="21"/>
      <c r="D28" s="22"/>
      <c r="E28" s="22"/>
      <c r="F28" s="11">
        <v>13</v>
      </c>
      <c r="G28" s="26"/>
      <c r="H28" s="21"/>
      <c r="I28" s="21"/>
      <c r="J28" s="21"/>
      <c r="K28" s="23"/>
      <c r="L28" s="24"/>
      <c r="M28" s="69"/>
    </row>
    <row r="29" spans="2:37" s="1" customFormat="1" ht="22.5" customHeight="1" x14ac:dyDescent="0.25">
      <c r="B29" s="11">
        <v>14</v>
      </c>
      <c r="C29" s="21"/>
      <c r="D29" s="22"/>
      <c r="E29" s="22"/>
      <c r="F29" s="11">
        <v>14</v>
      </c>
      <c r="G29" s="26"/>
      <c r="H29" s="21"/>
      <c r="I29" s="21"/>
      <c r="J29" s="21"/>
      <c r="K29" s="23"/>
      <c r="L29" s="24"/>
      <c r="M29" s="69"/>
    </row>
    <row r="30" spans="2:37" s="1" customFormat="1" ht="22.5" customHeight="1" x14ac:dyDescent="0.25">
      <c r="B30" s="11">
        <v>15</v>
      </c>
      <c r="C30" s="21"/>
      <c r="D30" s="22"/>
      <c r="E30" s="22"/>
      <c r="F30" s="11">
        <v>15</v>
      </c>
      <c r="G30" s="26"/>
      <c r="H30" s="21"/>
      <c r="I30" s="21"/>
      <c r="J30" s="21"/>
      <c r="K30" s="23"/>
      <c r="L30" s="24"/>
      <c r="M30" s="69"/>
    </row>
    <row r="31" spans="2:37" s="1" customFormat="1" ht="22.5" customHeight="1" x14ac:dyDescent="0.25">
      <c r="B31" s="11">
        <v>16</v>
      </c>
      <c r="C31" s="21"/>
      <c r="D31" s="22"/>
      <c r="E31" s="22"/>
      <c r="F31" s="11">
        <v>16</v>
      </c>
      <c r="G31" s="26"/>
      <c r="H31" s="21"/>
      <c r="I31" s="21"/>
      <c r="J31" s="21"/>
      <c r="K31" s="23"/>
      <c r="L31" s="24"/>
      <c r="M31" s="69"/>
    </row>
    <row r="32" spans="2:37" s="1" customFormat="1" ht="22.5" customHeight="1" x14ac:dyDescent="0.25">
      <c r="B32" s="11">
        <v>17</v>
      </c>
      <c r="C32" s="21"/>
      <c r="D32" s="22"/>
      <c r="E32" s="22"/>
      <c r="F32" s="11">
        <v>17</v>
      </c>
      <c r="G32" s="26"/>
      <c r="H32" s="21"/>
      <c r="I32" s="21"/>
      <c r="J32" s="21"/>
      <c r="K32" s="23"/>
      <c r="L32" s="24"/>
      <c r="M32" s="69"/>
    </row>
    <row r="33" spans="2:13" s="1" customFormat="1" ht="22.5" customHeight="1" x14ac:dyDescent="0.25">
      <c r="B33" s="11">
        <v>18</v>
      </c>
      <c r="C33" s="21"/>
      <c r="D33" s="22"/>
      <c r="E33" s="22"/>
      <c r="F33" s="11">
        <v>18</v>
      </c>
      <c r="G33" s="26"/>
      <c r="H33" s="21"/>
      <c r="I33" s="21"/>
      <c r="J33" s="21"/>
      <c r="K33" s="23"/>
      <c r="L33" s="24"/>
      <c r="M33" s="69"/>
    </row>
    <row r="34" spans="2:13" s="1" customFormat="1" ht="22.5" customHeight="1" x14ac:dyDescent="0.25">
      <c r="B34" s="11">
        <v>19</v>
      </c>
      <c r="C34" s="21"/>
      <c r="D34" s="22"/>
      <c r="E34" s="22"/>
      <c r="F34" s="11">
        <v>19</v>
      </c>
      <c r="G34" s="26"/>
      <c r="H34" s="21"/>
      <c r="I34" s="21"/>
      <c r="J34" s="21"/>
      <c r="K34" s="23"/>
      <c r="L34" s="24"/>
      <c r="M34" s="69"/>
    </row>
    <row r="35" spans="2:13" s="1" customFormat="1" ht="22.5" customHeight="1" x14ac:dyDescent="0.25">
      <c r="B35" s="11">
        <v>20</v>
      </c>
      <c r="C35" s="21"/>
      <c r="D35" s="22"/>
      <c r="E35" s="22"/>
      <c r="F35" s="11">
        <v>20</v>
      </c>
      <c r="G35" s="26"/>
      <c r="H35" s="21"/>
      <c r="I35" s="21"/>
      <c r="J35" s="21"/>
      <c r="K35" s="23"/>
      <c r="L35" s="24"/>
      <c r="M35" s="69"/>
    </row>
    <row r="36" spans="2:13" s="1" customFormat="1" ht="22.5" customHeight="1" x14ac:dyDescent="0.25">
      <c r="B36" s="11">
        <v>21</v>
      </c>
      <c r="C36" s="21"/>
      <c r="D36" s="22"/>
      <c r="E36" s="22"/>
      <c r="F36" s="11">
        <v>21</v>
      </c>
      <c r="G36" s="26"/>
      <c r="H36" s="21"/>
      <c r="I36" s="21"/>
      <c r="J36" s="21"/>
      <c r="K36" s="23"/>
      <c r="L36" s="24"/>
      <c r="M36" s="69"/>
    </row>
    <row r="37" spans="2:13" s="1" customFormat="1" ht="22.5" customHeight="1" x14ac:dyDescent="0.25">
      <c r="B37" s="11">
        <v>22</v>
      </c>
      <c r="C37" s="21"/>
      <c r="D37" s="22"/>
      <c r="E37" s="22"/>
      <c r="F37" s="11">
        <v>22</v>
      </c>
      <c r="G37" s="26"/>
      <c r="H37" s="21"/>
      <c r="I37" s="21"/>
      <c r="J37" s="21"/>
      <c r="K37" s="23"/>
      <c r="L37" s="24"/>
      <c r="M37" s="69"/>
    </row>
    <row r="38" spans="2:13" s="1" customFormat="1" ht="22.5" customHeight="1" x14ac:dyDescent="0.25">
      <c r="B38" s="11">
        <v>23</v>
      </c>
      <c r="C38" s="21"/>
      <c r="D38" s="22"/>
      <c r="E38" s="22"/>
      <c r="F38" s="11">
        <v>23</v>
      </c>
      <c r="G38" s="26"/>
      <c r="H38" s="21"/>
      <c r="I38" s="21"/>
      <c r="J38" s="21"/>
      <c r="K38" s="23"/>
      <c r="L38" s="24"/>
      <c r="M38" s="69"/>
    </row>
    <row r="39" spans="2:13" s="1" customFormat="1" ht="22.5" customHeight="1" x14ac:dyDescent="0.25">
      <c r="B39" s="11">
        <v>24</v>
      </c>
      <c r="C39" s="21"/>
      <c r="D39" s="22"/>
      <c r="E39" s="22"/>
      <c r="F39" s="11">
        <v>24</v>
      </c>
      <c r="G39" s="26"/>
      <c r="H39" s="21"/>
      <c r="I39" s="21"/>
      <c r="J39" s="21"/>
      <c r="K39" s="23"/>
      <c r="L39" s="24"/>
      <c r="M39" s="69"/>
    </row>
    <row r="40" spans="2:13" s="1" customFormat="1" ht="22.5" customHeight="1" x14ac:dyDescent="0.25">
      <c r="B40" s="11">
        <v>25</v>
      </c>
      <c r="C40" s="21"/>
      <c r="D40" s="22"/>
      <c r="E40" s="22"/>
      <c r="F40" s="11">
        <v>25</v>
      </c>
      <c r="G40" s="26"/>
      <c r="H40" s="21"/>
      <c r="I40" s="21"/>
      <c r="J40" s="21"/>
      <c r="K40" s="23"/>
      <c r="L40" s="24"/>
      <c r="M40" s="69"/>
    </row>
    <row r="41" spans="2:13" s="1" customFormat="1" ht="22.5" customHeight="1" x14ac:dyDescent="0.25">
      <c r="B41" s="11">
        <v>26</v>
      </c>
      <c r="C41" s="21"/>
      <c r="D41" s="22"/>
      <c r="E41" s="22"/>
      <c r="F41" s="11">
        <v>26</v>
      </c>
      <c r="G41" s="26"/>
      <c r="H41" s="21"/>
      <c r="I41" s="21"/>
      <c r="J41" s="21"/>
      <c r="K41" s="23"/>
      <c r="L41" s="24"/>
      <c r="M41" s="69"/>
    </row>
    <row r="42" spans="2:13" s="1" customFormat="1" ht="22.5" customHeight="1" x14ac:dyDescent="0.25">
      <c r="B42" s="11">
        <v>27</v>
      </c>
      <c r="C42" s="21"/>
      <c r="D42" s="22"/>
      <c r="E42" s="22"/>
      <c r="F42" s="11">
        <v>27</v>
      </c>
      <c r="G42" s="26"/>
      <c r="H42" s="21"/>
      <c r="I42" s="21"/>
      <c r="J42" s="21"/>
      <c r="K42" s="23"/>
      <c r="L42" s="24"/>
      <c r="M42" s="69"/>
    </row>
    <row r="43" spans="2:13" s="1" customFormat="1" ht="22.5" customHeight="1" x14ac:dyDescent="0.25">
      <c r="B43" s="11">
        <v>28</v>
      </c>
      <c r="C43" s="21"/>
      <c r="D43" s="22"/>
      <c r="E43" s="22"/>
      <c r="F43" s="11">
        <v>28</v>
      </c>
      <c r="G43" s="26"/>
      <c r="H43" s="21"/>
      <c r="I43" s="21"/>
      <c r="J43" s="21"/>
      <c r="K43" s="23"/>
      <c r="L43" s="24"/>
      <c r="M43" s="69"/>
    </row>
    <row r="44" spans="2:13" s="1" customFormat="1" ht="22.5" customHeight="1" x14ac:dyDescent="0.25">
      <c r="B44" s="11">
        <v>29</v>
      </c>
      <c r="C44" s="21"/>
      <c r="D44" s="22"/>
      <c r="E44" s="22"/>
      <c r="F44" s="11">
        <v>29</v>
      </c>
      <c r="G44" s="26"/>
      <c r="H44" s="21"/>
      <c r="I44" s="21"/>
      <c r="J44" s="21"/>
      <c r="K44" s="23"/>
      <c r="L44" s="24"/>
      <c r="M44" s="69"/>
    </row>
    <row r="45" spans="2:13" s="1" customFormat="1" ht="22.5" customHeight="1" x14ac:dyDescent="0.25">
      <c r="B45" s="11">
        <v>30</v>
      </c>
      <c r="C45" s="21"/>
      <c r="D45" s="22"/>
      <c r="E45" s="22"/>
      <c r="F45" s="11">
        <v>30</v>
      </c>
      <c r="G45" s="26"/>
      <c r="H45" s="21"/>
      <c r="I45" s="21"/>
      <c r="J45" s="21"/>
      <c r="K45" s="23"/>
      <c r="L45" s="24"/>
      <c r="M45" s="69"/>
    </row>
    <row r="46" spans="2:13" s="1" customFormat="1" ht="22.5" customHeight="1" x14ac:dyDescent="0.25">
      <c r="B46" s="11">
        <v>31</v>
      </c>
      <c r="C46" s="21"/>
      <c r="D46" s="22"/>
      <c r="E46" s="22"/>
      <c r="F46" s="11">
        <v>31</v>
      </c>
      <c r="G46" s="26"/>
      <c r="H46" s="21"/>
      <c r="I46" s="21"/>
      <c r="J46" s="21"/>
      <c r="K46" s="23"/>
      <c r="L46" s="24"/>
      <c r="M46" s="69"/>
    </row>
    <row r="47" spans="2:13" s="1" customFormat="1" ht="22.5" customHeight="1" x14ac:dyDescent="0.25">
      <c r="B47" s="11">
        <v>32</v>
      </c>
      <c r="C47" s="21"/>
      <c r="D47" s="22"/>
      <c r="E47" s="22"/>
      <c r="F47" s="11">
        <v>32</v>
      </c>
      <c r="G47" s="26"/>
      <c r="H47" s="21"/>
      <c r="I47" s="21"/>
      <c r="J47" s="21"/>
      <c r="K47" s="23"/>
      <c r="L47" s="24"/>
      <c r="M47" s="69"/>
    </row>
    <row r="48" spans="2:13" s="1" customFormat="1" ht="22.5" customHeight="1" x14ac:dyDescent="0.25">
      <c r="B48" s="11">
        <v>33</v>
      </c>
      <c r="C48" s="21"/>
      <c r="D48" s="22"/>
      <c r="E48" s="22"/>
      <c r="F48" s="11">
        <v>33</v>
      </c>
      <c r="G48" s="26"/>
      <c r="H48" s="21"/>
      <c r="I48" s="21"/>
      <c r="J48" s="21"/>
      <c r="K48" s="23"/>
      <c r="L48" s="24"/>
      <c r="M48" s="69"/>
    </row>
    <row r="49" spans="2:13" s="1" customFormat="1" ht="22.5" customHeight="1" x14ac:dyDescent="0.25">
      <c r="B49" s="11">
        <v>34</v>
      </c>
      <c r="C49" s="21"/>
      <c r="D49" s="22"/>
      <c r="E49" s="22"/>
      <c r="F49" s="11">
        <v>34</v>
      </c>
      <c r="G49" s="26"/>
      <c r="H49" s="21"/>
      <c r="I49" s="21"/>
      <c r="J49" s="21"/>
      <c r="K49" s="23"/>
      <c r="L49" s="24"/>
      <c r="M49" s="69"/>
    </row>
    <row r="50" spans="2:13" s="1" customFormat="1" ht="22.5" customHeight="1" x14ac:dyDescent="0.25">
      <c r="B50" s="11">
        <v>35</v>
      </c>
      <c r="C50" s="21"/>
      <c r="D50" s="22"/>
      <c r="E50" s="22"/>
      <c r="F50" s="11">
        <v>35</v>
      </c>
      <c r="G50" s="26"/>
      <c r="H50" s="21"/>
      <c r="I50" s="21"/>
      <c r="J50" s="21"/>
      <c r="K50" s="23"/>
      <c r="L50" s="24"/>
      <c r="M50" s="69"/>
    </row>
    <row r="51" spans="2:13" s="1" customFormat="1" ht="22.5" customHeight="1" x14ac:dyDescent="0.25">
      <c r="B51" s="11">
        <v>36</v>
      </c>
      <c r="C51" s="21"/>
      <c r="D51" s="22"/>
      <c r="E51" s="22"/>
      <c r="F51" s="11">
        <v>36</v>
      </c>
      <c r="G51" s="26"/>
      <c r="H51" s="21"/>
      <c r="I51" s="21"/>
      <c r="J51" s="21"/>
      <c r="K51" s="23"/>
      <c r="L51" s="24"/>
      <c r="M51" s="69"/>
    </row>
    <row r="52" spans="2:13" s="1" customFormat="1" ht="22.5" customHeight="1" x14ac:dyDescent="0.25">
      <c r="B52" s="11">
        <v>37</v>
      </c>
      <c r="C52" s="21"/>
      <c r="D52" s="22"/>
      <c r="E52" s="22"/>
      <c r="F52" s="11">
        <v>37</v>
      </c>
      <c r="G52" s="26"/>
      <c r="H52" s="21"/>
      <c r="I52" s="21"/>
      <c r="J52" s="21"/>
      <c r="K52" s="23"/>
      <c r="L52" s="24"/>
      <c r="M52" s="69"/>
    </row>
    <row r="53" spans="2:13" s="1" customFormat="1" ht="22.5" customHeight="1" x14ac:dyDescent="0.25">
      <c r="B53" s="11">
        <v>38</v>
      </c>
      <c r="C53" s="21"/>
      <c r="D53" s="22"/>
      <c r="E53" s="22"/>
      <c r="F53" s="11">
        <v>38</v>
      </c>
      <c r="G53" s="26"/>
      <c r="H53" s="21"/>
      <c r="I53" s="21"/>
      <c r="J53" s="21"/>
      <c r="K53" s="23"/>
      <c r="L53" s="24"/>
      <c r="M53" s="69"/>
    </row>
    <row r="54" spans="2:13" s="1" customFormat="1" ht="22.5" customHeight="1" x14ac:dyDescent="0.25">
      <c r="B54" s="11">
        <v>39</v>
      </c>
      <c r="C54" s="21"/>
      <c r="D54" s="22"/>
      <c r="E54" s="22"/>
      <c r="F54" s="11">
        <v>39</v>
      </c>
      <c r="G54" s="26"/>
      <c r="H54" s="21"/>
      <c r="I54" s="21"/>
      <c r="J54" s="21"/>
      <c r="K54" s="23"/>
      <c r="L54" s="24"/>
      <c r="M54" s="69"/>
    </row>
    <row r="55" spans="2:13" s="1" customFormat="1" ht="22.5" customHeight="1" x14ac:dyDescent="0.25">
      <c r="B55" s="11">
        <v>40</v>
      </c>
      <c r="C55" s="21"/>
      <c r="D55" s="22"/>
      <c r="E55" s="22"/>
      <c r="F55" s="11">
        <v>40</v>
      </c>
      <c r="G55" s="26"/>
      <c r="H55" s="21"/>
      <c r="I55" s="21"/>
      <c r="J55" s="21"/>
      <c r="K55" s="23"/>
      <c r="L55" s="24"/>
      <c r="M55" s="69"/>
    </row>
    <row r="56" spans="2:13" s="1" customFormat="1" ht="22.5" customHeight="1" x14ac:dyDescent="0.25">
      <c r="B56" s="11">
        <v>41</v>
      </c>
      <c r="C56" s="21"/>
      <c r="D56" s="22"/>
      <c r="E56" s="22"/>
      <c r="F56" s="11">
        <v>41</v>
      </c>
      <c r="G56" s="26"/>
      <c r="H56" s="21"/>
      <c r="I56" s="21"/>
      <c r="J56" s="21"/>
      <c r="K56" s="23"/>
      <c r="L56" s="24"/>
      <c r="M56" s="69"/>
    </row>
    <row r="57" spans="2:13" s="1" customFormat="1" ht="22.5" customHeight="1" x14ac:dyDescent="0.25">
      <c r="B57" s="11">
        <v>42</v>
      </c>
      <c r="C57" s="21"/>
      <c r="D57" s="22"/>
      <c r="E57" s="22"/>
      <c r="F57" s="11">
        <v>42</v>
      </c>
      <c r="G57" s="26"/>
      <c r="H57" s="21"/>
      <c r="I57" s="21"/>
      <c r="J57" s="21"/>
      <c r="K57" s="23"/>
      <c r="L57" s="24"/>
      <c r="M57" s="69"/>
    </row>
    <row r="58" spans="2:13" s="1" customFormat="1" ht="22.5" customHeight="1" x14ac:dyDescent="0.25">
      <c r="B58" s="11">
        <v>43</v>
      </c>
      <c r="C58" s="21"/>
      <c r="D58" s="22"/>
      <c r="E58" s="22"/>
      <c r="F58" s="11">
        <v>43</v>
      </c>
      <c r="G58" s="26"/>
      <c r="H58" s="21"/>
      <c r="I58" s="21"/>
      <c r="J58" s="21"/>
      <c r="K58" s="23"/>
      <c r="L58" s="24"/>
      <c r="M58" s="69"/>
    </row>
    <row r="59" spans="2:13" s="1" customFormat="1" ht="22.5" customHeight="1" x14ac:dyDescent="0.25">
      <c r="B59" s="11">
        <v>44</v>
      </c>
      <c r="C59" s="21"/>
      <c r="D59" s="22"/>
      <c r="E59" s="22"/>
      <c r="F59" s="11">
        <v>44</v>
      </c>
      <c r="G59" s="26"/>
      <c r="H59" s="21"/>
      <c r="I59" s="21"/>
      <c r="J59" s="21"/>
      <c r="K59" s="23"/>
      <c r="L59" s="24"/>
      <c r="M59" s="69"/>
    </row>
    <row r="60" spans="2:13" s="1" customFormat="1" ht="22.5" customHeight="1" x14ac:dyDescent="0.25">
      <c r="B60" s="11">
        <v>45</v>
      </c>
      <c r="C60" s="21"/>
      <c r="D60" s="22"/>
      <c r="E60" s="22"/>
      <c r="F60" s="11">
        <v>45</v>
      </c>
      <c r="G60" s="26"/>
      <c r="H60" s="21"/>
      <c r="I60" s="21"/>
      <c r="J60" s="21"/>
      <c r="K60" s="23"/>
      <c r="L60" s="24"/>
      <c r="M60" s="69"/>
    </row>
    <row r="61" spans="2:13" s="1" customFormat="1" ht="22.5" customHeight="1" x14ac:dyDescent="0.25">
      <c r="B61" s="11">
        <v>46</v>
      </c>
      <c r="C61" s="21"/>
      <c r="D61" s="22"/>
      <c r="E61" s="22"/>
      <c r="F61" s="11">
        <v>46</v>
      </c>
      <c r="G61" s="26"/>
      <c r="H61" s="21"/>
      <c r="I61" s="21"/>
      <c r="J61" s="21"/>
      <c r="K61" s="23"/>
      <c r="L61" s="24"/>
      <c r="M61" s="69"/>
    </row>
    <row r="62" spans="2:13" s="1" customFormat="1" ht="22.5" customHeight="1" x14ac:dyDescent="0.25">
      <c r="B62" s="11">
        <v>47</v>
      </c>
      <c r="C62" s="21"/>
      <c r="D62" s="22"/>
      <c r="E62" s="22"/>
      <c r="F62" s="11">
        <v>47</v>
      </c>
      <c r="G62" s="26"/>
      <c r="H62" s="21"/>
      <c r="I62" s="21"/>
      <c r="J62" s="21"/>
      <c r="K62" s="23"/>
      <c r="L62" s="24"/>
      <c r="M62" s="69"/>
    </row>
    <row r="63" spans="2:13" s="1" customFormat="1" ht="22.5" customHeight="1" x14ac:dyDescent="0.25">
      <c r="B63" s="11">
        <v>48</v>
      </c>
      <c r="C63" s="21"/>
      <c r="D63" s="22"/>
      <c r="E63" s="22"/>
      <c r="F63" s="11">
        <v>48</v>
      </c>
      <c r="G63" s="26"/>
      <c r="H63" s="21"/>
      <c r="I63" s="21"/>
      <c r="J63" s="21"/>
      <c r="K63" s="23"/>
      <c r="L63" s="24"/>
      <c r="M63" s="69"/>
    </row>
    <row r="64" spans="2:13" s="1" customFormat="1" ht="22.5" customHeight="1" x14ac:dyDescent="0.25">
      <c r="B64" s="11">
        <v>49</v>
      </c>
      <c r="C64" s="21"/>
      <c r="D64" s="22"/>
      <c r="E64" s="22"/>
      <c r="F64" s="11">
        <v>49</v>
      </c>
      <c r="G64" s="26"/>
      <c r="H64" s="21"/>
      <c r="I64" s="21"/>
      <c r="J64" s="21"/>
      <c r="K64" s="23"/>
      <c r="L64" s="24"/>
      <c r="M64" s="69"/>
    </row>
    <row r="65" spans="2:13" s="1" customFormat="1" ht="22.5" customHeight="1" x14ac:dyDescent="0.25">
      <c r="B65" s="11">
        <v>50</v>
      </c>
      <c r="C65" s="21"/>
      <c r="D65" s="22"/>
      <c r="E65" s="22"/>
      <c r="F65" s="11">
        <v>50</v>
      </c>
      <c r="G65" s="26"/>
      <c r="H65" s="21"/>
      <c r="I65" s="21"/>
      <c r="J65" s="21"/>
      <c r="K65" s="23"/>
      <c r="L65" s="24"/>
      <c r="M65" s="69"/>
    </row>
    <row r="66" spans="2:13" s="1" customFormat="1" ht="22.5" customHeight="1" x14ac:dyDescent="0.25">
      <c r="B66" s="11">
        <v>51</v>
      </c>
      <c r="C66" s="21"/>
      <c r="D66" s="22"/>
      <c r="E66" s="22"/>
      <c r="F66" s="11">
        <v>51</v>
      </c>
      <c r="G66" s="26"/>
      <c r="H66" s="21"/>
      <c r="I66" s="21"/>
      <c r="J66" s="21"/>
      <c r="K66" s="23"/>
      <c r="L66" s="24"/>
      <c r="M66" s="69"/>
    </row>
    <row r="67" spans="2:13" s="1" customFormat="1" ht="22.5" customHeight="1" x14ac:dyDescent="0.25">
      <c r="B67" s="11">
        <v>52</v>
      </c>
      <c r="C67" s="21"/>
      <c r="D67" s="22"/>
      <c r="E67" s="22"/>
      <c r="F67" s="11">
        <v>52</v>
      </c>
      <c r="G67" s="26"/>
      <c r="H67" s="21"/>
      <c r="I67" s="21"/>
      <c r="J67" s="21"/>
      <c r="K67" s="23"/>
      <c r="L67" s="24"/>
      <c r="M67" s="69"/>
    </row>
    <row r="68" spans="2:13" s="1" customFormat="1" ht="22.5" customHeight="1" x14ac:dyDescent="0.25">
      <c r="B68" s="11">
        <v>53</v>
      </c>
      <c r="C68" s="21"/>
      <c r="D68" s="22"/>
      <c r="E68" s="22"/>
      <c r="F68" s="11">
        <v>53</v>
      </c>
      <c r="G68" s="26"/>
      <c r="H68" s="21"/>
      <c r="I68" s="21"/>
      <c r="J68" s="21"/>
      <c r="K68" s="23"/>
      <c r="L68" s="24"/>
      <c r="M68" s="69"/>
    </row>
    <row r="69" spans="2:13" s="1" customFormat="1" ht="22.5" customHeight="1" x14ac:dyDescent="0.25">
      <c r="B69" s="11">
        <v>54</v>
      </c>
      <c r="C69" s="21"/>
      <c r="D69" s="22"/>
      <c r="E69" s="22"/>
      <c r="F69" s="11">
        <v>54</v>
      </c>
      <c r="G69" s="26"/>
      <c r="H69" s="21"/>
      <c r="I69" s="21"/>
      <c r="J69" s="21"/>
      <c r="K69" s="23"/>
      <c r="L69" s="24"/>
      <c r="M69" s="69"/>
    </row>
    <row r="70" spans="2:13" s="1" customFormat="1" ht="22.5" customHeight="1" x14ac:dyDescent="0.25">
      <c r="B70" s="11">
        <v>55</v>
      </c>
      <c r="C70" s="21"/>
      <c r="D70" s="22"/>
      <c r="E70" s="22"/>
      <c r="F70" s="11">
        <v>55</v>
      </c>
      <c r="G70" s="26"/>
      <c r="H70" s="21"/>
      <c r="I70" s="21"/>
      <c r="J70" s="21"/>
      <c r="K70" s="23"/>
      <c r="L70" s="24"/>
      <c r="M70" s="69"/>
    </row>
    <row r="71" spans="2:13" s="1" customFormat="1" ht="22.5" customHeight="1" x14ac:dyDescent="0.25">
      <c r="B71" s="11">
        <v>56</v>
      </c>
      <c r="C71" s="21"/>
      <c r="D71" s="22"/>
      <c r="E71" s="22"/>
      <c r="F71" s="11">
        <v>56</v>
      </c>
      <c r="G71" s="26"/>
      <c r="H71" s="21"/>
      <c r="I71" s="21"/>
      <c r="J71" s="21"/>
      <c r="K71" s="23"/>
      <c r="L71" s="24"/>
      <c r="M71" s="69"/>
    </row>
    <row r="72" spans="2:13" s="1" customFormat="1" ht="22.5" customHeight="1" x14ac:dyDescent="0.25">
      <c r="B72" s="11">
        <v>57</v>
      </c>
      <c r="C72" s="21"/>
      <c r="D72" s="22"/>
      <c r="E72" s="22"/>
      <c r="F72" s="11">
        <v>57</v>
      </c>
      <c r="G72" s="26"/>
      <c r="H72" s="21"/>
      <c r="I72" s="21"/>
      <c r="J72" s="21"/>
      <c r="K72" s="23"/>
      <c r="L72" s="24"/>
      <c r="M72" s="69"/>
    </row>
    <row r="73" spans="2:13" s="1" customFormat="1" ht="22.5" customHeight="1" x14ac:dyDescent="0.25">
      <c r="B73" s="11">
        <v>58</v>
      </c>
      <c r="C73" s="21"/>
      <c r="D73" s="22"/>
      <c r="E73" s="22"/>
      <c r="F73" s="11">
        <v>58</v>
      </c>
      <c r="G73" s="26"/>
      <c r="H73" s="21"/>
      <c r="I73" s="21"/>
      <c r="J73" s="21"/>
      <c r="K73" s="23"/>
      <c r="L73" s="24"/>
      <c r="M73" s="69"/>
    </row>
    <row r="74" spans="2:13" s="1" customFormat="1" ht="22.5" customHeight="1" x14ac:dyDescent="0.25">
      <c r="B74" s="11">
        <v>59</v>
      </c>
      <c r="C74" s="21"/>
      <c r="D74" s="22"/>
      <c r="E74" s="22"/>
      <c r="F74" s="11">
        <v>59</v>
      </c>
      <c r="G74" s="26"/>
      <c r="H74" s="21"/>
      <c r="I74" s="21"/>
      <c r="J74" s="21"/>
      <c r="K74" s="23"/>
      <c r="L74" s="24"/>
      <c r="M74" s="69"/>
    </row>
    <row r="75" spans="2:13" s="1" customFormat="1" ht="22.5" customHeight="1" x14ac:dyDescent="0.25">
      <c r="B75" s="11">
        <v>60</v>
      </c>
      <c r="C75" s="21"/>
      <c r="D75" s="22"/>
      <c r="E75" s="22"/>
      <c r="F75" s="11">
        <v>60</v>
      </c>
      <c r="G75" s="26"/>
      <c r="H75" s="21"/>
      <c r="I75" s="21"/>
      <c r="J75" s="21"/>
      <c r="K75" s="23"/>
      <c r="L75" s="24"/>
      <c r="M75" s="69"/>
    </row>
    <row r="76" spans="2:13" s="1" customFormat="1" ht="22.5" customHeight="1" x14ac:dyDescent="0.25">
      <c r="B76" s="11">
        <v>61</v>
      </c>
      <c r="C76" s="21"/>
      <c r="D76" s="22"/>
      <c r="E76" s="22"/>
      <c r="F76" s="11">
        <v>61</v>
      </c>
      <c r="G76" s="26"/>
      <c r="H76" s="21"/>
      <c r="I76" s="21"/>
      <c r="J76" s="21"/>
      <c r="K76" s="23"/>
      <c r="L76" s="24"/>
      <c r="M76" s="69"/>
    </row>
    <row r="77" spans="2:13" s="1" customFormat="1" ht="22.5" customHeight="1" x14ac:dyDescent="0.25">
      <c r="B77" s="11">
        <v>62</v>
      </c>
      <c r="C77" s="21"/>
      <c r="D77" s="22"/>
      <c r="E77" s="22"/>
      <c r="F77" s="11">
        <v>62</v>
      </c>
      <c r="G77" s="26"/>
      <c r="H77" s="21"/>
      <c r="I77" s="21"/>
      <c r="J77" s="21"/>
      <c r="K77" s="23"/>
      <c r="L77" s="24"/>
      <c r="M77" s="69"/>
    </row>
    <row r="78" spans="2:13" s="1" customFormat="1" ht="22.5" customHeight="1" x14ac:dyDescent="0.25">
      <c r="B78" s="11">
        <v>63</v>
      </c>
      <c r="C78" s="21"/>
      <c r="D78" s="22"/>
      <c r="E78" s="22"/>
      <c r="F78" s="11">
        <v>63</v>
      </c>
      <c r="G78" s="26"/>
      <c r="H78" s="21"/>
      <c r="I78" s="21"/>
      <c r="J78" s="21"/>
      <c r="K78" s="23"/>
      <c r="L78" s="24"/>
      <c r="M78" s="69"/>
    </row>
    <row r="79" spans="2:13" s="1" customFormat="1" ht="22.5" customHeight="1" x14ac:dyDescent="0.25">
      <c r="B79" s="11">
        <v>64</v>
      </c>
      <c r="C79" s="21"/>
      <c r="D79" s="22"/>
      <c r="E79" s="22"/>
      <c r="F79" s="11">
        <v>64</v>
      </c>
      <c r="G79" s="26"/>
      <c r="H79" s="21"/>
      <c r="I79" s="21"/>
      <c r="J79" s="21"/>
      <c r="K79" s="23"/>
      <c r="L79" s="24"/>
      <c r="M79" s="69"/>
    </row>
    <row r="80" spans="2:13" s="1" customFormat="1" ht="22.5" customHeight="1" x14ac:dyDescent="0.25">
      <c r="B80" s="11">
        <v>65</v>
      </c>
      <c r="C80" s="21"/>
      <c r="D80" s="22"/>
      <c r="E80" s="22"/>
      <c r="F80" s="11">
        <v>65</v>
      </c>
      <c r="G80" s="26"/>
      <c r="H80" s="21"/>
      <c r="I80" s="21"/>
      <c r="J80" s="21"/>
      <c r="K80" s="23"/>
      <c r="L80" s="24"/>
      <c r="M80" s="69"/>
    </row>
    <row r="81" spans="2:13" s="1" customFormat="1" ht="22.5" customHeight="1" x14ac:dyDescent="0.25">
      <c r="B81" s="11">
        <v>66</v>
      </c>
      <c r="C81" s="21"/>
      <c r="D81" s="22"/>
      <c r="E81" s="22"/>
      <c r="F81" s="11">
        <v>66</v>
      </c>
      <c r="G81" s="26"/>
      <c r="H81" s="21"/>
      <c r="I81" s="21"/>
      <c r="J81" s="21"/>
      <c r="K81" s="23"/>
      <c r="L81" s="24"/>
      <c r="M81" s="69"/>
    </row>
    <row r="82" spans="2:13" s="1" customFormat="1" ht="22.5" customHeight="1" x14ac:dyDescent="0.25">
      <c r="B82" s="11">
        <v>67</v>
      </c>
      <c r="C82" s="21"/>
      <c r="D82" s="22"/>
      <c r="E82" s="22"/>
      <c r="F82" s="11">
        <v>67</v>
      </c>
      <c r="G82" s="26"/>
      <c r="H82" s="21"/>
      <c r="I82" s="21"/>
      <c r="J82" s="21"/>
      <c r="K82" s="23"/>
      <c r="L82" s="24"/>
      <c r="M82" s="69"/>
    </row>
    <row r="83" spans="2:13" s="1" customFormat="1" ht="22.5" customHeight="1" x14ac:dyDescent="0.25">
      <c r="B83" s="11">
        <v>68</v>
      </c>
      <c r="C83" s="21"/>
      <c r="D83" s="22"/>
      <c r="E83" s="22"/>
      <c r="F83" s="11">
        <v>68</v>
      </c>
      <c r="G83" s="26"/>
      <c r="H83" s="21"/>
      <c r="I83" s="21"/>
      <c r="J83" s="21"/>
      <c r="K83" s="23"/>
      <c r="L83" s="24"/>
      <c r="M83" s="69"/>
    </row>
    <row r="84" spans="2:13" s="1" customFormat="1" ht="22.5" customHeight="1" x14ac:dyDescent="0.25">
      <c r="B84" s="11">
        <v>69</v>
      </c>
      <c r="C84" s="21"/>
      <c r="D84" s="22"/>
      <c r="E84" s="22"/>
      <c r="F84" s="11">
        <v>69</v>
      </c>
      <c r="G84" s="26"/>
      <c r="H84" s="21"/>
      <c r="I84" s="21"/>
      <c r="J84" s="21"/>
      <c r="K84" s="23"/>
      <c r="L84" s="24"/>
      <c r="M84" s="69"/>
    </row>
    <row r="85" spans="2:13" s="1" customFormat="1" ht="22.5" customHeight="1" x14ac:dyDescent="0.25">
      <c r="B85" s="11">
        <v>70</v>
      </c>
      <c r="C85" s="21"/>
      <c r="D85" s="22"/>
      <c r="E85" s="22"/>
      <c r="F85" s="11">
        <v>70</v>
      </c>
      <c r="G85" s="26"/>
      <c r="H85" s="21"/>
      <c r="I85" s="21"/>
      <c r="J85" s="21"/>
      <c r="K85" s="23"/>
      <c r="L85" s="24"/>
      <c r="M85" s="69"/>
    </row>
    <row r="86" spans="2:13" s="1" customFormat="1" ht="22.5" customHeight="1" x14ac:dyDescent="0.25">
      <c r="B86" s="11">
        <v>71</v>
      </c>
      <c r="C86" s="21"/>
      <c r="D86" s="22"/>
      <c r="E86" s="22"/>
      <c r="F86" s="11">
        <v>71</v>
      </c>
      <c r="G86" s="26"/>
      <c r="H86" s="21"/>
      <c r="I86" s="21"/>
      <c r="J86" s="21"/>
      <c r="K86" s="23"/>
      <c r="L86" s="24"/>
      <c r="M86" s="69"/>
    </row>
    <row r="87" spans="2:13" s="1" customFormat="1" ht="22.5" customHeight="1" x14ac:dyDescent="0.25">
      <c r="B87" s="11">
        <v>72</v>
      </c>
      <c r="C87" s="21"/>
      <c r="D87" s="22"/>
      <c r="E87" s="22"/>
      <c r="F87" s="11">
        <v>72</v>
      </c>
      <c r="G87" s="26"/>
      <c r="H87" s="21"/>
      <c r="I87" s="21"/>
      <c r="J87" s="21"/>
      <c r="K87" s="23"/>
      <c r="L87" s="24"/>
      <c r="M87" s="69"/>
    </row>
    <row r="88" spans="2:13" s="1" customFormat="1" ht="22.5" customHeight="1" x14ac:dyDescent="0.25">
      <c r="B88" s="11">
        <v>73</v>
      </c>
      <c r="C88" s="21"/>
      <c r="D88" s="22"/>
      <c r="E88" s="22"/>
      <c r="F88" s="11">
        <v>73</v>
      </c>
      <c r="G88" s="26"/>
      <c r="H88" s="21"/>
      <c r="I88" s="21"/>
      <c r="J88" s="21"/>
      <c r="K88" s="23"/>
      <c r="L88" s="24"/>
      <c r="M88" s="69"/>
    </row>
    <row r="89" spans="2:13" s="1" customFormat="1" ht="22.5" customHeight="1" x14ac:dyDescent="0.25">
      <c r="B89" s="11">
        <v>74</v>
      </c>
      <c r="C89" s="21"/>
      <c r="D89" s="22"/>
      <c r="E89" s="22"/>
      <c r="F89" s="11">
        <v>74</v>
      </c>
      <c r="G89" s="26"/>
      <c r="H89" s="21"/>
      <c r="I89" s="21"/>
      <c r="J89" s="21"/>
      <c r="K89" s="23"/>
      <c r="L89" s="24"/>
      <c r="M89" s="69"/>
    </row>
    <row r="90" spans="2:13" s="1" customFormat="1" ht="22.5" customHeight="1" x14ac:dyDescent="0.25">
      <c r="B90" s="11">
        <v>75</v>
      </c>
      <c r="C90" s="21"/>
      <c r="D90" s="22"/>
      <c r="E90" s="22"/>
      <c r="F90" s="11">
        <v>75</v>
      </c>
      <c r="G90" s="26"/>
      <c r="H90" s="21"/>
      <c r="I90" s="21"/>
      <c r="J90" s="21"/>
      <c r="K90" s="23"/>
      <c r="L90" s="24"/>
      <c r="M90" s="69"/>
    </row>
    <row r="91" spans="2:13" s="1" customFormat="1" ht="22.5" customHeight="1" x14ac:dyDescent="0.25">
      <c r="B91" s="11">
        <v>76</v>
      </c>
      <c r="C91" s="21"/>
      <c r="D91" s="22"/>
      <c r="E91" s="22"/>
      <c r="F91" s="11">
        <v>76</v>
      </c>
      <c r="G91" s="26"/>
      <c r="H91" s="21"/>
      <c r="I91" s="21"/>
      <c r="J91" s="21"/>
      <c r="K91" s="23"/>
      <c r="L91" s="24"/>
      <c r="M91" s="69"/>
    </row>
    <row r="92" spans="2:13" s="1" customFormat="1" ht="22.5" customHeight="1" x14ac:dyDescent="0.25">
      <c r="B92" s="11">
        <v>77</v>
      </c>
      <c r="C92" s="21"/>
      <c r="D92" s="22"/>
      <c r="E92" s="22"/>
      <c r="F92" s="11">
        <v>77</v>
      </c>
      <c r="G92" s="26"/>
      <c r="H92" s="21"/>
      <c r="I92" s="21"/>
      <c r="J92" s="21"/>
      <c r="K92" s="23"/>
      <c r="L92" s="24"/>
      <c r="M92" s="69"/>
    </row>
    <row r="93" spans="2:13" s="1" customFormat="1" ht="22.5" customHeight="1" x14ac:dyDescent="0.25">
      <c r="B93" s="11">
        <v>78</v>
      </c>
      <c r="C93" s="21"/>
      <c r="D93" s="22"/>
      <c r="E93" s="22"/>
      <c r="F93" s="11">
        <v>78</v>
      </c>
      <c r="G93" s="26"/>
      <c r="H93" s="21"/>
      <c r="I93" s="21"/>
      <c r="J93" s="21"/>
      <c r="K93" s="23"/>
      <c r="L93" s="24"/>
      <c r="M93" s="69"/>
    </row>
    <row r="94" spans="2:13" s="1" customFormat="1" ht="22.5" customHeight="1" x14ac:dyDescent="0.25">
      <c r="B94" s="11">
        <v>79</v>
      </c>
      <c r="C94" s="21"/>
      <c r="D94" s="22"/>
      <c r="E94" s="22"/>
      <c r="F94" s="11">
        <v>79</v>
      </c>
      <c r="G94" s="26"/>
      <c r="H94" s="21"/>
      <c r="I94" s="21"/>
      <c r="J94" s="21"/>
      <c r="K94" s="23"/>
      <c r="L94" s="24"/>
      <c r="M94" s="69"/>
    </row>
    <row r="95" spans="2:13" s="1" customFormat="1" ht="22.5" customHeight="1" x14ac:dyDescent="0.25">
      <c r="B95" s="11">
        <v>80</v>
      </c>
      <c r="C95" s="21"/>
      <c r="D95" s="22"/>
      <c r="E95" s="22"/>
      <c r="F95" s="11">
        <v>80</v>
      </c>
      <c r="G95" s="26"/>
      <c r="H95" s="21"/>
      <c r="I95" s="21"/>
      <c r="J95" s="21"/>
      <c r="K95" s="23"/>
      <c r="L95" s="24"/>
      <c r="M95" s="69"/>
    </row>
    <row r="96" spans="2:13" s="1" customFormat="1" ht="22.5" customHeight="1" x14ac:dyDescent="0.25">
      <c r="B96" s="11">
        <v>81</v>
      </c>
      <c r="C96" s="21"/>
      <c r="D96" s="22"/>
      <c r="E96" s="22"/>
      <c r="F96" s="11">
        <v>81</v>
      </c>
      <c r="G96" s="26"/>
      <c r="H96" s="21"/>
      <c r="I96" s="21"/>
      <c r="J96" s="21"/>
      <c r="K96" s="23"/>
      <c r="L96" s="24"/>
      <c r="M96" s="69"/>
    </row>
    <row r="97" spans="2:13" s="1" customFormat="1" ht="22.5" customHeight="1" x14ac:dyDescent="0.25">
      <c r="B97" s="11">
        <v>82</v>
      </c>
      <c r="C97" s="21"/>
      <c r="D97" s="22"/>
      <c r="E97" s="22"/>
      <c r="F97" s="11">
        <v>82</v>
      </c>
      <c r="G97" s="26"/>
      <c r="H97" s="21"/>
      <c r="I97" s="21"/>
      <c r="J97" s="21"/>
      <c r="K97" s="23"/>
      <c r="L97" s="24"/>
      <c r="M97" s="69"/>
    </row>
    <row r="98" spans="2:13" s="1" customFormat="1" ht="22.5" customHeight="1" x14ac:dyDescent="0.25">
      <c r="B98" s="11">
        <v>83</v>
      </c>
      <c r="C98" s="21"/>
      <c r="D98" s="22"/>
      <c r="E98" s="22"/>
      <c r="F98" s="11">
        <v>83</v>
      </c>
      <c r="G98" s="26"/>
      <c r="H98" s="21"/>
      <c r="I98" s="21"/>
      <c r="J98" s="21"/>
      <c r="K98" s="23"/>
      <c r="L98" s="24"/>
      <c r="M98" s="69"/>
    </row>
    <row r="99" spans="2:13" s="1" customFormat="1" ht="22.5" customHeight="1" x14ac:dyDescent="0.25">
      <c r="B99" s="11">
        <v>84</v>
      </c>
      <c r="C99" s="21"/>
      <c r="D99" s="22"/>
      <c r="E99" s="22"/>
      <c r="F99" s="11">
        <v>84</v>
      </c>
      <c r="G99" s="26"/>
      <c r="H99" s="21"/>
      <c r="I99" s="21"/>
      <c r="J99" s="21"/>
      <c r="K99" s="23"/>
      <c r="L99" s="24"/>
      <c r="M99" s="69"/>
    </row>
    <row r="100" spans="2:13" s="1" customFormat="1" ht="22.5" customHeight="1" x14ac:dyDescent="0.25">
      <c r="B100" s="11">
        <v>85</v>
      </c>
      <c r="C100" s="21"/>
      <c r="D100" s="22"/>
      <c r="E100" s="22"/>
      <c r="F100" s="11">
        <v>85</v>
      </c>
      <c r="G100" s="26"/>
      <c r="H100" s="21"/>
      <c r="I100" s="21"/>
      <c r="J100" s="21"/>
      <c r="K100" s="23"/>
      <c r="L100" s="24"/>
      <c r="M100" s="69"/>
    </row>
    <row r="101" spans="2:13" s="1" customFormat="1" ht="22.5" customHeight="1" x14ac:dyDescent="0.25">
      <c r="B101" s="11">
        <v>86</v>
      </c>
      <c r="C101" s="21"/>
      <c r="D101" s="22"/>
      <c r="E101" s="22"/>
      <c r="F101" s="11">
        <v>86</v>
      </c>
      <c r="G101" s="26"/>
      <c r="H101" s="21"/>
      <c r="I101" s="21"/>
      <c r="J101" s="21"/>
      <c r="K101" s="23"/>
      <c r="L101" s="24"/>
      <c r="M101" s="69"/>
    </row>
    <row r="102" spans="2:13" s="1" customFormat="1" ht="22.5" customHeight="1" x14ac:dyDescent="0.25">
      <c r="B102" s="11">
        <v>87</v>
      </c>
      <c r="C102" s="21"/>
      <c r="D102" s="22"/>
      <c r="E102" s="22"/>
      <c r="F102" s="11">
        <v>87</v>
      </c>
      <c r="G102" s="26"/>
      <c r="H102" s="21"/>
      <c r="I102" s="21"/>
      <c r="J102" s="21"/>
      <c r="K102" s="23"/>
      <c r="L102" s="24"/>
      <c r="M102" s="69"/>
    </row>
    <row r="103" spans="2:13" s="1" customFormat="1" ht="22.5" customHeight="1" x14ac:dyDescent="0.25">
      <c r="B103" s="11">
        <v>88</v>
      </c>
      <c r="C103" s="21"/>
      <c r="D103" s="22"/>
      <c r="E103" s="22"/>
      <c r="F103" s="11">
        <v>88</v>
      </c>
      <c r="G103" s="26"/>
      <c r="H103" s="21"/>
      <c r="I103" s="21"/>
      <c r="J103" s="21"/>
      <c r="K103" s="23"/>
      <c r="L103" s="24"/>
      <c r="M103" s="69"/>
    </row>
    <row r="104" spans="2:13" s="1" customFormat="1" ht="22.5" customHeight="1" x14ac:dyDescent="0.25">
      <c r="B104" s="11">
        <v>89</v>
      </c>
      <c r="C104" s="21"/>
      <c r="D104" s="22"/>
      <c r="E104" s="22"/>
      <c r="F104" s="11">
        <v>89</v>
      </c>
      <c r="G104" s="26"/>
      <c r="H104" s="21"/>
      <c r="I104" s="21"/>
      <c r="J104" s="21"/>
      <c r="K104" s="23"/>
      <c r="L104" s="24"/>
      <c r="M104" s="69"/>
    </row>
    <row r="105" spans="2:13" s="1" customFormat="1" ht="22.5" customHeight="1" x14ac:dyDescent="0.25">
      <c r="B105" s="11">
        <v>90</v>
      </c>
      <c r="C105" s="21"/>
      <c r="D105" s="22"/>
      <c r="E105" s="22"/>
      <c r="F105" s="11">
        <v>90</v>
      </c>
      <c r="G105" s="26"/>
      <c r="H105" s="21"/>
      <c r="I105" s="21"/>
      <c r="J105" s="21"/>
      <c r="K105" s="23"/>
      <c r="L105" s="24"/>
      <c r="M105" s="69"/>
    </row>
    <row r="106" spans="2:13" s="1" customFormat="1" ht="22.5" customHeight="1" x14ac:dyDescent="0.25">
      <c r="B106" s="11">
        <v>91</v>
      </c>
      <c r="C106" s="21"/>
      <c r="D106" s="22"/>
      <c r="E106" s="22"/>
      <c r="F106" s="11">
        <v>91</v>
      </c>
      <c r="G106" s="26"/>
      <c r="H106" s="21"/>
      <c r="I106" s="21"/>
      <c r="J106" s="21"/>
      <c r="K106" s="23"/>
      <c r="L106" s="24"/>
      <c r="M106" s="69"/>
    </row>
    <row r="107" spans="2:13" s="1" customFormat="1" ht="22.5" customHeight="1" x14ac:dyDescent="0.25">
      <c r="B107" s="11">
        <v>92</v>
      </c>
      <c r="C107" s="21"/>
      <c r="D107" s="22"/>
      <c r="E107" s="22"/>
      <c r="F107" s="11">
        <v>92</v>
      </c>
      <c r="G107" s="26"/>
      <c r="H107" s="21"/>
      <c r="I107" s="21"/>
      <c r="J107" s="21"/>
      <c r="K107" s="23"/>
      <c r="L107" s="24"/>
      <c r="M107" s="69"/>
    </row>
    <row r="108" spans="2:13" s="1" customFormat="1" ht="22.5" customHeight="1" x14ac:dyDescent="0.25">
      <c r="B108" s="11">
        <v>93</v>
      </c>
      <c r="C108" s="21"/>
      <c r="D108" s="22"/>
      <c r="E108" s="22"/>
      <c r="F108" s="11">
        <v>93</v>
      </c>
      <c r="G108" s="26"/>
      <c r="H108" s="21"/>
      <c r="I108" s="21"/>
      <c r="J108" s="21"/>
      <c r="K108" s="23"/>
      <c r="L108" s="24"/>
      <c r="M108" s="69"/>
    </row>
    <row r="109" spans="2:13" s="1" customFormat="1" ht="22.5" customHeight="1" x14ac:dyDescent="0.25">
      <c r="B109" s="11">
        <v>94</v>
      </c>
      <c r="C109" s="21"/>
      <c r="D109" s="22"/>
      <c r="E109" s="22"/>
      <c r="F109" s="11">
        <v>94</v>
      </c>
      <c r="G109" s="26"/>
      <c r="H109" s="21"/>
      <c r="I109" s="21"/>
      <c r="J109" s="21"/>
      <c r="K109" s="23"/>
      <c r="L109" s="24"/>
      <c r="M109" s="69"/>
    </row>
    <row r="110" spans="2:13" s="1" customFormat="1" ht="22.5" customHeight="1" x14ac:dyDescent="0.25">
      <c r="B110" s="11">
        <v>95</v>
      </c>
      <c r="C110" s="21"/>
      <c r="D110" s="22"/>
      <c r="E110" s="22"/>
      <c r="F110" s="11">
        <v>95</v>
      </c>
      <c r="G110" s="26"/>
      <c r="H110" s="21"/>
      <c r="I110" s="21"/>
      <c r="J110" s="21"/>
      <c r="K110" s="23"/>
      <c r="L110" s="24"/>
      <c r="M110" s="69"/>
    </row>
    <row r="111" spans="2:13" s="1" customFormat="1" ht="22.5" customHeight="1" x14ac:dyDescent="0.25">
      <c r="B111" s="11">
        <v>96</v>
      </c>
      <c r="C111" s="21"/>
      <c r="D111" s="22"/>
      <c r="E111" s="22"/>
      <c r="F111" s="11">
        <v>96</v>
      </c>
      <c r="G111" s="26"/>
      <c r="H111" s="21"/>
      <c r="I111" s="21"/>
      <c r="J111" s="21"/>
      <c r="K111" s="23"/>
      <c r="L111" s="24"/>
      <c r="M111" s="69"/>
    </row>
    <row r="112" spans="2:13" s="1" customFormat="1" ht="22.5" customHeight="1" x14ac:dyDescent="0.25">
      <c r="B112" s="11">
        <v>97</v>
      </c>
      <c r="C112" s="21"/>
      <c r="D112" s="22"/>
      <c r="E112" s="22"/>
      <c r="F112" s="11">
        <v>97</v>
      </c>
      <c r="G112" s="26"/>
      <c r="H112" s="21"/>
      <c r="I112" s="21"/>
      <c r="J112" s="21"/>
      <c r="K112" s="23"/>
      <c r="L112" s="24"/>
      <c r="M112" s="69"/>
    </row>
    <row r="113" spans="2:13" s="1" customFormat="1" ht="22.5" customHeight="1" x14ac:dyDescent="0.25">
      <c r="B113" s="11">
        <v>98</v>
      </c>
      <c r="C113" s="21"/>
      <c r="D113" s="22"/>
      <c r="E113" s="22"/>
      <c r="F113" s="11">
        <v>98</v>
      </c>
      <c r="G113" s="26"/>
      <c r="H113" s="21"/>
      <c r="I113" s="21"/>
      <c r="J113" s="21"/>
      <c r="K113" s="23"/>
      <c r="L113" s="24"/>
      <c r="M113" s="69"/>
    </row>
    <row r="114" spans="2:13" s="1" customFormat="1" ht="22.5" customHeight="1" x14ac:dyDescent="0.25">
      <c r="B114" s="11">
        <v>99</v>
      </c>
      <c r="C114" s="21"/>
      <c r="D114" s="22"/>
      <c r="E114" s="22"/>
      <c r="F114" s="11">
        <v>99</v>
      </c>
      <c r="G114" s="26"/>
      <c r="H114" s="21"/>
      <c r="I114" s="21"/>
      <c r="J114" s="21"/>
      <c r="K114" s="23"/>
      <c r="L114" s="24"/>
      <c r="M114" s="69"/>
    </row>
    <row r="115" spans="2:13" s="1" customFormat="1" ht="22.5" customHeight="1" x14ac:dyDescent="0.25">
      <c r="B115" s="11">
        <v>100</v>
      </c>
      <c r="C115" s="21"/>
      <c r="D115" s="22"/>
      <c r="E115" s="22"/>
      <c r="F115" s="11">
        <v>100</v>
      </c>
      <c r="G115" s="26"/>
      <c r="H115" s="21"/>
      <c r="I115" s="21"/>
      <c r="J115" s="21"/>
      <c r="K115" s="23"/>
      <c r="L115" s="24"/>
      <c r="M115" s="69"/>
    </row>
    <row r="116" spans="2:13" s="1" customFormat="1" ht="22.5" customHeight="1" x14ac:dyDescent="0.25">
      <c r="B116" s="11" t="s">
        <v>36</v>
      </c>
      <c r="C116" s="21"/>
      <c r="D116" s="22"/>
      <c r="E116" s="22"/>
      <c r="F116" s="11" t="s">
        <v>36</v>
      </c>
      <c r="G116" s="26"/>
      <c r="H116" s="21"/>
      <c r="I116" s="21"/>
      <c r="J116" s="21"/>
      <c r="K116" s="23"/>
      <c r="L116" s="24"/>
      <c r="M116" s="69"/>
    </row>
    <row r="117" spans="2:13" ht="20.25" customHeight="1" x14ac:dyDescent="0.25">
      <c r="B117" s="56" t="s">
        <v>8</v>
      </c>
      <c r="C117" s="57"/>
      <c r="D117" s="57"/>
      <c r="E117" s="57"/>
      <c r="F117" s="57"/>
      <c r="G117" s="57"/>
      <c r="H117" s="57"/>
      <c r="I117" s="57"/>
      <c r="J117" s="57"/>
      <c r="K117" s="57"/>
      <c r="L117" s="58"/>
      <c r="M117" s="69"/>
    </row>
    <row r="118" spans="2:13" ht="60.75" customHeight="1" x14ac:dyDescent="0.25">
      <c r="B118" s="77"/>
      <c r="C118" s="78"/>
      <c r="D118" s="78"/>
      <c r="E118" s="78"/>
      <c r="F118" s="78"/>
      <c r="G118" s="51"/>
      <c r="H118" s="75"/>
      <c r="I118" s="75"/>
      <c r="J118" s="75"/>
      <c r="K118" s="75"/>
      <c r="L118" s="76"/>
      <c r="M118" s="69"/>
    </row>
    <row r="119" spans="2:13" x14ac:dyDescent="0.25">
      <c r="B119" s="79" t="s">
        <v>26</v>
      </c>
      <c r="C119" s="80"/>
      <c r="D119" s="80"/>
      <c r="E119" s="80"/>
      <c r="F119" s="80"/>
      <c r="G119" s="52"/>
      <c r="H119" s="53" t="s">
        <v>27</v>
      </c>
      <c r="I119" s="53"/>
      <c r="J119" s="53"/>
      <c r="K119" s="53"/>
      <c r="L119" s="54"/>
      <c r="M119" s="69"/>
    </row>
    <row r="120" spans="2:13" ht="15" customHeight="1" x14ac:dyDescent="0.25">
      <c r="B120" s="48"/>
      <c r="C120" s="48"/>
      <c r="D120" s="48"/>
      <c r="E120" s="48"/>
      <c r="F120" s="48"/>
      <c r="G120" s="48"/>
      <c r="J120" s="55"/>
      <c r="K120" s="55"/>
      <c r="L120" s="55"/>
    </row>
    <row r="121" spans="2:13" ht="30" customHeight="1" x14ac:dyDescent="0.25">
      <c r="B121" s="74" t="s">
        <v>42</v>
      </c>
      <c r="C121" s="74"/>
      <c r="D121" s="71" t="s">
        <v>47</v>
      </c>
      <c r="E121" s="71"/>
      <c r="F121" s="71"/>
      <c r="G121" s="71"/>
      <c r="H121" s="71"/>
      <c r="I121" s="71"/>
      <c r="J121" s="71"/>
      <c r="K121" s="71"/>
      <c r="L121" s="71"/>
      <c r="M121" s="49"/>
    </row>
    <row r="122" spans="2:13" ht="30" customHeight="1" x14ac:dyDescent="0.25">
      <c r="B122" s="70" t="s">
        <v>43</v>
      </c>
      <c r="C122" s="70"/>
      <c r="D122" s="72" t="s">
        <v>45</v>
      </c>
      <c r="E122" s="72"/>
      <c r="F122" s="72"/>
      <c r="G122" s="72"/>
      <c r="H122" s="72"/>
      <c r="I122" s="72"/>
      <c r="J122" s="72"/>
      <c r="K122" s="72"/>
      <c r="L122" s="72"/>
      <c r="M122" s="50"/>
    </row>
    <row r="123" spans="2:13" ht="30" customHeight="1" x14ac:dyDescent="0.25">
      <c r="B123" s="70" t="s">
        <v>44</v>
      </c>
      <c r="C123" s="70"/>
      <c r="D123" s="72" t="s">
        <v>48</v>
      </c>
      <c r="E123" s="72"/>
      <c r="F123" s="72"/>
      <c r="G123" s="72"/>
      <c r="H123" s="72"/>
      <c r="I123" s="72"/>
      <c r="J123" s="72"/>
      <c r="K123" s="72"/>
      <c r="L123" s="72"/>
      <c r="M123" s="50"/>
    </row>
  </sheetData>
  <protectedRanges>
    <protectedRange sqref="D7:G8 J7:L8 F9:L11 H18:H20 K18:K20" name="Intervalo1"/>
  </protectedRanges>
  <mergeCells count="31">
    <mergeCell ref="M14:M119"/>
    <mergeCell ref="B123:C123"/>
    <mergeCell ref="D121:L121"/>
    <mergeCell ref="D122:L122"/>
    <mergeCell ref="D123:L123"/>
    <mergeCell ref="B121:C121"/>
    <mergeCell ref="B122:C122"/>
    <mergeCell ref="H118:L118"/>
    <mergeCell ref="B118:F118"/>
    <mergeCell ref="B119:F119"/>
    <mergeCell ref="B9:L9"/>
    <mergeCell ref="B10:L11"/>
    <mergeCell ref="B1:M1"/>
    <mergeCell ref="B3:F3"/>
    <mergeCell ref="G3:L3"/>
    <mergeCell ref="B4:F4"/>
    <mergeCell ref="B7:G7"/>
    <mergeCell ref="H7:L7"/>
    <mergeCell ref="B8:G8"/>
    <mergeCell ref="M2:M13"/>
    <mergeCell ref="B6:L6"/>
    <mergeCell ref="B5:F5"/>
    <mergeCell ref="G5:L5"/>
    <mergeCell ref="G4:L4"/>
    <mergeCell ref="H8:L8"/>
    <mergeCell ref="H119:L119"/>
    <mergeCell ref="J120:L120"/>
    <mergeCell ref="B117:L117"/>
    <mergeCell ref="B14:L14"/>
    <mergeCell ref="B12:L12"/>
    <mergeCell ref="B13:L13"/>
  </mergeCells>
  <printOptions horizontalCentered="1"/>
  <pageMargins left="0.59055118110236227" right="0.59055118110236227" top="0.78740157480314965" bottom="0.78740157480314965" header="0" footer="0"/>
  <pageSetup paperSize="9" scale="67" fitToHeight="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4965E-C810-488B-BFEF-A1AC05B29435}">
  <sheetPr>
    <pageSetUpPr fitToPage="1"/>
  </sheetPr>
  <dimension ref="A1:E18"/>
  <sheetViews>
    <sheetView view="pageBreakPreview" zoomScale="115" zoomScaleNormal="115" zoomScaleSheetLayoutView="115" workbookViewId="0">
      <selection activeCell="A13" sqref="A13:E13"/>
    </sheetView>
  </sheetViews>
  <sheetFormatPr defaultColWidth="8.81640625" defaultRowHeight="12.5" x14ac:dyDescent="0.25"/>
  <cols>
    <col min="1" max="1" width="12.7265625" style="6" customWidth="1"/>
    <col min="2" max="3" width="7.7265625" style="6" customWidth="1"/>
    <col min="4" max="4" width="33.1796875" style="6" customWidth="1"/>
    <col min="5" max="5" width="48.26953125" style="6" customWidth="1"/>
    <col min="6" max="16384" width="8.81640625" style="6"/>
  </cols>
  <sheetData>
    <row r="1" spans="1:5" ht="54" customHeight="1" x14ac:dyDescent="0.25">
      <c r="A1" s="84"/>
      <c r="B1" s="85"/>
      <c r="C1" s="85"/>
      <c r="D1" s="85"/>
      <c r="E1" s="86"/>
    </row>
    <row r="2" spans="1:5" ht="20.25" customHeight="1" x14ac:dyDescent="0.25">
      <c r="A2" s="87">
        <f>'FR-IMOB-37_Rev00'!D6</f>
        <v>0</v>
      </c>
      <c r="B2" s="88"/>
      <c r="C2" s="88"/>
      <c r="D2" s="88"/>
      <c r="E2" s="89"/>
    </row>
    <row r="3" spans="1:5" ht="20.25" customHeight="1" x14ac:dyDescent="0.25">
      <c r="A3" s="7"/>
      <c r="B3" s="8"/>
      <c r="C3" s="8"/>
      <c r="D3" s="8"/>
      <c r="E3" s="9"/>
    </row>
    <row r="4" spans="1:5" ht="20.5" customHeight="1" x14ac:dyDescent="0.25">
      <c r="A4" s="90" t="s">
        <v>9</v>
      </c>
      <c r="B4" s="91"/>
      <c r="C4" s="91"/>
      <c r="D4" s="91"/>
      <c r="E4" s="92"/>
    </row>
    <row r="5" spans="1:5" ht="20.5" customHeight="1" x14ac:dyDescent="0.25">
      <c r="A5" s="96" t="s">
        <v>10</v>
      </c>
      <c r="B5" s="96"/>
      <c r="C5" s="96"/>
      <c r="D5" s="96"/>
      <c r="E5" s="45" t="s">
        <v>11</v>
      </c>
    </row>
    <row r="6" spans="1:5" ht="20.5" customHeight="1" x14ac:dyDescent="0.25">
      <c r="A6" s="97" t="s">
        <v>12</v>
      </c>
      <c r="B6" s="97"/>
      <c r="C6" s="97"/>
      <c r="D6" s="40"/>
      <c r="E6" s="41"/>
    </row>
    <row r="7" spans="1:5" ht="20.5" customHeight="1" x14ac:dyDescent="0.25">
      <c r="A7" s="97" t="s">
        <v>20</v>
      </c>
      <c r="B7" s="97"/>
      <c r="C7" s="97"/>
      <c r="D7" s="40"/>
      <c r="E7" s="41"/>
    </row>
    <row r="8" spans="1:5" ht="20.5" customHeight="1" x14ac:dyDescent="0.25">
      <c r="A8" s="97" t="s">
        <v>21</v>
      </c>
      <c r="B8" s="97"/>
      <c r="C8" s="97"/>
      <c r="D8" s="40"/>
      <c r="E8" s="41"/>
    </row>
    <row r="9" spans="1:5" ht="20.5" customHeight="1" x14ac:dyDescent="0.25">
      <c r="A9" s="97" t="s">
        <v>13</v>
      </c>
      <c r="B9" s="42" t="s">
        <v>22</v>
      </c>
      <c r="C9" s="43">
        <v>19.100000000000001</v>
      </c>
      <c r="D9" s="40"/>
      <c r="E9" s="41"/>
    </row>
    <row r="10" spans="1:5" ht="20.5" customHeight="1" x14ac:dyDescent="0.25">
      <c r="A10" s="97"/>
      <c r="B10" s="42" t="s">
        <v>23</v>
      </c>
      <c r="C10" s="43">
        <v>12.7</v>
      </c>
      <c r="D10" s="40"/>
      <c r="E10" s="41"/>
    </row>
    <row r="11" spans="1:5" ht="20.5" customHeight="1" x14ac:dyDescent="0.25">
      <c r="A11" s="97"/>
      <c r="B11" s="42" t="s">
        <v>24</v>
      </c>
      <c r="C11" s="43">
        <v>9.5</v>
      </c>
      <c r="D11" s="40"/>
      <c r="E11" s="41"/>
    </row>
    <row r="12" spans="1:5" ht="20.5" customHeight="1" x14ac:dyDescent="0.25">
      <c r="A12" s="97"/>
      <c r="B12" s="42" t="s">
        <v>25</v>
      </c>
      <c r="C12" s="44">
        <v>6.3</v>
      </c>
      <c r="D12" s="40"/>
      <c r="E12" s="41"/>
    </row>
    <row r="13" spans="1:5" ht="20.5" customHeight="1" x14ac:dyDescent="0.25">
      <c r="A13" s="93" t="s">
        <v>14</v>
      </c>
      <c r="B13" s="94"/>
      <c r="C13" s="94"/>
      <c r="D13" s="94"/>
      <c r="E13" s="95"/>
    </row>
    <row r="14" spans="1:5" ht="20.5" customHeight="1" x14ac:dyDescent="0.25">
      <c r="A14" s="46"/>
      <c r="B14" s="82" t="s">
        <v>15</v>
      </c>
      <c r="C14" s="82"/>
      <c r="D14" s="82"/>
      <c r="E14" s="83"/>
    </row>
    <row r="15" spans="1:5" ht="20.5" customHeight="1" x14ac:dyDescent="0.25">
      <c r="A15" s="46"/>
      <c r="B15" s="82" t="s">
        <v>16</v>
      </c>
      <c r="C15" s="82"/>
      <c r="D15" s="82"/>
      <c r="E15" s="83"/>
    </row>
    <row r="16" spans="1:5" ht="20.5" customHeight="1" x14ac:dyDescent="0.25">
      <c r="A16" s="46"/>
      <c r="B16" s="82" t="s">
        <v>17</v>
      </c>
      <c r="C16" s="82"/>
      <c r="D16" s="82"/>
      <c r="E16" s="83"/>
    </row>
    <row r="17" spans="1:5" ht="20.5" customHeight="1" x14ac:dyDescent="0.25">
      <c r="A17" s="46"/>
      <c r="B17" s="82" t="s">
        <v>18</v>
      </c>
      <c r="C17" s="82"/>
      <c r="D17" s="82"/>
      <c r="E17" s="83"/>
    </row>
    <row r="18" spans="1:5" ht="20.5" customHeight="1" x14ac:dyDescent="0.25">
      <c r="A18" s="46"/>
      <c r="B18" s="82" t="s">
        <v>19</v>
      </c>
      <c r="C18" s="82"/>
      <c r="D18" s="82"/>
      <c r="E18" s="83"/>
    </row>
  </sheetData>
  <protectedRanges>
    <protectedRange sqref="D6:E12 A14:A18" name="Intervalo1"/>
  </protectedRanges>
  <mergeCells count="14">
    <mergeCell ref="B18:E18"/>
    <mergeCell ref="A1:E1"/>
    <mergeCell ref="A2:E2"/>
    <mergeCell ref="A4:E4"/>
    <mergeCell ref="A13:E13"/>
    <mergeCell ref="B14:E14"/>
    <mergeCell ref="B15:E15"/>
    <mergeCell ref="B16:E16"/>
    <mergeCell ref="B17:E17"/>
    <mergeCell ref="A5:D5"/>
    <mergeCell ref="A6:C6"/>
    <mergeCell ref="A7:C7"/>
    <mergeCell ref="A8:C8"/>
    <mergeCell ref="A9:A12"/>
  </mergeCells>
  <printOptions horizontalCentered="1"/>
  <pageMargins left="0.59055118110236227" right="0.59055118110236227" top="0.78740157480314965" bottom="0.78740157480314965" header="0.31496062992125984" footer="0.31496062992125984"/>
  <pageSetup paperSize="9" scale="84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0</xdr:col>
                    <xdr:colOff>393700</xdr:colOff>
                    <xdr:row>13</xdr:row>
                    <xdr:rowOff>31750</xdr:rowOff>
                  </from>
                  <to>
                    <xdr:col>0</xdr:col>
                    <xdr:colOff>647700</xdr:colOff>
                    <xdr:row>13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0</xdr:col>
                    <xdr:colOff>393700</xdr:colOff>
                    <xdr:row>14</xdr:row>
                    <xdr:rowOff>31750</xdr:rowOff>
                  </from>
                  <to>
                    <xdr:col>0</xdr:col>
                    <xdr:colOff>647700</xdr:colOff>
                    <xdr:row>14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 sizeWithCells="1">
                  <from>
                    <xdr:col>0</xdr:col>
                    <xdr:colOff>393700</xdr:colOff>
                    <xdr:row>15</xdr:row>
                    <xdr:rowOff>31750</xdr:rowOff>
                  </from>
                  <to>
                    <xdr:col>0</xdr:col>
                    <xdr:colOff>647700</xdr:colOff>
                    <xdr:row>15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 sizeWithCells="1">
                  <from>
                    <xdr:col>0</xdr:col>
                    <xdr:colOff>393700</xdr:colOff>
                    <xdr:row>16</xdr:row>
                    <xdr:rowOff>31750</xdr:rowOff>
                  </from>
                  <to>
                    <xdr:col>0</xdr:col>
                    <xdr:colOff>647700</xdr:colOff>
                    <xdr:row>16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 sizeWithCells="1">
                  <from>
                    <xdr:col>0</xdr:col>
                    <xdr:colOff>393700</xdr:colOff>
                    <xdr:row>17</xdr:row>
                    <xdr:rowOff>31750</xdr:rowOff>
                  </from>
                  <to>
                    <xdr:col>0</xdr:col>
                    <xdr:colOff>647700</xdr:colOff>
                    <xdr:row>17</xdr:row>
                    <xdr:rowOff>247650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FR-IMOB-37_Rev00</vt:lpstr>
      <vt:lpstr>VERSO</vt:lpstr>
      <vt:lpstr>'FR-IMOB-37_Rev00'!Area_de_impressao</vt:lpstr>
      <vt:lpstr>VERSO!Area_de_impressao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Cesar Salvatori Treter</dc:creator>
  <cp:lastModifiedBy>Samara Rodrigues Dos Santos</cp:lastModifiedBy>
  <cp:lastPrinted>2022-04-28T14:20:11Z</cp:lastPrinted>
  <dcterms:created xsi:type="dcterms:W3CDTF">2021-11-09T18:01:31Z</dcterms:created>
  <dcterms:modified xsi:type="dcterms:W3CDTF">2026-02-16T15:20:36Z</dcterms:modified>
</cp:coreProperties>
</file>